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-120" yWindow="-120" windowWidth="20640" windowHeight="11160"/>
  </bookViews>
  <sheets>
    <sheet name="SAF 011 - NECESIDAD TRIMESTRAL" sheetId="1" r:id="rId1"/>
    <sheet name="NP" sheetId="2" r:id="rId2"/>
    <sheet name="APG" sheetId="3" r:id="rId3"/>
  </sheets>
  <definedNames>
    <definedName name="_xlnm._FilterDatabase" localSheetId="0" hidden="1">'SAF 011 - NECESIDAD TRIMESTRAL'!$A$9:$BB$47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12" i="2"/>
  <c r="P42" i="2"/>
  <c r="P39" i="2"/>
  <c r="P37" i="2"/>
  <c r="P31" i="2"/>
  <c r="P19" i="2"/>
  <c r="C173" i="1"/>
  <c r="C170" i="1"/>
  <c r="C167" i="1"/>
  <c r="C164" i="1"/>
  <c r="C161" i="1"/>
  <c r="C158" i="1"/>
  <c r="C155" i="1"/>
  <c r="C152" i="1"/>
  <c r="C149" i="1"/>
  <c r="C146" i="1"/>
  <c r="C143" i="1"/>
  <c r="C140" i="1"/>
  <c r="C137" i="1"/>
  <c r="C134" i="1"/>
  <c r="C131" i="1"/>
  <c r="C128" i="1"/>
  <c r="C125" i="1"/>
  <c r="C122" i="1"/>
  <c r="C119" i="1"/>
  <c r="C116" i="1"/>
  <c r="C113" i="1"/>
  <c r="C110" i="1"/>
  <c r="C107" i="1"/>
  <c r="C104" i="1"/>
  <c r="C101" i="1"/>
  <c r="C98" i="1"/>
  <c r="C95" i="1"/>
  <c r="C92" i="1"/>
  <c r="C89" i="1"/>
  <c r="C86" i="1"/>
  <c r="C83" i="1"/>
  <c r="C80" i="1"/>
  <c r="C77" i="1"/>
  <c r="C74" i="1"/>
  <c r="C71" i="1"/>
  <c r="C68" i="1"/>
  <c r="C65" i="1"/>
  <c r="A41" i="3"/>
  <c r="G7" i="3"/>
  <c r="G6" i="3"/>
  <c r="G5" i="3"/>
  <c r="G4" i="3"/>
  <c r="K48" i="2"/>
  <c r="J48" i="2"/>
  <c r="C48" i="2"/>
  <c r="B48" i="2"/>
  <c r="K47" i="2"/>
  <c r="J47" i="2"/>
  <c r="C47" i="2"/>
  <c r="B47" i="2"/>
  <c r="K46" i="2"/>
  <c r="J46" i="2"/>
  <c r="C46" i="2"/>
  <c r="B46" i="2"/>
  <c r="K45" i="2"/>
  <c r="J45" i="2"/>
  <c r="C45" i="2"/>
  <c r="B45" i="2"/>
  <c r="K44" i="2"/>
  <c r="J44" i="2"/>
  <c r="C44" i="2"/>
  <c r="B44" i="2"/>
  <c r="K43" i="2"/>
  <c r="J43" i="2"/>
  <c r="P43" i="2" s="1"/>
  <c r="C43" i="2"/>
  <c r="B43" i="2"/>
  <c r="K42" i="2"/>
  <c r="J42" i="2"/>
  <c r="C42" i="2"/>
  <c r="B42" i="2"/>
  <c r="K41" i="2"/>
  <c r="J41" i="2"/>
  <c r="C41" i="2"/>
  <c r="B41" i="2"/>
  <c r="K40" i="2"/>
  <c r="J40" i="2"/>
  <c r="C40" i="2"/>
  <c r="B40" i="2"/>
  <c r="K39" i="2"/>
  <c r="J39" i="2"/>
  <c r="C39" i="2"/>
  <c r="B39" i="2"/>
  <c r="K38" i="2"/>
  <c r="J38" i="2"/>
  <c r="C38" i="2"/>
  <c r="B38" i="2"/>
  <c r="K37" i="2"/>
  <c r="J37" i="2"/>
  <c r="C37" i="2"/>
  <c r="B37" i="2"/>
  <c r="K36" i="2"/>
  <c r="J36" i="2"/>
  <c r="C36" i="2"/>
  <c r="B36" i="2"/>
  <c r="K35" i="2"/>
  <c r="J35" i="2"/>
  <c r="C35" i="2"/>
  <c r="B35" i="2"/>
  <c r="K34" i="2"/>
  <c r="J34" i="2"/>
  <c r="C34" i="2"/>
  <c r="B34" i="2"/>
  <c r="K33" i="2"/>
  <c r="J33" i="2"/>
  <c r="C33" i="2"/>
  <c r="B33" i="2"/>
  <c r="K32" i="2"/>
  <c r="J32" i="2"/>
  <c r="C32" i="2"/>
  <c r="B32" i="2"/>
  <c r="K31" i="2"/>
  <c r="J31" i="2"/>
  <c r="C31" i="2"/>
  <c r="B31" i="2"/>
  <c r="K30" i="2"/>
  <c r="J30" i="2"/>
  <c r="C30" i="2"/>
  <c r="B30" i="2"/>
  <c r="K29" i="2"/>
  <c r="J29" i="2"/>
  <c r="C29" i="2"/>
  <c r="B29" i="2"/>
  <c r="K28" i="2"/>
  <c r="J28" i="2"/>
  <c r="C28" i="2"/>
  <c r="B28" i="2"/>
  <c r="K27" i="2"/>
  <c r="J27" i="2"/>
  <c r="C27" i="2"/>
  <c r="B27" i="2"/>
  <c r="K26" i="2"/>
  <c r="J26" i="2"/>
  <c r="C26" i="2"/>
  <c r="B26" i="2"/>
  <c r="K25" i="2"/>
  <c r="J25" i="2"/>
  <c r="C25" i="2"/>
  <c r="B25" i="2"/>
  <c r="K24" i="2"/>
  <c r="J24" i="2"/>
  <c r="C24" i="2"/>
  <c r="B24" i="2"/>
  <c r="K23" i="2"/>
  <c r="J23" i="2"/>
  <c r="C23" i="2"/>
  <c r="B23" i="2"/>
  <c r="K22" i="2"/>
  <c r="J22" i="2"/>
  <c r="C22" i="2"/>
  <c r="B22" i="2"/>
  <c r="K21" i="2"/>
  <c r="J21" i="2"/>
  <c r="C21" i="2"/>
  <c r="B21" i="2"/>
  <c r="K20" i="2"/>
  <c r="J20" i="2"/>
  <c r="C20" i="2"/>
  <c r="B20" i="2"/>
  <c r="K19" i="2"/>
  <c r="J19" i="2"/>
  <c r="C19" i="2"/>
  <c r="B19" i="2"/>
  <c r="K18" i="2"/>
  <c r="J18" i="2"/>
  <c r="C18" i="2"/>
  <c r="B18" i="2"/>
  <c r="K17" i="2"/>
  <c r="J17" i="2"/>
  <c r="C17" i="2"/>
  <c r="B17" i="2"/>
  <c r="K16" i="2"/>
  <c r="J16" i="2"/>
  <c r="C16" i="2"/>
  <c r="B16" i="2"/>
  <c r="K15" i="2"/>
  <c r="J15" i="2"/>
  <c r="C15" i="2"/>
  <c r="B15" i="2"/>
  <c r="K14" i="2"/>
  <c r="J14" i="2"/>
  <c r="C14" i="2"/>
  <c r="B14" i="2"/>
  <c r="K13" i="2"/>
  <c r="J13" i="2"/>
  <c r="C13" i="2"/>
  <c r="B13" i="2"/>
  <c r="K12" i="2"/>
  <c r="J12" i="2"/>
  <c r="C12" i="2"/>
  <c r="B12" i="2"/>
  <c r="AW46" i="1"/>
  <c r="AY46" i="1" s="1"/>
  <c r="AV46" i="1"/>
  <c r="AW45" i="1"/>
  <c r="AY45" i="1" s="1"/>
  <c r="AV45" i="1"/>
  <c r="AW44" i="1"/>
  <c r="AY44" i="1" s="1"/>
  <c r="AV44" i="1"/>
  <c r="AW43" i="1"/>
  <c r="AY43" i="1" s="1"/>
  <c r="AV43" i="1"/>
  <c r="AW42" i="1"/>
  <c r="AY42" i="1" s="1"/>
  <c r="AV42" i="1"/>
  <c r="AW41" i="1"/>
  <c r="AY41" i="1" s="1"/>
  <c r="AV41" i="1"/>
  <c r="AW40" i="1"/>
  <c r="AY40" i="1" s="1"/>
  <c r="AV40" i="1"/>
  <c r="AW39" i="1"/>
  <c r="AY39" i="1" s="1"/>
  <c r="AV39" i="1"/>
  <c r="AW38" i="1"/>
  <c r="AY38" i="1" s="1"/>
  <c r="AV38" i="1"/>
  <c r="AY37" i="1"/>
  <c r="AW37" i="1"/>
  <c r="AV37" i="1"/>
  <c r="AW36" i="1"/>
  <c r="AY36" i="1" s="1"/>
  <c r="AV36" i="1"/>
  <c r="AW35" i="1"/>
  <c r="AY35" i="1" s="1"/>
  <c r="AV35" i="1"/>
  <c r="AW34" i="1"/>
  <c r="AY34" i="1" s="1"/>
  <c r="AV34" i="1"/>
  <c r="AY33" i="1"/>
  <c r="AW33" i="1"/>
  <c r="AV33" i="1"/>
  <c r="AW32" i="1"/>
  <c r="AY32" i="1" s="1"/>
  <c r="AV32" i="1"/>
  <c r="AW31" i="1"/>
  <c r="AY31" i="1" s="1"/>
  <c r="AV31" i="1"/>
  <c r="AW30" i="1"/>
  <c r="AY30" i="1" s="1"/>
  <c r="AV30" i="1"/>
  <c r="AW29" i="1"/>
  <c r="AY29" i="1" s="1"/>
  <c r="AV29" i="1"/>
  <c r="AW28" i="1"/>
  <c r="AY28" i="1" s="1"/>
  <c r="AV28" i="1"/>
  <c r="AW27" i="1"/>
  <c r="AY27" i="1" s="1"/>
  <c r="AV27" i="1"/>
  <c r="AW26" i="1"/>
  <c r="AY26" i="1" s="1"/>
  <c r="AV26" i="1"/>
  <c r="AW25" i="1"/>
  <c r="AY25" i="1" s="1"/>
  <c r="AV25" i="1"/>
  <c r="AW24" i="1"/>
  <c r="AY24" i="1" s="1"/>
  <c r="AV24" i="1"/>
  <c r="AW23" i="1"/>
  <c r="AY23" i="1" s="1"/>
  <c r="AV23" i="1"/>
  <c r="AW22" i="1"/>
  <c r="AY22" i="1" s="1"/>
  <c r="AV22" i="1"/>
  <c r="AW21" i="1"/>
  <c r="AY21" i="1" s="1"/>
  <c r="AV21" i="1"/>
  <c r="AW20" i="1"/>
  <c r="AY20" i="1" s="1"/>
  <c r="AV20" i="1"/>
  <c r="AW19" i="1"/>
  <c r="AY19" i="1" s="1"/>
  <c r="AV19" i="1"/>
  <c r="AW18" i="1"/>
  <c r="AY18" i="1" s="1"/>
  <c r="AV18" i="1"/>
  <c r="AW17" i="1"/>
  <c r="AY17" i="1" s="1"/>
  <c r="AV17" i="1"/>
  <c r="AW16" i="1"/>
  <c r="AY16" i="1" s="1"/>
  <c r="AV16" i="1"/>
  <c r="AW15" i="1"/>
  <c r="AY15" i="1" s="1"/>
  <c r="AV15" i="1"/>
  <c r="AW14" i="1"/>
  <c r="AY14" i="1" s="1"/>
  <c r="AV14" i="1"/>
  <c r="AW13" i="1"/>
  <c r="AY13" i="1" s="1"/>
  <c r="AV13" i="1"/>
  <c r="AW12" i="1"/>
  <c r="AY12" i="1" s="1"/>
  <c r="AV12" i="1"/>
  <c r="AW11" i="1"/>
  <c r="AY11" i="1" s="1"/>
  <c r="AV11" i="1"/>
  <c r="AW10" i="1"/>
  <c r="AY10" i="1" s="1"/>
  <c r="AV10" i="1"/>
  <c r="P24" i="2" l="1"/>
  <c r="P36" i="2"/>
  <c r="P48" i="2"/>
  <c r="N14" i="2"/>
  <c r="P18" i="2"/>
  <c r="M22" i="2"/>
  <c r="P25" i="2"/>
  <c r="P29" i="2"/>
  <c r="O45" i="2"/>
  <c r="M27" i="2"/>
  <c r="P35" i="2"/>
  <c r="P15" i="2"/>
  <c r="P23" i="2"/>
  <c r="P26" i="2"/>
  <c r="P47" i="2"/>
  <c r="P32" i="2"/>
  <c r="P40" i="2"/>
  <c r="P44" i="2"/>
  <c r="J50" i="2"/>
  <c r="P13" i="2"/>
  <c r="P16" i="2"/>
  <c r="P17" i="2"/>
  <c r="P20" i="2"/>
  <c r="N21" i="2"/>
  <c r="N50" i="2" s="1"/>
  <c r="Q16" i="3" s="1"/>
  <c r="P28" i="2"/>
  <c r="P30" i="2"/>
  <c r="P33" i="2"/>
  <c r="P34" i="2"/>
  <c r="P38" i="2"/>
  <c r="M41" i="2"/>
  <c r="O46" i="2"/>
  <c r="AY47" i="1"/>
  <c r="P12" i="2"/>
  <c r="O50" i="2" l="1"/>
  <c r="Q17" i="3" s="1"/>
  <c r="M50" i="2"/>
  <c r="Q15" i="3" s="1"/>
  <c r="Q50" i="2"/>
  <c r="P50" i="2"/>
  <c r="Q18" i="3" s="1"/>
  <c r="Q38" i="3" l="1"/>
  <c r="R50" i="2"/>
</calcChain>
</file>

<file path=xl/sharedStrings.xml><?xml version="1.0" encoding="utf-8"?>
<sst xmlns="http://schemas.openxmlformats.org/spreadsheetml/2006/main" count="506" uniqueCount="306">
  <si>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</si>
  <si>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</si>
  <si>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</si>
  <si>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</si>
  <si>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</si>
  <si>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</si>
  <si>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</si>
  <si>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</si>
  <si>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</si>
  <si>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</si>
  <si>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</si>
  <si>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</si>
  <si>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</si>
  <si>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</si>
  <si>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</si>
  <si>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</si>
  <si>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</si>
  <si>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</si>
  <si>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</si>
  <si>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</si>
  <si>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</si>
  <si>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</si>
  <si>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</si>
  <si>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</si>
  <si>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</si>
  <si>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</si>
  <si>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</si>
  <si>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</si>
  <si>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</si>
  <si>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</si>
  <si>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SAME</t>
  </si>
  <si>
    <t>HPTAL MALBRAN</t>
  </si>
  <si>
    <t>TOTAL HPTAL MALBRAN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</si>
  <si>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</si>
  <si>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</si>
  <si>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</si>
  <si>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</si>
  <si>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</si>
  <si>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</si>
  <si>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</si>
  <si>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</si>
  <si>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CRONICAS</t>
  </si>
  <si>
    <t>TOTAL CRONICAS</t>
  </si>
  <si>
    <t>CUR</t>
  </si>
  <si>
    <t>TOTAL CUR</t>
  </si>
  <si>
    <t>SPyGS</t>
  </si>
  <si>
    <t>TOTAL SPyGS</t>
  </si>
  <si>
    <t>SALUD MENTAL</t>
  </si>
  <si>
    <t>TOTAL SALUD MENTAL</t>
  </si>
  <si>
    <t>AREAS Y DPAS</t>
  </si>
  <si>
    <t>TOTAL DPAS</t>
  </si>
  <si>
    <t>EPIDEMIOLOGIA</t>
  </si>
  <si>
    <t>TOTAL EPIDEMIOLOGIA</t>
  </si>
  <si>
    <t>MS</t>
  </si>
  <si>
    <t>TOTAL MS</t>
  </si>
  <si>
    <t>CANTIDAD TOTAL</t>
  </si>
  <si>
    <t>PRECIO UNITARIO ESTIMADO</t>
  </si>
  <si>
    <t xml:space="preserve">IMPORTE TOTAL ESTIMADO </t>
  </si>
  <si>
    <t>ESPECIFICACION TECNICA</t>
  </si>
  <si>
    <t>IPP</t>
  </si>
  <si>
    <t>RUBRO S/CATALOGO</t>
  </si>
  <si>
    <t>EQUIPO DE OFICINA Y MUEBLES</t>
  </si>
  <si>
    <t>4.3.7</t>
  </si>
  <si>
    <t>UNIDAD</t>
  </si>
  <si>
    <r>
      <rPr>
        <sz val="8"/>
        <rFont val="Calibri"/>
      </rPr>
      <t>AIRE ACONDICIONADOS SPLIT INVERTER (</t>
    </r>
    <r>
      <rPr>
        <sz val="8"/>
        <color rgb="FFFF0000"/>
        <rFont val="Calibri"/>
      </rPr>
      <t>Ver Eficiencia energética, no se corresponde con un Inverter</t>
    </r>
    <r>
      <rPr>
        <sz val="8"/>
        <rFont val="Calibri"/>
      </rPr>
      <t>)</t>
    </r>
  </si>
  <si>
    <t>4.3.7-1367.320</t>
  </si>
  <si>
    <t>ACONDICIONADORES DE AIRE; TIPO: SPLIT, FRIO: 4500 FRIG, CALOR: 4500 CAL, TENSION NOMINAL: 220 V, CRITERIO DE SEGURIDAD: SELLO DE SEGURIDAD, CONSUMO: MENOR A 5 KVA, CORRIENTE NOMINAL: 12 A, EFICIENCIA ENERGETICA: GRADO A</t>
  </si>
  <si>
    <t>AIRE ACONDICIONADOS SPLIT INVERTER</t>
  </si>
  <si>
    <t>2.2.9-702.3</t>
  </si>
  <si>
    <t>ARTICULOS DEL HOGAR</t>
  </si>
  <si>
    <t>2.2.9</t>
  </si>
  <si>
    <t>ALMOHADAS; DIMENSION: 80 X 35 Cm, CONSTRUCCION: ESPUMA</t>
  </si>
  <si>
    <r>
      <rPr>
        <sz val="8"/>
        <rFont val="Calibri"/>
      </rPr>
      <t xml:space="preserve">ALMOHADAS </t>
    </r>
    <r>
      <rPr>
        <sz val="8"/>
        <color rgb="FFFF0000"/>
        <rFont val="Calibri"/>
      </rPr>
      <t>Aguna aclaración del tipo de tela, espuma, tela, color?</t>
    </r>
  </si>
  <si>
    <t>4.3.7-2001.4</t>
  </si>
  <si>
    <t>BANQUETAS/TABURETES; MATERIAL ESTRUCTURA: 147 dBV/mPa , TERMINACION: TAPIZADO, DIMENSION: 45 X 35 Cm, RESPALDO: CON, GIRATORIA: SI, APOYABRAZO: SIN, PATAS: 5 RUEDAS, ALTURA: 42 A 54 Cm, MATERIAL: METAL</t>
  </si>
  <si>
    <t>BANQUETA METAL (c/respaldo, Giratoria, 5 patas y ruedas)</t>
  </si>
  <si>
    <t>4.3.7-2001.22</t>
  </si>
  <si>
    <t>BANQUETAS/TABURETES; TERMINACION: METAL, DIMENSION: 0,6 X 0,3, RESPALDO: SIN, GIRATORIA: NO, APOYABRAZO: SIN, PATAS: 4, ALTURA: REGULABLE, MATERIAL: METAL</t>
  </si>
  <si>
    <t>BANQUETA METAL (s/respaldo, Fija, 4 patas y sin ruedas)</t>
  </si>
  <si>
    <t>4.3.7-32.680</t>
  </si>
  <si>
    <t>BIBLIOTECAS; MATERIAL: MELAMINA, CANT. PUERTAS: 2, TERMINACION: LAMINADO, DIMENSION (ANCHO/PROF/ALTO): 120 X 40 X 180 Cm</t>
  </si>
  <si>
    <r>
      <rPr>
        <sz val="9"/>
        <rFont val="Calibri"/>
      </rPr>
      <t xml:space="preserve">BIBLIOTECA (Melamina, 2 puertas) </t>
    </r>
    <r>
      <rPr>
        <sz val="9"/>
        <color rgb="FFFF0000"/>
        <rFont val="Calibri"/>
      </rPr>
      <t>Estantes?</t>
    </r>
  </si>
  <si>
    <t>4.3.7-5605.1</t>
  </si>
  <si>
    <t>BIOMBOS; TIPO: PLEGABLE, DIMENSION: 2 X 2 M, USO: SANITARIO</t>
  </si>
  <si>
    <t>(no sale, 437 o 433)</t>
  </si>
  <si>
    <t>4.3.9-8811.3</t>
  </si>
  <si>
    <t>EQUIPOS</t>
  </si>
  <si>
    <t>CALOVENTILADORES; TIPO: AIRE, CAPACIDAD CALORICA: 1800 W, CAUDAL: CONTINUO, MOTOR: ELECTRICO</t>
  </si>
  <si>
    <t>CALOVENTOR (1800 W)</t>
  </si>
  <si>
    <t>4.3.7-2207.2</t>
  </si>
  <si>
    <t>CAMAS; LARGO X ANCHO: 190 X 80 Cm, MATERIAL: MADERA, TERMINACION: LUSTRE NATURAL, TIPO: 1PLAZA</t>
  </si>
  <si>
    <t>CAMA Madera (1 plaza)</t>
  </si>
  <si>
    <t>2.2.9-701.57</t>
  </si>
  <si>
    <t>COLCHONES; DIMENSION: 190 X 80 Cm, DENSIDAD: 25 kg/cm3, ESPESOR: 21 Cm, CONSTRUCCION: ESPUMA, TERMINACION: MATELASSEADO</t>
  </si>
  <si>
    <t>COLCHONES (1 plaza)</t>
  </si>
  <si>
    <t>INDUMENT TEXTIL Y CONFECCIONES</t>
  </si>
  <si>
    <t>2.2.3</t>
  </si>
  <si>
    <r>
      <rPr>
        <sz val="10"/>
        <rFont val="Calibri"/>
      </rPr>
      <t xml:space="preserve">ACOLCHADO Cubrecama (1 plaza) </t>
    </r>
    <r>
      <rPr>
        <sz val="10"/>
        <color rgb="FFFF0000"/>
        <rFont val="Calibri"/>
      </rPr>
      <t>color, % del material ?</t>
    </r>
  </si>
  <si>
    <t>4.3.7-37.82</t>
  </si>
  <si>
    <t>ESCALERAS; MATERIAL: METAL, ESCALONES: 2, TRAMOS: UNICO, DESARROLLO: PLANO UNICO, SOPORTE: APOYO</t>
  </si>
  <si>
    <t>ESCALERA de Apoyo (2 peldaños)</t>
  </si>
  <si>
    <t>4.3.7-4502.8</t>
  </si>
  <si>
    <t>ESCRITORIOS ERGONOMICOS; MATERIAL ESTRUCTURA: AGLOMERADO, ALTURA: 75 Cm, CAJONERA: SI, CAJONES: 3, TIRANTE SOBRE CAJON: SIN, BANDEJA PORTATECLADO: CON, PASACABLES: CON, TERMINACION: MELAMINA, ANCHO MAYOR: 120 Cm, ANCHO MENOR: SIN VALOR, PROF. MAYOR: 70 Cm, PROF. MENOR: SIN VALOR, CANTIDAD DE CAJONES: 3, MATERIAL: AGLOMERADO, ANCHO MAXIMO: 120 Cm, PROFUNDIDAD MAXIMA: 70 Cm, DIMENSION (A/P/H): 120 X 70 X 75 Cm</t>
  </si>
  <si>
    <t>ESCRITORIO (Aglomerado, terminación melamina, c/3 cajones y bandeja portateclado)</t>
  </si>
  <si>
    <t>4.3.7-40.38</t>
  </si>
  <si>
    <t>ESCRITORIOS; CAJONERA: 2 IZQUIERDA, 2 DERECHA, TIRANTE SOBRE CAJON.: SIN, TERMINACION: REVESTIMIENTO MELAMINICO, DIM. DEL PLANO DE UNION: SIN VALOR, DIM. DEL PLANO DE APOYO: SIN VALOR, DIM. DE LAS PANTALLA DIVISORIA: SIN VALOR, DIM. DEL PLANO DE EXTENSION: SIN VALOR, BANDEJA PORTATECLADO: SIN VALOR, PASACABLES: SIN VALOR, MATERIAL ESTRUCTURA: AGLOMERADO, CAJONES: 4, CANTIDAD DE CAJONES: 4</t>
  </si>
  <si>
    <r>
      <rPr>
        <sz val="8"/>
        <rFont val="Calibri"/>
      </rPr>
      <t xml:space="preserve">ESCRITORIO (Aglomerado, terminación melamina, c/4 cajones) </t>
    </r>
    <r>
      <rPr>
        <sz val="8"/>
        <color rgb="FFFF0000"/>
        <rFont val="Calibri"/>
      </rPr>
      <t>Aclarar el resto de la descripción del código.</t>
    </r>
  </si>
  <si>
    <t>4.3.7-1404.22</t>
  </si>
  <si>
    <t>ESTANTERIAS; MATERIAL: METAL, DIMENSION: 205 X 60 Cm, ALTURA: 260 Cm, ESTANTES: 6 UN, CAPACIDAD POR ESTANTE: SIN VALOR</t>
  </si>
  <si>
    <r>
      <rPr>
        <sz val="8"/>
        <rFont val="Calibri"/>
      </rPr>
      <t>ESTANTERIA METALICA (6 Estantes) (Alt.xAnc.xProf.=</t>
    </r>
    <r>
      <rPr>
        <sz val="8"/>
        <color rgb="FFFF0000"/>
        <rFont val="Calibri"/>
      </rPr>
      <t>260x205x60cm??</t>
    </r>
    <r>
      <rPr>
        <sz val="8"/>
        <rFont val="Calibri"/>
      </rPr>
      <t>)</t>
    </r>
  </si>
  <si>
    <t>2.2.3-920.42</t>
  </si>
  <si>
    <t>FRAZADAS; MATERIAL: POLAR, TAMAÑO: 1 1/2 PLAZA</t>
  </si>
  <si>
    <r>
      <rPr>
        <sz val="10"/>
        <rFont val="Calibri"/>
      </rPr>
      <t xml:space="preserve">FRAZADA de Polar (1 plaza y 1/2) </t>
    </r>
    <r>
      <rPr>
        <sz val="10"/>
        <color rgb="FFFF0000"/>
        <rFont val="Calibri"/>
      </rPr>
      <t>color? Polar Reversible o no?</t>
    </r>
  </si>
  <si>
    <t>4.3.7-4500.4</t>
  </si>
  <si>
    <t>GAVETEROS; MATERIAL: METAL, ALTURA: 240 Cm, ANCHO: 110 Cm, PROFUNDIDAD: 36 Cm, TERMINACION: ESMALTE, CANTIDAD DE CAJONES: 32</t>
  </si>
  <si>
    <t>Incluye 3 separadores por cada cajon</t>
  </si>
  <si>
    <t>GAVETERO metálico (32 cajones, terminación esmalte, HxAxProf=240x110x36 cm)</t>
  </si>
  <si>
    <t>4.3.7-15.123</t>
  </si>
  <si>
    <t>HELADERAS; CAPACIDAD: 400 L, FRIO: CON FREEZER, CONSUMO: MENOR A 5 KVA, TENSION NOMINAL: 220 V, CRITERIO DE SEGURIDAD: SELLO DE SEGURIDAD, CORRIENTE NOMINAL: MENOR A 63 A, EFICIENCIA ENERGETICA: GRADO A</t>
  </si>
  <si>
    <r>
      <rPr>
        <sz val="8"/>
        <rFont val="Calibri"/>
      </rPr>
      <t xml:space="preserve">HELADERA c/freezer Cap.400L (Efic.energ. A) </t>
    </r>
    <r>
      <rPr>
        <sz val="8"/>
        <color rgb="FFFF0000"/>
        <rFont val="Calibri"/>
      </rPr>
      <t>Aclarar tipo de descongelamiento, capac.con frezer incluido, inverter o no, medidas, puerta derecha o izquierda, color, etc</t>
    </r>
  </si>
  <si>
    <t>4.3.7-96.28</t>
  </si>
  <si>
    <t>HORNOS MICROONDAS; CAPACIDAD: 30 L, DIMENSION (A/P/H): 520 X 510 X 500 mm, ACCESORIO: BANDEJA, MATERIAL INTERNO: CHAPA ESMALTADA, POTENCIA: 1000 W, TENSION NOMINAL: 220 V, CORRIENTE NOMINAL: 4,5 A, CONSUMO: 800 W, CRITERIO DE SEGURIDAD: SELLO DE SEGURIDAD, EFICIENCIA ENERGETICA: SIN VALOR</t>
  </si>
  <si>
    <t>MICROONDA Cap.30L, Potencia Max.: 1000W</t>
  </si>
  <si>
    <t>4.3.7-2012.7</t>
  </si>
  <si>
    <t>LOCKERS; MATERIAL ESTRUCTURA: 147 dBV/mPa , DIMENSION: 182 X 78 X 52 Cm, CANTIDAD CASILLEROS: 6, ESTANTES: CON, PUERTAS: 6, CAJONES: SIN, CANTIDAD DE CAJONES: SIN, MATERIAL: METAL, CANT. PUERTAS: 6, CANTIDAD DE CASILLEROS: 6</t>
  </si>
  <si>
    <r>
      <rPr>
        <sz val="8"/>
        <rFont val="Calibri"/>
      </rPr>
      <t xml:space="preserve">LOCKER Metálicos (6 casilleros c/estantes, dimensión: 182x78x52 cm) </t>
    </r>
    <r>
      <rPr>
        <sz val="8"/>
        <color rgb="FFFF0000"/>
        <rFont val="Calibri"/>
      </rPr>
      <t>No aclara cual es el Alto o Ancho?</t>
    </r>
  </si>
  <si>
    <t>4.3.7-2208.50</t>
  </si>
  <si>
    <t>MESAS DE LUZ; ANCHO: 45 Cm, PROFUNDIDAD: 40 Cm, MATERIAL: METAL, TERMINACION: MELAMINA</t>
  </si>
  <si>
    <r>
      <rPr>
        <sz val="8"/>
        <rFont val="Calibri"/>
      </rPr>
      <t xml:space="preserve">MESA DE LUZ (c/1 cajón y 1 puerta) </t>
    </r>
    <r>
      <rPr>
        <sz val="8"/>
        <color rgb="FFFF0000"/>
        <rFont val="Calibri"/>
      </rPr>
      <t>Sin aclaración de la altura</t>
    </r>
  </si>
  <si>
    <t>4.3.7-1406.271</t>
  </si>
  <si>
    <t>MESAS DE REUNIONES; SUPERFICIE APOYO: AGLOMERADO, TERMINACION: LAMINADO MELAMINICO, DIM. DEL PLANO DE APOYO: 240 X 110 Cm, BASE: AGLOMERADO, CAPACIDAD: 8 PERSONAS, MATERIAL: AGLOMERADO</t>
  </si>
  <si>
    <t>4.3.7-5446.1</t>
  </si>
  <si>
    <t>MESAS P/CAMAS; BASE: ACERO INOXIDABLE, ALTURA: REGULABLE, DIMENSION DE TAPA: 50 X 80 Cm, MATERIAL DE TAPA: LAMINADA EN MELAMINA, SUPERFICIE APOYO: 50 X 80 Cm</t>
  </si>
  <si>
    <t>MESA P/CAMA (Altura regulable, laminada en melamina)</t>
  </si>
  <si>
    <t>4.3.7-1910.21</t>
  </si>
  <si>
    <t>MESAS P/IMPRESORAS; MATERIAL: MADERA, DIM. APROX. (ANCHO/PROF/ALTO): 250 X 45 X 85 Cm</t>
  </si>
  <si>
    <t>MESA P/ Impresora</t>
  </si>
  <si>
    <t>4.3.9-7935.2</t>
  </si>
  <si>
    <t>CARPINTERIA</t>
  </si>
  <si>
    <t>MESAS P/PLANCHADO; ESTRUCTURA: HIERRO REFORZADO, DIMENSION: 1 X 0,5 M, TERMINACION: TELA DE AMIANTO, MATERIAL ESTRUCTURA: HIERRO REFORZADO</t>
  </si>
  <si>
    <r>
      <rPr>
        <sz val="8"/>
        <rFont val="Calibri"/>
      </rPr>
      <t xml:space="preserve">MESA P/Planchado </t>
    </r>
    <r>
      <rPr>
        <sz val="8"/>
        <color rgb="FFFF0000"/>
        <rFont val="Calibri"/>
      </rPr>
      <t>(Rever el codigo elegido, tela de amianto??) o dar de Alta uno nuevo</t>
    </r>
  </si>
  <si>
    <t>4.3.7-9066.3</t>
  </si>
  <si>
    <t>PAVAS ELECTRICAS; MATERIAL: ALUMINIO, CAPACIDAD: 1,7 L, POTENCIA: 2100 W, TENSION NOMINAL: 220 V, CORRIENTE NOMINAL: MENOR A 63 A, CONSUMO: MENOR A 5 KVA, CRITERIO DE SEGURIDAD: SELLO DE SEGURIDAD</t>
  </si>
  <si>
    <t>PAVA ELECTRICA (de Aluminio, Cap.1,7L)</t>
  </si>
  <si>
    <t>4.3.9-2489.10</t>
  </si>
  <si>
    <t>PLANCHAS; CONSUMO: 800 W, CRITERIO DE SEGURIDAD: SELLO DE SEGURIDAD, CORRIENTE NOMINAL: MENOR A 63 A, TENSION NOMINAL: 220 - 240 V, ACCESORIO: CON, TIPO: ELECTRICA</t>
  </si>
  <si>
    <t>PLANCHA 800W</t>
  </si>
  <si>
    <t>4.3.7-1880.1</t>
  </si>
  <si>
    <t>RELOJES; TAMAÑO: 30 X 25 Cm, ALIMENTACION: ELECTRICA, MECANISMO: ANALOGICO, TIPO: DE PARED, MATERIAL: PLASTICO</t>
  </si>
  <si>
    <t>RELOJ ANALOGICO (de pared, material plástico)</t>
  </si>
  <si>
    <t>2.2.3-923.1</t>
  </si>
  <si>
    <t>SABANAS; TELA: PURO ALGODON, TAMAÑO: 1 PLAZA, CONJUNTO: SUPERIOR,INFERIOR Y FUNDA</t>
  </si>
  <si>
    <r>
      <rPr>
        <sz val="10"/>
        <rFont val="Calibri"/>
      </rPr>
      <t>SABANA 1 Plaza c/funda,</t>
    </r>
    <r>
      <rPr>
        <sz val="10"/>
        <color rgb="FFFF0000"/>
        <rFont val="Calibri"/>
      </rPr>
      <t xml:space="preserve"> color y/o medidas mínimas? </t>
    </r>
  </si>
  <si>
    <t>4.3.9-2655.27</t>
  </si>
  <si>
    <t>SECARROPAS/CENTRIFUGA; TIPO: ROTATIVO, SECADO: POR CALOR, CAPACIDAD: 10 Kg, TENSION NOMINAL: 220 V, CORRIENTE NOMINAL: 10 A, CRITERIO DE SEGURIDAD: SELLO DE SEGURIDAD, CONSUMO: 6 KW, EFICIENCIA ENERGETICA: GRADO B</t>
  </si>
  <si>
    <r>
      <rPr>
        <sz val="9"/>
        <rFont val="Calibri"/>
      </rPr>
      <t xml:space="preserve">SECARROPA CENTRIFUGO (Alim.220V, Cap.10Kg, </t>
    </r>
    <r>
      <rPr>
        <sz val="9"/>
        <color rgb="FFFF0000"/>
        <rFont val="Calibri"/>
      </rPr>
      <t>Efic.energ. B</t>
    </r>
    <r>
      <rPr>
        <sz val="9"/>
        <rFont val="Calibri"/>
      </rPr>
      <t xml:space="preserve">) </t>
    </r>
    <r>
      <rPr>
        <sz val="9"/>
        <color rgb="FFFF0000"/>
        <rFont val="Calibri"/>
      </rPr>
      <t>ver posibilidad de que sea A (cambiar código o pedir alta)</t>
    </r>
  </si>
  <si>
    <t>4.3.7-45.30</t>
  </si>
  <si>
    <t>SILLAS; MATERIAL ESTRUCTURA: METAL, PATAS: BASE CENTRAL,PATAS FIJAS, ALTURA: FIJA, GIRATORIA: NO, RESPALDO: FIJO, ASIENTO: SIN VALOR, TAPIZADO: CUERINA, APOYA BRAZO: SIN, CANTIDAD PATAS: 4, Nº PATAS: 4, APOYABRAZO: SIN</t>
  </si>
  <si>
    <t>SILLA METAL (c/tapizado cuerina, c/respaldo, 4 patas)</t>
  </si>
  <si>
    <t>4.3.7-2004.2</t>
  </si>
  <si>
    <t>SISTEMAS DE SILLAS; ALTURA FIJA - APOYABRAZO SIN - Nº DE ASIENTOS 4 - MATERIAL METAL</t>
  </si>
  <si>
    <r>
      <rPr>
        <sz val="8"/>
        <rFont val="Calibri"/>
      </rPr>
      <t xml:space="preserve">SIST.DE SILLAS (4 asientos) </t>
    </r>
    <r>
      <rPr>
        <sz val="8"/>
        <color rgb="FFFF0000"/>
        <rFont val="Calibri"/>
      </rPr>
      <t>Aclarar que la estructura es de metal y terminacion de la silla, color, reforzada, etc??)</t>
    </r>
  </si>
  <si>
    <t>ELEMENTOS DE LIMPIEZA</t>
  </si>
  <si>
    <t>2.9.1</t>
  </si>
  <si>
    <t>291 o 299</t>
  </si>
  <si>
    <t>TACHO DE RESIDUOS (circular con tapa, 80,5x50cm)</t>
  </si>
  <si>
    <t>2.9.1-2661.1</t>
  </si>
  <si>
    <t>TACHOS DE RESIDUOS; MATERIAL: PLASTICO, SECCION: CIRCULAR, DIMENSION: DIAM. 30 X 80 Cm, TAPA: CON</t>
  </si>
  <si>
    <r>
      <rPr>
        <sz val="8"/>
        <rFont val="Calibri"/>
      </rPr>
      <t>TACHO DE RESIDUOS (circular con tapa, 80x30cm)</t>
    </r>
    <r>
      <rPr>
        <sz val="8"/>
        <color rgb="FFFF0000"/>
        <rFont val="Calibri"/>
      </rPr>
      <t xml:space="preserve"> tamaño similar al anterior</t>
    </r>
  </si>
  <si>
    <t>4.3.7-28.58</t>
  </si>
  <si>
    <t>VENTILADORES; TIPO: DE PIE, POTENCIA: 140 W, TENSION NOMINAL: 220 V, CORRIENTE NOMINAL: MENOR A 0,6 A, CONSUMO: MENOR A 5 KVA, CRITERIO DE SEGURIDAD: SELLO DE SEGURIDAD</t>
  </si>
  <si>
    <t>4.3.7-1832.16</t>
  </si>
  <si>
    <t>VITRINAS; ESTRUCTURA: MADERA, ALTURA: 170 Cm, ANCHO: 132 Cm, PROFUNDIDAD: 43 Cm, ESTANTE: CON, MATERIAL ESTRUCTURA: MADERA, PUERTA: 2 DE VIDRIO Y MADERA, PUERTAS: 2 DE VIDRIO Y MADERA</t>
  </si>
  <si>
    <t>TOTAL RUBRO MUEBLES Y ARTICULOS DEL HOGAR</t>
  </si>
  <si>
    <t>ESPECIFICADES Y DETALLE TECNICO:</t>
  </si>
  <si>
    <t>Plazos de entrega:</t>
  </si>
  <si>
    <t>Lugar de Entrega:</t>
  </si>
  <si>
    <t>MINISTERIO DE SALUD - CHACABUCO N° 169 - en el horario de 8:00hs a 12:00hs de lunes a viernes</t>
  </si>
  <si>
    <t>Calidad Minima esperada:</t>
  </si>
  <si>
    <t>Mantenimiento:</t>
  </si>
  <si>
    <t>cuarenta y cinco (45) días</t>
  </si>
  <si>
    <t>ESPECIFICIDADES ITEM 1</t>
  </si>
  <si>
    <t>ESPECIFICIDADES ITEM 2</t>
  </si>
  <si>
    <t>ESPECIFICIDADES ITEM 17</t>
  </si>
  <si>
    <t>ESPECIFICIDADES ITEM 22</t>
  </si>
  <si>
    <t>ESPECIFICIDADES ITEM 26</t>
  </si>
  <si>
    <t>ESPECIFICIDADES ITEM 28</t>
  </si>
  <si>
    <t>ESPECIFICIDADES ITEM 37</t>
  </si>
  <si>
    <t>NOTA DE PEDIDO</t>
  </si>
  <si>
    <t>N°</t>
  </si>
  <si>
    <t xml:space="preserve">JURISDICCIÓN: </t>
  </si>
  <si>
    <t>SAF:</t>
  </si>
  <si>
    <t>011 - DIRECCION PROVINCIAL DE ADMINISTRACION DEL MINISTERIO DE SALUD</t>
  </si>
  <si>
    <t>UNIDAD EJECUTORA:</t>
  </si>
  <si>
    <t>352 - MINISTERIO DE SALUD</t>
  </si>
  <si>
    <t xml:space="preserve">DEPENDENCIA SOLICITANTE: </t>
  </si>
  <si>
    <t>PERIODO UTILIZACIÓN:</t>
  </si>
  <si>
    <t>CINCO (5) AÑOS</t>
  </si>
  <si>
    <t>OBJETO:</t>
  </si>
  <si>
    <t>ADQUISICION DE ARTICULOS DE HOGAR Y MUEBLES CON DESTINO A HOSPITALES DE LA PROVINCIA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</si>
  <si>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</si>
  <si>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</si>
  <si>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</si>
  <si>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</si>
  <si>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</si>
  <si>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</si>
  <si>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</si>
  <si>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</si>
  <si>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Costo total estimado: PESOS CINCUENTA Y SIETE MILLONES CIENTO TREINTA Y UN MIL QUINIENTOS DIECIOCHO CON 20/100.-</t>
  </si>
  <si>
    <t>AUTORIZACION PARA GASTAR</t>
  </si>
  <si>
    <t>JURISDICCIÓN:</t>
  </si>
  <si>
    <r>
      <rPr>
        <b/>
        <u/>
        <sz val="10"/>
        <rFont val="Arial"/>
      </rPr>
      <t>AUTORIZACIÓN</t>
    </r>
    <r>
      <rPr>
        <b/>
        <u/>
        <sz val="10"/>
        <rFont val="Arial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</si>
  <si>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</si>
  <si>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</si>
  <si>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</si>
  <si>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</si>
  <si>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</si>
  <si>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</si>
  <si>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</si>
  <si>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</si>
  <si>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</si>
  <si>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</si>
  <si>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</si>
  <si>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</si>
  <si>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</si>
  <si>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</si>
  <si>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</si>
  <si>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</si>
  <si>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</si>
  <si>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</si>
  <si>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</si>
  <si>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CONFECCIONES TEXTILES</t>
  </si>
  <si>
    <t>OTROS NEP</t>
  </si>
  <si>
    <t>EQUIPOS DE OFICINA Y MUEBLES</t>
  </si>
  <si>
    <t>TOTAL DE PESOS: CINCUENTA Y SIETE MILLONES CIENTO TREINTA Y UN MIL QUINIENTOS DIECIOCHO CON 20/100.-</t>
  </si>
  <si>
    <t>JUSTIFICACIÓN:</t>
  </si>
  <si>
    <t>Biombos sanitarios con estructura metálica protegida por pintura epoxi, con ruedas de plástico y cuerpo de tela refrozada</t>
  </si>
  <si>
    <t xml:space="preserve">Lavarropas de tecnología inverter, de marca reconocida, con carga frontal y capacidad de 10Kg de ropa, con eficiencia energática A o superior y tensión de alimentación: 220Vca, apto para lavar con agua a diferentes temperatura, tambor de acero inoxidable y filtros atrapa pelusas. La velocidad de centrifugado mínima debe ser 1200 R.P.M. Debe contar con bloqueo de seguridad de puerta. </t>
  </si>
  <si>
    <t xml:space="preserve">Heladera No Frost de 400 lts aproximadamente (incluyendo el freezer), con eficiencia energética mínima A. Con estantes de vidrio templado, alarma de puerta abierta, filtro antibacterial y control de temperatura. </t>
  </si>
  <si>
    <t>Ventilador de pie de 20", con barral y base metálicos, con regulador de inclinación, con 3 velocidades seleccionables por perilla, con motor de 140Watts, con 3 palas de aluminio reforzadas, con rejilla protectora metálica.</t>
  </si>
  <si>
    <t>VENTILADOR DE PIE (Potencia 140w) No dice el tamaño de la pantalla, ni el material del mismo (paletas y/o estructura).</t>
  </si>
  <si>
    <t>4.3.7-1367.427</t>
  </si>
  <si>
    <t>ACONDICIONADORES DE AIRE; TIPO: SPLIT, FRIO: 3500 FRIG, CALOR: 3500 CAL, TENSION NOMINAL: 220 V, CRITERIO DE SEGURIDAD: SELLO DE SEGURIDAD, CONSUMO: 4000 W, CORRIENTE NOMINAL: 6 A, EFICIENCIA ENERGETICA: GRADO A</t>
  </si>
  <si>
    <t>4.3.9-2757.58</t>
  </si>
  <si>
    <t>LAVADORAS; USO: ROPA, CAPACIDAD: 10 Kg, VAPOR SOBRECALENTADO: SIN, BOMBA ADICIONAL: SIN, ALIMENTACION: 220 V, TENSION NOMINAL: 220/224 V, CORRIENTE NOMINAL: 10 A, CRITERIO DE SEGURIDAD: SELLO DE SEGURIDAD, CONSUMO: 6 KW, EFICIENCIA ENERGETICA: SIN VALOR</t>
  </si>
  <si>
    <r>
      <t xml:space="preserve">LAVADORA de 10 KG (Eficiencia Energ. A, </t>
    </r>
    <r>
      <rPr>
        <sz val="9"/>
        <color rgb="FFFF0000"/>
        <rFont val="Calibri"/>
      </rPr>
      <t>Alimentación: 380 V??</t>
    </r>
    <r>
      <rPr>
        <sz val="9"/>
        <rFont val="Calibri"/>
      </rPr>
      <t>) grado A</t>
    </r>
  </si>
  <si>
    <r>
      <t>AIRE ACONDICIONADOS SPLIT INVERTER</t>
    </r>
    <r>
      <rPr>
        <sz val="8"/>
        <color rgb="FFFF0000"/>
        <rFont val="Calibri"/>
      </rPr>
      <t/>
    </r>
  </si>
  <si>
    <t>BIBLIOTECA (Melamina, 2 puertas) Estantes: 5</t>
  </si>
  <si>
    <t>ESCRITORIO (Aglomerado, terminación melamina, c/4 cajones) con bandeja porta teclado corredizo y pasacables</t>
  </si>
  <si>
    <t>ESTANTERIA METALICA (6 Estantes) (Alt.xAnc.xProf.=260x205x60cm)</t>
  </si>
  <si>
    <t>FRAZADA de Polar (1 plaza y 1/2), color beige. Polar Reversible.</t>
  </si>
  <si>
    <t>LOCKER Metálicos: 6 casilleros c/estantes, dimensión: Alt. 182 x ancho 78x prof. 52 cm</t>
  </si>
  <si>
    <t>MESA DE LUZ (c/1 cajón y 1 puerta) Alt. 70 cm aprox.</t>
  </si>
  <si>
    <r>
      <t>MESA DE REUNIONES Aglomerado, terminación melamina (</t>
    </r>
    <r>
      <rPr>
        <sz val="8"/>
        <color rgb="FFFF0000"/>
        <rFont val="Calibri"/>
      </rPr>
      <t>Cap.8 personas</t>
    </r>
    <r>
      <rPr>
        <sz val="8"/>
        <rFont val="Calibri"/>
      </rPr>
      <t>)</t>
    </r>
  </si>
  <si>
    <t>MESA DE REUNIONES Aglomerado, terminación melamina (Cap.8 personas)</t>
  </si>
  <si>
    <t>Mesa para planchado. Plegable, caño 3/4.</t>
  </si>
  <si>
    <t>PLANCHA 800W. A vapor, con suela antiadherente</t>
  </si>
  <si>
    <t>SABANA 1 Plaza c/funda, color blanco, medidas 080 X 190 X 21 APROX.</t>
  </si>
  <si>
    <t>SIST.DE SILLAS (4 asientos). Estructura: metal.  Terminacion de la silla: plastico inyectado, color: negra, reforzada: si.</t>
  </si>
  <si>
    <t>2.9.1-2661.8</t>
  </si>
  <si>
    <t>TACHOS DE RESIDUOS; MATERIAL: PLASTICO, SECCION: CIRCULAR, DIMENSION: 119 L, TAPA: CON</t>
  </si>
  <si>
    <t>TACHO DE RESIDUOS (circular con tapa, 80x30cm)</t>
  </si>
  <si>
    <t>TACHO DE RESIDUOS (circular con tapa, capacidad: 119 litros)</t>
  </si>
  <si>
    <r>
      <t xml:space="preserve">VITRINA (madera c/estantes y c/2puertas de vidrio, HxAxProf= 170x132x43cm) </t>
    </r>
    <r>
      <rPr>
        <sz val="8"/>
        <color rgb="FFFF0000"/>
        <rFont val="Calibri"/>
      </rPr>
      <t>Aclarar cuantos estantes, el tipo de madera y su terminación.</t>
    </r>
  </si>
  <si>
    <t>VITRINA (madera c/estantes y c/2puertas de vidrio, HxAxProf= 170x132x43cm) Estantes: 4, tipo de madera: aglomerado, terminación: melanima. Con 2 puertas vidriadas con llave</t>
  </si>
  <si>
    <t>veinte (20) dias habiles</t>
  </si>
  <si>
    <t>SECARROPA CENTRIFUGO (Alim.220V, Cap.10Kg, Efic.energ. B)</t>
  </si>
  <si>
    <t>TERCERO</t>
  </si>
  <si>
    <t>Garantia:</t>
  </si>
  <si>
    <t>un (1) año</t>
  </si>
  <si>
    <t>ESPECIFICIDADES ITEM 3</t>
  </si>
  <si>
    <t>ESPECIFICIDADES ITEM 4</t>
  </si>
  <si>
    <t>ESPECIFICIDADES ITEM 5</t>
  </si>
  <si>
    <t>ESPECIFICIDADES ITEM 6</t>
  </si>
  <si>
    <t>ESPECIFICIDADES ITEM 7</t>
  </si>
  <si>
    <t>ESPECIFICIDADES ITEM 8</t>
  </si>
  <si>
    <t>ESPECIFICIDADES ITEM 9</t>
  </si>
  <si>
    <t>ESPECIFICIDADES ITEM 10</t>
  </si>
  <si>
    <t>ESPECIFICIDADES ITEM 11</t>
  </si>
  <si>
    <t>ESPECIFICIDADES ITEM 12</t>
  </si>
  <si>
    <t>ESPECIFICIDADES ITEM 13</t>
  </si>
  <si>
    <t>ESPECIFICIDADES ITEM 14</t>
  </si>
  <si>
    <t>ESPECIFICIDADES ITEM 15</t>
  </si>
  <si>
    <t>ESPECIFICIDADES ITEM 16</t>
  </si>
  <si>
    <t>ESPECIFICIDADES ITEM 18</t>
  </si>
  <si>
    <t>ESPECIFICIDADES ITEM 19</t>
  </si>
  <si>
    <t>ESPECIFICIDADES ITEM 20</t>
  </si>
  <si>
    <t>ESPECIFICIDADES ITEM 21</t>
  </si>
  <si>
    <t>ESPECIFICIDADES ITEM 23</t>
  </si>
  <si>
    <t>ESPECIFICIDADES ITEM 24</t>
  </si>
  <si>
    <t>ESPECIFICIDADES ITEM 25</t>
  </si>
  <si>
    <t>ESPECIFICIDADES ITEM 27</t>
  </si>
  <si>
    <t>ESPECIFICIDADES ITEM 29</t>
  </si>
  <si>
    <t>ESPECIFICIDADES ITEM 30</t>
  </si>
  <si>
    <t>ESPECIFICIDADES ITEM 31</t>
  </si>
  <si>
    <t>ESPECIFICIDADES ITEM 32</t>
  </si>
  <si>
    <t>ESPECIFICIDADES ITEM 33</t>
  </si>
  <si>
    <t>ESPECIFICIDADES ITEM 34</t>
  </si>
  <si>
    <t>ESPECIFICIDADES ITEM 35</t>
  </si>
  <si>
    <t>ESPECIFICIDADES ITEM 36</t>
  </si>
  <si>
    <t xml:space="preserve">ACOLCHADO Cubrecama Nido de abeja (1, 1/2 plaza), color beige, material: 70% algodón - 30% poliester, uso: hospitalario. </t>
  </si>
  <si>
    <t>2.2.3-917.25</t>
  </si>
  <si>
    <t>CUBRECAMA; TIPO: ACOLCHADO, TAMAÑO: 1 1/2 PLAZA, MATERIAL: ALGODON Y POLIESTER</t>
  </si>
  <si>
    <t xml:space="preserve"> 07/2022</t>
  </si>
  <si>
    <t>Autorizo la realización de los  trámites correspondientes, a fin de proveer a  este Organismo los bienes, servicios o ejecución de obras públicas que se detallan en Nota  de Pedido N° 07/2022 , afectando la erogación resultante a los créditos presupuestarios aprobados a favor de esta Unidad Ejecutora, conforme al siguiente detalle:</t>
  </si>
  <si>
    <t>Algodón lavable. Color Blanco. Relleno: espuma viscoelástica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</si>
</sst>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\ #,##0.00"/>
    <numFmt numFmtId="165" formatCode="_-[$$-2C0A]\ * #,##0.00_-;\-[$$-2C0A]\ * #,##0.00_-;_-[$$-2C0A]\ * &quot;-&quot;??_-;_-@"/>
    <numFmt numFmtId="166" formatCode="[$$-2C0A]\ #,##0.00"/>
    <numFmt numFmtId="167" formatCode="dd\-mm\-yy"/>
  </numFmts>
  <fonts count="45" x14ac:knownFonts="1">
    <font>
      <sz val="11"/>
      <color rgb="FF000000"/>
      <name val="Calibri"/>
    </font>
    <font>
      <sz val="10"/>
      <name val="Times New Roman"/>
    </font>
    <font>
      <b/>
      <sz val="14"/>
      <name val="Times New Roman"/>
    </font>
    <font>
      <b/>
      <sz val="10"/>
      <color rgb="FF000000"/>
      <name val="Times New Roman"/>
    </font>
    <font>
      <sz val="10"/>
      <color rgb="FF000000"/>
      <name val="Times New Roman"/>
    </font>
    <font>
      <b/>
      <sz val="10"/>
      <name val="Times New Roman"/>
    </font>
    <font>
      <b/>
      <sz val="11"/>
      <color rgb="FF000000"/>
      <name val="Calibri"/>
    </font>
    <font>
      <sz val="10"/>
      <name val="Calibri"/>
    </font>
    <font>
      <sz val="8"/>
      <name val="Calibri"/>
    </font>
    <font>
      <sz val="9"/>
      <name val="Calibri"/>
    </font>
    <font>
      <sz val="10"/>
      <color rgb="FFFF0000"/>
      <name val="Calibri"/>
    </font>
    <font>
      <b/>
      <sz val="10"/>
      <color rgb="FFFF0000"/>
      <name val="Calibri"/>
    </font>
    <font>
      <sz val="10"/>
      <color rgb="FF000000"/>
      <name val="Calibri"/>
    </font>
    <font>
      <sz val="11"/>
      <name val="Calibri"/>
    </font>
    <font>
      <sz val="11"/>
      <name val="Calibri"/>
    </font>
    <font>
      <b/>
      <u/>
      <sz val="24"/>
      <name val="Times New Roman"/>
    </font>
    <font>
      <b/>
      <u/>
      <sz val="12"/>
      <name val="Times New Roman"/>
    </font>
    <font>
      <b/>
      <sz val="12"/>
      <name val="Times New Roman"/>
    </font>
    <font>
      <b/>
      <u/>
      <sz val="12"/>
      <name val="Times New Roman"/>
    </font>
    <font>
      <b/>
      <u/>
      <sz val="12"/>
      <name val="Times New Roman"/>
    </font>
    <font>
      <b/>
      <u/>
      <sz val="12"/>
      <name val="Times New Roman"/>
    </font>
    <font>
      <b/>
      <u/>
      <sz val="12"/>
      <name val="Times New Roman"/>
    </font>
    <font>
      <b/>
      <u/>
      <sz val="12"/>
      <name val="Times New Roman"/>
    </font>
    <font>
      <b/>
      <u/>
      <sz val="12"/>
      <name val="Times New Roman"/>
    </font>
    <font>
      <sz val="12"/>
      <name val="Times New Roman"/>
    </font>
    <font>
      <b/>
      <sz val="11"/>
      <name val="Times New Roman"/>
    </font>
    <font>
      <sz val="11"/>
      <name val="Times New Roman"/>
    </font>
    <font>
      <b/>
      <sz val="11"/>
      <name val="Arial"/>
    </font>
    <font>
      <b/>
      <sz val="12"/>
      <name val="Arial"/>
    </font>
    <font>
      <sz val="10"/>
      <name val="Arial"/>
    </font>
    <font>
      <sz val="11"/>
      <name val="Arial"/>
    </font>
    <font>
      <b/>
      <u/>
      <sz val="10"/>
      <name val="Arial"/>
    </font>
    <font>
      <b/>
      <sz val="10"/>
      <name val="Arial"/>
    </font>
    <font>
      <sz val="8"/>
      <color rgb="FFFF0000"/>
      <name val="Calibri"/>
    </font>
    <font>
      <sz val="9"/>
      <color rgb="FFFF0000"/>
      <name val="Calibri"/>
    </font>
    <font>
      <sz val="10"/>
      <name val="Calibri"/>
      <family val="2"/>
    </font>
    <font>
      <sz val="9"/>
      <name val="Calibri"/>
      <family val="2"/>
    </font>
    <font>
      <sz val="8"/>
      <name val="Calibri"/>
      <family val="2"/>
    </font>
    <font>
      <sz val="11"/>
      <name val="Calibri"/>
      <family val="2"/>
    </font>
    <font>
      <b/>
      <sz val="10"/>
      <color rgb="FF000000"/>
      <name val="Times New Roman"/>
      <family val="1"/>
    </font>
    <font>
      <b/>
      <sz val="11"/>
      <name val="Calibri"/>
      <family val="2"/>
    </font>
    <font>
      <sz val="10"/>
      <color rgb="FF000000"/>
      <name val="Calibri"/>
      <family val="2"/>
    </font>
    <font>
      <b/>
      <sz val="12"/>
      <name val="Times New Roman"/>
      <family val="1"/>
    </font>
    <font>
      <sz val="11"/>
      <name val="Arial"/>
      <family val="2"/>
    </font>
    <font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AF1DD"/>
        <bgColor rgb="FFEAF1DD"/>
      </patternFill>
    </fill>
  </fills>
  <borders count="10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 style="medium">
        <color rgb="FF3D3D3D"/>
      </bottom>
      <diagonal/>
    </border>
    <border>
      <left style="medium">
        <color rgb="FF000000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000000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/>
      <top style="medium">
        <color rgb="FF000000"/>
      </top>
      <bottom/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000000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 style="medium">
        <color rgb="FF000000"/>
      </right>
      <top style="medium">
        <color rgb="FF3D3D3D"/>
      </top>
      <bottom style="medium">
        <color rgb="FF3D3D3D"/>
      </bottom>
      <diagonal/>
    </border>
    <border>
      <left/>
      <right style="medium">
        <color rgb="FF000000"/>
      </right>
      <top style="medium">
        <color rgb="FF3D3D3D"/>
      </top>
      <bottom/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000000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000000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000000"/>
      </right>
      <top style="medium">
        <color rgb="FF3D3D3D"/>
      </top>
      <bottom style="thin">
        <color rgb="FF3D3D3D"/>
      </bottom>
      <diagonal/>
    </border>
    <border>
      <left style="medium">
        <color rgb="FF000000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000000"/>
      </right>
      <top style="thin">
        <color rgb="FF3D3D3D"/>
      </top>
      <bottom style="thin">
        <color rgb="FF3D3D3D"/>
      </bottom>
      <diagonal/>
    </border>
    <border>
      <left style="medium">
        <color rgb="FF000000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000000"/>
      </right>
      <top style="thin">
        <color rgb="FF3D3D3D"/>
      </top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000000"/>
      </right>
      <top/>
      <bottom style="medium">
        <color rgb="FF3D3D3D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4">
    <xf numFmtId="0" fontId="0" fillId="0" borderId="0" xfId="0" applyFont="1" applyAlignment="1"/>
    <xf numFmtId="3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 wrapText="1"/>
    </xf>
    <xf numFmtId="3" fontId="3" fillId="3" borderId="3" xfId="0" applyNumberFormat="1" applyFont="1" applyFill="1" applyBorder="1" applyAlignment="1">
      <alignment horizontal="center" vertical="center" wrapText="1"/>
    </xf>
    <xf numFmtId="165" fontId="5" fillId="0" borderId="3" xfId="0" applyNumberFormat="1" applyFont="1" applyBorder="1" applyAlignment="1">
      <alignment horizontal="center" vertical="center" wrapText="1"/>
    </xf>
    <xf numFmtId="0" fontId="0" fillId="4" borderId="5" xfId="0" applyFont="1" applyFill="1" applyBorder="1" applyAlignment="1">
      <alignment wrapText="1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 wrapText="1"/>
    </xf>
    <xf numFmtId="165" fontId="11" fillId="0" borderId="3" xfId="0" applyNumberFormat="1" applyFont="1" applyBorder="1" applyAlignment="1">
      <alignment horizontal="center" vertical="center"/>
    </xf>
    <xf numFmtId="3" fontId="11" fillId="0" borderId="3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 wrapText="1"/>
    </xf>
    <xf numFmtId="165" fontId="11" fillId="0" borderId="18" xfId="0" applyNumberFormat="1" applyFont="1" applyBorder="1" applyAlignment="1">
      <alignment horizontal="center" vertical="center" wrapText="1"/>
    </xf>
    <xf numFmtId="0" fontId="11" fillId="0" borderId="19" xfId="0" applyFont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wrapText="1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3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wrapText="1"/>
    </xf>
    <xf numFmtId="0" fontId="12" fillId="0" borderId="0" xfId="0" applyFont="1"/>
    <xf numFmtId="0" fontId="10" fillId="4" borderId="4" xfId="0" applyFont="1" applyFill="1" applyBorder="1" applyAlignment="1">
      <alignment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0" fillId="0" borderId="24" xfId="0" applyFont="1" applyBorder="1" applyAlignment="1">
      <alignment horizontal="left" vertical="center" wrapText="1"/>
    </xf>
    <xf numFmtId="0" fontId="0" fillId="0" borderId="25" xfId="0" applyFont="1" applyBorder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0" fillId="0" borderId="0" xfId="0" applyFont="1"/>
    <xf numFmtId="165" fontId="16" fillId="0" borderId="32" xfId="0" applyNumberFormat="1" applyFont="1" applyBorder="1" applyAlignment="1">
      <alignment horizontal="right" vertical="center"/>
    </xf>
    <xf numFmtId="0" fontId="18" fillId="0" borderId="34" xfId="0" applyFont="1" applyBorder="1" applyAlignment="1">
      <alignment vertical="center"/>
    </xf>
    <xf numFmtId="0" fontId="19" fillId="0" borderId="35" xfId="0" applyFont="1" applyBorder="1" applyAlignment="1">
      <alignment horizontal="center" vertical="center"/>
    </xf>
    <xf numFmtId="0" fontId="20" fillId="0" borderId="35" xfId="0" applyFont="1" applyBorder="1" applyAlignment="1">
      <alignment vertical="center"/>
    </xf>
    <xf numFmtId="0" fontId="21" fillId="0" borderId="0" xfId="0" applyFont="1" applyAlignment="1">
      <alignment vertical="center"/>
    </xf>
    <xf numFmtId="165" fontId="22" fillId="0" borderId="0" xfId="0" applyNumberFormat="1" applyFont="1" applyAlignment="1">
      <alignment vertical="center"/>
    </xf>
    <xf numFmtId="0" fontId="23" fillId="0" borderId="24" xfId="0" applyFont="1" applyBorder="1" applyAlignment="1">
      <alignment vertical="center"/>
    </xf>
    <xf numFmtId="0" fontId="17" fillId="0" borderId="38" xfId="0" applyFont="1" applyBorder="1" applyAlignment="1">
      <alignment vertical="center"/>
    </xf>
    <xf numFmtId="0" fontId="17" fillId="0" borderId="39" xfId="0" applyFont="1" applyBorder="1" applyAlignment="1">
      <alignment vertical="center"/>
    </xf>
    <xf numFmtId="165" fontId="17" fillId="0" borderId="39" xfId="0" applyNumberFormat="1" applyFont="1" applyBorder="1" applyAlignment="1">
      <alignment vertical="center"/>
    </xf>
    <xf numFmtId="0" fontId="17" fillId="0" borderId="40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24" fillId="0" borderId="23" xfId="0" applyFont="1" applyBorder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165" fontId="17" fillId="0" borderId="0" xfId="0" applyNumberFormat="1" applyFont="1" applyAlignment="1">
      <alignment horizontal="left" vertical="center" wrapText="1"/>
    </xf>
    <xf numFmtId="0" fontId="17" fillId="0" borderId="24" xfId="0" applyFont="1" applyBorder="1" applyAlignment="1">
      <alignment horizontal="left" vertical="center" wrapText="1"/>
    </xf>
    <xf numFmtId="0" fontId="26" fillId="0" borderId="54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 vertical="center" wrapText="1"/>
    </xf>
    <xf numFmtId="165" fontId="26" fillId="0" borderId="55" xfId="0" applyNumberFormat="1" applyFont="1" applyBorder="1" applyAlignment="1">
      <alignment horizontal="center" vertical="center" wrapText="1"/>
    </xf>
    <xf numFmtId="3" fontId="26" fillId="0" borderId="58" xfId="0" applyNumberFormat="1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165" fontId="26" fillId="0" borderId="1" xfId="0" applyNumberFormat="1" applyFont="1" applyBorder="1" applyAlignment="1">
      <alignment horizontal="center" vertical="center" wrapText="1"/>
    </xf>
    <xf numFmtId="3" fontId="26" fillId="0" borderId="60" xfId="0" applyNumberFormat="1" applyFont="1" applyBorder="1" applyAlignment="1">
      <alignment horizontal="center" vertical="center"/>
    </xf>
    <xf numFmtId="165" fontId="0" fillId="0" borderId="0" xfId="0" applyNumberFormat="1" applyFont="1"/>
    <xf numFmtId="0" fontId="0" fillId="0" borderId="0" xfId="0" applyFont="1" applyAlignment="1">
      <alignment horizontal="center"/>
    </xf>
    <xf numFmtId="3" fontId="27" fillId="0" borderId="21" xfId="0" applyNumberFormat="1" applyFont="1" applyBorder="1"/>
    <xf numFmtId="167" fontId="0" fillId="0" borderId="21" xfId="0" applyNumberFormat="1" applyFont="1" applyBorder="1" applyAlignment="1">
      <alignment horizontal="left"/>
    </xf>
    <xf numFmtId="0" fontId="0" fillId="0" borderId="21" xfId="0" applyFont="1" applyBorder="1"/>
    <xf numFmtId="0" fontId="0" fillId="0" borderId="23" xfId="0" applyFont="1" applyBorder="1"/>
    <xf numFmtId="0" fontId="0" fillId="0" borderId="0" xfId="0" applyFont="1" applyAlignment="1">
      <alignment horizontal="left"/>
    </xf>
    <xf numFmtId="167" fontId="0" fillId="0" borderId="0" xfId="0" applyNumberFormat="1" applyFont="1" applyAlignment="1">
      <alignment horizontal="left"/>
    </xf>
    <xf numFmtId="165" fontId="0" fillId="0" borderId="24" xfId="0" applyNumberFormat="1" applyFont="1" applyBorder="1"/>
    <xf numFmtId="0" fontId="0" fillId="0" borderId="34" xfId="0" applyFont="1" applyBorder="1"/>
    <xf numFmtId="0" fontId="0" fillId="0" borderId="35" xfId="0" applyFont="1" applyBorder="1"/>
    <xf numFmtId="0" fontId="0" fillId="0" borderId="35" xfId="0" applyFont="1" applyBorder="1" applyAlignment="1">
      <alignment horizontal="left"/>
    </xf>
    <xf numFmtId="165" fontId="0" fillId="0" borderId="62" xfId="0" applyNumberFormat="1" applyFont="1" applyBorder="1"/>
    <xf numFmtId="0" fontId="32" fillId="0" borderId="69" xfId="0" applyFont="1" applyBorder="1" applyAlignment="1">
      <alignment horizontal="center" vertical="center"/>
    </xf>
    <xf numFmtId="0" fontId="32" fillId="0" borderId="70" xfId="0" applyFont="1" applyBorder="1" applyAlignment="1">
      <alignment horizontal="center" vertical="center"/>
    </xf>
    <xf numFmtId="0" fontId="32" fillId="0" borderId="70" xfId="0" applyFont="1" applyBorder="1" applyAlignment="1">
      <alignment horizontal="left" vertical="center"/>
    </xf>
    <xf numFmtId="0" fontId="32" fillId="0" borderId="71" xfId="0" applyFont="1" applyBorder="1" applyAlignment="1">
      <alignment horizontal="center" vertical="center"/>
    </xf>
    <xf numFmtId="0" fontId="32" fillId="0" borderId="50" xfId="0" applyFont="1" applyBorder="1" applyAlignment="1">
      <alignment horizontal="center" vertical="center"/>
    </xf>
    <xf numFmtId="0" fontId="0" fillId="0" borderId="72" xfId="0" applyFont="1" applyBorder="1" applyAlignment="1">
      <alignment horizontal="center" vertical="center"/>
    </xf>
    <xf numFmtId="0" fontId="0" fillId="0" borderId="73" xfId="0" applyFont="1" applyBorder="1" applyAlignment="1">
      <alignment horizontal="center" vertical="center"/>
    </xf>
    <xf numFmtId="0" fontId="0" fillId="0" borderId="74" xfId="0" applyFont="1" applyBorder="1" applyAlignment="1">
      <alignment horizontal="center" vertical="center"/>
    </xf>
    <xf numFmtId="165" fontId="0" fillId="0" borderId="76" xfId="0" applyNumberFormat="1" applyFont="1" applyBorder="1" applyAlignment="1">
      <alignment horizontal="center" vertical="center"/>
    </xf>
    <xf numFmtId="0" fontId="0" fillId="0" borderId="77" xfId="0" applyFont="1" applyBorder="1" applyAlignment="1">
      <alignment horizontal="center" vertical="center"/>
    </xf>
    <xf numFmtId="0" fontId="0" fillId="0" borderId="78" xfId="0" applyFont="1" applyBorder="1" applyAlignment="1">
      <alignment horizontal="center" vertical="center"/>
    </xf>
    <xf numFmtId="0" fontId="0" fillId="0" borderId="79" xfId="0" applyFont="1" applyBorder="1" applyAlignment="1">
      <alignment horizontal="center" vertical="center"/>
    </xf>
    <xf numFmtId="0" fontId="0" fillId="0" borderId="80" xfId="0" applyFont="1" applyBorder="1" applyAlignment="1">
      <alignment horizontal="center" vertical="center"/>
    </xf>
    <xf numFmtId="165" fontId="0" fillId="0" borderId="83" xfId="0" applyNumberFormat="1" applyFont="1" applyBorder="1" applyAlignment="1">
      <alignment horizontal="center" vertical="center"/>
    </xf>
    <xf numFmtId="0" fontId="30" fillId="0" borderId="77" xfId="0" applyFont="1" applyBorder="1" applyAlignment="1">
      <alignment horizontal="center" vertical="center"/>
    </xf>
    <xf numFmtId="0" fontId="30" fillId="0" borderId="78" xfId="0" applyFont="1" applyBorder="1" applyAlignment="1">
      <alignment horizontal="center" vertical="center"/>
    </xf>
    <xf numFmtId="0" fontId="30" fillId="0" borderId="79" xfId="0" applyFont="1" applyBorder="1" applyAlignment="1">
      <alignment horizontal="center" vertical="center"/>
    </xf>
    <xf numFmtId="0" fontId="30" fillId="0" borderId="80" xfId="0" applyFont="1" applyBorder="1" applyAlignment="1">
      <alignment horizontal="center" vertical="center"/>
    </xf>
    <xf numFmtId="0" fontId="0" fillId="0" borderId="84" xfId="0" applyFont="1" applyBorder="1" applyAlignment="1">
      <alignment horizontal="center" vertical="center"/>
    </xf>
    <xf numFmtId="0" fontId="0" fillId="0" borderId="85" xfId="0" applyFont="1" applyBorder="1" applyAlignment="1">
      <alignment horizontal="center" vertical="center"/>
    </xf>
    <xf numFmtId="0" fontId="0" fillId="0" borderId="86" xfId="0" applyFont="1" applyBorder="1" applyAlignment="1">
      <alignment horizontal="center" vertical="center"/>
    </xf>
    <xf numFmtId="165" fontId="0" fillId="0" borderId="88" xfId="0" applyNumberFormat="1" applyFont="1" applyBorder="1" applyAlignment="1">
      <alignment horizontal="center" vertical="center"/>
    </xf>
    <xf numFmtId="165" fontId="32" fillId="0" borderId="90" xfId="0" applyNumberFormat="1" applyFont="1" applyBorder="1" applyAlignment="1">
      <alignment horizontal="center" vertical="center"/>
    </xf>
    <xf numFmtId="0" fontId="0" fillId="4" borderId="21" xfId="0" applyFont="1" applyFill="1" applyBorder="1" applyAlignment="1">
      <alignment horizontal="center" vertical="center" wrapText="1"/>
    </xf>
    <xf numFmtId="0" fontId="14" fillId="0" borderId="24" xfId="0" applyFont="1" applyBorder="1"/>
    <xf numFmtId="0" fontId="13" fillId="0" borderId="0" xfId="0" applyFont="1" applyAlignment="1">
      <alignment horizontal="center" vertical="center"/>
    </xf>
    <xf numFmtId="0" fontId="0" fillId="0" borderId="0" xfId="0" applyFont="1" applyAlignment="1"/>
    <xf numFmtId="0" fontId="38" fillId="0" borderId="0" xfId="0" applyFont="1" applyAlignment="1">
      <alignment horizontal="left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/>
    </xf>
    <xf numFmtId="3" fontId="7" fillId="0" borderId="7" xfId="0" applyNumberFormat="1" applyFont="1" applyFill="1" applyBorder="1" applyAlignment="1">
      <alignment horizontal="center" vertical="center"/>
    </xf>
    <xf numFmtId="165" fontId="7" fillId="0" borderId="7" xfId="0" applyNumberFormat="1" applyFont="1" applyFill="1" applyBorder="1" applyAlignment="1">
      <alignment horizontal="center" vertical="center"/>
    </xf>
    <xf numFmtId="164" fontId="7" fillId="0" borderId="7" xfId="0" applyNumberFormat="1" applyFont="1" applyFill="1" applyBorder="1" applyAlignment="1">
      <alignment horizontal="center" vertical="center"/>
    </xf>
    <xf numFmtId="3" fontId="7" fillId="0" borderId="7" xfId="0" applyNumberFormat="1" applyFont="1" applyFill="1" applyBorder="1" applyAlignment="1">
      <alignment horizontal="center" vertical="center" wrapText="1"/>
    </xf>
    <xf numFmtId="165" fontId="7" fillId="0" borderId="8" xfId="0" applyNumberFormat="1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0" fillId="0" borderId="0" xfId="0" applyFont="1" applyFill="1" applyAlignment="1"/>
    <xf numFmtId="0" fontId="7" fillId="0" borderId="1" xfId="0" applyFont="1" applyFill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center" vertical="center"/>
    </xf>
    <xf numFmtId="165" fontId="7" fillId="0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Fill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vertical="center" wrapText="1"/>
    </xf>
    <xf numFmtId="0" fontId="7" fillId="0" borderId="30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7" fillId="0" borderId="9" xfId="0" applyFont="1" applyFill="1" applyBorder="1" applyAlignment="1">
      <alignment vertical="center" wrapText="1"/>
    </xf>
    <xf numFmtId="0" fontId="8" fillId="0" borderId="11" xfId="0" applyFont="1" applyFill="1" applyBorder="1" applyAlignment="1">
      <alignment vertical="center" wrapText="1"/>
    </xf>
    <xf numFmtId="0" fontId="7" fillId="0" borderId="91" xfId="0" applyFont="1" applyFill="1" applyBorder="1" applyAlignment="1">
      <alignment horizontal="center" vertical="center" wrapText="1"/>
    </xf>
    <xf numFmtId="0" fontId="7" fillId="0" borderId="92" xfId="0" applyFont="1" applyFill="1" applyBorder="1" applyAlignment="1">
      <alignment horizontal="center" vertical="center" wrapText="1"/>
    </xf>
    <xf numFmtId="0" fontId="36" fillId="0" borderId="9" xfId="0" applyFont="1" applyFill="1" applyBorder="1" applyAlignment="1">
      <alignment vertical="center" wrapText="1"/>
    </xf>
    <xf numFmtId="0" fontId="35" fillId="0" borderId="9" xfId="0" applyFont="1" applyFill="1" applyBorder="1" applyAlignment="1">
      <alignment vertical="center" wrapText="1"/>
    </xf>
    <xf numFmtId="0" fontId="7" fillId="0" borderId="11" xfId="0" applyFont="1" applyFill="1" applyBorder="1" applyAlignment="1">
      <alignment vertical="center" wrapText="1"/>
    </xf>
    <xf numFmtId="0" fontId="7" fillId="0" borderId="93" xfId="0" applyFont="1" applyFill="1" applyBorder="1" applyAlignment="1">
      <alignment horizontal="center" vertical="center" wrapText="1"/>
    </xf>
    <xf numFmtId="0" fontId="7" fillId="0" borderId="94" xfId="0" applyFont="1" applyFill="1" applyBorder="1" applyAlignment="1">
      <alignment horizontal="center" vertical="center" wrapText="1"/>
    </xf>
    <xf numFmtId="0" fontId="37" fillId="0" borderId="9" xfId="0" applyFont="1" applyFill="1" applyBorder="1" applyAlignment="1">
      <alignment vertical="center" wrapText="1"/>
    </xf>
    <xf numFmtId="0" fontId="8" fillId="0" borderId="9" xfId="0" applyFont="1" applyFill="1" applyBorder="1" applyAlignment="1">
      <alignment vertical="center" wrapText="1"/>
    </xf>
    <xf numFmtId="165" fontId="7" fillId="0" borderId="13" xfId="0" applyNumberFormat="1" applyFont="1" applyFill="1" applyBorder="1" applyAlignment="1">
      <alignment horizontal="center" vertical="center" wrapText="1"/>
    </xf>
    <xf numFmtId="0" fontId="35" fillId="0" borderId="1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vertical="center" wrapText="1"/>
    </xf>
    <xf numFmtId="3" fontId="7" fillId="0" borderId="15" xfId="0" applyNumberFormat="1" applyFont="1" applyFill="1" applyBorder="1" applyAlignment="1">
      <alignment horizontal="center" vertical="center" wrapText="1"/>
    </xf>
    <xf numFmtId="0" fontId="37" fillId="0" borderId="16" xfId="0" applyFont="1" applyFill="1" applyBorder="1" applyAlignment="1">
      <alignment vertical="center" wrapText="1"/>
    </xf>
    <xf numFmtId="0" fontId="0" fillId="4" borderId="40" xfId="0" applyFont="1" applyFill="1" applyBorder="1" applyAlignment="1">
      <alignment horizontal="center" vertical="center"/>
    </xf>
    <xf numFmtId="0" fontId="7" fillId="0" borderId="29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 wrapText="1"/>
    </xf>
    <xf numFmtId="0" fontId="7" fillId="0" borderId="31" xfId="0" applyFont="1" applyFill="1" applyBorder="1" applyAlignment="1">
      <alignment horizontal="center" vertical="center"/>
    </xf>
    <xf numFmtId="0" fontId="6" fillId="0" borderId="96" xfId="0" applyFont="1" applyBorder="1" applyAlignment="1">
      <alignment horizontal="center" vertical="center" wrapText="1"/>
    </xf>
    <xf numFmtId="0" fontId="8" fillId="0" borderId="95" xfId="0" applyFont="1" applyFill="1" applyBorder="1" applyAlignment="1">
      <alignment vertical="center" wrapText="1"/>
    </xf>
    <xf numFmtId="0" fontId="9" fillId="0" borderId="97" xfId="0" applyFont="1" applyFill="1" applyBorder="1" applyAlignment="1">
      <alignment vertical="center" wrapText="1"/>
    </xf>
    <xf numFmtId="0" fontId="7" fillId="0" borderId="97" xfId="0" applyFont="1" applyFill="1" applyBorder="1" applyAlignment="1">
      <alignment vertical="center" wrapText="1"/>
    </xf>
    <xf numFmtId="0" fontId="36" fillId="0" borderId="97" xfId="0" applyFont="1" applyFill="1" applyBorder="1" applyAlignment="1">
      <alignment vertical="center" wrapText="1"/>
    </xf>
    <xf numFmtId="0" fontId="35" fillId="0" borderId="97" xfId="0" applyFont="1" applyFill="1" applyBorder="1" applyAlignment="1">
      <alignment vertical="center" wrapText="1"/>
    </xf>
    <xf numFmtId="0" fontId="37" fillId="0" borderId="97" xfId="0" applyFont="1" applyFill="1" applyBorder="1" applyAlignment="1">
      <alignment vertical="center" wrapText="1"/>
    </xf>
    <xf numFmtId="0" fontId="39" fillId="0" borderId="0" xfId="0" applyFont="1" applyAlignment="1">
      <alignment horizontal="left" vertical="center" wrapText="1"/>
    </xf>
    <xf numFmtId="0" fontId="38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wrapText="1"/>
    </xf>
    <xf numFmtId="0" fontId="38" fillId="0" borderId="0" xfId="0" applyFont="1" applyAlignment="1"/>
    <xf numFmtId="165" fontId="38" fillId="0" borderId="0" xfId="0" applyNumberFormat="1" applyFont="1"/>
    <xf numFmtId="0" fontId="38" fillId="0" borderId="0" xfId="0" applyFont="1"/>
    <xf numFmtId="0" fontId="42" fillId="0" borderId="33" xfId="0" applyFont="1" applyBorder="1" applyAlignment="1">
      <alignment horizontal="center" vertical="center"/>
    </xf>
    <xf numFmtId="165" fontId="44" fillId="0" borderId="0" xfId="0" applyNumberFormat="1" applyFont="1"/>
    <xf numFmtId="0" fontId="44" fillId="0" borderId="0" xfId="0" applyFont="1"/>
    <xf numFmtId="0" fontId="44" fillId="0" borderId="0" xfId="0" applyFont="1" applyAlignment="1"/>
    <xf numFmtId="0" fontId="41" fillId="0" borderId="98" xfId="0" applyFont="1" applyBorder="1" applyAlignment="1">
      <alignment horizontal="left" vertical="center" wrapText="1"/>
    </xf>
    <xf numFmtId="0" fontId="12" fillId="0" borderId="99" xfId="0" applyFont="1" applyBorder="1" applyAlignment="1">
      <alignment horizontal="left" vertical="center" wrapText="1"/>
    </xf>
    <xf numFmtId="0" fontId="12" fillId="0" borderId="100" xfId="0" applyFont="1" applyBorder="1" applyAlignment="1">
      <alignment horizontal="left" vertical="center" wrapText="1"/>
    </xf>
    <xf numFmtId="0" fontId="7" fillId="0" borderId="101" xfId="0" applyFont="1" applyBorder="1" applyAlignment="1">
      <alignment horizontal="left" vertical="center" wrapText="1"/>
    </xf>
    <xf numFmtId="0" fontId="7" fillId="0" borderId="102" xfId="0" applyFont="1" applyBorder="1" applyAlignment="1">
      <alignment horizontal="left" vertical="center" wrapText="1"/>
    </xf>
    <xf numFmtId="0" fontId="7" fillId="0" borderId="103" xfId="0" applyFont="1" applyBorder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4" fillId="0" borderId="24" xfId="0" applyFont="1" applyBorder="1"/>
    <xf numFmtId="0" fontId="13" fillId="0" borderId="0" xfId="0" applyFont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14" fillId="0" borderId="27" xfId="0" applyFont="1" applyBorder="1"/>
    <xf numFmtId="0" fontId="38" fillId="0" borderId="0" xfId="0" applyFont="1" applyAlignment="1">
      <alignment horizontal="left" vertical="center"/>
    </xf>
    <xf numFmtId="0" fontId="38" fillId="0" borderId="24" xfId="0" applyFont="1" applyBorder="1" applyAlignment="1">
      <alignment horizontal="left" vertical="center"/>
    </xf>
    <xf numFmtId="0" fontId="40" fillId="0" borderId="20" xfId="0" applyFont="1" applyBorder="1" applyAlignment="1">
      <alignment horizontal="center" vertical="center" wrapText="1"/>
    </xf>
    <xf numFmtId="0" fontId="40" fillId="0" borderId="21" xfId="0" applyFont="1" applyBorder="1" applyAlignment="1">
      <alignment horizontal="center" vertical="center" wrapText="1"/>
    </xf>
    <xf numFmtId="0" fontId="40" fillId="0" borderId="22" xfId="0" applyFont="1" applyBorder="1" applyAlignment="1">
      <alignment horizontal="center" vertical="center" wrapText="1"/>
    </xf>
    <xf numFmtId="0" fontId="12" fillId="0" borderId="98" xfId="0" applyFont="1" applyBorder="1" applyAlignment="1">
      <alignment horizontal="left" vertical="center" wrapText="1"/>
    </xf>
    <xf numFmtId="0" fontId="7" fillId="0" borderId="104" xfId="0" applyFont="1" applyBorder="1" applyAlignment="1">
      <alignment horizontal="left" vertical="center" wrapText="1"/>
    </xf>
    <xf numFmtId="0" fontId="7" fillId="0" borderId="105" xfId="0" applyFont="1" applyBorder="1" applyAlignment="1">
      <alignment horizontal="left" vertical="center" wrapText="1"/>
    </xf>
    <xf numFmtId="0" fontId="7" fillId="0" borderId="106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/>
    <xf numFmtId="0" fontId="1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6" fillId="0" borderId="12" xfId="0" applyFont="1" applyBorder="1" applyAlignment="1">
      <alignment horizontal="left" vertical="center" wrapText="1"/>
    </xf>
    <xf numFmtId="0" fontId="14" fillId="0" borderId="9" xfId="0" applyFont="1" applyBorder="1"/>
    <xf numFmtId="0" fontId="14" fillId="0" borderId="19" xfId="0" applyFont="1" applyBorder="1"/>
    <xf numFmtId="0" fontId="25" fillId="0" borderId="46" xfId="0" applyFont="1" applyBorder="1" applyAlignment="1">
      <alignment horizontal="center" vertical="center" wrapText="1"/>
    </xf>
    <xf numFmtId="0" fontId="14" fillId="0" borderId="50" xfId="0" applyFont="1" applyBorder="1"/>
    <xf numFmtId="0" fontId="25" fillId="0" borderId="48" xfId="0" applyFont="1" applyBorder="1" applyAlignment="1">
      <alignment horizontal="center" vertical="center" wrapText="1"/>
    </xf>
    <xf numFmtId="0" fontId="14" fillId="0" borderId="53" xfId="0" applyFont="1" applyBorder="1"/>
    <xf numFmtId="165" fontId="25" fillId="0" borderId="46" xfId="0" applyNumberFormat="1" applyFont="1" applyBorder="1" applyAlignment="1">
      <alignment horizontal="center" vertical="center" wrapText="1"/>
    </xf>
    <xf numFmtId="166" fontId="17" fillId="0" borderId="30" xfId="0" applyNumberFormat="1" applyFont="1" applyBorder="1" applyAlignment="1">
      <alignment horizontal="center" vertical="center"/>
    </xf>
    <xf numFmtId="0" fontId="14" fillId="0" borderId="31" xfId="0" applyFont="1" applyBorder="1"/>
    <xf numFmtId="0" fontId="2" fillId="0" borderId="25" xfId="0" applyFont="1" applyBorder="1" applyAlignment="1">
      <alignment horizontal="left" vertical="center" wrapText="1"/>
    </xf>
    <xf numFmtId="0" fontId="14" fillId="0" borderId="26" xfId="0" applyFont="1" applyBorder="1"/>
    <xf numFmtId="0" fontId="26" fillId="0" borderId="12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/>
    </xf>
    <xf numFmtId="0" fontId="14" fillId="0" borderId="21" xfId="0" applyFont="1" applyBorder="1"/>
    <xf numFmtId="0" fontId="24" fillId="0" borderId="36" xfId="0" applyFont="1" applyBorder="1" applyAlignment="1">
      <alignment horizontal="left" vertical="center" wrapText="1"/>
    </xf>
    <xf numFmtId="0" fontId="14" fillId="0" borderId="37" xfId="0" applyFont="1" applyBorder="1"/>
    <xf numFmtId="0" fontId="24" fillId="0" borderId="41" xfId="0" applyFont="1" applyBorder="1" applyAlignment="1">
      <alignment horizontal="left" vertical="center" wrapText="1"/>
    </xf>
    <xf numFmtId="0" fontId="14" fillId="0" borderId="42" xfId="0" applyFont="1" applyBorder="1"/>
    <xf numFmtId="0" fontId="26" fillId="0" borderId="56" xfId="0" applyFont="1" applyBorder="1" applyAlignment="1">
      <alignment horizontal="left" vertical="center" wrapText="1"/>
    </xf>
    <xf numFmtId="0" fontId="14" fillId="0" borderId="10" xfId="0" applyFont="1" applyBorder="1"/>
    <xf numFmtId="0" fontId="14" fillId="0" borderId="57" xfId="0" applyFont="1" applyBorder="1"/>
    <xf numFmtId="0" fontId="25" fillId="0" borderId="45" xfId="0" applyFont="1" applyBorder="1" applyAlignment="1">
      <alignment horizontal="center" vertical="center"/>
    </xf>
    <xf numFmtId="0" fontId="14" fillId="0" borderId="49" xfId="0" applyFont="1" applyBorder="1"/>
    <xf numFmtId="0" fontId="25" fillId="0" borderId="47" xfId="0" applyFont="1" applyBorder="1" applyAlignment="1">
      <alignment horizontal="center" vertical="center" wrapText="1"/>
    </xf>
    <xf numFmtId="0" fontId="14" fillId="0" borderId="32" xfId="0" applyFont="1" applyBorder="1"/>
    <xf numFmtId="0" fontId="14" fillId="0" borderId="51" xfId="0" applyFont="1" applyBorder="1"/>
    <xf numFmtId="0" fontId="14" fillId="0" borderId="52" xfId="0" applyFont="1" applyBorder="1"/>
    <xf numFmtId="0" fontId="24" fillId="0" borderId="38" xfId="0" applyFont="1" applyBorder="1" applyAlignment="1">
      <alignment horizontal="left" vertical="center"/>
    </xf>
    <xf numFmtId="0" fontId="14" fillId="0" borderId="39" xfId="0" applyFont="1" applyBorder="1"/>
    <xf numFmtId="0" fontId="14" fillId="0" borderId="43" xfId="0" applyFont="1" applyBorder="1"/>
    <xf numFmtId="0" fontId="0" fillId="0" borderId="81" xfId="0" applyFont="1" applyBorder="1" applyAlignment="1">
      <alignment horizontal="center" vertical="center"/>
    </xf>
    <xf numFmtId="0" fontId="14" fillId="0" borderId="82" xfId="0" applyFont="1" applyBorder="1"/>
    <xf numFmtId="0" fontId="0" fillId="0" borderId="81" xfId="0" applyFont="1" applyBorder="1" applyAlignment="1">
      <alignment horizontal="left" vertical="center"/>
    </xf>
    <xf numFmtId="0" fontId="0" fillId="0" borderId="86" xfId="0" applyFont="1" applyBorder="1" applyAlignment="1">
      <alignment horizontal="left" vertical="center"/>
    </xf>
    <xf numFmtId="0" fontId="14" fillId="0" borderId="87" xfId="0" applyFont="1" applyBorder="1"/>
    <xf numFmtId="0" fontId="27" fillId="0" borderId="34" xfId="0" applyFont="1" applyBorder="1" applyAlignment="1">
      <alignment horizontal="left" vertical="center" wrapText="1"/>
    </xf>
    <xf numFmtId="0" fontId="14" fillId="0" borderId="35" xfId="0" applyFont="1" applyBorder="1"/>
    <xf numFmtId="0" fontId="14" fillId="0" borderId="89" xfId="0" applyFont="1" applyBorder="1"/>
    <xf numFmtId="0" fontId="0" fillId="0" borderId="41" xfId="0" applyFont="1" applyBorder="1"/>
    <xf numFmtId="0" fontId="14" fillId="0" borderId="66" xfId="0" applyFont="1" applyBorder="1"/>
    <xf numFmtId="0" fontId="27" fillId="0" borderId="38" xfId="0" applyFont="1" applyBorder="1" applyAlignment="1">
      <alignment vertical="center" wrapText="1"/>
    </xf>
    <xf numFmtId="0" fontId="14" fillId="0" borderId="40" xfId="0" applyFont="1" applyBorder="1"/>
    <xf numFmtId="0" fontId="30" fillId="0" borderId="42" xfId="0" applyFont="1" applyBorder="1" applyAlignment="1">
      <alignment vertical="center" wrapText="1"/>
    </xf>
    <xf numFmtId="0" fontId="30" fillId="0" borderId="23" xfId="0" applyFont="1" applyBorder="1" applyAlignment="1">
      <alignment horizontal="left" vertical="center" wrapText="1"/>
    </xf>
    <xf numFmtId="0" fontId="14" fillId="0" borderId="25" xfId="0" applyFont="1" applyBorder="1"/>
    <xf numFmtId="0" fontId="0" fillId="0" borderId="38" xfId="0" applyFont="1" applyBorder="1" applyAlignment="1">
      <alignment horizontal="center"/>
    </xf>
    <xf numFmtId="3" fontId="27" fillId="0" borderId="39" xfId="0" applyNumberFormat="1" applyFont="1" applyBorder="1" applyAlignment="1">
      <alignment horizontal="center"/>
    </xf>
    <xf numFmtId="0" fontId="28" fillId="0" borderId="47" xfId="0" applyFont="1" applyBorder="1" applyAlignment="1">
      <alignment horizontal="center" vertical="center" wrapText="1"/>
    </xf>
    <xf numFmtId="0" fontId="14" fillId="0" borderId="22" xfId="0" applyFont="1" applyBorder="1"/>
    <xf numFmtId="0" fontId="14" fillId="0" borderId="61" xfId="0" applyFont="1" applyBorder="1"/>
    <xf numFmtId="0" fontId="14" fillId="0" borderId="62" xfId="0" applyFont="1" applyBorder="1"/>
    <xf numFmtId="0" fontId="30" fillId="0" borderId="64" xfId="0" applyFont="1" applyBorder="1" applyAlignment="1">
      <alignment horizontal="left"/>
    </xf>
    <xf numFmtId="0" fontId="14" fillId="0" borderId="65" xfId="0" applyFont="1" applyBorder="1"/>
    <xf numFmtId="0" fontId="1" fillId="0" borderId="36" xfId="0" applyFont="1" applyBorder="1" applyAlignment="1">
      <alignment horizontal="left" vertical="center" wrapText="1"/>
    </xf>
    <xf numFmtId="0" fontId="14" fillId="0" borderId="63" xfId="0" applyFont="1" applyBorder="1"/>
    <xf numFmtId="0" fontId="29" fillId="0" borderId="36" xfId="0" applyFont="1" applyBorder="1"/>
    <xf numFmtId="0" fontId="30" fillId="0" borderId="41" xfId="0" applyFont="1" applyBorder="1" applyAlignment="1">
      <alignment horizontal="left"/>
    </xf>
    <xf numFmtId="0" fontId="31" fillId="0" borderId="36" xfId="0" applyFont="1" applyBorder="1" applyAlignment="1">
      <alignment horizontal="left"/>
    </xf>
    <xf numFmtId="49" fontId="43" fillId="0" borderId="23" xfId="0" applyNumberFormat="1" applyFont="1" applyBorder="1" applyAlignment="1">
      <alignment horizontal="left" vertical="center" wrapText="1"/>
    </xf>
    <xf numFmtId="0" fontId="32" fillId="0" borderId="41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0" fontId="32" fillId="0" borderId="67" xfId="0" applyFont="1" applyBorder="1" applyAlignment="1">
      <alignment horizontal="center" vertical="center" wrapText="1"/>
    </xf>
    <xf numFmtId="0" fontId="14" fillId="0" borderId="68" xfId="0" applyFont="1" applyBorder="1"/>
    <xf numFmtId="165" fontId="32" fillId="0" borderId="66" xfId="0" applyNumberFormat="1" applyFont="1" applyBorder="1" applyAlignment="1">
      <alignment horizontal="center" vertical="center"/>
    </xf>
    <xf numFmtId="0" fontId="0" fillId="0" borderId="74" xfId="0" applyFont="1" applyBorder="1" applyAlignment="1">
      <alignment horizontal="left" vertical="center" wrapText="1"/>
    </xf>
    <xf numFmtId="0" fontId="14" fillId="0" borderId="75" xfId="0" applyFont="1" applyBorder="1"/>
    <xf numFmtId="0" fontId="0" fillId="0" borderId="8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xmlns="" id="{00000000-0008-0000-0200-000009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74"/>
  <sheetViews>
    <sheetView tabSelected="1" zoomScale="90" zoomScaleNormal="90" workbookViewId="0">
      <selection activeCell="A13" sqref="A13"/>
    </sheetView>
  </sheetViews>
  <sheetFormatPr baseColWidth="10" defaultColWidth="14.42578125" defaultRowHeight="15" customHeight="1" x14ac:dyDescent="0.25"/>
  <cols>
    <col min="1" max="1" width="8.5703125" customWidth="1"/>
    <col min="2" max="2" width="13.85546875" customWidth="1"/>
    <col min="3" max="3" width="47.140625" customWidth="1"/>
    <col min="4" max="4" width="5.5703125" customWidth="1"/>
    <col min="5" max="5" width="91.85546875" customWidth="1"/>
    <col min="6" max="6" width="18.140625" customWidth="1"/>
    <col min="7" max="7" width="17.140625" hidden="1" customWidth="1"/>
    <col min="8" max="8" width="10.85546875" hidden="1" customWidth="1"/>
    <col min="9" max="9" width="8" hidden="1" customWidth="1"/>
    <col min="10" max="10" width="14.5703125" hidden="1" customWidth="1"/>
    <col min="11" max="11" width="9.42578125" hidden="1" customWidth="1"/>
    <col min="12" max="12" width="14" hidden="1" customWidth="1"/>
    <col min="13" max="13" width="8.28515625" hidden="1" customWidth="1"/>
    <col min="14" max="14" width="14.140625" hidden="1" customWidth="1"/>
    <col min="15" max="15" width="4.5703125" hidden="1" customWidth="1"/>
    <col min="16" max="16" width="12.42578125" hidden="1" customWidth="1"/>
    <col min="17" max="17" width="14.7109375" hidden="1" customWidth="1"/>
    <col min="18" max="18" width="13.42578125" hidden="1" customWidth="1"/>
    <col min="19" max="20" width="10.5703125" hidden="1" customWidth="1"/>
    <col min="21" max="21" width="14.7109375" hidden="1" customWidth="1"/>
    <col min="22" max="22" width="12.85546875" hidden="1" customWidth="1"/>
    <col min="23" max="23" width="6" hidden="1" customWidth="1"/>
    <col min="24" max="24" width="13.85546875" hidden="1" customWidth="1"/>
    <col min="25" max="25" width="10.140625" hidden="1" customWidth="1"/>
    <col min="26" max="26" width="13.5703125" hidden="1" customWidth="1"/>
    <col min="27" max="28" width="14.42578125" hidden="1" customWidth="1"/>
    <col min="29" max="29" width="5.7109375" hidden="1" customWidth="1"/>
    <col min="30" max="30" width="12.42578125" hidden="1" customWidth="1"/>
    <col min="31" max="31" width="10.140625" hidden="1" customWidth="1"/>
    <col min="32" max="32" width="13.5703125" hidden="1" customWidth="1"/>
    <col min="33" max="33" width="12.140625" hidden="1" customWidth="1"/>
    <col min="34" max="34" width="13" hidden="1" customWidth="1"/>
    <col min="35" max="36" width="10.5703125" hidden="1" customWidth="1"/>
    <col min="37" max="37" width="4.7109375" hidden="1" customWidth="1"/>
    <col min="38" max="38" width="11.28515625" hidden="1" customWidth="1"/>
    <col min="39" max="39" width="6.5703125" hidden="1" customWidth="1"/>
    <col min="40" max="40" width="13.5703125" hidden="1" customWidth="1"/>
    <col min="41" max="41" width="14.85546875" hidden="1" customWidth="1"/>
    <col min="42" max="42" width="13.5703125" hidden="1" customWidth="1"/>
    <col min="43" max="44" width="13.85546875" hidden="1" customWidth="1"/>
    <col min="45" max="46" width="15.28515625" hidden="1" customWidth="1"/>
    <col min="47" max="47" width="5" hidden="1" customWidth="1"/>
    <col min="48" max="48" width="15.85546875" hidden="1" customWidth="1"/>
    <col min="49" max="49" width="10.42578125" customWidth="1"/>
    <col min="50" max="50" width="15.5703125" customWidth="1"/>
    <col min="51" max="51" width="16.7109375" customWidth="1"/>
    <col min="52" max="52" width="67.28515625" hidden="1" customWidth="1"/>
    <col min="53" max="53" width="12.28515625" hidden="1" customWidth="1"/>
    <col min="54" max="54" width="58.28515625" hidden="1" customWidth="1"/>
    <col min="55" max="55" width="30.7109375" hidden="1" customWidth="1"/>
    <col min="56" max="56" width="14.42578125" customWidth="1"/>
  </cols>
  <sheetData>
    <row r="1" spans="1:55" x14ac:dyDescent="0.25">
      <c r="A1" s="1">
        <v>2022</v>
      </c>
      <c r="B1" s="2"/>
      <c r="C1" s="3"/>
      <c r="D1" s="3"/>
      <c r="E1" s="4"/>
      <c r="F1" s="3"/>
      <c r="G1" s="3"/>
      <c r="H1" s="3"/>
      <c r="I1" s="3"/>
      <c r="J1" s="3"/>
      <c r="K1" s="3"/>
      <c r="L1" s="3"/>
      <c r="M1" s="5"/>
      <c r="N1" s="6"/>
      <c r="O1" s="7"/>
      <c r="P1" s="3"/>
      <c r="Q1" s="5"/>
      <c r="R1" s="3"/>
      <c r="S1" s="7"/>
      <c r="T1" s="8"/>
      <c r="U1" s="5"/>
      <c r="V1" s="3"/>
      <c r="W1" s="7"/>
      <c r="X1" s="9"/>
      <c r="Y1" s="10"/>
      <c r="Z1" s="10"/>
      <c r="AA1" s="10"/>
      <c r="AB1" s="9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9"/>
      <c r="AO1" s="10"/>
      <c r="AP1" s="10"/>
      <c r="AQ1" s="10"/>
      <c r="AR1" s="9"/>
      <c r="AS1" s="10"/>
      <c r="AT1" s="10"/>
      <c r="AU1" s="10"/>
      <c r="AV1" s="9"/>
      <c r="AW1" s="11"/>
      <c r="AX1" s="9"/>
      <c r="AY1" s="9"/>
      <c r="AZ1" s="12"/>
      <c r="BA1" s="10"/>
      <c r="BB1" s="13"/>
    </row>
    <row r="2" spans="1:55" ht="18.75" x14ac:dyDescent="0.25">
      <c r="A2" s="3"/>
      <c r="B2" s="213" t="s">
        <v>0</v>
      </c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211"/>
      <c r="AE2" s="211"/>
      <c r="AF2" s="211"/>
      <c r="AG2" s="211"/>
      <c r="AH2" s="211"/>
      <c r="AI2" s="211"/>
      <c r="AJ2" s="211"/>
      <c r="AK2" s="211"/>
      <c r="AL2" s="211"/>
      <c r="AM2" s="211"/>
      <c r="AN2" s="211"/>
      <c r="AO2" s="211"/>
      <c r="AP2" s="211"/>
      <c r="AQ2" s="211"/>
      <c r="AR2" s="211"/>
      <c r="AS2" s="211"/>
      <c r="AT2" s="211"/>
      <c r="AU2" s="211"/>
      <c r="AV2" s="211"/>
      <c r="AW2" s="211"/>
      <c r="AX2" s="211"/>
      <c r="AY2" s="9"/>
      <c r="AZ2" s="12"/>
      <c r="BA2" s="10"/>
      <c r="BB2" s="13"/>
    </row>
    <row r="3" spans="1:55" x14ac:dyDescent="0.25">
      <c r="A3" s="3"/>
      <c r="B3" s="2"/>
      <c r="C3" s="3"/>
      <c r="D3" s="3"/>
      <c r="E3" s="4"/>
      <c r="F3" s="3"/>
      <c r="G3" s="3"/>
      <c r="H3" s="3"/>
      <c r="I3" s="3"/>
      <c r="J3" s="3"/>
      <c r="K3" s="3"/>
      <c r="L3" s="3"/>
      <c r="M3" s="5"/>
      <c r="N3" s="6"/>
      <c r="O3" s="7"/>
      <c r="P3" s="3"/>
      <c r="Q3" s="5"/>
      <c r="R3" s="3"/>
      <c r="S3" s="7"/>
      <c r="T3" s="8"/>
      <c r="U3" s="5"/>
      <c r="V3" s="3"/>
      <c r="W3" s="7"/>
      <c r="X3" s="9"/>
      <c r="Y3" s="10"/>
      <c r="Z3" s="10"/>
      <c r="AA3" s="10"/>
      <c r="AB3" s="9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9"/>
      <c r="AO3" s="10"/>
      <c r="AP3" s="10"/>
      <c r="AQ3" s="10"/>
      <c r="AR3" s="9"/>
      <c r="AS3" s="10"/>
      <c r="AT3" s="10"/>
      <c r="AU3" s="10"/>
      <c r="AV3" s="9"/>
      <c r="AW3" s="11"/>
      <c r="AX3" s="9"/>
      <c r="AY3" s="9"/>
      <c r="AZ3" s="12"/>
      <c r="BA3" s="10"/>
      <c r="BB3" s="13"/>
    </row>
    <row r="4" spans="1:55" x14ac:dyDescent="0.25">
      <c r="A4" s="210" t="s">
        <v>1</v>
      </c>
      <c r="B4" s="211"/>
      <c r="C4" s="214" t="s">
        <v>2</v>
      </c>
      <c r="D4" s="211"/>
      <c r="E4" s="211"/>
      <c r="F4" s="15"/>
      <c r="G4" s="15"/>
      <c r="H4" s="15"/>
      <c r="I4" s="15"/>
      <c r="J4" s="15"/>
      <c r="K4" s="15"/>
      <c r="L4" s="15"/>
      <c r="M4" s="16"/>
      <c r="N4" s="17"/>
      <c r="O4" s="18"/>
      <c r="P4" s="15"/>
      <c r="Q4" s="16"/>
      <c r="R4" s="15"/>
      <c r="S4" s="18"/>
      <c r="T4" s="19"/>
      <c r="U4" s="16"/>
      <c r="V4" s="15"/>
      <c r="W4" s="18"/>
      <c r="X4" s="9"/>
      <c r="Y4" s="10"/>
      <c r="Z4" s="10"/>
      <c r="AA4" s="10"/>
      <c r="AB4" s="9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9"/>
      <c r="AO4" s="10"/>
      <c r="AP4" s="10"/>
      <c r="AQ4" s="10"/>
      <c r="AR4" s="9"/>
      <c r="AS4" s="10"/>
      <c r="AT4" s="10"/>
      <c r="AU4" s="10"/>
      <c r="AV4" s="9"/>
      <c r="AW4" s="11"/>
      <c r="AX4" s="9"/>
      <c r="AY4" s="9"/>
      <c r="AZ4" s="12"/>
      <c r="BA4" s="10"/>
      <c r="BB4" s="13"/>
    </row>
    <row r="5" spans="1:55" x14ac:dyDescent="0.25">
      <c r="A5" s="210" t="s">
        <v>3</v>
      </c>
      <c r="B5" s="211"/>
      <c r="C5" s="215" t="s">
        <v>4</v>
      </c>
      <c r="D5" s="211"/>
      <c r="E5" s="211"/>
      <c r="F5" s="15"/>
      <c r="G5" s="15"/>
      <c r="H5" s="15"/>
      <c r="I5" s="15"/>
      <c r="J5" s="15"/>
      <c r="K5" s="15"/>
      <c r="L5" s="15"/>
      <c r="M5" s="16"/>
      <c r="N5" s="17"/>
      <c r="O5" s="18"/>
      <c r="P5" s="15"/>
      <c r="Q5" s="16"/>
      <c r="R5" s="15"/>
      <c r="S5" s="18"/>
      <c r="T5" s="19"/>
      <c r="U5" s="16"/>
      <c r="V5" s="15"/>
      <c r="W5" s="18"/>
      <c r="X5" s="19"/>
      <c r="Y5" s="18"/>
      <c r="Z5" s="15"/>
      <c r="AA5" s="18"/>
      <c r="AB5" s="19"/>
      <c r="AC5" s="18"/>
      <c r="AD5" s="15"/>
      <c r="AE5" s="18"/>
      <c r="AF5" s="15"/>
      <c r="AG5" s="18"/>
      <c r="AH5" s="15"/>
      <c r="AI5" s="18"/>
      <c r="AJ5" s="15"/>
      <c r="AK5" s="18"/>
      <c r="AL5" s="15"/>
      <c r="AM5" s="18"/>
      <c r="AN5" s="19"/>
      <c r="AO5" s="18"/>
      <c r="AP5" s="15"/>
      <c r="AQ5" s="18"/>
      <c r="AR5" s="19"/>
      <c r="AS5" s="15"/>
      <c r="AT5" s="15"/>
      <c r="AU5" s="15"/>
      <c r="AV5" s="19"/>
      <c r="AW5" s="18"/>
      <c r="AX5" s="8"/>
      <c r="AY5" s="8"/>
      <c r="AZ5" s="12"/>
      <c r="BA5" s="10"/>
      <c r="BB5" s="13"/>
    </row>
    <row r="6" spans="1:55" x14ac:dyDescent="0.25">
      <c r="A6" s="210" t="s">
        <v>5</v>
      </c>
      <c r="B6" s="211"/>
      <c r="C6" s="20">
        <v>2022</v>
      </c>
      <c r="D6" s="14"/>
      <c r="E6" s="20"/>
      <c r="F6" s="15"/>
      <c r="G6" s="15"/>
      <c r="H6" s="15"/>
      <c r="I6" s="15"/>
      <c r="J6" s="15"/>
      <c r="K6" s="15"/>
      <c r="L6" s="15"/>
      <c r="M6" s="16"/>
      <c r="N6" s="17"/>
      <c r="O6" s="18"/>
      <c r="P6" s="15"/>
      <c r="Q6" s="16"/>
      <c r="R6" s="15"/>
      <c r="S6" s="18"/>
      <c r="T6" s="19"/>
      <c r="U6" s="16"/>
      <c r="V6" s="15"/>
      <c r="W6" s="18"/>
      <c r="X6" s="19"/>
      <c r="Y6" s="18"/>
      <c r="Z6" s="15"/>
      <c r="AA6" s="18"/>
      <c r="AB6" s="19"/>
      <c r="AC6" s="18"/>
      <c r="AD6" s="15"/>
      <c r="AE6" s="18"/>
      <c r="AF6" s="15"/>
      <c r="AG6" s="18"/>
      <c r="AH6" s="15"/>
      <c r="AI6" s="18"/>
      <c r="AJ6" s="15"/>
      <c r="AK6" s="18"/>
      <c r="AL6" s="15"/>
      <c r="AM6" s="18"/>
      <c r="AN6" s="19"/>
      <c r="AO6" s="18"/>
      <c r="AP6" s="15"/>
      <c r="AQ6" s="18"/>
      <c r="AR6" s="19"/>
      <c r="AS6" s="15"/>
      <c r="AT6" s="15"/>
      <c r="AU6" s="15"/>
      <c r="AV6" s="19"/>
      <c r="AW6" s="18"/>
      <c r="AX6" s="8"/>
      <c r="AY6" s="8"/>
      <c r="AZ6" s="12"/>
      <c r="BA6" s="10"/>
      <c r="BB6" s="13"/>
    </row>
    <row r="7" spans="1:55" x14ac:dyDescent="0.25">
      <c r="A7" s="210" t="s">
        <v>6</v>
      </c>
      <c r="B7" s="211"/>
      <c r="C7" s="179" t="s">
        <v>267</v>
      </c>
      <c r="D7" s="14"/>
      <c r="E7" s="20"/>
      <c r="F7" s="15"/>
      <c r="G7" s="15"/>
      <c r="H7" s="15"/>
      <c r="I7" s="15"/>
      <c r="J7" s="15"/>
      <c r="K7" s="15"/>
      <c r="L7" s="15"/>
      <c r="M7" s="16"/>
      <c r="N7" s="17"/>
      <c r="O7" s="18"/>
      <c r="P7" s="15"/>
      <c r="Q7" s="16"/>
      <c r="R7" s="15"/>
      <c r="S7" s="18"/>
      <c r="T7" s="19"/>
      <c r="U7" s="16"/>
      <c r="V7" s="15"/>
      <c r="W7" s="18"/>
      <c r="X7" s="19"/>
      <c r="Y7" s="18"/>
      <c r="Z7" s="15"/>
      <c r="AA7" s="18"/>
      <c r="AB7" s="19"/>
      <c r="AC7" s="18"/>
      <c r="AD7" s="15"/>
      <c r="AE7" s="18"/>
      <c r="AF7" s="15"/>
      <c r="AG7" s="18"/>
      <c r="AH7" s="15"/>
      <c r="AI7" s="18"/>
      <c r="AJ7" s="15"/>
      <c r="AK7" s="18"/>
      <c r="AL7" s="15"/>
      <c r="AM7" s="18"/>
      <c r="AN7" s="19"/>
      <c r="AO7" s="18"/>
      <c r="AP7" s="15"/>
      <c r="AQ7" s="18"/>
      <c r="AR7" s="19"/>
      <c r="AS7" s="15"/>
      <c r="AT7" s="15"/>
      <c r="AU7" s="15"/>
      <c r="AV7" s="19"/>
      <c r="AW7" s="18"/>
      <c r="AX7" s="8"/>
      <c r="AY7" s="8"/>
      <c r="AZ7" s="12"/>
      <c r="BA7" s="10"/>
      <c r="BB7" s="13"/>
    </row>
    <row r="8" spans="1:55" ht="15.75" thickBot="1" x14ac:dyDescent="0.3">
      <c r="A8" s="3"/>
      <c r="B8" s="15"/>
      <c r="C8" s="15"/>
      <c r="D8" s="15"/>
      <c r="E8" s="21"/>
      <c r="F8" s="15"/>
      <c r="G8" s="15"/>
      <c r="H8" s="15"/>
      <c r="I8" s="15"/>
      <c r="J8" s="15"/>
      <c r="K8" s="15"/>
      <c r="L8" s="15"/>
      <c r="M8" s="16"/>
      <c r="N8" s="17"/>
      <c r="O8" s="18"/>
      <c r="P8" s="15"/>
      <c r="Q8" s="16"/>
      <c r="R8" s="15"/>
      <c r="S8" s="18"/>
      <c r="T8" s="19"/>
      <c r="U8" s="16"/>
      <c r="V8" s="15"/>
      <c r="W8" s="18"/>
      <c r="X8" s="19"/>
      <c r="Y8" s="18"/>
      <c r="Z8" s="15"/>
      <c r="AA8" s="18"/>
      <c r="AB8" s="19"/>
      <c r="AC8" s="18"/>
      <c r="AD8" s="15"/>
      <c r="AE8" s="18"/>
      <c r="AF8" s="15"/>
      <c r="AG8" s="18"/>
      <c r="AH8" s="15"/>
      <c r="AI8" s="18"/>
      <c r="AJ8" s="15"/>
      <c r="AK8" s="18"/>
      <c r="AL8" s="15"/>
      <c r="AM8" s="18"/>
      <c r="AN8" s="19"/>
      <c r="AO8" s="18"/>
      <c r="AP8" s="15"/>
      <c r="AQ8" s="18"/>
      <c r="AR8" s="19"/>
      <c r="AS8" s="15"/>
      <c r="AT8" s="15"/>
      <c r="AU8" s="15"/>
      <c r="AV8" s="19"/>
      <c r="AW8" s="18"/>
      <c r="AX8" s="8"/>
      <c r="AY8" s="8"/>
      <c r="AZ8" s="12"/>
      <c r="BA8" s="10"/>
      <c r="BB8" s="13"/>
    </row>
    <row r="9" spans="1:55" ht="39" thickBot="1" x14ac:dyDescent="0.3">
      <c r="A9" s="22" t="s">
        <v>7</v>
      </c>
      <c r="B9" s="23" t="s">
        <v>8</v>
      </c>
      <c r="C9" s="24" t="s">
        <v>9</v>
      </c>
      <c r="D9" s="23" t="s">
        <v>10</v>
      </c>
      <c r="E9" s="25" t="s">
        <v>11</v>
      </c>
      <c r="F9" s="24" t="s">
        <v>12</v>
      </c>
      <c r="G9" s="24" t="s">
        <v>13</v>
      </c>
      <c r="H9" s="24" t="s">
        <v>14</v>
      </c>
      <c r="I9" s="26" t="s">
        <v>15</v>
      </c>
      <c r="J9" s="24" t="s">
        <v>16</v>
      </c>
      <c r="K9" s="24" t="s">
        <v>17</v>
      </c>
      <c r="L9" s="24" t="s">
        <v>18</v>
      </c>
      <c r="M9" s="27" t="s">
        <v>19</v>
      </c>
      <c r="N9" s="28" t="s">
        <v>20</v>
      </c>
      <c r="O9" s="29" t="s">
        <v>21</v>
      </c>
      <c r="P9" s="24" t="s">
        <v>22</v>
      </c>
      <c r="Q9" s="27" t="s">
        <v>23</v>
      </c>
      <c r="R9" s="24" t="s">
        <v>24</v>
      </c>
      <c r="S9" s="29" t="s">
        <v>25</v>
      </c>
      <c r="T9" s="30" t="s">
        <v>26</v>
      </c>
      <c r="U9" s="27" t="s">
        <v>27</v>
      </c>
      <c r="V9" s="24" t="s">
        <v>28</v>
      </c>
      <c r="W9" s="29" t="s">
        <v>29</v>
      </c>
      <c r="X9" s="30" t="s">
        <v>30</v>
      </c>
      <c r="Y9" s="29" t="s">
        <v>31</v>
      </c>
      <c r="Z9" s="24" t="s">
        <v>32</v>
      </c>
      <c r="AA9" s="29" t="s">
        <v>33</v>
      </c>
      <c r="AB9" s="30" t="s">
        <v>34</v>
      </c>
      <c r="AC9" s="31" t="s">
        <v>35</v>
      </c>
      <c r="AD9" s="24" t="s">
        <v>36</v>
      </c>
      <c r="AE9" s="29" t="s">
        <v>37</v>
      </c>
      <c r="AF9" s="24" t="s">
        <v>38</v>
      </c>
      <c r="AG9" s="29" t="s">
        <v>39</v>
      </c>
      <c r="AH9" s="24" t="s">
        <v>40</v>
      </c>
      <c r="AI9" s="29" t="s">
        <v>41</v>
      </c>
      <c r="AJ9" s="24" t="s">
        <v>42</v>
      </c>
      <c r="AK9" s="29" t="s">
        <v>43</v>
      </c>
      <c r="AL9" s="24" t="s">
        <v>44</v>
      </c>
      <c r="AM9" s="31" t="s">
        <v>45</v>
      </c>
      <c r="AN9" s="30" t="s">
        <v>46</v>
      </c>
      <c r="AO9" s="31" t="s">
        <v>47</v>
      </c>
      <c r="AP9" s="24" t="s">
        <v>48</v>
      </c>
      <c r="AQ9" s="29" t="s">
        <v>49</v>
      </c>
      <c r="AR9" s="30" t="s">
        <v>50</v>
      </c>
      <c r="AS9" s="24" t="s">
        <v>51</v>
      </c>
      <c r="AT9" s="24" t="s">
        <v>52</v>
      </c>
      <c r="AU9" s="24" t="s">
        <v>53</v>
      </c>
      <c r="AV9" s="30" t="s">
        <v>54</v>
      </c>
      <c r="AW9" s="29" t="s">
        <v>55</v>
      </c>
      <c r="AX9" s="32" t="s">
        <v>56</v>
      </c>
      <c r="AY9" s="30" t="s">
        <v>57</v>
      </c>
      <c r="AZ9" s="172" t="s">
        <v>58</v>
      </c>
      <c r="BA9" s="167" t="s">
        <v>59</v>
      </c>
      <c r="BB9" s="33"/>
      <c r="BC9" s="125" t="s">
        <v>60</v>
      </c>
    </row>
    <row r="10" spans="1:55" s="142" customFormat="1" ht="48" customHeight="1" x14ac:dyDescent="0.25">
      <c r="A10" s="130">
        <v>1</v>
      </c>
      <c r="B10" s="131" t="s">
        <v>241</v>
      </c>
      <c r="C10" s="131" t="s">
        <v>61</v>
      </c>
      <c r="D10" s="131" t="s">
        <v>62</v>
      </c>
      <c r="E10" s="132" t="s">
        <v>242</v>
      </c>
      <c r="F10" s="133" t="s">
        <v>63</v>
      </c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5"/>
      <c r="T10" s="136"/>
      <c r="U10" s="134"/>
      <c r="V10" s="137"/>
      <c r="W10" s="134"/>
      <c r="X10" s="136"/>
      <c r="Y10" s="134"/>
      <c r="Z10" s="134"/>
      <c r="AA10" s="134"/>
      <c r="AB10" s="136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6"/>
      <c r="AO10" s="134"/>
      <c r="AP10" s="134"/>
      <c r="AQ10" s="134"/>
      <c r="AR10" s="136"/>
      <c r="AS10" s="134"/>
      <c r="AT10" s="134"/>
      <c r="AU10" s="134">
        <v>70</v>
      </c>
      <c r="AV10" s="136">
        <f t="shared" ref="AV10:AV46" si="0">+AU10*AX10</f>
        <v>5250000</v>
      </c>
      <c r="AW10" s="138">
        <f t="shared" ref="AW10:AW46" si="1">+AQ10+AO10+AM10+AK10+AI10+AG10+AE10+AC10+AA10+Y10+W10+U10+S10+Q10+O10+M10+K10+I10+AS10+G10+AU10</f>
        <v>70</v>
      </c>
      <c r="AX10" s="136">
        <v>75000</v>
      </c>
      <c r="AY10" s="139">
        <f t="shared" ref="AY10:AY46" si="2">+AW10*AX10</f>
        <v>5250000</v>
      </c>
      <c r="AZ10" s="173" t="s">
        <v>246</v>
      </c>
      <c r="BA10" s="168">
        <v>437</v>
      </c>
      <c r="BB10" s="140" t="s">
        <v>64</v>
      </c>
      <c r="BC10" s="141" t="s">
        <v>61</v>
      </c>
    </row>
    <row r="11" spans="1:55" s="142" customFormat="1" ht="44.25" customHeight="1" thickBot="1" x14ac:dyDescent="0.3">
      <c r="A11" s="143">
        <v>2</v>
      </c>
      <c r="B11" s="131" t="s">
        <v>65</v>
      </c>
      <c r="C11" s="131" t="s">
        <v>61</v>
      </c>
      <c r="D11" s="131" t="s">
        <v>62</v>
      </c>
      <c r="E11" s="132" t="s">
        <v>66</v>
      </c>
      <c r="F11" s="131" t="s">
        <v>63</v>
      </c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4"/>
      <c r="T11" s="145"/>
      <c r="U11" s="143"/>
      <c r="V11" s="146"/>
      <c r="W11" s="143"/>
      <c r="X11" s="145"/>
      <c r="Y11" s="143"/>
      <c r="Z11" s="143"/>
      <c r="AA11" s="143"/>
      <c r="AB11" s="145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5"/>
      <c r="AO11" s="143"/>
      <c r="AP11" s="143"/>
      <c r="AQ11" s="143"/>
      <c r="AR11" s="145"/>
      <c r="AS11" s="143"/>
      <c r="AT11" s="143"/>
      <c r="AU11" s="143">
        <v>42</v>
      </c>
      <c r="AV11" s="145">
        <f t="shared" si="0"/>
        <v>3570000</v>
      </c>
      <c r="AW11" s="147">
        <f t="shared" si="1"/>
        <v>42</v>
      </c>
      <c r="AX11" s="145">
        <v>85000</v>
      </c>
      <c r="AY11" s="139">
        <f t="shared" si="2"/>
        <v>3570000</v>
      </c>
      <c r="AZ11" s="174" t="s">
        <v>67</v>
      </c>
      <c r="BA11" s="169">
        <v>437</v>
      </c>
      <c r="BB11" s="148" t="s">
        <v>67</v>
      </c>
      <c r="BC11" s="149" t="s">
        <v>61</v>
      </c>
    </row>
    <row r="12" spans="1:55" s="142" customFormat="1" ht="24" customHeight="1" thickBot="1" x14ac:dyDescent="0.3">
      <c r="A12" s="143">
        <v>3</v>
      </c>
      <c r="B12" s="150" t="s">
        <v>68</v>
      </c>
      <c r="C12" s="131" t="s">
        <v>69</v>
      </c>
      <c r="D12" s="131" t="s">
        <v>70</v>
      </c>
      <c r="E12" s="132" t="s">
        <v>71</v>
      </c>
      <c r="F12" s="131" t="s">
        <v>63</v>
      </c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4"/>
      <c r="T12" s="145"/>
      <c r="U12" s="143"/>
      <c r="V12" s="146"/>
      <c r="W12" s="143"/>
      <c r="X12" s="145"/>
      <c r="Y12" s="143"/>
      <c r="Z12" s="143"/>
      <c r="AA12" s="143"/>
      <c r="AB12" s="145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5"/>
      <c r="AO12" s="143"/>
      <c r="AP12" s="143"/>
      <c r="AQ12" s="143"/>
      <c r="AR12" s="145"/>
      <c r="AS12" s="143"/>
      <c r="AT12" s="143"/>
      <c r="AU12" s="143">
        <v>100</v>
      </c>
      <c r="AV12" s="145">
        <f t="shared" si="0"/>
        <v>420000</v>
      </c>
      <c r="AW12" s="147">
        <f t="shared" si="1"/>
        <v>100</v>
      </c>
      <c r="AX12" s="145">
        <v>4200</v>
      </c>
      <c r="AY12" s="139">
        <f t="shared" si="2"/>
        <v>420000</v>
      </c>
      <c r="AZ12" s="177" t="s">
        <v>305</v>
      </c>
      <c r="BA12" s="169">
        <v>229</v>
      </c>
      <c r="BB12" s="152" t="s">
        <v>72</v>
      </c>
      <c r="BC12" s="153" t="s">
        <v>69</v>
      </c>
    </row>
    <row r="13" spans="1:55" s="142" customFormat="1" ht="48" customHeight="1" x14ac:dyDescent="0.25">
      <c r="A13" s="143">
        <v>4</v>
      </c>
      <c r="B13" s="131" t="s">
        <v>73</v>
      </c>
      <c r="C13" s="131" t="s">
        <v>61</v>
      </c>
      <c r="D13" s="131" t="s">
        <v>62</v>
      </c>
      <c r="E13" s="132" t="s">
        <v>74</v>
      </c>
      <c r="F13" s="131" t="s">
        <v>63</v>
      </c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4"/>
      <c r="T13" s="145"/>
      <c r="U13" s="143"/>
      <c r="V13" s="146"/>
      <c r="W13" s="143"/>
      <c r="X13" s="145"/>
      <c r="Y13" s="143"/>
      <c r="Z13" s="143"/>
      <c r="AA13" s="143"/>
      <c r="AB13" s="145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5"/>
      <c r="AO13" s="143"/>
      <c r="AP13" s="143"/>
      <c r="AQ13" s="143"/>
      <c r="AR13" s="145"/>
      <c r="AS13" s="143"/>
      <c r="AT13" s="143"/>
      <c r="AU13" s="143">
        <v>60</v>
      </c>
      <c r="AV13" s="145">
        <f t="shared" si="0"/>
        <v>1320000</v>
      </c>
      <c r="AW13" s="147">
        <f t="shared" si="1"/>
        <v>60</v>
      </c>
      <c r="AX13" s="145">
        <v>22000</v>
      </c>
      <c r="AY13" s="139">
        <f t="shared" si="2"/>
        <v>1320000</v>
      </c>
      <c r="AZ13" s="175" t="s">
        <v>75</v>
      </c>
      <c r="BA13" s="169">
        <v>437</v>
      </c>
      <c r="BB13" s="151" t="s">
        <v>75</v>
      </c>
      <c r="BC13" s="141" t="s">
        <v>61</v>
      </c>
    </row>
    <row r="14" spans="1:55" s="142" customFormat="1" ht="25.5" x14ac:dyDescent="0.25">
      <c r="A14" s="143">
        <v>5</v>
      </c>
      <c r="B14" s="131" t="s">
        <v>76</v>
      </c>
      <c r="C14" s="131" t="s">
        <v>61</v>
      </c>
      <c r="D14" s="131" t="s">
        <v>62</v>
      </c>
      <c r="E14" s="132" t="s">
        <v>77</v>
      </c>
      <c r="F14" s="131" t="s">
        <v>63</v>
      </c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4"/>
      <c r="T14" s="145"/>
      <c r="U14" s="143"/>
      <c r="V14" s="146"/>
      <c r="W14" s="143"/>
      <c r="X14" s="145"/>
      <c r="Y14" s="143"/>
      <c r="Z14" s="143"/>
      <c r="AA14" s="143"/>
      <c r="AB14" s="145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5"/>
      <c r="AO14" s="143"/>
      <c r="AP14" s="143"/>
      <c r="AQ14" s="143"/>
      <c r="AR14" s="145"/>
      <c r="AS14" s="143"/>
      <c r="AT14" s="143"/>
      <c r="AU14" s="143">
        <v>10</v>
      </c>
      <c r="AV14" s="145">
        <f t="shared" si="0"/>
        <v>155000</v>
      </c>
      <c r="AW14" s="147">
        <f t="shared" si="1"/>
        <v>10</v>
      </c>
      <c r="AX14" s="145">
        <v>15500</v>
      </c>
      <c r="AY14" s="139">
        <f t="shared" si="2"/>
        <v>155000</v>
      </c>
      <c r="AZ14" s="175" t="s">
        <v>78</v>
      </c>
      <c r="BA14" s="169">
        <v>437</v>
      </c>
      <c r="BB14" s="151" t="s">
        <v>78</v>
      </c>
      <c r="BC14" s="154" t="s">
        <v>61</v>
      </c>
    </row>
    <row r="15" spans="1:55" s="142" customFormat="1" ht="25.5" x14ac:dyDescent="0.25">
      <c r="A15" s="143">
        <v>6</v>
      </c>
      <c r="B15" s="131" t="s">
        <v>79</v>
      </c>
      <c r="C15" s="131" t="s">
        <v>61</v>
      </c>
      <c r="D15" s="131" t="s">
        <v>62</v>
      </c>
      <c r="E15" s="132" t="s">
        <v>80</v>
      </c>
      <c r="F15" s="131" t="s">
        <v>63</v>
      </c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4"/>
      <c r="T15" s="145"/>
      <c r="U15" s="143"/>
      <c r="V15" s="146"/>
      <c r="W15" s="143"/>
      <c r="X15" s="145"/>
      <c r="Y15" s="143"/>
      <c r="Z15" s="143"/>
      <c r="AA15" s="143"/>
      <c r="AB15" s="145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5"/>
      <c r="AO15" s="143"/>
      <c r="AP15" s="143"/>
      <c r="AQ15" s="143"/>
      <c r="AR15" s="145"/>
      <c r="AS15" s="143"/>
      <c r="AT15" s="143"/>
      <c r="AU15" s="143">
        <v>70</v>
      </c>
      <c r="AV15" s="145">
        <f t="shared" si="0"/>
        <v>2170000</v>
      </c>
      <c r="AW15" s="147">
        <f t="shared" si="1"/>
        <v>70</v>
      </c>
      <c r="AX15" s="145">
        <v>31000</v>
      </c>
      <c r="AY15" s="139">
        <f t="shared" si="2"/>
        <v>2170000</v>
      </c>
      <c r="AZ15" s="176" t="s">
        <v>247</v>
      </c>
      <c r="BA15" s="169">
        <v>437</v>
      </c>
      <c r="BB15" s="148" t="s">
        <v>81</v>
      </c>
      <c r="BC15" s="154" t="s">
        <v>61</v>
      </c>
    </row>
    <row r="16" spans="1:55" s="142" customFormat="1" ht="30" customHeight="1" x14ac:dyDescent="0.25">
      <c r="A16" s="143">
        <v>7</v>
      </c>
      <c r="B16" s="131" t="s">
        <v>82</v>
      </c>
      <c r="C16" s="131" t="s">
        <v>61</v>
      </c>
      <c r="D16" s="131" t="s">
        <v>62</v>
      </c>
      <c r="E16" s="132" t="s">
        <v>83</v>
      </c>
      <c r="F16" s="131" t="s">
        <v>63</v>
      </c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4"/>
      <c r="T16" s="145"/>
      <c r="U16" s="143"/>
      <c r="V16" s="146"/>
      <c r="W16" s="143"/>
      <c r="X16" s="145"/>
      <c r="Y16" s="143"/>
      <c r="Z16" s="143"/>
      <c r="AA16" s="143"/>
      <c r="AB16" s="145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5"/>
      <c r="AO16" s="143"/>
      <c r="AP16" s="143"/>
      <c r="AQ16" s="143"/>
      <c r="AR16" s="145"/>
      <c r="AS16" s="143"/>
      <c r="AT16" s="143"/>
      <c r="AU16" s="143">
        <v>70</v>
      </c>
      <c r="AV16" s="145">
        <f t="shared" si="0"/>
        <v>1295000</v>
      </c>
      <c r="AW16" s="147">
        <f t="shared" si="1"/>
        <v>70</v>
      </c>
      <c r="AX16" s="145">
        <v>18500</v>
      </c>
      <c r="AY16" s="139">
        <f t="shared" si="2"/>
        <v>1295000</v>
      </c>
      <c r="AZ16" s="177" t="s">
        <v>236</v>
      </c>
      <c r="BA16" s="170" t="s">
        <v>84</v>
      </c>
      <c r="BB16" s="156" t="s">
        <v>236</v>
      </c>
      <c r="BC16" s="154" t="s">
        <v>61</v>
      </c>
    </row>
    <row r="17" spans="1:55" s="142" customFormat="1" x14ac:dyDescent="0.25">
      <c r="A17" s="143">
        <v>8</v>
      </c>
      <c r="B17" s="131" t="s">
        <v>85</v>
      </c>
      <c r="C17" s="131" t="s">
        <v>86</v>
      </c>
      <c r="D17" s="163" t="s">
        <v>62</v>
      </c>
      <c r="E17" s="132" t="s">
        <v>87</v>
      </c>
      <c r="F17" s="131" t="s">
        <v>63</v>
      </c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4"/>
      <c r="T17" s="145"/>
      <c r="U17" s="143"/>
      <c r="V17" s="146"/>
      <c r="W17" s="143"/>
      <c r="X17" s="145"/>
      <c r="Y17" s="143"/>
      <c r="Z17" s="143"/>
      <c r="AA17" s="143"/>
      <c r="AB17" s="145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45"/>
      <c r="AO17" s="143"/>
      <c r="AP17" s="143"/>
      <c r="AQ17" s="143"/>
      <c r="AR17" s="145"/>
      <c r="AS17" s="143"/>
      <c r="AT17" s="143"/>
      <c r="AU17" s="143">
        <v>210</v>
      </c>
      <c r="AV17" s="145">
        <f t="shared" si="0"/>
        <v>840000</v>
      </c>
      <c r="AW17" s="147">
        <f t="shared" si="1"/>
        <v>210</v>
      </c>
      <c r="AX17" s="145">
        <v>4000</v>
      </c>
      <c r="AY17" s="139">
        <f t="shared" si="2"/>
        <v>840000</v>
      </c>
      <c r="AZ17" s="175" t="s">
        <v>88</v>
      </c>
      <c r="BA17" s="169">
        <v>437</v>
      </c>
      <c r="BB17" s="151" t="s">
        <v>88</v>
      </c>
      <c r="BC17" s="154" t="s">
        <v>86</v>
      </c>
    </row>
    <row r="18" spans="1:55" s="142" customFormat="1" ht="15.75" thickBot="1" x14ac:dyDescent="0.3">
      <c r="A18" s="143">
        <v>9</v>
      </c>
      <c r="B18" s="131" t="s">
        <v>89</v>
      </c>
      <c r="C18" s="131" t="s">
        <v>61</v>
      </c>
      <c r="D18" s="131" t="s">
        <v>62</v>
      </c>
      <c r="E18" s="132" t="s">
        <v>90</v>
      </c>
      <c r="F18" s="131" t="s">
        <v>63</v>
      </c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4"/>
      <c r="T18" s="145"/>
      <c r="U18" s="143"/>
      <c r="V18" s="146"/>
      <c r="W18" s="143"/>
      <c r="X18" s="145"/>
      <c r="Y18" s="143"/>
      <c r="Z18" s="143"/>
      <c r="AA18" s="143"/>
      <c r="AB18" s="145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5"/>
      <c r="AO18" s="143"/>
      <c r="AP18" s="143"/>
      <c r="AQ18" s="143"/>
      <c r="AR18" s="145"/>
      <c r="AS18" s="143"/>
      <c r="AT18" s="143"/>
      <c r="AU18" s="143">
        <v>10</v>
      </c>
      <c r="AV18" s="145">
        <f t="shared" si="0"/>
        <v>200000</v>
      </c>
      <c r="AW18" s="147">
        <f t="shared" si="1"/>
        <v>10</v>
      </c>
      <c r="AX18" s="145">
        <v>20000</v>
      </c>
      <c r="AY18" s="139">
        <f t="shared" si="2"/>
        <v>200000</v>
      </c>
      <c r="AZ18" s="175" t="s">
        <v>91</v>
      </c>
      <c r="BA18" s="169">
        <v>437</v>
      </c>
      <c r="BB18" s="151" t="s">
        <v>91</v>
      </c>
      <c r="BC18" s="149" t="s">
        <v>61</v>
      </c>
    </row>
    <row r="19" spans="1:55" s="142" customFormat="1" ht="25.5" x14ac:dyDescent="0.25">
      <c r="A19" s="143">
        <v>10</v>
      </c>
      <c r="B19" s="131" t="s">
        <v>92</v>
      </c>
      <c r="C19" s="131" t="s">
        <v>69</v>
      </c>
      <c r="D19" s="131" t="s">
        <v>70</v>
      </c>
      <c r="E19" s="132" t="s">
        <v>93</v>
      </c>
      <c r="F19" s="131" t="s">
        <v>63</v>
      </c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4"/>
      <c r="T19" s="145"/>
      <c r="U19" s="143"/>
      <c r="V19" s="146"/>
      <c r="W19" s="143"/>
      <c r="X19" s="145"/>
      <c r="Y19" s="143"/>
      <c r="Z19" s="143"/>
      <c r="AA19" s="143"/>
      <c r="AB19" s="145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5"/>
      <c r="AO19" s="143"/>
      <c r="AP19" s="143"/>
      <c r="AQ19" s="143"/>
      <c r="AR19" s="145"/>
      <c r="AS19" s="143"/>
      <c r="AT19" s="143"/>
      <c r="AU19" s="143">
        <v>10</v>
      </c>
      <c r="AV19" s="145">
        <f t="shared" si="0"/>
        <v>200000</v>
      </c>
      <c r="AW19" s="147">
        <f t="shared" si="1"/>
        <v>10</v>
      </c>
      <c r="AX19" s="145">
        <v>20000</v>
      </c>
      <c r="AY19" s="139">
        <f t="shared" si="2"/>
        <v>200000</v>
      </c>
      <c r="AZ19" s="175" t="s">
        <v>94</v>
      </c>
      <c r="BA19" s="169">
        <v>229</v>
      </c>
      <c r="BB19" s="157" t="s">
        <v>94</v>
      </c>
      <c r="BC19" s="158" t="s">
        <v>69</v>
      </c>
    </row>
    <row r="20" spans="1:55" s="142" customFormat="1" ht="26.25" thickBot="1" x14ac:dyDescent="0.3">
      <c r="A20" s="143">
        <v>11</v>
      </c>
      <c r="B20" s="163" t="s">
        <v>301</v>
      </c>
      <c r="C20" s="131" t="s">
        <v>95</v>
      </c>
      <c r="D20" s="163" t="s">
        <v>96</v>
      </c>
      <c r="E20" s="132" t="s">
        <v>302</v>
      </c>
      <c r="F20" s="131" t="s">
        <v>63</v>
      </c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4"/>
      <c r="T20" s="145"/>
      <c r="U20" s="143"/>
      <c r="V20" s="146"/>
      <c r="W20" s="143"/>
      <c r="X20" s="145"/>
      <c r="Y20" s="143"/>
      <c r="Z20" s="143"/>
      <c r="AA20" s="143"/>
      <c r="AB20" s="145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5"/>
      <c r="AO20" s="143"/>
      <c r="AP20" s="143"/>
      <c r="AQ20" s="143"/>
      <c r="AR20" s="145"/>
      <c r="AS20" s="143"/>
      <c r="AT20" s="143"/>
      <c r="AU20" s="143">
        <v>300</v>
      </c>
      <c r="AV20" s="145">
        <f t="shared" si="0"/>
        <v>960000</v>
      </c>
      <c r="AW20" s="147">
        <f t="shared" si="1"/>
        <v>300</v>
      </c>
      <c r="AX20" s="145">
        <v>3200</v>
      </c>
      <c r="AY20" s="139">
        <f t="shared" si="2"/>
        <v>960000</v>
      </c>
      <c r="AZ20" s="177" t="s">
        <v>300</v>
      </c>
      <c r="BA20" s="169">
        <v>223</v>
      </c>
      <c r="BB20" s="157" t="s">
        <v>97</v>
      </c>
      <c r="BC20" s="159" t="s">
        <v>95</v>
      </c>
    </row>
    <row r="21" spans="1:55" s="142" customFormat="1" x14ac:dyDescent="0.25">
      <c r="A21" s="143">
        <v>12</v>
      </c>
      <c r="B21" s="131" t="s">
        <v>98</v>
      </c>
      <c r="C21" s="131" t="s">
        <v>61</v>
      </c>
      <c r="D21" s="131" t="s">
        <v>62</v>
      </c>
      <c r="E21" s="132" t="s">
        <v>99</v>
      </c>
      <c r="F21" s="131" t="s">
        <v>63</v>
      </c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4"/>
      <c r="T21" s="145"/>
      <c r="U21" s="143"/>
      <c r="V21" s="146"/>
      <c r="W21" s="143"/>
      <c r="X21" s="145"/>
      <c r="Y21" s="143"/>
      <c r="Z21" s="143"/>
      <c r="AA21" s="143"/>
      <c r="AB21" s="145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5"/>
      <c r="AO21" s="143"/>
      <c r="AP21" s="143"/>
      <c r="AQ21" s="143"/>
      <c r="AR21" s="145"/>
      <c r="AS21" s="143"/>
      <c r="AT21" s="143"/>
      <c r="AU21" s="143">
        <v>50</v>
      </c>
      <c r="AV21" s="145">
        <f t="shared" si="0"/>
        <v>375000</v>
      </c>
      <c r="AW21" s="147">
        <f t="shared" si="1"/>
        <v>50</v>
      </c>
      <c r="AX21" s="145">
        <v>7500</v>
      </c>
      <c r="AY21" s="139">
        <f t="shared" si="2"/>
        <v>375000</v>
      </c>
      <c r="AZ21" s="175" t="s">
        <v>100</v>
      </c>
      <c r="BA21" s="169">
        <v>437</v>
      </c>
      <c r="BB21" s="151" t="s">
        <v>100</v>
      </c>
      <c r="BC21" s="141" t="s">
        <v>61</v>
      </c>
    </row>
    <row r="22" spans="1:55" s="142" customFormat="1" ht="63.75" x14ac:dyDescent="0.25">
      <c r="A22" s="143">
        <v>13</v>
      </c>
      <c r="B22" s="131" t="s">
        <v>101</v>
      </c>
      <c r="C22" s="131" t="s">
        <v>61</v>
      </c>
      <c r="D22" s="131" t="s">
        <v>62</v>
      </c>
      <c r="E22" s="132" t="s">
        <v>102</v>
      </c>
      <c r="F22" s="131" t="s">
        <v>63</v>
      </c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4"/>
      <c r="T22" s="145"/>
      <c r="U22" s="143"/>
      <c r="V22" s="146"/>
      <c r="W22" s="143"/>
      <c r="X22" s="145"/>
      <c r="Y22" s="143"/>
      <c r="Z22" s="143"/>
      <c r="AA22" s="143"/>
      <c r="AB22" s="145"/>
      <c r="AC22" s="143"/>
      <c r="AD22" s="143"/>
      <c r="AE22" s="143"/>
      <c r="AF22" s="143"/>
      <c r="AG22" s="143"/>
      <c r="AH22" s="143"/>
      <c r="AI22" s="143"/>
      <c r="AJ22" s="143"/>
      <c r="AK22" s="143"/>
      <c r="AL22" s="143"/>
      <c r="AM22" s="143"/>
      <c r="AN22" s="145"/>
      <c r="AO22" s="143"/>
      <c r="AP22" s="143"/>
      <c r="AQ22" s="143"/>
      <c r="AR22" s="145"/>
      <c r="AS22" s="143"/>
      <c r="AT22" s="143"/>
      <c r="AU22" s="143">
        <v>150</v>
      </c>
      <c r="AV22" s="145">
        <f t="shared" si="0"/>
        <v>3300000</v>
      </c>
      <c r="AW22" s="147">
        <f t="shared" si="1"/>
        <v>150</v>
      </c>
      <c r="AX22" s="145">
        <v>22000</v>
      </c>
      <c r="AY22" s="139">
        <f t="shared" si="2"/>
        <v>3300000</v>
      </c>
      <c r="AZ22" s="174" t="s">
        <v>103</v>
      </c>
      <c r="BA22" s="169">
        <v>437</v>
      </c>
      <c r="BB22" s="148" t="s">
        <v>103</v>
      </c>
      <c r="BC22" s="154" t="s">
        <v>61</v>
      </c>
    </row>
    <row r="23" spans="1:55" s="142" customFormat="1" ht="73.5" customHeight="1" x14ac:dyDescent="0.25">
      <c r="A23" s="143">
        <v>14</v>
      </c>
      <c r="B23" s="131" t="s">
        <v>104</v>
      </c>
      <c r="C23" s="131" t="s">
        <v>61</v>
      </c>
      <c r="D23" s="131" t="s">
        <v>62</v>
      </c>
      <c r="E23" s="132" t="s">
        <v>105</v>
      </c>
      <c r="F23" s="131" t="s">
        <v>63</v>
      </c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4"/>
      <c r="T23" s="145"/>
      <c r="U23" s="143"/>
      <c r="V23" s="146"/>
      <c r="W23" s="143"/>
      <c r="X23" s="145"/>
      <c r="Y23" s="143"/>
      <c r="Z23" s="143"/>
      <c r="AA23" s="143"/>
      <c r="AB23" s="145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5"/>
      <c r="AO23" s="143"/>
      <c r="AP23" s="143"/>
      <c r="AQ23" s="143"/>
      <c r="AR23" s="145"/>
      <c r="AS23" s="143"/>
      <c r="AT23" s="143"/>
      <c r="AU23" s="143">
        <v>150</v>
      </c>
      <c r="AV23" s="145">
        <f t="shared" si="0"/>
        <v>3450000</v>
      </c>
      <c r="AW23" s="147">
        <f t="shared" si="1"/>
        <v>150</v>
      </c>
      <c r="AX23" s="145">
        <v>23000</v>
      </c>
      <c r="AY23" s="139">
        <f t="shared" si="2"/>
        <v>3450000</v>
      </c>
      <c r="AZ23" s="178" t="s">
        <v>248</v>
      </c>
      <c r="BA23" s="169">
        <v>437</v>
      </c>
      <c r="BB23" s="161" t="s">
        <v>106</v>
      </c>
      <c r="BC23" s="154" t="s">
        <v>61</v>
      </c>
    </row>
    <row r="24" spans="1:55" s="142" customFormat="1" ht="26.25" thickBot="1" x14ac:dyDescent="0.3">
      <c r="A24" s="143">
        <v>15</v>
      </c>
      <c r="B24" s="131" t="s">
        <v>107</v>
      </c>
      <c r="C24" s="131" t="s">
        <v>61</v>
      </c>
      <c r="D24" s="131" t="s">
        <v>62</v>
      </c>
      <c r="E24" s="132" t="s">
        <v>108</v>
      </c>
      <c r="F24" s="131" t="s">
        <v>63</v>
      </c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4"/>
      <c r="T24" s="145"/>
      <c r="U24" s="143"/>
      <c r="V24" s="146"/>
      <c r="W24" s="143"/>
      <c r="X24" s="145"/>
      <c r="Y24" s="143"/>
      <c r="Z24" s="143"/>
      <c r="AA24" s="143"/>
      <c r="AB24" s="145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5"/>
      <c r="AO24" s="143"/>
      <c r="AP24" s="143"/>
      <c r="AQ24" s="143"/>
      <c r="AR24" s="145"/>
      <c r="AS24" s="143"/>
      <c r="AT24" s="143"/>
      <c r="AU24" s="143">
        <v>30</v>
      </c>
      <c r="AV24" s="145">
        <f t="shared" si="0"/>
        <v>1200000</v>
      </c>
      <c r="AW24" s="147">
        <f t="shared" si="1"/>
        <v>30</v>
      </c>
      <c r="AX24" s="145">
        <v>40000</v>
      </c>
      <c r="AY24" s="139">
        <f t="shared" si="2"/>
        <v>1200000</v>
      </c>
      <c r="AZ24" s="178" t="s">
        <v>249</v>
      </c>
      <c r="BA24" s="169"/>
      <c r="BB24" s="161" t="s">
        <v>109</v>
      </c>
      <c r="BC24" s="149" t="s">
        <v>61</v>
      </c>
    </row>
    <row r="25" spans="1:55" s="142" customFormat="1" ht="30.75" customHeight="1" thickBot="1" x14ac:dyDescent="0.3">
      <c r="A25" s="143">
        <v>16</v>
      </c>
      <c r="B25" s="131" t="s">
        <v>110</v>
      </c>
      <c r="C25" s="131" t="s">
        <v>95</v>
      </c>
      <c r="D25" s="131" t="s">
        <v>96</v>
      </c>
      <c r="E25" s="132" t="s">
        <v>111</v>
      </c>
      <c r="F25" s="131" t="s">
        <v>63</v>
      </c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4"/>
      <c r="T25" s="145"/>
      <c r="U25" s="143"/>
      <c r="V25" s="146"/>
      <c r="W25" s="143"/>
      <c r="X25" s="145"/>
      <c r="Y25" s="143"/>
      <c r="Z25" s="143"/>
      <c r="AA25" s="143"/>
      <c r="AB25" s="145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45"/>
      <c r="AO25" s="143"/>
      <c r="AP25" s="143"/>
      <c r="AQ25" s="143"/>
      <c r="AR25" s="145"/>
      <c r="AS25" s="143"/>
      <c r="AT25" s="143"/>
      <c r="AU25" s="143">
        <v>300</v>
      </c>
      <c r="AV25" s="145">
        <f t="shared" si="0"/>
        <v>900000</v>
      </c>
      <c r="AW25" s="147">
        <f t="shared" si="1"/>
        <v>300</v>
      </c>
      <c r="AX25" s="145">
        <v>3000</v>
      </c>
      <c r="AY25" s="139">
        <f t="shared" si="2"/>
        <v>900000</v>
      </c>
      <c r="AZ25" s="177" t="s">
        <v>250</v>
      </c>
      <c r="BA25" s="169">
        <v>223</v>
      </c>
      <c r="BB25" s="157" t="s">
        <v>112</v>
      </c>
      <c r="BC25" s="153" t="s">
        <v>95</v>
      </c>
    </row>
    <row r="26" spans="1:55" s="142" customFormat="1" ht="25.5" x14ac:dyDescent="0.25">
      <c r="A26" s="143">
        <v>17</v>
      </c>
      <c r="B26" s="131" t="s">
        <v>113</v>
      </c>
      <c r="C26" s="131" t="s">
        <v>61</v>
      </c>
      <c r="D26" s="131" t="s">
        <v>62</v>
      </c>
      <c r="E26" s="132" t="s">
        <v>114</v>
      </c>
      <c r="F26" s="131" t="s">
        <v>63</v>
      </c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4"/>
      <c r="T26" s="145"/>
      <c r="U26" s="143"/>
      <c r="V26" s="146"/>
      <c r="W26" s="143"/>
      <c r="X26" s="145"/>
      <c r="Y26" s="143"/>
      <c r="Z26" s="143"/>
      <c r="AA26" s="143"/>
      <c r="AB26" s="145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5"/>
      <c r="AO26" s="143"/>
      <c r="AP26" s="143"/>
      <c r="AQ26" s="143"/>
      <c r="AR26" s="145"/>
      <c r="AS26" s="143"/>
      <c r="AT26" s="143"/>
      <c r="AU26" s="143">
        <v>100</v>
      </c>
      <c r="AV26" s="145">
        <f t="shared" si="0"/>
        <v>900000</v>
      </c>
      <c r="AW26" s="147">
        <f t="shared" si="1"/>
        <v>100</v>
      </c>
      <c r="AX26" s="145">
        <v>9000</v>
      </c>
      <c r="AY26" s="139">
        <f t="shared" si="2"/>
        <v>900000</v>
      </c>
      <c r="AZ26" s="175" t="s">
        <v>115</v>
      </c>
      <c r="BA26" s="169">
        <v>437</v>
      </c>
      <c r="BB26" s="151" t="s">
        <v>116</v>
      </c>
      <c r="BC26" s="141" t="s">
        <v>61</v>
      </c>
    </row>
    <row r="27" spans="1:55" s="142" customFormat="1" ht="59.25" customHeight="1" x14ac:dyDescent="0.25">
      <c r="A27" s="143">
        <v>18</v>
      </c>
      <c r="B27" s="131" t="s">
        <v>117</v>
      </c>
      <c r="C27" s="131" t="s">
        <v>69</v>
      </c>
      <c r="D27" s="131" t="s">
        <v>62</v>
      </c>
      <c r="E27" s="132" t="s">
        <v>118</v>
      </c>
      <c r="F27" s="131" t="s">
        <v>63</v>
      </c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4"/>
      <c r="T27" s="145"/>
      <c r="U27" s="143"/>
      <c r="V27" s="146"/>
      <c r="W27" s="143"/>
      <c r="X27" s="145"/>
      <c r="Y27" s="143"/>
      <c r="Z27" s="143"/>
      <c r="AA27" s="143"/>
      <c r="AB27" s="145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5"/>
      <c r="AO27" s="143"/>
      <c r="AP27" s="143"/>
      <c r="AQ27" s="143"/>
      <c r="AR27" s="145"/>
      <c r="AS27" s="143"/>
      <c r="AT27" s="143"/>
      <c r="AU27" s="143">
        <v>10</v>
      </c>
      <c r="AV27" s="145">
        <f t="shared" si="0"/>
        <v>1360000</v>
      </c>
      <c r="AW27" s="147">
        <f t="shared" si="1"/>
        <v>10</v>
      </c>
      <c r="AX27" s="145">
        <v>136000</v>
      </c>
      <c r="AY27" s="139">
        <f t="shared" si="2"/>
        <v>1360000</v>
      </c>
      <c r="AZ27" s="177" t="s">
        <v>238</v>
      </c>
      <c r="BA27" s="169">
        <v>437</v>
      </c>
      <c r="BB27" s="161" t="s">
        <v>119</v>
      </c>
      <c r="BC27" s="154" t="s">
        <v>69</v>
      </c>
    </row>
    <row r="28" spans="1:55" s="142" customFormat="1" ht="38.25" x14ac:dyDescent="0.25">
      <c r="A28" s="143">
        <v>19</v>
      </c>
      <c r="B28" s="131" t="s">
        <v>120</v>
      </c>
      <c r="C28" s="131" t="s">
        <v>69</v>
      </c>
      <c r="D28" s="131" t="s">
        <v>62</v>
      </c>
      <c r="E28" s="132" t="s">
        <v>121</v>
      </c>
      <c r="F28" s="131" t="s">
        <v>63</v>
      </c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4"/>
      <c r="T28" s="145"/>
      <c r="U28" s="143"/>
      <c r="V28" s="146"/>
      <c r="W28" s="143"/>
      <c r="X28" s="145"/>
      <c r="Y28" s="143"/>
      <c r="Z28" s="143"/>
      <c r="AA28" s="143"/>
      <c r="AB28" s="145"/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5"/>
      <c r="AO28" s="143"/>
      <c r="AP28" s="143"/>
      <c r="AQ28" s="143"/>
      <c r="AR28" s="145"/>
      <c r="AS28" s="143"/>
      <c r="AT28" s="143"/>
      <c r="AU28" s="143">
        <v>1</v>
      </c>
      <c r="AV28" s="145">
        <f t="shared" si="0"/>
        <v>24599</v>
      </c>
      <c r="AW28" s="147">
        <f t="shared" si="1"/>
        <v>1</v>
      </c>
      <c r="AX28" s="145">
        <v>24599</v>
      </c>
      <c r="AY28" s="139">
        <f t="shared" si="2"/>
        <v>24599</v>
      </c>
      <c r="AZ28" s="175" t="s">
        <v>122</v>
      </c>
      <c r="BA28" s="169">
        <v>437</v>
      </c>
      <c r="BB28" s="151" t="s">
        <v>122</v>
      </c>
      <c r="BC28" s="154" t="s">
        <v>69</v>
      </c>
    </row>
    <row r="29" spans="1:55" s="142" customFormat="1" ht="87" customHeight="1" x14ac:dyDescent="0.25">
      <c r="A29" s="143">
        <v>20</v>
      </c>
      <c r="B29" s="131" t="s">
        <v>243</v>
      </c>
      <c r="C29" s="131" t="s">
        <v>86</v>
      </c>
      <c r="D29" s="163" t="s">
        <v>62</v>
      </c>
      <c r="E29" s="132" t="s">
        <v>244</v>
      </c>
      <c r="F29" s="131" t="s">
        <v>63</v>
      </c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4"/>
      <c r="T29" s="145"/>
      <c r="U29" s="143"/>
      <c r="V29" s="146"/>
      <c r="W29" s="143"/>
      <c r="X29" s="145"/>
      <c r="Y29" s="143"/>
      <c r="Z29" s="143"/>
      <c r="AA29" s="143"/>
      <c r="AB29" s="145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3"/>
      <c r="AN29" s="145"/>
      <c r="AO29" s="143"/>
      <c r="AP29" s="143"/>
      <c r="AQ29" s="143"/>
      <c r="AR29" s="145"/>
      <c r="AS29" s="143"/>
      <c r="AT29" s="143"/>
      <c r="AU29" s="143">
        <v>10</v>
      </c>
      <c r="AV29" s="145">
        <f t="shared" si="0"/>
        <v>960000</v>
      </c>
      <c r="AW29" s="147">
        <f t="shared" si="1"/>
        <v>10</v>
      </c>
      <c r="AX29" s="145">
        <v>96000</v>
      </c>
      <c r="AY29" s="139">
        <f t="shared" si="2"/>
        <v>960000</v>
      </c>
      <c r="AZ29" s="177" t="s">
        <v>237</v>
      </c>
      <c r="BA29" s="169">
        <v>437</v>
      </c>
      <c r="BB29" s="155" t="s">
        <v>245</v>
      </c>
      <c r="BC29" s="154" t="s">
        <v>86</v>
      </c>
    </row>
    <row r="30" spans="1:55" s="142" customFormat="1" ht="38.25" x14ac:dyDescent="0.25">
      <c r="A30" s="143">
        <v>21</v>
      </c>
      <c r="B30" s="131" t="s">
        <v>123</v>
      </c>
      <c r="C30" s="131" t="s">
        <v>61</v>
      </c>
      <c r="D30" s="131" t="s">
        <v>62</v>
      </c>
      <c r="E30" s="132" t="s">
        <v>124</v>
      </c>
      <c r="F30" s="131" t="s">
        <v>63</v>
      </c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4"/>
      <c r="T30" s="145"/>
      <c r="U30" s="143"/>
      <c r="V30" s="146"/>
      <c r="W30" s="143"/>
      <c r="X30" s="145"/>
      <c r="Y30" s="143"/>
      <c r="Z30" s="143"/>
      <c r="AA30" s="143"/>
      <c r="AB30" s="145"/>
      <c r="AC30" s="143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45"/>
      <c r="AO30" s="143"/>
      <c r="AP30" s="143"/>
      <c r="AQ30" s="143"/>
      <c r="AR30" s="145"/>
      <c r="AS30" s="143"/>
      <c r="AT30" s="143"/>
      <c r="AU30" s="143">
        <v>48</v>
      </c>
      <c r="AV30" s="145">
        <f t="shared" si="0"/>
        <v>2400000</v>
      </c>
      <c r="AW30" s="147">
        <f t="shared" si="1"/>
        <v>48</v>
      </c>
      <c r="AX30" s="145">
        <v>50000</v>
      </c>
      <c r="AY30" s="139">
        <f t="shared" si="2"/>
        <v>2400000</v>
      </c>
      <c r="AZ30" s="178" t="s">
        <v>251</v>
      </c>
      <c r="BA30" s="169">
        <v>437</v>
      </c>
      <c r="BB30" s="161" t="s">
        <v>125</v>
      </c>
      <c r="BC30" s="154" t="s">
        <v>61</v>
      </c>
    </row>
    <row r="31" spans="1:55" s="142" customFormat="1" x14ac:dyDescent="0.25">
      <c r="A31" s="143">
        <v>22</v>
      </c>
      <c r="B31" s="131" t="s">
        <v>126</v>
      </c>
      <c r="C31" s="131" t="s">
        <v>61</v>
      </c>
      <c r="D31" s="131" t="s">
        <v>62</v>
      </c>
      <c r="E31" s="132" t="s">
        <v>127</v>
      </c>
      <c r="F31" s="131" t="s">
        <v>63</v>
      </c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4"/>
      <c r="T31" s="145"/>
      <c r="U31" s="143"/>
      <c r="V31" s="146"/>
      <c r="W31" s="143"/>
      <c r="X31" s="145"/>
      <c r="Y31" s="143"/>
      <c r="Z31" s="143"/>
      <c r="AA31" s="143"/>
      <c r="AB31" s="145"/>
      <c r="AC31" s="143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5"/>
      <c r="AO31" s="143"/>
      <c r="AP31" s="143"/>
      <c r="AQ31" s="143"/>
      <c r="AR31" s="145"/>
      <c r="AS31" s="143"/>
      <c r="AT31" s="143"/>
      <c r="AU31" s="143">
        <v>80</v>
      </c>
      <c r="AV31" s="145">
        <f t="shared" si="0"/>
        <v>1905919.2000000002</v>
      </c>
      <c r="AW31" s="147">
        <f t="shared" si="1"/>
        <v>80</v>
      </c>
      <c r="AX31" s="145">
        <v>23823.99</v>
      </c>
      <c r="AY31" s="139">
        <f t="shared" si="2"/>
        <v>1905919.2000000002</v>
      </c>
      <c r="AZ31" s="178" t="s">
        <v>252</v>
      </c>
      <c r="BA31" s="169">
        <v>437</v>
      </c>
      <c r="BB31" s="161" t="s">
        <v>128</v>
      </c>
      <c r="BC31" s="154" t="s">
        <v>61</v>
      </c>
    </row>
    <row r="32" spans="1:55" s="142" customFormat="1" ht="25.5" x14ac:dyDescent="0.25">
      <c r="A32" s="143">
        <v>23</v>
      </c>
      <c r="B32" s="131" t="s">
        <v>129</v>
      </c>
      <c r="C32" s="131" t="s">
        <v>61</v>
      </c>
      <c r="D32" s="131" t="s">
        <v>62</v>
      </c>
      <c r="E32" s="132" t="s">
        <v>130</v>
      </c>
      <c r="F32" s="131" t="s">
        <v>63</v>
      </c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4"/>
      <c r="T32" s="145"/>
      <c r="U32" s="143"/>
      <c r="V32" s="146"/>
      <c r="W32" s="143"/>
      <c r="X32" s="145"/>
      <c r="Y32" s="143"/>
      <c r="Z32" s="143"/>
      <c r="AA32" s="143"/>
      <c r="AB32" s="145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5"/>
      <c r="AO32" s="143"/>
      <c r="AP32" s="143"/>
      <c r="AQ32" s="143"/>
      <c r="AR32" s="145"/>
      <c r="AS32" s="143"/>
      <c r="AT32" s="143"/>
      <c r="AU32" s="143">
        <v>7</v>
      </c>
      <c r="AV32" s="145">
        <f t="shared" si="0"/>
        <v>196000</v>
      </c>
      <c r="AW32" s="147">
        <f t="shared" si="1"/>
        <v>7</v>
      </c>
      <c r="AX32" s="145">
        <v>28000</v>
      </c>
      <c r="AY32" s="139">
        <f t="shared" si="2"/>
        <v>196000</v>
      </c>
      <c r="AZ32" s="175" t="s">
        <v>254</v>
      </c>
      <c r="BA32" s="169">
        <v>437</v>
      </c>
      <c r="BB32" s="160" t="s">
        <v>253</v>
      </c>
      <c r="BC32" s="154" t="s">
        <v>61</v>
      </c>
    </row>
    <row r="33" spans="1:55" s="142" customFormat="1" ht="25.5" x14ac:dyDescent="0.25">
      <c r="A33" s="143">
        <v>24</v>
      </c>
      <c r="B33" s="131" t="s">
        <v>131</v>
      </c>
      <c r="C33" s="131" t="s">
        <v>61</v>
      </c>
      <c r="D33" s="131" t="s">
        <v>62</v>
      </c>
      <c r="E33" s="132" t="s">
        <v>132</v>
      </c>
      <c r="F33" s="131" t="s">
        <v>63</v>
      </c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4"/>
      <c r="T33" s="145"/>
      <c r="U33" s="143"/>
      <c r="V33" s="146"/>
      <c r="W33" s="143"/>
      <c r="X33" s="145"/>
      <c r="Y33" s="143"/>
      <c r="Z33" s="143"/>
      <c r="AA33" s="143"/>
      <c r="AB33" s="145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45"/>
      <c r="AO33" s="143"/>
      <c r="AP33" s="143"/>
      <c r="AQ33" s="143"/>
      <c r="AR33" s="145"/>
      <c r="AS33" s="143"/>
      <c r="AT33" s="143"/>
      <c r="AU33" s="143">
        <v>100</v>
      </c>
      <c r="AV33" s="145">
        <f t="shared" si="0"/>
        <v>1200000</v>
      </c>
      <c r="AW33" s="147">
        <f t="shared" si="1"/>
        <v>100</v>
      </c>
      <c r="AX33" s="145">
        <v>12000</v>
      </c>
      <c r="AY33" s="139">
        <f t="shared" si="2"/>
        <v>1200000</v>
      </c>
      <c r="AZ33" s="175" t="s">
        <v>133</v>
      </c>
      <c r="BA33" s="169">
        <v>437</v>
      </c>
      <c r="BB33" s="151" t="s">
        <v>133</v>
      </c>
      <c r="BC33" s="154" t="s">
        <v>61</v>
      </c>
    </row>
    <row r="34" spans="1:55" s="142" customFormat="1" x14ac:dyDescent="0.25">
      <c r="A34" s="143">
        <v>25</v>
      </c>
      <c r="B34" s="131" t="s">
        <v>134</v>
      </c>
      <c r="C34" s="131" t="s">
        <v>61</v>
      </c>
      <c r="D34" s="131" t="s">
        <v>62</v>
      </c>
      <c r="E34" s="132" t="s">
        <v>135</v>
      </c>
      <c r="F34" s="131" t="s">
        <v>63</v>
      </c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4"/>
      <c r="T34" s="145"/>
      <c r="U34" s="143"/>
      <c r="V34" s="146"/>
      <c r="W34" s="143"/>
      <c r="X34" s="145"/>
      <c r="Y34" s="143"/>
      <c r="Z34" s="143"/>
      <c r="AA34" s="143"/>
      <c r="AB34" s="145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5"/>
      <c r="AO34" s="143"/>
      <c r="AP34" s="143"/>
      <c r="AQ34" s="143"/>
      <c r="AR34" s="145"/>
      <c r="AS34" s="143"/>
      <c r="AT34" s="143"/>
      <c r="AU34" s="143">
        <v>1</v>
      </c>
      <c r="AV34" s="145">
        <f t="shared" si="0"/>
        <v>10000</v>
      </c>
      <c r="AW34" s="147">
        <f t="shared" si="1"/>
        <v>1</v>
      </c>
      <c r="AX34" s="145">
        <v>10000</v>
      </c>
      <c r="AY34" s="139">
        <f t="shared" si="2"/>
        <v>10000</v>
      </c>
      <c r="AZ34" s="175" t="s">
        <v>136</v>
      </c>
      <c r="BA34" s="169">
        <v>437</v>
      </c>
      <c r="BB34" s="151" t="s">
        <v>136</v>
      </c>
      <c r="BC34" s="154" t="s">
        <v>61</v>
      </c>
    </row>
    <row r="35" spans="1:55" s="142" customFormat="1" ht="25.5" x14ac:dyDescent="0.25">
      <c r="A35" s="143">
        <v>26</v>
      </c>
      <c r="B35" s="131" t="s">
        <v>137</v>
      </c>
      <c r="C35" s="131" t="s">
        <v>138</v>
      </c>
      <c r="D35" s="163" t="s">
        <v>62</v>
      </c>
      <c r="E35" s="132" t="s">
        <v>139</v>
      </c>
      <c r="F35" s="131" t="s">
        <v>63</v>
      </c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4"/>
      <c r="T35" s="145"/>
      <c r="U35" s="143"/>
      <c r="V35" s="146"/>
      <c r="W35" s="143"/>
      <c r="X35" s="145"/>
      <c r="Y35" s="143"/>
      <c r="Z35" s="143"/>
      <c r="AA35" s="143"/>
      <c r="AB35" s="145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45"/>
      <c r="AO35" s="143"/>
      <c r="AP35" s="143"/>
      <c r="AQ35" s="143"/>
      <c r="AR35" s="145"/>
      <c r="AS35" s="143"/>
      <c r="AT35" s="143"/>
      <c r="AU35" s="143">
        <v>10</v>
      </c>
      <c r="AV35" s="145">
        <f t="shared" si="0"/>
        <v>82000</v>
      </c>
      <c r="AW35" s="147">
        <f t="shared" si="1"/>
        <v>10</v>
      </c>
      <c r="AX35" s="145">
        <v>8200</v>
      </c>
      <c r="AY35" s="139">
        <f t="shared" si="2"/>
        <v>82000</v>
      </c>
      <c r="AZ35" s="177" t="s">
        <v>255</v>
      </c>
      <c r="BA35" s="169">
        <v>437</v>
      </c>
      <c r="BB35" s="161" t="s">
        <v>140</v>
      </c>
      <c r="BC35" s="154" t="s">
        <v>138</v>
      </c>
    </row>
    <row r="36" spans="1:55" s="142" customFormat="1" ht="41.25" customHeight="1" x14ac:dyDescent="0.25">
      <c r="A36" s="143">
        <v>27</v>
      </c>
      <c r="B36" s="131" t="s">
        <v>141</v>
      </c>
      <c r="C36" s="131" t="s">
        <v>69</v>
      </c>
      <c r="D36" s="163" t="s">
        <v>62</v>
      </c>
      <c r="E36" s="132" t="s">
        <v>142</v>
      </c>
      <c r="F36" s="131" t="s">
        <v>63</v>
      </c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4"/>
      <c r="T36" s="145"/>
      <c r="U36" s="143"/>
      <c r="V36" s="146"/>
      <c r="W36" s="143"/>
      <c r="X36" s="145"/>
      <c r="Y36" s="143"/>
      <c r="Z36" s="143"/>
      <c r="AA36" s="143"/>
      <c r="AB36" s="145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145"/>
      <c r="AO36" s="143"/>
      <c r="AP36" s="143"/>
      <c r="AQ36" s="143"/>
      <c r="AR36" s="145"/>
      <c r="AS36" s="143"/>
      <c r="AT36" s="143"/>
      <c r="AU36" s="143">
        <v>20</v>
      </c>
      <c r="AV36" s="145">
        <f t="shared" si="0"/>
        <v>100000</v>
      </c>
      <c r="AW36" s="147">
        <f t="shared" si="1"/>
        <v>20</v>
      </c>
      <c r="AX36" s="145">
        <v>5000</v>
      </c>
      <c r="AY36" s="139">
        <f t="shared" si="2"/>
        <v>100000</v>
      </c>
      <c r="AZ36" s="174" t="s">
        <v>143</v>
      </c>
      <c r="BA36" s="169">
        <v>437</v>
      </c>
      <c r="BB36" s="148" t="s">
        <v>143</v>
      </c>
      <c r="BC36" s="154" t="s">
        <v>69</v>
      </c>
    </row>
    <row r="37" spans="1:55" s="142" customFormat="1" ht="25.5" x14ac:dyDescent="0.25">
      <c r="A37" s="143">
        <v>28</v>
      </c>
      <c r="B37" s="131" t="s">
        <v>144</v>
      </c>
      <c r="C37" s="131" t="s">
        <v>69</v>
      </c>
      <c r="D37" s="163" t="s">
        <v>62</v>
      </c>
      <c r="E37" s="132" t="s">
        <v>145</v>
      </c>
      <c r="F37" s="131" t="s">
        <v>63</v>
      </c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4"/>
      <c r="T37" s="145"/>
      <c r="U37" s="143"/>
      <c r="V37" s="146"/>
      <c r="W37" s="143"/>
      <c r="X37" s="145"/>
      <c r="Y37" s="143"/>
      <c r="Z37" s="143"/>
      <c r="AA37" s="143"/>
      <c r="AB37" s="145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5"/>
      <c r="AO37" s="143"/>
      <c r="AP37" s="143"/>
      <c r="AQ37" s="143"/>
      <c r="AR37" s="145"/>
      <c r="AS37" s="143"/>
      <c r="AT37" s="143"/>
      <c r="AU37" s="143">
        <v>10</v>
      </c>
      <c r="AV37" s="145">
        <f t="shared" si="0"/>
        <v>45000</v>
      </c>
      <c r="AW37" s="147">
        <f t="shared" si="1"/>
        <v>10</v>
      </c>
      <c r="AX37" s="145">
        <v>4500</v>
      </c>
      <c r="AY37" s="139">
        <f t="shared" si="2"/>
        <v>45000</v>
      </c>
      <c r="AZ37" s="177" t="s">
        <v>256</v>
      </c>
      <c r="BA37" s="169">
        <v>437</v>
      </c>
      <c r="BB37" s="156" t="s">
        <v>146</v>
      </c>
      <c r="BC37" s="154" t="s">
        <v>69</v>
      </c>
    </row>
    <row r="38" spans="1:55" s="142" customFormat="1" ht="26.25" thickBot="1" x14ac:dyDescent="0.3">
      <c r="A38" s="143">
        <v>29</v>
      </c>
      <c r="B38" s="131" t="s">
        <v>147</v>
      </c>
      <c r="C38" s="131" t="s">
        <v>61</v>
      </c>
      <c r="D38" s="163" t="s">
        <v>62</v>
      </c>
      <c r="E38" s="132" t="s">
        <v>148</v>
      </c>
      <c r="F38" s="131" t="s">
        <v>63</v>
      </c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4"/>
      <c r="T38" s="145"/>
      <c r="U38" s="143"/>
      <c r="V38" s="146"/>
      <c r="W38" s="143"/>
      <c r="X38" s="145"/>
      <c r="Y38" s="143"/>
      <c r="Z38" s="143"/>
      <c r="AA38" s="143"/>
      <c r="AB38" s="145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3"/>
      <c r="AN38" s="145"/>
      <c r="AO38" s="143"/>
      <c r="AP38" s="143"/>
      <c r="AQ38" s="143"/>
      <c r="AR38" s="145"/>
      <c r="AS38" s="143"/>
      <c r="AT38" s="143"/>
      <c r="AU38" s="143">
        <v>30</v>
      </c>
      <c r="AV38" s="145">
        <f t="shared" si="0"/>
        <v>69000</v>
      </c>
      <c r="AW38" s="147">
        <f t="shared" si="1"/>
        <v>30</v>
      </c>
      <c r="AX38" s="145">
        <v>2300</v>
      </c>
      <c r="AY38" s="139">
        <f t="shared" si="2"/>
        <v>69000</v>
      </c>
      <c r="AZ38" s="174" t="s">
        <v>149</v>
      </c>
      <c r="BA38" s="169">
        <v>437</v>
      </c>
      <c r="BB38" s="148" t="s">
        <v>149</v>
      </c>
      <c r="BC38" s="149" t="s">
        <v>61</v>
      </c>
    </row>
    <row r="39" spans="1:55" s="142" customFormat="1" ht="15.75" thickBot="1" x14ac:dyDescent="0.3">
      <c r="A39" s="143">
        <v>30</v>
      </c>
      <c r="B39" s="143" t="s">
        <v>150</v>
      </c>
      <c r="C39" s="131" t="s">
        <v>95</v>
      </c>
      <c r="D39" s="163" t="s">
        <v>96</v>
      </c>
      <c r="E39" s="132" t="s">
        <v>151</v>
      </c>
      <c r="F39" s="131" t="s">
        <v>63</v>
      </c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4"/>
      <c r="T39" s="145"/>
      <c r="U39" s="143"/>
      <c r="V39" s="146"/>
      <c r="W39" s="143"/>
      <c r="X39" s="145"/>
      <c r="Y39" s="143"/>
      <c r="Z39" s="143"/>
      <c r="AA39" s="143"/>
      <c r="AB39" s="145"/>
      <c r="AC39" s="143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5"/>
      <c r="AO39" s="143"/>
      <c r="AP39" s="143"/>
      <c r="AQ39" s="143"/>
      <c r="AR39" s="145"/>
      <c r="AS39" s="143"/>
      <c r="AT39" s="143"/>
      <c r="AU39" s="143">
        <v>300</v>
      </c>
      <c r="AV39" s="145">
        <f t="shared" si="0"/>
        <v>900000</v>
      </c>
      <c r="AW39" s="147">
        <f t="shared" si="1"/>
        <v>300</v>
      </c>
      <c r="AX39" s="145">
        <v>3000</v>
      </c>
      <c r="AY39" s="139">
        <f t="shared" si="2"/>
        <v>900000</v>
      </c>
      <c r="AZ39" s="177" t="s">
        <v>257</v>
      </c>
      <c r="BA39" s="169">
        <v>223</v>
      </c>
      <c r="BB39" s="157" t="s">
        <v>152</v>
      </c>
      <c r="BC39" s="153" t="s">
        <v>95</v>
      </c>
    </row>
    <row r="40" spans="1:55" s="142" customFormat="1" ht="38.25" x14ac:dyDescent="0.25">
      <c r="A40" s="143">
        <v>31</v>
      </c>
      <c r="B40" s="131" t="s">
        <v>153</v>
      </c>
      <c r="C40" s="131" t="s">
        <v>86</v>
      </c>
      <c r="D40" s="163" t="s">
        <v>62</v>
      </c>
      <c r="E40" s="132" t="s">
        <v>154</v>
      </c>
      <c r="F40" s="131" t="s">
        <v>63</v>
      </c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4"/>
      <c r="T40" s="145"/>
      <c r="U40" s="143"/>
      <c r="V40" s="146"/>
      <c r="W40" s="143"/>
      <c r="X40" s="145"/>
      <c r="Y40" s="143"/>
      <c r="Z40" s="143"/>
      <c r="AA40" s="143"/>
      <c r="AB40" s="145"/>
      <c r="AC40" s="143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5"/>
      <c r="AO40" s="143"/>
      <c r="AP40" s="143"/>
      <c r="AQ40" s="143"/>
      <c r="AR40" s="145"/>
      <c r="AS40" s="143"/>
      <c r="AT40" s="143"/>
      <c r="AU40" s="143">
        <v>10</v>
      </c>
      <c r="AV40" s="145">
        <f t="shared" si="0"/>
        <v>800000</v>
      </c>
      <c r="AW40" s="147">
        <f t="shared" si="1"/>
        <v>10</v>
      </c>
      <c r="AX40" s="145">
        <v>80000</v>
      </c>
      <c r="AY40" s="139">
        <f t="shared" si="2"/>
        <v>800000</v>
      </c>
      <c r="AZ40" s="176" t="s">
        <v>266</v>
      </c>
      <c r="BA40" s="169">
        <v>437</v>
      </c>
      <c r="BB40" s="148" t="s">
        <v>155</v>
      </c>
      <c r="BC40" s="141" t="s">
        <v>86</v>
      </c>
    </row>
    <row r="41" spans="1:55" s="142" customFormat="1" ht="38.25" x14ac:dyDescent="0.25">
      <c r="A41" s="143">
        <v>32</v>
      </c>
      <c r="B41" s="131" t="s">
        <v>156</v>
      </c>
      <c r="C41" s="131" t="s">
        <v>61</v>
      </c>
      <c r="D41" s="163" t="s">
        <v>62</v>
      </c>
      <c r="E41" s="132" t="s">
        <v>157</v>
      </c>
      <c r="F41" s="131" t="s">
        <v>63</v>
      </c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4"/>
      <c r="T41" s="145"/>
      <c r="U41" s="143"/>
      <c r="V41" s="146"/>
      <c r="W41" s="143"/>
      <c r="X41" s="145"/>
      <c r="Y41" s="143"/>
      <c r="Z41" s="143"/>
      <c r="AA41" s="143"/>
      <c r="AB41" s="145"/>
      <c r="AC41" s="143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5"/>
      <c r="AO41" s="143"/>
      <c r="AP41" s="143"/>
      <c r="AQ41" s="143"/>
      <c r="AR41" s="145"/>
      <c r="AS41" s="143"/>
      <c r="AT41" s="143"/>
      <c r="AU41" s="143">
        <v>600</v>
      </c>
      <c r="AV41" s="145">
        <f t="shared" si="0"/>
        <v>5832000</v>
      </c>
      <c r="AW41" s="147">
        <f t="shared" si="1"/>
        <v>600</v>
      </c>
      <c r="AX41" s="145">
        <v>9720</v>
      </c>
      <c r="AY41" s="162">
        <f t="shared" si="2"/>
        <v>5832000</v>
      </c>
      <c r="AZ41" s="174" t="s">
        <v>158</v>
      </c>
      <c r="BA41" s="169">
        <v>437</v>
      </c>
      <c r="BB41" s="148" t="s">
        <v>158</v>
      </c>
      <c r="BC41" s="154" t="s">
        <v>61</v>
      </c>
    </row>
    <row r="42" spans="1:55" s="142" customFormat="1" ht="23.25" thickBot="1" x14ac:dyDescent="0.3">
      <c r="A42" s="143">
        <v>33</v>
      </c>
      <c r="B42" s="131" t="s">
        <v>159</v>
      </c>
      <c r="C42" s="131" t="s">
        <v>61</v>
      </c>
      <c r="D42" s="163" t="s">
        <v>62</v>
      </c>
      <c r="E42" s="132" t="s">
        <v>160</v>
      </c>
      <c r="F42" s="131" t="s">
        <v>63</v>
      </c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4"/>
      <c r="T42" s="145"/>
      <c r="U42" s="143"/>
      <c r="V42" s="146"/>
      <c r="W42" s="143"/>
      <c r="X42" s="145"/>
      <c r="Y42" s="143"/>
      <c r="Z42" s="143"/>
      <c r="AA42" s="143"/>
      <c r="AB42" s="145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5"/>
      <c r="AO42" s="143"/>
      <c r="AP42" s="143"/>
      <c r="AQ42" s="143"/>
      <c r="AR42" s="145"/>
      <c r="AS42" s="143"/>
      <c r="AT42" s="143"/>
      <c r="AU42" s="143">
        <v>80</v>
      </c>
      <c r="AV42" s="145">
        <f t="shared" si="0"/>
        <v>4240000</v>
      </c>
      <c r="AW42" s="147">
        <f t="shared" si="1"/>
        <v>80</v>
      </c>
      <c r="AX42" s="145">
        <v>53000</v>
      </c>
      <c r="AY42" s="139">
        <f t="shared" si="2"/>
        <v>4240000</v>
      </c>
      <c r="AZ42" s="178" t="s">
        <v>258</v>
      </c>
      <c r="BA42" s="169">
        <v>437</v>
      </c>
      <c r="BB42" s="161" t="s">
        <v>161</v>
      </c>
      <c r="BC42" s="149" t="s">
        <v>61</v>
      </c>
    </row>
    <row r="43" spans="1:55" s="142" customFormat="1" ht="30.75" customHeight="1" x14ac:dyDescent="0.25">
      <c r="A43" s="143">
        <v>34</v>
      </c>
      <c r="B43" s="163" t="s">
        <v>259</v>
      </c>
      <c r="C43" s="131" t="s">
        <v>162</v>
      </c>
      <c r="D43" s="163" t="s">
        <v>163</v>
      </c>
      <c r="E43" s="132" t="s">
        <v>260</v>
      </c>
      <c r="F43" s="131" t="s">
        <v>63</v>
      </c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4"/>
      <c r="T43" s="145"/>
      <c r="U43" s="143"/>
      <c r="V43" s="146"/>
      <c r="W43" s="143"/>
      <c r="X43" s="145"/>
      <c r="Y43" s="143"/>
      <c r="Z43" s="143"/>
      <c r="AA43" s="143"/>
      <c r="AB43" s="145"/>
      <c r="AC43" s="143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5"/>
      <c r="AO43" s="143"/>
      <c r="AP43" s="143"/>
      <c r="AQ43" s="143"/>
      <c r="AR43" s="145"/>
      <c r="AS43" s="143"/>
      <c r="AT43" s="143"/>
      <c r="AU43" s="143">
        <v>200</v>
      </c>
      <c r="AV43" s="145">
        <f t="shared" si="0"/>
        <v>3450000</v>
      </c>
      <c r="AW43" s="147">
        <f t="shared" si="1"/>
        <v>200</v>
      </c>
      <c r="AX43" s="145">
        <v>17250</v>
      </c>
      <c r="AY43" s="139">
        <f t="shared" si="2"/>
        <v>3450000</v>
      </c>
      <c r="AZ43" s="178" t="s">
        <v>262</v>
      </c>
      <c r="BA43" s="169" t="s">
        <v>164</v>
      </c>
      <c r="BB43" s="164" t="s">
        <v>165</v>
      </c>
      <c r="BC43" s="158" t="s">
        <v>162</v>
      </c>
    </row>
    <row r="44" spans="1:55" s="142" customFormat="1" ht="31.5" customHeight="1" thickBot="1" x14ac:dyDescent="0.3">
      <c r="A44" s="143">
        <v>35</v>
      </c>
      <c r="B44" s="131" t="s">
        <v>166</v>
      </c>
      <c r="C44" s="131" t="s">
        <v>162</v>
      </c>
      <c r="D44" s="131" t="s">
        <v>163</v>
      </c>
      <c r="E44" s="132" t="s">
        <v>167</v>
      </c>
      <c r="F44" s="131" t="s">
        <v>63</v>
      </c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4"/>
      <c r="T44" s="145"/>
      <c r="U44" s="143"/>
      <c r="V44" s="146"/>
      <c r="W44" s="143"/>
      <c r="X44" s="145"/>
      <c r="Y44" s="143"/>
      <c r="Z44" s="143"/>
      <c r="AA44" s="143"/>
      <c r="AB44" s="145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3"/>
      <c r="AN44" s="145"/>
      <c r="AO44" s="143"/>
      <c r="AP44" s="143"/>
      <c r="AQ44" s="143"/>
      <c r="AR44" s="145"/>
      <c r="AS44" s="143"/>
      <c r="AT44" s="143"/>
      <c r="AU44" s="143">
        <v>210</v>
      </c>
      <c r="AV44" s="145">
        <f t="shared" si="0"/>
        <v>1512000</v>
      </c>
      <c r="AW44" s="147">
        <f t="shared" si="1"/>
        <v>210</v>
      </c>
      <c r="AX44" s="145">
        <v>7200</v>
      </c>
      <c r="AY44" s="139">
        <f t="shared" si="2"/>
        <v>1512000</v>
      </c>
      <c r="AZ44" s="178" t="s">
        <v>261</v>
      </c>
      <c r="BA44" s="169" t="s">
        <v>164</v>
      </c>
      <c r="BB44" s="164" t="s">
        <v>168</v>
      </c>
      <c r="BC44" s="159" t="s">
        <v>162</v>
      </c>
    </row>
    <row r="45" spans="1:55" s="142" customFormat="1" ht="59.25" customHeight="1" x14ac:dyDescent="0.25">
      <c r="A45" s="143">
        <v>36</v>
      </c>
      <c r="B45" s="131" t="s">
        <v>169</v>
      </c>
      <c r="C45" s="131" t="s">
        <v>69</v>
      </c>
      <c r="D45" s="131" t="s">
        <v>62</v>
      </c>
      <c r="E45" s="132" t="s">
        <v>170</v>
      </c>
      <c r="F45" s="131" t="s">
        <v>63</v>
      </c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4"/>
      <c r="T45" s="145"/>
      <c r="U45" s="143"/>
      <c r="V45" s="146"/>
      <c r="W45" s="143"/>
      <c r="X45" s="145"/>
      <c r="Y45" s="143"/>
      <c r="Z45" s="143"/>
      <c r="AA45" s="143"/>
      <c r="AB45" s="145"/>
      <c r="AC45" s="143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5"/>
      <c r="AO45" s="143"/>
      <c r="AP45" s="143"/>
      <c r="AQ45" s="143"/>
      <c r="AR45" s="145"/>
      <c r="AS45" s="143"/>
      <c r="AT45" s="143"/>
      <c r="AU45" s="143">
        <v>210</v>
      </c>
      <c r="AV45" s="145">
        <f t="shared" si="0"/>
        <v>1260000</v>
      </c>
      <c r="AW45" s="147">
        <f t="shared" si="1"/>
        <v>210</v>
      </c>
      <c r="AX45" s="145">
        <v>6000</v>
      </c>
      <c r="AY45" s="139">
        <f t="shared" si="2"/>
        <v>1260000</v>
      </c>
      <c r="AZ45" s="177" t="s">
        <v>239</v>
      </c>
      <c r="BA45" s="169">
        <v>437</v>
      </c>
      <c r="BB45" s="160" t="s">
        <v>240</v>
      </c>
      <c r="BC45" s="141" t="s">
        <v>69</v>
      </c>
    </row>
    <row r="46" spans="1:55" s="142" customFormat="1" ht="46.5" customHeight="1" thickBot="1" x14ac:dyDescent="0.3">
      <c r="A46" s="143">
        <v>37</v>
      </c>
      <c r="B46" s="131" t="s">
        <v>171</v>
      </c>
      <c r="C46" s="131" t="s">
        <v>61</v>
      </c>
      <c r="D46" s="131" t="s">
        <v>62</v>
      </c>
      <c r="E46" s="132" t="s">
        <v>172</v>
      </c>
      <c r="F46" s="131" t="s">
        <v>63</v>
      </c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4"/>
      <c r="T46" s="145"/>
      <c r="U46" s="143"/>
      <c r="V46" s="146"/>
      <c r="W46" s="143"/>
      <c r="X46" s="145"/>
      <c r="Y46" s="143"/>
      <c r="Z46" s="143"/>
      <c r="AA46" s="143"/>
      <c r="AB46" s="145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M46" s="143"/>
      <c r="AN46" s="145"/>
      <c r="AO46" s="143"/>
      <c r="AP46" s="143"/>
      <c r="AQ46" s="143"/>
      <c r="AR46" s="145"/>
      <c r="AS46" s="143"/>
      <c r="AT46" s="143"/>
      <c r="AU46" s="143">
        <v>80</v>
      </c>
      <c r="AV46" s="145">
        <f t="shared" si="0"/>
        <v>4280000</v>
      </c>
      <c r="AW46" s="165">
        <f t="shared" si="1"/>
        <v>80</v>
      </c>
      <c r="AX46" s="145">
        <v>53500</v>
      </c>
      <c r="AY46" s="139">
        <f t="shared" si="2"/>
        <v>4280000</v>
      </c>
      <c r="AZ46" s="177" t="s">
        <v>264</v>
      </c>
      <c r="BA46" s="171">
        <v>437</v>
      </c>
      <c r="BB46" s="166" t="s">
        <v>263</v>
      </c>
      <c r="BC46" s="149" t="s">
        <v>61</v>
      </c>
    </row>
    <row r="47" spans="1:55" ht="15.75" customHeight="1" thickBot="1" x14ac:dyDescent="0.3">
      <c r="A47" s="34"/>
      <c r="B47" s="35"/>
      <c r="C47" s="36"/>
      <c r="D47" s="36"/>
      <c r="E47" s="37" t="s">
        <v>173</v>
      </c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8"/>
      <c r="Q47" s="36"/>
      <c r="R47" s="36"/>
      <c r="S47" s="39"/>
      <c r="T47" s="38"/>
      <c r="U47" s="36"/>
      <c r="V47" s="36"/>
      <c r="W47" s="36"/>
      <c r="X47" s="38"/>
      <c r="Y47" s="36"/>
      <c r="Z47" s="36"/>
      <c r="AA47" s="36"/>
      <c r="AB47" s="38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8"/>
      <c r="AO47" s="36"/>
      <c r="AP47" s="36"/>
      <c r="AQ47" s="36"/>
      <c r="AR47" s="38"/>
      <c r="AS47" s="36"/>
      <c r="AT47" s="36"/>
      <c r="AU47" s="36"/>
      <c r="AV47" s="38"/>
      <c r="AW47" s="40"/>
      <c r="AX47" s="38"/>
      <c r="AY47" s="41">
        <f>+SUM(AY10:AY46)</f>
        <v>57131518.200000003</v>
      </c>
      <c r="AZ47" s="42"/>
      <c r="BA47" s="43"/>
      <c r="BB47" s="44"/>
      <c r="BC47" s="45"/>
    </row>
    <row r="48" spans="1:55" ht="15.75" customHeight="1" x14ac:dyDescent="0.25">
      <c r="A48" s="46"/>
      <c r="B48" s="46"/>
      <c r="C48" s="46"/>
      <c r="D48" s="46"/>
      <c r="E48" s="47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8"/>
      <c r="T48" s="49"/>
      <c r="U48" s="46"/>
      <c r="V48" s="46"/>
      <c r="W48" s="46"/>
      <c r="X48" s="49"/>
      <c r="Y48" s="46"/>
      <c r="Z48" s="46"/>
      <c r="AA48" s="46"/>
      <c r="AB48" s="49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9"/>
      <c r="AO48" s="46"/>
      <c r="AP48" s="46"/>
      <c r="AQ48" s="46"/>
      <c r="AR48" s="49"/>
      <c r="AS48" s="46"/>
      <c r="AT48" s="46"/>
      <c r="AU48" s="46"/>
      <c r="AV48" s="49"/>
      <c r="AW48" s="48"/>
      <c r="AX48" s="49"/>
      <c r="AY48" s="49"/>
      <c r="AZ48" s="50"/>
      <c r="BA48" s="46"/>
      <c r="BB48" s="51"/>
      <c r="BC48" s="52"/>
    </row>
    <row r="49" spans="1:55" ht="15.75" customHeight="1" thickBot="1" x14ac:dyDescent="0.3">
      <c r="A49" s="46"/>
      <c r="B49" s="46"/>
      <c r="C49" s="46"/>
      <c r="D49" s="46"/>
      <c r="E49" s="47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8"/>
      <c r="T49" s="49"/>
      <c r="U49" s="46"/>
      <c r="V49" s="46"/>
      <c r="W49" s="46"/>
      <c r="X49" s="49"/>
      <c r="Y49" s="46"/>
      <c r="Z49" s="46"/>
      <c r="AA49" s="46"/>
      <c r="AB49" s="49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9"/>
      <c r="AO49" s="46"/>
      <c r="AP49" s="46"/>
      <c r="AQ49" s="46"/>
      <c r="AR49" s="49"/>
      <c r="AS49" s="46"/>
      <c r="AT49" s="46"/>
      <c r="AU49" s="46"/>
      <c r="AV49" s="49"/>
      <c r="AW49" s="48"/>
      <c r="AX49" s="49"/>
      <c r="AY49" s="49"/>
      <c r="AZ49" s="50"/>
      <c r="BA49" s="46"/>
      <c r="BB49" s="51"/>
      <c r="BC49" s="52"/>
    </row>
    <row r="50" spans="1:55" ht="29.25" customHeight="1" thickBot="1" x14ac:dyDescent="0.3">
      <c r="A50" s="46"/>
      <c r="B50" s="46"/>
      <c r="C50" s="203" t="s">
        <v>174</v>
      </c>
      <c r="D50" s="204"/>
      <c r="E50" s="205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8"/>
      <c r="T50" s="49"/>
      <c r="U50" s="46"/>
      <c r="V50" s="46"/>
      <c r="W50" s="46"/>
      <c r="X50" s="49"/>
      <c r="Y50" s="46"/>
      <c r="Z50" s="46"/>
      <c r="AA50" s="46"/>
      <c r="AB50" s="49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9"/>
      <c r="AO50" s="46"/>
      <c r="AP50" s="46"/>
      <c r="AQ50" s="46"/>
      <c r="AR50" s="49"/>
      <c r="AS50" s="46"/>
      <c r="AT50" s="46"/>
      <c r="AU50" s="46"/>
      <c r="AV50" s="49"/>
      <c r="AW50" s="48"/>
      <c r="AX50" s="49"/>
      <c r="AY50" s="49"/>
      <c r="AZ50" s="52"/>
      <c r="BA50" s="46"/>
      <c r="BB50" s="53"/>
      <c r="BC50" s="52"/>
    </row>
    <row r="51" spans="1:55" ht="15.75" customHeight="1" x14ac:dyDescent="0.25">
      <c r="A51" s="46"/>
      <c r="B51" s="46"/>
      <c r="C51" s="54"/>
      <c r="D51" s="196"/>
      <c r="E51" s="197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8"/>
      <c r="T51" s="49"/>
      <c r="U51" s="46"/>
      <c r="V51" s="46"/>
      <c r="W51" s="46"/>
      <c r="X51" s="49"/>
      <c r="Y51" s="46"/>
      <c r="Z51" s="46"/>
      <c r="AA51" s="46"/>
      <c r="AB51" s="49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9"/>
      <c r="AO51" s="46"/>
      <c r="AP51" s="46"/>
      <c r="AQ51" s="46"/>
      <c r="AR51" s="49"/>
      <c r="AS51" s="46"/>
      <c r="AT51" s="46"/>
      <c r="AU51" s="46"/>
      <c r="AV51" s="49"/>
      <c r="AW51" s="48"/>
      <c r="AX51" s="49"/>
      <c r="AY51" s="49"/>
      <c r="AZ51" s="50"/>
      <c r="BA51" s="46"/>
      <c r="BB51" s="51"/>
      <c r="BC51" s="52"/>
    </row>
    <row r="52" spans="1:55" ht="15.75" customHeight="1" x14ac:dyDescent="0.25">
      <c r="A52" s="46"/>
      <c r="B52" s="46"/>
      <c r="C52" s="54" t="s">
        <v>175</v>
      </c>
      <c r="D52" s="129" t="s">
        <v>265</v>
      </c>
      <c r="E52" s="5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8"/>
      <c r="T52" s="49"/>
      <c r="U52" s="46"/>
      <c r="V52" s="46"/>
      <c r="W52" s="46"/>
      <c r="X52" s="49"/>
      <c r="Y52" s="46"/>
      <c r="Z52" s="46"/>
      <c r="AA52" s="46"/>
      <c r="AB52" s="49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9"/>
      <c r="AO52" s="46"/>
      <c r="AP52" s="46"/>
      <c r="AQ52" s="46"/>
      <c r="AR52" s="49"/>
      <c r="AS52" s="46"/>
      <c r="AT52" s="46"/>
      <c r="AU52" s="46"/>
      <c r="AV52" s="49"/>
      <c r="AW52" s="48"/>
      <c r="AX52" s="49"/>
      <c r="AY52" s="49"/>
      <c r="AZ52" s="50"/>
      <c r="BA52" s="46"/>
      <c r="BB52" s="51"/>
      <c r="BC52" s="52"/>
    </row>
    <row r="53" spans="1:55" ht="15.75" customHeight="1" x14ac:dyDescent="0.25">
      <c r="A53" s="46"/>
      <c r="B53" s="46"/>
      <c r="C53" s="54"/>
      <c r="D53" s="198"/>
      <c r="E53" s="197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8"/>
      <c r="T53" s="49"/>
      <c r="U53" s="46"/>
      <c r="V53" s="46"/>
      <c r="W53" s="46"/>
      <c r="X53" s="49"/>
      <c r="Y53" s="46"/>
      <c r="Z53" s="46"/>
      <c r="AA53" s="46"/>
      <c r="AB53" s="49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9"/>
      <c r="AO53" s="46"/>
      <c r="AP53" s="46"/>
      <c r="AQ53" s="46"/>
      <c r="AR53" s="49"/>
      <c r="AS53" s="46"/>
      <c r="AT53" s="46"/>
      <c r="AU53" s="46"/>
      <c r="AV53" s="49"/>
      <c r="AW53" s="48"/>
      <c r="AX53" s="49"/>
      <c r="AY53" s="49"/>
      <c r="AZ53" s="50"/>
      <c r="BA53" s="46"/>
      <c r="BB53" s="51"/>
      <c r="BC53" s="52"/>
    </row>
    <row r="54" spans="1:55" ht="15.75" customHeight="1" x14ac:dyDescent="0.25">
      <c r="A54" s="46"/>
      <c r="B54" s="46"/>
      <c r="C54" s="54" t="s">
        <v>176</v>
      </c>
      <c r="D54" s="212" t="s">
        <v>177</v>
      </c>
      <c r="E54" s="197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8"/>
      <c r="T54" s="49"/>
      <c r="U54" s="46"/>
      <c r="V54" s="46"/>
      <c r="W54" s="46"/>
      <c r="X54" s="49"/>
      <c r="Y54" s="46"/>
      <c r="Z54" s="46"/>
      <c r="AA54" s="46"/>
      <c r="AB54" s="49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9"/>
      <c r="AO54" s="46"/>
      <c r="AP54" s="46"/>
      <c r="AQ54" s="46"/>
      <c r="AR54" s="49"/>
      <c r="AS54" s="46"/>
      <c r="AT54" s="46"/>
      <c r="AU54" s="46"/>
      <c r="AV54" s="49"/>
      <c r="AW54" s="48"/>
      <c r="AX54" s="49"/>
      <c r="AY54" s="49"/>
      <c r="AZ54" s="50"/>
      <c r="BA54" s="46"/>
      <c r="BB54" s="51"/>
      <c r="BC54" s="52"/>
    </row>
    <row r="55" spans="1:55" ht="15.75" customHeight="1" x14ac:dyDescent="0.25">
      <c r="A55" s="46"/>
      <c r="B55" s="46"/>
      <c r="C55" s="54"/>
      <c r="D55" s="198"/>
      <c r="E55" s="197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8"/>
      <c r="T55" s="49"/>
      <c r="U55" s="46"/>
      <c r="V55" s="46"/>
      <c r="W55" s="46"/>
      <c r="X55" s="49"/>
      <c r="Y55" s="46"/>
      <c r="Z55" s="46"/>
      <c r="AA55" s="46"/>
      <c r="AB55" s="49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9"/>
      <c r="AO55" s="46"/>
      <c r="AP55" s="46"/>
      <c r="AQ55" s="46"/>
      <c r="AR55" s="49"/>
      <c r="AS55" s="46"/>
      <c r="AT55" s="46"/>
      <c r="AU55" s="46"/>
      <c r="AV55" s="49"/>
      <c r="AW55" s="48"/>
      <c r="AX55" s="49"/>
      <c r="AY55" s="49"/>
      <c r="AZ55" s="50"/>
      <c r="BA55" s="46"/>
      <c r="BB55" s="51"/>
      <c r="BC55" s="52"/>
    </row>
    <row r="56" spans="1:55" ht="15.75" customHeight="1" x14ac:dyDescent="0.25">
      <c r="A56" s="46"/>
      <c r="B56" s="46"/>
      <c r="C56" s="54" t="s">
        <v>178</v>
      </c>
      <c r="D56" s="198"/>
      <c r="E56" s="197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8"/>
      <c r="T56" s="49"/>
      <c r="U56" s="46"/>
      <c r="V56" s="46"/>
      <c r="W56" s="46"/>
      <c r="X56" s="49"/>
      <c r="Y56" s="46"/>
      <c r="Z56" s="46"/>
      <c r="AA56" s="46"/>
      <c r="AB56" s="49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9"/>
      <c r="AO56" s="46"/>
      <c r="AP56" s="46"/>
      <c r="AQ56" s="46"/>
      <c r="AR56" s="49"/>
      <c r="AS56" s="46"/>
      <c r="AT56" s="46"/>
      <c r="AU56" s="46"/>
      <c r="AV56" s="49"/>
      <c r="AW56" s="48"/>
      <c r="AX56" s="49"/>
      <c r="AY56" s="49"/>
      <c r="AZ56" s="50"/>
      <c r="BA56" s="46"/>
      <c r="BB56" s="51"/>
      <c r="BC56" s="52"/>
    </row>
    <row r="57" spans="1:55" s="128" customFormat="1" ht="15.75" customHeight="1" x14ac:dyDescent="0.25">
      <c r="A57" s="46"/>
      <c r="B57" s="46"/>
      <c r="C57" s="54"/>
      <c r="D57" s="127"/>
      <c r="E57" s="12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8"/>
      <c r="T57" s="49"/>
      <c r="U57" s="46"/>
      <c r="V57" s="46"/>
      <c r="W57" s="46"/>
      <c r="X57" s="49"/>
      <c r="Y57" s="46"/>
      <c r="Z57" s="46"/>
      <c r="AA57" s="46"/>
      <c r="AB57" s="49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9"/>
      <c r="AO57" s="46"/>
      <c r="AP57" s="46"/>
      <c r="AQ57" s="46"/>
      <c r="AR57" s="49"/>
      <c r="AS57" s="46"/>
      <c r="AT57" s="46"/>
      <c r="AU57" s="46"/>
      <c r="AV57" s="49"/>
      <c r="AW57" s="48"/>
      <c r="AX57" s="49"/>
      <c r="AY57" s="49"/>
      <c r="AZ57" s="50"/>
      <c r="BA57" s="46"/>
      <c r="BB57" s="51"/>
      <c r="BC57" s="52"/>
    </row>
    <row r="58" spans="1:55" s="128" customFormat="1" ht="15.75" customHeight="1" x14ac:dyDescent="0.25">
      <c r="A58" s="46"/>
      <c r="B58" s="46"/>
      <c r="C58" s="180" t="s">
        <v>268</v>
      </c>
      <c r="D58" s="201" t="s">
        <v>269</v>
      </c>
      <c r="E58" s="202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8"/>
      <c r="T58" s="49"/>
      <c r="U58" s="46"/>
      <c r="V58" s="46"/>
      <c r="W58" s="46"/>
      <c r="X58" s="49"/>
      <c r="Y58" s="46"/>
      <c r="Z58" s="46"/>
      <c r="AA58" s="46"/>
      <c r="AB58" s="49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9"/>
      <c r="AO58" s="46"/>
      <c r="AP58" s="46"/>
      <c r="AQ58" s="46"/>
      <c r="AR58" s="49"/>
      <c r="AS58" s="46"/>
      <c r="AT58" s="46"/>
      <c r="AU58" s="46"/>
      <c r="AV58" s="49"/>
      <c r="AW58" s="48"/>
      <c r="AX58" s="49"/>
      <c r="AY58" s="49"/>
      <c r="AZ58" s="50"/>
      <c r="BA58" s="46"/>
      <c r="BB58" s="51"/>
      <c r="BC58" s="52"/>
    </row>
    <row r="59" spans="1:55" ht="15.75" customHeight="1" x14ac:dyDescent="0.25">
      <c r="A59" s="46"/>
      <c r="B59" s="46"/>
      <c r="C59" s="54"/>
      <c r="D59" s="198"/>
      <c r="E59" s="197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8"/>
      <c r="T59" s="49"/>
      <c r="U59" s="46"/>
      <c r="V59" s="46"/>
      <c r="W59" s="46"/>
      <c r="X59" s="49"/>
      <c r="Y59" s="46"/>
      <c r="Z59" s="46"/>
      <c r="AA59" s="46"/>
      <c r="AB59" s="49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9"/>
      <c r="AO59" s="46"/>
      <c r="AP59" s="46"/>
      <c r="AQ59" s="46"/>
      <c r="AR59" s="49"/>
      <c r="AS59" s="46"/>
      <c r="AT59" s="46"/>
      <c r="AU59" s="46"/>
      <c r="AV59" s="49"/>
      <c r="AW59" s="48"/>
      <c r="AX59" s="49"/>
      <c r="AY59" s="49"/>
      <c r="AZ59" s="50"/>
      <c r="BA59" s="46"/>
      <c r="BB59" s="51"/>
      <c r="BC59" s="52"/>
    </row>
    <row r="60" spans="1:55" ht="15.75" customHeight="1" x14ac:dyDescent="0.25">
      <c r="A60" s="46"/>
      <c r="B60" s="46"/>
      <c r="C60" s="54" t="s">
        <v>179</v>
      </c>
      <c r="D60" s="55" t="s">
        <v>180</v>
      </c>
      <c r="E60" s="5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8"/>
      <c r="T60" s="49"/>
      <c r="U60" s="46"/>
      <c r="V60" s="46"/>
      <c r="W60" s="46"/>
      <c r="X60" s="49"/>
      <c r="Y60" s="46"/>
      <c r="Z60" s="46"/>
      <c r="AA60" s="46"/>
      <c r="AB60" s="49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9"/>
      <c r="AO60" s="46"/>
      <c r="AP60" s="46"/>
      <c r="AQ60" s="46"/>
      <c r="AR60" s="49"/>
      <c r="AS60" s="46"/>
      <c r="AT60" s="46"/>
      <c r="AU60" s="46"/>
      <c r="AV60" s="49"/>
      <c r="AW60" s="48"/>
      <c r="AX60" s="49"/>
      <c r="AY60" s="49"/>
      <c r="AZ60" s="50"/>
      <c r="BA60" s="46"/>
      <c r="BB60" s="51"/>
      <c r="BC60" s="52"/>
    </row>
    <row r="61" spans="1:55" ht="15.75" customHeight="1" thickBot="1" x14ac:dyDescent="0.3">
      <c r="A61" s="46"/>
      <c r="B61" s="46"/>
      <c r="C61" s="57"/>
      <c r="D61" s="199"/>
      <c r="E61" s="200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8"/>
      <c r="T61" s="49"/>
      <c r="U61" s="46"/>
      <c r="V61" s="46"/>
      <c r="W61" s="46"/>
      <c r="X61" s="49"/>
      <c r="Y61" s="46"/>
      <c r="Z61" s="46"/>
      <c r="AA61" s="46"/>
      <c r="AB61" s="49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9"/>
      <c r="AO61" s="46"/>
      <c r="AP61" s="46"/>
      <c r="AQ61" s="46"/>
      <c r="AR61" s="49"/>
      <c r="AS61" s="46"/>
      <c r="AT61" s="46"/>
      <c r="AU61" s="46"/>
      <c r="AV61" s="49"/>
      <c r="AW61" s="48"/>
      <c r="AX61" s="49"/>
      <c r="AY61" s="49"/>
      <c r="AZ61" s="50"/>
      <c r="BA61" s="46"/>
      <c r="BB61" s="51"/>
      <c r="BC61" s="52"/>
    </row>
    <row r="62" spans="1:55" ht="15.75" customHeight="1" x14ac:dyDescent="0.25">
      <c r="A62" s="46"/>
      <c r="B62" s="46"/>
      <c r="C62" s="46"/>
      <c r="D62" s="46"/>
      <c r="E62" s="47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8"/>
      <c r="T62" s="49"/>
      <c r="U62" s="46"/>
      <c r="V62" s="46"/>
      <c r="W62" s="46"/>
      <c r="X62" s="49"/>
      <c r="Y62" s="46"/>
      <c r="Z62" s="46"/>
      <c r="AA62" s="46"/>
      <c r="AB62" s="49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9"/>
      <c r="AO62" s="46"/>
      <c r="AP62" s="46"/>
      <c r="AQ62" s="46"/>
      <c r="AR62" s="49"/>
      <c r="AS62" s="46"/>
      <c r="AT62" s="46"/>
      <c r="AU62" s="46"/>
      <c r="AV62" s="49"/>
      <c r="AW62" s="48"/>
      <c r="AX62" s="49"/>
      <c r="AY62" s="49"/>
      <c r="AZ62" s="50"/>
      <c r="BA62" s="46"/>
      <c r="BB62" s="51"/>
      <c r="BC62" s="52"/>
    </row>
    <row r="63" spans="1:55" ht="15.75" customHeight="1" thickBot="1" x14ac:dyDescent="0.3">
      <c r="A63" s="46"/>
      <c r="B63" s="46"/>
      <c r="C63" s="46"/>
      <c r="D63" s="46"/>
      <c r="E63" s="47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8"/>
      <c r="T63" s="49"/>
      <c r="U63" s="46"/>
      <c r="V63" s="46"/>
      <c r="W63" s="46"/>
      <c r="X63" s="49"/>
      <c r="Y63" s="46"/>
      <c r="Z63" s="46"/>
      <c r="AA63" s="46"/>
      <c r="AB63" s="49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9"/>
      <c r="AO63" s="46"/>
      <c r="AP63" s="46"/>
      <c r="AQ63" s="46"/>
      <c r="AR63" s="49"/>
      <c r="AS63" s="46"/>
      <c r="AT63" s="46"/>
      <c r="AU63" s="46"/>
      <c r="AV63" s="49"/>
      <c r="AW63" s="48"/>
      <c r="AX63" s="49"/>
      <c r="AY63" s="49"/>
      <c r="AZ63" s="50"/>
      <c r="BA63" s="46"/>
      <c r="BB63" s="51"/>
      <c r="BC63" s="52"/>
    </row>
    <row r="64" spans="1:55" ht="15.75" customHeight="1" x14ac:dyDescent="0.25">
      <c r="A64" s="46"/>
      <c r="B64" s="46"/>
      <c r="C64" s="206" t="s">
        <v>181</v>
      </c>
      <c r="D64" s="191"/>
      <c r="E64" s="192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8"/>
      <c r="T64" s="49"/>
      <c r="U64" s="46"/>
      <c r="V64" s="46"/>
      <c r="W64" s="46"/>
      <c r="X64" s="49"/>
      <c r="Y64" s="46"/>
      <c r="Z64" s="46"/>
      <c r="AA64" s="46"/>
      <c r="AB64" s="49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9"/>
      <c r="AO64" s="46"/>
      <c r="AP64" s="46"/>
      <c r="AQ64" s="46"/>
      <c r="AR64" s="49"/>
      <c r="AS64" s="46"/>
      <c r="AT64" s="46"/>
      <c r="AU64" s="46"/>
      <c r="AV64" s="49"/>
      <c r="AW64" s="48"/>
      <c r="AX64" s="49"/>
      <c r="AY64" s="49"/>
      <c r="AZ64" s="50"/>
      <c r="BA64" s="46"/>
      <c r="BB64" s="51"/>
      <c r="BC64" s="52"/>
    </row>
    <row r="65" spans="1:55" ht="15.75" customHeight="1" thickBot="1" x14ac:dyDescent="0.3">
      <c r="A65" s="10"/>
      <c r="B65" s="10"/>
      <c r="C65" s="207" t="str">
        <f>AZ10</f>
        <v>AIRE ACONDICIONADOS SPLIT INVERTER</v>
      </c>
      <c r="D65" s="208"/>
      <c r="E65" s="209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1"/>
      <c r="T65" s="9"/>
      <c r="U65" s="10"/>
      <c r="V65" s="10"/>
      <c r="W65" s="10"/>
      <c r="X65" s="9"/>
      <c r="Y65" s="10"/>
      <c r="Z65" s="10"/>
      <c r="AA65" s="10"/>
      <c r="AB65" s="9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9"/>
      <c r="AO65" s="10"/>
      <c r="AP65" s="10"/>
      <c r="AQ65" s="10"/>
      <c r="AR65" s="9"/>
      <c r="AS65" s="10"/>
      <c r="AT65" s="10"/>
      <c r="AU65" s="10"/>
      <c r="AV65" s="9"/>
      <c r="AW65" s="11"/>
      <c r="AX65" s="9"/>
      <c r="AY65" s="9"/>
      <c r="AZ65" s="12"/>
      <c r="BA65" s="10"/>
      <c r="BB65" s="13"/>
    </row>
    <row r="66" spans="1:55" ht="15.75" customHeight="1" thickBot="1" x14ac:dyDescent="0.3">
      <c r="A66" s="46"/>
      <c r="B66" s="46"/>
      <c r="C66" s="47"/>
      <c r="D66" s="47"/>
      <c r="E66" s="47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59"/>
      <c r="BC66" s="46"/>
    </row>
    <row r="67" spans="1:55" ht="15.75" customHeight="1" x14ac:dyDescent="0.25">
      <c r="A67" s="10"/>
      <c r="B67" s="10"/>
      <c r="C67" s="190" t="s">
        <v>182</v>
      </c>
      <c r="D67" s="191"/>
      <c r="E67" s="192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1"/>
      <c r="T67" s="9"/>
      <c r="U67" s="10"/>
      <c r="V67" s="10"/>
      <c r="W67" s="10"/>
      <c r="X67" s="9"/>
      <c r="Y67" s="10"/>
      <c r="Z67" s="10"/>
      <c r="AA67" s="10"/>
      <c r="AB67" s="9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9"/>
      <c r="AO67" s="10"/>
      <c r="AP67" s="10"/>
      <c r="AQ67" s="10"/>
      <c r="AR67" s="9"/>
      <c r="AS67" s="10"/>
      <c r="AT67" s="10"/>
      <c r="AU67" s="10"/>
      <c r="AV67" s="9"/>
      <c r="AW67" s="11"/>
      <c r="AX67" s="9"/>
      <c r="AY67" s="9"/>
      <c r="AZ67" s="12"/>
      <c r="BA67" s="10"/>
      <c r="BB67" s="13"/>
      <c r="BC67" s="60"/>
    </row>
    <row r="68" spans="1:55" ht="33.75" customHeight="1" thickBot="1" x14ac:dyDescent="0.3">
      <c r="A68" s="10"/>
      <c r="B68" s="10"/>
      <c r="C68" s="193" t="str">
        <f>AZ11</f>
        <v>AIRE ACONDICIONADOS SPLIT INVERTER</v>
      </c>
      <c r="D68" s="194"/>
      <c r="E68" s="195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1"/>
      <c r="T68" s="9"/>
      <c r="U68" s="10"/>
      <c r="V68" s="10"/>
      <c r="W68" s="10"/>
      <c r="X68" s="9"/>
      <c r="Y68" s="10"/>
      <c r="Z68" s="10"/>
      <c r="AA68" s="10"/>
      <c r="AB68" s="9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9"/>
      <c r="AO68" s="10"/>
      <c r="AP68" s="10"/>
      <c r="AQ68" s="10"/>
      <c r="AR68" s="9"/>
      <c r="AS68" s="10"/>
      <c r="AT68" s="10"/>
      <c r="AU68" s="10"/>
      <c r="AV68" s="9"/>
      <c r="AW68" s="11"/>
      <c r="AX68" s="9"/>
      <c r="AY68" s="9"/>
      <c r="AZ68" s="12"/>
      <c r="BA68" s="10"/>
      <c r="BB68" s="13"/>
    </row>
    <row r="69" spans="1:55" ht="15.75" customHeight="1" thickBot="1" x14ac:dyDescent="0.3">
      <c r="A69" s="10"/>
      <c r="B69" s="10"/>
      <c r="C69" s="181"/>
      <c r="D69" s="58"/>
      <c r="E69" s="58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1"/>
      <c r="T69" s="9"/>
      <c r="U69" s="10"/>
      <c r="V69" s="10"/>
      <c r="W69" s="10"/>
      <c r="X69" s="9"/>
      <c r="Y69" s="10"/>
      <c r="Z69" s="10"/>
      <c r="AA69" s="10"/>
      <c r="AB69" s="9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9"/>
      <c r="AO69" s="10"/>
      <c r="AP69" s="10"/>
      <c r="AQ69" s="10"/>
      <c r="AR69" s="9"/>
      <c r="AS69" s="10"/>
      <c r="AT69" s="10"/>
      <c r="AU69" s="10"/>
      <c r="AV69" s="9"/>
      <c r="AW69" s="11"/>
      <c r="AX69" s="9"/>
      <c r="AY69" s="9"/>
      <c r="AZ69" s="12"/>
      <c r="BA69" s="10"/>
      <c r="BB69" s="13"/>
      <c r="BC69" s="60"/>
    </row>
    <row r="70" spans="1:55" ht="15.75" customHeight="1" x14ac:dyDescent="0.25">
      <c r="A70" s="10"/>
      <c r="B70" s="10"/>
      <c r="C70" s="190" t="s">
        <v>270</v>
      </c>
      <c r="D70" s="191"/>
      <c r="E70" s="192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1"/>
      <c r="T70" s="9"/>
      <c r="U70" s="10"/>
      <c r="V70" s="10"/>
      <c r="W70" s="10"/>
      <c r="X70" s="9"/>
      <c r="Y70" s="10"/>
      <c r="Z70" s="10"/>
      <c r="AA70" s="10"/>
      <c r="AB70" s="9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9"/>
      <c r="AO70" s="10"/>
      <c r="AP70" s="10"/>
      <c r="AQ70" s="10"/>
      <c r="AR70" s="9"/>
      <c r="AS70" s="10"/>
      <c r="AT70" s="10"/>
      <c r="AU70" s="10"/>
      <c r="AV70" s="9"/>
      <c r="AW70" s="11"/>
      <c r="AX70" s="9"/>
      <c r="AY70" s="9"/>
      <c r="AZ70" s="12"/>
      <c r="BA70" s="10"/>
      <c r="BB70" s="13"/>
      <c r="BC70" s="60"/>
    </row>
    <row r="71" spans="1:55" ht="27" customHeight="1" thickBot="1" x14ac:dyDescent="0.3">
      <c r="A71" s="10"/>
      <c r="B71" s="10"/>
      <c r="C71" s="193" t="str">
        <f>AZ12</f>
        <v>Algodón lavable. Color Blanco. Relleno: espuma viscoelástica</v>
      </c>
      <c r="D71" s="194"/>
      <c r="E71" s="195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1"/>
      <c r="T71" s="9"/>
      <c r="U71" s="10"/>
      <c r="V71" s="10"/>
      <c r="W71" s="10"/>
      <c r="X71" s="9"/>
      <c r="Y71" s="10"/>
      <c r="Z71" s="10"/>
      <c r="AA71" s="10"/>
      <c r="AB71" s="9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9"/>
      <c r="AO71" s="10"/>
      <c r="AP71" s="10"/>
      <c r="AQ71" s="10"/>
      <c r="AR71" s="9"/>
      <c r="AS71" s="10"/>
      <c r="AT71" s="10"/>
      <c r="AU71" s="10"/>
      <c r="AV71" s="9"/>
      <c r="AW71" s="11"/>
      <c r="AX71" s="9"/>
      <c r="AY71" s="9"/>
      <c r="AZ71" s="12"/>
      <c r="BA71" s="10"/>
      <c r="BB71" s="13"/>
    </row>
    <row r="72" spans="1:55" ht="15.75" customHeight="1" thickBot="1" x14ac:dyDescent="0.3">
      <c r="A72" s="10"/>
      <c r="B72" s="10"/>
      <c r="C72" s="181"/>
      <c r="D72" s="58"/>
      <c r="E72" s="58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1"/>
      <c r="T72" s="9"/>
      <c r="U72" s="10"/>
      <c r="V72" s="10"/>
      <c r="W72" s="10"/>
      <c r="X72" s="9"/>
      <c r="Y72" s="10"/>
      <c r="Z72" s="10"/>
      <c r="AA72" s="10"/>
      <c r="AB72" s="9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9"/>
      <c r="AO72" s="10"/>
      <c r="AP72" s="10"/>
      <c r="AQ72" s="10"/>
      <c r="AR72" s="9"/>
      <c r="AS72" s="10"/>
      <c r="AT72" s="10"/>
      <c r="AU72" s="10"/>
      <c r="AV72" s="9"/>
      <c r="AW72" s="11"/>
      <c r="AX72" s="9"/>
      <c r="AY72" s="9"/>
      <c r="AZ72" s="12"/>
      <c r="BA72" s="10"/>
      <c r="BB72" s="13"/>
      <c r="BC72" s="60"/>
    </row>
    <row r="73" spans="1:55" ht="15.75" customHeight="1" x14ac:dyDescent="0.25">
      <c r="A73" s="10"/>
      <c r="B73" s="10"/>
      <c r="C73" s="190" t="s">
        <v>271</v>
      </c>
      <c r="D73" s="191"/>
      <c r="E73" s="192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1"/>
      <c r="T73" s="9"/>
      <c r="U73" s="10"/>
      <c r="V73" s="10"/>
      <c r="W73" s="10"/>
      <c r="X73" s="9"/>
      <c r="Y73" s="10"/>
      <c r="Z73" s="10"/>
      <c r="AA73" s="10"/>
      <c r="AB73" s="9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9"/>
      <c r="AO73" s="10"/>
      <c r="AP73" s="10"/>
      <c r="AQ73" s="10"/>
      <c r="AR73" s="9"/>
      <c r="AS73" s="10"/>
      <c r="AT73" s="10"/>
      <c r="AU73" s="10"/>
      <c r="AV73" s="9"/>
      <c r="AW73" s="11"/>
      <c r="AX73" s="9"/>
      <c r="AY73" s="9"/>
      <c r="AZ73" s="12"/>
      <c r="BA73" s="10"/>
      <c r="BB73" s="13"/>
      <c r="BC73" s="60"/>
    </row>
    <row r="74" spans="1:55" ht="15.75" customHeight="1" thickBot="1" x14ac:dyDescent="0.3">
      <c r="A74" s="10"/>
      <c r="B74" s="10"/>
      <c r="C74" s="193" t="str">
        <f>AZ13</f>
        <v>BANQUETA METAL (c/respaldo, Giratoria, 5 patas y ruedas)</v>
      </c>
      <c r="D74" s="194"/>
      <c r="E74" s="195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1"/>
      <c r="T74" s="9"/>
      <c r="U74" s="10"/>
      <c r="V74" s="10"/>
      <c r="W74" s="10"/>
      <c r="X74" s="9"/>
      <c r="Y74" s="10"/>
      <c r="Z74" s="10"/>
      <c r="AA74" s="10"/>
      <c r="AB74" s="9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9"/>
      <c r="AO74" s="10"/>
      <c r="AP74" s="10"/>
      <c r="AQ74" s="10"/>
      <c r="AR74" s="9"/>
      <c r="AS74" s="10"/>
      <c r="AT74" s="10"/>
      <c r="AU74" s="10"/>
      <c r="AV74" s="9"/>
      <c r="AW74" s="11"/>
      <c r="AX74" s="9"/>
      <c r="AY74" s="9"/>
      <c r="AZ74" s="12"/>
      <c r="BA74" s="10"/>
      <c r="BB74" s="13"/>
    </row>
    <row r="75" spans="1:55" ht="15.75" customHeight="1" thickBot="1" x14ac:dyDescent="0.3">
      <c r="A75" s="10"/>
      <c r="B75" s="10"/>
      <c r="C75" s="181"/>
      <c r="D75" s="58"/>
      <c r="E75" s="58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1"/>
      <c r="T75" s="9"/>
      <c r="U75" s="10"/>
      <c r="V75" s="10"/>
      <c r="W75" s="10"/>
      <c r="X75" s="9"/>
      <c r="Y75" s="10"/>
      <c r="Z75" s="10"/>
      <c r="AA75" s="10"/>
      <c r="AB75" s="9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9"/>
      <c r="AO75" s="10"/>
      <c r="AP75" s="10"/>
      <c r="AQ75" s="10"/>
      <c r="AR75" s="9"/>
      <c r="AS75" s="10"/>
      <c r="AT75" s="10"/>
      <c r="AU75" s="10"/>
      <c r="AV75" s="9"/>
      <c r="AW75" s="11"/>
      <c r="AX75" s="9"/>
      <c r="AY75" s="9"/>
      <c r="AZ75" s="12"/>
      <c r="BA75" s="10"/>
      <c r="BB75" s="13"/>
      <c r="BC75" s="60"/>
    </row>
    <row r="76" spans="1:55" ht="15.75" customHeight="1" x14ac:dyDescent="0.25">
      <c r="A76" s="10"/>
      <c r="B76" s="10"/>
      <c r="C76" s="190" t="s">
        <v>272</v>
      </c>
      <c r="D76" s="191"/>
      <c r="E76" s="192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1"/>
      <c r="T76" s="9"/>
      <c r="U76" s="10"/>
      <c r="V76" s="10"/>
      <c r="W76" s="10"/>
      <c r="X76" s="9"/>
      <c r="Y76" s="10"/>
      <c r="Z76" s="10"/>
      <c r="AA76" s="10"/>
      <c r="AB76" s="9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9"/>
      <c r="AO76" s="10"/>
      <c r="AP76" s="10"/>
      <c r="AQ76" s="10"/>
      <c r="AR76" s="9"/>
      <c r="AS76" s="10"/>
      <c r="AT76" s="10"/>
      <c r="AU76" s="10"/>
      <c r="AV76" s="9"/>
      <c r="AW76" s="11"/>
      <c r="AX76" s="9"/>
      <c r="AY76" s="9"/>
      <c r="AZ76" s="12"/>
      <c r="BA76" s="10"/>
      <c r="BB76" s="13"/>
      <c r="BC76" s="60"/>
    </row>
    <row r="77" spans="1:55" ht="25.5" customHeight="1" thickBot="1" x14ac:dyDescent="0.3">
      <c r="A77" s="10"/>
      <c r="B77" s="10"/>
      <c r="C77" s="193" t="str">
        <f>AZ14</f>
        <v>BANQUETA METAL (s/respaldo, Fija, 4 patas y sin ruedas)</v>
      </c>
      <c r="D77" s="194"/>
      <c r="E77" s="195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1"/>
      <c r="T77" s="9"/>
      <c r="U77" s="10"/>
      <c r="V77" s="10"/>
      <c r="W77" s="10"/>
      <c r="X77" s="9"/>
      <c r="Y77" s="10"/>
      <c r="Z77" s="10"/>
      <c r="AA77" s="10"/>
      <c r="AB77" s="9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9"/>
      <c r="AO77" s="10"/>
      <c r="AP77" s="10"/>
      <c r="AQ77" s="10"/>
      <c r="AR77" s="9"/>
      <c r="AS77" s="10"/>
      <c r="AT77" s="10"/>
      <c r="AU77" s="10"/>
      <c r="AV77" s="9"/>
      <c r="AW77" s="11"/>
      <c r="AX77" s="9"/>
      <c r="AY77" s="9"/>
      <c r="AZ77" s="12"/>
      <c r="BA77" s="10"/>
      <c r="BB77" s="13"/>
    </row>
    <row r="78" spans="1:55" ht="15.75" customHeight="1" thickBot="1" x14ac:dyDescent="0.3">
      <c r="A78" s="10"/>
      <c r="B78" s="10"/>
      <c r="C78" s="181"/>
      <c r="D78" s="58"/>
      <c r="E78" s="58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1"/>
      <c r="T78" s="9"/>
      <c r="U78" s="10"/>
      <c r="V78" s="10"/>
      <c r="W78" s="10"/>
      <c r="X78" s="9"/>
      <c r="Y78" s="10"/>
      <c r="Z78" s="10"/>
      <c r="AA78" s="10"/>
      <c r="AB78" s="9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9"/>
      <c r="AO78" s="10"/>
      <c r="AP78" s="10"/>
      <c r="AQ78" s="10"/>
      <c r="AR78" s="9"/>
      <c r="AS78" s="10"/>
      <c r="AT78" s="10"/>
      <c r="AU78" s="10"/>
      <c r="AV78" s="9"/>
      <c r="AW78" s="11"/>
      <c r="AX78" s="9"/>
      <c r="AY78" s="9"/>
      <c r="AZ78" s="12"/>
      <c r="BA78" s="10"/>
      <c r="BB78" s="13"/>
      <c r="BC78" s="60"/>
    </row>
    <row r="79" spans="1:55" ht="15.75" customHeight="1" x14ac:dyDescent="0.25">
      <c r="A79" s="10"/>
      <c r="B79" s="10"/>
      <c r="C79" s="190" t="s">
        <v>273</v>
      </c>
      <c r="D79" s="191"/>
      <c r="E79" s="192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1"/>
      <c r="T79" s="9"/>
      <c r="U79" s="10"/>
      <c r="V79" s="10"/>
      <c r="W79" s="10"/>
      <c r="X79" s="9"/>
      <c r="Y79" s="10"/>
      <c r="Z79" s="10"/>
      <c r="AA79" s="10"/>
      <c r="AB79" s="9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9"/>
      <c r="AO79" s="10"/>
      <c r="AP79" s="10"/>
      <c r="AQ79" s="10"/>
      <c r="AR79" s="9"/>
      <c r="AS79" s="10"/>
      <c r="AT79" s="10"/>
      <c r="AU79" s="10"/>
      <c r="AV79" s="9"/>
      <c r="AW79" s="11"/>
      <c r="AX79" s="9"/>
      <c r="AY79" s="9"/>
      <c r="AZ79" s="12"/>
      <c r="BA79" s="10"/>
      <c r="BB79" s="13"/>
      <c r="BC79" s="60"/>
    </row>
    <row r="80" spans="1:55" ht="24" customHeight="1" thickBot="1" x14ac:dyDescent="0.3">
      <c r="A80" s="10"/>
      <c r="B80" s="10"/>
      <c r="C80" s="193" t="str">
        <f>AZ15</f>
        <v>BIBLIOTECA (Melamina, 2 puertas) Estantes: 5</v>
      </c>
      <c r="D80" s="194"/>
      <c r="E80" s="195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1"/>
      <c r="T80" s="9"/>
      <c r="U80" s="10"/>
      <c r="V80" s="10"/>
      <c r="W80" s="10"/>
      <c r="X80" s="9"/>
      <c r="Y80" s="10"/>
      <c r="Z80" s="10"/>
      <c r="AA80" s="10"/>
      <c r="AB80" s="9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9"/>
      <c r="AO80" s="10"/>
      <c r="AP80" s="10"/>
      <c r="AQ80" s="10"/>
      <c r="AR80" s="9"/>
      <c r="AS80" s="10"/>
      <c r="AT80" s="10"/>
      <c r="AU80" s="10"/>
      <c r="AV80" s="9"/>
      <c r="AW80" s="11"/>
      <c r="AX80" s="9"/>
      <c r="AY80" s="9"/>
      <c r="AZ80" s="12"/>
      <c r="BA80" s="10"/>
      <c r="BB80" s="13"/>
    </row>
    <row r="81" spans="1:55" ht="15.75" customHeight="1" thickBot="1" x14ac:dyDescent="0.3">
      <c r="A81" s="10"/>
      <c r="B81" s="10"/>
      <c r="C81" s="181"/>
      <c r="D81" s="58"/>
      <c r="E81" s="58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1"/>
      <c r="T81" s="9"/>
      <c r="U81" s="10"/>
      <c r="V81" s="10"/>
      <c r="W81" s="10"/>
      <c r="X81" s="9"/>
      <c r="Y81" s="10"/>
      <c r="Z81" s="10"/>
      <c r="AA81" s="10"/>
      <c r="AB81" s="9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9"/>
      <c r="AO81" s="10"/>
      <c r="AP81" s="10"/>
      <c r="AQ81" s="10"/>
      <c r="AR81" s="9"/>
      <c r="AS81" s="10"/>
      <c r="AT81" s="10"/>
      <c r="AU81" s="10"/>
      <c r="AV81" s="9"/>
      <c r="AW81" s="11"/>
      <c r="AX81" s="9"/>
      <c r="AY81" s="9"/>
      <c r="AZ81" s="12"/>
      <c r="BA81" s="10"/>
      <c r="BB81" s="13"/>
      <c r="BC81" s="60"/>
    </row>
    <row r="82" spans="1:55" ht="15.75" customHeight="1" x14ac:dyDescent="0.25">
      <c r="A82" s="10"/>
      <c r="B82" s="10"/>
      <c r="C82" s="190" t="s">
        <v>274</v>
      </c>
      <c r="D82" s="191"/>
      <c r="E82" s="192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1"/>
      <c r="T82" s="9"/>
      <c r="U82" s="10"/>
      <c r="V82" s="10"/>
      <c r="W82" s="10"/>
      <c r="X82" s="9"/>
      <c r="Y82" s="10"/>
      <c r="Z82" s="10"/>
      <c r="AA82" s="10"/>
      <c r="AB82" s="9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9"/>
      <c r="AO82" s="10"/>
      <c r="AP82" s="10"/>
      <c r="AQ82" s="10"/>
      <c r="AR82" s="9"/>
      <c r="AS82" s="10"/>
      <c r="AT82" s="10"/>
      <c r="AU82" s="10"/>
      <c r="AV82" s="9"/>
      <c r="AW82" s="11"/>
      <c r="AX82" s="9"/>
      <c r="AY82" s="9"/>
      <c r="AZ82" s="12"/>
      <c r="BA82" s="10"/>
      <c r="BB82" s="13"/>
    </row>
    <row r="83" spans="1:55" ht="15.75" customHeight="1" thickBot="1" x14ac:dyDescent="0.3">
      <c r="A83" s="10"/>
      <c r="B83" s="10"/>
      <c r="C83" s="193" t="str">
        <f>AZ16</f>
        <v>Biombos sanitarios con estructura metálica protegida por pintura epoxi, con ruedas de plástico y cuerpo de tela refrozada</v>
      </c>
      <c r="D83" s="194"/>
      <c r="E83" s="195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1"/>
      <c r="T83" s="9"/>
      <c r="U83" s="10"/>
      <c r="V83" s="10"/>
      <c r="W83" s="10"/>
      <c r="X83" s="9"/>
      <c r="Y83" s="10"/>
      <c r="Z83" s="10"/>
      <c r="AA83" s="10"/>
      <c r="AB83" s="9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9"/>
      <c r="AO83" s="10"/>
      <c r="AP83" s="10"/>
      <c r="AQ83" s="10"/>
      <c r="AR83" s="9"/>
      <c r="AS83" s="10"/>
      <c r="AT83" s="10"/>
      <c r="AU83" s="10"/>
      <c r="AV83" s="9"/>
      <c r="AW83" s="11"/>
      <c r="AX83" s="9"/>
      <c r="AY83" s="9"/>
      <c r="AZ83" s="12"/>
      <c r="BA83" s="10"/>
      <c r="BB83" s="13"/>
    </row>
    <row r="84" spans="1:55" ht="15.75" customHeight="1" thickBot="1" x14ac:dyDescent="0.3">
      <c r="A84" s="10"/>
      <c r="B84" s="10"/>
      <c r="C84" s="181"/>
      <c r="D84" s="58"/>
      <c r="E84" s="58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1"/>
      <c r="T84" s="9"/>
      <c r="U84" s="10"/>
      <c r="V84" s="10"/>
      <c r="W84" s="10"/>
      <c r="X84" s="9"/>
      <c r="Y84" s="10"/>
      <c r="Z84" s="10"/>
      <c r="AA84" s="10"/>
      <c r="AB84" s="9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9"/>
      <c r="AO84" s="10"/>
      <c r="AP84" s="10"/>
      <c r="AQ84" s="10"/>
      <c r="AR84" s="9"/>
      <c r="AS84" s="10"/>
      <c r="AT84" s="10"/>
      <c r="AU84" s="10"/>
      <c r="AV84" s="9"/>
      <c r="AW84" s="11"/>
      <c r="AX84" s="9"/>
      <c r="AY84" s="9"/>
      <c r="AZ84" s="12"/>
      <c r="BA84" s="10"/>
      <c r="BB84" s="13"/>
      <c r="BC84" s="60"/>
    </row>
    <row r="85" spans="1:55" ht="15.75" customHeight="1" x14ac:dyDescent="0.25">
      <c r="A85" s="10"/>
      <c r="B85" s="10"/>
      <c r="C85" s="190" t="s">
        <v>275</v>
      </c>
      <c r="D85" s="191"/>
      <c r="E85" s="192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1"/>
      <c r="T85" s="9"/>
      <c r="U85" s="10"/>
      <c r="V85" s="10"/>
      <c r="W85" s="10"/>
      <c r="X85" s="9"/>
      <c r="Y85" s="10"/>
      <c r="Z85" s="10"/>
      <c r="AA85" s="10"/>
      <c r="AB85" s="9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9"/>
      <c r="AO85" s="10"/>
      <c r="AP85" s="10"/>
      <c r="AQ85" s="10"/>
      <c r="AR85" s="9"/>
      <c r="AS85" s="10"/>
      <c r="AT85" s="10"/>
      <c r="AU85" s="10"/>
      <c r="AV85" s="9"/>
      <c r="AW85" s="11"/>
      <c r="AX85" s="9"/>
      <c r="AY85" s="9"/>
      <c r="AZ85" s="12"/>
      <c r="BA85" s="10"/>
      <c r="BB85" s="13"/>
    </row>
    <row r="86" spans="1:55" ht="15.75" customHeight="1" thickBot="1" x14ac:dyDescent="0.3">
      <c r="A86" s="10"/>
      <c r="B86" s="10"/>
      <c r="C86" s="193" t="str">
        <f>AZ17</f>
        <v>CALOVENTOR (1800 W)</v>
      </c>
      <c r="D86" s="194"/>
      <c r="E86" s="195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1"/>
      <c r="T86" s="9"/>
      <c r="U86" s="10"/>
      <c r="V86" s="10"/>
      <c r="W86" s="10"/>
      <c r="X86" s="9"/>
      <c r="Y86" s="10"/>
      <c r="Z86" s="10"/>
      <c r="AA86" s="10"/>
      <c r="AB86" s="9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9"/>
      <c r="AO86" s="10"/>
      <c r="AP86" s="10"/>
      <c r="AQ86" s="10"/>
      <c r="AR86" s="9"/>
      <c r="AS86" s="10"/>
      <c r="AT86" s="10"/>
      <c r="AU86" s="10"/>
      <c r="AV86" s="9"/>
      <c r="AW86" s="11"/>
      <c r="AX86" s="9"/>
      <c r="AY86" s="9"/>
      <c r="AZ86" s="12"/>
      <c r="BA86" s="10"/>
      <c r="BB86" s="13"/>
    </row>
    <row r="87" spans="1:55" ht="15.75" customHeight="1" thickBot="1" x14ac:dyDescent="0.3">
      <c r="A87" s="10"/>
      <c r="B87" s="10"/>
      <c r="C87" s="47"/>
      <c r="D87" s="47"/>
      <c r="E87" s="47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1"/>
      <c r="T87" s="9"/>
      <c r="U87" s="10"/>
      <c r="V87" s="10"/>
      <c r="W87" s="10"/>
      <c r="X87" s="9"/>
      <c r="Y87" s="10"/>
      <c r="Z87" s="10"/>
      <c r="AA87" s="10"/>
      <c r="AB87" s="9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9"/>
      <c r="AO87" s="10"/>
      <c r="AP87" s="10"/>
      <c r="AQ87" s="10"/>
      <c r="AR87" s="9"/>
      <c r="AS87" s="10"/>
      <c r="AT87" s="10"/>
      <c r="AU87" s="10"/>
      <c r="AV87" s="9"/>
      <c r="AW87" s="11"/>
      <c r="AX87" s="9"/>
      <c r="AY87" s="9"/>
      <c r="AZ87" s="12"/>
      <c r="BA87" s="10"/>
      <c r="BB87" s="13"/>
    </row>
    <row r="88" spans="1:55" ht="15.75" customHeight="1" x14ac:dyDescent="0.25">
      <c r="A88" s="10"/>
      <c r="B88" s="10"/>
      <c r="C88" s="190" t="s">
        <v>276</v>
      </c>
      <c r="D88" s="191"/>
      <c r="E88" s="192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1"/>
      <c r="T88" s="9"/>
      <c r="U88" s="10"/>
      <c r="V88" s="10"/>
      <c r="W88" s="10"/>
      <c r="X88" s="9"/>
      <c r="Y88" s="10"/>
      <c r="Z88" s="10"/>
      <c r="AA88" s="10"/>
      <c r="AB88" s="9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9"/>
      <c r="AO88" s="10"/>
      <c r="AP88" s="10"/>
      <c r="AQ88" s="10"/>
      <c r="AR88" s="9"/>
      <c r="AS88" s="10"/>
      <c r="AT88" s="10"/>
      <c r="AU88" s="10"/>
      <c r="AV88" s="9"/>
      <c r="AW88" s="11"/>
      <c r="AX88" s="9"/>
      <c r="AY88" s="9"/>
      <c r="AZ88" s="12"/>
      <c r="BA88" s="10"/>
      <c r="BB88" s="13"/>
    </row>
    <row r="89" spans="1:55" ht="15.75" customHeight="1" thickBot="1" x14ac:dyDescent="0.3">
      <c r="A89" s="10"/>
      <c r="B89" s="10"/>
      <c r="C89" s="193" t="str">
        <f>AZ18</f>
        <v>CAMA Madera (1 plaza)</v>
      </c>
      <c r="D89" s="194"/>
      <c r="E89" s="195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1"/>
      <c r="T89" s="9"/>
      <c r="U89" s="10"/>
      <c r="V89" s="10"/>
      <c r="W89" s="10"/>
      <c r="X89" s="9"/>
      <c r="Y89" s="10"/>
      <c r="Z89" s="10"/>
      <c r="AA89" s="10"/>
      <c r="AB89" s="9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9"/>
      <c r="AO89" s="10"/>
      <c r="AP89" s="10"/>
      <c r="AQ89" s="10"/>
      <c r="AR89" s="9"/>
      <c r="AS89" s="10"/>
      <c r="AT89" s="10"/>
      <c r="AU89" s="10"/>
      <c r="AV89" s="9"/>
      <c r="AW89" s="11"/>
      <c r="AX89" s="9"/>
      <c r="AY89" s="9"/>
      <c r="AZ89" s="12"/>
      <c r="BA89" s="10"/>
      <c r="BB89" s="13"/>
    </row>
    <row r="90" spans="1:55" ht="15.75" customHeight="1" thickBot="1" x14ac:dyDescent="0.3">
      <c r="A90" s="10"/>
      <c r="B90" s="10"/>
      <c r="C90" s="181"/>
      <c r="D90" s="58"/>
      <c r="E90" s="58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1"/>
      <c r="T90" s="9"/>
      <c r="U90" s="10"/>
      <c r="V90" s="10"/>
      <c r="W90" s="10"/>
      <c r="X90" s="9"/>
      <c r="Y90" s="10"/>
      <c r="Z90" s="10"/>
      <c r="AA90" s="10"/>
      <c r="AB90" s="9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9"/>
      <c r="AO90" s="10"/>
      <c r="AP90" s="10"/>
      <c r="AQ90" s="10"/>
      <c r="AR90" s="9"/>
      <c r="AS90" s="10"/>
      <c r="AT90" s="10"/>
      <c r="AU90" s="10"/>
      <c r="AV90" s="9"/>
      <c r="AW90" s="11"/>
      <c r="AX90" s="9"/>
      <c r="AY90" s="9"/>
      <c r="AZ90" s="12"/>
      <c r="BA90" s="10"/>
      <c r="BB90" s="13"/>
    </row>
    <row r="91" spans="1:55" ht="15.75" customHeight="1" x14ac:dyDescent="0.25">
      <c r="A91" s="10"/>
      <c r="B91" s="10"/>
      <c r="C91" s="190" t="s">
        <v>277</v>
      </c>
      <c r="D91" s="191"/>
      <c r="E91" s="192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1"/>
      <c r="T91" s="9"/>
      <c r="U91" s="10"/>
      <c r="V91" s="10"/>
      <c r="W91" s="10"/>
      <c r="X91" s="9"/>
      <c r="Y91" s="10"/>
      <c r="Z91" s="10"/>
      <c r="AA91" s="10"/>
      <c r="AB91" s="9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9"/>
      <c r="AO91" s="10"/>
      <c r="AP91" s="10"/>
      <c r="AQ91" s="10"/>
      <c r="AR91" s="9"/>
      <c r="AS91" s="10"/>
      <c r="AT91" s="10"/>
      <c r="AU91" s="10"/>
      <c r="AV91" s="9"/>
      <c r="AW91" s="11"/>
      <c r="AX91" s="9"/>
      <c r="AY91" s="9"/>
      <c r="AZ91" s="12"/>
      <c r="BA91" s="10"/>
      <c r="BB91" s="13"/>
    </row>
    <row r="92" spans="1:55" ht="15.75" customHeight="1" thickBot="1" x14ac:dyDescent="0.3">
      <c r="A92" s="10"/>
      <c r="B92" s="10"/>
      <c r="C92" s="193" t="str">
        <f>AZ19</f>
        <v>COLCHONES (1 plaza)</v>
      </c>
      <c r="D92" s="194"/>
      <c r="E92" s="195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1"/>
      <c r="T92" s="9"/>
      <c r="U92" s="10"/>
      <c r="V92" s="10"/>
      <c r="W92" s="10"/>
      <c r="X92" s="9"/>
      <c r="Y92" s="10"/>
      <c r="Z92" s="10"/>
      <c r="AA92" s="10"/>
      <c r="AB92" s="9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9"/>
      <c r="AO92" s="10"/>
      <c r="AP92" s="10"/>
      <c r="AQ92" s="10"/>
      <c r="AR92" s="9"/>
      <c r="AS92" s="10"/>
      <c r="AT92" s="10"/>
      <c r="AU92" s="10"/>
      <c r="AV92" s="9"/>
      <c r="AW92" s="11"/>
      <c r="AX92" s="9"/>
      <c r="AY92" s="9"/>
      <c r="AZ92" s="12"/>
      <c r="BA92" s="10"/>
      <c r="BB92" s="13"/>
    </row>
    <row r="93" spans="1:55" ht="15.75" customHeight="1" thickBot="1" x14ac:dyDescent="0.3">
      <c r="A93" s="10"/>
      <c r="B93" s="10"/>
      <c r="C93" s="181"/>
      <c r="D93" s="58"/>
      <c r="E93" s="58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1"/>
      <c r="T93" s="9"/>
      <c r="U93" s="10"/>
      <c r="V93" s="10"/>
      <c r="W93" s="10"/>
      <c r="X93" s="9"/>
      <c r="Y93" s="10"/>
      <c r="Z93" s="10"/>
      <c r="AA93" s="10"/>
      <c r="AB93" s="9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9"/>
      <c r="AO93" s="10"/>
      <c r="AP93" s="10"/>
      <c r="AQ93" s="10"/>
      <c r="AR93" s="9"/>
      <c r="AS93" s="10"/>
      <c r="AT93" s="10"/>
      <c r="AU93" s="10"/>
      <c r="AV93" s="9"/>
      <c r="AW93" s="11"/>
      <c r="AX93" s="9"/>
      <c r="AY93" s="9"/>
      <c r="AZ93" s="12"/>
      <c r="BA93" s="10"/>
      <c r="BB93" s="13"/>
    </row>
    <row r="94" spans="1:55" ht="15.75" customHeight="1" x14ac:dyDescent="0.25">
      <c r="A94" s="10"/>
      <c r="B94" s="10"/>
      <c r="C94" s="190" t="s">
        <v>278</v>
      </c>
      <c r="D94" s="191"/>
      <c r="E94" s="192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1"/>
      <c r="T94" s="9"/>
      <c r="U94" s="10"/>
      <c r="V94" s="10"/>
      <c r="W94" s="10"/>
      <c r="X94" s="9"/>
      <c r="Y94" s="10"/>
      <c r="Z94" s="10"/>
      <c r="AA94" s="10"/>
      <c r="AB94" s="9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9"/>
      <c r="AO94" s="10"/>
      <c r="AP94" s="10"/>
      <c r="AQ94" s="10"/>
      <c r="AR94" s="9"/>
      <c r="AS94" s="10"/>
      <c r="AT94" s="10"/>
      <c r="AU94" s="10"/>
      <c r="AV94" s="9"/>
      <c r="AW94" s="11"/>
      <c r="AX94" s="9"/>
      <c r="AY94" s="9"/>
      <c r="AZ94" s="12"/>
      <c r="BA94" s="10"/>
      <c r="BB94" s="13"/>
    </row>
    <row r="95" spans="1:55" ht="15.75" customHeight="1" thickBot="1" x14ac:dyDescent="0.3">
      <c r="A95" s="10"/>
      <c r="B95" s="10"/>
      <c r="C95" s="193" t="str">
        <f>AZ20</f>
        <v xml:space="preserve">ACOLCHADO Cubrecama Nido de abeja (1, 1/2 plaza), color beige, material: 70% algodón - 30% poliester, uso: hospitalario. </v>
      </c>
      <c r="D95" s="194"/>
      <c r="E95" s="195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1"/>
      <c r="T95" s="9"/>
      <c r="U95" s="10"/>
      <c r="V95" s="10"/>
      <c r="W95" s="10"/>
      <c r="X95" s="9"/>
      <c r="Y95" s="10"/>
      <c r="Z95" s="10"/>
      <c r="AA95" s="10"/>
      <c r="AB95" s="9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9"/>
      <c r="AO95" s="10"/>
      <c r="AP95" s="10"/>
      <c r="AQ95" s="10"/>
      <c r="AR95" s="9"/>
      <c r="AS95" s="10"/>
      <c r="AT95" s="10"/>
      <c r="AU95" s="10"/>
      <c r="AV95" s="9"/>
      <c r="AW95" s="11"/>
      <c r="AX95" s="9"/>
      <c r="AY95" s="9"/>
      <c r="AZ95" s="12"/>
      <c r="BA95" s="10"/>
      <c r="BB95" s="13"/>
    </row>
    <row r="96" spans="1:55" ht="15.75" customHeight="1" thickBot="1" x14ac:dyDescent="0.3">
      <c r="A96" s="10"/>
      <c r="B96" s="10"/>
      <c r="C96" s="181"/>
      <c r="D96" s="58"/>
      <c r="E96" s="58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1"/>
      <c r="T96" s="9"/>
      <c r="U96" s="10"/>
      <c r="V96" s="10"/>
      <c r="W96" s="10"/>
      <c r="X96" s="9"/>
      <c r="Y96" s="10"/>
      <c r="Z96" s="10"/>
      <c r="AA96" s="10"/>
      <c r="AB96" s="9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9"/>
      <c r="AO96" s="10"/>
      <c r="AP96" s="10"/>
      <c r="AQ96" s="10"/>
      <c r="AR96" s="9"/>
      <c r="AS96" s="10"/>
      <c r="AT96" s="10"/>
      <c r="AU96" s="10"/>
      <c r="AV96" s="9"/>
      <c r="AW96" s="11"/>
      <c r="AX96" s="9"/>
      <c r="AY96" s="9"/>
      <c r="AZ96" s="12"/>
      <c r="BA96" s="10"/>
      <c r="BB96" s="13"/>
    </row>
    <row r="97" spans="1:54" ht="15.75" customHeight="1" x14ac:dyDescent="0.25">
      <c r="A97" s="10"/>
      <c r="B97" s="10"/>
      <c r="C97" s="190" t="s">
        <v>279</v>
      </c>
      <c r="D97" s="191"/>
      <c r="E97" s="192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1"/>
      <c r="T97" s="9"/>
      <c r="U97" s="10"/>
      <c r="V97" s="10"/>
      <c r="W97" s="10"/>
      <c r="X97" s="9"/>
      <c r="Y97" s="10"/>
      <c r="Z97" s="10"/>
      <c r="AA97" s="10"/>
      <c r="AB97" s="9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9"/>
      <c r="AO97" s="10"/>
      <c r="AP97" s="10"/>
      <c r="AQ97" s="10"/>
      <c r="AR97" s="9"/>
      <c r="AS97" s="10"/>
      <c r="AT97" s="10"/>
      <c r="AU97" s="10"/>
      <c r="AV97" s="9"/>
      <c r="AW97" s="11"/>
      <c r="AX97" s="9"/>
      <c r="AY97" s="9"/>
      <c r="AZ97" s="12"/>
      <c r="BA97" s="10"/>
      <c r="BB97" s="13"/>
    </row>
    <row r="98" spans="1:54" ht="15.75" customHeight="1" thickBot="1" x14ac:dyDescent="0.3">
      <c r="A98" s="10"/>
      <c r="B98" s="10"/>
      <c r="C98" s="193" t="str">
        <f>AZ21</f>
        <v>ESCALERA de Apoyo (2 peldaños)</v>
      </c>
      <c r="D98" s="194"/>
      <c r="E98" s="195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1"/>
      <c r="T98" s="9"/>
      <c r="U98" s="10"/>
      <c r="V98" s="10"/>
      <c r="W98" s="10"/>
      <c r="X98" s="9"/>
      <c r="Y98" s="10"/>
      <c r="Z98" s="10"/>
      <c r="AA98" s="10"/>
      <c r="AB98" s="9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9"/>
      <c r="AO98" s="10"/>
      <c r="AP98" s="10"/>
      <c r="AQ98" s="10"/>
      <c r="AR98" s="9"/>
      <c r="AS98" s="10"/>
      <c r="AT98" s="10"/>
      <c r="AU98" s="10"/>
      <c r="AV98" s="9"/>
      <c r="AW98" s="11"/>
      <c r="AX98" s="9"/>
      <c r="AY98" s="9"/>
      <c r="AZ98" s="12"/>
      <c r="BA98" s="10"/>
      <c r="BB98" s="13"/>
    </row>
    <row r="99" spans="1:54" ht="15.75" customHeight="1" thickBot="1" x14ac:dyDescent="0.3">
      <c r="A99" s="10"/>
      <c r="B99" s="10"/>
      <c r="C99" s="181"/>
      <c r="D99" s="58"/>
      <c r="E99" s="58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1"/>
      <c r="T99" s="9"/>
      <c r="U99" s="10"/>
      <c r="V99" s="10"/>
      <c r="W99" s="10"/>
      <c r="X99" s="9"/>
      <c r="Y99" s="10"/>
      <c r="Z99" s="10"/>
      <c r="AA99" s="10"/>
      <c r="AB99" s="9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9"/>
      <c r="AO99" s="10"/>
      <c r="AP99" s="10"/>
      <c r="AQ99" s="10"/>
      <c r="AR99" s="9"/>
      <c r="AS99" s="10"/>
      <c r="AT99" s="10"/>
      <c r="AU99" s="10"/>
      <c r="AV99" s="9"/>
      <c r="AW99" s="11"/>
      <c r="AX99" s="9"/>
      <c r="AY99" s="9"/>
      <c r="AZ99" s="12"/>
      <c r="BA99" s="10"/>
      <c r="BB99" s="13"/>
    </row>
    <row r="100" spans="1:54" ht="15.75" customHeight="1" x14ac:dyDescent="0.25">
      <c r="A100" s="10"/>
      <c r="B100" s="10"/>
      <c r="C100" s="190" t="s">
        <v>280</v>
      </c>
      <c r="D100" s="191"/>
      <c r="E100" s="192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1"/>
      <c r="T100" s="9"/>
      <c r="U100" s="10"/>
      <c r="V100" s="10"/>
      <c r="W100" s="10"/>
      <c r="X100" s="9"/>
      <c r="Y100" s="10"/>
      <c r="Z100" s="10"/>
      <c r="AA100" s="10"/>
      <c r="AB100" s="9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9"/>
      <c r="AO100" s="10"/>
      <c r="AP100" s="10"/>
      <c r="AQ100" s="10"/>
      <c r="AR100" s="9"/>
      <c r="AS100" s="10"/>
      <c r="AT100" s="10"/>
      <c r="AU100" s="10"/>
      <c r="AV100" s="9"/>
      <c r="AW100" s="11"/>
      <c r="AX100" s="9"/>
      <c r="AY100" s="9"/>
      <c r="AZ100" s="12"/>
      <c r="BA100" s="10"/>
      <c r="BB100" s="13"/>
    </row>
    <row r="101" spans="1:54" ht="15.75" customHeight="1" thickBot="1" x14ac:dyDescent="0.3">
      <c r="A101" s="10"/>
      <c r="B101" s="10"/>
      <c r="C101" s="193" t="str">
        <f>AZ22</f>
        <v>ESCRITORIO (Aglomerado, terminación melamina, c/3 cajones y bandeja portateclado)</v>
      </c>
      <c r="D101" s="194"/>
      <c r="E101" s="195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1"/>
      <c r="T101" s="9"/>
      <c r="U101" s="10"/>
      <c r="V101" s="10"/>
      <c r="W101" s="10"/>
      <c r="X101" s="9"/>
      <c r="Y101" s="10"/>
      <c r="Z101" s="10"/>
      <c r="AA101" s="10"/>
      <c r="AB101" s="9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9"/>
      <c r="AO101" s="10"/>
      <c r="AP101" s="10"/>
      <c r="AQ101" s="10"/>
      <c r="AR101" s="9"/>
      <c r="AS101" s="10"/>
      <c r="AT101" s="10"/>
      <c r="AU101" s="10"/>
      <c r="AV101" s="9"/>
      <c r="AW101" s="11"/>
      <c r="AX101" s="9"/>
      <c r="AY101" s="9"/>
      <c r="AZ101" s="12"/>
      <c r="BA101" s="10"/>
      <c r="BB101" s="13"/>
    </row>
    <row r="102" spans="1:54" ht="15.75" customHeight="1" thickBot="1" x14ac:dyDescent="0.3">
      <c r="A102" s="10"/>
      <c r="B102" s="10"/>
      <c r="C102" s="181"/>
      <c r="D102" s="58"/>
      <c r="E102" s="58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1"/>
      <c r="T102" s="9"/>
      <c r="U102" s="10"/>
      <c r="V102" s="10"/>
      <c r="W102" s="10"/>
      <c r="X102" s="9"/>
      <c r="Y102" s="10"/>
      <c r="Z102" s="10"/>
      <c r="AA102" s="10"/>
      <c r="AB102" s="9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9"/>
      <c r="AO102" s="10"/>
      <c r="AP102" s="10"/>
      <c r="AQ102" s="10"/>
      <c r="AR102" s="9"/>
      <c r="AS102" s="10"/>
      <c r="AT102" s="10"/>
      <c r="AU102" s="10"/>
      <c r="AV102" s="9"/>
      <c r="AW102" s="11"/>
      <c r="AX102" s="9"/>
      <c r="AY102" s="9"/>
      <c r="AZ102" s="12"/>
      <c r="BA102" s="10"/>
      <c r="BB102" s="13"/>
    </row>
    <row r="103" spans="1:54" ht="15" customHeight="1" x14ac:dyDescent="0.25">
      <c r="C103" s="190" t="s">
        <v>281</v>
      </c>
      <c r="D103" s="191"/>
      <c r="E103" s="192"/>
    </row>
    <row r="104" spans="1:54" ht="15" customHeight="1" thickBot="1" x14ac:dyDescent="0.3">
      <c r="C104" s="193" t="str">
        <f>AZ23</f>
        <v>ESCRITORIO (Aglomerado, terminación melamina, c/4 cajones) con bandeja porta teclado corredizo y pasacables</v>
      </c>
      <c r="D104" s="194"/>
      <c r="E104" s="195"/>
    </row>
    <row r="105" spans="1:54" ht="15" customHeight="1" thickBot="1" x14ac:dyDescent="0.3">
      <c r="C105" s="182"/>
      <c r="D105" s="182"/>
      <c r="E105" s="182"/>
    </row>
    <row r="106" spans="1:54" ht="15" customHeight="1" x14ac:dyDescent="0.25">
      <c r="C106" s="190" t="s">
        <v>282</v>
      </c>
      <c r="D106" s="191"/>
      <c r="E106" s="192"/>
    </row>
    <row r="107" spans="1:54" ht="15" customHeight="1" thickBot="1" x14ac:dyDescent="0.3">
      <c r="C107" s="193" t="str">
        <f>AZ24</f>
        <v>ESTANTERIA METALICA (6 Estantes) (Alt.xAnc.xProf.=260x205x60cm)</v>
      </c>
      <c r="D107" s="194"/>
      <c r="E107" s="195"/>
    </row>
    <row r="108" spans="1:54" ht="15" customHeight="1" thickBot="1" x14ac:dyDescent="0.3">
      <c r="C108" s="47"/>
      <c r="D108" s="47"/>
      <c r="E108" s="47"/>
    </row>
    <row r="109" spans="1:54" ht="15" customHeight="1" x14ac:dyDescent="0.25">
      <c r="C109" s="190" t="s">
        <v>283</v>
      </c>
      <c r="D109" s="191"/>
      <c r="E109" s="192"/>
    </row>
    <row r="110" spans="1:54" ht="15" customHeight="1" thickBot="1" x14ac:dyDescent="0.3">
      <c r="C110" s="193" t="str">
        <f>AZ25</f>
        <v>FRAZADA de Polar (1 plaza y 1/2), color beige. Polar Reversible.</v>
      </c>
      <c r="D110" s="194"/>
      <c r="E110" s="195"/>
    </row>
    <row r="111" spans="1:54" ht="15" customHeight="1" thickBot="1" x14ac:dyDescent="0.3">
      <c r="C111" s="181"/>
      <c r="D111" s="58"/>
      <c r="E111" s="58"/>
    </row>
    <row r="112" spans="1:54" ht="15" customHeight="1" x14ac:dyDescent="0.25">
      <c r="C112" s="190" t="s">
        <v>183</v>
      </c>
      <c r="D112" s="191"/>
      <c r="E112" s="192"/>
    </row>
    <row r="113" spans="3:5" ht="15" customHeight="1" thickBot="1" x14ac:dyDescent="0.3">
      <c r="C113" s="193" t="str">
        <f>AZ26</f>
        <v>Incluye 3 separadores por cada cajon</v>
      </c>
      <c r="D113" s="194"/>
      <c r="E113" s="195"/>
    </row>
    <row r="114" spans="3:5" ht="15" customHeight="1" thickBot="1" x14ac:dyDescent="0.3">
      <c r="C114" s="181"/>
      <c r="D114" s="58"/>
      <c r="E114" s="58"/>
    </row>
    <row r="115" spans="3:5" ht="15" customHeight="1" x14ac:dyDescent="0.25">
      <c r="C115" s="190" t="s">
        <v>284</v>
      </c>
      <c r="D115" s="191"/>
      <c r="E115" s="192"/>
    </row>
    <row r="116" spans="3:5" ht="33" customHeight="1" thickBot="1" x14ac:dyDescent="0.3">
      <c r="C116" s="193" t="str">
        <f>AZ27</f>
        <v xml:space="preserve">Heladera No Frost de 400 lts aproximadamente (incluyendo el freezer), con eficiencia energética mínima A. Con estantes de vidrio templado, alarma de puerta abierta, filtro antibacterial y control de temperatura. </v>
      </c>
      <c r="D116" s="194"/>
      <c r="E116" s="195"/>
    </row>
    <row r="117" spans="3:5" ht="15" customHeight="1" thickBot="1" x14ac:dyDescent="0.3">
      <c r="C117" s="181"/>
      <c r="D117" s="58"/>
      <c r="E117" s="58"/>
    </row>
    <row r="118" spans="3:5" ht="15" customHeight="1" x14ac:dyDescent="0.25">
      <c r="C118" s="190" t="s">
        <v>285</v>
      </c>
      <c r="D118" s="191"/>
      <c r="E118" s="192"/>
    </row>
    <row r="119" spans="3:5" ht="15" customHeight="1" thickBot="1" x14ac:dyDescent="0.3">
      <c r="C119" s="193" t="str">
        <f>AZ28</f>
        <v>MICROONDA Cap.30L, Potencia Max.: 1000W</v>
      </c>
      <c r="D119" s="194"/>
      <c r="E119" s="195"/>
    </row>
    <row r="120" spans="3:5" ht="15" customHeight="1" thickBot="1" x14ac:dyDescent="0.3">
      <c r="C120" s="181"/>
      <c r="D120" s="58"/>
      <c r="E120" s="58"/>
    </row>
    <row r="121" spans="3:5" ht="15" customHeight="1" x14ac:dyDescent="0.25">
      <c r="C121" s="190" t="s">
        <v>286</v>
      </c>
      <c r="D121" s="191"/>
      <c r="E121" s="192"/>
    </row>
    <row r="122" spans="3:5" ht="42.75" customHeight="1" thickBot="1" x14ac:dyDescent="0.3">
      <c r="C122" s="193" t="str">
        <f>AZ29</f>
        <v xml:space="preserve">Lavarropas de tecnología inverter, de marca reconocida, con carga frontal y capacidad de 10Kg de ropa, con eficiencia energática A o superior y tensión de alimentación: 220Vca, apto para lavar con agua a diferentes temperatura, tambor de acero inoxidable y filtros atrapa pelusas. La velocidad de centrifugado mínima debe ser 1200 R.P.M. Debe contar con bloqueo de seguridad de puerta. </v>
      </c>
      <c r="D122" s="194"/>
      <c r="E122" s="195"/>
    </row>
    <row r="123" spans="3:5" ht="15" customHeight="1" thickBot="1" x14ac:dyDescent="0.3">
      <c r="C123" s="181"/>
      <c r="D123" s="58"/>
      <c r="E123" s="58"/>
    </row>
    <row r="124" spans="3:5" ht="15" customHeight="1" x14ac:dyDescent="0.25">
      <c r="C124" s="190" t="s">
        <v>287</v>
      </c>
      <c r="D124" s="191"/>
      <c r="E124" s="192"/>
    </row>
    <row r="125" spans="3:5" ht="15" customHeight="1" thickBot="1" x14ac:dyDescent="0.3">
      <c r="C125" s="193" t="str">
        <f>AZ30</f>
        <v>LOCKER Metálicos: 6 casilleros c/estantes, dimensión: Alt. 182 x ancho 78x prof. 52 cm</v>
      </c>
      <c r="D125" s="194"/>
      <c r="E125" s="195"/>
    </row>
    <row r="126" spans="3:5" ht="15" customHeight="1" thickBot="1" x14ac:dyDescent="0.3">
      <c r="C126" s="13"/>
      <c r="D126" s="13"/>
      <c r="E126" s="13"/>
    </row>
    <row r="127" spans="3:5" ht="15" customHeight="1" x14ac:dyDescent="0.25">
      <c r="C127" s="190" t="s">
        <v>184</v>
      </c>
      <c r="D127" s="191"/>
      <c r="E127" s="192"/>
    </row>
    <row r="128" spans="3:5" ht="15" customHeight="1" thickBot="1" x14ac:dyDescent="0.3">
      <c r="C128" s="193" t="str">
        <f>AZ31</f>
        <v>MESA DE LUZ (c/1 cajón y 1 puerta) Alt. 70 cm aprox.</v>
      </c>
      <c r="D128" s="194"/>
      <c r="E128" s="195"/>
    </row>
    <row r="129" spans="3:5" ht="15" customHeight="1" thickBot="1" x14ac:dyDescent="0.3">
      <c r="C129" s="13"/>
      <c r="D129" s="13"/>
      <c r="E129" s="13"/>
    </row>
    <row r="130" spans="3:5" ht="15" customHeight="1" x14ac:dyDescent="0.25">
      <c r="C130" s="190" t="s">
        <v>288</v>
      </c>
      <c r="D130" s="191"/>
      <c r="E130" s="192"/>
    </row>
    <row r="131" spans="3:5" ht="15" customHeight="1" thickBot="1" x14ac:dyDescent="0.3">
      <c r="C131" s="193" t="str">
        <f>AZ32</f>
        <v>MESA DE REUNIONES Aglomerado, terminación melamina (Cap.8 personas)</v>
      </c>
      <c r="D131" s="194"/>
      <c r="E131" s="195"/>
    </row>
    <row r="132" spans="3:5" ht="15" customHeight="1" thickBot="1" x14ac:dyDescent="0.3">
      <c r="C132" s="13"/>
      <c r="D132" s="13"/>
      <c r="E132" s="13"/>
    </row>
    <row r="133" spans="3:5" ht="15" customHeight="1" x14ac:dyDescent="0.25">
      <c r="C133" s="190" t="s">
        <v>289</v>
      </c>
      <c r="D133" s="191"/>
      <c r="E133" s="192"/>
    </row>
    <row r="134" spans="3:5" ht="15" customHeight="1" thickBot="1" x14ac:dyDescent="0.3">
      <c r="C134" s="193" t="str">
        <f>AZ33</f>
        <v>MESA P/CAMA (Altura regulable, laminada en melamina)</v>
      </c>
      <c r="D134" s="194"/>
      <c r="E134" s="195"/>
    </row>
    <row r="135" spans="3:5" ht="15" customHeight="1" thickBot="1" x14ac:dyDescent="0.3">
      <c r="C135" s="13"/>
      <c r="D135" s="13"/>
      <c r="E135" s="13"/>
    </row>
    <row r="136" spans="3:5" ht="15" customHeight="1" x14ac:dyDescent="0.25">
      <c r="C136" s="190" t="s">
        <v>290</v>
      </c>
      <c r="D136" s="191"/>
      <c r="E136" s="192"/>
    </row>
    <row r="137" spans="3:5" ht="15" customHeight="1" thickBot="1" x14ac:dyDescent="0.3">
      <c r="C137" s="193" t="str">
        <f>AZ34</f>
        <v>MESA P/ Impresora</v>
      </c>
      <c r="D137" s="194"/>
      <c r="E137" s="195"/>
    </row>
    <row r="138" spans="3:5" ht="15" customHeight="1" thickBot="1" x14ac:dyDescent="0.3">
      <c r="C138" s="13"/>
      <c r="D138" s="13"/>
      <c r="E138" s="13"/>
    </row>
    <row r="139" spans="3:5" ht="15" customHeight="1" x14ac:dyDescent="0.25">
      <c r="C139" s="190" t="s">
        <v>185</v>
      </c>
      <c r="D139" s="191"/>
      <c r="E139" s="192"/>
    </row>
    <row r="140" spans="3:5" ht="15" customHeight="1" thickBot="1" x14ac:dyDescent="0.3">
      <c r="C140" s="193" t="str">
        <f>AZ35</f>
        <v>Mesa para planchado. Plegable, caño 3/4.</v>
      </c>
      <c r="D140" s="194"/>
      <c r="E140" s="195"/>
    </row>
    <row r="141" spans="3:5" ht="15" customHeight="1" thickBot="1" x14ac:dyDescent="0.3">
      <c r="C141" s="13"/>
      <c r="D141" s="13"/>
      <c r="E141" s="13"/>
    </row>
    <row r="142" spans="3:5" ht="15" customHeight="1" x14ac:dyDescent="0.25">
      <c r="C142" s="190" t="s">
        <v>291</v>
      </c>
      <c r="D142" s="191"/>
      <c r="E142" s="192"/>
    </row>
    <row r="143" spans="3:5" ht="15" customHeight="1" thickBot="1" x14ac:dyDescent="0.3">
      <c r="C143" s="193" t="str">
        <f>AZ36</f>
        <v>PAVA ELECTRICA (de Aluminio, Cap.1,7L)</v>
      </c>
      <c r="D143" s="194"/>
      <c r="E143" s="195"/>
    </row>
    <row r="144" spans="3:5" ht="15" customHeight="1" thickBot="1" x14ac:dyDescent="0.3">
      <c r="C144" s="13"/>
      <c r="D144" s="13"/>
      <c r="E144" s="13"/>
    </row>
    <row r="145" spans="3:5" ht="15" customHeight="1" x14ac:dyDescent="0.25">
      <c r="C145" s="190" t="s">
        <v>186</v>
      </c>
      <c r="D145" s="191"/>
      <c r="E145" s="192"/>
    </row>
    <row r="146" spans="3:5" ht="15" customHeight="1" thickBot="1" x14ac:dyDescent="0.3">
      <c r="C146" s="193" t="str">
        <f>AZ37</f>
        <v>PLANCHA 800W. A vapor, con suela antiadherente</v>
      </c>
      <c r="D146" s="194"/>
      <c r="E146" s="195"/>
    </row>
    <row r="147" spans="3:5" ht="15" customHeight="1" thickBot="1" x14ac:dyDescent="0.3">
      <c r="C147" s="13"/>
      <c r="D147" s="13"/>
      <c r="E147" s="13"/>
    </row>
    <row r="148" spans="3:5" ht="15" customHeight="1" x14ac:dyDescent="0.25">
      <c r="C148" s="190" t="s">
        <v>292</v>
      </c>
      <c r="D148" s="191"/>
      <c r="E148" s="192"/>
    </row>
    <row r="149" spans="3:5" ht="15" customHeight="1" thickBot="1" x14ac:dyDescent="0.3">
      <c r="C149" s="193" t="str">
        <f>AZ38</f>
        <v>RELOJ ANALOGICO (de pared, material plástico)</v>
      </c>
      <c r="D149" s="194"/>
      <c r="E149" s="195"/>
    </row>
    <row r="150" spans="3:5" ht="15" customHeight="1" thickBot="1" x14ac:dyDescent="0.3">
      <c r="C150" s="13"/>
      <c r="D150" s="13"/>
      <c r="E150" s="13"/>
    </row>
    <row r="151" spans="3:5" ht="15" customHeight="1" x14ac:dyDescent="0.25">
      <c r="C151" s="190" t="s">
        <v>293</v>
      </c>
      <c r="D151" s="191"/>
      <c r="E151" s="192"/>
    </row>
    <row r="152" spans="3:5" ht="15" customHeight="1" thickBot="1" x14ac:dyDescent="0.3">
      <c r="C152" s="193" t="str">
        <f>AZ39</f>
        <v>SABANA 1 Plaza c/funda, color blanco, medidas 080 X 190 X 21 APROX.</v>
      </c>
      <c r="D152" s="194"/>
      <c r="E152" s="195"/>
    </row>
    <row r="153" spans="3:5" ht="15" customHeight="1" thickBot="1" x14ac:dyDescent="0.3">
      <c r="C153" s="13"/>
      <c r="D153" s="13"/>
      <c r="E153" s="13"/>
    </row>
    <row r="154" spans="3:5" ht="15" customHeight="1" x14ac:dyDescent="0.25">
      <c r="C154" s="190" t="s">
        <v>294</v>
      </c>
      <c r="D154" s="191"/>
      <c r="E154" s="192"/>
    </row>
    <row r="155" spans="3:5" ht="15" customHeight="1" thickBot="1" x14ac:dyDescent="0.3">
      <c r="C155" s="193" t="str">
        <f>AZ40</f>
        <v>SECARROPA CENTRIFUGO (Alim.220V, Cap.10Kg, Efic.energ. B)</v>
      </c>
      <c r="D155" s="194"/>
      <c r="E155" s="195"/>
    </row>
    <row r="156" spans="3:5" ht="15" customHeight="1" thickBot="1" x14ac:dyDescent="0.3">
      <c r="C156" s="13"/>
      <c r="D156" s="13"/>
      <c r="E156" s="13"/>
    </row>
    <row r="157" spans="3:5" ht="15" customHeight="1" x14ac:dyDescent="0.25">
      <c r="C157" s="190" t="s">
        <v>295</v>
      </c>
      <c r="D157" s="191"/>
      <c r="E157" s="192"/>
    </row>
    <row r="158" spans="3:5" ht="15" customHeight="1" thickBot="1" x14ac:dyDescent="0.3">
      <c r="C158" s="193" t="str">
        <f>AZ41</f>
        <v>SILLA METAL (c/tapizado cuerina, c/respaldo, 4 patas)</v>
      </c>
      <c r="D158" s="194"/>
      <c r="E158" s="195"/>
    </row>
    <row r="159" spans="3:5" ht="15" customHeight="1" thickBot="1" x14ac:dyDescent="0.3">
      <c r="C159" s="13"/>
      <c r="D159" s="13"/>
      <c r="E159" s="13"/>
    </row>
    <row r="160" spans="3:5" ht="15" customHeight="1" x14ac:dyDescent="0.25">
      <c r="C160" s="190" t="s">
        <v>296</v>
      </c>
      <c r="D160" s="191"/>
      <c r="E160" s="192"/>
    </row>
    <row r="161" spans="3:5" ht="15" customHeight="1" thickBot="1" x14ac:dyDescent="0.3">
      <c r="C161" s="193" t="str">
        <f>AZ42</f>
        <v>SIST.DE SILLAS (4 asientos). Estructura: metal.  Terminacion de la silla: plastico inyectado, color: negra, reforzada: si.</v>
      </c>
      <c r="D161" s="194"/>
      <c r="E161" s="195"/>
    </row>
    <row r="162" spans="3:5" ht="15" customHeight="1" thickBot="1" x14ac:dyDescent="0.3">
      <c r="C162" s="13"/>
      <c r="D162" s="13"/>
      <c r="E162" s="13"/>
    </row>
    <row r="163" spans="3:5" ht="15" customHeight="1" x14ac:dyDescent="0.25">
      <c r="C163" s="190" t="s">
        <v>297</v>
      </c>
      <c r="D163" s="191"/>
      <c r="E163" s="192"/>
    </row>
    <row r="164" spans="3:5" ht="15" customHeight="1" thickBot="1" x14ac:dyDescent="0.3">
      <c r="C164" s="193" t="str">
        <f>AZ43</f>
        <v>TACHO DE RESIDUOS (circular con tapa, capacidad: 119 litros)</v>
      </c>
      <c r="D164" s="194"/>
      <c r="E164" s="195"/>
    </row>
    <row r="165" spans="3:5" ht="15" customHeight="1" thickBot="1" x14ac:dyDescent="0.3">
      <c r="C165" s="13"/>
      <c r="D165" s="13"/>
      <c r="E165" s="13"/>
    </row>
    <row r="166" spans="3:5" ht="15" customHeight="1" x14ac:dyDescent="0.25">
      <c r="C166" s="190" t="s">
        <v>298</v>
      </c>
      <c r="D166" s="191"/>
      <c r="E166" s="192"/>
    </row>
    <row r="167" spans="3:5" ht="15" customHeight="1" thickBot="1" x14ac:dyDescent="0.3">
      <c r="C167" s="193" t="str">
        <f>AZ44</f>
        <v>TACHO DE RESIDUOS (circular con tapa, 80x30cm)</v>
      </c>
      <c r="D167" s="194"/>
      <c r="E167" s="195"/>
    </row>
    <row r="168" spans="3:5" ht="15" customHeight="1" thickBot="1" x14ac:dyDescent="0.3">
      <c r="C168" s="13"/>
      <c r="D168" s="13"/>
      <c r="E168" s="13"/>
    </row>
    <row r="169" spans="3:5" ht="15" customHeight="1" x14ac:dyDescent="0.25">
      <c r="C169" s="190" t="s">
        <v>299</v>
      </c>
      <c r="D169" s="191"/>
      <c r="E169" s="192"/>
    </row>
    <row r="170" spans="3:5" ht="30" customHeight="1" thickBot="1" x14ac:dyDescent="0.3">
      <c r="C170" s="193" t="str">
        <f>AZ45</f>
        <v>Ventilador de pie de 20", con barral y base metálicos, con regulador de inclinación, con 3 velocidades seleccionables por perilla, con motor de 140Watts, con 3 palas de aluminio reforzadas, con rejilla protectora metálica.</v>
      </c>
      <c r="D170" s="194"/>
      <c r="E170" s="195"/>
    </row>
    <row r="171" spans="3:5" ht="15" customHeight="1" thickBot="1" x14ac:dyDescent="0.3">
      <c r="C171" s="13"/>
      <c r="D171" s="13"/>
      <c r="E171" s="13"/>
    </row>
    <row r="172" spans="3:5" ht="15" customHeight="1" x14ac:dyDescent="0.25">
      <c r="C172" s="190" t="s">
        <v>187</v>
      </c>
      <c r="D172" s="191"/>
      <c r="E172" s="192"/>
    </row>
    <row r="173" spans="3:5" ht="29.25" customHeight="1" thickBot="1" x14ac:dyDescent="0.3">
      <c r="C173" s="193" t="str">
        <f>AZ46</f>
        <v>VITRINA (madera c/estantes y c/2puertas de vidrio, HxAxProf= 170x132x43cm) Estantes: 4, tipo de madera: aglomerado, terminación: melanima. Con 2 puertas vidriadas con llave</v>
      </c>
      <c r="D173" s="194"/>
      <c r="E173" s="195"/>
    </row>
    <row r="174" spans="3:5" ht="15" customHeight="1" x14ac:dyDescent="0.25">
      <c r="C174" s="13"/>
      <c r="D174" s="13"/>
      <c r="E174" s="13"/>
    </row>
  </sheetData>
  <mergeCells count="90">
    <mergeCell ref="C77:E77"/>
    <mergeCell ref="C70:E70"/>
    <mergeCell ref="C71:E71"/>
    <mergeCell ref="C73:E73"/>
    <mergeCell ref="C74:E74"/>
    <mergeCell ref="C76:E76"/>
    <mergeCell ref="A6:B6"/>
    <mergeCell ref="A7:B7"/>
    <mergeCell ref="D54:E54"/>
    <mergeCell ref="D53:E53"/>
    <mergeCell ref="B2:AX2"/>
    <mergeCell ref="C4:E4"/>
    <mergeCell ref="C5:E5"/>
    <mergeCell ref="A4:B4"/>
    <mergeCell ref="A5:B5"/>
    <mergeCell ref="C50:E50"/>
    <mergeCell ref="C64:E64"/>
    <mergeCell ref="C65:E65"/>
    <mergeCell ref="C67:E67"/>
    <mergeCell ref="C68:E68"/>
    <mergeCell ref="D51:E51"/>
    <mergeCell ref="D55:E55"/>
    <mergeCell ref="D56:E56"/>
    <mergeCell ref="D59:E59"/>
    <mergeCell ref="D61:E61"/>
    <mergeCell ref="D58:E58"/>
    <mergeCell ref="C79:E79"/>
    <mergeCell ref="C80:E80"/>
    <mergeCell ref="C82:E82"/>
    <mergeCell ref="C83:E83"/>
    <mergeCell ref="C85:E85"/>
    <mergeCell ref="C86:E86"/>
    <mergeCell ref="C88:E88"/>
    <mergeCell ref="C89:E89"/>
    <mergeCell ref="C91:E91"/>
    <mergeCell ref="C92:E92"/>
    <mergeCell ref="C94:E94"/>
    <mergeCell ref="C95:E95"/>
    <mergeCell ref="C97:E97"/>
    <mergeCell ref="C98:E98"/>
    <mergeCell ref="C100:E100"/>
    <mergeCell ref="C101:E101"/>
    <mergeCell ref="C103:E103"/>
    <mergeCell ref="C104:E104"/>
    <mergeCell ref="C106:E106"/>
    <mergeCell ref="C107:E107"/>
    <mergeCell ref="C109:E109"/>
    <mergeCell ref="C110:E110"/>
    <mergeCell ref="C112:E112"/>
    <mergeCell ref="C113:E113"/>
    <mergeCell ref="C115:E115"/>
    <mergeCell ref="C116:E116"/>
    <mergeCell ref="C118:E118"/>
    <mergeCell ref="C119:E119"/>
    <mergeCell ref="C121:E121"/>
    <mergeCell ref="C122:E122"/>
    <mergeCell ref="C124:E124"/>
    <mergeCell ref="C125:E125"/>
    <mergeCell ref="C128:E128"/>
    <mergeCell ref="C131:E131"/>
    <mergeCell ref="C133:E133"/>
    <mergeCell ref="C127:E127"/>
    <mergeCell ref="C130:E130"/>
    <mergeCell ref="C134:E134"/>
    <mergeCell ref="C136:E136"/>
    <mergeCell ref="C137:E137"/>
    <mergeCell ref="C139:E139"/>
    <mergeCell ref="C140:E140"/>
    <mergeCell ref="C142:E142"/>
    <mergeCell ref="C143:E143"/>
    <mergeCell ref="C145:E145"/>
    <mergeCell ref="C146:E146"/>
    <mergeCell ref="C148:E148"/>
    <mergeCell ref="C149:E149"/>
    <mergeCell ref="C151:E151"/>
    <mergeCell ref="C152:E152"/>
    <mergeCell ref="C154:E154"/>
    <mergeCell ref="C155:E155"/>
    <mergeCell ref="C157:E157"/>
    <mergeCell ref="C158:E158"/>
    <mergeCell ref="C160:E160"/>
    <mergeCell ref="C161:E161"/>
    <mergeCell ref="C163:E163"/>
    <mergeCell ref="C172:E172"/>
    <mergeCell ref="C173:E173"/>
    <mergeCell ref="C164:E164"/>
    <mergeCell ref="C166:E166"/>
    <mergeCell ref="C167:E167"/>
    <mergeCell ref="C169:E169"/>
    <mergeCell ref="C170:E170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"/>
  <sheetViews>
    <sheetView workbookViewId="0">
      <selection activeCell="A15" sqref="A15"/>
    </sheetView>
  </sheetViews>
  <sheetFormatPr baseColWidth="10" defaultColWidth="14.42578125" defaultRowHeight="15" customHeight="1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76.7109375" customWidth="1"/>
    <col min="8" max="8" width="9.28515625" customWidth="1"/>
    <col min="9" max="9" width="15.5703125" customWidth="1"/>
    <col min="10" max="10" width="14.7109375" customWidth="1"/>
    <col min="11" max="11" width="15.5703125" customWidth="1"/>
    <col min="12" max="12" width="10.7109375" style="183" customWidth="1"/>
    <col min="13" max="13" width="14.7109375" style="189" customWidth="1"/>
    <col min="14" max="15" width="14.5703125" style="189" customWidth="1"/>
    <col min="16" max="16" width="15.5703125" style="189" customWidth="1"/>
    <col min="17" max="17" width="14.5703125" style="189" customWidth="1"/>
    <col min="18" max="18" width="15.5703125" style="183" customWidth="1"/>
    <col min="19" max="24" width="14.42578125" style="183"/>
  </cols>
  <sheetData>
    <row r="1" spans="1:18" ht="30" x14ac:dyDescent="0.25">
      <c r="A1" s="229" t="s">
        <v>188</v>
      </c>
      <c r="B1" s="230"/>
      <c r="C1" s="230"/>
      <c r="D1" s="230"/>
      <c r="E1" s="230"/>
      <c r="F1" s="230"/>
      <c r="G1" s="230"/>
      <c r="H1" s="230"/>
      <c r="I1" s="230"/>
      <c r="J1" s="61" t="s">
        <v>189</v>
      </c>
      <c r="K1" s="186" t="s">
        <v>303</v>
      </c>
      <c r="M1" s="187"/>
      <c r="N1" s="187"/>
      <c r="O1" s="187"/>
      <c r="P1" s="187"/>
      <c r="Q1" s="187"/>
    </row>
    <row r="2" spans="1:18" ht="15.75" x14ac:dyDescent="0.25">
      <c r="A2" s="62"/>
      <c r="B2" s="63"/>
      <c r="C2" s="64"/>
      <c r="D2" s="65"/>
      <c r="E2" s="65"/>
      <c r="F2" s="65"/>
      <c r="G2" s="65"/>
      <c r="H2" s="65"/>
      <c r="I2" s="65"/>
      <c r="J2" s="66"/>
      <c r="K2" s="67"/>
      <c r="M2" s="187"/>
      <c r="N2" s="187"/>
      <c r="O2" s="187"/>
      <c r="P2" s="187"/>
      <c r="Q2" s="187"/>
    </row>
    <row r="3" spans="1:18" ht="16.5" customHeight="1" x14ac:dyDescent="0.25">
      <c r="A3" s="231" t="s">
        <v>190</v>
      </c>
      <c r="B3" s="232"/>
      <c r="C3" s="232"/>
      <c r="D3" s="68" t="s">
        <v>2</v>
      </c>
      <c r="E3" s="69"/>
      <c r="F3" s="69"/>
      <c r="G3" s="69"/>
      <c r="H3" s="69"/>
      <c r="I3" s="69"/>
      <c r="J3" s="70"/>
      <c r="K3" s="71"/>
      <c r="M3" s="187"/>
      <c r="N3" s="187"/>
      <c r="O3" s="187"/>
      <c r="P3" s="187"/>
      <c r="Q3" s="187"/>
    </row>
    <row r="4" spans="1:18" ht="16.5" customHeight="1" x14ac:dyDescent="0.25">
      <c r="A4" s="233" t="s">
        <v>191</v>
      </c>
      <c r="B4" s="234"/>
      <c r="C4" s="234"/>
      <c r="D4" s="68" t="s">
        <v>192</v>
      </c>
      <c r="E4" s="69"/>
      <c r="F4" s="69"/>
      <c r="G4" s="69"/>
      <c r="H4" s="69"/>
      <c r="I4" s="69"/>
      <c r="J4" s="70"/>
      <c r="K4" s="71"/>
      <c r="M4" s="187"/>
      <c r="N4" s="187"/>
      <c r="O4" s="187"/>
      <c r="P4" s="187"/>
      <c r="Q4" s="187"/>
    </row>
    <row r="5" spans="1:18" ht="15.75" x14ac:dyDescent="0.25">
      <c r="A5" s="233" t="s">
        <v>193</v>
      </c>
      <c r="B5" s="234"/>
      <c r="C5" s="234"/>
      <c r="D5" s="68" t="s">
        <v>194</v>
      </c>
      <c r="E5" s="69"/>
      <c r="F5" s="69"/>
      <c r="G5" s="69"/>
      <c r="H5" s="69"/>
      <c r="I5" s="69"/>
      <c r="J5" s="70"/>
      <c r="K5" s="71"/>
      <c r="M5" s="187"/>
      <c r="N5" s="187"/>
      <c r="O5" s="187"/>
      <c r="P5" s="187"/>
      <c r="Q5" s="187"/>
    </row>
    <row r="6" spans="1:18" ht="15.75" x14ac:dyDescent="0.25">
      <c r="A6" s="231" t="s">
        <v>195</v>
      </c>
      <c r="B6" s="232"/>
      <c r="C6" s="232"/>
      <c r="D6" s="68" t="s">
        <v>194</v>
      </c>
      <c r="E6" s="69"/>
      <c r="F6" s="69"/>
      <c r="G6" s="69"/>
      <c r="H6" s="69"/>
      <c r="I6" s="69"/>
      <c r="J6" s="70"/>
      <c r="K6" s="71"/>
      <c r="M6" s="187"/>
      <c r="N6" s="187"/>
      <c r="O6" s="187"/>
      <c r="P6" s="187"/>
      <c r="Q6" s="187"/>
    </row>
    <row r="7" spans="1:18" ht="15.75" x14ac:dyDescent="0.25">
      <c r="A7" s="233" t="s">
        <v>196</v>
      </c>
      <c r="B7" s="234"/>
      <c r="C7" s="234"/>
      <c r="D7" s="68" t="s">
        <v>197</v>
      </c>
      <c r="E7" s="69"/>
      <c r="F7" s="69"/>
      <c r="G7" s="69"/>
      <c r="H7" s="69"/>
      <c r="I7" s="69"/>
      <c r="J7" s="70"/>
      <c r="K7" s="71"/>
      <c r="M7" s="187"/>
      <c r="N7" s="187"/>
      <c r="O7" s="187"/>
      <c r="P7" s="187"/>
      <c r="Q7" s="187"/>
    </row>
    <row r="8" spans="1:18" ht="16.5" customHeight="1" x14ac:dyDescent="0.25">
      <c r="A8" s="244" t="s">
        <v>198</v>
      </c>
      <c r="B8" s="245"/>
      <c r="C8" s="246"/>
      <c r="D8" s="72" t="s">
        <v>199</v>
      </c>
      <c r="E8" s="69"/>
      <c r="F8" s="69"/>
      <c r="G8" s="69"/>
      <c r="H8" s="69"/>
      <c r="I8" s="69"/>
      <c r="J8" s="70"/>
      <c r="K8" s="71"/>
      <c r="M8" s="187"/>
      <c r="N8" s="187"/>
      <c r="O8" s="187"/>
      <c r="P8" s="187"/>
      <c r="Q8" s="187"/>
    </row>
    <row r="9" spans="1:18" ht="15.75" x14ac:dyDescent="0.25">
      <c r="A9" s="73"/>
      <c r="B9" s="74"/>
      <c r="C9" s="75"/>
      <c r="D9" s="76"/>
      <c r="E9" s="76"/>
      <c r="F9" s="76"/>
      <c r="G9" s="76"/>
      <c r="H9" s="76"/>
      <c r="I9" s="76"/>
      <c r="J9" s="77"/>
      <c r="K9" s="78"/>
      <c r="M9" s="187"/>
      <c r="N9" s="187"/>
      <c r="O9" s="187"/>
      <c r="P9" s="187"/>
      <c r="Q9" s="187"/>
    </row>
    <row r="10" spans="1:18" x14ac:dyDescent="0.25">
      <c r="A10" s="238" t="s">
        <v>200</v>
      </c>
      <c r="B10" s="219" t="s">
        <v>201</v>
      </c>
      <c r="C10" s="240" t="s">
        <v>202</v>
      </c>
      <c r="D10" s="230"/>
      <c r="E10" s="230"/>
      <c r="F10" s="230"/>
      <c r="G10" s="241"/>
      <c r="H10" s="219" t="s">
        <v>203</v>
      </c>
      <c r="I10" s="219" t="s">
        <v>204</v>
      </c>
      <c r="J10" s="223" t="s">
        <v>205</v>
      </c>
      <c r="K10" s="221" t="s">
        <v>206</v>
      </c>
      <c r="M10" s="187"/>
      <c r="N10" s="187"/>
      <c r="O10" s="187"/>
      <c r="P10" s="187"/>
      <c r="Q10" s="187"/>
    </row>
    <row r="11" spans="1:18" ht="36.75" customHeight="1" x14ac:dyDescent="0.25">
      <c r="A11" s="239"/>
      <c r="B11" s="220"/>
      <c r="C11" s="242"/>
      <c r="D11" s="211"/>
      <c r="E11" s="211"/>
      <c r="F11" s="211"/>
      <c r="G11" s="243"/>
      <c r="H11" s="220"/>
      <c r="I11" s="220"/>
      <c r="J11" s="220"/>
      <c r="K11" s="222"/>
      <c r="M11" s="188">
        <v>223</v>
      </c>
      <c r="N11" s="188">
        <v>229</v>
      </c>
      <c r="O11" s="188">
        <v>291</v>
      </c>
      <c r="P11" s="188">
        <v>437</v>
      </c>
      <c r="Q11" s="188"/>
    </row>
    <row r="12" spans="1:18" ht="56.25" customHeight="1" x14ac:dyDescent="0.25">
      <c r="A12" s="79">
        <v>1</v>
      </c>
      <c r="B12" s="80" t="str">
        <f>'SAF 011 - NECESIDAD TRIMESTRAL'!B10</f>
        <v>4.3.7-1367.427</v>
      </c>
      <c r="C12" s="235" t="str">
        <f>'SAF 011 - NECESIDAD TRIMESTRAL'!E10</f>
        <v>ACONDICIONADORES DE AIRE; TIPO: SPLIT, FRIO: 3500 FRIG, CALOR: 3500 CAL, TENSION NOMINAL: 220 V, CRITERIO DE SEGURIDAD: SELLO DE SEGURIDAD, CONSUMO: 4000 W, CORRIENTE NOMINAL: 6 A, EFICIENCIA ENERGETICA: GRADO A</v>
      </c>
      <c r="D12" s="236"/>
      <c r="E12" s="236"/>
      <c r="F12" s="236"/>
      <c r="G12" s="237"/>
      <c r="H12" s="80" t="s">
        <v>207</v>
      </c>
      <c r="I12" s="81" t="str">
        <f>'SAF 011 - NECESIDAD TRIMESTRAL'!F10</f>
        <v>UNIDAD</v>
      </c>
      <c r="J12" s="82">
        <f>'SAF 011 - NECESIDAD TRIMESTRAL'!AX10</f>
        <v>75000</v>
      </c>
      <c r="K12" s="83">
        <f>'SAF 011 - NECESIDAD TRIMESTRAL'!AU10</f>
        <v>70</v>
      </c>
      <c r="L12" s="185"/>
      <c r="M12" s="187"/>
      <c r="N12" s="187"/>
      <c r="O12" s="187"/>
      <c r="P12" s="187">
        <f t="shared" ref="P12:P13" si="0">+J12*K12</f>
        <v>5250000</v>
      </c>
      <c r="Q12" s="187"/>
      <c r="R12" s="185"/>
    </row>
    <row r="13" spans="1:18" ht="41.25" customHeight="1" x14ac:dyDescent="0.25">
      <c r="A13" s="84">
        <v>2</v>
      </c>
      <c r="B13" s="85" t="str">
        <f>'SAF 011 - NECESIDAD TRIMESTRAL'!B11</f>
        <v>4.3.7-1367.320</v>
      </c>
      <c r="C13" s="216" t="str">
        <f>'SAF 011 - NECESIDAD TRIMESTRAL'!E11</f>
        <v>ACONDICIONADORES DE AIRE; TIPO: SPLIT, FRIO: 4500 FRIG, CALOR: 4500 CAL, TENSION NOMINAL: 220 V, CRITERIO DE SEGURIDAD: SELLO DE SEGURIDAD, CONSUMO: MENOR A 5 KVA, CORRIENTE NOMINAL: 12 A, EFICIENCIA ENERGETICA: GRADO A</v>
      </c>
      <c r="D13" s="217"/>
      <c r="E13" s="217"/>
      <c r="F13" s="217"/>
      <c r="G13" s="218"/>
      <c r="H13" s="85" t="s">
        <v>207</v>
      </c>
      <c r="I13" s="86" t="str">
        <f>'SAF 011 - NECESIDAD TRIMESTRAL'!F11</f>
        <v>UNIDAD</v>
      </c>
      <c r="J13" s="87">
        <f>'SAF 011 - NECESIDAD TRIMESTRAL'!AX11</f>
        <v>85000</v>
      </c>
      <c r="K13" s="88">
        <f>'SAF 011 - NECESIDAD TRIMESTRAL'!AU11</f>
        <v>42</v>
      </c>
      <c r="L13" s="185"/>
      <c r="M13" s="187"/>
      <c r="N13" s="187"/>
      <c r="O13" s="187"/>
      <c r="P13" s="187">
        <f t="shared" si="0"/>
        <v>3570000</v>
      </c>
      <c r="Q13" s="187"/>
      <c r="R13" s="185"/>
    </row>
    <row r="14" spans="1:18" ht="30" customHeight="1" x14ac:dyDescent="0.25">
      <c r="A14" s="84">
        <v>3</v>
      </c>
      <c r="B14" s="85" t="str">
        <f>'SAF 011 - NECESIDAD TRIMESTRAL'!B12</f>
        <v>2.2.9-702.3</v>
      </c>
      <c r="C14" s="216" t="str">
        <f>'SAF 011 - NECESIDAD TRIMESTRAL'!E12</f>
        <v>ALMOHADAS; DIMENSION: 80 X 35 Cm, CONSTRUCCION: ESPUMA</v>
      </c>
      <c r="D14" s="217"/>
      <c r="E14" s="217"/>
      <c r="F14" s="217"/>
      <c r="G14" s="218"/>
      <c r="H14" s="85" t="s">
        <v>207</v>
      </c>
      <c r="I14" s="86" t="str">
        <f>'SAF 011 - NECESIDAD TRIMESTRAL'!F12</f>
        <v>UNIDAD</v>
      </c>
      <c r="J14" s="87">
        <f>'SAF 011 - NECESIDAD TRIMESTRAL'!AX12</f>
        <v>4200</v>
      </c>
      <c r="K14" s="88">
        <f>'SAF 011 - NECESIDAD TRIMESTRAL'!AU12</f>
        <v>100</v>
      </c>
      <c r="L14" s="185"/>
      <c r="M14" s="187"/>
      <c r="N14" s="187">
        <f>+J14*K14</f>
        <v>420000</v>
      </c>
      <c r="O14" s="187"/>
      <c r="P14" s="187"/>
      <c r="Q14" s="187"/>
      <c r="R14" s="185"/>
    </row>
    <row r="15" spans="1:18" ht="42" customHeight="1" x14ac:dyDescent="0.25">
      <c r="A15" s="84">
        <v>4</v>
      </c>
      <c r="B15" s="85" t="str">
        <f>'SAF 011 - NECESIDAD TRIMESTRAL'!B13</f>
        <v>4.3.7-2001.4</v>
      </c>
      <c r="C15" s="216" t="str">
        <f>'SAF 011 - NECESIDAD TRIMESTRAL'!E13</f>
        <v>BANQUETAS/TABURETES; MATERIAL ESTRUCTURA: 147 dBV/mPa , TERMINACION: TAPIZADO, DIMENSION: 45 X 35 Cm, RESPALDO: CON, GIRATORIA: SI, APOYABRAZO: SIN, PATAS: 5 RUEDAS, ALTURA: 42 A 54 Cm, MATERIAL: METAL</v>
      </c>
      <c r="D15" s="217"/>
      <c r="E15" s="217"/>
      <c r="F15" s="217"/>
      <c r="G15" s="218"/>
      <c r="H15" s="85" t="s">
        <v>207</v>
      </c>
      <c r="I15" s="86" t="str">
        <f>'SAF 011 - NECESIDAD TRIMESTRAL'!F13</f>
        <v>UNIDAD</v>
      </c>
      <c r="J15" s="87">
        <f>'SAF 011 - NECESIDAD TRIMESTRAL'!AX13</f>
        <v>22000</v>
      </c>
      <c r="K15" s="88">
        <f>'SAF 011 - NECESIDAD TRIMESTRAL'!AU13</f>
        <v>60</v>
      </c>
      <c r="L15" s="185"/>
      <c r="M15" s="187"/>
      <c r="N15" s="187"/>
      <c r="O15" s="187"/>
      <c r="P15" s="187">
        <f t="shared" ref="P15:P18" si="1">+J15*K15</f>
        <v>1320000</v>
      </c>
      <c r="Q15" s="187"/>
      <c r="R15" s="185"/>
    </row>
    <row r="16" spans="1:18" ht="32.25" customHeight="1" x14ac:dyDescent="0.25">
      <c r="A16" s="84">
        <v>5</v>
      </c>
      <c r="B16" s="85" t="str">
        <f>'SAF 011 - NECESIDAD TRIMESTRAL'!B14</f>
        <v>4.3.7-2001.22</v>
      </c>
      <c r="C16" s="216" t="str">
        <f>'SAF 011 - NECESIDAD TRIMESTRAL'!E14</f>
        <v>BANQUETAS/TABURETES; TERMINACION: METAL, DIMENSION: 0,6 X 0,3, RESPALDO: SIN, GIRATORIA: NO, APOYABRAZO: SIN, PATAS: 4, ALTURA: REGULABLE, MATERIAL: METAL</v>
      </c>
      <c r="D16" s="217"/>
      <c r="E16" s="217"/>
      <c r="F16" s="217"/>
      <c r="G16" s="218"/>
      <c r="H16" s="85" t="s">
        <v>207</v>
      </c>
      <c r="I16" s="86" t="str">
        <f>'SAF 011 - NECESIDAD TRIMESTRAL'!F14</f>
        <v>UNIDAD</v>
      </c>
      <c r="J16" s="87">
        <f>'SAF 011 - NECESIDAD TRIMESTRAL'!AX14</f>
        <v>15500</v>
      </c>
      <c r="K16" s="88">
        <f>'SAF 011 - NECESIDAD TRIMESTRAL'!AU14</f>
        <v>10</v>
      </c>
      <c r="L16" s="185"/>
      <c r="M16" s="187"/>
      <c r="N16" s="187"/>
      <c r="O16" s="187"/>
      <c r="P16" s="187">
        <f t="shared" si="1"/>
        <v>155000</v>
      </c>
      <c r="Q16" s="187"/>
      <c r="R16" s="185"/>
    </row>
    <row r="17" spans="1:18" ht="40.5" customHeight="1" x14ac:dyDescent="0.25">
      <c r="A17" s="84">
        <v>6</v>
      </c>
      <c r="B17" s="85" t="str">
        <f>'SAF 011 - NECESIDAD TRIMESTRAL'!B15</f>
        <v>4.3.7-32.680</v>
      </c>
      <c r="C17" s="216" t="str">
        <f>'SAF 011 - NECESIDAD TRIMESTRAL'!E15</f>
        <v>BIBLIOTECAS; MATERIAL: MELAMINA, CANT. PUERTAS: 2, TERMINACION: LAMINADO, DIMENSION (ANCHO/PROF/ALTO): 120 X 40 X 180 Cm</v>
      </c>
      <c r="D17" s="217"/>
      <c r="E17" s="217"/>
      <c r="F17" s="217"/>
      <c r="G17" s="218"/>
      <c r="H17" s="85" t="s">
        <v>207</v>
      </c>
      <c r="I17" s="86" t="str">
        <f>'SAF 011 - NECESIDAD TRIMESTRAL'!F15</f>
        <v>UNIDAD</v>
      </c>
      <c r="J17" s="87">
        <f>'SAF 011 - NECESIDAD TRIMESTRAL'!AX15</f>
        <v>31000</v>
      </c>
      <c r="K17" s="88">
        <f>'SAF 011 - NECESIDAD TRIMESTRAL'!AU15</f>
        <v>70</v>
      </c>
      <c r="L17" s="185"/>
      <c r="M17" s="187"/>
      <c r="N17" s="187"/>
      <c r="O17" s="187"/>
      <c r="P17" s="187">
        <f t="shared" si="1"/>
        <v>2170000</v>
      </c>
      <c r="Q17" s="187"/>
      <c r="R17" s="185"/>
    </row>
    <row r="18" spans="1:18" ht="36" customHeight="1" x14ac:dyDescent="0.25">
      <c r="A18" s="84">
        <v>7</v>
      </c>
      <c r="B18" s="85" t="str">
        <f>'SAF 011 - NECESIDAD TRIMESTRAL'!B16</f>
        <v>4.3.7-5605.1</v>
      </c>
      <c r="C18" s="216" t="str">
        <f>'SAF 011 - NECESIDAD TRIMESTRAL'!E16</f>
        <v>BIOMBOS; TIPO: PLEGABLE, DIMENSION: 2 X 2 M, USO: SANITARIO</v>
      </c>
      <c r="D18" s="217"/>
      <c r="E18" s="217"/>
      <c r="F18" s="217"/>
      <c r="G18" s="218"/>
      <c r="H18" s="85" t="s">
        <v>207</v>
      </c>
      <c r="I18" s="86" t="str">
        <f>'SAF 011 - NECESIDAD TRIMESTRAL'!F16</f>
        <v>UNIDAD</v>
      </c>
      <c r="J18" s="87">
        <f>'SAF 011 - NECESIDAD TRIMESTRAL'!AX16</f>
        <v>18500</v>
      </c>
      <c r="K18" s="88">
        <f>'SAF 011 - NECESIDAD TRIMESTRAL'!AU16</f>
        <v>70</v>
      </c>
      <c r="L18" s="185"/>
      <c r="M18" s="187"/>
      <c r="N18" s="187"/>
      <c r="O18" s="187"/>
      <c r="P18" s="187">
        <f t="shared" si="1"/>
        <v>1295000</v>
      </c>
      <c r="Q18" s="187"/>
      <c r="R18" s="185"/>
    </row>
    <row r="19" spans="1:18" ht="33" customHeight="1" x14ac:dyDescent="0.25">
      <c r="A19" s="84">
        <v>8</v>
      </c>
      <c r="B19" s="85" t="str">
        <f>'SAF 011 - NECESIDAD TRIMESTRAL'!B17</f>
        <v>4.3.9-8811.3</v>
      </c>
      <c r="C19" s="216" t="str">
        <f>'SAF 011 - NECESIDAD TRIMESTRAL'!E17</f>
        <v>CALOVENTILADORES; TIPO: AIRE, CAPACIDAD CALORICA: 1800 W, CAUDAL: CONTINUO, MOTOR: ELECTRICO</v>
      </c>
      <c r="D19" s="217"/>
      <c r="E19" s="217"/>
      <c r="F19" s="217"/>
      <c r="G19" s="218"/>
      <c r="H19" s="85" t="s">
        <v>207</v>
      </c>
      <c r="I19" s="86" t="str">
        <f>'SAF 011 - NECESIDAD TRIMESTRAL'!F17</f>
        <v>UNIDAD</v>
      </c>
      <c r="J19" s="87">
        <f>'SAF 011 - NECESIDAD TRIMESTRAL'!AX17</f>
        <v>4000</v>
      </c>
      <c r="K19" s="88">
        <f>'SAF 011 - NECESIDAD TRIMESTRAL'!AU17</f>
        <v>210</v>
      </c>
      <c r="L19" s="185"/>
      <c r="M19" s="187"/>
      <c r="N19" s="187"/>
      <c r="O19" s="187"/>
      <c r="P19" s="187">
        <f>+J19*K19</f>
        <v>840000</v>
      </c>
      <c r="Q19" s="187"/>
      <c r="R19" s="185"/>
    </row>
    <row r="20" spans="1:18" ht="27" customHeight="1" x14ac:dyDescent="0.25">
      <c r="A20" s="84">
        <v>9</v>
      </c>
      <c r="B20" s="85" t="str">
        <f>'SAF 011 - NECESIDAD TRIMESTRAL'!B18</f>
        <v>4.3.7-2207.2</v>
      </c>
      <c r="C20" s="216" t="str">
        <f>'SAF 011 - NECESIDAD TRIMESTRAL'!E18</f>
        <v>CAMAS; LARGO X ANCHO: 190 X 80 Cm, MATERIAL: MADERA, TERMINACION: LUSTRE NATURAL, TIPO: 1PLAZA</v>
      </c>
      <c r="D20" s="217"/>
      <c r="E20" s="217"/>
      <c r="F20" s="217"/>
      <c r="G20" s="218"/>
      <c r="H20" s="85" t="s">
        <v>207</v>
      </c>
      <c r="I20" s="86" t="str">
        <f>'SAF 011 - NECESIDAD TRIMESTRAL'!F18</f>
        <v>UNIDAD</v>
      </c>
      <c r="J20" s="87">
        <f>'SAF 011 - NECESIDAD TRIMESTRAL'!AX18</f>
        <v>20000</v>
      </c>
      <c r="K20" s="88">
        <f>'SAF 011 - NECESIDAD TRIMESTRAL'!AU18</f>
        <v>10</v>
      </c>
      <c r="L20" s="185"/>
      <c r="M20" s="187"/>
      <c r="N20" s="187"/>
      <c r="O20" s="187"/>
      <c r="P20" s="187">
        <f>+J20*K20</f>
        <v>200000</v>
      </c>
      <c r="Q20" s="187"/>
      <c r="R20" s="185"/>
    </row>
    <row r="21" spans="1:18" ht="42.75" customHeight="1" x14ac:dyDescent="0.25">
      <c r="A21" s="84">
        <v>10</v>
      </c>
      <c r="B21" s="85" t="str">
        <f>'SAF 011 - NECESIDAD TRIMESTRAL'!B19</f>
        <v>2.2.9-701.57</v>
      </c>
      <c r="C21" s="216" t="str">
        <f>'SAF 011 - NECESIDAD TRIMESTRAL'!E19</f>
        <v>COLCHONES; DIMENSION: 190 X 80 Cm, DENSIDAD: 25 kg/cm3, ESPESOR: 21 Cm, CONSTRUCCION: ESPUMA, TERMINACION: MATELASSEADO</v>
      </c>
      <c r="D21" s="217"/>
      <c r="E21" s="217"/>
      <c r="F21" s="217"/>
      <c r="G21" s="218"/>
      <c r="H21" s="85" t="s">
        <v>207</v>
      </c>
      <c r="I21" s="86" t="str">
        <f>'SAF 011 - NECESIDAD TRIMESTRAL'!F19</f>
        <v>UNIDAD</v>
      </c>
      <c r="J21" s="87">
        <f>'SAF 011 - NECESIDAD TRIMESTRAL'!AX19</f>
        <v>20000</v>
      </c>
      <c r="K21" s="88">
        <f>'SAF 011 - NECESIDAD TRIMESTRAL'!AU19</f>
        <v>10</v>
      </c>
      <c r="L21" s="185"/>
      <c r="M21" s="187"/>
      <c r="N21" s="187">
        <f>+J21*K21</f>
        <v>200000</v>
      </c>
      <c r="O21" s="187"/>
      <c r="P21" s="187"/>
      <c r="Q21" s="187"/>
      <c r="R21" s="185"/>
    </row>
    <row r="22" spans="1:18" ht="36" customHeight="1" x14ac:dyDescent="0.25">
      <c r="A22" s="84">
        <v>11</v>
      </c>
      <c r="B22" s="85" t="str">
        <f>'SAF 011 - NECESIDAD TRIMESTRAL'!B20</f>
        <v>2.2.3-917.25</v>
      </c>
      <c r="C22" s="216" t="str">
        <f>'SAF 011 - NECESIDAD TRIMESTRAL'!E20</f>
        <v>CUBRECAMA; TIPO: ACOLCHADO, TAMAÑO: 1 1/2 PLAZA, MATERIAL: ALGODON Y POLIESTER</v>
      </c>
      <c r="D22" s="217"/>
      <c r="E22" s="217"/>
      <c r="F22" s="217"/>
      <c r="G22" s="218"/>
      <c r="H22" s="85" t="s">
        <v>207</v>
      </c>
      <c r="I22" s="86" t="str">
        <f>'SAF 011 - NECESIDAD TRIMESTRAL'!F20</f>
        <v>UNIDAD</v>
      </c>
      <c r="J22" s="87">
        <f>'SAF 011 - NECESIDAD TRIMESTRAL'!AX20</f>
        <v>3200</v>
      </c>
      <c r="K22" s="88">
        <f>'SAF 011 - NECESIDAD TRIMESTRAL'!AU20</f>
        <v>300</v>
      </c>
      <c r="L22" s="185"/>
      <c r="M22" s="187">
        <f>+K22*J22</f>
        <v>960000</v>
      </c>
      <c r="N22" s="187"/>
      <c r="O22" s="187"/>
      <c r="P22" s="187"/>
      <c r="Q22" s="187"/>
      <c r="R22" s="185"/>
    </row>
    <row r="23" spans="1:18" ht="24" customHeight="1" x14ac:dyDescent="0.25">
      <c r="A23" s="84">
        <v>12</v>
      </c>
      <c r="B23" s="85" t="str">
        <f>'SAF 011 - NECESIDAD TRIMESTRAL'!B21</f>
        <v>4.3.7-37.82</v>
      </c>
      <c r="C23" s="216" t="str">
        <f>'SAF 011 - NECESIDAD TRIMESTRAL'!E21</f>
        <v>ESCALERAS; MATERIAL: METAL, ESCALONES: 2, TRAMOS: UNICO, DESARROLLO: PLANO UNICO, SOPORTE: APOYO</v>
      </c>
      <c r="D23" s="217"/>
      <c r="E23" s="217"/>
      <c r="F23" s="217"/>
      <c r="G23" s="218"/>
      <c r="H23" s="85" t="s">
        <v>207</v>
      </c>
      <c r="I23" s="86" t="str">
        <f>'SAF 011 - NECESIDAD TRIMESTRAL'!F21</f>
        <v>UNIDAD</v>
      </c>
      <c r="J23" s="87">
        <f>'SAF 011 - NECESIDAD TRIMESTRAL'!AX21</f>
        <v>7500</v>
      </c>
      <c r="K23" s="88">
        <f>'SAF 011 - NECESIDAD TRIMESTRAL'!AU21</f>
        <v>50</v>
      </c>
      <c r="L23" s="185"/>
      <c r="M23" s="187"/>
      <c r="N23" s="187"/>
      <c r="O23" s="187"/>
      <c r="P23" s="187">
        <f t="shared" ref="P23:P26" si="2">+J23*K23</f>
        <v>375000</v>
      </c>
      <c r="Q23" s="187"/>
      <c r="R23" s="185"/>
    </row>
    <row r="24" spans="1:18" ht="78" customHeight="1" x14ac:dyDescent="0.25">
      <c r="A24" s="84">
        <v>13</v>
      </c>
      <c r="B24" s="85" t="str">
        <f>'SAF 011 - NECESIDAD TRIMESTRAL'!B22</f>
        <v>4.3.7-4502.8</v>
      </c>
      <c r="C24" s="216" t="str">
        <f>'SAF 011 - NECESIDAD TRIMESTRAL'!E22</f>
        <v>ESCRITORIOS ERGONOMICOS; MATERIAL ESTRUCTURA: AGLOMERADO, ALTURA: 75 Cm, CAJONERA: SI, CAJONES: 3, TIRANTE SOBRE CAJON: SIN, BANDEJA PORTATECLADO: CON, PASACABLES: CON, TERMINACION: MELAMINA, ANCHO MAYOR: 120 Cm, ANCHO MENOR: SIN VALOR, PROF. MAYOR: 70 Cm, PROF. MENOR: SIN VALOR, CANTIDAD DE CAJONES: 3, MATERIAL: AGLOMERADO, ANCHO MAXIMO: 120 Cm, PROFUNDIDAD MAXIMA: 70 Cm, DIMENSION (A/P/H): 120 X 70 X 75 Cm</v>
      </c>
      <c r="D24" s="217"/>
      <c r="E24" s="217"/>
      <c r="F24" s="217"/>
      <c r="G24" s="218"/>
      <c r="H24" s="85" t="s">
        <v>207</v>
      </c>
      <c r="I24" s="86" t="str">
        <f>'SAF 011 - NECESIDAD TRIMESTRAL'!F22</f>
        <v>UNIDAD</v>
      </c>
      <c r="J24" s="87">
        <f>'SAF 011 - NECESIDAD TRIMESTRAL'!AX22</f>
        <v>22000</v>
      </c>
      <c r="K24" s="88">
        <f>'SAF 011 - NECESIDAD TRIMESTRAL'!AU22</f>
        <v>150</v>
      </c>
      <c r="L24" s="185"/>
      <c r="M24" s="187"/>
      <c r="N24" s="187"/>
      <c r="O24" s="187"/>
      <c r="P24" s="187">
        <f t="shared" si="2"/>
        <v>3300000</v>
      </c>
      <c r="Q24" s="187"/>
      <c r="R24" s="185"/>
    </row>
    <row r="25" spans="1:18" ht="65.25" customHeight="1" x14ac:dyDescent="0.25">
      <c r="A25" s="84">
        <v>14</v>
      </c>
      <c r="B25" s="85" t="str">
        <f>'SAF 011 - NECESIDAD TRIMESTRAL'!B23</f>
        <v>4.3.7-40.38</v>
      </c>
      <c r="C25" s="216" t="str">
        <f>'SAF 011 - NECESIDAD TRIMESTRAL'!E23</f>
        <v>ESCRITORIOS; CAJONERA: 2 IZQUIERDA, 2 DERECHA, TIRANTE SOBRE CAJON.: SIN, TERMINACION: REVESTIMIENTO MELAMINICO, DIM. DEL PLANO DE UNION: SIN VALOR, DIM. DEL PLANO DE APOYO: SIN VALOR, DIM. DE LAS PANTALLA DIVISORIA: SIN VALOR, DIM. DEL PLANO DE EXTENSION: SIN VALOR, BANDEJA PORTATECLADO: SIN VALOR, PASACABLES: SIN VALOR, MATERIAL ESTRUCTURA: AGLOMERADO, CAJONES: 4, CANTIDAD DE CAJONES: 4</v>
      </c>
      <c r="D25" s="217"/>
      <c r="E25" s="217"/>
      <c r="F25" s="217"/>
      <c r="G25" s="218"/>
      <c r="H25" s="85" t="s">
        <v>207</v>
      </c>
      <c r="I25" s="86" t="str">
        <f>'SAF 011 - NECESIDAD TRIMESTRAL'!F23</f>
        <v>UNIDAD</v>
      </c>
      <c r="J25" s="87">
        <f>'SAF 011 - NECESIDAD TRIMESTRAL'!AX23</f>
        <v>23000</v>
      </c>
      <c r="K25" s="88">
        <f>'SAF 011 - NECESIDAD TRIMESTRAL'!AU23</f>
        <v>150</v>
      </c>
      <c r="L25" s="185"/>
      <c r="M25" s="187"/>
      <c r="N25" s="187"/>
      <c r="O25" s="187"/>
      <c r="P25" s="187">
        <f t="shared" si="2"/>
        <v>3450000</v>
      </c>
      <c r="Q25" s="187"/>
      <c r="R25" s="185"/>
    </row>
    <row r="26" spans="1:18" ht="45" customHeight="1" x14ac:dyDescent="0.25">
      <c r="A26" s="84">
        <v>15</v>
      </c>
      <c r="B26" s="85" t="str">
        <f>'SAF 011 - NECESIDAD TRIMESTRAL'!B24</f>
        <v>4.3.7-1404.22</v>
      </c>
      <c r="C26" s="216" t="str">
        <f>'SAF 011 - NECESIDAD TRIMESTRAL'!E24</f>
        <v>ESTANTERIAS; MATERIAL: METAL, DIMENSION: 205 X 60 Cm, ALTURA: 260 Cm, ESTANTES: 6 UN, CAPACIDAD POR ESTANTE: SIN VALOR</v>
      </c>
      <c r="D26" s="217"/>
      <c r="E26" s="217"/>
      <c r="F26" s="217"/>
      <c r="G26" s="218"/>
      <c r="H26" s="85" t="s">
        <v>207</v>
      </c>
      <c r="I26" s="86" t="str">
        <f>'SAF 011 - NECESIDAD TRIMESTRAL'!F24</f>
        <v>UNIDAD</v>
      </c>
      <c r="J26" s="87">
        <f>'SAF 011 - NECESIDAD TRIMESTRAL'!AX24</f>
        <v>40000</v>
      </c>
      <c r="K26" s="88">
        <f>'SAF 011 - NECESIDAD TRIMESTRAL'!AU24</f>
        <v>30</v>
      </c>
      <c r="L26" s="185"/>
      <c r="M26" s="187"/>
      <c r="N26" s="187"/>
      <c r="O26" s="187"/>
      <c r="P26" s="187">
        <f t="shared" si="2"/>
        <v>1200000</v>
      </c>
      <c r="Q26" s="187"/>
      <c r="R26" s="185"/>
    </row>
    <row r="27" spans="1:18" ht="33.75" customHeight="1" x14ac:dyDescent="0.25">
      <c r="A27" s="84">
        <v>16</v>
      </c>
      <c r="B27" s="85" t="str">
        <f>'SAF 011 - NECESIDAD TRIMESTRAL'!B25</f>
        <v>2.2.3-920.42</v>
      </c>
      <c r="C27" s="216" t="str">
        <f>'SAF 011 - NECESIDAD TRIMESTRAL'!E25</f>
        <v>FRAZADAS; MATERIAL: POLAR, TAMAÑO: 1 1/2 PLAZA</v>
      </c>
      <c r="D27" s="217"/>
      <c r="E27" s="217"/>
      <c r="F27" s="217"/>
      <c r="G27" s="218"/>
      <c r="H27" s="85" t="s">
        <v>207</v>
      </c>
      <c r="I27" s="86" t="str">
        <f>'SAF 011 - NECESIDAD TRIMESTRAL'!F25</f>
        <v>UNIDAD</v>
      </c>
      <c r="J27" s="87">
        <f>'SAF 011 - NECESIDAD TRIMESTRAL'!AX25</f>
        <v>3000</v>
      </c>
      <c r="K27" s="88">
        <f>'SAF 011 - NECESIDAD TRIMESTRAL'!AU25</f>
        <v>300</v>
      </c>
      <c r="L27" s="185"/>
      <c r="M27" s="187">
        <f>+K27*J27</f>
        <v>900000</v>
      </c>
      <c r="N27" s="187"/>
      <c r="O27" s="187"/>
      <c r="P27" s="187"/>
      <c r="Q27" s="187"/>
      <c r="R27" s="185"/>
    </row>
    <row r="28" spans="1:18" ht="37.5" customHeight="1" x14ac:dyDescent="0.25">
      <c r="A28" s="84">
        <v>17</v>
      </c>
      <c r="B28" s="85" t="str">
        <f>'SAF 011 - NECESIDAD TRIMESTRAL'!B26</f>
        <v>4.3.7-4500.4</v>
      </c>
      <c r="C28" s="216" t="str">
        <f>'SAF 011 - NECESIDAD TRIMESTRAL'!E26</f>
        <v>GAVETEROS; MATERIAL: METAL, ALTURA: 240 Cm, ANCHO: 110 Cm, PROFUNDIDAD: 36 Cm, TERMINACION: ESMALTE, CANTIDAD DE CAJONES: 32</v>
      </c>
      <c r="D28" s="217"/>
      <c r="E28" s="217"/>
      <c r="F28" s="217"/>
      <c r="G28" s="218"/>
      <c r="H28" s="85" t="s">
        <v>207</v>
      </c>
      <c r="I28" s="86" t="str">
        <f>'SAF 011 - NECESIDAD TRIMESTRAL'!F26</f>
        <v>UNIDAD</v>
      </c>
      <c r="J28" s="87">
        <f>'SAF 011 - NECESIDAD TRIMESTRAL'!AX26</f>
        <v>9000</v>
      </c>
      <c r="K28" s="88">
        <f>'SAF 011 - NECESIDAD TRIMESTRAL'!AU26</f>
        <v>100</v>
      </c>
      <c r="L28" s="185"/>
      <c r="M28" s="187"/>
      <c r="N28" s="187"/>
      <c r="O28" s="187"/>
      <c r="P28" s="187">
        <f t="shared" ref="P28:P30" si="3">+J28*K28</f>
        <v>900000</v>
      </c>
      <c r="Q28" s="187"/>
      <c r="R28" s="185"/>
    </row>
    <row r="29" spans="1:18" ht="44.25" customHeight="1" x14ac:dyDescent="0.25">
      <c r="A29" s="84">
        <v>18</v>
      </c>
      <c r="B29" s="85" t="str">
        <f>'SAF 011 - NECESIDAD TRIMESTRAL'!B27</f>
        <v>4.3.7-15.123</v>
      </c>
      <c r="C29" s="216" t="str">
        <f>'SAF 011 - NECESIDAD TRIMESTRAL'!E27</f>
        <v>HELADERAS; CAPACIDAD: 400 L, FRIO: CON FREEZER, CONSUMO: MENOR A 5 KVA, TENSION NOMINAL: 220 V, CRITERIO DE SEGURIDAD: SELLO DE SEGURIDAD, CORRIENTE NOMINAL: MENOR A 63 A, EFICIENCIA ENERGETICA: GRADO A</v>
      </c>
      <c r="D29" s="217"/>
      <c r="E29" s="217"/>
      <c r="F29" s="217"/>
      <c r="G29" s="218"/>
      <c r="H29" s="85" t="s">
        <v>207</v>
      </c>
      <c r="I29" s="86" t="str">
        <f>'SAF 011 - NECESIDAD TRIMESTRAL'!F27</f>
        <v>UNIDAD</v>
      </c>
      <c r="J29" s="87">
        <f>'SAF 011 - NECESIDAD TRIMESTRAL'!AX27</f>
        <v>136000</v>
      </c>
      <c r="K29" s="88">
        <f>'SAF 011 - NECESIDAD TRIMESTRAL'!AU27</f>
        <v>10</v>
      </c>
      <c r="L29" s="185"/>
      <c r="M29" s="187"/>
      <c r="N29" s="187"/>
      <c r="O29" s="187"/>
      <c r="P29" s="187">
        <f t="shared" si="3"/>
        <v>1360000</v>
      </c>
      <c r="Q29" s="187"/>
      <c r="R29" s="185"/>
    </row>
    <row r="30" spans="1:18" ht="47.25" customHeight="1" x14ac:dyDescent="0.25">
      <c r="A30" s="84">
        <v>19</v>
      </c>
      <c r="B30" s="85" t="str">
        <f>'SAF 011 - NECESIDAD TRIMESTRAL'!B28</f>
        <v>4.3.7-96.28</v>
      </c>
      <c r="C30" s="216" t="str">
        <f>'SAF 011 - NECESIDAD TRIMESTRAL'!E28</f>
        <v>HORNOS MICROONDAS; CAPACIDAD: 30 L, DIMENSION (A/P/H): 520 X 510 X 500 mm, ACCESORIO: BANDEJA, MATERIAL INTERNO: CHAPA ESMALTADA, POTENCIA: 1000 W, TENSION NOMINAL: 220 V, CORRIENTE NOMINAL: 4,5 A, CONSUMO: 800 W, CRITERIO DE SEGURIDAD: SELLO DE SEGURIDAD, EFICIENCIA ENERGETICA: SIN VALOR</v>
      </c>
      <c r="D30" s="217"/>
      <c r="E30" s="217"/>
      <c r="F30" s="217"/>
      <c r="G30" s="218"/>
      <c r="H30" s="85" t="s">
        <v>207</v>
      </c>
      <c r="I30" s="86" t="str">
        <f>'SAF 011 - NECESIDAD TRIMESTRAL'!F28</f>
        <v>UNIDAD</v>
      </c>
      <c r="J30" s="87">
        <f>'SAF 011 - NECESIDAD TRIMESTRAL'!AX28</f>
        <v>24599</v>
      </c>
      <c r="K30" s="88">
        <f>'SAF 011 - NECESIDAD TRIMESTRAL'!AU28</f>
        <v>1</v>
      </c>
      <c r="L30" s="185"/>
      <c r="M30" s="187"/>
      <c r="N30" s="187"/>
      <c r="O30" s="187"/>
      <c r="P30" s="187">
        <f t="shared" si="3"/>
        <v>24599</v>
      </c>
      <c r="Q30" s="187"/>
      <c r="R30" s="185"/>
    </row>
    <row r="31" spans="1:18" ht="41.25" customHeight="1" x14ac:dyDescent="0.25">
      <c r="A31" s="84">
        <v>20</v>
      </c>
      <c r="B31" s="85" t="str">
        <f>'SAF 011 - NECESIDAD TRIMESTRAL'!B29</f>
        <v>4.3.9-2757.58</v>
      </c>
      <c r="C31" s="216" t="str">
        <f>'SAF 011 - NECESIDAD TRIMESTRAL'!E29</f>
        <v>LAVADORAS; USO: ROPA, CAPACIDAD: 10 Kg, VAPOR SOBRECALENTADO: SIN, BOMBA ADICIONAL: SIN, ALIMENTACION: 220 V, TENSION NOMINAL: 220/224 V, CORRIENTE NOMINAL: 10 A, CRITERIO DE SEGURIDAD: SELLO DE SEGURIDAD, CONSUMO: 6 KW, EFICIENCIA ENERGETICA: SIN VALOR</v>
      </c>
      <c r="D31" s="217"/>
      <c r="E31" s="217"/>
      <c r="F31" s="217"/>
      <c r="G31" s="218"/>
      <c r="H31" s="85" t="s">
        <v>207</v>
      </c>
      <c r="I31" s="86" t="str">
        <f>'SAF 011 - NECESIDAD TRIMESTRAL'!F29</f>
        <v>UNIDAD</v>
      </c>
      <c r="J31" s="87">
        <f>'SAF 011 - NECESIDAD TRIMESTRAL'!AX29</f>
        <v>96000</v>
      </c>
      <c r="K31" s="88">
        <f>'SAF 011 - NECESIDAD TRIMESTRAL'!AU29</f>
        <v>10</v>
      </c>
      <c r="L31" s="185"/>
      <c r="M31" s="187"/>
      <c r="N31" s="187"/>
      <c r="O31" s="187"/>
      <c r="P31" s="187">
        <f>+J31*K31</f>
        <v>960000</v>
      </c>
      <c r="Q31" s="187"/>
      <c r="R31" s="185"/>
    </row>
    <row r="32" spans="1:18" ht="48.75" customHeight="1" x14ac:dyDescent="0.25">
      <c r="A32" s="84">
        <v>21</v>
      </c>
      <c r="B32" s="85" t="str">
        <f>'SAF 011 - NECESIDAD TRIMESTRAL'!B30</f>
        <v>4.3.7-2012.7</v>
      </c>
      <c r="C32" s="216" t="str">
        <f>'SAF 011 - NECESIDAD TRIMESTRAL'!E30</f>
        <v>LOCKERS; MATERIAL ESTRUCTURA: 147 dBV/mPa , DIMENSION: 182 X 78 X 52 Cm, CANTIDAD CASILLEROS: 6, ESTANTES: CON, PUERTAS: 6, CAJONES: SIN, CANTIDAD DE CAJONES: SIN, MATERIAL: METAL, CANT. PUERTAS: 6, CANTIDAD DE CASILLEROS: 6</v>
      </c>
      <c r="D32" s="217"/>
      <c r="E32" s="217"/>
      <c r="F32" s="217"/>
      <c r="G32" s="218"/>
      <c r="H32" s="85" t="s">
        <v>207</v>
      </c>
      <c r="I32" s="86" t="str">
        <f>'SAF 011 - NECESIDAD TRIMESTRAL'!F30</f>
        <v>UNIDAD</v>
      </c>
      <c r="J32" s="87">
        <f>'SAF 011 - NECESIDAD TRIMESTRAL'!AX30</f>
        <v>50000</v>
      </c>
      <c r="K32" s="88">
        <f>'SAF 011 - NECESIDAD TRIMESTRAL'!AU30</f>
        <v>48</v>
      </c>
      <c r="L32" s="185"/>
      <c r="M32" s="187"/>
      <c r="N32" s="187"/>
      <c r="O32" s="187"/>
      <c r="P32" s="187">
        <f t="shared" ref="P32:P36" si="4">+J32*K32</f>
        <v>2400000</v>
      </c>
      <c r="Q32" s="187"/>
      <c r="R32" s="185"/>
    </row>
    <row r="33" spans="1:18" ht="34.5" customHeight="1" x14ac:dyDescent="0.25">
      <c r="A33" s="84">
        <v>22</v>
      </c>
      <c r="B33" s="85" t="str">
        <f>'SAF 011 - NECESIDAD TRIMESTRAL'!B31</f>
        <v>4.3.7-2208.50</v>
      </c>
      <c r="C33" s="216" t="str">
        <f>'SAF 011 - NECESIDAD TRIMESTRAL'!E31</f>
        <v>MESAS DE LUZ; ANCHO: 45 Cm, PROFUNDIDAD: 40 Cm, MATERIAL: METAL, TERMINACION: MELAMINA</v>
      </c>
      <c r="D33" s="217"/>
      <c r="E33" s="217"/>
      <c r="F33" s="217"/>
      <c r="G33" s="218"/>
      <c r="H33" s="85" t="s">
        <v>207</v>
      </c>
      <c r="I33" s="86" t="str">
        <f>'SAF 011 - NECESIDAD TRIMESTRAL'!F31</f>
        <v>UNIDAD</v>
      </c>
      <c r="J33" s="87">
        <f>'SAF 011 - NECESIDAD TRIMESTRAL'!AX31</f>
        <v>23823.99</v>
      </c>
      <c r="K33" s="88">
        <f>'SAF 011 - NECESIDAD TRIMESTRAL'!AU31</f>
        <v>80</v>
      </c>
      <c r="L33" s="185"/>
      <c r="M33" s="187"/>
      <c r="N33" s="187"/>
      <c r="O33" s="187"/>
      <c r="P33" s="187">
        <f t="shared" si="4"/>
        <v>1905919.2000000002</v>
      </c>
      <c r="Q33" s="187"/>
      <c r="R33" s="185"/>
    </row>
    <row r="34" spans="1:18" ht="51" customHeight="1" x14ac:dyDescent="0.25">
      <c r="A34" s="84">
        <v>23</v>
      </c>
      <c r="B34" s="85" t="str">
        <f>'SAF 011 - NECESIDAD TRIMESTRAL'!B32</f>
        <v>4.3.7-1406.271</v>
      </c>
      <c r="C34" s="216" t="str">
        <f>'SAF 011 - NECESIDAD TRIMESTRAL'!E32</f>
        <v>MESAS DE REUNIONES; SUPERFICIE APOYO: AGLOMERADO, TERMINACION: LAMINADO MELAMINICO, DIM. DEL PLANO DE APOYO: 240 X 110 Cm, BASE: AGLOMERADO, CAPACIDAD: 8 PERSONAS, MATERIAL: AGLOMERADO</v>
      </c>
      <c r="D34" s="217"/>
      <c r="E34" s="217"/>
      <c r="F34" s="217"/>
      <c r="G34" s="218"/>
      <c r="H34" s="85" t="s">
        <v>207</v>
      </c>
      <c r="I34" s="86" t="str">
        <f>'SAF 011 - NECESIDAD TRIMESTRAL'!F32</f>
        <v>UNIDAD</v>
      </c>
      <c r="J34" s="87">
        <f>'SAF 011 - NECESIDAD TRIMESTRAL'!AX32</f>
        <v>28000</v>
      </c>
      <c r="K34" s="88">
        <f>'SAF 011 - NECESIDAD TRIMESTRAL'!AU32</f>
        <v>7</v>
      </c>
      <c r="L34" s="185"/>
      <c r="M34" s="187"/>
      <c r="N34" s="187"/>
      <c r="O34" s="187"/>
      <c r="P34" s="187">
        <f t="shared" si="4"/>
        <v>196000</v>
      </c>
      <c r="Q34" s="187"/>
      <c r="R34" s="185"/>
    </row>
    <row r="35" spans="1:18" ht="43.5" customHeight="1" x14ac:dyDescent="0.25">
      <c r="A35" s="84">
        <v>24</v>
      </c>
      <c r="B35" s="85" t="str">
        <f>'SAF 011 - NECESIDAD TRIMESTRAL'!B33</f>
        <v>4.3.7-5446.1</v>
      </c>
      <c r="C35" s="216" t="str">
        <f>'SAF 011 - NECESIDAD TRIMESTRAL'!E33</f>
        <v>MESAS P/CAMAS; BASE: ACERO INOXIDABLE, ALTURA: REGULABLE, DIMENSION DE TAPA: 50 X 80 Cm, MATERIAL DE TAPA: LAMINADA EN MELAMINA, SUPERFICIE APOYO: 50 X 80 Cm</v>
      </c>
      <c r="D35" s="217"/>
      <c r="E35" s="217"/>
      <c r="F35" s="217"/>
      <c r="G35" s="218"/>
      <c r="H35" s="85" t="s">
        <v>207</v>
      </c>
      <c r="I35" s="86" t="str">
        <f>'SAF 011 - NECESIDAD TRIMESTRAL'!F33</f>
        <v>UNIDAD</v>
      </c>
      <c r="J35" s="87">
        <f>'SAF 011 - NECESIDAD TRIMESTRAL'!AX33</f>
        <v>12000</v>
      </c>
      <c r="K35" s="88">
        <f>'SAF 011 - NECESIDAD TRIMESTRAL'!AU33</f>
        <v>100</v>
      </c>
      <c r="L35" s="185"/>
      <c r="M35" s="187"/>
      <c r="N35" s="187"/>
      <c r="O35" s="187"/>
      <c r="P35" s="187">
        <f t="shared" si="4"/>
        <v>1200000</v>
      </c>
      <c r="Q35" s="187"/>
      <c r="R35" s="185"/>
    </row>
    <row r="36" spans="1:18" ht="36" customHeight="1" x14ac:dyDescent="0.25">
      <c r="A36" s="84">
        <v>25</v>
      </c>
      <c r="B36" s="85" t="str">
        <f>'SAF 011 - NECESIDAD TRIMESTRAL'!B34</f>
        <v>4.3.7-1910.21</v>
      </c>
      <c r="C36" s="216" t="str">
        <f>'SAF 011 - NECESIDAD TRIMESTRAL'!E34</f>
        <v>MESAS P/IMPRESORAS; MATERIAL: MADERA, DIM. APROX. (ANCHO/PROF/ALTO): 250 X 45 X 85 Cm</v>
      </c>
      <c r="D36" s="217"/>
      <c r="E36" s="217"/>
      <c r="F36" s="217"/>
      <c r="G36" s="218"/>
      <c r="H36" s="85" t="s">
        <v>207</v>
      </c>
      <c r="I36" s="86" t="str">
        <f>'SAF 011 - NECESIDAD TRIMESTRAL'!F34</f>
        <v>UNIDAD</v>
      </c>
      <c r="J36" s="87">
        <f>'SAF 011 - NECESIDAD TRIMESTRAL'!AX34</f>
        <v>10000</v>
      </c>
      <c r="K36" s="88">
        <f>'SAF 011 - NECESIDAD TRIMESTRAL'!AU34</f>
        <v>1</v>
      </c>
      <c r="L36" s="185"/>
      <c r="M36" s="187"/>
      <c r="N36" s="187"/>
      <c r="O36" s="187"/>
      <c r="P36" s="187">
        <f t="shared" si="4"/>
        <v>10000</v>
      </c>
      <c r="Q36" s="187"/>
      <c r="R36" s="185"/>
    </row>
    <row r="37" spans="1:18" ht="39.75" customHeight="1" x14ac:dyDescent="0.25">
      <c r="A37" s="84">
        <v>26</v>
      </c>
      <c r="B37" s="85" t="str">
        <f>'SAF 011 - NECESIDAD TRIMESTRAL'!B35</f>
        <v>4.3.9-7935.2</v>
      </c>
      <c r="C37" s="216" t="str">
        <f>'SAF 011 - NECESIDAD TRIMESTRAL'!E35</f>
        <v>MESAS P/PLANCHADO; ESTRUCTURA: HIERRO REFORZADO, DIMENSION: 1 X 0,5 M, TERMINACION: TELA DE AMIANTO, MATERIAL ESTRUCTURA: HIERRO REFORZADO</v>
      </c>
      <c r="D37" s="217"/>
      <c r="E37" s="217"/>
      <c r="F37" s="217"/>
      <c r="G37" s="218"/>
      <c r="H37" s="85" t="s">
        <v>207</v>
      </c>
      <c r="I37" s="86" t="str">
        <f>'SAF 011 - NECESIDAD TRIMESTRAL'!F35</f>
        <v>UNIDAD</v>
      </c>
      <c r="J37" s="87">
        <f>'SAF 011 - NECESIDAD TRIMESTRAL'!AX35</f>
        <v>8200</v>
      </c>
      <c r="K37" s="88">
        <f>'SAF 011 - NECESIDAD TRIMESTRAL'!AU35</f>
        <v>10</v>
      </c>
      <c r="L37" s="185"/>
      <c r="M37" s="187"/>
      <c r="N37" s="187"/>
      <c r="O37" s="187"/>
      <c r="P37" s="187">
        <f>+J37*K37</f>
        <v>82000</v>
      </c>
      <c r="Q37" s="187"/>
      <c r="R37" s="185"/>
    </row>
    <row r="38" spans="1:18" ht="43.5" customHeight="1" x14ac:dyDescent="0.25">
      <c r="A38" s="84">
        <v>27</v>
      </c>
      <c r="B38" s="85" t="str">
        <f>'SAF 011 - NECESIDAD TRIMESTRAL'!B36</f>
        <v>4.3.7-9066.3</v>
      </c>
      <c r="C38" s="216" t="str">
        <f>'SAF 011 - NECESIDAD TRIMESTRAL'!E36</f>
        <v>PAVAS ELECTRICAS; MATERIAL: ALUMINIO, CAPACIDAD: 1,7 L, POTENCIA: 2100 W, TENSION NOMINAL: 220 V, CORRIENTE NOMINAL: MENOR A 63 A, CONSUMO: MENOR A 5 KVA, CRITERIO DE SEGURIDAD: SELLO DE SEGURIDAD</v>
      </c>
      <c r="D38" s="217"/>
      <c r="E38" s="217"/>
      <c r="F38" s="217"/>
      <c r="G38" s="218"/>
      <c r="H38" s="85" t="s">
        <v>207</v>
      </c>
      <c r="I38" s="86" t="str">
        <f>'SAF 011 - NECESIDAD TRIMESTRAL'!F36</f>
        <v>UNIDAD</v>
      </c>
      <c r="J38" s="87">
        <f>'SAF 011 - NECESIDAD TRIMESTRAL'!AX36</f>
        <v>5000</v>
      </c>
      <c r="K38" s="88">
        <f>'SAF 011 - NECESIDAD TRIMESTRAL'!AU36</f>
        <v>20</v>
      </c>
      <c r="L38" s="185"/>
      <c r="M38" s="187"/>
      <c r="N38" s="187"/>
      <c r="O38" s="187"/>
      <c r="P38" s="187">
        <f>+J38*K38</f>
        <v>100000</v>
      </c>
      <c r="Q38" s="187"/>
      <c r="R38" s="185"/>
    </row>
    <row r="39" spans="1:18" ht="39.75" customHeight="1" x14ac:dyDescent="0.25">
      <c r="A39" s="84">
        <v>28</v>
      </c>
      <c r="B39" s="85" t="str">
        <f>'SAF 011 - NECESIDAD TRIMESTRAL'!B37</f>
        <v>4.3.9-2489.10</v>
      </c>
      <c r="C39" s="216" t="str">
        <f>'SAF 011 - NECESIDAD TRIMESTRAL'!E37</f>
        <v>PLANCHAS; CONSUMO: 800 W, CRITERIO DE SEGURIDAD: SELLO DE SEGURIDAD, CORRIENTE NOMINAL: MENOR A 63 A, TENSION NOMINAL: 220 - 240 V, ACCESORIO: CON, TIPO: ELECTRICA</v>
      </c>
      <c r="D39" s="217"/>
      <c r="E39" s="217"/>
      <c r="F39" s="217"/>
      <c r="G39" s="218"/>
      <c r="H39" s="85" t="s">
        <v>207</v>
      </c>
      <c r="I39" s="86" t="str">
        <f>'SAF 011 - NECESIDAD TRIMESTRAL'!F37</f>
        <v>UNIDAD</v>
      </c>
      <c r="J39" s="87">
        <f>'SAF 011 - NECESIDAD TRIMESTRAL'!AX37</f>
        <v>4500</v>
      </c>
      <c r="K39" s="88">
        <f>'SAF 011 - NECESIDAD TRIMESTRAL'!AU37</f>
        <v>10</v>
      </c>
      <c r="L39" s="185"/>
      <c r="M39" s="187"/>
      <c r="N39" s="187"/>
      <c r="O39" s="187"/>
      <c r="P39" s="187">
        <f>+J39*K39</f>
        <v>45000</v>
      </c>
      <c r="Q39" s="187"/>
      <c r="R39" s="185"/>
    </row>
    <row r="40" spans="1:18" ht="39" customHeight="1" x14ac:dyDescent="0.25">
      <c r="A40" s="84">
        <v>29</v>
      </c>
      <c r="B40" s="85" t="str">
        <f>'SAF 011 - NECESIDAD TRIMESTRAL'!B38</f>
        <v>4.3.7-1880.1</v>
      </c>
      <c r="C40" s="216" t="str">
        <f>'SAF 011 - NECESIDAD TRIMESTRAL'!E38</f>
        <v>RELOJES; TAMAÑO: 30 X 25 Cm, ALIMENTACION: ELECTRICA, MECANISMO: ANALOGICO, TIPO: DE PARED, MATERIAL: PLASTICO</v>
      </c>
      <c r="D40" s="217"/>
      <c r="E40" s="217"/>
      <c r="F40" s="217"/>
      <c r="G40" s="218"/>
      <c r="H40" s="85" t="s">
        <v>207</v>
      </c>
      <c r="I40" s="86" t="str">
        <f>'SAF 011 - NECESIDAD TRIMESTRAL'!F38</f>
        <v>UNIDAD</v>
      </c>
      <c r="J40" s="87">
        <f>'SAF 011 - NECESIDAD TRIMESTRAL'!AX38</f>
        <v>2300</v>
      </c>
      <c r="K40" s="88">
        <f>'SAF 011 - NECESIDAD TRIMESTRAL'!AU38</f>
        <v>30</v>
      </c>
      <c r="L40" s="185"/>
      <c r="M40" s="187"/>
      <c r="N40" s="187"/>
      <c r="O40" s="187"/>
      <c r="P40" s="187">
        <f>+J40*K40</f>
        <v>69000</v>
      </c>
      <c r="Q40" s="187"/>
      <c r="R40" s="185"/>
    </row>
    <row r="41" spans="1:18" ht="36.75" customHeight="1" x14ac:dyDescent="0.25">
      <c r="A41" s="84">
        <v>30</v>
      </c>
      <c r="B41" s="85" t="str">
        <f>'SAF 011 - NECESIDAD TRIMESTRAL'!B39</f>
        <v>2.2.3-923.1</v>
      </c>
      <c r="C41" s="216" t="str">
        <f>'SAF 011 - NECESIDAD TRIMESTRAL'!E39</f>
        <v>SABANAS; TELA: PURO ALGODON, TAMAÑO: 1 PLAZA, CONJUNTO: SUPERIOR,INFERIOR Y FUNDA</v>
      </c>
      <c r="D41" s="217"/>
      <c r="E41" s="217"/>
      <c r="F41" s="217"/>
      <c r="G41" s="218"/>
      <c r="H41" s="85" t="s">
        <v>207</v>
      </c>
      <c r="I41" s="86" t="str">
        <f>'SAF 011 - NECESIDAD TRIMESTRAL'!F39</f>
        <v>UNIDAD</v>
      </c>
      <c r="J41" s="87">
        <f>'SAF 011 - NECESIDAD TRIMESTRAL'!AX39</f>
        <v>3000</v>
      </c>
      <c r="K41" s="88">
        <f>'SAF 011 - NECESIDAD TRIMESTRAL'!AU39</f>
        <v>300</v>
      </c>
      <c r="L41" s="185"/>
      <c r="M41" s="187">
        <f>+K41*J41</f>
        <v>900000</v>
      </c>
      <c r="N41" s="187"/>
      <c r="O41" s="187"/>
      <c r="P41" s="187"/>
      <c r="Q41" s="187"/>
      <c r="R41" s="185"/>
    </row>
    <row r="42" spans="1:18" ht="51.75" customHeight="1" x14ac:dyDescent="0.25">
      <c r="A42" s="84">
        <v>31</v>
      </c>
      <c r="B42" s="85" t="str">
        <f>'SAF 011 - NECESIDAD TRIMESTRAL'!B40</f>
        <v>4.3.9-2655.27</v>
      </c>
      <c r="C42" s="216" t="str">
        <f>'SAF 011 - NECESIDAD TRIMESTRAL'!E40</f>
        <v>SECARROPAS/CENTRIFUGA; TIPO: ROTATIVO, SECADO: POR CALOR, CAPACIDAD: 10 Kg, TENSION NOMINAL: 220 V, CORRIENTE NOMINAL: 10 A, CRITERIO DE SEGURIDAD: SELLO DE SEGURIDAD, CONSUMO: 6 KW, EFICIENCIA ENERGETICA: GRADO B</v>
      </c>
      <c r="D42" s="217"/>
      <c r="E42" s="217"/>
      <c r="F42" s="217"/>
      <c r="G42" s="218"/>
      <c r="H42" s="85" t="s">
        <v>207</v>
      </c>
      <c r="I42" s="86" t="str">
        <f>'SAF 011 - NECESIDAD TRIMESTRAL'!F40</f>
        <v>UNIDAD</v>
      </c>
      <c r="J42" s="87">
        <f>'SAF 011 - NECESIDAD TRIMESTRAL'!AX40</f>
        <v>80000</v>
      </c>
      <c r="K42" s="88">
        <f>'SAF 011 - NECESIDAD TRIMESTRAL'!AU40</f>
        <v>10</v>
      </c>
      <c r="L42" s="185"/>
      <c r="M42" s="187"/>
      <c r="N42" s="187"/>
      <c r="O42" s="187"/>
      <c r="P42" s="187">
        <f>+J42*K42</f>
        <v>800000</v>
      </c>
      <c r="Q42" s="187"/>
      <c r="R42" s="185"/>
    </row>
    <row r="43" spans="1:18" ht="55.5" customHeight="1" x14ac:dyDescent="0.25">
      <c r="A43" s="84">
        <v>32</v>
      </c>
      <c r="B43" s="85" t="str">
        <f>'SAF 011 - NECESIDAD TRIMESTRAL'!B41</f>
        <v>4.3.7-45.30</v>
      </c>
      <c r="C43" s="216" t="str">
        <f>'SAF 011 - NECESIDAD TRIMESTRAL'!E41</f>
        <v>SILLAS; MATERIAL ESTRUCTURA: METAL, PATAS: BASE CENTRAL,PATAS FIJAS, ALTURA: FIJA, GIRATORIA: NO, RESPALDO: FIJO, ASIENTO: SIN VALOR, TAPIZADO: CUERINA, APOYA BRAZO: SIN, CANTIDAD PATAS: 4, Nº PATAS: 4, APOYABRAZO: SIN</v>
      </c>
      <c r="D43" s="217"/>
      <c r="E43" s="217"/>
      <c r="F43" s="217"/>
      <c r="G43" s="218"/>
      <c r="H43" s="85" t="s">
        <v>207</v>
      </c>
      <c r="I43" s="86" t="str">
        <f>'SAF 011 - NECESIDAD TRIMESTRAL'!F41</f>
        <v>UNIDAD</v>
      </c>
      <c r="J43" s="87">
        <f>'SAF 011 - NECESIDAD TRIMESTRAL'!AX41</f>
        <v>9720</v>
      </c>
      <c r="K43" s="88">
        <f>'SAF 011 - NECESIDAD TRIMESTRAL'!AU41</f>
        <v>600</v>
      </c>
      <c r="L43" s="185"/>
      <c r="M43" s="187"/>
      <c r="N43" s="187"/>
      <c r="O43" s="187"/>
      <c r="P43" s="187">
        <f t="shared" ref="P43:P44" si="5">+J43*K43</f>
        <v>5832000</v>
      </c>
      <c r="Q43" s="187"/>
      <c r="R43" s="185"/>
    </row>
    <row r="44" spans="1:18" ht="25.5" customHeight="1" x14ac:dyDescent="0.25">
      <c r="A44" s="84">
        <v>33</v>
      </c>
      <c r="B44" s="85" t="str">
        <f>'SAF 011 - NECESIDAD TRIMESTRAL'!B42</f>
        <v>4.3.7-2004.2</v>
      </c>
      <c r="C44" s="216" t="str">
        <f>'SAF 011 - NECESIDAD TRIMESTRAL'!E42</f>
        <v>SISTEMAS DE SILLAS; ALTURA FIJA - APOYABRAZO SIN - Nº DE ASIENTOS 4 - MATERIAL METAL</v>
      </c>
      <c r="D44" s="217"/>
      <c r="E44" s="217"/>
      <c r="F44" s="217"/>
      <c r="G44" s="218"/>
      <c r="H44" s="85" t="s">
        <v>207</v>
      </c>
      <c r="I44" s="86" t="str">
        <f>'SAF 011 - NECESIDAD TRIMESTRAL'!F42</f>
        <v>UNIDAD</v>
      </c>
      <c r="J44" s="87">
        <f>'SAF 011 - NECESIDAD TRIMESTRAL'!AX42</f>
        <v>53000</v>
      </c>
      <c r="K44" s="88">
        <f>'SAF 011 - NECESIDAD TRIMESTRAL'!AU42</f>
        <v>80</v>
      </c>
      <c r="L44" s="185"/>
      <c r="M44" s="187"/>
      <c r="N44" s="187"/>
      <c r="O44" s="187"/>
      <c r="P44" s="187">
        <f t="shared" si="5"/>
        <v>4240000</v>
      </c>
      <c r="Q44" s="187"/>
      <c r="R44" s="185"/>
    </row>
    <row r="45" spans="1:18" ht="33.75" customHeight="1" x14ac:dyDescent="0.25">
      <c r="A45" s="84">
        <v>34</v>
      </c>
      <c r="B45" s="85" t="str">
        <f>'SAF 011 - NECESIDAD TRIMESTRAL'!B43</f>
        <v>2.9.1-2661.8</v>
      </c>
      <c r="C45" s="216" t="str">
        <f>'SAF 011 - NECESIDAD TRIMESTRAL'!E43</f>
        <v>TACHOS DE RESIDUOS; MATERIAL: PLASTICO, SECCION: CIRCULAR, DIMENSION: 119 L, TAPA: CON</v>
      </c>
      <c r="D45" s="217"/>
      <c r="E45" s="217"/>
      <c r="F45" s="217"/>
      <c r="G45" s="218"/>
      <c r="H45" s="85" t="s">
        <v>207</v>
      </c>
      <c r="I45" s="86" t="str">
        <f>'SAF 011 - NECESIDAD TRIMESTRAL'!F43</f>
        <v>UNIDAD</v>
      </c>
      <c r="J45" s="87">
        <f>'SAF 011 - NECESIDAD TRIMESTRAL'!AX43</f>
        <v>17250</v>
      </c>
      <c r="K45" s="88">
        <f>'SAF 011 - NECESIDAD TRIMESTRAL'!AU43</f>
        <v>200</v>
      </c>
      <c r="L45" s="185"/>
      <c r="M45" s="187"/>
      <c r="N45" s="187"/>
      <c r="O45" s="187">
        <f t="shared" ref="O45:O46" si="6">+J45*K45</f>
        <v>3450000</v>
      </c>
      <c r="P45" s="187"/>
      <c r="Q45" s="187"/>
      <c r="R45" s="185"/>
    </row>
    <row r="46" spans="1:18" ht="37.5" customHeight="1" x14ac:dyDescent="0.25">
      <c r="A46" s="84">
        <v>35</v>
      </c>
      <c r="B46" s="85" t="str">
        <f>'SAF 011 - NECESIDAD TRIMESTRAL'!B44</f>
        <v>2.9.1-2661.1</v>
      </c>
      <c r="C46" s="216" t="str">
        <f>'SAF 011 - NECESIDAD TRIMESTRAL'!E44</f>
        <v>TACHOS DE RESIDUOS; MATERIAL: PLASTICO, SECCION: CIRCULAR, DIMENSION: DIAM. 30 X 80 Cm, TAPA: CON</v>
      </c>
      <c r="D46" s="217"/>
      <c r="E46" s="217"/>
      <c r="F46" s="217"/>
      <c r="G46" s="218"/>
      <c r="H46" s="85" t="s">
        <v>207</v>
      </c>
      <c r="I46" s="86" t="str">
        <f>'SAF 011 - NECESIDAD TRIMESTRAL'!F44</f>
        <v>UNIDAD</v>
      </c>
      <c r="J46" s="87">
        <f>'SAF 011 - NECESIDAD TRIMESTRAL'!AX44</f>
        <v>7200</v>
      </c>
      <c r="K46" s="88">
        <f>'SAF 011 - NECESIDAD TRIMESTRAL'!AU44</f>
        <v>210</v>
      </c>
      <c r="L46" s="185"/>
      <c r="M46" s="187"/>
      <c r="N46" s="187"/>
      <c r="O46" s="187">
        <f t="shared" si="6"/>
        <v>1512000</v>
      </c>
      <c r="P46" s="187"/>
      <c r="Q46" s="187"/>
      <c r="R46" s="185"/>
    </row>
    <row r="47" spans="1:18" ht="40.5" customHeight="1" x14ac:dyDescent="0.25">
      <c r="A47" s="84">
        <v>36</v>
      </c>
      <c r="B47" s="85" t="str">
        <f>'SAF 011 - NECESIDAD TRIMESTRAL'!B45</f>
        <v>4.3.7-28.58</v>
      </c>
      <c r="C47" s="216" t="str">
        <f>'SAF 011 - NECESIDAD TRIMESTRAL'!E45</f>
        <v>VENTILADORES; TIPO: DE PIE, POTENCIA: 140 W, TENSION NOMINAL: 220 V, CORRIENTE NOMINAL: MENOR A 0,6 A, CONSUMO: MENOR A 5 KVA, CRITERIO DE SEGURIDAD: SELLO DE SEGURIDAD</v>
      </c>
      <c r="D47" s="217"/>
      <c r="E47" s="217"/>
      <c r="F47" s="217"/>
      <c r="G47" s="218"/>
      <c r="H47" s="85" t="s">
        <v>207</v>
      </c>
      <c r="I47" s="86" t="str">
        <f>'SAF 011 - NECESIDAD TRIMESTRAL'!F45</f>
        <v>UNIDAD</v>
      </c>
      <c r="J47" s="87">
        <f>'SAF 011 - NECESIDAD TRIMESTRAL'!AX45</f>
        <v>6000</v>
      </c>
      <c r="K47" s="88">
        <f>'SAF 011 - NECESIDAD TRIMESTRAL'!AU45</f>
        <v>210</v>
      </c>
      <c r="L47" s="185"/>
      <c r="M47" s="187"/>
      <c r="N47" s="187"/>
      <c r="O47" s="187"/>
      <c r="P47" s="187">
        <f t="shared" ref="P47:P48" si="7">+J47*K47</f>
        <v>1260000</v>
      </c>
      <c r="Q47" s="187"/>
      <c r="R47" s="185"/>
    </row>
    <row r="48" spans="1:18" ht="45" customHeight="1" x14ac:dyDescent="0.25">
      <c r="A48" s="84">
        <v>37</v>
      </c>
      <c r="B48" s="85" t="str">
        <f>'SAF 011 - NECESIDAD TRIMESTRAL'!B46</f>
        <v>4.3.7-1832.16</v>
      </c>
      <c r="C48" s="216" t="str">
        <f>'SAF 011 - NECESIDAD TRIMESTRAL'!E46</f>
        <v>VITRINAS; ESTRUCTURA: MADERA, ALTURA: 170 Cm, ANCHO: 132 Cm, PROFUNDIDAD: 43 Cm, ESTANTE: CON, MATERIAL ESTRUCTURA: MADERA, PUERTA: 2 DE VIDRIO Y MADERA, PUERTAS: 2 DE VIDRIO Y MADERA</v>
      </c>
      <c r="D48" s="217"/>
      <c r="E48" s="217"/>
      <c r="F48" s="217"/>
      <c r="G48" s="218"/>
      <c r="H48" s="85" t="s">
        <v>207</v>
      </c>
      <c r="I48" s="86" t="str">
        <f>'SAF 011 - NECESIDAD TRIMESTRAL'!F46</f>
        <v>UNIDAD</v>
      </c>
      <c r="J48" s="87">
        <f>'SAF 011 - NECESIDAD TRIMESTRAL'!AX46</f>
        <v>53500</v>
      </c>
      <c r="K48" s="88">
        <f>'SAF 011 - NECESIDAD TRIMESTRAL'!AU46</f>
        <v>80</v>
      </c>
      <c r="L48" s="185"/>
      <c r="M48" s="187"/>
      <c r="N48" s="187"/>
      <c r="O48" s="187"/>
      <c r="P48" s="187">
        <f t="shared" si="7"/>
        <v>4280000</v>
      </c>
      <c r="Q48" s="187"/>
      <c r="R48" s="185"/>
    </row>
    <row r="49" spans="1:18" ht="15.75" customHeight="1" x14ac:dyDescent="0.25">
      <c r="A49" s="84"/>
      <c r="B49" s="85"/>
      <c r="C49" s="228"/>
      <c r="D49" s="217"/>
      <c r="E49" s="217"/>
      <c r="F49" s="217"/>
      <c r="G49" s="218"/>
      <c r="H49" s="85"/>
      <c r="I49" s="86"/>
      <c r="J49" s="87"/>
      <c r="K49" s="88"/>
      <c r="L49" s="185"/>
      <c r="M49" s="187"/>
      <c r="N49" s="187"/>
      <c r="O49" s="187"/>
      <c r="P49" s="187"/>
      <c r="Q49" s="187"/>
      <c r="R49" s="185"/>
    </row>
    <row r="50" spans="1:18" ht="15.75" customHeight="1" x14ac:dyDescent="0.25">
      <c r="A50" s="226" t="s">
        <v>208</v>
      </c>
      <c r="B50" s="227"/>
      <c r="C50" s="227"/>
      <c r="D50" s="227"/>
      <c r="E50" s="227"/>
      <c r="F50" s="227"/>
      <c r="G50" s="227"/>
      <c r="H50" s="227"/>
      <c r="I50" s="200"/>
      <c r="J50" s="224">
        <f>SUMPRODUCT(J12:J48,K12:K48)</f>
        <v>57131518.200000003</v>
      </c>
      <c r="K50" s="225"/>
      <c r="M50" s="187">
        <f t="shared" ref="M50:Q50" si="8">SUM(M12:M49)</f>
        <v>2760000</v>
      </c>
      <c r="N50" s="187">
        <f t="shared" si="8"/>
        <v>620000</v>
      </c>
      <c r="O50" s="187">
        <f t="shared" si="8"/>
        <v>4962000</v>
      </c>
      <c r="P50" s="187">
        <f t="shared" si="8"/>
        <v>48789518.200000003</v>
      </c>
      <c r="Q50" s="187">
        <f t="shared" si="8"/>
        <v>0</v>
      </c>
      <c r="R50" s="184">
        <f>SUM(M50:Q50)</f>
        <v>57131518.200000003</v>
      </c>
    </row>
    <row r="51" spans="1:18" ht="15.75" customHeight="1" x14ac:dyDescent="0.25">
      <c r="B51" s="90"/>
      <c r="J51" s="89"/>
      <c r="M51" s="187"/>
      <c r="N51" s="187"/>
      <c r="O51" s="187"/>
      <c r="P51" s="187"/>
      <c r="Q51" s="187"/>
    </row>
    <row r="52" spans="1:18" ht="15.75" customHeight="1" x14ac:dyDescent="0.25">
      <c r="B52" s="90"/>
      <c r="J52" s="89"/>
      <c r="M52" s="187"/>
      <c r="N52" s="187"/>
      <c r="O52" s="187"/>
      <c r="P52" s="187"/>
      <c r="Q52" s="187"/>
    </row>
    <row r="53" spans="1:18" ht="15.75" customHeight="1" x14ac:dyDescent="0.25">
      <c r="B53" s="90"/>
      <c r="J53" s="89"/>
      <c r="M53" s="187"/>
      <c r="N53" s="187"/>
      <c r="O53" s="187"/>
      <c r="P53" s="187"/>
      <c r="Q53" s="187"/>
    </row>
    <row r="54" spans="1:18" ht="15.75" customHeight="1" x14ac:dyDescent="0.25">
      <c r="B54" s="90"/>
      <c r="J54" s="89"/>
      <c r="M54" s="187"/>
      <c r="N54" s="187"/>
      <c r="O54" s="187"/>
      <c r="P54" s="187"/>
      <c r="Q54" s="187"/>
    </row>
    <row r="55" spans="1:18" ht="15.75" customHeight="1" x14ac:dyDescent="0.25">
      <c r="B55" s="90"/>
      <c r="J55" s="89"/>
      <c r="M55" s="187"/>
      <c r="N55" s="187"/>
      <c r="O55" s="187"/>
      <c r="P55" s="187"/>
      <c r="Q55" s="187"/>
    </row>
    <row r="56" spans="1:18" ht="15.75" customHeight="1" x14ac:dyDescent="0.25">
      <c r="B56" s="90"/>
      <c r="J56" s="89"/>
      <c r="M56" s="187"/>
      <c r="N56" s="187"/>
      <c r="O56" s="187"/>
      <c r="P56" s="187"/>
      <c r="Q56" s="187"/>
    </row>
    <row r="57" spans="1:18" ht="15.75" customHeight="1" x14ac:dyDescent="0.25">
      <c r="B57" s="90"/>
      <c r="J57" s="89"/>
      <c r="M57" s="187"/>
      <c r="N57" s="187"/>
      <c r="O57" s="187"/>
      <c r="P57" s="187"/>
      <c r="Q57" s="187"/>
    </row>
    <row r="58" spans="1:18" ht="15.75" customHeight="1" x14ac:dyDescent="0.25">
      <c r="B58" s="90"/>
      <c r="J58" s="89"/>
      <c r="M58" s="187"/>
      <c r="N58" s="187"/>
      <c r="O58" s="187"/>
      <c r="P58" s="187"/>
      <c r="Q58" s="187"/>
    </row>
    <row r="59" spans="1:18" ht="15.75" customHeight="1" x14ac:dyDescent="0.25">
      <c r="B59" s="90"/>
      <c r="J59" s="89"/>
      <c r="M59" s="187"/>
      <c r="N59" s="187"/>
      <c r="O59" s="187"/>
      <c r="P59" s="187"/>
      <c r="Q59" s="187"/>
    </row>
    <row r="60" spans="1:18" ht="15.75" customHeight="1" x14ac:dyDescent="0.25">
      <c r="B60" s="90"/>
      <c r="J60" s="89"/>
      <c r="M60" s="187"/>
      <c r="N60" s="187"/>
      <c r="O60" s="187"/>
      <c r="P60" s="187"/>
      <c r="Q60" s="187"/>
    </row>
    <row r="61" spans="1:18" ht="15.75" customHeight="1" x14ac:dyDescent="0.25">
      <c r="B61" s="90"/>
      <c r="J61" s="89"/>
      <c r="M61" s="187"/>
      <c r="N61" s="187"/>
      <c r="O61" s="187"/>
      <c r="P61" s="187"/>
      <c r="Q61" s="187"/>
    </row>
    <row r="62" spans="1:18" ht="15.75" customHeight="1" x14ac:dyDescent="0.25">
      <c r="B62" s="90"/>
      <c r="J62" s="89"/>
      <c r="M62" s="187"/>
      <c r="N62" s="187"/>
      <c r="O62" s="187"/>
      <c r="P62" s="187"/>
      <c r="Q62" s="187"/>
    </row>
    <row r="63" spans="1:18" ht="15.75" customHeight="1" x14ac:dyDescent="0.25">
      <c r="B63" s="90"/>
      <c r="J63" s="89"/>
      <c r="M63" s="187"/>
      <c r="N63" s="187"/>
      <c r="O63" s="187"/>
      <c r="P63" s="187"/>
      <c r="Q63" s="187"/>
    </row>
    <row r="64" spans="1:18" ht="15.75" customHeight="1" x14ac:dyDescent="0.25">
      <c r="B64" s="90"/>
      <c r="J64" s="89"/>
      <c r="M64" s="187"/>
      <c r="N64" s="187"/>
      <c r="O64" s="187"/>
      <c r="P64" s="187"/>
      <c r="Q64" s="187"/>
    </row>
    <row r="65" spans="2:17" ht="15.75" customHeight="1" x14ac:dyDescent="0.25">
      <c r="B65" s="90"/>
      <c r="J65" s="89"/>
      <c r="M65" s="187"/>
      <c r="N65" s="187"/>
      <c r="O65" s="187"/>
      <c r="P65" s="187"/>
      <c r="Q65" s="187"/>
    </row>
    <row r="66" spans="2:17" ht="15.75" customHeight="1" x14ac:dyDescent="0.25">
      <c r="B66" s="90"/>
      <c r="J66" s="89"/>
      <c r="M66" s="187"/>
      <c r="N66" s="187"/>
      <c r="O66" s="187"/>
      <c r="P66" s="187"/>
      <c r="Q66" s="187"/>
    </row>
    <row r="67" spans="2:17" ht="15.75" customHeight="1" x14ac:dyDescent="0.25">
      <c r="B67" s="90"/>
      <c r="J67" s="89"/>
      <c r="M67" s="187"/>
      <c r="N67" s="187"/>
      <c r="O67" s="187"/>
      <c r="P67" s="187"/>
      <c r="Q67" s="187"/>
    </row>
    <row r="68" spans="2:17" ht="15.75" customHeight="1" x14ac:dyDescent="0.25">
      <c r="B68" s="90"/>
      <c r="J68" s="89"/>
      <c r="M68" s="187"/>
      <c r="N68" s="187"/>
      <c r="O68" s="187"/>
      <c r="P68" s="187"/>
      <c r="Q68" s="187"/>
    </row>
    <row r="69" spans="2:17" ht="15.75" customHeight="1" x14ac:dyDescent="0.25">
      <c r="B69" s="90"/>
      <c r="J69" s="89"/>
      <c r="M69" s="187"/>
      <c r="N69" s="187"/>
      <c r="O69" s="187"/>
      <c r="P69" s="187"/>
      <c r="Q69" s="187"/>
    </row>
    <row r="70" spans="2:17" ht="15.75" customHeight="1" x14ac:dyDescent="0.25">
      <c r="B70" s="90"/>
      <c r="J70" s="89"/>
      <c r="M70" s="187"/>
      <c r="N70" s="187"/>
      <c r="O70" s="187"/>
      <c r="P70" s="187"/>
      <c r="Q70" s="187"/>
    </row>
    <row r="71" spans="2:17" ht="15.75" customHeight="1" x14ac:dyDescent="0.25">
      <c r="B71" s="90"/>
      <c r="J71" s="89"/>
      <c r="M71" s="187"/>
      <c r="N71" s="187"/>
      <c r="O71" s="187"/>
      <c r="P71" s="187"/>
      <c r="Q71" s="187"/>
    </row>
    <row r="72" spans="2:17" ht="15.75" customHeight="1" x14ac:dyDescent="0.25">
      <c r="B72" s="90"/>
      <c r="J72" s="89"/>
      <c r="M72" s="187"/>
      <c r="N72" s="187"/>
      <c r="O72" s="187"/>
      <c r="P72" s="187"/>
      <c r="Q72" s="187"/>
    </row>
    <row r="73" spans="2:17" ht="15.75" customHeight="1" x14ac:dyDescent="0.25">
      <c r="B73" s="90"/>
      <c r="J73" s="89"/>
      <c r="M73" s="187"/>
      <c r="N73" s="187"/>
      <c r="O73" s="187"/>
      <c r="P73" s="187"/>
      <c r="Q73" s="187"/>
    </row>
    <row r="74" spans="2:17" ht="15.75" customHeight="1" x14ac:dyDescent="0.25">
      <c r="B74" s="90"/>
      <c r="J74" s="89"/>
      <c r="M74" s="187"/>
      <c r="N74" s="187"/>
      <c r="O74" s="187"/>
      <c r="P74" s="187"/>
      <c r="Q74" s="187"/>
    </row>
    <row r="75" spans="2:17" ht="15.75" customHeight="1" x14ac:dyDescent="0.25">
      <c r="B75" s="90"/>
      <c r="J75" s="89"/>
      <c r="M75" s="187"/>
      <c r="N75" s="187"/>
      <c r="O75" s="187"/>
      <c r="P75" s="187"/>
      <c r="Q75" s="187"/>
    </row>
    <row r="76" spans="2:17" ht="15.75" customHeight="1" x14ac:dyDescent="0.25">
      <c r="B76" s="90"/>
      <c r="J76" s="89"/>
      <c r="M76" s="187"/>
      <c r="N76" s="187"/>
      <c r="O76" s="187"/>
      <c r="P76" s="187"/>
      <c r="Q76" s="187"/>
    </row>
    <row r="77" spans="2:17" ht="15.75" customHeight="1" x14ac:dyDescent="0.25">
      <c r="B77" s="90"/>
      <c r="J77" s="89"/>
      <c r="M77" s="187"/>
      <c r="N77" s="187"/>
      <c r="O77" s="187"/>
      <c r="P77" s="187"/>
      <c r="Q77" s="187"/>
    </row>
    <row r="78" spans="2:17" ht="15.75" customHeight="1" x14ac:dyDescent="0.25">
      <c r="B78" s="90"/>
      <c r="J78" s="89"/>
      <c r="M78" s="187"/>
      <c r="N78" s="187"/>
      <c r="O78" s="187"/>
      <c r="P78" s="187"/>
      <c r="Q78" s="187"/>
    </row>
    <row r="79" spans="2:17" ht="15.75" customHeight="1" x14ac:dyDescent="0.25">
      <c r="B79" s="90"/>
      <c r="J79" s="89"/>
      <c r="M79" s="187"/>
      <c r="N79" s="187"/>
      <c r="O79" s="187"/>
      <c r="P79" s="187"/>
      <c r="Q79" s="187"/>
    </row>
    <row r="80" spans="2:17" ht="15.75" customHeight="1" x14ac:dyDescent="0.25">
      <c r="B80" s="90"/>
      <c r="J80" s="89"/>
      <c r="M80" s="187"/>
      <c r="N80" s="187"/>
      <c r="O80" s="187"/>
      <c r="P80" s="187"/>
      <c r="Q80" s="187"/>
    </row>
    <row r="81" spans="2:17" ht="15.75" customHeight="1" x14ac:dyDescent="0.25">
      <c r="B81" s="90"/>
      <c r="J81" s="89"/>
      <c r="M81" s="187"/>
      <c r="N81" s="187"/>
      <c r="O81" s="187"/>
      <c r="P81" s="187"/>
      <c r="Q81" s="187"/>
    </row>
    <row r="82" spans="2:17" ht="15.75" customHeight="1" x14ac:dyDescent="0.25">
      <c r="B82" s="90"/>
      <c r="J82" s="89"/>
      <c r="M82" s="187"/>
      <c r="N82" s="187"/>
      <c r="O82" s="187"/>
      <c r="P82" s="187"/>
      <c r="Q82" s="187"/>
    </row>
    <row r="83" spans="2:17" ht="15.75" customHeight="1" x14ac:dyDescent="0.25">
      <c r="B83" s="90"/>
      <c r="J83" s="89"/>
      <c r="M83" s="187"/>
      <c r="N83" s="187"/>
      <c r="O83" s="187"/>
      <c r="P83" s="187"/>
      <c r="Q83" s="187"/>
    </row>
    <row r="84" spans="2:17" ht="15.75" customHeight="1" x14ac:dyDescent="0.25">
      <c r="B84" s="90"/>
      <c r="J84" s="89"/>
      <c r="M84" s="187"/>
      <c r="N84" s="187"/>
      <c r="O84" s="187"/>
      <c r="P84" s="187"/>
      <c r="Q84" s="187"/>
    </row>
    <row r="85" spans="2:17" ht="15.75" customHeight="1" x14ac:dyDescent="0.25">
      <c r="B85" s="90"/>
      <c r="J85" s="89"/>
      <c r="M85" s="187"/>
      <c r="N85" s="187"/>
      <c r="O85" s="187"/>
      <c r="P85" s="187"/>
      <c r="Q85" s="187"/>
    </row>
    <row r="86" spans="2:17" ht="15.75" customHeight="1" x14ac:dyDescent="0.25">
      <c r="B86" s="90"/>
      <c r="J86" s="89"/>
      <c r="M86" s="187"/>
      <c r="N86" s="187"/>
      <c r="O86" s="187"/>
      <c r="P86" s="187"/>
      <c r="Q86" s="187"/>
    </row>
    <row r="87" spans="2:17" ht="15.75" customHeight="1" x14ac:dyDescent="0.25">
      <c r="B87" s="90"/>
      <c r="J87" s="89"/>
      <c r="M87" s="187"/>
      <c r="N87" s="187"/>
      <c r="O87" s="187"/>
      <c r="P87" s="187"/>
      <c r="Q87" s="187"/>
    </row>
    <row r="88" spans="2:17" ht="15.75" customHeight="1" x14ac:dyDescent="0.25">
      <c r="B88" s="90"/>
      <c r="J88" s="89"/>
      <c r="M88" s="187"/>
      <c r="N88" s="187"/>
      <c r="O88" s="187"/>
      <c r="P88" s="187"/>
      <c r="Q88" s="187"/>
    </row>
    <row r="89" spans="2:17" ht="15.75" customHeight="1" x14ac:dyDescent="0.25">
      <c r="B89" s="90"/>
      <c r="J89" s="89"/>
      <c r="M89" s="187"/>
      <c r="N89" s="187"/>
      <c r="O89" s="187"/>
      <c r="P89" s="187"/>
      <c r="Q89" s="187"/>
    </row>
    <row r="90" spans="2:17" ht="15.75" customHeight="1" x14ac:dyDescent="0.25">
      <c r="B90" s="90"/>
      <c r="J90" s="89"/>
      <c r="M90" s="187"/>
      <c r="N90" s="187"/>
      <c r="O90" s="187"/>
      <c r="P90" s="187"/>
      <c r="Q90" s="187"/>
    </row>
    <row r="91" spans="2:17" ht="15.75" customHeight="1" x14ac:dyDescent="0.25">
      <c r="B91" s="90"/>
      <c r="J91" s="89"/>
      <c r="M91" s="187"/>
      <c r="N91" s="187"/>
      <c r="O91" s="187"/>
      <c r="P91" s="187"/>
      <c r="Q91" s="187"/>
    </row>
    <row r="92" spans="2:17" ht="15.75" customHeight="1" x14ac:dyDescent="0.25">
      <c r="B92" s="90"/>
      <c r="J92" s="89"/>
      <c r="M92" s="187"/>
      <c r="N92" s="187"/>
      <c r="O92" s="187"/>
      <c r="P92" s="187"/>
      <c r="Q92" s="187"/>
    </row>
    <row r="93" spans="2:17" ht="15.75" customHeight="1" x14ac:dyDescent="0.25">
      <c r="B93" s="90"/>
      <c r="J93" s="89"/>
      <c r="M93" s="187"/>
      <c r="N93" s="187"/>
      <c r="O93" s="187"/>
      <c r="P93" s="187"/>
      <c r="Q93" s="187"/>
    </row>
    <row r="94" spans="2:17" ht="15.75" customHeight="1" x14ac:dyDescent="0.25">
      <c r="B94" s="90"/>
      <c r="J94" s="89"/>
      <c r="M94" s="187"/>
      <c r="N94" s="187"/>
      <c r="O94" s="187"/>
      <c r="P94" s="187"/>
      <c r="Q94" s="187"/>
    </row>
    <row r="95" spans="2:17" ht="15.75" customHeight="1" x14ac:dyDescent="0.25">
      <c r="B95" s="90"/>
      <c r="J95" s="89"/>
      <c r="M95" s="187"/>
      <c r="N95" s="187"/>
      <c r="O95" s="187"/>
      <c r="P95" s="187"/>
      <c r="Q95" s="187"/>
    </row>
    <row r="96" spans="2:17" ht="15.75" customHeight="1" x14ac:dyDescent="0.25">
      <c r="B96" s="90"/>
      <c r="J96" s="89"/>
      <c r="M96" s="187"/>
      <c r="N96" s="187"/>
      <c r="O96" s="187"/>
      <c r="P96" s="187"/>
      <c r="Q96" s="187"/>
    </row>
    <row r="97" spans="2:17" ht="15.75" customHeight="1" x14ac:dyDescent="0.25">
      <c r="B97" s="90"/>
      <c r="J97" s="89"/>
      <c r="M97" s="187"/>
      <c r="N97" s="187"/>
      <c r="O97" s="187"/>
      <c r="P97" s="187"/>
      <c r="Q97" s="187"/>
    </row>
    <row r="98" spans="2:17" ht="15.75" customHeight="1" x14ac:dyDescent="0.25">
      <c r="B98" s="90"/>
      <c r="J98" s="89"/>
      <c r="M98" s="187"/>
      <c r="N98" s="187"/>
      <c r="O98" s="187"/>
      <c r="P98" s="187"/>
      <c r="Q98" s="187"/>
    </row>
    <row r="99" spans="2:17" ht="15.75" customHeight="1" x14ac:dyDescent="0.25">
      <c r="B99" s="90"/>
      <c r="J99" s="89"/>
      <c r="M99" s="187"/>
      <c r="N99" s="187"/>
      <c r="O99" s="187"/>
      <c r="P99" s="187"/>
      <c r="Q99" s="187"/>
    </row>
    <row r="100" spans="2:17" ht="15.75" customHeight="1" x14ac:dyDescent="0.25">
      <c r="B100" s="90"/>
      <c r="J100" s="89"/>
      <c r="M100" s="187"/>
      <c r="N100" s="187"/>
      <c r="O100" s="187"/>
      <c r="P100" s="187"/>
      <c r="Q100" s="187"/>
    </row>
  </sheetData>
  <mergeCells count="54">
    <mergeCell ref="C21:G21"/>
    <mergeCell ref="C22:G22"/>
    <mergeCell ref="A5:C5"/>
    <mergeCell ref="C12:G12"/>
    <mergeCell ref="A10:A11"/>
    <mergeCell ref="B10:B11"/>
    <mergeCell ref="C10:G11"/>
    <mergeCell ref="A6:C6"/>
    <mergeCell ref="A7:C7"/>
    <mergeCell ref="A8:C8"/>
    <mergeCell ref="A1:I1"/>
    <mergeCell ref="A3:C3"/>
    <mergeCell ref="A4:C4"/>
    <mergeCell ref="C32:G32"/>
    <mergeCell ref="C33:G33"/>
    <mergeCell ref="C30:G30"/>
    <mergeCell ref="C31:G31"/>
    <mergeCell ref="C28:G28"/>
    <mergeCell ref="C23:G23"/>
    <mergeCell ref="C24:G24"/>
    <mergeCell ref="C25:G25"/>
    <mergeCell ref="C26:G26"/>
    <mergeCell ref="C27:G27"/>
    <mergeCell ref="C18:G18"/>
    <mergeCell ref="C19:G19"/>
    <mergeCell ref="C20:G20"/>
    <mergeCell ref="J50:K50"/>
    <mergeCell ref="C45:G45"/>
    <mergeCell ref="C40:G40"/>
    <mergeCell ref="C41:G41"/>
    <mergeCell ref="C42:G42"/>
    <mergeCell ref="C43:G43"/>
    <mergeCell ref="C44:G44"/>
    <mergeCell ref="C46:G46"/>
    <mergeCell ref="A50:I50"/>
    <mergeCell ref="C49:G49"/>
    <mergeCell ref="C47:G47"/>
    <mergeCell ref="C48:G48"/>
    <mergeCell ref="C39:G39"/>
    <mergeCell ref="C13:G13"/>
    <mergeCell ref="I10:I11"/>
    <mergeCell ref="H10:H11"/>
    <mergeCell ref="K10:K11"/>
    <mergeCell ref="J10:J11"/>
    <mergeCell ref="C14:G14"/>
    <mergeCell ref="C15:G15"/>
    <mergeCell ref="C16:G16"/>
    <mergeCell ref="C17:G17"/>
    <mergeCell ref="C37:G37"/>
    <mergeCell ref="C36:G36"/>
    <mergeCell ref="C34:G34"/>
    <mergeCell ref="C35:G35"/>
    <mergeCell ref="C38:G38"/>
    <mergeCell ref="C29:G29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"/>
  <sheetViews>
    <sheetView topLeftCell="A4" workbookViewId="0">
      <selection activeCell="Q15" sqref="Q15"/>
    </sheetView>
  </sheetViews>
  <sheetFormatPr baseColWidth="10" defaultColWidth="14.42578125" defaultRowHeight="15" customHeight="1" x14ac:dyDescent="0.25"/>
  <cols>
    <col min="1" max="5" width="4.42578125" customWidth="1"/>
    <col min="6" max="6" width="5" customWidth="1"/>
    <col min="7" max="14" width="4.42578125" customWidth="1"/>
    <col min="15" max="16" width="14.85546875" customWidth="1"/>
    <col min="17" max="17" width="19.5703125" customWidth="1"/>
  </cols>
  <sheetData>
    <row r="1" spans="1:17" x14ac:dyDescent="0.25">
      <c r="A1" s="262" t="s">
        <v>5</v>
      </c>
      <c r="B1" s="245"/>
      <c r="C1" s="245"/>
      <c r="D1" s="263">
        <v>2022</v>
      </c>
      <c r="E1" s="258"/>
      <c r="F1" s="91"/>
      <c r="G1" s="91"/>
      <c r="H1" s="92"/>
      <c r="I1" s="92"/>
      <c r="J1" s="92"/>
      <c r="K1" s="92"/>
      <c r="L1" s="92"/>
      <c r="M1" s="92"/>
      <c r="N1" s="92"/>
      <c r="O1" s="93"/>
      <c r="P1" s="264" t="s">
        <v>209</v>
      </c>
      <c r="Q1" s="265"/>
    </row>
    <row r="2" spans="1:17" x14ac:dyDescent="0.25">
      <c r="A2" s="94"/>
      <c r="B2" s="60"/>
      <c r="C2" s="60"/>
      <c r="D2" s="60"/>
      <c r="E2" s="60"/>
      <c r="F2" s="60"/>
      <c r="G2" s="95"/>
      <c r="H2" s="96"/>
      <c r="I2" s="96"/>
      <c r="J2" s="96"/>
      <c r="K2" s="96"/>
      <c r="L2" s="96"/>
      <c r="M2" s="96"/>
      <c r="N2" s="96"/>
      <c r="O2" s="60"/>
      <c r="P2" s="266"/>
      <c r="Q2" s="267"/>
    </row>
    <row r="3" spans="1:17" x14ac:dyDescent="0.25">
      <c r="A3" s="94"/>
      <c r="B3" s="60"/>
      <c r="C3" s="60"/>
      <c r="D3" s="60"/>
      <c r="E3" s="60"/>
      <c r="F3" s="60"/>
      <c r="G3" s="95"/>
      <c r="H3" s="60"/>
      <c r="I3" s="60"/>
      <c r="J3" s="60"/>
      <c r="K3" s="60"/>
      <c r="L3" s="60"/>
      <c r="M3" s="60"/>
      <c r="N3" s="60"/>
      <c r="O3" s="60"/>
      <c r="P3" s="60"/>
      <c r="Q3" s="97"/>
    </row>
    <row r="4" spans="1:17" x14ac:dyDescent="0.25">
      <c r="A4" s="272" t="s">
        <v>210</v>
      </c>
      <c r="B4" s="232"/>
      <c r="C4" s="232"/>
      <c r="D4" s="232"/>
      <c r="E4" s="232"/>
      <c r="F4" s="271"/>
      <c r="G4" s="268" t="str">
        <f>NP!D3</f>
        <v>040 - MINISTERIO DE SALUD</v>
      </c>
      <c r="H4" s="232"/>
      <c r="I4" s="232"/>
      <c r="J4" s="232"/>
      <c r="K4" s="232"/>
      <c r="L4" s="232"/>
      <c r="M4" s="232"/>
      <c r="N4" s="232"/>
      <c r="O4" s="232"/>
      <c r="P4" s="232"/>
      <c r="Q4" s="269"/>
    </row>
    <row r="5" spans="1:17" x14ac:dyDescent="0.25">
      <c r="A5" s="270" t="s">
        <v>191</v>
      </c>
      <c r="B5" s="232"/>
      <c r="C5" s="232"/>
      <c r="D5" s="232"/>
      <c r="E5" s="232"/>
      <c r="F5" s="271"/>
      <c r="G5" s="268" t="str">
        <f>NP!D4</f>
        <v>011 - DIRECCION PROVINCIAL DE ADMINISTRACION DEL MINISTERIO DE SALUD</v>
      </c>
      <c r="H5" s="232"/>
      <c r="I5" s="232"/>
      <c r="J5" s="232"/>
      <c r="K5" s="232"/>
      <c r="L5" s="232"/>
      <c r="M5" s="232"/>
      <c r="N5" s="232"/>
      <c r="O5" s="232"/>
      <c r="P5" s="232"/>
      <c r="Q5" s="269"/>
    </row>
    <row r="6" spans="1:17" x14ac:dyDescent="0.25">
      <c r="A6" s="270" t="s">
        <v>193</v>
      </c>
      <c r="B6" s="232"/>
      <c r="C6" s="232"/>
      <c r="D6" s="232"/>
      <c r="E6" s="232"/>
      <c r="F6" s="271"/>
      <c r="G6" s="268" t="str">
        <f>NP!D5</f>
        <v>352 - MINISTERIO DE SALUD</v>
      </c>
      <c r="H6" s="232"/>
      <c r="I6" s="232"/>
      <c r="J6" s="232"/>
      <c r="K6" s="232"/>
      <c r="L6" s="232"/>
      <c r="M6" s="232"/>
      <c r="N6" s="232"/>
      <c r="O6" s="232"/>
      <c r="P6" s="232"/>
      <c r="Q6" s="269"/>
    </row>
    <row r="7" spans="1:17" x14ac:dyDescent="0.25">
      <c r="A7" s="270" t="s">
        <v>195</v>
      </c>
      <c r="B7" s="232"/>
      <c r="C7" s="232"/>
      <c r="D7" s="232"/>
      <c r="E7" s="232"/>
      <c r="F7" s="271"/>
      <c r="G7" s="268" t="str">
        <f>NP!D6</f>
        <v>352 - MINISTERIO DE SALUD</v>
      </c>
      <c r="H7" s="232"/>
      <c r="I7" s="232"/>
      <c r="J7" s="232"/>
      <c r="K7" s="232"/>
      <c r="L7" s="232"/>
      <c r="M7" s="232"/>
      <c r="N7" s="232"/>
      <c r="O7" s="232"/>
      <c r="P7" s="232"/>
      <c r="Q7" s="269"/>
    </row>
    <row r="8" spans="1:17" x14ac:dyDescent="0.25">
      <c r="A8" s="274" t="s">
        <v>211</v>
      </c>
      <c r="B8" s="232"/>
      <c r="C8" s="232"/>
      <c r="D8" s="232"/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2"/>
      <c r="P8" s="232"/>
      <c r="Q8" s="269"/>
    </row>
    <row r="9" spans="1:17" x14ac:dyDescent="0.25">
      <c r="A9" s="273" t="s">
        <v>212</v>
      </c>
      <c r="B9" s="234"/>
      <c r="C9" s="234"/>
      <c r="D9" s="234"/>
      <c r="E9" s="234"/>
      <c r="F9" s="234"/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56"/>
    </row>
    <row r="10" spans="1:17" ht="75" customHeight="1" x14ac:dyDescent="0.25">
      <c r="A10" s="275" t="s">
        <v>304</v>
      </c>
      <c r="B10" s="211"/>
      <c r="C10" s="211"/>
      <c r="D10" s="211"/>
      <c r="E10" s="211"/>
      <c r="F10" s="211"/>
      <c r="G10" s="211"/>
      <c r="H10" s="211"/>
      <c r="I10" s="211"/>
      <c r="J10" s="211"/>
      <c r="K10" s="211"/>
      <c r="L10" s="211"/>
      <c r="M10" s="211"/>
      <c r="N10" s="211"/>
      <c r="O10" s="211"/>
      <c r="P10" s="211"/>
      <c r="Q10" s="197"/>
    </row>
    <row r="11" spans="1:17" x14ac:dyDescent="0.25">
      <c r="A11" s="98"/>
      <c r="B11" s="99"/>
      <c r="C11" s="99"/>
      <c r="D11" s="99"/>
      <c r="E11" s="99"/>
      <c r="F11" s="99"/>
      <c r="G11" s="100"/>
      <c r="H11" s="99"/>
      <c r="I11" s="99"/>
      <c r="J11" s="99"/>
      <c r="K11" s="99"/>
      <c r="L11" s="99"/>
      <c r="M11" s="99"/>
      <c r="N11" s="99"/>
      <c r="O11" s="99"/>
      <c r="P11" s="99"/>
      <c r="Q11" s="101"/>
    </row>
    <row r="12" spans="1:17" x14ac:dyDescent="0.25">
      <c r="A12" s="276" t="s">
        <v>213</v>
      </c>
      <c r="B12" s="234"/>
      <c r="C12" s="234"/>
      <c r="D12" s="234"/>
      <c r="E12" s="234"/>
      <c r="F12" s="234"/>
      <c r="G12" s="234"/>
      <c r="H12" s="234"/>
      <c r="I12" s="234"/>
      <c r="J12" s="234"/>
      <c r="K12" s="234"/>
      <c r="L12" s="234"/>
      <c r="M12" s="234"/>
      <c r="N12" s="234"/>
      <c r="O12" s="234"/>
      <c r="P12" s="234"/>
      <c r="Q12" s="256"/>
    </row>
    <row r="13" spans="1:17" x14ac:dyDescent="0.25">
      <c r="A13" s="277" t="s">
        <v>214</v>
      </c>
      <c r="B13" s="232"/>
      <c r="C13" s="232"/>
      <c r="D13" s="232"/>
      <c r="E13" s="232"/>
      <c r="F13" s="232"/>
      <c r="G13" s="232"/>
      <c r="H13" s="232"/>
      <c r="I13" s="232"/>
      <c r="J13" s="232"/>
      <c r="K13" s="232"/>
      <c r="L13" s="232"/>
      <c r="M13" s="232"/>
      <c r="N13" s="271"/>
      <c r="O13" s="278" t="s">
        <v>215</v>
      </c>
      <c r="P13" s="279"/>
      <c r="Q13" s="280" t="s">
        <v>216</v>
      </c>
    </row>
    <row r="14" spans="1:17" x14ac:dyDescent="0.25">
      <c r="A14" s="102" t="s">
        <v>217</v>
      </c>
      <c r="B14" s="103" t="s">
        <v>218</v>
      </c>
      <c r="C14" s="103" t="s">
        <v>219</v>
      </c>
      <c r="D14" s="103" t="s">
        <v>220</v>
      </c>
      <c r="E14" s="103" t="s">
        <v>221</v>
      </c>
      <c r="F14" s="103" t="s">
        <v>222</v>
      </c>
      <c r="G14" s="104" t="s">
        <v>223</v>
      </c>
      <c r="H14" s="103" t="s">
        <v>224</v>
      </c>
      <c r="I14" s="103" t="s">
        <v>225</v>
      </c>
      <c r="J14" s="103" t="s">
        <v>226</v>
      </c>
      <c r="K14" s="103" t="s">
        <v>226</v>
      </c>
      <c r="L14" s="103" t="s">
        <v>227</v>
      </c>
      <c r="M14" s="105" t="s">
        <v>228</v>
      </c>
      <c r="N14" s="106" t="s">
        <v>229</v>
      </c>
      <c r="O14" s="242"/>
      <c r="P14" s="243"/>
      <c r="Q14" s="197"/>
    </row>
    <row r="15" spans="1:17" x14ac:dyDescent="0.25">
      <c r="A15" s="107">
        <v>1</v>
      </c>
      <c r="B15" s="108"/>
      <c r="C15" s="108"/>
      <c r="D15" s="108">
        <v>1</v>
      </c>
      <c r="E15" s="108"/>
      <c r="F15" s="108">
        <v>4901</v>
      </c>
      <c r="G15" s="108">
        <v>3</v>
      </c>
      <c r="H15" s="108">
        <v>1</v>
      </c>
      <c r="I15" s="108">
        <v>2</v>
      </c>
      <c r="J15" s="108">
        <v>2</v>
      </c>
      <c r="K15" s="108">
        <v>3</v>
      </c>
      <c r="L15" s="108"/>
      <c r="M15" s="109">
        <v>1</v>
      </c>
      <c r="N15" s="108" t="s">
        <v>230</v>
      </c>
      <c r="O15" s="281" t="s">
        <v>231</v>
      </c>
      <c r="P15" s="282"/>
      <c r="Q15" s="110">
        <f>NP!M50</f>
        <v>2760000</v>
      </c>
    </row>
    <row r="16" spans="1:17" x14ac:dyDescent="0.25">
      <c r="A16" s="111">
        <v>1</v>
      </c>
      <c r="B16" s="112"/>
      <c r="C16" s="112"/>
      <c r="D16" s="112">
        <v>1</v>
      </c>
      <c r="E16" s="112"/>
      <c r="F16" s="112">
        <v>4901</v>
      </c>
      <c r="G16" s="112">
        <v>3</v>
      </c>
      <c r="H16" s="112">
        <v>1</v>
      </c>
      <c r="I16" s="112">
        <v>2</v>
      </c>
      <c r="J16" s="112">
        <v>2</v>
      </c>
      <c r="K16" s="112">
        <v>9</v>
      </c>
      <c r="L16" s="112"/>
      <c r="M16" s="113">
        <v>1</v>
      </c>
      <c r="N16" s="114" t="s">
        <v>230</v>
      </c>
      <c r="O16" s="249" t="s">
        <v>232</v>
      </c>
      <c r="P16" s="248"/>
      <c r="Q16" s="115">
        <f>NP!N50</f>
        <v>620000</v>
      </c>
    </row>
    <row r="17" spans="1:17" x14ac:dyDescent="0.25">
      <c r="A17" s="111">
        <v>1</v>
      </c>
      <c r="B17" s="112"/>
      <c r="C17" s="112"/>
      <c r="D17" s="112">
        <v>1</v>
      </c>
      <c r="E17" s="112"/>
      <c r="F17" s="112">
        <v>4901</v>
      </c>
      <c r="G17" s="112">
        <v>3</v>
      </c>
      <c r="H17" s="112">
        <v>1</v>
      </c>
      <c r="I17" s="112">
        <v>2</v>
      </c>
      <c r="J17" s="112">
        <v>9</v>
      </c>
      <c r="K17" s="112">
        <v>1</v>
      </c>
      <c r="L17" s="112"/>
      <c r="M17" s="113">
        <v>1</v>
      </c>
      <c r="N17" s="114" t="s">
        <v>230</v>
      </c>
      <c r="O17" s="283" t="s">
        <v>162</v>
      </c>
      <c r="P17" s="248"/>
      <c r="Q17" s="115">
        <f>NP!O50</f>
        <v>4962000</v>
      </c>
    </row>
    <row r="18" spans="1:17" x14ac:dyDescent="0.25">
      <c r="A18" s="111">
        <v>1</v>
      </c>
      <c r="B18" s="112"/>
      <c r="C18" s="112"/>
      <c r="D18" s="112">
        <v>1</v>
      </c>
      <c r="E18" s="112"/>
      <c r="F18" s="112">
        <v>4901</v>
      </c>
      <c r="G18" s="112">
        <v>3</v>
      </c>
      <c r="H18" s="112">
        <v>1</v>
      </c>
      <c r="I18" s="112">
        <v>4</v>
      </c>
      <c r="J18" s="112">
        <v>3</v>
      </c>
      <c r="K18" s="112">
        <v>7</v>
      </c>
      <c r="L18" s="112"/>
      <c r="M18" s="113">
        <v>1</v>
      </c>
      <c r="N18" s="114" t="s">
        <v>230</v>
      </c>
      <c r="O18" s="249" t="s">
        <v>233</v>
      </c>
      <c r="P18" s="248"/>
      <c r="Q18" s="115">
        <f>NP!P50</f>
        <v>48789518.200000003</v>
      </c>
    </row>
    <row r="19" spans="1:17" x14ac:dyDescent="0.25">
      <c r="A19" s="111"/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3"/>
      <c r="N19" s="114"/>
      <c r="O19" s="249"/>
      <c r="P19" s="248"/>
      <c r="Q19" s="115"/>
    </row>
    <row r="20" spans="1:17" x14ac:dyDescent="0.25">
      <c r="A20" s="111"/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3"/>
      <c r="N20" s="114"/>
      <c r="O20" s="247"/>
      <c r="P20" s="248"/>
      <c r="Q20" s="115"/>
    </row>
    <row r="21" spans="1:17" ht="15.75" customHeight="1" x14ac:dyDescent="0.25">
      <c r="A21" s="111"/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3"/>
      <c r="N21" s="114"/>
      <c r="O21" s="247"/>
      <c r="P21" s="248"/>
      <c r="Q21" s="115"/>
    </row>
    <row r="22" spans="1:17" ht="15.75" customHeight="1" x14ac:dyDescent="0.25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3"/>
      <c r="N22" s="114"/>
      <c r="O22" s="247"/>
      <c r="P22" s="248"/>
      <c r="Q22" s="115"/>
    </row>
    <row r="23" spans="1:17" ht="15.75" customHeight="1" x14ac:dyDescent="0.25">
      <c r="A23" s="111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3"/>
      <c r="N23" s="114"/>
      <c r="O23" s="247"/>
      <c r="P23" s="248"/>
      <c r="Q23" s="115"/>
    </row>
    <row r="24" spans="1:17" ht="15.75" customHeight="1" x14ac:dyDescent="0.25">
      <c r="A24" s="111"/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3"/>
      <c r="N24" s="114"/>
      <c r="O24" s="247"/>
      <c r="P24" s="248"/>
      <c r="Q24" s="115"/>
    </row>
    <row r="25" spans="1:17" ht="15.75" customHeight="1" x14ac:dyDescent="0.25">
      <c r="A25" s="111"/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3"/>
      <c r="N25" s="114"/>
      <c r="O25" s="247"/>
      <c r="P25" s="248"/>
      <c r="Q25" s="115"/>
    </row>
    <row r="26" spans="1:17" ht="15.75" customHeight="1" x14ac:dyDescent="0.25">
      <c r="A26" s="111"/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3"/>
      <c r="N26" s="114"/>
      <c r="O26" s="247"/>
      <c r="P26" s="248"/>
      <c r="Q26" s="115"/>
    </row>
    <row r="27" spans="1:17" ht="15.75" customHeight="1" x14ac:dyDescent="0.25">
      <c r="A27" s="111"/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3"/>
      <c r="N27" s="114"/>
      <c r="O27" s="247"/>
      <c r="P27" s="248"/>
      <c r="Q27" s="115"/>
    </row>
    <row r="28" spans="1:17" ht="15.75" customHeight="1" x14ac:dyDescent="0.25">
      <c r="A28" s="111"/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3"/>
      <c r="N28" s="114"/>
      <c r="O28" s="247"/>
      <c r="P28" s="248"/>
      <c r="Q28" s="115"/>
    </row>
    <row r="29" spans="1:17" ht="15.75" customHeight="1" x14ac:dyDescent="0.25">
      <c r="A29" s="111"/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3"/>
      <c r="N29" s="114"/>
      <c r="O29" s="247"/>
      <c r="P29" s="248"/>
      <c r="Q29" s="115"/>
    </row>
    <row r="30" spans="1:17" ht="15.75" customHeight="1" x14ac:dyDescent="0.25">
      <c r="A30" s="111"/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3"/>
      <c r="N30" s="114"/>
      <c r="O30" s="247"/>
      <c r="P30" s="248"/>
      <c r="Q30" s="115"/>
    </row>
    <row r="31" spans="1:17" ht="15.75" customHeight="1" x14ac:dyDescent="0.25">
      <c r="A31" s="111"/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3"/>
      <c r="N31" s="114"/>
      <c r="O31" s="247"/>
      <c r="P31" s="248"/>
      <c r="Q31" s="115"/>
    </row>
    <row r="32" spans="1:17" ht="15.75" customHeight="1" x14ac:dyDescent="0.25">
      <c r="A32" s="111"/>
      <c r="B32" s="112"/>
      <c r="C32" s="112"/>
      <c r="D32" s="112"/>
      <c r="E32" s="112"/>
      <c r="F32" s="114"/>
      <c r="G32" s="112"/>
      <c r="H32" s="112"/>
      <c r="I32" s="112"/>
      <c r="J32" s="112"/>
      <c r="K32" s="112"/>
      <c r="L32" s="112"/>
      <c r="M32" s="113"/>
      <c r="N32" s="114"/>
      <c r="O32" s="249"/>
      <c r="P32" s="248"/>
      <c r="Q32" s="115"/>
    </row>
    <row r="33" spans="1:17" ht="15.75" customHeight="1" x14ac:dyDescent="0.25">
      <c r="A33" s="111"/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3"/>
      <c r="N33" s="114"/>
      <c r="O33" s="249"/>
      <c r="P33" s="248"/>
      <c r="Q33" s="115"/>
    </row>
    <row r="34" spans="1:17" ht="15.75" customHeight="1" x14ac:dyDescent="0.25">
      <c r="A34" s="111"/>
      <c r="B34" s="112"/>
      <c r="C34" s="112"/>
      <c r="D34" s="112"/>
      <c r="E34" s="112"/>
      <c r="F34" s="114"/>
      <c r="G34" s="112"/>
      <c r="H34" s="112"/>
      <c r="I34" s="112"/>
      <c r="J34" s="112"/>
      <c r="K34" s="112"/>
      <c r="L34" s="112"/>
      <c r="M34" s="113"/>
      <c r="N34" s="114"/>
      <c r="O34" s="249"/>
      <c r="P34" s="248"/>
      <c r="Q34" s="115"/>
    </row>
    <row r="35" spans="1:17" ht="15.75" customHeight="1" x14ac:dyDescent="0.25">
      <c r="A35" s="111"/>
      <c r="B35" s="112"/>
      <c r="C35" s="112"/>
      <c r="D35" s="112"/>
      <c r="E35" s="112"/>
      <c r="F35" s="114"/>
      <c r="G35" s="112"/>
      <c r="H35" s="112"/>
      <c r="I35" s="112"/>
      <c r="J35" s="112"/>
      <c r="K35" s="112"/>
      <c r="L35" s="112"/>
      <c r="M35" s="113"/>
      <c r="N35" s="114"/>
      <c r="O35" s="249"/>
      <c r="P35" s="248"/>
      <c r="Q35" s="115"/>
    </row>
    <row r="36" spans="1:17" ht="15.75" customHeight="1" x14ac:dyDescent="0.25">
      <c r="A36" s="116"/>
      <c r="B36" s="117"/>
      <c r="C36" s="117"/>
      <c r="D36" s="117"/>
      <c r="E36" s="117"/>
      <c r="F36" s="114"/>
      <c r="G36" s="117"/>
      <c r="H36" s="117"/>
      <c r="I36" s="117"/>
      <c r="J36" s="117"/>
      <c r="K36" s="117"/>
      <c r="L36" s="117"/>
      <c r="M36" s="118"/>
      <c r="N36" s="119"/>
      <c r="O36" s="249"/>
      <c r="P36" s="248"/>
      <c r="Q36" s="115"/>
    </row>
    <row r="37" spans="1:17" ht="15.75" customHeight="1" x14ac:dyDescent="0.25">
      <c r="A37" s="120"/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2"/>
      <c r="N37" s="121"/>
      <c r="O37" s="250"/>
      <c r="P37" s="251"/>
      <c r="Q37" s="123"/>
    </row>
    <row r="38" spans="1:17" ht="36" customHeight="1" x14ac:dyDescent="0.25">
      <c r="A38" s="252" t="s">
        <v>234</v>
      </c>
      <c r="B38" s="253"/>
      <c r="C38" s="253"/>
      <c r="D38" s="253"/>
      <c r="E38" s="253"/>
      <c r="F38" s="253"/>
      <c r="G38" s="253"/>
      <c r="H38" s="253"/>
      <c r="I38" s="253"/>
      <c r="J38" s="253"/>
      <c r="K38" s="253"/>
      <c r="L38" s="253"/>
      <c r="M38" s="253"/>
      <c r="N38" s="253"/>
      <c r="O38" s="253"/>
      <c r="P38" s="254"/>
      <c r="Q38" s="124">
        <f>SUM(Q15:Q37)</f>
        <v>57131518.200000003</v>
      </c>
    </row>
    <row r="39" spans="1:17" ht="15.75" customHeight="1" x14ac:dyDescent="0.25">
      <c r="A39" s="255"/>
      <c r="B39" s="234"/>
      <c r="C39" s="234"/>
      <c r="D39" s="234"/>
      <c r="E39" s="234"/>
      <c r="F39" s="234"/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56"/>
    </row>
    <row r="40" spans="1:17" ht="15.75" customHeight="1" x14ac:dyDescent="0.25">
      <c r="A40" s="257" t="s">
        <v>235</v>
      </c>
      <c r="B40" s="245"/>
      <c r="C40" s="245"/>
      <c r="D40" s="245"/>
      <c r="E40" s="245"/>
      <c r="F40" s="258"/>
      <c r="G40" s="259"/>
      <c r="H40" s="234"/>
      <c r="I40" s="234"/>
      <c r="J40" s="234"/>
      <c r="K40" s="234"/>
      <c r="L40" s="234"/>
      <c r="M40" s="234"/>
      <c r="N40" s="234"/>
      <c r="O40" s="234"/>
      <c r="P40" s="234"/>
      <c r="Q40" s="256"/>
    </row>
    <row r="41" spans="1:17" ht="15.75" customHeight="1" x14ac:dyDescent="0.25">
      <c r="A41" s="260" t="str">
        <f>NP!D8</f>
        <v>ADQUISICION DE ARTICULOS DE HOGAR Y MUEBLES CON DESTINO A HOSPITALES DE LA PROVINCIA</v>
      </c>
      <c r="B41" s="211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197"/>
    </row>
    <row r="42" spans="1:17" ht="15.75" customHeight="1" x14ac:dyDescent="0.25">
      <c r="A42" s="261"/>
      <c r="B42" s="227"/>
      <c r="C42" s="227"/>
      <c r="D42" s="227"/>
      <c r="E42" s="227"/>
      <c r="F42" s="227"/>
      <c r="G42" s="227"/>
      <c r="H42" s="227"/>
      <c r="I42" s="227"/>
      <c r="J42" s="227"/>
      <c r="K42" s="227"/>
      <c r="L42" s="227"/>
      <c r="M42" s="227"/>
      <c r="N42" s="227"/>
      <c r="O42" s="227"/>
      <c r="P42" s="227"/>
      <c r="Q42" s="200"/>
    </row>
    <row r="43" spans="1:17" ht="15.75" customHeight="1" x14ac:dyDescent="0.25">
      <c r="Q43" s="89"/>
    </row>
    <row r="44" spans="1:17" ht="15.75" customHeight="1" x14ac:dyDescent="0.25">
      <c r="Q44" s="89"/>
    </row>
    <row r="45" spans="1:17" ht="15.75" customHeight="1" x14ac:dyDescent="0.25">
      <c r="Q45" s="89"/>
    </row>
    <row r="46" spans="1:17" ht="15.75" customHeight="1" x14ac:dyDescent="0.25">
      <c r="Q46" s="89"/>
    </row>
    <row r="47" spans="1:17" ht="15.75" customHeight="1" x14ac:dyDescent="0.25">
      <c r="Q47" s="89"/>
    </row>
    <row r="48" spans="1:17" ht="15.75" customHeight="1" x14ac:dyDescent="0.25">
      <c r="Q48" s="89"/>
    </row>
    <row r="49" spans="17:17" ht="15.75" customHeight="1" x14ac:dyDescent="0.25">
      <c r="Q49" s="89"/>
    </row>
    <row r="50" spans="17:17" ht="15.75" customHeight="1" x14ac:dyDescent="0.25">
      <c r="Q50" s="89"/>
    </row>
    <row r="51" spans="17:17" ht="15.75" customHeight="1" x14ac:dyDescent="0.25">
      <c r="Q51" s="89"/>
    </row>
    <row r="52" spans="17:17" ht="15.75" customHeight="1" x14ac:dyDescent="0.25">
      <c r="Q52" s="89"/>
    </row>
    <row r="53" spans="17:17" ht="15.75" customHeight="1" x14ac:dyDescent="0.25">
      <c r="Q53" s="89"/>
    </row>
    <row r="54" spans="17:17" ht="15.75" customHeight="1" x14ac:dyDescent="0.25">
      <c r="Q54" s="89"/>
    </row>
    <row r="55" spans="17:17" ht="15.75" customHeight="1" x14ac:dyDescent="0.25">
      <c r="Q55" s="89"/>
    </row>
    <row r="56" spans="17:17" ht="15.75" customHeight="1" x14ac:dyDescent="0.25">
      <c r="Q56" s="89"/>
    </row>
    <row r="57" spans="17:17" ht="15.75" customHeight="1" x14ac:dyDescent="0.25">
      <c r="Q57" s="89"/>
    </row>
    <row r="58" spans="17:17" ht="15.75" customHeight="1" x14ac:dyDescent="0.25">
      <c r="Q58" s="89"/>
    </row>
    <row r="59" spans="17:17" ht="15.75" customHeight="1" x14ac:dyDescent="0.25">
      <c r="Q59" s="89"/>
    </row>
    <row r="60" spans="17:17" ht="15.75" customHeight="1" x14ac:dyDescent="0.25">
      <c r="Q60" s="89"/>
    </row>
    <row r="61" spans="17:17" ht="15.75" customHeight="1" x14ac:dyDescent="0.25">
      <c r="Q61" s="89"/>
    </row>
    <row r="62" spans="17:17" ht="15.75" customHeight="1" x14ac:dyDescent="0.25">
      <c r="Q62" s="89"/>
    </row>
    <row r="63" spans="17:17" ht="15.75" customHeight="1" x14ac:dyDescent="0.25">
      <c r="Q63" s="89"/>
    </row>
    <row r="64" spans="17:17" ht="15.75" customHeight="1" x14ac:dyDescent="0.25">
      <c r="Q64" s="89"/>
    </row>
    <row r="65" spans="17:17" ht="15.75" customHeight="1" x14ac:dyDescent="0.25">
      <c r="Q65" s="89"/>
    </row>
    <row r="66" spans="17:17" ht="15.75" customHeight="1" x14ac:dyDescent="0.25">
      <c r="Q66" s="89"/>
    </row>
    <row r="67" spans="17:17" ht="15.75" customHeight="1" x14ac:dyDescent="0.25">
      <c r="Q67" s="89"/>
    </row>
    <row r="68" spans="17:17" ht="15.75" customHeight="1" x14ac:dyDescent="0.25">
      <c r="Q68" s="89"/>
    </row>
    <row r="69" spans="17:17" ht="15.75" customHeight="1" x14ac:dyDescent="0.25">
      <c r="Q69" s="89"/>
    </row>
    <row r="70" spans="17:17" ht="15.75" customHeight="1" x14ac:dyDescent="0.25">
      <c r="Q70" s="89"/>
    </row>
    <row r="71" spans="17:17" ht="15.75" customHeight="1" x14ac:dyDescent="0.25">
      <c r="Q71" s="89"/>
    </row>
    <row r="72" spans="17:17" ht="15.75" customHeight="1" x14ac:dyDescent="0.25">
      <c r="Q72" s="89"/>
    </row>
    <row r="73" spans="17:17" ht="15.75" customHeight="1" x14ac:dyDescent="0.25">
      <c r="Q73" s="89"/>
    </row>
    <row r="74" spans="17:17" ht="15.75" customHeight="1" x14ac:dyDescent="0.25">
      <c r="Q74" s="89"/>
    </row>
    <row r="75" spans="17:17" ht="15.75" customHeight="1" x14ac:dyDescent="0.25">
      <c r="Q75" s="89"/>
    </row>
    <row r="76" spans="17:17" ht="15.75" customHeight="1" x14ac:dyDescent="0.25">
      <c r="Q76" s="89"/>
    </row>
    <row r="77" spans="17:17" ht="15.75" customHeight="1" x14ac:dyDescent="0.25">
      <c r="Q77" s="89"/>
    </row>
    <row r="78" spans="17:17" ht="15.75" customHeight="1" x14ac:dyDescent="0.25">
      <c r="Q78" s="89"/>
    </row>
    <row r="79" spans="17:17" ht="15.75" customHeight="1" x14ac:dyDescent="0.25">
      <c r="Q79" s="89"/>
    </row>
    <row r="80" spans="17:17" ht="15.75" customHeight="1" x14ac:dyDescent="0.25">
      <c r="Q80" s="89"/>
    </row>
    <row r="81" spans="17:17" ht="15.75" customHeight="1" x14ac:dyDescent="0.25">
      <c r="Q81" s="89"/>
    </row>
    <row r="82" spans="17:17" ht="15.75" customHeight="1" x14ac:dyDescent="0.25">
      <c r="Q82" s="89"/>
    </row>
    <row r="83" spans="17:17" ht="15.75" customHeight="1" x14ac:dyDescent="0.25">
      <c r="Q83" s="89"/>
    </row>
    <row r="84" spans="17:17" ht="15.75" customHeight="1" x14ac:dyDescent="0.25">
      <c r="Q84" s="89"/>
    </row>
    <row r="85" spans="17:17" ht="15.75" customHeight="1" x14ac:dyDescent="0.25">
      <c r="Q85" s="89"/>
    </row>
    <row r="86" spans="17:17" ht="15.75" customHeight="1" x14ac:dyDescent="0.25">
      <c r="Q86" s="89"/>
    </row>
    <row r="87" spans="17:17" ht="15.75" customHeight="1" x14ac:dyDescent="0.25">
      <c r="Q87" s="89"/>
    </row>
    <row r="88" spans="17:17" ht="15.75" customHeight="1" x14ac:dyDescent="0.25">
      <c r="Q88" s="89"/>
    </row>
    <row r="89" spans="17:17" ht="15.75" customHeight="1" x14ac:dyDescent="0.25">
      <c r="Q89" s="89"/>
    </row>
    <row r="90" spans="17:17" ht="15.75" customHeight="1" x14ac:dyDescent="0.25">
      <c r="Q90" s="89"/>
    </row>
    <row r="91" spans="17:17" ht="15.75" customHeight="1" x14ac:dyDescent="0.25">
      <c r="Q91" s="89"/>
    </row>
    <row r="92" spans="17:17" ht="15.75" customHeight="1" x14ac:dyDescent="0.25">
      <c r="Q92" s="89"/>
    </row>
    <row r="93" spans="17:17" ht="15.75" customHeight="1" x14ac:dyDescent="0.25">
      <c r="Q93" s="89"/>
    </row>
    <row r="94" spans="17:17" ht="15.75" customHeight="1" x14ac:dyDescent="0.25">
      <c r="Q94" s="89"/>
    </row>
    <row r="95" spans="17:17" ht="15.75" customHeight="1" x14ac:dyDescent="0.25">
      <c r="Q95" s="89"/>
    </row>
    <row r="96" spans="17:17" ht="15.75" customHeight="1" x14ac:dyDescent="0.25">
      <c r="Q96" s="89"/>
    </row>
    <row r="97" spans="17:17" ht="15.75" customHeight="1" x14ac:dyDescent="0.25">
      <c r="Q97" s="89"/>
    </row>
    <row r="98" spans="17:17" ht="15.75" customHeight="1" x14ac:dyDescent="0.25">
      <c r="Q98" s="89"/>
    </row>
    <row r="99" spans="17:17" ht="15.75" customHeight="1" x14ac:dyDescent="0.25">
      <c r="Q99" s="89"/>
    </row>
    <row r="100" spans="17:17" ht="15.75" customHeight="1" x14ac:dyDescent="0.25">
      <c r="Q100" s="89"/>
    </row>
  </sheetData>
  <mergeCells count="46">
    <mergeCell ref="O19:P19"/>
    <mergeCell ref="O20:P20"/>
    <mergeCell ref="O22:P2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A6:F6"/>
    <mergeCell ref="A4:F4"/>
    <mergeCell ref="A7:F7"/>
    <mergeCell ref="A9:Q9"/>
    <mergeCell ref="A8:Q8"/>
    <mergeCell ref="G6:Q6"/>
    <mergeCell ref="G7:Q7"/>
    <mergeCell ref="A1:C1"/>
    <mergeCell ref="D1:E1"/>
    <mergeCell ref="P1:Q2"/>
    <mergeCell ref="G4:Q4"/>
    <mergeCell ref="G5:Q5"/>
    <mergeCell ref="A5:F5"/>
    <mergeCell ref="A38:P38"/>
    <mergeCell ref="A39:Q39"/>
    <mergeCell ref="A40:F40"/>
    <mergeCell ref="G40:Q40"/>
    <mergeCell ref="A41:Q42"/>
    <mergeCell ref="O34:P34"/>
    <mergeCell ref="O35:P35"/>
    <mergeCell ref="O36:P36"/>
    <mergeCell ref="O37:P37"/>
    <mergeCell ref="O28:P28"/>
    <mergeCell ref="O29:P29"/>
    <mergeCell ref="O30:P30"/>
    <mergeCell ref="O31:P31"/>
    <mergeCell ref="O33:P33"/>
    <mergeCell ref="O32:P32"/>
    <mergeCell ref="O23:P23"/>
    <mergeCell ref="O24:P24"/>
    <mergeCell ref="O25:P25"/>
    <mergeCell ref="O26:P26"/>
    <mergeCell ref="O27:P27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011 - NECESIDAD TRIMESTRAL</vt:lpstr>
      <vt:lpstr>NP</vt:lpstr>
      <vt:lpstr>APG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2021-11-12T17:27:33Z</dcterms:created>
  <dcterms:modified xsi:type="dcterms:W3CDTF">2022-06-07T21:21:26Z</dcterms:modified>
</cp:coreProperties>
</file>