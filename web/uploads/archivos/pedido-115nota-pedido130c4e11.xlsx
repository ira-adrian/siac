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60" windowWidth="19425" windowHeight="7605" tabRatio="599"/>
  </bookViews>
  <sheets>
    <sheet name="Necesidades Trimestrales " sheetId="3" r:id="rId1"/>
    <sheet name=" NotaPedido FARMACIA" sheetId="4" r:id="rId2"/>
    <sheet name="APG FARMACIA " sheetId="5" r:id="rId3"/>
  </sheets>
  <definedNames>
    <definedName name="_xlnm._FilterDatabase" localSheetId="0" hidden="1">'Necesidades Trimestrales '!$A$9:$I$9</definedName>
    <definedName name="_xlnm.Print_Area" localSheetId="1">' NotaPedido FARMACIA'!$A$1:$K$49</definedName>
    <definedName name="_xlnm.Print_Area" localSheetId="2">'APG FARMACIA '!$A$1:$Q$25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4" l="1"/>
  <c r="J48" i="4" s="1"/>
  <c r="I38" i="3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1" i="4"/>
  <c r="K42" i="4"/>
  <c r="K43" i="4"/>
  <c r="K44" i="4"/>
  <c r="K45" i="4"/>
  <c r="K46" i="4"/>
  <c r="K47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1" i="4"/>
  <c r="J42" i="4"/>
  <c r="J43" i="4"/>
  <c r="J44" i="4"/>
  <c r="J45" i="4"/>
  <c r="J46" i="4"/>
  <c r="J47" i="4"/>
  <c r="J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1" i="4"/>
  <c r="C42" i="4"/>
  <c r="C43" i="4"/>
  <c r="C44" i="4"/>
  <c r="C45" i="4"/>
  <c r="C46" i="4"/>
  <c r="C47" i="4"/>
  <c r="C12" i="4"/>
  <c r="I42" i="3" l="1"/>
  <c r="I41" i="3"/>
  <c r="I18" i="3" l="1"/>
  <c r="I39" i="3"/>
  <c r="I29" i="3"/>
  <c r="I28" i="3"/>
  <c r="I12" i="3"/>
  <c r="I34" i="3" l="1"/>
  <c r="I35" i="3"/>
  <c r="I36" i="3"/>
  <c r="I17" i="3"/>
  <c r="I14" i="3"/>
  <c r="I10" i="3"/>
  <c r="I27" i="3"/>
  <c r="I16" i="3"/>
  <c r="I33" i="3"/>
  <c r="I15" i="3"/>
  <c r="I44" i="3"/>
  <c r="G20" i="3"/>
  <c r="I20" i="3" s="1"/>
  <c r="I25" i="3" l="1"/>
  <c r="I40" i="3" l="1"/>
  <c r="M13" i="4" l="1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1" i="4"/>
  <c r="M42" i="4"/>
  <c r="M43" i="4"/>
  <c r="M44" i="4"/>
  <c r="M45" i="4"/>
  <c r="M46" i="4"/>
  <c r="M47" i="4"/>
  <c r="M12" i="4"/>
  <c r="I13" i="3" l="1"/>
  <c r="I19" i="3"/>
  <c r="I21" i="3"/>
  <c r="I22" i="3"/>
  <c r="I23" i="3"/>
  <c r="I24" i="3"/>
  <c r="I26" i="3"/>
  <c r="I30" i="3"/>
  <c r="I31" i="3"/>
  <c r="I32" i="3"/>
  <c r="I37" i="3"/>
  <c r="I43" i="3"/>
  <c r="I45" i="3"/>
  <c r="I11" i="3"/>
  <c r="I46" i="3" l="1"/>
  <c r="Q15" i="5" s="1"/>
  <c r="Q21" i="5" s="1"/>
</calcChain>
</file>

<file path=xl/sharedStrings.xml><?xml version="1.0" encoding="utf-8"?>
<sst xmlns="http://schemas.openxmlformats.org/spreadsheetml/2006/main" count="270" uniqueCount="119">
  <si>
    <t>UNIDAD DE MEDIDA</t>
  </si>
  <si>
    <t>AGUA DESTILADA EN SACHET X 500 ML</t>
  </si>
  <si>
    <t>FENTANILO 250 MCG INYECTABLE</t>
  </si>
  <si>
    <t>SUCCINILCOLINA 500 MG FCO AMP</t>
  </si>
  <si>
    <t>PARACETAMOL 500 MG COMPRIMIDO</t>
  </si>
  <si>
    <t>CLONIDINA AMPOLLAS</t>
  </si>
  <si>
    <t>DOBUTAMINA AMPOLLA</t>
  </si>
  <si>
    <t>HEPARINA SODICA 5000 UI FCO AMPOLLA</t>
  </si>
  <si>
    <t>ENOXAPARINA 40 MG AMPOLLA PRELLENA</t>
  </si>
  <si>
    <t>NITROPRUSIATO SODIO 50 MG VIAL</t>
  </si>
  <si>
    <t>FLUCONAZOL 200 MG SACHET 100 ML</t>
  </si>
  <si>
    <t>ACIDO ACETIL SALICILICO 500 MG COMPRIMIDO</t>
  </si>
  <si>
    <t>DOPAMINA 200 MG  AMPOLLA</t>
  </si>
  <si>
    <t>ALIMENTACION ENTERAL X 500 ML TIPO DIBEN</t>
  </si>
  <si>
    <t>VECURONIO BROMURO 10 MG AMPOLLA</t>
  </si>
  <si>
    <t>KETAMINA 50MG/ML FCO AMPOLLA</t>
  </si>
  <si>
    <t>ENOXAPARINA 80 MG AMPOLLA PRELLENADA</t>
  </si>
  <si>
    <t>Pedido de Necesidades Trimestrales</t>
  </si>
  <si>
    <t>JURISDICCION:</t>
  </si>
  <si>
    <t>40 - MINISTERIO DE SALUD</t>
  </si>
  <si>
    <t xml:space="preserve">SAF N°: </t>
  </si>
  <si>
    <t>11 - DIRE PROV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</si>
  <si>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</si>
  <si>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</si>
  <si>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</si>
  <si>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</si>
  <si>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</si>
  <si>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</si>
  <si>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</si>
  <si>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CANTIDAD TOTAL</t>
  </si>
  <si>
    <t>PRECIO UNITARIO ESTIMADO</t>
  </si>
  <si>
    <t xml:space="preserve">IMPORTE TOTAL ESTIMADO </t>
  </si>
  <si>
    <t>PROD. MEDICO/FARMACEUTICOS/LAB</t>
  </si>
  <si>
    <t>UNIDAD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</si>
  <si>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</si>
  <si>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</si>
  <si>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</si>
  <si>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</si>
  <si>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</si>
  <si>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</si>
  <si>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</si>
  <si>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</si>
  <si>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</si>
  <si>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</si>
  <si>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</si>
  <si>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</si>
  <si>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</si>
  <si>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</si>
  <si>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</si>
  <si>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</si>
  <si>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</si>
  <si>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</si>
  <si>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</si>
  <si>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</si>
  <si>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</si>
  <si>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</si>
  <si>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</si>
  <si>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</si>
  <si>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</si>
  <si>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</si>
  <si>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</si>
  <si>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</si>
  <si>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</si>
  <si>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</si>
  <si>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</si>
  <si>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</si>
  <si>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</si>
  <si>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</si>
  <si>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</si>
  <si>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</si>
  <si>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</si>
  <si>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</si>
  <si>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</si>
  <si>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</si>
  <si>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</si>
  <si>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</si>
  <si>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</si>
  <si>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</si>
  <si>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</si>
  <si>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</si>
  <si>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</si>
  <si>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Productos Farmacéuticos y Medicinales</t>
  </si>
  <si>
    <t>JUSTIFICACIÓN:</t>
  </si>
  <si>
    <t>634,68</t>
  </si>
  <si>
    <t>460,95</t>
  </si>
  <si>
    <t>387,20</t>
  </si>
  <si>
    <t>Adquisicion de Medicamentos para la atencion de pacientes COVID-19</t>
  </si>
  <si>
    <t>INMUNOGLOBULINAS FRAGMENTOS ANTI SARS-COV 2 30MG/ML TIPO COVIFAB</t>
  </si>
  <si>
    <t>TOTAL</t>
  </si>
  <si>
    <t>DETALLE TECNICO Y ESPECIFICACIONES</t>
  </si>
  <si>
    <t>veinte (20) dias corridos</t>
  </si>
  <si>
    <t xml:space="preserve"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</t>
  </si>
  <si>
    <t>LORAZEPAM 4 MG/2ML AMPOLLA</t>
  </si>
  <si>
    <t>TERCER TRIMESTRE</t>
  </si>
  <si>
    <t>3° TRIMESTRE</t>
  </si>
  <si>
    <t>COLISTINA 100 MG FCO AMPOLLA</t>
  </si>
  <si>
    <t>PROPOFOL 1% AMPOLLAS X 20 ML</t>
  </si>
  <si>
    <t>FENOBARBITAL 100 MG/ML AMPOLLA</t>
  </si>
  <si>
    <t>TIOPENTAL SODICO 1GR FRASCO AMPOLLA</t>
  </si>
  <si>
    <t>ANFOTERICINA B VIAL 50 MG</t>
  </si>
  <si>
    <t>FLUCONAZOL 100 MG COMPRIMIDOS</t>
  </si>
  <si>
    <t>ACICLOVIR 500 MG FCO AMPOLLA</t>
  </si>
  <si>
    <t>ALIMENTACION ENTERAL X 1000 ML TIPO GLUCERNA RTH 1,5 KCAL</t>
  </si>
  <si>
    <t>BETAMETASONA G 12 MG ( 6 MG ACETATO/6 MG FOSFATO ) AMPOLLA</t>
  </si>
  <si>
    <t>METILPREDNISOLONA 500 MG FCO AMPOLLA</t>
  </si>
  <si>
    <t>METILPREDNISONA 40 MG COMPRIMIDO</t>
  </si>
  <si>
    <t>METILPREDNISONA 4MG/ML AMPOLLA</t>
  </si>
  <si>
    <t>MEROPENEM 1000MG  FCO AMPOLLA</t>
  </si>
  <si>
    <t>BUDESONIDE SOLUCION 0,1%</t>
  </si>
  <si>
    <t>SOLUCION FISIOLOGICA 0,9% SACHET X 100 ML</t>
  </si>
  <si>
    <t>SOLUCION FISIOLOGICA 0,9 % SACHET X 500 ML</t>
  </si>
  <si>
    <t>AMIKACINA 500 MG AMPOLLA</t>
  </si>
  <si>
    <t>no</t>
  </si>
  <si>
    <t>Autorizo la realización de los  trámites correspondientes, a fin de proveer a  este Organismo los bienes que se detallan en Nota de pedido y Entrega N°39/2021,  afectando la erogación resultante a los créditos presupuestarios aprobados a favor de esta Unidad Ejecutora, conforme al siguiente detalle:</t>
  </si>
  <si>
    <t xml:space="preserve"> 39/2021</t>
  </si>
  <si>
    <t xml:space="preserve">Olanzapina 10 mg. Comprimidos </t>
  </si>
  <si>
    <t xml:space="preserve">Olanzapina 10 ml. Comprimidos </t>
  </si>
  <si>
    <t>Costo total estimado: CIENTO VEINTE MILLONES SEISCIENTOS CINCUENTA Y CINCO MIL CUATROCIENTOS CINCUENTA Y NUEVE CON 00/100</t>
  </si>
  <si>
    <t>TOTAL DE PESOS:  CIENTO VEINTE MILLONES SEISCIENTOS CINCUENTA Y CINCO MIL CUATROCIENTOS CINCUENTA Y NUEVE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</si>
</sst>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&quot;$&quot;#,##0.00"/>
    <numFmt numFmtId="172" formatCode="_(\$* #,##0.00_);_(\$* \(#,##0.00\);_(\$* \-??_);_(@_)"/>
    <numFmt numFmtId="173" formatCode="dd\-mm\-yy;@"/>
    <numFmt numFmtId="174" formatCode="[$$-2C0A]\ #,##0.00;[$$-2C0A]&quot; -&quot;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charset val="1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rial"/>
      <family val="2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</borders>
  <cellStyleXfs count="2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167" fontId="2" fillId="0" borderId="0" applyBorder="0" applyProtection="0"/>
    <xf numFmtId="0" fontId="15" fillId="0" borderId="11" applyProtection="0"/>
    <xf numFmtId="0" fontId="15" fillId="0" borderId="11" applyProtection="0"/>
    <xf numFmtId="164" fontId="1" fillId="0" borderId="0" applyFont="0" applyFill="0" applyBorder="0" applyAlignment="0" applyProtection="0"/>
    <xf numFmtId="44" fontId="2" fillId="0" borderId="0" applyBorder="0" applyAlignment="0" applyProtection="0"/>
    <xf numFmtId="167" fontId="2" fillId="0" borderId="0" applyBorder="0" applyProtection="0"/>
    <xf numFmtId="167" fontId="2" fillId="0" borderId="0" applyBorder="0" applyProtection="0"/>
    <xf numFmtId="172" fontId="16" fillId="0" borderId="0" applyBorder="0" applyProtection="0"/>
    <xf numFmtId="0" fontId="17" fillId="3" borderId="0" applyBorder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</cellStyleXfs>
  <cellXfs count="187">
    <xf numFmtId="0" fontId="0" fillId="0" borderId="0" xfId="0"/>
    <xf numFmtId="3" fontId="0" fillId="2" borderId="2" xfId="0" applyNumberFormat="1" applyFill="1" applyBorder="1" applyAlignment="1">
      <alignment horizontal="center" vertical="center"/>
    </xf>
    <xf numFmtId="3" fontId="4" fillId="2" borderId="2" xfId="5" applyNumberFormat="1" applyFont="1" applyFill="1" applyBorder="1" applyAlignment="1">
      <alignment horizontal="center" vertical="center" wrapText="1"/>
    </xf>
    <xf numFmtId="0" fontId="5" fillId="0" borderId="0" xfId="5" applyFont="1" applyAlignment="1">
      <alignment horizontal="center" wrapText="1"/>
    </xf>
    <xf numFmtId="0" fontId="6" fillId="0" borderId="0" xfId="5" applyFont="1" applyAlignment="1">
      <alignment horizontal="center" vertical="center"/>
    </xf>
    <xf numFmtId="0" fontId="6" fillId="0" borderId="0" xfId="5" applyFont="1" applyAlignment="1">
      <alignment horizontal="center"/>
    </xf>
    <xf numFmtId="0" fontId="6" fillId="0" borderId="0" xfId="5" applyFont="1" applyAlignment="1">
      <alignment horizontal="center" vertical="center" wrapText="1"/>
    </xf>
    <xf numFmtId="3" fontId="6" fillId="0" borderId="0" xfId="5" applyNumberFormat="1" applyFont="1" applyAlignment="1">
      <alignment horizontal="center" vertical="center"/>
    </xf>
    <xf numFmtId="166" fontId="4" fillId="0" borderId="0" xfId="6" applyNumberFormat="1" applyFont="1" applyAlignment="1">
      <alignment vertical="center"/>
    </xf>
    <xf numFmtId="168" fontId="6" fillId="0" borderId="0" xfId="5" applyNumberFormat="1" applyFont="1" applyAlignment="1">
      <alignment vertical="center"/>
    </xf>
    <xf numFmtId="0" fontId="6" fillId="0" borderId="0" xfId="5" applyFont="1"/>
    <xf numFmtId="0" fontId="10" fillId="0" borderId="0" xfId="5" applyFont="1" applyAlignment="1">
      <alignment horizontal="center" wrapText="1"/>
    </xf>
    <xf numFmtId="3" fontId="10" fillId="0" borderId="0" xfId="5" applyNumberFormat="1" applyFont="1" applyAlignment="1">
      <alignment horizontal="center" vertical="center" wrapText="1"/>
    </xf>
    <xf numFmtId="0" fontId="9" fillId="0" borderId="0" xfId="5" applyFont="1" applyFill="1" applyAlignment="1">
      <alignment horizontal="left" vertical="center" wrapText="1"/>
    </xf>
    <xf numFmtId="0" fontId="11" fillId="0" borderId="0" xfId="5" applyFont="1" applyFill="1" applyAlignment="1">
      <alignment horizontal="left" wrapText="1"/>
    </xf>
    <xf numFmtId="0" fontId="11" fillId="0" borderId="0" xfId="5" applyFont="1" applyFill="1" applyAlignment="1">
      <alignment horizontal="left" vertical="center" wrapText="1"/>
    </xf>
    <xf numFmtId="0" fontId="12" fillId="0" borderId="0" xfId="5" applyFont="1" applyAlignment="1">
      <alignment horizontal="center" wrapText="1"/>
    </xf>
    <xf numFmtId="0" fontId="10" fillId="0" borderId="0" xfId="5" applyFont="1" applyAlignment="1">
      <alignment horizontal="center" vertical="center" wrapText="1"/>
    </xf>
    <xf numFmtId="0" fontId="13" fillId="0" borderId="2" xfId="5" applyFont="1" applyBorder="1" applyAlignment="1">
      <alignment horizontal="center" vertical="center"/>
    </xf>
    <xf numFmtId="0" fontId="13" fillId="0" borderId="2" xfId="5" applyFont="1" applyBorder="1" applyAlignment="1">
      <alignment horizontal="center" vertical="center" wrapText="1"/>
    </xf>
    <xf numFmtId="3" fontId="13" fillId="0" borderId="2" xfId="5" applyNumberFormat="1" applyFont="1" applyBorder="1" applyAlignment="1">
      <alignment horizontal="center" vertical="center" wrapText="1"/>
    </xf>
    <xf numFmtId="166" fontId="4" fillId="0" borderId="2" xfId="6" applyNumberFormat="1" applyFont="1" applyBorder="1" applyAlignment="1">
      <alignment vertical="center" wrapText="1"/>
    </xf>
    <xf numFmtId="168" fontId="13" fillId="0" borderId="2" xfId="5" applyNumberFormat="1" applyFont="1" applyBorder="1" applyAlignment="1">
      <alignment vertical="center" wrapText="1"/>
    </xf>
    <xf numFmtId="0" fontId="14" fillId="0" borderId="0" xfId="5" applyFont="1" applyAlignment="1">
      <alignment wrapText="1"/>
    </xf>
    <xf numFmtId="0" fontId="6" fillId="2" borderId="2" xfId="5" applyFont="1" applyFill="1" applyBorder="1" applyAlignment="1">
      <alignment horizontal="center"/>
    </xf>
    <xf numFmtId="170" fontId="6" fillId="2" borderId="0" xfId="5" applyNumberFormat="1" applyFont="1" applyFill="1"/>
    <xf numFmtId="0" fontId="6" fillId="2" borderId="0" xfId="5" applyFont="1" applyFill="1"/>
    <xf numFmtId="0" fontId="6" fillId="2" borderId="0" xfId="5" applyFont="1" applyFill="1" applyAlignment="1">
      <alignment horizontal="center" vertical="center"/>
    </xf>
    <xf numFmtId="0" fontId="6" fillId="2" borderId="0" xfId="5" applyFont="1" applyFill="1" applyAlignment="1">
      <alignment horizontal="center"/>
    </xf>
    <xf numFmtId="3" fontId="6" fillId="2" borderId="0" xfId="5" applyNumberFormat="1" applyFont="1" applyFill="1" applyAlignment="1">
      <alignment horizontal="center" vertical="center"/>
    </xf>
    <xf numFmtId="166" fontId="4" fillId="2" borderId="0" xfId="6" applyNumberFormat="1" applyFont="1" applyFill="1" applyAlignment="1">
      <alignment vertical="center"/>
    </xf>
    <xf numFmtId="168" fontId="6" fillId="2" borderId="0" xfId="5" applyNumberFormat="1" applyFont="1" applyFill="1" applyAlignment="1">
      <alignment vertical="center"/>
    </xf>
    <xf numFmtId="0" fontId="5" fillId="2" borderId="0" xfId="5" applyFont="1" applyFill="1" applyAlignment="1">
      <alignment horizontal="center" wrapText="1"/>
    </xf>
    <xf numFmtId="0" fontId="6" fillId="2" borderId="0" xfId="5" applyFont="1" applyFill="1" applyAlignment="1">
      <alignment horizontal="center" vertical="center" wrapText="1"/>
    </xf>
    <xf numFmtId="0" fontId="6" fillId="2" borderId="0" xfId="5" applyFont="1" applyFill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18" fillId="0" borderId="12" xfId="24" applyFont="1" applyBorder="1" applyAlignment="1">
      <alignment horizontal="right" vertical="center"/>
    </xf>
    <xf numFmtId="17" fontId="19" fillId="4" borderId="13" xfId="24" applyNumberFormat="1" applyFont="1" applyFill="1" applyBorder="1" applyAlignment="1">
      <alignment horizontal="center" vertical="center"/>
    </xf>
    <xf numFmtId="0" fontId="16" fillId="0" borderId="0" xfId="24" applyFont="1" applyBorder="1" applyAlignment="1">
      <alignment vertical="center"/>
    </xf>
    <xf numFmtId="0" fontId="18" fillId="0" borderId="14" xfId="24" applyFont="1" applyBorder="1" applyAlignment="1">
      <alignment vertical="center"/>
    </xf>
    <xf numFmtId="0" fontId="18" fillId="0" borderId="0" xfId="24" applyFont="1" applyBorder="1" applyAlignment="1">
      <alignment vertical="center"/>
    </xf>
    <xf numFmtId="0" fontId="20" fillId="0" borderId="0" xfId="24" applyFont="1" applyBorder="1" applyAlignment="1">
      <alignment horizontal="left" vertical="center"/>
    </xf>
    <xf numFmtId="0" fontId="19" fillId="0" borderId="0" xfId="24" applyFont="1" applyBorder="1" applyAlignment="1">
      <alignment horizontal="left" vertical="center" wrapText="1" indent="1"/>
    </xf>
    <xf numFmtId="0" fontId="22" fillId="2" borderId="20" xfId="24" applyFont="1" applyFill="1" applyBorder="1" applyAlignment="1">
      <alignment horizontal="center" vertical="center"/>
    </xf>
    <xf numFmtId="0" fontId="22" fillId="2" borderId="20" xfId="24" applyFont="1" applyFill="1" applyBorder="1" applyAlignment="1">
      <alignment horizontal="left" vertical="center"/>
    </xf>
    <xf numFmtId="0" fontId="22" fillId="4" borderId="20" xfId="24" applyFont="1" applyFill="1" applyBorder="1" applyAlignment="1">
      <alignment horizontal="center" vertical="center"/>
    </xf>
    <xf numFmtId="165" fontId="23" fillId="2" borderId="0" xfId="24" applyNumberFormat="1" applyFont="1" applyFill="1" applyBorder="1" applyAlignment="1">
      <alignment vertical="center"/>
    </xf>
    <xf numFmtId="0" fontId="22" fillId="2" borderId="24" xfId="24" applyFont="1" applyFill="1" applyBorder="1" applyAlignment="1">
      <alignment horizontal="center" vertical="center"/>
    </xf>
    <xf numFmtId="0" fontId="22" fillId="2" borderId="24" xfId="24" applyFont="1" applyFill="1" applyBorder="1" applyAlignment="1">
      <alignment horizontal="left" vertical="center"/>
    </xf>
    <xf numFmtId="165" fontId="16" fillId="0" borderId="0" xfId="24" applyNumberFormat="1" applyFont="1" applyBorder="1" applyAlignment="1">
      <alignment vertical="center"/>
    </xf>
    <xf numFmtId="0" fontId="2" fillId="0" borderId="0" xfId="24"/>
    <xf numFmtId="165" fontId="2" fillId="0" borderId="0" xfId="24" applyNumberFormat="1"/>
    <xf numFmtId="3" fontId="25" fillId="0" borderId="0" xfId="24" applyNumberFormat="1" applyFont="1" applyBorder="1" applyAlignment="1"/>
    <xf numFmtId="173" fontId="2" fillId="0" borderId="0" xfId="24" applyNumberFormat="1" applyAlignment="1">
      <alignment horizontal="left"/>
    </xf>
    <xf numFmtId="0" fontId="2" fillId="0" borderId="0" xfId="24" applyAlignment="1">
      <alignment horizontal="left"/>
    </xf>
    <xf numFmtId="0" fontId="16" fillId="0" borderId="0" xfId="24" applyFont="1"/>
    <xf numFmtId="0" fontId="2" fillId="0" borderId="0" xfId="24" applyBorder="1"/>
    <xf numFmtId="0" fontId="2" fillId="0" borderId="12" xfId="24" applyBorder="1"/>
    <xf numFmtId="0" fontId="2" fillId="0" borderId="28" xfId="24" applyBorder="1"/>
    <xf numFmtId="0" fontId="2" fillId="0" borderId="14" xfId="24" applyBorder="1"/>
    <xf numFmtId="0" fontId="2" fillId="0" borderId="14" xfId="24" applyBorder="1" applyAlignment="1">
      <alignment horizontal="left"/>
    </xf>
    <xf numFmtId="0" fontId="2" fillId="0" borderId="29" xfId="24" applyBorder="1"/>
    <xf numFmtId="0" fontId="29" fillId="0" borderId="32" xfId="24" applyFont="1" applyBorder="1" applyAlignment="1">
      <alignment horizontal="center" vertical="center"/>
    </xf>
    <xf numFmtId="0" fontId="29" fillId="0" borderId="33" xfId="24" applyFont="1" applyBorder="1" applyAlignment="1">
      <alignment horizontal="center" vertical="center"/>
    </xf>
    <xf numFmtId="0" fontId="29" fillId="0" borderId="33" xfId="24" applyFont="1" applyBorder="1" applyAlignment="1">
      <alignment horizontal="left" vertical="center"/>
    </xf>
    <xf numFmtId="0" fontId="29" fillId="0" borderId="34" xfId="24" applyFont="1" applyBorder="1" applyAlignment="1">
      <alignment horizontal="center" vertical="center"/>
    </xf>
    <xf numFmtId="0" fontId="29" fillId="0" borderId="35" xfId="24" applyFont="1" applyBorder="1" applyAlignment="1">
      <alignment horizontal="center" vertical="center"/>
    </xf>
    <xf numFmtId="0" fontId="2" fillId="0" borderId="36" xfId="24" applyFont="1" applyBorder="1" applyAlignment="1">
      <alignment horizontal="center" vertical="center"/>
    </xf>
    <xf numFmtId="0" fontId="2" fillId="0" borderId="37" xfId="24" applyFont="1" applyBorder="1" applyAlignment="1">
      <alignment horizontal="center" vertical="center"/>
    </xf>
    <xf numFmtId="0" fontId="2" fillId="0" borderId="38" xfId="24" applyFont="1" applyBorder="1" applyAlignment="1">
      <alignment horizontal="center" vertical="center"/>
    </xf>
    <xf numFmtId="0" fontId="2" fillId="0" borderId="39" xfId="24" applyFont="1" applyBorder="1" applyAlignment="1">
      <alignment horizontal="center" vertical="center"/>
    </xf>
    <xf numFmtId="174" fontId="0" fillId="0" borderId="40" xfId="13" applyNumberFormat="1" applyFont="1" applyBorder="1" applyAlignment="1" applyProtection="1">
      <alignment horizontal="center" vertical="center"/>
    </xf>
    <xf numFmtId="0" fontId="27" fillId="0" borderId="36" xfId="24" applyFont="1" applyBorder="1" applyAlignment="1">
      <alignment horizontal="center" vertical="center"/>
    </xf>
    <xf numFmtId="0" fontId="27" fillId="0" borderId="37" xfId="24" applyFont="1" applyBorder="1" applyAlignment="1">
      <alignment horizontal="center" vertical="center"/>
    </xf>
    <xf numFmtId="0" fontId="2" fillId="0" borderId="39" xfId="24" applyBorder="1" applyAlignment="1">
      <alignment horizontal="center" vertical="center"/>
    </xf>
    <xf numFmtId="0" fontId="27" fillId="0" borderId="38" xfId="24" applyFont="1" applyBorder="1" applyAlignment="1">
      <alignment horizontal="center" vertical="center"/>
    </xf>
    <xf numFmtId="0" fontId="27" fillId="0" borderId="39" xfId="24" applyFont="1" applyBorder="1" applyAlignment="1">
      <alignment horizontal="center" vertical="center"/>
    </xf>
    <xf numFmtId="0" fontId="2" fillId="0" borderId="41" xfId="24" applyBorder="1" applyAlignment="1">
      <alignment horizontal="center" vertical="center"/>
    </xf>
    <xf numFmtId="0" fontId="2" fillId="0" borderId="42" xfId="24" applyBorder="1" applyAlignment="1">
      <alignment horizontal="center" vertical="center"/>
    </xf>
    <xf numFmtId="0" fontId="2" fillId="0" borderId="43" xfId="24" applyBorder="1" applyAlignment="1">
      <alignment horizontal="center" vertical="center"/>
    </xf>
    <xf numFmtId="174" fontId="0" fillId="0" borderId="44" xfId="13" applyNumberFormat="1" applyFont="1" applyBorder="1" applyAlignment="1" applyProtection="1">
      <alignment horizontal="center" vertical="center"/>
    </xf>
    <xf numFmtId="174" fontId="29" fillId="0" borderId="45" xfId="24" applyNumberFormat="1" applyFont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/>
    </xf>
    <xf numFmtId="174" fontId="0" fillId="0" borderId="47" xfId="13" applyNumberFormat="1" applyFont="1" applyBorder="1" applyAlignment="1" applyProtection="1">
      <alignment horizontal="center" vertical="center"/>
    </xf>
    <xf numFmtId="0" fontId="2" fillId="0" borderId="2" xfId="24" applyFont="1" applyBorder="1" applyAlignment="1">
      <alignment horizontal="center" vertical="center"/>
    </xf>
    <xf numFmtId="0" fontId="13" fillId="2" borderId="2" xfId="5" applyFont="1" applyFill="1" applyBorder="1" applyAlignment="1">
      <alignment horizontal="center" vertical="center"/>
    </xf>
    <xf numFmtId="0" fontId="13" fillId="2" borderId="2" xfId="5" applyFont="1" applyFill="1" applyBorder="1" applyAlignment="1">
      <alignment horizontal="center" vertical="center" wrapText="1"/>
    </xf>
    <xf numFmtId="3" fontId="13" fillId="2" borderId="2" xfId="5" applyNumberFormat="1" applyFont="1" applyFill="1" applyBorder="1" applyAlignment="1">
      <alignment horizontal="center" vertical="center" wrapText="1"/>
    </xf>
    <xf numFmtId="168" fontId="13" fillId="2" borderId="2" xfId="5" applyNumberFormat="1" applyFont="1" applyFill="1" applyBorder="1" applyAlignment="1">
      <alignment vertical="center" wrapText="1"/>
    </xf>
    <xf numFmtId="0" fontId="14" fillId="2" borderId="0" xfId="5" applyFont="1" applyFill="1" applyAlignment="1">
      <alignment wrapText="1"/>
    </xf>
    <xf numFmtId="170" fontId="30" fillId="2" borderId="0" xfId="5" applyNumberFormat="1" applyFont="1" applyFill="1"/>
    <xf numFmtId="0" fontId="30" fillId="2" borderId="0" xfId="5" applyFont="1" applyFill="1"/>
    <xf numFmtId="166" fontId="4" fillId="2" borderId="2" xfId="6" applyNumberFormat="1" applyFont="1" applyFill="1" applyBorder="1" applyAlignment="1">
      <alignment horizontal="center" vertical="center" wrapText="1"/>
    </xf>
    <xf numFmtId="0" fontId="13" fillId="2" borderId="2" xfId="5" applyFont="1" applyFill="1" applyBorder="1" applyAlignment="1">
      <alignment horizontal="left" vertical="center" wrapText="1"/>
    </xf>
    <xf numFmtId="0" fontId="6" fillId="0" borderId="0" xfId="5" applyFont="1" applyAlignment="1">
      <alignment horizontal="left" vertical="center"/>
    </xf>
    <xf numFmtId="0" fontId="7" fillId="0" borderId="0" xfId="5" applyFont="1" applyBorder="1" applyAlignment="1">
      <alignment horizontal="center"/>
    </xf>
    <xf numFmtId="0" fontId="7" fillId="0" borderId="0" xfId="5" applyFont="1" applyBorder="1" applyAlignment="1">
      <alignment horizontal="center" vertical="center"/>
    </xf>
    <xf numFmtId="0" fontId="7" fillId="0" borderId="0" xfId="5" applyFont="1" applyBorder="1" applyAlignment="1">
      <alignment horizontal="right" vertical="center"/>
    </xf>
    <xf numFmtId="0" fontId="8" fillId="0" borderId="0" xfId="5" applyFont="1" applyBorder="1" applyAlignment="1">
      <alignment horizontal="left" vertical="center" wrapText="1"/>
    </xf>
    <xf numFmtId="0" fontId="9" fillId="0" borderId="0" xfId="5" applyFont="1" applyFill="1" applyBorder="1" applyAlignment="1">
      <alignment horizontal="left" wrapText="1"/>
    </xf>
    <xf numFmtId="0" fontId="6" fillId="2" borderId="0" xfId="5" applyFont="1" applyFill="1" applyAlignment="1">
      <alignment horizontal="left" vertical="center" wrapText="1"/>
    </xf>
    <xf numFmtId="0" fontId="6" fillId="2" borderId="0" xfId="5" applyFont="1" applyFill="1" applyAlignment="1">
      <alignment horizontal="left" vertical="center"/>
    </xf>
    <xf numFmtId="0" fontId="5" fillId="2" borderId="9" xfId="5" applyFont="1" applyFill="1" applyBorder="1" applyAlignment="1">
      <alignment horizontal="center" vertical="center" wrapText="1"/>
    </xf>
    <xf numFmtId="165" fontId="14" fillId="0" borderId="6" xfId="24" applyNumberFormat="1" applyFont="1" applyBorder="1" applyAlignment="1">
      <alignment horizontal="center" vertical="center" wrapText="1"/>
    </xf>
    <xf numFmtId="7" fontId="14" fillId="0" borderId="4" xfId="24" applyNumberFormat="1" applyFont="1" applyBorder="1" applyAlignment="1">
      <alignment horizontal="center" vertical="center" wrapText="1"/>
    </xf>
    <xf numFmtId="0" fontId="19" fillId="0" borderId="0" xfId="24" applyFont="1" applyBorder="1" applyAlignment="1">
      <alignment horizontal="left" vertical="center" wrapText="1" indent="1"/>
    </xf>
    <xf numFmtId="169" fontId="20" fillId="0" borderId="0" xfId="24" applyNumberFormat="1" applyFont="1" applyBorder="1" applyAlignment="1">
      <alignment horizontal="center" vertical="center"/>
    </xf>
    <xf numFmtId="0" fontId="24" fillId="0" borderId="10" xfId="24" applyFont="1" applyBorder="1" applyAlignment="1">
      <alignment horizontal="left" vertical="center" wrapText="1"/>
    </xf>
    <xf numFmtId="0" fontId="24" fillId="0" borderId="6" xfId="24" applyFont="1" applyBorder="1" applyAlignment="1">
      <alignment horizontal="left" vertical="center" wrapText="1"/>
    </xf>
    <xf numFmtId="0" fontId="24" fillId="0" borderId="7" xfId="24" applyFont="1" applyBorder="1" applyAlignment="1">
      <alignment horizontal="left" vertical="center" wrapText="1"/>
    </xf>
    <xf numFmtId="0" fontId="21" fillId="0" borderId="19" xfId="24" applyFont="1" applyBorder="1" applyAlignment="1">
      <alignment horizontal="center" vertical="center" wrapText="1"/>
    </xf>
    <xf numFmtId="0" fontId="20" fillId="0" borderId="16" xfId="24" applyFont="1" applyBorder="1" applyAlignment="1">
      <alignment horizontal="left" vertical="center" wrapText="1"/>
    </xf>
    <xf numFmtId="0" fontId="19" fillId="0" borderId="8" xfId="24" applyFont="1" applyBorder="1" applyAlignment="1">
      <alignment horizontal="left" vertical="center" wrapText="1" indent="1"/>
    </xf>
    <xf numFmtId="0" fontId="18" fillId="0" borderId="0" xfId="24" applyFont="1" applyBorder="1" applyAlignment="1">
      <alignment horizontal="center" vertical="center"/>
    </xf>
    <xf numFmtId="0" fontId="20" fillId="0" borderId="15" xfId="24" applyFont="1" applyBorder="1" applyAlignment="1">
      <alignment horizontal="left" vertical="center" wrapText="1"/>
    </xf>
    <xf numFmtId="0" fontId="20" fillId="0" borderId="17" xfId="24" applyFont="1" applyBorder="1" applyAlignment="1">
      <alignment horizontal="left" vertical="center"/>
    </xf>
    <xf numFmtId="0" fontId="19" fillId="0" borderId="18" xfId="24" applyFont="1" applyBorder="1" applyAlignment="1">
      <alignment horizontal="left" vertical="center" wrapText="1" indent="1"/>
    </xf>
    <xf numFmtId="0" fontId="21" fillId="0" borderId="17" xfId="24" applyFont="1" applyBorder="1" applyAlignment="1">
      <alignment horizontal="center" vertical="center"/>
    </xf>
    <xf numFmtId="0" fontId="21" fillId="2" borderId="19" xfId="24" applyFont="1" applyFill="1" applyBorder="1" applyAlignment="1">
      <alignment horizontal="left" vertical="center" wrapText="1"/>
    </xf>
    <xf numFmtId="0" fontId="21" fillId="0" borderId="2" xfId="24" applyFont="1" applyBorder="1" applyAlignment="1">
      <alignment horizontal="center" vertical="center" wrapText="1"/>
    </xf>
    <xf numFmtId="0" fontId="21" fillId="0" borderId="46" xfId="24" applyFont="1" applyBorder="1" applyAlignment="1">
      <alignment horizontal="center" vertical="center" wrapText="1"/>
    </xf>
    <xf numFmtId="0" fontId="2" fillId="2" borderId="21" xfId="5" applyFont="1" applyFill="1" applyBorder="1" applyAlignment="1">
      <alignment vertical="center" wrapText="1"/>
    </xf>
    <xf numFmtId="0" fontId="2" fillId="2" borderId="22" xfId="5" applyFont="1" applyFill="1" applyBorder="1" applyAlignment="1">
      <alignment vertical="center" wrapText="1"/>
    </xf>
    <xf numFmtId="0" fontId="2" fillId="2" borderId="23" xfId="5" applyFont="1" applyFill="1" applyBorder="1" applyAlignment="1">
      <alignment vertical="center" wrapText="1"/>
    </xf>
    <xf numFmtId="0" fontId="25" fillId="0" borderId="45" xfId="24" applyFont="1" applyBorder="1" applyAlignment="1">
      <alignment horizontal="left" vertical="center" wrapText="1"/>
    </xf>
    <xf numFmtId="0" fontId="2" fillId="0" borderId="30" xfId="24" applyBorder="1"/>
    <xf numFmtId="0" fontId="25" fillId="0" borderId="10" xfId="24" applyFont="1" applyBorder="1" applyAlignment="1">
      <alignment vertical="center" wrapText="1"/>
    </xf>
    <xf numFmtId="0" fontId="25" fillId="0" borderId="46" xfId="24" applyFont="1" applyBorder="1" applyAlignment="1">
      <alignment vertical="center" wrapText="1"/>
    </xf>
    <xf numFmtId="0" fontId="25" fillId="0" borderId="18" xfId="24" applyFont="1" applyBorder="1" applyAlignment="1">
      <alignment vertical="center" wrapText="1"/>
    </xf>
    <xf numFmtId="0" fontId="27" fillId="0" borderId="31" xfId="24" applyFont="1" applyBorder="1" applyAlignment="1">
      <alignment vertical="center" wrapText="1"/>
    </xf>
    <xf numFmtId="0" fontId="27" fillId="4" borderId="45" xfId="24" applyFont="1" applyFill="1" applyBorder="1" applyAlignment="1">
      <alignment horizontal="left" vertical="center" wrapText="1" indent="1"/>
    </xf>
    <xf numFmtId="0" fontId="2" fillId="0" borderId="42" xfId="24" applyBorder="1" applyAlignment="1">
      <alignment horizontal="left" vertical="center"/>
    </xf>
    <xf numFmtId="0" fontId="27" fillId="2" borderId="27" xfId="24" applyNumberFormat="1" applyFont="1" applyFill="1" applyBorder="1" applyAlignment="1">
      <alignment horizontal="left" vertical="justify" wrapText="1" indent="1"/>
    </xf>
    <xf numFmtId="0" fontId="27" fillId="2" borderId="0" xfId="24" applyNumberFormat="1" applyFont="1" applyFill="1" applyBorder="1" applyAlignment="1">
      <alignment horizontal="left" vertical="justify" wrapText="1" indent="1"/>
    </xf>
    <xf numFmtId="0" fontId="27" fillId="2" borderId="12" xfId="24" applyNumberFormat="1" applyFont="1" applyFill="1" applyBorder="1" applyAlignment="1">
      <alignment horizontal="left" vertical="justify" wrapText="1" indent="1"/>
    </xf>
    <xf numFmtId="0" fontId="29" fillId="0" borderId="30" xfId="24" applyFont="1" applyBorder="1" applyAlignment="1">
      <alignment horizontal="center" vertical="center"/>
    </xf>
    <xf numFmtId="0" fontId="29" fillId="0" borderId="13" xfId="24" applyFont="1" applyBorder="1" applyAlignment="1">
      <alignment horizontal="center" vertical="center"/>
    </xf>
    <xf numFmtId="0" fontId="29" fillId="0" borderId="30" xfId="24" applyFont="1" applyBorder="1" applyAlignment="1">
      <alignment horizontal="center" vertical="center" wrapText="1"/>
    </xf>
    <xf numFmtId="0" fontId="29" fillId="0" borderId="31" xfId="24" applyFont="1" applyBorder="1" applyAlignment="1">
      <alignment horizontal="center" vertical="center"/>
    </xf>
    <xf numFmtId="0" fontId="2" fillId="0" borderId="2" xfId="24" applyBorder="1" applyAlignment="1">
      <alignment horizontal="left" vertical="center" wrapText="1"/>
    </xf>
    <xf numFmtId="0" fontId="2" fillId="0" borderId="2" xfId="24" applyFont="1" applyBorder="1" applyAlignment="1">
      <alignment horizontal="left" vertical="center" wrapText="1"/>
    </xf>
    <xf numFmtId="0" fontId="2" fillId="0" borderId="37" xfId="24" applyFont="1" applyBorder="1" applyAlignment="1">
      <alignment horizontal="left" vertical="center"/>
    </xf>
    <xf numFmtId="0" fontId="2" fillId="0" borderId="39" xfId="24" applyFont="1" applyBorder="1" applyAlignment="1">
      <alignment horizontal="left" vertical="center"/>
    </xf>
    <xf numFmtId="0" fontId="2" fillId="0" borderId="39" xfId="24" applyBorder="1" applyAlignment="1">
      <alignment horizontal="left" vertical="center"/>
    </xf>
    <xf numFmtId="0" fontId="27" fillId="0" borderId="27" xfId="24" applyFont="1" applyBorder="1"/>
    <xf numFmtId="0" fontId="2" fillId="0" borderId="10" xfId="24" applyFont="1" applyBorder="1" applyAlignment="1">
      <alignment horizontal="center"/>
    </xf>
    <xf numFmtId="0" fontId="25" fillId="0" borderId="7" xfId="24" applyNumberFormat="1" applyFont="1" applyBorder="1" applyAlignment="1">
      <alignment horizontal="center"/>
    </xf>
    <xf numFmtId="0" fontId="26" fillId="0" borderId="13" xfId="24" applyFont="1" applyBorder="1" applyAlignment="1">
      <alignment horizontal="center" vertical="center" wrapText="1"/>
    </xf>
    <xf numFmtId="0" fontId="16" fillId="0" borderId="13" xfId="24" applyFont="1" applyBorder="1"/>
    <xf numFmtId="0" fontId="27" fillId="0" borderId="13" xfId="24" applyFont="1" applyBorder="1" applyAlignment="1">
      <alignment horizontal="left" indent="1"/>
    </xf>
    <xf numFmtId="0" fontId="22" fillId="0" borderId="15" xfId="24" applyFont="1" applyBorder="1" applyAlignment="1">
      <alignment horizontal="left" vertical="center" wrapText="1"/>
    </xf>
    <xf numFmtId="0" fontId="22" fillId="0" borderId="25" xfId="24" applyFont="1" applyBorder="1" applyAlignment="1">
      <alignment horizontal="left" vertical="center" wrapText="1"/>
    </xf>
    <xf numFmtId="0" fontId="22" fillId="0" borderId="26" xfId="24" applyFont="1" applyBorder="1" applyAlignment="1">
      <alignment horizontal="left" vertical="center" wrapText="1"/>
    </xf>
    <xf numFmtId="0" fontId="28" fillId="0" borderId="13" xfId="24" applyFont="1" applyBorder="1" applyAlignment="1">
      <alignment horizontal="left"/>
    </xf>
    <xf numFmtId="0" fontId="31" fillId="2" borderId="1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wrapText="1"/>
    </xf>
    <xf numFmtId="3" fontId="32" fillId="2" borderId="2" xfId="0" applyNumberFormat="1" applyFont="1" applyFill="1" applyBorder="1" applyAlignment="1">
      <alignment horizontal="center" vertical="center"/>
    </xf>
    <xf numFmtId="171" fontId="32" fillId="2" borderId="2" xfId="0" applyNumberFormat="1" applyFont="1" applyFill="1" applyBorder="1" applyAlignment="1">
      <alignment horizontal="center"/>
    </xf>
    <xf numFmtId="0" fontId="33" fillId="2" borderId="2" xfId="5" applyFont="1" applyFill="1" applyBorder="1" applyAlignment="1">
      <alignment horizontal="center" wrapText="1"/>
    </xf>
    <xf numFmtId="0" fontId="34" fillId="2" borderId="1" xfId="5" applyFont="1" applyFill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/>
    </xf>
    <xf numFmtId="171" fontId="4" fillId="2" borderId="2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wrapText="1"/>
    </xf>
    <xf numFmtId="171" fontId="32" fillId="2" borderId="2" xfId="0" applyNumberFormat="1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left" vertical="center" wrapText="1"/>
    </xf>
    <xf numFmtId="0" fontId="4" fillId="2" borderId="2" xfId="19" applyFont="1" applyFill="1" applyBorder="1" applyAlignment="1">
      <alignment horizontal="left" vertical="center" wrapText="1"/>
    </xf>
    <xf numFmtId="0" fontId="4" fillId="2" borderId="2" xfId="5" applyFont="1" applyFill="1" applyBorder="1" applyAlignment="1">
      <alignment horizontal="center" vertical="center"/>
    </xf>
    <xf numFmtId="0" fontId="4" fillId="2" borderId="2" xfId="5" applyFont="1" applyFill="1" applyBorder="1" applyAlignment="1">
      <alignment horizontal="center"/>
    </xf>
    <xf numFmtId="0" fontId="4" fillId="2" borderId="2" xfId="5" applyFont="1" applyFill="1" applyBorder="1" applyAlignment="1">
      <alignment horizontal="left" vertical="center" wrapText="1"/>
    </xf>
    <xf numFmtId="168" fontId="4" fillId="2" borderId="2" xfId="5" applyNumberFormat="1" applyFont="1" applyFill="1" applyBorder="1" applyAlignment="1">
      <alignment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171" fontId="4" fillId="2" borderId="2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171" fontId="4" fillId="2" borderId="1" xfId="0" applyNumberFormat="1" applyFont="1" applyFill="1" applyBorder="1" applyAlignment="1">
      <alignment horizontal="center" vertical="center"/>
    </xf>
    <xf numFmtId="0" fontId="4" fillId="2" borderId="0" xfId="5" applyFont="1" applyFill="1" applyBorder="1" applyAlignment="1">
      <alignment horizontal="left" vertical="center" wrapText="1"/>
    </xf>
    <xf numFmtId="3" fontId="4" fillId="2" borderId="2" xfId="5" applyNumberFormat="1" applyFont="1" applyFill="1" applyBorder="1" applyAlignment="1">
      <alignment horizontal="center" vertical="center"/>
    </xf>
    <xf numFmtId="166" fontId="4" fillId="2" borderId="2" xfId="6" applyNumberFormat="1" applyFont="1" applyFill="1" applyBorder="1" applyAlignment="1">
      <alignment horizontal="center" vertical="center"/>
    </xf>
    <xf numFmtId="0" fontId="32" fillId="2" borderId="2" xfId="5" applyFont="1" applyFill="1" applyBorder="1" applyAlignment="1">
      <alignment horizontal="left" vertical="center" wrapText="1"/>
    </xf>
    <xf numFmtId="3" fontId="32" fillId="2" borderId="2" xfId="0" applyNumberFormat="1" applyFont="1" applyFill="1" applyBorder="1" applyAlignment="1">
      <alignment horizontal="center" vertical="center" wrapText="1"/>
    </xf>
    <xf numFmtId="171" fontId="32" fillId="2" borderId="2" xfId="0" applyNumberFormat="1" applyFont="1" applyFill="1" applyBorder="1" applyAlignment="1">
      <alignment horizontal="center" vertical="center" wrapText="1"/>
    </xf>
    <xf numFmtId="0" fontId="34" fillId="2" borderId="1" xfId="5" applyFont="1" applyFill="1" applyBorder="1" applyAlignment="1">
      <alignment horizontal="right" vertical="center"/>
    </xf>
    <xf numFmtId="0" fontId="34" fillId="2" borderId="5" xfId="5" applyFont="1" applyFill="1" applyBorder="1" applyAlignment="1">
      <alignment horizontal="right" vertical="center"/>
    </xf>
    <xf numFmtId="0" fontId="34" fillId="2" borderId="3" xfId="5" applyFont="1" applyFill="1" applyBorder="1" applyAlignment="1">
      <alignment horizontal="right" vertical="center"/>
    </xf>
    <xf numFmtId="168" fontId="34" fillId="2" borderId="2" xfId="5" applyNumberFormat="1" applyFont="1" applyFill="1" applyBorder="1" applyAlignment="1">
      <alignment vertical="center"/>
    </xf>
    <xf numFmtId="0" fontId="2" fillId="2" borderId="10" xfId="5" applyFont="1" applyFill="1" applyBorder="1" applyAlignment="1">
      <alignment horizontal="left" vertical="center" wrapText="1"/>
    </xf>
    <xf numFmtId="0" fontId="2" fillId="2" borderId="6" xfId="5" applyFont="1" applyFill="1" applyBorder="1" applyAlignment="1">
      <alignment horizontal="left" vertical="center" wrapText="1"/>
    </xf>
    <xf numFmtId="0" fontId="2" fillId="2" borderId="7" xfId="5" applyFont="1" applyFill="1" applyBorder="1" applyAlignment="1">
      <alignment horizontal="left" vertical="center" wrapText="1"/>
    </xf>
  </cellXfs>
  <cellStyles count="25">
    <cellStyle name="Encabezado 1" xfId="7"/>
    <cellStyle name="Encabezado 1 2" xfId="8"/>
    <cellStyle name="Millares 2" xfId="2"/>
    <cellStyle name="Millares 2 2" xfId="9"/>
    <cellStyle name="Moneda 2" xfId="6"/>
    <cellStyle name="Moneda 2 2" xfId="10"/>
    <cellStyle name="Moneda 3" xfId="11"/>
    <cellStyle name="Moneda 4" xfId="12"/>
    <cellStyle name="Moneda_AUTORIZACION Y NOTA DE PEDIDO" xfId="13"/>
    <cellStyle name="Neutral 1" xfId="14"/>
    <cellStyle name="Normal" xfId="0" builtinId="0"/>
    <cellStyle name="Normal 2" xfId="3"/>
    <cellStyle name="Normal 2 2" xfId="5"/>
    <cellStyle name="Normal 2 2 2" xfId="24"/>
    <cellStyle name="Normal 3" xfId="4"/>
    <cellStyle name="Normal 3 2" xfId="15"/>
    <cellStyle name="Normal 3 2 2" xfId="16"/>
    <cellStyle name="Normal 3 3" xfId="17"/>
    <cellStyle name="Normal 3 4" xfId="18"/>
    <cellStyle name="Normal 4" xfId="1"/>
    <cellStyle name="Normal 4 2" xfId="19"/>
    <cellStyle name="Normal 4 3" xfId="20"/>
    <cellStyle name="Normal 5" xfId="21"/>
    <cellStyle name="Normal 6" xfId="22"/>
    <cellStyle name="Normal 7" xfId="23"/>
  </cellStyles>
  <dxfs count="41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7" zoomScale="80" zoomScaleNormal="80" workbookViewId="0">
      <selection activeCell="E54" sqref="E54"/>
    </sheetView>
  </sheetViews>
  <sheetFormatPr baseColWidth="10" defaultColWidth="11" defaultRowHeight="15" x14ac:dyDescent="0.25"/>
  <cols>
    <col min="1" max="1" width="6.42578125" style="4" customWidth="1"/>
    <col min="2" max="2" width="10.42578125" style="3" customWidth="1"/>
    <col min="3" max="3" width="35" style="4" customWidth="1"/>
    <col min="4" max="4" width="8.42578125" style="5" customWidth="1"/>
    <col min="5" max="5" width="39.5703125" style="6" customWidth="1"/>
    <col min="6" max="6" width="16.42578125" style="5" customWidth="1"/>
    <col min="7" max="7" width="16.42578125" style="7" customWidth="1"/>
    <col min="8" max="8" width="16.5703125" style="8" bestFit="1" customWidth="1"/>
    <col min="9" max="9" width="22.5703125" style="9" customWidth="1"/>
    <col min="10" max="10" width="23.5703125" style="10" customWidth="1"/>
    <col min="11" max="16384" width="11" style="10"/>
  </cols>
  <sheetData>
    <row r="1" spans="1:10" ht="14.1" x14ac:dyDescent="0.3">
      <c r="A1" s="2">
        <v>2021</v>
      </c>
    </row>
    <row r="2" spans="1:10" ht="24.95" x14ac:dyDescent="0.5">
      <c r="B2" s="95" t="s">
        <v>17</v>
      </c>
      <c r="C2" s="95"/>
      <c r="D2" s="95"/>
      <c r="E2" s="95"/>
      <c r="F2" s="95"/>
      <c r="G2" s="96"/>
      <c r="H2" s="97"/>
    </row>
    <row r="4" spans="1:10" ht="26.25" customHeight="1" x14ac:dyDescent="0.3">
      <c r="A4" s="98" t="s">
        <v>18</v>
      </c>
      <c r="B4" s="98"/>
      <c r="C4" s="99" t="s">
        <v>19</v>
      </c>
      <c r="D4" s="99"/>
      <c r="E4" s="99"/>
      <c r="F4" s="11"/>
      <c r="G4" s="12"/>
    </row>
    <row r="5" spans="1:10" ht="18" customHeight="1" x14ac:dyDescent="0.25">
      <c r="A5" s="98" t="s">
        <v>20</v>
      </c>
      <c r="B5" s="98"/>
      <c r="C5" s="99" t="s">
        <v>21</v>
      </c>
      <c r="D5" s="99"/>
      <c r="E5" s="99"/>
      <c r="F5" s="11"/>
      <c r="G5" s="12"/>
    </row>
    <row r="6" spans="1:10" ht="16.5" customHeight="1" x14ac:dyDescent="0.2">
      <c r="A6" s="98" t="s">
        <v>22</v>
      </c>
      <c r="B6" s="98"/>
      <c r="C6" s="13">
        <v>2021</v>
      </c>
      <c r="D6" s="14"/>
      <c r="E6" s="15"/>
      <c r="F6" s="11"/>
      <c r="G6" s="12"/>
    </row>
    <row r="7" spans="1:10" ht="31.5" customHeight="1" x14ac:dyDescent="0.25">
      <c r="A7" s="98" t="s">
        <v>23</v>
      </c>
      <c r="B7" s="98"/>
      <c r="C7" s="13" t="s">
        <v>93</v>
      </c>
      <c r="D7" s="14"/>
      <c r="E7"/>
      <c r="F7" s="11"/>
      <c r="G7" s="12"/>
    </row>
    <row r="8" spans="1:10" ht="2.25" customHeight="1" x14ac:dyDescent="0.25">
      <c r="B8" s="16"/>
      <c r="C8" s="17"/>
      <c r="D8" s="11"/>
      <c r="E8" s="17"/>
      <c r="F8" s="11"/>
      <c r="G8" s="12"/>
    </row>
    <row r="9" spans="1:10" ht="42.75" x14ac:dyDescent="0.2">
      <c r="A9" s="18" t="s">
        <v>24</v>
      </c>
      <c r="B9" s="19" t="s">
        <v>25</v>
      </c>
      <c r="C9" s="19" t="s">
        <v>26</v>
      </c>
      <c r="D9" s="18" t="s">
        <v>27</v>
      </c>
      <c r="E9" s="19" t="s">
        <v>28</v>
      </c>
      <c r="F9" s="19" t="s">
        <v>0</v>
      </c>
      <c r="G9" s="20" t="s">
        <v>29</v>
      </c>
      <c r="H9" s="21" t="s">
        <v>30</v>
      </c>
      <c r="I9" s="22" t="s">
        <v>31</v>
      </c>
      <c r="J9" s="23"/>
    </row>
    <row r="10" spans="1:10" s="26" customFormat="1" ht="30" x14ac:dyDescent="0.2">
      <c r="A10" s="85">
        <v>1</v>
      </c>
      <c r="B10" s="86"/>
      <c r="C10" s="154" t="s">
        <v>32</v>
      </c>
      <c r="D10" s="85">
        <v>252</v>
      </c>
      <c r="E10" s="93" t="s">
        <v>101</v>
      </c>
      <c r="F10" s="86" t="s">
        <v>33</v>
      </c>
      <c r="G10" s="87">
        <v>20</v>
      </c>
      <c r="H10" s="92">
        <v>384</v>
      </c>
      <c r="I10" s="88">
        <f>+H10*G10</f>
        <v>7680</v>
      </c>
      <c r="J10" s="89"/>
    </row>
    <row r="11" spans="1:10" s="26" customFormat="1" ht="30" x14ac:dyDescent="0.2">
      <c r="A11" s="166">
        <v>2</v>
      </c>
      <c r="B11" s="155"/>
      <c r="C11" s="154" t="s">
        <v>32</v>
      </c>
      <c r="D11" s="167">
        <v>252</v>
      </c>
      <c r="E11" s="168" t="s">
        <v>11</v>
      </c>
      <c r="F11" s="167" t="s">
        <v>33</v>
      </c>
      <c r="G11" s="156">
        <v>4800</v>
      </c>
      <c r="H11" s="157">
        <v>2.23</v>
      </c>
      <c r="I11" s="169">
        <f>+H11*G11</f>
        <v>10704</v>
      </c>
      <c r="J11" s="25"/>
    </row>
    <row r="12" spans="1:10" s="26" customFormat="1" ht="30" x14ac:dyDescent="0.2">
      <c r="A12" s="166">
        <v>3</v>
      </c>
      <c r="B12" s="155"/>
      <c r="C12" s="154" t="s">
        <v>32</v>
      </c>
      <c r="D12" s="167">
        <v>252</v>
      </c>
      <c r="E12" s="168" t="s">
        <v>1</v>
      </c>
      <c r="F12" s="167" t="s">
        <v>33</v>
      </c>
      <c r="G12" s="156">
        <v>10000</v>
      </c>
      <c r="H12" s="157">
        <v>140</v>
      </c>
      <c r="I12" s="169">
        <f>+H12*G12</f>
        <v>1400000</v>
      </c>
      <c r="J12" s="25"/>
    </row>
    <row r="13" spans="1:10" s="26" customFormat="1" ht="30" x14ac:dyDescent="0.2">
      <c r="A13" s="85">
        <v>4</v>
      </c>
      <c r="B13" s="155"/>
      <c r="C13" s="154" t="s">
        <v>32</v>
      </c>
      <c r="D13" s="167">
        <v>252</v>
      </c>
      <c r="E13" s="168" t="s">
        <v>13</v>
      </c>
      <c r="F13" s="167" t="s">
        <v>33</v>
      </c>
      <c r="G13" s="160">
        <v>2500</v>
      </c>
      <c r="H13" s="161" t="s">
        <v>84</v>
      </c>
      <c r="I13" s="169">
        <f t="shared" ref="I13:I45" si="0">+H13*G13</f>
        <v>1152375</v>
      </c>
      <c r="J13" s="25"/>
    </row>
    <row r="14" spans="1:10" s="26" customFormat="1" ht="30" x14ac:dyDescent="0.2">
      <c r="A14" s="166">
        <v>5</v>
      </c>
      <c r="B14" s="155"/>
      <c r="C14" s="154" t="s">
        <v>32</v>
      </c>
      <c r="D14" s="167">
        <v>252</v>
      </c>
      <c r="E14" s="168" t="s">
        <v>102</v>
      </c>
      <c r="F14" s="167" t="s">
        <v>33</v>
      </c>
      <c r="G14" s="160">
        <v>1000</v>
      </c>
      <c r="H14" s="161">
        <v>989</v>
      </c>
      <c r="I14" s="169">
        <f>+H14*G14</f>
        <v>989000</v>
      </c>
      <c r="J14" s="25"/>
    </row>
    <row r="15" spans="1:10" s="26" customFormat="1" ht="30" x14ac:dyDescent="0.2">
      <c r="A15" s="166">
        <v>6</v>
      </c>
      <c r="B15" s="155"/>
      <c r="C15" s="154" t="s">
        <v>32</v>
      </c>
      <c r="D15" s="167">
        <v>252</v>
      </c>
      <c r="E15" s="168" t="s">
        <v>111</v>
      </c>
      <c r="F15" s="167" t="s">
        <v>33</v>
      </c>
      <c r="G15" s="160">
        <v>5000</v>
      </c>
      <c r="H15" s="161">
        <v>58</v>
      </c>
      <c r="I15" s="169">
        <f t="shared" si="0"/>
        <v>290000</v>
      </c>
      <c r="J15" s="25"/>
    </row>
    <row r="16" spans="1:10" s="26" customFormat="1" ht="30" x14ac:dyDescent="0.2">
      <c r="A16" s="85">
        <v>7</v>
      </c>
      <c r="B16" s="155"/>
      <c r="C16" s="154" t="s">
        <v>32</v>
      </c>
      <c r="D16" s="167">
        <v>252</v>
      </c>
      <c r="E16" s="168" t="s">
        <v>99</v>
      </c>
      <c r="F16" s="167" t="s">
        <v>33</v>
      </c>
      <c r="G16" s="160">
        <v>1200</v>
      </c>
      <c r="H16" s="161">
        <v>609.6</v>
      </c>
      <c r="I16" s="169">
        <f t="shared" si="0"/>
        <v>731520</v>
      </c>
      <c r="J16" s="25"/>
    </row>
    <row r="17" spans="1:10" s="26" customFormat="1" ht="30" x14ac:dyDescent="0.2">
      <c r="A17" s="166">
        <v>8</v>
      </c>
      <c r="B17" s="155"/>
      <c r="C17" s="154" t="s">
        <v>32</v>
      </c>
      <c r="D17" s="167">
        <v>252</v>
      </c>
      <c r="E17" s="168" t="s">
        <v>103</v>
      </c>
      <c r="F17" s="167" t="s">
        <v>33</v>
      </c>
      <c r="G17" s="160">
        <v>5000</v>
      </c>
      <c r="H17" s="161">
        <v>120</v>
      </c>
      <c r="I17" s="169">
        <f t="shared" si="0"/>
        <v>600000</v>
      </c>
      <c r="J17" s="25"/>
    </row>
    <row r="18" spans="1:10" s="26" customFormat="1" ht="30" x14ac:dyDescent="0.2">
      <c r="A18" s="166">
        <v>9</v>
      </c>
      <c r="B18" s="155"/>
      <c r="C18" s="154" t="s">
        <v>32</v>
      </c>
      <c r="D18" s="167">
        <v>252</v>
      </c>
      <c r="E18" s="168" t="s">
        <v>108</v>
      </c>
      <c r="F18" s="167" t="s">
        <v>33</v>
      </c>
      <c r="G18" s="160">
        <v>300</v>
      </c>
      <c r="H18" s="161">
        <v>225</v>
      </c>
      <c r="I18" s="169">
        <f t="shared" si="0"/>
        <v>67500</v>
      </c>
      <c r="J18" s="25"/>
    </row>
    <row r="19" spans="1:10" s="26" customFormat="1" ht="30" x14ac:dyDescent="0.2">
      <c r="A19" s="85">
        <v>10</v>
      </c>
      <c r="B19" s="155"/>
      <c r="C19" s="154" t="s">
        <v>32</v>
      </c>
      <c r="D19" s="167">
        <v>252</v>
      </c>
      <c r="E19" s="168" t="s">
        <v>5</v>
      </c>
      <c r="F19" s="167" t="s">
        <v>33</v>
      </c>
      <c r="G19" s="170">
        <v>1000</v>
      </c>
      <c r="H19" s="171">
        <v>42</v>
      </c>
      <c r="I19" s="169">
        <f t="shared" si="0"/>
        <v>42000</v>
      </c>
      <c r="J19" s="25"/>
    </row>
    <row r="20" spans="1:10" s="91" customFormat="1" ht="30" x14ac:dyDescent="0.2">
      <c r="A20" s="166">
        <v>11</v>
      </c>
      <c r="B20" s="158"/>
      <c r="C20" s="159" t="s">
        <v>32</v>
      </c>
      <c r="D20" s="167">
        <v>252</v>
      </c>
      <c r="E20" s="168" t="s">
        <v>95</v>
      </c>
      <c r="F20" s="167" t="s">
        <v>33</v>
      </c>
      <c r="G20" s="160">
        <f>120*100</f>
        <v>12000</v>
      </c>
      <c r="H20" s="161">
        <v>405</v>
      </c>
      <c r="I20" s="169">
        <f>+H20*G20</f>
        <v>4860000</v>
      </c>
      <c r="J20" s="90"/>
    </row>
    <row r="21" spans="1:10" s="26" customFormat="1" ht="30" x14ac:dyDescent="0.2">
      <c r="A21" s="166">
        <v>12</v>
      </c>
      <c r="B21" s="155"/>
      <c r="C21" s="154" t="s">
        <v>32</v>
      </c>
      <c r="D21" s="167">
        <v>252</v>
      </c>
      <c r="E21" s="168" t="s">
        <v>6</v>
      </c>
      <c r="F21" s="167" t="s">
        <v>33</v>
      </c>
      <c r="G21" s="170">
        <v>500</v>
      </c>
      <c r="H21" s="171">
        <v>304</v>
      </c>
      <c r="I21" s="169">
        <f t="shared" si="0"/>
        <v>152000</v>
      </c>
      <c r="J21" s="25"/>
    </row>
    <row r="22" spans="1:10" s="26" customFormat="1" ht="30" x14ac:dyDescent="0.2">
      <c r="A22" s="85">
        <v>13</v>
      </c>
      <c r="B22" s="155"/>
      <c r="C22" s="154" t="s">
        <v>32</v>
      </c>
      <c r="D22" s="167">
        <v>252</v>
      </c>
      <c r="E22" s="168" t="s">
        <v>12</v>
      </c>
      <c r="F22" s="167" t="s">
        <v>33</v>
      </c>
      <c r="G22" s="170">
        <v>3000</v>
      </c>
      <c r="H22" s="171">
        <v>85</v>
      </c>
      <c r="I22" s="169">
        <f t="shared" si="0"/>
        <v>255000</v>
      </c>
      <c r="J22" s="25"/>
    </row>
    <row r="23" spans="1:10" s="26" customFormat="1" ht="30" x14ac:dyDescent="0.2">
      <c r="A23" s="166">
        <v>14</v>
      </c>
      <c r="B23" s="155"/>
      <c r="C23" s="154" t="s">
        <v>32</v>
      </c>
      <c r="D23" s="167">
        <v>252</v>
      </c>
      <c r="E23" s="168" t="s">
        <v>8</v>
      </c>
      <c r="F23" s="167" t="s">
        <v>33</v>
      </c>
      <c r="G23" s="160">
        <v>10000</v>
      </c>
      <c r="H23" s="161">
        <v>1200</v>
      </c>
      <c r="I23" s="169">
        <f t="shared" si="0"/>
        <v>12000000</v>
      </c>
      <c r="J23" s="25"/>
    </row>
    <row r="24" spans="1:10" s="26" customFormat="1" ht="30" x14ac:dyDescent="0.2">
      <c r="A24" s="166">
        <v>15</v>
      </c>
      <c r="B24" s="155"/>
      <c r="C24" s="154" t="s">
        <v>32</v>
      </c>
      <c r="D24" s="167">
        <v>252</v>
      </c>
      <c r="E24" s="168" t="s">
        <v>16</v>
      </c>
      <c r="F24" s="167" t="s">
        <v>33</v>
      </c>
      <c r="G24" s="160">
        <v>2000</v>
      </c>
      <c r="H24" s="161">
        <v>1500</v>
      </c>
      <c r="I24" s="169">
        <f t="shared" si="0"/>
        <v>3000000</v>
      </c>
      <c r="J24" s="25"/>
    </row>
    <row r="25" spans="1:10" s="26" customFormat="1" ht="30" x14ac:dyDescent="0.2">
      <c r="A25" s="85">
        <v>16</v>
      </c>
      <c r="B25" s="155"/>
      <c r="C25" s="154" t="s">
        <v>32</v>
      </c>
      <c r="D25" s="167">
        <v>252</v>
      </c>
      <c r="E25" s="168" t="s">
        <v>97</v>
      </c>
      <c r="F25" s="167" t="s">
        <v>33</v>
      </c>
      <c r="G25" s="172">
        <v>4000</v>
      </c>
      <c r="H25" s="173">
        <v>324.02</v>
      </c>
      <c r="I25" s="169">
        <f>+H25*G25</f>
        <v>1296080</v>
      </c>
      <c r="J25" s="25"/>
    </row>
    <row r="26" spans="1:10" s="26" customFormat="1" ht="30" x14ac:dyDescent="0.2">
      <c r="A26" s="166">
        <v>17</v>
      </c>
      <c r="B26" s="155"/>
      <c r="C26" s="154" t="s">
        <v>32</v>
      </c>
      <c r="D26" s="167">
        <v>252</v>
      </c>
      <c r="E26" s="168" t="s">
        <v>2</v>
      </c>
      <c r="F26" s="167" t="s">
        <v>33</v>
      </c>
      <c r="G26" s="160">
        <v>30000</v>
      </c>
      <c r="H26" s="161" t="s">
        <v>85</v>
      </c>
      <c r="I26" s="169">
        <f>+H26*G26</f>
        <v>11616000</v>
      </c>
      <c r="J26" s="25"/>
    </row>
    <row r="27" spans="1:10" s="26" customFormat="1" ht="30" x14ac:dyDescent="0.2">
      <c r="A27" s="166">
        <v>18</v>
      </c>
      <c r="B27" s="155"/>
      <c r="C27" s="154" t="s">
        <v>32</v>
      </c>
      <c r="D27" s="167">
        <v>252</v>
      </c>
      <c r="E27" s="168" t="s">
        <v>100</v>
      </c>
      <c r="F27" s="167" t="s">
        <v>33</v>
      </c>
      <c r="G27" s="172">
        <v>1000</v>
      </c>
      <c r="H27" s="173">
        <v>31.14</v>
      </c>
      <c r="I27" s="169">
        <f>+H27*G27</f>
        <v>31140</v>
      </c>
      <c r="J27" s="25"/>
    </row>
    <row r="28" spans="1:10" s="26" customFormat="1" ht="30" x14ac:dyDescent="0.2">
      <c r="A28" s="85">
        <v>19</v>
      </c>
      <c r="B28" s="155"/>
      <c r="C28" s="154" t="s">
        <v>32</v>
      </c>
      <c r="D28" s="167">
        <v>252</v>
      </c>
      <c r="E28" s="168" t="s">
        <v>10</v>
      </c>
      <c r="F28" s="167" t="s">
        <v>33</v>
      </c>
      <c r="G28" s="172">
        <v>2000</v>
      </c>
      <c r="H28" s="173">
        <v>554</v>
      </c>
      <c r="I28" s="169">
        <f>+H28*G28</f>
        <v>1108000</v>
      </c>
      <c r="J28" s="25"/>
    </row>
    <row r="29" spans="1:10" s="26" customFormat="1" ht="30" x14ac:dyDescent="0.2">
      <c r="A29" s="166">
        <v>20</v>
      </c>
      <c r="B29" s="155"/>
      <c r="C29" s="154" t="s">
        <v>32</v>
      </c>
      <c r="D29" s="167">
        <v>252</v>
      </c>
      <c r="E29" s="174" t="s">
        <v>7</v>
      </c>
      <c r="F29" s="167" t="s">
        <v>33</v>
      </c>
      <c r="G29" s="172">
        <v>5000</v>
      </c>
      <c r="H29" s="173">
        <v>699</v>
      </c>
      <c r="I29" s="169">
        <f>+H29*G29</f>
        <v>3495000</v>
      </c>
      <c r="J29" s="25"/>
    </row>
    <row r="30" spans="1:10" s="26" customFormat="1" ht="42.75" x14ac:dyDescent="0.2">
      <c r="A30" s="166">
        <v>21</v>
      </c>
      <c r="B30" s="155"/>
      <c r="C30" s="154" t="s">
        <v>32</v>
      </c>
      <c r="D30" s="167">
        <v>252</v>
      </c>
      <c r="E30" s="162" t="s">
        <v>87</v>
      </c>
      <c r="F30" s="167" t="s">
        <v>33</v>
      </c>
      <c r="G30" s="175">
        <v>375</v>
      </c>
      <c r="H30" s="176">
        <v>28700</v>
      </c>
      <c r="I30" s="169">
        <f t="shared" si="0"/>
        <v>10762500</v>
      </c>
      <c r="J30" s="25"/>
    </row>
    <row r="31" spans="1:10" s="26" customFormat="1" ht="30" x14ac:dyDescent="0.2">
      <c r="A31" s="85">
        <v>22</v>
      </c>
      <c r="B31" s="155"/>
      <c r="C31" s="154" t="s">
        <v>32</v>
      </c>
      <c r="D31" s="167">
        <v>252</v>
      </c>
      <c r="E31" s="177" t="s">
        <v>15</v>
      </c>
      <c r="F31" s="167" t="s">
        <v>33</v>
      </c>
      <c r="G31" s="156">
        <v>6000</v>
      </c>
      <c r="H31" s="163">
        <v>2013</v>
      </c>
      <c r="I31" s="169">
        <f t="shared" si="0"/>
        <v>12078000</v>
      </c>
      <c r="J31" s="25"/>
    </row>
    <row r="32" spans="1:10" s="26" customFormat="1" ht="30" x14ac:dyDescent="0.2">
      <c r="A32" s="166">
        <v>23</v>
      </c>
      <c r="B32" s="155"/>
      <c r="C32" s="154" t="s">
        <v>32</v>
      </c>
      <c r="D32" s="167">
        <v>252</v>
      </c>
      <c r="E32" s="177" t="s">
        <v>92</v>
      </c>
      <c r="F32" s="167" t="s">
        <v>33</v>
      </c>
      <c r="G32" s="156">
        <v>15000</v>
      </c>
      <c r="H32" s="163">
        <v>280</v>
      </c>
      <c r="I32" s="169">
        <f t="shared" si="0"/>
        <v>4200000</v>
      </c>
      <c r="J32" s="25"/>
    </row>
    <row r="33" spans="1:10" s="26" customFormat="1" ht="30" x14ac:dyDescent="0.2">
      <c r="A33" s="166">
        <v>24</v>
      </c>
      <c r="B33" s="155"/>
      <c r="C33" s="154" t="s">
        <v>32</v>
      </c>
      <c r="D33" s="167">
        <v>252</v>
      </c>
      <c r="E33" s="177" t="s">
        <v>107</v>
      </c>
      <c r="F33" s="167" t="s">
        <v>33</v>
      </c>
      <c r="G33" s="156">
        <v>500</v>
      </c>
      <c r="H33" s="163">
        <v>528</v>
      </c>
      <c r="I33" s="169">
        <f t="shared" si="0"/>
        <v>264000</v>
      </c>
      <c r="J33" s="25"/>
    </row>
    <row r="34" spans="1:10" s="26" customFormat="1" ht="30" x14ac:dyDescent="0.2">
      <c r="A34" s="85">
        <v>25</v>
      </c>
      <c r="B34" s="155"/>
      <c r="C34" s="154" t="s">
        <v>32</v>
      </c>
      <c r="D34" s="167">
        <v>252</v>
      </c>
      <c r="E34" s="177" t="s">
        <v>106</v>
      </c>
      <c r="F34" s="167" t="s">
        <v>33</v>
      </c>
      <c r="G34" s="156">
        <v>5000</v>
      </c>
      <c r="H34" s="163">
        <v>17</v>
      </c>
      <c r="I34" s="169">
        <f t="shared" si="0"/>
        <v>85000</v>
      </c>
      <c r="J34" s="25"/>
    </row>
    <row r="35" spans="1:10" s="26" customFormat="1" ht="30" x14ac:dyDescent="0.2">
      <c r="A35" s="166">
        <v>26</v>
      </c>
      <c r="B35" s="155"/>
      <c r="C35" s="154" t="s">
        <v>32</v>
      </c>
      <c r="D35" s="167">
        <v>252</v>
      </c>
      <c r="E35" s="177" t="s">
        <v>105</v>
      </c>
      <c r="F35" s="167" t="s">
        <v>33</v>
      </c>
      <c r="G35" s="156">
        <v>2500</v>
      </c>
      <c r="H35" s="163">
        <v>47</v>
      </c>
      <c r="I35" s="169">
        <f t="shared" si="0"/>
        <v>117500</v>
      </c>
      <c r="J35" s="25"/>
    </row>
    <row r="36" spans="1:10" s="26" customFormat="1" ht="30" x14ac:dyDescent="0.2">
      <c r="A36" s="166">
        <v>27</v>
      </c>
      <c r="B36" s="155"/>
      <c r="C36" s="154" t="s">
        <v>32</v>
      </c>
      <c r="D36" s="167"/>
      <c r="E36" s="177" t="s">
        <v>104</v>
      </c>
      <c r="F36" s="167" t="s">
        <v>33</v>
      </c>
      <c r="G36" s="156">
        <v>200</v>
      </c>
      <c r="H36" s="163">
        <v>617</v>
      </c>
      <c r="I36" s="169">
        <f t="shared" si="0"/>
        <v>123400</v>
      </c>
      <c r="J36" s="25"/>
    </row>
    <row r="37" spans="1:10" s="26" customFormat="1" ht="30" x14ac:dyDescent="0.2">
      <c r="A37" s="85">
        <v>28</v>
      </c>
      <c r="B37" s="155"/>
      <c r="C37" s="154" t="s">
        <v>32</v>
      </c>
      <c r="D37" s="167">
        <v>252</v>
      </c>
      <c r="E37" s="168" t="s">
        <v>9</v>
      </c>
      <c r="F37" s="167" t="s">
        <v>33</v>
      </c>
      <c r="G37" s="160">
        <v>500</v>
      </c>
      <c r="H37" s="161">
        <v>650</v>
      </c>
      <c r="I37" s="169">
        <f>+H37*G37</f>
        <v>325000</v>
      </c>
      <c r="J37" s="25"/>
    </row>
    <row r="38" spans="1:10" s="26" customFormat="1" ht="30" x14ac:dyDescent="0.2">
      <c r="A38" s="166">
        <v>29</v>
      </c>
      <c r="B38" s="155"/>
      <c r="C38" s="154" t="s">
        <v>32</v>
      </c>
      <c r="D38" s="167">
        <v>252</v>
      </c>
      <c r="E38" s="168" t="s">
        <v>115</v>
      </c>
      <c r="F38" s="167" t="s">
        <v>33</v>
      </c>
      <c r="G38" s="160">
        <v>3000</v>
      </c>
      <c r="H38" s="161">
        <v>27</v>
      </c>
      <c r="I38" s="169">
        <f>+H38*G38</f>
        <v>81000</v>
      </c>
      <c r="J38" s="25"/>
    </row>
    <row r="39" spans="1:10" s="26" customFormat="1" ht="30" x14ac:dyDescent="0.2">
      <c r="A39" s="166">
        <v>30</v>
      </c>
      <c r="B39" s="155"/>
      <c r="C39" s="154" t="s">
        <v>32</v>
      </c>
      <c r="D39" s="167">
        <v>252</v>
      </c>
      <c r="E39" s="168" t="s">
        <v>4</v>
      </c>
      <c r="F39" s="167" t="s">
        <v>33</v>
      </c>
      <c r="G39" s="160">
        <v>200000</v>
      </c>
      <c r="H39" s="161">
        <v>4</v>
      </c>
      <c r="I39" s="169">
        <f>+H39*G39</f>
        <v>800000</v>
      </c>
      <c r="J39" s="25"/>
    </row>
    <row r="40" spans="1:10" s="26" customFormat="1" ht="30" x14ac:dyDescent="0.2">
      <c r="A40" s="85">
        <v>31</v>
      </c>
      <c r="B40" s="155"/>
      <c r="C40" s="154" t="s">
        <v>32</v>
      </c>
      <c r="D40" s="167">
        <v>252</v>
      </c>
      <c r="E40" s="168" t="s">
        <v>96</v>
      </c>
      <c r="F40" s="167" t="s">
        <v>33</v>
      </c>
      <c r="G40" s="156">
        <v>25000</v>
      </c>
      <c r="H40" s="163">
        <v>859.1</v>
      </c>
      <c r="I40" s="169">
        <f t="shared" si="0"/>
        <v>21477500</v>
      </c>
      <c r="J40" s="25"/>
    </row>
    <row r="41" spans="1:10" s="26" customFormat="1" ht="30" x14ac:dyDescent="0.2">
      <c r="A41" s="166">
        <v>32</v>
      </c>
      <c r="B41" s="155"/>
      <c r="C41" s="154" t="s">
        <v>32</v>
      </c>
      <c r="D41" s="167">
        <v>252</v>
      </c>
      <c r="E41" s="164" t="s">
        <v>109</v>
      </c>
      <c r="F41" s="167" t="s">
        <v>33</v>
      </c>
      <c r="G41" s="156">
        <v>30000</v>
      </c>
      <c r="H41" s="163">
        <v>48</v>
      </c>
      <c r="I41" s="169">
        <f t="shared" si="0"/>
        <v>1440000</v>
      </c>
      <c r="J41" s="25"/>
    </row>
    <row r="42" spans="1:10" s="26" customFormat="1" ht="30" x14ac:dyDescent="0.2">
      <c r="A42" s="166">
        <v>33</v>
      </c>
      <c r="B42" s="155"/>
      <c r="C42" s="154" t="s">
        <v>32</v>
      </c>
      <c r="D42" s="167">
        <v>252</v>
      </c>
      <c r="E42" s="165" t="s">
        <v>110</v>
      </c>
      <c r="F42" s="167" t="s">
        <v>33</v>
      </c>
      <c r="G42" s="156">
        <v>70000</v>
      </c>
      <c r="H42" s="163">
        <v>51.18</v>
      </c>
      <c r="I42" s="169">
        <f t="shared" si="0"/>
        <v>3582600</v>
      </c>
      <c r="J42" s="25"/>
    </row>
    <row r="43" spans="1:10" s="26" customFormat="1" ht="30" x14ac:dyDescent="0.2">
      <c r="A43" s="85">
        <v>34</v>
      </c>
      <c r="B43" s="155"/>
      <c r="C43" s="154" t="s">
        <v>32</v>
      </c>
      <c r="D43" s="167">
        <v>252</v>
      </c>
      <c r="E43" s="168" t="s">
        <v>3</v>
      </c>
      <c r="F43" s="167" t="s">
        <v>33</v>
      </c>
      <c r="G43" s="178">
        <v>1000</v>
      </c>
      <c r="H43" s="179">
        <v>242</v>
      </c>
      <c r="I43" s="169">
        <f t="shared" si="0"/>
        <v>242000</v>
      </c>
      <c r="J43" s="25"/>
    </row>
    <row r="44" spans="1:10" s="26" customFormat="1" ht="30" x14ac:dyDescent="0.2">
      <c r="A44" s="166">
        <v>35</v>
      </c>
      <c r="B44" s="155"/>
      <c r="C44" s="154" t="s">
        <v>32</v>
      </c>
      <c r="D44" s="167">
        <v>252</v>
      </c>
      <c r="E44" s="168" t="s">
        <v>98</v>
      </c>
      <c r="F44" s="167" t="s">
        <v>33</v>
      </c>
      <c r="G44" s="178">
        <v>9000</v>
      </c>
      <c r="H44" s="179">
        <v>890</v>
      </c>
      <c r="I44" s="169">
        <f t="shared" si="0"/>
        <v>8010000</v>
      </c>
      <c r="J44" s="25"/>
    </row>
    <row r="45" spans="1:10" s="26" customFormat="1" ht="30" x14ac:dyDescent="0.2">
      <c r="A45" s="166">
        <v>36</v>
      </c>
      <c r="B45" s="155"/>
      <c r="C45" s="154" t="s">
        <v>32</v>
      </c>
      <c r="D45" s="167">
        <v>252</v>
      </c>
      <c r="E45" s="168" t="s">
        <v>14</v>
      </c>
      <c r="F45" s="167" t="s">
        <v>33</v>
      </c>
      <c r="G45" s="178">
        <v>22000</v>
      </c>
      <c r="H45" s="179" t="s">
        <v>83</v>
      </c>
      <c r="I45" s="169">
        <f t="shared" si="0"/>
        <v>13962959.999999998</v>
      </c>
      <c r="J45" s="25"/>
    </row>
    <row r="46" spans="1:10" s="26" customFormat="1" ht="14.45" customHeight="1" x14ac:dyDescent="0.2">
      <c r="A46" s="180" t="s">
        <v>88</v>
      </c>
      <c r="B46" s="181"/>
      <c r="C46" s="181"/>
      <c r="D46" s="181"/>
      <c r="E46" s="181"/>
      <c r="F46" s="181"/>
      <c r="G46" s="181"/>
      <c r="H46" s="182"/>
      <c r="I46" s="183">
        <f>SUM(I10:I45)</f>
        <v>120655459</v>
      </c>
      <c r="J46" s="25"/>
    </row>
    <row r="47" spans="1:10" s="26" customFormat="1" ht="118.5" customHeight="1" x14ac:dyDescent="0.2">
      <c r="A47" s="102" t="s">
        <v>89</v>
      </c>
      <c r="B47" s="102"/>
      <c r="C47" s="100" t="s">
        <v>91</v>
      </c>
      <c r="D47" s="100"/>
      <c r="E47" s="100"/>
      <c r="F47" s="100"/>
      <c r="G47" s="29"/>
      <c r="H47" s="30"/>
      <c r="I47" s="31"/>
    </row>
    <row r="48" spans="1:10" s="26" customFormat="1" ht="30" x14ac:dyDescent="0.25">
      <c r="A48" s="27"/>
      <c r="B48" s="32" t="s">
        <v>34</v>
      </c>
      <c r="C48" s="34" t="s">
        <v>90</v>
      </c>
      <c r="D48" s="28"/>
      <c r="E48" s="33"/>
      <c r="F48" s="28"/>
      <c r="G48" s="29"/>
      <c r="H48" s="30"/>
      <c r="I48" s="31"/>
    </row>
    <row r="49" spans="1:9" s="26" customFormat="1" x14ac:dyDescent="0.25">
      <c r="A49" s="27"/>
      <c r="B49" s="32"/>
      <c r="C49" s="27"/>
      <c r="D49" s="28"/>
      <c r="E49" s="33"/>
      <c r="F49" s="28"/>
      <c r="G49" s="29"/>
      <c r="H49" s="30"/>
      <c r="I49" s="31"/>
    </row>
    <row r="50" spans="1:9" s="26" customFormat="1" ht="30" x14ac:dyDescent="0.25">
      <c r="A50" s="27"/>
      <c r="B50" s="32" t="s">
        <v>35</v>
      </c>
      <c r="C50" s="101" t="s">
        <v>36</v>
      </c>
      <c r="D50" s="101"/>
      <c r="E50" s="101"/>
      <c r="F50" s="101"/>
      <c r="G50" s="29"/>
      <c r="H50" s="30"/>
      <c r="I50" s="31"/>
    </row>
    <row r="51" spans="1:9" x14ac:dyDescent="0.25">
      <c r="C51" s="94"/>
      <c r="D51" s="94"/>
      <c r="E51" s="94"/>
      <c r="F51" s="94"/>
    </row>
    <row r="52" spans="1:9" ht="45" x14ac:dyDescent="0.25">
      <c r="B52" s="3" t="s">
        <v>37</v>
      </c>
    </row>
    <row r="54" spans="1:9" ht="30" x14ac:dyDescent="0.25">
      <c r="B54" s="3" t="s">
        <v>38</v>
      </c>
      <c r="C54" s="35" t="s">
        <v>39</v>
      </c>
    </row>
  </sheetData>
  <mergeCells count="12">
    <mergeCell ref="C51:F51"/>
    <mergeCell ref="B2:H2"/>
    <mergeCell ref="A4:B4"/>
    <mergeCell ref="C4:E4"/>
    <mergeCell ref="A5:B5"/>
    <mergeCell ref="C5:E5"/>
    <mergeCell ref="A6:B6"/>
    <mergeCell ref="A7:B7"/>
    <mergeCell ref="C47:F47"/>
    <mergeCell ref="C50:F50"/>
    <mergeCell ref="A46:H46"/>
    <mergeCell ref="A47:B47"/>
  </mergeCells>
  <conditionalFormatting sqref="B55">
    <cfRule type="duplicateValues" dxfId="34" priority="28"/>
  </conditionalFormatting>
  <conditionalFormatting sqref="E55">
    <cfRule type="duplicateValues" dxfId="33" priority="27"/>
  </conditionalFormatting>
  <conditionalFormatting sqref="E55 B55">
    <cfRule type="duplicateValues" dxfId="32" priority="29"/>
  </conditionalFormatting>
  <conditionalFormatting sqref="E55">
    <cfRule type="duplicateValues" dxfId="31" priority="30"/>
    <cfRule type="duplicateValues" dxfId="30" priority="31"/>
  </conditionalFormatting>
  <conditionalFormatting sqref="E52:E54 E48:E49">
    <cfRule type="duplicateValues" dxfId="29" priority="20"/>
  </conditionalFormatting>
  <conditionalFormatting sqref="E52:E54 B48:B54 A47 E48:E49">
    <cfRule type="duplicateValues" dxfId="28" priority="19"/>
  </conditionalFormatting>
  <conditionalFormatting sqref="E52:E54">
    <cfRule type="duplicateValues" dxfId="27" priority="17"/>
  </conditionalFormatting>
  <conditionalFormatting sqref="E52:E54 E48:E49">
    <cfRule type="duplicateValues" dxfId="26" priority="15"/>
    <cfRule type="duplicateValues" dxfId="25" priority="16"/>
  </conditionalFormatting>
  <conditionalFormatting sqref="B48:B54 A47">
    <cfRule type="duplicateValues" dxfId="24" priority="99"/>
  </conditionalFormatting>
  <conditionalFormatting sqref="E48:E54">
    <cfRule type="duplicateValues" dxfId="23" priority="102"/>
    <cfRule type="duplicateValues" dxfId="22" priority="103"/>
  </conditionalFormatting>
  <conditionalFormatting sqref="E48:E54">
    <cfRule type="duplicateValues" dxfId="21" priority="106"/>
  </conditionalFormatting>
  <conditionalFormatting sqref="E48:E54">
    <cfRule type="duplicateValues" dxfId="20" priority="108"/>
  </conditionalFormatting>
  <conditionalFormatting sqref="B48:B54 A47 E48:E54">
    <cfRule type="duplicateValues" dxfId="19" priority="110"/>
  </conditionalFormatting>
  <conditionalFormatting sqref="B48:B54 A47">
    <cfRule type="duplicateValues" dxfId="18" priority="115"/>
  </conditionalFormatting>
  <conditionalFormatting sqref="B40:B42">
    <cfRule type="duplicateValues" dxfId="17" priority="6"/>
  </conditionalFormatting>
  <conditionalFormatting sqref="E40">
    <cfRule type="duplicateValues" dxfId="16" priority="5"/>
  </conditionalFormatting>
  <conditionalFormatting sqref="E40">
    <cfRule type="duplicateValues" dxfId="15" priority="7"/>
    <cfRule type="duplicateValues" dxfId="14" priority="8"/>
  </conditionalFormatting>
  <conditionalFormatting sqref="E40 B40:B42">
    <cfRule type="duplicateValues" dxfId="13" priority="9"/>
  </conditionalFormatting>
  <conditionalFormatting sqref="B56:B1048576 B43:B45 B1:B39">
    <cfRule type="duplicateValues" dxfId="12" priority="121"/>
  </conditionalFormatting>
  <conditionalFormatting sqref="E56:E1048576 E1:E6 E43:E45 E31:E39 E8:E29">
    <cfRule type="duplicateValues" dxfId="11" priority="125"/>
  </conditionalFormatting>
  <conditionalFormatting sqref="E56:E1048576 E1:E6 E43:E45 E31:E39 E8:E29">
    <cfRule type="duplicateValues" dxfId="10" priority="131"/>
    <cfRule type="duplicateValues" dxfId="9" priority="132"/>
  </conditionalFormatting>
  <conditionalFormatting sqref="B56:B1048576 E1:E6 E56:E1048576 E43:E45 E31:E39 B43:B45 E8:E29 B1:B39">
    <cfRule type="duplicateValues" dxfId="8" priority="143"/>
  </conditionalFormatting>
  <conditionalFormatting sqref="E41:E42">
    <cfRule type="duplicateValues" dxfId="7" priority="1"/>
  </conditionalFormatting>
  <conditionalFormatting sqref="E41:E42">
    <cfRule type="duplicateValues" dxfId="6" priority="2"/>
    <cfRule type="duplicateValues" dxfId="5" priority="3"/>
  </conditionalFormatting>
  <conditionalFormatting sqref="E41:E42">
    <cfRule type="duplicateValues" dxfId="4" priority="4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98"/>
  <sheetViews>
    <sheetView topLeftCell="A26" zoomScale="80" zoomScaleNormal="80" workbookViewId="0">
      <selection activeCell="A48" sqref="A48:I48"/>
    </sheetView>
  </sheetViews>
  <sheetFormatPr baseColWidth="10" defaultColWidth="9.140625" defaultRowHeight="12.75" x14ac:dyDescent="0.2"/>
  <cols>
    <col min="1" max="1" width="5.5703125" style="38" customWidth="1"/>
    <col min="2" max="2" width="15.140625" style="38" customWidth="1"/>
    <col min="3" max="3" width="12" style="38" customWidth="1"/>
    <col min="4" max="4" width="26" style="38" customWidth="1"/>
    <col min="5" max="5" width="8" style="38" customWidth="1"/>
    <col min="6" max="6" width="7.85546875" style="38" customWidth="1"/>
    <col min="7" max="7" width="3.42578125" style="38" customWidth="1"/>
    <col min="8" max="8" width="9.28515625" style="38" customWidth="1"/>
    <col min="9" max="9" width="14.5703125" style="38" customWidth="1"/>
    <col min="10" max="10" width="16" style="38" customWidth="1"/>
    <col min="11" max="11" width="15.5703125" style="38" customWidth="1"/>
    <col min="12" max="12" width="5.85546875" style="38" customWidth="1"/>
    <col min="13" max="13" width="15.7109375" style="38" customWidth="1"/>
    <col min="14" max="14" width="5.85546875" style="38" customWidth="1"/>
    <col min="15" max="15" width="12.5703125" style="38" customWidth="1"/>
    <col min="16" max="1024" width="9.140625" style="38"/>
    <col min="1025" max="16384" width="9.140625" style="50"/>
  </cols>
  <sheetData>
    <row r="1" spans="1:13" ht="18" customHeight="1" thickBot="1" x14ac:dyDescent="0.25">
      <c r="A1" s="113" t="s">
        <v>40</v>
      </c>
      <c r="B1" s="113"/>
      <c r="C1" s="113"/>
      <c r="D1" s="113"/>
      <c r="E1" s="113"/>
      <c r="F1" s="113"/>
      <c r="G1" s="113"/>
      <c r="H1" s="113"/>
      <c r="I1" s="113"/>
      <c r="J1" s="36" t="s">
        <v>41</v>
      </c>
      <c r="K1" s="37" t="s">
        <v>114</v>
      </c>
    </row>
    <row r="2" spans="1:13" ht="18.75" customHeight="1" thickBot="1" x14ac:dyDescent="0.3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3" ht="18.75" customHeight="1" thickBot="1" x14ac:dyDescent="0.25">
      <c r="A3" s="114" t="s">
        <v>42</v>
      </c>
      <c r="B3" s="114"/>
      <c r="C3" s="114"/>
      <c r="D3" s="112" t="s">
        <v>43</v>
      </c>
      <c r="E3" s="112"/>
      <c r="F3" s="112"/>
      <c r="G3" s="112"/>
      <c r="H3" s="112"/>
      <c r="I3" s="112"/>
      <c r="J3" s="112"/>
      <c r="K3" s="112"/>
    </row>
    <row r="4" spans="1:13" ht="18.75" customHeight="1" thickBot="1" x14ac:dyDescent="0.25">
      <c r="A4" s="111" t="s">
        <v>44</v>
      </c>
      <c r="B4" s="111"/>
      <c r="C4" s="111"/>
      <c r="D4" s="112" t="s">
        <v>45</v>
      </c>
      <c r="E4" s="112"/>
      <c r="F4" s="112"/>
      <c r="G4" s="112"/>
      <c r="H4" s="112"/>
      <c r="I4" s="112"/>
      <c r="J4" s="112"/>
      <c r="K4" s="112"/>
    </row>
    <row r="5" spans="1:13" ht="18.75" customHeight="1" thickBot="1" x14ac:dyDescent="0.3">
      <c r="A5" s="111" t="s">
        <v>46</v>
      </c>
      <c r="B5" s="111"/>
      <c r="C5" s="111"/>
      <c r="D5" s="112" t="s">
        <v>47</v>
      </c>
      <c r="E5" s="112"/>
      <c r="F5" s="112"/>
      <c r="G5" s="112"/>
      <c r="H5" s="112"/>
      <c r="I5" s="112"/>
      <c r="J5" s="112"/>
      <c r="K5" s="112"/>
    </row>
    <row r="6" spans="1:13" ht="16.5" customHeight="1" thickBot="1" x14ac:dyDescent="0.3">
      <c r="A6" s="114" t="s">
        <v>48</v>
      </c>
      <c r="B6" s="114"/>
      <c r="C6" s="114"/>
      <c r="D6" s="112" t="s">
        <v>47</v>
      </c>
      <c r="E6" s="112"/>
      <c r="F6" s="112"/>
      <c r="G6" s="112"/>
      <c r="H6" s="112"/>
      <c r="I6" s="112"/>
      <c r="J6" s="112"/>
      <c r="K6" s="112"/>
    </row>
    <row r="7" spans="1:13" ht="16.5" customHeight="1" thickBot="1" x14ac:dyDescent="0.25">
      <c r="A7" s="111" t="s">
        <v>49</v>
      </c>
      <c r="B7" s="111"/>
      <c r="C7" s="111"/>
      <c r="D7" s="112" t="s">
        <v>94</v>
      </c>
      <c r="E7" s="112"/>
      <c r="F7" s="112"/>
      <c r="G7" s="112"/>
      <c r="H7" s="112"/>
      <c r="I7" s="112"/>
      <c r="J7" s="112"/>
      <c r="K7" s="112"/>
    </row>
    <row r="8" spans="1:13" ht="36" customHeight="1" thickBot="1" x14ac:dyDescent="0.3">
      <c r="A8" s="115" t="s">
        <v>50</v>
      </c>
      <c r="B8" s="115"/>
      <c r="C8" s="115"/>
      <c r="D8" s="116" t="s">
        <v>86</v>
      </c>
      <c r="E8" s="116"/>
      <c r="F8" s="116"/>
      <c r="G8" s="116"/>
      <c r="H8" s="116"/>
      <c r="I8" s="116"/>
      <c r="J8" s="116"/>
      <c r="K8" s="116"/>
    </row>
    <row r="9" spans="1:13" ht="15.95" thickBot="1" x14ac:dyDescent="0.3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3" ht="18.75" customHeight="1" thickBot="1" x14ac:dyDescent="0.25">
      <c r="A10" s="117" t="s">
        <v>51</v>
      </c>
      <c r="B10" s="110" t="s">
        <v>52</v>
      </c>
      <c r="C10" s="118" t="s">
        <v>53</v>
      </c>
      <c r="D10" s="118"/>
      <c r="E10" s="118"/>
      <c r="F10" s="118"/>
      <c r="G10" s="118"/>
      <c r="H10" s="110" t="s">
        <v>54</v>
      </c>
      <c r="I10" s="110" t="s">
        <v>55</v>
      </c>
      <c r="J10" s="120" t="s">
        <v>56</v>
      </c>
      <c r="K10" s="119" t="s">
        <v>57</v>
      </c>
    </row>
    <row r="11" spans="1:13" ht="24" customHeight="1" thickBot="1" x14ac:dyDescent="0.25">
      <c r="A11" s="117"/>
      <c r="B11" s="110"/>
      <c r="C11" s="118"/>
      <c r="D11" s="118"/>
      <c r="E11" s="118"/>
      <c r="F11" s="118"/>
      <c r="G11" s="118"/>
      <c r="H11" s="110"/>
      <c r="I11" s="110"/>
      <c r="J11" s="120"/>
      <c r="K11" s="119"/>
    </row>
    <row r="12" spans="1:13" s="38" customFormat="1" ht="32.25" customHeight="1" thickBot="1" x14ac:dyDescent="0.3">
      <c r="A12" s="43">
        <v>1</v>
      </c>
      <c r="B12" s="44"/>
      <c r="C12" s="121" t="str">
        <f>+'Necesidades Trimestrales '!E10</f>
        <v>ACICLOVIR 500 MG FCO AMPOLLA</v>
      </c>
      <c r="D12" s="122"/>
      <c r="E12" s="122"/>
      <c r="F12" s="122"/>
      <c r="G12" s="123"/>
      <c r="H12" s="45" t="s">
        <v>112</v>
      </c>
      <c r="I12" s="24" t="s">
        <v>33</v>
      </c>
      <c r="J12" s="82">
        <f>+'Necesidades Trimestrales '!H10</f>
        <v>384</v>
      </c>
      <c r="K12" s="1">
        <f>+'Necesidades Trimestrales '!G10</f>
        <v>20</v>
      </c>
      <c r="M12" s="46">
        <f>+K12*J12</f>
        <v>7680</v>
      </c>
    </row>
    <row r="13" spans="1:13" s="38" customFormat="1" ht="32.25" customHeight="1" thickBot="1" x14ac:dyDescent="0.3">
      <c r="A13" s="47">
        <v>2</v>
      </c>
      <c r="B13" s="48"/>
      <c r="C13" s="121" t="str">
        <f>+'Necesidades Trimestrales '!E11</f>
        <v>ACIDO ACETIL SALICILICO 500 MG COMPRIMIDO</v>
      </c>
      <c r="D13" s="122"/>
      <c r="E13" s="122"/>
      <c r="F13" s="122"/>
      <c r="G13" s="123"/>
      <c r="H13" s="45" t="s">
        <v>112</v>
      </c>
      <c r="I13" s="24" t="s">
        <v>33</v>
      </c>
      <c r="J13" s="82">
        <f>+'Necesidades Trimestrales '!H11</f>
        <v>2.23</v>
      </c>
      <c r="K13" s="1">
        <f>+'Necesidades Trimestrales '!G11</f>
        <v>4800</v>
      </c>
      <c r="M13" s="46">
        <f t="shared" ref="M13:M47" si="0">+K13*J13</f>
        <v>10704</v>
      </c>
    </row>
    <row r="14" spans="1:13" s="38" customFormat="1" ht="32.25" customHeight="1" thickBot="1" x14ac:dyDescent="0.3">
      <c r="A14" s="43">
        <v>3</v>
      </c>
      <c r="B14" s="48"/>
      <c r="C14" s="121" t="str">
        <f>+'Necesidades Trimestrales '!E12</f>
        <v>AGUA DESTILADA EN SACHET X 500 ML</v>
      </c>
      <c r="D14" s="122"/>
      <c r="E14" s="122"/>
      <c r="F14" s="122"/>
      <c r="G14" s="123"/>
      <c r="H14" s="45" t="s">
        <v>112</v>
      </c>
      <c r="I14" s="24" t="s">
        <v>33</v>
      </c>
      <c r="J14" s="82">
        <f>+'Necesidades Trimestrales '!H12</f>
        <v>140</v>
      </c>
      <c r="K14" s="1">
        <f>+'Necesidades Trimestrales '!G12</f>
        <v>10000</v>
      </c>
      <c r="M14" s="46">
        <f t="shared" si="0"/>
        <v>1400000</v>
      </c>
    </row>
    <row r="15" spans="1:13" s="38" customFormat="1" ht="32.25" customHeight="1" thickBot="1" x14ac:dyDescent="0.3">
      <c r="A15" s="43">
        <v>4</v>
      </c>
      <c r="B15" s="48"/>
      <c r="C15" s="121" t="str">
        <f>+'Necesidades Trimestrales '!E13</f>
        <v>ALIMENTACION ENTERAL X 500 ML TIPO DIBEN</v>
      </c>
      <c r="D15" s="122"/>
      <c r="E15" s="122"/>
      <c r="F15" s="122"/>
      <c r="G15" s="123"/>
      <c r="H15" s="45" t="s">
        <v>112</v>
      </c>
      <c r="I15" s="24" t="s">
        <v>33</v>
      </c>
      <c r="J15" s="82" t="str">
        <f>+'Necesidades Trimestrales '!H13</f>
        <v>460,95</v>
      </c>
      <c r="K15" s="1">
        <f>+'Necesidades Trimestrales '!G13</f>
        <v>2500</v>
      </c>
      <c r="M15" s="46">
        <f t="shared" si="0"/>
        <v>1152375</v>
      </c>
    </row>
    <row r="16" spans="1:13" s="38" customFormat="1" ht="32.25" customHeight="1" thickBot="1" x14ac:dyDescent="0.3">
      <c r="A16" s="47">
        <v>5</v>
      </c>
      <c r="B16" s="48"/>
      <c r="C16" s="121" t="str">
        <f>+'Necesidades Trimestrales '!E14</f>
        <v>ALIMENTACION ENTERAL X 1000 ML TIPO GLUCERNA RTH 1,5 KCAL</v>
      </c>
      <c r="D16" s="122"/>
      <c r="E16" s="122"/>
      <c r="F16" s="122"/>
      <c r="G16" s="123"/>
      <c r="H16" s="45" t="s">
        <v>112</v>
      </c>
      <c r="I16" s="24" t="s">
        <v>33</v>
      </c>
      <c r="J16" s="82">
        <f>+'Necesidades Trimestrales '!H14</f>
        <v>989</v>
      </c>
      <c r="K16" s="1">
        <f>+'Necesidades Trimestrales '!G14</f>
        <v>1000</v>
      </c>
      <c r="M16" s="46">
        <f t="shared" si="0"/>
        <v>989000</v>
      </c>
    </row>
    <row r="17" spans="1:13" s="38" customFormat="1" ht="32.25" customHeight="1" thickBot="1" x14ac:dyDescent="0.3">
      <c r="A17" s="43">
        <v>6</v>
      </c>
      <c r="B17" s="48"/>
      <c r="C17" s="121" t="str">
        <f>+'Necesidades Trimestrales '!E15</f>
        <v>AMIKACINA 500 MG AMPOLLA</v>
      </c>
      <c r="D17" s="122"/>
      <c r="E17" s="122"/>
      <c r="F17" s="122"/>
      <c r="G17" s="123"/>
      <c r="H17" s="45" t="s">
        <v>112</v>
      </c>
      <c r="I17" s="24" t="s">
        <v>33</v>
      </c>
      <c r="J17" s="82">
        <f>+'Necesidades Trimestrales '!H15</f>
        <v>58</v>
      </c>
      <c r="K17" s="1">
        <f>+'Necesidades Trimestrales '!G15</f>
        <v>5000</v>
      </c>
      <c r="M17" s="46">
        <f t="shared" si="0"/>
        <v>290000</v>
      </c>
    </row>
    <row r="18" spans="1:13" s="38" customFormat="1" ht="32.25" customHeight="1" thickBot="1" x14ac:dyDescent="0.3">
      <c r="A18" s="43">
        <v>7</v>
      </c>
      <c r="B18" s="48"/>
      <c r="C18" s="121" t="str">
        <f>+'Necesidades Trimestrales '!E16</f>
        <v>ANFOTERICINA B VIAL 50 MG</v>
      </c>
      <c r="D18" s="122"/>
      <c r="E18" s="122"/>
      <c r="F18" s="122"/>
      <c r="G18" s="123"/>
      <c r="H18" s="45" t="s">
        <v>112</v>
      </c>
      <c r="I18" s="24" t="s">
        <v>33</v>
      </c>
      <c r="J18" s="82">
        <f>+'Necesidades Trimestrales '!H16</f>
        <v>609.6</v>
      </c>
      <c r="K18" s="1">
        <f>+'Necesidades Trimestrales '!G16</f>
        <v>1200</v>
      </c>
      <c r="M18" s="46">
        <f t="shared" si="0"/>
        <v>731520</v>
      </c>
    </row>
    <row r="19" spans="1:13" s="38" customFormat="1" ht="32.25" customHeight="1" thickBot="1" x14ac:dyDescent="0.3">
      <c r="A19" s="47">
        <v>8</v>
      </c>
      <c r="B19" s="48"/>
      <c r="C19" s="121" t="str">
        <f>+'Necesidades Trimestrales '!E17</f>
        <v>BETAMETASONA G 12 MG ( 6 MG ACETATO/6 MG FOSFATO ) AMPOLLA</v>
      </c>
      <c r="D19" s="122"/>
      <c r="E19" s="122"/>
      <c r="F19" s="122"/>
      <c r="G19" s="123"/>
      <c r="H19" s="45" t="s">
        <v>112</v>
      </c>
      <c r="I19" s="24" t="s">
        <v>33</v>
      </c>
      <c r="J19" s="82">
        <f>+'Necesidades Trimestrales '!H17</f>
        <v>120</v>
      </c>
      <c r="K19" s="1">
        <f>+'Necesidades Trimestrales '!G17</f>
        <v>5000</v>
      </c>
      <c r="M19" s="46">
        <f t="shared" si="0"/>
        <v>600000</v>
      </c>
    </row>
    <row r="20" spans="1:13" s="38" customFormat="1" ht="32.25" customHeight="1" thickBot="1" x14ac:dyDescent="0.3">
      <c r="A20" s="43">
        <v>9</v>
      </c>
      <c r="B20" s="48"/>
      <c r="C20" s="121" t="str">
        <f>+'Necesidades Trimestrales '!E18</f>
        <v>BUDESONIDE SOLUCION 0,1%</v>
      </c>
      <c r="D20" s="122"/>
      <c r="E20" s="122"/>
      <c r="F20" s="122"/>
      <c r="G20" s="123"/>
      <c r="H20" s="45" t="s">
        <v>112</v>
      </c>
      <c r="I20" s="24" t="s">
        <v>33</v>
      </c>
      <c r="J20" s="82">
        <f>+'Necesidades Trimestrales '!H18</f>
        <v>225</v>
      </c>
      <c r="K20" s="1">
        <f>+'Necesidades Trimestrales '!G18</f>
        <v>300</v>
      </c>
      <c r="M20" s="46">
        <f t="shared" si="0"/>
        <v>67500</v>
      </c>
    </row>
    <row r="21" spans="1:13" s="38" customFormat="1" ht="32.25" customHeight="1" thickBot="1" x14ac:dyDescent="0.3">
      <c r="A21" s="43">
        <v>10</v>
      </c>
      <c r="B21" s="48"/>
      <c r="C21" s="121" t="str">
        <f>+'Necesidades Trimestrales '!E19</f>
        <v>CLONIDINA AMPOLLAS</v>
      </c>
      <c r="D21" s="122"/>
      <c r="E21" s="122"/>
      <c r="F21" s="122"/>
      <c r="G21" s="123"/>
      <c r="H21" s="45" t="s">
        <v>112</v>
      </c>
      <c r="I21" s="24" t="s">
        <v>33</v>
      </c>
      <c r="J21" s="82">
        <f>+'Necesidades Trimestrales '!H19</f>
        <v>42</v>
      </c>
      <c r="K21" s="1">
        <f>+'Necesidades Trimestrales '!G19</f>
        <v>1000</v>
      </c>
      <c r="M21" s="46">
        <f t="shared" si="0"/>
        <v>42000</v>
      </c>
    </row>
    <row r="22" spans="1:13" s="38" customFormat="1" ht="32.25" customHeight="1" thickBot="1" x14ac:dyDescent="0.3">
      <c r="A22" s="47">
        <v>11</v>
      </c>
      <c r="B22" s="48"/>
      <c r="C22" s="121" t="str">
        <f>+'Necesidades Trimestrales '!E20</f>
        <v>COLISTINA 100 MG FCO AMPOLLA</v>
      </c>
      <c r="D22" s="122"/>
      <c r="E22" s="122"/>
      <c r="F22" s="122"/>
      <c r="G22" s="123"/>
      <c r="H22" s="45" t="s">
        <v>112</v>
      </c>
      <c r="I22" s="24" t="s">
        <v>33</v>
      </c>
      <c r="J22" s="82">
        <f>+'Necesidades Trimestrales '!H20</f>
        <v>405</v>
      </c>
      <c r="K22" s="1">
        <f>+'Necesidades Trimestrales '!G20</f>
        <v>12000</v>
      </c>
      <c r="M22" s="46">
        <f t="shared" si="0"/>
        <v>4860000</v>
      </c>
    </row>
    <row r="23" spans="1:13" s="38" customFormat="1" ht="32.25" customHeight="1" thickBot="1" x14ac:dyDescent="0.3">
      <c r="A23" s="43">
        <v>12</v>
      </c>
      <c r="B23" s="48"/>
      <c r="C23" s="121" t="str">
        <f>+'Necesidades Trimestrales '!E21</f>
        <v>DOBUTAMINA AMPOLLA</v>
      </c>
      <c r="D23" s="122"/>
      <c r="E23" s="122"/>
      <c r="F23" s="122"/>
      <c r="G23" s="123"/>
      <c r="H23" s="45" t="s">
        <v>112</v>
      </c>
      <c r="I23" s="24" t="s">
        <v>33</v>
      </c>
      <c r="J23" s="82">
        <f>+'Necesidades Trimestrales '!H21</f>
        <v>304</v>
      </c>
      <c r="K23" s="1">
        <f>+'Necesidades Trimestrales '!G21</f>
        <v>500</v>
      </c>
      <c r="M23" s="46">
        <f t="shared" si="0"/>
        <v>152000</v>
      </c>
    </row>
    <row r="24" spans="1:13" s="38" customFormat="1" ht="32.25" customHeight="1" thickBot="1" x14ac:dyDescent="0.3">
      <c r="A24" s="43">
        <v>13</v>
      </c>
      <c r="B24" s="48"/>
      <c r="C24" s="121" t="str">
        <f>+'Necesidades Trimestrales '!E22</f>
        <v>DOPAMINA 200 MG  AMPOLLA</v>
      </c>
      <c r="D24" s="122"/>
      <c r="E24" s="122"/>
      <c r="F24" s="122"/>
      <c r="G24" s="123"/>
      <c r="H24" s="45" t="s">
        <v>112</v>
      </c>
      <c r="I24" s="24" t="s">
        <v>33</v>
      </c>
      <c r="J24" s="82">
        <f>+'Necesidades Trimestrales '!H22</f>
        <v>85</v>
      </c>
      <c r="K24" s="1">
        <f>+'Necesidades Trimestrales '!G22</f>
        <v>3000</v>
      </c>
      <c r="M24" s="46">
        <f t="shared" si="0"/>
        <v>255000</v>
      </c>
    </row>
    <row r="25" spans="1:13" s="38" customFormat="1" ht="32.25" customHeight="1" thickBot="1" x14ac:dyDescent="0.3">
      <c r="A25" s="47">
        <v>14</v>
      </c>
      <c r="B25" s="48"/>
      <c r="C25" s="121" t="str">
        <f>+'Necesidades Trimestrales '!E23</f>
        <v>ENOXAPARINA 40 MG AMPOLLA PRELLENA</v>
      </c>
      <c r="D25" s="122"/>
      <c r="E25" s="122"/>
      <c r="F25" s="122"/>
      <c r="G25" s="123"/>
      <c r="H25" s="45" t="s">
        <v>112</v>
      </c>
      <c r="I25" s="24" t="s">
        <v>33</v>
      </c>
      <c r="J25" s="82">
        <f>+'Necesidades Trimestrales '!H23</f>
        <v>1200</v>
      </c>
      <c r="K25" s="1">
        <f>+'Necesidades Trimestrales '!G23</f>
        <v>10000</v>
      </c>
      <c r="M25" s="46">
        <f t="shared" si="0"/>
        <v>12000000</v>
      </c>
    </row>
    <row r="26" spans="1:13" s="38" customFormat="1" ht="32.25" customHeight="1" thickBot="1" x14ac:dyDescent="0.3">
      <c r="A26" s="43">
        <v>15</v>
      </c>
      <c r="B26" s="48"/>
      <c r="C26" s="121" t="str">
        <f>+'Necesidades Trimestrales '!E24</f>
        <v>ENOXAPARINA 80 MG AMPOLLA PRELLENADA</v>
      </c>
      <c r="D26" s="122"/>
      <c r="E26" s="122"/>
      <c r="F26" s="122"/>
      <c r="G26" s="123"/>
      <c r="H26" s="45" t="s">
        <v>112</v>
      </c>
      <c r="I26" s="24" t="s">
        <v>33</v>
      </c>
      <c r="J26" s="82">
        <f>+'Necesidades Trimestrales '!H24</f>
        <v>1500</v>
      </c>
      <c r="K26" s="1">
        <f>+'Necesidades Trimestrales '!G24</f>
        <v>2000</v>
      </c>
      <c r="M26" s="46">
        <f t="shared" si="0"/>
        <v>3000000</v>
      </c>
    </row>
    <row r="27" spans="1:13" s="38" customFormat="1" ht="32.25" customHeight="1" thickBot="1" x14ac:dyDescent="0.3">
      <c r="A27" s="43">
        <v>16</v>
      </c>
      <c r="B27" s="48"/>
      <c r="C27" s="121" t="str">
        <f>+'Necesidades Trimestrales '!E25</f>
        <v>FENOBARBITAL 100 MG/ML AMPOLLA</v>
      </c>
      <c r="D27" s="122"/>
      <c r="E27" s="122"/>
      <c r="F27" s="122"/>
      <c r="G27" s="123"/>
      <c r="H27" s="45" t="s">
        <v>112</v>
      </c>
      <c r="I27" s="24" t="s">
        <v>33</v>
      </c>
      <c r="J27" s="82">
        <f>+'Necesidades Trimestrales '!H25</f>
        <v>324.02</v>
      </c>
      <c r="K27" s="1">
        <f>+'Necesidades Trimestrales '!G25</f>
        <v>4000</v>
      </c>
      <c r="M27" s="46">
        <f t="shared" si="0"/>
        <v>1296080</v>
      </c>
    </row>
    <row r="28" spans="1:13" s="38" customFormat="1" ht="32.25" customHeight="1" thickBot="1" x14ac:dyDescent="0.3">
      <c r="A28" s="47">
        <v>17</v>
      </c>
      <c r="B28" s="48"/>
      <c r="C28" s="121" t="str">
        <f>+'Necesidades Trimestrales '!E26</f>
        <v>FENTANILO 250 MCG INYECTABLE</v>
      </c>
      <c r="D28" s="122"/>
      <c r="E28" s="122"/>
      <c r="F28" s="122"/>
      <c r="G28" s="123"/>
      <c r="H28" s="45" t="s">
        <v>112</v>
      </c>
      <c r="I28" s="24" t="s">
        <v>33</v>
      </c>
      <c r="J28" s="82" t="str">
        <f>+'Necesidades Trimestrales '!H26</f>
        <v>387,20</v>
      </c>
      <c r="K28" s="1">
        <f>+'Necesidades Trimestrales '!G26</f>
        <v>30000</v>
      </c>
      <c r="M28" s="46">
        <f t="shared" si="0"/>
        <v>11616000</v>
      </c>
    </row>
    <row r="29" spans="1:13" s="38" customFormat="1" ht="32.25" customHeight="1" thickBot="1" x14ac:dyDescent="0.3">
      <c r="A29" s="43">
        <v>18</v>
      </c>
      <c r="B29" s="48"/>
      <c r="C29" s="121" t="str">
        <f>+'Necesidades Trimestrales '!E27</f>
        <v>FLUCONAZOL 100 MG COMPRIMIDOS</v>
      </c>
      <c r="D29" s="122"/>
      <c r="E29" s="122"/>
      <c r="F29" s="122"/>
      <c r="G29" s="123"/>
      <c r="H29" s="45" t="s">
        <v>112</v>
      </c>
      <c r="I29" s="24" t="s">
        <v>33</v>
      </c>
      <c r="J29" s="82">
        <f>+'Necesidades Trimestrales '!H27</f>
        <v>31.14</v>
      </c>
      <c r="K29" s="1">
        <f>+'Necesidades Trimestrales '!G27</f>
        <v>1000</v>
      </c>
      <c r="M29" s="46">
        <f t="shared" si="0"/>
        <v>31140</v>
      </c>
    </row>
    <row r="30" spans="1:13" s="38" customFormat="1" ht="32.25" customHeight="1" thickBot="1" x14ac:dyDescent="0.3">
      <c r="A30" s="43">
        <v>19</v>
      </c>
      <c r="B30" s="48"/>
      <c r="C30" s="121" t="str">
        <f>+'Necesidades Trimestrales '!E28</f>
        <v>FLUCONAZOL 200 MG SACHET 100 ML</v>
      </c>
      <c r="D30" s="122"/>
      <c r="E30" s="122"/>
      <c r="F30" s="122"/>
      <c r="G30" s="123"/>
      <c r="H30" s="45" t="s">
        <v>112</v>
      </c>
      <c r="I30" s="24" t="s">
        <v>33</v>
      </c>
      <c r="J30" s="82">
        <f>+'Necesidades Trimestrales '!H28</f>
        <v>554</v>
      </c>
      <c r="K30" s="1">
        <f>+'Necesidades Trimestrales '!G28</f>
        <v>2000</v>
      </c>
      <c r="M30" s="46">
        <f t="shared" si="0"/>
        <v>1108000</v>
      </c>
    </row>
    <row r="31" spans="1:13" s="38" customFormat="1" ht="32.25" customHeight="1" thickBot="1" x14ac:dyDescent="0.3">
      <c r="A31" s="47">
        <v>20</v>
      </c>
      <c r="B31" s="48"/>
      <c r="C31" s="121" t="str">
        <f>+'Necesidades Trimestrales '!E29</f>
        <v>HEPARINA SODICA 5000 UI FCO AMPOLLA</v>
      </c>
      <c r="D31" s="122"/>
      <c r="E31" s="122"/>
      <c r="F31" s="122"/>
      <c r="G31" s="123"/>
      <c r="H31" s="45" t="s">
        <v>112</v>
      </c>
      <c r="I31" s="24" t="s">
        <v>33</v>
      </c>
      <c r="J31" s="82">
        <f>+'Necesidades Trimestrales '!H29</f>
        <v>699</v>
      </c>
      <c r="K31" s="1">
        <f>+'Necesidades Trimestrales '!G29</f>
        <v>5000</v>
      </c>
      <c r="M31" s="46">
        <f t="shared" si="0"/>
        <v>3495000</v>
      </c>
    </row>
    <row r="32" spans="1:13" s="38" customFormat="1" ht="32.25" customHeight="1" thickBot="1" x14ac:dyDescent="0.3">
      <c r="A32" s="43">
        <v>21</v>
      </c>
      <c r="B32" s="48"/>
      <c r="C32" s="121" t="str">
        <f>+'Necesidades Trimestrales '!E30</f>
        <v>INMUNOGLOBULINAS FRAGMENTOS ANTI SARS-COV 2 30MG/ML TIPO COVIFAB</v>
      </c>
      <c r="D32" s="122"/>
      <c r="E32" s="122"/>
      <c r="F32" s="122"/>
      <c r="G32" s="123"/>
      <c r="H32" s="45" t="s">
        <v>112</v>
      </c>
      <c r="I32" s="24" t="s">
        <v>33</v>
      </c>
      <c r="J32" s="82">
        <f>+'Necesidades Trimestrales '!H30</f>
        <v>28700</v>
      </c>
      <c r="K32" s="1">
        <f>+'Necesidades Trimestrales '!G30</f>
        <v>375</v>
      </c>
      <c r="M32" s="46">
        <f t="shared" si="0"/>
        <v>10762500</v>
      </c>
    </row>
    <row r="33" spans="1:13" s="38" customFormat="1" ht="32.25" customHeight="1" thickBot="1" x14ac:dyDescent="0.3">
      <c r="A33" s="43">
        <v>22</v>
      </c>
      <c r="B33" s="48"/>
      <c r="C33" s="121" t="str">
        <f>+'Necesidades Trimestrales '!E31</f>
        <v>KETAMINA 50MG/ML FCO AMPOLLA</v>
      </c>
      <c r="D33" s="122"/>
      <c r="E33" s="122"/>
      <c r="F33" s="122"/>
      <c r="G33" s="123"/>
      <c r="H33" s="45" t="s">
        <v>112</v>
      </c>
      <c r="I33" s="24" t="s">
        <v>33</v>
      </c>
      <c r="J33" s="82">
        <f>+'Necesidades Trimestrales '!H31</f>
        <v>2013</v>
      </c>
      <c r="K33" s="1">
        <f>+'Necesidades Trimestrales '!G31</f>
        <v>6000</v>
      </c>
      <c r="M33" s="46">
        <f t="shared" si="0"/>
        <v>12078000</v>
      </c>
    </row>
    <row r="34" spans="1:13" s="38" customFormat="1" ht="32.25" customHeight="1" thickBot="1" x14ac:dyDescent="0.3">
      <c r="A34" s="47">
        <v>23</v>
      </c>
      <c r="B34" s="48"/>
      <c r="C34" s="121" t="str">
        <f>+'Necesidades Trimestrales '!E32</f>
        <v>LORAZEPAM 4 MG/2ML AMPOLLA</v>
      </c>
      <c r="D34" s="122"/>
      <c r="E34" s="122"/>
      <c r="F34" s="122"/>
      <c r="G34" s="123"/>
      <c r="H34" s="45" t="s">
        <v>112</v>
      </c>
      <c r="I34" s="24" t="s">
        <v>33</v>
      </c>
      <c r="J34" s="82">
        <f>+'Necesidades Trimestrales '!H32</f>
        <v>280</v>
      </c>
      <c r="K34" s="1">
        <f>+'Necesidades Trimestrales '!G32</f>
        <v>15000</v>
      </c>
      <c r="M34" s="46">
        <f t="shared" si="0"/>
        <v>4200000</v>
      </c>
    </row>
    <row r="35" spans="1:13" s="38" customFormat="1" ht="32.25" customHeight="1" thickBot="1" x14ac:dyDescent="0.3">
      <c r="A35" s="43">
        <v>24</v>
      </c>
      <c r="B35" s="48"/>
      <c r="C35" s="121" t="str">
        <f>+'Necesidades Trimestrales '!E33</f>
        <v>MEROPENEM 1000MG  FCO AMPOLLA</v>
      </c>
      <c r="D35" s="122"/>
      <c r="E35" s="122"/>
      <c r="F35" s="122"/>
      <c r="G35" s="123"/>
      <c r="H35" s="45" t="s">
        <v>112</v>
      </c>
      <c r="I35" s="24" t="s">
        <v>33</v>
      </c>
      <c r="J35" s="82">
        <f>+'Necesidades Trimestrales '!H33</f>
        <v>528</v>
      </c>
      <c r="K35" s="1">
        <f>+'Necesidades Trimestrales '!G33</f>
        <v>500</v>
      </c>
      <c r="M35" s="46">
        <f t="shared" si="0"/>
        <v>264000</v>
      </c>
    </row>
    <row r="36" spans="1:13" s="38" customFormat="1" ht="32.25" customHeight="1" thickBot="1" x14ac:dyDescent="0.3">
      <c r="A36" s="43">
        <v>25</v>
      </c>
      <c r="B36" s="48"/>
      <c r="C36" s="121" t="str">
        <f>+'Necesidades Trimestrales '!E34</f>
        <v>METILPREDNISONA 4MG/ML AMPOLLA</v>
      </c>
      <c r="D36" s="122"/>
      <c r="E36" s="122"/>
      <c r="F36" s="122"/>
      <c r="G36" s="123"/>
      <c r="H36" s="45" t="s">
        <v>112</v>
      </c>
      <c r="I36" s="24" t="s">
        <v>33</v>
      </c>
      <c r="J36" s="82">
        <f>+'Necesidades Trimestrales '!H34</f>
        <v>17</v>
      </c>
      <c r="K36" s="1">
        <f>+'Necesidades Trimestrales '!G34</f>
        <v>5000</v>
      </c>
      <c r="M36" s="46">
        <f t="shared" si="0"/>
        <v>85000</v>
      </c>
    </row>
    <row r="37" spans="1:13" s="38" customFormat="1" ht="32.25" customHeight="1" thickBot="1" x14ac:dyDescent="0.3">
      <c r="A37" s="47">
        <v>26</v>
      </c>
      <c r="B37" s="48"/>
      <c r="C37" s="121" t="str">
        <f>+'Necesidades Trimestrales '!E35</f>
        <v>METILPREDNISONA 40 MG COMPRIMIDO</v>
      </c>
      <c r="D37" s="122"/>
      <c r="E37" s="122"/>
      <c r="F37" s="122"/>
      <c r="G37" s="123"/>
      <c r="H37" s="45" t="s">
        <v>112</v>
      </c>
      <c r="I37" s="24" t="s">
        <v>33</v>
      </c>
      <c r="J37" s="82">
        <f>+'Necesidades Trimestrales '!H35</f>
        <v>47</v>
      </c>
      <c r="K37" s="1">
        <f>+'Necesidades Trimestrales '!G35</f>
        <v>2500</v>
      </c>
      <c r="M37" s="46">
        <f t="shared" si="0"/>
        <v>117500</v>
      </c>
    </row>
    <row r="38" spans="1:13" s="38" customFormat="1" ht="32.25" customHeight="1" thickBot="1" x14ac:dyDescent="0.3">
      <c r="A38" s="43">
        <v>27</v>
      </c>
      <c r="B38" s="48"/>
      <c r="C38" s="121" t="str">
        <f>+'Necesidades Trimestrales '!E36</f>
        <v>METILPREDNISOLONA 500 MG FCO AMPOLLA</v>
      </c>
      <c r="D38" s="122"/>
      <c r="E38" s="122"/>
      <c r="F38" s="122"/>
      <c r="G38" s="123"/>
      <c r="H38" s="45" t="s">
        <v>112</v>
      </c>
      <c r="I38" s="24" t="s">
        <v>33</v>
      </c>
      <c r="J38" s="82">
        <f>+'Necesidades Trimestrales '!H36</f>
        <v>617</v>
      </c>
      <c r="K38" s="1">
        <f>+'Necesidades Trimestrales '!G36</f>
        <v>200</v>
      </c>
      <c r="M38" s="46">
        <f t="shared" si="0"/>
        <v>123400</v>
      </c>
    </row>
    <row r="39" spans="1:13" s="38" customFormat="1" ht="32.25" customHeight="1" thickBot="1" x14ac:dyDescent="0.3">
      <c r="A39" s="43">
        <v>28</v>
      </c>
      <c r="B39" s="48"/>
      <c r="C39" s="121" t="str">
        <f>+'Necesidades Trimestrales '!E37</f>
        <v>NITROPRUSIATO SODIO 50 MG VIAL</v>
      </c>
      <c r="D39" s="122"/>
      <c r="E39" s="122"/>
      <c r="F39" s="122"/>
      <c r="G39" s="123"/>
      <c r="H39" s="45" t="s">
        <v>112</v>
      </c>
      <c r="I39" s="24" t="s">
        <v>33</v>
      </c>
      <c r="J39" s="82">
        <f>+'Necesidades Trimestrales '!H37</f>
        <v>650</v>
      </c>
      <c r="K39" s="1">
        <f>+'Necesidades Trimestrales '!G37</f>
        <v>500</v>
      </c>
      <c r="M39" s="46">
        <f t="shared" si="0"/>
        <v>325000</v>
      </c>
    </row>
    <row r="40" spans="1:13" s="38" customFormat="1" ht="32.25" customHeight="1" thickBot="1" x14ac:dyDescent="0.3">
      <c r="A40" s="47">
        <v>29</v>
      </c>
      <c r="B40" s="48"/>
      <c r="C40" s="184" t="s">
        <v>116</v>
      </c>
      <c r="D40" s="185"/>
      <c r="E40" s="185"/>
      <c r="F40" s="185"/>
      <c r="G40" s="186"/>
      <c r="H40" s="45" t="s">
        <v>112</v>
      </c>
      <c r="I40" s="24" t="s">
        <v>33</v>
      </c>
      <c r="J40" s="82">
        <v>27</v>
      </c>
      <c r="K40" s="1">
        <v>3000</v>
      </c>
      <c r="M40" s="46">
        <f t="shared" si="0"/>
        <v>81000</v>
      </c>
    </row>
    <row r="41" spans="1:13" s="38" customFormat="1" ht="32.25" customHeight="1" thickBot="1" x14ac:dyDescent="0.3">
      <c r="A41" s="43">
        <v>30</v>
      </c>
      <c r="B41" s="48"/>
      <c r="C41" s="121" t="str">
        <f>+'Necesidades Trimestrales '!E39</f>
        <v>PARACETAMOL 500 MG COMPRIMIDO</v>
      </c>
      <c r="D41" s="122"/>
      <c r="E41" s="122"/>
      <c r="F41" s="122"/>
      <c r="G41" s="123"/>
      <c r="H41" s="45" t="s">
        <v>112</v>
      </c>
      <c r="I41" s="24" t="s">
        <v>33</v>
      </c>
      <c r="J41" s="82">
        <f>+'Necesidades Trimestrales '!H39</f>
        <v>4</v>
      </c>
      <c r="K41" s="1">
        <f>+'Necesidades Trimestrales '!G39</f>
        <v>200000</v>
      </c>
      <c r="M41" s="46">
        <f t="shared" si="0"/>
        <v>800000</v>
      </c>
    </row>
    <row r="42" spans="1:13" s="38" customFormat="1" ht="32.25" customHeight="1" thickBot="1" x14ac:dyDescent="0.3">
      <c r="A42" s="43">
        <v>31</v>
      </c>
      <c r="B42" s="48"/>
      <c r="C42" s="121" t="str">
        <f>+'Necesidades Trimestrales '!E40</f>
        <v>PROPOFOL 1% AMPOLLAS X 20 ML</v>
      </c>
      <c r="D42" s="122"/>
      <c r="E42" s="122"/>
      <c r="F42" s="122"/>
      <c r="G42" s="123"/>
      <c r="H42" s="45" t="s">
        <v>112</v>
      </c>
      <c r="I42" s="24" t="s">
        <v>33</v>
      </c>
      <c r="J42" s="82">
        <f>+'Necesidades Trimestrales '!H40</f>
        <v>859.1</v>
      </c>
      <c r="K42" s="1">
        <f>+'Necesidades Trimestrales '!G40</f>
        <v>25000</v>
      </c>
      <c r="M42" s="46">
        <f t="shared" si="0"/>
        <v>21477500</v>
      </c>
    </row>
    <row r="43" spans="1:13" s="38" customFormat="1" ht="32.25" customHeight="1" thickBot="1" x14ac:dyDescent="0.3">
      <c r="A43" s="47">
        <v>32</v>
      </c>
      <c r="B43" s="48"/>
      <c r="C43" s="121" t="str">
        <f>+'Necesidades Trimestrales '!E41</f>
        <v>SOLUCION FISIOLOGICA 0,9% SACHET X 100 ML</v>
      </c>
      <c r="D43" s="122"/>
      <c r="E43" s="122"/>
      <c r="F43" s="122"/>
      <c r="G43" s="123"/>
      <c r="H43" s="45" t="s">
        <v>112</v>
      </c>
      <c r="I43" s="24" t="s">
        <v>33</v>
      </c>
      <c r="J43" s="82">
        <f>+'Necesidades Trimestrales '!H41</f>
        <v>48</v>
      </c>
      <c r="K43" s="1">
        <f>+'Necesidades Trimestrales '!G41</f>
        <v>30000</v>
      </c>
      <c r="M43" s="46">
        <f t="shared" si="0"/>
        <v>1440000</v>
      </c>
    </row>
    <row r="44" spans="1:13" s="38" customFormat="1" ht="32.25" customHeight="1" thickBot="1" x14ac:dyDescent="0.3">
      <c r="A44" s="43">
        <v>33</v>
      </c>
      <c r="B44" s="48"/>
      <c r="C44" s="121" t="str">
        <f>+'Necesidades Trimestrales '!E42</f>
        <v>SOLUCION FISIOLOGICA 0,9 % SACHET X 500 ML</v>
      </c>
      <c r="D44" s="122"/>
      <c r="E44" s="122"/>
      <c r="F44" s="122"/>
      <c r="G44" s="123"/>
      <c r="H44" s="45" t="s">
        <v>112</v>
      </c>
      <c r="I44" s="24" t="s">
        <v>33</v>
      </c>
      <c r="J44" s="82">
        <f>+'Necesidades Trimestrales '!H42</f>
        <v>51.18</v>
      </c>
      <c r="K44" s="1">
        <f>+'Necesidades Trimestrales '!G42</f>
        <v>70000</v>
      </c>
      <c r="M44" s="46">
        <f t="shared" si="0"/>
        <v>3582600</v>
      </c>
    </row>
    <row r="45" spans="1:13" s="38" customFormat="1" ht="32.25" customHeight="1" thickBot="1" x14ac:dyDescent="0.3">
      <c r="A45" s="43">
        <v>34</v>
      </c>
      <c r="B45" s="48"/>
      <c r="C45" s="121" t="str">
        <f>+'Necesidades Trimestrales '!E43</f>
        <v>SUCCINILCOLINA 500 MG FCO AMP</v>
      </c>
      <c r="D45" s="122"/>
      <c r="E45" s="122"/>
      <c r="F45" s="122"/>
      <c r="G45" s="123"/>
      <c r="H45" s="45" t="s">
        <v>112</v>
      </c>
      <c r="I45" s="24" t="s">
        <v>33</v>
      </c>
      <c r="J45" s="82">
        <f>+'Necesidades Trimestrales '!H43</f>
        <v>242</v>
      </c>
      <c r="K45" s="1">
        <f>+'Necesidades Trimestrales '!G43</f>
        <v>1000</v>
      </c>
      <c r="M45" s="46">
        <f t="shared" si="0"/>
        <v>242000</v>
      </c>
    </row>
    <row r="46" spans="1:13" s="38" customFormat="1" ht="32.25" customHeight="1" thickBot="1" x14ac:dyDescent="0.3">
      <c r="A46" s="47">
        <v>35</v>
      </c>
      <c r="B46" s="48"/>
      <c r="C46" s="121" t="str">
        <f>+'Necesidades Trimestrales '!E44</f>
        <v>TIOPENTAL SODICO 1GR FRASCO AMPOLLA</v>
      </c>
      <c r="D46" s="122"/>
      <c r="E46" s="122"/>
      <c r="F46" s="122"/>
      <c r="G46" s="123"/>
      <c r="H46" s="45" t="s">
        <v>112</v>
      </c>
      <c r="I46" s="24" t="s">
        <v>33</v>
      </c>
      <c r="J46" s="82">
        <f>+'Necesidades Trimestrales '!H44</f>
        <v>890</v>
      </c>
      <c r="K46" s="1">
        <f>+'Necesidades Trimestrales '!G44</f>
        <v>9000</v>
      </c>
      <c r="M46" s="46">
        <f t="shared" si="0"/>
        <v>8010000</v>
      </c>
    </row>
    <row r="47" spans="1:13" s="38" customFormat="1" ht="32.25" customHeight="1" thickBot="1" x14ac:dyDescent="0.3">
      <c r="A47" s="43">
        <v>36</v>
      </c>
      <c r="B47" s="48"/>
      <c r="C47" s="121" t="str">
        <f>+'Necesidades Trimestrales '!E45</f>
        <v>VECURONIO BROMURO 10 MG AMPOLLA</v>
      </c>
      <c r="D47" s="122"/>
      <c r="E47" s="122"/>
      <c r="F47" s="122"/>
      <c r="G47" s="123"/>
      <c r="H47" s="45" t="s">
        <v>112</v>
      </c>
      <c r="I47" s="24" t="s">
        <v>33</v>
      </c>
      <c r="J47" s="82" t="str">
        <f>+'Necesidades Trimestrales '!H45</f>
        <v>634,68</v>
      </c>
      <c r="K47" s="1">
        <f>+'Necesidades Trimestrales '!G45</f>
        <v>22000</v>
      </c>
      <c r="M47" s="46">
        <f t="shared" si="0"/>
        <v>13962959.999999998</v>
      </c>
    </row>
    <row r="48" spans="1:13" s="38" customFormat="1" ht="30.75" customHeight="1" thickBot="1" x14ac:dyDescent="0.3">
      <c r="A48" s="107" t="s">
        <v>117</v>
      </c>
      <c r="B48" s="108"/>
      <c r="C48" s="108"/>
      <c r="D48" s="108"/>
      <c r="E48" s="108"/>
      <c r="F48" s="108"/>
      <c r="G48" s="108"/>
      <c r="H48" s="108"/>
      <c r="I48" s="109"/>
      <c r="J48" s="103">
        <f>SUM(M12:M47)</f>
        <v>120655459</v>
      </c>
      <c r="K48" s="104"/>
      <c r="M48" s="49"/>
    </row>
    <row r="49" spans="1:13" s="38" customFormat="1" ht="15.95" customHeight="1" x14ac:dyDescent="0.25">
      <c r="A49" s="105"/>
      <c r="B49" s="105"/>
      <c r="C49" s="105"/>
      <c r="D49" s="105"/>
      <c r="E49" s="105"/>
      <c r="F49" s="105"/>
      <c r="G49" s="105"/>
      <c r="H49" s="105"/>
      <c r="I49" s="105"/>
      <c r="J49" s="106"/>
      <c r="K49" s="106"/>
      <c r="M49" s="49"/>
    </row>
    <row r="50" spans="1:13" s="38" customFormat="1" ht="15.95" customHeight="1" x14ac:dyDescent="0.25">
      <c r="M50" s="49"/>
    </row>
    <row r="51" spans="1:13" s="38" customFormat="1" ht="15.95" customHeight="1" x14ac:dyDescent="0.25">
      <c r="M51" s="49"/>
    </row>
    <row r="52" spans="1:13" s="38" customFormat="1" ht="15.95" customHeight="1" x14ac:dyDescent="0.25">
      <c r="M52" s="49"/>
    </row>
    <row r="53" spans="1:13" s="38" customFormat="1" ht="15.95" customHeight="1" x14ac:dyDescent="0.25">
      <c r="M53" s="49"/>
    </row>
    <row r="54" spans="1:13" s="38" customFormat="1" ht="15.95" customHeight="1" x14ac:dyDescent="0.25">
      <c r="M54" s="49"/>
    </row>
    <row r="55" spans="1:13" s="38" customFormat="1" ht="15.95" customHeight="1" x14ac:dyDescent="0.25">
      <c r="M55" s="49"/>
    </row>
    <row r="56" spans="1:13" s="38" customFormat="1" ht="15.95" customHeight="1" x14ac:dyDescent="0.25">
      <c r="M56" s="49"/>
    </row>
    <row r="57" spans="1:13" s="38" customFormat="1" ht="15.95" customHeight="1" x14ac:dyDescent="0.25">
      <c r="M57" s="49"/>
    </row>
    <row r="58" spans="1:13" s="38" customFormat="1" ht="15.95" customHeight="1" x14ac:dyDescent="0.25">
      <c r="M58" s="49"/>
    </row>
    <row r="59" spans="1:13" s="38" customFormat="1" ht="15.95" customHeight="1" x14ac:dyDescent="0.25">
      <c r="M59" s="49"/>
    </row>
    <row r="60" spans="1:13" s="38" customFormat="1" ht="15.95" customHeight="1" x14ac:dyDescent="0.25">
      <c r="M60" s="49"/>
    </row>
    <row r="61" spans="1:13" s="38" customFormat="1" ht="15.95" customHeight="1" x14ac:dyDescent="0.25">
      <c r="M61" s="49"/>
    </row>
    <row r="62" spans="1:13" s="38" customFormat="1" ht="15.95" customHeight="1" x14ac:dyDescent="0.25">
      <c r="M62" s="49"/>
    </row>
    <row r="63" spans="1:13" s="38" customFormat="1" ht="15.95" customHeight="1" x14ac:dyDescent="0.25">
      <c r="M63" s="49"/>
    </row>
    <row r="64" spans="1:13" s="38" customFormat="1" ht="15.95" customHeight="1" x14ac:dyDescent="0.25">
      <c r="M64" s="49"/>
    </row>
    <row r="65" spans="13:13" s="38" customFormat="1" ht="15.95" customHeight="1" x14ac:dyDescent="0.25">
      <c r="M65" s="49"/>
    </row>
    <row r="66" spans="13:13" s="38" customFormat="1" ht="15.95" customHeight="1" x14ac:dyDescent="0.25">
      <c r="M66" s="49"/>
    </row>
    <row r="67" spans="13:13" s="38" customFormat="1" ht="15.95" customHeight="1" x14ac:dyDescent="0.25">
      <c r="M67" s="49"/>
    </row>
    <row r="68" spans="13:13" s="38" customFormat="1" ht="15.95" customHeight="1" x14ac:dyDescent="0.25">
      <c r="M68" s="49"/>
    </row>
    <row r="69" spans="13:13" s="38" customFormat="1" ht="15.95" customHeight="1" x14ac:dyDescent="0.25">
      <c r="M69" s="49"/>
    </row>
    <row r="70" spans="13:13" s="38" customFormat="1" ht="15.95" customHeight="1" x14ac:dyDescent="0.25">
      <c r="M70" s="49"/>
    </row>
    <row r="71" spans="13:13" s="38" customFormat="1" ht="15.95" customHeight="1" x14ac:dyDescent="0.25">
      <c r="M71" s="49"/>
    </row>
    <row r="72" spans="13:13" s="38" customFormat="1" ht="15.95" customHeight="1" x14ac:dyDescent="0.25">
      <c r="M72" s="49"/>
    </row>
    <row r="73" spans="13:13" s="38" customFormat="1" ht="15.95" customHeight="1" x14ac:dyDescent="0.25">
      <c r="M73" s="49"/>
    </row>
    <row r="74" spans="13:13" s="38" customFormat="1" ht="15.95" customHeight="1" x14ac:dyDescent="0.25">
      <c r="M74" s="49"/>
    </row>
    <row r="75" spans="13:13" s="38" customFormat="1" ht="15.95" customHeight="1" x14ac:dyDescent="0.25">
      <c r="M75" s="49"/>
    </row>
    <row r="76" spans="13:13" s="38" customFormat="1" ht="15.95" customHeight="1" x14ac:dyDescent="0.25">
      <c r="M76" s="49"/>
    </row>
    <row r="77" spans="13:13" s="38" customFormat="1" ht="15.95" customHeight="1" x14ac:dyDescent="0.25">
      <c r="M77" s="49"/>
    </row>
    <row r="78" spans="13:13" s="38" customFormat="1" ht="15.95" customHeight="1" x14ac:dyDescent="0.25">
      <c r="M78" s="49"/>
    </row>
    <row r="79" spans="13:13" s="38" customFormat="1" ht="15.95" customHeight="1" x14ac:dyDescent="0.25">
      <c r="M79" s="49"/>
    </row>
    <row r="80" spans="13:13" s="38" customFormat="1" ht="15.95" customHeight="1" x14ac:dyDescent="0.25">
      <c r="M80" s="49"/>
    </row>
    <row r="81" spans="12:1024" s="38" customFormat="1" ht="15.95" customHeight="1" x14ac:dyDescent="0.25">
      <c r="M81" s="49"/>
    </row>
    <row r="82" spans="12:1024" s="38" customFormat="1" ht="15.95" customHeight="1" x14ac:dyDescent="0.25">
      <c r="M82" s="49"/>
    </row>
    <row r="83" spans="12:1024" ht="15.95" customHeight="1" x14ac:dyDescent="0.2">
      <c r="M83" s="49"/>
    </row>
    <row r="84" spans="12:1024" ht="15.95" customHeight="1" x14ac:dyDescent="0.2">
      <c r="M84" s="49"/>
    </row>
    <row r="85" spans="12:1024" ht="15.95" customHeight="1" x14ac:dyDescent="0.2">
      <c r="M85" s="49"/>
    </row>
    <row r="86" spans="12:1024" ht="15.95" customHeight="1" x14ac:dyDescent="0.2">
      <c r="L86" s="50"/>
      <c r="M86" s="51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50"/>
      <c r="BQ86" s="50"/>
      <c r="BR86" s="50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  <c r="DD86" s="50"/>
      <c r="DE86" s="50"/>
      <c r="DF86" s="50"/>
      <c r="DG86" s="50"/>
      <c r="DH86" s="50"/>
      <c r="DI86" s="50"/>
      <c r="DJ86" s="50"/>
      <c r="DK86" s="50"/>
      <c r="DL86" s="50"/>
      <c r="DM86" s="50"/>
      <c r="DN86" s="50"/>
      <c r="DO86" s="50"/>
      <c r="DP86" s="50"/>
      <c r="DQ86" s="50"/>
      <c r="DR86" s="50"/>
      <c r="DS86" s="50"/>
      <c r="DT86" s="50"/>
      <c r="DU86" s="50"/>
      <c r="DV86" s="50"/>
      <c r="DW86" s="50"/>
      <c r="DX86" s="50"/>
      <c r="DY86" s="50"/>
      <c r="DZ86" s="50"/>
      <c r="EA86" s="50"/>
      <c r="EB86" s="50"/>
      <c r="EC86" s="50"/>
      <c r="ED86" s="50"/>
      <c r="EE86" s="50"/>
      <c r="EF86" s="50"/>
      <c r="EG86" s="50"/>
      <c r="EH86" s="50"/>
      <c r="EI86" s="50"/>
      <c r="EJ86" s="50"/>
      <c r="EK86" s="50"/>
      <c r="EL86" s="50"/>
      <c r="EM86" s="50"/>
      <c r="EN86" s="50"/>
      <c r="EO86" s="50"/>
      <c r="EP86" s="50"/>
      <c r="EQ86" s="50"/>
      <c r="ER86" s="50"/>
      <c r="ES86" s="50"/>
      <c r="ET86" s="50"/>
      <c r="EU86" s="50"/>
      <c r="EV86" s="50"/>
      <c r="EW86" s="50"/>
      <c r="EX86" s="50"/>
      <c r="EY86" s="50"/>
      <c r="EZ86" s="50"/>
      <c r="FA86" s="50"/>
      <c r="FB86" s="50"/>
      <c r="FC86" s="50"/>
      <c r="FD86" s="50"/>
      <c r="FE86" s="50"/>
      <c r="FF86" s="50"/>
      <c r="FG86" s="50"/>
      <c r="FH86" s="50"/>
      <c r="FI86" s="50"/>
      <c r="FJ86" s="50"/>
      <c r="FK86" s="50"/>
      <c r="FL86" s="50"/>
      <c r="FM86" s="50"/>
      <c r="FN86" s="50"/>
      <c r="FO86" s="50"/>
      <c r="FP86" s="50"/>
      <c r="FQ86" s="50"/>
      <c r="FR86" s="50"/>
      <c r="FS86" s="50"/>
      <c r="FT86" s="50"/>
      <c r="FU86" s="50"/>
      <c r="FV86" s="50"/>
      <c r="FW86" s="50"/>
      <c r="FX86" s="50"/>
      <c r="FY86" s="50"/>
      <c r="FZ86" s="50"/>
      <c r="GA86" s="50"/>
      <c r="GB86" s="50"/>
      <c r="GC86" s="50"/>
      <c r="GD86" s="50"/>
      <c r="GE86" s="50"/>
      <c r="GF86" s="50"/>
      <c r="GG86" s="50"/>
      <c r="GH86" s="50"/>
      <c r="GI86" s="50"/>
      <c r="GJ86" s="50"/>
      <c r="GK86" s="50"/>
      <c r="GL86" s="50"/>
      <c r="GM86" s="50"/>
      <c r="GN86" s="50"/>
      <c r="GO86" s="50"/>
      <c r="GP86" s="50"/>
      <c r="GQ86" s="50"/>
      <c r="GR86" s="50"/>
      <c r="GS86" s="50"/>
      <c r="GT86" s="50"/>
      <c r="GU86" s="50"/>
      <c r="GV86" s="50"/>
      <c r="GW86" s="50"/>
      <c r="GX86" s="50"/>
      <c r="GY86" s="50"/>
      <c r="GZ86" s="50"/>
      <c r="HA86" s="50"/>
      <c r="HB86" s="50"/>
      <c r="HC86" s="50"/>
      <c r="HD86" s="50"/>
      <c r="HE86" s="50"/>
      <c r="HF86" s="50"/>
      <c r="HG86" s="50"/>
      <c r="HH86" s="50"/>
      <c r="HI86" s="50"/>
      <c r="HJ86" s="50"/>
      <c r="HK86" s="50"/>
      <c r="HL86" s="50"/>
      <c r="HM86" s="50"/>
      <c r="HN86" s="50"/>
      <c r="HO86" s="50"/>
      <c r="HP86" s="50"/>
      <c r="HQ86" s="50"/>
      <c r="HR86" s="50"/>
      <c r="HS86" s="50"/>
      <c r="HT86" s="50"/>
      <c r="HU86" s="50"/>
      <c r="HV86" s="50"/>
      <c r="HW86" s="50"/>
      <c r="HX86" s="50"/>
      <c r="HY86" s="50"/>
      <c r="HZ86" s="50"/>
      <c r="IA86" s="50"/>
      <c r="IB86" s="50"/>
      <c r="IC86" s="50"/>
      <c r="ID86" s="50"/>
      <c r="IE86" s="50"/>
      <c r="IF86" s="50"/>
      <c r="IG86" s="50"/>
      <c r="IH86" s="50"/>
      <c r="II86" s="50"/>
      <c r="IJ86" s="50"/>
      <c r="IK86" s="50"/>
      <c r="IL86" s="50"/>
      <c r="IM86" s="50"/>
      <c r="IN86" s="50"/>
      <c r="IO86" s="50"/>
      <c r="IP86" s="50"/>
      <c r="IQ86" s="50"/>
      <c r="IR86" s="50"/>
      <c r="IS86" s="50"/>
      <c r="IT86" s="50"/>
      <c r="IU86" s="50"/>
      <c r="IV86" s="50"/>
      <c r="IW86" s="50"/>
      <c r="IX86" s="50"/>
      <c r="IY86" s="50"/>
      <c r="IZ86" s="50"/>
      <c r="JA86" s="50"/>
      <c r="JB86" s="50"/>
      <c r="JC86" s="50"/>
      <c r="JD86" s="50"/>
      <c r="JE86" s="50"/>
      <c r="JF86" s="50"/>
      <c r="JG86" s="50"/>
      <c r="JH86" s="50"/>
      <c r="JI86" s="50"/>
      <c r="JJ86" s="50"/>
      <c r="JK86" s="50"/>
      <c r="JL86" s="50"/>
      <c r="JM86" s="50"/>
      <c r="JN86" s="50"/>
      <c r="JO86" s="50"/>
      <c r="JP86" s="50"/>
      <c r="JQ86" s="50"/>
      <c r="JR86" s="50"/>
      <c r="JS86" s="50"/>
      <c r="JT86" s="50"/>
      <c r="JU86" s="50"/>
      <c r="JV86" s="50"/>
      <c r="JW86" s="50"/>
      <c r="JX86" s="50"/>
      <c r="JY86" s="50"/>
      <c r="JZ86" s="50"/>
      <c r="KA86" s="50"/>
      <c r="KB86" s="50"/>
      <c r="KC86" s="50"/>
      <c r="KD86" s="50"/>
      <c r="KE86" s="50"/>
      <c r="KF86" s="50"/>
      <c r="KG86" s="50"/>
      <c r="KH86" s="50"/>
      <c r="KI86" s="50"/>
      <c r="KJ86" s="50"/>
      <c r="KK86" s="50"/>
      <c r="KL86" s="50"/>
      <c r="KM86" s="50"/>
      <c r="KN86" s="50"/>
      <c r="KO86" s="50"/>
      <c r="KP86" s="50"/>
      <c r="KQ86" s="50"/>
      <c r="KR86" s="50"/>
      <c r="KS86" s="50"/>
      <c r="KT86" s="50"/>
      <c r="KU86" s="50"/>
      <c r="KV86" s="50"/>
      <c r="KW86" s="50"/>
      <c r="KX86" s="50"/>
      <c r="KY86" s="50"/>
      <c r="KZ86" s="50"/>
      <c r="LA86" s="50"/>
      <c r="LB86" s="50"/>
      <c r="LC86" s="50"/>
      <c r="LD86" s="50"/>
      <c r="LE86" s="50"/>
      <c r="LF86" s="50"/>
      <c r="LG86" s="50"/>
      <c r="LH86" s="50"/>
      <c r="LI86" s="50"/>
      <c r="LJ86" s="50"/>
      <c r="LK86" s="50"/>
      <c r="LL86" s="50"/>
      <c r="LM86" s="50"/>
      <c r="LN86" s="50"/>
      <c r="LO86" s="50"/>
      <c r="LP86" s="50"/>
      <c r="LQ86" s="50"/>
      <c r="LR86" s="50"/>
      <c r="LS86" s="50"/>
      <c r="LT86" s="50"/>
      <c r="LU86" s="50"/>
      <c r="LV86" s="50"/>
      <c r="LW86" s="50"/>
      <c r="LX86" s="50"/>
      <c r="LY86" s="50"/>
      <c r="LZ86" s="50"/>
      <c r="MA86" s="50"/>
      <c r="MB86" s="50"/>
      <c r="MC86" s="50"/>
      <c r="MD86" s="50"/>
      <c r="ME86" s="50"/>
      <c r="MF86" s="50"/>
      <c r="MG86" s="50"/>
      <c r="MH86" s="50"/>
      <c r="MI86" s="50"/>
      <c r="MJ86" s="50"/>
      <c r="MK86" s="50"/>
      <c r="ML86" s="50"/>
      <c r="MM86" s="50"/>
      <c r="MN86" s="50"/>
      <c r="MO86" s="50"/>
      <c r="MP86" s="50"/>
      <c r="MQ86" s="50"/>
      <c r="MR86" s="50"/>
      <c r="MS86" s="50"/>
      <c r="MT86" s="50"/>
      <c r="MU86" s="50"/>
      <c r="MV86" s="50"/>
      <c r="MW86" s="50"/>
      <c r="MX86" s="50"/>
      <c r="MY86" s="50"/>
      <c r="MZ86" s="50"/>
      <c r="NA86" s="50"/>
      <c r="NB86" s="50"/>
      <c r="NC86" s="50"/>
      <c r="ND86" s="50"/>
      <c r="NE86" s="50"/>
      <c r="NF86" s="50"/>
      <c r="NG86" s="50"/>
      <c r="NH86" s="50"/>
      <c r="NI86" s="50"/>
      <c r="NJ86" s="50"/>
      <c r="NK86" s="50"/>
      <c r="NL86" s="50"/>
      <c r="NM86" s="50"/>
      <c r="NN86" s="50"/>
      <c r="NO86" s="50"/>
      <c r="NP86" s="50"/>
      <c r="NQ86" s="50"/>
      <c r="NR86" s="50"/>
      <c r="NS86" s="50"/>
      <c r="NT86" s="50"/>
      <c r="NU86" s="50"/>
      <c r="NV86" s="50"/>
      <c r="NW86" s="50"/>
      <c r="NX86" s="50"/>
      <c r="NY86" s="50"/>
      <c r="NZ86" s="50"/>
      <c r="OA86" s="50"/>
      <c r="OB86" s="50"/>
      <c r="OC86" s="50"/>
      <c r="OD86" s="50"/>
      <c r="OE86" s="50"/>
      <c r="OF86" s="50"/>
      <c r="OG86" s="50"/>
      <c r="OH86" s="50"/>
      <c r="OI86" s="50"/>
      <c r="OJ86" s="50"/>
      <c r="OK86" s="50"/>
      <c r="OL86" s="50"/>
      <c r="OM86" s="50"/>
      <c r="ON86" s="50"/>
      <c r="OO86" s="50"/>
      <c r="OP86" s="50"/>
      <c r="OQ86" s="50"/>
      <c r="OR86" s="50"/>
      <c r="OS86" s="50"/>
      <c r="OT86" s="50"/>
      <c r="OU86" s="50"/>
      <c r="OV86" s="50"/>
      <c r="OW86" s="50"/>
      <c r="OX86" s="50"/>
      <c r="OY86" s="50"/>
      <c r="OZ86" s="50"/>
      <c r="PA86" s="50"/>
      <c r="PB86" s="50"/>
      <c r="PC86" s="50"/>
      <c r="PD86" s="50"/>
      <c r="PE86" s="50"/>
      <c r="PF86" s="50"/>
      <c r="PG86" s="50"/>
      <c r="PH86" s="50"/>
      <c r="PI86" s="50"/>
      <c r="PJ86" s="50"/>
      <c r="PK86" s="50"/>
      <c r="PL86" s="50"/>
      <c r="PM86" s="50"/>
      <c r="PN86" s="50"/>
      <c r="PO86" s="50"/>
      <c r="PP86" s="50"/>
      <c r="PQ86" s="50"/>
      <c r="PR86" s="50"/>
      <c r="PS86" s="50"/>
      <c r="PT86" s="50"/>
      <c r="PU86" s="50"/>
      <c r="PV86" s="50"/>
      <c r="PW86" s="50"/>
      <c r="PX86" s="50"/>
      <c r="PY86" s="50"/>
      <c r="PZ86" s="50"/>
      <c r="QA86" s="50"/>
      <c r="QB86" s="50"/>
      <c r="QC86" s="50"/>
      <c r="QD86" s="50"/>
      <c r="QE86" s="50"/>
      <c r="QF86" s="50"/>
      <c r="QG86" s="50"/>
      <c r="QH86" s="50"/>
      <c r="QI86" s="50"/>
      <c r="QJ86" s="50"/>
      <c r="QK86" s="50"/>
      <c r="QL86" s="50"/>
      <c r="QM86" s="50"/>
      <c r="QN86" s="50"/>
      <c r="QO86" s="50"/>
      <c r="QP86" s="50"/>
      <c r="QQ86" s="50"/>
      <c r="QR86" s="50"/>
      <c r="QS86" s="50"/>
      <c r="QT86" s="50"/>
      <c r="QU86" s="50"/>
      <c r="QV86" s="50"/>
      <c r="QW86" s="50"/>
      <c r="QX86" s="50"/>
      <c r="QY86" s="50"/>
      <c r="QZ86" s="50"/>
      <c r="RA86" s="50"/>
      <c r="RB86" s="50"/>
      <c r="RC86" s="50"/>
      <c r="RD86" s="50"/>
      <c r="RE86" s="50"/>
      <c r="RF86" s="50"/>
      <c r="RG86" s="50"/>
      <c r="RH86" s="50"/>
      <c r="RI86" s="50"/>
      <c r="RJ86" s="50"/>
      <c r="RK86" s="50"/>
      <c r="RL86" s="50"/>
      <c r="RM86" s="50"/>
      <c r="RN86" s="50"/>
      <c r="RO86" s="50"/>
      <c r="RP86" s="50"/>
      <c r="RQ86" s="50"/>
      <c r="RR86" s="50"/>
      <c r="RS86" s="50"/>
      <c r="RT86" s="50"/>
      <c r="RU86" s="50"/>
      <c r="RV86" s="50"/>
      <c r="RW86" s="50"/>
      <c r="RX86" s="50"/>
      <c r="RY86" s="50"/>
      <c r="RZ86" s="50"/>
      <c r="SA86" s="50"/>
      <c r="SB86" s="50"/>
      <c r="SC86" s="50"/>
      <c r="SD86" s="50"/>
      <c r="SE86" s="50"/>
      <c r="SF86" s="50"/>
      <c r="SG86" s="50"/>
      <c r="SH86" s="50"/>
      <c r="SI86" s="50"/>
      <c r="SJ86" s="50"/>
      <c r="SK86" s="50"/>
      <c r="SL86" s="50"/>
      <c r="SM86" s="50"/>
      <c r="SN86" s="50"/>
      <c r="SO86" s="50"/>
      <c r="SP86" s="50"/>
      <c r="SQ86" s="50"/>
      <c r="SR86" s="50"/>
      <c r="SS86" s="50"/>
      <c r="ST86" s="50"/>
      <c r="SU86" s="50"/>
      <c r="SV86" s="50"/>
      <c r="SW86" s="50"/>
      <c r="SX86" s="50"/>
      <c r="SY86" s="50"/>
      <c r="SZ86" s="50"/>
      <c r="TA86" s="50"/>
      <c r="TB86" s="50"/>
      <c r="TC86" s="50"/>
      <c r="TD86" s="50"/>
      <c r="TE86" s="50"/>
      <c r="TF86" s="50"/>
      <c r="TG86" s="50"/>
      <c r="TH86" s="50"/>
      <c r="TI86" s="50"/>
      <c r="TJ86" s="50"/>
      <c r="TK86" s="50"/>
      <c r="TL86" s="50"/>
      <c r="TM86" s="50"/>
      <c r="TN86" s="50"/>
      <c r="TO86" s="50"/>
      <c r="TP86" s="50"/>
      <c r="TQ86" s="50"/>
      <c r="TR86" s="50"/>
      <c r="TS86" s="50"/>
      <c r="TT86" s="50"/>
      <c r="TU86" s="50"/>
      <c r="TV86" s="50"/>
      <c r="TW86" s="50"/>
      <c r="TX86" s="50"/>
      <c r="TY86" s="50"/>
      <c r="TZ86" s="50"/>
      <c r="UA86" s="50"/>
      <c r="UB86" s="50"/>
      <c r="UC86" s="50"/>
      <c r="UD86" s="50"/>
      <c r="UE86" s="50"/>
      <c r="UF86" s="50"/>
      <c r="UG86" s="50"/>
      <c r="UH86" s="50"/>
      <c r="UI86" s="50"/>
      <c r="UJ86" s="50"/>
      <c r="UK86" s="50"/>
      <c r="UL86" s="50"/>
      <c r="UM86" s="50"/>
      <c r="UN86" s="50"/>
      <c r="UO86" s="50"/>
      <c r="UP86" s="50"/>
      <c r="UQ86" s="50"/>
      <c r="UR86" s="50"/>
      <c r="US86" s="50"/>
      <c r="UT86" s="50"/>
      <c r="UU86" s="50"/>
      <c r="UV86" s="50"/>
      <c r="UW86" s="50"/>
      <c r="UX86" s="50"/>
      <c r="UY86" s="50"/>
      <c r="UZ86" s="50"/>
      <c r="VA86" s="50"/>
      <c r="VB86" s="50"/>
      <c r="VC86" s="50"/>
      <c r="VD86" s="50"/>
      <c r="VE86" s="50"/>
      <c r="VF86" s="50"/>
      <c r="VG86" s="50"/>
      <c r="VH86" s="50"/>
      <c r="VI86" s="50"/>
      <c r="VJ86" s="50"/>
      <c r="VK86" s="50"/>
      <c r="VL86" s="50"/>
      <c r="VM86" s="50"/>
      <c r="VN86" s="50"/>
      <c r="VO86" s="50"/>
      <c r="VP86" s="50"/>
      <c r="VQ86" s="50"/>
      <c r="VR86" s="50"/>
      <c r="VS86" s="50"/>
      <c r="VT86" s="50"/>
      <c r="VU86" s="50"/>
      <c r="VV86" s="50"/>
      <c r="VW86" s="50"/>
      <c r="VX86" s="50"/>
      <c r="VY86" s="50"/>
      <c r="VZ86" s="50"/>
      <c r="WA86" s="50"/>
      <c r="WB86" s="50"/>
      <c r="WC86" s="50"/>
      <c r="WD86" s="50"/>
      <c r="WE86" s="50"/>
      <c r="WF86" s="50"/>
      <c r="WG86" s="50"/>
      <c r="WH86" s="50"/>
      <c r="WI86" s="50"/>
      <c r="WJ86" s="50"/>
      <c r="WK86" s="50"/>
      <c r="WL86" s="50"/>
      <c r="WM86" s="50"/>
      <c r="WN86" s="50"/>
      <c r="WO86" s="50"/>
      <c r="WP86" s="50"/>
      <c r="WQ86" s="50"/>
      <c r="WR86" s="50"/>
      <c r="WS86" s="50"/>
      <c r="WT86" s="50"/>
      <c r="WU86" s="50"/>
      <c r="WV86" s="50"/>
      <c r="WW86" s="50"/>
      <c r="WX86" s="50"/>
      <c r="WY86" s="50"/>
      <c r="WZ86" s="50"/>
      <c r="XA86" s="50"/>
      <c r="XB86" s="50"/>
      <c r="XC86" s="50"/>
      <c r="XD86" s="50"/>
      <c r="XE86" s="50"/>
      <c r="XF86" s="50"/>
      <c r="XG86" s="50"/>
      <c r="XH86" s="50"/>
      <c r="XI86" s="50"/>
      <c r="XJ86" s="50"/>
      <c r="XK86" s="50"/>
      <c r="XL86" s="50"/>
      <c r="XM86" s="50"/>
      <c r="XN86" s="50"/>
      <c r="XO86" s="50"/>
      <c r="XP86" s="50"/>
      <c r="XQ86" s="50"/>
      <c r="XR86" s="50"/>
      <c r="XS86" s="50"/>
      <c r="XT86" s="50"/>
      <c r="XU86" s="50"/>
      <c r="XV86" s="50"/>
      <c r="XW86" s="50"/>
      <c r="XX86" s="50"/>
      <c r="XY86" s="50"/>
      <c r="XZ86" s="50"/>
      <c r="YA86" s="50"/>
      <c r="YB86" s="50"/>
      <c r="YC86" s="50"/>
      <c r="YD86" s="50"/>
      <c r="YE86" s="50"/>
      <c r="YF86" s="50"/>
      <c r="YG86" s="50"/>
      <c r="YH86" s="50"/>
      <c r="YI86" s="50"/>
      <c r="YJ86" s="50"/>
      <c r="YK86" s="50"/>
      <c r="YL86" s="50"/>
      <c r="YM86" s="50"/>
      <c r="YN86" s="50"/>
      <c r="YO86" s="50"/>
      <c r="YP86" s="50"/>
      <c r="YQ86" s="50"/>
      <c r="YR86" s="50"/>
      <c r="YS86" s="50"/>
      <c r="YT86" s="50"/>
      <c r="YU86" s="50"/>
      <c r="YV86" s="50"/>
      <c r="YW86" s="50"/>
      <c r="YX86" s="50"/>
      <c r="YY86" s="50"/>
      <c r="YZ86" s="50"/>
      <c r="ZA86" s="50"/>
      <c r="ZB86" s="50"/>
      <c r="ZC86" s="50"/>
      <c r="ZD86" s="50"/>
      <c r="ZE86" s="50"/>
      <c r="ZF86" s="50"/>
      <c r="ZG86" s="50"/>
      <c r="ZH86" s="50"/>
      <c r="ZI86" s="50"/>
      <c r="ZJ86" s="50"/>
      <c r="ZK86" s="50"/>
      <c r="ZL86" s="50"/>
      <c r="ZM86" s="50"/>
      <c r="ZN86" s="50"/>
      <c r="ZO86" s="50"/>
      <c r="ZP86" s="50"/>
      <c r="ZQ86" s="50"/>
      <c r="ZR86" s="50"/>
      <c r="ZS86" s="50"/>
      <c r="ZT86" s="50"/>
      <c r="ZU86" s="50"/>
      <c r="ZV86" s="50"/>
      <c r="ZW86" s="50"/>
      <c r="ZX86" s="50"/>
      <c r="ZY86" s="50"/>
      <c r="ZZ86" s="50"/>
      <c r="AAA86" s="50"/>
      <c r="AAB86" s="50"/>
      <c r="AAC86" s="50"/>
      <c r="AAD86" s="50"/>
      <c r="AAE86" s="50"/>
      <c r="AAF86" s="50"/>
      <c r="AAG86" s="50"/>
      <c r="AAH86" s="50"/>
      <c r="AAI86" s="50"/>
      <c r="AAJ86" s="50"/>
      <c r="AAK86" s="50"/>
      <c r="AAL86" s="50"/>
      <c r="AAM86" s="50"/>
      <c r="AAN86" s="50"/>
      <c r="AAO86" s="50"/>
      <c r="AAP86" s="50"/>
      <c r="AAQ86" s="50"/>
      <c r="AAR86" s="50"/>
      <c r="AAS86" s="50"/>
      <c r="AAT86" s="50"/>
      <c r="AAU86" s="50"/>
      <c r="AAV86" s="50"/>
      <c r="AAW86" s="50"/>
      <c r="AAX86" s="50"/>
      <c r="AAY86" s="50"/>
      <c r="AAZ86" s="50"/>
      <c r="ABA86" s="50"/>
      <c r="ABB86" s="50"/>
      <c r="ABC86" s="50"/>
      <c r="ABD86" s="50"/>
      <c r="ABE86" s="50"/>
      <c r="ABF86" s="50"/>
      <c r="ABG86" s="50"/>
      <c r="ABH86" s="50"/>
      <c r="ABI86" s="50"/>
      <c r="ABJ86" s="50"/>
      <c r="ABK86" s="50"/>
      <c r="ABL86" s="50"/>
      <c r="ABM86" s="50"/>
      <c r="ABN86" s="50"/>
      <c r="ABO86" s="50"/>
      <c r="ABP86" s="50"/>
      <c r="ABQ86" s="50"/>
      <c r="ABR86" s="50"/>
      <c r="ABS86" s="50"/>
      <c r="ABT86" s="50"/>
      <c r="ABU86" s="50"/>
      <c r="ABV86" s="50"/>
      <c r="ABW86" s="50"/>
      <c r="ABX86" s="50"/>
      <c r="ABY86" s="50"/>
      <c r="ABZ86" s="50"/>
      <c r="ACA86" s="50"/>
      <c r="ACB86" s="50"/>
      <c r="ACC86" s="50"/>
      <c r="ACD86" s="50"/>
      <c r="ACE86" s="50"/>
      <c r="ACF86" s="50"/>
      <c r="ACG86" s="50"/>
      <c r="ACH86" s="50"/>
      <c r="ACI86" s="50"/>
      <c r="ACJ86" s="50"/>
      <c r="ACK86" s="50"/>
      <c r="ACL86" s="50"/>
      <c r="ACM86" s="50"/>
      <c r="ACN86" s="50"/>
      <c r="ACO86" s="50"/>
      <c r="ACP86" s="50"/>
      <c r="ACQ86" s="50"/>
      <c r="ACR86" s="50"/>
      <c r="ACS86" s="50"/>
      <c r="ACT86" s="50"/>
      <c r="ACU86" s="50"/>
      <c r="ACV86" s="50"/>
      <c r="ACW86" s="50"/>
      <c r="ACX86" s="50"/>
      <c r="ACY86" s="50"/>
      <c r="ACZ86" s="50"/>
      <c r="ADA86" s="50"/>
      <c r="ADB86" s="50"/>
      <c r="ADC86" s="50"/>
      <c r="ADD86" s="50"/>
      <c r="ADE86" s="50"/>
      <c r="ADF86" s="50"/>
      <c r="ADG86" s="50"/>
      <c r="ADH86" s="50"/>
      <c r="ADI86" s="50"/>
      <c r="ADJ86" s="50"/>
      <c r="ADK86" s="50"/>
      <c r="ADL86" s="50"/>
      <c r="ADM86" s="50"/>
      <c r="ADN86" s="50"/>
      <c r="ADO86" s="50"/>
      <c r="ADP86" s="50"/>
      <c r="ADQ86" s="50"/>
      <c r="ADR86" s="50"/>
      <c r="ADS86" s="50"/>
      <c r="ADT86" s="50"/>
      <c r="ADU86" s="50"/>
      <c r="ADV86" s="50"/>
      <c r="ADW86" s="50"/>
      <c r="ADX86" s="50"/>
      <c r="ADY86" s="50"/>
      <c r="ADZ86" s="50"/>
      <c r="AEA86" s="50"/>
      <c r="AEB86" s="50"/>
      <c r="AEC86" s="50"/>
      <c r="AED86" s="50"/>
      <c r="AEE86" s="50"/>
      <c r="AEF86" s="50"/>
      <c r="AEG86" s="50"/>
      <c r="AEH86" s="50"/>
      <c r="AEI86" s="50"/>
      <c r="AEJ86" s="50"/>
      <c r="AEK86" s="50"/>
      <c r="AEL86" s="50"/>
      <c r="AEM86" s="50"/>
      <c r="AEN86" s="50"/>
      <c r="AEO86" s="50"/>
      <c r="AEP86" s="50"/>
      <c r="AEQ86" s="50"/>
      <c r="AER86" s="50"/>
      <c r="AES86" s="50"/>
      <c r="AET86" s="50"/>
      <c r="AEU86" s="50"/>
      <c r="AEV86" s="50"/>
      <c r="AEW86" s="50"/>
      <c r="AEX86" s="50"/>
      <c r="AEY86" s="50"/>
      <c r="AEZ86" s="50"/>
      <c r="AFA86" s="50"/>
      <c r="AFB86" s="50"/>
      <c r="AFC86" s="50"/>
      <c r="AFD86" s="50"/>
      <c r="AFE86" s="50"/>
      <c r="AFF86" s="50"/>
      <c r="AFG86" s="50"/>
      <c r="AFH86" s="50"/>
      <c r="AFI86" s="50"/>
      <c r="AFJ86" s="50"/>
      <c r="AFK86" s="50"/>
      <c r="AFL86" s="50"/>
      <c r="AFM86" s="50"/>
      <c r="AFN86" s="50"/>
      <c r="AFO86" s="50"/>
      <c r="AFP86" s="50"/>
      <c r="AFQ86" s="50"/>
      <c r="AFR86" s="50"/>
      <c r="AFS86" s="50"/>
      <c r="AFT86" s="50"/>
      <c r="AFU86" s="50"/>
      <c r="AFV86" s="50"/>
      <c r="AFW86" s="50"/>
      <c r="AFX86" s="50"/>
      <c r="AFY86" s="50"/>
      <c r="AFZ86" s="50"/>
      <c r="AGA86" s="50"/>
      <c r="AGB86" s="50"/>
      <c r="AGC86" s="50"/>
      <c r="AGD86" s="50"/>
      <c r="AGE86" s="50"/>
      <c r="AGF86" s="50"/>
      <c r="AGG86" s="50"/>
      <c r="AGH86" s="50"/>
      <c r="AGI86" s="50"/>
      <c r="AGJ86" s="50"/>
      <c r="AGK86" s="50"/>
      <c r="AGL86" s="50"/>
      <c r="AGM86" s="50"/>
      <c r="AGN86" s="50"/>
      <c r="AGO86" s="50"/>
      <c r="AGP86" s="50"/>
      <c r="AGQ86" s="50"/>
      <c r="AGR86" s="50"/>
      <c r="AGS86" s="50"/>
      <c r="AGT86" s="50"/>
      <c r="AGU86" s="50"/>
      <c r="AGV86" s="50"/>
      <c r="AGW86" s="50"/>
      <c r="AGX86" s="50"/>
      <c r="AGY86" s="50"/>
      <c r="AGZ86" s="50"/>
      <c r="AHA86" s="50"/>
      <c r="AHB86" s="50"/>
      <c r="AHC86" s="50"/>
      <c r="AHD86" s="50"/>
      <c r="AHE86" s="50"/>
      <c r="AHF86" s="50"/>
      <c r="AHG86" s="50"/>
      <c r="AHH86" s="50"/>
      <c r="AHI86" s="50"/>
      <c r="AHJ86" s="50"/>
      <c r="AHK86" s="50"/>
      <c r="AHL86" s="50"/>
      <c r="AHM86" s="50"/>
      <c r="AHN86" s="50"/>
      <c r="AHO86" s="50"/>
      <c r="AHP86" s="50"/>
      <c r="AHQ86" s="50"/>
      <c r="AHR86" s="50"/>
      <c r="AHS86" s="50"/>
      <c r="AHT86" s="50"/>
      <c r="AHU86" s="50"/>
      <c r="AHV86" s="50"/>
      <c r="AHW86" s="50"/>
      <c r="AHX86" s="50"/>
      <c r="AHY86" s="50"/>
      <c r="AHZ86" s="50"/>
      <c r="AIA86" s="50"/>
      <c r="AIB86" s="50"/>
      <c r="AIC86" s="50"/>
      <c r="AID86" s="50"/>
      <c r="AIE86" s="50"/>
      <c r="AIF86" s="50"/>
      <c r="AIG86" s="50"/>
      <c r="AIH86" s="50"/>
      <c r="AII86" s="50"/>
      <c r="AIJ86" s="50"/>
      <c r="AIK86" s="50"/>
      <c r="AIL86" s="50"/>
      <c r="AIM86" s="50"/>
      <c r="AIN86" s="50"/>
      <c r="AIO86" s="50"/>
      <c r="AIP86" s="50"/>
      <c r="AIQ86" s="50"/>
      <c r="AIR86" s="50"/>
      <c r="AIS86" s="50"/>
      <c r="AIT86" s="50"/>
      <c r="AIU86" s="50"/>
      <c r="AIV86" s="50"/>
      <c r="AIW86" s="50"/>
      <c r="AIX86" s="50"/>
      <c r="AIY86" s="50"/>
      <c r="AIZ86" s="50"/>
      <c r="AJA86" s="50"/>
      <c r="AJB86" s="50"/>
      <c r="AJC86" s="50"/>
      <c r="AJD86" s="50"/>
      <c r="AJE86" s="50"/>
      <c r="AJF86" s="50"/>
      <c r="AJG86" s="50"/>
      <c r="AJH86" s="50"/>
      <c r="AJI86" s="50"/>
      <c r="AJJ86" s="50"/>
      <c r="AJK86" s="50"/>
      <c r="AJL86" s="50"/>
      <c r="AJM86" s="50"/>
      <c r="AJN86" s="50"/>
      <c r="AJO86" s="50"/>
      <c r="AJP86" s="50"/>
      <c r="AJQ86" s="50"/>
      <c r="AJR86" s="50"/>
      <c r="AJS86" s="50"/>
      <c r="AJT86" s="50"/>
      <c r="AJU86" s="50"/>
      <c r="AJV86" s="50"/>
      <c r="AJW86" s="50"/>
      <c r="AJX86" s="50"/>
      <c r="AJY86" s="50"/>
      <c r="AJZ86" s="50"/>
      <c r="AKA86" s="50"/>
      <c r="AKB86" s="50"/>
      <c r="AKC86" s="50"/>
      <c r="AKD86" s="50"/>
      <c r="AKE86" s="50"/>
      <c r="AKF86" s="50"/>
      <c r="AKG86" s="50"/>
      <c r="AKH86" s="50"/>
      <c r="AKI86" s="50"/>
      <c r="AKJ86" s="50"/>
      <c r="AKK86" s="50"/>
      <c r="AKL86" s="50"/>
      <c r="AKM86" s="50"/>
      <c r="AKN86" s="50"/>
      <c r="AKO86" s="50"/>
      <c r="AKP86" s="50"/>
      <c r="AKQ86" s="50"/>
      <c r="AKR86" s="50"/>
      <c r="AKS86" s="50"/>
      <c r="AKT86" s="50"/>
      <c r="AKU86" s="50"/>
      <c r="AKV86" s="50"/>
      <c r="AKW86" s="50"/>
      <c r="AKX86" s="50"/>
      <c r="AKY86" s="50"/>
      <c r="AKZ86" s="50"/>
      <c r="ALA86" s="50"/>
      <c r="ALB86" s="50"/>
      <c r="ALC86" s="50"/>
      <c r="ALD86" s="50"/>
      <c r="ALE86" s="50"/>
      <c r="ALF86" s="50"/>
      <c r="ALG86" s="50"/>
      <c r="ALH86" s="50"/>
      <c r="ALI86" s="50"/>
      <c r="ALJ86" s="50"/>
      <c r="ALK86" s="50"/>
      <c r="ALL86" s="50"/>
      <c r="ALM86" s="50"/>
      <c r="ALN86" s="50"/>
      <c r="ALO86" s="50"/>
      <c r="ALP86" s="50"/>
      <c r="ALQ86" s="50"/>
      <c r="ALR86" s="50"/>
      <c r="ALS86" s="50"/>
      <c r="ALT86" s="50"/>
      <c r="ALU86" s="50"/>
      <c r="ALV86" s="50"/>
      <c r="ALW86" s="50"/>
      <c r="ALX86" s="50"/>
      <c r="ALY86" s="50"/>
      <c r="ALZ86" s="50"/>
      <c r="AMA86" s="50"/>
      <c r="AMB86" s="50"/>
      <c r="AMC86" s="50"/>
      <c r="AMD86" s="50"/>
      <c r="AME86" s="50"/>
      <c r="AMF86" s="50"/>
      <c r="AMG86" s="50"/>
      <c r="AMH86" s="50"/>
      <c r="AMI86" s="50"/>
      <c r="AMJ86" s="50"/>
    </row>
    <row r="87" spans="12:1024" ht="15.95" customHeight="1" x14ac:dyDescent="0.2">
      <c r="L87" s="50"/>
      <c r="M87" s="51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50"/>
      <c r="BQ87" s="50"/>
      <c r="BR87" s="50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  <c r="DD87" s="50"/>
      <c r="DE87" s="50"/>
      <c r="DF87" s="50"/>
      <c r="DG87" s="50"/>
      <c r="DH87" s="50"/>
      <c r="DI87" s="50"/>
      <c r="DJ87" s="50"/>
      <c r="DK87" s="50"/>
      <c r="DL87" s="50"/>
      <c r="DM87" s="50"/>
      <c r="DN87" s="50"/>
      <c r="DO87" s="50"/>
      <c r="DP87" s="50"/>
      <c r="DQ87" s="50"/>
      <c r="DR87" s="50"/>
      <c r="DS87" s="50"/>
      <c r="DT87" s="50"/>
      <c r="DU87" s="50"/>
      <c r="DV87" s="50"/>
      <c r="DW87" s="50"/>
      <c r="DX87" s="50"/>
      <c r="DY87" s="50"/>
      <c r="DZ87" s="50"/>
      <c r="EA87" s="50"/>
      <c r="EB87" s="50"/>
      <c r="EC87" s="50"/>
      <c r="ED87" s="50"/>
      <c r="EE87" s="50"/>
      <c r="EF87" s="50"/>
      <c r="EG87" s="50"/>
      <c r="EH87" s="50"/>
      <c r="EI87" s="50"/>
      <c r="EJ87" s="50"/>
      <c r="EK87" s="50"/>
      <c r="EL87" s="50"/>
      <c r="EM87" s="50"/>
      <c r="EN87" s="50"/>
      <c r="EO87" s="50"/>
      <c r="EP87" s="50"/>
      <c r="EQ87" s="50"/>
      <c r="ER87" s="50"/>
      <c r="ES87" s="50"/>
      <c r="ET87" s="50"/>
      <c r="EU87" s="50"/>
      <c r="EV87" s="50"/>
      <c r="EW87" s="50"/>
      <c r="EX87" s="50"/>
      <c r="EY87" s="50"/>
      <c r="EZ87" s="50"/>
      <c r="FA87" s="50"/>
      <c r="FB87" s="50"/>
      <c r="FC87" s="50"/>
      <c r="FD87" s="50"/>
      <c r="FE87" s="50"/>
      <c r="FF87" s="50"/>
      <c r="FG87" s="50"/>
      <c r="FH87" s="50"/>
      <c r="FI87" s="50"/>
      <c r="FJ87" s="50"/>
      <c r="FK87" s="50"/>
      <c r="FL87" s="50"/>
      <c r="FM87" s="50"/>
      <c r="FN87" s="50"/>
      <c r="FO87" s="50"/>
      <c r="FP87" s="50"/>
      <c r="FQ87" s="50"/>
      <c r="FR87" s="50"/>
      <c r="FS87" s="50"/>
      <c r="FT87" s="50"/>
      <c r="FU87" s="50"/>
      <c r="FV87" s="50"/>
      <c r="FW87" s="50"/>
      <c r="FX87" s="50"/>
      <c r="FY87" s="50"/>
      <c r="FZ87" s="50"/>
      <c r="GA87" s="50"/>
      <c r="GB87" s="50"/>
      <c r="GC87" s="50"/>
      <c r="GD87" s="50"/>
      <c r="GE87" s="50"/>
      <c r="GF87" s="50"/>
      <c r="GG87" s="50"/>
      <c r="GH87" s="50"/>
      <c r="GI87" s="50"/>
      <c r="GJ87" s="50"/>
      <c r="GK87" s="50"/>
      <c r="GL87" s="50"/>
      <c r="GM87" s="50"/>
      <c r="GN87" s="50"/>
      <c r="GO87" s="50"/>
      <c r="GP87" s="50"/>
      <c r="GQ87" s="50"/>
      <c r="GR87" s="50"/>
      <c r="GS87" s="50"/>
      <c r="GT87" s="50"/>
      <c r="GU87" s="50"/>
      <c r="GV87" s="50"/>
      <c r="GW87" s="50"/>
      <c r="GX87" s="50"/>
      <c r="GY87" s="50"/>
      <c r="GZ87" s="50"/>
      <c r="HA87" s="50"/>
      <c r="HB87" s="50"/>
      <c r="HC87" s="50"/>
      <c r="HD87" s="50"/>
      <c r="HE87" s="50"/>
      <c r="HF87" s="50"/>
      <c r="HG87" s="50"/>
      <c r="HH87" s="50"/>
      <c r="HI87" s="50"/>
      <c r="HJ87" s="50"/>
      <c r="HK87" s="50"/>
      <c r="HL87" s="50"/>
      <c r="HM87" s="50"/>
      <c r="HN87" s="50"/>
      <c r="HO87" s="50"/>
      <c r="HP87" s="50"/>
      <c r="HQ87" s="50"/>
      <c r="HR87" s="50"/>
      <c r="HS87" s="50"/>
      <c r="HT87" s="50"/>
      <c r="HU87" s="50"/>
      <c r="HV87" s="50"/>
      <c r="HW87" s="50"/>
      <c r="HX87" s="50"/>
      <c r="HY87" s="50"/>
      <c r="HZ87" s="50"/>
      <c r="IA87" s="50"/>
      <c r="IB87" s="50"/>
      <c r="IC87" s="50"/>
      <c r="ID87" s="50"/>
      <c r="IE87" s="50"/>
      <c r="IF87" s="50"/>
      <c r="IG87" s="50"/>
      <c r="IH87" s="50"/>
      <c r="II87" s="50"/>
      <c r="IJ87" s="50"/>
      <c r="IK87" s="50"/>
      <c r="IL87" s="50"/>
      <c r="IM87" s="50"/>
      <c r="IN87" s="50"/>
      <c r="IO87" s="50"/>
      <c r="IP87" s="50"/>
      <c r="IQ87" s="50"/>
      <c r="IR87" s="50"/>
      <c r="IS87" s="50"/>
      <c r="IT87" s="50"/>
      <c r="IU87" s="50"/>
      <c r="IV87" s="50"/>
      <c r="IW87" s="50"/>
      <c r="IX87" s="50"/>
      <c r="IY87" s="50"/>
      <c r="IZ87" s="50"/>
      <c r="JA87" s="50"/>
      <c r="JB87" s="50"/>
      <c r="JC87" s="50"/>
      <c r="JD87" s="50"/>
      <c r="JE87" s="50"/>
      <c r="JF87" s="50"/>
      <c r="JG87" s="50"/>
      <c r="JH87" s="50"/>
      <c r="JI87" s="50"/>
      <c r="JJ87" s="50"/>
      <c r="JK87" s="50"/>
      <c r="JL87" s="50"/>
      <c r="JM87" s="50"/>
      <c r="JN87" s="50"/>
      <c r="JO87" s="50"/>
      <c r="JP87" s="50"/>
      <c r="JQ87" s="50"/>
      <c r="JR87" s="50"/>
      <c r="JS87" s="50"/>
      <c r="JT87" s="50"/>
      <c r="JU87" s="50"/>
      <c r="JV87" s="50"/>
      <c r="JW87" s="50"/>
      <c r="JX87" s="50"/>
      <c r="JY87" s="50"/>
      <c r="JZ87" s="50"/>
      <c r="KA87" s="50"/>
      <c r="KB87" s="50"/>
      <c r="KC87" s="50"/>
      <c r="KD87" s="50"/>
      <c r="KE87" s="50"/>
      <c r="KF87" s="50"/>
      <c r="KG87" s="50"/>
      <c r="KH87" s="50"/>
      <c r="KI87" s="50"/>
      <c r="KJ87" s="50"/>
      <c r="KK87" s="50"/>
      <c r="KL87" s="50"/>
      <c r="KM87" s="50"/>
      <c r="KN87" s="50"/>
      <c r="KO87" s="50"/>
      <c r="KP87" s="50"/>
      <c r="KQ87" s="50"/>
      <c r="KR87" s="50"/>
      <c r="KS87" s="50"/>
      <c r="KT87" s="50"/>
      <c r="KU87" s="50"/>
      <c r="KV87" s="50"/>
      <c r="KW87" s="50"/>
      <c r="KX87" s="50"/>
      <c r="KY87" s="50"/>
      <c r="KZ87" s="50"/>
      <c r="LA87" s="50"/>
      <c r="LB87" s="50"/>
      <c r="LC87" s="50"/>
      <c r="LD87" s="50"/>
      <c r="LE87" s="50"/>
      <c r="LF87" s="50"/>
      <c r="LG87" s="50"/>
      <c r="LH87" s="50"/>
      <c r="LI87" s="50"/>
      <c r="LJ87" s="50"/>
      <c r="LK87" s="50"/>
      <c r="LL87" s="50"/>
      <c r="LM87" s="50"/>
      <c r="LN87" s="50"/>
      <c r="LO87" s="50"/>
      <c r="LP87" s="50"/>
      <c r="LQ87" s="50"/>
      <c r="LR87" s="50"/>
      <c r="LS87" s="50"/>
      <c r="LT87" s="50"/>
      <c r="LU87" s="50"/>
      <c r="LV87" s="50"/>
      <c r="LW87" s="50"/>
      <c r="LX87" s="50"/>
      <c r="LY87" s="50"/>
      <c r="LZ87" s="50"/>
      <c r="MA87" s="50"/>
      <c r="MB87" s="50"/>
      <c r="MC87" s="50"/>
      <c r="MD87" s="50"/>
      <c r="ME87" s="50"/>
      <c r="MF87" s="50"/>
      <c r="MG87" s="50"/>
      <c r="MH87" s="50"/>
      <c r="MI87" s="50"/>
      <c r="MJ87" s="50"/>
      <c r="MK87" s="50"/>
      <c r="ML87" s="50"/>
      <c r="MM87" s="50"/>
      <c r="MN87" s="50"/>
      <c r="MO87" s="50"/>
      <c r="MP87" s="50"/>
      <c r="MQ87" s="50"/>
      <c r="MR87" s="50"/>
      <c r="MS87" s="50"/>
      <c r="MT87" s="50"/>
      <c r="MU87" s="50"/>
      <c r="MV87" s="50"/>
      <c r="MW87" s="50"/>
      <c r="MX87" s="50"/>
      <c r="MY87" s="50"/>
      <c r="MZ87" s="50"/>
      <c r="NA87" s="50"/>
      <c r="NB87" s="50"/>
      <c r="NC87" s="50"/>
      <c r="ND87" s="50"/>
      <c r="NE87" s="50"/>
      <c r="NF87" s="50"/>
      <c r="NG87" s="50"/>
      <c r="NH87" s="50"/>
      <c r="NI87" s="50"/>
      <c r="NJ87" s="50"/>
      <c r="NK87" s="50"/>
      <c r="NL87" s="50"/>
      <c r="NM87" s="50"/>
      <c r="NN87" s="50"/>
      <c r="NO87" s="50"/>
      <c r="NP87" s="50"/>
      <c r="NQ87" s="50"/>
      <c r="NR87" s="50"/>
      <c r="NS87" s="50"/>
      <c r="NT87" s="50"/>
      <c r="NU87" s="50"/>
      <c r="NV87" s="50"/>
      <c r="NW87" s="50"/>
      <c r="NX87" s="50"/>
      <c r="NY87" s="50"/>
      <c r="NZ87" s="50"/>
      <c r="OA87" s="50"/>
      <c r="OB87" s="50"/>
      <c r="OC87" s="50"/>
      <c r="OD87" s="50"/>
      <c r="OE87" s="50"/>
      <c r="OF87" s="50"/>
      <c r="OG87" s="50"/>
      <c r="OH87" s="50"/>
      <c r="OI87" s="50"/>
      <c r="OJ87" s="50"/>
      <c r="OK87" s="50"/>
      <c r="OL87" s="50"/>
      <c r="OM87" s="50"/>
      <c r="ON87" s="50"/>
      <c r="OO87" s="50"/>
      <c r="OP87" s="50"/>
      <c r="OQ87" s="50"/>
      <c r="OR87" s="50"/>
      <c r="OS87" s="50"/>
      <c r="OT87" s="50"/>
      <c r="OU87" s="50"/>
      <c r="OV87" s="50"/>
      <c r="OW87" s="50"/>
      <c r="OX87" s="50"/>
      <c r="OY87" s="50"/>
      <c r="OZ87" s="50"/>
      <c r="PA87" s="50"/>
      <c r="PB87" s="50"/>
      <c r="PC87" s="50"/>
      <c r="PD87" s="50"/>
      <c r="PE87" s="50"/>
      <c r="PF87" s="50"/>
      <c r="PG87" s="50"/>
      <c r="PH87" s="50"/>
      <c r="PI87" s="50"/>
      <c r="PJ87" s="50"/>
      <c r="PK87" s="50"/>
      <c r="PL87" s="50"/>
      <c r="PM87" s="50"/>
      <c r="PN87" s="50"/>
      <c r="PO87" s="50"/>
      <c r="PP87" s="50"/>
      <c r="PQ87" s="50"/>
      <c r="PR87" s="50"/>
      <c r="PS87" s="50"/>
      <c r="PT87" s="50"/>
      <c r="PU87" s="50"/>
      <c r="PV87" s="50"/>
      <c r="PW87" s="50"/>
      <c r="PX87" s="50"/>
      <c r="PY87" s="50"/>
      <c r="PZ87" s="50"/>
      <c r="QA87" s="50"/>
      <c r="QB87" s="50"/>
      <c r="QC87" s="50"/>
      <c r="QD87" s="50"/>
      <c r="QE87" s="50"/>
      <c r="QF87" s="50"/>
      <c r="QG87" s="50"/>
      <c r="QH87" s="50"/>
      <c r="QI87" s="50"/>
      <c r="QJ87" s="50"/>
      <c r="QK87" s="50"/>
      <c r="QL87" s="50"/>
      <c r="QM87" s="50"/>
      <c r="QN87" s="50"/>
      <c r="QO87" s="50"/>
      <c r="QP87" s="50"/>
      <c r="QQ87" s="50"/>
      <c r="QR87" s="50"/>
      <c r="QS87" s="50"/>
      <c r="QT87" s="50"/>
      <c r="QU87" s="50"/>
      <c r="QV87" s="50"/>
      <c r="QW87" s="50"/>
      <c r="QX87" s="50"/>
      <c r="QY87" s="50"/>
      <c r="QZ87" s="50"/>
      <c r="RA87" s="50"/>
      <c r="RB87" s="50"/>
      <c r="RC87" s="50"/>
      <c r="RD87" s="50"/>
      <c r="RE87" s="50"/>
      <c r="RF87" s="50"/>
      <c r="RG87" s="50"/>
      <c r="RH87" s="50"/>
      <c r="RI87" s="50"/>
      <c r="RJ87" s="50"/>
      <c r="RK87" s="50"/>
      <c r="RL87" s="50"/>
      <c r="RM87" s="50"/>
      <c r="RN87" s="50"/>
      <c r="RO87" s="50"/>
      <c r="RP87" s="50"/>
      <c r="RQ87" s="50"/>
      <c r="RR87" s="50"/>
      <c r="RS87" s="50"/>
      <c r="RT87" s="50"/>
      <c r="RU87" s="50"/>
      <c r="RV87" s="50"/>
      <c r="RW87" s="50"/>
      <c r="RX87" s="50"/>
      <c r="RY87" s="50"/>
      <c r="RZ87" s="50"/>
      <c r="SA87" s="50"/>
      <c r="SB87" s="50"/>
      <c r="SC87" s="50"/>
      <c r="SD87" s="50"/>
      <c r="SE87" s="50"/>
      <c r="SF87" s="50"/>
      <c r="SG87" s="50"/>
      <c r="SH87" s="50"/>
      <c r="SI87" s="50"/>
      <c r="SJ87" s="50"/>
      <c r="SK87" s="50"/>
      <c r="SL87" s="50"/>
      <c r="SM87" s="50"/>
      <c r="SN87" s="50"/>
      <c r="SO87" s="50"/>
      <c r="SP87" s="50"/>
      <c r="SQ87" s="50"/>
      <c r="SR87" s="50"/>
      <c r="SS87" s="50"/>
      <c r="ST87" s="50"/>
      <c r="SU87" s="50"/>
      <c r="SV87" s="50"/>
      <c r="SW87" s="50"/>
      <c r="SX87" s="50"/>
      <c r="SY87" s="50"/>
      <c r="SZ87" s="50"/>
      <c r="TA87" s="50"/>
      <c r="TB87" s="50"/>
      <c r="TC87" s="50"/>
      <c r="TD87" s="50"/>
      <c r="TE87" s="50"/>
      <c r="TF87" s="50"/>
      <c r="TG87" s="50"/>
      <c r="TH87" s="50"/>
      <c r="TI87" s="50"/>
      <c r="TJ87" s="50"/>
      <c r="TK87" s="50"/>
      <c r="TL87" s="50"/>
      <c r="TM87" s="50"/>
      <c r="TN87" s="50"/>
      <c r="TO87" s="50"/>
      <c r="TP87" s="50"/>
      <c r="TQ87" s="50"/>
      <c r="TR87" s="50"/>
      <c r="TS87" s="50"/>
      <c r="TT87" s="50"/>
      <c r="TU87" s="50"/>
      <c r="TV87" s="50"/>
      <c r="TW87" s="50"/>
      <c r="TX87" s="50"/>
      <c r="TY87" s="50"/>
      <c r="TZ87" s="50"/>
      <c r="UA87" s="50"/>
      <c r="UB87" s="50"/>
      <c r="UC87" s="50"/>
      <c r="UD87" s="50"/>
      <c r="UE87" s="50"/>
      <c r="UF87" s="50"/>
      <c r="UG87" s="50"/>
      <c r="UH87" s="50"/>
      <c r="UI87" s="50"/>
      <c r="UJ87" s="50"/>
      <c r="UK87" s="50"/>
      <c r="UL87" s="50"/>
      <c r="UM87" s="50"/>
      <c r="UN87" s="50"/>
      <c r="UO87" s="50"/>
      <c r="UP87" s="50"/>
      <c r="UQ87" s="50"/>
      <c r="UR87" s="50"/>
      <c r="US87" s="50"/>
      <c r="UT87" s="50"/>
      <c r="UU87" s="50"/>
      <c r="UV87" s="50"/>
      <c r="UW87" s="50"/>
      <c r="UX87" s="50"/>
      <c r="UY87" s="50"/>
      <c r="UZ87" s="50"/>
      <c r="VA87" s="50"/>
      <c r="VB87" s="50"/>
      <c r="VC87" s="50"/>
      <c r="VD87" s="50"/>
      <c r="VE87" s="50"/>
      <c r="VF87" s="50"/>
      <c r="VG87" s="50"/>
      <c r="VH87" s="50"/>
      <c r="VI87" s="50"/>
      <c r="VJ87" s="50"/>
      <c r="VK87" s="50"/>
      <c r="VL87" s="50"/>
      <c r="VM87" s="50"/>
      <c r="VN87" s="50"/>
      <c r="VO87" s="50"/>
      <c r="VP87" s="50"/>
      <c r="VQ87" s="50"/>
      <c r="VR87" s="50"/>
      <c r="VS87" s="50"/>
      <c r="VT87" s="50"/>
      <c r="VU87" s="50"/>
      <c r="VV87" s="50"/>
      <c r="VW87" s="50"/>
      <c r="VX87" s="50"/>
      <c r="VY87" s="50"/>
      <c r="VZ87" s="50"/>
      <c r="WA87" s="50"/>
      <c r="WB87" s="50"/>
      <c r="WC87" s="50"/>
      <c r="WD87" s="50"/>
      <c r="WE87" s="50"/>
      <c r="WF87" s="50"/>
      <c r="WG87" s="50"/>
      <c r="WH87" s="50"/>
      <c r="WI87" s="50"/>
      <c r="WJ87" s="50"/>
      <c r="WK87" s="50"/>
      <c r="WL87" s="50"/>
      <c r="WM87" s="50"/>
      <c r="WN87" s="50"/>
      <c r="WO87" s="50"/>
      <c r="WP87" s="50"/>
      <c r="WQ87" s="50"/>
      <c r="WR87" s="50"/>
      <c r="WS87" s="50"/>
      <c r="WT87" s="50"/>
      <c r="WU87" s="50"/>
      <c r="WV87" s="50"/>
      <c r="WW87" s="50"/>
      <c r="WX87" s="50"/>
      <c r="WY87" s="50"/>
      <c r="WZ87" s="50"/>
      <c r="XA87" s="50"/>
      <c r="XB87" s="50"/>
      <c r="XC87" s="50"/>
      <c r="XD87" s="50"/>
      <c r="XE87" s="50"/>
      <c r="XF87" s="50"/>
      <c r="XG87" s="50"/>
      <c r="XH87" s="50"/>
      <c r="XI87" s="50"/>
      <c r="XJ87" s="50"/>
      <c r="XK87" s="50"/>
      <c r="XL87" s="50"/>
      <c r="XM87" s="50"/>
      <c r="XN87" s="50"/>
      <c r="XO87" s="50"/>
      <c r="XP87" s="50"/>
      <c r="XQ87" s="50"/>
      <c r="XR87" s="50"/>
      <c r="XS87" s="50"/>
      <c r="XT87" s="50"/>
      <c r="XU87" s="50"/>
      <c r="XV87" s="50"/>
      <c r="XW87" s="50"/>
      <c r="XX87" s="50"/>
      <c r="XY87" s="50"/>
      <c r="XZ87" s="50"/>
      <c r="YA87" s="50"/>
      <c r="YB87" s="50"/>
      <c r="YC87" s="50"/>
      <c r="YD87" s="50"/>
      <c r="YE87" s="50"/>
      <c r="YF87" s="50"/>
      <c r="YG87" s="50"/>
      <c r="YH87" s="50"/>
      <c r="YI87" s="50"/>
      <c r="YJ87" s="50"/>
      <c r="YK87" s="50"/>
      <c r="YL87" s="50"/>
      <c r="YM87" s="50"/>
      <c r="YN87" s="50"/>
      <c r="YO87" s="50"/>
      <c r="YP87" s="50"/>
      <c r="YQ87" s="50"/>
      <c r="YR87" s="50"/>
      <c r="YS87" s="50"/>
      <c r="YT87" s="50"/>
      <c r="YU87" s="50"/>
      <c r="YV87" s="50"/>
      <c r="YW87" s="50"/>
      <c r="YX87" s="50"/>
      <c r="YY87" s="50"/>
      <c r="YZ87" s="50"/>
      <c r="ZA87" s="50"/>
      <c r="ZB87" s="50"/>
      <c r="ZC87" s="50"/>
      <c r="ZD87" s="50"/>
      <c r="ZE87" s="50"/>
      <c r="ZF87" s="50"/>
      <c r="ZG87" s="50"/>
      <c r="ZH87" s="50"/>
      <c r="ZI87" s="50"/>
      <c r="ZJ87" s="50"/>
      <c r="ZK87" s="50"/>
      <c r="ZL87" s="50"/>
      <c r="ZM87" s="50"/>
      <c r="ZN87" s="50"/>
      <c r="ZO87" s="50"/>
      <c r="ZP87" s="50"/>
      <c r="ZQ87" s="50"/>
      <c r="ZR87" s="50"/>
      <c r="ZS87" s="50"/>
      <c r="ZT87" s="50"/>
      <c r="ZU87" s="50"/>
      <c r="ZV87" s="50"/>
      <c r="ZW87" s="50"/>
      <c r="ZX87" s="50"/>
      <c r="ZY87" s="50"/>
      <c r="ZZ87" s="50"/>
      <c r="AAA87" s="50"/>
      <c r="AAB87" s="50"/>
      <c r="AAC87" s="50"/>
      <c r="AAD87" s="50"/>
      <c r="AAE87" s="50"/>
      <c r="AAF87" s="50"/>
      <c r="AAG87" s="50"/>
      <c r="AAH87" s="50"/>
      <c r="AAI87" s="50"/>
      <c r="AAJ87" s="50"/>
      <c r="AAK87" s="50"/>
      <c r="AAL87" s="50"/>
      <c r="AAM87" s="50"/>
      <c r="AAN87" s="50"/>
      <c r="AAO87" s="50"/>
      <c r="AAP87" s="50"/>
      <c r="AAQ87" s="50"/>
      <c r="AAR87" s="50"/>
      <c r="AAS87" s="50"/>
      <c r="AAT87" s="50"/>
      <c r="AAU87" s="50"/>
      <c r="AAV87" s="50"/>
      <c r="AAW87" s="50"/>
      <c r="AAX87" s="50"/>
      <c r="AAY87" s="50"/>
      <c r="AAZ87" s="50"/>
      <c r="ABA87" s="50"/>
      <c r="ABB87" s="50"/>
      <c r="ABC87" s="50"/>
      <c r="ABD87" s="50"/>
      <c r="ABE87" s="50"/>
      <c r="ABF87" s="50"/>
      <c r="ABG87" s="50"/>
      <c r="ABH87" s="50"/>
      <c r="ABI87" s="50"/>
      <c r="ABJ87" s="50"/>
      <c r="ABK87" s="50"/>
      <c r="ABL87" s="50"/>
      <c r="ABM87" s="50"/>
      <c r="ABN87" s="50"/>
      <c r="ABO87" s="50"/>
      <c r="ABP87" s="50"/>
      <c r="ABQ87" s="50"/>
      <c r="ABR87" s="50"/>
      <c r="ABS87" s="50"/>
      <c r="ABT87" s="50"/>
      <c r="ABU87" s="50"/>
      <c r="ABV87" s="50"/>
      <c r="ABW87" s="50"/>
      <c r="ABX87" s="50"/>
      <c r="ABY87" s="50"/>
      <c r="ABZ87" s="50"/>
      <c r="ACA87" s="50"/>
      <c r="ACB87" s="50"/>
      <c r="ACC87" s="50"/>
      <c r="ACD87" s="50"/>
      <c r="ACE87" s="50"/>
      <c r="ACF87" s="50"/>
      <c r="ACG87" s="50"/>
      <c r="ACH87" s="50"/>
      <c r="ACI87" s="50"/>
      <c r="ACJ87" s="50"/>
      <c r="ACK87" s="50"/>
      <c r="ACL87" s="50"/>
      <c r="ACM87" s="50"/>
      <c r="ACN87" s="50"/>
      <c r="ACO87" s="50"/>
      <c r="ACP87" s="50"/>
      <c r="ACQ87" s="50"/>
      <c r="ACR87" s="50"/>
      <c r="ACS87" s="50"/>
      <c r="ACT87" s="50"/>
      <c r="ACU87" s="50"/>
      <c r="ACV87" s="50"/>
      <c r="ACW87" s="50"/>
      <c r="ACX87" s="50"/>
      <c r="ACY87" s="50"/>
      <c r="ACZ87" s="50"/>
      <c r="ADA87" s="50"/>
      <c r="ADB87" s="50"/>
      <c r="ADC87" s="50"/>
      <c r="ADD87" s="50"/>
      <c r="ADE87" s="50"/>
      <c r="ADF87" s="50"/>
      <c r="ADG87" s="50"/>
      <c r="ADH87" s="50"/>
      <c r="ADI87" s="50"/>
      <c r="ADJ87" s="50"/>
      <c r="ADK87" s="50"/>
      <c r="ADL87" s="50"/>
      <c r="ADM87" s="50"/>
      <c r="ADN87" s="50"/>
      <c r="ADO87" s="50"/>
      <c r="ADP87" s="50"/>
      <c r="ADQ87" s="50"/>
      <c r="ADR87" s="50"/>
      <c r="ADS87" s="50"/>
      <c r="ADT87" s="50"/>
      <c r="ADU87" s="50"/>
      <c r="ADV87" s="50"/>
      <c r="ADW87" s="50"/>
      <c r="ADX87" s="50"/>
      <c r="ADY87" s="50"/>
      <c r="ADZ87" s="50"/>
      <c r="AEA87" s="50"/>
      <c r="AEB87" s="50"/>
      <c r="AEC87" s="50"/>
      <c r="AED87" s="50"/>
      <c r="AEE87" s="50"/>
      <c r="AEF87" s="50"/>
      <c r="AEG87" s="50"/>
      <c r="AEH87" s="50"/>
      <c r="AEI87" s="50"/>
      <c r="AEJ87" s="50"/>
      <c r="AEK87" s="50"/>
      <c r="AEL87" s="50"/>
      <c r="AEM87" s="50"/>
      <c r="AEN87" s="50"/>
      <c r="AEO87" s="50"/>
      <c r="AEP87" s="50"/>
      <c r="AEQ87" s="50"/>
      <c r="AER87" s="50"/>
      <c r="AES87" s="50"/>
      <c r="AET87" s="50"/>
      <c r="AEU87" s="50"/>
      <c r="AEV87" s="50"/>
      <c r="AEW87" s="50"/>
      <c r="AEX87" s="50"/>
      <c r="AEY87" s="50"/>
      <c r="AEZ87" s="50"/>
      <c r="AFA87" s="50"/>
      <c r="AFB87" s="50"/>
      <c r="AFC87" s="50"/>
      <c r="AFD87" s="50"/>
      <c r="AFE87" s="50"/>
      <c r="AFF87" s="50"/>
      <c r="AFG87" s="50"/>
      <c r="AFH87" s="50"/>
      <c r="AFI87" s="50"/>
      <c r="AFJ87" s="50"/>
      <c r="AFK87" s="50"/>
      <c r="AFL87" s="50"/>
      <c r="AFM87" s="50"/>
      <c r="AFN87" s="50"/>
      <c r="AFO87" s="50"/>
      <c r="AFP87" s="50"/>
      <c r="AFQ87" s="50"/>
      <c r="AFR87" s="50"/>
      <c r="AFS87" s="50"/>
      <c r="AFT87" s="50"/>
      <c r="AFU87" s="50"/>
      <c r="AFV87" s="50"/>
      <c r="AFW87" s="50"/>
      <c r="AFX87" s="50"/>
      <c r="AFY87" s="50"/>
      <c r="AFZ87" s="50"/>
      <c r="AGA87" s="50"/>
      <c r="AGB87" s="50"/>
      <c r="AGC87" s="50"/>
      <c r="AGD87" s="50"/>
      <c r="AGE87" s="50"/>
      <c r="AGF87" s="50"/>
      <c r="AGG87" s="50"/>
      <c r="AGH87" s="50"/>
      <c r="AGI87" s="50"/>
      <c r="AGJ87" s="50"/>
      <c r="AGK87" s="50"/>
      <c r="AGL87" s="50"/>
      <c r="AGM87" s="50"/>
      <c r="AGN87" s="50"/>
      <c r="AGO87" s="50"/>
      <c r="AGP87" s="50"/>
      <c r="AGQ87" s="50"/>
      <c r="AGR87" s="50"/>
      <c r="AGS87" s="50"/>
      <c r="AGT87" s="50"/>
      <c r="AGU87" s="50"/>
      <c r="AGV87" s="50"/>
      <c r="AGW87" s="50"/>
      <c r="AGX87" s="50"/>
      <c r="AGY87" s="50"/>
      <c r="AGZ87" s="50"/>
      <c r="AHA87" s="50"/>
      <c r="AHB87" s="50"/>
      <c r="AHC87" s="50"/>
      <c r="AHD87" s="50"/>
      <c r="AHE87" s="50"/>
      <c r="AHF87" s="50"/>
      <c r="AHG87" s="50"/>
      <c r="AHH87" s="50"/>
      <c r="AHI87" s="50"/>
      <c r="AHJ87" s="50"/>
      <c r="AHK87" s="50"/>
      <c r="AHL87" s="50"/>
      <c r="AHM87" s="50"/>
      <c r="AHN87" s="50"/>
      <c r="AHO87" s="50"/>
      <c r="AHP87" s="50"/>
      <c r="AHQ87" s="50"/>
      <c r="AHR87" s="50"/>
      <c r="AHS87" s="50"/>
      <c r="AHT87" s="50"/>
      <c r="AHU87" s="50"/>
      <c r="AHV87" s="50"/>
      <c r="AHW87" s="50"/>
      <c r="AHX87" s="50"/>
      <c r="AHY87" s="50"/>
      <c r="AHZ87" s="50"/>
      <c r="AIA87" s="50"/>
      <c r="AIB87" s="50"/>
      <c r="AIC87" s="50"/>
      <c r="AID87" s="50"/>
      <c r="AIE87" s="50"/>
      <c r="AIF87" s="50"/>
      <c r="AIG87" s="50"/>
      <c r="AIH87" s="50"/>
      <c r="AII87" s="50"/>
      <c r="AIJ87" s="50"/>
      <c r="AIK87" s="50"/>
      <c r="AIL87" s="50"/>
      <c r="AIM87" s="50"/>
      <c r="AIN87" s="50"/>
      <c r="AIO87" s="50"/>
      <c r="AIP87" s="50"/>
      <c r="AIQ87" s="50"/>
      <c r="AIR87" s="50"/>
      <c r="AIS87" s="50"/>
      <c r="AIT87" s="50"/>
      <c r="AIU87" s="50"/>
      <c r="AIV87" s="50"/>
      <c r="AIW87" s="50"/>
      <c r="AIX87" s="50"/>
      <c r="AIY87" s="50"/>
      <c r="AIZ87" s="50"/>
      <c r="AJA87" s="50"/>
      <c r="AJB87" s="50"/>
      <c r="AJC87" s="50"/>
      <c r="AJD87" s="50"/>
      <c r="AJE87" s="50"/>
      <c r="AJF87" s="50"/>
      <c r="AJG87" s="50"/>
      <c r="AJH87" s="50"/>
      <c r="AJI87" s="50"/>
      <c r="AJJ87" s="50"/>
      <c r="AJK87" s="50"/>
      <c r="AJL87" s="50"/>
      <c r="AJM87" s="50"/>
      <c r="AJN87" s="50"/>
      <c r="AJO87" s="50"/>
      <c r="AJP87" s="50"/>
      <c r="AJQ87" s="50"/>
      <c r="AJR87" s="50"/>
      <c r="AJS87" s="50"/>
      <c r="AJT87" s="50"/>
      <c r="AJU87" s="50"/>
      <c r="AJV87" s="50"/>
      <c r="AJW87" s="50"/>
      <c r="AJX87" s="50"/>
      <c r="AJY87" s="50"/>
      <c r="AJZ87" s="50"/>
      <c r="AKA87" s="50"/>
      <c r="AKB87" s="50"/>
      <c r="AKC87" s="50"/>
      <c r="AKD87" s="50"/>
      <c r="AKE87" s="50"/>
      <c r="AKF87" s="50"/>
      <c r="AKG87" s="50"/>
      <c r="AKH87" s="50"/>
      <c r="AKI87" s="50"/>
      <c r="AKJ87" s="50"/>
      <c r="AKK87" s="50"/>
      <c r="AKL87" s="50"/>
      <c r="AKM87" s="50"/>
      <c r="AKN87" s="50"/>
      <c r="AKO87" s="50"/>
      <c r="AKP87" s="50"/>
      <c r="AKQ87" s="50"/>
      <c r="AKR87" s="50"/>
      <c r="AKS87" s="50"/>
      <c r="AKT87" s="50"/>
      <c r="AKU87" s="50"/>
      <c r="AKV87" s="50"/>
      <c r="AKW87" s="50"/>
      <c r="AKX87" s="50"/>
      <c r="AKY87" s="50"/>
      <c r="AKZ87" s="50"/>
      <c r="ALA87" s="50"/>
      <c r="ALB87" s="50"/>
      <c r="ALC87" s="50"/>
      <c r="ALD87" s="50"/>
      <c r="ALE87" s="50"/>
      <c r="ALF87" s="50"/>
      <c r="ALG87" s="50"/>
      <c r="ALH87" s="50"/>
      <c r="ALI87" s="50"/>
      <c r="ALJ87" s="50"/>
      <c r="ALK87" s="50"/>
      <c r="ALL87" s="50"/>
      <c r="ALM87" s="50"/>
      <c r="ALN87" s="50"/>
      <c r="ALO87" s="50"/>
      <c r="ALP87" s="50"/>
      <c r="ALQ87" s="50"/>
      <c r="ALR87" s="50"/>
      <c r="ALS87" s="50"/>
      <c r="ALT87" s="50"/>
      <c r="ALU87" s="50"/>
      <c r="ALV87" s="50"/>
      <c r="ALW87" s="50"/>
      <c r="ALX87" s="50"/>
      <c r="ALY87" s="50"/>
      <c r="ALZ87" s="50"/>
      <c r="AMA87" s="50"/>
      <c r="AMB87" s="50"/>
      <c r="AMC87" s="50"/>
      <c r="AMD87" s="50"/>
      <c r="AME87" s="50"/>
      <c r="AMF87" s="50"/>
      <c r="AMG87" s="50"/>
      <c r="AMH87" s="50"/>
      <c r="AMI87" s="50"/>
      <c r="AMJ87" s="50"/>
    </row>
    <row r="88" spans="12:1024" ht="15.95" customHeight="1" x14ac:dyDescent="0.2">
      <c r="L88" s="50"/>
      <c r="M88" s="51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50"/>
      <c r="BQ88" s="50"/>
      <c r="BR88" s="50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  <c r="DD88" s="50"/>
      <c r="DE88" s="50"/>
      <c r="DF88" s="50"/>
      <c r="DG88" s="50"/>
      <c r="DH88" s="50"/>
      <c r="DI88" s="50"/>
      <c r="DJ88" s="50"/>
      <c r="DK88" s="50"/>
      <c r="DL88" s="50"/>
      <c r="DM88" s="50"/>
      <c r="DN88" s="50"/>
      <c r="DO88" s="50"/>
      <c r="DP88" s="50"/>
      <c r="DQ88" s="50"/>
      <c r="DR88" s="50"/>
      <c r="DS88" s="50"/>
      <c r="DT88" s="50"/>
      <c r="DU88" s="50"/>
      <c r="DV88" s="50"/>
      <c r="DW88" s="50"/>
      <c r="DX88" s="50"/>
      <c r="DY88" s="50"/>
      <c r="DZ88" s="50"/>
      <c r="EA88" s="50"/>
      <c r="EB88" s="50"/>
      <c r="EC88" s="50"/>
      <c r="ED88" s="50"/>
      <c r="EE88" s="50"/>
      <c r="EF88" s="50"/>
      <c r="EG88" s="50"/>
      <c r="EH88" s="50"/>
      <c r="EI88" s="50"/>
      <c r="EJ88" s="50"/>
      <c r="EK88" s="50"/>
      <c r="EL88" s="50"/>
      <c r="EM88" s="50"/>
      <c r="EN88" s="50"/>
      <c r="EO88" s="50"/>
      <c r="EP88" s="50"/>
      <c r="EQ88" s="50"/>
      <c r="ER88" s="50"/>
      <c r="ES88" s="50"/>
      <c r="ET88" s="50"/>
      <c r="EU88" s="50"/>
      <c r="EV88" s="50"/>
      <c r="EW88" s="50"/>
      <c r="EX88" s="50"/>
      <c r="EY88" s="50"/>
      <c r="EZ88" s="50"/>
      <c r="FA88" s="50"/>
      <c r="FB88" s="50"/>
      <c r="FC88" s="50"/>
      <c r="FD88" s="50"/>
      <c r="FE88" s="50"/>
      <c r="FF88" s="50"/>
      <c r="FG88" s="50"/>
      <c r="FH88" s="50"/>
      <c r="FI88" s="50"/>
      <c r="FJ88" s="50"/>
      <c r="FK88" s="50"/>
      <c r="FL88" s="50"/>
      <c r="FM88" s="50"/>
      <c r="FN88" s="50"/>
      <c r="FO88" s="50"/>
      <c r="FP88" s="50"/>
      <c r="FQ88" s="50"/>
      <c r="FR88" s="50"/>
      <c r="FS88" s="50"/>
      <c r="FT88" s="50"/>
      <c r="FU88" s="50"/>
      <c r="FV88" s="50"/>
      <c r="FW88" s="50"/>
      <c r="FX88" s="50"/>
      <c r="FY88" s="50"/>
      <c r="FZ88" s="50"/>
      <c r="GA88" s="50"/>
      <c r="GB88" s="50"/>
      <c r="GC88" s="50"/>
      <c r="GD88" s="50"/>
      <c r="GE88" s="50"/>
      <c r="GF88" s="50"/>
      <c r="GG88" s="50"/>
      <c r="GH88" s="50"/>
      <c r="GI88" s="50"/>
      <c r="GJ88" s="50"/>
      <c r="GK88" s="50"/>
      <c r="GL88" s="50"/>
      <c r="GM88" s="50"/>
      <c r="GN88" s="50"/>
      <c r="GO88" s="50"/>
      <c r="GP88" s="50"/>
      <c r="GQ88" s="50"/>
      <c r="GR88" s="50"/>
      <c r="GS88" s="50"/>
      <c r="GT88" s="50"/>
      <c r="GU88" s="50"/>
      <c r="GV88" s="50"/>
      <c r="GW88" s="50"/>
      <c r="GX88" s="50"/>
      <c r="GY88" s="50"/>
      <c r="GZ88" s="50"/>
      <c r="HA88" s="50"/>
      <c r="HB88" s="50"/>
      <c r="HC88" s="50"/>
      <c r="HD88" s="50"/>
      <c r="HE88" s="50"/>
      <c r="HF88" s="50"/>
      <c r="HG88" s="50"/>
      <c r="HH88" s="50"/>
      <c r="HI88" s="50"/>
      <c r="HJ88" s="50"/>
      <c r="HK88" s="50"/>
      <c r="HL88" s="50"/>
      <c r="HM88" s="50"/>
      <c r="HN88" s="50"/>
      <c r="HO88" s="50"/>
      <c r="HP88" s="50"/>
      <c r="HQ88" s="50"/>
      <c r="HR88" s="50"/>
      <c r="HS88" s="50"/>
      <c r="HT88" s="50"/>
      <c r="HU88" s="50"/>
      <c r="HV88" s="50"/>
      <c r="HW88" s="50"/>
      <c r="HX88" s="50"/>
      <c r="HY88" s="50"/>
      <c r="HZ88" s="50"/>
      <c r="IA88" s="50"/>
      <c r="IB88" s="50"/>
      <c r="IC88" s="50"/>
      <c r="ID88" s="50"/>
      <c r="IE88" s="50"/>
      <c r="IF88" s="50"/>
      <c r="IG88" s="50"/>
      <c r="IH88" s="50"/>
      <c r="II88" s="50"/>
      <c r="IJ88" s="50"/>
      <c r="IK88" s="50"/>
      <c r="IL88" s="50"/>
      <c r="IM88" s="50"/>
      <c r="IN88" s="50"/>
      <c r="IO88" s="50"/>
      <c r="IP88" s="50"/>
      <c r="IQ88" s="50"/>
      <c r="IR88" s="50"/>
      <c r="IS88" s="50"/>
      <c r="IT88" s="50"/>
      <c r="IU88" s="50"/>
      <c r="IV88" s="50"/>
      <c r="IW88" s="50"/>
      <c r="IX88" s="50"/>
      <c r="IY88" s="50"/>
      <c r="IZ88" s="50"/>
      <c r="JA88" s="50"/>
      <c r="JB88" s="50"/>
      <c r="JC88" s="50"/>
      <c r="JD88" s="50"/>
      <c r="JE88" s="50"/>
      <c r="JF88" s="50"/>
      <c r="JG88" s="50"/>
      <c r="JH88" s="50"/>
      <c r="JI88" s="50"/>
      <c r="JJ88" s="50"/>
      <c r="JK88" s="50"/>
      <c r="JL88" s="50"/>
      <c r="JM88" s="50"/>
      <c r="JN88" s="50"/>
      <c r="JO88" s="50"/>
      <c r="JP88" s="50"/>
      <c r="JQ88" s="50"/>
      <c r="JR88" s="50"/>
      <c r="JS88" s="50"/>
      <c r="JT88" s="50"/>
      <c r="JU88" s="50"/>
      <c r="JV88" s="50"/>
      <c r="JW88" s="50"/>
      <c r="JX88" s="50"/>
      <c r="JY88" s="50"/>
      <c r="JZ88" s="50"/>
      <c r="KA88" s="50"/>
      <c r="KB88" s="50"/>
      <c r="KC88" s="50"/>
      <c r="KD88" s="50"/>
      <c r="KE88" s="50"/>
      <c r="KF88" s="50"/>
      <c r="KG88" s="50"/>
      <c r="KH88" s="50"/>
      <c r="KI88" s="50"/>
      <c r="KJ88" s="50"/>
      <c r="KK88" s="50"/>
      <c r="KL88" s="50"/>
      <c r="KM88" s="50"/>
      <c r="KN88" s="50"/>
      <c r="KO88" s="50"/>
      <c r="KP88" s="50"/>
      <c r="KQ88" s="50"/>
      <c r="KR88" s="50"/>
      <c r="KS88" s="50"/>
      <c r="KT88" s="50"/>
      <c r="KU88" s="50"/>
      <c r="KV88" s="50"/>
      <c r="KW88" s="50"/>
      <c r="KX88" s="50"/>
      <c r="KY88" s="50"/>
      <c r="KZ88" s="50"/>
      <c r="LA88" s="50"/>
      <c r="LB88" s="50"/>
      <c r="LC88" s="50"/>
      <c r="LD88" s="50"/>
      <c r="LE88" s="50"/>
      <c r="LF88" s="50"/>
      <c r="LG88" s="50"/>
      <c r="LH88" s="50"/>
      <c r="LI88" s="50"/>
      <c r="LJ88" s="50"/>
      <c r="LK88" s="50"/>
      <c r="LL88" s="50"/>
      <c r="LM88" s="50"/>
      <c r="LN88" s="50"/>
      <c r="LO88" s="50"/>
      <c r="LP88" s="50"/>
      <c r="LQ88" s="50"/>
      <c r="LR88" s="50"/>
      <c r="LS88" s="50"/>
      <c r="LT88" s="50"/>
      <c r="LU88" s="50"/>
      <c r="LV88" s="50"/>
      <c r="LW88" s="50"/>
      <c r="LX88" s="50"/>
      <c r="LY88" s="50"/>
      <c r="LZ88" s="50"/>
      <c r="MA88" s="50"/>
      <c r="MB88" s="50"/>
      <c r="MC88" s="50"/>
      <c r="MD88" s="50"/>
      <c r="ME88" s="50"/>
      <c r="MF88" s="50"/>
      <c r="MG88" s="50"/>
      <c r="MH88" s="50"/>
      <c r="MI88" s="50"/>
      <c r="MJ88" s="50"/>
      <c r="MK88" s="50"/>
      <c r="ML88" s="50"/>
      <c r="MM88" s="50"/>
      <c r="MN88" s="50"/>
      <c r="MO88" s="50"/>
      <c r="MP88" s="50"/>
      <c r="MQ88" s="50"/>
      <c r="MR88" s="50"/>
      <c r="MS88" s="50"/>
      <c r="MT88" s="50"/>
      <c r="MU88" s="50"/>
      <c r="MV88" s="50"/>
      <c r="MW88" s="50"/>
      <c r="MX88" s="50"/>
      <c r="MY88" s="50"/>
      <c r="MZ88" s="50"/>
      <c r="NA88" s="50"/>
      <c r="NB88" s="50"/>
      <c r="NC88" s="50"/>
      <c r="ND88" s="50"/>
      <c r="NE88" s="50"/>
      <c r="NF88" s="50"/>
      <c r="NG88" s="50"/>
      <c r="NH88" s="50"/>
      <c r="NI88" s="50"/>
      <c r="NJ88" s="50"/>
      <c r="NK88" s="50"/>
      <c r="NL88" s="50"/>
      <c r="NM88" s="50"/>
      <c r="NN88" s="50"/>
      <c r="NO88" s="50"/>
      <c r="NP88" s="50"/>
      <c r="NQ88" s="50"/>
      <c r="NR88" s="50"/>
      <c r="NS88" s="50"/>
      <c r="NT88" s="50"/>
      <c r="NU88" s="50"/>
      <c r="NV88" s="50"/>
      <c r="NW88" s="50"/>
      <c r="NX88" s="50"/>
      <c r="NY88" s="50"/>
      <c r="NZ88" s="50"/>
      <c r="OA88" s="50"/>
      <c r="OB88" s="50"/>
      <c r="OC88" s="50"/>
      <c r="OD88" s="50"/>
      <c r="OE88" s="50"/>
      <c r="OF88" s="50"/>
      <c r="OG88" s="50"/>
      <c r="OH88" s="50"/>
      <c r="OI88" s="50"/>
      <c r="OJ88" s="50"/>
      <c r="OK88" s="50"/>
      <c r="OL88" s="50"/>
      <c r="OM88" s="50"/>
      <c r="ON88" s="50"/>
      <c r="OO88" s="50"/>
      <c r="OP88" s="50"/>
      <c r="OQ88" s="50"/>
      <c r="OR88" s="50"/>
      <c r="OS88" s="50"/>
      <c r="OT88" s="50"/>
      <c r="OU88" s="50"/>
      <c r="OV88" s="50"/>
      <c r="OW88" s="50"/>
      <c r="OX88" s="50"/>
      <c r="OY88" s="50"/>
      <c r="OZ88" s="50"/>
      <c r="PA88" s="50"/>
      <c r="PB88" s="50"/>
      <c r="PC88" s="50"/>
      <c r="PD88" s="50"/>
      <c r="PE88" s="50"/>
      <c r="PF88" s="50"/>
      <c r="PG88" s="50"/>
      <c r="PH88" s="50"/>
      <c r="PI88" s="50"/>
      <c r="PJ88" s="50"/>
      <c r="PK88" s="50"/>
      <c r="PL88" s="50"/>
      <c r="PM88" s="50"/>
      <c r="PN88" s="50"/>
      <c r="PO88" s="50"/>
      <c r="PP88" s="50"/>
      <c r="PQ88" s="50"/>
      <c r="PR88" s="50"/>
      <c r="PS88" s="50"/>
      <c r="PT88" s="50"/>
      <c r="PU88" s="50"/>
      <c r="PV88" s="50"/>
      <c r="PW88" s="50"/>
      <c r="PX88" s="50"/>
      <c r="PY88" s="50"/>
      <c r="PZ88" s="50"/>
      <c r="QA88" s="50"/>
      <c r="QB88" s="50"/>
      <c r="QC88" s="50"/>
      <c r="QD88" s="50"/>
      <c r="QE88" s="50"/>
      <c r="QF88" s="50"/>
      <c r="QG88" s="50"/>
      <c r="QH88" s="50"/>
      <c r="QI88" s="50"/>
      <c r="QJ88" s="50"/>
      <c r="QK88" s="50"/>
      <c r="QL88" s="50"/>
      <c r="QM88" s="50"/>
      <c r="QN88" s="50"/>
      <c r="QO88" s="50"/>
      <c r="QP88" s="50"/>
      <c r="QQ88" s="50"/>
      <c r="QR88" s="50"/>
      <c r="QS88" s="50"/>
      <c r="QT88" s="50"/>
      <c r="QU88" s="50"/>
      <c r="QV88" s="50"/>
      <c r="QW88" s="50"/>
      <c r="QX88" s="50"/>
      <c r="QY88" s="50"/>
      <c r="QZ88" s="50"/>
      <c r="RA88" s="50"/>
      <c r="RB88" s="50"/>
      <c r="RC88" s="50"/>
      <c r="RD88" s="50"/>
      <c r="RE88" s="50"/>
      <c r="RF88" s="50"/>
      <c r="RG88" s="50"/>
      <c r="RH88" s="50"/>
      <c r="RI88" s="50"/>
      <c r="RJ88" s="50"/>
      <c r="RK88" s="50"/>
      <c r="RL88" s="50"/>
      <c r="RM88" s="50"/>
      <c r="RN88" s="50"/>
      <c r="RO88" s="50"/>
      <c r="RP88" s="50"/>
      <c r="RQ88" s="50"/>
      <c r="RR88" s="50"/>
      <c r="RS88" s="50"/>
      <c r="RT88" s="50"/>
      <c r="RU88" s="50"/>
      <c r="RV88" s="50"/>
      <c r="RW88" s="50"/>
      <c r="RX88" s="50"/>
      <c r="RY88" s="50"/>
      <c r="RZ88" s="50"/>
      <c r="SA88" s="50"/>
      <c r="SB88" s="50"/>
      <c r="SC88" s="50"/>
      <c r="SD88" s="50"/>
      <c r="SE88" s="50"/>
      <c r="SF88" s="50"/>
      <c r="SG88" s="50"/>
      <c r="SH88" s="50"/>
      <c r="SI88" s="50"/>
      <c r="SJ88" s="50"/>
      <c r="SK88" s="50"/>
      <c r="SL88" s="50"/>
      <c r="SM88" s="50"/>
      <c r="SN88" s="50"/>
      <c r="SO88" s="50"/>
      <c r="SP88" s="50"/>
      <c r="SQ88" s="50"/>
      <c r="SR88" s="50"/>
      <c r="SS88" s="50"/>
      <c r="ST88" s="50"/>
      <c r="SU88" s="50"/>
      <c r="SV88" s="50"/>
      <c r="SW88" s="50"/>
      <c r="SX88" s="50"/>
      <c r="SY88" s="50"/>
      <c r="SZ88" s="50"/>
      <c r="TA88" s="50"/>
      <c r="TB88" s="50"/>
      <c r="TC88" s="50"/>
      <c r="TD88" s="50"/>
      <c r="TE88" s="50"/>
      <c r="TF88" s="50"/>
      <c r="TG88" s="50"/>
      <c r="TH88" s="50"/>
      <c r="TI88" s="50"/>
      <c r="TJ88" s="50"/>
      <c r="TK88" s="50"/>
      <c r="TL88" s="50"/>
      <c r="TM88" s="50"/>
      <c r="TN88" s="50"/>
      <c r="TO88" s="50"/>
      <c r="TP88" s="50"/>
      <c r="TQ88" s="50"/>
      <c r="TR88" s="50"/>
      <c r="TS88" s="50"/>
      <c r="TT88" s="50"/>
      <c r="TU88" s="50"/>
      <c r="TV88" s="50"/>
      <c r="TW88" s="50"/>
      <c r="TX88" s="50"/>
      <c r="TY88" s="50"/>
      <c r="TZ88" s="50"/>
      <c r="UA88" s="50"/>
      <c r="UB88" s="50"/>
      <c r="UC88" s="50"/>
      <c r="UD88" s="50"/>
      <c r="UE88" s="50"/>
      <c r="UF88" s="50"/>
      <c r="UG88" s="50"/>
      <c r="UH88" s="50"/>
      <c r="UI88" s="50"/>
      <c r="UJ88" s="50"/>
      <c r="UK88" s="50"/>
      <c r="UL88" s="50"/>
      <c r="UM88" s="50"/>
      <c r="UN88" s="50"/>
      <c r="UO88" s="50"/>
      <c r="UP88" s="50"/>
      <c r="UQ88" s="50"/>
      <c r="UR88" s="50"/>
      <c r="US88" s="50"/>
      <c r="UT88" s="50"/>
      <c r="UU88" s="50"/>
      <c r="UV88" s="50"/>
      <c r="UW88" s="50"/>
      <c r="UX88" s="50"/>
      <c r="UY88" s="50"/>
      <c r="UZ88" s="50"/>
      <c r="VA88" s="50"/>
      <c r="VB88" s="50"/>
      <c r="VC88" s="50"/>
      <c r="VD88" s="50"/>
      <c r="VE88" s="50"/>
      <c r="VF88" s="50"/>
      <c r="VG88" s="50"/>
      <c r="VH88" s="50"/>
      <c r="VI88" s="50"/>
      <c r="VJ88" s="50"/>
      <c r="VK88" s="50"/>
      <c r="VL88" s="50"/>
      <c r="VM88" s="50"/>
      <c r="VN88" s="50"/>
      <c r="VO88" s="50"/>
      <c r="VP88" s="50"/>
      <c r="VQ88" s="50"/>
      <c r="VR88" s="50"/>
      <c r="VS88" s="50"/>
      <c r="VT88" s="50"/>
      <c r="VU88" s="50"/>
      <c r="VV88" s="50"/>
      <c r="VW88" s="50"/>
      <c r="VX88" s="50"/>
      <c r="VY88" s="50"/>
      <c r="VZ88" s="50"/>
      <c r="WA88" s="50"/>
      <c r="WB88" s="50"/>
      <c r="WC88" s="50"/>
      <c r="WD88" s="50"/>
      <c r="WE88" s="50"/>
      <c r="WF88" s="50"/>
      <c r="WG88" s="50"/>
      <c r="WH88" s="50"/>
      <c r="WI88" s="50"/>
      <c r="WJ88" s="50"/>
      <c r="WK88" s="50"/>
      <c r="WL88" s="50"/>
      <c r="WM88" s="50"/>
      <c r="WN88" s="50"/>
      <c r="WO88" s="50"/>
      <c r="WP88" s="50"/>
      <c r="WQ88" s="50"/>
      <c r="WR88" s="50"/>
      <c r="WS88" s="50"/>
      <c r="WT88" s="50"/>
      <c r="WU88" s="50"/>
      <c r="WV88" s="50"/>
      <c r="WW88" s="50"/>
      <c r="WX88" s="50"/>
      <c r="WY88" s="50"/>
      <c r="WZ88" s="50"/>
      <c r="XA88" s="50"/>
      <c r="XB88" s="50"/>
      <c r="XC88" s="50"/>
      <c r="XD88" s="50"/>
      <c r="XE88" s="50"/>
      <c r="XF88" s="50"/>
      <c r="XG88" s="50"/>
      <c r="XH88" s="50"/>
      <c r="XI88" s="50"/>
      <c r="XJ88" s="50"/>
      <c r="XK88" s="50"/>
      <c r="XL88" s="50"/>
      <c r="XM88" s="50"/>
      <c r="XN88" s="50"/>
      <c r="XO88" s="50"/>
      <c r="XP88" s="50"/>
      <c r="XQ88" s="50"/>
      <c r="XR88" s="50"/>
      <c r="XS88" s="50"/>
      <c r="XT88" s="50"/>
      <c r="XU88" s="50"/>
      <c r="XV88" s="50"/>
      <c r="XW88" s="50"/>
      <c r="XX88" s="50"/>
      <c r="XY88" s="50"/>
      <c r="XZ88" s="50"/>
      <c r="YA88" s="50"/>
      <c r="YB88" s="50"/>
      <c r="YC88" s="50"/>
      <c r="YD88" s="50"/>
      <c r="YE88" s="50"/>
      <c r="YF88" s="50"/>
      <c r="YG88" s="50"/>
      <c r="YH88" s="50"/>
      <c r="YI88" s="50"/>
      <c r="YJ88" s="50"/>
      <c r="YK88" s="50"/>
      <c r="YL88" s="50"/>
      <c r="YM88" s="50"/>
      <c r="YN88" s="50"/>
      <c r="YO88" s="50"/>
      <c r="YP88" s="50"/>
      <c r="YQ88" s="50"/>
      <c r="YR88" s="50"/>
      <c r="YS88" s="50"/>
      <c r="YT88" s="50"/>
      <c r="YU88" s="50"/>
      <c r="YV88" s="50"/>
      <c r="YW88" s="50"/>
      <c r="YX88" s="50"/>
      <c r="YY88" s="50"/>
      <c r="YZ88" s="50"/>
      <c r="ZA88" s="50"/>
      <c r="ZB88" s="50"/>
      <c r="ZC88" s="50"/>
      <c r="ZD88" s="50"/>
      <c r="ZE88" s="50"/>
      <c r="ZF88" s="50"/>
      <c r="ZG88" s="50"/>
      <c r="ZH88" s="50"/>
      <c r="ZI88" s="50"/>
      <c r="ZJ88" s="50"/>
      <c r="ZK88" s="50"/>
      <c r="ZL88" s="50"/>
      <c r="ZM88" s="50"/>
      <c r="ZN88" s="50"/>
      <c r="ZO88" s="50"/>
      <c r="ZP88" s="50"/>
      <c r="ZQ88" s="50"/>
      <c r="ZR88" s="50"/>
      <c r="ZS88" s="50"/>
      <c r="ZT88" s="50"/>
      <c r="ZU88" s="50"/>
      <c r="ZV88" s="50"/>
      <c r="ZW88" s="50"/>
      <c r="ZX88" s="50"/>
      <c r="ZY88" s="50"/>
      <c r="ZZ88" s="50"/>
      <c r="AAA88" s="50"/>
      <c r="AAB88" s="50"/>
      <c r="AAC88" s="50"/>
      <c r="AAD88" s="50"/>
      <c r="AAE88" s="50"/>
      <c r="AAF88" s="50"/>
      <c r="AAG88" s="50"/>
      <c r="AAH88" s="50"/>
      <c r="AAI88" s="50"/>
      <c r="AAJ88" s="50"/>
      <c r="AAK88" s="50"/>
      <c r="AAL88" s="50"/>
      <c r="AAM88" s="50"/>
      <c r="AAN88" s="50"/>
      <c r="AAO88" s="50"/>
      <c r="AAP88" s="50"/>
      <c r="AAQ88" s="50"/>
      <c r="AAR88" s="50"/>
      <c r="AAS88" s="50"/>
      <c r="AAT88" s="50"/>
      <c r="AAU88" s="50"/>
      <c r="AAV88" s="50"/>
      <c r="AAW88" s="50"/>
      <c r="AAX88" s="50"/>
      <c r="AAY88" s="50"/>
      <c r="AAZ88" s="50"/>
      <c r="ABA88" s="50"/>
      <c r="ABB88" s="50"/>
      <c r="ABC88" s="50"/>
      <c r="ABD88" s="50"/>
      <c r="ABE88" s="50"/>
      <c r="ABF88" s="50"/>
      <c r="ABG88" s="50"/>
      <c r="ABH88" s="50"/>
      <c r="ABI88" s="50"/>
      <c r="ABJ88" s="50"/>
      <c r="ABK88" s="50"/>
      <c r="ABL88" s="50"/>
      <c r="ABM88" s="50"/>
      <c r="ABN88" s="50"/>
      <c r="ABO88" s="50"/>
      <c r="ABP88" s="50"/>
      <c r="ABQ88" s="50"/>
      <c r="ABR88" s="50"/>
      <c r="ABS88" s="50"/>
      <c r="ABT88" s="50"/>
      <c r="ABU88" s="50"/>
      <c r="ABV88" s="50"/>
      <c r="ABW88" s="50"/>
      <c r="ABX88" s="50"/>
      <c r="ABY88" s="50"/>
      <c r="ABZ88" s="50"/>
      <c r="ACA88" s="50"/>
      <c r="ACB88" s="50"/>
      <c r="ACC88" s="50"/>
      <c r="ACD88" s="50"/>
      <c r="ACE88" s="50"/>
      <c r="ACF88" s="50"/>
      <c r="ACG88" s="50"/>
      <c r="ACH88" s="50"/>
      <c r="ACI88" s="50"/>
      <c r="ACJ88" s="50"/>
      <c r="ACK88" s="50"/>
      <c r="ACL88" s="50"/>
      <c r="ACM88" s="50"/>
      <c r="ACN88" s="50"/>
      <c r="ACO88" s="50"/>
      <c r="ACP88" s="50"/>
      <c r="ACQ88" s="50"/>
      <c r="ACR88" s="50"/>
      <c r="ACS88" s="50"/>
      <c r="ACT88" s="50"/>
      <c r="ACU88" s="50"/>
      <c r="ACV88" s="50"/>
      <c r="ACW88" s="50"/>
      <c r="ACX88" s="50"/>
      <c r="ACY88" s="50"/>
      <c r="ACZ88" s="50"/>
      <c r="ADA88" s="50"/>
      <c r="ADB88" s="50"/>
      <c r="ADC88" s="50"/>
      <c r="ADD88" s="50"/>
      <c r="ADE88" s="50"/>
      <c r="ADF88" s="50"/>
      <c r="ADG88" s="50"/>
      <c r="ADH88" s="50"/>
      <c r="ADI88" s="50"/>
      <c r="ADJ88" s="50"/>
      <c r="ADK88" s="50"/>
      <c r="ADL88" s="50"/>
      <c r="ADM88" s="50"/>
      <c r="ADN88" s="50"/>
      <c r="ADO88" s="50"/>
      <c r="ADP88" s="50"/>
      <c r="ADQ88" s="50"/>
      <c r="ADR88" s="50"/>
      <c r="ADS88" s="50"/>
      <c r="ADT88" s="50"/>
      <c r="ADU88" s="50"/>
      <c r="ADV88" s="50"/>
      <c r="ADW88" s="50"/>
      <c r="ADX88" s="50"/>
      <c r="ADY88" s="50"/>
      <c r="ADZ88" s="50"/>
      <c r="AEA88" s="50"/>
      <c r="AEB88" s="50"/>
      <c r="AEC88" s="50"/>
      <c r="AED88" s="50"/>
      <c r="AEE88" s="50"/>
      <c r="AEF88" s="50"/>
      <c r="AEG88" s="50"/>
      <c r="AEH88" s="50"/>
      <c r="AEI88" s="50"/>
      <c r="AEJ88" s="50"/>
      <c r="AEK88" s="50"/>
      <c r="AEL88" s="50"/>
      <c r="AEM88" s="50"/>
      <c r="AEN88" s="50"/>
      <c r="AEO88" s="50"/>
      <c r="AEP88" s="50"/>
      <c r="AEQ88" s="50"/>
      <c r="AER88" s="50"/>
      <c r="AES88" s="50"/>
      <c r="AET88" s="50"/>
      <c r="AEU88" s="50"/>
      <c r="AEV88" s="50"/>
      <c r="AEW88" s="50"/>
      <c r="AEX88" s="50"/>
      <c r="AEY88" s="50"/>
      <c r="AEZ88" s="50"/>
      <c r="AFA88" s="50"/>
      <c r="AFB88" s="50"/>
      <c r="AFC88" s="50"/>
      <c r="AFD88" s="50"/>
      <c r="AFE88" s="50"/>
      <c r="AFF88" s="50"/>
      <c r="AFG88" s="50"/>
      <c r="AFH88" s="50"/>
      <c r="AFI88" s="50"/>
      <c r="AFJ88" s="50"/>
      <c r="AFK88" s="50"/>
      <c r="AFL88" s="50"/>
      <c r="AFM88" s="50"/>
      <c r="AFN88" s="50"/>
      <c r="AFO88" s="50"/>
      <c r="AFP88" s="50"/>
      <c r="AFQ88" s="50"/>
      <c r="AFR88" s="50"/>
      <c r="AFS88" s="50"/>
      <c r="AFT88" s="50"/>
      <c r="AFU88" s="50"/>
      <c r="AFV88" s="50"/>
      <c r="AFW88" s="50"/>
      <c r="AFX88" s="50"/>
      <c r="AFY88" s="50"/>
      <c r="AFZ88" s="50"/>
      <c r="AGA88" s="50"/>
      <c r="AGB88" s="50"/>
      <c r="AGC88" s="50"/>
      <c r="AGD88" s="50"/>
      <c r="AGE88" s="50"/>
      <c r="AGF88" s="50"/>
      <c r="AGG88" s="50"/>
      <c r="AGH88" s="50"/>
      <c r="AGI88" s="50"/>
      <c r="AGJ88" s="50"/>
      <c r="AGK88" s="50"/>
      <c r="AGL88" s="50"/>
      <c r="AGM88" s="50"/>
      <c r="AGN88" s="50"/>
      <c r="AGO88" s="50"/>
      <c r="AGP88" s="50"/>
      <c r="AGQ88" s="50"/>
      <c r="AGR88" s="50"/>
      <c r="AGS88" s="50"/>
      <c r="AGT88" s="50"/>
      <c r="AGU88" s="50"/>
      <c r="AGV88" s="50"/>
      <c r="AGW88" s="50"/>
      <c r="AGX88" s="50"/>
      <c r="AGY88" s="50"/>
      <c r="AGZ88" s="50"/>
      <c r="AHA88" s="50"/>
      <c r="AHB88" s="50"/>
      <c r="AHC88" s="50"/>
      <c r="AHD88" s="50"/>
      <c r="AHE88" s="50"/>
      <c r="AHF88" s="50"/>
      <c r="AHG88" s="50"/>
      <c r="AHH88" s="50"/>
      <c r="AHI88" s="50"/>
      <c r="AHJ88" s="50"/>
      <c r="AHK88" s="50"/>
      <c r="AHL88" s="50"/>
      <c r="AHM88" s="50"/>
      <c r="AHN88" s="50"/>
      <c r="AHO88" s="50"/>
      <c r="AHP88" s="50"/>
      <c r="AHQ88" s="50"/>
      <c r="AHR88" s="50"/>
      <c r="AHS88" s="50"/>
      <c r="AHT88" s="50"/>
      <c r="AHU88" s="50"/>
      <c r="AHV88" s="50"/>
      <c r="AHW88" s="50"/>
      <c r="AHX88" s="50"/>
      <c r="AHY88" s="50"/>
      <c r="AHZ88" s="50"/>
      <c r="AIA88" s="50"/>
      <c r="AIB88" s="50"/>
      <c r="AIC88" s="50"/>
      <c r="AID88" s="50"/>
      <c r="AIE88" s="50"/>
      <c r="AIF88" s="50"/>
      <c r="AIG88" s="50"/>
      <c r="AIH88" s="50"/>
      <c r="AII88" s="50"/>
      <c r="AIJ88" s="50"/>
      <c r="AIK88" s="50"/>
      <c r="AIL88" s="50"/>
      <c r="AIM88" s="50"/>
      <c r="AIN88" s="50"/>
      <c r="AIO88" s="50"/>
      <c r="AIP88" s="50"/>
      <c r="AIQ88" s="50"/>
      <c r="AIR88" s="50"/>
      <c r="AIS88" s="50"/>
      <c r="AIT88" s="50"/>
      <c r="AIU88" s="50"/>
      <c r="AIV88" s="50"/>
      <c r="AIW88" s="50"/>
      <c r="AIX88" s="50"/>
      <c r="AIY88" s="50"/>
      <c r="AIZ88" s="50"/>
      <c r="AJA88" s="50"/>
      <c r="AJB88" s="50"/>
      <c r="AJC88" s="50"/>
      <c r="AJD88" s="50"/>
      <c r="AJE88" s="50"/>
      <c r="AJF88" s="50"/>
      <c r="AJG88" s="50"/>
      <c r="AJH88" s="50"/>
      <c r="AJI88" s="50"/>
      <c r="AJJ88" s="50"/>
      <c r="AJK88" s="50"/>
      <c r="AJL88" s="50"/>
      <c r="AJM88" s="50"/>
      <c r="AJN88" s="50"/>
      <c r="AJO88" s="50"/>
      <c r="AJP88" s="50"/>
      <c r="AJQ88" s="50"/>
      <c r="AJR88" s="50"/>
      <c r="AJS88" s="50"/>
      <c r="AJT88" s="50"/>
      <c r="AJU88" s="50"/>
      <c r="AJV88" s="50"/>
      <c r="AJW88" s="50"/>
      <c r="AJX88" s="50"/>
      <c r="AJY88" s="50"/>
      <c r="AJZ88" s="50"/>
      <c r="AKA88" s="50"/>
      <c r="AKB88" s="50"/>
      <c r="AKC88" s="50"/>
      <c r="AKD88" s="50"/>
      <c r="AKE88" s="50"/>
      <c r="AKF88" s="50"/>
      <c r="AKG88" s="50"/>
      <c r="AKH88" s="50"/>
      <c r="AKI88" s="50"/>
      <c r="AKJ88" s="50"/>
      <c r="AKK88" s="50"/>
      <c r="AKL88" s="50"/>
      <c r="AKM88" s="50"/>
      <c r="AKN88" s="50"/>
      <c r="AKO88" s="50"/>
      <c r="AKP88" s="50"/>
      <c r="AKQ88" s="50"/>
      <c r="AKR88" s="50"/>
      <c r="AKS88" s="50"/>
      <c r="AKT88" s="50"/>
      <c r="AKU88" s="50"/>
      <c r="AKV88" s="50"/>
      <c r="AKW88" s="50"/>
      <c r="AKX88" s="50"/>
      <c r="AKY88" s="50"/>
      <c r="AKZ88" s="50"/>
      <c r="ALA88" s="50"/>
      <c r="ALB88" s="50"/>
      <c r="ALC88" s="50"/>
      <c r="ALD88" s="50"/>
      <c r="ALE88" s="50"/>
      <c r="ALF88" s="50"/>
      <c r="ALG88" s="50"/>
      <c r="ALH88" s="50"/>
      <c r="ALI88" s="50"/>
      <c r="ALJ88" s="50"/>
      <c r="ALK88" s="50"/>
      <c r="ALL88" s="50"/>
      <c r="ALM88" s="50"/>
      <c r="ALN88" s="50"/>
      <c r="ALO88" s="50"/>
      <c r="ALP88" s="50"/>
      <c r="ALQ88" s="50"/>
      <c r="ALR88" s="50"/>
      <c r="ALS88" s="50"/>
      <c r="ALT88" s="50"/>
      <c r="ALU88" s="50"/>
      <c r="ALV88" s="50"/>
      <c r="ALW88" s="50"/>
      <c r="ALX88" s="50"/>
      <c r="ALY88" s="50"/>
      <c r="ALZ88" s="50"/>
      <c r="AMA88" s="50"/>
      <c r="AMB88" s="50"/>
      <c r="AMC88" s="50"/>
      <c r="AMD88" s="50"/>
      <c r="AME88" s="50"/>
      <c r="AMF88" s="50"/>
      <c r="AMG88" s="50"/>
      <c r="AMH88" s="50"/>
      <c r="AMI88" s="50"/>
      <c r="AMJ88" s="50"/>
    </row>
    <row r="89" spans="12:1024" ht="15.95" customHeight="1" x14ac:dyDescent="0.2">
      <c r="L89" s="50"/>
      <c r="M89" s="51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50"/>
      <c r="BQ89" s="50"/>
      <c r="BR89" s="50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  <c r="DD89" s="50"/>
      <c r="DE89" s="50"/>
      <c r="DF89" s="50"/>
      <c r="DG89" s="50"/>
      <c r="DH89" s="50"/>
      <c r="DI89" s="50"/>
      <c r="DJ89" s="50"/>
      <c r="DK89" s="50"/>
      <c r="DL89" s="50"/>
      <c r="DM89" s="50"/>
      <c r="DN89" s="50"/>
      <c r="DO89" s="50"/>
      <c r="DP89" s="50"/>
      <c r="DQ89" s="50"/>
      <c r="DR89" s="50"/>
      <c r="DS89" s="50"/>
      <c r="DT89" s="50"/>
      <c r="DU89" s="50"/>
      <c r="DV89" s="50"/>
      <c r="DW89" s="50"/>
      <c r="DX89" s="50"/>
      <c r="DY89" s="50"/>
      <c r="DZ89" s="50"/>
      <c r="EA89" s="50"/>
      <c r="EB89" s="50"/>
      <c r="EC89" s="50"/>
      <c r="ED89" s="50"/>
      <c r="EE89" s="50"/>
      <c r="EF89" s="50"/>
      <c r="EG89" s="50"/>
      <c r="EH89" s="50"/>
      <c r="EI89" s="50"/>
      <c r="EJ89" s="50"/>
      <c r="EK89" s="50"/>
      <c r="EL89" s="50"/>
      <c r="EM89" s="50"/>
      <c r="EN89" s="50"/>
      <c r="EO89" s="50"/>
      <c r="EP89" s="50"/>
      <c r="EQ89" s="50"/>
      <c r="ER89" s="50"/>
      <c r="ES89" s="50"/>
      <c r="ET89" s="50"/>
      <c r="EU89" s="50"/>
      <c r="EV89" s="50"/>
      <c r="EW89" s="50"/>
      <c r="EX89" s="50"/>
      <c r="EY89" s="50"/>
      <c r="EZ89" s="50"/>
      <c r="FA89" s="50"/>
      <c r="FB89" s="50"/>
      <c r="FC89" s="50"/>
      <c r="FD89" s="50"/>
      <c r="FE89" s="50"/>
      <c r="FF89" s="50"/>
      <c r="FG89" s="50"/>
      <c r="FH89" s="50"/>
      <c r="FI89" s="50"/>
      <c r="FJ89" s="50"/>
      <c r="FK89" s="50"/>
      <c r="FL89" s="50"/>
      <c r="FM89" s="50"/>
      <c r="FN89" s="50"/>
      <c r="FO89" s="50"/>
      <c r="FP89" s="50"/>
      <c r="FQ89" s="50"/>
      <c r="FR89" s="50"/>
      <c r="FS89" s="50"/>
      <c r="FT89" s="50"/>
      <c r="FU89" s="50"/>
      <c r="FV89" s="50"/>
      <c r="FW89" s="50"/>
      <c r="FX89" s="50"/>
      <c r="FY89" s="50"/>
      <c r="FZ89" s="50"/>
      <c r="GA89" s="50"/>
      <c r="GB89" s="50"/>
      <c r="GC89" s="50"/>
      <c r="GD89" s="50"/>
      <c r="GE89" s="50"/>
      <c r="GF89" s="50"/>
      <c r="GG89" s="50"/>
      <c r="GH89" s="50"/>
      <c r="GI89" s="50"/>
      <c r="GJ89" s="50"/>
      <c r="GK89" s="50"/>
      <c r="GL89" s="50"/>
      <c r="GM89" s="50"/>
      <c r="GN89" s="50"/>
      <c r="GO89" s="50"/>
      <c r="GP89" s="50"/>
      <c r="GQ89" s="50"/>
      <c r="GR89" s="50"/>
      <c r="GS89" s="50"/>
      <c r="GT89" s="50"/>
      <c r="GU89" s="50"/>
      <c r="GV89" s="50"/>
      <c r="GW89" s="50"/>
      <c r="GX89" s="50"/>
      <c r="GY89" s="50"/>
      <c r="GZ89" s="50"/>
      <c r="HA89" s="50"/>
      <c r="HB89" s="50"/>
      <c r="HC89" s="50"/>
      <c r="HD89" s="50"/>
      <c r="HE89" s="50"/>
      <c r="HF89" s="50"/>
      <c r="HG89" s="50"/>
      <c r="HH89" s="50"/>
      <c r="HI89" s="50"/>
      <c r="HJ89" s="50"/>
      <c r="HK89" s="50"/>
      <c r="HL89" s="50"/>
      <c r="HM89" s="50"/>
      <c r="HN89" s="50"/>
      <c r="HO89" s="50"/>
      <c r="HP89" s="50"/>
      <c r="HQ89" s="50"/>
      <c r="HR89" s="50"/>
      <c r="HS89" s="50"/>
      <c r="HT89" s="50"/>
      <c r="HU89" s="50"/>
      <c r="HV89" s="50"/>
      <c r="HW89" s="50"/>
      <c r="HX89" s="50"/>
      <c r="HY89" s="50"/>
      <c r="HZ89" s="50"/>
      <c r="IA89" s="50"/>
      <c r="IB89" s="50"/>
      <c r="IC89" s="50"/>
      <c r="ID89" s="50"/>
      <c r="IE89" s="50"/>
      <c r="IF89" s="50"/>
      <c r="IG89" s="50"/>
      <c r="IH89" s="50"/>
      <c r="II89" s="50"/>
      <c r="IJ89" s="50"/>
      <c r="IK89" s="50"/>
      <c r="IL89" s="50"/>
      <c r="IM89" s="50"/>
      <c r="IN89" s="50"/>
      <c r="IO89" s="50"/>
      <c r="IP89" s="50"/>
      <c r="IQ89" s="50"/>
      <c r="IR89" s="50"/>
      <c r="IS89" s="50"/>
      <c r="IT89" s="50"/>
      <c r="IU89" s="50"/>
      <c r="IV89" s="50"/>
      <c r="IW89" s="50"/>
      <c r="IX89" s="50"/>
      <c r="IY89" s="50"/>
      <c r="IZ89" s="50"/>
      <c r="JA89" s="50"/>
      <c r="JB89" s="50"/>
      <c r="JC89" s="50"/>
      <c r="JD89" s="50"/>
      <c r="JE89" s="50"/>
      <c r="JF89" s="50"/>
      <c r="JG89" s="50"/>
      <c r="JH89" s="50"/>
      <c r="JI89" s="50"/>
      <c r="JJ89" s="50"/>
      <c r="JK89" s="50"/>
      <c r="JL89" s="50"/>
      <c r="JM89" s="50"/>
      <c r="JN89" s="50"/>
      <c r="JO89" s="50"/>
      <c r="JP89" s="50"/>
      <c r="JQ89" s="50"/>
      <c r="JR89" s="50"/>
      <c r="JS89" s="50"/>
      <c r="JT89" s="50"/>
      <c r="JU89" s="50"/>
      <c r="JV89" s="50"/>
      <c r="JW89" s="50"/>
      <c r="JX89" s="50"/>
      <c r="JY89" s="50"/>
      <c r="JZ89" s="50"/>
      <c r="KA89" s="50"/>
      <c r="KB89" s="50"/>
      <c r="KC89" s="50"/>
      <c r="KD89" s="50"/>
      <c r="KE89" s="50"/>
      <c r="KF89" s="50"/>
      <c r="KG89" s="50"/>
      <c r="KH89" s="50"/>
      <c r="KI89" s="50"/>
      <c r="KJ89" s="50"/>
      <c r="KK89" s="50"/>
      <c r="KL89" s="50"/>
      <c r="KM89" s="50"/>
      <c r="KN89" s="50"/>
      <c r="KO89" s="50"/>
      <c r="KP89" s="50"/>
      <c r="KQ89" s="50"/>
      <c r="KR89" s="50"/>
      <c r="KS89" s="50"/>
      <c r="KT89" s="50"/>
      <c r="KU89" s="50"/>
      <c r="KV89" s="50"/>
      <c r="KW89" s="50"/>
      <c r="KX89" s="50"/>
      <c r="KY89" s="50"/>
      <c r="KZ89" s="50"/>
      <c r="LA89" s="50"/>
      <c r="LB89" s="50"/>
      <c r="LC89" s="50"/>
      <c r="LD89" s="50"/>
      <c r="LE89" s="50"/>
      <c r="LF89" s="50"/>
      <c r="LG89" s="50"/>
      <c r="LH89" s="50"/>
      <c r="LI89" s="50"/>
      <c r="LJ89" s="50"/>
      <c r="LK89" s="50"/>
      <c r="LL89" s="50"/>
      <c r="LM89" s="50"/>
      <c r="LN89" s="50"/>
      <c r="LO89" s="50"/>
      <c r="LP89" s="50"/>
      <c r="LQ89" s="50"/>
      <c r="LR89" s="50"/>
      <c r="LS89" s="50"/>
      <c r="LT89" s="50"/>
      <c r="LU89" s="50"/>
      <c r="LV89" s="50"/>
      <c r="LW89" s="50"/>
      <c r="LX89" s="50"/>
      <c r="LY89" s="50"/>
      <c r="LZ89" s="50"/>
      <c r="MA89" s="50"/>
      <c r="MB89" s="50"/>
      <c r="MC89" s="50"/>
      <c r="MD89" s="50"/>
      <c r="ME89" s="50"/>
      <c r="MF89" s="50"/>
      <c r="MG89" s="50"/>
      <c r="MH89" s="50"/>
      <c r="MI89" s="50"/>
      <c r="MJ89" s="50"/>
      <c r="MK89" s="50"/>
      <c r="ML89" s="50"/>
      <c r="MM89" s="50"/>
      <c r="MN89" s="50"/>
      <c r="MO89" s="50"/>
      <c r="MP89" s="50"/>
      <c r="MQ89" s="50"/>
      <c r="MR89" s="50"/>
      <c r="MS89" s="50"/>
      <c r="MT89" s="50"/>
      <c r="MU89" s="50"/>
      <c r="MV89" s="50"/>
      <c r="MW89" s="50"/>
      <c r="MX89" s="50"/>
      <c r="MY89" s="50"/>
      <c r="MZ89" s="50"/>
      <c r="NA89" s="50"/>
      <c r="NB89" s="50"/>
      <c r="NC89" s="50"/>
      <c r="ND89" s="50"/>
      <c r="NE89" s="50"/>
      <c r="NF89" s="50"/>
      <c r="NG89" s="50"/>
      <c r="NH89" s="50"/>
      <c r="NI89" s="50"/>
      <c r="NJ89" s="50"/>
      <c r="NK89" s="50"/>
      <c r="NL89" s="50"/>
      <c r="NM89" s="50"/>
      <c r="NN89" s="50"/>
      <c r="NO89" s="50"/>
      <c r="NP89" s="50"/>
      <c r="NQ89" s="50"/>
      <c r="NR89" s="50"/>
      <c r="NS89" s="50"/>
      <c r="NT89" s="50"/>
      <c r="NU89" s="50"/>
      <c r="NV89" s="50"/>
      <c r="NW89" s="50"/>
      <c r="NX89" s="50"/>
      <c r="NY89" s="50"/>
      <c r="NZ89" s="50"/>
      <c r="OA89" s="50"/>
      <c r="OB89" s="50"/>
      <c r="OC89" s="50"/>
      <c r="OD89" s="50"/>
      <c r="OE89" s="50"/>
      <c r="OF89" s="50"/>
      <c r="OG89" s="50"/>
      <c r="OH89" s="50"/>
      <c r="OI89" s="50"/>
      <c r="OJ89" s="50"/>
      <c r="OK89" s="50"/>
      <c r="OL89" s="50"/>
      <c r="OM89" s="50"/>
      <c r="ON89" s="50"/>
      <c r="OO89" s="50"/>
      <c r="OP89" s="50"/>
      <c r="OQ89" s="50"/>
      <c r="OR89" s="50"/>
      <c r="OS89" s="50"/>
      <c r="OT89" s="50"/>
      <c r="OU89" s="50"/>
      <c r="OV89" s="50"/>
      <c r="OW89" s="50"/>
      <c r="OX89" s="50"/>
      <c r="OY89" s="50"/>
      <c r="OZ89" s="50"/>
      <c r="PA89" s="50"/>
      <c r="PB89" s="50"/>
      <c r="PC89" s="50"/>
      <c r="PD89" s="50"/>
      <c r="PE89" s="50"/>
      <c r="PF89" s="50"/>
      <c r="PG89" s="50"/>
      <c r="PH89" s="50"/>
      <c r="PI89" s="50"/>
      <c r="PJ89" s="50"/>
      <c r="PK89" s="50"/>
      <c r="PL89" s="50"/>
      <c r="PM89" s="50"/>
      <c r="PN89" s="50"/>
      <c r="PO89" s="50"/>
      <c r="PP89" s="50"/>
      <c r="PQ89" s="50"/>
      <c r="PR89" s="50"/>
      <c r="PS89" s="50"/>
      <c r="PT89" s="50"/>
      <c r="PU89" s="50"/>
      <c r="PV89" s="50"/>
      <c r="PW89" s="50"/>
      <c r="PX89" s="50"/>
      <c r="PY89" s="50"/>
      <c r="PZ89" s="50"/>
      <c r="QA89" s="50"/>
      <c r="QB89" s="50"/>
      <c r="QC89" s="50"/>
      <c r="QD89" s="50"/>
      <c r="QE89" s="50"/>
      <c r="QF89" s="50"/>
      <c r="QG89" s="50"/>
      <c r="QH89" s="50"/>
      <c r="QI89" s="50"/>
      <c r="QJ89" s="50"/>
      <c r="QK89" s="50"/>
      <c r="QL89" s="50"/>
      <c r="QM89" s="50"/>
      <c r="QN89" s="50"/>
      <c r="QO89" s="50"/>
      <c r="QP89" s="50"/>
      <c r="QQ89" s="50"/>
      <c r="QR89" s="50"/>
      <c r="QS89" s="50"/>
      <c r="QT89" s="50"/>
      <c r="QU89" s="50"/>
      <c r="QV89" s="50"/>
      <c r="QW89" s="50"/>
      <c r="QX89" s="50"/>
      <c r="QY89" s="50"/>
      <c r="QZ89" s="50"/>
      <c r="RA89" s="50"/>
      <c r="RB89" s="50"/>
      <c r="RC89" s="50"/>
      <c r="RD89" s="50"/>
      <c r="RE89" s="50"/>
      <c r="RF89" s="50"/>
      <c r="RG89" s="50"/>
      <c r="RH89" s="50"/>
      <c r="RI89" s="50"/>
      <c r="RJ89" s="50"/>
      <c r="RK89" s="50"/>
      <c r="RL89" s="50"/>
      <c r="RM89" s="50"/>
      <c r="RN89" s="50"/>
      <c r="RO89" s="50"/>
      <c r="RP89" s="50"/>
      <c r="RQ89" s="50"/>
      <c r="RR89" s="50"/>
      <c r="RS89" s="50"/>
      <c r="RT89" s="50"/>
      <c r="RU89" s="50"/>
      <c r="RV89" s="50"/>
      <c r="RW89" s="50"/>
      <c r="RX89" s="50"/>
      <c r="RY89" s="50"/>
      <c r="RZ89" s="50"/>
      <c r="SA89" s="50"/>
      <c r="SB89" s="50"/>
      <c r="SC89" s="50"/>
      <c r="SD89" s="50"/>
      <c r="SE89" s="50"/>
      <c r="SF89" s="50"/>
      <c r="SG89" s="50"/>
      <c r="SH89" s="50"/>
      <c r="SI89" s="50"/>
      <c r="SJ89" s="50"/>
      <c r="SK89" s="50"/>
      <c r="SL89" s="50"/>
      <c r="SM89" s="50"/>
      <c r="SN89" s="50"/>
      <c r="SO89" s="50"/>
      <c r="SP89" s="50"/>
      <c r="SQ89" s="50"/>
      <c r="SR89" s="50"/>
      <c r="SS89" s="50"/>
      <c r="ST89" s="50"/>
      <c r="SU89" s="50"/>
      <c r="SV89" s="50"/>
      <c r="SW89" s="50"/>
      <c r="SX89" s="50"/>
      <c r="SY89" s="50"/>
      <c r="SZ89" s="50"/>
      <c r="TA89" s="50"/>
      <c r="TB89" s="50"/>
      <c r="TC89" s="50"/>
      <c r="TD89" s="50"/>
      <c r="TE89" s="50"/>
      <c r="TF89" s="50"/>
      <c r="TG89" s="50"/>
      <c r="TH89" s="50"/>
      <c r="TI89" s="50"/>
      <c r="TJ89" s="50"/>
      <c r="TK89" s="50"/>
      <c r="TL89" s="50"/>
      <c r="TM89" s="50"/>
      <c r="TN89" s="50"/>
      <c r="TO89" s="50"/>
      <c r="TP89" s="50"/>
      <c r="TQ89" s="50"/>
      <c r="TR89" s="50"/>
      <c r="TS89" s="50"/>
      <c r="TT89" s="50"/>
      <c r="TU89" s="50"/>
      <c r="TV89" s="50"/>
      <c r="TW89" s="50"/>
      <c r="TX89" s="50"/>
      <c r="TY89" s="50"/>
      <c r="TZ89" s="50"/>
      <c r="UA89" s="50"/>
      <c r="UB89" s="50"/>
      <c r="UC89" s="50"/>
      <c r="UD89" s="50"/>
      <c r="UE89" s="50"/>
      <c r="UF89" s="50"/>
      <c r="UG89" s="50"/>
      <c r="UH89" s="50"/>
      <c r="UI89" s="50"/>
      <c r="UJ89" s="50"/>
      <c r="UK89" s="50"/>
      <c r="UL89" s="50"/>
      <c r="UM89" s="50"/>
      <c r="UN89" s="50"/>
      <c r="UO89" s="50"/>
      <c r="UP89" s="50"/>
      <c r="UQ89" s="50"/>
      <c r="UR89" s="50"/>
      <c r="US89" s="50"/>
      <c r="UT89" s="50"/>
      <c r="UU89" s="50"/>
      <c r="UV89" s="50"/>
      <c r="UW89" s="50"/>
      <c r="UX89" s="50"/>
      <c r="UY89" s="50"/>
      <c r="UZ89" s="50"/>
      <c r="VA89" s="50"/>
      <c r="VB89" s="50"/>
      <c r="VC89" s="50"/>
      <c r="VD89" s="50"/>
      <c r="VE89" s="50"/>
      <c r="VF89" s="50"/>
      <c r="VG89" s="50"/>
      <c r="VH89" s="50"/>
      <c r="VI89" s="50"/>
      <c r="VJ89" s="50"/>
      <c r="VK89" s="50"/>
      <c r="VL89" s="50"/>
      <c r="VM89" s="50"/>
      <c r="VN89" s="50"/>
      <c r="VO89" s="50"/>
      <c r="VP89" s="50"/>
      <c r="VQ89" s="50"/>
      <c r="VR89" s="50"/>
      <c r="VS89" s="50"/>
      <c r="VT89" s="50"/>
      <c r="VU89" s="50"/>
      <c r="VV89" s="50"/>
      <c r="VW89" s="50"/>
      <c r="VX89" s="50"/>
      <c r="VY89" s="50"/>
      <c r="VZ89" s="50"/>
      <c r="WA89" s="50"/>
      <c r="WB89" s="50"/>
      <c r="WC89" s="50"/>
      <c r="WD89" s="50"/>
      <c r="WE89" s="50"/>
      <c r="WF89" s="50"/>
      <c r="WG89" s="50"/>
      <c r="WH89" s="50"/>
      <c r="WI89" s="50"/>
      <c r="WJ89" s="50"/>
      <c r="WK89" s="50"/>
      <c r="WL89" s="50"/>
      <c r="WM89" s="50"/>
      <c r="WN89" s="50"/>
      <c r="WO89" s="50"/>
      <c r="WP89" s="50"/>
      <c r="WQ89" s="50"/>
      <c r="WR89" s="50"/>
      <c r="WS89" s="50"/>
      <c r="WT89" s="50"/>
      <c r="WU89" s="50"/>
      <c r="WV89" s="50"/>
      <c r="WW89" s="50"/>
      <c r="WX89" s="50"/>
      <c r="WY89" s="50"/>
      <c r="WZ89" s="50"/>
      <c r="XA89" s="50"/>
      <c r="XB89" s="50"/>
      <c r="XC89" s="50"/>
      <c r="XD89" s="50"/>
      <c r="XE89" s="50"/>
      <c r="XF89" s="50"/>
      <c r="XG89" s="50"/>
      <c r="XH89" s="50"/>
      <c r="XI89" s="50"/>
      <c r="XJ89" s="50"/>
      <c r="XK89" s="50"/>
      <c r="XL89" s="50"/>
      <c r="XM89" s="50"/>
      <c r="XN89" s="50"/>
      <c r="XO89" s="50"/>
      <c r="XP89" s="50"/>
      <c r="XQ89" s="50"/>
      <c r="XR89" s="50"/>
      <c r="XS89" s="50"/>
      <c r="XT89" s="50"/>
      <c r="XU89" s="50"/>
      <c r="XV89" s="50"/>
      <c r="XW89" s="50"/>
      <c r="XX89" s="50"/>
      <c r="XY89" s="50"/>
      <c r="XZ89" s="50"/>
      <c r="YA89" s="50"/>
      <c r="YB89" s="50"/>
      <c r="YC89" s="50"/>
      <c r="YD89" s="50"/>
      <c r="YE89" s="50"/>
      <c r="YF89" s="50"/>
      <c r="YG89" s="50"/>
      <c r="YH89" s="50"/>
      <c r="YI89" s="50"/>
      <c r="YJ89" s="50"/>
      <c r="YK89" s="50"/>
      <c r="YL89" s="50"/>
      <c r="YM89" s="50"/>
      <c r="YN89" s="50"/>
      <c r="YO89" s="50"/>
      <c r="YP89" s="50"/>
      <c r="YQ89" s="50"/>
      <c r="YR89" s="50"/>
      <c r="YS89" s="50"/>
      <c r="YT89" s="50"/>
      <c r="YU89" s="50"/>
      <c r="YV89" s="50"/>
      <c r="YW89" s="50"/>
      <c r="YX89" s="50"/>
      <c r="YY89" s="50"/>
      <c r="YZ89" s="50"/>
      <c r="ZA89" s="50"/>
      <c r="ZB89" s="50"/>
      <c r="ZC89" s="50"/>
      <c r="ZD89" s="50"/>
      <c r="ZE89" s="50"/>
      <c r="ZF89" s="50"/>
      <c r="ZG89" s="50"/>
      <c r="ZH89" s="50"/>
      <c r="ZI89" s="50"/>
      <c r="ZJ89" s="50"/>
      <c r="ZK89" s="50"/>
      <c r="ZL89" s="50"/>
      <c r="ZM89" s="50"/>
      <c r="ZN89" s="50"/>
      <c r="ZO89" s="50"/>
      <c r="ZP89" s="50"/>
      <c r="ZQ89" s="50"/>
      <c r="ZR89" s="50"/>
      <c r="ZS89" s="50"/>
      <c r="ZT89" s="50"/>
      <c r="ZU89" s="50"/>
      <c r="ZV89" s="50"/>
      <c r="ZW89" s="50"/>
      <c r="ZX89" s="50"/>
      <c r="ZY89" s="50"/>
      <c r="ZZ89" s="50"/>
      <c r="AAA89" s="50"/>
      <c r="AAB89" s="50"/>
      <c r="AAC89" s="50"/>
      <c r="AAD89" s="50"/>
      <c r="AAE89" s="50"/>
      <c r="AAF89" s="50"/>
      <c r="AAG89" s="50"/>
      <c r="AAH89" s="50"/>
      <c r="AAI89" s="50"/>
      <c r="AAJ89" s="50"/>
      <c r="AAK89" s="50"/>
      <c r="AAL89" s="50"/>
      <c r="AAM89" s="50"/>
      <c r="AAN89" s="50"/>
      <c r="AAO89" s="50"/>
      <c r="AAP89" s="50"/>
      <c r="AAQ89" s="50"/>
      <c r="AAR89" s="50"/>
      <c r="AAS89" s="50"/>
      <c r="AAT89" s="50"/>
      <c r="AAU89" s="50"/>
      <c r="AAV89" s="50"/>
      <c r="AAW89" s="50"/>
      <c r="AAX89" s="50"/>
      <c r="AAY89" s="50"/>
      <c r="AAZ89" s="50"/>
      <c r="ABA89" s="50"/>
      <c r="ABB89" s="50"/>
      <c r="ABC89" s="50"/>
      <c r="ABD89" s="50"/>
      <c r="ABE89" s="50"/>
      <c r="ABF89" s="50"/>
      <c r="ABG89" s="50"/>
      <c r="ABH89" s="50"/>
      <c r="ABI89" s="50"/>
      <c r="ABJ89" s="50"/>
      <c r="ABK89" s="50"/>
      <c r="ABL89" s="50"/>
      <c r="ABM89" s="50"/>
      <c r="ABN89" s="50"/>
      <c r="ABO89" s="50"/>
      <c r="ABP89" s="50"/>
      <c r="ABQ89" s="50"/>
      <c r="ABR89" s="50"/>
      <c r="ABS89" s="50"/>
      <c r="ABT89" s="50"/>
      <c r="ABU89" s="50"/>
      <c r="ABV89" s="50"/>
      <c r="ABW89" s="50"/>
      <c r="ABX89" s="50"/>
      <c r="ABY89" s="50"/>
      <c r="ABZ89" s="50"/>
      <c r="ACA89" s="50"/>
      <c r="ACB89" s="50"/>
      <c r="ACC89" s="50"/>
      <c r="ACD89" s="50"/>
      <c r="ACE89" s="50"/>
      <c r="ACF89" s="50"/>
      <c r="ACG89" s="50"/>
      <c r="ACH89" s="50"/>
      <c r="ACI89" s="50"/>
      <c r="ACJ89" s="50"/>
      <c r="ACK89" s="50"/>
      <c r="ACL89" s="50"/>
      <c r="ACM89" s="50"/>
      <c r="ACN89" s="50"/>
      <c r="ACO89" s="50"/>
      <c r="ACP89" s="50"/>
      <c r="ACQ89" s="50"/>
      <c r="ACR89" s="50"/>
      <c r="ACS89" s="50"/>
      <c r="ACT89" s="50"/>
      <c r="ACU89" s="50"/>
      <c r="ACV89" s="50"/>
      <c r="ACW89" s="50"/>
      <c r="ACX89" s="50"/>
      <c r="ACY89" s="50"/>
      <c r="ACZ89" s="50"/>
      <c r="ADA89" s="50"/>
      <c r="ADB89" s="50"/>
      <c r="ADC89" s="50"/>
      <c r="ADD89" s="50"/>
      <c r="ADE89" s="50"/>
      <c r="ADF89" s="50"/>
      <c r="ADG89" s="50"/>
      <c r="ADH89" s="50"/>
      <c r="ADI89" s="50"/>
      <c r="ADJ89" s="50"/>
      <c r="ADK89" s="50"/>
      <c r="ADL89" s="50"/>
      <c r="ADM89" s="50"/>
      <c r="ADN89" s="50"/>
      <c r="ADO89" s="50"/>
      <c r="ADP89" s="50"/>
      <c r="ADQ89" s="50"/>
      <c r="ADR89" s="50"/>
      <c r="ADS89" s="50"/>
      <c r="ADT89" s="50"/>
      <c r="ADU89" s="50"/>
      <c r="ADV89" s="50"/>
      <c r="ADW89" s="50"/>
      <c r="ADX89" s="50"/>
      <c r="ADY89" s="50"/>
      <c r="ADZ89" s="50"/>
      <c r="AEA89" s="50"/>
      <c r="AEB89" s="50"/>
      <c r="AEC89" s="50"/>
      <c r="AED89" s="50"/>
      <c r="AEE89" s="50"/>
      <c r="AEF89" s="50"/>
      <c r="AEG89" s="50"/>
      <c r="AEH89" s="50"/>
      <c r="AEI89" s="50"/>
      <c r="AEJ89" s="50"/>
      <c r="AEK89" s="50"/>
      <c r="AEL89" s="50"/>
      <c r="AEM89" s="50"/>
      <c r="AEN89" s="50"/>
      <c r="AEO89" s="50"/>
      <c r="AEP89" s="50"/>
      <c r="AEQ89" s="50"/>
      <c r="AER89" s="50"/>
      <c r="AES89" s="50"/>
      <c r="AET89" s="50"/>
      <c r="AEU89" s="50"/>
      <c r="AEV89" s="50"/>
      <c r="AEW89" s="50"/>
      <c r="AEX89" s="50"/>
      <c r="AEY89" s="50"/>
      <c r="AEZ89" s="50"/>
      <c r="AFA89" s="50"/>
      <c r="AFB89" s="50"/>
      <c r="AFC89" s="50"/>
      <c r="AFD89" s="50"/>
      <c r="AFE89" s="50"/>
      <c r="AFF89" s="50"/>
      <c r="AFG89" s="50"/>
      <c r="AFH89" s="50"/>
      <c r="AFI89" s="50"/>
      <c r="AFJ89" s="50"/>
      <c r="AFK89" s="50"/>
      <c r="AFL89" s="50"/>
      <c r="AFM89" s="50"/>
      <c r="AFN89" s="50"/>
      <c r="AFO89" s="50"/>
      <c r="AFP89" s="50"/>
      <c r="AFQ89" s="50"/>
      <c r="AFR89" s="50"/>
      <c r="AFS89" s="50"/>
      <c r="AFT89" s="50"/>
      <c r="AFU89" s="50"/>
      <c r="AFV89" s="50"/>
      <c r="AFW89" s="50"/>
      <c r="AFX89" s="50"/>
      <c r="AFY89" s="50"/>
      <c r="AFZ89" s="50"/>
      <c r="AGA89" s="50"/>
      <c r="AGB89" s="50"/>
      <c r="AGC89" s="50"/>
      <c r="AGD89" s="50"/>
      <c r="AGE89" s="50"/>
      <c r="AGF89" s="50"/>
      <c r="AGG89" s="50"/>
      <c r="AGH89" s="50"/>
      <c r="AGI89" s="50"/>
      <c r="AGJ89" s="50"/>
      <c r="AGK89" s="50"/>
      <c r="AGL89" s="50"/>
      <c r="AGM89" s="50"/>
      <c r="AGN89" s="50"/>
      <c r="AGO89" s="50"/>
      <c r="AGP89" s="50"/>
      <c r="AGQ89" s="50"/>
      <c r="AGR89" s="50"/>
      <c r="AGS89" s="50"/>
      <c r="AGT89" s="50"/>
      <c r="AGU89" s="50"/>
      <c r="AGV89" s="50"/>
      <c r="AGW89" s="50"/>
      <c r="AGX89" s="50"/>
      <c r="AGY89" s="50"/>
      <c r="AGZ89" s="50"/>
      <c r="AHA89" s="50"/>
      <c r="AHB89" s="50"/>
      <c r="AHC89" s="50"/>
      <c r="AHD89" s="50"/>
      <c r="AHE89" s="50"/>
      <c r="AHF89" s="50"/>
      <c r="AHG89" s="50"/>
      <c r="AHH89" s="50"/>
      <c r="AHI89" s="50"/>
      <c r="AHJ89" s="50"/>
      <c r="AHK89" s="50"/>
      <c r="AHL89" s="50"/>
      <c r="AHM89" s="50"/>
      <c r="AHN89" s="50"/>
      <c r="AHO89" s="50"/>
      <c r="AHP89" s="50"/>
      <c r="AHQ89" s="50"/>
      <c r="AHR89" s="50"/>
      <c r="AHS89" s="50"/>
      <c r="AHT89" s="50"/>
      <c r="AHU89" s="50"/>
      <c r="AHV89" s="50"/>
      <c r="AHW89" s="50"/>
      <c r="AHX89" s="50"/>
      <c r="AHY89" s="50"/>
      <c r="AHZ89" s="50"/>
      <c r="AIA89" s="50"/>
      <c r="AIB89" s="50"/>
      <c r="AIC89" s="50"/>
      <c r="AID89" s="50"/>
      <c r="AIE89" s="50"/>
      <c r="AIF89" s="50"/>
      <c r="AIG89" s="50"/>
      <c r="AIH89" s="50"/>
      <c r="AII89" s="50"/>
      <c r="AIJ89" s="50"/>
      <c r="AIK89" s="50"/>
      <c r="AIL89" s="50"/>
      <c r="AIM89" s="50"/>
      <c r="AIN89" s="50"/>
      <c r="AIO89" s="50"/>
      <c r="AIP89" s="50"/>
      <c r="AIQ89" s="50"/>
      <c r="AIR89" s="50"/>
      <c r="AIS89" s="50"/>
      <c r="AIT89" s="50"/>
      <c r="AIU89" s="50"/>
      <c r="AIV89" s="50"/>
      <c r="AIW89" s="50"/>
      <c r="AIX89" s="50"/>
      <c r="AIY89" s="50"/>
      <c r="AIZ89" s="50"/>
      <c r="AJA89" s="50"/>
      <c r="AJB89" s="50"/>
      <c r="AJC89" s="50"/>
      <c r="AJD89" s="50"/>
      <c r="AJE89" s="50"/>
      <c r="AJF89" s="50"/>
      <c r="AJG89" s="50"/>
      <c r="AJH89" s="50"/>
      <c r="AJI89" s="50"/>
      <c r="AJJ89" s="50"/>
      <c r="AJK89" s="50"/>
      <c r="AJL89" s="50"/>
      <c r="AJM89" s="50"/>
      <c r="AJN89" s="50"/>
      <c r="AJO89" s="50"/>
      <c r="AJP89" s="50"/>
      <c r="AJQ89" s="50"/>
      <c r="AJR89" s="50"/>
      <c r="AJS89" s="50"/>
      <c r="AJT89" s="50"/>
      <c r="AJU89" s="50"/>
      <c r="AJV89" s="50"/>
      <c r="AJW89" s="50"/>
      <c r="AJX89" s="50"/>
      <c r="AJY89" s="50"/>
      <c r="AJZ89" s="50"/>
      <c r="AKA89" s="50"/>
      <c r="AKB89" s="50"/>
      <c r="AKC89" s="50"/>
      <c r="AKD89" s="50"/>
      <c r="AKE89" s="50"/>
      <c r="AKF89" s="50"/>
      <c r="AKG89" s="50"/>
      <c r="AKH89" s="50"/>
      <c r="AKI89" s="50"/>
      <c r="AKJ89" s="50"/>
      <c r="AKK89" s="50"/>
      <c r="AKL89" s="50"/>
      <c r="AKM89" s="50"/>
      <c r="AKN89" s="50"/>
      <c r="AKO89" s="50"/>
      <c r="AKP89" s="50"/>
      <c r="AKQ89" s="50"/>
      <c r="AKR89" s="50"/>
      <c r="AKS89" s="50"/>
      <c r="AKT89" s="50"/>
      <c r="AKU89" s="50"/>
      <c r="AKV89" s="50"/>
      <c r="AKW89" s="50"/>
      <c r="AKX89" s="50"/>
      <c r="AKY89" s="50"/>
      <c r="AKZ89" s="50"/>
      <c r="ALA89" s="50"/>
      <c r="ALB89" s="50"/>
      <c r="ALC89" s="50"/>
      <c r="ALD89" s="50"/>
      <c r="ALE89" s="50"/>
      <c r="ALF89" s="50"/>
      <c r="ALG89" s="50"/>
      <c r="ALH89" s="50"/>
      <c r="ALI89" s="50"/>
      <c r="ALJ89" s="50"/>
      <c r="ALK89" s="50"/>
      <c r="ALL89" s="50"/>
      <c r="ALM89" s="50"/>
      <c r="ALN89" s="50"/>
      <c r="ALO89" s="50"/>
      <c r="ALP89" s="50"/>
      <c r="ALQ89" s="50"/>
      <c r="ALR89" s="50"/>
      <c r="ALS89" s="50"/>
      <c r="ALT89" s="50"/>
      <c r="ALU89" s="50"/>
      <c r="ALV89" s="50"/>
      <c r="ALW89" s="50"/>
      <c r="ALX89" s="50"/>
      <c r="ALY89" s="50"/>
      <c r="ALZ89" s="50"/>
      <c r="AMA89" s="50"/>
      <c r="AMB89" s="50"/>
      <c r="AMC89" s="50"/>
      <c r="AMD89" s="50"/>
      <c r="AME89" s="50"/>
      <c r="AMF89" s="50"/>
      <c r="AMG89" s="50"/>
      <c r="AMH89" s="50"/>
      <c r="AMI89" s="50"/>
      <c r="AMJ89" s="50"/>
    </row>
    <row r="90" spans="12:1024" ht="15.95" customHeight="1" x14ac:dyDescent="0.2">
      <c r="L90" s="50"/>
      <c r="M90" s="51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50"/>
      <c r="BQ90" s="50"/>
      <c r="BR90" s="50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  <c r="DD90" s="50"/>
      <c r="DE90" s="50"/>
      <c r="DF90" s="50"/>
      <c r="DG90" s="50"/>
      <c r="DH90" s="50"/>
      <c r="DI90" s="50"/>
      <c r="DJ90" s="50"/>
      <c r="DK90" s="50"/>
      <c r="DL90" s="50"/>
      <c r="DM90" s="50"/>
      <c r="DN90" s="50"/>
      <c r="DO90" s="50"/>
      <c r="DP90" s="50"/>
      <c r="DQ90" s="50"/>
      <c r="DR90" s="50"/>
      <c r="DS90" s="50"/>
      <c r="DT90" s="50"/>
      <c r="DU90" s="50"/>
      <c r="DV90" s="50"/>
      <c r="DW90" s="50"/>
      <c r="DX90" s="50"/>
      <c r="DY90" s="50"/>
      <c r="DZ90" s="50"/>
      <c r="EA90" s="50"/>
      <c r="EB90" s="50"/>
      <c r="EC90" s="50"/>
      <c r="ED90" s="50"/>
      <c r="EE90" s="50"/>
      <c r="EF90" s="50"/>
      <c r="EG90" s="50"/>
      <c r="EH90" s="50"/>
      <c r="EI90" s="50"/>
      <c r="EJ90" s="50"/>
      <c r="EK90" s="50"/>
      <c r="EL90" s="50"/>
      <c r="EM90" s="50"/>
      <c r="EN90" s="50"/>
      <c r="EO90" s="50"/>
      <c r="EP90" s="50"/>
      <c r="EQ90" s="50"/>
      <c r="ER90" s="50"/>
      <c r="ES90" s="50"/>
      <c r="ET90" s="50"/>
      <c r="EU90" s="50"/>
      <c r="EV90" s="50"/>
      <c r="EW90" s="50"/>
      <c r="EX90" s="50"/>
      <c r="EY90" s="50"/>
      <c r="EZ90" s="50"/>
      <c r="FA90" s="50"/>
      <c r="FB90" s="50"/>
      <c r="FC90" s="50"/>
      <c r="FD90" s="50"/>
      <c r="FE90" s="50"/>
      <c r="FF90" s="50"/>
      <c r="FG90" s="50"/>
      <c r="FH90" s="50"/>
      <c r="FI90" s="50"/>
      <c r="FJ90" s="50"/>
      <c r="FK90" s="50"/>
      <c r="FL90" s="50"/>
      <c r="FM90" s="50"/>
      <c r="FN90" s="50"/>
      <c r="FO90" s="50"/>
      <c r="FP90" s="50"/>
      <c r="FQ90" s="50"/>
      <c r="FR90" s="50"/>
      <c r="FS90" s="50"/>
      <c r="FT90" s="50"/>
      <c r="FU90" s="50"/>
      <c r="FV90" s="50"/>
      <c r="FW90" s="50"/>
      <c r="FX90" s="50"/>
      <c r="FY90" s="50"/>
      <c r="FZ90" s="50"/>
      <c r="GA90" s="50"/>
      <c r="GB90" s="50"/>
      <c r="GC90" s="50"/>
      <c r="GD90" s="50"/>
      <c r="GE90" s="50"/>
      <c r="GF90" s="50"/>
      <c r="GG90" s="50"/>
      <c r="GH90" s="50"/>
      <c r="GI90" s="50"/>
      <c r="GJ90" s="50"/>
      <c r="GK90" s="50"/>
      <c r="GL90" s="50"/>
      <c r="GM90" s="50"/>
      <c r="GN90" s="50"/>
      <c r="GO90" s="50"/>
      <c r="GP90" s="50"/>
      <c r="GQ90" s="50"/>
      <c r="GR90" s="50"/>
      <c r="GS90" s="50"/>
      <c r="GT90" s="50"/>
      <c r="GU90" s="50"/>
      <c r="GV90" s="50"/>
      <c r="GW90" s="50"/>
      <c r="GX90" s="50"/>
      <c r="GY90" s="50"/>
      <c r="GZ90" s="50"/>
      <c r="HA90" s="50"/>
      <c r="HB90" s="50"/>
      <c r="HC90" s="50"/>
      <c r="HD90" s="50"/>
      <c r="HE90" s="50"/>
      <c r="HF90" s="50"/>
      <c r="HG90" s="50"/>
      <c r="HH90" s="50"/>
      <c r="HI90" s="50"/>
      <c r="HJ90" s="50"/>
      <c r="HK90" s="50"/>
      <c r="HL90" s="50"/>
      <c r="HM90" s="50"/>
      <c r="HN90" s="50"/>
      <c r="HO90" s="50"/>
      <c r="HP90" s="50"/>
      <c r="HQ90" s="50"/>
      <c r="HR90" s="50"/>
      <c r="HS90" s="50"/>
      <c r="HT90" s="50"/>
      <c r="HU90" s="50"/>
      <c r="HV90" s="50"/>
      <c r="HW90" s="50"/>
      <c r="HX90" s="50"/>
      <c r="HY90" s="50"/>
      <c r="HZ90" s="50"/>
      <c r="IA90" s="50"/>
      <c r="IB90" s="50"/>
      <c r="IC90" s="50"/>
      <c r="ID90" s="50"/>
      <c r="IE90" s="50"/>
      <c r="IF90" s="50"/>
      <c r="IG90" s="50"/>
      <c r="IH90" s="50"/>
      <c r="II90" s="50"/>
      <c r="IJ90" s="50"/>
      <c r="IK90" s="50"/>
      <c r="IL90" s="50"/>
      <c r="IM90" s="50"/>
      <c r="IN90" s="50"/>
      <c r="IO90" s="50"/>
      <c r="IP90" s="50"/>
      <c r="IQ90" s="50"/>
      <c r="IR90" s="50"/>
      <c r="IS90" s="50"/>
      <c r="IT90" s="50"/>
      <c r="IU90" s="50"/>
      <c r="IV90" s="50"/>
      <c r="IW90" s="50"/>
      <c r="IX90" s="50"/>
      <c r="IY90" s="50"/>
      <c r="IZ90" s="50"/>
      <c r="JA90" s="50"/>
      <c r="JB90" s="50"/>
      <c r="JC90" s="50"/>
      <c r="JD90" s="50"/>
      <c r="JE90" s="50"/>
      <c r="JF90" s="50"/>
      <c r="JG90" s="50"/>
      <c r="JH90" s="50"/>
      <c r="JI90" s="50"/>
      <c r="JJ90" s="50"/>
      <c r="JK90" s="50"/>
      <c r="JL90" s="50"/>
      <c r="JM90" s="50"/>
      <c r="JN90" s="50"/>
      <c r="JO90" s="50"/>
      <c r="JP90" s="50"/>
      <c r="JQ90" s="50"/>
      <c r="JR90" s="50"/>
      <c r="JS90" s="50"/>
      <c r="JT90" s="50"/>
      <c r="JU90" s="50"/>
      <c r="JV90" s="50"/>
      <c r="JW90" s="50"/>
      <c r="JX90" s="50"/>
      <c r="JY90" s="50"/>
      <c r="JZ90" s="50"/>
      <c r="KA90" s="50"/>
      <c r="KB90" s="50"/>
      <c r="KC90" s="50"/>
      <c r="KD90" s="50"/>
      <c r="KE90" s="50"/>
      <c r="KF90" s="50"/>
      <c r="KG90" s="50"/>
      <c r="KH90" s="50"/>
      <c r="KI90" s="50"/>
      <c r="KJ90" s="50"/>
      <c r="KK90" s="50"/>
      <c r="KL90" s="50"/>
      <c r="KM90" s="50"/>
      <c r="KN90" s="50"/>
      <c r="KO90" s="50"/>
      <c r="KP90" s="50"/>
      <c r="KQ90" s="50"/>
      <c r="KR90" s="50"/>
      <c r="KS90" s="50"/>
      <c r="KT90" s="50"/>
      <c r="KU90" s="50"/>
      <c r="KV90" s="50"/>
      <c r="KW90" s="50"/>
      <c r="KX90" s="50"/>
      <c r="KY90" s="50"/>
      <c r="KZ90" s="50"/>
      <c r="LA90" s="50"/>
      <c r="LB90" s="50"/>
      <c r="LC90" s="50"/>
      <c r="LD90" s="50"/>
      <c r="LE90" s="50"/>
      <c r="LF90" s="50"/>
      <c r="LG90" s="50"/>
      <c r="LH90" s="50"/>
      <c r="LI90" s="50"/>
      <c r="LJ90" s="50"/>
      <c r="LK90" s="50"/>
      <c r="LL90" s="50"/>
      <c r="LM90" s="50"/>
      <c r="LN90" s="50"/>
      <c r="LO90" s="50"/>
      <c r="LP90" s="50"/>
      <c r="LQ90" s="50"/>
      <c r="LR90" s="50"/>
      <c r="LS90" s="50"/>
      <c r="LT90" s="50"/>
      <c r="LU90" s="50"/>
      <c r="LV90" s="50"/>
      <c r="LW90" s="50"/>
      <c r="LX90" s="50"/>
      <c r="LY90" s="50"/>
      <c r="LZ90" s="50"/>
      <c r="MA90" s="50"/>
      <c r="MB90" s="50"/>
      <c r="MC90" s="50"/>
      <c r="MD90" s="50"/>
      <c r="ME90" s="50"/>
      <c r="MF90" s="50"/>
      <c r="MG90" s="50"/>
      <c r="MH90" s="50"/>
      <c r="MI90" s="50"/>
      <c r="MJ90" s="50"/>
      <c r="MK90" s="50"/>
      <c r="ML90" s="50"/>
      <c r="MM90" s="50"/>
      <c r="MN90" s="50"/>
      <c r="MO90" s="50"/>
      <c r="MP90" s="50"/>
      <c r="MQ90" s="50"/>
      <c r="MR90" s="50"/>
      <c r="MS90" s="50"/>
      <c r="MT90" s="50"/>
      <c r="MU90" s="50"/>
      <c r="MV90" s="50"/>
      <c r="MW90" s="50"/>
      <c r="MX90" s="50"/>
      <c r="MY90" s="50"/>
      <c r="MZ90" s="50"/>
      <c r="NA90" s="50"/>
      <c r="NB90" s="50"/>
      <c r="NC90" s="50"/>
      <c r="ND90" s="50"/>
      <c r="NE90" s="50"/>
      <c r="NF90" s="50"/>
      <c r="NG90" s="50"/>
      <c r="NH90" s="50"/>
      <c r="NI90" s="50"/>
      <c r="NJ90" s="50"/>
      <c r="NK90" s="50"/>
      <c r="NL90" s="50"/>
      <c r="NM90" s="50"/>
      <c r="NN90" s="50"/>
      <c r="NO90" s="50"/>
      <c r="NP90" s="50"/>
      <c r="NQ90" s="50"/>
      <c r="NR90" s="50"/>
      <c r="NS90" s="50"/>
      <c r="NT90" s="50"/>
      <c r="NU90" s="50"/>
      <c r="NV90" s="50"/>
      <c r="NW90" s="50"/>
      <c r="NX90" s="50"/>
      <c r="NY90" s="50"/>
      <c r="NZ90" s="50"/>
      <c r="OA90" s="50"/>
      <c r="OB90" s="50"/>
      <c r="OC90" s="50"/>
      <c r="OD90" s="50"/>
      <c r="OE90" s="50"/>
      <c r="OF90" s="50"/>
      <c r="OG90" s="50"/>
      <c r="OH90" s="50"/>
      <c r="OI90" s="50"/>
      <c r="OJ90" s="50"/>
      <c r="OK90" s="50"/>
      <c r="OL90" s="50"/>
      <c r="OM90" s="50"/>
      <c r="ON90" s="50"/>
      <c r="OO90" s="50"/>
      <c r="OP90" s="50"/>
      <c r="OQ90" s="50"/>
      <c r="OR90" s="50"/>
      <c r="OS90" s="50"/>
      <c r="OT90" s="50"/>
      <c r="OU90" s="50"/>
      <c r="OV90" s="50"/>
      <c r="OW90" s="50"/>
      <c r="OX90" s="50"/>
      <c r="OY90" s="50"/>
      <c r="OZ90" s="50"/>
      <c r="PA90" s="50"/>
      <c r="PB90" s="50"/>
      <c r="PC90" s="50"/>
      <c r="PD90" s="50"/>
      <c r="PE90" s="50"/>
      <c r="PF90" s="50"/>
      <c r="PG90" s="50"/>
      <c r="PH90" s="50"/>
      <c r="PI90" s="50"/>
      <c r="PJ90" s="50"/>
      <c r="PK90" s="50"/>
      <c r="PL90" s="50"/>
      <c r="PM90" s="50"/>
      <c r="PN90" s="50"/>
      <c r="PO90" s="50"/>
      <c r="PP90" s="50"/>
      <c r="PQ90" s="50"/>
      <c r="PR90" s="50"/>
      <c r="PS90" s="50"/>
      <c r="PT90" s="50"/>
      <c r="PU90" s="50"/>
      <c r="PV90" s="50"/>
      <c r="PW90" s="50"/>
      <c r="PX90" s="50"/>
      <c r="PY90" s="50"/>
      <c r="PZ90" s="50"/>
      <c r="QA90" s="50"/>
      <c r="QB90" s="50"/>
      <c r="QC90" s="50"/>
      <c r="QD90" s="50"/>
      <c r="QE90" s="50"/>
      <c r="QF90" s="50"/>
      <c r="QG90" s="50"/>
      <c r="QH90" s="50"/>
      <c r="QI90" s="50"/>
      <c r="QJ90" s="50"/>
      <c r="QK90" s="50"/>
      <c r="QL90" s="50"/>
      <c r="QM90" s="50"/>
      <c r="QN90" s="50"/>
      <c r="QO90" s="50"/>
      <c r="QP90" s="50"/>
      <c r="QQ90" s="50"/>
      <c r="QR90" s="50"/>
      <c r="QS90" s="50"/>
      <c r="QT90" s="50"/>
      <c r="QU90" s="50"/>
      <c r="QV90" s="50"/>
      <c r="QW90" s="50"/>
      <c r="QX90" s="50"/>
      <c r="QY90" s="50"/>
      <c r="QZ90" s="50"/>
      <c r="RA90" s="50"/>
      <c r="RB90" s="50"/>
      <c r="RC90" s="50"/>
      <c r="RD90" s="50"/>
      <c r="RE90" s="50"/>
      <c r="RF90" s="50"/>
      <c r="RG90" s="50"/>
      <c r="RH90" s="50"/>
      <c r="RI90" s="50"/>
      <c r="RJ90" s="50"/>
      <c r="RK90" s="50"/>
      <c r="RL90" s="50"/>
      <c r="RM90" s="50"/>
      <c r="RN90" s="50"/>
      <c r="RO90" s="50"/>
      <c r="RP90" s="50"/>
      <c r="RQ90" s="50"/>
      <c r="RR90" s="50"/>
      <c r="RS90" s="50"/>
      <c r="RT90" s="50"/>
      <c r="RU90" s="50"/>
      <c r="RV90" s="50"/>
      <c r="RW90" s="50"/>
      <c r="RX90" s="50"/>
      <c r="RY90" s="50"/>
      <c r="RZ90" s="50"/>
      <c r="SA90" s="50"/>
      <c r="SB90" s="50"/>
      <c r="SC90" s="50"/>
      <c r="SD90" s="50"/>
      <c r="SE90" s="50"/>
      <c r="SF90" s="50"/>
      <c r="SG90" s="50"/>
      <c r="SH90" s="50"/>
      <c r="SI90" s="50"/>
      <c r="SJ90" s="50"/>
      <c r="SK90" s="50"/>
      <c r="SL90" s="50"/>
      <c r="SM90" s="50"/>
      <c r="SN90" s="50"/>
      <c r="SO90" s="50"/>
      <c r="SP90" s="50"/>
      <c r="SQ90" s="50"/>
      <c r="SR90" s="50"/>
      <c r="SS90" s="50"/>
      <c r="ST90" s="50"/>
      <c r="SU90" s="50"/>
      <c r="SV90" s="50"/>
      <c r="SW90" s="50"/>
      <c r="SX90" s="50"/>
      <c r="SY90" s="50"/>
      <c r="SZ90" s="50"/>
      <c r="TA90" s="50"/>
      <c r="TB90" s="50"/>
      <c r="TC90" s="50"/>
      <c r="TD90" s="50"/>
      <c r="TE90" s="50"/>
      <c r="TF90" s="50"/>
      <c r="TG90" s="50"/>
      <c r="TH90" s="50"/>
      <c r="TI90" s="50"/>
      <c r="TJ90" s="50"/>
      <c r="TK90" s="50"/>
      <c r="TL90" s="50"/>
      <c r="TM90" s="50"/>
      <c r="TN90" s="50"/>
      <c r="TO90" s="50"/>
      <c r="TP90" s="50"/>
      <c r="TQ90" s="50"/>
      <c r="TR90" s="50"/>
      <c r="TS90" s="50"/>
      <c r="TT90" s="50"/>
      <c r="TU90" s="50"/>
      <c r="TV90" s="50"/>
      <c r="TW90" s="50"/>
      <c r="TX90" s="50"/>
      <c r="TY90" s="50"/>
      <c r="TZ90" s="50"/>
      <c r="UA90" s="50"/>
      <c r="UB90" s="50"/>
      <c r="UC90" s="50"/>
      <c r="UD90" s="50"/>
      <c r="UE90" s="50"/>
      <c r="UF90" s="50"/>
      <c r="UG90" s="50"/>
      <c r="UH90" s="50"/>
      <c r="UI90" s="50"/>
      <c r="UJ90" s="50"/>
      <c r="UK90" s="50"/>
      <c r="UL90" s="50"/>
      <c r="UM90" s="50"/>
      <c r="UN90" s="50"/>
      <c r="UO90" s="50"/>
      <c r="UP90" s="50"/>
      <c r="UQ90" s="50"/>
      <c r="UR90" s="50"/>
      <c r="US90" s="50"/>
      <c r="UT90" s="50"/>
      <c r="UU90" s="50"/>
      <c r="UV90" s="50"/>
      <c r="UW90" s="50"/>
      <c r="UX90" s="50"/>
      <c r="UY90" s="50"/>
      <c r="UZ90" s="50"/>
      <c r="VA90" s="50"/>
      <c r="VB90" s="50"/>
      <c r="VC90" s="50"/>
      <c r="VD90" s="50"/>
      <c r="VE90" s="50"/>
      <c r="VF90" s="50"/>
      <c r="VG90" s="50"/>
      <c r="VH90" s="50"/>
      <c r="VI90" s="50"/>
      <c r="VJ90" s="50"/>
      <c r="VK90" s="50"/>
      <c r="VL90" s="50"/>
      <c r="VM90" s="50"/>
      <c r="VN90" s="50"/>
      <c r="VO90" s="50"/>
      <c r="VP90" s="50"/>
      <c r="VQ90" s="50"/>
      <c r="VR90" s="50"/>
      <c r="VS90" s="50"/>
      <c r="VT90" s="50"/>
      <c r="VU90" s="50"/>
      <c r="VV90" s="50"/>
      <c r="VW90" s="50"/>
      <c r="VX90" s="50"/>
      <c r="VY90" s="50"/>
      <c r="VZ90" s="50"/>
      <c r="WA90" s="50"/>
      <c r="WB90" s="50"/>
      <c r="WC90" s="50"/>
      <c r="WD90" s="50"/>
      <c r="WE90" s="50"/>
      <c r="WF90" s="50"/>
      <c r="WG90" s="50"/>
      <c r="WH90" s="50"/>
      <c r="WI90" s="50"/>
      <c r="WJ90" s="50"/>
      <c r="WK90" s="50"/>
      <c r="WL90" s="50"/>
      <c r="WM90" s="50"/>
      <c r="WN90" s="50"/>
      <c r="WO90" s="50"/>
      <c r="WP90" s="50"/>
      <c r="WQ90" s="50"/>
      <c r="WR90" s="50"/>
      <c r="WS90" s="50"/>
      <c r="WT90" s="50"/>
      <c r="WU90" s="50"/>
      <c r="WV90" s="50"/>
      <c r="WW90" s="50"/>
      <c r="WX90" s="50"/>
      <c r="WY90" s="50"/>
      <c r="WZ90" s="50"/>
      <c r="XA90" s="50"/>
      <c r="XB90" s="50"/>
      <c r="XC90" s="50"/>
      <c r="XD90" s="50"/>
      <c r="XE90" s="50"/>
      <c r="XF90" s="50"/>
      <c r="XG90" s="50"/>
      <c r="XH90" s="50"/>
      <c r="XI90" s="50"/>
      <c r="XJ90" s="50"/>
      <c r="XK90" s="50"/>
      <c r="XL90" s="50"/>
      <c r="XM90" s="50"/>
      <c r="XN90" s="50"/>
      <c r="XO90" s="50"/>
      <c r="XP90" s="50"/>
      <c r="XQ90" s="50"/>
      <c r="XR90" s="50"/>
      <c r="XS90" s="50"/>
      <c r="XT90" s="50"/>
      <c r="XU90" s="50"/>
      <c r="XV90" s="50"/>
      <c r="XW90" s="50"/>
      <c r="XX90" s="50"/>
      <c r="XY90" s="50"/>
      <c r="XZ90" s="50"/>
      <c r="YA90" s="50"/>
      <c r="YB90" s="50"/>
      <c r="YC90" s="50"/>
      <c r="YD90" s="50"/>
      <c r="YE90" s="50"/>
      <c r="YF90" s="50"/>
      <c r="YG90" s="50"/>
      <c r="YH90" s="50"/>
      <c r="YI90" s="50"/>
      <c r="YJ90" s="50"/>
      <c r="YK90" s="50"/>
      <c r="YL90" s="50"/>
      <c r="YM90" s="50"/>
      <c r="YN90" s="50"/>
      <c r="YO90" s="50"/>
      <c r="YP90" s="50"/>
      <c r="YQ90" s="50"/>
      <c r="YR90" s="50"/>
      <c r="YS90" s="50"/>
      <c r="YT90" s="50"/>
      <c r="YU90" s="50"/>
      <c r="YV90" s="50"/>
      <c r="YW90" s="50"/>
      <c r="YX90" s="50"/>
      <c r="YY90" s="50"/>
      <c r="YZ90" s="50"/>
      <c r="ZA90" s="50"/>
      <c r="ZB90" s="50"/>
      <c r="ZC90" s="50"/>
      <c r="ZD90" s="50"/>
      <c r="ZE90" s="50"/>
      <c r="ZF90" s="50"/>
      <c r="ZG90" s="50"/>
      <c r="ZH90" s="50"/>
      <c r="ZI90" s="50"/>
      <c r="ZJ90" s="50"/>
      <c r="ZK90" s="50"/>
      <c r="ZL90" s="50"/>
      <c r="ZM90" s="50"/>
      <c r="ZN90" s="50"/>
      <c r="ZO90" s="50"/>
      <c r="ZP90" s="50"/>
      <c r="ZQ90" s="50"/>
      <c r="ZR90" s="50"/>
      <c r="ZS90" s="50"/>
      <c r="ZT90" s="50"/>
      <c r="ZU90" s="50"/>
      <c r="ZV90" s="50"/>
      <c r="ZW90" s="50"/>
      <c r="ZX90" s="50"/>
      <c r="ZY90" s="50"/>
      <c r="ZZ90" s="50"/>
      <c r="AAA90" s="50"/>
      <c r="AAB90" s="50"/>
      <c r="AAC90" s="50"/>
      <c r="AAD90" s="50"/>
      <c r="AAE90" s="50"/>
      <c r="AAF90" s="50"/>
      <c r="AAG90" s="50"/>
      <c r="AAH90" s="50"/>
      <c r="AAI90" s="50"/>
      <c r="AAJ90" s="50"/>
      <c r="AAK90" s="50"/>
      <c r="AAL90" s="50"/>
      <c r="AAM90" s="50"/>
      <c r="AAN90" s="50"/>
      <c r="AAO90" s="50"/>
      <c r="AAP90" s="50"/>
      <c r="AAQ90" s="50"/>
      <c r="AAR90" s="50"/>
      <c r="AAS90" s="50"/>
      <c r="AAT90" s="50"/>
      <c r="AAU90" s="50"/>
      <c r="AAV90" s="50"/>
      <c r="AAW90" s="50"/>
      <c r="AAX90" s="50"/>
      <c r="AAY90" s="50"/>
      <c r="AAZ90" s="50"/>
      <c r="ABA90" s="50"/>
      <c r="ABB90" s="50"/>
      <c r="ABC90" s="50"/>
      <c r="ABD90" s="50"/>
      <c r="ABE90" s="50"/>
      <c r="ABF90" s="50"/>
      <c r="ABG90" s="50"/>
      <c r="ABH90" s="50"/>
      <c r="ABI90" s="50"/>
      <c r="ABJ90" s="50"/>
      <c r="ABK90" s="50"/>
      <c r="ABL90" s="50"/>
      <c r="ABM90" s="50"/>
      <c r="ABN90" s="50"/>
      <c r="ABO90" s="50"/>
      <c r="ABP90" s="50"/>
      <c r="ABQ90" s="50"/>
      <c r="ABR90" s="50"/>
      <c r="ABS90" s="50"/>
      <c r="ABT90" s="50"/>
      <c r="ABU90" s="50"/>
      <c r="ABV90" s="50"/>
      <c r="ABW90" s="50"/>
      <c r="ABX90" s="50"/>
      <c r="ABY90" s="50"/>
      <c r="ABZ90" s="50"/>
      <c r="ACA90" s="50"/>
      <c r="ACB90" s="50"/>
      <c r="ACC90" s="50"/>
      <c r="ACD90" s="50"/>
      <c r="ACE90" s="50"/>
      <c r="ACF90" s="50"/>
      <c r="ACG90" s="50"/>
      <c r="ACH90" s="50"/>
      <c r="ACI90" s="50"/>
      <c r="ACJ90" s="50"/>
      <c r="ACK90" s="50"/>
      <c r="ACL90" s="50"/>
      <c r="ACM90" s="50"/>
      <c r="ACN90" s="50"/>
      <c r="ACO90" s="50"/>
      <c r="ACP90" s="50"/>
      <c r="ACQ90" s="50"/>
      <c r="ACR90" s="50"/>
      <c r="ACS90" s="50"/>
      <c r="ACT90" s="50"/>
      <c r="ACU90" s="50"/>
      <c r="ACV90" s="50"/>
      <c r="ACW90" s="50"/>
      <c r="ACX90" s="50"/>
      <c r="ACY90" s="50"/>
      <c r="ACZ90" s="50"/>
      <c r="ADA90" s="50"/>
      <c r="ADB90" s="50"/>
      <c r="ADC90" s="50"/>
      <c r="ADD90" s="50"/>
      <c r="ADE90" s="50"/>
      <c r="ADF90" s="50"/>
      <c r="ADG90" s="50"/>
      <c r="ADH90" s="50"/>
      <c r="ADI90" s="50"/>
      <c r="ADJ90" s="50"/>
      <c r="ADK90" s="50"/>
      <c r="ADL90" s="50"/>
      <c r="ADM90" s="50"/>
      <c r="ADN90" s="50"/>
      <c r="ADO90" s="50"/>
      <c r="ADP90" s="50"/>
      <c r="ADQ90" s="50"/>
      <c r="ADR90" s="50"/>
      <c r="ADS90" s="50"/>
      <c r="ADT90" s="50"/>
      <c r="ADU90" s="50"/>
      <c r="ADV90" s="50"/>
      <c r="ADW90" s="50"/>
      <c r="ADX90" s="50"/>
      <c r="ADY90" s="50"/>
      <c r="ADZ90" s="50"/>
      <c r="AEA90" s="50"/>
      <c r="AEB90" s="50"/>
      <c r="AEC90" s="50"/>
      <c r="AED90" s="50"/>
      <c r="AEE90" s="50"/>
      <c r="AEF90" s="50"/>
      <c r="AEG90" s="50"/>
      <c r="AEH90" s="50"/>
      <c r="AEI90" s="50"/>
      <c r="AEJ90" s="50"/>
      <c r="AEK90" s="50"/>
      <c r="AEL90" s="50"/>
      <c r="AEM90" s="50"/>
      <c r="AEN90" s="50"/>
      <c r="AEO90" s="50"/>
      <c r="AEP90" s="50"/>
      <c r="AEQ90" s="50"/>
      <c r="AER90" s="50"/>
      <c r="AES90" s="50"/>
      <c r="AET90" s="50"/>
      <c r="AEU90" s="50"/>
      <c r="AEV90" s="50"/>
      <c r="AEW90" s="50"/>
      <c r="AEX90" s="50"/>
      <c r="AEY90" s="50"/>
      <c r="AEZ90" s="50"/>
      <c r="AFA90" s="50"/>
      <c r="AFB90" s="50"/>
      <c r="AFC90" s="50"/>
      <c r="AFD90" s="50"/>
      <c r="AFE90" s="50"/>
      <c r="AFF90" s="50"/>
      <c r="AFG90" s="50"/>
      <c r="AFH90" s="50"/>
      <c r="AFI90" s="50"/>
      <c r="AFJ90" s="50"/>
      <c r="AFK90" s="50"/>
      <c r="AFL90" s="50"/>
      <c r="AFM90" s="50"/>
      <c r="AFN90" s="50"/>
      <c r="AFO90" s="50"/>
      <c r="AFP90" s="50"/>
      <c r="AFQ90" s="50"/>
      <c r="AFR90" s="50"/>
      <c r="AFS90" s="50"/>
      <c r="AFT90" s="50"/>
      <c r="AFU90" s="50"/>
      <c r="AFV90" s="50"/>
      <c r="AFW90" s="50"/>
      <c r="AFX90" s="50"/>
      <c r="AFY90" s="50"/>
      <c r="AFZ90" s="50"/>
      <c r="AGA90" s="50"/>
      <c r="AGB90" s="50"/>
      <c r="AGC90" s="50"/>
      <c r="AGD90" s="50"/>
      <c r="AGE90" s="50"/>
      <c r="AGF90" s="50"/>
      <c r="AGG90" s="50"/>
      <c r="AGH90" s="50"/>
      <c r="AGI90" s="50"/>
      <c r="AGJ90" s="50"/>
      <c r="AGK90" s="50"/>
      <c r="AGL90" s="50"/>
      <c r="AGM90" s="50"/>
      <c r="AGN90" s="50"/>
      <c r="AGO90" s="50"/>
      <c r="AGP90" s="50"/>
      <c r="AGQ90" s="50"/>
      <c r="AGR90" s="50"/>
      <c r="AGS90" s="50"/>
      <c r="AGT90" s="50"/>
      <c r="AGU90" s="50"/>
      <c r="AGV90" s="50"/>
      <c r="AGW90" s="50"/>
      <c r="AGX90" s="50"/>
      <c r="AGY90" s="50"/>
      <c r="AGZ90" s="50"/>
      <c r="AHA90" s="50"/>
      <c r="AHB90" s="50"/>
      <c r="AHC90" s="50"/>
      <c r="AHD90" s="50"/>
      <c r="AHE90" s="50"/>
      <c r="AHF90" s="50"/>
      <c r="AHG90" s="50"/>
      <c r="AHH90" s="50"/>
      <c r="AHI90" s="50"/>
      <c r="AHJ90" s="50"/>
      <c r="AHK90" s="50"/>
      <c r="AHL90" s="50"/>
      <c r="AHM90" s="50"/>
      <c r="AHN90" s="50"/>
      <c r="AHO90" s="50"/>
      <c r="AHP90" s="50"/>
      <c r="AHQ90" s="50"/>
      <c r="AHR90" s="50"/>
      <c r="AHS90" s="50"/>
      <c r="AHT90" s="50"/>
      <c r="AHU90" s="50"/>
      <c r="AHV90" s="50"/>
      <c r="AHW90" s="50"/>
      <c r="AHX90" s="50"/>
      <c r="AHY90" s="50"/>
      <c r="AHZ90" s="50"/>
      <c r="AIA90" s="50"/>
      <c r="AIB90" s="50"/>
      <c r="AIC90" s="50"/>
      <c r="AID90" s="50"/>
      <c r="AIE90" s="50"/>
      <c r="AIF90" s="50"/>
      <c r="AIG90" s="50"/>
      <c r="AIH90" s="50"/>
      <c r="AII90" s="50"/>
      <c r="AIJ90" s="50"/>
      <c r="AIK90" s="50"/>
      <c r="AIL90" s="50"/>
      <c r="AIM90" s="50"/>
      <c r="AIN90" s="50"/>
      <c r="AIO90" s="50"/>
      <c r="AIP90" s="50"/>
      <c r="AIQ90" s="50"/>
      <c r="AIR90" s="50"/>
      <c r="AIS90" s="50"/>
      <c r="AIT90" s="50"/>
      <c r="AIU90" s="50"/>
      <c r="AIV90" s="50"/>
      <c r="AIW90" s="50"/>
      <c r="AIX90" s="50"/>
      <c r="AIY90" s="50"/>
      <c r="AIZ90" s="50"/>
      <c r="AJA90" s="50"/>
      <c r="AJB90" s="50"/>
      <c r="AJC90" s="50"/>
      <c r="AJD90" s="50"/>
      <c r="AJE90" s="50"/>
      <c r="AJF90" s="50"/>
      <c r="AJG90" s="50"/>
      <c r="AJH90" s="50"/>
      <c r="AJI90" s="50"/>
      <c r="AJJ90" s="50"/>
      <c r="AJK90" s="50"/>
      <c r="AJL90" s="50"/>
      <c r="AJM90" s="50"/>
      <c r="AJN90" s="50"/>
      <c r="AJO90" s="50"/>
      <c r="AJP90" s="50"/>
      <c r="AJQ90" s="50"/>
      <c r="AJR90" s="50"/>
      <c r="AJS90" s="50"/>
      <c r="AJT90" s="50"/>
      <c r="AJU90" s="50"/>
      <c r="AJV90" s="50"/>
      <c r="AJW90" s="50"/>
      <c r="AJX90" s="50"/>
      <c r="AJY90" s="50"/>
      <c r="AJZ90" s="50"/>
      <c r="AKA90" s="50"/>
      <c r="AKB90" s="50"/>
      <c r="AKC90" s="50"/>
      <c r="AKD90" s="50"/>
      <c r="AKE90" s="50"/>
      <c r="AKF90" s="50"/>
      <c r="AKG90" s="50"/>
      <c r="AKH90" s="50"/>
      <c r="AKI90" s="50"/>
      <c r="AKJ90" s="50"/>
      <c r="AKK90" s="50"/>
      <c r="AKL90" s="50"/>
      <c r="AKM90" s="50"/>
      <c r="AKN90" s="50"/>
      <c r="AKO90" s="50"/>
      <c r="AKP90" s="50"/>
      <c r="AKQ90" s="50"/>
      <c r="AKR90" s="50"/>
      <c r="AKS90" s="50"/>
      <c r="AKT90" s="50"/>
      <c r="AKU90" s="50"/>
      <c r="AKV90" s="50"/>
      <c r="AKW90" s="50"/>
      <c r="AKX90" s="50"/>
      <c r="AKY90" s="50"/>
      <c r="AKZ90" s="50"/>
      <c r="ALA90" s="50"/>
      <c r="ALB90" s="50"/>
      <c r="ALC90" s="50"/>
      <c r="ALD90" s="50"/>
      <c r="ALE90" s="50"/>
      <c r="ALF90" s="50"/>
      <c r="ALG90" s="50"/>
      <c r="ALH90" s="50"/>
      <c r="ALI90" s="50"/>
      <c r="ALJ90" s="50"/>
      <c r="ALK90" s="50"/>
      <c r="ALL90" s="50"/>
      <c r="ALM90" s="50"/>
      <c r="ALN90" s="50"/>
      <c r="ALO90" s="50"/>
      <c r="ALP90" s="50"/>
      <c r="ALQ90" s="50"/>
      <c r="ALR90" s="50"/>
      <c r="ALS90" s="50"/>
      <c r="ALT90" s="50"/>
      <c r="ALU90" s="50"/>
      <c r="ALV90" s="50"/>
      <c r="ALW90" s="50"/>
      <c r="ALX90" s="50"/>
      <c r="ALY90" s="50"/>
      <c r="ALZ90" s="50"/>
      <c r="AMA90" s="50"/>
      <c r="AMB90" s="50"/>
      <c r="AMC90" s="50"/>
      <c r="AMD90" s="50"/>
      <c r="AME90" s="50"/>
      <c r="AMF90" s="50"/>
      <c r="AMG90" s="50"/>
      <c r="AMH90" s="50"/>
      <c r="AMI90" s="50"/>
      <c r="AMJ90" s="50"/>
    </row>
    <row r="91" spans="12:1024" ht="15.95" customHeight="1" x14ac:dyDescent="0.2">
      <c r="L91" s="50"/>
      <c r="M91" s="51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  <c r="DD91" s="50"/>
      <c r="DE91" s="50"/>
      <c r="DF91" s="50"/>
      <c r="DG91" s="50"/>
      <c r="DH91" s="50"/>
      <c r="DI91" s="50"/>
      <c r="DJ91" s="50"/>
      <c r="DK91" s="50"/>
      <c r="DL91" s="50"/>
      <c r="DM91" s="50"/>
      <c r="DN91" s="50"/>
      <c r="DO91" s="50"/>
      <c r="DP91" s="50"/>
      <c r="DQ91" s="50"/>
      <c r="DR91" s="50"/>
      <c r="DS91" s="50"/>
      <c r="DT91" s="50"/>
      <c r="DU91" s="50"/>
      <c r="DV91" s="50"/>
      <c r="DW91" s="50"/>
      <c r="DX91" s="50"/>
      <c r="DY91" s="50"/>
      <c r="DZ91" s="50"/>
      <c r="EA91" s="50"/>
      <c r="EB91" s="50"/>
      <c r="EC91" s="50"/>
      <c r="ED91" s="50"/>
      <c r="EE91" s="50"/>
      <c r="EF91" s="50"/>
      <c r="EG91" s="50"/>
      <c r="EH91" s="50"/>
      <c r="EI91" s="50"/>
      <c r="EJ91" s="50"/>
      <c r="EK91" s="50"/>
      <c r="EL91" s="50"/>
      <c r="EM91" s="50"/>
      <c r="EN91" s="50"/>
      <c r="EO91" s="50"/>
      <c r="EP91" s="50"/>
      <c r="EQ91" s="50"/>
      <c r="ER91" s="50"/>
      <c r="ES91" s="50"/>
      <c r="ET91" s="50"/>
      <c r="EU91" s="50"/>
      <c r="EV91" s="50"/>
      <c r="EW91" s="50"/>
      <c r="EX91" s="50"/>
      <c r="EY91" s="50"/>
      <c r="EZ91" s="50"/>
      <c r="FA91" s="50"/>
      <c r="FB91" s="50"/>
      <c r="FC91" s="50"/>
      <c r="FD91" s="50"/>
      <c r="FE91" s="50"/>
      <c r="FF91" s="50"/>
      <c r="FG91" s="50"/>
      <c r="FH91" s="50"/>
      <c r="FI91" s="50"/>
      <c r="FJ91" s="50"/>
      <c r="FK91" s="50"/>
      <c r="FL91" s="50"/>
      <c r="FM91" s="50"/>
      <c r="FN91" s="50"/>
      <c r="FO91" s="50"/>
      <c r="FP91" s="50"/>
      <c r="FQ91" s="50"/>
      <c r="FR91" s="50"/>
      <c r="FS91" s="50"/>
      <c r="FT91" s="50"/>
      <c r="FU91" s="50"/>
      <c r="FV91" s="50"/>
      <c r="FW91" s="50"/>
      <c r="FX91" s="50"/>
      <c r="FY91" s="50"/>
      <c r="FZ91" s="50"/>
      <c r="GA91" s="50"/>
      <c r="GB91" s="50"/>
      <c r="GC91" s="50"/>
      <c r="GD91" s="50"/>
      <c r="GE91" s="50"/>
      <c r="GF91" s="50"/>
      <c r="GG91" s="50"/>
      <c r="GH91" s="50"/>
      <c r="GI91" s="50"/>
      <c r="GJ91" s="50"/>
      <c r="GK91" s="50"/>
      <c r="GL91" s="50"/>
      <c r="GM91" s="50"/>
      <c r="GN91" s="50"/>
      <c r="GO91" s="50"/>
      <c r="GP91" s="50"/>
      <c r="GQ91" s="50"/>
      <c r="GR91" s="50"/>
      <c r="GS91" s="50"/>
      <c r="GT91" s="50"/>
      <c r="GU91" s="50"/>
      <c r="GV91" s="50"/>
      <c r="GW91" s="50"/>
      <c r="GX91" s="50"/>
      <c r="GY91" s="50"/>
      <c r="GZ91" s="50"/>
      <c r="HA91" s="50"/>
      <c r="HB91" s="50"/>
      <c r="HC91" s="50"/>
      <c r="HD91" s="50"/>
      <c r="HE91" s="50"/>
      <c r="HF91" s="50"/>
      <c r="HG91" s="50"/>
      <c r="HH91" s="50"/>
      <c r="HI91" s="50"/>
      <c r="HJ91" s="50"/>
      <c r="HK91" s="50"/>
      <c r="HL91" s="50"/>
      <c r="HM91" s="50"/>
      <c r="HN91" s="50"/>
      <c r="HO91" s="50"/>
      <c r="HP91" s="50"/>
      <c r="HQ91" s="50"/>
      <c r="HR91" s="50"/>
      <c r="HS91" s="50"/>
      <c r="HT91" s="50"/>
      <c r="HU91" s="50"/>
      <c r="HV91" s="50"/>
      <c r="HW91" s="50"/>
      <c r="HX91" s="50"/>
      <c r="HY91" s="50"/>
      <c r="HZ91" s="50"/>
      <c r="IA91" s="50"/>
      <c r="IB91" s="50"/>
      <c r="IC91" s="50"/>
      <c r="ID91" s="50"/>
      <c r="IE91" s="50"/>
      <c r="IF91" s="50"/>
      <c r="IG91" s="50"/>
      <c r="IH91" s="50"/>
      <c r="II91" s="50"/>
      <c r="IJ91" s="50"/>
      <c r="IK91" s="50"/>
      <c r="IL91" s="50"/>
      <c r="IM91" s="50"/>
      <c r="IN91" s="50"/>
      <c r="IO91" s="50"/>
      <c r="IP91" s="50"/>
      <c r="IQ91" s="50"/>
      <c r="IR91" s="50"/>
      <c r="IS91" s="50"/>
      <c r="IT91" s="50"/>
      <c r="IU91" s="50"/>
      <c r="IV91" s="50"/>
      <c r="IW91" s="50"/>
      <c r="IX91" s="50"/>
      <c r="IY91" s="50"/>
      <c r="IZ91" s="50"/>
      <c r="JA91" s="50"/>
      <c r="JB91" s="50"/>
      <c r="JC91" s="50"/>
      <c r="JD91" s="50"/>
      <c r="JE91" s="50"/>
      <c r="JF91" s="50"/>
      <c r="JG91" s="50"/>
      <c r="JH91" s="50"/>
      <c r="JI91" s="50"/>
      <c r="JJ91" s="50"/>
      <c r="JK91" s="50"/>
      <c r="JL91" s="50"/>
      <c r="JM91" s="50"/>
      <c r="JN91" s="50"/>
      <c r="JO91" s="50"/>
      <c r="JP91" s="50"/>
      <c r="JQ91" s="50"/>
      <c r="JR91" s="50"/>
      <c r="JS91" s="50"/>
      <c r="JT91" s="50"/>
      <c r="JU91" s="50"/>
      <c r="JV91" s="50"/>
      <c r="JW91" s="50"/>
      <c r="JX91" s="50"/>
      <c r="JY91" s="50"/>
      <c r="JZ91" s="50"/>
      <c r="KA91" s="50"/>
      <c r="KB91" s="50"/>
      <c r="KC91" s="50"/>
      <c r="KD91" s="50"/>
      <c r="KE91" s="50"/>
      <c r="KF91" s="50"/>
      <c r="KG91" s="50"/>
      <c r="KH91" s="50"/>
      <c r="KI91" s="50"/>
      <c r="KJ91" s="50"/>
      <c r="KK91" s="50"/>
      <c r="KL91" s="50"/>
      <c r="KM91" s="50"/>
      <c r="KN91" s="50"/>
      <c r="KO91" s="50"/>
      <c r="KP91" s="50"/>
      <c r="KQ91" s="50"/>
      <c r="KR91" s="50"/>
      <c r="KS91" s="50"/>
      <c r="KT91" s="50"/>
      <c r="KU91" s="50"/>
      <c r="KV91" s="50"/>
      <c r="KW91" s="50"/>
      <c r="KX91" s="50"/>
      <c r="KY91" s="50"/>
      <c r="KZ91" s="50"/>
      <c r="LA91" s="50"/>
      <c r="LB91" s="50"/>
      <c r="LC91" s="50"/>
      <c r="LD91" s="50"/>
      <c r="LE91" s="50"/>
      <c r="LF91" s="50"/>
      <c r="LG91" s="50"/>
      <c r="LH91" s="50"/>
      <c r="LI91" s="50"/>
      <c r="LJ91" s="50"/>
      <c r="LK91" s="50"/>
      <c r="LL91" s="50"/>
      <c r="LM91" s="50"/>
      <c r="LN91" s="50"/>
      <c r="LO91" s="50"/>
      <c r="LP91" s="50"/>
      <c r="LQ91" s="50"/>
      <c r="LR91" s="50"/>
      <c r="LS91" s="50"/>
      <c r="LT91" s="50"/>
      <c r="LU91" s="50"/>
      <c r="LV91" s="50"/>
      <c r="LW91" s="50"/>
      <c r="LX91" s="50"/>
      <c r="LY91" s="50"/>
      <c r="LZ91" s="50"/>
      <c r="MA91" s="50"/>
      <c r="MB91" s="50"/>
      <c r="MC91" s="50"/>
      <c r="MD91" s="50"/>
      <c r="ME91" s="50"/>
      <c r="MF91" s="50"/>
      <c r="MG91" s="50"/>
      <c r="MH91" s="50"/>
      <c r="MI91" s="50"/>
      <c r="MJ91" s="50"/>
      <c r="MK91" s="50"/>
      <c r="ML91" s="50"/>
      <c r="MM91" s="50"/>
      <c r="MN91" s="50"/>
      <c r="MO91" s="50"/>
      <c r="MP91" s="50"/>
      <c r="MQ91" s="50"/>
      <c r="MR91" s="50"/>
      <c r="MS91" s="50"/>
      <c r="MT91" s="50"/>
      <c r="MU91" s="50"/>
      <c r="MV91" s="50"/>
      <c r="MW91" s="50"/>
      <c r="MX91" s="50"/>
      <c r="MY91" s="50"/>
      <c r="MZ91" s="50"/>
      <c r="NA91" s="50"/>
      <c r="NB91" s="50"/>
      <c r="NC91" s="50"/>
      <c r="ND91" s="50"/>
      <c r="NE91" s="50"/>
      <c r="NF91" s="50"/>
      <c r="NG91" s="50"/>
      <c r="NH91" s="50"/>
      <c r="NI91" s="50"/>
      <c r="NJ91" s="50"/>
      <c r="NK91" s="50"/>
      <c r="NL91" s="50"/>
      <c r="NM91" s="50"/>
      <c r="NN91" s="50"/>
      <c r="NO91" s="50"/>
      <c r="NP91" s="50"/>
      <c r="NQ91" s="50"/>
      <c r="NR91" s="50"/>
      <c r="NS91" s="50"/>
      <c r="NT91" s="50"/>
      <c r="NU91" s="50"/>
      <c r="NV91" s="50"/>
      <c r="NW91" s="50"/>
      <c r="NX91" s="50"/>
      <c r="NY91" s="50"/>
      <c r="NZ91" s="50"/>
      <c r="OA91" s="50"/>
      <c r="OB91" s="50"/>
      <c r="OC91" s="50"/>
      <c r="OD91" s="50"/>
      <c r="OE91" s="50"/>
      <c r="OF91" s="50"/>
      <c r="OG91" s="50"/>
      <c r="OH91" s="50"/>
      <c r="OI91" s="50"/>
      <c r="OJ91" s="50"/>
      <c r="OK91" s="50"/>
      <c r="OL91" s="50"/>
      <c r="OM91" s="50"/>
      <c r="ON91" s="50"/>
      <c r="OO91" s="50"/>
      <c r="OP91" s="50"/>
      <c r="OQ91" s="50"/>
      <c r="OR91" s="50"/>
      <c r="OS91" s="50"/>
      <c r="OT91" s="50"/>
      <c r="OU91" s="50"/>
      <c r="OV91" s="50"/>
      <c r="OW91" s="50"/>
      <c r="OX91" s="50"/>
      <c r="OY91" s="50"/>
      <c r="OZ91" s="50"/>
      <c r="PA91" s="50"/>
      <c r="PB91" s="50"/>
      <c r="PC91" s="50"/>
      <c r="PD91" s="50"/>
      <c r="PE91" s="50"/>
      <c r="PF91" s="50"/>
      <c r="PG91" s="50"/>
      <c r="PH91" s="50"/>
      <c r="PI91" s="50"/>
      <c r="PJ91" s="50"/>
      <c r="PK91" s="50"/>
      <c r="PL91" s="50"/>
      <c r="PM91" s="50"/>
      <c r="PN91" s="50"/>
      <c r="PO91" s="50"/>
      <c r="PP91" s="50"/>
      <c r="PQ91" s="50"/>
      <c r="PR91" s="50"/>
      <c r="PS91" s="50"/>
      <c r="PT91" s="50"/>
      <c r="PU91" s="50"/>
      <c r="PV91" s="50"/>
      <c r="PW91" s="50"/>
      <c r="PX91" s="50"/>
      <c r="PY91" s="50"/>
      <c r="PZ91" s="50"/>
      <c r="QA91" s="50"/>
      <c r="QB91" s="50"/>
      <c r="QC91" s="50"/>
      <c r="QD91" s="50"/>
      <c r="QE91" s="50"/>
      <c r="QF91" s="50"/>
      <c r="QG91" s="50"/>
      <c r="QH91" s="50"/>
      <c r="QI91" s="50"/>
      <c r="QJ91" s="50"/>
      <c r="QK91" s="50"/>
      <c r="QL91" s="50"/>
      <c r="QM91" s="50"/>
      <c r="QN91" s="50"/>
      <c r="QO91" s="50"/>
      <c r="QP91" s="50"/>
      <c r="QQ91" s="50"/>
      <c r="QR91" s="50"/>
      <c r="QS91" s="50"/>
      <c r="QT91" s="50"/>
      <c r="QU91" s="50"/>
      <c r="QV91" s="50"/>
      <c r="QW91" s="50"/>
      <c r="QX91" s="50"/>
      <c r="QY91" s="50"/>
      <c r="QZ91" s="50"/>
      <c r="RA91" s="50"/>
      <c r="RB91" s="50"/>
      <c r="RC91" s="50"/>
      <c r="RD91" s="50"/>
      <c r="RE91" s="50"/>
      <c r="RF91" s="50"/>
      <c r="RG91" s="50"/>
      <c r="RH91" s="50"/>
      <c r="RI91" s="50"/>
      <c r="RJ91" s="50"/>
      <c r="RK91" s="50"/>
      <c r="RL91" s="50"/>
      <c r="RM91" s="50"/>
      <c r="RN91" s="50"/>
      <c r="RO91" s="50"/>
      <c r="RP91" s="50"/>
      <c r="RQ91" s="50"/>
      <c r="RR91" s="50"/>
      <c r="RS91" s="50"/>
      <c r="RT91" s="50"/>
      <c r="RU91" s="50"/>
      <c r="RV91" s="50"/>
      <c r="RW91" s="50"/>
      <c r="RX91" s="50"/>
      <c r="RY91" s="50"/>
      <c r="RZ91" s="50"/>
      <c r="SA91" s="50"/>
      <c r="SB91" s="50"/>
      <c r="SC91" s="50"/>
      <c r="SD91" s="50"/>
      <c r="SE91" s="50"/>
      <c r="SF91" s="50"/>
      <c r="SG91" s="50"/>
      <c r="SH91" s="50"/>
      <c r="SI91" s="50"/>
      <c r="SJ91" s="50"/>
      <c r="SK91" s="50"/>
      <c r="SL91" s="50"/>
      <c r="SM91" s="50"/>
      <c r="SN91" s="50"/>
      <c r="SO91" s="50"/>
      <c r="SP91" s="50"/>
      <c r="SQ91" s="50"/>
      <c r="SR91" s="50"/>
      <c r="SS91" s="50"/>
      <c r="ST91" s="50"/>
      <c r="SU91" s="50"/>
      <c r="SV91" s="50"/>
      <c r="SW91" s="50"/>
      <c r="SX91" s="50"/>
      <c r="SY91" s="50"/>
      <c r="SZ91" s="50"/>
      <c r="TA91" s="50"/>
      <c r="TB91" s="50"/>
      <c r="TC91" s="50"/>
      <c r="TD91" s="50"/>
      <c r="TE91" s="50"/>
      <c r="TF91" s="50"/>
      <c r="TG91" s="50"/>
      <c r="TH91" s="50"/>
      <c r="TI91" s="50"/>
      <c r="TJ91" s="50"/>
      <c r="TK91" s="50"/>
      <c r="TL91" s="50"/>
      <c r="TM91" s="50"/>
      <c r="TN91" s="50"/>
      <c r="TO91" s="50"/>
      <c r="TP91" s="50"/>
      <c r="TQ91" s="50"/>
      <c r="TR91" s="50"/>
      <c r="TS91" s="50"/>
      <c r="TT91" s="50"/>
      <c r="TU91" s="50"/>
      <c r="TV91" s="50"/>
      <c r="TW91" s="50"/>
      <c r="TX91" s="50"/>
      <c r="TY91" s="50"/>
      <c r="TZ91" s="50"/>
      <c r="UA91" s="50"/>
      <c r="UB91" s="50"/>
      <c r="UC91" s="50"/>
      <c r="UD91" s="50"/>
      <c r="UE91" s="50"/>
      <c r="UF91" s="50"/>
      <c r="UG91" s="50"/>
      <c r="UH91" s="50"/>
      <c r="UI91" s="50"/>
      <c r="UJ91" s="50"/>
      <c r="UK91" s="50"/>
      <c r="UL91" s="50"/>
      <c r="UM91" s="50"/>
      <c r="UN91" s="50"/>
      <c r="UO91" s="50"/>
      <c r="UP91" s="50"/>
      <c r="UQ91" s="50"/>
      <c r="UR91" s="50"/>
      <c r="US91" s="50"/>
      <c r="UT91" s="50"/>
      <c r="UU91" s="50"/>
      <c r="UV91" s="50"/>
      <c r="UW91" s="50"/>
      <c r="UX91" s="50"/>
      <c r="UY91" s="50"/>
      <c r="UZ91" s="50"/>
      <c r="VA91" s="50"/>
      <c r="VB91" s="50"/>
      <c r="VC91" s="50"/>
      <c r="VD91" s="50"/>
      <c r="VE91" s="50"/>
      <c r="VF91" s="50"/>
      <c r="VG91" s="50"/>
      <c r="VH91" s="50"/>
      <c r="VI91" s="50"/>
      <c r="VJ91" s="50"/>
      <c r="VK91" s="50"/>
      <c r="VL91" s="50"/>
      <c r="VM91" s="50"/>
      <c r="VN91" s="50"/>
      <c r="VO91" s="50"/>
      <c r="VP91" s="50"/>
      <c r="VQ91" s="50"/>
      <c r="VR91" s="50"/>
      <c r="VS91" s="50"/>
      <c r="VT91" s="50"/>
      <c r="VU91" s="50"/>
      <c r="VV91" s="50"/>
      <c r="VW91" s="50"/>
      <c r="VX91" s="50"/>
      <c r="VY91" s="50"/>
      <c r="VZ91" s="50"/>
      <c r="WA91" s="50"/>
      <c r="WB91" s="50"/>
      <c r="WC91" s="50"/>
      <c r="WD91" s="50"/>
      <c r="WE91" s="50"/>
      <c r="WF91" s="50"/>
      <c r="WG91" s="50"/>
      <c r="WH91" s="50"/>
      <c r="WI91" s="50"/>
      <c r="WJ91" s="50"/>
      <c r="WK91" s="50"/>
      <c r="WL91" s="50"/>
      <c r="WM91" s="50"/>
      <c r="WN91" s="50"/>
      <c r="WO91" s="50"/>
      <c r="WP91" s="50"/>
      <c r="WQ91" s="50"/>
      <c r="WR91" s="50"/>
      <c r="WS91" s="50"/>
      <c r="WT91" s="50"/>
      <c r="WU91" s="50"/>
      <c r="WV91" s="50"/>
      <c r="WW91" s="50"/>
      <c r="WX91" s="50"/>
      <c r="WY91" s="50"/>
      <c r="WZ91" s="50"/>
      <c r="XA91" s="50"/>
      <c r="XB91" s="50"/>
      <c r="XC91" s="50"/>
      <c r="XD91" s="50"/>
      <c r="XE91" s="50"/>
      <c r="XF91" s="50"/>
      <c r="XG91" s="50"/>
      <c r="XH91" s="50"/>
      <c r="XI91" s="50"/>
      <c r="XJ91" s="50"/>
      <c r="XK91" s="50"/>
      <c r="XL91" s="50"/>
      <c r="XM91" s="50"/>
      <c r="XN91" s="50"/>
      <c r="XO91" s="50"/>
      <c r="XP91" s="50"/>
      <c r="XQ91" s="50"/>
      <c r="XR91" s="50"/>
      <c r="XS91" s="50"/>
      <c r="XT91" s="50"/>
      <c r="XU91" s="50"/>
      <c r="XV91" s="50"/>
      <c r="XW91" s="50"/>
      <c r="XX91" s="50"/>
      <c r="XY91" s="50"/>
      <c r="XZ91" s="50"/>
      <c r="YA91" s="50"/>
      <c r="YB91" s="50"/>
      <c r="YC91" s="50"/>
      <c r="YD91" s="50"/>
      <c r="YE91" s="50"/>
      <c r="YF91" s="50"/>
      <c r="YG91" s="50"/>
      <c r="YH91" s="50"/>
      <c r="YI91" s="50"/>
      <c r="YJ91" s="50"/>
      <c r="YK91" s="50"/>
      <c r="YL91" s="50"/>
      <c r="YM91" s="50"/>
      <c r="YN91" s="50"/>
      <c r="YO91" s="50"/>
      <c r="YP91" s="50"/>
      <c r="YQ91" s="50"/>
      <c r="YR91" s="50"/>
      <c r="YS91" s="50"/>
      <c r="YT91" s="50"/>
      <c r="YU91" s="50"/>
      <c r="YV91" s="50"/>
      <c r="YW91" s="50"/>
      <c r="YX91" s="50"/>
      <c r="YY91" s="50"/>
      <c r="YZ91" s="50"/>
      <c r="ZA91" s="50"/>
      <c r="ZB91" s="50"/>
      <c r="ZC91" s="50"/>
      <c r="ZD91" s="50"/>
      <c r="ZE91" s="50"/>
      <c r="ZF91" s="50"/>
      <c r="ZG91" s="50"/>
      <c r="ZH91" s="50"/>
      <c r="ZI91" s="50"/>
      <c r="ZJ91" s="50"/>
      <c r="ZK91" s="50"/>
      <c r="ZL91" s="50"/>
      <c r="ZM91" s="50"/>
      <c r="ZN91" s="50"/>
      <c r="ZO91" s="50"/>
      <c r="ZP91" s="50"/>
      <c r="ZQ91" s="50"/>
      <c r="ZR91" s="50"/>
      <c r="ZS91" s="50"/>
      <c r="ZT91" s="50"/>
      <c r="ZU91" s="50"/>
      <c r="ZV91" s="50"/>
      <c r="ZW91" s="50"/>
      <c r="ZX91" s="50"/>
      <c r="ZY91" s="50"/>
      <c r="ZZ91" s="50"/>
      <c r="AAA91" s="50"/>
      <c r="AAB91" s="50"/>
      <c r="AAC91" s="50"/>
      <c r="AAD91" s="50"/>
      <c r="AAE91" s="50"/>
      <c r="AAF91" s="50"/>
      <c r="AAG91" s="50"/>
      <c r="AAH91" s="50"/>
      <c r="AAI91" s="50"/>
      <c r="AAJ91" s="50"/>
      <c r="AAK91" s="50"/>
      <c r="AAL91" s="50"/>
      <c r="AAM91" s="50"/>
      <c r="AAN91" s="50"/>
      <c r="AAO91" s="50"/>
      <c r="AAP91" s="50"/>
      <c r="AAQ91" s="50"/>
      <c r="AAR91" s="50"/>
      <c r="AAS91" s="50"/>
      <c r="AAT91" s="50"/>
      <c r="AAU91" s="50"/>
      <c r="AAV91" s="50"/>
      <c r="AAW91" s="50"/>
      <c r="AAX91" s="50"/>
      <c r="AAY91" s="50"/>
      <c r="AAZ91" s="50"/>
      <c r="ABA91" s="50"/>
      <c r="ABB91" s="50"/>
      <c r="ABC91" s="50"/>
      <c r="ABD91" s="50"/>
      <c r="ABE91" s="50"/>
      <c r="ABF91" s="50"/>
      <c r="ABG91" s="50"/>
      <c r="ABH91" s="50"/>
      <c r="ABI91" s="50"/>
      <c r="ABJ91" s="50"/>
      <c r="ABK91" s="50"/>
      <c r="ABL91" s="50"/>
      <c r="ABM91" s="50"/>
      <c r="ABN91" s="50"/>
      <c r="ABO91" s="50"/>
      <c r="ABP91" s="50"/>
      <c r="ABQ91" s="50"/>
      <c r="ABR91" s="50"/>
      <c r="ABS91" s="50"/>
      <c r="ABT91" s="50"/>
      <c r="ABU91" s="50"/>
      <c r="ABV91" s="50"/>
      <c r="ABW91" s="50"/>
      <c r="ABX91" s="50"/>
      <c r="ABY91" s="50"/>
      <c r="ABZ91" s="50"/>
      <c r="ACA91" s="50"/>
      <c r="ACB91" s="50"/>
      <c r="ACC91" s="50"/>
      <c r="ACD91" s="50"/>
      <c r="ACE91" s="50"/>
      <c r="ACF91" s="50"/>
      <c r="ACG91" s="50"/>
      <c r="ACH91" s="50"/>
      <c r="ACI91" s="50"/>
      <c r="ACJ91" s="50"/>
      <c r="ACK91" s="50"/>
      <c r="ACL91" s="50"/>
      <c r="ACM91" s="50"/>
      <c r="ACN91" s="50"/>
      <c r="ACO91" s="50"/>
      <c r="ACP91" s="50"/>
      <c r="ACQ91" s="50"/>
      <c r="ACR91" s="50"/>
      <c r="ACS91" s="50"/>
      <c r="ACT91" s="50"/>
      <c r="ACU91" s="50"/>
      <c r="ACV91" s="50"/>
      <c r="ACW91" s="50"/>
      <c r="ACX91" s="50"/>
      <c r="ACY91" s="50"/>
      <c r="ACZ91" s="50"/>
      <c r="ADA91" s="50"/>
      <c r="ADB91" s="50"/>
      <c r="ADC91" s="50"/>
      <c r="ADD91" s="50"/>
      <c r="ADE91" s="50"/>
      <c r="ADF91" s="50"/>
      <c r="ADG91" s="50"/>
      <c r="ADH91" s="50"/>
      <c r="ADI91" s="50"/>
      <c r="ADJ91" s="50"/>
      <c r="ADK91" s="50"/>
      <c r="ADL91" s="50"/>
      <c r="ADM91" s="50"/>
      <c r="ADN91" s="50"/>
      <c r="ADO91" s="50"/>
      <c r="ADP91" s="50"/>
      <c r="ADQ91" s="50"/>
      <c r="ADR91" s="50"/>
      <c r="ADS91" s="50"/>
      <c r="ADT91" s="50"/>
      <c r="ADU91" s="50"/>
      <c r="ADV91" s="50"/>
      <c r="ADW91" s="50"/>
      <c r="ADX91" s="50"/>
      <c r="ADY91" s="50"/>
      <c r="ADZ91" s="50"/>
      <c r="AEA91" s="50"/>
      <c r="AEB91" s="50"/>
      <c r="AEC91" s="50"/>
      <c r="AED91" s="50"/>
      <c r="AEE91" s="50"/>
      <c r="AEF91" s="50"/>
      <c r="AEG91" s="50"/>
      <c r="AEH91" s="50"/>
      <c r="AEI91" s="50"/>
      <c r="AEJ91" s="50"/>
      <c r="AEK91" s="50"/>
      <c r="AEL91" s="50"/>
      <c r="AEM91" s="50"/>
      <c r="AEN91" s="50"/>
      <c r="AEO91" s="50"/>
      <c r="AEP91" s="50"/>
      <c r="AEQ91" s="50"/>
      <c r="AER91" s="50"/>
      <c r="AES91" s="50"/>
      <c r="AET91" s="50"/>
      <c r="AEU91" s="50"/>
      <c r="AEV91" s="50"/>
      <c r="AEW91" s="50"/>
      <c r="AEX91" s="50"/>
      <c r="AEY91" s="50"/>
      <c r="AEZ91" s="50"/>
      <c r="AFA91" s="50"/>
      <c r="AFB91" s="50"/>
      <c r="AFC91" s="50"/>
      <c r="AFD91" s="50"/>
      <c r="AFE91" s="50"/>
      <c r="AFF91" s="50"/>
      <c r="AFG91" s="50"/>
      <c r="AFH91" s="50"/>
      <c r="AFI91" s="50"/>
      <c r="AFJ91" s="50"/>
      <c r="AFK91" s="50"/>
      <c r="AFL91" s="50"/>
      <c r="AFM91" s="50"/>
      <c r="AFN91" s="50"/>
      <c r="AFO91" s="50"/>
      <c r="AFP91" s="50"/>
      <c r="AFQ91" s="50"/>
      <c r="AFR91" s="50"/>
      <c r="AFS91" s="50"/>
      <c r="AFT91" s="50"/>
      <c r="AFU91" s="50"/>
      <c r="AFV91" s="50"/>
      <c r="AFW91" s="50"/>
      <c r="AFX91" s="50"/>
      <c r="AFY91" s="50"/>
      <c r="AFZ91" s="50"/>
      <c r="AGA91" s="50"/>
      <c r="AGB91" s="50"/>
      <c r="AGC91" s="50"/>
      <c r="AGD91" s="50"/>
      <c r="AGE91" s="50"/>
      <c r="AGF91" s="50"/>
      <c r="AGG91" s="50"/>
      <c r="AGH91" s="50"/>
      <c r="AGI91" s="50"/>
      <c r="AGJ91" s="50"/>
      <c r="AGK91" s="50"/>
      <c r="AGL91" s="50"/>
      <c r="AGM91" s="50"/>
      <c r="AGN91" s="50"/>
      <c r="AGO91" s="50"/>
      <c r="AGP91" s="50"/>
      <c r="AGQ91" s="50"/>
      <c r="AGR91" s="50"/>
      <c r="AGS91" s="50"/>
      <c r="AGT91" s="50"/>
      <c r="AGU91" s="50"/>
      <c r="AGV91" s="50"/>
      <c r="AGW91" s="50"/>
      <c r="AGX91" s="50"/>
      <c r="AGY91" s="50"/>
      <c r="AGZ91" s="50"/>
      <c r="AHA91" s="50"/>
      <c r="AHB91" s="50"/>
      <c r="AHC91" s="50"/>
      <c r="AHD91" s="50"/>
      <c r="AHE91" s="50"/>
      <c r="AHF91" s="50"/>
      <c r="AHG91" s="50"/>
      <c r="AHH91" s="50"/>
      <c r="AHI91" s="50"/>
      <c r="AHJ91" s="50"/>
      <c r="AHK91" s="50"/>
      <c r="AHL91" s="50"/>
      <c r="AHM91" s="50"/>
      <c r="AHN91" s="50"/>
      <c r="AHO91" s="50"/>
      <c r="AHP91" s="50"/>
      <c r="AHQ91" s="50"/>
      <c r="AHR91" s="50"/>
      <c r="AHS91" s="50"/>
      <c r="AHT91" s="50"/>
      <c r="AHU91" s="50"/>
      <c r="AHV91" s="50"/>
      <c r="AHW91" s="50"/>
      <c r="AHX91" s="50"/>
      <c r="AHY91" s="50"/>
      <c r="AHZ91" s="50"/>
      <c r="AIA91" s="50"/>
      <c r="AIB91" s="50"/>
      <c r="AIC91" s="50"/>
      <c r="AID91" s="50"/>
      <c r="AIE91" s="50"/>
      <c r="AIF91" s="50"/>
      <c r="AIG91" s="50"/>
      <c r="AIH91" s="50"/>
      <c r="AII91" s="50"/>
      <c r="AIJ91" s="50"/>
      <c r="AIK91" s="50"/>
      <c r="AIL91" s="50"/>
      <c r="AIM91" s="50"/>
      <c r="AIN91" s="50"/>
      <c r="AIO91" s="50"/>
      <c r="AIP91" s="50"/>
      <c r="AIQ91" s="50"/>
      <c r="AIR91" s="50"/>
      <c r="AIS91" s="50"/>
      <c r="AIT91" s="50"/>
      <c r="AIU91" s="50"/>
      <c r="AIV91" s="50"/>
      <c r="AIW91" s="50"/>
      <c r="AIX91" s="50"/>
      <c r="AIY91" s="50"/>
      <c r="AIZ91" s="50"/>
      <c r="AJA91" s="50"/>
      <c r="AJB91" s="50"/>
      <c r="AJC91" s="50"/>
      <c r="AJD91" s="50"/>
      <c r="AJE91" s="50"/>
      <c r="AJF91" s="50"/>
      <c r="AJG91" s="50"/>
      <c r="AJH91" s="50"/>
      <c r="AJI91" s="50"/>
      <c r="AJJ91" s="50"/>
      <c r="AJK91" s="50"/>
      <c r="AJL91" s="50"/>
      <c r="AJM91" s="50"/>
      <c r="AJN91" s="50"/>
      <c r="AJO91" s="50"/>
      <c r="AJP91" s="50"/>
      <c r="AJQ91" s="50"/>
      <c r="AJR91" s="50"/>
      <c r="AJS91" s="50"/>
      <c r="AJT91" s="50"/>
      <c r="AJU91" s="50"/>
      <c r="AJV91" s="50"/>
      <c r="AJW91" s="50"/>
      <c r="AJX91" s="50"/>
      <c r="AJY91" s="50"/>
      <c r="AJZ91" s="50"/>
      <c r="AKA91" s="50"/>
      <c r="AKB91" s="50"/>
      <c r="AKC91" s="50"/>
      <c r="AKD91" s="50"/>
      <c r="AKE91" s="50"/>
      <c r="AKF91" s="50"/>
      <c r="AKG91" s="50"/>
      <c r="AKH91" s="50"/>
      <c r="AKI91" s="50"/>
      <c r="AKJ91" s="50"/>
      <c r="AKK91" s="50"/>
      <c r="AKL91" s="50"/>
      <c r="AKM91" s="50"/>
      <c r="AKN91" s="50"/>
      <c r="AKO91" s="50"/>
      <c r="AKP91" s="50"/>
      <c r="AKQ91" s="50"/>
      <c r="AKR91" s="50"/>
      <c r="AKS91" s="50"/>
      <c r="AKT91" s="50"/>
      <c r="AKU91" s="50"/>
      <c r="AKV91" s="50"/>
      <c r="AKW91" s="50"/>
      <c r="AKX91" s="50"/>
      <c r="AKY91" s="50"/>
      <c r="AKZ91" s="50"/>
      <c r="ALA91" s="50"/>
      <c r="ALB91" s="50"/>
      <c r="ALC91" s="50"/>
      <c r="ALD91" s="50"/>
      <c r="ALE91" s="50"/>
      <c r="ALF91" s="50"/>
      <c r="ALG91" s="50"/>
      <c r="ALH91" s="50"/>
      <c r="ALI91" s="50"/>
      <c r="ALJ91" s="50"/>
      <c r="ALK91" s="50"/>
      <c r="ALL91" s="50"/>
      <c r="ALM91" s="50"/>
      <c r="ALN91" s="50"/>
      <c r="ALO91" s="50"/>
      <c r="ALP91" s="50"/>
      <c r="ALQ91" s="50"/>
      <c r="ALR91" s="50"/>
      <c r="ALS91" s="50"/>
      <c r="ALT91" s="50"/>
      <c r="ALU91" s="50"/>
      <c r="ALV91" s="50"/>
      <c r="ALW91" s="50"/>
      <c r="ALX91" s="50"/>
      <c r="ALY91" s="50"/>
      <c r="ALZ91" s="50"/>
      <c r="AMA91" s="50"/>
      <c r="AMB91" s="50"/>
      <c r="AMC91" s="50"/>
      <c r="AMD91" s="50"/>
      <c r="AME91" s="50"/>
      <c r="AMF91" s="50"/>
      <c r="AMG91" s="50"/>
      <c r="AMH91" s="50"/>
      <c r="AMI91" s="50"/>
      <c r="AMJ91" s="50"/>
    </row>
    <row r="92" spans="12:1024" ht="15.95" customHeight="1" x14ac:dyDescent="0.2">
      <c r="L92" s="50"/>
      <c r="M92" s="51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50"/>
      <c r="BQ92" s="50"/>
      <c r="BR92" s="50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  <c r="DD92" s="50"/>
      <c r="DE92" s="50"/>
      <c r="DF92" s="50"/>
      <c r="DG92" s="50"/>
      <c r="DH92" s="50"/>
      <c r="DI92" s="50"/>
      <c r="DJ92" s="50"/>
      <c r="DK92" s="50"/>
      <c r="DL92" s="50"/>
      <c r="DM92" s="50"/>
      <c r="DN92" s="50"/>
      <c r="DO92" s="50"/>
      <c r="DP92" s="50"/>
      <c r="DQ92" s="50"/>
      <c r="DR92" s="50"/>
      <c r="DS92" s="50"/>
      <c r="DT92" s="50"/>
      <c r="DU92" s="50"/>
      <c r="DV92" s="50"/>
      <c r="DW92" s="50"/>
      <c r="DX92" s="50"/>
      <c r="DY92" s="50"/>
      <c r="DZ92" s="50"/>
      <c r="EA92" s="50"/>
      <c r="EB92" s="50"/>
      <c r="EC92" s="50"/>
      <c r="ED92" s="50"/>
      <c r="EE92" s="50"/>
      <c r="EF92" s="50"/>
      <c r="EG92" s="50"/>
      <c r="EH92" s="50"/>
      <c r="EI92" s="50"/>
      <c r="EJ92" s="50"/>
      <c r="EK92" s="50"/>
      <c r="EL92" s="50"/>
      <c r="EM92" s="50"/>
      <c r="EN92" s="50"/>
      <c r="EO92" s="50"/>
      <c r="EP92" s="50"/>
      <c r="EQ92" s="50"/>
      <c r="ER92" s="50"/>
      <c r="ES92" s="50"/>
      <c r="ET92" s="50"/>
      <c r="EU92" s="50"/>
      <c r="EV92" s="50"/>
      <c r="EW92" s="50"/>
      <c r="EX92" s="50"/>
      <c r="EY92" s="50"/>
      <c r="EZ92" s="50"/>
      <c r="FA92" s="50"/>
      <c r="FB92" s="50"/>
      <c r="FC92" s="50"/>
      <c r="FD92" s="50"/>
      <c r="FE92" s="50"/>
      <c r="FF92" s="50"/>
      <c r="FG92" s="50"/>
      <c r="FH92" s="50"/>
      <c r="FI92" s="50"/>
      <c r="FJ92" s="50"/>
      <c r="FK92" s="50"/>
      <c r="FL92" s="50"/>
      <c r="FM92" s="50"/>
      <c r="FN92" s="50"/>
      <c r="FO92" s="50"/>
      <c r="FP92" s="50"/>
      <c r="FQ92" s="50"/>
      <c r="FR92" s="50"/>
      <c r="FS92" s="50"/>
      <c r="FT92" s="50"/>
      <c r="FU92" s="50"/>
      <c r="FV92" s="50"/>
      <c r="FW92" s="50"/>
      <c r="FX92" s="50"/>
      <c r="FY92" s="50"/>
      <c r="FZ92" s="50"/>
      <c r="GA92" s="50"/>
      <c r="GB92" s="50"/>
      <c r="GC92" s="50"/>
      <c r="GD92" s="50"/>
      <c r="GE92" s="50"/>
      <c r="GF92" s="50"/>
      <c r="GG92" s="50"/>
      <c r="GH92" s="50"/>
      <c r="GI92" s="50"/>
      <c r="GJ92" s="50"/>
      <c r="GK92" s="50"/>
      <c r="GL92" s="50"/>
      <c r="GM92" s="50"/>
      <c r="GN92" s="50"/>
      <c r="GO92" s="50"/>
      <c r="GP92" s="50"/>
      <c r="GQ92" s="50"/>
      <c r="GR92" s="50"/>
      <c r="GS92" s="50"/>
      <c r="GT92" s="50"/>
      <c r="GU92" s="50"/>
      <c r="GV92" s="50"/>
      <c r="GW92" s="50"/>
      <c r="GX92" s="50"/>
      <c r="GY92" s="50"/>
      <c r="GZ92" s="50"/>
      <c r="HA92" s="50"/>
      <c r="HB92" s="50"/>
      <c r="HC92" s="50"/>
      <c r="HD92" s="50"/>
      <c r="HE92" s="50"/>
      <c r="HF92" s="50"/>
      <c r="HG92" s="50"/>
      <c r="HH92" s="50"/>
      <c r="HI92" s="50"/>
      <c r="HJ92" s="50"/>
      <c r="HK92" s="50"/>
      <c r="HL92" s="50"/>
      <c r="HM92" s="50"/>
      <c r="HN92" s="50"/>
      <c r="HO92" s="50"/>
      <c r="HP92" s="50"/>
      <c r="HQ92" s="50"/>
      <c r="HR92" s="50"/>
      <c r="HS92" s="50"/>
      <c r="HT92" s="50"/>
      <c r="HU92" s="50"/>
      <c r="HV92" s="50"/>
      <c r="HW92" s="50"/>
      <c r="HX92" s="50"/>
      <c r="HY92" s="50"/>
      <c r="HZ92" s="50"/>
      <c r="IA92" s="50"/>
      <c r="IB92" s="50"/>
      <c r="IC92" s="50"/>
      <c r="ID92" s="50"/>
      <c r="IE92" s="50"/>
      <c r="IF92" s="50"/>
      <c r="IG92" s="50"/>
      <c r="IH92" s="50"/>
      <c r="II92" s="50"/>
      <c r="IJ92" s="50"/>
      <c r="IK92" s="50"/>
      <c r="IL92" s="50"/>
      <c r="IM92" s="50"/>
      <c r="IN92" s="50"/>
      <c r="IO92" s="50"/>
      <c r="IP92" s="50"/>
      <c r="IQ92" s="50"/>
      <c r="IR92" s="50"/>
      <c r="IS92" s="50"/>
      <c r="IT92" s="50"/>
      <c r="IU92" s="50"/>
      <c r="IV92" s="50"/>
      <c r="IW92" s="50"/>
      <c r="IX92" s="50"/>
      <c r="IY92" s="50"/>
      <c r="IZ92" s="50"/>
      <c r="JA92" s="50"/>
      <c r="JB92" s="50"/>
      <c r="JC92" s="50"/>
      <c r="JD92" s="50"/>
      <c r="JE92" s="50"/>
      <c r="JF92" s="50"/>
      <c r="JG92" s="50"/>
      <c r="JH92" s="50"/>
      <c r="JI92" s="50"/>
      <c r="JJ92" s="50"/>
      <c r="JK92" s="50"/>
      <c r="JL92" s="50"/>
      <c r="JM92" s="50"/>
      <c r="JN92" s="50"/>
      <c r="JO92" s="50"/>
      <c r="JP92" s="50"/>
      <c r="JQ92" s="50"/>
      <c r="JR92" s="50"/>
      <c r="JS92" s="50"/>
      <c r="JT92" s="50"/>
      <c r="JU92" s="50"/>
      <c r="JV92" s="50"/>
      <c r="JW92" s="50"/>
      <c r="JX92" s="50"/>
      <c r="JY92" s="50"/>
      <c r="JZ92" s="50"/>
      <c r="KA92" s="50"/>
      <c r="KB92" s="50"/>
      <c r="KC92" s="50"/>
      <c r="KD92" s="50"/>
      <c r="KE92" s="50"/>
      <c r="KF92" s="50"/>
      <c r="KG92" s="50"/>
      <c r="KH92" s="50"/>
      <c r="KI92" s="50"/>
      <c r="KJ92" s="50"/>
      <c r="KK92" s="50"/>
      <c r="KL92" s="50"/>
      <c r="KM92" s="50"/>
      <c r="KN92" s="50"/>
      <c r="KO92" s="50"/>
      <c r="KP92" s="50"/>
      <c r="KQ92" s="50"/>
      <c r="KR92" s="50"/>
      <c r="KS92" s="50"/>
      <c r="KT92" s="50"/>
      <c r="KU92" s="50"/>
      <c r="KV92" s="50"/>
      <c r="KW92" s="50"/>
      <c r="KX92" s="50"/>
      <c r="KY92" s="50"/>
      <c r="KZ92" s="50"/>
      <c r="LA92" s="50"/>
      <c r="LB92" s="50"/>
      <c r="LC92" s="50"/>
      <c r="LD92" s="50"/>
      <c r="LE92" s="50"/>
      <c r="LF92" s="50"/>
      <c r="LG92" s="50"/>
      <c r="LH92" s="50"/>
      <c r="LI92" s="50"/>
      <c r="LJ92" s="50"/>
      <c r="LK92" s="50"/>
      <c r="LL92" s="50"/>
      <c r="LM92" s="50"/>
      <c r="LN92" s="50"/>
      <c r="LO92" s="50"/>
      <c r="LP92" s="50"/>
      <c r="LQ92" s="50"/>
      <c r="LR92" s="50"/>
      <c r="LS92" s="50"/>
      <c r="LT92" s="50"/>
      <c r="LU92" s="50"/>
      <c r="LV92" s="50"/>
      <c r="LW92" s="50"/>
      <c r="LX92" s="50"/>
      <c r="LY92" s="50"/>
      <c r="LZ92" s="50"/>
      <c r="MA92" s="50"/>
      <c r="MB92" s="50"/>
      <c r="MC92" s="50"/>
      <c r="MD92" s="50"/>
      <c r="ME92" s="50"/>
      <c r="MF92" s="50"/>
      <c r="MG92" s="50"/>
      <c r="MH92" s="50"/>
      <c r="MI92" s="50"/>
      <c r="MJ92" s="50"/>
      <c r="MK92" s="50"/>
      <c r="ML92" s="50"/>
      <c r="MM92" s="50"/>
      <c r="MN92" s="50"/>
      <c r="MO92" s="50"/>
      <c r="MP92" s="50"/>
      <c r="MQ92" s="50"/>
      <c r="MR92" s="50"/>
      <c r="MS92" s="50"/>
      <c r="MT92" s="50"/>
      <c r="MU92" s="50"/>
      <c r="MV92" s="50"/>
      <c r="MW92" s="50"/>
      <c r="MX92" s="50"/>
      <c r="MY92" s="50"/>
      <c r="MZ92" s="50"/>
      <c r="NA92" s="50"/>
      <c r="NB92" s="50"/>
      <c r="NC92" s="50"/>
      <c r="ND92" s="50"/>
      <c r="NE92" s="50"/>
      <c r="NF92" s="50"/>
      <c r="NG92" s="50"/>
      <c r="NH92" s="50"/>
      <c r="NI92" s="50"/>
      <c r="NJ92" s="50"/>
      <c r="NK92" s="50"/>
      <c r="NL92" s="50"/>
      <c r="NM92" s="50"/>
      <c r="NN92" s="50"/>
      <c r="NO92" s="50"/>
      <c r="NP92" s="50"/>
      <c r="NQ92" s="50"/>
      <c r="NR92" s="50"/>
      <c r="NS92" s="50"/>
      <c r="NT92" s="50"/>
      <c r="NU92" s="50"/>
      <c r="NV92" s="50"/>
      <c r="NW92" s="50"/>
      <c r="NX92" s="50"/>
      <c r="NY92" s="50"/>
      <c r="NZ92" s="50"/>
      <c r="OA92" s="50"/>
      <c r="OB92" s="50"/>
      <c r="OC92" s="50"/>
      <c r="OD92" s="50"/>
      <c r="OE92" s="50"/>
      <c r="OF92" s="50"/>
      <c r="OG92" s="50"/>
      <c r="OH92" s="50"/>
      <c r="OI92" s="50"/>
      <c r="OJ92" s="50"/>
      <c r="OK92" s="50"/>
      <c r="OL92" s="50"/>
      <c r="OM92" s="50"/>
      <c r="ON92" s="50"/>
      <c r="OO92" s="50"/>
      <c r="OP92" s="50"/>
      <c r="OQ92" s="50"/>
      <c r="OR92" s="50"/>
      <c r="OS92" s="50"/>
      <c r="OT92" s="50"/>
      <c r="OU92" s="50"/>
      <c r="OV92" s="50"/>
      <c r="OW92" s="50"/>
      <c r="OX92" s="50"/>
      <c r="OY92" s="50"/>
      <c r="OZ92" s="50"/>
      <c r="PA92" s="50"/>
      <c r="PB92" s="50"/>
      <c r="PC92" s="50"/>
      <c r="PD92" s="50"/>
      <c r="PE92" s="50"/>
      <c r="PF92" s="50"/>
      <c r="PG92" s="50"/>
      <c r="PH92" s="50"/>
      <c r="PI92" s="50"/>
      <c r="PJ92" s="50"/>
      <c r="PK92" s="50"/>
      <c r="PL92" s="50"/>
      <c r="PM92" s="50"/>
      <c r="PN92" s="50"/>
      <c r="PO92" s="50"/>
      <c r="PP92" s="50"/>
      <c r="PQ92" s="50"/>
      <c r="PR92" s="50"/>
      <c r="PS92" s="50"/>
      <c r="PT92" s="50"/>
      <c r="PU92" s="50"/>
      <c r="PV92" s="50"/>
      <c r="PW92" s="50"/>
      <c r="PX92" s="50"/>
      <c r="PY92" s="50"/>
      <c r="PZ92" s="50"/>
      <c r="QA92" s="50"/>
      <c r="QB92" s="50"/>
      <c r="QC92" s="50"/>
      <c r="QD92" s="50"/>
      <c r="QE92" s="50"/>
      <c r="QF92" s="50"/>
      <c r="QG92" s="50"/>
      <c r="QH92" s="50"/>
      <c r="QI92" s="50"/>
      <c r="QJ92" s="50"/>
      <c r="QK92" s="50"/>
      <c r="QL92" s="50"/>
      <c r="QM92" s="50"/>
      <c r="QN92" s="50"/>
      <c r="QO92" s="50"/>
      <c r="QP92" s="50"/>
      <c r="QQ92" s="50"/>
      <c r="QR92" s="50"/>
      <c r="QS92" s="50"/>
      <c r="QT92" s="50"/>
      <c r="QU92" s="50"/>
      <c r="QV92" s="50"/>
      <c r="QW92" s="50"/>
      <c r="QX92" s="50"/>
      <c r="QY92" s="50"/>
      <c r="QZ92" s="50"/>
      <c r="RA92" s="50"/>
      <c r="RB92" s="50"/>
      <c r="RC92" s="50"/>
      <c r="RD92" s="50"/>
      <c r="RE92" s="50"/>
      <c r="RF92" s="50"/>
      <c r="RG92" s="50"/>
      <c r="RH92" s="50"/>
      <c r="RI92" s="50"/>
      <c r="RJ92" s="50"/>
      <c r="RK92" s="50"/>
      <c r="RL92" s="50"/>
      <c r="RM92" s="50"/>
      <c r="RN92" s="50"/>
      <c r="RO92" s="50"/>
      <c r="RP92" s="50"/>
      <c r="RQ92" s="50"/>
      <c r="RR92" s="50"/>
      <c r="RS92" s="50"/>
      <c r="RT92" s="50"/>
      <c r="RU92" s="50"/>
      <c r="RV92" s="50"/>
      <c r="RW92" s="50"/>
      <c r="RX92" s="50"/>
      <c r="RY92" s="50"/>
      <c r="RZ92" s="50"/>
      <c r="SA92" s="50"/>
      <c r="SB92" s="50"/>
      <c r="SC92" s="50"/>
      <c r="SD92" s="50"/>
      <c r="SE92" s="50"/>
      <c r="SF92" s="50"/>
      <c r="SG92" s="50"/>
      <c r="SH92" s="50"/>
      <c r="SI92" s="50"/>
      <c r="SJ92" s="50"/>
      <c r="SK92" s="50"/>
      <c r="SL92" s="50"/>
      <c r="SM92" s="50"/>
      <c r="SN92" s="50"/>
      <c r="SO92" s="50"/>
      <c r="SP92" s="50"/>
      <c r="SQ92" s="50"/>
      <c r="SR92" s="50"/>
      <c r="SS92" s="50"/>
      <c r="ST92" s="50"/>
      <c r="SU92" s="50"/>
      <c r="SV92" s="50"/>
      <c r="SW92" s="50"/>
      <c r="SX92" s="50"/>
      <c r="SY92" s="50"/>
      <c r="SZ92" s="50"/>
      <c r="TA92" s="50"/>
      <c r="TB92" s="50"/>
      <c r="TC92" s="50"/>
      <c r="TD92" s="50"/>
      <c r="TE92" s="50"/>
      <c r="TF92" s="50"/>
      <c r="TG92" s="50"/>
      <c r="TH92" s="50"/>
      <c r="TI92" s="50"/>
      <c r="TJ92" s="50"/>
      <c r="TK92" s="50"/>
      <c r="TL92" s="50"/>
      <c r="TM92" s="50"/>
      <c r="TN92" s="50"/>
      <c r="TO92" s="50"/>
      <c r="TP92" s="50"/>
      <c r="TQ92" s="50"/>
      <c r="TR92" s="50"/>
      <c r="TS92" s="50"/>
      <c r="TT92" s="50"/>
      <c r="TU92" s="50"/>
      <c r="TV92" s="50"/>
      <c r="TW92" s="50"/>
      <c r="TX92" s="50"/>
      <c r="TY92" s="50"/>
      <c r="TZ92" s="50"/>
      <c r="UA92" s="50"/>
      <c r="UB92" s="50"/>
      <c r="UC92" s="50"/>
      <c r="UD92" s="50"/>
      <c r="UE92" s="50"/>
      <c r="UF92" s="50"/>
      <c r="UG92" s="50"/>
      <c r="UH92" s="50"/>
      <c r="UI92" s="50"/>
      <c r="UJ92" s="50"/>
      <c r="UK92" s="50"/>
      <c r="UL92" s="50"/>
      <c r="UM92" s="50"/>
      <c r="UN92" s="50"/>
      <c r="UO92" s="50"/>
      <c r="UP92" s="50"/>
      <c r="UQ92" s="50"/>
      <c r="UR92" s="50"/>
      <c r="US92" s="50"/>
      <c r="UT92" s="50"/>
      <c r="UU92" s="50"/>
      <c r="UV92" s="50"/>
      <c r="UW92" s="50"/>
      <c r="UX92" s="50"/>
      <c r="UY92" s="50"/>
      <c r="UZ92" s="50"/>
      <c r="VA92" s="50"/>
      <c r="VB92" s="50"/>
      <c r="VC92" s="50"/>
      <c r="VD92" s="50"/>
      <c r="VE92" s="50"/>
      <c r="VF92" s="50"/>
      <c r="VG92" s="50"/>
      <c r="VH92" s="50"/>
      <c r="VI92" s="50"/>
      <c r="VJ92" s="50"/>
      <c r="VK92" s="50"/>
      <c r="VL92" s="50"/>
      <c r="VM92" s="50"/>
      <c r="VN92" s="50"/>
      <c r="VO92" s="50"/>
      <c r="VP92" s="50"/>
      <c r="VQ92" s="50"/>
      <c r="VR92" s="50"/>
      <c r="VS92" s="50"/>
      <c r="VT92" s="50"/>
      <c r="VU92" s="50"/>
      <c r="VV92" s="50"/>
      <c r="VW92" s="50"/>
      <c r="VX92" s="50"/>
      <c r="VY92" s="50"/>
      <c r="VZ92" s="50"/>
      <c r="WA92" s="50"/>
      <c r="WB92" s="50"/>
      <c r="WC92" s="50"/>
      <c r="WD92" s="50"/>
      <c r="WE92" s="50"/>
      <c r="WF92" s="50"/>
      <c r="WG92" s="50"/>
      <c r="WH92" s="50"/>
      <c r="WI92" s="50"/>
      <c r="WJ92" s="50"/>
      <c r="WK92" s="50"/>
      <c r="WL92" s="50"/>
      <c r="WM92" s="50"/>
      <c r="WN92" s="50"/>
      <c r="WO92" s="50"/>
      <c r="WP92" s="50"/>
      <c r="WQ92" s="50"/>
      <c r="WR92" s="50"/>
      <c r="WS92" s="50"/>
      <c r="WT92" s="50"/>
      <c r="WU92" s="50"/>
      <c r="WV92" s="50"/>
      <c r="WW92" s="50"/>
      <c r="WX92" s="50"/>
      <c r="WY92" s="50"/>
      <c r="WZ92" s="50"/>
      <c r="XA92" s="50"/>
      <c r="XB92" s="50"/>
      <c r="XC92" s="50"/>
      <c r="XD92" s="50"/>
      <c r="XE92" s="50"/>
      <c r="XF92" s="50"/>
      <c r="XG92" s="50"/>
      <c r="XH92" s="50"/>
      <c r="XI92" s="50"/>
      <c r="XJ92" s="50"/>
      <c r="XK92" s="50"/>
      <c r="XL92" s="50"/>
      <c r="XM92" s="50"/>
      <c r="XN92" s="50"/>
      <c r="XO92" s="50"/>
      <c r="XP92" s="50"/>
      <c r="XQ92" s="50"/>
      <c r="XR92" s="50"/>
      <c r="XS92" s="50"/>
      <c r="XT92" s="50"/>
      <c r="XU92" s="50"/>
      <c r="XV92" s="50"/>
      <c r="XW92" s="50"/>
      <c r="XX92" s="50"/>
      <c r="XY92" s="50"/>
      <c r="XZ92" s="50"/>
      <c r="YA92" s="50"/>
      <c r="YB92" s="50"/>
      <c r="YC92" s="50"/>
      <c r="YD92" s="50"/>
      <c r="YE92" s="50"/>
      <c r="YF92" s="50"/>
      <c r="YG92" s="50"/>
      <c r="YH92" s="50"/>
      <c r="YI92" s="50"/>
      <c r="YJ92" s="50"/>
      <c r="YK92" s="50"/>
      <c r="YL92" s="50"/>
      <c r="YM92" s="50"/>
      <c r="YN92" s="50"/>
      <c r="YO92" s="50"/>
      <c r="YP92" s="50"/>
      <c r="YQ92" s="50"/>
      <c r="YR92" s="50"/>
      <c r="YS92" s="50"/>
      <c r="YT92" s="50"/>
      <c r="YU92" s="50"/>
      <c r="YV92" s="50"/>
      <c r="YW92" s="50"/>
      <c r="YX92" s="50"/>
      <c r="YY92" s="50"/>
      <c r="YZ92" s="50"/>
      <c r="ZA92" s="50"/>
      <c r="ZB92" s="50"/>
      <c r="ZC92" s="50"/>
      <c r="ZD92" s="50"/>
      <c r="ZE92" s="50"/>
      <c r="ZF92" s="50"/>
      <c r="ZG92" s="50"/>
      <c r="ZH92" s="50"/>
      <c r="ZI92" s="50"/>
      <c r="ZJ92" s="50"/>
      <c r="ZK92" s="50"/>
      <c r="ZL92" s="50"/>
      <c r="ZM92" s="50"/>
      <c r="ZN92" s="50"/>
      <c r="ZO92" s="50"/>
      <c r="ZP92" s="50"/>
      <c r="ZQ92" s="50"/>
      <c r="ZR92" s="50"/>
      <c r="ZS92" s="50"/>
      <c r="ZT92" s="50"/>
      <c r="ZU92" s="50"/>
      <c r="ZV92" s="50"/>
      <c r="ZW92" s="50"/>
      <c r="ZX92" s="50"/>
      <c r="ZY92" s="50"/>
      <c r="ZZ92" s="50"/>
      <c r="AAA92" s="50"/>
      <c r="AAB92" s="50"/>
      <c r="AAC92" s="50"/>
      <c r="AAD92" s="50"/>
      <c r="AAE92" s="50"/>
      <c r="AAF92" s="50"/>
      <c r="AAG92" s="50"/>
      <c r="AAH92" s="50"/>
      <c r="AAI92" s="50"/>
      <c r="AAJ92" s="50"/>
      <c r="AAK92" s="50"/>
      <c r="AAL92" s="50"/>
      <c r="AAM92" s="50"/>
      <c r="AAN92" s="50"/>
      <c r="AAO92" s="50"/>
      <c r="AAP92" s="50"/>
      <c r="AAQ92" s="50"/>
      <c r="AAR92" s="50"/>
      <c r="AAS92" s="50"/>
      <c r="AAT92" s="50"/>
      <c r="AAU92" s="50"/>
      <c r="AAV92" s="50"/>
      <c r="AAW92" s="50"/>
      <c r="AAX92" s="50"/>
      <c r="AAY92" s="50"/>
      <c r="AAZ92" s="50"/>
      <c r="ABA92" s="50"/>
      <c r="ABB92" s="50"/>
      <c r="ABC92" s="50"/>
      <c r="ABD92" s="50"/>
      <c r="ABE92" s="50"/>
      <c r="ABF92" s="50"/>
      <c r="ABG92" s="50"/>
      <c r="ABH92" s="50"/>
      <c r="ABI92" s="50"/>
      <c r="ABJ92" s="50"/>
      <c r="ABK92" s="50"/>
      <c r="ABL92" s="50"/>
      <c r="ABM92" s="50"/>
      <c r="ABN92" s="50"/>
      <c r="ABO92" s="50"/>
      <c r="ABP92" s="50"/>
      <c r="ABQ92" s="50"/>
      <c r="ABR92" s="50"/>
      <c r="ABS92" s="50"/>
      <c r="ABT92" s="50"/>
      <c r="ABU92" s="50"/>
      <c r="ABV92" s="50"/>
      <c r="ABW92" s="50"/>
      <c r="ABX92" s="50"/>
      <c r="ABY92" s="50"/>
      <c r="ABZ92" s="50"/>
      <c r="ACA92" s="50"/>
      <c r="ACB92" s="50"/>
      <c r="ACC92" s="50"/>
      <c r="ACD92" s="50"/>
      <c r="ACE92" s="50"/>
      <c r="ACF92" s="50"/>
      <c r="ACG92" s="50"/>
      <c r="ACH92" s="50"/>
      <c r="ACI92" s="50"/>
      <c r="ACJ92" s="50"/>
      <c r="ACK92" s="50"/>
      <c r="ACL92" s="50"/>
      <c r="ACM92" s="50"/>
      <c r="ACN92" s="50"/>
      <c r="ACO92" s="50"/>
      <c r="ACP92" s="50"/>
      <c r="ACQ92" s="50"/>
      <c r="ACR92" s="50"/>
      <c r="ACS92" s="50"/>
      <c r="ACT92" s="50"/>
      <c r="ACU92" s="50"/>
      <c r="ACV92" s="50"/>
      <c r="ACW92" s="50"/>
      <c r="ACX92" s="50"/>
      <c r="ACY92" s="50"/>
      <c r="ACZ92" s="50"/>
      <c r="ADA92" s="50"/>
      <c r="ADB92" s="50"/>
      <c r="ADC92" s="50"/>
      <c r="ADD92" s="50"/>
      <c r="ADE92" s="50"/>
      <c r="ADF92" s="50"/>
      <c r="ADG92" s="50"/>
      <c r="ADH92" s="50"/>
      <c r="ADI92" s="50"/>
      <c r="ADJ92" s="50"/>
      <c r="ADK92" s="50"/>
      <c r="ADL92" s="50"/>
      <c r="ADM92" s="50"/>
      <c r="ADN92" s="50"/>
      <c r="ADO92" s="50"/>
      <c r="ADP92" s="50"/>
      <c r="ADQ92" s="50"/>
      <c r="ADR92" s="50"/>
      <c r="ADS92" s="50"/>
      <c r="ADT92" s="50"/>
      <c r="ADU92" s="50"/>
      <c r="ADV92" s="50"/>
      <c r="ADW92" s="50"/>
      <c r="ADX92" s="50"/>
      <c r="ADY92" s="50"/>
      <c r="ADZ92" s="50"/>
      <c r="AEA92" s="50"/>
      <c r="AEB92" s="50"/>
      <c r="AEC92" s="50"/>
      <c r="AED92" s="50"/>
      <c r="AEE92" s="50"/>
      <c r="AEF92" s="50"/>
      <c r="AEG92" s="50"/>
      <c r="AEH92" s="50"/>
      <c r="AEI92" s="50"/>
      <c r="AEJ92" s="50"/>
      <c r="AEK92" s="50"/>
      <c r="AEL92" s="50"/>
      <c r="AEM92" s="50"/>
      <c r="AEN92" s="50"/>
      <c r="AEO92" s="50"/>
      <c r="AEP92" s="50"/>
      <c r="AEQ92" s="50"/>
      <c r="AER92" s="50"/>
      <c r="AES92" s="50"/>
      <c r="AET92" s="50"/>
      <c r="AEU92" s="50"/>
      <c r="AEV92" s="50"/>
      <c r="AEW92" s="50"/>
      <c r="AEX92" s="50"/>
      <c r="AEY92" s="50"/>
      <c r="AEZ92" s="50"/>
      <c r="AFA92" s="50"/>
      <c r="AFB92" s="50"/>
      <c r="AFC92" s="50"/>
      <c r="AFD92" s="50"/>
      <c r="AFE92" s="50"/>
      <c r="AFF92" s="50"/>
      <c r="AFG92" s="50"/>
      <c r="AFH92" s="50"/>
      <c r="AFI92" s="50"/>
      <c r="AFJ92" s="50"/>
      <c r="AFK92" s="50"/>
      <c r="AFL92" s="50"/>
      <c r="AFM92" s="50"/>
      <c r="AFN92" s="50"/>
      <c r="AFO92" s="50"/>
      <c r="AFP92" s="50"/>
      <c r="AFQ92" s="50"/>
      <c r="AFR92" s="50"/>
      <c r="AFS92" s="50"/>
      <c r="AFT92" s="50"/>
      <c r="AFU92" s="50"/>
      <c r="AFV92" s="50"/>
      <c r="AFW92" s="50"/>
      <c r="AFX92" s="50"/>
      <c r="AFY92" s="50"/>
      <c r="AFZ92" s="50"/>
      <c r="AGA92" s="50"/>
      <c r="AGB92" s="50"/>
      <c r="AGC92" s="50"/>
      <c r="AGD92" s="50"/>
      <c r="AGE92" s="50"/>
      <c r="AGF92" s="50"/>
      <c r="AGG92" s="50"/>
      <c r="AGH92" s="50"/>
      <c r="AGI92" s="50"/>
      <c r="AGJ92" s="50"/>
      <c r="AGK92" s="50"/>
      <c r="AGL92" s="50"/>
      <c r="AGM92" s="50"/>
      <c r="AGN92" s="50"/>
      <c r="AGO92" s="50"/>
      <c r="AGP92" s="50"/>
      <c r="AGQ92" s="50"/>
      <c r="AGR92" s="50"/>
      <c r="AGS92" s="50"/>
      <c r="AGT92" s="50"/>
      <c r="AGU92" s="50"/>
      <c r="AGV92" s="50"/>
      <c r="AGW92" s="50"/>
      <c r="AGX92" s="50"/>
      <c r="AGY92" s="50"/>
      <c r="AGZ92" s="50"/>
      <c r="AHA92" s="50"/>
      <c r="AHB92" s="50"/>
      <c r="AHC92" s="50"/>
      <c r="AHD92" s="50"/>
      <c r="AHE92" s="50"/>
      <c r="AHF92" s="50"/>
      <c r="AHG92" s="50"/>
      <c r="AHH92" s="50"/>
      <c r="AHI92" s="50"/>
      <c r="AHJ92" s="50"/>
      <c r="AHK92" s="50"/>
      <c r="AHL92" s="50"/>
      <c r="AHM92" s="50"/>
      <c r="AHN92" s="50"/>
      <c r="AHO92" s="50"/>
      <c r="AHP92" s="50"/>
      <c r="AHQ92" s="50"/>
      <c r="AHR92" s="50"/>
      <c r="AHS92" s="50"/>
      <c r="AHT92" s="50"/>
      <c r="AHU92" s="50"/>
      <c r="AHV92" s="50"/>
      <c r="AHW92" s="50"/>
      <c r="AHX92" s="50"/>
      <c r="AHY92" s="50"/>
      <c r="AHZ92" s="50"/>
      <c r="AIA92" s="50"/>
      <c r="AIB92" s="50"/>
      <c r="AIC92" s="50"/>
      <c r="AID92" s="50"/>
      <c r="AIE92" s="50"/>
      <c r="AIF92" s="50"/>
      <c r="AIG92" s="50"/>
      <c r="AIH92" s="50"/>
      <c r="AII92" s="50"/>
      <c r="AIJ92" s="50"/>
      <c r="AIK92" s="50"/>
      <c r="AIL92" s="50"/>
      <c r="AIM92" s="50"/>
      <c r="AIN92" s="50"/>
      <c r="AIO92" s="50"/>
      <c r="AIP92" s="50"/>
      <c r="AIQ92" s="50"/>
      <c r="AIR92" s="50"/>
      <c r="AIS92" s="50"/>
      <c r="AIT92" s="50"/>
      <c r="AIU92" s="50"/>
      <c r="AIV92" s="50"/>
      <c r="AIW92" s="50"/>
      <c r="AIX92" s="50"/>
      <c r="AIY92" s="50"/>
      <c r="AIZ92" s="50"/>
      <c r="AJA92" s="50"/>
      <c r="AJB92" s="50"/>
      <c r="AJC92" s="50"/>
      <c r="AJD92" s="50"/>
      <c r="AJE92" s="50"/>
      <c r="AJF92" s="50"/>
      <c r="AJG92" s="50"/>
      <c r="AJH92" s="50"/>
      <c r="AJI92" s="50"/>
      <c r="AJJ92" s="50"/>
      <c r="AJK92" s="50"/>
      <c r="AJL92" s="50"/>
      <c r="AJM92" s="50"/>
      <c r="AJN92" s="50"/>
      <c r="AJO92" s="50"/>
      <c r="AJP92" s="50"/>
      <c r="AJQ92" s="50"/>
      <c r="AJR92" s="50"/>
      <c r="AJS92" s="50"/>
      <c r="AJT92" s="50"/>
      <c r="AJU92" s="50"/>
      <c r="AJV92" s="50"/>
      <c r="AJW92" s="50"/>
      <c r="AJX92" s="50"/>
      <c r="AJY92" s="50"/>
      <c r="AJZ92" s="50"/>
      <c r="AKA92" s="50"/>
      <c r="AKB92" s="50"/>
      <c r="AKC92" s="50"/>
      <c r="AKD92" s="50"/>
      <c r="AKE92" s="50"/>
      <c r="AKF92" s="50"/>
      <c r="AKG92" s="50"/>
      <c r="AKH92" s="50"/>
      <c r="AKI92" s="50"/>
      <c r="AKJ92" s="50"/>
      <c r="AKK92" s="50"/>
      <c r="AKL92" s="50"/>
      <c r="AKM92" s="50"/>
      <c r="AKN92" s="50"/>
      <c r="AKO92" s="50"/>
      <c r="AKP92" s="50"/>
      <c r="AKQ92" s="50"/>
      <c r="AKR92" s="50"/>
      <c r="AKS92" s="50"/>
      <c r="AKT92" s="50"/>
      <c r="AKU92" s="50"/>
      <c r="AKV92" s="50"/>
      <c r="AKW92" s="50"/>
      <c r="AKX92" s="50"/>
      <c r="AKY92" s="50"/>
      <c r="AKZ92" s="50"/>
      <c r="ALA92" s="50"/>
      <c r="ALB92" s="50"/>
      <c r="ALC92" s="50"/>
      <c r="ALD92" s="50"/>
      <c r="ALE92" s="50"/>
      <c r="ALF92" s="50"/>
      <c r="ALG92" s="50"/>
      <c r="ALH92" s="50"/>
      <c r="ALI92" s="50"/>
      <c r="ALJ92" s="50"/>
      <c r="ALK92" s="50"/>
      <c r="ALL92" s="50"/>
      <c r="ALM92" s="50"/>
      <c r="ALN92" s="50"/>
      <c r="ALO92" s="50"/>
      <c r="ALP92" s="50"/>
      <c r="ALQ92" s="50"/>
      <c r="ALR92" s="50"/>
      <c r="ALS92" s="50"/>
      <c r="ALT92" s="50"/>
      <c r="ALU92" s="50"/>
      <c r="ALV92" s="50"/>
      <c r="ALW92" s="50"/>
      <c r="ALX92" s="50"/>
      <c r="ALY92" s="50"/>
      <c r="ALZ92" s="50"/>
      <c r="AMA92" s="50"/>
      <c r="AMB92" s="50"/>
      <c r="AMC92" s="50"/>
      <c r="AMD92" s="50"/>
      <c r="AME92" s="50"/>
      <c r="AMF92" s="50"/>
      <c r="AMG92" s="50"/>
      <c r="AMH92" s="50"/>
      <c r="AMI92" s="50"/>
      <c r="AMJ92" s="50"/>
    </row>
    <row r="93" spans="12:1024" ht="15.95" customHeight="1" x14ac:dyDescent="0.2">
      <c r="L93" s="50"/>
      <c r="M93" s="51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50"/>
      <c r="BQ93" s="50"/>
      <c r="BR93" s="50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  <c r="DD93" s="50"/>
      <c r="DE93" s="50"/>
      <c r="DF93" s="50"/>
      <c r="DG93" s="50"/>
      <c r="DH93" s="50"/>
      <c r="DI93" s="50"/>
      <c r="DJ93" s="50"/>
      <c r="DK93" s="50"/>
      <c r="DL93" s="50"/>
      <c r="DM93" s="50"/>
      <c r="DN93" s="50"/>
      <c r="DO93" s="50"/>
      <c r="DP93" s="50"/>
      <c r="DQ93" s="50"/>
      <c r="DR93" s="50"/>
      <c r="DS93" s="50"/>
      <c r="DT93" s="50"/>
      <c r="DU93" s="50"/>
      <c r="DV93" s="50"/>
      <c r="DW93" s="50"/>
      <c r="DX93" s="50"/>
      <c r="DY93" s="50"/>
      <c r="DZ93" s="50"/>
      <c r="EA93" s="50"/>
      <c r="EB93" s="50"/>
      <c r="EC93" s="50"/>
      <c r="ED93" s="50"/>
      <c r="EE93" s="50"/>
      <c r="EF93" s="50"/>
      <c r="EG93" s="50"/>
      <c r="EH93" s="50"/>
      <c r="EI93" s="50"/>
      <c r="EJ93" s="50"/>
      <c r="EK93" s="50"/>
      <c r="EL93" s="50"/>
      <c r="EM93" s="50"/>
      <c r="EN93" s="50"/>
      <c r="EO93" s="50"/>
      <c r="EP93" s="50"/>
      <c r="EQ93" s="50"/>
      <c r="ER93" s="50"/>
      <c r="ES93" s="50"/>
      <c r="ET93" s="50"/>
      <c r="EU93" s="50"/>
      <c r="EV93" s="50"/>
      <c r="EW93" s="50"/>
      <c r="EX93" s="50"/>
      <c r="EY93" s="50"/>
      <c r="EZ93" s="50"/>
      <c r="FA93" s="50"/>
      <c r="FB93" s="50"/>
      <c r="FC93" s="50"/>
      <c r="FD93" s="50"/>
      <c r="FE93" s="50"/>
      <c r="FF93" s="50"/>
      <c r="FG93" s="50"/>
      <c r="FH93" s="50"/>
      <c r="FI93" s="50"/>
      <c r="FJ93" s="50"/>
      <c r="FK93" s="50"/>
      <c r="FL93" s="50"/>
      <c r="FM93" s="50"/>
      <c r="FN93" s="50"/>
      <c r="FO93" s="50"/>
      <c r="FP93" s="50"/>
      <c r="FQ93" s="50"/>
      <c r="FR93" s="50"/>
      <c r="FS93" s="50"/>
      <c r="FT93" s="50"/>
      <c r="FU93" s="50"/>
      <c r="FV93" s="50"/>
      <c r="FW93" s="50"/>
      <c r="FX93" s="50"/>
      <c r="FY93" s="50"/>
      <c r="FZ93" s="50"/>
      <c r="GA93" s="50"/>
      <c r="GB93" s="50"/>
      <c r="GC93" s="50"/>
      <c r="GD93" s="50"/>
      <c r="GE93" s="50"/>
      <c r="GF93" s="50"/>
      <c r="GG93" s="50"/>
      <c r="GH93" s="50"/>
      <c r="GI93" s="50"/>
      <c r="GJ93" s="50"/>
      <c r="GK93" s="50"/>
      <c r="GL93" s="50"/>
      <c r="GM93" s="50"/>
      <c r="GN93" s="50"/>
      <c r="GO93" s="50"/>
      <c r="GP93" s="50"/>
      <c r="GQ93" s="50"/>
      <c r="GR93" s="50"/>
      <c r="GS93" s="50"/>
      <c r="GT93" s="50"/>
      <c r="GU93" s="50"/>
      <c r="GV93" s="50"/>
      <c r="GW93" s="50"/>
      <c r="GX93" s="50"/>
      <c r="GY93" s="50"/>
      <c r="GZ93" s="50"/>
      <c r="HA93" s="50"/>
      <c r="HB93" s="50"/>
      <c r="HC93" s="50"/>
      <c r="HD93" s="50"/>
      <c r="HE93" s="50"/>
      <c r="HF93" s="50"/>
      <c r="HG93" s="50"/>
      <c r="HH93" s="50"/>
      <c r="HI93" s="50"/>
      <c r="HJ93" s="50"/>
      <c r="HK93" s="50"/>
      <c r="HL93" s="50"/>
      <c r="HM93" s="50"/>
      <c r="HN93" s="50"/>
      <c r="HO93" s="50"/>
      <c r="HP93" s="50"/>
      <c r="HQ93" s="50"/>
      <c r="HR93" s="50"/>
      <c r="HS93" s="50"/>
      <c r="HT93" s="50"/>
      <c r="HU93" s="50"/>
      <c r="HV93" s="50"/>
      <c r="HW93" s="50"/>
      <c r="HX93" s="50"/>
      <c r="HY93" s="50"/>
      <c r="HZ93" s="50"/>
      <c r="IA93" s="50"/>
      <c r="IB93" s="50"/>
      <c r="IC93" s="50"/>
      <c r="ID93" s="50"/>
      <c r="IE93" s="50"/>
      <c r="IF93" s="50"/>
      <c r="IG93" s="50"/>
      <c r="IH93" s="50"/>
      <c r="II93" s="50"/>
      <c r="IJ93" s="50"/>
      <c r="IK93" s="50"/>
      <c r="IL93" s="50"/>
      <c r="IM93" s="50"/>
      <c r="IN93" s="50"/>
      <c r="IO93" s="50"/>
      <c r="IP93" s="50"/>
      <c r="IQ93" s="50"/>
      <c r="IR93" s="50"/>
      <c r="IS93" s="50"/>
      <c r="IT93" s="50"/>
      <c r="IU93" s="50"/>
      <c r="IV93" s="50"/>
      <c r="IW93" s="50"/>
      <c r="IX93" s="50"/>
      <c r="IY93" s="50"/>
      <c r="IZ93" s="50"/>
      <c r="JA93" s="50"/>
      <c r="JB93" s="50"/>
      <c r="JC93" s="50"/>
      <c r="JD93" s="50"/>
      <c r="JE93" s="50"/>
      <c r="JF93" s="50"/>
      <c r="JG93" s="50"/>
      <c r="JH93" s="50"/>
      <c r="JI93" s="50"/>
      <c r="JJ93" s="50"/>
      <c r="JK93" s="50"/>
      <c r="JL93" s="50"/>
      <c r="JM93" s="50"/>
      <c r="JN93" s="50"/>
      <c r="JO93" s="50"/>
      <c r="JP93" s="50"/>
      <c r="JQ93" s="50"/>
      <c r="JR93" s="50"/>
      <c r="JS93" s="50"/>
      <c r="JT93" s="50"/>
      <c r="JU93" s="50"/>
      <c r="JV93" s="50"/>
      <c r="JW93" s="50"/>
      <c r="JX93" s="50"/>
      <c r="JY93" s="50"/>
      <c r="JZ93" s="50"/>
      <c r="KA93" s="50"/>
      <c r="KB93" s="50"/>
      <c r="KC93" s="50"/>
      <c r="KD93" s="50"/>
      <c r="KE93" s="50"/>
      <c r="KF93" s="50"/>
      <c r="KG93" s="50"/>
      <c r="KH93" s="50"/>
      <c r="KI93" s="50"/>
      <c r="KJ93" s="50"/>
      <c r="KK93" s="50"/>
      <c r="KL93" s="50"/>
      <c r="KM93" s="50"/>
      <c r="KN93" s="50"/>
      <c r="KO93" s="50"/>
      <c r="KP93" s="50"/>
      <c r="KQ93" s="50"/>
      <c r="KR93" s="50"/>
      <c r="KS93" s="50"/>
      <c r="KT93" s="50"/>
      <c r="KU93" s="50"/>
      <c r="KV93" s="50"/>
      <c r="KW93" s="50"/>
      <c r="KX93" s="50"/>
      <c r="KY93" s="50"/>
      <c r="KZ93" s="50"/>
      <c r="LA93" s="50"/>
      <c r="LB93" s="50"/>
      <c r="LC93" s="50"/>
      <c r="LD93" s="50"/>
      <c r="LE93" s="50"/>
      <c r="LF93" s="50"/>
      <c r="LG93" s="50"/>
      <c r="LH93" s="50"/>
      <c r="LI93" s="50"/>
      <c r="LJ93" s="50"/>
      <c r="LK93" s="50"/>
      <c r="LL93" s="50"/>
      <c r="LM93" s="50"/>
      <c r="LN93" s="50"/>
      <c r="LO93" s="50"/>
      <c r="LP93" s="50"/>
      <c r="LQ93" s="50"/>
      <c r="LR93" s="50"/>
      <c r="LS93" s="50"/>
      <c r="LT93" s="50"/>
      <c r="LU93" s="50"/>
      <c r="LV93" s="50"/>
      <c r="LW93" s="50"/>
      <c r="LX93" s="50"/>
      <c r="LY93" s="50"/>
      <c r="LZ93" s="50"/>
      <c r="MA93" s="50"/>
      <c r="MB93" s="50"/>
      <c r="MC93" s="50"/>
      <c r="MD93" s="50"/>
      <c r="ME93" s="50"/>
      <c r="MF93" s="50"/>
      <c r="MG93" s="50"/>
      <c r="MH93" s="50"/>
      <c r="MI93" s="50"/>
      <c r="MJ93" s="50"/>
      <c r="MK93" s="50"/>
      <c r="ML93" s="50"/>
      <c r="MM93" s="50"/>
      <c r="MN93" s="50"/>
      <c r="MO93" s="50"/>
      <c r="MP93" s="50"/>
      <c r="MQ93" s="50"/>
      <c r="MR93" s="50"/>
      <c r="MS93" s="50"/>
      <c r="MT93" s="50"/>
      <c r="MU93" s="50"/>
      <c r="MV93" s="50"/>
      <c r="MW93" s="50"/>
      <c r="MX93" s="50"/>
      <c r="MY93" s="50"/>
      <c r="MZ93" s="50"/>
      <c r="NA93" s="50"/>
      <c r="NB93" s="50"/>
      <c r="NC93" s="50"/>
      <c r="ND93" s="50"/>
      <c r="NE93" s="50"/>
      <c r="NF93" s="50"/>
      <c r="NG93" s="50"/>
      <c r="NH93" s="50"/>
      <c r="NI93" s="50"/>
      <c r="NJ93" s="50"/>
      <c r="NK93" s="50"/>
      <c r="NL93" s="50"/>
      <c r="NM93" s="50"/>
      <c r="NN93" s="50"/>
      <c r="NO93" s="50"/>
      <c r="NP93" s="50"/>
      <c r="NQ93" s="50"/>
      <c r="NR93" s="50"/>
      <c r="NS93" s="50"/>
      <c r="NT93" s="50"/>
      <c r="NU93" s="50"/>
      <c r="NV93" s="50"/>
      <c r="NW93" s="50"/>
      <c r="NX93" s="50"/>
      <c r="NY93" s="50"/>
      <c r="NZ93" s="50"/>
      <c r="OA93" s="50"/>
      <c r="OB93" s="50"/>
      <c r="OC93" s="50"/>
      <c r="OD93" s="50"/>
      <c r="OE93" s="50"/>
      <c r="OF93" s="50"/>
      <c r="OG93" s="50"/>
      <c r="OH93" s="50"/>
      <c r="OI93" s="50"/>
      <c r="OJ93" s="50"/>
      <c r="OK93" s="50"/>
      <c r="OL93" s="50"/>
      <c r="OM93" s="50"/>
      <c r="ON93" s="50"/>
      <c r="OO93" s="50"/>
      <c r="OP93" s="50"/>
      <c r="OQ93" s="50"/>
      <c r="OR93" s="50"/>
      <c r="OS93" s="50"/>
      <c r="OT93" s="50"/>
      <c r="OU93" s="50"/>
      <c r="OV93" s="50"/>
      <c r="OW93" s="50"/>
      <c r="OX93" s="50"/>
      <c r="OY93" s="50"/>
      <c r="OZ93" s="50"/>
      <c r="PA93" s="50"/>
      <c r="PB93" s="50"/>
      <c r="PC93" s="50"/>
      <c r="PD93" s="50"/>
      <c r="PE93" s="50"/>
      <c r="PF93" s="50"/>
      <c r="PG93" s="50"/>
      <c r="PH93" s="50"/>
      <c r="PI93" s="50"/>
      <c r="PJ93" s="50"/>
      <c r="PK93" s="50"/>
      <c r="PL93" s="50"/>
      <c r="PM93" s="50"/>
      <c r="PN93" s="50"/>
      <c r="PO93" s="50"/>
      <c r="PP93" s="50"/>
      <c r="PQ93" s="50"/>
      <c r="PR93" s="50"/>
      <c r="PS93" s="50"/>
      <c r="PT93" s="50"/>
      <c r="PU93" s="50"/>
      <c r="PV93" s="50"/>
      <c r="PW93" s="50"/>
      <c r="PX93" s="50"/>
      <c r="PY93" s="50"/>
      <c r="PZ93" s="50"/>
      <c r="QA93" s="50"/>
      <c r="QB93" s="50"/>
      <c r="QC93" s="50"/>
      <c r="QD93" s="50"/>
      <c r="QE93" s="50"/>
      <c r="QF93" s="50"/>
      <c r="QG93" s="50"/>
      <c r="QH93" s="50"/>
      <c r="QI93" s="50"/>
      <c r="QJ93" s="50"/>
      <c r="QK93" s="50"/>
      <c r="QL93" s="50"/>
      <c r="QM93" s="50"/>
      <c r="QN93" s="50"/>
      <c r="QO93" s="50"/>
      <c r="QP93" s="50"/>
      <c r="QQ93" s="50"/>
      <c r="QR93" s="50"/>
      <c r="QS93" s="50"/>
      <c r="QT93" s="50"/>
      <c r="QU93" s="50"/>
      <c r="QV93" s="50"/>
      <c r="QW93" s="50"/>
      <c r="QX93" s="50"/>
      <c r="QY93" s="50"/>
      <c r="QZ93" s="50"/>
      <c r="RA93" s="50"/>
      <c r="RB93" s="50"/>
      <c r="RC93" s="50"/>
      <c r="RD93" s="50"/>
      <c r="RE93" s="50"/>
      <c r="RF93" s="50"/>
      <c r="RG93" s="50"/>
      <c r="RH93" s="50"/>
      <c r="RI93" s="50"/>
      <c r="RJ93" s="50"/>
      <c r="RK93" s="50"/>
      <c r="RL93" s="50"/>
      <c r="RM93" s="50"/>
      <c r="RN93" s="50"/>
      <c r="RO93" s="50"/>
      <c r="RP93" s="50"/>
      <c r="RQ93" s="50"/>
      <c r="RR93" s="50"/>
      <c r="RS93" s="50"/>
      <c r="RT93" s="50"/>
      <c r="RU93" s="50"/>
      <c r="RV93" s="50"/>
      <c r="RW93" s="50"/>
      <c r="RX93" s="50"/>
      <c r="RY93" s="50"/>
      <c r="RZ93" s="50"/>
      <c r="SA93" s="50"/>
      <c r="SB93" s="50"/>
      <c r="SC93" s="50"/>
      <c r="SD93" s="50"/>
      <c r="SE93" s="50"/>
      <c r="SF93" s="50"/>
      <c r="SG93" s="50"/>
      <c r="SH93" s="50"/>
      <c r="SI93" s="50"/>
      <c r="SJ93" s="50"/>
      <c r="SK93" s="50"/>
      <c r="SL93" s="50"/>
      <c r="SM93" s="50"/>
      <c r="SN93" s="50"/>
      <c r="SO93" s="50"/>
      <c r="SP93" s="50"/>
      <c r="SQ93" s="50"/>
      <c r="SR93" s="50"/>
      <c r="SS93" s="50"/>
      <c r="ST93" s="50"/>
      <c r="SU93" s="50"/>
      <c r="SV93" s="50"/>
      <c r="SW93" s="50"/>
      <c r="SX93" s="50"/>
      <c r="SY93" s="50"/>
      <c r="SZ93" s="50"/>
      <c r="TA93" s="50"/>
      <c r="TB93" s="50"/>
      <c r="TC93" s="50"/>
      <c r="TD93" s="50"/>
      <c r="TE93" s="50"/>
      <c r="TF93" s="50"/>
      <c r="TG93" s="50"/>
      <c r="TH93" s="50"/>
      <c r="TI93" s="50"/>
      <c r="TJ93" s="50"/>
      <c r="TK93" s="50"/>
      <c r="TL93" s="50"/>
      <c r="TM93" s="50"/>
      <c r="TN93" s="50"/>
      <c r="TO93" s="50"/>
      <c r="TP93" s="50"/>
      <c r="TQ93" s="50"/>
      <c r="TR93" s="50"/>
      <c r="TS93" s="50"/>
      <c r="TT93" s="50"/>
      <c r="TU93" s="50"/>
      <c r="TV93" s="50"/>
      <c r="TW93" s="50"/>
      <c r="TX93" s="50"/>
      <c r="TY93" s="50"/>
      <c r="TZ93" s="50"/>
      <c r="UA93" s="50"/>
      <c r="UB93" s="50"/>
      <c r="UC93" s="50"/>
      <c r="UD93" s="50"/>
      <c r="UE93" s="50"/>
      <c r="UF93" s="50"/>
      <c r="UG93" s="50"/>
      <c r="UH93" s="50"/>
      <c r="UI93" s="50"/>
      <c r="UJ93" s="50"/>
      <c r="UK93" s="50"/>
      <c r="UL93" s="50"/>
      <c r="UM93" s="50"/>
      <c r="UN93" s="50"/>
      <c r="UO93" s="50"/>
      <c r="UP93" s="50"/>
      <c r="UQ93" s="50"/>
      <c r="UR93" s="50"/>
      <c r="US93" s="50"/>
      <c r="UT93" s="50"/>
      <c r="UU93" s="50"/>
      <c r="UV93" s="50"/>
      <c r="UW93" s="50"/>
      <c r="UX93" s="50"/>
      <c r="UY93" s="50"/>
      <c r="UZ93" s="50"/>
      <c r="VA93" s="50"/>
      <c r="VB93" s="50"/>
      <c r="VC93" s="50"/>
      <c r="VD93" s="50"/>
      <c r="VE93" s="50"/>
      <c r="VF93" s="50"/>
      <c r="VG93" s="50"/>
      <c r="VH93" s="50"/>
      <c r="VI93" s="50"/>
      <c r="VJ93" s="50"/>
      <c r="VK93" s="50"/>
      <c r="VL93" s="50"/>
      <c r="VM93" s="50"/>
      <c r="VN93" s="50"/>
      <c r="VO93" s="50"/>
      <c r="VP93" s="50"/>
      <c r="VQ93" s="50"/>
      <c r="VR93" s="50"/>
      <c r="VS93" s="50"/>
      <c r="VT93" s="50"/>
      <c r="VU93" s="50"/>
      <c r="VV93" s="50"/>
      <c r="VW93" s="50"/>
      <c r="VX93" s="50"/>
      <c r="VY93" s="50"/>
      <c r="VZ93" s="50"/>
      <c r="WA93" s="50"/>
      <c r="WB93" s="50"/>
      <c r="WC93" s="50"/>
      <c r="WD93" s="50"/>
      <c r="WE93" s="50"/>
      <c r="WF93" s="50"/>
      <c r="WG93" s="50"/>
      <c r="WH93" s="50"/>
      <c r="WI93" s="50"/>
      <c r="WJ93" s="50"/>
      <c r="WK93" s="50"/>
      <c r="WL93" s="50"/>
      <c r="WM93" s="50"/>
      <c r="WN93" s="50"/>
      <c r="WO93" s="50"/>
      <c r="WP93" s="50"/>
      <c r="WQ93" s="50"/>
      <c r="WR93" s="50"/>
      <c r="WS93" s="50"/>
      <c r="WT93" s="50"/>
      <c r="WU93" s="50"/>
      <c r="WV93" s="50"/>
      <c r="WW93" s="50"/>
      <c r="WX93" s="50"/>
      <c r="WY93" s="50"/>
      <c r="WZ93" s="50"/>
      <c r="XA93" s="50"/>
      <c r="XB93" s="50"/>
      <c r="XC93" s="50"/>
      <c r="XD93" s="50"/>
      <c r="XE93" s="50"/>
      <c r="XF93" s="50"/>
      <c r="XG93" s="50"/>
      <c r="XH93" s="50"/>
      <c r="XI93" s="50"/>
      <c r="XJ93" s="50"/>
      <c r="XK93" s="50"/>
      <c r="XL93" s="50"/>
      <c r="XM93" s="50"/>
      <c r="XN93" s="50"/>
      <c r="XO93" s="50"/>
      <c r="XP93" s="50"/>
      <c r="XQ93" s="50"/>
      <c r="XR93" s="50"/>
      <c r="XS93" s="50"/>
      <c r="XT93" s="50"/>
      <c r="XU93" s="50"/>
      <c r="XV93" s="50"/>
      <c r="XW93" s="50"/>
      <c r="XX93" s="50"/>
      <c r="XY93" s="50"/>
      <c r="XZ93" s="50"/>
      <c r="YA93" s="50"/>
      <c r="YB93" s="50"/>
      <c r="YC93" s="50"/>
      <c r="YD93" s="50"/>
      <c r="YE93" s="50"/>
      <c r="YF93" s="50"/>
      <c r="YG93" s="50"/>
      <c r="YH93" s="50"/>
      <c r="YI93" s="50"/>
      <c r="YJ93" s="50"/>
      <c r="YK93" s="50"/>
      <c r="YL93" s="50"/>
      <c r="YM93" s="50"/>
      <c r="YN93" s="50"/>
      <c r="YO93" s="50"/>
      <c r="YP93" s="50"/>
      <c r="YQ93" s="50"/>
      <c r="YR93" s="50"/>
      <c r="YS93" s="50"/>
      <c r="YT93" s="50"/>
      <c r="YU93" s="50"/>
      <c r="YV93" s="50"/>
      <c r="YW93" s="50"/>
      <c r="YX93" s="50"/>
      <c r="YY93" s="50"/>
      <c r="YZ93" s="50"/>
      <c r="ZA93" s="50"/>
      <c r="ZB93" s="50"/>
      <c r="ZC93" s="50"/>
      <c r="ZD93" s="50"/>
      <c r="ZE93" s="50"/>
      <c r="ZF93" s="50"/>
      <c r="ZG93" s="50"/>
      <c r="ZH93" s="50"/>
      <c r="ZI93" s="50"/>
      <c r="ZJ93" s="50"/>
      <c r="ZK93" s="50"/>
      <c r="ZL93" s="50"/>
      <c r="ZM93" s="50"/>
      <c r="ZN93" s="50"/>
      <c r="ZO93" s="50"/>
      <c r="ZP93" s="50"/>
      <c r="ZQ93" s="50"/>
      <c r="ZR93" s="50"/>
      <c r="ZS93" s="50"/>
      <c r="ZT93" s="50"/>
      <c r="ZU93" s="50"/>
      <c r="ZV93" s="50"/>
      <c r="ZW93" s="50"/>
      <c r="ZX93" s="50"/>
      <c r="ZY93" s="50"/>
      <c r="ZZ93" s="50"/>
      <c r="AAA93" s="50"/>
      <c r="AAB93" s="50"/>
      <c r="AAC93" s="50"/>
      <c r="AAD93" s="50"/>
      <c r="AAE93" s="50"/>
      <c r="AAF93" s="50"/>
      <c r="AAG93" s="50"/>
      <c r="AAH93" s="50"/>
      <c r="AAI93" s="50"/>
      <c r="AAJ93" s="50"/>
      <c r="AAK93" s="50"/>
      <c r="AAL93" s="50"/>
      <c r="AAM93" s="50"/>
      <c r="AAN93" s="50"/>
      <c r="AAO93" s="50"/>
      <c r="AAP93" s="50"/>
      <c r="AAQ93" s="50"/>
      <c r="AAR93" s="50"/>
      <c r="AAS93" s="50"/>
      <c r="AAT93" s="50"/>
      <c r="AAU93" s="50"/>
      <c r="AAV93" s="50"/>
      <c r="AAW93" s="50"/>
      <c r="AAX93" s="50"/>
      <c r="AAY93" s="50"/>
      <c r="AAZ93" s="50"/>
      <c r="ABA93" s="50"/>
      <c r="ABB93" s="50"/>
      <c r="ABC93" s="50"/>
      <c r="ABD93" s="50"/>
      <c r="ABE93" s="50"/>
      <c r="ABF93" s="50"/>
      <c r="ABG93" s="50"/>
      <c r="ABH93" s="50"/>
      <c r="ABI93" s="50"/>
      <c r="ABJ93" s="50"/>
      <c r="ABK93" s="50"/>
      <c r="ABL93" s="50"/>
      <c r="ABM93" s="50"/>
      <c r="ABN93" s="50"/>
      <c r="ABO93" s="50"/>
      <c r="ABP93" s="50"/>
      <c r="ABQ93" s="50"/>
      <c r="ABR93" s="50"/>
      <c r="ABS93" s="50"/>
      <c r="ABT93" s="50"/>
      <c r="ABU93" s="50"/>
      <c r="ABV93" s="50"/>
      <c r="ABW93" s="50"/>
      <c r="ABX93" s="50"/>
      <c r="ABY93" s="50"/>
      <c r="ABZ93" s="50"/>
      <c r="ACA93" s="50"/>
      <c r="ACB93" s="50"/>
      <c r="ACC93" s="50"/>
      <c r="ACD93" s="50"/>
      <c r="ACE93" s="50"/>
      <c r="ACF93" s="50"/>
      <c r="ACG93" s="50"/>
      <c r="ACH93" s="50"/>
      <c r="ACI93" s="50"/>
      <c r="ACJ93" s="50"/>
      <c r="ACK93" s="50"/>
      <c r="ACL93" s="50"/>
      <c r="ACM93" s="50"/>
      <c r="ACN93" s="50"/>
      <c r="ACO93" s="50"/>
      <c r="ACP93" s="50"/>
      <c r="ACQ93" s="50"/>
      <c r="ACR93" s="50"/>
      <c r="ACS93" s="50"/>
      <c r="ACT93" s="50"/>
      <c r="ACU93" s="50"/>
      <c r="ACV93" s="50"/>
      <c r="ACW93" s="50"/>
      <c r="ACX93" s="50"/>
      <c r="ACY93" s="50"/>
      <c r="ACZ93" s="50"/>
      <c r="ADA93" s="50"/>
      <c r="ADB93" s="50"/>
      <c r="ADC93" s="50"/>
      <c r="ADD93" s="50"/>
      <c r="ADE93" s="50"/>
      <c r="ADF93" s="50"/>
      <c r="ADG93" s="50"/>
      <c r="ADH93" s="50"/>
      <c r="ADI93" s="50"/>
      <c r="ADJ93" s="50"/>
      <c r="ADK93" s="50"/>
      <c r="ADL93" s="50"/>
      <c r="ADM93" s="50"/>
      <c r="ADN93" s="50"/>
      <c r="ADO93" s="50"/>
      <c r="ADP93" s="50"/>
      <c r="ADQ93" s="50"/>
      <c r="ADR93" s="50"/>
      <c r="ADS93" s="50"/>
      <c r="ADT93" s="50"/>
      <c r="ADU93" s="50"/>
      <c r="ADV93" s="50"/>
      <c r="ADW93" s="50"/>
      <c r="ADX93" s="50"/>
      <c r="ADY93" s="50"/>
      <c r="ADZ93" s="50"/>
      <c r="AEA93" s="50"/>
      <c r="AEB93" s="50"/>
      <c r="AEC93" s="50"/>
      <c r="AED93" s="50"/>
      <c r="AEE93" s="50"/>
      <c r="AEF93" s="50"/>
      <c r="AEG93" s="50"/>
      <c r="AEH93" s="50"/>
      <c r="AEI93" s="50"/>
      <c r="AEJ93" s="50"/>
      <c r="AEK93" s="50"/>
      <c r="AEL93" s="50"/>
      <c r="AEM93" s="50"/>
      <c r="AEN93" s="50"/>
      <c r="AEO93" s="50"/>
      <c r="AEP93" s="50"/>
      <c r="AEQ93" s="50"/>
      <c r="AER93" s="50"/>
      <c r="AES93" s="50"/>
      <c r="AET93" s="50"/>
      <c r="AEU93" s="50"/>
      <c r="AEV93" s="50"/>
      <c r="AEW93" s="50"/>
      <c r="AEX93" s="50"/>
      <c r="AEY93" s="50"/>
      <c r="AEZ93" s="50"/>
      <c r="AFA93" s="50"/>
      <c r="AFB93" s="50"/>
      <c r="AFC93" s="50"/>
      <c r="AFD93" s="50"/>
      <c r="AFE93" s="50"/>
      <c r="AFF93" s="50"/>
      <c r="AFG93" s="50"/>
      <c r="AFH93" s="50"/>
      <c r="AFI93" s="50"/>
      <c r="AFJ93" s="50"/>
      <c r="AFK93" s="50"/>
      <c r="AFL93" s="50"/>
      <c r="AFM93" s="50"/>
      <c r="AFN93" s="50"/>
      <c r="AFO93" s="50"/>
      <c r="AFP93" s="50"/>
      <c r="AFQ93" s="50"/>
      <c r="AFR93" s="50"/>
      <c r="AFS93" s="50"/>
      <c r="AFT93" s="50"/>
      <c r="AFU93" s="50"/>
      <c r="AFV93" s="50"/>
      <c r="AFW93" s="50"/>
      <c r="AFX93" s="50"/>
      <c r="AFY93" s="50"/>
      <c r="AFZ93" s="50"/>
      <c r="AGA93" s="50"/>
      <c r="AGB93" s="50"/>
      <c r="AGC93" s="50"/>
      <c r="AGD93" s="50"/>
      <c r="AGE93" s="50"/>
      <c r="AGF93" s="50"/>
      <c r="AGG93" s="50"/>
      <c r="AGH93" s="50"/>
      <c r="AGI93" s="50"/>
      <c r="AGJ93" s="50"/>
      <c r="AGK93" s="50"/>
      <c r="AGL93" s="50"/>
      <c r="AGM93" s="50"/>
      <c r="AGN93" s="50"/>
      <c r="AGO93" s="50"/>
      <c r="AGP93" s="50"/>
      <c r="AGQ93" s="50"/>
      <c r="AGR93" s="50"/>
      <c r="AGS93" s="50"/>
      <c r="AGT93" s="50"/>
      <c r="AGU93" s="50"/>
      <c r="AGV93" s="50"/>
      <c r="AGW93" s="50"/>
      <c r="AGX93" s="50"/>
      <c r="AGY93" s="50"/>
      <c r="AGZ93" s="50"/>
      <c r="AHA93" s="50"/>
      <c r="AHB93" s="50"/>
      <c r="AHC93" s="50"/>
      <c r="AHD93" s="50"/>
      <c r="AHE93" s="50"/>
      <c r="AHF93" s="50"/>
      <c r="AHG93" s="50"/>
      <c r="AHH93" s="50"/>
      <c r="AHI93" s="50"/>
      <c r="AHJ93" s="50"/>
      <c r="AHK93" s="50"/>
      <c r="AHL93" s="50"/>
      <c r="AHM93" s="50"/>
      <c r="AHN93" s="50"/>
      <c r="AHO93" s="50"/>
      <c r="AHP93" s="50"/>
      <c r="AHQ93" s="50"/>
      <c r="AHR93" s="50"/>
      <c r="AHS93" s="50"/>
      <c r="AHT93" s="50"/>
      <c r="AHU93" s="50"/>
      <c r="AHV93" s="50"/>
      <c r="AHW93" s="50"/>
      <c r="AHX93" s="50"/>
      <c r="AHY93" s="50"/>
      <c r="AHZ93" s="50"/>
      <c r="AIA93" s="50"/>
      <c r="AIB93" s="50"/>
      <c r="AIC93" s="50"/>
      <c r="AID93" s="50"/>
      <c r="AIE93" s="50"/>
      <c r="AIF93" s="50"/>
      <c r="AIG93" s="50"/>
      <c r="AIH93" s="50"/>
      <c r="AII93" s="50"/>
      <c r="AIJ93" s="50"/>
      <c r="AIK93" s="50"/>
      <c r="AIL93" s="50"/>
      <c r="AIM93" s="50"/>
      <c r="AIN93" s="50"/>
      <c r="AIO93" s="50"/>
      <c r="AIP93" s="50"/>
      <c r="AIQ93" s="50"/>
      <c r="AIR93" s="50"/>
      <c r="AIS93" s="50"/>
      <c r="AIT93" s="50"/>
      <c r="AIU93" s="50"/>
      <c r="AIV93" s="50"/>
      <c r="AIW93" s="50"/>
      <c r="AIX93" s="50"/>
      <c r="AIY93" s="50"/>
      <c r="AIZ93" s="50"/>
      <c r="AJA93" s="50"/>
      <c r="AJB93" s="50"/>
      <c r="AJC93" s="50"/>
      <c r="AJD93" s="50"/>
      <c r="AJE93" s="50"/>
      <c r="AJF93" s="50"/>
      <c r="AJG93" s="50"/>
      <c r="AJH93" s="50"/>
      <c r="AJI93" s="50"/>
      <c r="AJJ93" s="50"/>
      <c r="AJK93" s="50"/>
      <c r="AJL93" s="50"/>
      <c r="AJM93" s="50"/>
      <c r="AJN93" s="50"/>
      <c r="AJO93" s="50"/>
      <c r="AJP93" s="50"/>
      <c r="AJQ93" s="50"/>
      <c r="AJR93" s="50"/>
      <c r="AJS93" s="50"/>
      <c r="AJT93" s="50"/>
      <c r="AJU93" s="50"/>
      <c r="AJV93" s="50"/>
      <c r="AJW93" s="50"/>
      <c r="AJX93" s="50"/>
      <c r="AJY93" s="50"/>
      <c r="AJZ93" s="50"/>
      <c r="AKA93" s="50"/>
      <c r="AKB93" s="50"/>
      <c r="AKC93" s="50"/>
      <c r="AKD93" s="50"/>
      <c r="AKE93" s="50"/>
      <c r="AKF93" s="50"/>
      <c r="AKG93" s="50"/>
      <c r="AKH93" s="50"/>
      <c r="AKI93" s="50"/>
      <c r="AKJ93" s="50"/>
      <c r="AKK93" s="50"/>
      <c r="AKL93" s="50"/>
      <c r="AKM93" s="50"/>
      <c r="AKN93" s="50"/>
      <c r="AKO93" s="50"/>
      <c r="AKP93" s="50"/>
      <c r="AKQ93" s="50"/>
      <c r="AKR93" s="50"/>
      <c r="AKS93" s="50"/>
      <c r="AKT93" s="50"/>
      <c r="AKU93" s="50"/>
      <c r="AKV93" s="50"/>
      <c r="AKW93" s="50"/>
      <c r="AKX93" s="50"/>
      <c r="AKY93" s="50"/>
      <c r="AKZ93" s="50"/>
      <c r="ALA93" s="50"/>
      <c r="ALB93" s="50"/>
      <c r="ALC93" s="50"/>
      <c r="ALD93" s="50"/>
      <c r="ALE93" s="50"/>
      <c r="ALF93" s="50"/>
      <c r="ALG93" s="50"/>
      <c r="ALH93" s="50"/>
      <c r="ALI93" s="50"/>
      <c r="ALJ93" s="50"/>
      <c r="ALK93" s="50"/>
      <c r="ALL93" s="50"/>
      <c r="ALM93" s="50"/>
      <c r="ALN93" s="50"/>
      <c r="ALO93" s="50"/>
      <c r="ALP93" s="50"/>
      <c r="ALQ93" s="50"/>
      <c r="ALR93" s="50"/>
      <c r="ALS93" s="50"/>
      <c r="ALT93" s="50"/>
      <c r="ALU93" s="50"/>
      <c r="ALV93" s="50"/>
      <c r="ALW93" s="50"/>
      <c r="ALX93" s="50"/>
      <c r="ALY93" s="50"/>
      <c r="ALZ93" s="50"/>
      <c r="AMA93" s="50"/>
      <c r="AMB93" s="50"/>
      <c r="AMC93" s="50"/>
      <c r="AMD93" s="50"/>
      <c r="AME93" s="50"/>
      <c r="AMF93" s="50"/>
      <c r="AMG93" s="50"/>
      <c r="AMH93" s="50"/>
      <c r="AMI93" s="50"/>
      <c r="AMJ93" s="50"/>
    </row>
    <row r="94" spans="12:1024" ht="15.95" customHeight="1" x14ac:dyDescent="0.2">
      <c r="L94" s="50"/>
      <c r="M94" s="51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  <c r="DE94" s="50"/>
      <c r="DF94" s="50"/>
      <c r="DG94" s="50"/>
      <c r="DH94" s="50"/>
      <c r="DI94" s="50"/>
      <c r="DJ94" s="50"/>
      <c r="DK94" s="50"/>
      <c r="DL94" s="50"/>
      <c r="DM94" s="50"/>
      <c r="DN94" s="50"/>
      <c r="DO94" s="50"/>
      <c r="DP94" s="50"/>
      <c r="DQ94" s="50"/>
      <c r="DR94" s="50"/>
      <c r="DS94" s="50"/>
      <c r="DT94" s="50"/>
      <c r="DU94" s="50"/>
      <c r="DV94" s="50"/>
      <c r="DW94" s="50"/>
      <c r="DX94" s="50"/>
      <c r="DY94" s="50"/>
      <c r="DZ94" s="50"/>
      <c r="EA94" s="50"/>
      <c r="EB94" s="50"/>
      <c r="EC94" s="50"/>
      <c r="ED94" s="50"/>
      <c r="EE94" s="50"/>
      <c r="EF94" s="50"/>
      <c r="EG94" s="50"/>
      <c r="EH94" s="50"/>
      <c r="EI94" s="50"/>
      <c r="EJ94" s="50"/>
      <c r="EK94" s="50"/>
      <c r="EL94" s="50"/>
      <c r="EM94" s="50"/>
      <c r="EN94" s="50"/>
      <c r="EO94" s="50"/>
      <c r="EP94" s="50"/>
      <c r="EQ94" s="50"/>
      <c r="ER94" s="50"/>
      <c r="ES94" s="50"/>
      <c r="ET94" s="50"/>
      <c r="EU94" s="50"/>
      <c r="EV94" s="50"/>
      <c r="EW94" s="50"/>
      <c r="EX94" s="50"/>
      <c r="EY94" s="50"/>
      <c r="EZ94" s="50"/>
      <c r="FA94" s="50"/>
      <c r="FB94" s="50"/>
      <c r="FC94" s="50"/>
      <c r="FD94" s="50"/>
      <c r="FE94" s="50"/>
      <c r="FF94" s="50"/>
      <c r="FG94" s="50"/>
      <c r="FH94" s="50"/>
      <c r="FI94" s="50"/>
      <c r="FJ94" s="50"/>
      <c r="FK94" s="50"/>
      <c r="FL94" s="50"/>
      <c r="FM94" s="50"/>
      <c r="FN94" s="50"/>
      <c r="FO94" s="50"/>
      <c r="FP94" s="50"/>
      <c r="FQ94" s="50"/>
      <c r="FR94" s="50"/>
      <c r="FS94" s="50"/>
      <c r="FT94" s="50"/>
      <c r="FU94" s="50"/>
      <c r="FV94" s="50"/>
      <c r="FW94" s="50"/>
      <c r="FX94" s="50"/>
      <c r="FY94" s="50"/>
      <c r="FZ94" s="50"/>
      <c r="GA94" s="50"/>
      <c r="GB94" s="50"/>
      <c r="GC94" s="50"/>
      <c r="GD94" s="50"/>
      <c r="GE94" s="50"/>
      <c r="GF94" s="50"/>
      <c r="GG94" s="50"/>
      <c r="GH94" s="50"/>
      <c r="GI94" s="50"/>
      <c r="GJ94" s="50"/>
      <c r="GK94" s="50"/>
      <c r="GL94" s="50"/>
      <c r="GM94" s="50"/>
      <c r="GN94" s="50"/>
      <c r="GO94" s="50"/>
      <c r="GP94" s="50"/>
      <c r="GQ94" s="50"/>
      <c r="GR94" s="50"/>
      <c r="GS94" s="50"/>
      <c r="GT94" s="50"/>
      <c r="GU94" s="50"/>
      <c r="GV94" s="50"/>
      <c r="GW94" s="50"/>
      <c r="GX94" s="50"/>
      <c r="GY94" s="50"/>
      <c r="GZ94" s="50"/>
      <c r="HA94" s="50"/>
      <c r="HB94" s="50"/>
      <c r="HC94" s="50"/>
      <c r="HD94" s="50"/>
      <c r="HE94" s="50"/>
      <c r="HF94" s="50"/>
      <c r="HG94" s="50"/>
      <c r="HH94" s="50"/>
      <c r="HI94" s="50"/>
      <c r="HJ94" s="50"/>
      <c r="HK94" s="50"/>
      <c r="HL94" s="50"/>
      <c r="HM94" s="50"/>
      <c r="HN94" s="50"/>
      <c r="HO94" s="50"/>
      <c r="HP94" s="50"/>
      <c r="HQ94" s="50"/>
      <c r="HR94" s="50"/>
      <c r="HS94" s="50"/>
      <c r="HT94" s="50"/>
      <c r="HU94" s="50"/>
      <c r="HV94" s="50"/>
      <c r="HW94" s="50"/>
      <c r="HX94" s="50"/>
      <c r="HY94" s="50"/>
      <c r="HZ94" s="50"/>
      <c r="IA94" s="50"/>
      <c r="IB94" s="50"/>
      <c r="IC94" s="50"/>
      <c r="ID94" s="50"/>
      <c r="IE94" s="50"/>
      <c r="IF94" s="50"/>
      <c r="IG94" s="50"/>
      <c r="IH94" s="50"/>
      <c r="II94" s="50"/>
      <c r="IJ94" s="50"/>
      <c r="IK94" s="50"/>
      <c r="IL94" s="50"/>
      <c r="IM94" s="50"/>
      <c r="IN94" s="50"/>
      <c r="IO94" s="50"/>
      <c r="IP94" s="50"/>
      <c r="IQ94" s="50"/>
      <c r="IR94" s="50"/>
      <c r="IS94" s="50"/>
      <c r="IT94" s="50"/>
      <c r="IU94" s="50"/>
      <c r="IV94" s="50"/>
      <c r="IW94" s="50"/>
      <c r="IX94" s="50"/>
      <c r="IY94" s="50"/>
      <c r="IZ94" s="50"/>
      <c r="JA94" s="50"/>
      <c r="JB94" s="50"/>
      <c r="JC94" s="50"/>
      <c r="JD94" s="50"/>
      <c r="JE94" s="50"/>
      <c r="JF94" s="50"/>
      <c r="JG94" s="50"/>
      <c r="JH94" s="50"/>
      <c r="JI94" s="50"/>
      <c r="JJ94" s="50"/>
      <c r="JK94" s="50"/>
      <c r="JL94" s="50"/>
      <c r="JM94" s="50"/>
      <c r="JN94" s="50"/>
      <c r="JO94" s="50"/>
      <c r="JP94" s="50"/>
      <c r="JQ94" s="50"/>
      <c r="JR94" s="50"/>
      <c r="JS94" s="50"/>
      <c r="JT94" s="50"/>
      <c r="JU94" s="50"/>
      <c r="JV94" s="50"/>
      <c r="JW94" s="50"/>
      <c r="JX94" s="50"/>
      <c r="JY94" s="50"/>
      <c r="JZ94" s="50"/>
      <c r="KA94" s="50"/>
      <c r="KB94" s="50"/>
      <c r="KC94" s="50"/>
      <c r="KD94" s="50"/>
      <c r="KE94" s="50"/>
      <c r="KF94" s="50"/>
      <c r="KG94" s="50"/>
      <c r="KH94" s="50"/>
      <c r="KI94" s="50"/>
      <c r="KJ94" s="50"/>
      <c r="KK94" s="50"/>
      <c r="KL94" s="50"/>
      <c r="KM94" s="50"/>
      <c r="KN94" s="50"/>
      <c r="KO94" s="50"/>
      <c r="KP94" s="50"/>
      <c r="KQ94" s="50"/>
      <c r="KR94" s="50"/>
      <c r="KS94" s="50"/>
      <c r="KT94" s="50"/>
      <c r="KU94" s="50"/>
      <c r="KV94" s="50"/>
      <c r="KW94" s="50"/>
      <c r="KX94" s="50"/>
      <c r="KY94" s="50"/>
      <c r="KZ94" s="50"/>
      <c r="LA94" s="50"/>
      <c r="LB94" s="50"/>
      <c r="LC94" s="50"/>
      <c r="LD94" s="50"/>
      <c r="LE94" s="50"/>
      <c r="LF94" s="50"/>
      <c r="LG94" s="50"/>
      <c r="LH94" s="50"/>
      <c r="LI94" s="50"/>
      <c r="LJ94" s="50"/>
      <c r="LK94" s="50"/>
      <c r="LL94" s="50"/>
      <c r="LM94" s="50"/>
      <c r="LN94" s="50"/>
      <c r="LO94" s="50"/>
      <c r="LP94" s="50"/>
      <c r="LQ94" s="50"/>
      <c r="LR94" s="50"/>
      <c r="LS94" s="50"/>
      <c r="LT94" s="50"/>
      <c r="LU94" s="50"/>
      <c r="LV94" s="50"/>
      <c r="LW94" s="50"/>
      <c r="LX94" s="50"/>
      <c r="LY94" s="50"/>
      <c r="LZ94" s="50"/>
      <c r="MA94" s="50"/>
      <c r="MB94" s="50"/>
      <c r="MC94" s="50"/>
      <c r="MD94" s="50"/>
      <c r="ME94" s="50"/>
      <c r="MF94" s="50"/>
      <c r="MG94" s="50"/>
      <c r="MH94" s="50"/>
      <c r="MI94" s="50"/>
      <c r="MJ94" s="50"/>
      <c r="MK94" s="50"/>
      <c r="ML94" s="50"/>
      <c r="MM94" s="50"/>
      <c r="MN94" s="50"/>
      <c r="MO94" s="50"/>
      <c r="MP94" s="50"/>
      <c r="MQ94" s="50"/>
      <c r="MR94" s="50"/>
      <c r="MS94" s="50"/>
      <c r="MT94" s="50"/>
      <c r="MU94" s="50"/>
      <c r="MV94" s="50"/>
      <c r="MW94" s="50"/>
      <c r="MX94" s="50"/>
      <c r="MY94" s="50"/>
      <c r="MZ94" s="50"/>
      <c r="NA94" s="50"/>
      <c r="NB94" s="50"/>
      <c r="NC94" s="50"/>
      <c r="ND94" s="50"/>
      <c r="NE94" s="50"/>
      <c r="NF94" s="50"/>
      <c r="NG94" s="50"/>
      <c r="NH94" s="50"/>
      <c r="NI94" s="50"/>
      <c r="NJ94" s="50"/>
      <c r="NK94" s="50"/>
      <c r="NL94" s="50"/>
      <c r="NM94" s="50"/>
      <c r="NN94" s="50"/>
      <c r="NO94" s="50"/>
      <c r="NP94" s="50"/>
      <c r="NQ94" s="50"/>
      <c r="NR94" s="50"/>
      <c r="NS94" s="50"/>
      <c r="NT94" s="50"/>
      <c r="NU94" s="50"/>
      <c r="NV94" s="50"/>
      <c r="NW94" s="50"/>
      <c r="NX94" s="50"/>
      <c r="NY94" s="50"/>
      <c r="NZ94" s="50"/>
      <c r="OA94" s="50"/>
      <c r="OB94" s="50"/>
      <c r="OC94" s="50"/>
      <c r="OD94" s="50"/>
      <c r="OE94" s="50"/>
      <c r="OF94" s="50"/>
      <c r="OG94" s="50"/>
      <c r="OH94" s="50"/>
      <c r="OI94" s="50"/>
      <c r="OJ94" s="50"/>
      <c r="OK94" s="50"/>
      <c r="OL94" s="50"/>
      <c r="OM94" s="50"/>
      <c r="ON94" s="50"/>
      <c r="OO94" s="50"/>
      <c r="OP94" s="50"/>
      <c r="OQ94" s="50"/>
      <c r="OR94" s="50"/>
      <c r="OS94" s="50"/>
      <c r="OT94" s="50"/>
      <c r="OU94" s="50"/>
      <c r="OV94" s="50"/>
      <c r="OW94" s="50"/>
      <c r="OX94" s="50"/>
      <c r="OY94" s="50"/>
      <c r="OZ94" s="50"/>
      <c r="PA94" s="50"/>
      <c r="PB94" s="50"/>
      <c r="PC94" s="50"/>
      <c r="PD94" s="50"/>
      <c r="PE94" s="50"/>
      <c r="PF94" s="50"/>
      <c r="PG94" s="50"/>
      <c r="PH94" s="50"/>
      <c r="PI94" s="50"/>
      <c r="PJ94" s="50"/>
      <c r="PK94" s="50"/>
      <c r="PL94" s="50"/>
      <c r="PM94" s="50"/>
      <c r="PN94" s="50"/>
      <c r="PO94" s="50"/>
      <c r="PP94" s="50"/>
      <c r="PQ94" s="50"/>
      <c r="PR94" s="50"/>
      <c r="PS94" s="50"/>
      <c r="PT94" s="50"/>
      <c r="PU94" s="50"/>
      <c r="PV94" s="50"/>
      <c r="PW94" s="50"/>
      <c r="PX94" s="50"/>
      <c r="PY94" s="50"/>
      <c r="PZ94" s="50"/>
      <c r="QA94" s="50"/>
      <c r="QB94" s="50"/>
      <c r="QC94" s="50"/>
      <c r="QD94" s="50"/>
      <c r="QE94" s="50"/>
      <c r="QF94" s="50"/>
      <c r="QG94" s="50"/>
      <c r="QH94" s="50"/>
      <c r="QI94" s="50"/>
      <c r="QJ94" s="50"/>
      <c r="QK94" s="50"/>
      <c r="QL94" s="50"/>
      <c r="QM94" s="50"/>
      <c r="QN94" s="50"/>
      <c r="QO94" s="50"/>
      <c r="QP94" s="50"/>
      <c r="QQ94" s="50"/>
      <c r="QR94" s="50"/>
      <c r="QS94" s="50"/>
      <c r="QT94" s="50"/>
      <c r="QU94" s="50"/>
      <c r="QV94" s="50"/>
      <c r="QW94" s="50"/>
      <c r="QX94" s="50"/>
      <c r="QY94" s="50"/>
      <c r="QZ94" s="50"/>
      <c r="RA94" s="50"/>
      <c r="RB94" s="50"/>
      <c r="RC94" s="50"/>
      <c r="RD94" s="50"/>
      <c r="RE94" s="50"/>
      <c r="RF94" s="50"/>
      <c r="RG94" s="50"/>
      <c r="RH94" s="50"/>
      <c r="RI94" s="50"/>
      <c r="RJ94" s="50"/>
      <c r="RK94" s="50"/>
      <c r="RL94" s="50"/>
      <c r="RM94" s="50"/>
      <c r="RN94" s="50"/>
      <c r="RO94" s="50"/>
      <c r="RP94" s="50"/>
      <c r="RQ94" s="50"/>
      <c r="RR94" s="50"/>
      <c r="RS94" s="50"/>
      <c r="RT94" s="50"/>
      <c r="RU94" s="50"/>
      <c r="RV94" s="50"/>
      <c r="RW94" s="50"/>
      <c r="RX94" s="50"/>
      <c r="RY94" s="50"/>
      <c r="RZ94" s="50"/>
      <c r="SA94" s="50"/>
      <c r="SB94" s="50"/>
      <c r="SC94" s="50"/>
      <c r="SD94" s="50"/>
      <c r="SE94" s="50"/>
      <c r="SF94" s="50"/>
      <c r="SG94" s="50"/>
      <c r="SH94" s="50"/>
      <c r="SI94" s="50"/>
      <c r="SJ94" s="50"/>
      <c r="SK94" s="50"/>
      <c r="SL94" s="50"/>
      <c r="SM94" s="50"/>
      <c r="SN94" s="50"/>
      <c r="SO94" s="50"/>
      <c r="SP94" s="50"/>
      <c r="SQ94" s="50"/>
      <c r="SR94" s="50"/>
      <c r="SS94" s="50"/>
      <c r="ST94" s="50"/>
      <c r="SU94" s="50"/>
      <c r="SV94" s="50"/>
      <c r="SW94" s="50"/>
      <c r="SX94" s="50"/>
      <c r="SY94" s="50"/>
      <c r="SZ94" s="50"/>
      <c r="TA94" s="50"/>
      <c r="TB94" s="50"/>
      <c r="TC94" s="50"/>
      <c r="TD94" s="50"/>
      <c r="TE94" s="50"/>
      <c r="TF94" s="50"/>
      <c r="TG94" s="50"/>
      <c r="TH94" s="50"/>
      <c r="TI94" s="50"/>
      <c r="TJ94" s="50"/>
      <c r="TK94" s="50"/>
      <c r="TL94" s="50"/>
      <c r="TM94" s="50"/>
      <c r="TN94" s="50"/>
      <c r="TO94" s="50"/>
      <c r="TP94" s="50"/>
      <c r="TQ94" s="50"/>
      <c r="TR94" s="50"/>
      <c r="TS94" s="50"/>
      <c r="TT94" s="50"/>
      <c r="TU94" s="50"/>
      <c r="TV94" s="50"/>
      <c r="TW94" s="50"/>
      <c r="TX94" s="50"/>
      <c r="TY94" s="50"/>
      <c r="TZ94" s="50"/>
      <c r="UA94" s="50"/>
      <c r="UB94" s="50"/>
      <c r="UC94" s="50"/>
      <c r="UD94" s="50"/>
      <c r="UE94" s="50"/>
      <c r="UF94" s="50"/>
      <c r="UG94" s="50"/>
      <c r="UH94" s="50"/>
      <c r="UI94" s="50"/>
      <c r="UJ94" s="50"/>
      <c r="UK94" s="50"/>
      <c r="UL94" s="50"/>
      <c r="UM94" s="50"/>
      <c r="UN94" s="50"/>
      <c r="UO94" s="50"/>
      <c r="UP94" s="50"/>
      <c r="UQ94" s="50"/>
      <c r="UR94" s="50"/>
      <c r="US94" s="50"/>
      <c r="UT94" s="50"/>
      <c r="UU94" s="50"/>
      <c r="UV94" s="50"/>
      <c r="UW94" s="50"/>
      <c r="UX94" s="50"/>
      <c r="UY94" s="50"/>
      <c r="UZ94" s="50"/>
      <c r="VA94" s="50"/>
      <c r="VB94" s="50"/>
      <c r="VC94" s="50"/>
      <c r="VD94" s="50"/>
      <c r="VE94" s="50"/>
      <c r="VF94" s="50"/>
      <c r="VG94" s="50"/>
      <c r="VH94" s="50"/>
      <c r="VI94" s="50"/>
      <c r="VJ94" s="50"/>
      <c r="VK94" s="50"/>
      <c r="VL94" s="50"/>
      <c r="VM94" s="50"/>
      <c r="VN94" s="50"/>
      <c r="VO94" s="50"/>
      <c r="VP94" s="50"/>
      <c r="VQ94" s="50"/>
      <c r="VR94" s="50"/>
      <c r="VS94" s="50"/>
      <c r="VT94" s="50"/>
      <c r="VU94" s="50"/>
      <c r="VV94" s="50"/>
      <c r="VW94" s="50"/>
      <c r="VX94" s="50"/>
      <c r="VY94" s="50"/>
      <c r="VZ94" s="50"/>
      <c r="WA94" s="50"/>
      <c r="WB94" s="50"/>
      <c r="WC94" s="50"/>
      <c r="WD94" s="50"/>
      <c r="WE94" s="50"/>
      <c r="WF94" s="50"/>
      <c r="WG94" s="50"/>
      <c r="WH94" s="50"/>
      <c r="WI94" s="50"/>
      <c r="WJ94" s="50"/>
      <c r="WK94" s="50"/>
      <c r="WL94" s="50"/>
      <c r="WM94" s="50"/>
      <c r="WN94" s="50"/>
      <c r="WO94" s="50"/>
      <c r="WP94" s="50"/>
      <c r="WQ94" s="50"/>
      <c r="WR94" s="50"/>
      <c r="WS94" s="50"/>
      <c r="WT94" s="50"/>
      <c r="WU94" s="50"/>
      <c r="WV94" s="50"/>
      <c r="WW94" s="50"/>
      <c r="WX94" s="50"/>
      <c r="WY94" s="50"/>
      <c r="WZ94" s="50"/>
      <c r="XA94" s="50"/>
      <c r="XB94" s="50"/>
      <c r="XC94" s="50"/>
      <c r="XD94" s="50"/>
      <c r="XE94" s="50"/>
      <c r="XF94" s="50"/>
      <c r="XG94" s="50"/>
      <c r="XH94" s="50"/>
      <c r="XI94" s="50"/>
      <c r="XJ94" s="50"/>
      <c r="XK94" s="50"/>
      <c r="XL94" s="50"/>
      <c r="XM94" s="50"/>
      <c r="XN94" s="50"/>
      <c r="XO94" s="50"/>
      <c r="XP94" s="50"/>
      <c r="XQ94" s="50"/>
      <c r="XR94" s="50"/>
      <c r="XS94" s="50"/>
      <c r="XT94" s="50"/>
      <c r="XU94" s="50"/>
      <c r="XV94" s="50"/>
      <c r="XW94" s="50"/>
      <c r="XX94" s="50"/>
      <c r="XY94" s="50"/>
      <c r="XZ94" s="50"/>
      <c r="YA94" s="50"/>
      <c r="YB94" s="50"/>
      <c r="YC94" s="50"/>
      <c r="YD94" s="50"/>
      <c r="YE94" s="50"/>
      <c r="YF94" s="50"/>
      <c r="YG94" s="50"/>
      <c r="YH94" s="50"/>
      <c r="YI94" s="50"/>
      <c r="YJ94" s="50"/>
      <c r="YK94" s="50"/>
      <c r="YL94" s="50"/>
      <c r="YM94" s="50"/>
      <c r="YN94" s="50"/>
      <c r="YO94" s="50"/>
      <c r="YP94" s="50"/>
      <c r="YQ94" s="50"/>
      <c r="YR94" s="50"/>
      <c r="YS94" s="50"/>
      <c r="YT94" s="50"/>
      <c r="YU94" s="50"/>
      <c r="YV94" s="50"/>
      <c r="YW94" s="50"/>
      <c r="YX94" s="50"/>
      <c r="YY94" s="50"/>
      <c r="YZ94" s="50"/>
      <c r="ZA94" s="50"/>
      <c r="ZB94" s="50"/>
      <c r="ZC94" s="50"/>
      <c r="ZD94" s="50"/>
      <c r="ZE94" s="50"/>
      <c r="ZF94" s="50"/>
      <c r="ZG94" s="50"/>
      <c r="ZH94" s="50"/>
      <c r="ZI94" s="50"/>
      <c r="ZJ94" s="50"/>
      <c r="ZK94" s="50"/>
      <c r="ZL94" s="50"/>
      <c r="ZM94" s="50"/>
      <c r="ZN94" s="50"/>
      <c r="ZO94" s="50"/>
      <c r="ZP94" s="50"/>
      <c r="ZQ94" s="50"/>
      <c r="ZR94" s="50"/>
      <c r="ZS94" s="50"/>
      <c r="ZT94" s="50"/>
      <c r="ZU94" s="50"/>
      <c r="ZV94" s="50"/>
      <c r="ZW94" s="50"/>
      <c r="ZX94" s="50"/>
      <c r="ZY94" s="50"/>
      <c r="ZZ94" s="50"/>
      <c r="AAA94" s="50"/>
      <c r="AAB94" s="50"/>
      <c r="AAC94" s="50"/>
      <c r="AAD94" s="50"/>
      <c r="AAE94" s="50"/>
      <c r="AAF94" s="50"/>
      <c r="AAG94" s="50"/>
      <c r="AAH94" s="50"/>
      <c r="AAI94" s="50"/>
      <c r="AAJ94" s="50"/>
      <c r="AAK94" s="50"/>
      <c r="AAL94" s="50"/>
      <c r="AAM94" s="50"/>
      <c r="AAN94" s="50"/>
      <c r="AAO94" s="50"/>
      <c r="AAP94" s="50"/>
      <c r="AAQ94" s="50"/>
      <c r="AAR94" s="50"/>
      <c r="AAS94" s="50"/>
      <c r="AAT94" s="50"/>
      <c r="AAU94" s="50"/>
      <c r="AAV94" s="50"/>
      <c r="AAW94" s="50"/>
      <c r="AAX94" s="50"/>
      <c r="AAY94" s="50"/>
      <c r="AAZ94" s="50"/>
      <c r="ABA94" s="50"/>
      <c r="ABB94" s="50"/>
      <c r="ABC94" s="50"/>
      <c r="ABD94" s="50"/>
      <c r="ABE94" s="50"/>
      <c r="ABF94" s="50"/>
      <c r="ABG94" s="50"/>
      <c r="ABH94" s="50"/>
      <c r="ABI94" s="50"/>
      <c r="ABJ94" s="50"/>
      <c r="ABK94" s="50"/>
      <c r="ABL94" s="50"/>
      <c r="ABM94" s="50"/>
      <c r="ABN94" s="50"/>
      <c r="ABO94" s="50"/>
      <c r="ABP94" s="50"/>
      <c r="ABQ94" s="50"/>
      <c r="ABR94" s="50"/>
      <c r="ABS94" s="50"/>
      <c r="ABT94" s="50"/>
      <c r="ABU94" s="50"/>
      <c r="ABV94" s="50"/>
      <c r="ABW94" s="50"/>
      <c r="ABX94" s="50"/>
      <c r="ABY94" s="50"/>
      <c r="ABZ94" s="50"/>
      <c r="ACA94" s="50"/>
      <c r="ACB94" s="50"/>
      <c r="ACC94" s="50"/>
      <c r="ACD94" s="50"/>
      <c r="ACE94" s="50"/>
      <c r="ACF94" s="50"/>
      <c r="ACG94" s="50"/>
      <c r="ACH94" s="50"/>
      <c r="ACI94" s="50"/>
      <c r="ACJ94" s="50"/>
      <c r="ACK94" s="50"/>
      <c r="ACL94" s="50"/>
      <c r="ACM94" s="50"/>
      <c r="ACN94" s="50"/>
      <c r="ACO94" s="50"/>
      <c r="ACP94" s="50"/>
      <c r="ACQ94" s="50"/>
      <c r="ACR94" s="50"/>
      <c r="ACS94" s="50"/>
      <c r="ACT94" s="50"/>
      <c r="ACU94" s="50"/>
      <c r="ACV94" s="50"/>
      <c r="ACW94" s="50"/>
      <c r="ACX94" s="50"/>
      <c r="ACY94" s="50"/>
      <c r="ACZ94" s="50"/>
      <c r="ADA94" s="50"/>
      <c r="ADB94" s="50"/>
      <c r="ADC94" s="50"/>
      <c r="ADD94" s="50"/>
      <c r="ADE94" s="50"/>
      <c r="ADF94" s="50"/>
      <c r="ADG94" s="50"/>
      <c r="ADH94" s="50"/>
      <c r="ADI94" s="50"/>
      <c r="ADJ94" s="50"/>
      <c r="ADK94" s="50"/>
      <c r="ADL94" s="50"/>
      <c r="ADM94" s="50"/>
      <c r="ADN94" s="50"/>
      <c r="ADO94" s="50"/>
      <c r="ADP94" s="50"/>
      <c r="ADQ94" s="50"/>
      <c r="ADR94" s="50"/>
      <c r="ADS94" s="50"/>
      <c r="ADT94" s="50"/>
      <c r="ADU94" s="50"/>
      <c r="ADV94" s="50"/>
      <c r="ADW94" s="50"/>
      <c r="ADX94" s="50"/>
      <c r="ADY94" s="50"/>
      <c r="ADZ94" s="50"/>
      <c r="AEA94" s="50"/>
      <c r="AEB94" s="50"/>
      <c r="AEC94" s="50"/>
      <c r="AED94" s="50"/>
      <c r="AEE94" s="50"/>
      <c r="AEF94" s="50"/>
      <c r="AEG94" s="50"/>
      <c r="AEH94" s="50"/>
      <c r="AEI94" s="50"/>
      <c r="AEJ94" s="50"/>
      <c r="AEK94" s="50"/>
      <c r="AEL94" s="50"/>
      <c r="AEM94" s="50"/>
      <c r="AEN94" s="50"/>
      <c r="AEO94" s="50"/>
      <c r="AEP94" s="50"/>
      <c r="AEQ94" s="50"/>
      <c r="AER94" s="50"/>
      <c r="AES94" s="50"/>
      <c r="AET94" s="50"/>
      <c r="AEU94" s="50"/>
      <c r="AEV94" s="50"/>
      <c r="AEW94" s="50"/>
      <c r="AEX94" s="50"/>
      <c r="AEY94" s="50"/>
      <c r="AEZ94" s="50"/>
      <c r="AFA94" s="50"/>
      <c r="AFB94" s="50"/>
      <c r="AFC94" s="50"/>
      <c r="AFD94" s="50"/>
      <c r="AFE94" s="50"/>
      <c r="AFF94" s="50"/>
      <c r="AFG94" s="50"/>
      <c r="AFH94" s="50"/>
      <c r="AFI94" s="50"/>
      <c r="AFJ94" s="50"/>
      <c r="AFK94" s="50"/>
      <c r="AFL94" s="50"/>
      <c r="AFM94" s="50"/>
      <c r="AFN94" s="50"/>
      <c r="AFO94" s="50"/>
      <c r="AFP94" s="50"/>
      <c r="AFQ94" s="50"/>
      <c r="AFR94" s="50"/>
      <c r="AFS94" s="50"/>
      <c r="AFT94" s="50"/>
      <c r="AFU94" s="50"/>
      <c r="AFV94" s="50"/>
      <c r="AFW94" s="50"/>
      <c r="AFX94" s="50"/>
      <c r="AFY94" s="50"/>
      <c r="AFZ94" s="50"/>
      <c r="AGA94" s="50"/>
      <c r="AGB94" s="50"/>
      <c r="AGC94" s="50"/>
      <c r="AGD94" s="50"/>
      <c r="AGE94" s="50"/>
      <c r="AGF94" s="50"/>
      <c r="AGG94" s="50"/>
      <c r="AGH94" s="50"/>
      <c r="AGI94" s="50"/>
      <c r="AGJ94" s="50"/>
      <c r="AGK94" s="50"/>
      <c r="AGL94" s="50"/>
      <c r="AGM94" s="50"/>
      <c r="AGN94" s="50"/>
      <c r="AGO94" s="50"/>
      <c r="AGP94" s="50"/>
      <c r="AGQ94" s="50"/>
      <c r="AGR94" s="50"/>
      <c r="AGS94" s="50"/>
      <c r="AGT94" s="50"/>
      <c r="AGU94" s="50"/>
      <c r="AGV94" s="50"/>
      <c r="AGW94" s="50"/>
      <c r="AGX94" s="50"/>
      <c r="AGY94" s="50"/>
      <c r="AGZ94" s="50"/>
      <c r="AHA94" s="50"/>
      <c r="AHB94" s="50"/>
      <c r="AHC94" s="50"/>
      <c r="AHD94" s="50"/>
      <c r="AHE94" s="50"/>
      <c r="AHF94" s="50"/>
      <c r="AHG94" s="50"/>
      <c r="AHH94" s="50"/>
      <c r="AHI94" s="50"/>
      <c r="AHJ94" s="50"/>
      <c r="AHK94" s="50"/>
      <c r="AHL94" s="50"/>
      <c r="AHM94" s="50"/>
      <c r="AHN94" s="50"/>
      <c r="AHO94" s="50"/>
      <c r="AHP94" s="50"/>
      <c r="AHQ94" s="50"/>
      <c r="AHR94" s="50"/>
      <c r="AHS94" s="50"/>
      <c r="AHT94" s="50"/>
      <c r="AHU94" s="50"/>
      <c r="AHV94" s="50"/>
      <c r="AHW94" s="50"/>
      <c r="AHX94" s="50"/>
      <c r="AHY94" s="50"/>
      <c r="AHZ94" s="50"/>
      <c r="AIA94" s="50"/>
      <c r="AIB94" s="50"/>
      <c r="AIC94" s="50"/>
      <c r="AID94" s="50"/>
      <c r="AIE94" s="50"/>
      <c r="AIF94" s="50"/>
      <c r="AIG94" s="50"/>
      <c r="AIH94" s="50"/>
      <c r="AII94" s="50"/>
      <c r="AIJ94" s="50"/>
      <c r="AIK94" s="50"/>
      <c r="AIL94" s="50"/>
      <c r="AIM94" s="50"/>
      <c r="AIN94" s="50"/>
      <c r="AIO94" s="50"/>
      <c r="AIP94" s="50"/>
      <c r="AIQ94" s="50"/>
      <c r="AIR94" s="50"/>
      <c r="AIS94" s="50"/>
      <c r="AIT94" s="50"/>
      <c r="AIU94" s="50"/>
      <c r="AIV94" s="50"/>
      <c r="AIW94" s="50"/>
      <c r="AIX94" s="50"/>
      <c r="AIY94" s="50"/>
      <c r="AIZ94" s="50"/>
      <c r="AJA94" s="50"/>
      <c r="AJB94" s="50"/>
      <c r="AJC94" s="50"/>
      <c r="AJD94" s="50"/>
      <c r="AJE94" s="50"/>
      <c r="AJF94" s="50"/>
      <c r="AJG94" s="50"/>
      <c r="AJH94" s="50"/>
      <c r="AJI94" s="50"/>
      <c r="AJJ94" s="50"/>
      <c r="AJK94" s="50"/>
      <c r="AJL94" s="50"/>
      <c r="AJM94" s="50"/>
      <c r="AJN94" s="50"/>
      <c r="AJO94" s="50"/>
      <c r="AJP94" s="50"/>
      <c r="AJQ94" s="50"/>
      <c r="AJR94" s="50"/>
      <c r="AJS94" s="50"/>
      <c r="AJT94" s="50"/>
      <c r="AJU94" s="50"/>
      <c r="AJV94" s="50"/>
      <c r="AJW94" s="50"/>
      <c r="AJX94" s="50"/>
      <c r="AJY94" s="50"/>
      <c r="AJZ94" s="50"/>
      <c r="AKA94" s="50"/>
      <c r="AKB94" s="50"/>
      <c r="AKC94" s="50"/>
      <c r="AKD94" s="50"/>
      <c r="AKE94" s="50"/>
      <c r="AKF94" s="50"/>
      <c r="AKG94" s="50"/>
      <c r="AKH94" s="50"/>
      <c r="AKI94" s="50"/>
      <c r="AKJ94" s="50"/>
      <c r="AKK94" s="50"/>
      <c r="AKL94" s="50"/>
      <c r="AKM94" s="50"/>
      <c r="AKN94" s="50"/>
      <c r="AKO94" s="50"/>
      <c r="AKP94" s="50"/>
      <c r="AKQ94" s="50"/>
      <c r="AKR94" s="50"/>
      <c r="AKS94" s="50"/>
      <c r="AKT94" s="50"/>
      <c r="AKU94" s="50"/>
      <c r="AKV94" s="50"/>
      <c r="AKW94" s="50"/>
      <c r="AKX94" s="50"/>
      <c r="AKY94" s="50"/>
      <c r="AKZ94" s="50"/>
      <c r="ALA94" s="50"/>
      <c r="ALB94" s="50"/>
      <c r="ALC94" s="50"/>
      <c r="ALD94" s="50"/>
      <c r="ALE94" s="50"/>
      <c r="ALF94" s="50"/>
      <c r="ALG94" s="50"/>
      <c r="ALH94" s="50"/>
      <c r="ALI94" s="50"/>
      <c r="ALJ94" s="50"/>
      <c r="ALK94" s="50"/>
      <c r="ALL94" s="50"/>
      <c r="ALM94" s="50"/>
      <c r="ALN94" s="50"/>
      <c r="ALO94" s="50"/>
      <c r="ALP94" s="50"/>
      <c r="ALQ94" s="50"/>
      <c r="ALR94" s="50"/>
      <c r="ALS94" s="50"/>
      <c r="ALT94" s="50"/>
      <c r="ALU94" s="50"/>
      <c r="ALV94" s="50"/>
      <c r="ALW94" s="50"/>
      <c r="ALX94" s="50"/>
      <c r="ALY94" s="50"/>
      <c r="ALZ94" s="50"/>
      <c r="AMA94" s="50"/>
      <c r="AMB94" s="50"/>
      <c r="AMC94" s="50"/>
      <c r="AMD94" s="50"/>
      <c r="AME94" s="50"/>
      <c r="AMF94" s="50"/>
      <c r="AMG94" s="50"/>
      <c r="AMH94" s="50"/>
      <c r="AMI94" s="50"/>
      <c r="AMJ94" s="50"/>
    </row>
    <row r="95" spans="12:1024" ht="15.95" customHeight="1" x14ac:dyDescent="0.2">
      <c r="L95" s="50"/>
      <c r="M95" s="51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  <c r="EP95" s="50"/>
      <c r="EQ95" s="50"/>
      <c r="ER95" s="50"/>
      <c r="ES95" s="50"/>
      <c r="ET95" s="50"/>
      <c r="EU95" s="50"/>
      <c r="EV95" s="50"/>
      <c r="EW95" s="50"/>
      <c r="EX95" s="50"/>
      <c r="EY95" s="50"/>
      <c r="EZ95" s="50"/>
      <c r="FA95" s="50"/>
      <c r="FB95" s="50"/>
      <c r="FC95" s="50"/>
      <c r="FD95" s="50"/>
      <c r="FE95" s="50"/>
      <c r="FF95" s="50"/>
      <c r="FG95" s="50"/>
      <c r="FH95" s="50"/>
      <c r="FI95" s="50"/>
      <c r="FJ95" s="50"/>
      <c r="FK95" s="50"/>
      <c r="FL95" s="50"/>
      <c r="FM95" s="50"/>
      <c r="FN95" s="50"/>
      <c r="FO95" s="50"/>
      <c r="FP95" s="50"/>
      <c r="FQ95" s="50"/>
      <c r="FR95" s="50"/>
      <c r="FS95" s="50"/>
      <c r="FT95" s="50"/>
      <c r="FU95" s="50"/>
      <c r="FV95" s="50"/>
      <c r="FW95" s="50"/>
      <c r="FX95" s="50"/>
      <c r="FY95" s="50"/>
      <c r="FZ95" s="50"/>
      <c r="GA95" s="50"/>
      <c r="GB95" s="50"/>
      <c r="GC95" s="50"/>
      <c r="GD95" s="50"/>
      <c r="GE95" s="50"/>
      <c r="GF95" s="50"/>
      <c r="GG95" s="50"/>
      <c r="GH95" s="50"/>
      <c r="GI95" s="50"/>
      <c r="GJ95" s="50"/>
      <c r="GK95" s="50"/>
      <c r="GL95" s="50"/>
      <c r="GM95" s="50"/>
      <c r="GN95" s="50"/>
      <c r="GO95" s="50"/>
      <c r="GP95" s="50"/>
      <c r="GQ95" s="50"/>
      <c r="GR95" s="50"/>
      <c r="GS95" s="50"/>
      <c r="GT95" s="50"/>
      <c r="GU95" s="50"/>
      <c r="GV95" s="50"/>
      <c r="GW95" s="50"/>
      <c r="GX95" s="50"/>
      <c r="GY95" s="50"/>
      <c r="GZ95" s="50"/>
      <c r="HA95" s="50"/>
      <c r="HB95" s="50"/>
      <c r="HC95" s="50"/>
      <c r="HD95" s="50"/>
      <c r="HE95" s="50"/>
      <c r="HF95" s="50"/>
      <c r="HG95" s="50"/>
      <c r="HH95" s="50"/>
      <c r="HI95" s="50"/>
      <c r="HJ95" s="50"/>
      <c r="HK95" s="50"/>
      <c r="HL95" s="50"/>
      <c r="HM95" s="50"/>
      <c r="HN95" s="50"/>
      <c r="HO95" s="50"/>
      <c r="HP95" s="50"/>
      <c r="HQ95" s="50"/>
      <c r="HR95" s="50"/>
      <c r="HS95" s="50"/>
      <c r="HT95" s="50"/>
      <c r="HU95" s="50"/>
      <c r="HV95" s="50"/>
      <c r="HW95" s="50"/>
      <c r="HX95" s="50"/>
      <c r="HY95" s="50"/>
      <c r="HZ95" s="50"/>
      <c r="IA95" s="50"/>
      <c r="IB95" s="50"/>
      <c r="IC95" s="50"/>
      <c r="ID95" s="50"/>
      <c r="IE95" s="50"/>
      <c r="IF95" s="50"/>
      <c r="IG95" s="50"/>
      <c r="IH95" s="50"/>
      <c r="II95" s="50"/>
      <c r="IJ95" s="50"/>
      <c r="IK95" s="50"/>
      <c r="IL95" s="50"/>
      <c r="IM95" s="50"/>
      <c r="IN95" s="50"/>
      <c r="IO95" s="50"/>
      <c r="IP95" s="50"/>
      <c r="IQ95" s="50"/>
      <c r="IR95" s="50"/>
      <c r="IS95" s="50"/>
      <c r="IT95" s="50"/>
      <c r="IU95" s="50"/>
      <c r="IV95" s="50"/>
      <c r="IW95" s="50"/>
      <c r="IX95" s="50"/>
      <c r="IY95" s="50"/>
      <c r="IZ95" s="50"/>
      <c r="JA95" s="50"/>
      <c r="JB95" s="50"/>
      <c r="JC95" s="50"/>
      <c r="JD95" s="50"/>
      <c r="JE95" s="50"/>
      <c r="JF95" s="50"/>
      <c r="JG95" s="50"/>
      <c r="JH95" s="50"/>
      <c r="JI95" s="50"/>
      <c r="JJ95" s="50"/>
      <c r="JK95" s="50"/>
      <c r="JL95" s="50"/>
      <c r="JM95" s="50"/>
      <c r="JN95" s="50"/>
      <c r="JO95" s="50"/>
      <c r="JP95" s="50"/>
      <c r="JQ95" s="50"/>
      <c r="JR95" s="50"/>
      <c r="JS95" s="50"/>
      <c r="JT95" s="50"/>
      <c r="JU95" s="50"/>
      <c r="JV95" s="50"/>
      <c r="JW95" s="50"/>
      <c r="JX95" s="50"/>
      <c r="JY95" s="50"/>
      <c r="JZ95" s="50"/>
      <c r="KA95" s="50"/>
      <c r="KB95" s="50"/>
      <c r="KC95" s="50"/>
      <c r="KD95" s="50"/>
      <c r="KE95" s="50"/>
      <c r="KF95" s="50"/>
      <c r="KG95" s="50"/>
      <c r="KH95" s="50"/>
      <c r="KI95" s="50"/>
      <c r="KJ95" s="50"/>
      <c r="KK95" s="50"/>
      <c r="KL95" s="50"/>
      <c r="KM95" s="50"/>
      <c r="KN95" s="50"/>
      <c r="KO95" s="50"/>
      <c r="KP95" s="50"/>
      <c r="KQ95" s="50"/>
      <c r="KR95" s="50"/>
      <c r="KS95" s="50"/>
      <c r="KT95" s="50"/>
      <c r="KU95" s="50"/>
      <c r="KV95" s="50"/>
      <c r="KW95" s="50"/>
      <c r="KX95" s="50"/>
      <c r="KY95" s="50"/>
      <c r="KZ95" s="50"/>
      <c r="LA95" s="50"/>
      <c r="LB95" s="50"/>
      <c r="LC95" s="50"/>
      <c r="LD95" s="50"/>
      <c r="LE95" s="50"/>
      <c r="LF95" s="50"/>
      <c r="LG95" s="50"/>
      <c r="LH95" s="50"/>
      <c r="LI95" s="50"/>
      <c r="LJ95" s="50"/>
      <c r="LK95" s="50"/>
      <c r="LL95" s="50"/>
      <c r="LM95" s="50"/>
      <c r="LN95" s="50"/>
      <c r="LO95" s="50"/>
      <c r="LP95" s="50"/>
      <c r="LQ95" s="50"/>
      <c r="LR95" s="50"/>
      <c r="LS95" s="50"/>
      <c r="LT95" s="50"/>
      <c r="LU95" s="50"/>
      <c r="LV95" s="50"/>
      <c r="LW95" s="50"/>
      <c r="LX95" s="50"/>
      <c r="LY95" s="50"/>
      <c r="LZ95" s="50"/>
      <c r="MA95" s="50"/>
      <c r="MB95" s="50"/>
      <c r="MC95" s="50"/>
      <c r="MD95" s="50"/>
      <c r="ME95" s="50"/>
      <c r="MF95" s="50"/>
      <c r="MG95" s="50"/>
      <c r="MH95" s="50"/>
      <c r="MI95" s="50"/>
      <c r="MJ95" s="50"/>
      <c r="MK95" s="50"/>
      <c r="ML95" s="50"/>
      <c r="MM95" s="50"/>
      <c r="MN95" s="50"/>
      <c r="MO95" s="50"/>
      <c r="MP95" s="50"/>
      <c r="MQ95" s="50"/>
      <c r="MR95" s="50"/>
      <c r="MS95" s="50"/>
      <c r="MT95" s="50"/>
      <c r="MU95" s="50"/>
      <c r="MV95" s="50"/>
      <c r="MW95" s="50"/>
      <c r="MX95" s="50"/>
      <c r="MY95" s="50"/>
      <c r="MZ95" s="50"/>
      <c r="NA95" s="50"/>
      <c r="NB95" s="50"/>
      <c r="NC95" s="50"/>
      <c r="ND95" s="50"/>
      <c r="NE95" s="50"/>
      <c r="NF95" s="50"/>
      <c r="NG95" s="50"/>
      <c r="NH95" s="50"/>
      <c r="NI95" s="50"/>
      <c r="NJ95" s="50"/>
      <c r="NK95" s="50"/>
      <c r="NL95" s="50"/>
      <c r="NM95" s="50"/>
      <c r="NN95" s="50"/>
      <c r="NO95" s="50"/>
      <c r="NP95" s="50"/>
      <c r="NQ95" s="50"/>
      <c r="NR95" s="50"/>
      <c r="NS95" s="50"/>
      <c r="NT95" s="50"/>
      <c r="NU95" s="50"/>
      <c r="NV95" s="50"/>
      <c r="NW95" s="50"/>
      <c r="NX95" s="50"/>
      <c r="NY95" s="50"/>
      <c r="NZ95" s="50"/>
      <c r="OA95" s="50"/>
      <c r="OB95" s="50"/>
      <c r="OC95" s="50"/>
      <c r="OD95" s="50"/>
      <c r="OE95" s="50"/>
      <c r="OF95" s="50"/>
      <c r="OG95" s="50"/>
      <c r="OH95" s="50"/>
      <c r="OI95" s="50"/>
      <c r="OJ95" s="50"/>
      <c r="OK95" s="50"/>
      <c r="OL95" s="50"/>
      <c r="OM95" s="50"/>
      <c r="ON95" s="50"/>
      <c r="OO95" s="50"/>
      <c r="OP95" s="50"/>
      <c r="OQ95" s="50"/>
      <c r="OR95" s="50"/>
      <c r="OS95" s="50"/>
      <c r="OT95" s="50"/>
      <c r="OU95" s="50"/>
      <c r="OV95" s="50"/>
      <c r="OW95" s="50"/>
      <c r="OX95" s="50"/>
      <c r="OY95" s="50"/>
      <c r="OZ95" s="50"/>
      <c r="PA95" s="50"/>
      <c r="PB95" s="50"/>
      <c r="PC95" s="50"/>
      <c r="PD95" s="50"/>
      <c r="PE95" s="50"/>
      <c r="PF95" s="50"/>
      <c r="PG95" s="50"/>
      <c r="PH95" s="50"/>
      <c r="PI95" s="50"/>
      <c r="PJ95" s="50"/>
      <c r="PK95" s="50"/>
      <c r="PL95" s="50"/>
      <c r="PM95" s="50"/>
      <c r="PN95" s="50"/>
      <c r="PO95" s="50"/>
      <c r="PP95" s="50"/>
      <c r="PQ95" s="50"/>
      <c r="PR95" s="50"/>
      <c r="PS95" s="50"/>
      <c r="PT95" s="50"/>
      <c r="PU95" s="50"/>
      <c r="PV95" s="50"/>
      <c r="PW95" s="50"/>
      <c r="PX95" s="50"/>
      <c r="PY95" s="50"/>
      <c r="PZ95" s="50"/>
      <c r="QA95" s="50"/>
      <c r="QB95" s="50"/>
      <c r="QC95" s="50"/>
      <c r="QD95" s="50"/>
      <c r="QE95" s="50"/>
      <c r="QF95" s="50"/>
      <c r="QG95" s="50"/>
      <c r="QH95" s="50"/>
      <c r="QI95" s="50"/>
      <c r="QJ95" s="50"/>
      <c r="QK95" s="50"/>
      <c r="QL95" s="50"/>
      <c r="QM95" s="50"/>
      <c r="QN95" s="50"/>
      <c r="QO95" s="50"/>
      <c r="QP95" s="50"/>
      <c r="QQ95" s="50"/>
      <c r="QR95" s="50"/>
      <c r="QS95" s="50"/>
      <c r="QT95" s="50"/>
      <c r="QU95" s="50"/>
      <c r="QV95" s="50"/>
      <c r="QW95" s="50"/>
      <c r="QX95" s="50"/>
      <c r="QY95" s="50"/>
      <c r="QZ95" s="50"/>
      <c r="RA95" s="50"/>
      <c r="RB95" s="50"/>
      <c r="RC95" s="50"/>
      <c r="RD95" s="50"/>
      <c r="RE95" s="50"/>
      <c r="RF95" s="50"/>
      <c r="RG95" s="50"/>
      <c r="RH95" s="50"/>
      <c r="RI95" s="50"/>
      <c r="RJ95" s="50"/>
      <c r="RK95" s="50"/>
      <c r="RL95" s="50"/>
      <c r="RM95" s="50"/>
      <c r="RN95" s="50"/>
      <c r="RO95" s="50"/>
      <c r="RP95" s="50"/>
      <c r="RQ95" s="50"/>
      <c r="RR95" s="50"/>
      <c r="RS95" s="50"/>
      <c r="RT95" s="50"/>
      <c r="RU95" s="50"/>
      <c r="RV95" s="50"/>
      <c r="RW95" s="50"/>
      <c r="RX95" s="50"/>
      <c r="RY95" s="50"/>
      <c r="RZ95" s="50"/>
      <c r="SA95" s="50"/>
      <c r="SB95" s="50"/>
      <c r="SC95" s="50"/>
      <c r="SD95" s="50"/>
      <c r="SE95" s="50"/>
      <c r="SF95" s="50"/>
      <c r="SG95" s="50"/>
      <c r="SH95" s="50"/>
      <c r="SI95" s="50"/>
      <c r="SJ95" s="50"/>
      <c r="SK95" s="50"/>
      <c r="SL95" s="50"/>
      <c r="SM95" s="50"/>
      <c r="SN95" s="50"/>
      <c r="SO95" s="50"/>
      <c r="SP95" s="50"/>
      <c r="SQ95" s="50"/>
      <c r="SR95" s="50"/>
      <c r="SS95" s="50"/>
      <c r="ST95" s="50"/>
      <c r="SU95" s="50"/>
      <c r="SV95" s="50"/>
      <c r="SW95" s="50"/>
      <c r="SX95" s="50"/>
      <c r="SY95" s="50"/>
      <c r="SZ95" s="50"/>
      <c r="TA95" s="50"/>
      <c r="TB95" s="50"/>
      <c r="TC95" s="50"/>
      <c r="TD95" s="50"/>
      <c r="TE95" s="50"/>
      <c r="TF95" s="50"/>
      <c r="TG95" s="50"/>
      <c r="TH95" s="50"/>
      <c r="TI95" s="50"/>
      <c r="TJ95" s="50"/>
      <c r="TK95" s="50"/>
      <c r="TL95" s="50"/>
      <c r="TM95" s="50"/>
      <c r="TN95" s="50"/>
      <c r="TO95" s="50"/>
      <c r="TP95" s="50"/>
      <c r="TQ95" s="50"/>
      <c r="TR95" s="50"/>
      <c r="TS95" s="50"/>
      <c r="TT95" s="50"/>
      <c r="TU95" s="50"/>
      <c r="TV95" s="50"/>
      <c r="TW95" s="50"/>
      <c r="TX95" s="50"/>
      <c r="TY95" s="50"/>
      <c r="TZ95" s="50"/>
      <c r="UA95" s="50"/>
      <c r="UB95" s="50"/>
      <c r="UC95" s="50"/>
      <c r="UD95" s="50"/>
      <c r="UE95" s="50"/>
      <c r="UF95" s="50"/>
      <c r="UG95" s="50"/>
      <c r="UH95" s="50"/>
      <c r="UI95" s="50"/>
      <c r="UJ95" s="50"/>
      <c r="UK95" s="50"/>
      <c r="UL95" s="50"/>
      <c r="UM95" s="50"/>
      <c r="UN95" s="50"/>
      <c r="UO95" s="50"/>
      <c r="UP95" s="50"/>
      <c r="UQ95" s="50"/>
      <c r="UR95" s="50"/>
      <c r="US95" s="50"/>
      <c r="UT95" s="50"/>
      <c r="UU95" s="50"/>
      <c r="UV95" s="50"/>
      <c r="UW95" s="50"/>
      <c r="UX95" s="50"/>
      <c r="UY95" s="50"/>
      <c r="UZ95" s="50"/>
      <c r="VA95" s="50"/>
      <c r="VB95" s="50"/>
      <c r="VC95" s="50"/>
      <c r="VD95" s="50"/>
      <c r="VE95" s="50"/>
      <c r="VF95" s="50"/>
      <c r="VG95" s="50"/>
      <c r="VH95" s="50"/>
      <c r="VI95" s="50"/>
      <c r="VJ95" s="50"/>
      <c r="VK95" s="50"/>
      <c r="VL95" s="50"/>
      <c r="VM95" s="50"/>
      <c r="VN95" s="50"/>
      <c r="VO95" s="50"/>
      <c r="VP95" s="50"/>
      <c r="VQ95" s="50"/>
      <c r="VR95" s="50"/>
      <c r="VS95" s="50"/>
      <c r="VT95" s="50"/>
      <c r="VU95" s="50"/>
      <c r="VV95" s="50"/>
      <c r="VW95" s="50"/>
      <c r="VX95" s="50"/>
      <c r="VY95" s="50"/>
      <c r="VZ95" s="50"/>
      <c r="WA95" s="50"/>
      <c r="WB95" s="50"/>
      <c r="WC95" s="50"/>
      <c r="WD95" s="50"/>
      <c r="WE95" s="50"/>
      <c r="WF95" s="50"/>
      <c r="WG95" s="50"/>
      <c r="WH95" s="50"/>
      <c r="WI95" s="50"/>
      <c r="WJ95" s="50"/>
      <c r="WK95" s="50"/>
      <c r="WL95" s="50"/>
      <c r="WM95" s="50"/>
      <c r="WN95" s="50"/>
      <c r="WO95" s="50"/>
      <c r="WP95" s="50"/>
      <c r="WQ95" s="50"/>
      <c r="WR95" s="50"/>
      <c r="WS95" s="50"/>
      <c r="WT95" s="50"/>
      <c r="WU95" s="50"/>
      <c r="WV95" s="50"/>
      <c r="WW95" s="50"/>
      <c r="WX95" s="50"/>
      <c r="WY95" s="50"/>
      <c r="WZ95" s="50"/>
      <c r="XA95" s="50"/>
      <c r="XB95" s="50"/>
      <c r="XC95" s="50"/>
      <c r="XD95" s="50"/>
      <c r="XE95" s="50"/>
      <c r="XF95" s="50"/>
      <c r="XG95" s="50"/>
      <c r="XH95" s="50"/>
      <c r="XI95" s="50"/>
      <c r="XJ95" s="50"/>
      <c r="XK95" s="50"/>
      <c r="XL95" s="50"/>
      <c r="XM95" s="50"/>
      <c r="XN95" s="50"/>
      <c r="XO95" s="50"/>
      <c r="XP95" s="50"/>
      <c r="XQ95" s="50"/>
      <c r="XR95" s="50"/>
      <c r="XS95" s="50"/>
      <c r="XT95" s="50"/>
      <c r="XU95" s="50"/>
      <c r="XV95" s="50"/>
      <c r="XW95" s="50"/>
      <c r="XX95" s="50"/>
      <c r="XY95" s="50"/>
      <c r="XZ95" s="50"/>
      <c r="YA95" s="50"/>
      <c r="YB95" s="50"/>
      <c r="YC95" s="50"/>
      <c r="YD95" s="50"/>
      <c r="YE95" s="50"/>
      <c r="YF95" s="50"/>
      <c r="YG95" s="50"/>
      <c r="YH95" s="50"/>
      <c r="YI95" s="50"/>
      <c r="YJ95" s="50"/>
      <c r="YK95" s="50"/>
      <c r="YL95" s="50"/>
      <c r="YM95" s="50"/>
      <c r="YN95" s="50"/>
      <c r="YO95" s="50"/>
      <c r="YP95" s="50"/>
      <c r="YQ95" s="50"/>
      <c r="YR95" s="50"/>
      <c r="YS95" s="50"/>
      <c r="YT95" s="50"/>
      <c r="YU95" s="50"/>
      <c r="YV95" s="50"/>
      <c r="YW95" s="50"/>
      <c r="YX95" s="50"/>
      <c r="YY95" s="50"/>
      <c r="YZ95" s="50"/>
      <c r="ZA95" s="50"/>
      <c r="ZB95" s="50"/>
      <c r="ZC95" s="50"/>
      <c r="ZD95" s="50"/>
      <c r="ZE95" s="50"/>
      <c r="ZF95" s="50"/>
      <c r="ZG95" s="50"/>
      <c r="ZH95" s="50"/>
      <c r="ZI95" s="50"/>
      <c r="ZJ95" s="50"/>
      <c r="ZK95" s="50"/>
      <c r="ZL95" s="50"/>
      <c r="ZM95" s="50"/>
      <c r="ZN95" s="50"/>
      <c r="ZO95" s="50"/>
      <c r="ZP95" s="50"/>
      <c r="ZQ95" s="50"/>
      <c r="ZR95" s="50"/>
      <c r="ZS95" s="50"/>
      <c r="ZT95" s="50"/>
      <c r="ZU95" s="50"/>
      <c r="ZV95" s="50"/>
      <c r="ZW95" s="50"/>
      <c r="ZX95" s="50"/>
      <c r="ZY95" s="50"/>
      <c r="ZZ95" s="50"/>
      <c r="AAA95" s="50"/>
      <c r="AAB95" s="50"/>
      <c r="AAC95" s="50"/>
      <c r="AAD95" s="50"/>
      <c r="AAE95" s="50"/>
      <c r="AAF95" s="50"/>
      <c r="AAG95" s="50"/>
      <c r="AAH95" s="50"/>
      <c r="AAI95" s="50"/>
      <c r="AAJ95" s="50"/>
      <c r="AAK95" s="50"/>
      <c r="AAL95" s="50"/>
      <c r="AAM95" s="50"/>
      <c r="AAN95" s="50"/>
      <c r="AAO95" s="50"/>
      <c r="AAP95" s="50"/>
      <c r="AAQ95" s="50"/>
      <c r="AAR95" s="50"/>
      <c r="AAS95" s="50"/>
      <c r="AAT95" s="50"/>
      <c r="AAU95" s="50"/>
      <c r="AAV95" s="50"/>
      <c r="AAW95" s="50"/>
      <c r="AAX95" s="50"/>
      <c r="AAY95" s="50"/>
      <c r="AAZ95" s="50"/>
      <c r="ABA95" s="50"/>
      <c r="ABB95" s="50"/>
      <c r="ABC95" s="50"/>
      <c r="ABD95" s="50"/>
      <c r="ABE95" s="50"/>
      <c r="ABF95" s="50"/>
      <c r="ABG95" s="50"/>
      <c r="ABH95" s="50"/>
      <c r="ABI95" s="50"/>
      <c r="ABJ95" s="50"/>
      <c r="ABK95" s="50"/>
      <c r="ABL95" s="50"/>
      <c r="ABM95" s="50"/>
      <c r="ABN95" s="50"/>
      <c r="ABO95" s="50"/>
      <c r="ABP95" s="50"/>
      <c r="ABQ95" s="50"/>
      <c r="ABR95" s="50"/>
      <c r="ABS95" s="50"/>
      <c r="ABT95" s="50"/>
      <c r="ABU95" s="50"/>
      <c r="ABV95" s="50"/>
      <c r="ABW95" s="50"/>
      <c r="ABX95" s="50"/>
      <c r="ABY95" s="50"/>
      <c r="ABZ95" s="50"/>
      <c r="ACA95" s="50"/>
      <c r="ACB95" s="50"/>
      <c r="ACC95" s="50"/>
      <c r="ACD95" s="50"/>
      <c r="ACE95" s="50"/>
      <c r="ACF95" s="50"/>
      <c r="ACG95" s="50"/>
      <c r="ACH95" s="50"/>
      <c r="ACI95" s="50"/>
      <c r="ACJ95" s="50"/>
      <c r="ACK95" s="50"/>
      <c r="ACL95" s="50"/>
      <c r="ACM95" s="50"/>
      <c r="ACN95" s="50"/>
      <c r="ACO95" s="50"/>
      <c r="ACP95" s="50"/>
      <c r="ACQ95" s="50"/>
      <c r="ACR95" s="50"/>
      <c r="ACS95" s="50"/>
      <c r="ACT95" s="50"/>
      <c r="ACU95" s="50"/>
      <c r="ACV95" s="50"/>
      <c r="ACW95" s="50"/>
      <c r="ACX95" s="50"/>
      <c r="ACY95" s="50"/>
      <c r="ACZ95" s="50"/>
      <c r="ADA95" s="50"/>
      <c r="ADB95" s="50"/>
      <c r="ADC95" s="50"/>
      <c r="ADD95" s="50"/>
      <c r="ADE95" s="50"/>
      <c r="ADF95" s="50"/>
      <c r="ADG95" s="50"/>
      <c r="ADH95" s="50"/>
      <c r="ADI95" s="50"/>
      <c r="ADJ95" s="50"/>
      <c r="ADK95" s="50"/>
      <c r="ADL95" s="50"/>
      <c r="ADM95" s="50"/>
      <c r="ADN95" s="50"/>
      <c r="ADO95" s="50"/>
      <c r="ADP95" s="50"/>
      <c r="ADQ95" s="50"/>
      <c r="ADR95" s="50"/>
      <c r="ADS95" s="50"/>
      <c r="ADT95" s="50"/>
      <c r="ADU95" s="50"/>
      <c r="ADV95" s="50"/>
      <c r="ADW95" s="50"/>
      <c r="ADX95" s="50"/>
      <c r="ADY95" s="50"/>
      <c r="ADZ95" s="50"/>
      <c r="AEA95" s="50"/>
      <c r="AEB95" s="50"/>
      <c r="AEC95" s="50"/>
      <c r="AED95" s="50"/>
      <c r="AEE95" s="50"/>
      <c r="AEF95" s="50"/>
      <c r="AEG95" s="50"/>
      <c r="AEH95" s="50"/>
      <c r="AEI95" s="50"/>
      <c r="AEJ95" s="50"/>
      <c r="AEK95" s="50"/>
      <c r="AEL95" s="50"/>
      <c r="AEM95" s="50"/>
      <c r="AEN95" s="50"/>
      <c r="AEO95" s="50"/>
      <c r="AEP95" s="50"/>
      <c r="AEQ95" s="50"/>
      <c r="AER95" s="50"/>
      <c r="AES95" s="50"/>
      <c r="AET95" s="50"/>
      <c r="AEU95" s="50"/>
      <c r="AEV95" s="50"/>
      <c r="AEW95" s="50"/>
      <c r="AEX95" s="50"/>
      <c r="AEY95" s="50"/>
      <c r="AEZ95" s="50"/>
      <c r="AFA95" s="50"/>
      <c r="AFB95" s="50"/>
      <c r="AFC95" s="50"/>
      <c r="AFD95" s="50"/>
      <c r="AFE95" s="50"/>
      <c r="AFF95" s="50"/>
      <c r="AFG95" s="50"/>
      <c r="AFH95" s="50"/>
      <c r="AFI95" s="50"/>
      <c r="AFJ95" s="50"/>
      <c r="AFK95" s="50"/>
      <c r="AFL95" s="50"/>
      <c r="AFM95" s="50"/>
      <c r="AFN95" s="50"/>
      <c r="AFO95" s="50"/>
      <c r="AFP95" s="50"/>
      <c r="AFQ95" s="50"/>
      <c r="AFR95" s="50"/>
      <c r="AFS95" s="50"/>
      <c r="AFT95" s="50"/>
      <c r="AFU95" s="50"/>
      <c r="AFV95" s="50"/>
      <c r="AFW95" s="50"/>
      <c r="AFX95" s="50"/>
      <c r="AFY95" s="50"/>
      <c r="AFZ95" s="50"/>
      <c r="AGA95" s="50"/>
      <c r="AGB95" s="50"/>
      <c r="AGC95" s="50"/>
      <c r="AGD95" s="50"/>
      <c r="AGE95" s="50"/>
      <c r="AGF95" s="50"/>
      <c r="AGG95" s="50"/>
      <c r="AGH95" s="50"/>
      <c r="AGI95" s="50"/>
      <c r="AGJ95" s="50"/>
      <c r="AGK95" s="50"/>
      <c r="AGL95" s="50"/>
      <c r="AGM95" s="50"/>
      <c r="AGN95" s="50"/>
      <c r="AGO95" s="50"/>
      <c r="AGP95" s="50"/>
      <c r="AGQ95" s="50"/>
      <c r="AGR95" s="50"/>
      <c r="AGS95" s="50"/>
      <c r="AGT95" s="50"/>
      <c r="AGU95" s="50"/>
      <c r="AGV95" s="50"/>
      <c r="AGW95" s="50"/>
      <c r="AGX95" s="50"/>
      <c r="AGY95" s="50"/>
      <c r="AGZ95" s="50"/>
      <c r="AHA95" s="50"/>
      <c r="AHB95" s="50"/>
      <c r="AHC95" s="50"/>
      <c r="AHD95" s="50"/>
      <c r="AHE95" s="50"/>
      <c r="AHF95" s="50"/>
      <c r="AHG95" s="50"/>
      <c r="AHH95" s="50"/>
      <c r="AHI95" s="50"/>
      <c r="AHJ95" s="50"/>
      <c r="AHK95" s="50"/>
      <c r="AHL95" s="50"/>
      <c r="AHM95" s="50"/>
      <c r="AHN95" s="50"/>
      <c r="AHO95" s="50"/>
      <c r="AHP95" s="50"/>
      <c r="AHQ95" s="50"/>
      <c r="AHR95" s="50"/>
      <c r="AHS95" s="50"/>
      <c r="AHT95" s="50"/>
      <c r="AHU95" s="50"/>
      <c r="AHV95" s="50"/>
      <c r="AHW95" s="50"/>
      <c r="AHX95" s="50"/>
      <c r="AHY95" s="50"/>
      <c r="AHZ95" s="50"/>
      <c r="AIA95" s="50"/>
      <c r="AIB95" s="50"/>
      <c r="AIC95" s="50"/>
      <c r="AID95" s="50"/>
      <c r="AIE95" s="50"/>
      <c r="AIF95" s="50"/>
      <c r="AIG95" s="50"/>
      <c r="AIH95" s="50"/>
      <c r="AII95" s="50"/>
      <c r="AIJ95" s="50"/>
      <c r="AIK95" s="50"/>
      <c r="AIL95" s="50"/>
      <c r="AIM95" s="50"/>
      <c r="AIN95" s="50"/>
      <c r="AIO95" s="50"/>
      <c r="AIP95" s="50"/>
      <c r="AIQ95" s="50"/>
      <c r="AIR95" s="50"/>
      <c r="AIS95" s="50"/>
      <c r="AIT95" s="50"/>
      <c r="AIU95" s="50"/>
      <c r="AIV95" s="50"/>
      <c r="AIW95" s="50"/>
      <c r="AIX95" s="50"/>
      <c r="AIY95" s="50"/>
      <c r="AIZ95" s="50"/>
      <c r="AJA95" s="50"/>
      <c r="AJB95" s="50"/>
      <c r="AJC95" s="50"/>
      <c r="AJD95" s="50"/>
      <c r="AJE95" s="50"/>
      <c r="AJF95" s="50"/>
      <c r="AJG95" s="50"/>
      <c r="AJH95" s="50"/>
      <c r="AJI95" s="50"/>
      <c r="AJJ95" s="50"/>
      <c r="AJK95" s="50"/>
      <c r="AJL95" s="50"/>
      <c r="AJM95" s="50"/>
      <c r="AJN95" s="50"/>
      <c r="AJO95" s="50"/>
      <c r="AJP95" s="50"/>
      <c r="AJQ95" s="50"/>
      <c r="AJR95" s="50"/>
      <c r="AJS95" s="50"/>
      <c r="AJT95" s="50"/>
      <c r="AJU95" s="50"/>
      <c r="AJV95" s="50"/>
      <c r="AJW95" s="50"/>
      <c r="AJX95" s="50"/>
      <c r="AJY95" s="50"/>
      <c r="AJZ95" s="50"/>
      <c r="AKA95" s="50"/>
      <c r="AKB95" s="50"/>
      <c r="AKC95" s="50"/>
      <c r="AKD95" s="50"/>
      <c r="AKE95" s="50"/>
      <c r="AKF95" s="50"/>
      <c r="AKG95" s="50"/>
      <c r="AKH95" s="50"/>
      <c r="AKI95" s="50"/>
      <c r="AKJ95" s="50"/>
      <c r="AKK95" s="50"/>
      <c r="AKL95" s="50"/>
      <c r="AKM95" s="50"/>
      <c r="AKN95" s="50"/>
      <c r="AKO95" s="50"/>
      <c r="AKP95" s="50"/>
      <c r="AKQ95" s="50"/>
      <c r="AKR95" s="50"/>
      <c r="AKS95" s="50"/>
      <c r="AKT95" s="50"/>
      <c r="AKU95" s="50"/>
      <c r="AKV95" s="50"/>
      <c r="AKW95" s="50"/>
      <c r="AKX95" s="50"/>
      <c r="AKY95" s="50"/>
      <c r="AKZ95" s="50"/>
      <c r="ALA95" s="50"/>
      <c r="ALB95" s="50"/>
      <c r="ALC95" s="50"/>
      <c r="ALD95" s="50"/>
      <c r="ALE95" s="50"/>
      <c r="ALF95" s="50"/>
      <c r="ALG95" s="50"/>
      <c r="ALH95" s="50"/>
      <c r="ALI95" s="50"/>
      <c r="ALJ95" s="50"/>
      <c r="ALK95" s="50"/>
      <c r="ALL95" s="50"/>
      <c r="ALM95" s="50"/>
      <c r="ALN95" s="50"/>
      <c r="ALO95" s="50"/>
      <c r="ALP95" s="50"/>
      <c r="ALQ95" s="50"/>
      <c r="ALR95" s="50"/>
      <c r="ALS95" s="50"/>
      <c r="ALT95" s="50"/>
      <c r="ALU95" s="50"/>
      <c r="ALV95" s="50"/>
      <c r="ALW95" s="50"/>
      <c r="ALX95" s="50"/>
      <c r="ALY95" s="50"/>
      <c r="ALZ95" s="50"/>
      <c r="AMA95" s="50"/>
      <c r="AMB95" s="50"/>
      <c r="AMC95" s="50"/>
      <c r="AMD95" s="50"/>
      <c r="AME95" s="50"/>
      <c r="AMF95" s="50"/>
      <c r="AMG95" s="50"/>
      <c r="AMH95" s="50"/>
      <c r="AMI95" s="50"/>
      <c r="AMJ95" s="50"/>
    </row>
    <row r="96" spans="12:1024" ht="15.95" customHeight="1" x14ac:dyDescent="0.2">
      <c r="L96" s="50"/>
      <c r="M96" s="51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50"/>
      <c r="BQ96" s="50"/>
      <c r="BR96" s="50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  <c r="DD96" s="50"/>
      <c r="DE96" s="50"/>
      <c r="DF96" s="50"/>
      <c r="DG96" s="50"/>
      <c r="DH96" s="50"/>
      <c r="DI96" s="50"/>
      <c r="DJ96" s="50"/>
      <c r="DK96" s="50"/>
      <c r="DL96" s="50"/>
      <c r="DM96" s="50"/>
      <c r="DN96" s="50"/>
      <c r="DO96" s="50"/>
      <c r="DP96" s="50"/>
      <c r="DQ96" s="50"/>
      <c r="DR96" s="50"/>
      <c r="DS96" s="50"/>
      <c r="DT96" s="50"/>
      <c r="DU96" s="50"/>
      <c r="DV96" s="50"/>
      <c r="DW96" s="50"/>
      <c r="DX96" s="50"/>
      <c r="DY96" s="50"/>
      <c r="DZ96" s="50"/>
      <c r="EA96" s="50"/>
      <c r="EB96" s="50"/>
      <c r="EC96" s="50"/>
      <c r="ED96" s="50"/>
      <c r="EE96" s="50"/>
      <c r="EF96" s="50"/>
      <c r="EG96" s="50"/>
      <c r="EH96" s="50"/>
      <c r="EI96" s="50"/>
      <c r="EJ96" s="50"/>
      <c r="EK96" s="50"/>
      <c r="EL96" s="50"/>
      <c r="EM96" s="50"/>
      <c r="EN96" s="50"/>
      <c r="EO96" s="50"/>
      <c r="EP96" s="50"/>
      <c r="EQ96" s="50"/>
      <c r="ER96" s="50"/>
      <c r="ES96" s="50"/>
      <c r="ET96" s="50"/>
      <c r="EU96" s="50"/>
      <c r="EV96" s="50"/>
      <c r="EW96" s="50"/>
      <c r="EX96" s="50"/>
      <c r="EY96" s="50"/>
      <c r="EZ96" s="50"/>
      <c r="FA96" s="50"/>
      <c r="FB96" s="50"/>
      <c r="FC96" s="50"/>
      <c r="FD96" s="50"/>
      <c r="FE96" s="50"/>
      <c r="FF96" s="50"/>
      <c r="FG96" s="50"/>
      <c r="FH96" s="50"/>
      <c r="FI96" s="50"/>
      <c r="FJ96" s="50"/>
      <c r="FK96" s="50"/>
      <c r="FL96" s="50"/>
      <c r="FM96" s="50"/>
      <c r="FN96" s="50"/>
      <c r="FO96" s="50"/>
      <c r="FP96" s="50"/>
      <c r="FQ96" s="50"/>
      <c r="FR96" s="50"/>
      <c r="FS96" s="50"/>
      <c r="FT96" s="50"/>
      <c r="FU96" s="50"/>
      <c r="FV96" s="50"/>
      <c r="FW96" s="50"/>
      <c r="FX96" s="50"/>
      <c r="FY96" s="50"/>
      <c r="FZ96" s="50"/>
      <c r="GA96" s="50"/>
      <c r="GB96" s="50"/>
      <c r="GC96" s="50"/>
      <c r="GD96" s="50"/>
      <c r="GE96" s="50"/>
      <c r="GF96" s="50"/>
      <c r="GG96" s="50"/>
      <c r="GH96" s="50"/>
      <c r="GI96" s="50"/>
      <c r="GJ96" s="50"/>
      <c r="GK96" s="50"/>
      <c r="GL96" s="50"/>
      <c r="GM96" s="50"/>
      <c r="GN96" s="50"/>
      <c r="GO96" s="50"/>
      <c r="GP96" s="50"/>
      <c r="GQ96" s="50"/>
      <c r="GR96" s="50"/>
      <c r="GS96" s="50"/>
      <c r="GT96" s="50"/>
      <c r="GU96" s="50"/>
      <c r="GV96" s="50"/>
      <c r="GW96" s="50"/>
      <c r="GX96" s="50"/>
      <c r="GY96" s="50"/>
      <c r="GZ96" s="50"/>
      <c r="HA96" s="50"/>
      <c r="HB96" s="50"/>
      <c r="HC96" s="50"/>
      <c r="HD96" s="50"/>
      <c r="HE96" s="50"/>
      <c r="HF96" s="50"/>
      <c r="HG96" s="50"/>
      <c r="HH96" s="50"/>
      <c r="HI96" s="50"/>
      <c r="HJ96" s="50"/>
      <c r="HK96" s="50"/>
      <c r="HL96" s="50"/>
      <c r="HM96" s="50"/>
      <c r="HN96" s="50"/>
      <c r="HO96" s="50"/>
      <c r="HP96" s="50"/>
      <c r="HQ96" s="50"/>
      <c r="HR96" s="50"/>
      <c r="HS96" s="50"/>
      <c r="HT96" s="50"/>
      <c r="HU96" s="50"/>
      <c r="HV96" s="50"/>
      <c r="HW96" s="50"/>
      <c r="HX96" s="50"/>
      <c r="HY96" s="50"/>
      <c r="HZ96" s="50"/>
      <c r="IA96" s="50"/>
      <c r="IB96" s="50"/>
      <c r="IC96" s="50"/>
      <c r="ID96" s="50"/>
      <c r="IE96" s="50"/>
      <c r="IF96" s="50"/>
      <c r="IG96" s="50"/>
      <c r="IH96" s="50"/>
      <c r="II96" s="50"/>
      <c r="IJ96" s="50"/>
      <c r="IK96" s="50"/>
      <c r="IL96" s="50"/>
      <c r="IM96" s="50"/>
      <c r="IN96" s="50"/>
      <c r="IO96" s="50"/>
      <c r="IP96" s="50"/>
      <c r="IQ96" s="50"/>
      <c r="IR96" s="50"/>
      <c r="IS96" s="50"/>
      <c r="IT96" s="50"/>
      <c r="IU96" s="50"/>
      <c r="IV96" s="50"/>
      <c r="IW96" s="50"/>
      <c r="IX96" s="50"/>
      <c r="IY96" s="50"/>
      <c r="IZ96" s="50"/>
      <c r="JA96" s="50"/>
      <c r="JB96" s="50"/>
      <c r="JC96" s="50"/>
      <c r="JD96" s="50"/>
      <c r="JE96" s="50"/>
      <c r="JF96" s="50"/>
      <c r="JG96" s="50"/>
      <c r="JH96" s="50"/>
      <c r="JI96" s="50"/>
      <c r="JJ96" s="50"/>
      <c r="JK96" s="50"/>
      <c r="JL96" s="50"/>
      <c r="JM96" s="50"/>
      <c r="JN96" s="50"/>
      <c r="JO96" s="50"/>
      <c r="JP96" s="50"/>
      <c r="JQ96" s="50"/>
      <c r="JR96" s="50"/>
      <c r="JS96" s="50"/>
      <c r="JT96" s="50"/>
      <c r="JU96" s="50"/>
      <c r="JV96" s="50"/>
      <c r="JW96" s="50"/>
      <c r="JX96" s="50"/>
      <c r="JY96" s="50"/>
      <c r="JZ96" s="50"/>
      <c r="KA96" s="50"/>
      <c r="KB96" s="50"/>
      <c r="KC96" s="50"/>
      <c r="KD96" s="50"/>
      <c r="KE96" s="50"/>
      <c r="KF96" s="50"/>
      <c r="KG96" s="50"/>
      <c r="KH96" s="50"/>
      <c r="KI96" s="50"/>
      <c r="KJ96" s="50"/>
      <c r="KK96" s="50"/>
      <c r="KL96" s="50"/>
      <c r="KM96" s="50"/>
      <c r="KN96" s="50"/>
      <c r="KO96" s="50"/>
      <c r="KP96" s="50"/>
      <c r="KQ96" s="50"/>
      <c r="KR96" s="50"/>
      <c r="KS96" s="50"/>
      <c r="KT96" s="50"/>
      <c r="KU96" s="50"/>
      <c r="KV96" s="50"/>
      <c r="KW96" s="50"/>
      <c r="KX96" s="50"/>
      <c r="KY96" s="50"/>
      <c r="KZ96" s="50"/>
      <c r="LA96" s="50"/>
      <c r="LB96" s="50"/>
      <c r="LC96" s="50"/>
      <c r="LD96" s="50"/>
      <c r="LE96" s="50"/>
      <c r="LF96" s="50"/>
      <c r="LG96" s="50"/>
      <c r="LH96" s="50"/>
      <c r="LI96" s="50"/>
      <c r="LJ96" s="50"/>
      <c r="LK96" s="50"/>
      <c r="LL96" s="50"/>
      <c r="LM96" s="50"/>
      <c r="LN96" s="50"/>
      <c r="LO96" s="50"/>
      <c r="LP96" s="50"/>
      <c r="LQ96" s="50"/>
      <c r="LR96" s="50"/>
      <c r="LS96" s="50"/>
      <c r="LT96" s="50"/>
      <c r="LU96" s="50"/>
      <c r="LV96" s="50"/>
      <c r="LW96" s="50"/>
      <c r="LX96" s="50"/>
      <c r="LY96" s="50"/>
      <c r="LZ96" s="50"/>
      <c r="MA96" s="50"/>
      <c r="MB96" s="50"/>
      <c r="MC96" s="50"/>
      <c r="MD96" s="50"/>
      <c r="ME96" s="50"/>
      <c r="MF96" s="50"/>
      <c r="MG96" s="50"/>
      <c r="MH96" s="50"/>
      <c r="MI96" s="50"/>
      <c r="MJ96" s="50"/>
      <c r="MK96" s="50"/>
      <c r="ML96" s="50"/>
      <c r="MM96" s="50"/>
      <c r="MN96" s="50"/>
      <c r="MO96" s="50"/>
      <c r="MP96" s="50"/>
      <c r="MQ96" s="50"/>
      <c r="MR96" s="50"/>
      <c r="MS96" s="50"/>
      <c r="MT96" s="50"/>
      <c r="MU96" s="50"/>
      <c r="MV96" s="50"/>
      <c r="MW96" s="50"/>
      <c r="MX96" s="50"/>
      <c r="MY96" s="50"/>
      <c r="MZ96" s="50"/>
      <c r="NA96" s="50"/>
      <c r="NB96" s="50"/>
      <c r="NC96" s="50"/>
      <c r="ND96" s="50"/>
      <c r="NE96" s="50"/>
      <c r="NF96" s="50"/>
      <c r="NG96" s="50"/>
      <c r="NH96" s="50"/>
      <c r="NI96" s="50"/>
      <c r="NJ96" s="50"/>
      <c r="NK96" s="50"/>
      <c r="NL96" s="50"/>
      <c r="NM96" s="50"/>
      <c r="NN96" s="50"/>
      <c r="NO96" s="50"/>
      <c r="NP96" s="50"/>
      <c r="NQ96" s="50"/>
      <c r="NR96" s="50"/>
      <c r="NS96" s="50"/>
      <c r="NT96" s="50"/>
      <c r="NU96" s="50"/>
      <c r="NV96" s="50"/>
      <c r="NW96" s="50"/>
      <c r="NX96" s="50"/>
      <c r="NY96" s="50"/>
      <c r="NZ96" s="50"/>
      <c r="OA96" s="50"/>
      <c r="OB96" s="50"/>
      <c r="OC96" s="50"/>
      <c r="OD96" s="50"/>
      <c r="OE96" s="50"/>
      <c r="OF96" s="50"/>
      <c r="OG96" s="50"/>
      <c r="OH96" s="50"/>
      <c r="OI96" s="50"/>
      <c r="OJ96" s="50"/>
      <c r="OK96" s="50"/>
      <c r="OL96" s="50"/>
      <c r="OM96" s="50"/>
      <c r="ON96" s="50"/>
      <c r="OO96" s="50"/>
      <c r="OP96" s="50"/>
      <c r="OQ96" s="50"/>
      <c r="OR96" s="50"/>
      <c r="OS96" s="50"/>
      <c r="OT96" s="50"/>
      <c r="OU96" s="50"/>
      <c r="OV96" s="50"/>
      <c r="OW96" s="50"/>
      <c r="OX96" s="50"/>
      <c r="OY96" s="50"/>
      <c r="OZ96" s="50"/>
      <c r="PA96" s="50"/>
      <c r="PB96" s="50"/>
      <c r="PC96" s="50"/>
      <c r="PD96" s="50"/>
      <c r="PE96" s="50"/>
      <c r="PF96" s="50"/>
      <c r="PG96" s="50"/>
      <c r="PH96" s="50"/>
      <c r="PI96" s="50"/>
      <c r="PJ96" s="50"/>
      <c r="PK96" s="50"/>
      <c r="PL96" s="50"/>
      <c r="PM96" s="50"/>
      <c r="PN96" s="50"/>
      <c r="PO96" s="50"/>
      <c r="PP96" s="50"/>
      <c r="PQ96" s="50"/>
      <c r="PR96" s="50"/>
      <c r="PS96" s="50"/>
      <c r="PT96" s="50"/>
      <c r="PU96" s="50"/>
      <c r="PV96" s="50"/>
      <c r="PW96" s="50"/>
      <c r="PX96" s="50"/>
      <c r="PY96" s="50"/>
      <c r="PZ96" s="50"/>
      <c r="QA96" s="50"/>
      <c r="QB96" s="50"/>
      <c r="QC96" s="50"/>
      <c r="QD96" s="50"/>
      <c r="QE96" s="50"/>
      <c r="QF96" s="50"/>
      <c r="QG96" s="50"/>
      <c r="QH96" s="50"/>
      <c r="QI96" s="50"/>
      <c r="QJ96" s="50"/>
      <c r="QK96" s="50"/>
      <c r="QL96" s="50"/>
      <c r="QM96" s="50"/>
      <c r="QN96" s="50"/>
      <c r="QO96" s="50"/>
      <c r="QP96" s="50"/>
      <c r="QQ96" s="50"/>
      <c r="QR96" s="50"/>
      <c r="QS96" s="50"/>
      <c r="QT96" s="50"/>
      <c r="QU96" s="50"/>
      <c r="QV96" s="50"/>
      <c r="QW96" s="50"/>
      <c r="QX96" s="50"/>
      <c r="QY96" s="50"/>
      <c r="QZ96" s="50"/>
      <c r="RA96" s="50"/>
      <c r="RB96" s="50"/>
      <c r="RC96" s="50"/>
      <c r="RD96" s="50"/>
      <c r="RE96" s="50"/>
      <c r="RF96" s="50"/>
      <c r="RG96" s="50"/>
      <c r="RH96" s="50"/>
      <c r="RI96" s="50"/>
      <c r="RJ96" s="50"/>
      <c r="RK96" s="50"/>
      <c r="RL96" s="50"/>
      <c r="RM96" s="50"/>
      <c r="RN96" s="50"/>
      <c r="RO96" s="50"/>
      <c r="RP96" s="50"/>
      <c r="RQ96" s="50"/>
      <c r="RR96" s="50"/>
      <c r="RS96" s="50"/>
      <c r="RT96" s="50"/>
      <c r="RU96" s="50"/>
      <c r="RV96" s="50"/>
      <c r="RW96" s="50"/>
      <c r="RX96" s="50"/>
      <c r="RY96" s="50"/>
      <c r="RZ96" s="50"/>
      <c r="SA96" s="50"/>
      <c r="SB96" s="50"/>
      <c r="SC96" s="50"/>
      <c r="SD96" s="50"/>
      <c r="SE96" s="50"/>
      <c r="SF96" s="50"/>
      <c r="SG96" s="50"/>
      <c r="SH96" s="50"/>
      <c r="SI96" s="50"/>
      <c r="SJ96" s="50"/>
      <c r="SK96" s="50"/>
      <c r="SL96" s="50"/>
      <c r="SM96" s="50"/>
      <c r="SN96" s="50"/>
      <c r="SO96" s="50"/>
      <c r="SP96" s="50"/>
      <c r="SQ96" s="50"/>
      <c r="SR96" s="50"/>
      <c r="SS96" s="50"/>
      <c r="ST96" s="50"/>
      <c r="SU96" s="50"/>
      <c r="SV96" s="50"/>
      <c r="SW96" s="50"/>
      <c r="SX96" s="50"/>
      <c r="SY96" s="50"/>
      <c r="SZ96" s="50"/>
      <c r="TA96" s="50"/>
      <c r="TB96" s="50"/>
      <c r="TC96" s="50"/>
      <c r="TD96" s="50"/>
      <c r="TE96" s="50"/>
      <c r="TF96" s="50"/>
      <c r="TG96" s="50"/>
      <c r="TH96" s="50"/>
      <c r="TI96" s="50"/>
      <c r="TJ96" s="50"/>
      <c r="TK96" s="50"/>
      <c r="TL96" s="50"/>
      <c r="TM96" s="50"/>
      <c r="TN96" s="50"/>
      <c r="TO96" s="50"/>
      <c r="TP96" s="50"/>
      <c r="TQ96" s="50"/>
      <c r="TR96" s="50"/>
      <c r="TS96" s="50"/>
      <c r="TT96" s="50"/>
      <c r="TU96" s="50"/>
      <c r="TV96" s="50"/>
      <c r="TW96" s="50"/>
      <c r="TX96" s="50"/>
      <c r="TY96" s="50"/>
      <c r="TZ96" s="50"/>
      <c r="UA96" s="50"/>
      <c r="UB96" s="50"/>
      <c r="UC96" s="50"/>
      <c r="UD96" s="50"/>
      <c r="UE96" s="50"/>
      <c r="UF96" s="50"/>
      <c r="UG96" s="50"/>
      <c r="UH96" s="50"/>
      <c r="UI96" s="50"/>
      <c r="UJ96" s="50"/>
      <c r="UK96" s="50"/>
      <c r="UL96" s="50"/>
      <c r="UM96" s="50"/>
      <c r="UN96" s="50"/>
      <c r="UO96" s="50"/>
      <c r="UP96" s="50"/>
      <c r="UQ96" s="50"/>
      <c r="UR96" s="50"/>
      <c r="US96" s="50"/>
      <c r="UT96" s="50"/>
      <c r="UU96" s="50"/>
      <c r="UV96" s="50"/>
      <c r="UW96" s="50"/>
      <c r="UX96" s="50"/>
      <c r="UY96" s="50"/>
      <c r="UZ96" s="50"/>
      <c r="VA96" s="50"/>
      <c r="VB96" s="50"/>
      <c r="VC96" s="50"/>
      <c r="VD96" s="50"/>
      <c r="VE96" s="50"/>
      <c r="VF96" s="50"/>
      <c r="VG96" s="50"/>
      <c r="VH96" s="50"/>
      <c r="VI96" s="50"/>
      <c r="VJ96" s="50"/>
      <c r="VK96" s="50"/>
      <c r="VL96" s="50"/>
      <c r="VM96" s="50"/>
      <c r="VN96" s="50"/>
      <c r="VO96" s="50"/>
      <c r="VP96" s="50"/>
      <c r="VQ96" s="50"/>
      <c r="VR96" s="50"/>
      <c r="VS96" s="50"/>
      <c r="VT96" s="50"/>
      <c r="VU96" s="50"/>
      <c r="VV96" s="50"/>
      <c r="VW96" s="50"/>
      <c r="VX96" s="50"/>
      <c r="VY96" s="50"/>
      <c r="VZ96" s="50"/>
      <c r="WA96" s="50"/>
      <c r="WB96" s="50"/>
      <c r="WC96" s="50"/>
      <c r="WD96" s="50"/>
      <c r="WE96" s="50"/>
      <c r="WF96" s="50"/>
      <c r="WG96" s="50"/>
      <c r="WH96" s="50"/>
      <c r="WI96" s="50"/>
      <c r="WJ96" s="50"/>
      <c r="WK96" s="50"/>
      <c r="WL96" s="50"/>
      <c r="WM96" s="50"/>
      <c r="WN96" s="50"/>
      <c r="WO96" s="50"/>
      <c r="WP96" s="50"/>
      <c r="WQ96" s="50"/>
      <c r="WR96" s="50"/>
      <c r="WS96" s="50"/>
      <c r="WT96" s="50"/>
      <c r="WU96" s="50"/>
      <c r="WV96" s="50"/>
      <c r="WW96" s="50"/>
      <c r="WX96" s="50"/>
      <c r="WY96" s="50"/>
      <c r="WZ96" s="50"/>
      <c r="XA96" s="50"/>
      <c r="XB96" s="50"/>
      <c r="XC96" s="50"/>
      <c r="XD96" s="50"/>
      <c r="XE96" s="50"/>
      <c r="XF96" s="50"/>
      <c r="XG96" s="50"/>
      <c r="XH96" s="50"/>
      <c r="XI96" s="50"/>
      <c r="XJ96" s="50"/>
      <c r="XK96" s="50"/>
      <c r="XL96" s="50"/>
      <c r="XM96" s="50"/>
      <c r="XN96" s="50"/>
      <c r="XO96" s="50"/>
      <c r="XP96" s="50"/>
      <c r="XQ96" s="50"/>
      <c r="XR96" s="50"/>
      <c r="XS96" s="50"/>
      <c r="XT96" s="50"/>
      <c r="XU96" s="50"/>
      <c r="XV96" s="50"/>
      <c r="XW96" s="50"/>
      <c r="XX96" s="50"/>
      <c r="XY96" s="50"/>
      <c r="XZ96" s="50"/>
      <c r="YA96" s="50"/>
      <c r="YB96" s="50"/>
      <c r="YC96" s="50"/>
      <c r="YD96" s="50"/>
      <c r="YE96" s="50"/>
      <c r="YF96" s="50"/>
      <c r="YG96" s="50"/>
      <c r="YH96" s="50"/>
      <c r="YI96" s="50"/>
      <c r="YJ96" s="50"/>
      <c r="YK96" s="50"/>
      <c r="YL96" s="50"/>
      <c r="YM96" s="50"/>
      <c r="YN96" s="50"/>
      <c r="YO96" s="50"/>
      <c r="YP96" s="50"/>
      <c r="YQ96" s="50"/>
      <c r="YR96" s="50"/>
      <c r="YS96" s="50"/>
      <c r="YT96" s="50"/>
      <c r="YU96" s="50"/>
      <c r="YV96" s="50"/>
      <c r="YW96" s="50"/>
      <c r="YX96" s="50"/>
      <c r="YY96" s="50"/>
      <c r="YZ96" s="50"/>
      <c r="ZA96" s="50"/>
      <c r="ZB96" s="50"/>
      <c r="ZC96" s="50"/>
      <c r="ZD96" s="50"/>
      <c r="ZE96" s="50"/>
      <c r="ZF96" s="50"/>
      <c r="ZG96" s="50"/>
      <c r="ZH96" s="50"/>
      <c r="ZI96" s="50"/>
      <c r="ZJ96" s="50"/>
      <c r="ZK96" s="50"/>
      <c r="ZL96" s="50"/>
      <c r="ZM96" s="50"/>
      <c r="ZN96" s="50"/>
      <c r="ZO96" s="50"/>
      <c r="ZP96" s="50"/>
      <c r="ZQ96" s="50"/>
      <c r="ZR96" s="50"/>
      <c r="ZS96" s="50"/>
      <c r="ZT96" s="50"/>
      <c r="ZU96" s="50"/>
      <c r="ZV96" s="50"/>
      <c r="ZW96" s="50"/>
      <c r="ZX96" s="50"/>
      <c r="ZY96" s="50"/>
      <c r="ZZ96" s="50"/>
      <c r="AAA96" s="50"/>
      <c r="AAB96" s="50"/>
      <c r="AAC96" s="50"/>
      <c r="AAD96" s="50"/>
      <c r="AAE96" s="50"/>
      <c r="AAF96" s="50"/>
      <c r="AAG96" s="50"/>
      <c r="AAH96" s="50"/>
      <c r="AAI96" s="50"/>
      <c r="AAJ96" s="50"/>
      <c r="AAK96" s="50"/>
      <c r="AAL96" s="50"/>
      <c r="AAM96" s="50"/>
      <c r="AAN96" s="50"/>
      <c r="AAO96" s="50"/>
      <c r="AAP96" s="50"/>
      <c r="AAQ96" s="50"/>
      <c r="AAR96" s="50"/>
      <c r="AAS96" s="50"/>
      <c r="AAT96" s="50"/>
      <c r="AAU96" s="50"/>
      <c r="AAV96" s="50"/>
      <c r="AAW96" s="50"/>
      <c r="AAX96" s="50"/>
      <c r="AAY96" s="50"/>
      <c r="AAZ96" s="50"/>
      <c r="ABA96" s="50"/>
      <c r="ABB96" s="50"/>
      <c r="ABC96" s="50"/>
      <c r="ABD96" s="50"/>
      <c r="ABE96" s="50"/>
      <c r="ABF96" s="50"/>
      <c r="ABG96" s="50"/>
      <c r="ABH96" s="50"/>
      <c r="ABI96" s="50"/>
      <c r="ABJ96" s="50"/>
      <c r="ABK96" s="50"/>
      <c r="ABL96" s="50"/>
      <c r="ABM96" s="50"/>
      <c r="ABN96" s="50"/>
      <c r="ABO96" s="50"/>
      <c r="ABP96" s="50"/>
      <c r="ABQ96" s="50"/>
      <c r="ABR96" s="50"/>
      <c r="ABS96" s="50"/>
      <c r="ABT96" s="50"/>
      <c r="ABU96" s="50"/>
      <c r="ABV96" s="50"/>
      <c r="ABW96" s="50"/>
      <c r="ABX96" s="50"/>
      <c r="ABY96" s="50"/>
      <c r="ABZ96" s="50"/>
      <c r="ACA96" s="50"/>
      <c r="ACB96" s="50"/>
      <c r="ACC96" s="50"/>
      <c r="ACD96" s="50"/>
      <c r="ACE96" s="50"/>
      <c r="ACF96" s="50"/>
      <c r="ACG96" s="50"/>
      <c r="ACH96" s="50"/>
      <c r="ACI96" s="50"/>
      <c r="ACJ96" s="50"/>
      <c r="ACK96" s="50"/>
      <c r="ACL96" s="50"/>
      <c r="ACM96" s="50"/>
      <c r="ACN96" s="50"/>
      <c r="ACO96" s="50"/>
      <c r="ACP96" s="50"/>
      <c r="ACQ96" s="50"/>
      <c r="ACR96" s="50"/>
      <c r="ACS96" s="50"/>
      <c r="ACT96" s="50"/>
      <c r="ACU96" s="50"/>
      <c r="ACV96" s="50"/>
      <c r="ACW96" s="50"/>
      <c r="ACX96" s="50"/>
      <c r="ACY96" s="50"/>
      <c r="ACZ96" s="50"/>
      <c r="ADA96" s="50"/>
      <c r="ADB96" s="50"/>
      <c r="ADC96" s="50"/>
      <c r="ADD96" s="50"/>
      <c r="ADE96" s="50"/>
      <c r="ADF96" s="50"/>
      <c r="ADG96" s="50"/>
      <c r="ADH96" s="50"/>
      <c r="ADI96" s="50"/>
      <c r="ADJ96" s="50"/>
      <c r="ADK96" s="50"/>
      <c r="ADL96" s="50"/>
      <c r="ADM96" s="50"/>
      <c r="ADN96" s="50"/>
      <c r="ADO96" s="50"/>
      <c r="ADP96" s="50"/>
      <c r="ADQ96" s="50"/>
      <c r="ADR96" s="50"/>
      <c r="ADS96" s="50"/>
      <c r="ADT96" s="50"/>
      <c r="ADU96" s="50"/>
      <c r="ADV96" s="50"/>
      <c r="ADW96" s="50"/>
      <c r="ADX96" s="50"/>
      <c r="ADY96" s="50"/>
      <c r="ADZ96" s="50"/>
      <c r="AEA96" s="50"/>
      <c r="AEB96" s="50"/>
      <c r="AEC96" s="50"/>
      <c r="AED96" s="50"/>
      <c r="AEE96" s="50"/>
      <c r="AEF96" s="50"/>
      <c r="AEG96" s="50"/>
      <c r="AEH96" s="50"/>
      <c r="AEI96" s="50"/>
      <c r="AEJ96" s="50"/>
      <c r="AEK96" s="50"/>
      <c r="AEL96" s="50"/>
      <c r="AEM96" s="50"/>
      <c r="AEN96" s="50"/>
      <c r="AEO96" s="50"/>
      <c r="AEP96" s="50"/>
      <c r="AEQ96" s="50"/>
      <c r="AER96" s="50"/>
      <c r="AES96" s="50"/>
      <c r="AET96" s="50"/>
      <c r="AEU96" s="50"/>
      <c r="AEV96" s="50"/>
      <c r="AEW96" s="50"/>
      <c r="AEX96" s="50"/>
      <c r="AEY96" s="50"/>
      <c r="AEZ96" s="50"/>
      <c r="AFA96" s="50"/>
      <c r="AFB96" s="50"/>
      <c r="AFC96" s="50"/>
      <c r="AFD96" s="50"/>
      <c r="AFE96" s="50"/>
      <c r="AFF96" s="50"/>
      <c r="AFG96" s="50"/>
      <c r="AFH96" s="50"/>
      <c r="AFI96" s="50"/>
      <c r="AFJ96" s="50"/>
      <c r="AFK96" s="50"/>
      <c r="AFL96" s="50"/>
      <c r="AFM96" s="50"/>
      <c r="AFN96" s="50"/>
      <c r="AFO96" s="50"/>
      <c r="AFP96" s="50"/>
      <c r="AFQ96" s="50"/>
      <c r="AFR96" s="50"/>
      <c r="AFS96" s="50"/>
      <c r="AFT96" s="50"/>
      <c r="AFU96" s="50"/>
      <c r="AFV96" s="50"/>
      <c r="AFW96" s="50"/>
      <c r="AFX96" s="50"/>
      <c r="AFY96" s="50"/>
      <c r="AFZ96" s="50"/>
      <c r="AGA96" s="50"/>
      <c r="AGB96" s="50"/>
      <c r="AGC96" s="50"/>
      <c r="AGD96" s="50"/>
      <c r="AGE96" s="50"/>
      <c r="AGF96" s="50"/>
      <c r="AGG96" s="50"/>
      <c r="AGH96" s="50"/>
      <c r="AGI96" s="50"/>
      <c r="AGJ96" s="50"/>
      <c r="AGK96" s="50"/>
      <c r="AGL96" s="50"/>
      <c r="AGM96" s="50"/>
      <c r="AGN96" s="50"/>
      <c r="AGO96" s="50"/>
      <c r="AGP96" s="50"/>
      <c r="AGQ96" s="50"/>
      <c r="AGR96" s="50"/>
      <c r="AGS96" s="50"/>
      <c r="AGT96" s="50"/>
      <c r="AGU96" s="50"/>
      <c r="AGV96" s="50"/>
      <c r="AGW96" s="50"/>
      <c r="AGX96" s="50"/>
      <c r="AGY96" s="50"/>
      <c r="AGZ96" s="50"/>
      <c r="AHA96" s="50"/>
      <c r="AHB96" s="50"/>
      <c r="AHC96" s="50"/>
      <c r="AHD96" s="50"/>
      <c r="AHE96" s="50"/>
      <c r="AHF96" s="50"/>
      <c r="AHG96" s="50"/>
      <c r="AHH96" s="50"/>
      <c r="AHI96" s="50"/>
      <c r="AHJ96" s="50"/>
      <c r="AHK96" s="50"/>
      <c r="AHL96" s="50"/>
      <c r="AHM96" s="50"/>
      <c r="AHN96" s="50"/>
      <c r="AHO96" s="50"/>
      <c r="AHP96" s="50"/>
      <c r="AHQ96" s="50"/>
      <c r="AHR96" s="50"/>
      <c r="AHS96" s="50"/>
      <c r="AHT96" s="50"/>
      <c r="AHU96" s="50"/>
      <c r="AHV96" s="50"/>
      <c r="AHW96" s="50"/>
      <c r="AHX96" s="50"/>
      <c r="AHY96" s="50"/>
      <c r="AHZ96" s="50"/>
      <c r="AIA96" s="50"/>
      <c r="AIB96" s="50"/>
      <c r="AIC96" s="50"/>
      <c r="AID96" s="50"/>
      <c r="AIE96" s="50"/>
      <c r="AIF96" s="50"/>
      <c r="AIG96" s="50"/>
      <c r="AIH96" s="50"/>
      <c r="AII96" s="50"/>
      <c r="AIJ96" s="50"/>
      <c r="AIK96" s="50"/>
      <c r="AIL96" s="50"/>
      <c r="AIM96" s="50"/>
      <c r="AIN96" s="50"/>
      <c r="AIO96" s="50"/>
      <c r="AIP96" s="50"/>
      <c r="AIQ96" s="50"/>
      <c r="AIR96" s="50"/>
      <c r="AIS96" s="50"/>
      <c r="AIT96" s="50"/>
      <c r="AIU96" s="50"/>
      <c r="AIV96" s="50"/>
      <c r="AIW96" s="50"/>
      <c r="AIX96" s="50"/>
      <c r="AIY96" s="50"/>
      <c r="AIZ96" s="50"/>
      <c r="AJA96" s="50"/>
      <c r="AJB96" s="50"/>
      <c r="AJC96" s="50"/>
      <c r="AJD96" s="50"/>
      <c r="AJE96" s="50"/>
      <c r="AJF96" s="50"/>
      <c r="AJG96" s="50"/>
      <c r="AJH96" s="50"/>
      <c r="AJI96" s="50"/>
      <c r="AJJ96" s="50"/>
      <c r="AJK96" s="50"/>
      <c r="AJL96" s="50"/>
      <c r="AJM96" s="50"/>
      <c r="AJN96" s="50"/>
      <c r="AJO96" s="50"/>
      <c r="AJP96" s="50"/>
      <c r="AJQ96" s="50"/>
      <c r="AJR96" s="50"/>
      <c r="AJS96" s="50"/>
      <c r="AJT96" s="50"/>
      <c r="AJU96" s="50"/>
      <c r="AJV96" s="50"/>
      <c r="AJW96" s="50"/>
      <c r="AJX96" s="50"/>
      <c r="AJY96" s="50"/>
      <c r="AJZ96" s="50"/>
      <c r="AKA96" s="50"/>
      <c r="AKB96" s="50"/>
      <c r="AKC96" s="50"/>
      <c r="AKD96" s="50"/>
      <c r="AKE96" s="50"/>
      <c r="AKF96" s="50"/>
      <c r="AKG96" s="50"/>
      <c r="AKH96" s="50"/>
      <c r="AKI96" s="50"/>
      <c r="AKJ96" s="50"/>
      <c r="AKK96" s="50"/>
      <c r="AKL96" s="50"/>
      <c r="AKM96" s="50"/>
      <c r="AKN96" s="50"/>
      <c r="AKO96" s="50"/>
      <c r="AKP96" s="50"/>
      <c r="AKQ96" s="50"/>
      <c r="AKR96" s="50"/>
      <c r="AKS96" s="50"/>
      <c r="AKT96" s="50"/>
      <c r="AKU96" s="50"/>
      <c r="AKV96" s="50"/>
      <c r="AKW96" s="50"/>
      <c r="AKX96" s="50"/>
      <c r="AKY96" s="50"/>
      <c r="AKZ96" s="50"/>
      <c r="ALA96" s="50"/>
      <c r="ALB96" s="50"/>
      <c r="ALC96" s="50"/>
      <c r="ALD96" s="50"/>
      <c r="ALE96" s="50"/>
      <c r="ALF96" s="50"/>
      <c r="ALG96" s="50"/>
      <c r="ALH96" s="50"/>
      <c r="ALI96" s="50"/>
      <c r="ALJ96" s="50"/>
      <c r="ALK96" s="50"/>
      <c r="ALL96" s="50"/>
      <c r="ALM96" s="50"/>
      <c r="ALN96" s="50"/>
      <c r="ALO96" s="50"/>
      <c r="ALP96" s="50"/>
      <c r="ALQ96" s="50"/>
      <c r="ALR96" s="50"/>
      <c r="ALS96" s="50"/>
      <c r="ALT96" s="50"/>
      <c r="ALU96" s="50"/>
      <c r="ALV96" s="50"/>
      <c r="ALW96" s="50"/>
      <c r="ALX96" s="50"/>
      <c r="ALY96" s="50"/>
      <c r="ALZ96" s="50"/>
      <c r="AMA96" s="50"/>
      <c r="AMB96" s="50"/>
      <c r="AMC96" s="50"/>
      <c r="AMD96" s="50"/>
      <c r="AME96" s="50"/>
      <c r="AMF96" s="50"/>
      <c r="AMG96" s="50"/>
      <c r="AMH96" s="50"/>
      <c r="AMI96" s="50"/>
      <c r="AMJ96" s="50"/>
    </row>
    <row r="97" spans="12:1024" ht="15.95" customHeight="1" x14ac:dyDescent="0.2">
      <c r="L97" s="50"/>
      <c r="M97" s="51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  <c r="EP97" s="50"/>
      <c r="EQ97" s="50"/>
      <c r="ER97" s="50"/>
      <c r="ES97" s="50"/>
      <c r="ET97" s="50"/>
      <c r="EU97" s="50"/>
      <c r="EV97" s="50"/>
      <c r="EW97" s="50"/>
      <c r="EX97" s="50"/>
      <c r="EY97" s="50"/>
      <c r="EZ97" s="50"/>
      <c r="FA97" s="50"/>
      <c r="FB97" s="50"/>
      <c r="FC97" s="50"/>
      <c r="FD97" s="50"/>
      <c r="FE97" s="50"/>
      <c r="FF97" s="50"/>
      <c r="FG97" s="50"/>
      <c r="FH97" s="50"/>
      <c r="FI97" s="50"/>
      <c r="FJ97" s="50"/>
      <c r="FK97" s="50"/>
      <c r="FL97" s="50"/>
      <c r="FM97" s="50"/>
      <c r="FN97" s="50"/>
      <c r="FO97" s="50"/>
      <c r="FP97" s="50"/>
      <c r="FQ97" s="50"/>
      <c r="FR97" s="50"/>
      <c r="FS97" s="50"/>
      <c r="FT97" s="50"/>
      <c r="FU97" s="50"/>
      <c r="FV97" s="50"/>
      <c r="FW97" s="50"/>
      <c r="FX97" s="50"/>
      <c r="FY97" s="50"/>
      <c r="FZ97" s="50"/>
      <c r="GA97" s="50"/>
      <c r="GB97" s="50"/>
      <c r="GC97" s="50"/>
      <c r="GD97" s="50"/>
      <c r="GE97" s="50"/>
      <c r="GF97" s="50"/>
      <c r="GG97" s="50"/>
      <c r="GH97" s="50"/>
      <c r="GI97" s="50"/>
      <c r="GJ97" s="50"/>
      <c r="GK97" s="50"/>
      <c r="GL97" s="50"/>
      <c r="GM97" s="50"/>
      <c r="GN97" s="50"/>
      <c r="GO97" s="50"/>
      <c r="GP97" s="50"/>
      <c r="GQ97" s="50"/>
      <c r="GR97" s="50"/>
      <c r="GS97" s="50"/>
      <c r="GT97" s="50"/>
      <c r="GU97" s="50"/>
      <c r="GV97" s="50"/>
      <c r="GW97" s="50"/>
      <c r="GX97" s="50"/>
      <c r="GY97" s="50"/>
      <c r="GZ97" s="50"/>
      <c r="HA97" s="50"/>
      <c r="HB97" s="50"/>
      <c r="HC97" s="50"/>
      <c r="HD97" s="50"/>
      <c r="HE97" s="50"/>
      <c r="HF97" s="50"/>
      <c r="HG97" s="50"/>
      <c r="HH97" s="50"/>
      <c r="HI97" s="50"/>
      <c r="HJ97" s="50"/>
      <c r="HK97" s="50"/>
      <c r="HL97" s="50"/>
      <c r="HM97" s="50"/>
      <c r="HN97" s="50"/>
      <c r="HO97" s="50"/>
      <c r="HP97" s="50"/>
      <c r="HQ97" s="50"/>
      <c r="HR97" s="50"/>
      <c r="HS97" s="50"/>
      <c r="HT97" s="50"/>
      <c r="HU97" s="50"/>
      <c r="HV97" s="50"/>
      <c r="HW97" s="50"/>
      <c r="HX97" s="50"/>
      <c r="HY97" s="50"/>
      <c r="HZ97" s="50"/>
      <c r="IA97" s="50"/>
      <c r="IB97" s="50"/>
      <c r="IC97" s="50"/>
      <c r="ID97" s="50"/>
      <c r="IE97" s="50"/>
      <c r="IF97" s="50"/>
      <c r="IG97" s="50"/>
      <c r="IH97" s="50"/>
      <c r="II97" s="50"/>
      <c r="IJ97" s="50"/>
      <c r="IK97" s="50"/>
      <c r="IL97" s="50"/>
      <c r="IM97" s="50"/>
      <c r="IN97" s="50"/>
      <c r="IO97" s="50"/>
      <c r="IP97" s="50"/>
      <c r="IQ97" s="50"/>
      <c r="IR97" s="50"/>
      <c r="IS97" s="50"/>
      <c r="IT97" s="50"/>
      <c r="IU97" s="50"/>
      <c r="IV97" s="50"/>
      <c r="IW97" s="50"/>
      <c r="IX97" s="50"/>
      <c r="IY97" s="50"/>
      <c r="IZ97" s="50"/>
      <c r="JA97" s="50"/>
      <c r="JB97" s="50"/>
      <c r="JC97" s="50"/>
      <c r="JD97" s="50"/>
      <c r="JE97" s="50"/>
      <c r="JF97" s="50"/>
      <c r="JG97" s="50"/>
      <c r="JH97" s="50"/>
      <c r="JI97" s="50"/>
      <c r="JJ97" s="50"/>
      <c r="JK97" s="50"/>
      <c r="JL97" s="50"/>
      <c r="JM97" s="50"/>
      <c r="JN97" s="50"/>
      <c r="JO97" s="50"/>
      <c r="JP97" s="50"/>
      <c r="JQ97" s="50"/>
      <c r="JR97" s="50"/>
      <c r="JS97" s="50"/>
      <c r="JT97" s="50"/>
      <c r="JU97" s="50"/>
      <c r="JV97" s="50"/>
      <c r="JW97" s="50"/>
      <c r="JX97" s="50"/>
      <c r="JY97" s="50"/>
      <c r="JZ97" s="50"/>
      <c r="KA97" s="50"/>
      <c r="KB97" s="50"/>
      <c r="KC97" s="50"/>
      <c r="KD97" s="50"/>
      <c r="KE97" s="50"/>
      <c r="KF97" s="50"/>
      <c r="KG97" s="50"/>
      <c r="KH97" s="50"/>
      <c r="KI97" s="50"/>
      <c r="KJ97" s="50"/>
      <c r="KK97" s="50"/>
      <c r="KL97" s="50"/>
      <c r="KM97" s="50"/>
      <c r="KN97" s="50"/>
      <c r="KO97" s="50"/>
      <c r="KP97" s="50"/>
      <c r="KQ97" s="50"/>
      <c r="KR97" s="50"/>
      <c r="KS97" s="50"/>
      <c r="KT97" s="50"/>
      <c r="KU97" s="50"/>
      <c r="KV97" s="50"/>
      <c r="KW97" s="50"/>
      <c r="KX97" s="50"/>
      <c r="KY97" s="50"/>
      <c r="KZ97" s="50"/>
      <c r="LA97" s="50"/>
      <c r="LB97" s="50"/>
      <c r="LC97" s="50"/>
      <c r="LD97" s="50"/>
      <c r="LE97" s="50"/>
      <c r="LF97" s="50"/>
      <c r="LG97" s="50"/>
      <c r="LH97" s="50"/>
      <c r="LI97" s="50"/>
      <c r="LJ97" s="50"/>
      <c r="LK97" s="50"/>
      <c r="LL97" s="50"/>
      <c r="LM97" s="50"/>
      <c r="LN97" s="50"/>
      <c r="LO97" s="50"/>
      <c r="LP97" s="50"/>
      <c r="LQ97" s="50"/>
      <c r="LR97" s="50"/>
      <c r="LS97" s="50"/>
      <c r="LT97" s="50"/>
      <c r="LU97" s="50"/>
      <c r="LV97" s="50"/>
      <c r="LW97" s="50"/>
      <c r="LX97" s="50"/>
      <c r="LY97" s="50"/>
      <c r="LZ97" s="50"/>
      <c r="MA97" s="50"/>
      <c r="MB97" s="50"/>
      <c r="MC97" s="50"/>
      <c r="MD97" s="50"/>
      <c r="ME97" s="50"/>
      <c r="MF97" s="50"/>
      <c r="MG97" s="50"/>
      <c r="MH97" s="50"/>
      <c r="MI97" s="50"/>
      <c r="MJ97" s="50"/>
      <c r="MK97" s="50"/>
      <c r="ML97" s="50"/>
      <c r="MM97" s="50"/>
      <c r="MN97" s="50"/>
      <c r="MO97" s="50"/>
      <c r="MP97" s="50"/>
      <c r="MQ97" s="50"/>
      <c r="MR97" s="50"/>
      <c r="MS97" s="50"/>
      <c r="MT97" s="50"/>
      <c r="MU97" s="50"/>
      <c r="MV97" s="50"/>
      <c r="MW97" s="50"/>
      <c r="MX97" s="50"/>
      <c r="MY97" s="50"/>
      <c r="MZ97" s="50"/>
      <c r="NA97" s="50"/>
      <c r="NB97" s="50"/>
      <c r="NC97" s="50"/>
      <c r="ND97" s="50"/>
      <c r="NE97" s="50"/>
      <c r="NF97" s="50"/>
      <c r="NG97" s="50"/>
      <c r="NH97" s="50"/>
      <c r="NI97" s="50"/>
      <c r="NJ97" s="50"/>
      <c r="NK97" s="50"/>
      <c r="NL97" s="50"/>
      <c r="NM97" s="50"/>
      <c r="NN97" s="50"/>
      <c r="NO97" s="50"/>
      <c r="NP97" s="50"/>
      <c r="NQ97" s="50"/>
      <c r="NR97" s="50"/>
      <c r="NS97" s="50"/>
      <c r="NT97" s="50"/>
      <c r="NU97" s="50"/>
      <c r="NV97" s="50"/>
      <c r="NW97" s="50"/>
      <c r="NX97" s="50"/>
      <c r="NY97" s="50"/>
      <c r="NZ97" s="50"/>
      <c r="OA97" s="50"/>
      <c r="OB97" s="50"/>
      <c r="OC97" s="50"/>
      <c r="OD97" s="50"/>
      <c r="OE97" s="50"/>
      <c r="OF97" s="50"/>
      <c r="OG97" s="50"/>
      <c r="OH97" s="50"/>
      <c r="OI97" s="50"/>
      <c r="OJ97" s="50"/>
      <c r="OK97" s="50"/>
      <c r="OL97" s="50"/>
      <c r="OM97" s="50"/>
      <c r="ON97" s="50"/>
      <c r="OO97" s="50"/>
      <c r="OP97" s="50"/>
      <c r="OQ97" s="50"/>
      <c r="OR97" s="50"/>
      <c r="OS97" s="50"/>
      <c r="OT97" s="50"/>
      <c r="OU97" s="50"/>
      <c r="OV97" s="50"/>
      <c r="OW97" s="50"/>
      <c r="OX97" s="50"/>
      <c r="OY97" s="50"/>
      <c r="OZ97" s="50"/>
      <c r="PA97" s="50"/>
      <c r="PB97" s="50"/>
      <c r="PC97" s="50"/>
      <c r="PD97" s="50"/>
      <c r="PE97" s="50"/>
      <c r="PF97" s="50"/>
      <c r="PG97" s="50"/>
      <c r="PH97" s="50"/>
      <c r="PI97" s="50"/>
      <c r="PJ97" s="50"/>
      <c r="PK97" s="50"/>
      <c r="PL97" s="50"/>
      <c r="PM97" s="50"/>
      <c r="PN97" s="50"/>
      <c r="PO97" s="50"/>
      <c r="PP97" s="50"/>
      <c r="PQ97" s="50"/>
      <c r="PR97" s="50"/>
      <c r="PS97" s="50"/>
      <c r="PT97" s="50"/>
      <c r="PU97" s="50"/>
      <c r="PV97" s="50"/>
      <c r="PW97" s="50"/>
      <c r="PX97" s="50"/>
      <c r="PY97" s="50"/>
      <c r="PZ97" s="50"/>
      <c r="QA97" s="50"/>
      <c r="QB97" s="50"/>
      <c r="QC97" s="50"/>
      <c r="QD97" s="50"/>
      <c r="QE97" s="50"/>
      <c r="QF97" s="50"/>
      <c r="QG97" s="50"/>
      <c r="QH97" s="50"/>
      <c r="QI97" s="50"/>
      <c r="QJ97" s="50"/>
      <c r="QK97" s="50"/>
      <c r="QL97" s="50"/>
      <c r="QM97" s="50"/>
      <c r="QN97" s="50"/>
      <c r="QO97" s="50"/>
      <c r="QP97" s="50"/>
      <c r="QQ97" s="50"/>
      <c r="QR97" s="50"/>
      <c r="QS97" s="50"/>
      <c r="QT97" s="50"/>
      <c r="QU97" s="50"/>
      <c r="QV97" s="50"/>
      <c r="QW97" s="50"/>
      <c r="QX97" s="50"/>
      <c r="QY97" s="50"/>
      <c r="QZ97" s="50"/>
      <c r="RA97" s="50"/>
      <c r="RB97" s="50"/>
      <c r="RC97" s="50"/>
      <c r="RD97" s="50"/>
      <c r="RE97" s="50"/>
      <c r="RF97" s="50"/>
      <c r="RG97" s="50"/>
      <c r="RH97" s="50"/>
      <c r="RI97" s="50"/>
      <c r="RJ97" s="50"/>
      <c r="RK97" s="50"/>
      <c r="RL97" s="50"/>
      <c r="RM97" s="50"/>
      <c r="RN97" s="50"/>
      <c r="RO97" s="50"/>
      <c r="RP97" s="50"/>
      <c r="RQ97" s="50"/>
      <c r="RR97" s="50"/>
      <c r="RS97" s="50"/>
      <c r="RT97" s="50"/>
      <c r="RU97" s="50"/>
      <c r="RV97" s="50"/>
      <c r="RW97" s="50"/>
      <c r="RX97" s="50"/>
      <c r="RY97" s="50"/>
      <c r="RZ97" s="50"/>
      <c r="SA97" s="50"/>
      <c r="SB97" s="50"/>
      <c r="SC97" s="50"/>
      <c r="SD97" s="50"/>
      <c r="SE97" s="50"/>
      <c r="SF97" s="50"/>
      <c r="SG97" s="50"/>
      <c r="SH97" s="50"/>
      <c r="SI97" s="50"/>
      <c r="SJ97" s="50"/>
      <c r="SK97" s="50"/>
      <c r="SL97" s="50"/>
      <c r="SM97" s="50"/>
      <c r="SN97" s="50"/>
      <c r="SO97" s="50"/>
      <c r="SP97" s="50"/>
      <c r="SQ97" s="50"/>
      <c r="SR97" s="50"/>
      <c r="SS97" s="50"/>
      <c r="ST97" s="50"/>
      <c r="SU97" s="50"/>
      <c r="SV97" s="50"/>
      <c r="SW97" s="50"/>
      <c r="SX97" s="50"/>
      <c r="SY97" s="50"/>
      <c r="SZ97" s="50"/>
      <c r="TA97" s="50"/>
      <c r="TB97" s="50"/>
      <c r="TC97" s="50"/>
      <c r="TD97" s="50"/>
      <c r="TE97" s="50"/>
      <c r="TF97" s="50"/>
      <c r="TG97" s="50"/>
      <c r="TH97" s="50"/>
      <c r="TI97" s="50"/>
      <c r="TJ97" s="50"/>
      <c r="TK97" s="50"/>
      <c r="TL97" s="50"/>
      <c r="TM97" s="50"/>
      <c r="TN97" s="50"/>
      <c r="TO97" s="50"/>
      <c r="TP97" s="50"/>
      <c r="TQ97" s="50"/>
      <c r="TR97" s="50"/>
      <c r="TS97" s="50"/>
      <c r="TT97" s="50"/>
      <c r="TU97" s="50"/>
      <c r="TV97" s="50"/>
      <c r="TW97" s="50"/>
      <c r="TX97" s="50"/>
      <c r="TY97" s="50"/>
      <c r="TZ97" s="50"/>
      <c r="UA97" s="50"/>
      <c r="UB97" s="50"/>
      <c r="UC97" s="50"/>
      <c r="UD97" s="50"/>
      <c r="UE97" s="50"/>
      <c r="UF97" s="50"/>
      <c r="UG97" s="50"/>
      <c r="UH97" s="50"/>
      <c r="UI97" s="50"/>
      <c r="UJ97" s="50"/>
      <c r="UK97" s="50"/>
      <c r="UL97" s="50"/>
      <c r="UM97" s="50"/>
      <c r="UN97" s="50"/>
      <c r="UO97" s="50"/>
      <c r="UP97" s="50"/>
      <c r="UQ97" s="50"/>
      <c r="UR97" s="50"/>
      <c r="US97" s="50"/>
      <c r="UT97" s="50"/>
      <c r="UU97" s="50"/>
      <c r="UV97" s="50"/>
      <c r="UW97" s="50"/>
      <c r="UX97" s="50"/>
      <c r="UY97" s="50"/>
      <c r="UZ97" s="50"/>
      <c r="VA97" s="50"/>
      <c r="VB97" s="50"/>
      <c r="VC97" s="50"/>
      <c r="VD97" s="50"/>
      <c r="VE97" s="50"/>
      <c r="VF97" s="50"/>
      <c r="VG97" s="50"/>
      <c r="VH97" s="50"/>
      <c r="VI97" s="50"/>
      <c r="VJ97" s="50"/>
      <c r="VK97" s="50"/>
      <c r="VL97" s="50"/>
      <c r="VM97" s="50"/>
      <c r="VN97" s="50"/>
      <c r="VO97" s="50"/>
      <c r="VP97" s="50"/>
      <c r="VQ97" s="50"/>
      <c r="VR97" s="50"/>
      <c r="VS97" s="50"/>
      <c r="VT97" s="50"/>
      <c r="VU97" s="50"/>
      <c r="VV97" s="50"/>
      <c r="VW97" s="50"/>
      <c r="VX97" s="50"/>
      <c r="VY97" s="50"/>
      <c r="VZ97" s="50"/>
      <c r="WA97" s="50"/>
      <c r="WB97" s="50"/>
      <c r="WC97" s="50"/>
      <c r="WD97" s="50"/>
      <c r="WE97" s="50"/>
      <c r="WF97" s="50"/>
      <c r="WG97" s="50"/>
      <c r="WH97" s="50"/>
      <c r="WI97" s="50"/>
      <c r="WJ97" s="50"/>
      <c r="WK97" s="50"/>
      <c r="WL97" s="50"/>
      <c r="WM97" s="50"/>
      <c r="WN97" s="50"/>
      <c r="WO97" s="50"/>
      <c r="WP97" s="50"/>
      <c r="WQ97" s="50"/>
      <c r="WR97" s="50"/>
      <c r="WS97" s="50"/>
      <c r="WT97" s="50"/>
      <c r="WU97" s="50"/>
      <c r="WV97" s="50"/>
      <c r="WW97" s="50"/>
      <c r="WX97" s="50"/>
      <c r="WY97" s="50"/>
      <c r="WZ97" s="50"/>
      <c r="XA97" s="50"/>
      <c r="XB97" s="50"/>
      <c r="XC97" s="50"/>
      <c r="XD97" s="50"/>
      <c r="XE97" s="50"/>
      <c r="XF97" s="50"/>
      <c r="XG97" s="50"/>
      <c r="XH97" s="50"/>
      <c r="XI97" s="50"/>
      <c r="XJ97" s="50"/>
      <c r="XK97" s="50"/>
      <c r="XL97" s="50"/>
      <c r="XM97" s="50"/>
      <c r="XN97" s="50"/>
      <c r="XO97" s="50"/>
      <c r="XP97" s="50"/>
      <c r="XQ97" s="50"/>
      <c r="XR97" s="50"/>
      <c r="XS97" s="50"/>
      <c r="XT97" s="50"/>
      <c r="XU97" s="50"/>
      <c r="XV97" s="50"/>
      <c r="XW97" s="50"/>
      <c r="XX97" s="50"/>
      <c r="XY97" s="50"/>
      <c r="XZ97" s="50"/>
      <c r="YA97" s="50"/>
      <c r="YB97" s="50"/>
      <c r="YC97" s="50"/>
      <c r="YD97" s="50"/>
      <c r="YE97" s="50"/>
      <c r="YF97" s="50"/>
      <c r="YG97" s="50"/>
      <c r="YH97" s="50"/>
      <c r="YI97" s="50"/>
      <c r="YJ97" s="50"/>
      <c r="YK97" s="50"/>
      <c r="YL97" s="50"/>
      <c r="YM97" s="50"/>
      <c r="YN97" s="50"/>
      <c r="YO97" s="50"/>
      <c r="YP97" s="50"/>
      <c r="YQ97" s="50"/>
      <c r="YR97" s="50"/>
      <c r="YS97" s="50"/>
      <c r="YT97" s="50"/>
      <c r="YU97" s="50"/>
      <c r="YV97" s="50"/>
      <c r="YW97" s="50"/>
      <c r="YX97" s="50"/>
      <c r="YY97" s="50"/>
      <c r="YZ97" s="50"/>
      <c r="ZA97" s="50"/>
      <c r="ZB97" s="50"/>
      <c r="ZC97" s="50"/>
      <c r="ZD97" s="50"/>
      <c r="ZE97" s="50"/>
      <c r="ZF97" s="50"/>
      <c r="ZG97" s="50"/>
      <c r="ZH97" s="50"/>
      <c r="ZI97" s="50"/>
      <c r="ZJ97" s="50"/>
      <c r="ZK97" s="50"/>
      <c r="ZL97" s="50"/>
      <c r="ZM97" s="50"/>
      <c r="ZN97" s="50"/>
      <c r="ZO97" s="50"/>
      <c r="ZP97" s="50"/>
      <c r="ZQ97" s="50"/>
      <c r="ZR97" s="50"/>
      <c r="ZS97" s="50"/>
      <c r="ZT97" s="50"/>
      <c r="ZU97" s="50"/>
      <c r="ZV97" s="50"/>
      <c r="ZW97" s="50"/>
      <c r="ZX97" s="50"/>
      <c r="ZY97" s="50"/>
      <c r="ZZ97" s="50"/>
      <c r="AAA97" s="50"/>
      <c r="AAB97" s="50"/>
      <c r="AAC97" s="50"/>
      <c r="AAD97" s="50"/>
      <c r="AAE97" s="50"/>
      <c r="AAF97" s="50"/>
      <c r="AAG97" s="50"/>
      <c r="AAH97" s="50"/>
      <c r="AAI97" s="50"/>
      <c r="AAJ97" s="50"/>
      <c r="AAK97" s="50"/>
      <c r="AAL97" s="50"/>
      <c r="AAM97" s="50"/>
      <c r="AAN97" s="50"/>
      <c r="AAO97" s="50"/>
      <c r="AAP97" s="50"/>
      <c r="AAQ97" s="50"/>
      <c r="AAR97" s="50"/>
      <c r="AAS97" s="50"/>
      <c r="AAT97" s="50"/>
      <c r="AAU97" s="50"/>
      <c r="AAV97" s="50"/>
      <c r="AAW97" s="50"/>
      <c r="AAX97" s="50"/>
      <c r="AAY97" s="50"/>
      <c r="AAZ97" s="50"/>
      <c r="ABA97" s="50"/>
      <c r="ABB97" s="50"/>
      <c r="ABC97" s="50"/>
      <c r="ABD97" s="50"/>
      <c r="ABE97" s="50"/>
      <c r="ABF97" s="50"/>
      <c r="ABG97" s="50"/>
      <c r="ABH97" s="50"/>
      <c r="ABI97" s="50"/>
      <c r="ABJ97" s="50"/>
      <c r="ABK97" s="50"/>
      <c r="ABL97" s="50"/>
      <c r="ABM97" s="50"/>
      <c r="ABN97" s="50"/>
      <c r="ABO97" s="50"/>
      <c r="ABP97" s="50"/>
      <c r="ABQ97" s="50"/>
      <c r="ABR97" s="50"/>
      <c r="ABS97" s="50"/>
      <c r="ABT97" s="50"/>
      <c r="ABU97" s="50"/>
      <c r="ABV97" s="50"/>
      <c r="ABW97" s="50"/>
      <c r="ABX97" s="50"/>
      <c r="ABY97" s="50"/>
      <c r="ABZ97" s="50"/>
      <c r="ACA97" s="50"/>
      <c r="ACB97" s="50"/>
      <c r="ACC97" s="50"/>
      <c r="ACD97" s="50"/>
      <c r="ACE97" s="50"/>
      <c r="ACF97" s="50"/>
      <c r="ACG97" s="50"/>
      <c r="ACH97" s="50"/>
      <c r="ACI97" s="50"/>
      <c r="ACJ97" s="50"/>
      <c r="ACK97" s="50"/>
      <c r="ACL97" s="50"/>
      <c r="ACM97" s="50"/>
      <c r="ACN97" s="50"/>
      <c r="ACO97" s="50"/>
      <c r="ACP97" s="50"/>
      <c r="ACQ97" s="50"/>
      <c r="ACR97" s="50"/>
      <c r="ACS97" s="50"/>
      <c r="ACT97" s="50"/>
      <c r="ACU97" s="50"/>
      <c r="ACV97" s="50"/>
      <c r="ACW97" s="50"/>
      <c r="ACX97" s="50"/>
      <c r="ACY97" s="50"/>
      <c r="ACZ97" s="50"/>
      <c r="ADA97" s="50"/>
      <c r="ADB97" s="50"/>
      <c r="ADC97" s="50"/>
      <c r="ADD97" s="50"/>
      <c r="ADE97" s="50"/>
      <c r="ADF97" s="50"/>
      <c r="ADG97" s="50"/>
      <c r="ADH97" s="50"/>
      <c r="ADI97" s="50"/>
      <c r="ADJ97" s="50"/>
      <c r="ADK97" s="50"/>
      <c r="ADL97" s="50"/>
      <c r="ADM97" s="50"/>
      <c r="ADN97" s="50"/>
      <c r="ADO97" s="50"/>
      <c r="ADP97" s="50"/>
      <c r="ADQ97" s="50"/>
      <c r="ADR97" s="50"/>
      <c r="ADS97" s="50"/>
      <c r="ADT97" s="50"/>
      <c r="ADU97" s="50"/>
      <c r="ADV97" s="50"/>
      <c r="ADW97" s="50"/>
      <c r="ADX97" s="50"/>
      <c r="ADY97" s="50"/>
      <c r="ADZ97" s="50"/>
      <c r="AEA97" s="50"/>
      <c r="AEB97" s="50"/>
      <c r="AEC97" s="50"/>
      <c r="AED97" s="50"/>
      <c r="AEE97" s="50"/>
      <c r="AEF97" s="50"/>
      <c r="AEG97" s="50"/>
      <c r="AEH97" s="50"/>
      <c r="AEI97" s="50"/>
      <c r="AEJ97" s="50"/>
      <c r="AEK97" s="50"/>
      <c r="AEL97" s="50"/>
      <c r="AEM97" s="50"/>
      <c r="AEN97" s="50"/>
      <c r="AEO97" s="50"/>
      <c r="AEP97" s="50"/>
      <c r="AEQ97" s="50"/>
      <c r="AER97" s="50"/>
      <c r="AES97" s="50"/>
      <c r="AET97" s="50"/>
      <c r="AEU97" s="50"/>
      <c r="AEV97" s="50"/>
      <c r="AEW97" s="50"/>
      <c r="AEX97" s="50"/>
      <c r="AEY97" s="50"/>
      <c r="AEZ97" s="50"/>
      <c r="AFA97" s="50"/>
      <c r="AFB97" s="50"/>
      <c r="AFC97" s="50"/>
      <c r="AFD97" s="50"/>
      <c r="AFE97" s="50"/>
      <c r="AFF97" s="50"/>
      <c r="AFG97" s="50"/>
      <c r="AFH97" s="50"/>
      <c r="AFI97" s="50"/>
      <c r="AFJ97" s="50"/>
      <c r="AFK97" s="50"/>
      <c r="AFL97" s="50"/>
      <c r="AFM97" s="50"/>
      <c r="AFN97" s="50"/>
      <c r="AFO97" s="50"/>
      <c r="AFP97" s="50"/>
      <c r="AFQ97" s="50"/>
      <c r="AFR97" s="50"/>
      <c r="AFS97" s="50"/>
      <c r="AFT97" s="50"/>
      <c r="AFU97" s="50"/>
      <c r="AFV97" s="50"/>
      <c r="AFW97" s="50"/>
      <c r="AFX97" s="50"/>
      <c r="AFY97" s="50"/>
      <c r="AFZ97" s="50"/>
      <c r="AGA97" s="50"/>
      <c r="AGB97" s="50"/>
      <c r="AGC97" s="50"/>
      <c r="AGD97" s="50"/>
      <c r="AGE97" s="50"/>
      <c r="AGF97" s="50"/>
      <c r="AGG97" s="50"/>
      <c r="AGH97" s="50"/>
      <c r="AGI97" s="50"/>
      <c r="AGJ97" s="50"/>
      <c r="AGK97" s="50"/>
      <c r="AGL97" s="50"/>
      <c r="AGM97" s="50"/>
      <c r="AGN97" s="50"/>
      <c r="AGO97" s="50"/>
      <c r="AGP97" s="50"/>
      <c r="AGQ97" s="50"/>
      <c r="AGR97" s="50"/>
      <c r="AGS97" s="50"/>
      <c r="AGT97" s="50"/>
      <c r="AGU97" s="50"/>
      <c r="AGV97" s="50"/>
      <c r="AGW97" s="50"/>
      <c r="AGX97" s="50"/>
      <c r="AGY97" s="50"/>
      <c r="AGZ97" s="50"/>
      <c r="AHA97" s="50"/>
      <c r="AHB97" s="50"/>
      <c r="AHC97" s="50"/>
      <c r="AHD97" s="50"/>
      <c r="AHE97" s="50"/>
      <c r="AHF97" s="50"/>
      <c r="AHG97" s="50"/>
      <c r="AHH97" s="50"/>
      <c r="AHI97" s="50"/>
      <c r="AHJ97" s="50"/>
      <c r="AHK97" s="50"/>
      <c r="AHL97" s="50"/>
      <c r="AHM97" s="50"/>
      <c r="AHN97" s="50"/>
      <c r="AHO97" s="50"/>
      <c r="AHP97" s="50"/>
      <c r="AHQ97" s="50"/>
      <c r="AHR97" s="50"/>
      <c r="AHS97" s="50"/>
      <c r="AHT97" s="50"/>
      <c r="AHU97" s="50"/>
      <c r="AHV97" s="50"/>
      <c r="AHW97" s="50"/>
      <c r="AHX97" s="50"/>
      <c r="AHY97" s="50"/>
      <c r="AHZ97" s="50"/>
      <c r="AIA97" s="50"/>
      <c r="AIB97" s="50"/>
      <c r="AIC97" s="50"/>
      <c r="AID97" s="50"/>
      <c r="AIE97" s="50"/>
      <c r="AIF97" s="50"/>
      <c r="AIG97" s="50"/>
      <c r="AIH97" s="50"/>
      <c r="AII97" s="50"/>
      <c r="AIJ97" s="50"/>
      <c r="AIK97" s="50"/>
      <c r="AIL97" s="50"/>
      <c r="AIM97" s="50"/>
      <c r="AIN97" s="50"/>
      <c r="AIO97" s="50"/>
      <c r="AIP97" s="50"/>
      <c r="AIQ97" s="50"/>
      <c r="AIR97" s="50"/>
      <c r="AIS97" s="50"/>
      <c r="AIT97" s="50"/>
      <c r="AIU97" s="50"/>
      <c r="AIV97" s="50"/>
      <c r="AIW97" s="50"/>
      <c r="AIX97" s="50"/>
      <c r="AIY97" s="50"/>
      <c r="AIZ97" s="50"/>
      <c r="AJA97" s="50"/>
      <c r="AJB97" s="50"/>
      <c r="AJC97" s="50"/>
      <c r="AJD97" s="50"/>
      <c r="AJE97" s="50"/>
      <c r="AJF97" s="50"/>
      <c r="AJG97" s="50"/>
      <c r="AJH97" s="50"/>
      <c r="AJI97" s="50"/>
      <c r="AJJ97" s="50"/>
      <c r="AJK97" s="50"/>
      <c r="AJL97" s="50"/>
      <c r="AJM97" s="50"/>
      <c r="AJN97" s="50"/>
      <c r="AJO97" s="50"/>
      <c r="AJP97" s="50"/>
      <c r="AJQ97" s="50"/>
      <c r="AJR97" s="50"/>
      <c r="AJS97" s="50"/>
      <c r="AJT97" s="50"/>
      <c r="AJU97" s="50"/>
      <c r="AJV97" s="50"/>
      <c r="AJW97" s="50"/>
      <c r="AJX97" s="50"/>
      <c r="AJY97" s="50"/>
      <c r="AJZ97" s="50"/>
      <c r="AKA97" s="50"/>
      <c r="AKB97" s="50"/>
      <c r="AKC97" s="50"/>
      <c r="AKD97" s="50"/>
      <c r="AKE97" s="50"/>
      <c r="AKF97" s="50"/>
      <c r="AKG97" s="50"/>
      <c r="AKH97" s="50"/>
      <c r="AKI97" s="50"/>
      <c r="AKJ97" s="50"/>
      <c r="AKK97" s="50"/>
      <c r="AKL97" s="50"/>
      <c r="AKM97" s="50"/>
      <c r="AKN97" s="50"/>
      <c r="AKO97" s="50"/>
      <c r="AKP97" s="50"/>
      <c r="AKQ97" s="50"/>
      <c r="AKR97" s="50"/>
      <c r="AKS97" s="50"/>
      <c r="AKT97" s="50"/>
      <c r="AKU97" s="50"/>
      <c r="AKV97" s="50"/>
      <c r="AKW97" s="50"/>
      <c r="AKX97" s="50"/>
      <c r="AKY97" s="50"/>
      <c r="AKZ97" s="50"/>
      <c r="ALA97" s="50"/>
      <c r="ALB97" s="50"/>
      <c r="ALC97" s="50"/>
      <c r="ALD97" s="50"/>
      <c r="ALE97" s="50"/>
      <c r="ALF97" s="50"/>
      <c r="ALG97" s="50"/>
      <c r="ALH97" s="50"/>
      <c r="ALI97" s="50"/>
      <c r="ALJ97" s="50"/>
      <c r="ALK97" s="50"/>
      <c r="ALL97" s="50"/>
      <c r="ALM97" s="50"/>
      <c r="ALN97" s="50"/>
      <c r="ALO97" s="50"/>
      <c r="ALP97" s="50"/>
      <c r="ALQ97" s="50"/>
      <c r="ALR97" s="50"/>
      <c r="ALS97" s="50"/>
      <c r="ALT97" s="50"/>
      <c r="ALU97" s="50"/>
      <c r="ALV97" s="50"/>
      <c r="ALW97" s="50"/>
      <c r="ALX97" s="50"/>
      <c r="ALY97" s="50"/>
      <c r="ALZ97" s="50"/>
      <c r="AMA97" s="50"/>
      <c r="AMB97" s="50"/>
      <c r="AMC97" s="50"/>
      <c r="AMD97" s="50"/>
      <c r="AME97" s="50"/>
      <c r="AMF97" s="50"/>
      <c r="AMG97" s="50"/>
      <c r="AMH97" s="50"/>
      <c r="AMI97" s="50"/>
      <c r="AMJ97" s="50"/>
    </row>
    <row r="98" spans="12:1024" ht="20.25" customHeight="1" x14ac:dyDescent="0.2">
      <c r="L98" s="50"/>
      <c r="M98" s="51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50"/>
      <c r="BQ98" s="50"/>
      <c r="BR98" s="50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  <c r="DD98" s="50"/>
      <c r="DE98" s="50"/>
      <c r="DF98" s="50"/>
      <c r="DG98" s="50"/>
      <c r="DH98" s="50"/>
      <c r="DI98" s="50"/>
      <c r="DJ98" s="50"/>
      <c r="DK98" s="50"/>
      <c r="DL98" s="50"/>
      <c r="DM98" s="50"/>
      <c r="DN98" s="50"/>
      <c r="DO98" s="50"/>
      <c r="DP98" s="50"/>
      <c r="DQ98" s="50"/>
      <c r="DR98" s="50"/>
      <c r="DS98" s="50"/>
      <c r="DT98" s="50"/>
      <c r="DU98" s="50"/>
      <c r="DV98" s="50"/>
      <c r="DW98" s="50"/>
      <c r="DX98" s="50"/>
      <c r="DY98" s="50"/>
      <c r="DZ98" s="50"/>
      <c r="EA98" s="50"/>
      <c r="EB98" s="50"/>
      <c r="EC98" s="50"/>
      <c r="ED98" s="50"/>
      <c r="EE98" s="50"/>
      <c r="EF98" s="50"/>
      <c r="EG98" s="50"/>
      <c r="EH98" s="50"/>
      <c r="EI98" s="50"/>
      <c r="EJ98" s="50"/>
      <c r="EK98" s="50"/>
      <c r="EL98" s="50"/>
      <c r="EM98" s="50"/>
      <c r="EN98" s="50"/>
      <c r="EO98" s="50"/>
      <c r="EP98" s="50"/>
      <c r="EQ98" s="50"/>
      <c r="ER98" s="50"/>
      <c r="ES98" s="50"/>
      <c r="ET98" s="50"/>
      <c r="EU98" s="50"/>
      <c r="EV98" s="50"/>
      <c r="EW98" s="50"/>
      <c r="EX98" s="50"/>
      <c r="EY98" s="50"/>
      <c r="EZ98" s="50"/>
      <c r="FA98" s="50"/>
      <c r="FB98" s="50"/>
      <c r="FC98" s="50"/>
      <c r="FD98" s="50"/>
      <c r="FE98" s="50"/>
      <c r="FF98" s="50"/>
      <c r="FG98" s="50"/>
      <c r="FH98" s="50"/>
      <c r="FI98" s="50"/>
      <c r="FJ98" s="50"/>
      <c r="FK98" s="50"/>
      <c r="FL98" s="50"/>
      <c r="FM98" s="50"/>
      <c r="FN98" s="50"/>
      <c r="FO98" s="50"/>
      <c r="FP98" s="50"/>
      <c r="FQ98" s="50"/>
      <c r="FR98" s="50"/>
      <c r="FS98" s="50"/>
      <c r="FT98" s="50"/>
      <c r="FU98" s="50"/>
      <c r="FV98" s="50"/>
      <c r="FW98" s="50"/>
      <c r="FX98" s="50"/>
      <c r="FY98" s="50"/>
      <c r="FZ98" s="50"/>
      <c r="GA98" s="50"/>
      <c r="GB98" s="50"/>
      <c r="GC98" s="50"/>
      <c r="GD98" s="50"/>
      <c r="GE98" s="50"/>
      <c r="GF98" s="50"/>
      <c r="GG98" s="50"/>
      <c r="GH98" s="50"/>
      <c r="GI98" s="50"/>
      <c r="GJ98" s="50"/>
      <c r="GK98" s="50"/>
      <c r="GL98" s="50"/>
      <c r="GM98" s="50"/>
      <c r="GN98" s="50"/>
      <c r="GO98" s="50"/>
      <c r="GP98" s="50"/>
      <c r="GQ98" s="50"/>
      <c r="GR98" s="50"/>
      <c r="GS98" s="50"/>
      <c r="GT98" s="50"/>
      <c r="GU98" s="50"/>
      <c r="GV98" s="50"/>
      <c r="GW98" s="50"/>
      <c r="GX98" s="50"/>
      <c r="GY98" s="50"/>
      <c r="GZ98" s="50"/>
      <c r="HA98" s="50"/>
      <c r="HB98" s="50"/>
      <c r="HC98" s="50"/>
      <c r="HD98" s="50"/>
      <c r="HE98" s="50"/>
      <c r="HF98" s="50"/>
      <c r="HG98" s="50"/>
      <c r="HH98" s="50"/>
      <c r="HI98" s="50"/>
      <c r="HJ98" s="50"/>
      <c r="HK98" s="50"/>
      <c r="HL98" s="50"/>
      <c r="HM98" s="50"/>
      <c r="HN98" s="50"/>
      <c r="HO98" s="50"/>
      <c r="HP98" s="50"/>
      <c r="HQ98" s="50"/>
      <c r="HR98" s="50"/>
      <c r="HS98" s="50"/>
      <c r="HT98" s="50"/>
      <c r="HU98" s="50"/>
      <c r="HV98" s="50"/>
      <c r="HW98" s="50"/>
      <c r="HX98" s="50"/>
      <c r="HY98" s="50"/>
      <c r="HZ98" s="50"/>
      <c r="IA98" s="50"/>
      <c r="IB98" s="50"/>
      <c r="IC98" s="50"/>
      <c r="ID98" s="50"/>
      <c r="IE98" s="50"/>
      <c r="IF98" s="50"/>
      <c r="IG98" s="50"/>
      <c r="IH98" s="50"/>
      <c r="II98" s="50"/>
      <c r="IJ98" s="50"/>
      <c r="IK98" s="50"/>
      <c r="IL98" s="50"/>
      <c r="IM98" s="50"/>
      <c r="IN98" s="50"/>
      <c r="IO98" s="50"/>
      <c r="IP98" s="50"/>
      <c r="IQ98" s="50"/>
      <c r="IR98" s="50"/>
      <c r="IS98" s="50"/>
      <c r="IT98" s="50"/>
      <c r="IU98" s="50"/>
      <c r="IV98" s="50"/>
      <c r="IW98" s="50"/>
      <c r="IX98" s="50"/>
      <c r="IY98" s="50"/>
      <c r="IZ98" s="50"/>
      <c r="JA98" s="50"/>
      <c r="JB98" s="50"/>
      <c r="JC98" s="50"/>
      <c r="JD98" s="50"/>
      <c r="JE98" s="50"/>
      <c r="JF98" s="50"/>
      <c r="JG98" s="50"/>
      <c r="JH98" s="50"/>
      <c r="JI98" s="50"/>
      <c r="JJ98" s="50"/>
      <c r="JK98" s="50"/>
      <c r="JL98" s="50"/>
      <c r="JM98" s="50"/>
      <c r="JN98" s="50"/>
      <c r="JO98" s="50"/>
      <c r="JP98" s="50"/>
      <c r="JQ98" s="50"/>
      <c r="JR98" s="50"/>
      <c r="JS98" s="50"/>
      <c r="JT98" s="50"/>
      <c r="JU98" s="50"/>
      <c r="JV98" s="50"/>
      <c r="JW98" s="50"/>
      <c r="JX98" s="50"/>
      <c r="JY98" s="50"/>
      <c r="JZ98" s="50"/>
      <c r="KA98" s="50"/>
      <c r="KB98" s="50"/>
      <c r="KC98" s="50"/>
      <c r="KD98" s="50"/>
      <c r="KE98" s="50"/>
      <c r="KF98" s="50"/>
      <c r="KG98" s="50"/>
      <c r="KH98" s="50"/>
      <c r="KI98" s="50"/>
      <c r="KJ98" s="50"/>
      <c r="KK98" s="50"/>
      <c r="KL98" s="50"/>
      <c r="KM98" s="50"/>
      <c r="KN98" s="50"/>
      <c r="KO98" s="50"/>
      <c r="KP98" s="50"/>
      <c r="KQ98" s="50"/>
      <c r="KR98" s="50"/>
      <c r="KS98" s="50"/>
      <c r="KT98" s="50"/>
      <c r="KU98" s="50"/>
      <c r="KV98" s="50"/>
      <c r="KW98" s="50"/>
      <c r="KX98" s="50"/>
      <c r="KY98" s="50"/>
      <c r="KZ98" s="50"/>
      <c r="LA98" s="50"/>
      <c r="LB98" s="50"/>
      <c r="LC98" s="50"/>
      <c r="LD98" s="50"/>
      <c r="LE98" s="50"/>
      <c r="LF98" s="50"/>
      <c r="LG98" s="50"/>
      <c r="LH98" s="50"/>
      <c r="LI98" s="50"/>
      <c r="LJ98" s="50"/>
      <c r="LK98" s="50"/>
      <c r="LL98" s="50"/>
      <c r="LM98" s="50"/>
      <c r="LN98" s="50"/>
      <c r="LO98" s="50"/>
      <c r="LP98" s="50"/>
      <c r="LQ98" s="50"/>
      <c r="LR98" s="50"/>
      <c r="LS98" s="50"/>
      <c r="LT98" s="50"/>
      <c r="LU98" s="50"/>
      <c r="LV98" s="50"/>
      <c r="LW98" s="50"/>
      <c r="LX98" s="50"/>
      <c r="LY98" s="50"/>
      <c r="LZ98" s="50"/>
      <c r="MA98" s="50"/>
      <c r="MB98" s="50"/>
      <c r="MC98" s="50"/>
      <c r="MD98" s="50"/>
      <c r="ME98" s="50"/>
      <c r="MF98" s="50"/>
      <c r="MG98" s="50"/>
      <c r="MH98" s="50"/>
      <c r="MI98" s="50"/>
      <c r="MJ98" s="50"/>
      <c r="MK98" s="50"/>
      <c r="ML98" s="50"/>
      <c r="MM98" s="50"/>
      <c r="MN98" s="50"/>
      <c r="MO98" s="50"/>
      <c r="MP98" s="50"/>
      <c r="MQ98" s="50"/>
      <c r="MR98" s="50"/>
      <c r="MS98" s="50"/>
      <c r="MT98" s="50"/>
      <c r="MU98" s="50"/>
      <c r="MV98" s="50"/>
      <c r="MW98" s="50"/>
      <c r="MX98" s="50"/>
      <c r="MY98" s="50"/>
      <c r="MZ98" s="50"/>
      <c r="NA98" s="50"/>
      <c r="NB98" s="50"/>
      <c r="NC98" s="50"/>
      <c r="ND98" s="50"/>
      <c r="NE98" s="50"/>
      <c r="NF98" s="50"/>
      <c r="NG98" s="50"/>
      <c r="NH98" s="50"/>
      <c r="NI98" s="50"/>
      <c r="NJ98" s="50"/>
      <c r="NK98" s="50"/>
      <c r="NL98" s="50"/>
      <c r="NM98" s="50"/>
      <c r="NN98" s="50"/>
      <c r="NO98" s="50"/>
      <c r="NP98" s="50"/>
      <c r="NQ98" s="50"/>
      <c r="NR98" s="50"/>
      <c r="NS98" s="50"/>
      <c r="NT98" s="50"/>
      <c r="NU98" s="50"/>
      <c r="NV98" s="50"/>
      <c r="NW98" s="50"/>
      <c r="NX98" s="50"/>
      <c r="NY98" s="50"/>
      <c r="NZ98" s="50"/>
      <c r="OA98" s="50"/>
      <c r="OB98" s="50"/>
      <c r="OC98" s="50"/>
      <c r="OD98" s="50"/>
      <c r="OE98" s="50"/>
      <c r="OF98" s="50"/>
      <c r="OG98" s="50"/>
      <c r="OH98" s="50"/>
      <c r="OI98" s="50"/>
      <c r="OJ98" s="50"/>
      <c r="OK98" s="50"/>
      <c r="OL98" s="50"/>
      <c r="OM98" s="50"/>
      <c r="ON98" s="50"/>
      <c r="OO98" s="50"/>
      <c r="OP98" s="50"/>
      <c r="OQ98" s="50"/>
      <c r="OR98" s="50"/>
      <c r="OS98" s="50"/>
      <c r="OT98" s="50"/>
      <c r="OU98" s="50"/>
      <c r="OV98" s="50"/>
      <c r="OW98" s="50"/>
      <c r="OX98" s="50"/>
      <c r="OY98" s="50"/>
      <c r="OZ98" s="50"/>
      <c r="PA98" s="50"/>
      <c r="PB98" s="50"/>
      <c r="PC98" s="50"/>
      <c r="PD98" s="50"/>
      <c r="PE98" s="50"/>
      <c r="PF98" s="50"/>
      <c r="PG98" s="50"/>
      <c r="PH98" s="50"/>
      <c r="PI98" s="50"/>
      <c r="PJ98" s="50"/>
      <c r="PK98" s="50"/>
      <c r="PL98" s="50"/>
      <c r="PM98" s="50"/>
      <c r="PN98" s="50"/>
      <c r="PO98" s="50"/>
      <c r="PP98" s="50"/>
      <c r="PQ98" s="50"/>
      <c r="PR98" s="50"/>
      <c r="PS98" s="50"/>
      <c r="PT98" s="50"/>
      <c r="PU98" s="50"/>
      <c r="PV98" s="50"/>
      <c r="PW98" s="50"/>
      <c r="PX98" s="50"/>
      <c r="PY98" s="50"/>
      <c r="PZ98" s="50"/>
      <c r="QA98" s="50"/>
      <c r="QB98" s="50"/>
      <c r="QC98" s="50"/>
      <c r="QD98" s="50"/>
      <c r="QE98" s="50"/>
      <c r="QF98" s="50"/>
      <c r="QG98" s="50"/>
      <c r="QH98" s="50"/>
      <c r="QI98" s="50"/>
      <c r="QJ98" s="50"/>
      <c r="QK98" s="50"/>
      <c r="QL98" s="50"/>
      <c r="QM98" s="50"/>
      <c r="QN98" s="50"/>
      <c r="QO98" s="50"/>
      <c r="QP98" s="50"/>
      <c r="QQ98" s="50"/>
      <c r="QR98" s="50"/>
      <c r="QS98" s="50"/>
      <c r="QT98" s="50"/>
      <c r="QU98" s="50"/>
      <c r="QV98" s="50"/>
      <c r="QW98" s="50"/>
      <c r="QX98" s="50"/>
      <c r="QY98" s="50"/>
      <c r="QZ98" s="50"/>
      <c r="RA98" s="50"/>
      <c r="RB98" s="50"/>
      <c r="RC98" s="50"/>
      <c r="RD98" s="50"/>
      <c r="RE98" s="50"/>
      <c r="RF98" s="50"/>
      <c r="RG98" s="50"/>
      <c r="RH98" s="50"/>
      <c r="RI98" s="50"/>
      <c r="RJ98" s="50"/>
      <c r="RK98" s="50"/>
      <c r="RL98" s="50"/>
      <c r="RM98" s="50"/>
      <c r="RN98" s="50"/>
      <c r="RO98" s="50"/>
      <c r="RP98" s="50"/>
      <c r="RQ98" s="50"/>
      <c r="RR98" s="50"/>
      <c r="RS98" s="50"/>
      <c r="RT98" s="50"/>
      <c r="RU98" s="50"/>
      <c r="RV98" s="50"/>
      <c r="RW98" s="50"/>
      <c r="RX98" s="50"/>
      <c r="RY98" s="50"/>
      <c r="RZ98" s="50"/>
      <c r="SA98" s="50"/>
      <c r="SB98" s="50"/>
      <c r="SC98" s="50"/>
      <c r="SD98" s="50"/>
      <c r="SE98" s="50"/>
      <c r="SF98" s="50"/>
      <c r="SG98" s="50"/>
      <c r="SH98" s="50"/>
      <c r="SI98" s="50"/>
      <c r="SJ98" s="50"/>
      <c r="SK98" s="50"/>
      <c r="SL98" s="50"/>
      <c r="SM98" s="50"/>
      <c r="SN98" s="50"/>
      <c r="SO98" s="50"/>
      <c r="SP98" s="50"/>
      <c r="SQ98" s="50"/>
      <c r="SR98" s="50"/>
      <c r="SS98" s="50"/>
      <c r="ST98" s="50"/>
      <c r="SU98" s="50"/>
      <c r="SV98" s="50"/>
      <c r="SW98" s="50"/>
      <c r="SX98" s="50"/>
      <c r="SY98" s="50"/>
      <c r="SZ98" s="50"/>
      <c r="TA98" s="50"/>
      <c r="TB98" s="50"/>
      <c r="TC98" s="50"/>
      <c r="TD98" s="50"/>
      <c r="TE98" s="50"/>
      <c r="TF98" s="50"/>
      <c r="TG98" s="50"/>
      <c r="TH98" s="50"/>
      <c r="TI98" s="50"/>
      <c r="TJ98" s="50"/>
      <c r="TK98" s="50"/>
      <c r="TL98" s="50"/>
      <c r="TM98" s="50"/>
      <c r="TN98" s="50"/>
      <c r="TO98" s="50"/>
      <c r="TP98" s="50"/>
      <c r="TQ98" s="50"/>
      <c r="TR98" s="50"/>
      <c r="TS98" s="50"/>
      <c r="TT98" s="50"/>
      <c r="TU98" s="50"/>
      <c r="TV98" s="50"/>
      <c r="TW98" s="50"/>
      <c r="TX98" s="50"/>
      <c r="TY98" s="50"/>
      <c r="TZ98" s="50"/>
      <c r="UA98" s="50"/>
      <c r="UB98" s="50"/>
      <c r="UC98" s="50"/>
      <c r="UD98" s="50"/>
      <c r="UE98" s="50"/>
      <c r="UF98" s="50"/>
      <c r="UG98" s="50"/>
      <c r="UH98" s="50"/>
      <c r="UI98" s="50"/>
      <c r="UJ98" s="50"/>
      <c r="UK98" s="50"/>
      <c r="UL98" s="50"/>
      <c r="UM98" s="50"/>
      <c r="UN98" s="50"/>
      <c r="UO98" s="50"/>
      <c r="UP98" s="50"/>
      <c r="UQ98" s="50"/>
      <c r="UR98" s="50"/>
      <c r="US98" s="50"/>
      <c r="UT98" s="50"/>
      <c r="UU98" s="50"/>
      <c r="UV98" s="50"/>
      <c r="UW98" s="50"/>
      <c r="UX98" s="50"/>
      <c r="UY98" s="50"/>
      <c r="UZ98" s="50"/>
      <c r="VA98" s="50"/>
      <c r="VB98" s="50"/>
      <c r="VC98" s="50"/>
      <c r="VD98" s="50"/>
      <c r="VE98" s="50"/>
      <c r="VF98" s="50"/>
      <c r="VG98" s="50"/>
      <c r="VH98" s="50"/>
      <c r="VI98" s="50"/>
      <c r="VJ98" s="50"/>
      <c r="VK98" s="50"/>
      <c r="VL98" s="50"/>
      <c r="VM98" s="50"/>
      <c r="VN98" s="50"/>
      <c r="VO98" s="50"/>
      <c r="VP98" s="50"/>
      <c r="VQ98" s="50"/>
      <c r="VR98" s="50"/>
      <c r="VS98" s="50"/>
      <c r="VT98" s="50"/>
      <c r="VU98" s="50"/>
      <c r="VV98" s="50"/>
      <c r="VW98" s="50"/>
      <c r="VX98" s="50"/>
      <c r="VY98" s="50"/>
      <c r="VZ98" s="50"/>
      <c r="WA98" s="50"/>
      <c r="WB98" s="50"/>
      <c r="WC98" s="50"/>
      <c r="WD98" s="50"/>
      <c r="WE98" s="50"/>
      <c r="WF98" s="50"/>
      <c r="WG98" s="50"/>
      <c r="WH98" s="50"/>
      <c r="WI98" s="50"/>
      <c r="WJ98" s="50"/>
      <c r="WK98" s="50"/>
      <c r="WL98" s="50"/>
      <c r="WM98" s="50"/>
      <c r="WN98" s="50"/>
      <c r="WO98" s="50"/>
      <c r="WP98" s="50"/>
      <c r="WQ98" s="50"/>
      <c r="WR98" s="50"/>
      <c r="WS98" s="50"/>
      <c r="WT98" s="50"/>
      <c r="WU98" s="50"/>
      <c r="WV98" s="50"/>
      <c r="WW98" s="50"/>
      <c r="WX98" s="50"/>
      <c r="WY98" s="50"/>
      <c r="WZ98" s="50"/>
      <c r="XA98" s="50"/>
      <c r="XB98" s="50"/>
      <c r="XC98" s="50"/>
      <c r="XD98" s="50"/>
      <c r="XE98" s="50"/>
      <c r="XF98" s="50"/>
      <c r="XG98" s="50"/>
      <c r="XH98" s="50"/>
      <c r="XI98" s="50"/>
      <c r="XJ98" s="50"/>
      <c r="XK98" s="50"/>
      <c r="XL98" s="50"/>
      <c r="XM98" s="50"/>
      <c r="XN98" s="50"/>
      <c r="XO98" s="50"/>
      <c r="XP98" s="50"/>
      <c r="XQ98" s="50"/>
      <c r="XR98" s="50"/>
      <c r="XS98" s="50"/>
      <c r="XT98" s="50"/>
      <c r="XU98" s="50"/>
      <c r="XV98" s="50"/>
      <c r="XW98" s="50"/>
      <c r="XX98" s="50"/>
      <c r="XY98" s="50"/>
      <c r="XZ98" s="50"/>
      <c r="YA98" s="50"/>
      <c r="YB98" s="50"/>
      <c r="YC98" s="50"/>
      <c r="YD98" s="50"/>
      <c r="YE98" s="50"/>
      <c r="YF98" s="50"/>
      <c r="YG98" s="50"/>
      <c r="YH98" s="50"/>
      <c r="YI98" s="50"/>
      <c r="YJ98" s="50"/>
      <c r="YK98" s="50"/>
      <c r="YL98" s="50"/>
      <c r="YM98" s="50"/>
      <c r="YN98" s="50"/>
      <c r="YO98" s="50"/>
      <c r="YP98" s="50"/>
      <c r="YQ98" s="50"/>
      <c r="YR98" s="50"/>
      <c r="YS98" s="50"/>
      <c r="YT98" s="50"/>
      <c r="YU98" s="50"/>
      <c r="YV98" s="50"/>
      <c r="YW98" s="50"/>
      <c r="YX98" s="50"/>
      <c r="YY98" s="50"/>
      <c r="YZ98" s="50"/>
      <c r="ZA98" s="50"/>
      <c r="ZB98" s="50"/>
      <c r="ZC98" s="50"/>
      <c r="ZD98" s="50"/>
      <c r="ZE98" s="50"/>
      <c r="ZF98" s="50"/>
      <c r="ZG98" s="50"/>
      <c r="ZH98" s="50"/>
      <c r="ZI98" s="50"/>
      <c r="ZJ98" s="50"/>
      <c r="ZK98" s="50"/>
      <c r="ZL98" s="50"/>
      <c r="ZM98" s="50"/>
      <c r="ZN98" s="50"/>
      <c r="ZO98" s="50"/>
      <c r="ZP98" s="50"/>
      <c r="ZQ98" s="50"/>
      <c r="ZR98" s="50"/>
      <c r="ZS98" s="50"/>
      <c r="ZT98" s="50"/>
      <c r="ZU98" s="50"/>
      <c r="ZV98" s="50"/>
      <c r="ZW98" s="50"/>
      <c r="ZX98" s="50"/>
      <c r="ZY98" s="50"/>
      <c r="ZZ98" s="50"/>
      <c r="AAA98" s="50"/>
      <c r="AAB98" s="50"/>
      <c r="AAC98" s="50"/>
      <c r="AAD98" s="50"/>
      <c r="AAE98" s="50"/>
      <c r="AAF98" s="50"/>
      <c r="AAG98" s="50"/>
      <c r="AAH98" s="50"/>
      <c r="AAI98" s="50"/>
      <c r="AAJ98" s="50"/>
      <c r="AAK98" s="50"/>
      <c r="AAL98" s="50"/>
      <c r="AAM98" s="50"/>
      <c r="AAN98" s="50"/>
      <c r="AAO98" s="50"/>
      <c r="AAP98" s="50"/>
      <c r="AAQ98" s="50"/>
      <c r="AAR98" s="50"/>
      <c r="AAS98" s="50"/>
      <c r="AAT98" s="50"/>
      <c r="AAU98" s="50"/>
      <c r="AAV98" s="50"/>
      <c r="AAW98" s="50"/>
      <c r="AAX98" s="50"/>
      <c r="AAY98" s="50"/>
      <c r="AAZ98" s="50"/>
      <c r="ABA98" s="50"/>
      <c r="ABB98" s="50"/>
      <c r="ABC98" s="50"/>
      <c r="ABD98" s="50"/>
      <c r="ABE98" s="50"/>
      <c r="ABF98" s="50"/>
      <c r="ABG98" s="50"/>
      <c r="ABH98" s="50"/>
      <c r="ABI98" s="50"/>
      <c r="ABJ98" s="50"/>
      <c r="ABK98" s="50"/>
      <c r="ABL98" s="50"/>
      <c r="ABM98" s="50"/>
      <c r="ABN98" s="50"/>
      <c r="ABO98" s="50"/>
      <c r="ABP98" s="50"/>
      <c r="ABQ98" s="50"/>
      <c r="ABR98" s="50"/>
      <c r="ABS98" s="50"/>
      <c r="ABT98" s="50"/>
      <c r="ABU98" s="50"/>
      <c r="ABV98" s="50"/>
      <c r="ABW98" s="50"/>
      <c r="ABX98" s="50"/>
      <c r="ABY98" s="50"/>
      <c r="ABZ98" s="50"/>
      <c r="ACA98" s="50"/>
      <c r="ACB98" s="50"/>
      <c r="ACC98" s="50"/>
      <c r="ACD98" s="50"/>
      <c r="ACE98" s="50"/>
      <c r="ACF98" s="50"/>
      <c r="ACG98" s="50"/>
      <c r="ACH98" s="50"/>
      <c r="ACI98" s="50"/>
      <c r="ACJ98" s="50"/>
      <c r="ACK98" s="50"/>
      <c r="ACL98" s="50"/>
      <c r="ACM98" s="50"/>
      <c r="ACN98" s="50"/>
      <c r="ACO98" s="50"/>
      <c r="ACP98" s="50"/>
      <c r="ACQ98" s="50"/>
      <c r="ACR98" s="50"/>
      <c r="ACS98" s="50"/>
      <c r="ACT98" s="50"/>
      <c r="ACU98" s="50"/>
      <c r="ACV98" s="50"/>
      <c r="ACW98" s="50"/>
      <c r="ACX98" s="50"/>
      <c r="ACY98" s="50"/>
      <c r="ACZ98" s="50"/>
      <c r="ADA98" s="50"/>
      <c r="ADB98" s="50"/>
      <c r="ADC98" s="50"/>
      <c r="ADD98" s="50"/>
      <c r="ADE98" s="50"/>
      <c r="ADF98" s="50"/>
      <c r="ADG98" s="50"/>
      <c r="ADH98" s="50"/>
      <c r="ADI98" s="50"/>
      <c r="ADJ98" s="50"/>
      <c r="ADK98" s="50"/>
      <c r="ADL98" s="50"/>
      <c r="ADM98" s="50"/>
      <c r="ADN98" s="50"/>
      <c r="ADO98" s="50"/>
      <c r="ADP98" s="50"/>
      <c r="ADQ98" s="50"/>
      <c r="ADR98" s="50"/>
      <c r="ADS98" s="50"/>
      <c r="ADT98" s="50"/>
      <c r="ADU98" s="50"/>
      <c r="ADV98" s="50"/>
      <c r="ADW98" s="50"/>
      <c r="ADX98" s="50"/>
      <c r="ADY98" s="50"/>
      <c r="ADZ98" s="50"/>
      <c r="AEA98" s="50"/>
      <c r="AEB98" s="50"/>
      <c r="AEC98" s="50"/>
      <c r="AED98" s="50"/>
      <c r="AEE98" s="50"/>
      <c r="AEF98" s="50"/>
      <c r="AEG98" s="50"/>
      <c r="AEH98" s="50"/>
      <c r="AEI98" s="50"/>
      <c r="AEJ98" s="50"/>
      <c r="AEK98" s="50"/>
      <c r="AEL98" s="50"/>
      <c r="AEM98" s="50"/>
      <c r="AEN98" s="50"/>
      <c r="AEO98" s="50"/>
      <c r="AEP98" s="50"/>
      <c r="AEQ98" s="50"/>
      <c r="AER98" s="50"/>
      <c r="AES98" s="50"/>
      <c r="AET98" s="50"/>
      <c r="AEU98" s="50"/>
      <c r="AEV98" s="50"/>
      <c r="AEW98" s="50"/>
      <c r="AEX98" s="50"/>
      <c r="AEY98" s="50"/>
      <c r="AEZ98" s="50"/>
      <c r="AFA98" s="50"/>
      <c r="AFB98" s="50"/>
      <c r="AFC98" s="50"/>
      <c r="AFD98" s="50"/>
      <c r="AFE98" s="50"/>
      <c r="AFF98" s="50"/>
      <c r="AFG98" s="50"/>
      <c r="AFH98" s="50"/>
      <c r="AFI98" s="50"/>
      <c r="AFJ98" s="50"/>
      <c r="AFK98" s="50"/>
      <c r="AFL98" s="50"/>
      <c r="AFM98" s="50"/>
      <c r="AFN98" s="50"/>
      <c r="AFO98" s="50"/>
      <c r="AFP98" s="50"/>
      <c r="AFQ98" s="50"/>
      <c r="AFR98" s="50"/>
      <c r="AFS98" s="50"/>
      <c r="AFT98" s="50"/>
      <c r="AFU98" s="50"/>
      <c r="AFV98" s="50"/>
      <c r="AFW98" s="50"/>
      <c r="AFX98" s="50"/>
      <c r="AFY98" s="50"/>
      <c r="AFZ98" s="50"/>
      <c r="AGA98" s="50"/>
      <c r="AGB98" s="50"/>
      <c r="AGC98" s="50"/>
      <c r="AGD98" s="50"/>
      <c r="AGE98" s="50"/>
      <c r="AGF98" s="50"/>
      <c r="AGG98" s="50"/>
      <c r="AGH98" s="50"/>
      <c r="AGI98" s="50"/>
      <c r="AGJ98" s="50"/>
      <c r="AGK98" s="50"/>
      <c r="AGL98" s="50"/>
      <c r="AGM98" s="50"/>
      <c r="AGN98" s="50"/>
      <c r="AGO98" s="50"/>
      <c r="AGP98" s="50"/>
      <c r="AGQ98" s="50"/>
      <c r="AGR98" s="50"/>
      <c r="AGS98" s="50"/>
      <c r="AGT98" s="50"/>
      <c r="AGU98" s="50"/>
      <c r="AGV98" s="50"/>
      <c r="AGW98" s="50"/>
      <c r="AGX98" s="50"/>
      <c r="AGY98" s="50"/>
      <c r="AGZ98" s="50"/>
      <c r="AHA98" s="50"/>
      <c r="AHB98" s="50"/>
      <c r="AHC98" s="50"/>
      <c r="AHD98" s="50"/>
      <c r="AHE98" s="50"/>
      <c r="AHF98" s="50"/>
      <c r="AHG98" s="50"/>
      <c r="AHH98" s="50"/>
      <c r="AHI98" s="50"/>
      <c r="AHJ98" s="50"/>
      <c r="AHK98" s="50"/>
      <c r="AHL98" s="50"/>
      <c r="AHM98" s="50"/>
      <c r="AHN98" s="50"/>
      <c r="AHO98" s="50"/>
      <c r="AHP98" s="50"/>
      <c r="AHQ98" s="50"/>
      <c r="AHR98" s="50"/>
      <c r="AHS98" s="50"/>
      <c r="AHT98" s="50"/>
      <c r="AHU98" s="50"/>
      <c r="AHV98" s="50"/>
      <c r="AHW98" s="50"/>
      <c r="AHX98" s="50"/>
      <c r="AHY98" s="50"/>
      <c r="AHZ98" s="50"/>
      <c r="AIA98" s="50"/>
      <c r="AIB98" s="50"/>
      <c r="AIC98" s="50"/>
      <c r="AID98" s="50"/>
      <c r="AIE98" s="50"/>
      <c r="AIF98" s="50"/>
      <c r="AIG98" s="50"/>
      <c r="AIH98" s="50"/>
      <c r="AII98" s="50"/>
      <c r="AIJ98" s="50"/>
      <c r="AIK98" s="50"/>
      <c r="AIL98" s="50"/>
      <c r="AIM98" s="50"/>
      <c r="AIN98" s="50"/>
      <c r="AIO98" s="50"/>
      <c r="AIP98" s="50"/>
      <c r="AIQ98" s="50"/>
      <c r="AIR98" s="50"/>
      <c r="AIS98" s="50"/>
      <c r="AIT98" s="50"/>
      <c r="AIU98" s="50"/>
      <c r="AIV98" s="50"/>
      <c r="AIW98" s="50"/>
      <c r="AIX98" s="50"/>
      <c r="AIY98" s="50"/>
      <c r="AIZ98" s="50"/>
      <c r="AJA98" s="50"/>
      <c r="AJB98" s="50"/>
      <c r="AJC98" s="50"/>
      <c r="AJD98" s="50"/>
      <c r="AJE98" s="50"/>
      <c r="AJF98" s="50"/>
      <c r="AJG98" s="50"/>
      <c r="AJH98" s="50"/>
      <c r="AJI98" s="50"/>
      <c r="AJJ98" s="50"/>
      <c r="AJK98" s="50"/>
      <c r="AJL98" s="50"/>
      <c r="AJM98" s="50"/>
      <c r="AJN98" s="50"/>
      <c r="AJO98" s="50"/>
      <c r="AJP98" s="50"/>
      <c r="AJQ98" s="50"/>
      <c r="AJR98" s="50"/>
      <c r="AJS98" s="50"/>
      <c r="AJT98" s="50"/>
      <c r="AJU98" s="50"/>
      <c r="AJV98" s="50"/>
      <c r="AJW98" s="50"/>
      <c r="AJX98" s="50"/>
      <c r="AJY98" s="50"/>
      <c r="AJZ98" s="50"/>
      <c r="AKA98" s="50"/>
      <c r="AKB98" s="50"/>
      <c r="AKC98" s="50"/>
      <c r="AKD98" s="50"/>
      <c r="AKE98" s="50"/>
      <c r="AKF98" s="50"/>
      <c r="AKG98" s="50"/>
      <c r="AKH98" s="50"/>
      <c r="AKI98" s="50"/>
      <c r="AKJ98" s="50"/>
      <c r="AKK98" s="50"/>
      <c r="AKL98" s="50"/>
      <c r="AKM98" s="50"/>
      <c r="AKN98" s="50"/>
      <c r="AKO98" s="50"/>
      <c r="AKP98" s="50"/>
      <c r="AKQ98" s="50"/>
      <c r="AKR98" s="50"/>
      <c r="AKS98" s="50"/>
      <c r="AKT98" s="50"/>
      <c r="AKU98" s="50"/>
      <c r="AKV98" s="50"/>
      <c r="AKW98" s="50"/>
      <c r="AKX98" s="50"/>
      <c r="AKY98" s="50"/>
      <c r="AKZ98" s="50"/>
      <c r="ALA98" s="50"/>
      <c r="ALB98" s="50"/>
      <c r="ALC98" s="50"/>
      <c r="ALD98" s="50"/>
      <c r="ALE98" s="50"/>
      <c r="ALF98" s="50"/>
      <c r="ALG98" s="50"/>
      <c r="ALH98" s="50"/>
      <c r="ALI98" s="50"/>
      <c r="ALJ98" s="50"/>
      <c r="ALK98" s="50"/>
      <c r="ALL98" s="50"/>
      <c r="ALM98" s="50"/>
      <c r="ALN98" s="50"/>
      <c r="ALO98" s="50"/>
      <c r="ALP98" s="50"/>
      <c r="ALQ98" s="50"/>
      <c r="ALR98" s="50"/>
      <c r="ALS98" s="50"/>
      <c r="ALT98" s="50"/>
      <c r="ALU98" s="50"/>
      <c r="ALV98" s="50"/>
      <c r="ALW98" s="50"/>
      <c r="ALX98" s="50"/>
      <c r="ALY98" s="50"/>
      <c r="ALZ98" s="50"/>
      <c r="AMA98" s="50"/>
      <c r="AMB98" s="50"/>
      <c r="AMC98" s="50"/>
      <c r="AMD98" s="50"/>
      <c r="AME98" s="50"/>
      <c r="AMF98" s="50"/>
      <c r="AMG98" s="50"/>
      <c r="AMH98" s="50"/>
      <c r="AMI98" s="50"/>
      <c r="AMJ98" s="50"/>
    </row>
  </sheetData>
  <mergeCells count="60">
    <mergeCell ref="C16:G16"/>
    <mergeCell ref="C47:G47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K10:K11"/>
    <mergeCell ref="J10:J11"/>
    <mergeCell ref="C12:G12"/>
    <mergeCell ref="C13:G13"/>
    <mergeCell ref="A5:C5"/>
    <mergeCell ref="D5:K5"/>
    <mergeCell ref="A1:I1"/>
    <mergeCell ref="A3:C3"/>
    <mergeCell ref="D3:K3"/>
    <mergeCell ref="A4:C4"/>
    <mergeCell ref="D4:K4"/>
    <mergeCell ref="C14:G14"/>
    <mergeCell ref="C15:G15"/>
    <mergeCell ref="I10:I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41:G41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2:G42"/>
    <mergeCell ref="C43:G43"/>
    <mergeCell ref="C44:G44"/>
    <mergeCell ref="C45:G45"/>
    <mergeCell ref="C46:G46"/>
    <mergeCell ref="J48:K48"/>
    <mergeCell ref="A49:I49"/>
    <mergeCell ref="J49:K49"/>
    <mergeCell ref="A48:I48"/>
  </mergeCells>
  <conditionalFormatting sqref="C12:C47">
    <cfRule type="duplicateValues" dxfId="3" priority="148"/>
  </conditionalFormatting>
  <conditionalFormatting sqref="C12:C47">
    <cfRule type="duplicateValues" dxfId="2" priority="149"/>
    <cfRule type="duplicateValues" dxfId="1" priority="150"/>
  </conditionalFormatting>
  <conditionalFormatting sqref="C12:C47">
    <cfRule type="duplicateValues" dxfId="0" priority="151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M28" sqref="M28"/>
    </sheetView>
  </sheetViews>
  <sheetFormatPr baseColWidth="10" defaultColWidth="11" defaultRowHeight="12.75" x14ac:dyDescent="0.2"/>
  <cols>
    <col min="1" max="5" width="4.42578125" style="50" customWidth="1"/>
    <col min="6" max="6" width="5.5703125" style="50" customWidth="1"/>
    <col min="7" max="7" width="4.42578125" style="54" customWidth="1"/>
    <col min="8" max="14" width="4.42578125" style="50" customWidth="1"/>
    <col min="15" max="16" width="14.85546875" style="50" customWidth="1"/>
    <col min="17" max="17" width="18.140625" style="50" customWidth="1"/>
    <col min="18" max="16384" width="11" style="50"/>
  </cols>
  <sheetData>
    <row r="1" spans="1:17" ht="15.75" customHeight="1" thickBot="1" x14ac:dyDescent="0.3">
      <c r="A1" s="145" t="s">
        <v>22</v>
      </c>
      <c r="B1" s="145"/>
      <c r="C1" s="145"/>
      <c r="D1" s="146">
        <v>2021</v>
      </c>
      <c r="E1" s="146"/>
      <c r="F1" s="52"/>
      <c r="G1" s="52"/>
      <c r="H1" s="53"/>
      <c r="I1" s="53"/>
      <c r="J1" s="53"/>
      <c r="K1" s="53"/>
      <c r="L1" s="53"/>
      <c r="M1" s="53"/>
      <c r="N1" s="53"/>
      <c r="P1" s="147" t="s">
        <v>58</v>
      </c>
      <c r="Q1" s="147"/>
    </row>
    <row r="2" spans="1:17" ht="15.75" customHeight="1" thickBot="1" x14ac:dyDescent="0.25">
      <c r="H2" s="53"/>
      <c r="I2" s="53"/>
      <c r="J2" s="53"/>
      <c r="K2" s="53"/>
      <c r="L2" s="53"/>
      <c r="M2" s="53"/>
      <c r="N2" s="53"/>
      <c r="P2" s="147"/>
      <c r="Q2" s="147"/>
    </row>
    <row r="4" spans="1:17" s="55" customFormat="1" ht="18" customHeight="1" thickBot="1" x14ac:dyDescent="0.25">
      <c r="A4" s="148" t="s">
        <v>59</v>
      </c>
      <c r="B4" s="148"/>
      <c r="C4" s="148"/>
      <c r="D4" s="148"/>
      <c r="E4" s="148"/>
      <c r="F4" s="148"/>
      <c r="G4" s="149" t="s">
        <v>43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55" customFormat="1" ht="18" customHeight="1" thickBot="1" x14ac:dyDescent="0.25">
      <c r="A5" s="150" t="s">
        <v>44</v>
      </c>
      <c r="B5" s="151"/>
      <c r="C5" s="151"/>
      <c r="D5" s="151"/>
      <c r="E5" s="151"/>
      <c r="F5" s="152"/>
      <c r="G5" s="149" t="s">
        <v>60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55" customFormat="1" ht="18" customHeight="1" thickBot="1" x14ac:dyDescent="0.35">
      <c r="A6" s="150" t="s">
        <v>46</v>
      </c>
      <c r="B6" s="151"/>
      <c r="C6" s="151"/>
      <c r="D6" s="151"/>
      <c r="E6" s="151"/>
      <c r="F6" s="152"/>
      <c r="G6" s="149" t="s">
        <v>47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55" customFormat="1" ht="18" customHeight="1" thickBot="1" x14ac:dyDescent="0.35">
      <c r="A7" s="150" t="s">
        <v>48</v>
      </c>
      <c r="B7" s="151"/>
      <c r="C7" s="151"/>
      <c r="D7" s="151"/>
      <c r="E7" s="151"/>
      <c r="F7" s="152"/>
      <c r="G7" s="149" t="s">
        <v>47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thickBot="1" x14ac:dyDescent="0.25">
      <c r="A8" s="153" t="s">
        <v>61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7" ht="18" customHeight="1" x14ac:dyDescent="0.2">
      <c r="A9" s="144" t="s">
        <v>62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56"/>
      <c r="P9" s="56"/>
      <c r="Q9" s="57"/>
    </row>
    <row r="10" spans="1:17" ht="57" customHeight="1" x14ac:dyDescent="0.2">
      <c r="A10" s="132" t="s">
        <v>113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4"/>
    </row>
    <row r="11" spans="1:17" ht="9" customHeight="1" thickBot="1" x14ac:dyDescent="0.3">
      <c r="A11" s="58"/>
      <c r="B11" s="59"/>
      <c r="C11" s="59"/>
      <c r="D11" s="59"/>
      <c r="E11" s="59"/>
      <c r="F11" s="59"/>
      <c r="G11" s="60"/>
      <c r="H11" s="59"/>
      <c r="I11" s="59"/>
      <c r="J11" s="59"/>
      <c r="K11" s="59"/>
      <c r="L11" s="59"/>
      <c r="M11" s="59"/>
      <c r="N11" s="59"/>
      <c r="O11" s="59"/>
      <c r="P11" s="59"/>
      <c r="Q11" s="61"/>
    </row>
    <row r="12" spans="1:17" ht="15.75" customHeight="1" thickBot="1" x14ac:dyDescent="0.25">
      <c r="A12" s="135" t="s">
        <v>63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thickBot="1" x14ac:dyDescent="0.25">
      <c r="A13" s="136" t="s">
        <v>64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65</v>
      </c>
      <c r="P13" s="137"/>
      <c r="Q13" s="138" t="s">
        <v>66</v>
      </c>
    </row>
    <row r="14" spans="1:17" ht="15.75" customHeight="1" x14ac:dyDescent="0.2">
      <c r="A14" s="62" t="s">
        <v>67</v>
      </c>
      <c r="B14" s="63" t="s">
        <v>68</v>
      </c>
      <c r="C14" s="63" t="s">
        <v>69</v>
      </c>
      <c r="D14" s="63" t="s">
        <v>70</v>
      </c>
      <c r="E14" s="63" t="s">
        <v>71</v>
      </c>
      <c r="F14" s="63" t="s">
        <v>72</v>
      </c>
      <c r="G14" s="64" t="s">
        <v>73</v>
      </c>
      <c r="H14" s="63" t="s">
        <v>74</v>
      </c>
      <c r="I14" s="63" t="s">
        <v>75</v>
      </c>
      <c r="J14" s="63" t="s">
        <v>76</v>
      </c>
      <c r="K14" s="63" t="s">
        <v>76</v>
      </c>
      <c r="L14" s="63" t="s">
        <v>77</v>
      </c>
      <c r="M14" s="65" t="s">
        <v>78</v>
      </c>
      <c r="N14" s="66" t="s">
        <v>79</v>
      </c>
      <c r="O14" s="137"/>
      <c r="P14" s="137"/>
      <c r="Q14" s="138"/>
    </row>
    <row r="15" spans="1:17" ht="29.25" customHeight="1" x14ac:dyDescent="0.2">
      <c r="A15" s="84">
        <v>30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5</v>
      </c>
      <c r="K15" s="84">
        <v>2</v>
      </c>
      <c r="L15" s="84"/>
      <c r="M15" s="84">
        <v>1</v>
      </c>
      <c r="N15" s="84" t="s">
        <v>80</v>
      </c>
      <c r="O15" s="139" t="s">
        <v>81</v>
      </c>
      <c r="P15" s="140"/>
      <c r="Q15" s="83">
        <f>+'Necesidades Trimestrales '!I46</f>
        <v>120655459</v>
      </c>
    </row>
    <row r="16" spans="1:17" ht="17.25" customHeight="1" x14ac:dyDescent="0.25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9"/>
      <c r="N16" s="68"/>
      <c r="O16" s="141"/>
      <c r="P16" s="141"/>
      <c r="Q16" s="71"/>
    </row>
    <row r="17" spans="1:18" ht="17.25" customHeight="1" x14ac:dyDescent="0.25">
      <c r="A17" s="67"/>
      <c r="B17" s="68"/>
      <c r="C17" s="68"/>
      <c r="D17" s="68"/>
      <c r="E17" s="68"/>
      <c r="F17" s="70"/>
      <c r="G17" s="68"/>
      <c r="H17" s="68"/>
      <c r="I17" s="68"/>
      <c r="J17" s="68"/>
      <c r="K17" s="68"/>
      <c r="L17" s="68"/>
      <c r="M17" s="69"/>
      <c r="N17" s="70"/>
      <c r="O17" s="142"/>
      <c r="P17" s="142"/>
      <c r="Q17" s="71"/>
    </row>
    <row r="18" spans="1:18" ht="17.25" customHeight="1" x14ac:dyDescent="0.25">
      <c r="A18" s="67"/>
      <c r="B18" s="68"/>
      <c r="C18" s="68"/>
      <c r="D18" s="68"/>
      <c r="E18" s="68"/>
      <c r="F18" s="70"/>
      <c r="G18" s="68"/>
      <c r="H18" s="68"/>
      <c r="I18" s="68"/>
      <c r="J18" s="68"/>
      <c r="K18" s="68"/>
      <c r="L18" s="68"/>
      <c r="M18" s="69"/>
      <c r="N18" s="70"/>
      <c r="O18" s="142"/>
      <c r="P18" s="142"/>
      <c r="Q18" s="71"/>
    </row>
    <row r="19" spans="1:18" ht="17.25" customHeight="1" x14ac:dyDescent="0.25">
      <c r="A19" s="72"/>
      <c r="B19" s="73"/>
      <c r="C19" s="73"/>
      <c r="D19" s="73"/>
      <c r="E19" s="73"/>
      <c r="F19" s="74"/>
      <c r="G19" s="73"/>
      <c r="H19" s="73"/>
      <c r="I19" s="73"/>
      <c r="J19" s="73"/>
      <c r="K19" s="73"/>
      <c r="L19" s="73"/>
      <c r="M19" s="75"/>
      <c r="N19" s="76"/>
      <c r="O19" s="143"/>
      <c r="P19" s="143"/>
      <c r="Q19" s="71"/>
      <c r="R19" s="56"/>
    </row>
    <row r="20" spans="1:18" ht="17.25" customHeight="1" thickBot="1" x14ac:dyDescent="0.3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9"/>
      <c r="N20" s="78"/>
      <c r="O20" s="131"/>
      <c r="P20" s="131"/>
      <c r="Q20" s="80"/>
    </row>
    <row r="21" spans="1:18" ht="36" customHeight="1" thickBot="1" x14ac:dyDescent="0.25">
      <c r="A21" s="124" t="s">
        <v>118</v>
      </c>
      <c r="B21" s="124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81">
        <f>SUM(Q15:Q20)</f>
        <v>120655459</v>
      </c>
    </row>
    <row r="22" spans="1:18" ht="18" customHeight="1" thickBot="1" x14ac:dyDescent="0.3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</row>
    <row r="23" spans="1:18" ht="17.25" customHeight="1" thickBot="1" x14ac:dyDescent="0.25">
      <c r="A23" s="126" t="s">
        <v>82</v>
      </c>
      <c r="B23" s="127"/>
      <c r="C23" s="127"/>
      <c r="D23" s="127"/>
      <c r="E23" s="127"/>
      <c r="F23" s="128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</row>
    <row r="24" spans="1:18" ht="18" customHeight="1" thickBot="1" x14ac:dyDescent="0.25">
      <c r="A24" s="130" t="s">
        <v>86</v>
      </c>
      <c r="B24" s="130"/>
      <c r="C24" s="130"/>
      <c r="D24" s="130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</row>
    <row r="25" spans="1:18" ht="28.5" customHeight="1" thickBot="1" x14ac:dyDescent="0.25">
      <c r="A25" s="130"/>
      <c r="B25" s="130"/>
      <c r="C25" s="130"/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0"/>
      <c r="Q25" s="130"/>
    </row>
  </sheetData>
  <mergeCells count="29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1:P21"/>
    <mergeCell ref="A22:Q22"/>
    <mergeCell ref="A23:F23"/>
    <mergeCell ref="G23:Q23"/>
    <mergeCell ref="A24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Usuario de Windows</cp:lastModifiedBy>
  <cp:lastPrinted>2021-07-16T15:16:40Z</cp:lastPrinted>
  <dcterms:created xsi:type="dcterms:W3CDTF">2020-01-09T12:08:46Z</dcterms:created>
  <dcterms:modified xsi:type="dcterms:W3CDTF">2021-07-16T15:16:46Z</dcterms:modified>
</cp:coreProperties>
</file>