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23250" windowHeight="12570" tabRatio="500" activeTab="1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NotaPedido'!$A$1:$K$16</definedName>
    <definedName name="_xlnm.Print_Area" localSheetId="2">'Autor Gastar'!$A$1:$Q$26</definedName>
    <definedName name="_xlnm.Print_Area" localSheetId="0">'Necesidades Trimestrales'!$A$1:$I$16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0" i="1" l="1"/>
  <c r="I16" i="1" s="1"/>
  <c r="Q22" i="3" l="1"/>
  <c r="D7" i="2" l="1"/>
  <c r="D3" i="2"/>
  <c r="G4" i="3" s="1"/>
  <c r="D4" i="2"/>
  <c r="G5" i="3" s="1"/>
  <c r="A10" i="3" l="1"/>
  <c r="D1" i="3"/>
  <c r="K12" i="2"/>
  <c r="J12" i="2"/>
  <c r="I12" i="2"/>
  <c r="C12" i="2"/>
  <c r="B12" i="2"/>
  <c r="I15" i="3"/>
  <c r="J16" i="2" l="1"/>
</calcChain>
</file>

<file path=xl/sharedStrings.xml><?xml version="1.0" encoding="utf-8"?>
<sst xmlns="http://schemas.openxmlformats.org/spreadsheetml/2006/main" count="85" uniqueCount="78">
  <si>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</si>
  <si>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</si>
  <si>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</si>
  <si>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</si>
  <si>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</si>
  <si>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</si>
  <si>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</si>
  <si>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</si>
  <si>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</si>
  <si>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</si>
  <si>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</si>
  <si>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</si>
  <si>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</si>
  <si>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</si>
  <si>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</si>
  <si>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</si>
  <si>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</si>
  <si>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</si>
  <si>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</si>
  <si>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</si>
  <si>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</si>
  <si>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</si>
  <si>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</si>
  <si>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</si>
  <si>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</si>
  <si>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</si>
  <si>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</si>
  <si>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</si>
  <si>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</si>
  <si>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</si>
  <si>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</si>
  <si>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</si>
  <si>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</si>
  <si>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</si>
  <si>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</si>
  <si>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</si>
  <si>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</si>
  <si>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</si>
  <si>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</si>
  <si>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</si>
  <si>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</si>
  <si>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</si>
  <si>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</si>
  <si>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</si>
  <si>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</si>
  <si>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</si>
  <si>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</si>
  <si>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</si>
  <si>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</si>
  <si>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</si>
  <si>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</si>
  <si>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</si>
  <si>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</si>
  <si>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</si>
  <si>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</si>
  <si>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</si>
  <si>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</si>
  <si>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45- Ministerio de Desarrollo Social y Deporte</t>
  </si>
  <si>
    <t>25- Direccion Provincial de Gestion Administrativa y RRHH</t>
  </si>
  <si>
    <t>NO</t>
  </si>
  <si>
    <t>Direccion Provincial de Accion Social Directa-</t>
  </si>
  <si>
    <t>Direccion Provincial de Accion Social Directa</t>
  </si>
  <si>
    <t>Alta</t>
  </si>
  <si>
    <t>OTROS NEP</t>
  </si>
  <si>
    <t>S/E</t>
  </si>
  <si>
    <t>ARTICULOS DEL HOGAR</t>
  </si>
  <si>
    <t>2.2.9</t>
  </si>
  <si>
    <t>UNIDADES</t>
  </si>
  <si>
    <t>Programa Vivir Mejor- PRO.VI.ME</t>
  </si>
  <si>
    <t>Adquisición de Colchones para Asistir a Personas de Escaso Recursos.-</t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</si>
  <si>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Deposito del Ministerio de Desarrollo Social y Deporte, Area el Pantanillo - San Fernando del Valle de Catamarca (CP 4700).-</t>
    </r>
  </si>
  <si>
    <t>Plazo de Mantinimiento 60 dias</t>
  </si>
  <si>
    <t>306/2020</t>
  </si>
  <si>
    <t>Costo total estimado: DOS MILLONES CUATROCIENTOS MIL CON 00/100.-</t>
  </si>
  <si>
    <t>TOTAL DE PESOS: DOS MILLONES CUATROCIENTOS MIL CON 00/100.-</t>
  </si>
  <si>
    <t>2.2.9-701.140</t>
  </si>
  <si>
    <t>COLCHONES; CONSTRUCCION: ESPUMA, DIMENSION: 190 X 80 Cm, ESPESOR: 17 Cm, DENSIDAD: 23 KG/CM2, TERMINACION: TELA</t>
  </si>
  <si>
    <r>
      <t>Plazo de Entrega:</t>
    </r>
    <r>
      <rPr>
        <sz val="10"/>
        <rFont val="Times New Roman"/>
        <family val="1"/>
      </rPr>
      <t xml:space="preserve"> 05 dias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</si>
</sst>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6" xfId="0" applyFont="1" applyBorder="1" applyAlignment="1">
      <alignment horizontal="right"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6" xfId="0" applyBorder="1"/>
    <xf numFmtId="0" fontId="0" fillId="0" borderId="32" xfId="0" applyBorder="1"/>
    <xf numFmtId="0" fontId="0" fillId="0" borderId="18" xfId="0" applyBorder="1"/>
    <xf numFmtId="0" fontId="0" fillId="0" borderId="18" xfId="0" applyBorder="1" applyAlignment="1">
      <alignment horizontal="left"/>
    </xf>
    <xf numFmtId="0" fontId="0" fillId="0" borderId="33" xfId="0" applyBorder="1"/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6" xfId="0" applyFont="1" applyBorder="1" applyAlignment="1">
      <alignment horizontal="left" vertical="center"/>
    </xf>
    <xf numFmtId="0" fontId="14" fillId="0" borderId="37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166" fontId="0" fillId="0" borderId="38" xfId="3" applyNumberFormat="1" applyFont="1" applyBorder="1" applyAlignment="1" applyProtection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166" fontId="0" fillId="0" borderId="47" xfId="3" applyNumberFormat="1" applyFont="1" applyBorder="1" applyAlignment="1" applyProtection="1">
      <alignment horizontal="center" vertical="center"/>
    </xf>
    <xf numFmtId="166" fontId="14" fillId="0" borderId="48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2" fillId="3" borderId="2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3" fillId="0" borderId="8" xfId="0" applyFont="1" applyBorder="1"/>
    <xf numFmtId="0" fontId="16" fillId="0" borderId="9" xfId="0" applyFont="1" applyBorder="1"/>
    <xf numFmtId="0" fontId="16" fillId="0" borderId="10" xfId="0" applyFont="1" applyBorder="1"/>
    <xf numFmtId="0" fontId="16" fillId="0" borderId="11" xfId="0" applyFont="1" applyBorder="1"/>
    <xf numFmtId="0" fontId="16" fillId="0" borderId="0" xfId="0" applyFont="1" applyBorder="1"/>
    <xf numFmtId="0" fontId="16" fillId="0" borderId="12" xfId="0" applyFont="1" applyBorder="1"/>
    <xf numFmtId="0" fontId="23" fillId="0" borderId="11" xfId="0" applyFont="1" applyBorder="1" applyAlignment="1">
      <alignment horizontal="left" indent="3"/>
    </xf>
    <xf numFmtId="0" fontId="16" fillId="0" borderId="11" xfId="0" applyFont="1" applyBorder="1" applyAlignment="1">
      <alignment horizontal="left" indent="3"/>
    </xf>
    <xf numFmtId="0" fontId="16" fillId="0" borderId="0" xfId="0" applyFont="1" applyBorder="1" applyAlignment="1">
      <alignment horizontal="center" wrapText="1"/>
    </xf>
    <xf numFmtId="0" fontId="16" fillId="0" borderId="12" xfId="0" applyFont="1" applyBorder="1" applyAlignment="1">
      <alignment horizontal="center" wrapText="1"/>
    </xf>
    <xf numFmtId="0" fontId="16" fillId="0" borderId="13" xfId="0" applyFont="1" applyBorder="1" applyAlignment="1">
      <alignment horizontal="left" indent="3"/>
    </xf>
    <xf numFmtId="0" fontId="16" fillId="0" borderId="14" xfId="0" applyFont="1" applyBorder="1"/>
    <xf numFmtId="0" fontId="16" fillId="0" borderId="15" xfId="0" applyFont="1" applyBorder="1"/>
    <xf numFmtId="0" fontId="24" fillId="3" borderId="0" xfId="0" applyFont="1" applyFill="1" applyAlignment="1">
      <alignment horizontal="left" wrapText="1" indent="1"/>
    </xf>
    <xf numFmtId="0" fontId="20" fillId="0" borderId="0" xfId="0" applyFont="1" applyAlignment="1">
      <alignment horizontal="left" wrapText="1"/>
    </xf>
    <xf numFmtId="0" fontId="0" fillId="0" borderId="4" xfId="0" applyBorder="1"/>
    <xf numFmtId="0" fontId="20" fillId="0" borderId="20" xfId="0" applyFont="1" applyBorder="1" applyAlignment="1">
      <alignment horizontal="center" vertical="center" wrapText="1"/>
    </xf>
    <xf numFmtId="0" fontId="0" fillId="0" borderId="53" xfId="0" applyBorder="1"/>
    <xf numFmtId="0" fontId="22" fillId="0" borderId="54" xfId="0" applyFont="1" applyBorder="1" applyAlignment="1">
      <alignment horizontal="center" vertical="center" wrapText="1"/>
    </xf>
    <xf numFmtId="0" fontId="22" fillId="0" borderId="55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58" xfId="0" applyFont="1" applyBorder="1" applyAlignment="1">
      <alignment horizontal="center" vertical="center" wrapText="1"/>
    </xf>
    <xf numFmtId="0" fontId="0" fillId="0" borderId="59" xfId="0" applyBorder="1"/>
    <xf numFmtId="0" fontId="0" fillId="0" borderId="7" xfId="0" applyBorder="1"/>
    <xf numFmtId="0" fontId="22" fillId="3" borderId="60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wrapText="1"/>
    </xf>
    <xf numFmtId="0" fontId="19" fillId="4" borderId="52" xfId="0" applyFont="1" applyFill="1" applyBorder="1" applyAlignment="1">
      <alignment horizontal="center" wrapText="1"/>
    </xf>
    <xf numFmtId="0" fontId="19" fillId="4" borderId="7" xfId="0" applyFont="1" applyFill="1" applyBorder="1" applyAlignment="1">
      <alignment horizontal="center" wrapText="1"/>
    </xf>
    <xf numFmtId="166" fontId="21" fillId="3" borderId="60" xfId="1" applyNumberFormat="1" applyFont="1" applyFill="1" applyBorder="1" applyAlignment="1" applyProtection="1">
      <alignment horizontal="right" vertical="center" wrapText="1"/>
    </xf>
    <xf numFmtId="166" fontId="21" fillId="3" borderId="4" xfId="1" applyNumberFormat="1" applyFont="1" applyFill="1" applyBorder="1" applyAlignment="1" applyProtection="1">
      <alignment horizontal="right" vertical="center" wrapText="1"/>
    </xf>
    <xf numFmtId="166" fontId="21" fillId="3" borderId="61" xfId="1" applyNumberFormat="1" applyFont="1" applyFill="1" applyBorder="1" applyAlignment="1" applyProtection="1">
      <alignment horizontal="right" vertical="center" wrapText="1"/>
    </xf>
    <xf numFmtId="166" fontId="21" fillId="3" borderId="5" xfId="1" applyNumberFormat="1" applyFont="1" applyFill="1" applyBorder="1" applyAlignment="1" applyProtection="1">
      <alignment horizontal="right" vertical="center" wrapText="1"/>
    </xf>
    <xf numFmtId="0" fontId="22" fillId="4" borderId="7" xfId="0" applyFont="1" applyFill="1" applyBorder="1" applyAlignment="1">
      <alignment horizontal="center" vertical="center" wrapText="1"/>
    </xf>
    <xf numFmtId="166" fontId="21" fillId="3" borderId="62" xfId="1" applyNumberFormat="1" applyFont="1" applyFill="1" applyBorder="1" applyAlignment="1" applyProtection="1">
      <alignment horizontal="right" vertical="center" wrapText="1"/>
    </xf>
    <xf numFmtId="166" fontId="21" fillId="3" borderId="63" xfId="1" applyNumberFormat="1" applyFont="1" applyFill="1" applyBorder="1" applyAlignment="1" applyProtection="1">
      <alignment horizontal="right" vertical="center" wrapText="1"/>
    </xf>
    <xf numFmtId="167" fontId="0" fillId="0" borderId="0" xfId="0" applyNumberFormat="1"/>
    <xf numFmtId="0" fontId="16" fillId="3" borderId="0" xfId="0" applyFont="1" applyFill="1" applyBorder="1" applyAlignment="1">
      <alignment horizontal="left"/>
    </xf>
    <xf numFmtId="0" fontId="16" fillId="3" borderId="12" xfId="0" applyFont="1" applyFill="1" applyBorder="1" applyAlignment="1">
      <alignment horizontal="left"/>
    </xf>
    <xf numFmtId="0" fontId="0" fillId="0" borderId="4" xfId="0" applyBorder="1" applyAlignment="1">
      <alignment horizontal="center"/>
    </xf>
    <xf numFmtId="0" fontId="21" fillId="0" borderId="68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 wrapText="1"/>
    </xf>
    <xf numFmtId="166" fontId="16" fillId="0" borderId="0" xfId="0" applyNumberFormat="1" applyFont="1"/>
    <xf numFmtId="0" fontId="16" fillId="3" borderId="12" xfId="0" applyFont="1" applyFill="1" applyBorder="1" applyAlignment="1">
      <alignment horizontal="center" wrapText="1"/>
    </xf>
    <xf numFmtId="0" fontId="16" fillId="3" borderId="12" xfId="0" applyFont="1" applyFill="1" applyBorder="1" applyAlignment="1">
      <alignment horizontal="center"/>
    </xf>
    <xf numFmtId="0" fontId="18" fillId="0" borderId="0" xfId="0" applyFont="1" applyBorder="1" applyAlignment="1">
      <alignment horizontal="left" vertical="center" wrapText="1"/>
    </xf>
    <xf numFmtId="0" fontId="23" fillId="3" borderId="0" xfId="0" applyFont="1" applyFill="1" applyBorder="1" applyAlignment="1">
      <alignment horizontal="left"/>
    </xf>
    <xf numFmtId="0" fontId="16" fillId="3" borderId="0" xfId="0" applyFont="1" applyFill="1" applyBorder="1" applyAlignment="1">
      <alignment horizontal="left"/>
    </xf>
    <xf numFmtId="0" fontId="16" fillId="3" borderId="12" xfId="0" applyFont="1" applyFill="1" applyBorder="1" applyAlignment="1">
      <alignment horizontal="left"/>
    </xf>
    <xf numFmtId="0" fontId="16" fillId="3" borderId="0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3" borderId="0" xfId="0" applyFont="1" applyFill="1" applyBorder="1" applyAlignment="1">
      <alignment horizontal="left" wrapText="1" indent="1"/>
    </xf>
    <xf numFmtId="0" fontId="6" fillId="0" borderId="20" xfId="0" applyFont="1" applyBorder="1" applyAlignment="1">
      <alignment horizontal="left" vertical="center" wrapText="1" indent="1"/>
    </xf>
    <xf numFmtId="167" fontId="25" fillId="0" borderId="20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left" vertical="center"/>
    </xf>
    <xf numFmtId="0" fontId="6" fillId="3" borderId="23" xfId="0" applyFont="1" applyFill="1" applyBorder="1" applyAlignment="1">
      <alignment horizontal="left" vertical="center" wrapText="1" indent="1"/>
    </xf>
    <xf numFmtId="0" fontId="8" fillId="0" borderId="2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9" xfId="0" applyFont="1" applyBorder="1" applyAlignment="1">
      <alignment horizontal="left" vertical="center" wrapText="1"/>
    </xf>
    <xf numFmtId="0" fontId="6" fillId="4" borderId="20" xfId="0" applyFont="1" applyFill="1" applyBorder="1" applyAlignment="1">
      <alignment horizontal="left" vertical="center" wrapText="1" indent="1"/>
    </xf>
    <xf numFmtId="0" fontId="7" fillId="0" borderId="21" xfId="0" applyFont="1" applyBorder="1" applyAlignment="1">
      <alignment horizontal="left" vertical="center" wrapText="1"/>
    </xf>
    <xf numFmtId="0" fontId="10" fillId="0" borderId="27" xfId="0" applyFont="1" applyBorder="1" applyAlignment="1">
      <alignment vertical="center" wrapText="1"/>
    </xf>
    <xf numFmtId="0" fontId="10" fillId="0" borderId="49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2" fillId="0" borderId="34" xfId="0" applyFont="1" applyBorder="1" applyAlignment="1">
      <alignment vertical="center" wrapText="1"/>
    </xf>
    <xf numFmtId="0" fontId="0" fillId="0" borderId="42" xfId="0" applyFont="1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10" fillId="0" borderId="48" xfId="0" applyFont="1" applyBorder="1" applyAlignment="1">
      <alignment horizontal="left" vertical="center" wrapText="1"/>
    </xf>
    <xf numFmtId="0" fontId="0" fillId="0" borderId="29" xfId="0" applyBorder="1"/>
    <xf numFmtId="0" fontId="12" fillId="0" borderId="30" xfId="0" applyFont="1" applyBorder="1"/>
    <xf numFmtId="0" fontId="12" fillId="0" borderId="31" xfId="0" applyFont="1" applyBorder="1" applyAlignment="1">
      <alignment horizontal="left" vertical="center" wrapText="1" indent="1"/>
    </xf>
    <xf numFmtId="0" fontId="14" fillId="0" borderId="29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 wrapText="1"/>
    </xf>
    <xf numFmtId="0" fontId="4" fillId="0" borderId="50" xfId="0" applyFont="1" applyBorder="1" applyAlignment="1">
      <alignment horizontal="left" vertical="center" wrapText="1"/>
    </xf>
    <xf numFmtId="0" fontId="4" fillId="0" borderId="51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indent="1"/>
    </xf>
    <xf numFmtId="0" fontId="13" fillId="0" borderId="17" xfId="0" applyFont="1" applyBorder="1" applyAlignment="1">
      <alignment horizontal="left"/>
    </xf>
    <xf numFmtId="0" fontId="0" fillId="0" borderId="27" xfId="0" applyFont="1" applyBorder="1" applyAlignment="1">
      <alignment horizontal="center"/>
    </xf>
    <xf numFmtId="3" fontId="10" fillId="0" borderId="28" xfId="0" applyNumberFormat="1" applyFont="1" applyBorder="1" applyAlignment="1">
      <alignment horizontal="center"/>
    </xf>
    <xf numFmtId="0" fontId="11" fillId="0" borderId="17" xfId="0" applyFont="1" applyBorder="1" applyAlignment="1">
      <alignment horizontal="center" vertical="center" wrapText="1"/>
    </xf>
    <xf numFmtId="0" fontId="2" fillId="0" borderId="17" xfId="0" applyFont="1" applyBorder="1"/>
    <xf numFmtId="0" fontId="0" fillId="0" borderId="52" xfId="0" applyBorder="1"/>
    <xf numFmtId="0" fontId="0" fillId="0" borderId="52" xfId="0" applyBorder="1" applyAlignment="1">
      <alignment horizontal="center"/>
    </xf>
    <xf numFmtId="0" fontId="0" fillId="0" borderId="65" xfId="0" applyFont="1" applyFill="1" applyBorder="1" applyAlignment="1">
      <alignment horizontal="center" vertical="center"/>
    </xf>
    <xf numFmtId="0" fontId="0" fillId="0" borderId="66" xfId="0" applyFont="1" applyFill="1" applyBorder="1" applyAlignment="1">
      <alignment horizontal="center" vertical="center"/>
    </xf>
    <xf numFmtId="0" fontId="0" fillId="0" borderId="67" xfId="0" applyFont="1" applyFill="1" applyBorder="1" applyAlignment="1">
      <alignment horizontal="center" vertical="center"/>
    </xf>
    <xf numFmtId="0" fontId="26" fillId="0" borderId="64" xfId="0" applyFont="1" applyFill="1" applyBorder="1" applyAlignment="1">
      <alignment horizontal="left" vertical="center" wrapText="1"/>
    </xf>
    <xf numFmtId="0" fontId="0" fillId="0" borderId="64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 indent="1"/>
    </xf>
    <xf numFmtId="0" fontId="4" fillId="0" borderId="25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left" vertical="center"/>
    </xf>
    <xf numFmtId="0" fontId="4" fillId="0" borderId="25" xfId="0" applyFont="1" applyFill="1" applyBorder="1" applyAlignment="1">
      <alignment horizontal="left" vertical="center" wrapText="1"/>
    </xf>
    <xf numFmtId="0" fontId="4" fillId="0" borderId="25" xfId="0" applyFont="1" applyFill="1" applyBorder="1" applyAlignment="1">
      <alignment horizontal="center" vertical="center" wrapText="1"/>
    </xf>
    <xf numFmtId="166" fontId="4" fillId="0" borderId="25" xfId="1" applyNumberFormat="1" applyFont="1" applyFill="1" applyBorder="1" applyAlignment="1" applyProtection="1">
      <alignment horizontal="right" vertical="center" wrapText="1"/>
    </xf>
    <xf numFmtId="3" fontId="4" fillId="0" borderId="25" xfId="0" applyNumberFormat="1" applyFont="1" applyFill="1" applyBorder="1" applyAlignment="1">
      <alignment horizontal="center" vertical="center"/>
    </xf>
    <xf numFmtId="0" fontId="9" fillId="0" borderId="26" xfId="0" applyFont="1" applyFill="1" applyBorder="1" applyAlignment="1">
      <alignment horizontal="center" vertical="center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2"/>
  <sheetViews>
    <sheetView topLeftCell="A25" zoomScaleNormal="100" workbookViewId="0">
      <selection activeCell="D22" sqref="D22"/>
    </sheetView>
  </sheetViews>
  <sheetFormatPr baseColWidth="10" defaultColWidth="11" defaultRowHeight="12.75" x14ac:dyDescent="0.2"/>
  <cols>
    <col min="1" max="1" width="4.5703125" style="39" customWidth="1"/>
    <col min="2" max="2" width="21.7109375" style="39" customWidth="1"/>
    <col min="3" max="3" width="36.7109375" style="39" customWidth="1"/>
    <col min="4" max="4" width="12.28515625" style="39" bestFit="1" customWidth="1"/>
    <col min="5" max="5" width="152.42578125" style="39" customWidth="1"/>
    <col min="6" max="6" width="11" style="39"/>
    <col min="7" max="8" width="10.42578125" style="39" bestFit="1" customWidth="1"/>
    <col min="9" max="9" width="15.7109375" style="39" bestFit="1" customWidth="1"/>
    <col min="10" max="16384" width="11" style="39"/>
  </cols>
  <sheetData>
    <row r="2" spans="1:9" ht="27" x14ac:dyDescent="0.35">
      <c r="B2" s="97" t="s">
        <v>0</v>
      </c>
      <c r="C2" s="97"/>
      <c r="D2" s="97"/>
      <c r="E2" s="97"/>
      <c r="F2" s="97"/>
      <c r="G2" s="97"/>
      <c r="H2" s="97"/>
    </row>
    <row r="4" spans="1:9" ht="18" customHeight="1" x14ac:dyDescent="0.25">
      <c r="A4" s="91" t="s">
        <v>1</v>
      </c>
      <c r="B4" s="91"/>
      <c r="C4" s="98" t="s">
        <v>57</v>
      </c>
      <c r="D4" s="98"/>
      <c r="E4" s="98"/>
      <c r="F4" s="40"/>
      <c r="G4" s="41"/>
      <c r="H4" s="40"/>
    </row>
    <row r="5" spans="1:9" ht="18" customHeight="1" x14ac:dyDescent="0.25">
      <c r="A5" s="91" t="s">
        <v>2</v>
      </c>
      <c r="B5" s="91"/>
      <c r="C5" s="98" t="s">
        <v>58</v>
      </c>
      <c r="D5" s="98"/>
      <c r="E5" s="98"/>
      <c r="F5" s="40"/>
      <c r="G5" s="41"/>
      <c r="H5" s="40"/>
    </row>
    <row r="6" spans="1:9" ht="16.5" customHeight="1" x14ac:dyDescent="0.25">
      <c r="A6" s="91" t="s">
        <v>3</v>
      </c>
      <c r="B6" s="91"/>
      <c r="C6" s="58">
        <v>2020</v>
      </c>
      <c r="D6" s="59"/>
      <c r="E6" s="59"/>
      <c r="F6" s="40"/>
      <c r="G6" s="41"/>
      <c r="H6" s="40"/>
    </row>
    <row r="7" spans="1:9" ht="16.5" customHeight="1" x14ac:dyDescent="0.25">
      <c r="A7" s="91" t="s">
        <v>4</v>
      </c>
      <c r="B7" s="91"/>
      <c r="C7" s="58">
        <v>4</v>
      </c>
      <c r="D7" s="59"/>
      <c r="E7" s="59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87" t="s">
        <v>5</v>
      </c>
      <c r="B9" s="61" t="s">
        <v>6</v>
      </c>
      <c r="C9" s="61" t="s">
        <v>7</v>
      </c>
      <c r="D9" s="61" t="s">
        <v>8</v>
      </c>
      <c r="E9" s="61" t="s">
        <v>9</v>
      </c>
      <c r="F9" s="65" t="s">
        <v>10</v>
      </c>
      <c r="G9" s="66" t="s">
        <v>11</v>
      </c>
      <c r="H9" s="66" t="s">
        <v>12</v>
      </c>
      <c r="I9" s="67" t="s">
        <v>13</v>
      </c>
    </row>
    <row r="10" spans="1:9" x14ac:dyDescent="0.2">
      <c r="A10" s="86">
        <v>1</v>
      </c>
      <c r="B10" t="s">
        <v>75</v>
      </c>
      <c r="C10" s="134" t="s">
        <v>65</v>
      </c>
      <c r="D10" s="135" t="s">
        <v>66</v>
      </c>
      <c r="E10" t="s">
        <v>76</v>
      </c>
      <c r="F10" s="70" t="s">
        <v>67</v>
      </c>
      <c r="G10" s="42">
        <v>600</v>
      </c>
      <c r="H10" s="75">
        <v>4000</v>
      </c>
      <c r="I10" s="77">
        <f>+H10*G10</f>
        <v>2400000</v>
      </c>
    </row>
    <row r="11" spans="1:9" x14ac:dyDescent="0.2">
      <c r="A11" s="43">
        <v>2</v>
      </c>
      <c r="B11" s="60"/>
      <c r="C11" s="60"/>
      <c r="D11" s="85"/>
      <c r="E11" s="60"/>
      <c r="F11" s="71"/>
      <c r="G11" s="72"/>
      <c r="H11" s="76"/>
      <c r="I11" s="78"/>
    </row>
    <row r="12" spans="1:9" x14ac:dyDescent="0.2">
      <c r="A12" s="43">
        <v>3</v>
      </c>
      <c r="B12" s="60"/>
      <c r="C12"/>
      <c r="D12" s="85"/>
      <c r="E12" s="60"/>
      <c r="F12" s="71"/>
      <c r="G12" s="72"/>
      <c r="H12" s="76"/>
      <c r="I12" s="78"/>
    </row>
    <row r="13" spans="1:9" x14ac:dyDescent="0.2">
      <c r="A13" s="43">
        <v>4</v>
      </c>
      <c r="B13" s="62"/>
      <c r="C13" s="60"/>
      <c r="D13" s="63"/>
      <c r="E13" s="60"/>
      <c r="F13" s="71"/>
      <c r="G13" s="72"/>
      <c r="H13" s="76"/>
      <c r="I13" s="78"/>
    </row>
    <row r="14" spans="1:9" x14ac:dyDescent="0.2">
      <c r="A14" s="43">
        <v>5</v>
      </c>
      <c r="B14" s="62"/>
      <c r="C14" s="60"/>
      <c r="D14" s="63"/>
      <c r="E14" s="60"/>
      <c r="F14" s="71"/>
      <c r="G14" s="73"/>
      <c r="H14" s="76"/>
      <c r="I14" s="78"/>
    </row>
    <row r="15" spans="1:9" ht="13.5" thickBot="1" x14ac:dyDescent="0.25">
      <c r="A15" s="44">
        <v>6</v>
      </c>
      <c r="B15" s="68"/>
      <c r="C15" s="69"/>
      <c r="D15" s="64"/>
      <c r="E15" s="69"/>
      <c r="F15" s="79"/>
      <c r="G15" s="74"/>
      <c r="H15" s="80"/>
      <c r="I15" s="81"/>
    </row>
    <row r="16" spans="1:9" x14ac:dyDescent="0.2">
      <c r="I16" s="88">
        <f>SUM(I10:I15)</f>
        <v>2400000</v>
      </c>
    </row>
    <row r="18" spans="2:5" x14ac:dyDescent="0.2">
      <c r="B18" s="45" t="s">
        <v>14</v>
      </c>
      <c r="C18" s="46"/>
      <c r="D18" s="46"/>
      <c r="E18" s="47"/>
    </row>
    <row r="19" spans="2:5" ht="5.25" customHeight="1" x14ac:dyDescent="0.2">
      <c r="B19" s="48"/>
      <c r="C19" s="49"/>
      <c r="D19" s="49"/>
      <c r="E19" s="50"/>
    </row>
    <row r="20" spans="2:5" x14ac:dyDescent="0.2">
      <c r="B20" s="51" t="s">
        <v>15</v>
      </c>
      <c r="C20" s="49"/>
      <c r="D20" s="49"/>
      <c r="E20" s="50"/>
    </row>
    <row r="21" spans="2:5" x14ac:dyDescent="0.2">
      <c r="B21" s="51"/>
      <c r="C21" s="89"/>
      <c r="D21" s="89"/>
      <c r="E21" s="89"/>
    </row>
    <row r="22" spans="2:5" x14ac:dyDescent="0.2">
      <c r="B22" s="51" t="s">
        <v>16</v>
      </c>
      <c r="C22" s="49"/>
      <c r="D22" s="49"/>
      <c r="E22" s="50"/>
    </row>
    <row r="23" spans="2:5" x14ac:dyDescent="0.2">
      <c r="B23" s="52"/>
      <c r="C23" s="92" t="s">
        <v>77</v>
      </c>
      <c r="D23" s="93"/>
      <c r="E23" s="94"/>
    </row>
    <row r="24" spans="2:5" ht="50.25" customHeight="1" x14ac:dyDescent="0.2">
      <c r="B24" s="52"/>
      <c r="C24" s="95" t="s">
        <v>70</v>
      </c>
      <c r="D24" s="95"/>
      <c r="E24" s="96"/>
    </row>
    <row r="25" spans="2:5" x14ac:dyDescent="0.2">
      <c r="B25" s="52"/>
      <c r="C25" s="83"/>
      <c r="D25" s="83"/>
      <c r="E25" s="84"/>
    </row>
    <row r="26" spans="2:5" x14ac:dyDescent="0.2">
      <c r="B26" s="51" t="s">
        <v>17</v>
      </c>
      <c r="C26" s="49"/>
      <c r="D26" s="49"/>
      <c r="E26" s="50"/>
    </row>
    <row r="27" spans="2:5" ht="26.25" customHeight="1" x14ac:dyDescent="0.2">
      <c r="B27" s="52"/>
      <c r="C27" s="89" t="s">
        <v>62</v>
      </c>
      <c r="D27" s="89"/>
      <c r="E27" s="89"/>
    </row>
    <row r="28" spans="2:5" x14ac:dyDescent="0.2">
      <c r="B28" s="51" t="s">
        <v>18</v>
      </c>
      <c r="C28" s="53"/>
      <c r="D28" s="53"/>
      <c r="E28" s="54"/>
    </row>
    <row r="29" spans="2:5" ht="26.25" customHeight="1" x14ac:dyDescent="0.2">
      <c r="B29" s="52"/>
      <c r="C29" s="89" t="s">
        <v>71</v>
      </c>
      <c r="D29" s="89"/>
      <c r="E29" s="89"/>
    </row>
    <row r="30" spans="2:5" x14ac:dyDescent="0.2">
      <c r="B30" s="51" t="s">
        <v>19</v>
      </c>
      <c r="C30" s="49"/>
      <c r="D30" s="49"/>
      <c r="E30" s="50"/>
    </row>
    <row r="31" spans="2:5" ht="23.25" customHeight="1" x14ac:dyDescent="0.2">
      <c r="B31" s="51"/>
      <c r="C31" s="90" t="s">
        <v>64</v>
      </c>
      <c r="D31" s="90"/>
      <c r="E31" s="90"/>
    </row>
    <row r="32" spans="2:5" x14ac:dyDescent="0.2">
      <c r="B32" s="55"/>
      <c r="C32" s="56"/>
      <c r="D32" s="56"/>
      <c r="E32" s="57"/>
    </row>
  </sheetData>
  <mergeCells count="13">
    <mergeCell ref="B2:H2"/>
    <mergeCell ref="A4:B4"/>
    <mergeCell ref="C4:E4"/>
    <mergeCell ref="A5:B5"/>
    <mergeCell ref="C5:E5"/>
    <mergeCell ref="C27:E27"/>
    <mergeCell ref="C29:E29"/>
    <mergeCell ref="C31:E31"/>
    <mergeCell ref="A6:B6"/>
    <mergeCell ref="A7:B7"/>
    <mergeCell ref="C21:E21"/>
    <mergeCell ref="C23:E23"/>
    <mergeCell ref="C24:E24"/>
  </mergeCells>
  <pageMargins left="0" right="0" top="0.74803149606299213" bottom="0" header="0.51181102362204722" footer="0.51181102362204722"/>
  <pageSetup paperSize="5" scale="65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6"/>
  <sheetViews>
    <sheetView tabSelected="1" zoomScale="110" zoomScaleNormal="110" workbookViewId="0">
      <selection activeCell="D20" sqref="D20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6" t="s">
        <v>20</v>
      </c>
      <c r="B1" s="106"/>
      <c r="C1" s="106"/>
      <c r="D1" s="106"/>
      <c r="E1" s="106"/>
      <c r="F1" s="106"/>
      <c r="G1" s="106"/>
      <c r="H1" s="106"/>
      <c r="I1" s="106"/>
      <c r="J1" s="3" t="s">
        <v>21</v>
      </c>
      <c r="K1" s="4" t="s">
        <v>72</v>
      </c>
    </row>
    <row r="2" spans="1:11" ht="18.75" customHeight="1" thickBot="1" x14ac:dyDescent="0.25">
      <c r="A2" s="5"/>
      <c r="B2" s="5"/>
      <c r="C2" s="5"/>
      <c r="D2" s="6"/>
      <c r="E2" s="6"/>
      <c r="F2" s="6"/>
      <c r="G2" s="6"/>
      <c r="H2" s="6"/>
      <c r="I2" s="6"/>
      <c r="J2" s="6"/>
      <c r="K2" s="6"/>
    </row>
    <row r="3" spans="1:11" ht="18.75" customHeight="1" thickBot="1" x14ac:dyDescent="0.25">
      <c r="A3" s="107" t="s">
        <v>54</v>
      </c>
      <c r="B3" s="107"/>
      <c r="C3" s="107"/>
      <c r="D3" s="108" t="str">
        <f>'Necesidades Trimestrales'!C4</f>
        <v>45- Ministerio de Desarrollo Social y Deporte</v>
      </c>
      <c r="E3" s="108"/>
      <c r="F3" s="108"/>
      <c r="G3" s="108"/>
      <c r="H3" s="108"/>
      <c r="I3" s="108"/>
      <c r="J3" s="108"/>
      <c r="K3" s="108"/>
    </row>
    <row r="4" spans="1:11" ht="18.75" customHeight="1" thickBot="1" x14ac:dyDescent="0.25">
      <c r="A4" s="109" t="s">
        <v>55</v>
      </c>
      <c r="B4" s="109"/>
      <c r="C4" s="109"/>
      <c r="D4" s="108" t="str">
        <f>'Necesidades Trimestrales'!C5</f>
        <v>25- Direccion Provincial de Gestion Administrativa y RRHH</v>
      </c>
      <c r="E4" s="108"/>
      <c r="F4" s="108"/>
      <c r="G4" s="108"/>
      <c r="H4" s="108"/>
      <c r="I4" s="108"/>
      <c r="J4" s="108"/>
      <c r="K4" s="108"/>
    </row>
    <row r="5" spans="1:11" ht="18.75" customHeight="1" thickBot="1" x14ac:dyDescent="0.25">
      <c r="A5" s="109" t="s">
        <v>33</v>
      </c>
      <c r="B5" s="109"/>
      <c r="C5" s="109"/>
      <c r="D5" s="108" t="s">
        <v>60</v>
      </c>
      <c r="E5" s="108"/>
      <c r="F5" s="108"/>
      <c r="G5" s="108"/>
      <c r="H5" s="108"/>
      <c r="I5" s="108"/>
      <c r="J5" s="108"/>
      <c r="K5" s="108"/>
    </row>
    <row r="6" spans="1:11" ht="16.5" customHeight="1" thickBot="1" x14ac:dyDescent="0.25">
      <c r="A6" s="107" t="s">
        <v>56</v>
      </c>
      <c r="B6" s="107"/>
      <c r="C6" s="107"/>
      <c r="D6" s="108" t="s">
        <v>68</v>
      </c>
      <c r="E6" s="108"/>
      <c r="F6" s="108"/>
      <c r="G6" s="108"/>
      <c r="H6" s="108"/>
      <c r="I6" s="108"/>
      <c r="J6" s="108"/>
      <c r="K6" s="108"/>
    </row>
    <row r="7" spans="1:11" ht="16.5" customHeight="1" x14ac:dyDescent="0.2">
      <c r="A7" s="109" t="s">
        <v>22</v>
      </c>
      <c r="B7" s="109"/>
      <c r="C7" s="109"/>
      <c r="D7" s="108" t="str">
        <f>'Necesidades Trimestrales'!C7 &amp; "° Trimestre - Año " &amp; 'Necesidades Trimestrales'!C6</f>
        <v>4° Trimestre - Año 2020</v>
      </c>
      <c r="E7" s="108"/>
      <c r="F7" s="108"/>
      <c r="G7" s="108"/>
      <c r="H7" s="108"/>
      <c r="I7" s="108"/>
      <c r="J7" s="108"/>
      <c r="K7" s="108"/>
    </row>
    <row r="8" spans="1:11" ht="15.75" x14ac:dyDescent="0.2">
      <c r="A8" s="101" t="s">
        <v>23</v>
      </c>
      <c r="B8" s="101"/>
      <c r="C8" s="101"/>
      <c r="D8" s="102" t="s">
        <v>69</v>
      </c>
      <c r="E8" s="102"/>
      <c r="F8" s="102"/>
      <c r="G8" s="102"/>
      <c r="H8" s="102"/>
      <c r="I8" s="102"/>
      <c r="J8" s="102"/>
      <c r="K8" s="102"/>
    </row>
    <row r="9" spans="1:11" ht="15.75" x14ac:dyDescent="0.2">
      <c r="A9" s="7"/>
      <c r="B9" s="7"/>
      <c r="C9" s="7"/>
      <c r="D9" s="8"/>
      <c r="E9" s="8"/>
      <c r="F9" s="8"/>
      <c r="G9" s="8"/>
      <c r="H9" s="8"/>
      <c r="I9" s="8"/>
      <c r="J9" s="8"/>
      <c r="K9" s="8"/>
    </row>
    <row r="10" spans="1:11" ht="18.75" customHeight="1" x14ac:dyDescent="0.2">
      <c r="A10" s="103" t="s">
        <v>24</v>
      </c>
      <c r="B10" s="104" t="s">
        <v>25</v>
      </c>
      <c r="C10" s="104" t="s">
        <v>26</v>
      </c>
      <c r="D10" s="104"/>
      <c r="E10" s="104"/>
      <c r="F10" s="104"/>
      <c r="G10" s="104"/>
      <c r="H10" s="104" t="s">
        <v>27</v>
      </c>
      <c r="I10" s="104" t="s">
        <v>28</v>
      </c>
      <c r="J10" s="104" t="s">
        <v>29</v>
      </c>
      <c r="K10" s="105" t="s">
        <v>30</v>
      </c>
    </row>
    <row r="11" spans="1:11" ht="24" customHeight="1" x14ac:dyDescent="0.2">
      <c r="A11" s="103"/>
      <c r="B11" s="104"/>
      <c r="C11" s="104"/>
      <c r="D11" s="104"/>
      <c r="E11" s="104"/>
      <c r="F11" s="104"/>
      <c r="G11" s="104"/>
      <c r="H11" s="104"/>
      <c r="I11" s="104"/>
      <c r="J11" s="104"/>
      <c r="K11" s="105"/>
    </row>
    <row r="12" spans="1:11" ht="31.5" customHeight="1" thickBot="1" x14ac:dyDescent="0.25">
      <c r="A12" s="142">
        <v>1</v>
      </c>
      <c r="B12" s="143" t="str">
        <f>'Necesidades Trimestrales'!B10</f>
        <v>2.2.9-701.140</v>
      </c>
      <c r="C12" s="144" t="str">
        <f>'Necesidades Trimestrales'!E10</f>
        <v>COLCHONES; CONSTRUCCION: ESPUMA, DIMENSION: 190 X 80 Cm, ESPESOR: 17 Cm, DENSIDAD: 23 KG/CM2, TERMINACION: TELA</v>
      </c>
      <c r="D12" s="144"/>
      <c r="E12" s="144"/>
      <c r="F12" s="144"/>
      <c r="G12" s="144"/>
      <c r="H12" s="142" t="s">
        <v>59</v>
      </c>
      <c r="I12" s="145" t="str">
        <f>'Necesidades Trimestrales'!F10</f>
        <v>UNIDADES</v>
      </c>
      <c r="J12" s="146">
        <f>'Necesidades Trimestrales'!H10</f>
        <v>4000</v>
      </c>
      <c r="K12" s="147">
        <f>'Necesidades Trimestrales'!G10</f>
        <v>600</v>
      </c>
    </row>
    <row r="13" spans="1:11" ht="36" customHeight="1" thickBot="1" x14ac:dyDescent="0.25">
      <c r="A13" s="148"/>
      <c r="B13" s="143"/>
      <c r="C13" s="144"/>
      <c r="D13" s="144"/>
      <c r="E13" s="144"/>
      <c r="F13" s="144"/>
      <c r="G13" s="144"/>
      <c r="H13" s="142"/>
      <c r="I13" s="145"/>
      <c r="J13" s="146"/>
      <c r="K13" s="147"/>
    </row>
    <row r="14" spans="1:11" ht="33.75" customHeight="1" thickBot="1" x14ac:dyDescent="0.25">
      <c r="A14" s="148"/>
      <c r="B14" s="143"/>
      <c r="C14" s="144"/>
      <c r="D14" s="144"/>
      <c r="E14" s="144"/>
      <c r="F14" s="144"/>
      <c r="G14" s="144"/>
      <c r="H14" s="142"/>
      <c r="I14" s="145"/>
      <c r="J14" s="146"/>
      <c r="K14" s="147"/>
    </row>
    <row r="15" spans="1:11" ht="27.75" customHeight="1" thickBot="1" x14ac:dyDescent="0.25">
      <c r="A15" s="148"/>
      <c r="B15" s="143"/>
      <c r="C15" s="144"/>
      <c r="D15" s="144"/>
      <c r="E15" s="144"/>
      <c r="F15" s="144"/>
      <c r="G15" s="144"/>
      <c r="H15" s="142"/>
      <c r="I15" s="145"/>
      <c r="J15" s="146"/>
      <c r="K15" s="147"/>
    </row>
    <row r="16" spans="1:11" ht="26.25" customHeight="1" thickBot="1" x14ac:dyDescent="0.25">
      <c r="A16" s="99" t="s">
        <v>73</v>
      </c>
      <c r="B16" s="99"/>
      <c r="C16" s="99"/>
      <c r="D16" s="99"/>
      <c r="E16" s="99"/>
      <c r="F16" s="99"/>
      <c r="G16" s="99"/>
      <c r="H16" s="99"/>
      <c r="I16" s="99"/>
      <c r="J16" s="100">
        <f>+J12*K12+J13*K13+J14*K14</f>
        <v>2400000</v>
      </c>
      <c r="K16" s="100"/>
    </row>
  </sheetData>
  <mergeCells count="26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6:I16"/>
    <mergeCell ref="J16:K16"/>
    <mergeCell ref="C12:G12"/>
    <mergeCell ref="C13:G13"/>
    <mergeCell ref="C14:G14"/>
    <mergeCell ref="C15:G15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opLeftCell="A10" zoomScale="130" zoomScaleNormal="130" workbookViewId="0">
      <selection activeCell="A25" sqref="A25:Q26"/>
    </sheetView>
  </sheetViews>
  <sheetFormatPr baseColWidth="10" defaultColWidth="11" defaultRowHeight="12.75" x14ac:dyDescent="0.2"/>
  <cols>
    <col min="1" max="4" width="4.42578125" customWidth="1"/>
    <col min="5" max="5" width="3.7109375" bestFit="1" customWidth="1"/>
    <col min="6" max="6" width="5" bestFit="1" customWidth="1"/>
    <col min="7" max="7" width="4.42578125" style="9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3.28515625" bestFit="1" customWidth="1"/>
  </cols>
  <sheetData>
    <row r="1" spans="1:18" ht="15.75" customHeight="1" x14ac:dyDescent="0.25">
      <c r="A1" s="130" t="s">
        <v>3</v>
      </c>
      <c r="B1" s="130"/>
      <c r="C1" s="130"/>
      <c r="D1" s="131">
        <f>'Necesidades Trimestrales'!C6</f>
        <v>2020</v>
      </c>
      <c r="E1" s="131"/>
      <c r="F1" s="10"/>
      <c r="G1" s="10"/>
      <c r="H1" s="11"/>
      <c r="I1" s="11"/>
      <c r="J1" s="11"/>
      <c r="K1" s="11"/>
      <c r="L1" s="11"/>
      <c r="M1" s="11"/>
      <c r="N1" s="11"/>
      <c r="P1" s="132" t="s">
        <v>31</v>
      </c>
      <c r="Q1" s="132"/>
    </row>
    <row r="2" spans="1:18" ht="15.75" customHeight="1" x14ac:dyDescent="0.2">
      <c r="H2" s="11"/>
      <c r="I2" s="11"/>
      <c r="J2" s="11"/>
      <c r="K2" s="11"/>
      <c r="L2" s="11"/>
      <c r="M2" s="11"/>
      <c r="N2" s="11"/>
      <c r="P2" s="132"/>
      <c r="Q2" s="132"/>
    </row>
    <row r="4" spans="1:18" s="12" customFormat="1" ht="18" customHeight="1" thickBot="1" x14ac:dyDescent="0.25">
      <c r="A4" s="133" t="s">
        <v>32</v>
      </c>
      <c r="B4" s="133"/>
      <c r="C4" s="133"/>
      <c r="D4" s="133"/>
      <c r="E4" s="133"/>
      <c r="F4" s="133"/>
      <c r="G4" s="128" t="str">
        <f>' NotaPedido'!D3</f>
        <v>45- Ministerio de Desarrollo Social y Deporte</v>
      </c>
      <c r="H4" s="128"/>
      <c r="I4" s="128"/>
      <c r="J4" s="128"/>
      <c r="K4" s="128"/>
      <c r="L4" s="128"/>
      <c r="M4" s="128"/>
      <c r="N4" s="128"/>
      <c r="O4" s="128"/>
      <c r="P4" s="128"/>
      <c r="Q4" s="128"/>
    </row>
    <row r="5" spans="1:18" s="12" customFormat="1" ht="18" customHeight="1" thickBot="1" x14ac:dyDescent="0.25">
      <c r="A5" s="125" t="s">
        <v>55</v>
      </c>
      <c r="B5" s="126"/>
      <c r="C5" s="126"/>
      <c r="D5" s="126"/>
      <c r="E5" s="126"/>
      <c r="F5" s="127"/>
      <c r="G5" s="128" t="str">
        <f>' NotaPedido'!D4</f>
        <v>25- Direccion Provincial de Gestion Administrativa y RRHH</v>
      </c>
      <c r="H5" s="128"/>
      <c r="I5" s="128"/>
      <c r="J5" s="128"/>
      <c r="K5" s="128"/>
      <c r="L5" s="128"/>
      <c r="M5" s="128"/>
      <c r="N5" s="128"/>
      <c r="O5" s="128"/>
      <c r="P5" s="128"/>
      <c r="Q5" s="128"/>
    </row>
    <row r="6" spans="1:18" s="12" customFormat="1" ht="18" customHeight="1" thickBot="1" x14ac:dyDescent="0.25">
      <c r="A6" s="125" t="s">
        <v>33</v>
      </c>
      <c r="B6" s="126"/>
      <c r="C6" s="126"/>
      <c r="D6" s="126"/>
      <c r="E6" s="126"/>
      <c r="F6" s="127"/>
      <c r="G6" s="128" t="s">
        <v>61</v>
      </c>
      <c r="H6" s="128"/>
      <c r="I6" s="128"/>
      <c r="J6" s="128"/>
      <c r="K6" s="128"/>
      <c r="L6" s="128"/>
      <c r="M6" s="128"/>
      <c r="N6" s="128"/>
      <c r="O6" s="128"/>
      <c r="P6" s="128"/>
      <c r="Q6" s="128"/>
    </row>
    <row r="7" spans="1:18" s="12" customFormat="1" ht="18" customHeight="1" thickBot="1" x14ac:dyDescent="0.25">
      <c r="A7" s="125" t="s">
        <v>56</v>
      </c>
      <c r="B7" s="126"/>
      <c r="C7" s="126"/>
      <c r="D7" s="126"/>
      <c r="E7" s="126"/>
      <c r="F7" s="127"/>
      <c r="G7" s="128" t="s">
        <v>68</v>
      </c>
      <c r="H7" s="128"/>
      <c r="I7" s="128"/>
      <c r="J7" s="128"/>
      <c r="K7" s="128"/>
      <c r="L7" s="128"/>
      <c r="M7" s="128"/>
      <c r="N7" s="128"/>
      <c r="O7" s="128"/>
      <c r="P7" s="128"/>
      <c r="Q7" s="128"/>
    </row>
    <row r="8" spans="1:18" ht="18" customHeight="1" thickBot="1" x14ac:dyDescent="0.25">
      <c r="A8" s="129" t="s">
        <v>34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</row>
    <row r="9" spans="1:18" ht="18" customHeight="1" x14ac:dyDescent="0.2">
      <c r="A9" s="119" t="s">
        <v>35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"/>
      <c r="P9" s="1"/>
      <c r="Q9" s="13"/>
    </row>
    <row r="10" spans="1:18" ht="54.75" customHeight="1" x14ac:dyDescent="0.2">
      <c r="A10" s="12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306/2020,  afectando la erogación resultante a los créditos presupuestarios aprobados a favor de esta Unidad Ejecutora, conforme al siguiente detalle: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</row>
    <row r="11" spans="1:18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8" ht="15.75" customHeight="1" x14ac:dyDescent="0.2">
      <c r="A12" s="121" t="s">
        <v>36</v>
      </c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</row>
    <row r="13" spans="1:18" ht="15.75" customHeight="1" x14ac:dyDescent="0.2">
      <c r="A13" s="122" t="s">
        <v>37</v>
      </c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3" t="s">
        <v>38</v>
      </c>
      <c r="P13" s="123"/>
      <c r="Q13" s="124" t="s">
        <v>39</v>
      </c>
    </row>
    <row r="14" spans="1:18" ht="15.75" customHeight="1" x14ac:dyDescent="0.2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23"/>
      <c r="P14" s="123"/>
      <c r="Q14" s="124"/>
    </row>
    <row r="15" spans="1:18" ht="17.25" customHeight="1" x14ac:dyDescent="0.2">
      <c r="A15" s="136">
        <v>16</v>
      </c>
      <c r="B15" s="137"/>
      <c r="C15" s="137"/>
      <c r="D15" s="137">
        <v>2</v>
      </c>
      <c r="E15" s="137"/>
      <c r="F15" s="137">
        <v>4901</v>
      </c>
      <c r="G15" s="137">
        <v>1</v>
      </c>
      <c r="H15" s="137">
        <v>4</v>
      </c>
      <c r="I15" s="137" t="str">
        <f>LEFT('Necesidades Trimestrales'!D10,1)</f>
        <v>2</v>
      </c>
      <c r="J15" s="137">
        <v>2</v>
      </c>
      <c r="K15" s="137">
        <v>9</v>
      </c>
      <c r="L15" s="137"/>
      <c r="M15" s="138">
        <v>1</v>
      </c>
      <c r="N15" s="137">
        <v>1.1000000000000001</v>
      </c>
      <c r="O15" s="139" t="s">
        <v>63</v>
      </c>
      <c r="P15" s="140"/>
      <c r="Q15" s="23">
        <v>2400000</v>
      </c>
      <c r="R15" s="82"/>
    </row>
    <row r="16" spans="1:18" ht="17.25" customHeight="1" x14ac:dyDescent="0.2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5"/>
      <c r="O16" s="114"/>
      <c r="P16" s="114"/>
      <c r="Q16" s="28"/>
    </row>
    <row r="17" spans="1:18" ht="17.25" customHeight="1" x14ac:dyDescent="0.2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6"/>
      <c r="N17" s="27"/>
      <c r="O17" s="114"/>
      <c r="P17" s="114"/>
      <c r="Q17" s="28"/>
    </row>
    <row r="18" spans="1:18" ht="17.25" customHeight="1" x14ac:dyDescent="0.2">
      <c r="A18" s="24"/>
      <c r="B18" s="25"/>
      <c r="C18" s="25"/>
      <c r="D18" s="25"/>
      <c r="E18" s="25"/>
      <c r="F18" s="27"/>
      <c r="G18" s="25"/>
      <c r="H18" s="25"/>
      <c r="I18" s="25"/>
      <c r="J18" s="25"/>
      <c r="K18" s="25"/>
      <c r="L18" s="25"/>
      <c r="M18" s="26"/>
      <c r="N18" s="27"/>
      <c r="O18" s="114"/>
      <c r="P18" s="114"/>
      <c r="Q18" s="28"/>
    </row>
    <row r="19" spans="1:18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14"/>
      <c r="P19" s="114"/>
      <c r="Q19" s="28"/>
    </row>
    <row r="20" spans="1:18" ht="17.25" customHeight="1" x14ac:dyDescent="0.2">
      <c r="A20" s="29"/>
      <c r="B20" s="30"/>
      <c r="C20" s="30"/>
      <c r="D20" s="30"/>
      <c r="E20" s="30"/>
      <c r="F20" s="31"/>
      <c r="G20" s="30"/>
      <c r="H20" s="30"/>
      <c r="I20" s="30"/>
      <c r="J20" s="30"/>
      <c r="K20" s="30"/>
      <c r="L20" s="30"/>
      <c r="M20" s="32"/>
      <c r="N20" s="33"/>
      <c r="O20" s="115"/>
      <c r="P20" s="115"/>
      <c r="Q20" s="28"/>
      <c r="R20" s="1"/>
    </row>
    <row r="21" spans="1:18" ht="17.25" customHeight="1" x14ac:dyDescent="0.2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6"/>
      <c r="N21" s="35"/>
      <c r="O21" s="116"/>
      <c r="P21" s="116"/>
      <c r="Q21" s="37"/>
    </row>
    <row r="22" spans="1:18" ht="20.25" customHeight="1" x14ac:dyDescent="0.2">
      <c r="A22" s="117" t="s">
        <v>74</v>
      </c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38">
        <f>SUM(Q15:Q21)</f>
        <v>2400000</v>
      </c>
    </row>
    <row r="23" spans="1:18" ht="18" customHeight="1" thickBot="1" x14ac:dyDescent="0.25">
      <c r="A23" s="118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</row>
    <row r="24" spans="1:18" ht="17.25" customHeight="1" thickBot="1" x14ac:dyDescent="0.25">
      <c r="A24" s="110" t="s">
        <v>53</v>
      </c>
      <c r="B24" s="111"/>
      <c r="C24" s="111"/>
      <c r="D24" s="111"/>
      <c r="E24" s="111"/>
      <c r="F24" s="112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</row>
    <row r="25" spans="1:18" ht="18" customHeight="1" thickBot="1" x14ac:dyDescent="0.25">
      <c r="A25" s="141" t="s">
        <v>69</v>
      </c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</row>
    <row r="26" spans="1:18" x14ac:dyDescent="0.2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Usuario de Windows</cp:lastModifiedBy>
  <cp:revision>2</cp:revision>
  <cp:lastPrinted>2020-10-15T14:59:35Z</cp:lastPrinted>
  <dcterms:created xsi:type="dcterms:W3CDTF">2020-07-17T23:44:49Z</dcterms:created>
  <dcterms:modified xsi:type="dcterms:W3CDTF">2020-10-29T13:53:09Z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