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 tabRatio="500" firstSheet="1" activeTab="2"/>
  </bookViews>
  <sheets>
    <sheet name="Hoja1" sheetId="2" state="hidden" r:id="rId1"/>
    <sheet name="Utiles de Escritorio" sheetId="17" r:id="rId2"/>
    <sheet name="Autor Gastar" sheetId="20" r:id="rId3"/>
    <sheet name="Hoja2" sheetId="19" r:id="rId4"/>
  </sheets>
  <externalReferences>
    <externalReference r:id="rId5"/>
    <externalReference r:id="rId6"/>
  </externalReferences>
  <definedNames>
    <definedName name="_xlnm._FilterDatabase" localSheetId="1" hidden="1">'Utiles de Escritorio'!$A$9:$I$63</definedName>
    <definedName name="_xlcn.WorksheetConnection_RelevamientodeHardMinisteriodeTrabajoyRRHH20base.xlsxTabla11" localSheetId="2" hidden="1">[1]!Tabla1[#Data]</definedName>
    <definedName name="_xlcn.WorksheetConnection_RelevamientodeHardMinisteriodeTrabajoyRRHH20base.xlsxTabla11" localSheetId="1" hidden="1">[1]!Tabla1[#Data]</definedName>
    <definedName name="_xlcn.WorksheetConnection_RelevamientodeHardMinisteriodeTrabajoyRRHH20base.xlsxTabla11" hidden="1">[2]!Tabla1[#Data]</definedName>
    <definedName name="_xlnm.Print_Area" localSheetId="2">'Autor Gastar'!$A$1:$Q$27</definedName>
    <definedName name="ORGANIGRAMA" localSheetId="2">#REF!</definedName>
    <definedName name="ORGANIGRAMA" localSheetId="1">#REF!</definedName>
    <definedName name="ORGANIGRAMA">#REF!</definedName>
    <definedName name="toners" localSheetId="2">#REF!</definedName>
    <definedName name="toners" localSheetId="1">#REF!</definedName>
    <definedName name="toners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" i="20" l="1"/>
  <c r="G7" i="20"/>
  <c r="I62" i="17" l="1"/>
  <c r="I61" i="17"/>
  <c r="I60" i="17"/>
  <c r="I59" i="17"/>
  <c r="D59" i="17"/>
  <c r="I58" i="17"/>
  <c r="D58" i="17"/>
  <c r="I57" i="17"/>
  <c r="D57" i="17"/>
  <c r="I56" i="17"/>
  <c r="D56" i="17"/>
  <c r="I55" i="17"/>
  <c r="D55" i="17"/>
  <c r="I54" i="17"/>
  <c r="D54" i="17"/>
  <c r="I53" i="17"/>
  <c r="D53" i="17"/>
  <c r="I52" i="17"/>
  <c r="D52" i="17"/>
  <c r="I51" i="17"/>
  <c r="D51" i="17"/>
  <c r="I50" i="17"/>
  <c r="D50" i="17"/>
  <c r="I49" i="17"/>
  <c r="D49" i="17"/>
  <c r="I48" i="17"/>
  <c r="D48" i="17"/>
  <c r="I47" i="17"/>
  <c r="D47" i="17"/>
  <c r="I46" i="17"/>
  <c r="D46" i="17"/>
  <c r="I45" i="17"/>
  <c r="D45" i="17"/>
  <c r="I44" i="17"/>
  <c r="D44" i="17"/>
  <c r="I43" i="17"/>
  <c r="D43" i="17"/>
  <c r="I42" i="17"/>
  <c r="D42" i="17"/>
  <c r="I41" i="17"/>
  <c r="D41" i="17"/>
  <c r="I40" i="17"/>
  <c r="D40" i="17"/>
  <c r="I39" i="17"/>
  <c r="D39" i="17"/>
  <c r="I38" i="17"/>
  <c r="D38" i="17"/>
  <c r="I37" i="17"/>
  <c r="D37" i="17"/>
  <c r="I36" i="17"/>
  <c r="D36" i="17"/>
  <c r="I35" i="17"/>
  <c r="D35" i="17"/>
  <c r="I34" i="17"/>
  <c r="D34" i="17"/>
  <c r="I33" i="17"/>
  <c r="D33" i="17"/>
  <c r="I32" i="17"/>
  <c r="D32" i="17"/>
  <c r="I31" i="17"/>
  <c r="D31" i="17"/>
  <c r="I30" i="17"/>
  <c r="D30" i="17"/>
  <c r="I29" i="17"/>
  <c r="D29" i="17"/>
  <c r="I28" i="17"/>
  <c r="D28" i="17"/>
  <c r="I27" i="17"/>
  <c r="D27" i="17"/>
  <c r="I26" i="17"/>
  <c r="D26" i="17"/>
  <c r="I25" i="17"/>
  <c r="D25" i="17"/>
  <c r="I24" i="17"/>
  <c r="D24" i="17"/>
  <c r="I23" i="17"/>
  <c r="D23" i="17"/>
  <c r="I22" i="17"/>
  <c r="D22" i="17"/>
  <c r="I21" i="17"/>
  <c r="D21" i="17"/>
  <c r="I20" i="17"/>
  <c r="D20" i="17"/>
  <c r="I19" i="17"/>
  <c r="D19" i="17"/>
  <c r="I18" i="17"/>
  <c r="D18" i="17"/>
  <c r="I17" i="17"/>
  <c r="I16" i="17"/>
  <c r="D16" i="17"/>
  <c r="D15" i="17"/>
  <c r="I14" i="17"/>
  <c r="D14" i="17"/>
  <c r="I13" i="17"/>
  <c r="D13" i="17"/>
  <c r="I12" i="17"/>
  <c r="D12" i="17"/>
  <c r="I11" i="17"/>
  <c r="D11" i="17"/>
  <c r="I10" i="17"/>
  <c r="D10" i="17"/>
  <c r="I63" i="17" l="1"/>
</calcChain>
</file>

<file path=xl/sharedStrings.xml><?xml version="1.0" encoding="utf-8"?>
<sst xmlns="http://schemas.openxmlformats.org/spreadsheetml/2006/main" count="326" uniqueCount="189">
  <si>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</si>
  <si>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</si>
  <si>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</si>
  <si>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</si>
  <si>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</si>
  <si>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</si>
  <si>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</si>
  <si>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</si>
  <si>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</si>
  <si>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</si>
  <si>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</si>
  <si>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</si>
  <si>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</si>
  <si>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</si>
  <si>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</si>
  <si>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</si>
  <si>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</si>
  <si>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</si>
  <si>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</si>
  <si>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</si>
  <si>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LIBRERIA,PAP. Y UTILES OFICINA</t>
  </si>
  <si>
    <t>2.9.2-1358.34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</si>
  <si>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</si>
  <si>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2.3.1-6563.1009</t>
  </si>
  <si>
    <t>2.3.1-6563.968</t>
  </si>
  <si>
    <t>2.3.1-6587.333</t>
  </si>
  <si>
    <t>2.3.1-6587.346</t>
  </si>
  <si>
    <t>2.3.1-6590.555</t>
  </si>
  <si>
    <t>2.3.1-6590.556</t>
  </si>
  <si>
    <t>2.9.2-1153.35</t>
  </si>
  <si>
    <t>2.9.2-1153.47</t>
  </si>
  <si>
    <t>2.9.2-1153.90</t>
  </si>
  <si>
    <t>2.9.2-1354.15</t>
  </si>
  <si>
    <t>2.9.2-1354.17</t>
  </si>
  <si>
    <t>2.9.2-1354.28</t>
  </si>
  <si>
    <t>2.9.2-1354.29</t>
  </si>
  <si>
    <t>2.9.2-1358.35</t>
  </si>
  <si>
    <t>2.9.2-1450.30</t>
  </si>
  <si>
    <t xml:space="preserve">UNIDAD </t>
  </si>
  <si>
    <t>2.9.2-1450.4</t>
  </si>
  <si>
    <t>2.9.2-1616.128</t>
  </si>
  <si>
    <t>2.9.2-1616.134</t>
  </si>
  <si>
    <t>2.9.2-1616.79</t>
  </si>
  <si>
    <t>2.9.2-261.14</t>
  </si>
  <si>
    <t>2.9.2-262.4</t>
  </si>
  <si>
    <t>2.9.2-262.45</t>
  </si>
  <si>
    <t>2.9.2-274.49</t>
  </si>
  <si>
    <t>2.9.2-274.73</t>
  </si>
  <si>
    <t>2.9.2-317.1</t>
  </si>
  <si>
    <t>2.9.2-317.17</t>
  </si>
  <si>
    <t>2.9.2-660.10</t>
  </si>
  <si>
    <t>2.9.2-700.59</t>
  </si>
  <si>
    <t>2.9.2-758.8</t>
  </si>
  <si>
    <t>2.9.2-790.10</t>
  </si>
  <si>
    <t>2.9.2-791.9</t>
  </si>
  <si>
    <t>2.9.2-848.20</t>
  </si>
  <si>
    <t>2.9.2-848.22</t>
  </si>
  <si>
    <t>2.9.2-853.30</t>
  </si>
  <si>
    <t>2.9.2-853.31</t>
  </si>
  <si>
    <t>2.9.2-873.1</t>
  </si>
  <si>
    <t>2.9.2-317.21</t>
  </si>
  <si>
    <t>2.9.2-674.9</t>
  </si>
  <si>
    <t>2.9.2-661.11</t>
  </si>
  <si>
    <t>30 (treinta)  días habiles</t>
  </si>
  <si>
    <t>2.3.1-928.8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</si>
  <si>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</si>
  <si>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</si>
  <si>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</si>
  <si>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</si>
  <si>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</si>
  <si>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</si>
  <si>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</si>
  <si>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</si>
  <si>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</si>
  <si>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</si>
  <si>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</si>
  <si>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</si>
  <si>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</si>
  <si>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</si>
  <si>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</si>
  <si>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</si>
  <si>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</si>
  <si>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</si>
  <si>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</si>
  <si>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</si>
  <si>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</si>
  <si>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</si>
  <si>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</si>
  <si>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</si>
  <si>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</si>
  <si>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</si>
  <si>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</si>
  <si>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</si>
  <si>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</si>
  <si>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</si>
  <si>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</si>
  <si>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2.9.2-323.4</t>
  </si>
  <si>
    <t>2.9.2-753.11</t>
  </si>
  <si>
    <t>CAJA</t>
  </si>
  <si>
    <t>PAQUETE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</si>
  <si>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</si>
  <si>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</si>
  <si>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</si>
  <si>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</si>
  <si>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</si>
  <si>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</si>
  <si>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</si>
  <si>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</si>
  <si>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</si>
  <si>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</si>
  <si>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</si>
  <si>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</si>
  <si>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</si>
  <si>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</si>
  <si>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</si>
  <si>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</si>
  <si>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</si>
  <si>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</si>
  <si>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</si>
  <si>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r>
      <t>PAPELES ENCUADERNADOS; CANT. DE HOJAS: 100, TAMAÑO: A4, TIPO: CUADERNO ESPIRALADO TAPA DURA, CERTIFICADO FORESTAL (GFS): SIN, PORC. FIBRAS RECICLADAS: 0 %, CERT. FIBRA ALTERNATIVA (FCA): SIN.</t>
    </r>
    <r>
      <rPr>
        <sz val="14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RAYADO</t>
    </r>
    <r>
      <rPr>
        <sz val="14"/>
        <rFont val="Times New Roman"/>
        <family val="1"/>
      </rPr>
      <t>.</t>
    </r>
  </si>
  <si>
    <r>
      <t xml:space="preserve">BIBLIORATOS; ANCHO: 80 mm, ANILLO: 2 Y PALANCA, TAMAÑO: A4, MATERIAL: CARTON FORRADO EN PVC. </t>
    </r>
    <r>
      <rPr>
        <b/>
        <sz val="14"/>
        <rFont val="Times New Roman"/>
        <family val="1"/>
      </rPr>
      <t>COLOR: GRIS.</t>
    </r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</si>
  <si>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ROJA</t>
    </r>
  </si>
  <si>
    <r>
      <t xml:space="preserve">BOLIGRAFOS; TRAZO: GRUESO, COLOR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VERDE</t>
    </r>
  </si>
  <si>
    <r>
      <t>BROCHES P/EXPEDIENTE; TIPO: MARIPOSA, LONG.DE CUERPO: 65 mm.</t>
    </r>
    <r>
      <rPr>
        <b/>
        <sz val="20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 UNIDADES</t>
    </r>
  </si>
  <si>
    <r>
      <t>BROCHES P/EXPEDIENTE; TIPO: MARIPOSA, LONG.DE CUERPO: 25 mm.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</t>
    </r>
    <r>
      <rPr>
        <b/>
        <sz val="20"/>
        <rFont val="Times New Roman"/>
        <family val="1"/>
      </rPr>
      <t xml:space="preserve"> </t>
    </r>
  </si>
  <si>
    <r>
      <t xml:space="preserve">BROCHES P/EXPEDIENTE; TIPO: MARIPOSA, LONG.DE CUERPO: 75 mm </t>
    </r>
    <r>
      <rPr>
        <b/>
        <sz val="14"/>
        <rFont val="Times New Roman"/>
        <family val="1"/>
      </rPr>
      <t xml:space="preserve">PRESENTACION: CAJA X 100 </t>
    </r>
  </si>
  <si>
    <t>2.3.1-6587.291</t>
  </si>
  <si>
    <r>
      <t xml:space="preserve">PAPELES ENCUADERNADOS; CANT. DE HOJAS: 120 HOJAS, TAMAÑO: 16 X 21 Cm, TIPO: RAYADO ESPIRALADO, CERTIFICADO FORESTAL (GFS): SIN, PORC. FIBRAS RECICLADAS: SIN VALOR %, CERT. FIBRA ALTERNATIVA (FCA): SIN
</t>
    </r>
    <r>
      <rPr>
        <b/>
        <u/>
        <sz val="14"/>
        <rFont val="Times New Roman"/>
        <family val="1"/>
      </rPr>
      <t>ESPIRALADO CON TAPA DURA. FORMATO: RAYADO</t>
    </r>
  </si>
  <si>
    <t>2.9.2</t>
  </si>
  <si>
    <t>22 - Subsecretaria de Administracion Financiera del Ministerio de Trabajo, Planificacion y Recursos Humanos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</si>
  <si>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</si>
  <si>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</si>
  <si>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2.9.2-1611.1</t>
  </si>
  <si>
    <t>2.9.2-1611.21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</si>
  <si>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</si>
  <si>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</si>
  <si>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</si>
  <si>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12- Ministerio de Trabajo, Planificacion y Recursos Humanos</t>
  </si>
  <si>
    <t>TINTAS P/SELLOS; TIPO DE SELLO: DE GOMA, COLOR: NEGRO, PRESENTACION: ENVASE X 50 CM3, ENVASE: 50 CM3</t>
  </si>
  <si>
    <r>
      <t xml:space="preserve">CARPETAS; COLOR: NEGRO, TIPO: </t>
    </r>
    <r>
      <rPr>
        <b/>
        <u/>
        <sz val="14"/>
        <rFont val="Times New Roman"/>
        <family val="1"/>
      </rPr>
      <t>TAPA TRANSPARENTE,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PRESENTACION:</t>
    </r>
    <r>
      <rPr>
        <b/>
        <sz val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QUINCE (15) PAQUETES DE 10 UNIDADES, EN TOTAL 150 UNIDADES.</t>
    </r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</si>
  <si>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14"/>
        <rFont val="Times New Roman"/>
        <family val="1"/>
      </rPr>
      <t>PAQUETE DE 10  UNIDADES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QUINCE (15) PAQUETES DE 10 UNIDADES, EN TOTAL 150 UNIDADES.</t>
    </r>
  </si>
  <si>
    <t>Especificidades Ítem N° 3:</t>
  </si>
  <si>
    <t>Especificidades Ítem N° 5:</t>
  </si>
  <si>
    <t>Especificidades Ítem N° 18:</t>
  </si>
  <si>
    <t>Especificidades Ítem N° 17:</t>
  </si>
  <si>
    <t>Especificidades Ítem N° 27:</t>
  </si>
  <si>
    <t>Especificidades Ítem N° 32:</t>
  </si>
  <si>
    <t>Especificidades Ítem N° 31:</t>
  </si>
  <si>
    <t>Especificidades Ítem N° 46:</t>
  </si>
  <si>
    <t>Especificidades Ítem N° 47:</t>
  </si>
  <si>
    <t>Especificidades Ítem N° 48:</t>
  </si>
  <si>
    <t>a) LUGAR DE ENTREGA: Oficinas Centrales del Ministerio de Trabajo, Planificacion y Recursos Humanos, sito en Av. Colon-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</si>
  <si>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</si>
  <si>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2.9.2-791.41</t>
  </si>
  <si>
    <t>TALONARIOS NOTAS AUTOADHESIVAS; MEDIDA: 50 X 50 mm</t>
  </si>
  <si>
    <t>Especificidades Ítem N° 8:</t>
  </si>
  <si>
    <t>TALONARIOS NOTAS AUTOADHESIVAS; MEDIDA: 50 X 50 mm - PRESENTACION: POR 240 HOJAS</t>
  </si>
  <si>
    <t>AUTORIZACION PARA GASTAR</t>
  </si>
  <si>
    <t>JURISDICCIÓN:</t>
  </si>
  <si>
    <t>SAF:</t>
  </si>
  <si>
    <t>UNIDAD EJECUTORA:</t>
  </si>
  <si>
    <t>Ministerio de Trabajo, Planificacion y Reursos Humanos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</si>
  <si>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</si>
  <si>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</si>
  <si>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</si>
  <si>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la Necesidad Trimestral Programada para el 1er Trimestre,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</si>
  <si>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</si>
  <si>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</si>
  <si>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</si>
  <si>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</si>
  <si>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</si>
  <si>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</si>
  <si>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</si>
  <si>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</si>
  <si>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</si>
  <si>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</si>
  <si>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</si>
  <si>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</si>
  <si>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</si>
  <si>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</si>
  <si>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</si>
  <si>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</si>
  <si>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</si>
  <si>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</si>
  <si>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PAPEL DE ESCRITORIO Y CARTON</t>
  </si>
  <si>
    <t>PAPEL DE ESCRITORIO Y CARTON6</t>
  </si>
  <si>
    <t>UTILES DE ESCRITORIO, OFICINA Y ENSEÑANZA</t>
  </si>
  <si>
    <t>JUSTIFICACIÓN: Adquisición de Utiles de Escritorio para las distintas dependencias de este Ministerio.</t>
  </si>
  <si>
    <t>MONTO TOTAL ESTIMADO: UN MILLON SEISCIENTOS VEINTICUATRO MIL OCHOCIENTOS QUINCE CON 60/100.-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</si>
</sst>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_ [$$-2C0A]\ * #,##0.00_ ;_ [$$-2C0A]\ * \-#,##0.00_ ;_ [$$-2C0A]\ * &quot;-&quot;??_ ;_ @_ "/>
    <numFmt numFmtId="166" formatCode="dd\-mm\-yy;@"/>
    <numFmt numFmtId="167" formatCode="_-[$$-2C0A]\ * #,##0.00_-;\-[$$-2C0A]\ * #,##0.00_-;_-[$$-2C0A]\ * &quot;-&quot;??_-;_-@_-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4" fontId="5" fillId="0" borderId="0" applyBorder="0" applyProtection="0"/>
    <xf numFmtId="0" fontId="3" fillId="0" borderId="1" applyProtection="0"/>
    <xf numFmtId="0" fontId="4" fillId="2" borderId="0" applyBorder="0" applyProtection="0"/>
    <xf numFmtId="0" fontId="2" fillId="0" borderId="0"/>
    <xf numFmtId="0" fontId="1" fillId="0" borderId="0"/>
    <xf numFmtId="0" fontId="5" fillId="0" borderId="0"/>
  </cellStyleXfs>
  <cellXfs count="175">
    <xf numFmtId="0" fontId="0" fillId="0" borderId="0" xfId="0"/>
    <xf numFmtId="0" fontId="6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0" borderId="0" xfId="0" applyFont="1" applyBorder="1"/>
    <xf numFmtId="0" fontId="11" fillId="0" borderId="13" xfId="0" applyFont="1" applyBorder="1" applyAlignment="1">
      <alignment horizontal="left" indent="3"/>
    </xf>
    <xf numFmtId="0" fontId="6" fillId="0" borderId="13" xfId="0" applyFont="1" applyBorder="1" applyAlignment="1">
      <alignment horizontal="left" indent="3"/>
    </xf>
    <xf numFmtId="0" fontId="6" fillId="0" borderId="15" xfId="0" applyFont="1" applyBorder="1" applyAlignment="1">
      <alignment horizontal="left" indent="3"/>
    </xf>
    <xf numFmtId="0" fontId="6" fillId="0" borderId="0" xfId="0" applyFont="1" applyFill="1"/>
    <xf numFmtId="0" fontId="6" fillId="0" borderId="0" xfId="0" applyFont="1" applyAlignment="1"/>
    <xf numFmtId="0" fontId="11" fillId="0" borderId="10" xfId="0" applyFont="1" applyBorder="1" applyAlignment="1"/>
    <xf numFmtId="0" fontId="6" fillId="0" borderId="13" xfId="0" applyFont="1" applyBorder="1" applyAlignment="1"/>
    <xf numFmtId="0" fontId="11" fillId="0" borderId="13" xfId="0" applyFont="1" applyBorder="1" applyAlignment="1"/>
    <xf numFmtId="0" fontId="6" fillId="0" borderId="15" xfId="0" applyFont="1" applyBorder="1" applyAlignment="1"/>
    <xf numFmtId="165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/>
    <xf numFmtId="0" fontId="15" fillId="0" borderId="1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3" xfId="0" applyFont="1" applyBorder="1" applyAlignment="1"/>
    <xf numFmtId="0" fontId="6" fillId="0" borderId="9" xfId="0" applyFont="1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8" xfId="0" applyFont="1" applyBorder="1"/>
    <xf numFmtId="0" fontId="6" fillId="0" borderId="9" xfId="0" applyFont="1" applyBorder="1" applyAlignment="1"/>
    <xf numFmtId="0" fontId="6" fillId="0" borderId="9" xfId="0" applyFont="1" applyBorder="1" applyAlignment="1">
      <alignment horizontal="center"/>
    </xf>
    <xf numFmtId="165" fontId="6" fillId="0" borderId="7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 wrapText="1"/>
    </xf>
    <xf numFmtId="165" fontId="5" fillId="0" borderId="0" xfId="1" applyNumberFormat="1" applyAlignment="1">
      <alignment horizontal="center" vertical="center"/>
    </xf>
    <xf numFmtId="165" fontId="5" fillId="0" borderId="6" xfId="1" applyNumberFormat="1" applyBorder="1" applyAlignment="1">
      <alignment horizontal="center" vertical="center"/>
    </xf>
    <xf numFmtId="165" fontId="5" fillId="0" borderId="9" xfId="1" applyNumberFormat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165" fontId="5" fillId="0" borderId="6" xfId="1" applyNumberFormat="1" applyFill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65" fontId="13" fillId="0" borderId="18" xfId="0" applyNumberFormat="1" applyFont="1" applyBorder="1"/>
    <xf numFmtId="0" fontId="11" fillId="0" borderId="15" xfId="0" applyFont="1" applyBorder="1" applyAlignment="1"/>
    <xf numFmtId="0" fontId="11" fillId="0" borderId="0" xfId="0" applyFont="1" applyBorder="1" applyAlignment="1"/>
    <xf numFmtId="165" fontId="5" fillId="0" borderId="3" xfId="1" applyNumberForma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5" fontId="5" fillId="0" borderId="0" xfId="1" applyNumberFormat="1" applyBorder="1" applyAlignment="1">
      <alignment horizontal="center" vertical="center"/>
    </xf>
    <xf numFmtId="165" fontId="6" fillId="0" borderId="0" xfId="0" applyNumberFormat="1" applyFont="1" applyBorder="1"/>
    <xf numFmtId="0" fontId="6" fillId="0" borderId="19" xfId="0" applyFont="1" applyBorder="1" applyAlignment="1">
      <alignment vertical="center" wrapText="1"/>
    </xf>
    <xf numFmtId="165" fontId="5" fillId="0" borderId="19" xfId="1" applyNumberFormat="1" applyBorder="1" applyAlignment="1">
      <alignment horizontal="center" vertical="center"/>
    </xf>
    <xf numFmtId="165" fontId="6" fillId="0" borderId="20" xfId="1" applyNumberFormat="1" applyFont="1" applyFill="1" applyBorder="1" applyAlignment="1" applyProtection="1">
      <alignment horizontal="right" vertical="center" wrapText="1"/>
    </xf>
    <xf numFmtId="0" fontId="13" fillId="0" borderId="6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3" fontId="13" fillId="0" borderId="6" xfId="0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3" fontId="26" fillId="0" borderId="0" xfId="6" applyNumberFormat="1" applyFont="1" applyBorder="1" applyAlignment="1"/>
    <xf numFmtId="166" fontId="25" fillId="0" borderId="0" xfId="6" applyNumberFormat="1" applyFont="1" applyAlignment="1">
      <alignment horizontal="left"/>
    </xf>
    <xf numFmtId="0" fontId="25" fillId="0" borderId="0" xfId="6" applyFont="1"/>
    <xf numFmtId="167" fontId="25" fillId="0" borderId="0" xfId="6" applyNumberFormat="1" applyFont="1"/>
    <xf numFmtId="0" fontId="25" fillId="0" borderId="0" xfId="6" applyFont="1" applyAlignment="1">
      <alignment horizontal="left"/>
    </xf>
    <xf numFmtId="167" fontId="5" fillId="0" borderId="0" xfId="1" applyNumberFormat="1"/>
    <xf numFmtId="0" fontId="25" fillId="0" borderId="0" xfId="6" applyFont="1" applyBorder="1"/>
    <xf numFmtId="167" fontId="5" fillId="0" borderId="32" xfId="1" applyNumberFormat="1" applyBorder="1"/>
    <xf numFmtId="0" fontId="25" fillId="0" borderId="33" xfId="6" applyFont="1" applyBorder="1"/>
    <xf numFmtId="0" fontId="25" fillId="0" borderId="0" xfId="6" applyFont="1" applyBorder="1" applyAlignment="1">
      <alignment horizontal="left"/>
    </xf>
    <xf numFmtId="0" fontId="25" fillId="0" borderId="5" xfId="6" applyFont="1" applyFill="1" applyBorder="1" applyAlignment="1">
      <alignment horizontal="center" vertical="center"/>
    </xf>
    <xf numFmtId="0" fontId="25" fillId="0" borderId="6" xfId="6" applyFont="1" applyFill="1" applyBorder="1" applyAlignment="1">
      <alignment horizontal="center" vertical="center"/>
    </xf>
    <xf numFmtId="0" fontId="28" fillId="0" borderId="40" xfId="6" applyFont="1" applyBorder="1" applyAlignment="1">
      <alignment horizontal="center" vertical="center"/>
    </xf>
    <xf numFmtId="0" fontId="28" fillId="0" borderId="41" xfId="6" applyFont="1" applyBorder="1" applyAlignment="1">
      <alignment horizontal="center" vertical="center"/>
    </xf>
    <xf numFmtId="0" fontId="28" fillId="0" borderId="41" xfId="6" applyFont="1" applyBorder="1" applyAlignment="1">
      <alignment horizontal="left" vertical="center"/>
    </xf>
    <xf numFmtId="0" fontId="28" fillId="0" borderId="42" xfId="6" applyFont="1" applyBorder="1" applyAlignment="1">
      <alignment horizontal="center" vertical="center"/>
    </xf>
    <xf numFmtId="0" fontId="28" fillId="0" borderId="43" xfId="6" applyFont="1" applyBorder="1" applyAlignment="1">
      <alignment horizontal="center" vertical="center"/>
    </xf>
    <xf numFmtId="167" fontId="25" fillId="0" borderId="7" xfId="1" applyNumberFormat="1" applyFont="1" applyBorder="1"/>
    <xf numFmtId="167" fontId="25" fillId="0" borderId="7" xfId="1" applyNumberFormat="1" applyFont="1" applyBorder="1" applyProtection="1"/>
    <xf numFmtId="167" fontId="28" fillId="0" borderId="45" xfId="1" applyNumberFormat="1" applyFont="1" applyBorder="1"/>
    <xf numFmtId="0" fontId="6" fillId="0" borderId="1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 vertical="center"/>
    </xf>
    <xf numFmtId="0" fontId="26" fillId="0" borderId="21" xfId="6" applyFont="1" applyBorder="1" applyAlignment="1">
      <alignment horizontal="left" vertical="center" wrapText="1"/>
    </xf>
    <xf numFmtId="0" fontId="26" fillId="0" borderId="22" xfId="6" applyFont="1" applyBorder="1" applyAlignment="1">
      <alignment horizontal="left" vertical="center" wrapText="1"/>
    </xf>
    <xf numFmtId="0" fontId="26" fillId="0" borderId="23" xfId="6" applyFont="1" applyBorder="1" applyAlignment="1">
      <alignment horizontal="left" vertical="center" wrapText="1"/>
    </xf>
    <xf numFmtId="0" fontId="25" fillId="0" borderId="6" xfId="6" applyFont="1" applyFill="1" applyBorder="1" applyAlignment="1">
      <alignment horizontal="center" vertical="center" wrapText="1"/>
    </xf>
    <xf numFmtId="0" fontId="28" fillId="0" borderId="46" xfId="6" applyFont="1" applyFill="1" applyBorder="1" applyAlignment="1">
      <alignment horizontal="left" wrapText="1"/>
    </xf>
    <xf numFmtId="0" fontId="25" fillId="0" borderId="47" xfId="6" applyFont="1" applyFill="1" applyBorder="1" applyAlignment="1">
      <alignment horizontal="left" wrapText="1"/>
    </xf>
    <xf numFmtId="0" fontId="25" fillId="0" borderId="48" xfId="6" applyFont="1" applyFill="1" applyBorder="1" applyAlignment="1">
      <alignment horizontal="left" wrapText="1"/>
    </xf>
    <xf numFmtId="0" fontId="29" fillId="0" borderId="24" xfId="6" applyFont="1" applyBorder="1"/>
    <xf numFmtId="0" fontId="29" fillId="0" borderId="31" xfId="6" applyFont="1" applyBorder="1"/>
    <xf numFmtId="0" fontId="29" fillId="0" borderId="33" xfId="6" applyFont="1" applyBorder="1" applyAlignment="1">
      <alignment horizontal="left" vertical="center" wrapText="1" indent="1"/>
    </xf>
    <xf numFmtId="0" fontId="29" fillId="0" borderId="0" xfId="6" applyFont="1" applyBorder="1" applyAlignment="1">
      <alignment horizontal="left" vertical="center" wrapText="1" indent="1"/>
    </xf>
    <xf numFmtId="0" fontId="29" fillId="0" borderId="32" xfId="6" applyFont="1" applyBorder="1" applyAlignment="1">
      <alignment horizontal="left" vertical="center" wrapText="1" indent="1"/>
    </xf>
    <xf numFmtId="0" fontId="28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28" fillId="0" borderId="12" xfId="6" applyFont="1" applyBorder="1" applyAlignment="1">
      <alignment horizontal="center" vertical="center"/>
    </xf>
    <xf numFmtId="0" fontId="28" fillId="0" borderId="34" xfId="6" applyFont="1" applyBorder="1" applyAlignment="1">
      <alignment horizontal="center" vertical="center"/>
    </xf>
    <xf numFmtId="0" fontId="28" fillId="0" borderId="35" xfId="6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 wrapText="1"/>
    </xf>
    <xf numFmtId="0" fontId="28" fillId="0" borderId="38" xfId="6" applyFont="1" applyBorder="1" applyAlignment="1">
      <alignment horizontal="center" vertical="center" wrapText="1"/>
    </xf>
    <xf numFmtId="0" fontId="28" fillId="0" borderId="33" xfId="6" applyFont="1" applyBorder="1" applyAlignment="1">
      <alignment horizontal="center" vertical="center" wrapText="1"/>
    </xf>
    <xf numFmtId="0" fontId="28" fillId="0" borderId="32" xfId="6" applyFont="1" applyBorder="1" applyAlignment="1">
      <alignment horizontal="center" vertical="center" wrapText="1"/>
    </xf>
    <xf numFmtId="167" fontId="5" fillId="0" borderId="39" xfId="1" applyNumberFormat="1" applyBorder="1"/>
    <xf numFmtId="167" fontId="5" fillId="0" borderId="44" xfId="1" applyNumberFormat="1" applyBorder="1"/>
    <xf numFmtId="0" fontId="25" fillId="0" borderId="28" xfId="6" applyFont="1" applyBorder="1" applyAlignment="1">
      <alignment horizontal="left" vertical="center" wrapText="1"/>
    </xf>
    <xf numFmtId="0" fontId="25" fillId="0" borderId="29" xfId="6" applyFont="1" applyBorder="1" applyAlignment="1">
      <alignment horizontal="left" vertical="center" wrapText="1"/>
    </xf>
    <xf numFmtId="0" fontId="25" fillId="0" borderId="30" xfId="6" applyFont="1" applyBorder="1" applyAlignment="1">
      <alignment horizontal="left" vertical="center" wrapText="1"/>
    </xf>
    <xf numFmtId="0" fontId="29" fillId="0" borderId="28" xfId="6" applyFont="1" applyBorder="1" applyAlignment="1">
      <alignment horizontal="left" indent="1"/>
    </xf>
    <xf numFmtId="0" fontId="29" fillId="0" borderId="29" xfId="6" applyFont="1" applyBorder="1" applyAlignment="1">
      <alignment horizontal="left" indent="1"/>
    </xf>
    <xf numFmtId="0" fontId="29" fillId="0" borderId="30" xfId="6" applyFont="1" applyBorder="1" applyAlignment="1">
      <alignment horizontal="left" indent="1"/>
    </xf>
    <xf numFmtId="0" fontId="30" fillId="0" borderId="28" xfId="6" applyFont="1" applyBorder="1" applyAlignment="1">
      <alignment horizontal="left"/>
    </xf>
    <xf numFmtId="0" fontId="30" fillId="0" borderId="29" xfId="6" applyFont="1" applyBorder="1" applyAlignment="1">
      <alignment horizontal="left"/>
    </xf>
    <xf numFmtId="0" fontId="30" fillId="0" borderId="30" xfId="6" applyFont="1" applyBorder="1" applyAlignment="1">
      <alignment horizontal="left"/>
    </xf>
    <xf numFmtId="0" fontId="29" fillId="0" borderId="28" xfId="6" applyFont="1" applyBorder="1" applyAlignment="1">
      <alignment horizontal="left" wrapText="1" indent="1"/>
    </xf>
    <xf numFmtId="0" fontId="29" fillId="0" borderId="29" xfId="6" applyFont="1" applyBorder="1" applyAlignment="1">
      <alignment horizontal="left" wrapText="1" indent="1"/>
    </xf>
    <xf numFmtId="0" fontId="29" fillId="0" borderId="30" xfId="6" applyFont="1" applyBorder="1" applyAlignment="1">
      <alignment horizontal="left" wrapText="1" indent="1"/>
    </xf>
    <xf numFmtId="0" fontId="25" fillId="0" borderId="21" xfId="6" applyFont="1" applyBorder="1" applyAlignment="1">
      <alignment horizontal="center"/>
    </xf>
    <xf numFmtId="0" fontId="25" fillId="0" borderId="22" xfId="6" applyFont="1" applyBorder="1" applyAlignment="1">
      <alignment horizontal="center"/>
    </xf>
    <xf numFmtId="3" fontId="26" fillId="0" borderId="22" xfId="6" applyNumberFormat="1" applyFont="1" applyBorder="1" applyAlignment="1">
      <alignment horizontal="center"/>
    </xf>
    <xf numFmtId="3" fontId="26" fillId="0" borderId="23" xfId="6" applyNumberFormat="1" applyFont="1" applyBorder="1" applyAlignment="1">
      <alignment horizontal="center"/>
    </xf>
    <xf numFmtId="0" fontId="27" fillId="0" borderId="24" xfId="6" applyFont="1" applyBorder="1" applyAlignment="1">
      <alignment horizontal="center" vertical="center" wrapText="1"/>
    </xf>
    <xf numFmtId="0" fontId="27" fillId="0" borderId="25" xfId="6" applyFont="1" applyBorder="1" applyAlignment="1">
      <alignment horizontal="center" vertical="center" wrapText="1"/>
    </xf>
    <xf numFmtId="0" fontId="27" fillId="0" borderId="26" xfId="6" applyFont="1" applyBorder="1" applyAlignment="1">
      <alignment horizontal="center" vertical="center" wrapText="1"/>
    </xf>
    <xf numFmtId="0" fontId="27" fillId="0" borderId="27" xfId="6" applyFont="1" applyBorder="1" applyAlignment="1">
      <alignment horizontal="center" vertical="center" wrapText="1"/>
    </xf>
    <xf numFmtId="0" fontId="25" fillId="0" borderId="28" xfId="6" applyFont="1" applyBorder="1"/>
    <xf numFmtId="0" fontId="25" fillId="0" borderId="29" xfId="6" applyFont="1" applyBorder="1"/>
    <xf numFmtId="0" fontId="25" fillId="0" borderId="30" xfId="6" applyFont="1" applyBorder="1"/>
  </cellXfs>
  <cellStyles count="7">
    <cellStyle name="Encabezado 1" xfId="2"/>
    <cellStyle name="Moneda" xfId="1" builtinId="4"/>
    <cellStyle name="Neutral 1" xfId="3"/>
    <cellStyle name="Normal" xfId="0" builtinId="0"/>
    <cellStyle name="Normal 2" xfId="4"/>
    <cellStyle name="Normal 3" xfId="5"/>
    <cellStyle name="Normal 4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067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1"/>
  <sheetViews>
    <sheetView zoomScale="90" zoomScaleNormal="90" workbookViewId="0">
      <selection activeCell="J134" sqref="J134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140625" style="102" customWidth="1"/>
    <col min="4" max="4" width="8.85546875" style="103" customWidth="1"/>
    <col min="5" max="5" width="79" style="104" customWidth="1"/>
    <col min="6" max="6" width="11" style="1"/>
    <col min="7" max="7" width="12.7109375" style="26" customWidth="1"/>
    <col min="8" max="8" width="13.85546875" style="46" customWidth="1"/>
    <col min="9" max="9" width="18.5703125" style="14" customWidth="1"/>
    <col min="10" max="10" width="65.5703125" style="1" customWidth="1"/>
    <col min="11" max="16384" width="11" style="1"/>
  </cols>
  <sheetData>
    <row r="2" spans="1:9" ht="27" x14ac:dyDescent="0.35">
      <c r="B2" s="122" t="s">
        <v>0</v>
      </c>
      <c r="C2" s="122"/>
      <c r="D2" s="122"/>
      <c r="E2" s="122"/>
      <c r="F2" s="122"/>
      <c r="G2" s="122"/>
      <c r="H2" s="122"/>
    </row>
    <row r="4" spans="1:9" ht="18" customHeight="1" x14ac:dyDescent="0.2">
      <c r="A4" s="119" t="s">
        <v>1</v>
      </c>
      <c r="B4" s="119"/>
      <c r="C4" s="123" t="s">
        <v>137</v>
      </c>
      <c r="D4" s="123"/>
      <c r="E4" s="123"/>
      <c r="F4" s="2"/>
      <c r="G4" s="3"/>
    </row>
    <row r="5" spans="1:9" ht="18" customHeight="1" x14ac:dyDescent="0.2">
      <c r="A5" s="119" t="s">
        <v>2</v>
      </c>
      <c r="B5" s="119"/>
      <c r="C5" s="123" t="s">
        <v>129</v>
      </c>
      <c r="D5" s="123"/>
      <c r="E5" s="123"/>
      <c r="F5" s="2"/>
      <c r="G5" s="3"/>
    </row>
    <row r="6" spans="1:9" ht="16.5" customHeight="1" x14ac:dyDescent="0.2">
      <c r="A6" s="119" t="s">
        <v>3</v>
      </c>
      <c r="B6" s="119"/>
      <c r="C6" s="95">
        <v>2022</v>
      </c>
      <c r="D6" s="96"/>
      <c r="E6" s="96"/>
      <c r="F6" s="2"/>
      <c r="G6" s="3"/>
    </row>
    <row r="7" spans="1:9" ht="16.5" customHeight="1" x14ac:dyDescent="0.2">
      <c r="A7" s="119" t="s">
        <v>4</v>
      </c>
      <c r="B7" s="119"/>
      <c r="C7" s="95">
        <v>3</v>
      </c>
      <c r="D7" s="96"/>
      <c r="E7" s="96"/>
      <c r="F7" s="2"/>
      <c r="G7" s="3"/>
    </row>
    <row r="8" spans="1:9" ht="13.5" thickBot="1" x14ac:dyDescent="0.25">
      <c r="B8" s="2"/>
      <c r="C8" s="97"/>
      <c r="D8" s="98"/>
      <c r="E8" s="98"/>
      <c r="F8" s="2"/>
      <c r="G8" s="3"/>
    </row>
    <row r="9" spans="1:9" ht="35.25" customHeight="1" x14ac:dyDescent="0.2">
      <c r="A9" s="43" t="s">
        <v>5</v>
      </c>
      <c r="B9" s="51" t="s">
        <v>6</v>
      </c>
      <c r="C9" s="44" t="s">
        <v>7</v>
      </c>
      <c r="D9" s="44" t="s">
        <v>8</v>
      </c>
      <c r="E9" s="44" t="s">
        <v>9</v>
      </c>
      <c r="F9" s="44" t="s">
        <v>10</v>
      </c>
      <c r="G9" s="44" t="s">
        <v>11</v>
      </c>
      <c r="H9" s="57" t="s">
        <v>12</v>
      </c>
      <c r="I9" s="45" t="s">
        <v>13</v>
      </c>
    </row>
    <row r="10" spans="1:9" ht="49.5" customHeight="1" x14ac:dyDescent="0.2">
      <c r="A10" s="31">
        <v>1</v>
      </c>
      <c r="B10" s="23" t="s">
        <v>23</v>
      </c>
      <c r="C10" s="32" t="s">
        <v>20</v>
      </c>
      <c r="D10" s="32" t="str">
        <f t="shared" ref="D10:D57" si="0">+LEFT(B10,5)</f>
        <v>2.3.1</v>
      </c>
      <c r="E10" s="24" t="s">
        <v>89</v>
      </c>
      <c r="F10" s="33" t="s">
        <v>14</v>
      </c>
      <c r="G10" s="66">
        <v>300</v>
      </c>
      <c r="H10" s="47">
        <v>1280</v>
      </c>
      <c r="I10" s="41">
        <f t="shared" ref="I10:I59" si="1">+H10*G10</f>
        <v>384000</v>
      </c>
    </row>
    <row r="11" spans="1:9" ht="40.5" customHeight="1" x14ac:dyDescent="0.2">
      <c r="A11" s="31">
        <v>2</v>
      </c>
      <c r="B11" s="23" t="s">
        <v>24</v>
      </c>
      <c r="C11" s="32" t="s">
        <v>20</v>
      </c>
      <c r="D11" s="32" t="str">
        <f t="shared" si="0"/>
        <v>2.3.1</v>
      </c>
      <c r="E11" s="24" t="s">
        <v>90</v>
      </c>
      <c r="F11" s="33" t="s">
        <v>14</v>
      </c>
      <c r="G11" s="67">
        <v>300</v>
      </c>
      <c r="H11" s="47">
        <v>1212</v>
      </c>
      <c r="I11" s="41">
        <f t="shared" si="1"/>
        <v>363600</v>
      </c>
    </row>
    <row r="12" spans="1:9" ht="49.5" customHeight="1" x14ac:dyDescent="0.2">
      <c r="A12" s="31">
        <v>3</v>
      </c>
      <c r="B12" s="23" t="s">
        <v>126</v>
      </c>
      <c r="C12" s="32" t="s">
        <v>20</v>
      </c>
      <c r="D12" s="32" t="str">
        <f t="shared" si="0"/>
        <v>2.3.1</v>
      </c>
      <c r="E12" s="24" t="s">
        <v>131</v>
      </c>
      <c r="F12" s="25" t="s">
        <v>14</v>
      </c>
      <c r="G12" s="65">
        <v>80</v>
      </c>
      <c r="H12" s="47">
        <v>1064</v>
      </c>
      <c r="I12" s="41">
        <f t="shared" si="1"/>
        <v>85120</v>
      </c>
    </row>
    <row r="13" spans="1:9" ht="49.5" customHeight="1" x14ac:dyDescent="0.2">
      <c r="A13" s="31">
        <v>4</v>
      </c>
      <c r="B13" s="23" t="s">
        <v>25</v>
      </c>
      <c r="C13" s="32" t="s">
        <v>20</v>
      </c>
      <c r="D13" s="30" t="str">
        <f t="shared" si="0"/>
        <v>2.3.1</v>
      </c>
      <c r="E13" s="24" t="s">
        <v>130</v>
      </c>
      <c r="F13" s="25" t="s">
        <v>14</v>
      </c>
      <c r="G13" s="65">
        <v>80</v>
      </c>
      <c r="H13" s="47">
        <v>543.91999999999996</v>
      </c>
      <c r="I13" s="41">
        <f t="shared" si="1"/>
        <v>43513.599999999999</v>
      </c>
    </row>
    <row r="14" spans="1:9" ht="49.5" customHeight="1" x14ac:dyDescent="0.2">
      <c r="A14" s="31">
        <v>5</v>
      </c>
      <c r="B14" s="23" t="s">
        <v>26</v>
      </c>
      <c r="C14" s="32" t="s">
        <v>20</v>
      </c>
      <c r="D14" s="30" t="str">
        <f t="shared" si="0"/>
        <v>2.3.1</v>
      </c>
      <c r="E14" s="24" t="s">
        <v>65</v>
      </c>
      <c r="F14" s="25" t="s">
        <v>14</v>
      </c>
      <c r="G14" s="65">
        <v>80</v>
      </c>
      <c r="H14" s="47">
        <v>1098</v>
      </c>
      <c r="I14" s="41">
        <f t="shared" si="1"/>
        <v>87840</v>
      </c>
    </row>
    <row r="15" spans="1:9" ht="49.5" customHeight="1" x14ac:dyDescent="0.2">
      <c r="A15" s="31">
        <v>6</v>
      </c>
      <c r="B15" s="23" t="s">
        <v>27</v>
      </c>
      <c r="C15" s="32" t="s">
        <v>20</v>
      </c>
      <c r="D15" s="30" t="str">
        <f t="shared" si="0"/>
        <v>2.3.1</v>
      </c>
      <c r="E15" s="24" t="s">
        <v>66</v>
      </c>
      <c r="F15" s="25" t="s">
        <v>14</v>
      </c>
      <c r="G15" s="65">
        <v>100</v>
      </c>
      <c r="H15" s="47">
        <v>17.75</v>
      </c>
      <c r="I15" s="41">
        <v>1775</v>
      </c>
    </row>
    <row r="16" spans="1:9" ht="49.5" customHeight="1" x14ac:dyDescent="0.2">
      <c r="A16" s="31">
        <v>7</v>
      </c>
      <c r="B16" s="23" t="s">
        <v>28</v>
      </c>
      <c r="C16" s="32" t="s">
        <v>20</v>
      </c>
      <c r="D16" s="30" t="str">
        <f t="shared" si="0"/>
        <v>2.3.1</v>
      </c>
      <c r="E16" s="24" t="s">
        <v>67</v>
      </c>
      <c r="F16" s="25" t="s">
        <v>14</v>
      </c>
      <c r="G16" s="65">
        <v>200</v>
      </c>
      <c r="H16" s="47">
        <v>17.989999999999998</v>
      </c>
      <c r="I16" s="41">
        <f t="shared" si="1"/>
        <v>3597.9999999999995</v>
      </c>
    </row>
    <row r="17" spans="1:10" ht="43.5" customHeight="1" x14ac:dyDescent="0.2">
      <c r="A17" s="31">
        <v>8</v>
      </c>
      <c r="B17" s="23" t="s">
        <v>153</v>
      </c>
      <c r="C17" s="32" t="s">
        <v>20</v>
      </c>
      <c r="D17" s="30" t="s">
        <v>128</v>
      </c>
      <c r="E17" s="24" t="s">
        <v>154</v>
      </c>
      <c r="F17" s="25" t="s">
        <v>14</v>
      </c>
      <c r="G17" s="65">
        <v>100</v>
      </c>
      <c r="H17" s="47">
        <v>430</v>
      </c>
      <c r="I17" s="41">
        <f t="shared" si="1"/>
        <v>43000</v>
      </c>
    </row>
    <row r="18" spans="1:10" ht="49.5" customHeight="1" x14ac:dyDescent="0.2">
      <c r="A18" s="31">
        <v>9</v>
      </c>
      <c r="B18" s="23" t="s">
        <v>94</v>
      </c>
      <c r="C18" s="32" t="s">
        <v>20</v>
      </c>
      <c r="D18" s="30" t="str">
        <f t="shared" si="0"/>
        <v>2.9.2</v>
      </c>
      <c r="E18" s="24" t="s">
        <v>95</v>
      </c>
      <c r="F18" s="25" t="s">
        <v>14</v>
      </c>
      <c r="G18" s="66">
        <v>50</v>
      </c>
      <c r="H18" s="47">
        <v>787</v>
      </c>
      <c r="I18" s="41">
        <f t="shared" si="1"/>
        <v>39350</v>
      </c>
    </row>
    <row r="19" spans="1:10" ht="42.75" customHeight="1" x14ac:dyDescent="0.2">
      <c r="A19" s="31">
        <v>10</v>
      </c>
      <c r="B19" s="23" t="s">
        <v>29</v>
      </c>
      <c r="C19" s="32" t="s">
        <v>20</v>
      </c>
      <c r="D19" s="30" t="str">
        <f t="shared" si="0"/>
        <v>2.9.2</v>
      </c>
      <c r="E19" s="24" t="s">
        <v>68</v>
      </c>
      <c r="F19" s="25" t="s">
        <v>14</v>
      </c>
      <c r="G19" s="65">
        <v>50</v>
      </c>
      <c r="H19" s="47">
        <v>231</v>
      </c>
      <c r="I19" s="41">
        <f t="shared" si="1"/>
        <v>11550</v>
      </c>
    </row>
    <row r="20" spans="1:10" ht="40.5" customHeight="1" x14ac:dyDescent="0.2">
      <c r="A20" s="31">
        <v>11</v>
      </c>
      <c r="B20" s="23" t="s">
        <v>30</v>
      </c>
      <c r="C20" s="32" t="s">
        <v>20</v>
      </c>
      <c r="D20" s="30" t="str">
        <f t="shared" si="0"/>
        <v>2.9.2</v>
      </c>
      <c r="E20" s="24" t="s">
        <v>69</v>
      </c>
      <c r="F20" s="25" t="s">
        <v>14</v>
      </c>
      <c r="G20" s="65">
        <v>50</v>
      </c>
      <c r="H20" s="47">
        <v>120</v>
      </c>
      <c r="I20" s="41">
        <f t="shared" si="1"/>
        <v>6000</v>
      </c>
    </row>
    <row r="21" spans="1:10" ht="41.25" customHeight="1" x14ac:dyDescent="0.2">
      <c r="A21" s="31">
        <v>12</v>
      </c>
      <c r="B21" s="23" t="s">
        <v>31</v>
      </c>
      <c r="C21" s="32" t="s">
        <v>20</v>
      </c>
      <c r="D21" s="30" t="str">
        <f t="shared" si="0"/>
        <v>2.9.2</v>
      </c>
      <c r="E21" s="24" t="s">
        <v>70</v>
      </c>
      <c r="F21" s="25" t="s">
        <v>14</v>
      </c>
      <c r="G21" s="66">
        <v>50</v>
      </c>
      <c r="H21" s="47">
        <v>209</v>
      </c>
      <c r="I21" s="41">
        <f t="shared" si="1"/>
        <v>10450</v>
      </c>
    </row>
    <row r="22" spans="1:10" ht="41.25" customHeight="1" x14ac:dyDescent="0.2">
      <c r="A22" s="31">
        <v>13</v>
      </c>
      <c r="B22" s="23" t="s">
        <v>32</v>
      </c>
      <c r="C22" s="32" t="s">
        <v>20</v>
      </c>
      <c r="D22" s="30" t="str">
        <f t="shared" si="0"/>
        <v>2.9.2</v>
      </c>
      <c r="E22" s="24" t="s">
        <v>100</v>
      </c>
      <c r="F22" s="25" t="s">
        <v>14</v>
      </c>
      <c r="G22" s="66">
        <v>100</v>
      </c>
      <c r="H22" s="47">
        <v>100</v>
      </c>
      <c r="I22" s="41">
        <f t="shared" si="1"/>
        <v>10000</v>
      </c>
    </row>
    <row r="23" spans="1:10" ht="39.75" customHeight="1" x14ac:dyDescent="0.2">
      <c r="A23" s="31">
        <v>14</v>
      </c>
      <c r="B23" s="23" t="s">
        <v>33</v>
      </c>
      <c r="C23" s="32" t="s">
        <v>20</v>
      </c>
      <c r="D23" s="30" t="str">
        <f t="shared" si="0"/>
        <v>2.9.2</v>
      </c>
      <c r="E23" s="24" t="s">
        <v>101</v>
      </c>
      <c r="F23" s="25" t="s">
        <v>14</v>
      </c>
      <c r="G23" s="66">
        <v>100</v>
      </c>
      <c r="H23" s="47">
        <v>92.5</v>
      </c>
      <c r="I23" s="41">
        <f t="shared" si="1"/>
        <v>9250</v>
      </c>
    </row>
    <row r="24" spans="1:10" ht="36" customHeight="1" x14ac:dyDescent="0.2">
      <c r="A24" s="31">
        <v>15</v>
      </c>
      <c r="B24" s="23" t="s">
        <v>34</v>
      </c>
      <c r="C24" s="32" t="s">
        <v>20</v>
      </c>
      <c r="D24" s="32" t="str">
        <f t="shared" si="0"/>
        <v>2.9.2</v>
      </c>
      <c r="E24" s="24" t="s">
        <v>102</v>
      </c>
      <c r="F24" s="33" t="s">
        <v>14</v>
      </c>
      <c r="G24" s="66">
        <v>100</v>
      </c>
      <c r="H24" s="47">
        <v>63</v>
      </c>
      <c r="I24" s="41">
        <f t="shared" si="1"/>
        <v>6300</v>
      </c>
    </row>
    <row r="25" spans="1:10" ht="36.75" customHeight="1" x14ac:dyDescent="0.2">
      <c r="A25" s="31">
        <v>16</v>
      </c>
      <c r="B25" s="23" t="s">
        <v>35</v>
      </c>
      <c r="C25" s="32" t="s">
        <v>20</v>
      </c>
      <c r="D25" s="32" t="str">
        <f t="shared" si="0"/>
        <v>2.9.2</v>
      </c>
      <c r="E25" s="24" t="s">
        <v>103</v>
      </c>
      <c r="F25" s="33" t="s">
        <v>14</v>
      </c>
      <c r="G25" s="66">
        <v>100</v>
      </c>
      <c r="H25" s="47">
        <v>76.599999999999994</v>
      </c>
      <c r="I25" s="41">
        <f t="shared" si="1"/>
        <v>7659.9999999999991</v>
      </c>
    </row>
    <row r="26" spans="1:10" ht="31.5" customHeight="1" x14ac:dyDescent="0.2">
      <c r="A26" s="31">
        <v>17</v>
      </c>
      <c r="B26" s="52" t="s">
        <v>21</v>
      </c>
      <c r="C26" s="32" t="s">
        <v>20</v>
      </c>
      <c r="D26" s="30" t="str">
        <f t="shared" si="0"/>
        <v>2.9.2</v>
      </c>
      <c r="E26" s="24" t="s">
        <v>104</v>
      </c>
      <c r="F26" s="25" t="s">
        <v>99</v>
      </c>
      <c r="G26" s="66">
        <v>15</v>
      </c>
      <c r="H26" s="47">
        <v>914</v>
      </c>
      <c r="I26" s="41">
        <f t="shared" si="1"/>
        <v>13710</v>
      </c>
    </row>
    <row r="27" spans="1:10" ht="36" customHeight="1" x14ac:dyDescent="0.2">
      <c r="A27" s="31">
        <v>18</v>
      </c>
      <c r="B27" s="23" t="s">
        <v>36</v>
      </c>
      <c r="C27" s="32" t="s">
        <v>20</v>
      </c>
      <c r="D27" s="30" t="str">
        <f t="shared" si="0"/>
        <v>2.9.2</v>
      </c>
      <c r="E27" s="24" t="s">
        <v>105</v>
      </c>
      <c r="F27" s="25" t="s">
        <v>99</v>
      </c>
      <c r="G27" s="66">
        <v>15</v>
      </c>
      <c r="H27" s="47">
        <v>545</v>
      </c>
      <c r="I27" s="41">
        <f t="shared" si="1"/>
        <v>8175</v>
      </c>
    </row>
    <row r="28" spans="1:10" ht="36.75" customHeight="1" x14ac:dyDescent="0.2">
      <c r="A28" s="31">
        <v>19</v>
      </c>
      <c r="B28" s="23" t="s">
        <v>37</v>
      </c>
      <c r="C28" s="32" t="s">
        <v>20</v>
      </c>
      <c r="D28" s="30" t="str">
        <f t="shared" si="0"/>
        <v>2.9.2</v>
      </c>
      <c r="E28" s="24" t="s">
        <v>71</v>
      </c>
      <c r="F28" s="25" t="s">
        <v>38</v>
      </c>
      <c r="G28" s="66">
        <v>40</v>
      </c>
      <c r="H28" s="47">
        <v>346</v>
      </c>
      <c r="I28" s="41">
        <f t="shared" si="1"/>
        <v>13840</v>
      </c>
    </row>
    <row r="29" spans="1:10" ht="36" customHeight="1" x14ac:dyDescent="0.2">
      <c r="A29" s="31">
        <v>20</v>
      </c>
      <c r="B29" s="23" t="s">
        <v>39</v>
      </c>
      <c r="C29" s="32" t="s">
        <v>20</v>
      </c>
      <c r="D29" s="30" t="str">
        <f t="shared" si="0"/>
        <v>2.9.2</v>
      </c>
      <c r="E29" s="73" t="s">
        <v>138</v>
      </c>
      <c r="F29" s="25" t="s">
        <v>14</v>
      </c>
      <c r="G29" s="66">
        <v>40</v>
      </c>
      <c r="H29" s="47">
        <v>346</v>
      </c>
      <c r="I29" s="41">
        <f t="shared" si="1"/>
        <v>13840</v>
      </c>
      <c r="J29" s="42"/>
    </row>
    <row r="30" spans="1:10" ht="39.75" customHeight="1" x14ac:dyDescent="0.2">
      <c r="A30" s="31">
        <v>21</v>
      </c>
      <c r="B30" s="23" t="s">
        <v>40</v>
      </c>
      <c r="C30" s="32" t="s">
        <v>20</v>
      </c>
      <c r="D30" s="30" t="str">
        <f t="shared" si="0"/>
        <v>2.9.2</v>
      </c>
      <c r="E30" s="24" t="s">
        <v>72</v>
      </c>
      <c r="F30" s="25" t="s">
        <v>14</v>
      </c>
      <c r="G30" s="66">
        <v>40</v>
      </c>
      <c r="H30" s="47">
        <v>117.9</v>
      </c>
      <c r="I30" s="41">
        <f t="shared" si="1"/>
        <v>4716</v>
      </c>
    </row>
    <row r="31" spans="1:10" ht="34.5" customHeight="1" x14ac:dyDescent="0.2">
      <c r="A31" s="31">
        <v>22</v>
      </c>
      <c r="B31" s="23" t="s">
        <v>41</v>
      </c>
      <c r="C31" s="32" t="s">
        <v>20</v>
      </c>
      <c r="D31" s="30" t="str">
        <f t="shared" si="0"/>
        <v>2.9.2</v>
      </c>
      <c r="E31" s="24" t="s">
        <v>106</v>
      </c>
      <c r="F31" s="25" t="s">
        <v>14</v>
      </c>
      <c r="G31" s="66">
        <v>40</v>
      </c>
      <c r="H31" s="47">
        <v>228</v>
      </c>
      <c r="I31" s="41">
        <f t="shared" si="1"/>
        <v>9120</v>
      </c>
    </row>
    <row r="32" spans="1:10" ht="37.5" customHeight="1" x14ac:dyDescent="0.2">
      <c r="A32" s="31">
        <v>23</v>
      </c>
      <c r="B32" s="53" t="s">
        <v>42</v>
      </c>
      <c r="C32" s="29" t="s">
        <v>20</v>
      </c>
      <c r="D32" s="30" t="str">
        <f t="shared" si="0"/>
        <v>2.9.2</v>
      </c>
      <c r="E32" s="36" t="s">
        <v>107</v>
      </c>
      <c r="F32" s="28" t="s">
        <v>14</v>
      </c>
      <c r="G32" s="68">
        <v>40</v>
      </c>
      <c r="H32" s="47">
        <v>330</v>
      </c>
      <c r="I32" s="41">
        <f t="shared" si="1"/>
        <v>13200</v>
      </c>
    </row>
    <row r="33" spans="1:9" ht="24.75" customHeight="1" x14ac:dyDescent="0.2">
      <c r="A33" s="31">
        <v>24</v>
      </c>
      <c r="B33" s="23" t="s">
        <v>44</v>
      </c>
      <c r="C33" s="32" t="s">
        <v>20</v>
      </c>
      <c r="D33" s="30" t="str">
        <f t="shared" si="0"/>
        <v>2.9.2</v>
      </c>
      <c r="E33" s="24" t="s">
        <v>152</v>
      </c>
      <c r="F33" s="25" t="s">
        <v>14</v>
      </c>
      <c r="G33" s="66">
        <v>50</v>
      </c>
      <c r="H33" s="47">
        <v>350</v>
      </c>
      <c r="I33" s="41">
        <f t="shared" si="1"/>
        <v>17500</v>
      </c>
    </row>
    <row r="34" spans="1:9" ht="24.75" customHeight="1" x14ac:dyDescent="0.2">
      <c r="A34" s="31">
        <v>25</v>
      </c>
      <c r="B34" s="23" t="s">
        <v>45</v>
      </c>
      <c r="C34" s="32" t="s">
        <v>20</v>
      </c>
      <c r="D34" s="30" t="str">
        <f t="shared" si="0"/>
        <v>2.9.2</v>
      </c>
      <c r="E34" s="24" t="s">
        <v>73</v>
      </c>
      <c r="F34" s="25" t="s">
        <v>14</v>
      </c>
      <c r="G34" s="66">
        <v>80</v>
      </c>
      <c r="H34" s="47">
        <v>150</v>
      </c>
      <c r="I34" s="41">
        <f t="shared" si="1"/>
        <v>12000</v>
      </c>
    </row>
    <row r="35" spans="1:9" ht="36.75" customHeight="1" x14ac:dyDescent="0.2">
      <c r="A35" s="31">
        <v>26</v>
      </c>
      <c r="B35" s="23" t="s">
        <v>46</v>
      </c>
      <c r="C35" s="32" t="s">
        <v>20</v>
      </c>
      <c r="D35" s="30" t="str">
        <f t="shared" si="0"/>
        <v>2.9.2</v>
      </c>
      <c r="E35" s="24" t="s">
        <v>108</v>
      </c>
      <c r="F35" s="25" t="s">
        <v>14</v>
      </c>
      <c r="G35" s="66">
        <v>50</v>
      </c>
      <c r="H35" s="47">
        <v>729</v>
      </c>
      <c r="I35" s="41">
        <f t="shared" si="1"/>
        <v>36450</v>
      </c>
    </row>
    <row r="36" spans="1:9" ht="36" customHeight="1" x14ac:dyDescent="0.2">
      <c r="A36" s="31">
        <v>27</v>
      </c>
      <c r="B36" s="23" t="s">
        <v>47</v>
      </c>
      <c r="C36" s="32" t="s">
        <v>20</v>
      </c>
      <c r="D36" s="30" t="str">
        <f t="shared" si="0"/>
        <v>2.9.2</v>
      </c>
      <c r="E36" s="24" t="s">
        <v>74</v>
      </c>
      <c r="F36" s="25" t="s">
        <v>14</v>
      </c>
      <c r="G36" s="66">
        <v>50</v>
      </c>
      <c r="H36" s="47">
        <v>379</v>
      </c>
      <c r="I36" s="41">
        <f t="shared" si="1"/>
        <v>18950</v>
      </c>
    </row>
    <row r="37" spans="1:9" ht="27.75" customHeight="1" x14ac:dyDescent="0.2">
      <c r="A37" s="31">
        <v>28</v>
      </c>
      <c r="B37" s="23" t="s">
        <v>48</v>
      </c>
      <c r="C37" s="32" t="s">
        <v>20</v>
      </c>
      <c r="D37" s="30" t="str">
        <f>+LEFT(B37,5)</f>
        <v>2.9.2</v>
      </c>
      <c r="E37" s="37" t="s">
        <v>75</v>
      </c>
      <c r="F37" s="25" t="s">
        <v>14</v>
      </c>
      <c r="G37" s="66">
        <v>300</v>
      </c>
      <c r="H37" s="47">
        <v>63.5</v>
      </c>
      <c r="I37" s="41">
        <f t="shared" si="1"/>
        <v>19050</v>
      </c>
    </row>
    <row r="38" spans="1:9" ht="27.75" customHeight="1" x14ac:dyDescent="0.2">
      <c r="A38" s="31">
        <v>29</v>
      </c>
      <c r="B38" s="23" t="s">
        <v>60</v>
      </c>
      <c r="C38" s="32" t="s">
        <v>20</v>
      </c>
      <c r="D38" s="30" t="str">
        <f>+LEFT(B38,5)</f>
        <v>2.9.2</v>
      </c>
      <c r="E38" s="37" t="s">
        <v>76</v>
      </c>
      <c r="F38" s="25" t="s">
        <v>14</v>
      </c>
      <c r="G38" s="66">
        <v>300</v>
      </c>
      <c r="H38" s="47">
        <v>56.91</v>
      </c>
      <c r="I38" s="41">
        <f t="shared" si="1"/>
        <v>17073</v>
      </c>
    </row>
    <row r="39" spans="1:9" ht="25.5" customHeight="1" x14ac:dyDescent="0.2">
      <c r="A39" s="31">
        <v>30</v>
      </c>
      <c r="B39" s="23" t="s">
        <v>49</v>
      </c>
      <c r="C39" s="32" t="s">
        <v>20</v>
      </c>
      <c r="D39" s="30" t="str">
        <f>+LEFT(B39,5)</f>
        <v>2.9.2</v>
      </c>
      <c r="E39" s="37" t="s">
        <v>77</v>
      </c>
      <c r="F39" s="25" t="s">
        <v>14</v>
      </c>
      <c r="G39" s="66">
        <v>300</v>
      </c>
      <c r="H39" s="47">
        <v>144.59</v>
      </c>
      <c r="I39" s="41">
        <f t="shared" si="1"/>
        <v>43377</v>
      </c>
    </row>
    <row r="40" spans="1:9" ht="28.5" customHeight="1" x14ac:dyDescent="0.2">
      <c r="A40" s="31">
        <v>31</v>
      </c>
      <c r="B40" s="23" t="s">
        <v>109</v>
      </c>
      <c r="C40" s="32" t="s">
        <v>20</v>
      </c>
      <c r="D40" s="30" t="str">
        <f>+LEFT(B40,5)</f>
        <v>2.9.2</v>
      </c>
      <c r="E40" s="37" t="s">
        <v>110</v>
      </c>
      <c r="F40" s="25" t="s">
        <v>14</v>
      </c>
      <c r="G40" s="66">
        <v>300</v>
      </c>
      <c r="H40" s="47">
        <v>39.799999999999997</v>
      </c>
      <c r="I40" s="41">
        <f t="shared" si="1"/>
        <v>11940</v>
      </c>
    </row>
    <row r="41" spans="1:9" ht="28.5" customHeight="1" x14ac:dyDescent="0.2">
      <c r="A41" s="31">
        <v>32</v>
      </c>
      <c r="B41" s="23" t="s">
        <v>109</v>
      </c>
      <c r="C41" s="32" t="s">
        <v>20</v>
      </c>
      <c r="D41" s="30" t="str">
        <f>+LEFT(B41,5)</f>
        <v>2.9.2</v>
      </c>
      <c r="E41" s="37" t="s">
        <v>111</v>
      </c>
      <c r="F41" s="25" t="s">
        <v>14</v>
      </c>
      <c r="G41" s="66">
        <v>300</v>
      </c>
      <c r="H41" s="47">
        <v>39.799999999999997</v>
      </c>
      <c r="I41" s="41">
        <f t="shared" si="1"/>
        <v>11940</v>
      </c>
    </row>
    <row r="42" spans="1:9" ht="34.5" customHeight="1" x14ac:dyDescent="0.2">
      <c r="A42" s="31">
        <v>33</v>
      </c>
      <c r="B42" s="23" t="s">
        <v>96</v>
      </c>
      <c r="C42" s="32" t="s">
        <v>20</v>
      </c>
      <c r="D42" s="30" t="str">
        <f t="shared" si="0"/>
        <v>2.9.2</v>
      </c>
      <c r="E42" s="24" t="s">
        <v>112</v>
      </c>
      <c r="F42" s="25" t="s">
        <v>14</v>
      </c>
      <c r="G42" s="66">
        <v>150</v>
      </c>
      <c r="H42" s="47">
        <v>107.5</v>
      </c>
      <c r="I42" s="41">
        <f t="shared" si="1"/>
        <v>16125</v>
      </c>
    </row>
    <row r="43" spans="1:9" ht="36.75" customHeight="1" x14ac:dyDescent="0.2">
      <c r="A43" s="31">
        <v>34</v>
      </c>
      <c r="B43" s="23" t="s">
        <v>50</v>
      </c>
      <c r="C43" s="32" t="s">
        <v>20</v>
      </c>
      <c r="D43" s="30" t="str">
        <f t="shared" si="0"/>
        <v>2.9.2</v>
      </c>
      <c r="E43" s="24" t="s">
        <v>115</v>
      </c>
      <c r="F43" s="25" t="s">
        <v>98</v>
      </c>
      <c r="G43" s="66">
        <v>10</v>
      </c>
      <c r="H43" s="47">
        <v>220</v>
      </c>
      <c r="I43" s="41">
        <f t="shared" si="1"/>
        <v>2200</v>
      </c>
    </row>
    <row r="44" spans="1:9" ht="37.5" customHeight="1" x14ac:dyDescent="0.2">
      <c r="A44" s="31">
        <v>35</v>
      </c>
      <c r="B44" s="23" t="s">
        <v>113</v>
      </c>
      <c r="C44" s="32" t="s">
        <v>20</v>
      </c>
      <c r="D44" s="30" t="str">
        <f t="shared" si="0"/>
        <v>2.9.2</v>
      </c>
      <c r="E44" s="24" t="s">
        <v>114</v>
      </c>
      <c r="F44" s="25" t="s">
        <v>98</v>
      </c>
      <c r="G44" s="66">
        <v>10</v>
      </c>
      <c r="H44" s="47">
        <v>68.75</v>
      </c>
      <c r="I44" s="41">
        <f t="shared" si="1"/>
        <v>687.5</v>
      </c>
    </row>
    <row r="45" spans="1:9" ht="27.75" customHeight="1" x14ac:dyDescent="0.2">
      <c r="A45" s="31">
        <v>36</v>
      </c>
      <c r="B45" s="23" t="s">
        <v>116</v>
      </c>
      <c r="C45" s="32" t="s">
        <v>20</v>
      </c>
      <c r="D45" s="30" t="str">
        <f t="shared" si="0"/>
        <v>2.9.2</v>
      </c>
      <c r="E45" s="24" t="s">
        <v>117</v>
      </c>
      <c r="F45" s="25" t="s">
        <v>98</v>
      </c>
      <c r="G45" s="66">
        <v>10</v>
      </c>
      <c r="H45" s="47">
        <v>239</v>
      </c>
      <c r="I45" s="41">
        <f t="shared" si="1"/>
        <v>2390</v>
      </c>
    </row>
    <row r="46" spans="1:9" ht="24.75" customHeight="1" x14ac:dyDescent="0.2">
      <c r="A46" s="31">
        <v>37</v>
      </c>
      <c r="B46" s="23" t="s">
        <v>61</v>
      </c>
      <c r="C46" s="32" t="s">
        <v>20</v>
      </c>
      <c r="D46" s="30" t="str">
        <f t="shared" si="0"/>
        <v>2.9.2</v>
      </c>
      <c r="E46" s="24" t="s">
        <v>78</v>
      </c>
      <c r="F46" s="25" t="s">
        <v>14</v>
      </c>
      <c r="G46" s="66">
        <v>30</v>
      </c>
      <c r="H46" s="47">
        <v>109</v>
      </c>
      <c r="I46" s="41">
        <f t="shared" si="1"/>
        <v>3270</v>
      </c>
    </row>
    <row r="47" spans="1:9" ht="33.75" customHeight="1" x14ac:dyDescent="0.2">
      <c r="A47" s="31">
        <v>38</v>
      </c>
      <c r="B47" s="23" t="s">
        <v>51</v>
      </c>
      <c r="C47" s="32" t="s">
        <v>20</v>
      </c>
      <c r="D47" s="32" t="str">
        <f t="shared" si="0"/>
        <v>2.9.2</v>
      </c>
      <c r="E47" s="24" t="s">
        <v>79</v>
      </c>
      <c r="F47" s="33" t="s">
        <v>98</v>
      </c>
      <c r="G47" s="66">
        <v>20</v>
      </c>
      <c r="H47" s="47">
        <v>250</v>
      </c>
      <c r="I47" s="41">
        <f t="shared" si="1"/>
        <v>5000</v>
      </c>
    </row>
    <row r="48" spans="1:9" s="8" customFormat="1" ht="29.25" customHeight="1" x14ac:dyDescent="0.2">
      <c r="A48" s="31">
        <v>39</v>
      </c>
      <c r="B48" s="49" t="s">
        <v>97</v>
      </c>
      <c r="C48" s="33" t="s">
        <v>20</v>
      </c>
      <c r="D48" s="33" t="str">
        <f t="shared" si="0"/>
        <v>2.9.2</v>
      </c>
      <c r="E48" s="37" t="s">
        <v>118</v>
      </c>
      <c r="F48" s="25" t="s">
        <v>14</v>
      </c>
      <c r="G48" s="67">
        <v>20</v>
      </c>
      <c r="H48" s="50">
        <v>495</v>
      </c>
      <c r="I48" s="41">
        <f t="shared" si="1"/>
        <v>9900</v>
      </c>
    </row>
    <row r="49" spans="1:9" ht="49.5" customHeight="1" x14ac:dyDescent="0.2">
      <c r="A49" s="31">
        <v>40</v>
      </c>
      <c r="B49" s="23" t="s">
        <v>52</v>
      </c>
      <c r="C49" s="32" t="s">
        <v>20</v>
      </c>
      <c r="D49" s="32" t="str">
        <f t="shared" si="0"/>
        <v>2.9.2</v>
      </c>
      <c r="E49" s="24" t="s">
        <v>80</v>
      </c>
      <c r="F49" s="33" t="s">
        <v>14</v>
      </c>
      <c r="G49" s="66">
        <v>30</v>
      </c>
      <c r="H49" s="47">
        <v>209</v>
      </c>
      <c r="I49" s="41">
        <f t="shared" si="1"/>
        <v>6270</v>
      </c>
    </row>
    <row r="50" spans="1:9" ht="49.5" customHeight="1" x14ac:dyDescent="0.2">
      <c r="A50" s="31">
        <v>41</v>
      </c>
      <c r="B50" s="23" t="s">
        <v>53</v>
      </c>
      <c r="C50" s="32" t="s">
        <v>20</v>
      </c>
      <c r="D50" s="30" t="str">
        <f t="shared" si="0"/>
        <v>2.9.2</v>
      </c>
      <c r="E50" s="24" t="s">
        <v>81</v>
      </c>
      <c r="F50" s="25" t="s">
        <v>14</v>
      </c>
      <c r="G50" s="66">
        <v>30</v>
      </c>
      <c r="H50" s="47">
        <v>140</v>
      </c>
      <c r="I50" s="41">
        <f t="shared" si="1"/>
        <v>4200</v>
      </c>
    </row>
    <row r="51" spans="1:9" ht="33" customHeight="1" x14ac:dyDescent="0.2">
      <c r="A51" s="31">
        <v>42</v>
      </c>
      <c r="B51" s="23" t="s">
        <v>54</v>
      </c>
      <c r="C51" s="32" t="s">
        <v>20</v>
      </c>
      <c r="D51" s="30" t="str">
        <f t="shared" si="0"/>
        <v>2.9.2</v>
      </c>
      <c r="E51" s="24" t="s">
        <v>82</v>
      </c>
      <c r="F51" s="25" t="s">
        <v>14</v>
      </c>
      <c r="G51" s="66">
        <v>200</v>
      </c>
      <c r="H51" s="47">
        <v>180</v>
      </c>
      <c r="I51" s="41">
        <f t="shared" si="1"/>
        <v>36000</v>
      </c>
    </row>
    <row r="52" spans="1:9" ht="27" customHeight="1" x14ac:dyDescent="0.2">
      <c r="A52" s="31">
        <v>43</v>
      </c>
      <c r="B52" s="23" t="s">
        <v>55</v>
      </c>
      <c r="C52" s="32" t="s">
        <v>20</v>
      </c>
      <c r="D52" s="30" t="str">
        <f t="shared" si="0"/>
        <v>2.9.2</v>
      </c>
      <c r="E52" s="37" t="s">
        <v>83</v>
      </c>
      <c r="F52" s="25" t="s">
        <v>14</v>
      </c>
      <c r="G52" s="66">
        <v>120</v>
      </c>
      <c r="H52" s="47">
        <v>99</v>
      </c>
      <c r="I52" s="41">
        <f t="shared" si="1"/>
        <v>11880</v>
      </c>
    </row>
    <row r="53" spans="1:9" ht="33" customHeight="1" x14ac:dyDescent="0.2">
      <c r="A53" s="31">
        <v>44</v>
      </c>
      <c r="B53" s="23" t="s">
        <v>56</v>
      </c>
      <c r="C53" s="32" t="s">
        <v>20</v>
      </c>
      <c r="D53" s="30" t="str">
        <f>+LEFT(B53,5)</f>
        <v>2.9.2</v>
      </c>
      <c r="E53" s="37" t="s">
        <v>84</v>
      </c>
      <c r="F53" s="25" t="s">
        <v>14</v>
      </c>
      <c r="G53" s="66">
        <v>100</v>
      </c>
      <c r="H53" s="47">
        <v>90.25</v>
      </c>
      <c r="I53" s="41">
        <f t="shared" si="1"/>
        <v>9025</v>
      </c>
    </row>
    <row r="54" spans="1:9" ht="42" customHeight="1" x14ac:dyDescent="0.2">
      <c r="A54" s="31">
        <v>45</v>
      </c>
      <c r="B54" s="23" t="s">
        <v>62</v>
      </c>
      <c r="C54" s="32" t="s">
        <v>20</v>
      </c>
      <c r="D54" s="30" t="str">
        <f>+LEFT(B54,5)</f>
        <v>2.9.2</v>
      </c>
      <c r="E54" s="37" t="s">
        <v>85</v>
      </c>
      <c r="F54" s="25" t="s">
        <v>98</v>
      </c>
      <c r="G54" s="66">
        <v>8</v>
      </c>
      <c r="H54" s="47">
        <v>1767</v>
      </c>
      <c r="I54" s="41">
        <f t="shared" si="1"/>
        <v>14136</v>
      </c>
    </row>
    <row r="55" spans="1:9" ht="28.5" customHeight="1" x14ac:dyDescent="0.2">
      <c r="A55" s="31">
        <v>46</v>
      </c>
      <c r="B55" s="23" t="s">
        <v>92</v>
      </c>
      <c r="C55" s="32" t="s">
        <v>20</v>
      </c>
      <c r="D55" s="30" t="str">
        <f t="shared" si="0"/>
        <v>2.9.2</v>
      </c>
      <c r="E55" s="24" t="s">
        <v>93</v>
      </c>
      <c r="F55" s="25" t="s">
        <v>98</v>
      </c>
      <c r="G55" s="66">
        <v>20</v>
      </c>
      <c r="H55" s="47">
        <v>650</v>
      </c>
      <c r="I55" s="41">
        <f t="shared" si="1"/>
        <v>13000</v>
      </c>
    </row>
    <row r="56" spans="1:9" ht="30" customHeight="1" x14ac:dyDescent="0.2">
      <c r="A56" s="31">
        <v>47</v>
      </c>
      <c r="B56" s="23" t="s">
        <v>57</v>
      </c>
      <c r="C56" s="32" t="s">
        <v>20</v>
      </c>
      <c r="D56" s="30" t="str">
        <f t="shared" si="0"/>
        <v>2.9.2</v>
      </c>
      <c r="E56" s="24" t="s">
        <v>86</v>
      </c>
      <c r="F56" s="25" t="s">
        <v>98</v>
      </c>
      <c r="G56" s="66">
        <v>20</v>
      </c>
      <c r="H56" s="47">
        <v>363</v>
      </c>
      <c r="I56" s="41">
        <f t="shared" si="1"/>
        <v>7260</v>
      </c>
    </row>
    <row r="57" spans="1:9" ht="29.25" customHeight="1" x14ac:dyDescent="0.2">
      <c r="A57" s="31">
        <v>48</v>
      </c>
      <c r="B57" s="23" t="s">
        <v>58</v>
      </c>
      <c r="C57" s="32" t="s">
        <v>20</v>
      </c>
      <c r="D57" s="30" t="str">
        <f t="shared" si="0"/>
        <v>2.9.2</v>
      </c>
      <c r="E57" s="24" t="s">
        <v>91</v>
      </c>
      <c r="F57" s="25" t="s">
        <v>98</v>
      </c>
      <c r="G57" s="66">
        <v>20</v>
      </c>
      <c r="H57" s="47">
        <v>515</v>
      </c>
      <c r="I57" s="41">
        <f t="shared" si="1"/>
        <v>10300</v>
      </c>
    </row>
    <row r="58" spans="1:9" s="34" customFormat="1" ht="29.25" customHeight="1" x14ac:dyDescent="0.2">
      <c r="A58" s="31">
        <v>49</v>
      </c>
      <c r="B58" s="24" t="s">
        <v>64</v>
      </c>
      <c r="C58" s="24" t="s">
        <v>20</v>
      </c>
      <c r="D58" s="30" t="str">
        <f t="shared" ref="D58" si="2">+LEFT(B58,5)</f>
        <v>2.3.1</v>
      </c>
      <c r="E58" s="24" t="s">
        <v>87</v>
      </c>
      <c r="F58" s="24" t="s">
        <v>98</v>
      </c>
      <c r="G58" s="69">
        <v>10</v>
      </c>
      <c r="H58" s="47">
        <v>481.45</v>
      </c>
      <c r="I58" s="41">
        <f t="shared" si="1"/>
        <v>4814.5</v>
      </c>
    </row>
    <row r="59" spans="1:9" s="34" customFormat="1" ht="28.5" customHeight="1" x14ac:dyDescent="0.2">
      <c r="A59" s="31">
        <v>50</v>
      </c>
      <c r="B59" s="24" t="s">
        <v>59</v>
      </c>
      <c r="C59" s="24" t="s">
        <v>20</v>
      </c>
      <c r="D59" s="30" t="str">
        <f>+LEFT(B59,5)</f>
        <v>2.9.2</v>
      </c>
      <c r="E59" s="24" t="s">
        <v>88</v>
      </c>
      <c r="F59" s="24" t="s">
        <v>14</v>
      </c>
      <c r="G59" s="69">
        <v>20</v>
      </c>
      <c r="H59" s="47">
        <v>220</v>
      </c>
      <c r="I59" s="41">
        <f t="shared" si="1"/>
        <v>4400</v>
      </c>
    </row>
    <row r="60" spans="1:9" s="34" customFormat="1" ht="37.5" customHeight="1" x14ac:dyDescent="0.2">
      <c r="A60" s="31">
        <v>51</v>
      </c>
      <c r="B60" s="62" t="s">
        <v>132</v>
      </c>
      <c r="C60" s="62" t="s">
        <v>20</v>
      </c>
      <c r="D60" s="70" t="s">
        <v>128</v>
      </c>
      <c r="E60" s="62" t="s">
        <v>134</v>
      </c>
      <c r="F60" s="62" t="s">
        <v>14</v>
      </c>
      <c r="G60" s="71">
        <v>500</v>
      </c>
      <c r="H60" s="63">
        <v>14.4</v>
      </c>
      <c r="I60" s="64">
        <f t="shared" ref="I60:I62" si="3">+H60*G60</f>
        <v>7200</v>
      </c>
    </row>
    <row r="61" spans="1:9" s="34" customFormat="1" ht="37.5" customHeight="1" x14ac:dyDescent="0.2">
      <c r="A61" s="31">
        <v>52</v>
      </c>
      <c r="B61" s="62" t="s">
        <v>133</v>
      </c>
      <c r="C61" s="62" t="s">
        <v>20</v>
      </c>
      <c r="D61" s="70" t="s">
        <v>128</v>
      </c>
      <c r="E61" s="62" t="s">
        <v>135</v>
      </c>
      <c r="F61" s="62" t="s">
        <v>14</v>
      </c>
      <c r="G61" s="71">
        <v>300</v>
      </c>
      <c r="H61" s="63">
        <v>12.9</v>
      </c>
      <c r="I61" s="64">
        <f t="shared" si="3"/>
        <v>3870</v>
      </c>
    </row>
    <row r="62" spans="1:9" s="34" customFormat="1" ht="37.5" customHeight="1" x14ac:dyDescent="0.2">
      <c r="A62" s="31">
        <v>53</v>
      </c>
      <c r="B62" s="62" t="s">
        <v>43</v>
      </c>
      <c r="C62" s="62" t="s">
        <v>20</v>
      </c>
      <c r="D62" s="70" t="s">
        <v>128</v>
      </c>
      <c r="E62" s="62" t="s">
        <v>136</v>
      </c>
      <c r="F62" s="62" t="s">
        <v>14</v>
      </c>
      <c r="G62" s="71">
        <v>30</v>
      </c>
      <c r="H62" s="63">
        <v>2500</v>
      </c>
      <c r="I62" s="64">
        <f t="shared" si="3"/>
        <v>75000</v>
      </c>
    </row>
    <row r="63" spans="1:9" ht="13.5" thickBot="1" x14ac:dyDescent="0.25">
      <c r="A63" s="38"/>
      <c r="B63" s="39"/>
      <c r="C63" s="99"/>
      <c r="D63" s="100"/>
      <c r="E63" s="101"/>
      <c r="F63" s="22"/>
      <c r="G63" s="40"/>
      <c r="H63" s="48"/>
      <c r="I63" s="54">
        <f>SUM(I10:I62)</f>
        <v>1624815.6</v>
      </c>
    </row>
    <row r="64" spans="1:9" ht="18" customHeight="1" x14ac:dyDescent="0.2">
      <c r="B64" s="9"/>
    </row>
    <row r="65" spans="1:10" s="26" customFormat="1" ht="29.25" customHeight="1" thickBot="1" x14ac:dyDescent="0.25">
      <c r="A65" s="1"/>
      <c r="B65" s="56"/>
      <c r="C65" s="72"/>
      <c r="D65" s="72"/>
      <c r="E65" s="72"/>
      <c r="H65" s="46"/>
      <c r="I65" s="14"/>
      <c r="J65" s="1"/>
    </row>
    <row r="66" spans="1:10" s="26" customFormat="1" x14ac:dyDescent="0.2">
      <c r="A66" s="1"/>
      <c r="B66" s="10" t="s">
        <v>141</v>
      </c>
      <c r="C66" s="35"/>
      <c r="D66" s="105"/>
      <c r="E66" s="106"/>
      <c r="H66" s="46"/>
      <c r="I66" s="14"/>
      <c r="J66" s="1"/>
    </row>
    <row r="67" spans="1:10" s="26" customFormat="1" x14ac:dyDescent="0.2">
      <c r="A67" s="1"/>
      <c r="B67" s="11"/>
      <c r="C67" s="107"/>
      <c r="D67" s="108"/>
      <c r="E67" s="109"/>
      <c r="H67" s="46"/>
      <c r="I67" s="14"/>
      <c r="J67" s="1"/>
    </row>
    <row r="68" spans="1:10" s="26" customFormat="1" ht="17.25" customHeight="1" x14ac:dyDescent="0.2">
      <c r="A68" s="1"/>
      <c r="B68" s="12" t="s">
        <v>15</v>
      </c>
      <c r="C68" s="107"/>
      <c r="D68" s="108"/>
      <c r="E68" s="109"/>
      <c r="H68" s="46"/>
      <c r="I68" s="14"/>
      <c r="J68" s="1"/>
    </row>
    <row r="69" spans="1:10" s="26" customFormat="1" ht="55.5" customHeight="1" thickBot="1" x14ac:dyDescent="0.25">
      <c r="A69" s="1"/>
      <c r="B69" s="55"/>
      <c r="C69" s="120" t="s">
        <v>127</v>
      </c>
      <c r="D69" s="120"/>
      <c r="E69" s="121"/>
      <c r="H69" s="46"/>
      <c r="I69" s="14"/>
      <c r="J69" s="1"/>
    </row>
    <row r="70" spans="1:10" s="59" customFormat="1" ht="28.5" customHeight="1" thickBot="1" x14ac:dyDescent="0.25">
      <c r="A70" s="4"/>
      <c r="B70" s="56"/>
      <c r="C70" s="72"/>
      <c r="D70" s="72"/>
      <c r="E70" s="72"/>
      <c r="H70" s="60"/>
      <c r="I70" s="61"/>
      <c r="J70" s="4"/>
    </row>
    <row r="71" spans="1:10" s="26" customFormat="1" ht="22.5" customHeight="1" x14ac:dyDescent="0.2">
      <c r="A71" s="1"/>
      <c r="B71" s="10" t="s">
        <v>155</v>
      </c>
      <c r="C71" s="35"/>
      <c r="D71" s="105"/>
      <c r="E71" s="106"/>
      <c r="H71" s="46"/>
      <c r="I71" s="14"/>
      <c r="J71" s="1"/>
    </row>
    <row r="72" spans="1:10" s="26" customFormat="1" ht="21" customHeight="1" x14ac:dyDescent="0.2">
      <c r="A72" s="1"/>
      <c r="B72" s="11"/>
      <c r="C72" s="107"/>
      <c r="D72" s="108"/>
      <c r="E72" s="109"/>
      <c r="H72" s="46"/>
      <c r="I72" s="14"/>
      <c r="J72" s="1"/>
    </row>
    <row r="73" spans="1:10" s="26" customFormat="1" x14ac:dyDescent="0.2">
      <c r="A73" s="1"/>
      <c r="B73" s="12" t="s">
        <v>15</v>
      </c>
      <c r="C73" s="107"/>
      <c r="D73" s="108"/>
      <c r="E73" s="109"/>
      <c r="H73" s="46"/>
      <c r="I73" s="14"/>
      <c r="J73" s="1"/>
    </row>
    <row r="74" spans="1:10" s="26" customFormat="1" ht="41.25" customHeight="1" thickBot="1" x14ac:dyDescent="0.25">
      <c r="A74" s="1"/>
      <c r="B74" s="55"/>
      <c r="C74" s="120" t="s">
        <v>156</v>
      </c>
      <c r="D74" s="120"/>
      <c r="E74" s="121"/>
      <c r="H74" s="46"/>
      <c r="I74" s="14"/>
      <c r="J74" s="1"/>
    </row>
    <row r="75" spans="1:10" s="26" customFormat="1" ht="21.75" customHeight="1" x14ac:dyDescent="0.2">
      <c r="A75" s="1"/>
      <c r="B75" s="56"/>
      <c r="C75" s="72"/>
      <c r="D75" s="72"/>
      <c r="E75" s="72"/>
      <c r="H75" s="46"/>
      <c r="I75" s="14"/>
      <c r="J75" s="1"/>
    </row>
    <row r="76" spans="1:10" s="26" customFormat="1" ht="12" customHeight="1" thickBot="1" x14ac:dyDescent="0.25">
      <c r="A76" s="1"/>
      <c r="B76" s="56"/>
      <c r="C76" s="72"/>
      <c r="D76" s="72"/>
      <c r="E76" s="72"/>
      <c r="H76" s="46"/>
      <c r="I76" s="14"/>
      <c r="J76" s="1"/>
    </row>
    <row r="77" spans="1:10" s="26" customFormat="1" x14ac:dyDescent="0.2">
      <c r="A77" s="1"/>
      <c r="B77" s="10" t="s">
        <v>142</v>
      </c>
      <c r="C77" s="35"/>
      <c r="D77" s="105"/>
      <c r="E77" s="106"/>
      <c r="F77" s="1"/>
      <c r="H77" s="46"/>
      <c r="I77" s="14"/>
      <c r="J77" s="1"/>
    </row>
    <row r="78" spans="1:10" s="26" customFormat="1" x14ac:dyDescent="0.2">
      <c r="A78" s="1"/>
      <c r="B78" s="11"/>
      <c r="C78" s="107"/>
      <c r="D78" s="108"/>
      <c r="E78" s="109"/>
      <c r="H78" s="46"/>
      <c r="I78" s="14"/>
      <c r="J78" s="1"/>
    </row>
    <row r="79" spans="1:10" s="26" customFormat="1" x14ac:dyDescent="0.2">
      <c r="A79" s="1"/>
      <c r="B79" s="12" t="s">
        <v>15</v>
      </c>
      <c r="C79" s="107"/>
      <c r="D79" s="108"/>
      <c r="E79" s="109"/>
      <c r="H79" s="46"/>
      <c r="I79" s="14"/>
      <c r="J79" s="1"/>
    </row>
    <row r="80" spans="1:10" s="26" customFormat="1" ht="38.25" customHeight="1" thickBot="1" x14ac:dyDescent="0.25">
      <c r="A80" s="1"/>
      <c r="B80" s="55"/>
      <c r="C80" s="120" t="s">
        <v>119</v>
      </c>
      <c r="D80" s="120"/>
      <c r="E80" s="121"/>
      <c r="H80" s="46"/>
      <c r="I80" s="14"/>
      <c r="J80" s="1"/>
    </row>
    <row r="81" spans="1:10" s="26" customFormat="1" ht="45.75" customHeight="1" thickBot="1" x14ac:dyDescent="0.25">
      <c r="A81" s="1"/>
      <c r="B81" s="9"/>
      <c r="C81" s="102"/>
      <c r="D81" s="103"/>
      <c r="E81" s="104"/>
      <c r="H81" s="46"/>
      <c r="I81" s="14"/>
      <c r="J81" s="1"/>
    </row>
    <row r="82" spans="1:10" s="26" customFormat="1" x14ac:dyDescent="0.2">
      <c r="A82" s="1"/>
      <c r="B82" s="10" t="s">
        <v>144</v>
      </c>
      <c r="C82" s="35"/>
      <c r="D82" s="105"/>
      <c r="E82" s="106"/>
      <c r="H82" s="46"/>
      <c r="I82" s="14"/>
      <c r="J82" s="1"/>
    </row>
    <row r="83" spans="1:10" s="26" customFormat="1" x14ac:dyDescent="0.2">
      <c r="A83" s="1"/>
      <c r="B83" s="11"/>
      <c r="C83" s="107"/>
      <c r="D83" s="108"/>
      <c r="E83" s="109"/>
      <c r="H83" s="46"/>
      <c r="I83" s="14"/>
      <c r="J83" s="1"/>
    </row>
    <row r="84" spans="1:10" s="26" customFormat="1" x14ac:dyDescent="0.2">
      <c r="A84" s="1"/>
      <c r="B84" s="12" t="s">
        <v>15</v>
      </c>
      <c r="C84" s="107"/>
      <c r="D84" s="108"/>
      <c r="E84" s="109"/>
      <c r="H84" s="46"/>
      <c r="I84" s="14"/>
      <c r="J84" s="1"/>
    </row>
    <row r="85" spans="1:10" s="26" customFormat="1" ht="57" customHeight="1" thickBot="1" x14ac:dyDescent="0.25">
      <c r="A85" s="1"/>
      <c r="B85" s="55"/>
      <c r="C85" s="124" t="s">
        <v>139</v>
      </c>
      <c r="D85" s="124"/>
      <c r="E85" s="125"/>
      <c r="H85" s="46"/>
      <c r="I85" s="14"/>
      <c r="J85" s="1"/>
    </row>
    <row r="86" spans="1:10" s="26" customFormat="1" ht="29.25" customHeight="1" thickBot="1" x14ac:dyDescent="0.25">
      <c r="A86" s="1"/>
      <c r="B86" s="9"/>
      <c r="C86" s="102"/>
      <c r="D86" s="103"/>
      <c r="E86" s="104"/>
      <c r="H86" s="46"/>
      <c r="I86" s="14"/>
      <c r="J86" s="1"/>
    </row>
    <row r="87" spans="1:10" s="26" customFormat="1" ht="15.75" customHeight="1" x14ac:dyDescent="0.2">
      <c r="A87" s="1"/>
      <c r="B87" s="10" t="s">
        <v>143</v>
      </c>
      <c r="C87" s="35"/>
      <c r="D87" s="105"/>
      <c r="E87" s="106"/>
      <c r="H87" s="46"/>
      <c r="I87" s="14"/>
      <c r="J87" s="1"/>
    </row>
    <row r="88" spans="1:10" s="26" customFormat="1" x14ac:dyDescent="0.2">
      <c r="A88" s="1"/>
      <c r="B88" s="11"/>
      <c r="C88" s="107"/>
      <c r="D88" s="108"/>
      <c r="E88" s="109"/>
      <c r="F88" s="1"/>
      <c r="H88" s="46"/>
      <c r="I88" s="14"/>
      <c r="J88" s="1"/>
    </row>
    <row r="89" spans="1:10" s="26" customFormat="1" x14ac:dyDescent="0.2">
      <c r="A89" s="1"/>
      <c r="B89" s="12" t="s">
        <v>15</v>
      </c>
      <c r="C89" s="107"/>
      <c r="D89" s="108"/>
      <c r="E89" s="109"/>
      <c r="H89" s="46"/>
      <c r="I89" s="14"/>
      <c r="J89" s="1"/>
    </row>
    <row r="90" spans="1:10" s="26" customFormat="1" ht="61.5" customHeight="1" x14ac:dyDescent="0.2">
      <c r="A90" s="1"/>
      <c r="B90" s="12"/>
      <c r="C90" s="116" t="s">
        <v>140</v>
      </c>
      <c r="D90" s="116"/>
      <c r="E90" s="126"/>
      <c r="H90" s="46"/>
      <c r="I90" s="14"/>
      <c r="J90" s="1"/>
    </row>
    <row r="91" spans="1:10" s="26" customFormat="1" ht="13.5" thickBot="1" x14ac:dyDescent="0.25">
      <c r="A91" s="1"/>
      <c r="B91" s="13"/>
      <c r="C91" s="110"/>
      <c r="D91" s="111"/>
      <c r="E91" s="112"/>
      <c r="H91" s="46"/>
      <c r="I91" s="14"/>
      <c r="J91" s="1"/>
    </row>
    <row r="92" spans="1:10" s="26" customFormat="1" ht="45" customHeight="1" thickBot="1" x14ac:dyDescent="0.25">
      <c r="A92" s="1"/>
      <c r="B92" s="9"/>
      <c r="C92" s="102"/>
      <c r="D92" s="103"/>
      <c r="E92" s="104"/>
      <c r="H92" s="46"/>
      <c r="I92" s="14"/>
      <c r="J92" s="1"/>
    </row>
    <row r="93" spans="1:10" s="26" customFormat="1" x14ac:dyDescent="0.2">
      <c r="A93" s="1"/>
      <c r="B93" s="10" t="s">
        <v>145</v>
      </c>
      <c r="C93" s="35"/>
      <c r="D93" s="105"/>
      <c r="E93" s="106"/>
      <c r="H93" s="46"/>
      <c r="I93" s="14"/>
      <c r="J93" s="1"/>
    </row>
    <row r="94" spans="1:10" s="26" customFormat="1" x14ac:dyDescent="0.2">
      <c r="A94" s="1"/>
      <c r="B94" s="11"/>
      <c r="C94" s="107"/>
      <c r="D94" s="108"/>
      <c r="E94" s="109"/>
      <c r="F94" s="1"/>
      <c r="H94" s="46"/>
      <c r="I94" s="14"/>
      <c r="J94" s="1"/>
    </row>
    <row r="95" spans="1:10" s="26" customFormat="1" x14ac:dyDescent="0.2">
      <c r="A95" s="1"/>
      <c r="B95" s="12" t="s">
        <v>15</v>
      </c>
      <c r="C95" s="107"/>
      <c r="D95" s="108"/>
      <c r="E95" s="109"/>
      <c r="H95" s="46"/>
      <c r="I95" s="14"/>
      <c r="J95" s="1"/>
    </row>
    <row r="96" spans="1:10" s="26" customFormat="1" x14ac:dyDescent="0.2">
      <c r="A96" s="1"/>
      <c r="B96" s="12"/>
      <c r="C96" s="117" t="s">
        <v>120</v>
      </c>
      <c r="D96" s="117"/>
      <c r="E96" s="118"/>
      <c r="H96" s="46"/>
      <c r="I96" s="14"/>
      <c r="J96" s="1"/>
    </row>
    <row r="97" spans="1:10" s="26" customFormat="1" ht="13.5" thickBot="1" x14ac:dyDescent="0.25">
      <c r="A97" s="1"/>
      <c r="B97" s="13"/>
      <c r="C97" s="110"/>
      <c r="D97" s="111"/>
      <c r="E97" s="112"/>
      <c r="H97" s="46"/>
      <c r="I97" s="14"/>
      <c r="J97" s="1"/>
    </row>
    <row r="98" spans="1:10" s="26" customFormat="1" ht="30.75" customHeight="1" thickBot="1" x14ac:dyDescent="0.25">
      <c r="A98" s="1"/>
      <c r="B98" s="9"/>
      <c r="C98" s="102"/>
      <c r="D98" s="103"/>
      <c r="E98" s="104"/>
      <c r="H98" s="46"/>
      <c r="I98" s="14"/>
      <c r="J98" s="1"/>
    </row>
    <row r="99" spans="1:10" s="26" customFormat="1" ht="12" customHeight="1" x14ac:dyDescent="0.2">
      <c r="A99" s="1"/>
      <c r="B99" s="10" t="s">
        <v>147</v>
      </c>
      <c r="C99" s="35"/>
      <c r="D99" s="105"/>
      <c r="E99" s="106"/>
      <c r="H99" s="46"/>
      <c r="I99" s="14"/>
      <c r="J99" s="1"/>
    </row>
    <row r="100" spans="1:10" s="26" customFormat="1" x14ac:dyDescent="0.2">
      <c r="A100" s="1"/>
      <c r="B100" s="11"/>
      <c r="C100" s="107"/>
      <c r="D100" s="108"/>
      <c r="E100" s="109"/>
      <c r="H100" s="46"/>
      <c r="I100" s="14"/>
      <c r="J100" s="1"/>
    </row>
    <row r="101" spans="1:10" s="26" customFormat="1" x14ac:dyDescent="0.2">
      <c r="A101" s="1"/>
      <c r="B101" s="12" t="s">
        <v>15</v>
      </c>
      <c r="C101" s="107"/>
      <c r="D101" s="108"/>
      <c r="E101" s="109"/>
      <c r="H101" s="46"/>
      <c r="I101" s="14"/>
      <c r="J101" s="1"/>
    </row>
    <row r="102" spans="1:10" s="26" customFormat="1" ht="24.75" customHeight="1" x14ac:dyDescent="0.2">
      <c r="A102" s="1"/>
      <c r="B102" s="12"/>
      <c r="C102" s="117" t="s">
        <v>121</v>
      </c>
      <c r="D102" s="117"/>
      <c r="E102" s="118"/>
      <c r="H102" s="46"/>
      <c r="I102" s="14"/>
      <c r="J102" s="1"/>
    </row>
    <row r="103" spans="1:10" s="26" customFormat="1" ht="13.5" thickBot="1" x14ac:dyDescent="0.25">
      <c r="A103" s="1"/>
      <c r="B103" s="13"/>
      <c r="C103" s="110"/>
      <c r="D103" s="111"/>
      <c r="E103" s="112"/>
      <c r="H103" s="46"/>
      <c r="I103" s="14"/>
      <c r="J103" s="1"/>
    </row>
    <row r="104" spans="1:10" s="26" customFormat="1" ht="28.5" customHeight="1" thickBot="1" x14ac:dyDescent="0.25">
      <c r="A104" s="1"/>
      <c r="B104" s="9"/>
      <c r="C104" s="102"/>
      <c r="D104" s="103"/>
      <c r="E104" s="104"/>
      <c r="H104" s="46"/>
      <c r="I104" s="14"/>
      <c r="J104" s="1"/>
    </row>
    <row r="105" spans="1:10" ht="17.25" customHeight="1" x14ac:dyDescent="0.2">
      <c r="A105" s="15"/>
      <c r="B105" s="10" t="s">
        <v>146</v>
      </c>
      <c r="C105" s="35"/>
      <c r="D105" s="105"/>
      <c r="E105" s="106"/>
      <c r="F105" s="26"/>
    </row>
    <row r="106" spans="1:10" s="4" customFormat="1" ht="14.25" customHeight="1" x14ac:dyDescent="0.2">
      <c r="A106" s="27"/>
      <c r="B106" s="11"/>
      <c r="C106" s="107"/>
      <c r="D106" s="108"/>
      <c r="E106" s="109"/>
      <c r="F106" s="59"/>
      <c r="G106" s="59"/>
      <c r="H106" s="60"/>
      <c r="I106" s="61"/>
    </row>
    <row r="107" spans="1:10" x14ac:dyDescent="0.2">
      <c r="B107" s="12" t="s">
        <v>15</v>
      </c>
      <c r="C107" s="107"/>
      <c r="D107" s="108"/>
      <c r="E107" s="109"/>
      <c r="F107" s="26"/>
    </row>
    <row r="108" spans="1:10" ht="20.25" customHeight="1" x14ac:dyDescent="0.2">
      <c r="B108" s="12"/>
      <c r="C108" s="116" t="s">
        <v>122</v>
      </c>
      <c r="D108" s="117"/>
      <c r="E108" s="118"/>
      <c r="F108" s="26"/>
    </row>
    <row r="109" spans="1:10" ht="13.5" thickBot="1" x14ac:dyDescent="0.25">
      <c r="B109" s="13"/>
      <c r="C109" s="110"/>
      <c r="D109" s="111"/>
      <c r="E109" s="112"/>
      <c r="F109" s="26"/>
    </row>
    <row r="110" spans="1:10" ht="50.25" customHeight="1" thickBot="1" x14ac:dyDescent="0.25">
      <c r="B110" s="58"/>
      <c r="C110" s="107"/>
      <c r="D110" s="108"/>
      <c r="E110" s="34"/>
      <c r="F110" s="26"/>
    </row>
    <row r="111" spans="1:10" ht="17.25" customHeight="1" x14ac:dyDescent="0.2">
      <c r="A111" s="15"/>
      <c r="B111" s="10" t="s">
        <v>148</v>
      </c>
      <c r="C111" s="35"/>
      <c r="D111" s="105"/>
      <c r="E111" s="106"/>
      <c r="F111" s="26"/>
    </row>
    <row r="112" spans="1:10" x14ac:dyDescent="0.2">
      <c r="B112" s="11"/>
      <c r="C112" s="107"/>
      <c r="D112" s="108"/>
      <c r="E112" s="109"/>
      <c r="F112" s="26"/>
    </row>
    <row r="113" spans="1:10" x14ac:dyDescent="0.2">
      <c r="B113" s="12" t="s">
        <v>15</v>
      </c>
      <c r="C113" s="107"/>
      <c r="D113" s="108"/>
      <c r="E113" s="109"/>
      <c r="F113" s="26"/>
    </row>
    <row r="114" spans="1:10" ht="29.25" customHeight="1" x14ac:dyDescent="0.2">
      <c r="B114" s="12"/>
      <c r="C114" s="116" t="s">
        <v>123</v>
      </c>
      <c r="D114" s="117"/>
      <c r="E114" s="118"/>
      <c r="F114" s="26"/>
    </row>
    <row r="115" spans="1:10" ht="13.5" thickBot="1" x14ac:dyDescent="0.25">
      <c r="B115" s="13"/>
      <c r="C115" s="110"/>
      <c r="D115" s="111"/>
      <c r="E115" s="112"/>
      <c r="F115" s="26"/>
    </row>
    <row r="116" spans="1:10" ht="39" customHeight="1" thickBot="1" x14ac:dyDescent="0.25">
      <c r="B116" s="9"/>
      <c r="F116" s="26"/>
    </row>
    <row r="117" spans="1:10" x14ac:dyDescent="0.2">
      <c r="B117" s="10" t="s">
        <v>149</v>
      </c>
      <c r="C117" s="35"/>
      <c r="D117" s="105"/>
      <c r="E117" s="106"/>
      <c r="F117" s="26"/>
    </row>
    <row r="118" spans="1:10" x14ac:dyDescent="0.2">
      <c r="B118" s="11"/>
      <c r="C118" s="107"/>
      <c r="D118" s="108"/>
      <c r="E118" s="109"/>
      <c r="F118" s="26"/>
    </row>
    <row r="119" spans="1:10" ht="17.25" customHeight="1" x14ac:dyDescent="0.2">
      <c r="B119" s="12" t="s">
        <v>15</v>
      </c>
      <c r="C119" s="107"/>
      <c r="D119" s="108"/>
      <c r="E119" s="109"/>
      <c r="F119" s="26"/>
    </row>
    <row r="120" spans="1:10" x14ac:dyDescent="0.2">
      <c r="B120" s="12"/>
      <c r="C120" s="116" t="s">
        <v>124</v>
      </c>
      <c r="D120" s="117"/>
      <c r="E120" s="118"/>
      <c r="F120" s="26"/>
    </row>
    <row r="121" spans="1:10" s="26" customFormat="1" ht="13.5" thickBot="1" x14ac:dyDescent="0.25">
      <c r="A121" s="1"/>
      <c r="B121" s="13"/>
      <c r="C121" s="110"/>
      <c r="D121" s="111"/>
      <c r="E121" s="112"/>
      <c r="H121" s="46"/>
      <c r="I121" s="14"/>
      <c r="J121" s="1"/>
    </row>
    <row r="122" spans="1:10" s="26" customFormat="1" ht="31.5" customHeight="1" thickBot="1" x14ac:dyDescent="0.25">
      <c r="A122" s="1"/>
      <c r="B122" s="9"/>
      <c r="C122" s="102"/>
      <c r="D122" s="103"/>
      <c r="E122" s="104"/>
      <c r="H122" s="46"/>
      <c r="I122" s="14"/>
      <c r="J122" s="1"/>
    </row>
    <row r="123" spans="1:10" s="26" customFormat="1" ht="15" customHeight="1" x14ac:dyDescent="0.2">
      <c r="A123" s="1"/>
      <c r="B123" s="10" t="s">
        <v>150</v>
      </c>
      <c r="C123" s="35"/>
      <c r="D123" s="105"/>
      <c r="E123" s="106"/>
      <c r="H123" s="46"/>
      <c r="I123" s="14"/>
      <c r="J123" s="1"/>
    </row>
    <row r="124" spans="1:10" s="26" customFormat="1" x14ac:dyDescent="0.2">
      <c r="A124" s="1"/>
      <c r="B124" s="11"/>
      <c r="C124" s="107"/>
      <c r="D124" s="108"/>
      <c r="E124" s="109"/>
      <c r="F124" s="1"/>
      <c r="H124" s="46"/>
      <c r="I124" s="14"/>
      <c r="J124" s="1"/>
    </row>
    <row r="125" spans="1:10" s="26" customFormat="1" x14ac:dyDescent="0.2">
      <c r="A125" s="1"/>
      <c r="B125" s="12" t="s">
        <v>15</v>
      </c>
      <c r="C125" s="107"/>
      <c r="D125" s="108"/>
      <c r="E125" s="109"/>
      <c r="F125" s="1"/>
      <c r="H125" s="46"/>
      <c r="I125" s="14"/>
      <c r="J125" s="1"/>
    </row>
    <row r="126" spans="1:10" s="26" customFormat="1" x14ac:dyDescent="0.2">
      <c r="A126" s="1"/>
      <c r="B126" s="12"/>
      <c r="C126" s="116" t="s">
        <v>125</v>
      </c>
      <c r="D126" s="117"/>
      <c r="E126" s="118"/>
      <c r="F126" s="1"/>
      <c r="H126" s="46"/>
      <c r="I126" s="14"/>
      <c r="J126" s="1"/>
    </row>
    <row r="127" spans="1:10" s="26" customFormat="1" ht="13.5" thickBot="1" x14ac:dyDescent="0.25">
      <c r="A127" s="1"/>
      <c r="B127" s="13"/>
      <c r="C127" s="110"/>
      <c r="D127" s="111"/>
      <c r="E127" s="112"/>
      <c r="F127" s="1"/>
      <c r="H127" s="46"/>
      <c r="I127" s="14"/>
      <c r="J127" s="1"/>
    </row>
    <row r="128" spans="1:10" s="26" customFormat="1" ht="24.75" customHeight="1" x14ac:dyDescent="0.2">
      <c r="A128" s="15"/>
      <c r="B128" s="9"/>
      <c r="C128" s="102"/>
      <c r="D128" s="103"/>
      <c r="E128" s="104"/>
      <c r="F128" s="1"/>
      <c r="H128" s="46"/>
      <c r="I128" s="14"/>
      <c r="J128" s="1"/>
    </row>
    <row r="129" spans="1:10" s="26" customFormat="1" ht="13.5" thickBot="1" x14ac:dyDescent="0.25">
      <c r="A129" s="15"/>
      <c r="B129" s="9"/>
      <c r="C129" s="102"/>
      <c r="D129" s="103"/>
      <c r="E129" s="104"/>
      <c r="F129" s="1"/>
      <c r="H129" s="46"/>
      <c r="I129" s="14"/>
      <c r="J129" s="1"/>
    </row>
    <row r="130" spans="1:10" ht="14.25" x14ac:dyDescent="0.2">
      <c r="A130" s="15"/>
      <c r="B130" s="18" t="s">
        <v>16</v>
      </c>
      <c r="C130" s="35"/>
      <c r="D130" s="105"/>
      <c r="E130" s="113"/>
    </row>
    <row r="131" spans="1:10" ht="118.5" customHeight="1" x14ac:dyDescent="0.2">
      <c r="B131" s="16"/>
      <c r="C131" s="116" t="s">
        <v>151</v>
      </c>
      <c r="D131" s="116"/>
      <c r="E131" s="126"/>
    </row>
    <row r="132" spans="1:10" x14ac:dyDescent="0.2">
      <c r="B132" s="16"/>
      <c r="C132" s="127"/>
      <c r="D132" s="127"/>
      <c r="E132" s="127"/>
    </row>
    <row r="133" spans="1:10" x14ac:dyDescent="0.2">
      <c r="B133" s="19" t="s">
        <v>17</v>
      </c>
      <c r="C133" s="72"/>
      <c r="D133" s="114"/>
      <c r="E133" s="94"/>
    </row>
    <row r="134" spans="1:10" ht="30" customHeight="1" x14ac:dyDescent="0.2">
      <c r="B134" s="16"/>
      <c r="C134" s="116" t="s">
        <v>22</v>
      </c>
      <c r="D134" s="116"/>
      <c r="E134" s="126"/>
    </row>
    <row r="135" spans="1:10" ht="24.75" customHeight="1" thickBot="1" x14ac:dyDescent="0.25">
      <c r="B135" s="17"/>
      <c r="C135" s="110"/>
      <c r="D135" s="111"/>
      <c r="E135" s="112"/>
    </row>
    <row r="136" spans="1:10" ht="13.5" thickBot="1" x14ac:dyDescent="0.25"/>
    <row r="137" spans="1:10" x14ac:dyDescent="0.2">
      <c r="B137" s="20" t="s">
        <v>18</v>
      </c>
      <c r="C137" s="35"/>
      <c r="D137" s="35"/>
      <c r="E137" s="115"/>
    </row>
    <row r="138" spans="1:10" x14ac:dyDescent="0.2">
      <c r="B138" s="6"/>
      <c r="C138" s="116" t="s">
        <v>63</v>
      </c>
      <c r="D138" s="116"/>
      <c r="E138" s="126"/>
    </row>
    <row r="139" spans="1:10" x14ac:dyDescent="0.2">
      <c r="B139" s="21" t="s">
        <v>19</v>
      </c>
      <c r="C139" s="107"/>
      <c r="D139" s="108"/>
      <c r="E139" s="109"/>
    </row>
    <row r="140" spans="1:10" x14ac:dyDescent="0.2">
      <c r="B140" s="5"/>
      <c r="C140" s="127"/>
      <c r="D140" s="127"/>
      <c r="E140" s="127"/>
    </row>
    <row r="141" spans="1:10" ht="13.5" thickBot="1" x14ac:dyDescent="0.25">
      <c r="B141" s="7"/>
      <c r="C141" s="110"/>
      <c r="D141" s="111"/>
      <c r="E141" s="112"/>
    </row>
  </sheetData>
  <autoFilter ref="A9:I63"/>
  <mergeCells count="23">
    <mergeCell ref="C138:E138"/>
    <mergeCell ref="C140:E140"/>
    <mergeCell ref="C120:E120"/>
    <mergeCell ref="C126:E126"/>
    <mergeCell ref="C131:E131"/>
    <mergeCell ref="C132:E132"/>
    <mergeCell ref="C134:E134"/>
    <mergeCell ref="C114:E114"/>
    <mergeCell ref="A7:B7"/>
    <mergeCell ref="C69:E69"/>
    <mergeCell ref="C80:E80"/>
    <mergeCell ref="B2:H2"/>
    <mergeCell ref="A4:B4"/>
    <mergeCell ref="C4:E4"/>
    <mergeCell ref="A5:B5"/>
    <mergeCell ref="C5:E5"/>
    <mergeCell ref="A6:B6"/>
    <mergeCell ref="C85:E85"/>
    <mergeCell ref="C90:E90"/>
    <mergeCell ref="C96:E96"/>
    <mergeCell ref="C102:E102"/>
    <mergeCell ref="C108:E108"/>
    <mergeCell ref="C74:E7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22" zoomScale="90" zoomScaleNormal="90" workbookViewId="0">
      <selection activeCell="O20" sqref="O20:P20"/>
    </sheetView>
  </sheetViews>
  <sheetFormatPr baseColWidth="10" defaultColWidth="11" defaultRowHeight="13.5" x14ac:dyDescent="0.25"/>
  <cols>
    <col min="1" max="5" width="4.42578125" style="76" customWidth="1"/>
    <col min="6" max="6" width="5.5703125" style="76" customWidth="1"/>
    <col min="7" max="7" width="4.42578125" style="78" customWidth="1"/>
    <col min="8" max="14" width="4.42578125" style="76" customWidth="1"/>
    <col min="15" max="15" width="14.85546875" style="76" customWidth="1"/>
    <col min="16" max="16" width="17" style="76" customWidth="1"/>
    <col min="17" max="17" width="17.28515625" style="79" customWidth="1"/>
    <col min="18" max="18" width="17" style="76" customWidth="1"/>
    <col min="19" max="16384" width="11" style="76"/>
  </cols>
  <sheetData>
    <row r="1" spans="1:18" ht="15.75" customHeight="1" thickBot="1" x14ac:dyDescent="0.3">
      <c r="A1" s="164" t="s">
        <v>3</v>
      </c>
      <c r="B1" s="165"/>
      <c r="C1" s="165"/>
      <c r="D1" s="166">
        <v>2022</v>
      </c>
      <c r="E1" s="167"/>
      <c r="F1" s="74"/>
      <c r="G1" s="74"/>
      <c r="H1" s="75"/>
      <c r="I1" s="75"/>
      <c r="J1" s="75"/>
      <c r="K1" s="75"/>
      <c r="L1" s="75"/>
      <c r="M1" s="75"/>
      <c r="N1" s="75"/>
      <c r="P1" s="168" t="s">
        <v>157</v>
      </c>
      <c r="Q1" s="169"/>
    </row>
    <row r="2" spans="1:18" ht="15.75" customHeight="1" thickBot="1" x14ac:dyDescent="0.3">
      <c r="H2" s="75"/>
      <c r="I2" s="75"/>
      <c r="J2" s="75"/>
      <c r="K2" s="75"/>
      <c r="L2" s="75"/>
      <c r="M2" s="75"/>
      <c r="N2" s="75"/>
      <c r="P2" s="170"/>
      <c r="Q2" s="171"/>
    </row>
    <row r="3" spans="1:18" ht="14.25" thickBot="1" x14ac:dyDescent="0.3"/>
    <row r="4" spans="1:18" ht="18" customHeight="1" thickBot="1" x14ac:dyDescent="0.35">
      <c r="A4" s="172" t="s">
        <v>158</v>
      </c>
      <c r="B4" s="173"/>
      <c r="C4" s="173"/>
      <c r="D4" s="173"/>
      <c r="E4" s="173"/>
      <c r="F4" s="174"/>
      <c r="G4" s="155" t="s">
        <v>137</v>
      </c>
      <c r="H4" s="156"/>
      <c r="I4" s="156"/>
      <c r="J4" s="156"/>
      <c r="K4" s="156"/>
      <c r="L4" s="156"/>
      <c r="M4" s="156"/>
      <c r="N4" s="156"/>
      <c r="O4" s="156"/>
      <c r="P4" s="156"/>
      <c r="Q4" s="157"/>
    </row>
    <row r="5" spans="1:18" ht="35.25" customHeight="1" thickBot="1" x14ac:dyDescent="0.35">
      <c r="A5" s="152" t="s">
        <v>159</v>
      </c>
      <c r="B5" s="153"/>
      <c r="C5" s="153"/>
      <c r="D5" s="153"/>
      <c r="E5" s="153"/>
      <c r="F5" s="154"/>
      <c r="G5" s="161" t="s">
        <v>129</v>
      </c>
      <c r="H5" s="162"/>
      <c r="I5" s="162"/>
      <c r="J5" s="162"/>
      <c r="K5" s="162"/>
      <c r="L5" s="162"/>
      <c r="M5" s="162"/>
      <c r="N5" s="162"/>
      <c r="O5" s="162"/>
      <c r="P5" s="162"/>
      <c r="Q5" s="163"/>
    </row>
    <row r="6" spans="1:18" ht="18" customHeight="1" thickBot="1" x14ac:dyDescent="0.35">
      <c r="A6" s="152" t="s">
        <v>160</v>
      </c>
      <c r="B6" s="153"/>
      <c r="C6" s="153"/>
      <c r="D6" s="153"/>
      <c r="E6" s="153"/>
      <c r="F6" s="154"/>
      <c r="G6" s="155" t="s">
        <v>161</v>
      </c>
      <c r="H6" s="156"/>
      <c r="I6" s="156"/>
      <c r="J6" s="156"/>
      <c r="K6" s="156"/>
      <c r="L6" s="156"/>
      <c r="M6" s="156"/>
      <c r="N6" s="156"/>
      <c r="O6" s="156"/>
      <c r="P6" s="156"/>
      <c r="Q6" s="157"/>
    </row>
    <row r="7" spans="1:18" ht="18" customHeight="1" thickBot="1" x14ac:dyDescent="0.35">
      <c r="A7" s="152" t="s">
        <v>162</v>
      </c>
      <c r="B7" s="153"/>
      <c r="C7" s="153"/>
      <c r="D7" s="153"/>
      <c r="E7" s="153"/>
      <c r="F7" s="154"/>
      <c r="G7" s="155" t="str">
        <f>+G6</f>
        <v>Ministerio de Trabajo, Planificacion y Reursos Humanos</v>
      </c>
      <c r="H7" s="156"/>
      <c r="I7" s="156"/>
      <c r="J7" s="156"/>
      <c r="K7" s="156"/>
      <c r="L7" s="156"/>
      <c r="M7" s="156"/>
      <c r="N7" s="156"/>
      <c r="O7" s="156"/>
      <c r="P7" s="156"/>
      <c r="Q7" s="157"/>
    </row>
    <row r="8" spans="1:18" ht="18" customHeight="1" thickBot="1" x14ac:dyDescent="0.3">
      <c r="A8" s="158" t="s">
        <v>163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60"/>
    </row>
    <row r="9" spans="1:18" ht="18" customHeight="1" x14ac:dyDescent="0.3">
      <c r="A9" s="135" t="s">
        <v>164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80"/>
      <c r="P9" s="80"/>
      <c r="Q9" s="81"/>
    </row>
    <row r="10" spans="1:18" ht="65.25" customHeight="1" x14ac:dyDescent="0.25">
      <c r="A10" s="137" t="s">
        <v>165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</row>
    <row r="11" spans="1:18" ht="9" customHeight="1" thickBot="1" x14ac:dyDescent="0.3">
      <c r="A11" s="82"/>
      <c r="B11" s="80"/>
      <c r="C11" s="80"/>
      <c r="D11" s="80"/>
      <c r="E11" s="80"/>
      <c r="F11" s="80"/>
      <c r="G11" s="83"/>
      <c r="H11" s="80"/>
      <c r="I11" s="80"/>
      <c r="J11" s="80"/>
      <c r="K11" s="80"/>
      <c r="L11" s="80"/>
      <c r="M11" s="80"/>
      <c r="N11" s="80"/>
      <c r="O11" s="80"/>
      <c r="P11" s="80"/>
      <c r="Q11" s="81"/>
    </row>
    <row r="12" spans="1:18" ht="15.75" customHeight="1" thickBot="1" x14ac:dyDescent="0.3">
      <c r="A12" s="140" t="s">
        <v>166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2"/>
    </row>
    <row r="13" spans="1:18" ht="41.25" customHeight="1" thickBot="1" x14ac:dyDescent="0.3">
      <c r="A13" s="143" t="s">
        <v>167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5"/>
      <c r="O13" s="146" t="s">
        <v>168</v>
      </c>
      <c r="P13" s="147"/>
      <c r="Q13" s="150" t="s">
        <v>169</v>
      </c>
    </row>
    <row r="14" spans="1:18" ht="15.75" customHeight="1" x14ac:dyDescent="0.25">
      <c r="A14" s="86" t="s">
        <v>170</v>
      </c>
      <c r="B14" s="87" t="s">
        <v>171</v>
      </c>
      <c r="C14" s="87" t="s">
        <v>172</v>
      </c>
      <c r="D14" s="87" t="s">
        <v>173</v>
      </c>
      <c r="E14" s="87" t="s">
        <v>174</v>
      </c>
      <c r="F14" s="87" t="s">
        <v>175</v>
      </c>
      <c r="G14" s="88" t="s">
        <v>176</v>
      </c>
      <c r="H14" s="87" t="s">
        <v>177</v>
      </c>
      <c r="I14" s="87" t="s">
        <v>178</v>
      </c>
      <c r="J14" s="87" t="s">
        <v>179</v>
      </c>
      <c r="K14" s="87" t="s">
        <v>179</v>
      </c>
      <c r="L14" s="87" t="s">
        <v>180</v>
      </c>
      <c r="M14" s="89" t="s">
        <v>181</v>
      </c>
      <c r="N14" s="90" t="s">
        <v>182</v>
      </c>
      <c r="O14" s="148"/>
      <c r="P14" s="149"/>
      <c r="Q14" s="151"/>
    </row>
    <row r="15" spans="1:18" ht="27.75" customHeight="1" x14ac:dyDescent="0.25">
      <c r="A15" s="84">
        <v>1</v>
      </c>
      <c r="B15" s="85">
        <v>0</v>
      </c>
      <c r="C15" s="85">
        <v>0</v>
      </c>
      <c r="D15" s="85">
        <v>1</v>
      </c>
      <c r="E15" s="85">
        <v>0</v>
      </c>
      <c r="F15" s="85">
        <v>4901</v>
      </c>
      <c r="G15" s="85">
        <v>3</v>
      </c>
      <c r="H15" s="85">
        <v>6</v>
      </c>
      <c r="I15" s="85">
        <v>2</v>
      </c>
      <c r="J15" s="85">
        <v>3</v>
      </c>
      <c r="K15" s="85">
        <v>1</v>
      </c>
      <c r="L15" s="85">
        <v>0</v>
      </c>
      <c r="M15" s="85">
        <v>1</v>
      </c>
      <c r="N15" s="85" t="s">
        <v>183</v>
      </c>
      <c r="O15" s="131" t="s">
        <v>184</v>
      </c>
      <c r="P15" s="131"/>
      <c r="Q15" s="91">
        <v>168470</v>
      </c>
      <c r="R15" s="79"/>
    </row>
    <row r="16" spans="1:18" ht="27.75" customHeight="1" x14ac:dyDescent="0.25">
      <c r="A16" s="84">
        <v>7</v>
      </c>
      <c r="B16" s="85">
        <v>0</v>
      </c>
      <c r="C16" s="85">
        <v>0</v>
      </c>
      <c r="D16" s="85">
        <v>1</v>
      </c>
      <c r="E16" s="85">
        <v>0</v>
      </c>
      <c r="F16" s="85">
        <v>4901</v>
      </c>
      <c r="G16" s="85">
        <v>1</v>
      </c>
      <c r="H16" s="85">
        <v>3</v>
      </c>
      <c r="I16" s="85">
        <v>2</v>
      </c>
      <c r="J16" s="85">
        <v>3</v>
      </c>
      <c r="K16" s="85">
        <v>1</v>
      </c>
      <c r="L16" s="85">
        <v>0</v>
      </c>
      <c r="M16" s="85">
        <v>1</v>
      </c>
      <c r="N16" s="85" t="s">
        <v>183</v>
      </c>
      <c r="O16" s="131" t="s">
        <v>185</v>
      </c>
      <c r="P16" s="131"/>
      <c r="Q16" s="91">
        <v>30294</v>
      </c>
    </row>
    <row r="17" spans="1:18" ht="27.75" customHeight="1" x14ac:dyDescent="0.25">
      <c r="A17" s="84">
        <v>9</v>
      </c>
      <c r="B17" s="85">
        <v>0</v>
      </c>
      <c r="C17" s="85">
        <v>0</v>
      </c>
      <c r="D17" s="85">
        <v>5</v>
      </c>
      <c r="E17" s="85">
        <v>0</v>
      </c>
      <c r="F17" s="85">
        <v>4901</v>
      </c>
      <c r="G17" s="85">
        <v>1</v>
      </c>
      <c r="H17" s="85">
        <v>3</v>
      </c>
      <c r="I17" s="85">
        <v>2</v>
      </c>
      <c r="J17" s="85">
        <v>3</v>
      </c>
      <c r="K17" s="85">
        <v>1</v>
      </c>
      <c r="L17" s="85">
        <v>0</v>
      </c>
      <c r="M17" s="85">
        <v>1</v>
      </c>
      <c r="N17" s="85" t="s">
        <v>183</v>
      </c>
      <c r="O17" s="131" t="s">
        <v>184</v>
      </c>
      <c r="P17" s="131"/>
      <c r="Q17" s="91">
        <v>100000</v>
      </c>
    </row>
    <row r="18" spans="1:18" ht="27.75" customHeight="1" x14ac:dyDescent="0.25">
      <c r="A18" s="84">
        <v>12</v>
      </c>
      <c r="B18" s="85">
        <v>0</v>
      </c>
      <c r="C18" s="85">
        <v>0</v>
      </c>
      <c r="D18" s="85">
        <v>1</v>
      </c>
      <c r="E18" s="85">
        <v>0</v>
      </c>
      <c r="F18" s="85">
        <v>4901</v>
      </c>
      <c r="G18" s="85">
        <v>1</v>
      </c>
      <c r="H18" s="85">
        <v>3</v>
      </c>
      <c r="I18" s="85">
        <v>2</v>
      </c>
      <c r="J18" s="85">
        <v>3</v>
      </c>
      <c r="K18" s="85">
        <v>1</v>
      </c>
      <c r="L18" s="85">
        <v>0</v>
      </c>
      <c r="M18" s="85">
        <v>1</v>
      </c>
      <c r="N18" s="85" t="s">
        <v>183</v>
      </c>
      <c r="O18" s="131" t="s">
        <v>184</v>
      </c>
      <c r="P18" s="131"/>
      <c r="Q18" s="91">
        <v>100000</v>
      </c>
    </row>
    <row r="19" spans="1:18" ht="27.75" customHeight="1" x14ac:dyDescent="0.25">
      <c r="A19" s="84">
        <v>14</v>
      </c>
      <c r="B19" s="85">
        <v>0</v>
      </c>
      <c r="C19" s="85">
        <v>0</v>
      </c>
      <c r="D19" s="85">
        <v>2</v>
      </c>
      <c r="E19" s="85">
        <v>0</v>
      </c>
      <c r="F19" s="85">
        <v>4901</v>
      </c>
      <c r="G19" s="85">
        <v>3</v>
      </c>
      <c r="H19" s="85">
        <v>6</v>
      </c>
      <c r="I19" s="85">
        <v>2</v>
      </c>
      <c r="J19" s="85">
        <v>3</v>
      </c>
      <c r="K19" s="85">
        <v>1</v>
      </c>
      <c r="L19" s="85">
        <v>0</v>
      </c>
      <c r="M19" s="85">
        <v>1</v>
      </c>
      <c r="N19" s="85" t="s">
        <v>183</v>
      </c>
      <c r="O19" s="131" t="s">
        <v>184</v>
      </c>
      <c r="P19" s="131"/>
      <c r="Q19" s="91">
        <v>575497.1</v>
      </c>
    </row>
    <row r="20" spans="1:18" ht="29.25" customHeight="1" x14ac:dyDescent="0.25">
      <c r="A20" s="84">
        <v>1</v>
      </c>
      <c r="B20" s="85">
        <v>0</v>
      </c>
      <c r="C20" s="85">
        <v>0</v>
      </c>
      <c r="D20" s="85">
        <v>1</v>
      </c>
      <c r="E20" s="85">
        <v>0</v>
      </c>
      <c r="F20" s="85">
        <v>4901</v>
      </c>
      <c r="G20" s="85">
        <v>3</v>
      </c>
      <c r="H20" s="85">
        <v>6</v>
      </c>
      <c r="I20" s="85">
        <v>2</v>
      </c>
      <c r="J20" s="85">
        <v>9</v>
      </c>
      <c r="K20" s="85">
        <v>2</v>
      </c>
      <c r="L20" s="85">
        <v>0</v>
      </c>
      <c r="M20" s="85">
        <v>1</v>
      </c>
      <c r="N20" s="85" t="s">
        <v>183</v>
      </c>
      <c r="O20" s="131" t="s">
        <v>186</v>
      </c>
      <c r="P20" s="131"/>
      <c r="Q20" s="92">
        <v>51768</v>
      </c>
      <c r="R20" s="77"/>
    </row>
    <row r="21" spans="1:18" ht="32.25" customHeight="1" x14ac:dyDescent="0.25">
      <c r="A21" s="84">
        <v>2</v>
      </c>
      <c r="B21" s="85">
        <v>0</v>
      </c>
      <c r="C21" s="85">
        <v>0</v>
      </c>
      <c r="D21" s="85">
        <v>1</v>
      </c>
      <c r="E21" s="85">
        <v>0</v>
      </c>
      <c r="F21" s="85">
        <v>4901</v>
      </c>
      <c r="G21" s="85">
        <v>3</v>
      </c>
      <c r="H21" s="85">
        <v>6</v>
      </c>
      <c r="I21" s="85">
        <v>2</v>
      </c>
      <c r="J21" s="85">
        <v>9</v>
      </c>
      <c r="K21" s="85">
        <v>2</v>
      </c>
      <c r="L21" s="85">
        <v>0</v>
      </c>
      <c r="M21" s="85">
        <v>1</v>
      </c>
      <c r="N21" s="85" t="s">
        <v>183</v>
      </c>
      <c r="O21" s="131" t="s">
        <v>186</v>
      </c>
      <c r="P21" s="131"/>
      <c r="Q21" s="92">
        <v>48930.34</v>
      </c>
      <c r="R21" s="77"/>
    </row>
    <row r="22" spans="1:18" ht="29.25" customHeight="1" x14ac:dyDescent="0.25">
      <c r="A22" s="84">
        <v>7</v>
      </c>
      <c r="B22" s="85">
        <v>0</v>
      </c>
      <c r="C22" s="85">
        <v>0</v>
      </c>
      <c r="D22" s="85">
        <v>2</v>
      </c>
      <c r="E22" s="85">
        <v>0</v>
      </c>
      <c r="F22" s="85">
        <v>4901</v>
      </c>
      <c r="G22" s="85">
        <v>1</v>
      </c>
      <c r="H22" s="85">
        <v>3</v>
      </c>
      <c r="I22" s="85">
        <v>2</v>
      </c>
      <c r="J22" s="85">
        <v>9</v>
      </c>
      <c r="K22" s="85">
        <v>2</v>
      </c>
      <c r="L22" s="85">
        <v>0</v>
      </c>
      <c r="M22" s="85">
        <v>1</v>
      </c>
      <c r="N22" s="85" t="s">
        <v>183</v>
      </c>
      <c r="O22" s="131" t="s">
        <v>186</v>
      </c>
      <c r="P22" s="131"/>
      <c r="Q22" s="92">
        <v>11353</v>
      </c>
      <c r="R22" s="77"/>
    </row>
    <row r="23" spans="1:18" ht="29.25" customHeight="1" x14ac:dyDescent="0.25">
      <c r="A23" s="84">
        <v>9</v>
      </c>
      <c r="B23" s="85">
        <v>0</v>
      </c>
      <c r="C23" s="85">
        <v>0</v>
      </c>
      <c r="D23" s="85">
        <v>1</v>
      </c>
      <c r="E23" s="85">
        <v>0</v>
      </c>
      <c r="F23" s="85">
        <v>4901</v>
      </c>
      <c r="G23" s="85">
        <v>1</v>
      </c>
      <c r="H23" s="85">
        <v>3</v>
      </c>
      <c r="I23" s="85">
        <v>2</v>
      </c>
      <c r="J23" s="85">
        <v>9</v>
      </c>
      <c r="K23" s="85">
        <v>2</v>
      </c>
      <c r="L23" s="85">
        <v>0</v>
      </c>
      <c r="M23" s="85">
        <v>1</v>
      </c>
      <c r="N23" s="85" t="s">
        <v>183</v>
      </c>
      <c r="O23" s="131" t="s">
        <v>186</v>
      </c>
      <c r="P23" s="131"/>
      <c r="Q23" s="92">
        <v>55080</v>
      </c>
    </row>
    <row r="24" spans="1:18" ht="29.25" customHeight="1" x14ac:dyDescent="0.25">
      <c r="A24" s="84">
        <v>12</v>
      </c>
      <c r="B24" s="85">
        <v>0</v>
      </c>
      <c r="C24" s="85">
        <v>0</v>
      </c>
      <c r="D24" s="85">
        <v>1</v>
      </c>
      <c r="E24" s="85">
        <v>0</v>
      </c>
      <c r="F24" s="85">
        <v>4901</v>
      </c>
      <c r="G24" s="85">
        <v>1</v>
      </c>
      <c r="H24" s="85">
        <v>3</v>
      </c>
      <c r="I24" s="85">
        <v>2</v>
      </c>
      <c r="J24" s="85">
        <v>9</v>
      </c>
      <c r="K24" s="85">
        <v>2</v>
      </c>
      <c r="L24" s="85">
        <v>0</v>
      </c>
      <c r="M24" s="85">
        <v>1</v>
      </c>
      <c r="N24" s="85" t="s">
        <v>183</v>
      </c>
      <c r="O24" s="131" t="s">
        <v>186</v>
      </c>
      <c r="P24" s="131"/>
      <c r="Q24" s="92">
        <v>90900</v>
      </c>
    </row>
    <row r="25" spans="1:18" ht="29.25" customHeight="1" x14ac:dyDescent="0.25">
      <c r="A25" s="84">
        <v>14</v>
      </c>
      <c r="B25" s="85">
        <v>0</v>
      </c>
      <c r="C25" s="85">
        <v>0</v>
      </c>
      <c r="D25" s="85">
        <v>5</v>
      </c>
      <c r="E25" s="85">
        <v>0</v>
      </c>
      <c r="F25" s="85">
        <v>4901</v>
      </c>
      <c r="G25" s="85">
        <v>3</v>
      </c>
      <c r="H25" s="85">
        <v>6</v>
      </c>
      <c r="I25" s="85">
        <v>2</v>
      </c>
      <c r="J25" s="85">
        <v>9</v>
      </c>
      <c r="K25" s="85">
        <v>2</v>
      </c>
      <c r="L25" s="85">
        <v>0</v>
      </c>
      <c r="M25" s="85">
        <v>1</v>
      </c>
      <c r="N25" s="85" t="s">
        <v>183</v>
      </c>
      <c r="O25" s="131" t="s">
        <v>186</v>
      </c>
      <c r="P25" s="131"/>
      <c r="Q25" s="92">
        <v>392523.16</v>
      </c>
    </row>
    <row r="26" spans="1:18" ht="30.75" customHeight="1" thickBot="1" x14ac:dyDescent="0.3">
      <c r="A26" s="132" t="s">
        <v>188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4"/>
      <c r="Q26" s="93">
        <f>SUM(Q15:Q25)</f>
        <v>1624815.5999999999</v>
      </c>
    </row>
    <row r="27" spans="1:18" ht="30" customHeight="1" thickBot="1" x14ac:dyDescent="0.3">
      <c r="A27" s="128" t="s">
        <v>187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3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A6:F6"/>
    <mergeCell ref="G6:Q6"/>
    <mergeCell ref="A7:F7"/>
    <mergeCell ref="G7:Q7"/>
    <mergeCell ref="A8:Q8"/>
    <mergeCell ref="A9:N9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7:Q27"/>
    <mergeCell ref="O24:P24"/>
    <mergeCell ref="O25:P25"/>
    <mergeCell ref="A26:P26"/>
    <mergeCell ref="O20:P20"/>
    <mergeCell ref="O21:P21"/>
    <mergeCell ref="O22:P22"/>
    <mergeCell ref="O23:P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Utiles de Escritorio</vt:lpstr>
      <vt:lpstr>Autor Gastar</vt:lpstr>
      <vt:lpstr>Hoja2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secadmtrabajo</cp:lastModifiedBy>
  <cp:revision>2</cp:revision>
  <cp:lastPrinted>2020-09-08T12:28:46Z</cp:lastPrinted>
  <dcterms:created xsi:type="dcterms:W3CDTF">2020-07-17T23:44:49Z</dcterms:created>
  <dcterms:modified xsi:type="dcterms:W3CDTF">2022-07-01T15:34:06Z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