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7512d2144e651a/Escritorio/MEDICAMENTOS/"/>
    </mc:Choice>
  </mc:AlternateContent>
  <xr:revisionPtr revIDLastSave="5" documentId="11_B7F2F933456D1E365376AFF17867047B2AFD1D23" xr6:coauthVersionLast="46" xr6:coauthVersionMax="46" xr10:uidLastSave="{D328C8FD-DD63-45B0-8802-D56928CBDDBC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J18" i="2"/>
  <c r="J19" i="2"/>
  <c r="J20" i="2"/>
  <c r="J21" i="2"/>
  <c r="J22" i="2"/>
  <c r="J23" i="2"/>
  <c r="J24" i="2"/>
  <c r="J25" i="2"/>
  <c r="J26" i="2"/>
  <c r="J27" i="2"/>
  <c r="J28" i="2"/>
  <c r="J29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5" i="1"/>
  <c r="I21" i="1"/>
  <c r="I20" i="1"/>
  <c r="I17" i="1"/>
  <c r="I16" i="1"/>
  <c r="I19" i="1"/>
  <c r="I18" i="1"/>
  <c r="I10" i="1"/>
  <c r="I9" i="1"/>
  <c r="I12" i="1"/>
  <c r="I13" i="1"/>
  <c r="I11" i="1"/>
  <c r="I24" i="1"/>
  <c r="I26" i="1"/>
  <c r="I22" i="1"/>
  <c r="I23" i="1"/>
  <c r="I14" i="1"/>
  <c r="I15" i="1"/>
  <c r="J30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<sst xmlns="http://schemas.openxmlformats.org/spreadsheetml/2006/main" count="166" uniqueCount="93">
  <si>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</si>
  <si>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</si>
  <si>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</si>
  <si>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</si>
  <si>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</si>
  <si>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</si>
  <si>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</si>
  <si>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</si>
  <si>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</si>
  <si>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</si>
  <si>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</si>
  <si>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</si>
  <si>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</si>
  <si>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</si>
  <si>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</si>
  <si>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</si>
  <si>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</si>
  <si>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</si>
  <si>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</si>
  <si>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</si>
  <si>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</si>
  <si>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</si>
  <si>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</si>
  <si>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</si>
  <si>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</si>
  <si>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</si>
  <si>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</si>
  <si>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</si>
  <si>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</si>
  <si>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</si>
  <si>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</si>
  <si>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</si>
  <si>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</si>
  <si>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</si>
  <si>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</si>
  <si>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</si>
  <si>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</si>
  <si>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</si>
  <si>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</si>
  <si>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</si>
  <si>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</si>
  <si>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</si>
  <si>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</si>
  <si>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</si>
  <si>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</si>
  <si>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</si>
  <si>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</si>
  <si>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</si>
  <si>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</si>
  <si>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</si>
  <si>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</si>
  <si>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</si>
  <si>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</si>
  <si>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</si>
  <si>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</si>
  <si>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</si>
  <si>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</si>
  <si>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</si>
  <si>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</si>
  <si>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</si>
  <si>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</si>
  <si>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</si>
  <si>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</si>
  <si>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</si>
  <si>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</si>
  <si>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020 - 2021</t>
  </si>
  <si>
    <t xml:space="preserve">Adquisición de Analgesicos Antinflamatorios/Miorrelajantes/Anestesicos/Analgesicos Opiacios </t>
  </si>
  <si>
    <t>KETOROLAC 30 MG AMPOLLA</t>
  </si>
  <si>
    <t xml:space="preserve">MEDICAMENTOS </t>
  </si>
  <si>
    <t>2.5.2</t>
  </si>
  <si>
    <t>IBUPROFENO 400 MG AMPOLLA</t>
  </si>
  <si>
    <t>UNIDAD</t>
  </si>
  <si>
    <t>PARACETAMOL 500 MG COMPRIMIDO</t>
  </si>
  <si>
    <t>PANCURONIO 4 MG/ ML</t>
  </si>
  <si>
    <t>VECURONIO BROMURO 10 MG AMPOLLA</t>
  </si>
  <si>
    <t>SEVOFLUORANO X 250 ML TIPO ABBOTT</t>
  </si>
  <si>
    <t xml:space="preserve">BUPIVACAINA 5 MG / ML  HIBERBARICA  AMPOLLA DE 4 ML CON AGUJA 27 G X 3 1/2 CON INTRODUCTOR </t>
  </si>
  <si>
    <t>FENTANILO 250 MCG INYECTABLE</t>
  </si>
  <si>
    <t>DEXMETOMIDINA 200MG /2 ML</t>
  </si>
  <si>
    <t>BUPIVACAINA  0,5% C/EPINEFRINA FRASCO X 20 ML</t>
  </si>
  <si>
    <t>BUPIVACAINA  0,5% S/EPINEFRINA  FRASCO X 20 ML</t>
  </si>
  <si>
    <t>LIDOCAINA AEROSOL</t>
  </si>
  <si>
    <t>LIDOCAINA JALEA</t>
  </si>
  <si>
    <t>LIDOCAINA 2% CON EPINEFRINA X 20 ML</t>
  </si>
  <si>
    <t>LIDOCAINA 2%SIN EPINEFRINA X 20 ML</t>
  </si>
  <si>
    <t>LIDOCAINA SOLUCION TOPICA</t>
  </si>
  <si>
    <t>MORFINA 10 MG AMPOLLA</t>
  </si>
  <si>
    <t>TRAMADOL 50 MG AMPOLLA</t>
  </si>
  <si>
    <t>Costo total estimado: Dos Millones Quinientos Cuarenta y Tres Mil Cuatrocientos Treinta y Tres con 60/100.---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</si>
  <si>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24 MESES DE LA FECHA DE RECEPCION</t>
  </si>
  <si>
    <t xml:space="preserve">10 dias - Servicio de Farmacia del HISJB - Avda. Illia y Mariano Moreno </t>
  </si>
  <si>
    <t>TOTAL DE PESOS: DOS MILLONES QUINIENTOS CUARENTA Y TRES MIL CUATROCIENTOS TREINTA Y TRES CON 60/100.-</t>
  </si>
  <si>
    <t>NO-2021-00235950-CAT-HSJB#MS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</si>
</sst>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  <font>
      <b/>
      <sz val="2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8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 wrapText="1"/>
    </xf>
    <xf numFmtId="0" fontId="23" fillId="0" borderId="14" xfId="0" applyFont="1" applyFill="1" applyBorder="1" applyAlignment="1">
      <alignment vertical="center" wrapText="1"/>
    </xf>
    <xf numFmtId="0" fontId="20" fillId="4" borderId="14" xfId="0" applyFont="1" applyFill="1" applyBorder="1" applyAlignment="1">
      <alignment horizontal="center" vertical="center" wrapText="1"/>
    </xf>
    <xf numFmtId="166" fontId="19" fillId="4" borderId="14" xfId="1" applyNumberFormat="1" applyFont="1" applyFill="1" applyBorder="1" applyAlignment="1" applyProtection="1">
      <alignment horizontal="center" vertical="center" wrapText="1"/>
    </xf>
    <xf numFmtId="166" fontId="19" fillId="4" borderId="14" xfId="1" applyNumberFormat="1" applyFont="1" applyFill="1" applyBorder="1" applyAlignment="1" applyProtection="1">
      <alignment horizontal="right" vertical="center" wrapText="1"/>
    </xf>
    <xf numFmtId="0" fontId="22" fillId="4" borderId="0" xfId="0" applyFont="1" applyFill="1" applyAlignment="1">
      <alignment horizontal="left" wrapText="1" indent="1"/>
    </xf>
    <xf numFmtId="0" fontId="18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top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27" fillId="0" borderId="0" xfId="0" applyFo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85" zoomScaleNormal="85" workbookViewId="0">
      <selection activeCell="B2" sqref="B2:H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1" spans="1:9" ht="25.5" x14ac:dyDescent="0.35">
      <c r="A1" s="127" t="s">
        <v>92</v>
      </c>
    </row>
    <row r="3" spans="1:9" ht="18" customHeight="1" x14ac:dyDescent="0.25">
      <c r="A3" s="82" t="s">
        <v>0</v>
      </c>
      <c r="B3" s="82"/>
      <c r="C3" s="86" t="s">
        <v>57</v>
      </c>
      <c r="D3" s="86"/>
      <c r="E3" s="86"/>
      <c r="F3" s="40"/>
      <c r="G3" s="41"/>
      <c r="H3" s="40"/>
    </row>
    <row r="4" spans="1:9" ht="18" customHeight="1" x14ac:dyDescent="0.25">
      <c r="A4" s="82" t="s">
        <v>1</v>
      </c>
      <c r="B4" s="82"/>
      <c r="C4" s="86" t="s">
        <v>58</v>
      </c>
      <c r="D4" s="86"/>
      <c r="E4" s="86"/>
      <c r="F4" s="40"/>
      <c r="G4" s="41"/>
      <c r="H4" s="40"/>
    </row>
    <row r="5" spans="1:9" ht="16.5" customHeight="1" x14ac:dyDescent="0.25">
      <c r="A5" s="82" t="s">
        <v>2</v>
      </c>
      <c r="B5" s="82"/>
      <c r="C5" s="63">
        <v>2021</v>
      </c>
      <c r="D5" s="64"/>
      <c r="E5" s="64"/>
      <c r="F5" s="40"/>
      <c r="G5" s="41"/>
      <c r="H5" s="40"/>
    </row>
    <row r="6" spans="1:9" ht="16.5" customHeight="1" x14ac:dyDescent="0.25">
      <c r="A6" s="82" t="s">
        <v>3</v>
      </c>
      <c r="B6" s="82"/>
      <c r="C6" s="63">
        <v>2</v>
      </c>
      <c r="D6" s="64"/>
      <c r="E6" s="64"/>
      <c r="F6" s="40"/>
      <c r="G6" s="41"/>
      <c r="H6" s="40"/>
    </row>
    <row r="7" spans="1:9" ht="13.5" thickBot="1" x14ac:dyDescent="0.25">
      <c r="B7" s="40"/>
      <c r="C7" s="41"/>
      <c r="D7" s="40"/>
      <c r="E7" s="40"/>
      <c r="F7" s="40"/>
      <c r="G7" s="41"/>
      <c r="H7" s="40"/>
    </row>
    <row r="8" spans="1:9" ht="39" thickBot="1" x14ac:dyDescent="0.25">
      <c r="A8" s="55" t="s">
        <v>4</v>
      </c>
      <c r="B8" s="55" t="s">
        <v>5</v>
      </c>
      <c r="C8" s="55" t="s">
        <v>6</v>
      </c>
      <c r="D8" s="55" t="s">
        <v>7</v>
      </c>
      <c r="E8" s="55" t="s">
        <v>8</v>
      </c>
      <c r="F8" s="55" t="s">
        <v>9</v>
      </c>
      <c r="G8" s="55" t="s">
        <v>10</v>
      </c>
      <c r="H8" s="55" t="s">
        <v>11</v>
      </c>
      <c r="I8" s="55" t="s">
        <v>12</v>
      </c>
    </row>
    <row r="9" spans="1:9" ht="31.9" customHeight="1" thickBot="1" x14ac:dyDescent="0.25">
      <c r="A9" s="56">
        <v>1</v>
      </c>
      <c r="B9" s="60"/>
      <c r="C9" s="57" t="s">
        <v>68</v>
      </c>
      <c r="D9" s="58" t="s">
        <v>69</v>
      </c>
      <c r="E9" s="59" t="s">
        <v>79</v>
      </c>
      <c r="F9" s="60" t="s">
        <v>71</v>
      </c>
      <c r="G9" s="60">
        <v>15</v>
      </c>
      <c r="H9" s="61">
        <v>952</v>
      </c>
      <c r="I9" s="62">
        <f t="shared" ref="I9:I26" si="0">G9*H9</f>
        <v>14280</v>
      </c>
    </row>
    <row r="10" spans="1:9" ht="31.9" customHeight="1" thickBot="1" x14ac:dyDescent="0.25">
      <c r="A10" s="56">
        <v>2</v>
      </c>
      <c r="B10" s="60"/>
      <c r="C10" s="57" t="s">
        <v>68</v>
      </c>
      <c r="D10" s="58" t="s">
        <v>69</v>
      </c>
      <c r="E10" s="59" t="s">
        <v>80</v>
      </c>
      <c r="F10" s="60" t="s">
        <v>71</v>
      </c>
      <c r="G10" s="60">
        <v>30</v>
      </c>
      <c r="H10" s="61">
        <v>197.6</v>
      </c>
      <c r="I10" s="62">
        <f t="shared" si="0"/>
        <v>5928</v>
      </c>
    </row>
    <row r="11" spans="1:9" ht="37.5" customHeight="1" thickBot="1" x14ac:dyDescent="0.25">
      <c r="A11" s="56">
        <v>3</v>
      </c>
      <c r="B11" s="60"/>
      <c r="C11" s="57" t="s">
        <v>68</v>
      </c>
      <c r="D11" s="58" t="s">
        <v>69</v>
      </c>
      <c r="E11" s="59" t="s">
        <v>76</v>
      </c>
      <c r="F11" s="60" t="s">
        <v>71</v>
      </c>
      <c r="G11" s="60">
        <v>180</v>
      </c>
      <c r="H11" s="61">
        <v>821.22</v>
      </c>
      <c r="I11" s="62">
        <f t="shared" si="0"/>
        <v>147819.6</v>
      </c>
    </row>
    <row r="12" spans="1:9" ht="31.9" customHeight="1" thickBot="1" x14ac:dyDescent="0.25">
      <c r="A12" s="56">
        <v>4</v>
      </c>
      <c r="B12" s="60"/>
      <c r="C12" s="57" t="s">
        <v>68</v>
      </c>
      <c r="D12" s="58" t="s">
        <v>69</v>
      </c>
      <c r="E12" s="59" t="s">
        <v>78</v>
      </c>
      <c r="F12" s="60" t="s">
        <v>71</v>
      </c>
      <c r="G12" s="60">
        <v>60</v>
      </c>
      <c r="H12" s="61">
        <v>389.2</v>
      </c>
      <c r="I12" s="62">
        <f t="shared" si="0"/>
        <v>23352</v>
      </c>
    </row>
    <row r="13" spans="1:9" ht="31.9" customHeight="1" thickBot="1" x14ac:dyDescent="0.25">
      <c r="A13" s="56">
        <v>5</v>
      </c>
      <c r="B13" s="60"/>
      <c r="C13" s="57" t="s">
        <v>68</v>
      </c>
      <c r="D13" s="58" t="s">
        <v>69</v>
      </c>
      <c r="E13" s="59" t="s">
        <v>77</v>
      </c>
      <c r="F13" s="60" t="s">
        <v>71</v>
      </c>
      <c r="G13" s="60">
        <v>1500</v>
      </c>
      <c r="H13" s="61">
        <v>761.95</v>
      </c>
      <c r="I13" s="62">
        <f t="shared" si="0"/>
        <v>1142925</v>
      </c>
    </row>
    <row r="14" spans="1:9" ht="31.9" customHeight="1" thickBot="1" x14ac:dyDescent="0.25">
      <c r="A14" s="56">
        <v>6</v>
      </c>
      <c r="B14" s="60"/>
      <c r="C14" s="57" t="s">
        <v>68</v>
      </c>
      <c r="D14" s="58" t="s">
        <v>69</v>
      </c>
      <c r="E14" s="59" t="s">
        <v>70</v>
      </c>
      <c r="F14" s="60" t="s">
        <v>71</v>
      </c>
      <c r="G14" s="60">
        <v>100</v>
      </c>
      <c r="H14" s="61">
        <v>309.85000000000002</v>
      </c>
      <c r="I14" s="62">
        <f t="shared" si="0"/>
        <v>30985.000000000004</v>
      </c>
    </row>
    <row r="15" spans="1:9" ht="31.9" customHeight="1" thickBot="1" x14ac:dyDescent="0.25">
      <c r="A15" s="56">
        <v>7</v>
      </c>
      <c r="B15" s="60"/>
      <c r="C15" s="57" t="s">
        <v>68</v>
      </c>
      <c r="D15" s="58" t="s">
        <v>69</v>
      </c>
      <c r="E15" s="59" t="s">
        <v>67</v>
      </c>
      <c r="F15" s="60" t="s">
        <v>71</v>
      </c>
      <c r="G15" s="60">
        <v>20000</v>
      </c>
      <c r="H15" s="61">
        <v>21.28</v>
      </c>
      <c r="I15" s="62">
        <f t="shared" si="0"/>
        <v>425600</v>
      </c>
    </row>
    <row r="16" spans="1:9" ht="31.9" customHeight="1" thickBot="1" x14ac:dyDescent="0.25">
      <c r="A16" s="56">
        <v>8</v>
      </c>
      <c r="B16" s="60"/>
      <c r="C16" s="57" t="s">
        <v>68</v>
      </c>
      <c r="D16" s="58" t="s">
        <v>69</v>
      </c>
      <c r="E16" s="59" t="s">
        <v>83</v>
      </c>
      <c r="F16" s="60" t="s">
        <v>71</v>
      </c>
      <c r="G16" s="60">
        <v>50</v>
      </c>
      <c r="H16" s="61">
        <v>280</v>
      </c>
      <c r="I16" s="62">
        <f t="shared" si="0"/>
        <v>14000</v>
      </c>
    </row>
    <row r="17" spans="1:9" ht="31.9" customHeight="1" thickBot="1" x14ac:dyDescent="0.25">
      <c r="A17" s="56">
        <v>9</v>
      </c>
      <c r="B17" s="60"/>
      <c r="C17" s="57" t="s">
        <v>68</v>
      </c>
      <c r="D17" s="58" t="s">
        <v>69</v>
      </c>
      <c r="E17" s="59" t="s">
        <v>84</v>
      </c>
      <c r="F17" s="60" t="s">
        <v>71</v>
      </c>
      <c r="G17" s="60">
        <v>50</v>
      </c>
      <c r="H17" s="61">
        <v>599.20000000000005</v>
      </c>
      <c r="I17" s="62">
        <f t="shared" si="0"/>
        <v>29960.000000000004</v>
      </c>
    </row>
    <row r="18" spans="1:9" ht="31.9" customHeight="1" thickBot="1" x14ac:dyDescent="0.25">
      <c r="A18" s="56">
        <v>10</v>
      </c>
      <c r="B18" s="60"/>
      <c r="C18" s="57" t="s">
        <v>68</v>
      </c>
      <c r="D18" s="58" t="s">
        <v>69</v>
      </c>
      <c r="E18" s="59" t="s">
        <v>81</v>
      </c>
      <c r="F18" s="60" t="s">
        <v>71</v>
      </c>
      <c r="G18" s="60">
        <v>5</v>
      </c>
      <c r="H18" s="61">
        <v>1996</v>
      </c>
      <c r="I18" s="62">
        <f t="shared" si="0"/>
        <v>9980</v>
      </c>
    </row>
    <row r="19" spans="1:9" ht="31.9" customHeight="1" thickBot="1" x14ac:dyDescent="0.25">
      <c r="A19" s="56">
        <v>11</v>
      </c>
      <c r="B19" s="60"/>
      <c r="C19" s="57" t="s">
        <v>68</v>
      </c>
      <c r="D19" s="58" t="s">
        <v>69</v>
      </c>
      <c r="E19" s="59" t="s">
        <v>82</v>
      </c>
      <c r="F19" s="60" t="s">
        <v>71</v>
      </c>
      <c r="G19" s="60">
        <v>300</v>
      </c>
      <c r="H19" s="61">
        <v>130</v>
      </c>
      <c r="I19" s="62">
        <f t="shared" si="0"/>
        <v>39000</v>
      </c>
    </row>
    <row r="20" spans="1:9" ht="31.9" customHeight="1" thickBot="1" x14ac:dyDescent="0.25">
      <c r="A20" s="56">
        <v>12</v>
      </c>
      <c r="B20" s="60"/>
      <c r="C20" s="57" t="s">
        <v>68</v>
      </c>
      <c r="D20" s="58" t="s">
        <v>69</v>
      </c>
      <c r="E20" s="59" t="s">
        <v>85</v>
      </c>
      <c r="F20" s="60" t="s">
        <v>71</v>
      </c>
      <c r="G20" s="60">
        <v>30</v>
      </c>
      <c r="H20" s="61">
        <v>268</v>
      </c>
      <c r="I20" s="62">
        <f t="shared" si="0"/>
        <v>8040</v>
      </c>
    </row>
    <row r="21" spans="1:9" ht="31.9" customHeight="1" thickBot="1" x14ac:dyDescent="0.25">
      <c r="A21" s="56">
        <v>13</v>
      </c>
      <c r="B21" s="60"/>
      <c r="C21" s="57" t="s">
        <v>68</v>
      </c>
      <c r="D21" s="58" t="s">
        <v>69</v>
      </c>
      <c r="E21" s="59" t="s">
        <v>86</v>
      </c>
      <c r="F21" s="60" t="s">
        <v>71</v>
      </c>
      <c r="G21" s="60">
        <v>1500</v>
      </c>
      <c r="H21" s="61">
        <v>122.42</v>
      </c>
      <c r="I21" s="62">
        <f t="shared" si="0"/>
        <v>183630</v>
      </c>
    </row>
    <row r="22" spans="1:9" ht="31.9" customHeight="1" thickBot="1" x14ac:dyDescent="0.25">
      <c r="A22" s="56">
        <v>14</v>
      </c>
      <c r="B22" s="60"/>
      <c r="C22" s="57" t="s">
        <v>68</v>
      </c>
      <c r="D22" s="58" t="s">
        <v>69</v>
      </c>
      <c r="E22" s="59" t="s">
        <v>73</v>
      </c>
      <c r="F22" s="60" t="s">
        <v>71</v>
      </c>
      <c r="G22" s="60">
        <v>75</v>
      </c>
      <c r="H22" s="61">
        <v>497.32</v>
      </c>
      <c r="I22" s="62">
        <f t="shared" si="0"/>
        <v>37299</v>
      </c>
    </row>
    <row r="23" spans="1:9" ht="31.9" customHeight="1" thickBot="1" x14ac:dyDescent="0.25">
      <c r="A23" s="56">
        <v>15</v>
      </c>
      <c r="B23" s="60"/>
      <c r="C23" s="57" t="s">
        <v>68</v>
      </c>
      <c r="D23" s="58" t="s">
        <v>69</v>
      </c>
      <c r="E23" s="59" t="s">
        <v>72</v>
      </c>
      <c r="F23" s="60" t="s">
        <v>71</v>
      </c>
      <c r="G23" s="60">
        <v>6000</v>
      </c>
      <c r="H23" s="61">
        <v>3.92</v>
      </c>
      <c r="I23" s="62">
        <f t="shared" si="0"/>
        <v>23520</v>
      </c>
    </row>
    <row r="24" spans="1:9" ht="31.9" customHeight="1" thickBot="1" x14ac:dyDescent="0.25">
      <c r="A24" s="56">
        <v>16</v>
      </c>
      <c r="B24" s="60"/>
      <c r="C24" s="57" t="s">
        <v>68</v>
      </c>
      <c r="D24" s="58" t="s">
        <v>69</v>
      </c>
      <c r="E24" s="59" t="s">
        <v>75</v>
      </c>
      <c r="F24" s="60" t="s">
        <v>71</v>
      </c>
      <c r="G24" s="60">
        <v>60</v>
      </c>
      <c r="H24" s="61">
        <v>688.8</v>
      </c>
      <c r="I24" s="62">
        <f t="shared" si="0"/>
        <v>41328</v>
      </c>
    </row>
    <row r="25" spans="1:9" ht="31.9" customHeight="1" thickBot="1" x14ac:dyDescent="0.25">
      <c r="A25" s="56">
        <v>17</v>
      </c>
      <c r="B25" s="60"/>
      <c r="C25" s="57" t="s">
        <v>68</v>
      </c>
      <c r="D25" s="58" t="s">
        <v>69</v>
      </c>
      <c r="E25" s="59" t="s">
        <v>87</v>
      </c>
      <c r="F25" s="60" t="s">
        <v>71</v>
      </c>
      <c r="G25" s="60">
        <v>1000</v>
      </c>
      <c r="H25" s="61">
        <v>192.13</v>
      </c>
      <c r="I25" s="62">
        <f t="shared" si="0"/>
        <v>192130</v>
      </c>
    </row>
    <row r="26" spans="1:9" ht="31.9" customHeight="1" thickBot="1" x14ac:dyDescent="0.25">
      <c r="A26" s="56">
        <v>18</v>
      </c>
      <c r="B26" s="60"/>
      <c r="C26" s="57" t="s">
        <v>68</v>
      </c>
      <c r="D26" s="58" t="s">
        <v>69</v>
      </c>
      <c r="E26" s="59" t="s">
        <v>74</v>
      </c>
      <c r="F26" s="60" t="s">
        <v>71</v>
      </c>
      <c r="G26" s="60">
        <v>50</v>
      </c>
      <c r="H26" s="61">
        <v>3473.14</v>
      </c>
      <c r="I26" s="62">
        <f t="shared" si="0"/>
        <v>173657</v>
      </c>
    </row>
    <row r="29" spans="1:9" x14ac:dyDescent="0.2">
      <c r="B29" s="42" t="s">
        <v>13</v>
      </c>
      <c r="C29" s="43"/>
      <c r="D29" s="43"/>
      <c r="E29" s="44"/>
    </row>
    <row r="30" spans="1:9" ht="5.25" customHeight="1" x14ac:dyDescent="0.2">
      <c r="B30" s="45"/>
      <c r="C30" s="46"/>
      <c r="D30" s="46"/>
      <c r="E30" s="47"/>
    </row>
    <row r="31" spans="1:9" x14ac:dyDescent="0.2">
      <c r="B31" s="48" t="s">
        <v>14</v>
      </c>
      <c r="C31" s="46"/>
      <c r="D31" s="46"/>
      <c r="E31" s="47"/>
    </row>
    <row r="32" spans="1:9" ht="75.75" customHeight="1" x14ac:dyDescent="0.2">
      <c r="B32" s="48"/>
      <c r="C32" s="83" t="s">
        <v>89</v>
      </c>
      <c r="D32" s="83"/>
      <c r="E32" s="83"/>
    </row>
    <row r="33" spans="2:5" x14ac:dyDescent="0.2">
      <c r="B33" s="48" t="s">
        <v>15</v>
      </c>
      <c r="C33" s="46"/>
      <c r="D33" s="46"/>
      <c r="E33" s="47"/>
    </row>
    <row r="34" spans="2:5" x14ac:dyDescent="0.2">
      <c r="B34" s="49"/>
      <c r="C34" s="84" t="s">
        <v>90</v>
      </c>
      <c r="D34" s="84"/>
      <c r="E34" s="84"/>
    </row>
    <row r="35" spans="2:5" x14ac:dyDescent="0.2">
      <c r="B35" s="49"/>
      <c r="C35" s="85"/>
      <c r="D35" s="85"/>
      <c r="E35" s="85"/>
    </row>
    <row r="36" spans="2:5" x14ac:dyDescent="0.2">
      <c r="B36" s="48" t="s">
        <v>16</v>
      </c>
      <c r="C36" s="46"/>
      <c r="D36" s="46"/>
      <c r="E36" s="47"/>
    </row>
    <row r="37" spans="2:5" ht="26.25" customHeight="1" x14ac:dyDescent="0.2">
      <c r="B37" s="49"/>
      <c r="C37" s="79"/>
      <c r="D37" s="79"/>
      <c r="E37" s="79"/>
    </row>
    <row r="38" spans="2:5" x14ac:dyDescent="0.2">
      <c r="B38" s="48" t="s">
        <v>17</v>
      </c>
      <c r="C38" s="50"/>
      <c r="D38" s="50"/>
      <c r="E38" s="51"/>
    </row>
    <row r="39" spans="2:5" ht="26.25" customHeight="1" x14ac:dyDescent="0.2">
      <c r="B39" s="49"/>
      <c r="C39" s="80" t="s">
        <v>62</v>
      </c>
      <c r="D39" s="80"/>
      <c r="E39" s="80"/>
    </row>
    <row r="40" spans="2:5" x14ac:dyDescent="0.2">
      <c r="B40" s="48" t="s">
        <v>18</v>
      </c>
      <c r="C40" s="46"/>
      <c r="D40" s="46"/>
      <c r="E40" s="47"/>
    </row>
    <row r="41" spans="2:5" ht="23.25" customHeight="1" x14ac:dyDescent="0.2">
      <c r="B41" s="48"/>
      <c r="C41" s="81"/>
      <c r="D41" s="81"/>
      <c r="E41" s="81"/>
    </row>
    <row r="42" spans="2:5" x14ac:dyDescent="0.2">
      <c r="B42" s="52"/>
      <c r="C42" s="53"/>
      <c r="D42" s="53"/>
      <c r="E42" s="54"/>
    </row>
  </sheetData>
  <sortState xmlns:xlrd2="http://schemas.microsoft.com/office/spreadsheetml/2017/richdata2" ref="C9:I26">
    <sortCondition ref="E9:E26"/>
  </sortState>
  <mergeCells count="12">
    <mergeCell ref="A3:B3"/>
    <mergeCell ref="C3:E3"/>
    <mergeCell ref="A4:B4"/>
    <mergeCell ref="C4:E4"/>
    <mergeCell ref="C37:E37"/>
    <mergeCell ref="C39:E39"/>
    <mergeCell ref="C41:E41"/>
    <mergeCell ref="A5:B5"/>
    <mergeCell ref="A6:B6"/>
    <mergeCell ref="C32:E32"/>
    <mergeCell ref="C34:E34"/>
    <mergeCell ref="C35:E3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topLeftCell="A10" zoomScale="70" zoomScaleNormal="70" workbookViewId="0">
      <selection activeCell="R25" sqref="R2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5" t="s">
        <v>19</v>
      </c>
      <c r="B1" s="95"/>
      <c r="C1" s="95"/>
      <c r="D1" s="95"/>
      <c r="E1" s="95"/>
      <c r="F1" s="95"/>
      <c r="G1" s="95"/>
      <c r="H1" s="95"/>
      <c r="I1" s="95"/>
      <c r="J1" s="3" t="s">
        <v>20</v>
      </c>
      <c r="K1" s="65" t="s">
        <v>65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6" t="s">
        <v>53</v>
      </c>
      <c r="B3" s="96"/>
      <c r="C3" s="96"/>
      <c r="D3" s="97" t="str">
        <f>'Necesidades Trimestrales'!C3</f>
        <v>40 - Ministerio de Salud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98" t="s">
        <v>54</v>
      </c>
      <c r="B4" s="98"/>
      <c r="C4" s="98"/>
      <c r="D4" s="97" t="str">
        <f>'Necesidades Trimestrales'!C4</f>
        <v>23 - Hospital Interzonal San Juan Bautista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98" t="s">
        <v>32</v>
      </c>
      <c r="B5" s="98"/>
      <c r="C5" s="98"/>
      <c r="D5" s="97" t="s">
        <v>59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96" t="s">
        <v>55</v>
      </c>
      <c r="B6" s="96"/>
      <c r="C6" s="96"/>
      <c r="D6" s="97" t="s">
        <v>60</v>
      </c>
      <c r="E6" s="97"/>
      <c r="F6" s="97"/>
      <c r="G6" s="97"/>
      <c r="H6" s="97"/>
      <c r="I6" s="97"/>
      <c r="J6" s="97"/>
      <c r="K6" s="97"/>
    </row>
    <row r="7" spans="1:11" ht="16.5" customHeight="1" x14ac:dyDescent="0.2">
      <c r="A7" s="98" t="s">
        <v>21</v>
      </c>
      <c r="B7" s="98"/>
      <c r="C7" s="98"/>
      <c r="D7" s="97" t="str">
        <f>'Necesidades Trimestrales'!C6 &amp; "° Trimestre - Año " &amp; 'Necesidades Trimestrales'!C5</f>
        <v>2° Trimestre - Año 2021</v>
      </c>
      <c r="E7" s="97"/>
      <c r="F7" s="97"/>
      <c r="G7" s="97"/>
      <c r="H7" s="97"/>
      <c r="I7" s="97"/>
      <c r="J7" s="97"/>
      <c r="K7" s="97"/>
    </row>
    <row r="8" spans="1:11" ht="16.5" customHeight="1" x14ac:dyDescent="0.2">
      <c r="A8" s="90" t="s">
        <v>22</v>
      </c>
      <c r="B8" s="90"/>
      <c r="C8" s="90"/>
      <c r="D8" s="91" t="s">
        <v>66</v>
      </c>
      <c r="E8" s="91"/>
      <c r="F8" s="91"/>
      <c r="G8" s="91"/>
      <c r="H8" s="91"/>
      <c r="I8" s="91"/>
      <c r="J8" s="91"/>
      <c r="K8" s="9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2" t="s">
        <v>23</v>
      </c>
      <c r="B10" s="93" t="s">
        <v>24</v>
      </c>
      <c r="C10" s="93" t="s">
        <v>25</v>
      </c>
      <c r="D10" s="93"/>
      <c r="E10" s="93"/>
      <c r="F10" s="93"/>
      <c r="G10" s="93"/>
      <c r="H10" s="93" t="s">
        <v>26</v>
      </c>
      <c r="I10" s="93" t="s">
        <v>27</v>
      </c>
      <c r="J10" s="93" t="s">
        <v>28</v>
      </c>
      <c r="K10" s="94" t="s">
        <v>29</v>
      </c>
    </row>
    <row r="11" spans="1:11" ht="24" customHeight="1" thickBo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4"/>
    </row>
    <row r="12" spans="1:11" ht="20.25" customHeight="1" thickBot="1" x14ac:dyDescent="0.25">
      <c r="A12" s="8">
        <v>1</v>
      </c>
      <c r="B12" s="66">
        <f>'Necesidades Trimestrales'!B9</f>
        <v>0</v>
      </c>
      <c r="C12" s="87" t="str">
        <f>'Necesidades Trimestrales'!E9</f>
        <v>BUPIVACAINA  0,5% C/EPINEFRINA FRASCO X 20 ML</v>
      </c>
      <c r="D12" s="87"/>
      <c r="E12" s="87"/>
      <c r="F12" s="87"/>
      <c r="G12" s="87"/>
      <c r="H12" s="67" t="s">
        <v>56</v>
      </c>
      <c r="I12" s="68" t="str">
        <f>'Necesidades Trimestrales'!F9</f>
        <v>UNIDAD</v>
      </c>
      <c r="J12" s="69">
        <f>'Necesidades Trimestrales'!H9</f>
        <v>952</v>
      </c>
      <c r="K12" s="70">
        <f>'Necesidades Trimestrales'!G9</f>
        <v>15</v>
      </c>
    </row>
    <row r="13" spans="1:11" ht="20.25" customHeight="1" thickBot="1" x14ac:dyDescent="0.25">
      <c r="A13" s="8">
        <v>2</v>
      </c>
      <c r="B13" s="66">
        <f>'Necesidades Trimestrales'!B10</f>
        <v>0</v>
      </c>
      <c r="C13" s="87" t="str">
        <f>'Necesidades Trimestrales'!E10</f>
        <v>BUPIVACAINA  0,5% S/EPINEFRINA  FRASCO X 20 ML</v>
      </c>
      <c r="D13" s="87"/>
      <c r="E13" s="87"/>
      <c r="F13" s="87"/>
      <c r="G13" s="87"/>
      <c r="H13" s="67" t="s">
        <v>56</v>
      </c>
      <c r="I13" s="68" t="str">
        <f>'Necesidades Trimestrales'!F10</f>
        <v>UNIDAD</v>
      </c>
      <c r="J13" s="69">
        <f>'Necesidades Trimestrales'!H10</f>
        <v>197.6</v>
      </c>
      <c r="K13" s="70">
        <f>'Necesidades Trimestrales'!G10</f>
        <v>30</v>
      </c>
    </row>
    <row r="14" spans="1:11" ht="20.25" customHeight="1" thickBot="1" x14ac:dyDescent="0.25">
      <c r="A14" s="8">
        <v>3</v>
      </c>
      <c r="B14" s="66">
        <f>'Necesidades Trimestrales'!B11</f>
        <v>0</v>
      </c>
      <c r="C14" s="87" t="str">
        <f>'Necesidades Trimestrales'!E11</f>
        <v xml:space="preserve">BUPIVACAINA 5 MG / ML  HIBERBARICA  AMPOLLA DE 4 ML CON AGUJA 27 G X 3 1/2 CON INTRODUCTOR </v>
      </c>
      <c r="D14" s="87"/>
      <c r="E14" s="87"/>
      <c r="F14" s="87"/>
      <c r="G14" s="87"/>
      <c r="H14" s="67" t="s">
        <v>56</v>
      </c>
      <c r="I14" s="68" t="str">
        <f>'Necesidades Trimestrales'!F11</f>
        <v>UNIDAD</v>
      </c>
      <c r="J14" s="69">
        <f>'Necesidades Trimestrales'!H11</f>
        <v>821.22</v>
      </c>
      <c r="K14" s="70">
        <f>'Necesidades Trimestrales'!G11</f>
        <v>180</v>
      </c>
    </row>
    <row r="15" spans="1:11" ht="20.25" customHeight="1" thickBot="1" x14ac:dyDescent="0.25">
      <c r="A15" s="8">
        <v>4</v>
      </c>
      <c r="B15" s="66">
        <f>'Necesidades Trimestrales'!B12</f>
        <v>0</v>
      </c>
      <c r="C15" s="87" t="str">
        <f>'Necesidades Trimestrales'!E12</f>
        <v>DEXMETOMIDINA 200MG /2 ML</v>
      </c>
      <c r="D15" s="87"/>
      <c r="E15" s="87"/>
      <c r="F15" s="87"/>
      <c r="G15" s="87"/>
      <c r="H15" s="67" t="s">
        <v>56</v>
      </c>
      <c r="I15" s="68" t="str">
        <f>'Necesidades Trimestrales'!F12</f>
        <v>UNIDAD</v>
      </c>
      <c r="J15" s="69">
        <f>'Necesidades Trimestrales'!H12</f>
        <v>389.2</v>
      </c>
      <c r="K15" s="70">
        <f>'Necesidades Trimestrales'!G12</f>
        <v>60</v>
      </c>
    </row>
    <row r="16" spans="1:11" ht="20.25" customHeight="1" thickBot="1" x14ac:dyDescent="0.25">
      <c r="A16" s="8">
        <v>5</v>
      </c>
      <c r="B16" s="66">
        <f>'Necesidades Trimestrales'!B13</f>
        <v>0</v>
      </c>
      <c r="C16" s="87" t="str">
        <f>'Necesidades Trimestrales'!E13</f>
        <v>FENTANILO 250 MCG INYECTABLE</v>
      </c>
      <c r="D16" s="87"/>
      <c r="E16" s="87"/>
      <c r="F16" s="87"/>
      <c r="G16" s="87"/>
      <c r="H16" s="67" t="s">
        <v>56</v>
      </c>
      <c r="I16" s="68" t="str">
        <f>'Necesidades Trimestrales'!F13</f>
        <v>UNIDAD</v>
      </c>
      <c r="J16" s="69">
        <f>'Necesidades Trimestrales'!H13</f>
        <v>761.95</v>
      </c>
      <c r="K16" s="70">
        <f>'Necesidades Trimestrales'!G13</f>
        <v>1500</v>
      </c>
    </row>
    <row r="17" spans="1:1024" ht="20.25" customHeight="1" thickBot="1" x14ac:dyDescent="0.25">
      <c r="A17" s="8">
        <v>6</v>
      </c>
      <c r="B17" s="66">
        <f>'Necesidades Trimestrales'!B14</f>
        <v>0</v>
      </c>
      <c r="C17" s="87" t="str">
        <f>'Necesidades Trimestrales'!E14</f>
        <v>IBUPROFENO 400 MG AMPOLLA</v>
      </c>
      <c r="D17" s="87"/>
      <c r="E17" s="87"/>
      <c r="F17" s="87"/>
      <c r="G17" s="87"/>
      <c r="H17" s="67" t="s">
        <v>56</v>
      </c>
      <c r="I17" s="68" t="str">
        <f>'Necesidades Trimestrales'!F14</f>
        <v>UNIDAD</v>
      </c>
      <c r="J17" s="69">
        <f>'Necesidades Trimestrales'!H14</f>
        <v>309.85000000000002</v>
      </c>
      <c r="K17" s="70">
        <f>'Necesidades Trimestrales'!G14</f>
        <v>100</v>
      </c>
    </row>
    <row r="18" spans="1:1024" ht="20.25" customHeight="1" thickBot="1" x14ac:dyDescent="0.25">
      <c r="A18" s="8">
        <v>7</v>
      </c>
      <c r="B18" s="66">
        <f>'Necesidades Trimestrales'!B15</f>
        <v>0</v>
      </c>
      <c r="C18" s="87" t="str">
        <f>'Necesidades Trimestrales'!E15</f>
        <v>KETOROLAC 30 MG AMPOLLA</v>
      </c>
      <c r="D18" s="87"/>
      <c r="E18" s="87"/>
      <c r="F18" s="87"/>
      <c r="G18" s="87"/>
      <c r="H18" s="67" t="s">
        <v>56</v>
      </c>
      <c r="I18" s="68" t="str">
        <f>'Necesidades Trimestrales'!F15</f>
        <v>UNIDAD</v>
      </c>
      <c r="J18" s="69">
        <f>'Necesidades Trimestrales'!H15</f>
        <v>21.28</v>
      </c>
      <c r="K18" s="70">
        <f>'Necesidades Trimestrales'!G15</f>
        <v>20000</v>
      </c>
    </row>
    <row r="19" spans="1:1024" ht="20.25" customHeight="1" thickBot="1" x14ac:dyDescent="0.25">
      <c r="A19" s="8">
        <v>8</v>
      </c>
      <c r="B19" s="66">
        <f>'Necesidades Trimestrales'!B16</f>
        <v>0</v>
      </c>
      <c r="C19" s="87" t="str">
        <f>'Necesidades Trimestrales'!E16</f>
        <v>LIDOCAINA 2% CON EPINEFRINA X 20 ML</v>
      </c>
      <c r="D19" s="87"/>
      <c r="E19" s="87"/>
      <c r="F19" s="87"/>
      <c r="G19" s="87"/>
      <c r="H19" s="67" t="s">
        <v>56</v>
      </c>
      <c r="I19" s="68" t="str">
        <f>'Necesidades Trimestrales'!F16</f>
        <v>UNIDAD</v>
      </c>
      <c r="J19" s="69">
        <f>'Necesidades Trimestrales'!H16</f>
        <v>280</v>
      </c>
      <c r="K19" s="70">
        <f>'Necesidades Trimestrales'!G16</f>
        <v>50</v>
      </c>
    </row>
    <row r="20" spans="1:1024" ht="20.25" customHeight="1" thickBot="1" x14ac:dyDescent="0.25">
      <c r="A20" s="8">
        <v>9</v>
      </c>
      <c r="B20" s="66">
        <f>'Necesidades Trimestrales'!B17</f>
        <v>0</v>
      </c>
      <c r="C20" s="87" t="str">
        <f>'Necesidades Trimestrales'!E17</f>
        <v>LIDOCAINA 2%SIN EPINEFRINA X 20 ML</v>
      </c>
      <c r="D20" s="87"/>
      <c r="E20" s="87"/>
      <c r="F20" s="87"/>
      <c r="G20" s="87"/>
      <c r="H20" s="67" t="s">
        <v>56</v>
      </c>
      <c r="I20" s="68" t="str">
        <f>'Necesidades Trimestrales'!F17</f>
        <v>UNIDAD</v>
      </c>
      <c r="J20" s="69">
        <f>'Necesidades Trimestrales'!H17</f>
        <v>599.20000000000005</v>
      </c>
      <c r="K20" s="70">
        <f>'Necesidades Trimestrales'!G17</f>
        <v>50</v>
      </c>
    </row>
    <row r="21" spans="1:1024" ht="20.25" customHeight="1" thickBot="1" x14ac:dyDescent="0.25">
      <c r="A21" s="8">
        <v>10</v>
      </c>
      <c r="B21" s="66">
        <f>'Necesidades Trimestrales'!B18</f>
        <v>0</v>
      </c>
      <c r="C21" s="87" t="str">
        <f>'Necesidades Trimestrales'!E18</f>
        <v>LIDOCAINA AEROSOL</v>
      </c>
      <c r="D21" s="87"/>
      <c r="E21" s="87"/>
      <c r="F21" s="87"/>
      <c r="G21" s="87"/>
      <c r="H21" s="67" t="s">
        <v>56</v>
      </c>
      <c r="I21" s="68" t="str">
        <f>'Necesidades Trimestrales'!F18</f>
        <v>UNIDAD</v>
      </c>
      <c r="J21" s="69">
        <f>'Necesidades Trimestrales'!H18</f>
        <v>1996</v>
      </c>
      <c r="K21" s="70">
        <f>'Necesidades Trimestrales'!G18</f>
        <v>5</v>
      </c>
    </row>
    <row r="22" spans="1:1024" ht="20.25" customHeight="1" thickBot="1" x14ac:dyDescent="0.25">
      <c r="A22" s="8">
        <v>11</v>
      </c>
      <c r="B22" s="66">
        <f>'Necesidades Trimestrales'!B19</f>
        <v>0</v>
      </c>
      <c r="C22" s="87" t="str">
        <f>'Necesidades Trimestrales'!E19</f>
        <v>LIDOCAINA JALEA</v>
      </c>
      <c r="D22" s="87"/>
      <c r="E22" s="87"/>
      <c r="F22" s="87"/>
      <c r="G22" s="87"/>
      <c r="H22" s="67" t="s">
        <v>56</v>
      </c>
      <c r="I22" s="68" t="str">
        <f>'Necesidades Trimestrales'!F19</f>
        <v>UNIDAD</v>
      </c>
      <c r="J22" s="69">
        <f>'Necesidades Trimestrales'!H19</f>
        <v>130</v>
      </c>
      <c r="K22" s="70">
        <f>'Necesidades Trimestrales'!G19</f>
        <v>300</v>
      </c>
    </row>
    <row r="23" spans="1:1024" ht="20.25" customHeight="1" thickBot="1" x14ac:dyDescent="0.25">
      <c r="A23" s="8">
        <v>12</v>
      </c>
      <c r="B23" s="66">
        <f>'Necesidades Trimestrales'!B20</f>
        <v>0</v>
      </c>
      <c r="C23" s="87" t="str">
        <f>'Necesidades Trimestrales'!E20</f>
        <v>LIDOCAINA SOLUCION TOPICA</v>
      </c>
      <c r="D23" s="87"/>
      <c r="E23" s="87"/>
      <c r="F23" s="87"/>
      <c r="G23" s="87"/>
      <c r="H23" s="67" t="s">
        <v>56</v>
      </c>
      <c r="I23" s="68" t="str">
        <f>'Necesidades Trimestrales'!F20</f>
        <v>UNIDAD</v>
      </c>
      <c r="J23" s="69">
        <f>'Necesidades Trimestrales'!H20</f>
        <v>268</v>
      </c>
      <c r="K23" s="70">
        <f>'Necesidades Trimestrales'!G20</f>
        <v>30</v>
      </c>
    </row>
    <row r="24" spans="1:1024" ht="20.25" customHeight="1" thickBot="1" x14ac:dyDescent="0.25">
      <c r="A24" s="8">
        <v>13</v>
      </c>
      <c r="B24" s="66">
        <f>'Necesidades Trimestrales'!B21</f>
        <v>0</v>
      </c>
      <c r="C24" s="87" t="str">
        <f>'Necesidades Trimestrales'!E21</f>
        <v>MORFINA 10 MG AMPOLLA</v>
      </c>
      <c r="D24" s="87"/>
      <c r="E24" s="87"/>
      <c r="F24" s="87"/>
      <c r="G24" s="87"/>
      <c r="H24" s="67" t="s">
        <v>56</v>
      </c>
      <c r="I24" s="68" t="str">
        <f>'Necesidades Trimestrales'!F21</f>
        <v>UNIDAD</v>
      </c>
      <c r="J24" s="69">
        <f>'Necesidades Trimestrales'!H21</f>
        <v>122.42</v>
      </c>
      <c r="K24" s="70">
        <f>'Necesidades Trimestrales'!G21</f>
        <v>1500</v>
      </c>
    </row>
    <row r="25" spans="1:1024" ht="20.25" customHeight="1" thickBot="1" x14ac:dyDescent="0.25">
      <c r="A25" s="8">
        <v>14</v>
      </c>
      <c r="B25" s="66">
        <f>'Necesidades Trimestrales'!B22</f>
        <v>0</v>
      </c>
      <c r="C25" s="87" t="str">
        <f>'Necesidades Trimestrales'!E22</f>
        <v>PANCURONIO 4 MG/ ML</v>
      </c>
      <c r="D25" s="87"/>
      <c r="E25" s="87"/>
      <c r="F25" s="87"/>
      <c r="G25" s="87"/>
      <c r="H25" s="67" t="s">
        <v>56</v>
      </c>
      <c r="I25" s="68" t="str">
        <f>'Necesidades Trimestrales'!F22</f>
        <v>UNIDAD</v>
      </c>
      <c r="J25" s="69">
        <f>'Necesidades Trimestrales'!H22</f>
        <v>497.32</v>
      </c>
      <c r="K25" s="70">
        <f>'Necesidades Trimestrales'!G22</f>
        <v>75</v>
      </c>
    </row>
    <row r="26" spans="1:1024" ht="20.25" customHeight="1" thickBot="1" x14ac:dyDescent="0.25">
      <c r="A26" s="8">
        <v>15</v>
      </c>
      <c r="B26" s="66">
        <f>'Necesidades Trimestrales'!B23</f>
        <v>0</v>
      </c>
      <c r="C26" s="87" t="str">
        <f>'Necesidades Trimestrales'!E23</f>
        <v>PARACETAMOL 500 MG COMPRIMIDO</v>
      </c>
      <c r="D26" s="87"/>
      <c r="E26" s="87"/>
      <c r="F26" s="87"/>
      <c r="G26" s="87"/>
      <c r="H26" s="67" t="s">
        <v>56</v>
      </c>
      <c r="I26" s="68" t="str">
        <f>'Necesidades Trimestrales'!F23</f>
        <v>UNIDAD</v>
      </c>
      <c r="J26" s="69">
        <f>'Necesidades Trimestrales'!H23</f>
        <v>3.92</v>
      </c>
      <c r="K26" s="70">
        <f>'Necesidades Trimestrales'!G23</f>
        <v>6000</v>
      </c>
    </row>
    <row r="27" spans="1:1024" ht="20.25" customHeight="1" thickBot="1" x14ac:dyDescent="0.25">
      <c r="A27" s="8">
        <v>16</v>
      </c>
      <c r="B27" s="66">
        <f>'Necesidades Trimestrales'!B24</f>
        <v>0</v>
      </c>
      <c r="C27" s="87" t="str">
        <f>'Necesidades Trimestrales'!E24</f>
        <v>SEVOFLUORANO X 250 ML TIPO ABBOTT</v>
      </c>
      <c r="D27" s="87"/>
      <c r="E27" s="87"/>
      <c r="F27" s="87"/>
      <c r="G27" s="87"/>
      <c r="H27" s="67" t="s">
        <v>56</v>
      </c>
      <c r="I27" s="68" t="str">
        <f>'Necesidades Trimestrales'!F24</f>
        <v>UNIDAD</v>
      </c>
      <c r="J27" s="69">
        <f>'Necesidades Trimestrales'!H24</f>
        <v>688.8</v>
      </c>
      <c r="K27" s="70">
        <f>'Necesidades Trimestrales'!G24</f>
        <v>60</v>
      </c>
    </row>
    <row r="28" spans="1:1024" ht="20.25" customHeight="1" thickBot="1" x14ac:dyDescent="0.25">
      <c r="A28" s="8">
        <v>17</v>
      </c>
      <c r="B28" s="66">
        <f>'Necesidades Trimestrales'!B25</f>
        <v>0</v>
      </c>
      <c r="C28" s="87" t="str">
        <f>'Necesidades Trimestrales'!E25</f>
        <v>TRAMADOL 50 MG AMPOLLA</v>
      </c>
      <c r="D28" s="87"/>
      <c r="E28" s="87"/>
      <c r="F28" s="87"/>
      <c r="G28" s="87"/>
      <c r="H28" s="67" t="s">
        <v>56</v>
      </c>
      <c r="I28" s="68" t="str">
        <f>'Necesidades Trimestrales'!F25</f>
        <v>UNIDAD</v>
      </c>
      <c r="J28" s="69">
        <f>'Necesidades Trimestrales'!H25</f>
        <v>192.13</v>
      </c>
      <c r="K28" s="70">
        <f>'Necesidades Trimestrales'!G25</f>
        <v>1000</v>
      </c>
    </row>
    <row r="29" spans="1:1024" ht="20.25" customHeight="1" thickBot="1" x14ac:dyDescent="0.25">
      <c r="A29" s="8">
        <v>18</v>
      </c>
      <c r="B29" s="66">
        <f>'Necesidades Trimestrales'!B26</f>
        <v>0</v>
      </c>
      <c r="C29" s="87" t="str">
        <f>'Necesidades Trimestrales'!E26</f>
        <v>VECURONIO BROMURO 10 MG AMPOLLA</v>
      </c>
      <c r="D29" s="87"/>
      <c r="E29" s="87"/>
      <c r="F29" s="87"/>
      <c r="G29" s="87"/>
      <c r="H29" s="67" t="s">
        <v>56</v>
      </c>
      <c r="I29" s="68" t="str">
        <f>'Necesidades Trimestrales'!F26</f>
        <v>UNIDAD</v>
      </c>
      <c r="J29" s="69">
        <f>'Necesidades Trimestrales'!H26</f>
        <v>3473.14</v>
      </c>
      <c r="K29" s="70">
        <f>'Necesidades Trimestrales'!G26</f>
        <v>50</v>
      </c>
    </row>
    <row r="30" spans="1:1024" ht="20.25" customHeight="1" thickBot="1" x14ac:dyDescent="0.25">
      <c r="A30" s="88" t="s">
        <v>88</v>
      </c>
      <c r="B30" s="88"/>
      <c r="C30" s="88"/>
      <c r="D30" s="88"/>
      <c r="E30" s="88"/>
      <c r="F30" s="88"/>
      <c r="G30" s="88"/>
      <c r="H30" s="88"/>
      <c r="I30" s="88"/>
      <c r="J30" s="89">
        <f>SUMPRODUCT(J12:J29,K12:K29)</f>
        <v>2543433.6</v>
      </c>
      <c r="K30" s="89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</sheetData>
  <mergeCells count="40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0:I30"/>
    <mergeCell ref="J30:K3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0" zoomScale="130" zoomScaleNormal="130" workbookViewId="0">
      <selection activeCell="A23" sqref="A23:P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3" t="s">
        <v>2</v>
      </c>
      <c r="B1" s="123"/>
      <c r="C1" s="123"/>
      <c r="D1" s="124">
        <f>'Necesidades Trimestrales'!C5</f>
        <v>2021</v>
      </c>
      <c r="E1" s="124"/>
      <c r="F1" s="10"/>
      <c r="G1" s="10"/>
      <c r="H1" s="11"/>
      <c r="I1" s="11"/>
      <c r="J1" s="11"/>
      <c r="K1" s="11"/>
      <c r="L1" s="11"/>
      <c r="M1" s="11"/>
      <c r="N1" s="11"/>
      <c r="P1" s="125" t="s">
        <v>30</v>
      </c>
      <c r="Q1" s="12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5"/>
      <c r="Q2" s="125"/>
    </row>
    <row r="4" spans="1:17" s="12" customFormat="1" ht="18" customHeight="1" thickBot="1" x14ac:dyDescent="0.25">
      <c r="A4" s="126" t="s">
        <v>31</v>
      </c>
      <c r="B4" s="126"/>
      <c r="C4" s="126"/>
      <c r="D4" s="126"/>
      <c r="E4" s="126"/>
      <c r="F4" s="126"/>
      <c r="G4" s="121" t="str">
        <f>NotaPedido!D3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12" customFormat="1" ht="18" customHeight="1" thickBot="1" x14ac:dyDescent="0.25">
      <c r="A5" s="118" t="s">
        <v>54</v>
      </c>
      <c r="B5" s="119"/>
      <c r="C5" s="119"/>
      <c r="D5" s="119"/>
      <c r="E5" s="119"/>
      <c r="F5" s="120"/>
      <c r="G5" s="121" t="str">
        <f>NotaPedido!D4</f>
        <v>23 - Hospital Interzonal San Juan Bautista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s="12" customFormat="1" ht="18" customHeight="1" thickBot="1" x14ac:dyDescent="0.25">
      <c r="A6" s="118" t="s">
        <v>32</v>
      </c>
      <c r="B6" s="119"/>
      <c r="C6" s="119"/>
      <c r="D6" s="119"/>
      <c r="E6" s="119"/>
      <c r="F6" s="120"/>
      <c r="G6" s="121" t="str">
        <f>NotaPedido!D5</f>
        <v>168 - Direccion Asistencial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12" customFormat="1" ht="18" customHeight="1" thickBot="1" x14ac:dyDescent="0.25">
      <c r="A7" s="118" t="s">
        <v>55</v>
      </c>
      <c r="B7" s="119"/>
      <c r="C7" s="119"/>
      <c r="D7" s="119"/>
      <c r="E7" s="119"/>
      <c r="F7" s="120"/>
      <c r="G7" s="121" t="str">
        <f>NotaPedido!D6</f>
        <v>Servicio de Farmacia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 x14ac:dyDescent="0.25">
      <c r="A8" s="122" t="s">
        <v>33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 x14ac:dyDescent="0.2">
      <c r="A9" s="112" t="s">
        <v>34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020 - 2021,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35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36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37</v>
      </c>
      <c r="P13" s="116"/>
      <c r="Q13" s="117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6"/>
      <c r="P14" s="116"/>
      <c r="Q14" s="117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63</v>
      </c>
      <c r="I15" s="76">
        <v>2</v>
      </c>
      <c r="J15" s="76">
        <v>5</v>
      </c>
      <c r="K15" s="76">
        <v>2</v>
      </c>
      <c r="L15" s="74"/>
      <c r="M15" s="77">
        <v>1</v>
      </c>
      <c r="N15" s="75" t="s">
        <v>64</v>
      </c>
      <c r="O15" s="109" t="s">
        <v>61</v>
      </c>
      <c r="P15" s="109"/>
      <c r="Q15" s="23">
        <v>2543433.6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0"/>
      <c r="P16" s="11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0"/>
      <c r="P17" s="110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1"/>
      <c r="P18" s="104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4"/>
      <c r="P19" s="104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4"/>
      <c r="P20" s="104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5"/>
      <c r="P21" s="10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6"/>
      <c r="P22" s="106"/>
      <c r="Q22" s="37"/>
    </row>
    <row r="23" spans="1:19" ht="20.25" customHeight="1" x14ac:dyDescent="0.2">
      <c r="A23" s="107" t="s">
        <v>91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38">
        <f>SUM(Q15:Q22)</f>
        <v>2543433.6</v>
      </c>
    </row>
    <row r="24" spans="1:19" ht="18" customHeight="1" thickBot="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</row>
    <row r="25" spans="1:19" ht="17.25" customHeight="1" thickBot="1" x14ac:dyDescent="0.25">
      <c r="A25" s="99" t="s">
        <v>52</v>
      </c>
      <c r="B25" s="100"/>
      <c r="C25" s="100"/>
      <c r="D25" s="100"/>
      <c r="E25" s="100"/>
      <c r="F25" s="101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</row>
    <row r="26" spans="1:19" ht="18" customHeight="1" thickBot="1" x14ac:dyDescent="0.25">
      <c r="A26" s="103" t="str">
        <f>"Para la "&amp; NotaPedido!D8 &amp;" para ser destinados al " &amp; NotaPedido!D6 &amp;"  del HISJB del Ministerio de Salud."</f>
        <v>Para la Adquisición de Analgesicos Antinflamatorios/Miorrelajantes/Anestesicos/Analgesicos Opiacios  para ser destinados al Servicio de Farmacia  del HISJB del Ministerio de Salud.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</row>
    <row r="27" spans="1:19" ht="15" customHeight="1" x14ac:dyDescent="0.2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2021-03-27T15:04:24Z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