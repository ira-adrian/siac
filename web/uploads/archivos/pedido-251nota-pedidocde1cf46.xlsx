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A4D5C731-AB2E-4AF1-9CAA-0572DB929E55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externalReferences>
    <externalReference r:id="rId4"/>
  </externalReferences>
  <definedNames>
    <definedName name="_xlnm._FilterDatabase" localSheetId="0" hidden="1">'Necesidades Trimestrales'!$A$9:$H$23</definedName>
    <definedName name="_xlnm.Print_Area" localSheetId="1">' NotaPedido'!$A$1:$G$22</definedName>
    <definedName name="_xlnm.Print_Area" localSheetId="2">'Autor Gastar'!$A$1:$Q$27</definedName>
    <definedName name="_xlnm.Print_Area" localSheetId="0">'Necesidades Trimestrales'!$D$9:$D$23</definedName>
  </definedNames>
  <calcPr calcId="181029"/>
</workbook>
</file>

<file path=xl/calcChain.xml><?xml version="1.0" encoding="utf-8"?>
<calcChain xmlns="http://schemas.openxmlformats.org/spreadsheetml/2006/main">
  <c r="Q23" i="3" l="1"/>
  <c r="G13" i="2" l="1"/>
  <c r="G14" i="2"/>
  <c r="G15" i="2"/>
  <c r="G16" i="2"/>
  <c r="G17" i="2"/>
  <c r="G18" i="2"/>
  <c r="G19" i="2"/>
  <c r="G20" i="2"/>
  <c r="G21" i="2"/>
  <c r="G22" i="2"/>
  <c r="G23" i="2"/>
  <c r="G24" i="2"/>
  <c r="G25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E24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E25" i="2"/>
  <c r="B25" i="2"/>
  <c r="E23" i="2"/>
  <c r="B23" i="2"/>
  <c r="H22" i="1" l="1"/>
  <c r="H21" i="1"/>
  <c r="H20" i="1"/>
  <c r="H10" i="1" l="1"/>
  <c r="G12" i="2" l="1"/>
  <c r="F12" i="2"/>
  <c r="H23" i="1"/>
  <c r="H19" i="1"/>
  <c r="H18" i="1"/>
  <c r="H17" i="1"/>
  <c r="H16" i="1"/>
  <c r="H15" i="1"/>
  <c r="H14" i="1"/>
  <c r="H13" i="1"/>
  <c r="F26" i="2" l="1"/>
  <c r="D4" i="2"/>
  <c r="D3" i="2"/>
  <c r="A10" i="3" l="1"/>
  <c r="B14" i="2" l="1"/>
  <c r="B16" i="2"/>
  <c r="B17" i="2"/>
  <c r="B18" i="2"/>
  <c r="B19" i="2"/>
  <c r="B20" i="2"/>
  <c r="B21" i="2"/>
  <c r="B22" i="2"/>
  <c r="E14" i="2"/>
  <c r="E15" i="2"/>
  <c r="E16" i="2"/>
  <c r="E17" i="2"/>
  <c r="E18" i="2"/>
  <c r="E19" i="2"/>
  <c r="E20" i="2"/>
  <c r="E21" i="2"/>
  <c r="E22" i="2"/>
  <c r="E13" i="2"/>
  <c r="B13" i="2"/>
  <c r="H12" i="1" l="1"/>
  <c r="H11" i="1"/>
  <c r="D1" i="3" l="1"/>
  <c r="E12" i="2"/>
  <c r="C12" i="2"/>
</calcChain>
</file>

<file path=xl/sharedStrings.xml><?xml version="1.0" encoding="utf-8"?>
<sst xmlns="http://schemas.openxmlformats.org/spreadsheetml/2006/main" count="138" uniqueCount="89">
  <si>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</si>
  <si>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</si>
  <si>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</si>
  <si>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</si>
  <si>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</si>
  <si>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</si>
  <si>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</si>
  <si>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</si>
  <si>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</si>
  <si>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</si>
  <si>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</si>
  <si>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</si>
  <si>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</si>
  <si>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</si>
  <si>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</si>
  <si>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</si>
  <si>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</si>
  <si>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</si>
  <si>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</si>
  <si>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</si>
  <si>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</si>
  <si>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</si>
  <si>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</si>
  <si>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</si>
  <si>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</si>
  <si>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</si>
  <si>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</si>
  <si>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</si>
  <si>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</si>
  <si>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</si>
  <si>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</si>
  <si>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</si>
  <si>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</si>
  <si>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</si>
  <si>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</si>
  <si>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</si>
  <si>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</si>
  <si>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</si>
  <si>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</si>
  <si>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</si>
  <si>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</si>
  <si>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</si>
  <si>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</si>
  <si>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</si>
  <si>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</si>
  <si>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</si>
  <si>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</si>
  <si>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</si>
  <si>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</si>
  <si>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</si>
  <si>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</si>
  <si>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024 - Hospital Interzonal de Niños</t>
  </si>
  <si>
    <t>040 - Ministerio de Salud</t>
  </si>
  <si>
    <t>1.1</t>
  </si>
  <si>
    <t>NO</t>
  </si>
  <si>
    <t>PROD. MEDICO/FARMACEUTICOS/LAB</t>
  </si>
  <si>
    <t>COSTO TOTAL ESTIMADO</t>
  </si>
  <si>
    <t>Servicio de Farmacia</t>
  </si>
  <si>
    <t xml:space="preserve">Adquisición de Medicamentos </t>
  </si>
  <si>
    <t>Productos Farmaceuticos y Medicinales</t>
  </si>
  <si>
    <t>Plazos y lugares de entrega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</si>
  <si>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FARMACIA -HOSPITAL INT. DE NIÑOS – AV. VIRGEN DEL VALLE N° 1050-CATAMARCA DE 8:00 A 12:00HS., DEBIENDO CORRER LOS GASTOS DE FLETES, ACARREO, CARGA, DESCARGA Y SEGURO A CARGO DEL ADJUDICATARIO.</t>
    </r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</si>
  <si>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7 días de notificada la Orden de Compra</t>
    </r>
  </si>
  <si>
    <t xml:space="preserve">45 dias habiles </t>
  </si>
  <si>
    <t>Servicio De Farmacia</t>
  </si>
  <si>
    <t>Mantenimiento de Oferta:</t>
  </si>
  <si>
    <t>1er TRIMESTRE - 2021</t>
  </si>
  <si>
    <r>
      <rPr>
        <u/>
        <sz val="10"/>
        <rFont val="Times New Roman"/>
        <family val="1"/>
      </rPr>
      <t>Plazo de vencimiento de los bienes ofrecidos:</t>
    </r>
    <r>
      <rPr>
        <sz val="10"/>
        <rFont val="Times New Roman"/>
        <family val="1"/>
      </rPr>
      <t xml:space="preserve"> No podrán ser inferior a los 18 meses.</t>
    </r>
  </si>
  <si>
    <t>LIDOCAINA JALEA X 25 ML.</t>
  </si>
  <si>
    <t>LIDOCAINA 10% SPRAY X 50 GR</t>
  </si>
  <si>
    <t>REMIFENTANILO 5MG INY.LIOF.X 1</t>
  </si>
  <si>
    <t>NEOSTIGMINA 0,5 MG.AMP. X 1 ML.</t>
  </si>
  <si>
    <t>ALCOHOL 70%  X 500 ML</t>
  </si>
  <si>
    <t>ALCOHOL 70% EN GEL X 250 ML</t>
  </si>
  <si>
    <t>ALCOHOL 70% EN GEL X 500 ML</t>
  </si>
  <si>
    <t>ALCOHOL 96º X  500 ML.</t>
  </si>
  <si>
    <t>ALCOHOL 96º X 1000 ML</t>
  </si>
  <si>
    <t>IODOPOVIDONA SOLUCION 10% X 1000ML C/DISP.</t>
  </si>
  <si>
    <t>NITROFURAZONA 0,22% SOL.X 1 LTS.</t>
  </si>
  <si>
    <t>021/2021</t>
  </si>
  <si>
    <t>Para la adquisición de Antibioticos y Anticepticos destinados al servico de Farmacia del Hospital Interzonal de Niños Eva Peron, para el normal funcionamiento del organismo.</t>
  </si>
  <si>
    <t>TOTAL DE PESOS: Dos Millones cuatrocientos Setenta y nueve mil Setecientos cinco CON 50/100.</t>
  </si>
  <si>
    <t>JABON LIQUIDO HIPOALERGENICO ENV.X 800ML CAJ.X 10 UNID.</t>
  </si>
  <si>
    <t xml:space="preserve"> Items 11: Envase para Dispenser tipo JL4</t>
  </si>
  <si>
    <t>LOCION HIDROALCOHOLICA ANTI. MICROB.C/CLORHE.</t>
  </si>
  <si>
    <t xml:space="preserve"> Items 12: Envase para Dispenser tipo L9</t>
  </si>
  <si>
    <t xml:space="preserve">LOCION ALCOHOLICA BACT. C/EMOLIEN. ENV. X 800. </t>
  </si>
  <si>
    <t xml:space="preserve"> Items 14: Envase para Dispenser tipo L7</t>
  </si>
  <si>
    <t>Descripción de Items.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</si>
</sst>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 [$$-2C0A]\ * #,##0.00_ ;_ [$$-2C0A]\ * \-#,##0.00_ ;_ [$$-2C0A]\ * &quot;-&quot;??_ ;_ @_ "/>
  </numFmts>
  <fonts count="26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0"/>
      <name val="Arial"/>
      <family val="2"/>
    </font>
    <font>
      <u/>
      <sz val="10"/>
      <name val="Times New Roman"/>
      <family val="1"/>
    </font>
    <font>
      <b/>
      <u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60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6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  <xf numFmtId="0" fontId="14" fillId="0" borderId="0"/>
  </cellStyleXfs>
  <cellXfs count="145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5" xfId="0" applyBorder="1"/>
    <xf numFmtId="0" fontId="0" fillId="0" borderId="20" xfId="0" applyBorder="1"/>
    <xf numFmtId="0" fontId="0" fillId="0" borderId="7" xfId="0" applyBorder="1"/>
    <xf numFmtId="0" fontId="0" fillId="0" borderId="7" xfId="0" applyBorder="1" applyAlignment="1">
      <alignment horizontal="left"/>
    </xf>
    <xf numFmtId="0" fontId="0" fillId="0" borderId="21" xfId="0" applyBorder="1"/>
    <xf numFmtId="0" fontId="13" fillId="0" borderId="23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24" xfId="0" applyFont="1" applyBorder="1" applyAlignment="1">
      <alignment horizontal="left" vertical="center"/>
    </xf>
    <xf numFmtId="0" fontId="13" fillId="0" borderId="25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166" fontId="0" fillId="0" borderId="29" xfId="3" applyNumberFormat="1" applyFont="1" applyBorder="1" applyAlignment="1" applyProtection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166" fontId="0" fillId="0" borderId="38" xfId="3" applyNumberFormat="1" applyFont="1" applyBorder="1" applyAlignment="1" applyProtection="1">
      <alignment horizontal="center" vertical="center"/>
    </xf>
    <xf numFmtId="166" fontId="13" fillId="0" borderId="39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9" fillId="0" borderId="2" xfId="0" applyFont="1" applyBorder="1" applyAlignment="1">
      <alignment horizontal="center" vertical="center" wrapText="1"/>
    </xf>
    <xf numFmtId="0" fontId="20" fillId="0" borderId="43" xfId="0" applyFont="1" applyBorder="1" applyAlignment="1">
      <alignment horizontal="center" vertical="center"/>
    </xf>
    <xf numFmtId="0" fontId="19" fillId="0" borderId="46" xfId="0" applyFont="1" applyBorder="1" applyAlignment="1">
      <alignment horizontal="center" vertical="center" wrapText="1"/>
    </xf>
    <xf numFmtId="0" fontId="19" fillId="0" borderId="47" xfId="0" applyFont="1" applyBorder="1" applyAlignment="1">
      <alignment horizontal="center" vertical="center" wrapText="1"/>
    </xf>
    <xf numFmtId="0" fontId="0" fillId="0" borderId="48" xfId="0" applyBorder="1"/>
    <xf numFmtId="0" fontId="5" fillId="3" borderId="5" xfId="0" applyFont="1" applyFill="1" applyBorder="1" applyAlignment="1">
      <alignment horizontal="right" vertical="center"/>
    </xf>
    <xf numFmtId="0" fontId="2" fillId="3" borderId="0" xfId="0" applyFont="1" applyFill="1" applyBorder="1" applyAlignment="1">
      <alignment vertical="center"/>
    </xf>
    <xf numFmtId="0" fontId="0" fillId="3" borderId="0" xfId="0" applyFill="1"/>
    <xf numFmtId="0" fontId="5" fillId="3" borderId="7" xfId="0" applyFont="1" applyFill="1" applyBorder="1" applyAlignment="1">
      <alignment vertical="center"/>
    </xf>
    <xf numFmtId="0" fontId="5" fillId="3" borderId="0" xfId="0" applyFont="1" applyFill="1" applyBorder="1" applyAlignment="1">
      <alignment vertical="center"/>
    </xf>
    <xf numFmtId="0" fontId="7" fillId="3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 wrapText="1" indent="1"/>
    </xf>
    <xf numFmtId="0" fontId="4" fillId="3" borderId="49" xfId="0" applyFont="1" applyFill="1" applyBorder="1" applyAlignment="1">
      <alignment horizontal="center" vertical="center"/>
    </xf>
    <xf numFmtId="0" fontId="4" fillId="3" borderId="49" xfId="0" applyFont="1" applyFill="1" applyBorder="1" applyAlignment="1">
      <alignment horizontal="left" vertical="center"/>
    </xf>
    <xf numFmtId="0" fontId="4" fillId="4" borderId="49" xfId="0" applyFont="1" applyFill="1" applyBorder="1" applyAlignment="1">
      <alignment horizontal="center" vertical="center"/>
    </xf>
    <xf numFmtId="0" fontId="4" fillId="3" borderId="49" xfId="0" applyFont="1" applyFill="1" applyBorder="1" applyAlignment="1">
      <alignment horizontal="center" vertical="center" wrapText="1"/>
    </xf>
    <xf numFmtId="166" fontId="4" fillId="3" borderId="49" xfId="1" applyNumberFormat="1" applyFont="1" applyFill="1" applyBorder="1" applyAlignment="1" applyProtection="1">
      <alignment horizontal="right" vertical="center" wrapText="1"/>
    </xf>
    <xf numFmtId="3" fontId="4" fillId="3" borderId="49" xfId="0" applyNumberFormat="1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left" vertical="center"/>
    </xf>
    <xf numFmtId="0" fontId="4" fillId="4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 wrapText="1"/>
    </xf>
    <xf numFmtId="0" fontId="22" fillId="4" borderId="0" xfId="0" applyFont="1" applyFill="1" applyAlignment="1">
      <alignment horizontal="left" wrapText="1" indent="1"/>
    </xf>
    <xf numFmtId="0" fontId="19" fillId="3" borderId="0" xfId="0" applyFont="1" applyFill="1" applyAlignment="1">
      <alignment horizontal="left" wrapText="1"/>
    </xf>
    <xf numFmtId="166" fontId="20" fillId="4" borderId="4" xfId="1" applyNumberFormat="1" applyFont="1" applyFill="1" applyBorder="1" applyAlignment="1" applyProtection="1">
      <alignment horizontal="right" vertical="center" wrapText="1"/>
    </xf>
    <xf numFmtId="166" fontId="20" fillId="4" borderId="45" xfId="1" applyNumberFormat="1" applyFont="1" applyFill="1" applyBorder="1" applyAlignment="1" applyProtection="1">
      <alignment horizontal="right" vertical="center" wrapText="1"/>
    </xf>
    <xf numFmtId="0" fontId="0" fillId="4" borderId="26" xfId="0" applyFont="1" applyFill="1" applyBorder="1" applyAlignment="1">
      <alignment horizontal="center" vertical="center"/>
    </xf>
    <xf numFmtId="0" fontId="0" fillId="4" borderId="27" xfId="0" applyFont="1" applyFill="1" applyBorder="1" applyAlignment="1">
      <alignment horizontal="center" vertical="center"/>
    </xf>
    <xf numFmtId="0" fontId="0" fillId="3" borderId="27" xfId="0" applyFont="1" applyFill="1" applyBorder="1" applyAlignment="1">
      <alignment horizontal="center" vertical="center"/>
    </xf>
    <xf numFmtId="0" fontId="0" fillId="4" borderId="28" xfId="0" applyFont="1" applyFill="1" applyBorder="1" applyAlignment="1">
      <alignment horizontal="center" vertical="center"/>
    </xf>
    <xf numFmtId="0" fontId="14" fillId="4" borderId="27" xfId="0" applyFont="1" applyFill="1" applyBorder="1" applyAlignment="1">
      <alignment horizontal="center" vertical="center"/>
    </xf>
    <xf numFmtId="0" fontId="21" fillId="4" borderId="48" xfId="0" applyFont="1" applyFill="1" applyBorder="1" applyAlignment="1">
      <alignment horizontal="center" vertical="center" wrapText="1"/>
    </xf>
    <xf numFmtId="0" fontId="19" fillId="0" borderId="50" xfId="0" applyFont="1" applyBorder="1" applyAlignment="1">
      <alignment horizontal="center" vertical="center" wrapText="1"/>
    </xf>
    <xf numFmtId="0" fontId="24" fillId="0" borderId="52" xfId="0" applyFont="1" applyBorder="1" applyAlignment="1">
      <alignment horizontal="left" indent="3"/>
    </xf>
    <xf numFmtId="0" fontId="15" fillId="0" borderId="53" xfId="0" applyFont="1" applyBorder="1"/>
    <xf numFmtId="0" fontId="15" fillId="0" borderId="54" xfId="0" applyFont="1" applyBorder="1"/>
    <xf numFmtId="0" fontId="24" fillId="0" borderId="55" xfId="0" applyFont="1" applyBorder="1" applyAlignment="1"/>
    <xf numFmtId="0" fontId="15" fillId="0" borderId="0" xfId="0" applyFont="1" applyBorder="1" applyAlignment="1">
      <alignment horizontal="center" wrapText="1"/>
    </xf>
    <xf numFmtId="0" fontId="15" fillId="0" borderId="0" xfId="0" applyFont="1" applyFill="1" applyBorder="1" applyAlignment="1">
      <alignment horizontal="center" wrapText="1"/>
    </xf>
    <xf numFmtId="0" fontId="15" fillId="0" borderId="56" xfId="0" applyFont="1" applyBorder="1" applyAlignment="1">
      <alignment horizontal="center" wrapText="1"/>
    </xf>
    <xf numFmtId="0" fontId="15" fillId="0" borderId="55" xfId="0" applyFont="1" applyBorder="1" applyAlignment="1">
      <alignment horizontal="left" indent="3"/>
    </xf>
    <xf numFmtId="0" fontId="15" fillId="0" borderId="57" xfId="0" applyFont="1" applyBorder="1" applyAlignment="1">
      <alignment horizontal="left" indent="3"/>
    </xf>
    <xf numFmtId="0" fontId="15" fillId="0" borderId="58" xfId="0" applyFont="1" applyBorder="1"/>
    <xf numFmtId="0" fontId="15" fillId="0" borderId="59" xfId="0" applyFont="1" applyBorder="1"/>
    <xf numFmtId="169" fontId="14" fillId="0" borderId="0" xfId="1" applyNumberFormat="1" applyFill="1"/>
    <xf numFmtId="169" fontId="14" fillId="0" borderId="2" xfId="1" applyNumberFormat="1" applyFill="1" applyBorder="1"/>
    <xf numFmtId="169" fontId="14" fillId="0" borderId="3" xfId="1" applyNumberFormat="1" applyFill="1" applyBorder="1" applyProtection="1"/>
    <xf numFmtId="169" fontId="14" fillId="0" borderId="44" xfId="1" applyNumberFormat="1" applyFill="1" applyBorder="1" applyProtection="1"/>
    <xf numFmtId="0" fontId="15" fillId="0" borderId="0" xfId="0" applyFont="1" applyFill="1"/>
    <xf numFmtId="167" fontId="2" fillId="3" borderId="0" xfId="0" applyNumberFormat="1" applyFont="1" applyFill="1" applyBorder="1" applyAlignment="1">
      <alignment vertical="center"/>
    </xf>
    <xf numFmtId="166" fontId="0" fillId="0" borderId="0" xfId="0" applyNumberFormat="1"/>
    <xf numFmtId="0" fontId="15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21" fillId="4" borderId="3" xfId="0" applyFont="1" applyFill="1" applyBorder="1" applyAlignment="1">
      <alignment horizontal="center" vertical="center" wrapText="1"/>
    </xf>
    <xf numFmtId="0" fontId="21" fillId="4" borderId="44" xfId="0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6" fillId="0" borderId="6" xfId="0" applyFont="1" applyFill="1" applyBorder="1" applyAlignment="1">
      <alignment horizontal="center" vertical="center"/>
    </xf>
    <xf numFmtId="0" fontId="25" fillId="0" borderId="52" xfId="0" applyFont="1" applyBorder="1"/>
    <xf numFmtId="0" fontId="15" fillId="0" borderId="55" xfId="0" applyFont="1" applyBorder="1"/>
    <xf numFmtId="0" fontId="15" fillId="0" borderId="0" xfId="0" applyFont="1" applyBorder="1"/>
    <xf numFmtId="0" fontId="15" fillId="0" borderId="56" xfId="0" applyFont="1" applyBorder="1"/>
    <xf numFmtId="0" fontId="15" fillId="0" borderId="57" xfId="0" applyFont="1" applyBorder="1"/>
    <xf numFmtId="0" fontId="15" fillId="4" borderId="55" xfId="5" applyFont="1" applyFill="1" applyBorder="1" applyAlignment="1">
      <alignment horizontal="left" wrapText="1"/>
    </xf>
    <xf numFmtId="0" fontId="15" fillId="4" borderId="0" xfId="5" applyFont="1" applyFill="1" applyBorder="1" applyAlignment="1">
      <alignment horizontal="left" wrapText="1"/>
    </xf>
    <xf numFmtId="0" fontId="15" fillId="4" borderId="56" xfId="5" applyFont="1" applyFill="1" applyBorder="1" applyAlignment="1">
      <alignment horizontal="left" wrapText="1"/>
    </xf>
    <xf numFmtId="0" fontId="15" fillId="4" borderId="56" xfId="0" applyFont="1" applyFill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0" fontId="16" fillId="0" borderId="0" xfId="0" applyFont="1" applyBorder="1" applyAlignment="1">
      <alignment horizontal="center"/>
    </xf>
    <xf numFmtId="0" fontId="22" fillId="4" borderId="0" xfId="0" applyFont="1" applyFill="1" applyBorder="1" applyAlignment="1">
      <alignment horizontal="left" wrapText="1" indent="1"/>
    </xf>
    <xf numFmtId="0" fontId="23" fillId="3" borderId="15" xfId="0" applyFont="1" applyFill="1" applyBorder="1" applyAlignment="1">
      <alignment horizontal="left" vertical="center"/>
    </xf>
    <xf numFmtId="0" fontId="23" fillId="3" borderId="51" xfId="0" applyFont="1" applyFill="1" applyBorder="1" applyAlignment="1">
      <alignment horizontal="left" vertical="center"/>
    </xf>
    <xf numFmtId="167" fontId="7" fillId="3" borderId="9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left" vertical="center" wrapText="1" indent="1"/>
    </xf>
    <xf numFmtId="0" fontId="6" fillId="4" borderId="12" xfId="0" applyFont="1" applyFill="1" applyBorder="1" applyAlignment="1">
      <alignment horizontal="left" vertical="center" wrapText="1" indent="1"/>
    </xf>
    <xf numFmtId="0" fontId="7" fillId="3" borderId="11" xfId="0" applyFont="1" applyFill="1" applyBorder="1" applyAlignment="1">
      <alignment horizontal="left" vertical="center"/>
    </xf>
    <xf numFmtId="0" fontId="8" fillId="3" borderId="11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center" wrapText="1"/>
    </xf>
    <xf numFmtId="0" fontId="7" fillId="3" borderId="10" xfId="0" applyFont="1" applyFill="1" applyBorder="1" applyAlignment="1">
      <alignment horizontal="left" vertical="center" wrapText="1"/>
    </xf>
    <xf numFmtId="0" fontId="6" fillId="3" borderId="15" xfId="0" applyFont="1" applyFill="1" applyBorder="1" applyAlignment="1">
      <alignment horizontal="left" vertical="center" wrapText="1"/>
    </xf>
    <xf numFmtId="0" fontId="6" fillId="3" borderId="51" xfId="0" applyFont="1" applyFill="1" applyBorder="1" applyAlignment="1">
      <alignment horizontal="left" vertical="center" wrapText="1"/>
    </xf>
    <xf numFmtId="0" fontId="6" fillId="3" borderId="16" xfId="0" applyFont="1" applyFill="1" applyBorder="1" applyAlignment="1">
      <alignment horizontal="left" vertical="center" wrapText="1"/>
    </xf>
    <xf numFmtId="0" fontId="0" fillId="0" borderId="15" xfId="0" applyFont="1" applyBorder="1" applyAlignment="1">
      <alignment horizontal="center"/>
    </xf>
    <xf numFmtId="3" fontId="9" fillId="0" borderId="16" xfId="0" applyNumberFormat="1" applyFont="1" applyBorder="1" applyAlignment="1">
      <alignment horizontal="center"/>
    </xf>
    <xf numFmtId="0" fontId="10" fillId="0" borderId="6" xfId="0" applyFont="1" applyBorder="1" applyAlignment="1">
      <alignment horizontal="center" vertical="center" wrapText="1"/>
    </xf>
    <xf numFmtId="0" fontId="2" fillId="0" borderId="6" xfId="0" applyFont="1" applyBorder="1"/>
    <xf numFmtId="0" fontId="11" fillId="0" borderId="6" xfId="0" applyFont="1" applyBorder="1" applyAlignment="1">
      <alignment horizontal="left" indent="1"/>
    </xf>
    <xf numFmtId="0" fontId="4" fillId="0" borderId="8" xfId="0" applyFont="1" applyBorder="1" applyAlignment="1">
      <alignment horizontal="left" vertical="center" wrapText="1"/>
    </xf>
    <xf numFmtId="0" fontId="4" fillId="0" borderId="41" xfId="0" applyFont="1" applyBorder="1" applyAlignment="1">
      <alignment horizontal="left" vertical="center" wrapText="1"/>
    </xf>
    <xf numFmtId="0" fontId="4" fillId="0" borderId="42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left"/>
    </xf>
    <xf numFmtId="0" fontId="11" fillId="0" borderId="18" xfId="0" applyFont="1" applyBorder="1"/>
    <xf numFmtId="0" fontId="11" fillId="0" borderId="19" xfId="0" applyFont="1" applyBorder="1" applyAlignment="1">
      <alignment horizontal="left" vertical="center" wrapText="1" indent="1"/>
    </xf>
    <xf numFmtId="0" fontId="13" fillId="0" borderId="17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14" fillId="0" borderId="27" xfId="0" applyFont="1" applyBorder="1" applyAlignment="1">
      <alignment horizontal="left" vertical="center" wrapText="1"/>
    </xf>
    <xf numFmtId="0" fontId="0" fillId="0" borderId="27" xfId="0" applyFont="1" applyBorder="1" applyAlignment="1">
      <alignment horizontal="left" vertical="center" wrapText="1"/>
    </xf>
    <xf numFmtId="0" fontId="0" fillId="0" borderId="33" xfId="0" applyBorder="1" applyAlignment="1">
      <alignment horizontal="left" vertical="center"/>
    </xf>
    <xf numFmtId="0" fontId="0" fillId="0" borderId="33" xfId="0" applyFont="1" applyBorder="1" applyAlignment="1">
      <alignment horizontal="left" vertical="center"/>
    </xf>
    <xf numFmtId="0" fontId="9" fillId="0" borderId="15" xfId="0" applyFont="1" applyBorder="1" applyAlignment="1">
      <alignment vertical="center" wrapText="1"/>
    </xf>
    <xf numFmtId="0" fontId="9" fillId="0" borderId="40" xfId="0" applyFont="1" applyBorder="1" applyAlignment="1">
      <alignment vertical="center" wrapText="1"/>
    </xf>
    <xf numFmtId="0" fontId="9" fillId="0" borderId="12" xfId="0" applyFont="1" applyBorder="1" applyAlignment="1">
      <alignment vertical="center" wrapText="1"/>
    </xf>
    <xf numFmtId="0" fontId="11" fillId="0" borderId="22" xfId="0" applyFont="1" applyBorder="1" applyAlignment="1">
      <alignment vertical="center" wrapText="1"/>
    </xf>
    <xf numFmtId="0" fontId="11" fillId="4" borderId="39" xfId="0" applyFont="1" applyFill="1" applyBorder="1" applyAlignment="1">
      <alignment horizontal="left" vertical="center" wrapText="1" indent="1"/>
    </xf>
    <xf numFmtId="0" fontId="0" fillId="0" borderId="36" xfId="0" applyBorder="1" applyAlignment="1">
      <alignment horizontal="left" vertical="center"/>
    </xf>
    <xf numFmtId="0" fontId="9" fillId="0" borderId="39" xfId="0" applyFont="1" applyBorder="1" applyAlignment="1">
      <alignment horizontal="left" vertical="center" wrapText="1"/>
    </xf>
    <xf numFmtId="0" fontId="0" fillId="0" borderId="17" xfId="0" applyBorder="1"/>
  </cellXfs>
  <cellStyles count="6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  <cellStyle name="Normal 2" xfId="5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uario\descargas\pedido\PEDIDO%20medicamentos%20caidos%20-%20SAF%2024%20-%203&#186;%20TRIMEST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>
        <row r="4">
          <cell r="C4" t="str">
            <v>040 - Ministerio de Salud</v>
          </cell>
        </row>
        <row r="5">
          <cell r="C5" t="str">
            <v>024 - Hospital Interzonal de Niños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H40"/>
  <sheetViews>
    <sheetView tabSelected="1" zoomScaleNormal="100" workbookViewId="0">
      <selection activeCell="C4" sqref="C4:D4"/>
    </sheetView>
  </sheetViews>
  <sheetFormatPr baseColWidth="10" defaultColWidth="11" defaultRowHeight="12.75" x14ac:dyDescent="0.2"/>
  <cols>
    <col min="1" max="1" width="4.5703125" style="32" customWidth="1"/>
    <col min="2" max="2" width="14" style="32" customWidth="1"/>
    <col min="3" max="3" width="13.28515625" style="32" customWidth="1"/>
    <col min="4" max="4" width="52.5703125" style="32" customWidth="1"/>
    <col min="5" max="5" width="11" style="32" customWidth="1"/>
    <col min="6" max="6" width="10.42578125" style="85" bestFit="1" customWidth="1"/>
    <col min="7" max="7" width="13.85546875" style="78" customWidth="1"/>
    <col min="8" max="8" width="18.5703125" style="32" customWidth="1"/>
    <col min="9" max="16384" width="11" style="32"/>
  </cols>
  <sheetData>
    <row r="2" spans="1:8" ht="27" x14ac:dyDescent="0.35">
      <c r="B2" s="101" t="s">
        <v>0</v>
      </c>
      <c r="C2" s="101"/>
      <c r="D2" s="101"/>
      <c r="E2" s="101"/>
      <c r="F2" s="101"/>
      <c r="G2" s="101"/>
    </row>
    <row r="3" spans="1:8" ht="12" customHeight="1" x14ac:dyDescent="0.2"/>
    <row r="4" spans="1:8" ht="18" customHeight="1" x14ac:dyDescent="0.25">
      <c r="A4" s="100" t="s">
        <v>1</v>
      </c>
      <c r="B4" s="100"/>
      <c r="C4" s="102" t="s">
        <v>52</v>
      </c>
      <c r="D4" s="102"/>
      <c r="E4" s="33"/>
      <c r="F4" s="86"/>
    </row>
    <row r="5" spans="1:8" ht="18" customHeight="1" x14ac:dyDescent="0.25">
      <c r="A5" s="100" t="s">
        <v>2</v>
      </c>
      <c r="B5" s="100"/>
      <c r="C5" s="102" t="s">
        <v>51</v>
      </c>
      <c r="D5" s="102"/>
      <c r="E5" s="33"/>
      <c r="F5" s="86"/>
    </row>
    <row r="6" spans="1:8" ht="16.5" customHeight="1" x14ac:dyDescent="0.25">
      <c r="A6" s="100" t="s">
        <v>3</v>
      </c>
      <c r="B6" s="100"/>
      <c r="C6" s="56">
        <v>2021</v>
      </c>
      <c r="D6" s="57"/>
      <c r="E6" s="33"/>
      <c r="F6" s="86"/>
    </row>
    <row r="7" spans="1:8" ht="16.5" customHeight="1" x14ac:dyDescent="0.25">
      <c r="A7" s="100" t="s">
        <v>4</v>
      </c>
      <c r="B7" s="100"/>
      <c r="C7" s="56">
        <v>1</v>
      </c>
      <c r="D7" s="57"/>
      <c r="E7" s="33"/>
      <c r="F7" s="86"/>
    </row>
    <row r="8" spans="1:8" ht="13.5" thickBot="1" x14ac:dyDescent="0.25">
      <c r="B8" s="33"/>
      <c r="C8" s="34"/>
      <c r="D8" s="33"/>
      <c r="E8" s="33"/>
      <c r="F8" s="86"/>
    </row>
    <row r="9" spans="1:8" ht="27" thickTop="1" thickBot="1" x14ac:dyDescent="0.25">
      <c r="A9" s="37" t="s">
        <v>5</v>
      </c>
      <c r="B9" s="35" t="s">
        <v>6</v>
      </c>
      <c r="C9" s="35" t="s">
        <v>7</v>
      </c>
      <c r="D9" s="66" t="s">
        <v>8</v>
      </c>
      <c r="E9" s="38" t="s">
        <v>9</v>
      </c>
      <c r="F9" s="35" t="s">
        <v>10</v>
      </c>
      <c r="G9" s="79" t="s">
        <v>11</v>
      </c>
      <c r="H9" s="35" t="s">
        <v>12</v>
      </c>
    </row>
    <row r="10" spans="1:8" ht="13.5" thickTop="1" x14ac:dyDescent="0.2">
      <c r="A10" s="36">
        <v>1</v>
      </c>
      <c r="B10" s="39">
        <v>252</v>
      </c>
      <c r="C10" s="39" t="s">
        <v>55</v>
      </c>
      <c r="D10" s="39" t="s">
        <v>68</v>
      </c>
      <c r="E10" s="65" t="s">
        <v>13</v>
      </c>
      <c r="F10" s="87">
        <v>150</v>
      </c>
      <c r="G10" s="80">
        <v>125.13</v>
      </c>
      <c r="H10" s="58">
        <f>+F10*G10</f>
        <v>18769.5</v>
      </c>
    </row>
    <row r="11" spans="1:8" x14ac:dyDescent="0.2">
      <c r="A11" s="36">
        <v>2</v>
      </c>
      <c r="B11" s="39">
        <v>252</v>
      </c>
      <c r="C11" s="39" t="s">
        <v>55</v>
      </c>
      <c r="D11" s="39" t="s">
        <v>69</v>
      </c>
      <c r="E11" s="65" t="s">
        <v>13</v>
      </c>
      <c r="F11" s="88">
        <v>50</v>
      </c>
      <c r="G11" s="81">
        <v>469.73</v>
      </c>
      <c r="H11" s="59">
        <f>F11*G11</f>
        <v>23486.5</v>
      </c>
    </row>
    <row r="12" spans="1:8" ht="13.5" thickBot="1" x14ac:dyDescent="0.25">
      <c r="A12" s="36">
        <v>3</v>
      </c>
      <c r="B12" s="39">
        <v>252</v>
      </c>
      <c r="C12" s="39" t="s">
        <v>55</v>
      </c>
      <c r="D12" s="39" t="s">
        <v>70</v>
      </c>
      <c r="E12" s="65" t="s">
        <v>13</v>
      </c>
      <c r="F12" s="88">
        <v>100</v>
      </c>
      <c r="G12" s="81">
        <v>942.45</v>
      </c>
      <c r="H12" s="59">
        <f t="shared" ref="H12" si="0">F12*G12</f>
        <v>94245</v>
      </c>
    </row>
    <row r="13" spans="1:8" ht="13.5" thickBot="1" x14ac:dyDescent="0.25">
      <c r="A13" s="36">
        <v>4</v>
      </c>
      <c r="B13" s="39">
        <v>252</v>
      </c>
      <c r="C13" s="39" t="s">
        <v>55</v>
      </c>
      <c r="D13" s="39" t="s">
        <v>71</v>
      </c>
      <c r="E13" s="65" t="s">
        <v>13</v>
      </c>
      <c r="F13" s="88">
        <v>100</v>
      </c>
      <c r="G13" s="81">
        <v>56.65</v>
      </c>
      <c r="H13" s="58">
        <f t="shared" ref="H13:H23" si="1">+F13*G13</f>
        <v>5665</v>
      </c>
    </row>
    <row r="14" spans="1:8" ht="13.5" thickBot="1" x14ac:dyDescent="0.25">
      <c r="A14" s="36">
        <v>5</v>
      </c>
      <c r="B14" s="39">
        <v>251</v>
      </c>
      <c r="C14" s="39" t="s">
        <v>55</v>
      </c>
      <c r="D14" s="39" t="s">
        <v>72</v>
      </c>
      <c r="E14" s="65" t="s">
        <v>13</v>
      </c>
      <c r="F14" s="88">
        <v>8000</v>
      </c>
      <c r="G14" s="81">
        <v>98.99</v>
      </c>
      <c r="H14" s="58">
        <f t="shared" si="1"/>
        <v>791920</v>
      </c>
    </row>
    <row r="15" spans="1:8" ht="13.5" thickBot="1" x14ac:dyDescent="0.25">
      <c r="A15" s="36">
        <v>6</v>
      </c>
      <c r="B15" s="39">
        <v>251</v>
      </c>
      <c r="C15" s="39" t="s">
        <v>55</v>
      </c>
      <c r="D15" s="39" t="s">
        <v>73</v>
      </c>
      <c r="E15" s="65" t="s">
        <v>13</v>
      </c>
      <c r="F15" s="88">
        <v>2000</v>
      </c>
      <c r="G15" s="81">
        <v>99</v>
      </c>
      <c r="H15" s="58">
        <f t="shared" si="1"/>
        <v>198000</v>
      </c>
    </row>
    <row r="16" spans="1:8" ht="13.5" thickBot="1" x14ac:dyDescent="0.25">
      <c r="A16" s="36">
        <v>7</v>
      </c>
      <c r="B16" s="39">
        <v>251</v>
      </c>
      <c r="C16" s="39" t="s">
        <v>55</v>
      </c>
      <c r="D16" s="39" t="s">
        <v>74</v>
      </c>
      <c r="E16" s="65" t="s">
        <v>13</v>
      </c>
      <c r="F16" s="88">
        <v>2000</v>
      </c>
      <c r="G16" s="81">
        <v>196.99</v>
      </c>
      <c r="H16" s="58">
        <f t="shared" si="1"/>
        <v>393980</v>
      </c>
    </row>
    <row r="17" spans="1:8" ht="13.5" thickBot="1" x14ac:dyDescent="0.25">
      <c r="A17" s="36">
        <v>8</v>
      </c>
      <c r="B17" s="39">
        <v>251</v>
      </c>
      <c r="C17" s="39" t="s">
        <v>55</v>
      </c>
      <c r="D17" s="39" t="s">
        <v>75</v>
      </c>
      <c r="E17" s="65" t="s">
        <v>13</v>
      </c>
      <c r="F17" s="88">
        <v>2000</v>
      </c>
      <c r="G17" s="81">
        <v>185</v>
      </c>
      <c r="H17" s="58">
        <f t="shared" si="1"/>
        <v>370000</v>
      </c>
    </row>
    <row r="18" spans="1:8" ht="13.5" thickBot="1" x14ac:dyDescent="0.25">
      <c r="A18" s="36">
        <v>9</v>
      </c>
      <c r="B18" s="39">
        <v>251</v>
      </c>
      <c r="C18" s="39" t="s">
        <v>55</v>
      </c>
      <c r="D18" s="39" t="s">
        <v>76</v>
      </c>
      <c r="E18" s="65" t="s">
        <v>13</v>
      </c>
      <c r="F18" s="88">
        <v>2000</v>
      </c>
      <c r="G18" s="81">
        <v>199</v>
      </c>
      <c r="H18" s="58">
        <f t="shared" si="1"/>
        <v>398000</v>
      </c>
    </row>
    <row r="19" spans="1:8" ht="13.5" thickBot="1" x14ac:dyDescent="0.25">
      <c r="A19" s="36">
        <v>10</v>
      </c>
      <c r="B19" s="39">
        <v>252</v>
      </c>
      <c r="C19" s="39" t="s">
        <v>55</v>
      </c>
      <c r="D19" s="39" t="s">
        <v>77</v>
      </c>
      <c r="E19" s="65" t="s">
        <v>13</v>
      </c>
      <c r="F19" s="88">
        <v>100</v>
      </c>
      <c r="G19" s="81">
        <v>604</v>
      </c>
      <c r="H19" s="58">
        <f t="shared" si="1"/>
        <v>60400</v>
      </c>
    </row>
    <row r="20" spans="1:8" ht="13.5" thickBot="1" x14ac:dyDescent="0.25">
      <c r="A20" s="36">
        <v>11</v>
      </c>
      <c r="B20" s="39">
        <v>251</v>
      </c>
      <c r="C20" s="39" t="s">
        <v>55</v>
      </c>
      <c r="D20" s="39" t="s">
        <v>82</v>
      </c>
      <c r="E20" s="65" t="s">
        <v>13</v>
      </c>
      <c r="F20" s="88">
        <v>60</v>
      </c>
      <c r="G20" s="81">
        <v>847</v>
      </c>
      <c r="H20" s="58">
        <f t="shared" ref="H20:H22" si="2">+F20*G20</f>
        <v>50820</v>
      </c>
    </row>
    <row r="21" spans="1:8" ht="13.5" thickBot="1" x14ac:dyDescent="0.25">
      <c r="A21" s="36">
        <v>12</v>
      </c>
      <c r="B21" s="39">
        <v>251</v>
      </c>
      <c r="C21" s="39" t="s">
        <v>55</v>
      </c>
      <c r="D21" s="39" t="s">
        <v>84</v>
      </c>
      <c r="E21" s="65" t="s">
        <v>13</v>
      </c>
      <c r="F21" s="88">
        <v>20</v>
      </c>
      <c r="G21" s="81">
        <v>980.1</v>
      </c>
      <c r="H21" s="58">
        <f t="shared" si="2"/>
        <v>19602</v>
      </c>
    </row>
    <row r="22" spans="1:8" ht="13.5" thickBot="1" x14ac:dyDescent="0.25">
      <c r="A22" s="36">
        <v>13</v>
      </c>
      <c r="B22" s="39">
        <v>252</v>
      </c>
      <c r="C22" s="39" t="s">
        <v>55</v>
      </c>
      <c r="D22" s="39" t="s">
        <v>78</v>
      </c>
      <c r="E22" s="65" t="s">
        <v>13</v>
      </c>
      <c r="F22" s="88">
        <v>50</v>
      </c>
      <c r="G22" s="81">
        <v>764.81</v>
      </c>
      <c r="H22" s="58">
        <f t="shared" si="2"/>
        <v>38240.5</v>
      </c>
    </row>
    <row r="23" spans="1:8" x14ac:dyDescent="0.2">
      <c r="A23" s="36">
        <v>14</v>
      </c>
      <c r="B23" s="39">
        <v>251</v>
      </c>
      <c r="C23" s="39" t="s">
        <v>55</v>
      </c>
      <c r="D23" s="39" t="s">
        <v>86</v>
      </c>
      <c r="E23" s="65" t="s">
        <v>13</v>
      </c>
      <c r="F23" s="88">
        <v>20</v>
      </c>
      <c r="G23" s="81">
        <v>828.85</v>
      </c>
      <c r="H23" s="58">
        <f t="shared" si="1"/>
        <v>16577</v>
      </c>
    </row>
    <row r="25" spans="1:8" ht="13.5" thickBot="1" x14ac:dyDescent="0.25"/>
    <row r="26" spans="1:8" x14ac:dyDescent="0.2">
      <c r="B26" s="67" t="s">
        <v>60</v>
      </c>
      <c r="C26" s="68"/>
      <c r="D26" s="68"/>
      <c r="E26" s="69"/>
      <c r="F26" s="89"/>
      <c r="G26" s="82"/>
    </row>
    <row r="27" spans="1:8" ht="12.75" customHeight="1" x14ac:dyDescent="0.2">
      <c r="B27" s="96" t="s">
        <v>61</v>
      </c>
      <c r="C27" s="97"/>
      <c r="D27" s="97"/>
      <c r="E27" s="98"/>
      <c r="F27" s="89"/>
      <c r="G27" s="82"/>
    </row>
    <row r="28" spans="1:8" ht="26.25" customHeight="1" x14ac:dyDescent="0.2">
      <c r="B28" s="96"/>
      <c r="C28" s="97"/>
      <c r="D28" s="97"/>
      <c r="E28" s="98"/>
      <c r="F28" s="89"/>
      <c r="G28" s="82"/>
    </row>
    <row r="29" spans="1:8" ht="26.25" customHeight="1" x14ac:dyDescent="0.2">
      <c r="B29" s="96" t="s">
        <v>67</v>
      </c>
      <c r="C29" s="97"/>
      <c r="D29" s="97"/>
      <c r="E29" s="98"/>
      <c r="F29" s="89"/>
      <c r="G29" s="82"/>
    </row>
    <row r="30" spans="1:8" ht="26.25" customHeight="1" x14ac:dyDescent="0.2">
      <c r="B30" s="96" t="s">
        <v>62</v>
      </c>
      <c r="C30" s="97"/>
      <c r="D30" s="97"/>
      <c r="E30" s="98"/>
      <c r="F30" s="89"/>
      <c r="G30" s="82"/>
    </row>
    <row r="31" spans="1:8" x14ac:dyDescent="0.2">
      <c r="B31" s="70" t="s">
        <v>65</v>
      </c>
      <c r="C31" s="71"/>
      <c r="D31" s="72"/>
      <c r="E31" s="73"/>
      <c r="F31" s="89"/>
      <c r="G31" s="82"/>
    </row>
    <row r="32" spans="1:8" ht="26.25" customHeight="1" x14ac:dyDescent="0.2">
      <c r="B32" s="74"/>
      <c r="C32" s="99" t="s">
        <v>63</v>
      </c>
      <c r="D32" s="99"/>
      <c r="E32" s="99"/>
      <c r="F32" s="89"/>
      <c r="G32" s="82"/>
    </row>
    <row r="33" spans="2:7" ht="13.5" thickBot="1" x14ac:dyDescent="0.25">
      <c r="B33" s="75"/>
      <c r="C33" s="76"/>
      <c r="D33" s="76"/>
      <c r="E33" s="77"/>
      <c r="F33" s="89"/>
      <c r="G33" s="82"/>
    </row>
    <row r="34" spans="2:7" ht="13.5" thickBot="1" x14ac:dyDescent="0.25">
      <c r="F34" s="89"/>
      <c r="G34" s="82"/>
    </row>
    <row r="35" spans="2:7" x14ac:dyDescent="0.2">
      <c r="B35" s="91" t="s">
        <v>88</v>
      </c>
      <c r="C35" s="68"/>
      <c r="D35" s="68"/>
      <c r="E35" s="69"/>
    </row>
    <row r="36" spans="2:7" x14ac:dyDescent="0.2">
      <c r="B36" s="92"/>
      <c r="C36" s="93"/>
      <c r="D36" s="93"/>
      <c r="E36" s="94"/>
    </row>
    <row r="37" spans="2:7" x14ac:dyDescent="0.2">
      <c r="B37" s="92" t="s">
        <v>83</v>
      </c>
      <c r="C37" s="93"/>
      <c r="D37" s="93"/>
      <c r="E37" s="94"/>
    </row>
    <row r="38" spans="2:7" x14ac:dyDescent="0.2">
      <c r="B38" s="92" t="s">
        <v>85</v>
      </c>
      <c r="C38" s="93"/>
      <c r="D38" s="93"/>
      <c r="E38" s="94"/>
    </row>
    <row r="39" spans="2:7" x14ac:dyDescent="0.2">
      <c r="B39" s="92" t="s">
        <v>87</v>
      </c>
      <c r="C39" s="93"/>
      <c r="D39" s="93"/>
      <c r="E39" s="94"/>
    </row>
    <row r="40" spans="2:7" ht="13.5" thickBot="1" x14ac:dyDescent="0.25">
      <c r="B40" s="95"/>
      <c r="C40" s="76"/>
      <c r="D40" s="76"/>
      <c r="E40" s="77"/>
    </row>
  </sheetData>
  <autoFilter ref="A9:H23" xr:uid="{00000000-0009-0000-0000-000000000000}"/>
  <sortState xmlns:xlrd2="http://schemas.microsoft.com/office/spreadsheetml/2017/richdata2" ref="D454:H576">
    <sortCondition ref="H576"/>
  </sortState>
  <mergeCells count="11">
    <mergeCell ref="B2:G2"/>
    <mergeCell ref="A4:B4"/>
    <mergeCell ref="C4:D4"/>
    <mergeCell ref="A5:B5"/>
    <mergeCell ref="C5:D5"/>
    <mergeCell ref="B27:E28"/>
    <mergeCell ref="B30:E30"/>
    <mergeCell ref="C32:E32"/>
    <mergeCell ref="A6:B6"/>
    <mergeCell ref="A7:B7"/>
    <mergeCell ref="B29:E29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B26"/>
  <sheetViews>
    <sheetView topLeftCell="A11" zoomScaleNormal="100" workbookViewId="0">
      <selection activeCell="J17" sqref="J17"/>
    </sheetView>
  </sheetViews>
  <sheetFormatPr baseColWidth="10" defaultColWidth="9.140625" defaultRowHeight="12.75" x14ac:dyDescent="0.2"/>
  <cols>
    <col min="1" max="1" width="5.5703125" style="41" customWidth="1"/>
    <col min="2" max="2" width="15.140625" style="41" customWidth="1"/>
    <col min="3" max="3" width="54.5703125" style="41" customWidth="1"/>
    <col min="4" max="4" width="9.28515625" style="41" customWidth="1"/>
    <col min="5" max="5" width="15.5703125" style="41" customWidth="1"/>
    <col min="6" max="6" width="14.7109375" style="41" customWidth="1"/>
    <col min="7" max="7" width="15.5703125" style="41" customWidth="1"/>
    <col min="8" max="8" width="9.140625" style="41"/>
    <col min="9" max="9" width="13.85546875" style="41" bestFit="1" customWidth="1"/>
    <col min="10" max="1016" width="9.140625" style="41"/>
    <col min="1017" max="16384" width="9.140625" style="42"/>
  </cols>
  <sheetData>
    <row r="1" spans="1:7" ht="18" customHeight="1" thickBot="1" x14ac:dyDescent="0.25">
      <c r="A1" s="112" t="s">
        <v>14</v>
      </c>
      <c r="B1" s="112"/>
      <c r="C1" s="112"/>
      <c r="D1" s="112"/>
      <c r="E1" s="112"/>
      <c r="F1" s="40" t="s">
        <v>15</v>
      </c>
      <c r="G1" s="90" t="s">
        <v>79</v>
      </c>
    </row>
    <row r="2" spans="1:7" ht="18.75" customHeight="1" thickBot="1" x14ac:dyDescent="0.25">
      <c r="A2" s="43"/>
      <c r="B2" s="43"/>
      <c r="C2" s="43"/>
      <c r="D2" s="44"/>
      <c r="E2" s="44"/>
      <c r="F2" s="44"/>
      <c r="G2" s="44"/>
    </row>
    <row r="3" spans="1:7" ht="18.75" customHeight="1" thickBot="1" x14ac:dyDescent="0.25">
      <c r="A3" s="113" t="s">
        <v>48</v>
      </c>
      <c r="B3" s="113"/>
      <c r="C3" s="113"/>
      <c r="D3" s="115" t="str">
        <f>'[1]Necesidades Trimestrales'!C4</f>
        <v>040 - Ministerio de Salud</v>
      </c>
      <c r="E3" s="116"/>
      <c r="F3" s="116"/>
      <c r="G3" s="117"/>
    </row>
    <row r="4" spans="1:7" ht="18.75" customHeight="1" thickBot="1" x14ac:dyDescent="0.25">
      <c r="A4" s="114" t="s">
        <v>49</v>
      </c>
      <c r="B4" s="114"/>
      <c r="C4" s="114"/>
      <c r="D4" s="106" t="str">
        <f>'[1]Necesidades Trimestrales'!C5</f>
        <v>024 - Hospital Interzonal de Niños</v>
      </c>
      <c r="E4" s="106"/>
      <c r="F4" s="106"/>
      <c r="G4" s="106"/>
    </row>
    <row r="5" spans="1:7" ht="18.75" customHeight="1" thickBot="1" x14ac:dyDescent="0.25">
      <c r="A5" s="114" t="s">
        <v>27</v>
      </c>
      <c r="B5" s="114"/>
      <c r="C5" s="114"/>
      <c r="D5" s="106" t="s">
        <v>51</v>
      </c>
      <c r="E5" s="106"/>
      <c r="F5" s="106"/>
      <c r="G5" s="106"/>
    </row>
    <row r="6" spans="1:7" ht="16.5" customHeight="1" thickBot="1" x14ac:dyDescent="0.25">
      <c r="A6" s="113" t="s">
        <v>50</v>
      </c>
      <c r="B6" s="113"/>
      <c r="C6" s="113"/>
      <c r="D6" s="106" t="s">
        <v>57</v>
      </c>
      <c r="E6" s="106"/>
      <c r="F6" s="106"/>
      <c r="G6" s="106"/>
    </row>
    <row r="7" spans="1:7" ht="16.5" customHeight="1" thickBot="1" x14ac:dyDescent="0.25">
      <c r="A7" s="114" t="s">
        <v>16</v>
      </c>
      <c r="B7" s="114"/>
      <c r="C7" s="114"/>
      <c r="D7" s="106" t="s">
        <v>66</v>
      </c>
      <c r="E7" s="106"/>
      <c r="F7" s="106"/>
      <c r="G7" s="106"/>
    </row>
    <row r="8" spans="1:7" ht="16.5" customHeight="1" thickBot="1" x14ac:dyDescent="0.25">
      <c r="A8" s="108" t="s">
        <v>17</v>
      </c>
      <c r="B8" s="108"/>
      <c r="C8" s="108"/>
      <c r="D8" s="107" t="s">
        <v>58</v>
      </c>
      <c r="E8" s="107"/>
      <c r="F8" s="107"/>
      <c r="G8" s="107"/>
    </row>
    <row r="9" spans="1:7" ht="16.5" thickBot="1" x14ac:dyDescent="0.25">
      <c r="A9" s="45"/>
      <c r="B9" s="45"/>
      <c r="C9" s="45"/>
      <c r="D9" s="46"/>
      <c r="E9" s="46"/>
      <c r="F9" s="46"/>
      <c r="G9" s="46"/>
    </row>
    <row r="10" spans="1:7" ht="18.75" customHeight="1" thickBot="1" x14ac:dyDescent="0.25">
      <c r="A10" s="109" t="s">
        <v>18</v>
      </c>
      <c r="B10" s="110" t="s">
        <v>19</v>
      </c>
      <c r="C10" s="110" t="s">
        <v>20</v>
      </c>
      <c r="D10" s="110" t="s">
        <v>21</v>
      </c>
      <c r="E10" s="110" t="s">
        <v>22</v>
      </c>
      <c r="F10" s="110" t="s">
        <v>23</v>
      </c>
      <c r="G10" s="111" t="s">
        <v>24</v>
      </c>
    </row>
    <row r="11" spans="1:7" ht="24" customHeight="1" thickBot="1" x14ac:dyDescent="0.25">
      <c r="A11" s="109"/>
      <c r="B11" s="110"/>
      <c r="C11" s="110"/>
      <c r="D11" s="110"/>
      <c r="E11" s="110"/>
      <c r="F11" s="110"/>
      <c r="G11" s="111"/>
    </row>
    <row r="12" spans="1:7" ht="27.75" customHeight="1" thickBot="1" x14ac:dyDescent="0.25">
      <c r="A12" s="47">
        <v>1</v>
      </c>
      <c r="B12" s="48">
        <v>252</v>
      </c>
      <c r="C12" s="48" t="str">
        <f>'Necesidades Trimestrales'!D10</f>
        <v>LIDOCAINA JALEA X 25 ML.</v>
      </c>
      <c r="D12" s="49" t="s">
        <v>54</v>
      </c>
      <c r="E12" s="50" t="str">
        <f>'Necesidades Trimestrales'!E10</f>
        <v>UNIDAD</v>
      </c>
      <c r="F12" s="51">
        <f>+'Necesidades Trimestrales'!G10</f>
        <v>125.13</v>
      </c>
      <c r="G12" s="52">
        <f>+'Necesidades Trimestrales'!F10</f>
        <v>150</v>
      </c>
    </row>
    <row r="13" spans="1:7" ht="20.25" customHeight="1" thickBot="1" x14ac:dyDescent="0.25">
      <c r="A13" s="47">
        <v>2</v>
      </c>
      <c r="B13" s="53">
        <f>'Necesidades Trimestrales'!B11</f>
        <v>252</v>
      </c>
      <c r="C13" s="48" t="str">
        <f>'Necesidades Trimestrales'!D11</f>
        <v>LIDOCAINA 10% SPRAY X 50 GR</v>
      </c>
      <c r="D13" s="54" t="s">
        <v>54</v>
      </c>
      <c r="E13" s="55" t="str">
        <f>'Necesidades Trimestrales'!E11</f>
        <v>UNIDAD</v>
      </c>
      <c r="F13" s="51">
        <f>+'Necesidades Trimestrales'!G11</f>
        <v>469.73</v>
      </c>
      <c r="G13" s="52">
        <f>+'Necesidades Trimestrales'!F11</f>
        <v>50</v>
      </c>
    </row>
    <row r="14" spans="1:7" ht="20.25" customHeight="1" thickBot="1" x14ac:dyDescent="0.25">
      <c r="A14" s="47">
        <v>3</v>
      </c>
      <c r="B14" s="53">
        <f>'Necesidades Trimestrales'!B12</f>
        <v>252</v>
      </c>
      <c r="C14" s="48" t="str">
        <f>'Necesidades Trimestrales'!D12</f>
        <v>REMIFENTANILO 5MG INY.LIOF.X 1</v>
      </c>
      <c r="D14" s="54" t="s">
        <v>54</v>
      </c>
      <c r="E14" s="55" t="str">
        <f>'Necesidades Trimestrales'!E12</f>
        <v>UNIDAD</v>
      </c>
      <c r="F14" s="51">
        <f>+'Necesidades Trimestrales'!G12</f>
        <v>942.45</v>
      </c>
      <c r="G14" s="52">
        <f>+'Necesidades Trimestrales'!F12</f>
        <v>100</v>
      </c>
    </row>
    <row r="15" spans="1:7" ht="20.25" customHeight="1" thickBot="1" x14ac:dyDescent="0.25">
      <c r="A15" s="47">
        <v>4</v>
      </c>
      <c r="B15" s="53">
        <v>252</v>
      </c>
      <c r="C15" s="48" t="str">
        <f>'Necesidades Trimestrales'!D13</f>
        <v>NEOSTIGMINA 0,5 MG.AMP. X 1 ML.</v>
      </c>
      <c r="D15" s="54" t="s">
        <v>54</v>
      </c>
      <c r="E15" s="55" t="str">
        <f>'Necesidades Trimestrales'!E13</f>
        <v>UNIDAD</v>
      </c>
      <c r="F15" s="51">
        <f>+'Necesidades Trimestrales'!G13</f>
        <v>56.65</v>
      </c>
      <c r="G15" s="52">
        <f>+'Necesidades Trimestrales'!F13</f>
        <v>100</v>
      </c>
    </row>
    <row r="16" spans="1:7" ht="20.25" customHeight="1" thickBot="1" x14ac:dyDescent="0.25">
      <c r="A16" s="47">
        <v>5</v>
      </c>
      <c r="B16" s="53">
        <f>'Necesidades Trimestrales'!B14</f>
        <v>251</v>
      </c>
      <c r="C16" s="48" t="str">
        <f>'Necesidades Trimestrales'!D14</f>
        <v>ALCOHOL 70%  X 500 ML</v>
      </c>
      <c r="D16" s="54" t="s">
        <v>54</v>
      </c>
      <c r="E16" s="55" t="str">
        <f>'Necesidades Trimestrales'!E14</f>
        <v>UNIDAD</v>
      </c>
      <c r="F16" s="51">
        <f>+'Necesidades Trimestrales'!G14</f>
        <v>98.99</v>
      </c>
      <c r="G16" s="52">
        <f>+'Necesidades Trimestrales'!F14</f>
        <v>8000</v>
      </c>
    </row>
    <row r="17" spans="1:9" ht="20.25" customHeight="1" thickBot="1" x14ac:dyDescent="0.25">
      <c r="A17" s="47">
        <v>6</v>
      </c>
      <c r="B17" s="53">
        <f>'Necesidades Trimestrales'!B15</f>
        <v>251</v>
      </c>
      <c r="C17" s="48" t="str">
        <f>'Necesidades Trimestrales'!D15</f>
        <v>ALCOHOL 70% EN GEL X 250 ML</v>
      </c>
      <c r="D17" s="54" t="s">
        <v>54</v>
      </c>
      <c r="E17" s="55" t="str">
        <f>'Necesidades Trimestrales'!E15</f>
        <v>UNIDAD</v>
      </c>
      <c r="F17" s="51">
        <f>+'Necesidades Trimestrales'!G15</f>
        <v>99</v>
      </c>
      <c r="G17" s="52">
        <f>+'Necesidades Trimestrales'!F15</f>
        <v>2000</v>
      </c>
    </row>
    <row r="18" spans="1:9" ht="20.25" customHeight="1" thickBot="1" x14ac:dyDescent="0.25">
      <c r="A18" s="47">
        <v>7</v>
      </c>
      <c r="B18" s="53">
        <f>'Necesidades Trimestrales'!B16</f>
        <v>251</v>
      </c>
      <c r="C18" s="48" t="str">
        <f>'Necesidades Trimestrales'!D16</f>
        <v>ALCOHOL 70% EN GEL X 500 ML</v>
      </c>
      <c r="D18" s="54" t="s">
        <v>54</v>
      </c>
      <c r="E18" s="55" t="str">
        <f>'Necesidades Trimestrales'!E16</f>
        <v>UNIDAD</v>
      </c>
      <c r="F18" s="51">
        <f>+'Necesidades Trimestrales'!G16</f>
        <v>196.99</v>
      </c>
      <c r="G18" s="52">
        <f>+'Necesidades Trimestrales'!F16</f>
        <v>2000</v>
      </c>
    </row>
    <row r="19" spans="1:9" ht="20.25" customHeight="1" thickBot="1" x14ac:dyDescent="0.25">
      <c r="A19" s="47">
        <v>8</v>
      </c>
      <c r="B19" s="53">
        <f>'Necesidades Trimestrales'!B17</f>
        <v>251</v>
      </c>
      <c r="C19" s="48" t="str">
        <f>'Necesidades Trimestrales'!D17</f>
        <v>ALCOHOL 96º X  500 ML.</v>
      </c>
      <c r="D19" s="54" t="s">
        <v>54</v>
      </c>
      <c r="E19" s="55" t="str">
        <f>'Necesidades Trimestrales'!E17</f>
        <v>UNIDAD</v>
      </c>
      <c r="F19" s="51">
        <f>+'Necesidades Trimestrales'!G17</f>
        <v>185</v>
      </c>
      <c r="G19" s="52">
        <f>+'Necesidades Trimestrales'!F17</f>
        <v>2000</v>
      </c>
    </row>
    <row r="20" spans="1:9" ht="20.25" customHeight="1" thickBot="1" x14ac:dyDescent="0.25">
      <c r="A20" s="47">
        <v>9</v>
      </c>
      <c r="B20" s="53">
        <f>'Necesidades Trimestrales'!B18</f>
        <v>251</v>
      </c>
      <c r="C20" s="48" t="str">
        <f>'Necesidades Trimestrales'!D18</f>
        <v>ALCOHOL 96º X 1000 ML</v>
      </c>
      <c r="D20" s="54" t="s">
        <v>54</v>
      </c>
      <c r="E20" s="55" t="str">
        <f>'Necesidades Trimestrales'!E18</f>
        <v>UNIDAD</v>
      </c>
      <c r="F20" s="51">
        <f>+'Necesidades Trimestrales'!G18</f>
        <v>199</v>
      </c>
      <c r="G20" s="52">
        <f>+'Necesidades Trimestrales'!F18</f>
        <v>2000</v>
      </c>
    </row>
    <row r="21" spans="1:9" ht="20.25" customHeight="1" thickBot="1" x14ac:dyDescent="0.25">
      <c r="A21" s="47">
        <v>10</v>
      </c>
      <c r="B21" s="53">
        <f>'Necesidades Trimestrales'!B19</f>
        <v>252</v>
      </c>
      <c r="C21" s="48" t="str">
        <f>'Necesidades Trimestrales'!D19</f>
        <v>IODOPOVIDONA SOLUCION 10% X 1000ML C/DISP.</v>
      </c>
      <c r="D21" s="54" t="s">
        <v>54</v>
      </c>
      <c r="E21" s="55" t="str">
        <f>'Necesidades Trimestrales'!E19</f>
        <v>UNIDAD</v>
      </c>
      <c r="F21" s="51">
        <f>+'Necesidades Trimestrales'!G19</f>
        <v>604</v>
      </c>
      <c r="G21" s="52">
        <f>+'Necesidades Trimestrales'!F19</f>
        <v>100</v>
      </c>
    </row>
    <row r="22" spans="1:9" ht="20.25" customHeight="1" thickBot="1" x14ac:dyDescent="0.25">
      <c r="A22" s="47">
        <v>11</v>
      </c>
      <c r="B22" s="53">
        <f>'Necesidades Trimestrales'!B23</f>
        <v>251</v>
      </c>
      <c r="C22" s="48" t="str">
        <f>'Necesidades Trimestrales'!D20</f>
        <v>JABON LIQUIDO HIPOALERGENICO ENV.X 800ML CAJ.X 10 UNID.</v>
      </c>
      <c r="D22" s="54" t="s">
        <v>54</v>
      </c>
      <c r="E22" s="55" t="str">
        <f>'Necesidades Trimestrales'!E23</f>
        <v>UNIDAD</v>
      </c>
      <c r="F22" s="51">
        <f>+'Necesidades Trimestrales'!G20</f>
        <v>847</v>
      </c>
      <c r="G22" s="52">
        <f>+'Necesidades Trimestrales'!F20</f>
        <v>60</v>
      </c>
    </row>
    <row r="23" spans="1:9" ht="20.25" customHeight="1" thickBot="1" x14ac:dyDescent="0.25">
      <c r="A23" s="47">
        <v>12</v>
      </c>
      <c r="B23" s="53">
        <f>'Necesidades Trimestrales'!B21</f>
        <v>251</v>
      </c>
      <c r="C23" s="48" t="str">
        <f>'Necesidades Trimestrales'!D21</f>
        <v>LOCION HIDROALCOHOLICA ANTI. MICROB.C/CLORHE.</v>
      </c>
      <c r="D23" s="54" t="s">
        <v>54</v>
      </c>
      <c r="E23" s="55" t="str">
        <f>'Necesidades Trimestrales'!E21</f>
        <v>UNIDAD</v>
      </c>
      <c r="F23" s="51">
        <f>+'Necesidades Trimestrales'!G21</f>
        <v>980.1</v>
      </c>
      <c r="G23" s="52">
        <f>+'Necesidades Trimestrales'!F21</f>
        <v>20</v>
      </c>
    </row>
    <row r="24" spans="1:9" ht="20.25" customHeight="1" thickBot="1" x14ac:dyDescent="0.25">
      <c r="A24" s="47">
        <v>13</v>
      </c>
      <c r="B24" s="53">
        <v>252</v>
      </c>
      <c r="C24" s="48" t="str">
        <f>'Necesidades Trimestrales'!D22</f>
        <v>NITROFURAZONA 0,22% SOL.X 1 LTS.</v>
      </c>
      <c r="D24" s="54" t="s">
        <v>54</v>
      </c>
      <c r="E24" s="55" t="str">
        <f>'Necesidades Trimestrales'!E22</f>
        <v>UNIDAD</v>
      </c>
      <c r="F24" s="51">
        <f>+'Necesidades Trimestrales'!G22</f>
        <v>764.81</v>
      </c>
      <c r="G24" s="52">
        <f>+'Necesidades Trimestrales'!F22</f>
        <v>50</v>
      </c>
    </row>
    <row r="25" spans="1:9" ht="20.25" customHeight="1" thickBot="1" x14ac:dyDescent="0.25">
      <c r="A25" s="47">
        <v>14</v>
      </c>
      <c r="B25" s="53">
        <f>'Necesidades Trimestrales'!B22</f>
        <v>252</v>
      </c>
      <c r="C25" s="48" t="str">
        <f>'Necesidades Trimestrales'!D23</f>
        <v xml:space="preserve">LOCION ALCOHOLICA BACT. C/EMOLIEN. ENV. X 800. </v>
      </c>
      <c r="D25" s="54" t="s">
        <v>54</v>
      </c>
      <c r="E25" s="55" t="str">
        <f>'Necesidades Trimestrales'!E22</f>
        <v>UNIDAD</v>
      </c>
      <c r="F25" s="51">
        <f>+'Necesidades Trimestrales'!G23</f>
        <v>828.85</v>
      </c>
      <c r="G25" s="52">
        <f>+'Necesidades Trimestrales'!F23</f>
        <v>20</v>
      </c>
    </row>
    <row r="26" spans="1:9" ht="25.5" customHeight="1" thickBot="1" x14ac:dyDescent="0.25">
      <c r="A26" s="103" t="s">
        <v>56</v>
      </c>
      <c r="B26" s="104"/>
      <c r="C26" s="104"/>
      <c r="D26" s="104"/>
      <c r="E26" s="104"/>
      <c r="F26" s="105">
        <f>SUMPRODUCT(F12:F25,G12:G25)</f>
        <v>2479705.5</v>
      </c>
      <c r="G26" s="105"/>
      <c r="I26" s="83"/>
    </row>
  </sheetData>
  <mergeCells count="22">
    <mergeCell ref="A1:E1"/>
    <mergeCell ref="A6:C6"/>
    <mergeCell ref="A7:C7"/>
    <mergeCell ref="A3:C3"/>
    <mergeCell ref="D3:G3"/>
    <mergeCell ref="A4:C4"/>
    <mergeCell ref="A5:C5"/>
    <mergeCell ref="A26:E26"/>
    <mergeCell ref="F26:G26"/>
    <mergeCell ref="D4:G4"/>
    <mergeCell ref="D5:G5"/>
    <mergeCell ref="D6:G6"/>
    <mergeCell ref="D7:G7"/>
    <mergeCell ref="D8:G8"/>
    <mergeCell ref="A8:C8"/>
    <mergeCell ref="A10:A11"/>
    <mergeCell ref="B10:B11"/>
    <mergeCell ref="C10:C11"/>
    <mergeCell ref="D10:D11"/>
    <mergeCell ref="E10:E11"/>
    <mergeCell ref="F10:F11"/>
    <mergeCell ref="G10:G11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7"/>
  <sheetViews>
    <sheetView zoomScale="130" zoomScaleNormal="130" workbookViewId="0">
      <selection activeCell="O15" sqref="O15:P15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9" ht="15.75" customHeight="1" x14ac:dyDescent="0.25">
      <c r="A1" s="118" t="s">
        <v>3</v>
      </c>
      <c r="B1" s="118"/>
      <c r="C1" s="118"/>
      <c r="D1" s="119">
        <f>'Necesidades Trimestrales'!C6</f>
        <v>2021</v>
      </c>
      <c r="E1" s="119"/>
      <c r="F1" s="3"/>
      <c r="G1" s="3"/>
      <c r="H1" s="4"/>
      <c r="I1" s="4"/>
      <c r="J1" s="4"/>
      <c r="K1" s="4"/>
      <c r="L1" s="4"/>
      <c r="M1" s="4"/>
      <c r="N1" s="4"/>
      <c r="P1" s="120" t="s">
        <v>25</v>
      </c>
      <c r="Q1" s="120"/>
    </row>
    <row r="2" spans="1:19" ht="15.75" customHeight="1" x14ac:dyDescent="0.2">
      <c r="H2" s="4"/>
      <c r="I2" s="4"/>
      <c r="J2" s="4"/>
      <c r="K2" s="4"/>
      <c r="L2" s="4"/>
      <c r="M2" s="4"/>
      <c r="N2" s="4"/>
      <c r="P2" s="120"/>
      <c r="Q2" s="120"/>
    </row>
    <row r="4" spans="1:19" s="5" customFormat="1" ht="18" customHeight="1" thickBot="1" x14ac:dyDescent="0.25">
      <c r="A4" s="121" t="s">
        <v>26</v>
      </c>
      <c r="B4" s="121"/>
      <c r="C4" s="121"/>
      <c r="D4" s="121"/>
      <c r="E4" s="121"/>
      <c r="F4" s="121"/>
      <c r="G4" s="122" t="s">
        <v>52</v>
      </c>
      <c r="H4" s="122"/>
      <c r="I4" s="122"/>
      <c r="J4" s="122"/>
      <c r="K4" s="122"/>
      <c r="L4" s="122"/>
      <c r="M4" s="122"/>
      <c r="N4" s="122"/>
      <c r="O4" s="122"/>
      <c r="P4" s="122"/>
      <c r="Q4" s="122"/>
    </row>
    <row r="5" spans="1:19" s="5" customFormat="1" ht="18" customHeight="1" thickBot="1" x14ac:dyDescent="0.25">
      <c r="A5" s="123" t="s">
        <v>49</v>
      </c>
      <c r="B5" s="124"/>
      <c r="C5" s="124"/>
      <c r="D5" s="124"/>
      <c r="E5" s="124"/>
      <c r="F5" s="125"/>
      <c r="G5" s="122" t="s">
        <v>51</v>
      </c>
      <c r="H5" s="122"/>
      <c r="I5" s="122"/>
      <c r="J5" s="122"/>
      <c r="K5" s="122"/>
      <c r="L5" s="122"/>
      <c r="M5" s="122"/>
      <c r="N5" s="122"/>
      <c r="O5" s="122"/>
      <c r="P5" s="122"/>
      <c r="Q5" s="122"/>
    </row>
    <row r="6" spans="1:19" s="5" customFormat="1" ht="18" customHeight="1" thickBot="1" x14ac:dyDescent="0.25">
      <c r="A6" s="123" t="s">
        <v>27</v>
      </c>
      <c r="B6" s="124"/>
      <c r="C6" s="124"/>
      <c r="D6" s="124"/>
      <c r="E6" s="124"/>
      <c r="F6" s="125"/>
      <c r="G6" s="122" t="s">
        <v>51</v>
      </c>
      <c r="H6" s="122"/>
      <c r="I6" s="122"/>
      <c r="J6" s="122"/>
      <c r="K6" s="122"/>
      <c r="L6" s="122"/>
      <c r="M6" s="122"/>
      <c r="N6" s="122"/>
      <c r="O6" s="122"/>
      <c r="P6" s="122"/>
      <c r="Q6" s="122"/>
    </row>
    <row r="7" spans="1:19" s="5" customFormat="1" ht="18" customHeight="1" thickBot="1" x14ac:dyDescent="0.25">
      <c r="A7" s="123" t="s">
        <v>50</v>
      </c>
      <c r="B7" s="124"/>
      <c r="C7" s="124"/>
      <c r="D7" s="124"/>
      <c r="E7" s="124"/>
      <c r="F7" s="125"/>
      <c r="G7" s="122" t="s">
        <v>64</v>
      </c>
      <c r="H7" s="122"/>
      <c r="I7" s="122"/>
      <c r="J7" s="122"/>
      <c r="K7" s="122"/>
      <c r="L7" s="122"/>
      <c r="M7" s="122"/>
      <c r="N7" s="122"/>
      <c r="O7" s="122"/>
      <c r="P7" s="122"/>
      <c r="Q7" s="122"/>
    </row>
    <row r="8" spans="1:19" ht="18" customHeight="1" thickBot="1" x14ac:dyDescent="0.25">
      <c r="A8" s="126" t="s">
        <v>28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</row>
    <row r="9" spans="1:19" ht="18" customHeight="1" x14ac:dyDescent="0.2">
      <c r="A9" s="127" t="s">
        <v>29</v>
      </c>
      <c r="B9" s="127"/>
      <c r="C9" s="127"/>
      <c r="D9" s="127"/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"/>
      <c r="P9" s="1"/>
      <c r="Q9" s="6"/>
    </row>
    <row r="10" spans="1:19" ht="54.75" customHeight="1" x14ac:dyDescent="0.2">
      <c r="A10" s="128" t="str">
        <f>"Autorizo la realización de los  trámites correspondientes, a fin de proveer a  este Organismo los bienes y/o servicios que se detallan en Nota  de Pedido N° " &amp; ' NotaPedido'!G1&amp;",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021/2021,  afectando la erogación resultante a los créditos presupuestarios aprobados a favor de esta Unidad Ejecutora, conforme al siguiente detalle:</v>
      </c>
      <c r="B10" s="128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</row>
    <row r="11" spans="1:19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9" ht="15.75" customHeight="1" x14ac:dyDescent="0.2">
      <c r="A12" s="129" t="s">
        <v>30</v>
      </c>
      <c r="B12" s="129"/>
      <c r="C12" s="129"/>
      <c r="D12" s="129"/>
      <c r="E12" s="129"/>
      <c r="F12" s="129"/>
      <c r="G12" s="129"/>
      <c r="H12" s="129"/>
      <c r="I12" s="129"/>
      <c r="J12" s="129"/>
      <c r="K12" s="129"/>
      <c r="L12" s="129"/>
      <c r="M12" s="129"/>
      <c r="N12" s="129"/>
      <c r="O12" s="129"/>
      <c r="P12" s="129"/>
      <c r="Q12" s="129"/>
    </row>
    <row r="13" spans="1:19" ht="15.75" customHeight="1" x14ac:dyDescent="0.2">
      <c r="A13" s="130" t="s">
        <v>31</v>
      </c>
      <c r="B13" s="130"/>
      <c r="C13" s="130"/>
      <c r="D13" s="130"/>
      <c r="E13" s="130"/>
      <c r="F13" s="130"/>
      <c r="G13" s="130"/>
      <c r="H13" s="130"/>
      <c r="I13" s="130"/>
      <c r="J13" s="130"/>
      <c r="K13" s="130"/>
      <c r="L13" s="130"/>
      <c r="M13" s="130"/>
      <c r="N13" s="130"/>
      <c r="O13" s="131" t="s">
        <v>32</v>
      </c>
      <c r="P13" s="131"/>
      <c r="Q13" s="132" t="s">
        <v>33</v>
      </c>
    </row>
    <row r="14" spans="1:19" ht="15.75" customHeight="1" x14ac:dyDescent="0.2">
      <c r="A14" s="11" t="s">
        <v>34</v>
      </c>
      <c r="B14" s="12" t="s">
        <v>35</v>
      </c>
      <c r="C14" s="12" t="s">
        <v>36</v>
      </c>
      <c r="D14" s="12" t="s">
        <v>37</v>
      </c>
      <c r="E14" s="12" t="s">
        <v>38</v>
      </c>
      <c r="F14" s="12" t="s">
        <v>39</v>
      </c>
      <c r="G14" s="13" t="s">
        <v>40</v>
      </c>
      <c r="H14" s="12" t="s">
        <v>41</v>
      </c>
      <c r="I14" s="12" t="s">
        <v>42</v>
      </c>
      <c r="J14" s="12" t="s">
        <v>43</v>
      </c>
      <c r="K14" s="12" t="s">
        <v>43</v>
      </c>
      <c r="L14" s="12" t="s">
        <v>44</v>
      </c>
      <c r="M14" s="14" t="s">
        <v>45</v>
      </c>
      <c r="N14" s="15" t="s">
        <v>46</v>
      </c>
      <c r="O14" s="131"/>
      <c r="P14" s="131"/>
      <c r="Q14" s="132"/>
    </row>
    <row r="15" spans="1:19" ht="27.75" customHeight="1" x14ac:dyDescent="0.2">
      <c r="A15" s="60">
        <v>36</v>
      </c>
      <c r="B15" s="61"/>
      <c r="C15" s="61"/>
      <c r="D15" s="61">
        <v>1</v>
      </c>
      <c r="E15" s="61"/>
      <c r="F15" s="61">
        <v>4901</v>
      </c>
      <c r="G15" s="61">
        <v>3</v>
      </c>
      <c r="H15" s="61">
        <v>310</v>
      </c>
      <c r="I15" s="62">
        <v>2</v>
      </c>
      <c r="J15" s="62">
        <v>5</v>
      </c>
      <c r="K15" s="62">
        <v>2</v>
      </c>
      <c r="L15" s="61"/>
      <c r="M15" s="63">
        <v>1</v>
      </c>
      <c r="N15" s="64" t="s">
        <v>53</v>
      </c>
      <c r="O15" s="133" t="s">
        <v>59</v>
      </c>
      <c r="P15" s="134"/>
      <c r="Q15" s="16">
        <v>240806.5</v>
      </c>
      <c r="S15" s="84"/>
    </row>
    <row r="16" spans="1:19" ht="17.25" customHeight="1" x14ac:dyDescent="0.2">
      <c r="A16" s="17">
        <v>36</v>
      </c>
      <c r="B16" s="18"/>
      <c r="C16" s="18"/>
      <c r="D16" s="18">
        <v>1</v>
      </c>
      <c r="E16" s="18"/>
      <c r="F16" s="18">
        <v>4901</v>
      </c>
      <c r="G16" s="18">
        <v>3</v>
      </c>
      <c r="H16" s="18">
        <v>310</v>
      </c>
      <c r="I16" s="18">
        <v>2</v>
      </c>
      <c r="J16" s="18">
        <v>5</v>
      </c>
      <c r="K16" s="18">
        <v>1</v>
      </c>
      <c r="L16" s="18"/>
      <c r="M16" s="19">
        <v>1</v>
      </c>
      <c r="N16" s="24" t="s">
        <v>53</v>
      </c>
      <c r="O16" s="135"/>
      <c r="P16" s="136"/>
      <c r="Q16" s="21">
        <v>2238899</v>
      </c>
    </row>
    <row r="17" spans="1:18" ht="17.25" customHeight="1" x14ac:dyDescent="0.2">
      <c r="A17" s="17"/>
      <c r="B17" s="18"/>
      <c r="C17" s="18"/>
      <c r="D17" s="18"/>
      <c r="E17" s="18"/>
      <c r="F17" s="20"/>
      <c r="G17" s="18"/>
      <c r="H17" s="18"/>
      <c r="I17" s="18"/>
      <c r="J17" s="18"/>
      <c r="K17" s="18"/>
      <c r="L17" s="18"/>
      <c r="M17" s="19"/>
      <c r="N17" s="20"/>
      <c r="O17" s="136"/>
      <c r="P17" s="136"/>
      <c r="Q17" s="21"/>
    </row>
    <row r="18" spans="1:18" ht="17.25" customHeight="1" x14ac:dyDescent="0.2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9"/>
      <c r="N18" s="20"/>
      <c r="O18" s="136"/>
      <c r="P18" s="136"/>
      <c r="Q18" s="21"/>
    </row>
    <row r="19" spans="1:18" ht="17.25" customHeight="1" x14ac:dyDescent="0.2">
      <c r="A19" s="17"/>
      <c r="B19" s="18"/>
      <c r="C19" s="18"/>
      <c r="D19" s="18"/>
      <c r="E19" s="18"/>
      <c r="F19" s="20"/>
      <c r="G19" s="18"/>
      <c r="H19" s="18"/>
      <c r="I19" s="18"/>
      <c r="J19" s="18"/>
      <c r="K19" s="18"/>
      <c r="L19" s="18"/>
      <c r="M19" s="19"/>
      <c r="N19" s="20"/>
      <c r="O19" s="136"/>
      <c r="P19" s="136"/>
      <c r="Q19" s="21"/>
    </row>
    <row r="20" spans="1:18" ht="17.25" customHeight="1" x14ac:dyDescent="0.2">
      <c r="A20" s="17"/>
      <c r="B20" s="18"/>
      <c r="C20" s="18"/>
      <c r="D20" s="18"/>
      <c r="E20" s="18"/>
      <c r="F20" s="20"/>
      <c r="G20" s="18"/>
      <c r="H20" s="18"/>
      <c r="I20" s="18"/>
      <c r="J20" s="18"/>
      <c r="K20" s="18"/>
      <c r="L20" s="18"/>
      <c r="M20" s="19"/>
      <c r="N20" s="20"/>
      <c r="O20" s="136"/>
      <c r="P20" s="136"/>
      <c r="Q20" s="21"/>
    </row>
    <row r="21" spans="1:18" ht="17.25" customHeight="1" x14ac:dyDescent="0.2">
      <c r="A21" s="22"/>
      <c r="B21" s="23"/>
      <c r="C21" s="23"/>
      <c r="D21" s="23"/>
      <c r="E21" s="23"/>
      <c r="F21" s="24"/>
      <c r="G21" s="23"/>
      <c r="H21" s="23"/>
      <c r="I21" s="23"/>
      <c r="J21" s="23"/>
      <c r="K21" s="23"/>
      <c r="L21" s="23"/>
      <c r="M21" s="25"/>
      <c r="N21" s="26"/>
      <c r="O21" s="135"/>
      <c r="P21" s="135"/>
      <c r="Q21" s="21"/>
      <c r="R21" s="1"/>
    </row>
    <row r="22" spans="1:18" ht="17.25" customHeight="1" x14ac:dyDescent="0.2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9"/>
      <c r="N22" s="28"/>
      <c r="O22" s="142"/>
      <c r="P22" s="142"/>
      <c r="Q22" s="30"/>
    </row>
    <row r="23" spans="1:18" ht="29.25" customHeight="1" x14ac:dyDescent="0.2">
      <c r="A23" s="143" t="s">
        <v>81</v>
      </c>
      <c r="B23" s="143"/>
      <c r="C23" s="143"/>
      <c r="D23" s="143"/>
      <c r="E23" s="143"/>
      <c r="F23" s="143"/>
      <c r="G23" s="143"/>
      <c r="H23" s="143"/>
      <c r="I23" s="143"/>
      <c r="J23" s="143"/>
      <c r="K23" s="143"/>
      <c r="L23" s="143"/>
      <c r="M23" s="143"/>
      <c r="N23" s="143"/>
      <c r="O23" s="143"/>
      <c r="P23" s="143"/>
      <c r="Q23" s="31">
        <f>SUM(Q15:Q22)</f>
        <v>2479705.5</v>
      </c>
    </row>
    <row r="24" spans="1:18" ht="18" customHeight="1" thickBot="1" x14ac:dyDescent="0.25">
      <c r="A24" s="144"/>
      <c r="B24" s="144"/>
      <c r="C24" s="144"/>
      <c r="D24" s="144"/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4"/>
      <c r="Q24" s="144"/>
    </row>
    <row r="25" spans="1:18" ht="17.25" customHeight="1" thickBot="1" x14ac:dyDescent="0.25">
      <c r="A25" s="137" t="s">
        <v>47</v>
      </c>
      <c r="B25" s="138"/>
      <c r="C25" s="138"/>
      <c r="D25" s="138"/>
      <c r="E25" s="138"/>
      <c r="F25" s="139"/>
      <c r="G25" s="140"/>
      <c r="H25" s="140"/>
      <c r="I25" s="140"/>
      <c r="J25" s="140"/>
      <c r="K25" s="140"/>
      <c r="L25" s="140"/>
      <c r="M25" s="140"/>
      <c r="N25" s="140"/>
      <c r="O25" s="140"/>
      <c r="P25" s="140"/>
      <c r="Q25" s="140"/>
    </row>
    <row r="26" spans="1:18" ht="18" customHeight="1" thickBot="1" x14ac:dyDescent="0.25">
      <c r="A26" s="141" t="s">
        <v>80</v>
      </c>
      <c r="B26" s="141"/>
      <c r="C26" s="141"/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1"/>
    </row>
    <row r="27" spans="1:18" ht="15" customHeight="1" x14ac:dyDescent="0.2">
      <c r="A27" s="141"/>
      <c r="B27" s="141"/>
      <c r="C27" s="141"/>
      <c r="D27" s="141"/>
      <c r="E27" s="141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1"/>
      <c r="Q27" s="141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ELIAS QUINTAR</cp:lastModifiedBy>
  <cp:revision>2</cp:revision>
  <cp:lastPrinted>2020-07-23T13:47:13Z</cp:lastPrinted>
  <dcterms:created xsi:type="dcterms:W3CDTF">2020-07-17T23:44:49Z</dcterms:created>
  <dcterms:modified xsi:type="dcterms:W3CDTF">2021-08-13T12:35:47Z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