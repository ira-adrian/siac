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105" yWindow="-45" windowWidth="16605" windowHeight="9435" tabRatio="500"/>
  </bookViews>
  <sheets>
    <sheet name="Necesidades Trimestrales" sheetId="1" r:id="rId1"/>
    <sheet name=" NotaPedido" sheetId="2" state="hidden" r:id="rId2"/>
    <sheet name="Autor Gastar" sheetId="3" state="hidden" r:id="rId3"/>
  </sheets>
  <definedNames>
    <definedName name="_xlnm.Print_Area" localSheetId="1">' NotaPedido'!$A$1:$K$15</definedName>
    <definedName name="_xlnm.Print_Area" localSheetId="2">'Autor Gastar'!$A$1:$Q$20</definedName>
    <definedName name="_xlnm.Print_Area" localSheetId="0">'Necesidades Trimestrales'!$A$1:$I$66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4" i="1" l="1"/>
  <c r="I11" i="1" l="1"/>
  <c r="I12" i="1"/>
  <c r="I13" i="1"/>
  <c r="I14" i="1"/>
  <c r="I15" i="1"/>
  <c r="I16" i="1"/>
  <c r="I17" i="1"/>
  <c r="I18" i="1"/>
  <c r="I19" i="1"/>
  <c r="I20" i="1"/>
  <c r="I21" i="1"/>
  <c r="I22" i="1"/>
  <c r="I23" i="1"/>
  <c r="I10" i="1"/>
  <c r="I13" i="2" l="1"/>
  <c r="J13" i="2"/>
  <c r="K13" i="2"/>
  <c r="I14" i="2"/>
  <c r="J14" i="2"/>
  <c r="K14" i="2"/>
  <c r="C13" i="2"/>
  <c r="C14" i="2"/>
  <c r="B13" i="2"/>
  <c r="B14" i="2"/>
  <c r="K12" i="2"/>
  <c r="I12" i="2"/>
  <c r="J12" i="2"/>
  <c r="C12" i="2"/>
  <c r="B12" i="2"/>
  <c r="O15" i="3" l="1"/>
  <c r="A19" i="3"/>
  <c r="A10" i="3"/>
  <c r="J15" i="2" l="1"/>
  <c r="Q15" i="3" l="1"/>
  <c r="Q16" i="3" s="1"/>
  <c r="G6" i="3" l="1"/>
  <c r="G7" i="3"/>
  <c r="D3" i="2"/>
  <c r="G4" i="3" s="1"/>
  <c r="D4" i="2"/>
  <c r="G5" i="3" s="1"/>
  <c r="D1" i="3" l="1"/>
</calcChain>
</file>

<file path=xl/sharedStrings.xml><?xml version="1.0" encoding="utf-8"?>
<sst xmlns="http://schemas.openxmlformats.org/spreadsheetml/2006/main" count="176" uniqueCount="126">
  <si>
    <t>Pedido de Necesidades Trimestrales</t>
  </si>
  <si>
    <t>JURISDICCION:</t>
  </si>
  <si>
    <t>90 - Ministerio de Seguridad</t>
  </si>
  <si>
    <t xml:space="preserve">SAF N°: </t>
  </si>
  <si>
    <t>7- Dirección Provincial de Administración de la Policía de la Provincia de Catamarca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</si>
  <si>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</si>
  <si>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</si>
  <si>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</si>
  <si>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</si>
  <si>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</si>
  <si>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</si>
  <si>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</si>
  <si>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</si>
  <si>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</si>
  <si>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</si>
  <si>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</si>
  <si>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2.9.6-401.1859</t>
  </si>
  <si>
    <t>REPUESTOS</t>
  </si>
  <si>
    <t>2.9.2</t>
  </si>
  <si>
    <t>CARTUCHOS DE TONER; CODIGO: MLT-D101S, USO: SAMSUNG 2165</t>
  </si>
  <si>
    <t>UNIDAD</t>
  </si>
  <si>
    <t>2.9.6-401.1362</t>
  </si>
  <si>
    <t>CARTUCHOS DE TONER; CODIGO: CE285A, USO: HEWLETT PACKARD</t>
  </si>
  <si>
    <t>2.9.6-401.2095</t>
  </si>
  <si>
    <t>CARTUCHOS DE TONER; CODIGO: CF283A, USO: HEWLETT PACKARD</t>
  </si>
  <si>
    <t>2.9.6-401.2061</t>
  </si>
  <si>
    <t>CARTUCHOS DE TONER; CODIGO: MLT-D111 S/XAA, USO: SAMSUNG M2020W</t>
  </si>
  <si>
    <t>2.9.6-401.2045</t>
  </si>
  <si>
    <t>CARTUCHOS DE TONER; CODIGO: TN 1060, USO: BROTHER</t>
  </si>
  <si>
    <t>2.9.6-401.2377</t>
  </si>
  <si>
    <t>CARTUCHOS DE TONER; CODIGO: CF279A, USO: HEWLETT PACKARD</t>
  </si>
  <si>
    <t>2.9.6-401.2378</t>
  </si>
  <si>
    <t>CARTUCHOS DE TONER; CODIGO: W1105A, USO: HEWLETT PACKARD</t>
  </si>
  <si>
    <t>2.9.6-401.1026</t>
  </si>
  <si>
    <t>CARTUCHOS DE TONER; CODIGO: 2612A, COLOR: SIN VALOR, DESCRIPCION: SIN VALOR, USO: HEWLETT PACKARD</t>
  </si>
  <si>
    <t>2.9.6-401.1860</t>
  </si>
  <si>
    <t>CARTUCHOS DE TONER; CODIGO: CF280A, USO: HEWLETT PACKARD</t>
  </si>
  <si>
    <t>2.9.6-1355.1988</t>
  </si>
  <si>
    <t>CARTUCHOS DE TINTA; CODIGO: 664, USO: HEWLET PACKARD</t>
  </si>
  <si>
    <t>2.9.6-401.932</t>
  </si>
  <si>
    <t>CARTUCHOS DE TONER; CODIGO: Q7551A, COLOR: NEGRO, DESCRIPCION: CARTUCHO TONER, USO: HEWLETT PACKARD</t>
  </si>
  <si>
    <t>2.9.6-1355.1808</t>
  </si>
  <si>
    <t>CARTUCHOS DE TINTA; CODIGO: HP662, USO: HP</t>
  </si>
  <si>
    <t>Especificidades:</t>
  </si>
  <si>
    <r>
      <rPr>
        <sz val="10"/>
        <rFont val="Century Gothic"/>
        <family val="2"/>
      </rPr>
      <t xml:space="preserve">                     </t>
    </r>
    <r>
      <rPr>
        <u/>
        <sz val="10"/>
        <rFont val="Century Gothic"/>
        <family val="2"/>
      </rPr>
      <t xml:space="preserve">Descripción técnica Item 1 </t>
    </r>
  </si>
  <si>
    <t>Rendimiento aproximado: 1500 páginas, nuevos, alternativos, carga completa, Garantía: 3 meses; USO: samnsung 2165 toner 101-Codigo: MLT-D101S , Tecnologia: Laser. Color: Negro</t>
  </si>
  <si>
    <r>
      <rPr>
        <sz val="10"/>
        <rFont val="Century Gothic"/>
        <family val="2"/>
      </rPr>
      <t xml:space="preserve">                     </t>
    </r>
    <r>
      <rPr>
        <u/>
        <sz val="10"/>
        <rFont val="Century Gothic"/>
        <family val="2"/>
      </rPr>
      <t>Descripción técnica Item 2</t>
    </r>
    <r>
      <rPr>
        <sz val="11"/>
        <color theme="1"/>
        <rFont val="Calibri"/>
        <family val="2"/>
        <scheme val="minor"/>
      </rPr>
      <t/>
    </r>
  </si>
  <si>
    <t>Rendimiento aproximado: 1500 páginas , nuevos,alternativos, carga completa, Garantía: 3 meses - uso: HP 1102- TONER 285A, Color: Negro, Modelo: CE285A, Tecnologia: Laser</t>
  </si>
  <si>
    <r>
      <rPr>
        <sz val="10"/>
        <rFont val="Century Gothic"/>
        <family val="2"/>
      </rPr>
      <t xml:space="preserve">                     </t>
    </r>
    <r>
      <rPr>
        <u/>
        <sz val="10"/>
        <rFont val="Century Gothic"/>
        <family val="2"/>
      </rPr>
      <t>Descripción técnica Item 3</t>
    </r>
    <r>
      <rPr>
        <sz val="11"/>
        <color theme="1"/>
        <rFont val="Calibri"/>
        <family val="2"/>
        <scheme val="minor"/>
      </rPr>
      <t/>
    </r>
  </si>
  <si>
    <t>Rendimiento aproximado: 1500, nuevos, alternativos, carga completa, Garantía: 3 meses - uso: HP Laserjet PRO MFP-M125, M127, M127FW, M225, M201- TONER 283A, Color: Negro, Tecnologia: Laser</t>
  </si>
  <si>
    <r>
      <rPr>
        <sz val="10"/>
        <rFont val="Century Gothic"/>
        <family val="2"/>
      </rPr>
      <t xml:space="preserve">                     </t>
    </r>
    <r>
      <rPr>
        <u/>
        <sz val="10"/>
        <rFont val="Century Gothic"/>
        <family val="2"/>
      </rPr>
      <t>Descripción técnica Item 4</t>
    </r>
    <r>
      <rPr>
        <sz val="11"/>
        <color theme="1"/>
        <rFont val="Calibri"/>
        <family val="2"/>
        <scheme val="minor"/>
      </rPr>
      <t/>
    </r>
  </si>
  <si>
    <t>Rendimiento aproximado: 1500 páginas, nuevos, alternativos, carga completa,Garantía: 3 meses - uso: SAMSUNG M202x- TONER 111, Color: Negro,Tecnologia: Laser</t>
  </si>
  <si>
    <r>
      <rPr>
        <sz val="10"/>
        <rFont val="Century Gothic"/>
        <family val="2"/>
      </rPr>
      <t xml:space="preserve">                     </t>
    </r>
    <r>
      <rPr>
        <u/>
        <sz val="10"/>
        <rFont val="Century Gothic"/>
        <family val="2"/>
      </rPr>
      <t>Descripción técnica Item 5</t>
    </r>
    <r>
      <rPr>
        <sz val="11"/>
        <color theme="1"/>
        <rFont val="Calibri"/>
        <family val="2"/>
        <scheme val="minor"/>
      </rPr>
      <t/>
    </r>
  </si>
  <si>
    <t>Rendimiento aproximado: 1500, nuevos,alternativos, carga completa, Garantía: 3 meses - uso: Brother- TONER: TN 1060, Color: Negro, Tecnologia: Laser.-</t>
  </si>
  <si>
    <r>
      <rPr>
        <sz val="10"/>
        <rFont val="Century Gothic"/>
        <family val="2"/>
      </rPr>
      <t xml:space="preserve">                     </t>
    </r>
    <r>
      <rPr>
        <u/>
        <sz val="10"/>
        <rFont val="Century Gothic"/>
        <family val="2"/>
      </rPr>
      <t>Descripción técnica Item 6</t>
    </r>
    <r>
      <rPr>
        <sz val="11"/>
        <color theme="1"/>
        <rFont val="Calibri"/>
        <family val="2"/>
        <scheme val="minor"/>
      </rPr>
      <t/>
    </r>
  </si>
  <si>
    <t>Rendimiento aproximado: 1500 páginas, nuevos,alternativos, carga completa, Garantía: 3 meses; Toner: 279A; USO: HP LaserJet Pro M12a, HP LaserJet Pro M12w. Impresora multifunción HP LaserJet Pro M26a, impresora multifunción HP LaserJet Pro M26nw, Tecnologia: Laser. Color: Negro</t>
  </si>
  <si>
    <r>
      <rPr>
        <sz val="10"/>
        <rFont val="Century Gothic"/>
        <family val="2"/>
      </rPr>
      <t xml:space="preserve">                     </t>
    </r>
    <r>
      <rPr>
        <u/>
        <sz val="10"/>
        <rFont val="Century Gothic"/>
        <family val="2"/>
      </rPr>
      <t>Descripción técnica Item 7</t>
    </r>
    <r>
      <rPr>
        <sz val="11"/>
        <color theme="1"/>
        <rFont val="Calibri"/>
        <family val="2"/>
        <scheme val="minor"/>
      </rPr>
      <t/>
    </r>
  </si>
  <si>
    <t>Rendimiento aproximado: 1500 páginas, nuevos,alternativos, carga completa, Garantía: 3 meses - uso: Serie de impresoras HP Laser 100, serie de impresoras multifunción HP Laser MFP 130- TONER 105A, Tecnologia: Laser.- Color: Negro</t>
  </si>
  <si>
    <r>
      <rPr>
        <sz val="10"/>
        <rFont val="Century Gothic"/>
        <family val="2"/>
      </rPr>
      <t xml:space="preserve">                     </t>
    </r>
    <r>
      <rPr>
        <u/>
        <sz val="10"/>
        <rFont val="Century Gothic"/>
        <family val="2"/>
      </rPr>
      <t>Descripción técnica Item 8</t>
    </r>
    <r>
      <rPr>
        <sz val="11"/>
        <color theme="1"/>
        <rFont val="Calibri"/>
        <family val="2"/>
        <scheme val="minor"/>
      </rPr>
      <t/>
    </r>
  </si>
  <si>
    <t>Rendimiento aproximado: 1500 páginas, nuevos,alternativos, carga completa, Garantía: 3 meses - uso: HP LASER 1010, 1012, 1015, 1018, 1020, 1020 PLUS, 1022, 3015, 3020, 3030, 3050, 3050Z, 3052, 3055, M1005 MFP, M1319F MFP- TONER 2612A, Tecnologia: Laser.- Color: Negro</t>
  </si>
  <si>
    <r>
      <rPr>
        <sz val="10"/>
        <rFont val="Century Gothic"/>
        <family val="2"/>
      </rPr>
      <t xml:space="preserve">                     </t>
    </r>
    <r>
      <rPr>
        <u/>
        <sz val="10"/>
        <rFont val="Century Gothic"/>
        <family val="2"/>
      </rPr>
      <t>Descripción técnica Item 9</t>
    </r>
    <r>
      <rPr>
        <sz val="11"/>
        <color theme="1"/>
        <rFont val="Calibri"/>
        <family val="2"/>
        <scheme val="minor"/>
      </rPr>
      <t/>
    </r>
  </si>
  <si>
    <t>Rendimiento aproximado: 1500 páginas, nuevos,alternativos, carga completa, Garantía: 3 meses - uso:Hewlett Packard LaserJet Pro 400 M401 / 400 M425- TONER 80A, Tecnologia: Laser.- Color: Negro</t>
  </si>
  <si>
    <r>
      <rPr>
        <sz val="10"/>
        <rFont val="Century Gothic"/>
        <family val="2"/>
      </rPr>
      <t xml:space="preserve">                     </t>
    </r>
    <r>
      <rPr>
        <u/>
        <sz val="10"/>
        <rFont val="Century Gothic"/>
        <family val="2"/>
      </rPr>
      <t>Descripción técnica Item 10</t>
    </r>
    <r>
      <rPr>
        <sz val="11"/>
        <color theme="1"/>
        <rFont val="Calibri"/>
        <family val="2"/>
        <scheme val="minor"/>
      </rPr>
      <t/>
    </r>
  </si>
  <si>
    <t>Rendimiento aproximado: 360 páginas, nuevos,alternativos, carga completa, Garantía: 3 meses - uso: HP 1115 2135 2675 3635 3775 4535 4536 4538 4675 4676 4678-Tinta: HP 664 Negro.-</t>
  </si>
  <si>
    <r>
      <rPr>
        <sz val="10"/>
        <rFont val="Century Gothic"/>
        <family val="2"/>
      </rPr>
      <t xml:space="preserve">                     </t>
    </r>
    <r>
      <rPr>
        <u/>
        <sz val="10"/>
        <rFont val="Century Gothic"/>
        <family val="2"/>
      </rPr>
      <t>Descripción técnica Item 11</t>
    </r>
    <r>
      <rPr>
        <sz val="11"/>
        <color theme="1"/>
        <rFont val="Calibri"/>
        <family val="2"/>
        <scheme val="minor"/>
      </rPr>
      <t/>
    </r>
  </si>
  <si>
    <t>Rendimiento aproximado: 360 páginas, nuevos,alternativos, carga completa, Garantía: 3 meses - uso: HP 1115 2135 2675 3635 3775 4535 4536 4538 4675 4676 4678-Tinta: HP 664 Color.-</t>
  </si>
  <si>
    <r>
      <rPr>
        <sz val="10"/>
        <rFont val="Century Gothic"/>
        <family val="2"/>
      </rPr>
      <t xml:space="preserve">                     </t>
    </r>
    <r>
      <rPr>
        <u/>
        <sz val="10"/>
        <rFont val="Century Gothic"/>
        <family val="2"/>
      </rPr>
      <t>Descripción técnica Item 12</t>
    </r>
    <r>
      <rPr>
        <sz val="11"/>
        <color theme="1"/>
        <rFont val="Calibri"/>
        <family val="2"/>
        <scheme val="minor"/>
      </rPr>
      <t/>
    </r>
  </si>
  <si>
    <t>Rendimiento aproximado:6500 páginas, nuevos,alternativos, carga completa, Garantía: 3 meses; Toner: 51A; USO: Impresora HP Laserjet P3005, M3027 mfp, M3035 mfp, Tecnologia: Laser.-Color: Negro</t>
  </si>
  <si>
    <r>
      <rPr>
        <sz val="10"/>
        <rFont val="Century Gothic"/>
        <family val="2"/>
      </rPr>
      <t xml:space="preserve">                     </t>
    </r>
    <r>
      <rPr>
        <u/>
        <sz val="10"/>
        <rFont val="Century Gothic"/>
        <family val="2"/>
      </rPr>
      <t>Descripción técnica Item 13</t>
    </r>
    <r>
      <rPr>
        <sz val="11"/>
        <color theme="1"/>
        <rFont val="Calibri"/>
        <family val="2"/>
        <scheme val="minor"/>
      </rPr>
      <t/>
    </r>
  </si>
  <si>
    <t>Rendimiento aproximado: 120 páginas, nuevos,alternativos, carga completa, Garantía: 3 meses - uso: HP 1115 2135 2675 3635 3775 4535 4536 4538 4675 4676 4678-Tinta: CZ105AL 662 hp Negro-</t>
  </si>
  <si>
    <r>
      <rPr>
        <sz val="10"/>
        <rFont val="Century Gothic"/>
        <family val="2"/>
      </rPr>
      <t xml:space="preserve">                     </t>
    </r>
    <r>
      <rPr>
        <u/>
        <sz val="10"/>
        <rFont val="Century Gothic"/>
        <family val="2"/>
      </rPr>
      <t>Descripción técnica Item 14</t>
    </r>
    <r>
      <rPr>
        <sz val="11"/>
        <color theme="1"/>
        <rFont val="Calibri"/>
        <family val="2"/>
        <scheme val="minor"/>
      </rPr>
      <t/>
    </r>
  </si>
  <si>
    <t>Rendimiento aproximado: 100 páginas, nuevos,alternativos, carga completa, Garantía: 3 meses - uso: Compatiblidad : 1515 2515 2545 3545 3645-Tinta: CZ105AL 662 hp Color.-</t>
  </si>
  <si>
    <t>Plazos y lugares de entrega</t>
  </si>
  <si>
    <r>
      <t xml:space="preserve">a) </t>
    </r>
    <r>
      <rPr>
        <b/>
        <sz val="10"/>
        <rFont val="Century Gothic"/>
        <family val="2"/>
      </rPr>
      <t>LUGAR DE ENTREGA: Departamento Logística, sito en Av. Felix Avellaneda RP N° 33  KM 2</t>
    </r>
    <r>
      <rPr>
        <sz val="10"/>
        <rFont val="Century Gothic"/>
        <family val="2"/>
      </rPr>
      <t>., SUMALAO - VALLE VIEJO. De 08 a 12 horas. 
b)</t>
    </r>
    <r>
      <rPr>
        <b/>
        <sz val="10"/>
        <rFont val="Century Gothic"/>
        <family val="2"/>
      </rPr>
      <t xml:space="preserve"> FORMA DE LA ENTREGA</t>
    </r>
    <r>
      <rPr>
        <sz val="10"/>
        <rFont val="Century Gothic"/>
        <family val="2"/>
      </rPr>
      <t xml:space="preserve">: Libre de flete, acarreo y embalaje, como así también, de todo riesgo de pérdida o destrucción total o parcial, por causas ajenas a la Institución.
c)  </t>
    </r>
    <r>
      <rPr>
        <b/>
        <sz val="10"/>
        <rFont val="Century Gothic"/>
        <family val="2"/>
      </rPr>
      <t>PLAZO DE ENTREGA</t>
    </r>
    <r>
      <rPr>
        <sz val="10"/>
        <rFont val="Century Gothic"/>
        <family val="2"/>
      </rPr>
      <t>: El Oferente deberá establecer plazo de entrega de los elementos cotizados, debiendo ser expresado en días hábiles; que no podrá ser superior a cinco (5) días hábiles, contados a partir de la recepción de la comunicación prevista en el Artículo 80° de del Reglamento Parcial N° 2 de la ley 4938.</t>
    </r>
  </si>
  <si>
    <t>Calidad Minima esperada</t>
  </si>
  <si>
    <t xml:space="preserve">Que Cumpla con lo Solicitado de Forma Integra. 
</t>
  </si>
  <si>
    <t>Mantenimiento</t>
  </si>
  <si>
    <t xml:space="preserve">30 (treinta)  días </t>
  </si>
  <si>
    <t>Garantia</t>
  </si>
  <si>
    <t>3 meses</t>
  </si>
  <si>
    <t>NOTA DE PEDIDO</t>
  </si>
  <si>
    <t>N°</t>
  </si>
  <si>
    <t>81/2021</t>
  </si>
  <si>
    <t xml:space="preserve">JURISDICCIÓN: </t>
  </si>
  <si>
    <t>SAF:</t>
  </si>
  <si>
    <t>UNIDAD EJECUTORA:</t>
  </si>
  <si>
    <t>Policía de la Provincia de Catamarca</t>
  </si>
  <si>
    <t xml:space="preserve">DEPENDENCIA SOLICITANTE: </t>
  </si>
  <si>
    <t>División Intendencia, Departamento Logística</t>
  </si>
  <si>
    <t>PERIODO UTILIZACIÓN:</t>
  </si>
  <si>
    <t>3er trimestre Año 2021.-</t>
  </si>
  <si>
    <t>OBJETO:</t>
  </si>
  <si>
    <t>Adquisición de Uniformes de Fajina para el personal policial.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</si>
  <si>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</si>
  <si>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</si>
  <si>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</si>
  <si>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</si>
  <si>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</si>
  <si>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</si>
  <si>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</si>
  <si>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SI</t>
  </si>
  <si>
    <t>Costo total estimado: Pesos Cinco Millones Doscientos Mil con 00/100.-</t>
  </si>
  <si>
    <t>AUTORIZACION PARA GASTAR</t>
  </si>
  <si>
    <t>JURISDICCIÓN:</t>
  </si>
  <si>
    <r>
      <t>AUTORIZACIÓN</t>
    </r>
    <r>
      <rPr>
        <b/>
        <sz val="10"/>
        <rFont val="Century Gothic"/>
        <family val="2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</si>
  <si>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</si>
  <si>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</si>
  <si>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</si>
  <si>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</si>
  <si>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</si>
  <si>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</si>
  <si>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</si>
  <si>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</si>
  <si>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</si>
  <si>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</si>
  <si>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</si>
  <si>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</si>
  <si>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</si>
  <si>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</si>
  <si>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</si>
  <si>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</si>
  <si>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</si>
  <si>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</si>
  <si>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1.1</t>
  </si>
  <si>
    <t>TOTAL DE PESOS:   Treinta y Cuatro Mil Novecientos Cincuenta con 00/100.-</t>
  </si>
  <si>
    <t>JUSTIFICACIÓN: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</si>
</sst>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164" formatCode="_ &quot;$&quot;\ * #,##0.00_ ;_ &quot;$&quot;\ * \-#,##0.00_ ;_ &quot;$&quot;\ * &quot;-&quot;??_ ;_ @_ "/>
    <numFmt numFmtId="165" formatCode="_(\$* #,##0.00_);_(\$* \(#,##0.00\);_(\$* \-??_);_(@_)"/>
    <numFmt numFmtId="166" formatCode="_-* #,##0.00&quot; €&quot;_-;\-* #,##0.00&quot; €&quot;_-;_-* \-??&quot; €&quot;_-;_-@_-"/>
    <numFmt numFmtId="167" formatCode="[$$-2C0A]\ #,##0.00;[$$-2C0A]&quot; -&quot;#,##0.00"/>
    <numFmt numFmtId="168" formatCode="[$$-2C0A]\ #,##0.00"/>
    <numFmt numFmtId="169" formatCode="dd\-mm\-yy;@"/>
    <numFmt numFmtId="170" formatCode="_ [$$-2C0A]\ * #,##0.00_ ;_ [$$-2C0A]\ * \-#,##0.00_ ;_ [$$-2C0A]\ * &quot;-&quot;??_ ;_ @_ "/>
    <numFmt numFmtId="171" formatCode="&quot;$&quot;\ #,##0.00"/>
  </numFmts>
  <fonts count="23" x14ac:knownFonts="1">
    <font>
      <sz val="10"/>
      <name val="Arial"/>
      <charset val="1"/>
    </font>
    <font>
      <sz val="11"/>
      <color theme="1"/>
      <name val="Calibri"/>
      <family val="2"/>
      <scheme val="minor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Arial"/>
      <family val="2"/>
    </font>
    <font>
      <sz val="10"/>
      <name val="Century Gothic"/>
      <family val="2"/>
    </font>
    <font>
      <b/>
      <sz val="10"/>
      <name val="Century Gothic"/>
      <family val="2"/>
    </font>
    <font>
      <b/>
      <sz val="10"/>
      <color rgb="FF000000"/>
      <name val="Century Gothic"/>
      <family val="2"/>
    </font>
    <font>
      <sz val="10"/>
      <color rgb="FF000000"/>
      <name val="Century Gothic"/>
      <family val="2"/>
    </font>
    <font>
      <u/>
      <sz val="10"/>
      <name val="Century Gothic"/>
      <family val="2"/>
    </font>
    <font>
      <b/>
      <u/>
      <sz val="10"/>
      <name val="Century Gothic"/>
      <family val="2"/>
    </font>
    <font>
      <b/>
      <u/>
      <sz val="12"/>
      <name val="Century Gothic"/>
      <family val="2"/>
    </font>
    <font>
      <b/>
      <sz val="12"/>
      <name val="Century Gothic"/>
      <family val="2"/>
    </font>
    <font>
      <sz val="12"/>
      <name val="Century Gothic"/>
      <family val="2"/>
    </font>
    <font>
      <b/>
      <sz val="11"/>
      <name val="Century Gothic"/>
      <family val="2"/>
    </font>
    <font>
      <sz val="9"/>
      <name val="Century Gothic"/>
      <family val="2"/>
    </font>
    <font>
      <sz val="11"/>
      <name val="Century Gothic"/>
      <family val="2"/>
    </font>
    <font>
      <b/>
      <sz val="11"/>
      <color rgb="FF000000"/>
      <name val="Century Gothic"/>
      <family val="2"/>
    </font>
    <font>
      <b/>
      <sz val="22"/>
      <name val="Century Gothic"/>
      <family val="2"/>
    </font>
    <font>
      <b/>
      <sz val="12"/>
      <color rgb="FF000000"/>
      <name val="Century Gothic"/>
      <family val="2"/>
    </font>
    <font>
      <b/>
      <sz val="11"/>
      <name val="Times New Roman"/>
      <family val="1"/>
      <charset val="1"/>
    </font>
    <font>
      <sz val="10"/>
      <color theme="1"/>
      <name val="Century Gothic"/>
      <family val="2"/>
    </font>
  </fonts>
  <fills count="7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rgb="FFFFFFFF"/>
        <bgColor rgb="FF000000"/>
      </patternFill>
    </fill>
    <fill>
      <patternFill patternType="solid">
        <fgColor rgb="FFFFFFFF"/>
        <bgColor indexed="64"/>
      </patternFill>
    </fill>
  </fills>
  <borders count="57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/>
      <right/>
      <top style="medium">
        <color rgb="FF3D3D3D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medium">
        <color auto="1"/>
      </left>
      <right style="medium">
        <color rgb="FF3D3D3D"/>
      </right>
      <top style="medium">
        <color auto="1"/>
      </top>
      <bottom/>
      <diagonal/>
    </border>
    <border>
      <left/>
      <right style="medium">
        <color rgb="FF3D3D3D"/>
      </right>
      <top style="medium">
        <color auto="1"/>
      </top>
      <bottom/>
      <diagonal/>
    </border>
    <border>
      <left/>
      <right style="medium">
        <color rgb="FF3D3D3D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5">
    <xf numFmtId="0" fontId="0" fillId="0" borderId="0"/>
    <xf numFmtId="166" fontId="5" fillId="0" borderId="0" applyBorder="0" applyProtection="0"/>
    <xf numFmtId="0" fontId="2" fillId="0" borderId="1" applyProtection="0"/>
    <xf numFmtId="165" fontId="3" fillId="0" borderId="0" applyBorder="0" applyProtection="0"/>
    <xf numFmtId="0" fontId="4" fillId="2" borderId="0" applyBorder="0" applyProtection="0"/>
  </cellStyleXfs>
  <cellXfs count="162">
    <xf numFmtId="0" fontId="0" fillId="0" borderId="0" xfId="0"/>
    <xf numFmtId="0" fontId="6" fillId="3" borderId="0" xfId="0" applyFont="1" applyFill="1"/>
    <xf numFmtId="0" fontId="9" fillId="3" borderId="0" xfId="0" applyFont="1" applyFill="1" applyAlignment="1">
      <alignment horizontal="left" wrapText="1"/>
    </xf>
    <xf numFmtId="0" fontId="8" fillId="3" borderId="43" xfId="0" applyFont="1" applyFill="1" applyBorder="1" applyAlignment="1">
      <alignment horizontal="center" vertical="center" wrapText="1"/>
    </xf>
    <xf numFmtId="0" fontId="6" fillId="3" borderId="0" xfId="0" applyFont="1" applyFill="1" applyBorder="1"/>
    <xf numFmtId="0" fontId="6" fillId="3" borderId="0" xfId="0" applyFont="1" applyFill="1" applyAlignment="1">
      <alignment horizontal="left"/>
    </xf>
    <xf numFmtId="0" fontId="9" fillId="3" borderId="0" xfId="0" applyFont="1" applyFill="1" applyAlignment="1">
      <alignment horizontal="center" wrapText="1"/>
    </xf>
    <xf numFmtId="0" fontId="20" fillId="4" borderId="0" xfId="0" applyFont="1" applyFill="1" applyAlignment="1">
      <alignment horizontal="left" wrapText="1" indent="1"/>
    </xf>
    <xf numFmtId="0" fontId="8" fillId="3" borderId="0" xfId="0" applyFont="1" applyFill="1" applyAlignment="1">
      <alignment horizontal="left" wrapText="1"/>
    </xf>
    <xf numFmtId="171" fontId="7" fillId="3" borderId="38" xfId="0" applyNumberFormat="1" applyFont="1" applyFill="1" applyBorder="1"/>
    <xf numFmtId="3" fontId="15" fillId="3" borderId="0" xfId="0" applyNumberFormat="1" applyFont="1" applyFill="1" applyBorder="1" applyAlignment="1"/>
    <xf numFmtId="169" fontId="6" fillId="3" borderId="0" xfId="0" applyNumberFormat="1" applyFont="1" applyFill="1" applyAlignment="1">
      <alignment horizontal="left"/>
    </xf>
    <xf numFmtId="0" fontId="6" fillId="3" borderId="10" xfId="0" applyFont="1" applyFill="1" applyBorder="1"/>
    <xf numFmtId="0" fontId="6" fillId="3" borderId="24" xfId="0" applyFont="1" applyFill="1" applyBorder="1"/>
    <xf numFmtId="0" fontId="6" fillId="3" borderId="12" xfId="0" applyFont="1" applyFill="1" applyBorder="1"/>
    <xf numFmtId="0" fontId="6" fillId="3" borderId="12" xfId="0" applyFont="1" applyFill="1" applyBorder="1" applyAlignment="1">
      <alignment horizontal="left"/>
    </xf>
    <xf numFmtId="0" fontId="6" fillId="3" borderId="25" xfId="0" applyFont="1" applyFill="1" applyBorder="1"/>
    <xf numFmtId="0" fontId="7" fillId="3" borderId="27" xfId="0" applyFont="1" applyFill="1" applyBorder="1" applyAlignment="1">
      <alignment horizontal="center" vertical="center"/>
    </xf>
    <xf numFmtId="0" fontId="7" fillId="3" borderId="28" xfId="0" applyFont="1" applyFill="1" applyBorder="1" applyAlignment="1">
      <alignment horizontal="center" vertical="center"/>
    </xf>
    <xf numFmtId="0" fontId="7" fillId="3" borderId="28" xfId="0" applyFont="1" applyFill="1" applyBorder="1" applyAlignment="1">
      <alignment horizontal="left" vertical="center"/>
    </xf>
    <xf numFmtId="0" fontId="7" fillId="3" borderId="29" xfId="0" applyFont="1" applyFill="1" applyBorder="1" applyAlignment="1">
      <alignment horizontal="center" vertical="center"/>
    </xf>
    <xf numFmtId="0" fontId="7" fillId="3" borderId="23" xfId="0" applyFont="1" applyFill="1" applyBorder="1" applyAlignment="1">
      <alignment horizontal="center" vertical="center"/>
    </xf>
    <xf numFmtId="0" fontId="6" fillId="3" borderId="30" xfId="0" applyFont="1" applyFill="1" applyBorder="1" applyAlignment="1">
      <alignment horizontal="center" vertical="center"/>
    </xf>
    <xf numFmtId="0" fontId="6" fillId="3" borderId="31" xfId="0" applyFont="1" applyFill="1" applyBorder="1" applyAlignment="1">
      <alignment horizontal="center" vertical="center"/>
    </xf>
    <xf numFmtId="0" fontId="6" fillId="3" borderId="32" xfId="0" applyFont="1" applyFill="1" applyBorder="1" applyAlignment="1">
      <alignment horizontal="center" vertical="center"/>
    </xf>
    <xf numFmtId="167" fontId="6" fillId="3" borderId="33" xfId="3" applyNumberFormat="1" applyFont="1" applyFill="1" applyBorder="1" applyAlignment="1" applyProtection="1">
      <alignment horizontal="center" vertical="center"/>
    </xf>
    <xf numFmtId="167" fontId="7" fillId="3" borderId="34" xfId="0" applyNumberFormat="1" applyFont="1" applyFill="1" applyBorder="1" applyAlignment="1">
      <alignment horizontal="center" vertical="center"/>
    </xf>
    <xf numFmtId="0" fontId="12" fillId="3" borderId="10" xfId="0" applyFont="1" applyFill="1" applyBorder="1" applyAlignment="1">
      <alignment horizontal="right" vertical="center"/>
    </xf>
    <xf numFmtId="0" fontId="13" fillId="3" borderId="11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vertical="center"/>
    </xf>
    <xf numFmtId="0" fontId="12" fillId="3" borderId="12" xfId="0" applyFont="1" applyFill="1" applyBorder="1" applyAlignment="1">
      <alignment vertical="center"/>
    </xf>
    <xf numFmtId="0" fontId="12" fillId="3" borderId="0" xfId="0" applyFont="1" applyFill="1" applyBorder="1" applyAlignment="1">
      <alignment vertical="center"/>
    </xf>
    <xf numFmtId="0" fontId="14" fillId="3" borderId="0" xfId="0" applyFont="1" applyFill="1" applyBorder="1" applyAlignment="1">
      <alignment horizontal="left" vertical="center"/>
    </xf>
    <xf numFmtId="0" fontId="13" fillId="3" borderId="0" xfId="0" applyFont="1" applyFill="1" applyBorder="1" applyAlignment="1">
      <alignment horizontal="left" vertical="center" wrapText="1" indent="1"/>
    </xf>
    <xf numFmtId="0" fontId="6" fillId="3" borderId="41" xfId="0" applyFont="1" applyFill="1" applyBorder="1" applyAlignment="1">
      <alignment horizontal="center" vertical="center" wrapText="1"/>
    </xf>
    <xf numFmtId="0" fontId="6" fillId="3" borderId="42" xfId="0" applyFont="1" applyFill="1" applyBorder="1" applyAlignment="1">
      <alignment horizontal="center" vertical="center"/>
    </xf>
    <xf numFmtId="0" fontId="6" fillId="3" borderId="42" xfId="0" applyFont="1" applyFill="1" applyBorder="1" applyAlignment="1">
      <alignment horizontal="center" vertical="center" wrapText="1"/>
    </xf>
    <xf numFmtId="170" fontId="6" fillId="3" borderId="42" xfId="1" applyNumberFormat="1" applyFont="1" applyFill="1" applyBorder="1" applyAlignment="1" applyProtection="1">
      <alignment horizontal="center" vertical="center"/>
    </xf>
    <xf numFmtId="3" fontId="6" fillId="3" borderId="42" xfId="0" applyNumberFormat="1" applyFont="1" applyFill="1" applyBorder="1" applyAlignment="1">
      <alignment horizontal="center" vertical="center"/>
    </xf>
    <xf numFmtId="170" fontId="6" fillId="3" borderId="0" xfId="0" applyNumberFormat="1" applyFont="1" applyFill="1" applyBorder="1" applyAlignment="1">
      <alignment vertical="center"/>
    </xf>
    <xf numFmtId="0" fontId="10" fillId="5" borderId="2" xfId="0" applyFont="1" applyFill="1" applyBorder="1" applyAlignment="1">
      <alignment horizontal="left"/>
    </xf>
    <xf numFmtId="0" fontId="6" fillId="5" borderId="3" xfId="0" applyFont="1" applyFill="1" applyBorder="1"/>
    <xf numFmtId="0" fontId="6" fillId="5" borderId="0" xfId="0" applyFont="1" applyFill="1" applyBorder="1"/>
    <xf numFmtId="0" fontId="11" fillId="5" borderId="2" xfId="0" applyFont="1" applyFill="1" applyBorder="1" applyAlignment="1">
      <alignment horizontal="left" vertical="center"/>
    </xf>
    <xf numFmtId="0" fontId="6" fillId="5" borderId="3" xfId="0" applyFont="1" applyFill="1" applyBorder="1" applyAlignment="1">
      <alignment horizontal="center" vertical="center"/>
    </xf>
    <xf numFmtId="0" fontId="6" fillId="5" borderId="5" xfId="0" applyFont="1" applyFill="1" applyBorder="1" applyAlignment="1">
      <alignment horizontal="center" vertical="center"/>
    </xf>
    <xf numFmtId="0" fontId="11" fillId="5" borderId="5" xfId="0" applyFont="1" applyFill="1" applyBorder="1" applyAlignment="1">
      <alignment horizontal="left" vertical="center"/>
    </xf>
    <xf numFmtId="0" fontId="6" fillId="5" borderId="0" xfId="0" applyFont="1" applyFill="1" applyBorder="1" applyAlignment="1">
      <alignment horizontal="center" vertical="center"/>
    </xf>
    <xf numFmtId="0" fontId="6" fillId="5" borderId="7" xfId="0" applyFont="1" applyFill="1" applyBorder="1"/>
    <xf numFmtId="0" fontId="6" fillId="5" borderId="8" xfId="0" applyFont="1" applyFill="1" applyBorder="1"/>
    <xf numFmtId="0" fontId="6" fillId="5" borderId="3" xfId="0" applyFont="1" applyFill="1" applyBorder="1" applyAlignment="1">
      <alignment horizontal="center" wrapText="1"/>
    </xf>
    <xf numFmtId="0" fontId="6" fillId="5" borderId="5" xfId="0" applyFont="1" applyFill="1" applyBorder="1" applyAlignment="1">
      <alignment horizontal="left" indent="3"/>
    </xf>
    <xf numFmtId="0" fontId="11" fillId="5" borderId="5" xfId="0" applyFont="1" applyFill="1" applyBorder="1" applyAlignment="1"/>
    <xf numFmtId="0" fontId="10" fillId="5" borderId="5" xfId="0" applyFont="1" applyFill="1" applyBorder="1" applyAlignment="1">
      <alignment horizontal="left" indent="3"/>
    </xf>
    <xf numFmtId="0" fontId="6" fillId="5" borderId="7" xfId="0" applyFont="1" applyFill="1" applyBorder="1" applyAlignment="1">
      <alignment horizontal="left" indent="3"/>
    </xf>
    <xf numFmtId="0" fontId="8" fillId="3" borderId="50" xfId="0" applyFont="1" applyFill="1" applyBorder="1" applyAlignment="1">
      <alignment horizontal="center" vertical="center" wrapText="1"/>
    </xf>
    <xf numFmtId="0" fontId="8" fillId="3" borderId="51" xfId="0" applyFont="1" applyFill="1" applyBorder="1" applyAlignment="1">
      <alignment horizontal="center" vertical="center" wrapText="1"/>
    </xf>
    <xf numFmtId="0" fontId="8" fillId="3" borderId="14" xfId="0" applyFont="1" applyFill="1" applyBorder="1" applyAlignment="1">
      <alignment horizontal="center" vertical="center" wrapText="1"/>
    </xf>
    <xf numFmtId="0" fontId="21" fillId="0" borderId="0" xfId="0" applyFont="1" applyBorder="1" applyAlignment="1">
      <alignment vertical="center" wrapText="1"/>
    </xf>
    <xf numFmtId="0" fontId="22" fillId="0" borderId="52" xfId="0" applyFont="1" applyBorder="1" applyAlignment="1">
      <alignment horizontal="center" vertical="center"/>
    </xf>
    <xf numFmtId="49" fontId="6" fillId="0" borderId="54" xfId="0" applyNumberFormat="1" applyFont="1" applyBorder="1" applyAlignment="1">
      <alignment vertical="center"/>
    </xf>
    <xf numFmtId="49" fontId="22" fillId="0" borderId="54" xfId="0" applyNumberFormat="1" applyFont="1" applyBorder="1" applyAlignment="1">
      <alignment vertical="center" wrapText="1"/>
    </xf>
    <xf numFmtId="0" fontId="9" fillId="3" borderId="54" xfId="0" applyFont="1" applyFill="1" applyBorder="1" applyAlignment="1">
      <alignment horizontal="center" vertical="center" wrapText="1"/>
    </xf>
    <xf numFmtId="0" fontId="22" fillId="0" borderId="54" xfId="0" applyFont="1" applyBorder="1" applyAlignment="1">
      <alignment horizontal="center" vertical="center" wrapText="1"/>
    </xf>
    <xf numFmtId="164" fontId="22" fillId="0" borderId="54" xfId="1" applyNumberFormat="1" applyFont="1" applyBorder="1" applyAlignment="1">
      <alignment horizontal="center" vertical="center"/>
    </xf>
    <xf numFmtId="167" fontId="6" fillId="3" borderId="55" xfId="1" applyNumberFormat="1" applyFont="1" applyFill="1" applyBorder="1" applyAlignment="1" applyProtection="1">
      <alignment horizontal="right" vertical="center" wrapText="1"/>
    </xf>
    <xf numFmtId="49" fontId="6" fillId="3" borderId="56" xfId="0" applyNumberFormat="1" applyFont="1" applyFill="1" applyBorder="1"/>
    <xf numFmtId="0" fontId="10" fillId="5" borderId="7" xfId="0" applyFont="1" applyFill="1" applyBorder="1" applyAlignment="1">
      <alignment horizontal="left"/>
    </xf>
    <xf numFmtId="49" fontId="6" fillId="0" borderId="54" xfId="0" applyNumberFormat="1" applyFont="1" applyFill="1" applyBorder="1" applyAlignment="1">
      <alignment vertical="center"/>
    </xf>
    <xf numFmtId="49" fontId="22" fillId="0" borderId="54" xfId="0" applyNumberFormat="1" applyFont="1" applyFill="1" applyBorder="1" applyAlignment="1">
      <alignment vertical="center" wrapText="1"/>
    </xf>
    <xf numFmtId="0" fontId="9" fillId="0" borderId="54" xfId="0" applyFont="1" applyFill="1" applyBorder="1" applyAlignment="1">
      <alignment horizontal="center" vertical="center" wrapText="1"/>
    </xf>
    <xf numFmtId="0" fontId="22" fillId="0" borderId="54" xfId="0" applyFont="1" applyFill="1" applyBorder="1" applyAlignment="1">
      <alignment horizontal="center" vertical="center" wrapText="1"/>
    </xf>
    <xf numFmtId="164" fontId="22" fillId="0" borderId="54" xfId="1" applyNumberFormat="1" applyFont="1" applyFill="1" applyBorder="1" applyAlignment="1">
      <alignment horizontal="center" vertical="center"/>
    </xf>
    <xf numFmtId="0" fontId="6" fillId="0" borderId="0" xfId="0" applyFont="1" applyFill="1"/>
    <xf numFmtId="0" fontId="22" fillId="0" borderId="52" xfId="0" applyFont="1" applyFill="1" applyBorder="1" applyAlignment="1">
      <alignment horizontal="center" vertical="center"/>
    </xf>
    <xf numFmtId="0" fontId="8" fillId="6" borderId="0" xfId="0" applyFont="1" applyFill="1" applyAlignment="1">
      <alignment horizontal="left" wrapText="1"/>
    </xf>
    <xf numFmtId="0" fontId="9" fillId="6" borderId="0" xfId="0" applyFont="1" applyFill="1" applyAlignment="1">
      <alignment horizontal="left" wrapText="1"/>
    </xf>
    <xf numFmtId="0" fontId="8" fillId="6" borderId="43" xfId="0" applyFont="1" applyFill="1" applyBorder="1" applyAlignment="1">
      <alignment horizontal="center" vertical="center" wrapText="1"/>
    </xf>
    <xf numFmtId="49" fontId="22" fillId="6" borderId="54" xfId="0" applyNumberFormat="1" applyFont="1" applyFill="1" applyBorder="1" applyAlignment="1">
      <alignment vertical="top" wrapText="1"/>
    </xf>
    <xf numFmtId="0" fontId="6" fillId="6" borderId="0" xfId="0" applyFont="1" applyFill="1"/>
    <xf numFmtId="0" fontId="6" fillId="6" borderId="4" xfId="0" applyFont="1" applyFill="1" applyBorder="1"/>
    <xf numFmtId="0" fontId="6" fillId="6" borderId="6" xfId="0" applyFont="1" applyFill="1" applyBorder="1"/>
    <xf numFmtId="0" fontId="6" fillId="6" borderId="6" xfId="0" applyFont="1" applyFill="1" applyBorder="1" applyAlignment="1">
      <alignment horizontal="left" vertical="center" wrapText="1"/>
    </xf>
    <xf numFmtId="0" fontId="6" fillId="6" borderId="4" xfId="0" applyFont="1" applyFill="1" applyBorder="1" applyAlignment="1">
      <alignment horizontal="left"/>
    </xf>
    <xf numFmtId="0" fontId="6" fillId="6" borderId="6" xfId="0" applyFont="1" applyFill="1" applyBorder="1" applyAlignment="1">
      <alignment horizontal="left"/>
    </xf>
    <xf numFmtId="0" fontId="6" fillId="6" borderId="9" xfId="0" applyFont="1" applyFill="1" applyBorder="1"/>
    <xf numFmtId="0" fontId="6" fillId="6" borderId="0" xfId="0" applyFont="1" applyFill="1" applyBorder="1"/>
    <xf numFmtId="0" fontId="6" fillId="6" borderId="4" xfId="0" applyFont="1" applyFill="1" applyBorder="1" applyAlignment="1">
      <alignment horizontal="center" wrapText="1"/>
    </xf>
    <xf numFmtId="0" fontId="10" fillId="5" borderId="5" xfId="0" applyFont="1" applyFill="1" applyBorder="1" applyAlignment="1">
      <alignment horizontal="left"/>
    </xf>
    <xf numFmtId="0" fontId="10" fillId="5" borderId="0" xfId="0" applyFont="1" applyFill="1" applyBorder="1" applyAlignment="1">
      <alignment horizontal="left"/>
    </xf>
    <xf numFmtId="0" fontId="6" fillId="0" borderId="0" xfId="0" applyFont="1" applyFill="1" applyBorder="1" applyAlignment="1">
      <alignment horizontal="left" vertical="center" wrapText="1"/>
    </xf>
    <xf numFmtId="0" fontId="6" fillId="0" borderId="0" xfId="0" applyFont="1" applyBorder="1" applyAlignment="1">
      <alignment horizontal="left" vertical="center" wrapText="1"/>
    </xf>
    <xf numFmtId="0" fontId="6" fillId="0" borderId="6" xfId="0" applyFont="1" applyBorder="1" applyAlignment="1">
      <alignment horizontal="left" vertical="center" wrapText="1"/>
    </xf>
    <xf numFmtId="0" fontId="10" fillId="5" borderId="5" xfId="0" applyFont="1" applyFill="1" applyBorder="1" applyAlignment="1">
      <alignment horizontal="left"/>
    </xf>
    <xf numFmtId="0" fontId="10" fillId="5" borderId="0" xfId="0" applyFont="1" applyFill="1" applyBorder="1" applyAlignment="1">
      <alignment horizontal="left"/>
    </xf>
    <xf numFmtId="0" fontId="6" fillId="0" borderId="8" xfId="0" applyFont="1" applyFill="1" applyBorder="1" applyAlignment="1">
      <alignment horizontal="left" vertical="center" wrapText="1"/>
    </xf>
    <xf numFmtId="0" fontId="6" fillId="0" borderId="9" xfId="0" applyFont="1" applyFill="1" applyBorder="1" applyAlignment="1">
      <alignment horizontal="left" vertical="center" wrapText="1"/>
    </xf>
    <xf numFmtId="0" fontId="6" fillId="0" borderId="0" xfId="0" applyFont="1" applyFill="1" applyBorder="1" applyAlignment="1">
      <alignment horizontal="left" vertical="center" wrapText="1"/>
    </xf>
    <xf numFmtId="0" fontId="6" fillId="0" borderId="6" xfId="0" applyFont="1" applyFill="1" applyBorder="1" applyAlignment="1">
      <alignment horizontal="left" vertical="center" wrapText="1"/>
    </xf>
    <xf numFmtId="0" fontId="6" fillId="5" borderId="0" xfId="0" applyFont="1" applyFill="1" applyBorder="1" applyAlignment="1">
      <alignment horizontal="left" vertical="center" wrapText="1"/>
    </xf>
    <xf numFmtId="0" fontId="6" fillId="5" borderId="6" xfId="0" applyFont="1" applyFill="1" applyBorder="1" applyAlignment="1">
      <alignment horizontal="left" vertical="center" wrapText="1"/>
    </xf>
    <xf numFmtId="0" fontId="6" fillId="5" borderId="0" xfId="0" applyFont="1" applyFill="1" applyBorder="1" applyAlignment="1">
      <alignment horizontal="center"/>
    </xf>
    <xf numFmtId="0" fontId="6" fillId="5" borderId="6" xfId="0" applyFont="1" applyFill="1" applyBorder="1" applyAlignment="1">
      <alignment horizontal="center"/>
    </xf>
    <xf numFmtId="0" fontId="6" fillId="5" borderId="0" xfId="0" applyFont="1" applyFill="1" applyBorder="1" applyAlignment="1">
      <alignment horizontal="left" wrapText="1"/>
    </xf>
    <xf numFmtId="0" fontId="6" fillId="5" borderId="6" xfId="0" applyFont="1" applyFill="1" applyBorder="1" applyAlignment="1">
      <alignment horizontal="left" wrapText="1"/>
    </xf>
    <xf numFmtId="0" fontId="6" fillId="5" borderId="0" xfId="0" applyFont="1" applyFill="1" applyBorder="1" applyAlignment="1">
      <alignment horizontal="left"/>
    </xf>
    <xf numFmtId="0" fontId="6" fillId="5" borderId="6" xfId="0" applyFont="1" applyFill="1" applyBorder="1" applyAlignment="1">
      <alignment horizontal="left"/>
    </xf>
    <xf numFmtId="0" fontId="19" fillId="3" borderId="0" xfId="0" applyFont="1" applyFill="1" applyBorder="1" applyAlignment="1">
      <alignment horizontal="center"/>
    </xf>
    <xf numFmtId="0" fontId="18" fillId="3" borderId="0" xfId="0" applyFont="1" applyFill="1" applyBorder="1" applyAlignment="1">
      <alignment horizontal="left" vertical="center" wrapText="1"/>
    </xf>
    <xf numFmtId="0" fontId="20" fillId="4" borderId="0" xfId="0" applyFont="1" applyFill="1" applyBorder="1" applyAlignment="1">
      <alignment horizontal="left" wrapText="1" indent="1"/>
    </xf>
    <xf numFmtId="0" fontId="13" fillId="3" borderId="38" xfId="0" applyFont="1" applyFill="1" applyBorder="1" applyAlignment="1">
      <alignment horizontal="left" vertical="center" wrapText="1" indent="1"/>
    </xf>
    <xf numFmtId="168" fontId="13" fillId="3" borderId="38" xfId="0" applyNumberFormat="1" applyFont="1" applyFill="1" applyBorder="1" applyAlignment="1">
      <alignment horizontal="center" vertical="center"/>
    </xf>
    <xf numFmtId="0" fontId="13" fillId="3" borderId="35" xfId="0" applyFont="1" applyFill="1" applyBorder="1" applyAlignment="1">
      <alignment horizontal="left" vertical="center" wrapText="1" indent="1"/>
    </xf>
    <xf numFmtId="0" fontId="13" fillId="3" borderId="44" xfId="0" applyFont="1" applyFill="1" applyBorder="1" applyAlignment="1">
      <alignment horizontal="left" vertical="center" wrapText="1" indent="1"/>
    </xf>
    <xf numFmtId="0" fontId="13" fillId="3" borderId="20" xfId="0" applyFont="1" applyFill="1" applyBorder="1" applyAlignment="1">
      <alignment horizontal="left" vertical="center" wrapText="1" indent="1"/>
    </xf>
    <xf numFmtId="0" fontId="15" fillId="3" borderId="19" xfId="0" applyFont="1" applyFill="1" applyBorder="1" applyAlignment="1">
      <alignment horizontal="center" vertical="center"/>
    </xf>
    <xf numFmtId="0" fontId="21" fillId="0" borderId="14" xfId="0" applyFont="1" applyBorder="1" applyAlignment="1">
      <alignment horizontal="center" vertical="center" wrapText="1"/>
    </xf>
    <xf numFmtId="0" fontId="15" fillId="3" borderId="16" xfId="0" applyFont="1" applyFill="1" applyBorder="1" applyAlignment="1">
      <alignment horizontal="center" vertical="center" wrapText="1"/>
    </xf>
    <xf numFmtId="0" fontId="15" fillId="3" borderId="18" xfId="0" applyFont="1" applyFill="1" applyBorder="1" applyAlignment="1">
      <alignment horizontal="center" vertical="center" wrapText="1"/>
    </xf>
    <xf numFmtId="0" fontId="15" fillId="3" borderId="17" xfId="0" applyFont="1" applyFill="1" applyBorder="1" applyAlignment="1">
      <alignment horizontal="center" vertical="center" wrapText="1"/>
    </xf>
    <xf numFmtId="0" fontId="15" fillId="3" borderId="48" xfId="0" applyFont="1" applyFill="1" applyBorder="1" applyAlignment="1">
      <alignment horizontal="center" vertical="center" wrapText="1"/>
    </xf>
    <xf numFmtId="0" fontId="14" fillId="3" borderId="16" xfId="0" applyFont="1" applyFill="1" applyBorder="1" applyAlignment="1">
      <alignment horizontal="left" vertical="center"/>
    </xf>
    <xf numFmtId="49" fontId="16" fillId="3" borderId="45" xfId="0" applyNumberFormat="1" applyFont="1" applyFill="1" applyBorder="1" applyAlignment="1">
      <alignment horizontal="left" vertical="center" wrapText="1"/>
    </xf>
    <xf numFmtId="0" fontId="16" fillId="3" borderId="53" xfId="0" applyFont="1" applyFill="1" applyBorder="1" applyAlignment="1">
      <alignment horizontal="left" vertical="center" wrapText="1"/>
    </xf>
    <xf numFmtId="0" fontId="16" fillId="3" borderId="49" xfId="0" applyFont="1" applyFill="1" applyBorder="1" applyAlignment="1">
      <alignment horizontal="left" vertical="center" wrapText="1"/>
    </xf>
    <xf numFmtId="0" fontId="12" fillId="3" borderId="0" xfId="0" applyFont="1" applyFill="1" applyBorder="1" applyAlignment="1">
      <alignment horizontal="center" vertical="center"/>
    </xf>
    <xf numFmtId="0" fontId="14" fillId="3" borderId="13" xfId="0" applyFont="1" applyFill="1" applyBorder="1" applyAlignment="1">
      <alignment horizontal="left" vertical="center" wrapText="1"/>
    </xf>
    <xf numFmtId="0" fontId="13" fillId="3" borderId="19" xfId="0" applyFont="1" applyFill="1" applyBorder="1" applyAlignment="1">
      <alignment horizontal="left" vertical="center" wrapText="1" indent="1"/>
    </xf>
    <xf numFmtId="0" fontId="14" fillId="3" borderId="15" xfId="0" applyFont="1" applyFill="1" applyBorder="1" applyAlignment="1">
      <alignment horizontal="left" vertical="center" wrapText="1"/>
    </xf>
    <xf numFmtId="0" fontId="13" fillId="3" borderId="14" xfId="0" applyFont="1" applyFill="1" applyBorder="1" applyAlignment="1">
      <alignment horizontal="left" vertical="center" wrapText="1" indent="1"/>
    </xf>
    <xf numFmtId="0" fontId="6" fillId="3" borderId="32" xfId="0" applyFont="1" applyFill="1" applyBorder="1" applyAlignment="1">
      <alignment horizontal="left" vertical="center" wrapText="1"/>
    </xf>
    <xf numFmtId="0" fontId="6" fillId="3" borderId="39" xfId="0" applyFont="1" applyFill="1" applyBorder="1" applyAlignment="1">
      <alignment horizontal="left" vertical="center" wrapText="1"/>
    </xf>
    <xf numFmtId="0" fontId="15" fillId="3" borderId="19" xfId="0" applyFont="1" applyFill="1" applyBorder="1" applyAlignment="1">
      <alignment vertical="center" wrapText="1"/>
    </xf>
    <xf numFmtId="0" fontId="15" fillId="3" borderId="35" xfId="0" applyFont="1" applyFill="1" applyBorder="1" applyAlignment="1">
      <alignment vertical="center" wrapText="1"/>
    </xf>
    <xf numFmtId="0" fontId="15" fillId="3" borderId="17" xfId="0" applyFont="1" applyFill="1" applyBorder="1" applyAlignment="1">
      <alignment vertical="center" wrapText="1"/>
    </xf>
    <xf numFmtId="0" fontId="17" fillId="3" borderId="46" xfId="0" applyFont="1" applyFill="1" applyBorder="1" applyAlignment="1">
      <alignment vertical="center" wrapText="1"/>
    </xf>
    <xf numFmtId="0" fontId="17" fillId="3" borderId="47" xfId="0" applyFont="1" applyFill="1" applyBorder="1" applyAlignment="1">
      <alignment vertical="center" wrapText="1"/>
    </xf>
    <xf numFmtId="0" fontId="17" fillId="3" borderId="22" xfId="0" applyFont="1" applyFill="1" applyBorder="1" applyAlignment="1">
      <alignment horizontal="left" vertical="center" wrapText="1"/>
    </xf>
    <xf numFmtId="0" fontId="17" fillId="3" borderId="0" xfId="0" applyFont="1" applyFill="1" applyBorder="1" applyAlignment="1">
      <alignment horizontal="left" vertical="center" wrapText="1"/>
    </xf>
    <xf numFmtId="0" fontId="17" fillId="3" borderId="10" xfId="0" applyFont="1" applyFill="1" applyBorder="1" applyAlignment="1">
      <alignment horizontal="left" vertical="center" wrapText="1"/>
    </xf>
    <xf numFmtId="0" fontId="17" fillId="3" borderId="24" xfId="0" applyFont="1" applyFill="1" applyBorder="1" applyAlignment="1">
      <alignment horizontal="left" vertical="center" wrapText="1"/>
    </xf>
    <xf numFmtId="0" fontId="17" fillId="3" borderId="12" xfId="0" applyFont="1" applyFill="1" applyBorder="1" applyAlignment="1">
      <alignment horizontal="left" vertical="center" wrapText="1"/>
    </xf>
    <xf numFmtId="0" fontId="17" fillId="3" borderId="25" xfId="0" applyFont="1" applyFill="1" applyBorder="1" applyAlignment="1">
      <alignment horizontal="left" vertical="center" wrapText="1"/>
    </xf>
    <xf numFmtId="0" fontId="15" fillId="3" borderId="34" xfId="0" applyFont="1" applyFill="1" applyBorder="1" applyAlignment="1">
      <alignment horizontal="left" vertical="center" wrapText="1"/>
    </xf>
    <xf numFmtId="0" fontId="7" fillId="3" borderId="15" xfId="0" applyFont="1" applyFill="1" applyBorder="1" applyAlignment="1">
      <alignment vertical="center"/>
    </xf>
    <xf numFmtId="0" fontId="7" fillId="3" borderId="40" xfId="0" applyFont="1" applyFill="1" applyBorder="1" applyAlignment="1">
      <alignment vertical="center"/>
    </xf>
    <xf numFmtId="0" fontId="7" fillId="3" borderId="26" xfId="0" applyFont="1" applyFill="1" applyBorder="1" applyAlignment="1">
      <alignment vertical="center"/>
    </xf>
    <xf numFmtId="0" fontId="17" fillId="3" borderId="22" xfId="0" applyFont="1" applyFill="1" applyBorder="1" applyAlignment="1"/>
    <xf numFmtId="0" fontId="17" fillId="3" borderId="23" xfId="0" applyFont="1" applyFill="1" applyBorder="1" applyAlignment="1">
      <alignment horizontal="left" vertical="center" wrapText="1" indent="1"/>
    </xf>
    <xf numFmtId="0" fontId="7" fillId="3" borderId="21" xfId="0" applyFont="1" applyFill="1" applyBorder="1" applyAlignment="1">
      <alignment horizontal="center" vertical="center"/>
    </xf>
    <xf numFmtId="0" fontId="7" fillId="3" borderId="11" xfId="0" applyFont="1" applyFill="1" applyBorder="1" applyAlignment="1">
      <alignment horizontal="center" vertical="center"/>
    </xf>
    <xf numFmtId="0" fontId="7" fillId="3" borderId="21" xfId="0" applyFont="1" applyFill="1" applyBorder="1" applyAlignment="1">
      <alignment horizontal="center" vertical="center" wrapText="1"/>
    </xf>
    <xf numFmtId="0" fontId="7" fillId="3" borderId="26" xfId="0" applyFont="1" applyFill="1" applyBorder="1" applyAlignment="1">
      <alignment horizontal="center" vertical="center"/>
    </xf>
    <xf numFmtId="0" fontId="6" fillId="3" borderId="13" xfId="0" applyFont="1" applyFill="1" applyBorder="1" applyAlignment="1">
      <alignment horizontal="left" vertical="center" wrapText="1"/>
    </xf>
    <xf numFmtId="0" fontId="6" fillId="3" borderId="36" xfId="0" applyFont="1" applyFill="1" applyBorder="1" applyAlignment="1">
      <alignment horizontal="left" vertical="center" wrapText="1"/>
    </xf>
    <xf numFmtId="0" fontId="6" fillId="3" borderId="37" xfId="0" applyFont="1" applyFill="1" applyBorder="1" applyAlignment="1">
      <alignment horizontal="left" vertical="center" wrapText="1"/>
    </xf>
    <xf numFmtId="0" fontId="17" fillId="3" borderId="11" xfId="0" applyFont="1" applyFill="1" applyBorder="1" applyAlignment="1">
      <alignment horizontal="left" indent="1"/>
    </xf>
    <xf numFmtId="0" fontId="11" fillId="3" borderId="11" xfId="0" applyFont="1" applyFill="1" applyBorder="1" applyAlignment="1">
      <alignment horizontal="left"/>
    </xf>
    <xf numFmtId="0" fontId="6" fillId="3" borderId="19" xfId="0" applyFont="1" applyFill="1" applyBorder="1" applyAlignment="1">
      <alignment horizontal="center"/>
    </xf>
    <xf numFmtId="3" fontId="15" fillId="3" borderId="20" xfId="0" applyNumberFormat="1" applyFont="1" applyFill="1" applyBorder="1" applyAlignment="1">
      <alignment horizontal="center"/>
    </xf>
    <xf numFmtId="0" fontId="13" fillId="3" borderId="11" xfId="0" applyFont="1" applyFill="1" applyBorder="1" applyAlignment="1">
      <alignment horizontal="center" vertical="center" wrapText="1"/>
    </xf>
    <xf numFmtId="0" fontId="6" fillId="3" borderId="11" xfId="0" applyFont="1" applyFill="1" applyBorder="1" applyAlignment="1"/>
  </cellXfs>
  <cellStyles count="5">
    <cellStyle name="Encabezado 1" xfId="2"/>
    <cellStyle name="Moneda" xfId="1" builtinId="4"/>
    <cellStyle name="Moneda_AUTORIZACION Y NOTA DE PEDIDO" xfId="3"/>
    <cellStyle name="Neutral 1" xfId="4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xmlns="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xmlns="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xmlns="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66"/>
  <sheetViews>
    <sheetView tabSelected="1" view="pageBreakPreview" topLeftCell="A13" zoomScale="70" zoomScaleNormal="85" zoomScaleSheetLayoutView="70" workbookViewId="0">
      <selection activeCell="G59" sqref="G59"/>
    </sheetView>
  </sheetViews>
  <sheetFormatPr baseColWidth="10" defaultColWidth="11" defaultRowHeight="13.5" x14ac:dyDescent="0.25"/>
  <cols>
    <col min="1" max="1" width="4.5703125" style="1" customWidth="1"/>
    <col min="2" max="2" width="17.140625" style="1" customWidth="1"/>
    <col min="3" max="3" width="21.28515625" style="1" customWidth="1"/>
    <col min="4" max="4" width="8.42578125" style="1" customWidth="1"/>
    <col min="5" max="5" width="94.28515625" style="79" customWidth="1"/>
    <col min="6" max="6" width="11" style="1"/>
    <col min="7" max="7" width="12.7109375" style="1" customWidth="1"/>
    <col min="8" max="8" width="13.85546875" style="1" customWidth="1"/>
    <col min="9" max="9" width="18.5703125" style="1" customWidth="1"/>
    <col min="10" max="16384" width="11" style="1"/>
  </cols>
  <sheetData>
    <row r="2" spans="1:9" ht="28.5" x14ac:dyDescent="0.4">
      <c r="B2" s="107" t="s">
        <v>0</v>
      </c>
      <c r="C2" s="107"/>
      <c r="D2" s="107"/>
      <c r="E2" s="107"/>
      <c r="F2" s="107"/>
      <c r="G2" s="107"/>
      <c r="H2" s="107"/>
    </row>
    <row r="4" spans="1:9" ht="18" customHeight="1" x14ac:dyDescent="0.25">
      <c r="A4" s="108" t="s">
        <v>1</v>
      </c>
      <c r="B4" s="108"/>
      <c r="C4" s="109" t="s">
        <v>2</v>
      </c>
      <c r="D4" s="109"/>
      <c r="E4" s="109"/>
      <c r="F4" s="2"/>
      <c r="G4" s="6"/>
      <c r="H4" s="2"/>
    </row>
    <row r="5" spans="1:9" ht="18" customHeight="1" x14ac:dyDescent="0.25">
      <c r="A5" s="108" t="s">
        <v>3</v>
      </c>
      <c r="B5" s="108"/>
      <c r="C5" s="109" t="s">
        <v>4</v>
      </c>
      <c r="D5" s="109"/>
      <c r="E5" s="109"/>
      <c r="F5" s="2"/>
      <c r="G5" s="6"/>
      <c r="H5" s="2"/>
    </row>
    <row r="6" spans="1:9" ht="16.5" customHeight="1" x14ac:dyDescent="0.25">
      <c r="A6" s="108" t="s">
        <v>5</v>
      </c>
      <c r="B6" s="108"/>
      <c r="C6" s="7">
        <v>2022</v>
      </c>
      <c r="D6" s="8"/>
      <c r="E6" s="75"/>
      <c r="F6" s="2"/>
      <c r="G6" s="6"/>
      <c r="H6" s="2"/>
    </row>
    <row r="7" spans="1:9" ht="16.5" customHeight="1" x14ac:dyDescent="0.25">
      <c r="A7" s="108" t="s">
        <v>6</v>
      </c>
      <c r="B7" s="108"/>
      <c r="C7" s="7">
        <v>2</v>
      </c>
      <c r="D7" s="8"/>
      <c r="E7" s="75"/>
      <c r="F7" s="2"/>
      <c r="G7" s="6"/>
      <c r="H7" s="2"/>
    </row>
    <row r="8" spans="1:9" ht="14.25" thickBot="1" x14ac:dyDescent="0.3">
      <c r="B8" s="2"/>
      <c r="C8" s="6"/>
      <c r="D8" s="2"/>
      <c r="E8" s="76"/>
      <c r="F8" s="2"/>
      <c r="G8" s="6"/>
      <c r="H8" s="2"/>
    </row>
    <row r="9" spans="1:9" ht="39.75" thickTop="1" thickBot="1" x14ac:dyDescent="0.3">
      <c r="A9" s="55" t="s">
        <v>7</v>
      </c>
      <c r="B9" s="57" t="s">
        <v>8</v>
      </c>
      <c r="C9" s="56" t="s">
        <v>9</v>
      </c>
      <c r="D9" s="3" t="s">
        <v>10</v>
      </c>
      <c r="E9" s="77" t="s">
        <v>11</v>
      </c>
      <c r="F9" s="3" t="s">
        <v>12</v>
      </c>
      <c r="G9" s="3" t="s">
        <v>13</v>
      </c>
      <c r="H9" s="3" t="s">
        <v>14</v>
      </c>
      <c r="I9" s="3" t="s">
        <v>15</v>
      </c>
    </row>
    <row r="10" spans="1:9" x14ac:dyDescent="0.25">
      <c r="A10" s="59">
        <v>1</v>
      </c>
      <c r="B10" s="60" t="s">
        <v>16</v>
      </c>
      <c r="C10" s="61" t="s">
        <v>17</v>
      </c>
      <c r="D10" s="62" t="s">
        <v>18</v>
      </c>
      <c r="E10" s="78" t="s">
        <v>19</v>
      </c>
      <c r="F10" s="62" t="s">
        <v>20</v>
      </c>
      <c r="G10" s="63">
        <v>350</v>
      </c>
      <c r="H10" s="64">
        <v>2301</v>
      </c>
      <c r="I10" s="65">
        <f>H10*G10</f>
        <v>805350</v>
      </c>
    </row>
    <row r="11" spans="1:9" x14ac:dyDescent="0.25">
      <c r="A11" s="59">
        <v>2</v>
      </c>
      <c r="B11" s="60" t="s">
        <v>21</v>
      </c>
      <c r="C11" s="61" t="s">
        <v>17</v>
      </c>
      <c r="D11" s="62" t="s">
        <v>18</v>
      </c>
      <c r="E11" s="78" t="s">
        <v>22</v>
      </c>
      <c r="F11" s="62" t="s">
        <v>20</v>
      </c>
      <c r="G11" s="63">
        <v>350</v>
      </c>
      <c r="H11" s="64">
        <v>1344.2</v>
      </c>
      <c r="I11" s="65">
        <f t="shared" ref="I11:I23" si="0">H11*G11</f>
        <v>470470</v>
      </c>
    </row>
    <row r="12" spans="1:9" x14ac:dyDescent="0.25">
      <c r="A12" s="59">
        <v>3</v>
      </c>
      <c r="B12" s="60" t="s">
        <v>23</v>
      </c>
      <c r="C12" s="61" t="s">
        <v>17</v>
      </c>
      <c r="D12" s="62" t="s">
        <v>18</v>
      </c>
      <c r="E12" s="78" t="s">
        <v>24</v>
      </c>
      <c r="F12" s="62" t="s">
        <v>20</v>
      </c>
      <c r="G12" s="63">
        <v>205</v>
      </c>
      <c r="H12" s="64">
        <v>1743.3</v>
      </c>
      <c r="I12" s="65">
        <f t="shared" si="0"/>
        <v>357376.5</v>
      </c>
    </row>
    <row r="13" spans="1:9" x14ac:dyDescent="0.25">
      <c r="A13" s="59">
        <v>4</v>
      </c>
      <c r="B13" s="60" t="s">
        <v>25</v>
      </c>
      <c r="C13" s="61" t="s">
        <v>17</v>
      </c>
      <c r="D13" s="62" t="s">
        <v>18</v>
      </c>
      <c r="E13" s="78" t="s">
        <v>26</v>
      </c>
      <c r="F13" s="62" t="s">
        <v>20</v>
      </c>
      <c r="G13" s="63">
        <v>205</v>
      </c>
      <c r="H13" s="64">
        <v>1771.9</v>
      </c>
      <c r="I13" s="65">
        <f t="shared" si="0"/>
        <v>363239.5</v>
      </c>
    </row>
    <row r="14" spans="1:9" x14ac:dyDescent="0.25">
      <c r="A14" s="59">
        <v>5</v>
      </c>
      <c r="B14" s="60" t="s">
        <v>27</v>
      </c>
      <c r="C14" s="61" t="s">
        <v>17</v>
      </c>
      <c r="D14" s="62" t="s">
        <v>18</v>
      </c>
      <c r="E14" s="78" t="s">
        <v>28</v>
      </c>
      <c r="F14" s="62" t="s">
        <v>20</v>
      </c>
      <c r="G14" s="63">
        <v>410</v>
      </c>
      <c r="H14" s="64">
        <v>838</v>
      </c>
      <c r="I14" s="65">
        <f t="shared" si="0"/>
        <v>343580</v>
      </c>
    </row>
    <row r="15" spans="1:9" x14ac:dyDescent="0.25">
      <c r="A15" s="59">
        <v>6</v>
      </c>
      <c r="B15" s="60" t="s">
        <v>29</v>
      </c>
      <c r="C15" s="61" t="s">
        <v>17</v>
      </c>
      <c r="D15" s="62" t="s">
        <v>18</v>
      </c>
      <c r="E15" s="78" t="s">
        <v>30</v>
      </c>
      <c r="F15" s="62" t="s">
        <v>20</v>
      </c>
      <c r="G15" s="63">
        <v>115</v>
      </c>
      <c r="H15" s="64">
        <v>1489.8</v>
      </c>
      <c r="I15" s="65">
        <f t="shared" si="0"/>
        <v>171327</v>
      </c>
    </row>
    <row r="16" spans="1:9" x14ac:dyDescent="0.25">
      <c r="A16" s="59">
        <v>7</v>
      </c>
      <c r="B16" s="60" t="s">
        <v>31</v>
      </c>
      <c r="C16" s="61" t="s">
        <v>17</v>
      </c>
      <c r="D16" s="62" t="s">
        <v>18</v>
      </c>
      <c r="E16" s="78" t="s">
        <v>32</v>
      </c>
      <c r="F16" s="62" t="s">
        <v>20</v>
      </c>
      <c r="G16" s="63">
        <v>50</v>
      </c>
      <c r="H16" s="64">
        <v>3248.7</v>
      </c>
      <c r="I16" s="65">
        <f t="shared" si="0"/>
        <v>162435</v>
      </c>
    </row>
    <row r="17" spans="1:10" ht="27" x14ac:dyDescent="0.25">
      <c r="A17" s="59">
        <v>8</v>
      </c>
      <c r="B17" s="60" t="s">
        <v>33</v>
      </c>
      <c r="C17" s="61" t="s">
        <v>17</v>
      </c>
      <c r="D17" s="62" t="s">
        <v>18</v>
      </c>
      <c r="E17" s="78" t="s">
        <v>34</v>
      </c>
      <c r="F17" s="62" t="s">
        <v>20</v>
      </c>
      <c r="G17" s="63">
        <v>310</v>
      </c>
      <c r="H17" s="64">
        <v>1430</v>
      </c>
      <c r="I17" s="65">
        <f t="shared" si="0"/>
        <v>443300</v>
      </c>
    </row>
    <row r="18" spans="1:10" x14ac:dyDescent="0.25">
      <c r="A18" s="59">
        <v>9</v>
      </c>
      <c r="B18" s="60" t="s">
        <v>35</v>
      </c>
      <c r="C18" s="61" t="s">
        <v>17</v>
      </c>
      <c r="D18" s="62" t="s">
        <v>18</v>
      </c>
      <c r="E18" s="78" t="s">
        <v>36</v>
      </c>
      <c r="F18" s="62" t="s">
        <v>20</v>
      </c>
      <c r="G18" s="63">
        <v>21</v>
      </c>
      <c r="H18" s="64">
        <v>1423.5</v>
      </c>
      <c r="I18" s="65">
        <f t="shared" si="0"/>
        <v>29893.5</v>
      </c>
    </row>
    <row r="19" spans="1:10" x14ac:dyDescent="0.25">
      <c r="A19" s="59">
        <v>10</v>
      </c>
      <c r="B19" s="60" t="s">
        <v>37</v>
      </c>
      <c r="C19" s="61" t="s">
        <v>17</v>
      </c>
      <c r="D19" s="62" t="s">
        <v>18</v>
      </c>
      <c r="E19" s="78" t="s">
        <v>38</v>
      </c>
      <c r="F19" s="62" t="s">
        <v>20</v>
      </c>
      <c r="G19" s="63">
        <v>75</v>
      </c>
      <c r="H19" s="64">
        <v>3508.7</v>
      </c>
      <c r="I19" s="65">
        <f t="shared" si="0"/>
        <v>263152.5</v>
      </c>
    </row>
    <row r="20" spans="1:10" x14ac:dyDescent="0.25">
      <c r="A20" s="59">
        <v>11</v>
      </c>
      <c r="B20" s="60" t="s">
        <v>37</v>
      </c>
      <c r="C20" s="61" t="s">
        <v>17</v>
      </c>
      <c r="D20" s="62" t="s">
        <v>18</v>
      </c>
      <c r="E20" s="78" t="s">
        <v>38</v>
      </c>
      <c r="F20" s="62" t="s">
        <v>20</v>
      </c>
      <c r="G20" s="63">
        <v>45</v>
      </c>
      <c r="H20" s="64">
        <v>3768.7</v>
      </c>
      <c r="I20" s="65">
        <f t="shared" si="0"/>
        <v>169591.5</v>
      </c>
    </row>
    <row r="21" spans="1:10" s="73" customFormat="1" ht="27" x14ac:dyDescent="0.25">
      <c r="A21" s="74">
        <v>12</v>
      </c>
      <c r="B21" s="68" t="s">
        <v>39</v>
      </c>
      <c r="C21" s="69" t="s">
        <v>17</v>
      </c>
      <c r="D21" s="62" t="s">
        <v>18</v>
      </c>
      <c r="E21" s="78" t="s">
        <v>40</v>
      </c>
      <c r="F21" s="70" t="s">
        <v>20</v>
      </c>
      <c r="G21" s="71">
        <v>5</v>
      </c>
      <c r="H21" s="72">
        <v>5564</v>
      </c>
      <c r="I21" s="65">
        <f t="shared" si="0"/>
        <v>27820</v>
      </c>
      <c r="J21" s="1"/>
    </row>
    <row r="22" spans="1:10" s="73" customFormat="1" x14ac:dyDescent="0.25">
      <c r="A22" s="74">
        <v>13</v>
      </c>
      <c r="B22" s="68" t="s">
        <v>41</v>
      </c>
      <c r="C22" s="69" t="s">
        <v>17</v>
      </c>
      <c r="D22" s="62" t="s">
        <v>18</v>
      </c>
      <c r="E22" s="78" t="s">
        <v>42</v>
      </c>
      <c r="F22" s="70" t="s">
        <v>20</v>
      </c>
      <c r="G22" s="71">
        <v>80</v>
      </c>
      <c r="H22" s="72">
        <v>3560.7</v>
      </c>
      <c r="I22" s="65">
        <f t="shared" si="0"/>
        <v>284856</v>
      </c>
      <c r="J22" s="1"/>
    </row>
    <row r="23" spans="1:10" x14ac:dyDescent="0.25">
      <c r="A23" s="59">
        <v>14</v>
      </c>
      <c r="B23" s="68" t="s">
        <v>41</v>
      </c>
      <c r="C23" s="69" t="s">
        <v>17</v>
      </c>
      <c r="D23" s="62" t="s">
        <v>18</v>
      </c>
      <c r="E23" s="78" t="s">
        <v>42</v>
      </c>
      <c r="F23" s="70" t="s">
        <v>20</v>
      </c>
      <c r="G23" s="71">
        <v>30</v>
      </c>
      <c r="H23" s="72">
        <v>3560.7</v>
      </c>
      <c r="I23" s="65">
        <f t="shared" si="0"/>
        <v>106821</v>
      </c>
    </row>
    <row r="24" spans="1:10" ht="18.75" customHeight="1" thickBot="1" x14ac:dyDescent="0.3">
      <c r="B24" s="58"/>
      <c r="I24" s="9">
        <f>SUM(I10:I23)</f>
        <v>3999212.5</v>
      </c>
    </row>
    <row r="25" spans="1:10" x14ac:dyDescent="0.25">
      <c r="B25" s="40" t="s">
        <v>43</v>
      </c>
      <c r="C25" s="41"/>
      <c r="D25" s="41"/>
      <c r="E25" s="80"/>
    </row>
    <row r="26" spans="1:10" x14ac:dyDescent="0.25">
      <c r="B26" s="93" t="s">
        <v>44</v>
      </c>
      <c r="C26" s="94"/>
      <c r="D26" s="42"/>
      <c r="E26" s="81"/>
    </row>
    <row r="27" spans="1:10" ht="39" customHeight="1" x14ac:dyDescent="0.25">
      <c r="B27" s="88"/>
      <c r="C27" s="91" t="s">
        <v>45</v>
      </c>
      <c r="D27" s="91"/>
      <c r="E27" s="92"/>
    </row>
    <row r="28" spans="1:10" ht="14.25" customHeight="1" x14ac:dyDescent="0.25">
      <c r="B28" s="93" t="s">
        <v>46</v>
      </c>
      <c r="C28" s="94"/>
      <c r="D28" s="42"/>
      <c r="E28" s="81"/>
    </row>
    <row r="29" spans="1:10" ht="39" customHeight="1" x14ac:dyDescent="0.25">
      <c r="B29" s="88"/>
      <c r="C29" s="91" t="s">
        <v>47</v>
      </c>
      <c r="D29" s="91"/>
      <c r="E29" s="92"/>
    </row>
    <row r="30" spans="1:10" ht="14.25" customHeight="1" x14ac:dyDescent="0.25">
      <c r="B30" s="93" t="s">
        <v>48</v>
      </c>
      <c r="C30" s="94"/>
      <c r="D30" s="42"/>
      <c r="E30" s="81"/>
    </row>
    <row r="31" spans="1:10" ht="39" customHeight="1" x14ac:dyDescent="0.25">
      <c r="B31" s="88"/>
      <c r="C31" s="91" t="s">
        <v>49</v>
      </c>
      <c r="D31" s="91"/>
      <c r="E31" s="92"/>
    </row>
    <row r="32" spans="1:10" ht="14.25" customHeight="1" x14ac:dyDescent="0.25">
      <c r="B32" s="93" t="s">
        <v>50</v>
      </c>
      <c r="C32" s="94"/>
      <c r="D32" s="42"/>
      <c r="E32" s="81"/>
    </row>
    <row r="33" spans="2:5" ht="39" customHeight="1" x14ac:dyDescent="0.25">
      <c r="B33" s="88"/>
      <c r="C33" s="91" t="s">
        <v>51</v>
      </c>
      <c r="D33" s="91"/>
      <c r="E33" s="92"/>
    </row>
    <row r="34" spans="2:5" ht="14.25" customHeight="1" x14ac:dyDescent="0.25">
      <c r="B34" s="93" t="s">
        <v>52</v>
      </c>
      <c r="C34" s="94"/>
      <c r="D34" s="42"/>
      <c r="E34" s="81"/>
    </row>
    <row r="35" spans="2:5" ht="39" customHeight="1" x14ac:dyDescent="0.25">
      <c r="B35" s="88"/>
      <c r="C35" s="91" t="s">
        <v>53</v>
      </c>
      <c r="D35" s="91"/>
      <c r="E35" s="92"/>
    </row>
    <row r="36" spans="2:5" ht="14.25" customHeight="1" x14ac:dyDescent="0.25">
      <c r="B36" s="93" t="s">
        <v>54</v>
      </c>
      <c r="C36" s="94"/>
      <c r="D36" s="42"/>
      <c r="E36" s="81"/>
    </row>
    <row r="37" spans="2:5" ht="39" customHeight="1" x14ac:dyDescent="0.25">
      <c r="B37" s="88"/>
      <c r="C37" s="97" t="s">
        <v>55</v>
      </c>
      <c r="D37" s="97"/>
      <c r="E37" s="98"/>
    </row>
    <row r="38" spans="2:5" ht="14.25" customHeight="1" x14ac:dyDescent="0.25">
      <c r="B38" s="93" t="s">
        <v>56</v>
      </c>
      <c r="C38" s="94"/>
      <c r="D38" s="42"/>
      <c r="E38" s="81"/>
    </row>
    <row r="39" spans="2:5" ht="39" customHeight="1" x14ac:dyDescent="0.25">
      <c r="B39" s="88"/>
      <c r="C39" s="91" t="s">
        <v>57</v>
      </c>
      <c r="D39" s="91"/>
      <c r="E39" s="92"/>
    </row>
    <row r="40" spans="2:5" ht="14.25" customHeight="1" x14ac:dyDescent="0.25">
      <c r="B40" s="93" t="s">
        <v>58</v>
      </c>
      <c r="C40" s="94"/>
      <c r="D40" s="42"/>
      <c r="E40" s="81"/>
    </row>
    <row r="41" spans="2:5" ht="39" customHeight="1" x14ac:dyDescent="0.25">
      <c r="B41" s="88"/>
      <c r="C41" s="91" t="s">
        <v>59</v>
      </c>
      <c r="D41" s="91"/>
      <c r="E41" s="92"/>
    </row>
    <row r="42" spans="2:5" ht="14.25" customHeight="1" x14ac:dyDescent="0.25">
      <c r="B42" s="93" t="s">
        <v>60</v>
      </c>
      <c r="C42" s="94"/>
      <c r="D42" s="42"/>
      <c r="E42" s="81"/>
    </row>
    <row r="43" spans="2:5" ht="39" customHeight="1" x14ac:dyDescent="0.25">
      <c r="B43" s="88"/>
      <c r="C43" s="91" t="s">
        <v>61</v>
      </c>
      <c r="D43" s="91"/>
      <c r="E43" s="92"/>
    </row>
    <row r="44" spans="2:5" ht="14.25" customHeight="1" x14ac:dyDescent="0.25">
      <c r="B44" s="93" t="s">
        <v>62</v>
      </c>
      <c r="C44" s="94"/>
      <c r="D44" s="42"/>
      <c r="E44" s="81"/>
    </row>
    <row r="45" spans="2:5" ht="39" customHeight="1" x14ac:dyDescent="0.25">
      <c r="B45" s="88"/>
      <c r="C45" s="91" t="s">
        <v>63</v>
      </c>
      <c r="D45" s="91"/>
      <c r="E45" s="92"/>
    </row>
    <row r="46" spans="2:5" ht="14.25" customHeight="1" x14ac:dyDescent="0.25">
      <c r="B46" s="93" t="s">
        <v>64</v>
      </c>
      <c r="C46" s="94"/>
      <c r="D46" s="42"/>
      <c r="E46" s="81"/>
    </row>
    <row r="47" spans="2:5" ht="39" customHeight="1" x14ac:dyDescent="0.25">
      <c r="B47" s="88"/>
      <c r="C47" s="91" t="s">
        <v>65</v>
      </c>
      <c r="D47" s="91"/>
      <c r="E47" s="92"/>
    </row>
    <row r="48" spans="2:5" ht="14.25" customHeight="1" x14ac:dyDescent="0.25">
      <c r="B48" s="93" t="s">
        <v>66</v>
      </c>
      <c r="C48" s="94"/>
      <c r="D48" s="42"/>
      <c r="E48" s="81"/>
    </row>
    <row r="49" spans="2:5" ht="39" customHeight="1" x14ac:dyDescent="0.25">
      <c r="B49" s="88"/>
      <c r="C49" s="91" t="s">
        <v>67</v>
      </c>
      <c r="D49" s="91"/>
      <c r="E49" s="92"/>
    </row>
    <row r="50" spans="2:5" ht="14.25" customHeight="1" x14ac:dyDescent="0.25">
      <c r="B50" s="93" t="s">
        <v>68</v>
      </c>
      <c r="C50" s="94"/>
      <c r="D50" s="42"/>
      <c r="E50" s="81"/>
    </row>
    <row r="51" spans="2:5" ht="39" customHeight="1" x14ac:dyDescent="0.25">
      <c r="B51" s="88"/>
      <c r="C51" s="91" t="s">
        <v>69</v>
      </c>
      <c r="D51" s="91"/>
      <c r="E51" s="92"/>
    </row>
    <row r="52" spans="2:5" ht="14.25" customHeight="1" x14ac:dyDescent="0.25">
      <c r="B52" s="93" t="s">
        <v>70</v>
      </c>
      <c r="C52" s="94"/>
      <c r="D52" s="42"/>
      <c r="E52" s="81"/>
    </row>
    <row r="53" spans="2:5" ht="39" customHeight="1" thickBot="1" x14ac:dyDescent="0.3">
      <c r="B53" s="67"/>
      <c r="C53" s="95" t="s">
        <v>71</v>
      </c>
      <c r="D53" s="95"/>
      <c r="E53" s="96"/>
    </row>
    <row r="54" spans="2:5" ht="14.25" customHeight="1" thickBot="1" x14ac:dyDescent="0.3">
      <c r="B54" s="89"/>
      <c r="C54" s="90"/>
      <c r="D54" s="90"/>
      <c r="E54" s="82"/>
    </row>
    <row r="55" spans="2:5" x14ac:dyDescent="0.25">
      <c r="B55" s="43" t="s">
        <v>72</v>
      </c>
      <c r="C55" s="44"/>
      <c r="D55" s="41"/>
      <c r="E55" s="83"/>
    </row>
    <row r="56" spans="2:5" ht="98.25" customHeight="1" x14ac:dyDescent="0.25">
      <c r="B56" s="45"/>
      <c r="C56" s="99" t="s">
        <v>73</v>
      </c>
      <c r="D56" s="99"/>
      <c r="E56" s="100"/>
    </row>
    <row r="57" spans="2:5" x14ac:dyDescent="0.25">
      <c r="B57" s="45"/>
      <c r="C57" s="101"/>
      <c r="D57" s="101"/>
      <c r="E57" s="102"/>
    </row>
    <row r="58" spans="2:5" ht="13.5" customHeight="1" x14ac:dyDescent="0.25">
      <c r="B58" s="46" t="s">
        <v>74</v>
      </c>
      <c r="C58" s="47"/>
      <c r="D58" s="42"/>
      <c r="E58" s="84"/>
    </row>
    <row r="59" spans="2:5" ht="89.25" customHeight="1" x14ac:dyDescent="0.25">
      <c r="B59" s="45"/>
      <c r="C59" s="99" t="s">
        <v>75</v>
      </c>
      <c r="D59" s="99"/>
      <c r="E59" s="100"/>
    </row>
    <row r="60" spans="2:5" ht="15.75" customHeight="1" thickBot="1" x14ac:dyDescent="0.3">
      <c r="B60" s="48"/>
      <c r="C60" s="49"/>
      <c r="D60" s="49"/>
      <c r="E60" s="85"/>
    </row>
    <row r="61" spans="2:5" ht="14.25" thickBot="1" x14ac:dyDescent="0.3">
      <c r="B61" s="42"/>
      <c r="C61" s="42"/>
      <c r="D61" s="42"/>
      <c r="E61" s="86"/>
    </row>
    <row r="62" spans="2:5" ht="13.5" customHeight="1" x14ac:dyDescent="0.25">
      <c r="B62" s="43" t="s">
        <v>76</v>
      </c>
      <c r="C62" s="50"/>
      <c r="D62" s="50"/>
      <c r="E62" s="87"/>
    </row>
    <row r="63" spans="2:5" x14ac:dyDescent="0.25">
      <c r="B63" s="51"/>
      <c r="C63" s="103" t="s">
        <v>77</v>
      </c>
      <c r="D63" s="103"/>
      <c r="E63" s="104"/>
    </row>
    <row r="64" spans="2:5" ht="13.5" customHeight="1" x14ac:dyDescent="0.25">
      <c r="B64" s="52" t="s">
        <v>78</v>
      </c>
      <c r="C64" s="42"/>
      <c r="D64" s="42"/>
      <c r="E64" s="81"/>
    </row>
    <row r="65" spans="2:5" x14ac:dyDescent="0.25">
      <c r="B65" s="53"/>
      <c r="C65" s="105" t="s">
        <v>79</v>
      </c>
      <c r="D65" s="105"/>
      <c r="E65" s="106"/>
    </row>
    <row r="66" spans="2:5" ht="14.25" customHeight="1" thickBot="1" x14ac:dyDescent="0.3">
      <c r="B66" s="54"/>
      <c r="C66" s="49"/>
      <c r="D66" s="49"/>
      <c r="E66" s="85"/>
    </row>
  </sheetData>
  <mergeCells count="40">
    <mergeCell ref="B26:C26"/>
    <mergeCell ref="C27:E27"/>
    <mergeCell ref="B28:C28"/>
    <mergeCell ref="A6:B6"/>
    <mergeCell ref="A7:B7"/>
    <mergeCell ref="B2:H2"/>
    <mergeCell ref="A4:B4"/>
    <mergeCell ref="C4:E4"/>
    <mergeCell ref="A5:B5"/>
    <mergeCell ref="C5:E5"/>
    <mergeCell ref="C56:E56"/>
    <mergeCell ref="C57:E57"/>
    <mergeCell ref="C59:E59"/>
    <mergeCell ref="C63:E63"/>
    <mergeCell ref="C65:E65"/>
    <mergeCell ref="C29:E29"/>
    <mergeCell ref="B30:C30"/>
    <mergeCell ref="C31:E31"/>
    <mergeCell ref="B32:C32"/>
    <mergeCell ref="C33:E33"/>
    <mergeCell ref="C39:E39"/>
    <mergeCell ref="B46:C46"/>
    <mergeCell ref="C47:E47"/>
    <mergeCell ref="B48:C48"/>
    <mergeCell ref="C49:E49"/>
    <mergeCell ref="C45:E45"/>
    <mergeCell ref="B34:C34"/>
    <mergeCell ref="C35:E35"/>
    <mergeCell ref="B36:C36"/>
    <mergeCell ref="C37:E37"/>
    <mergeCell ref="B38:C38"/>
    <mergeCell ref="C51:E51"/>
    <mergeCell ref="B52:C52"/>
    <mergeCell ref="C53:E53"/>
    <mergeCell ref="B40:C40"/>
    <mergeCell ref="C41:E41"/>
    <mergeCell ref="B42:C42"/>
    <mergeCell ref="C43:E43"/>
    <mergeCell ref="B44:C44"/>
    <mergeCell ref="B50:C50"/>
  </mergeCells>
  <printOptions horizontalCentered="1" verticalCentered="1"/>
  <pageMargins left="0" right="0" top="0" bottom="0" header="0.51181102362204722" footer="0.51181102362204722"/>
  <pageSetup paperSize="9" scale="70" firstPageNumber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16"/>
  <sheetViews>
    <sheetView zoomScale="85" zoomScaleNormal="85" workbookViewId="0">
      <selection activeCell="K2" sqref="K2"/>
    </sheetView>
  </sheetViews>
  <sheetFormatPr baseColWidth="10" defaultColWidth="9.140625" defaultRowHeight="13.5" x14ac:dyDescent="0.25"/>
  <cols>
    <col min="1" max="1" width="5.42578125" style="29" customWidth="1"/>
    <col min="2" max="2" width="12.28515625" style="29" customWidth="1"/>
    <col min="3" max="3" width="14.140625" style="29" customWidth="1"/>
    <col min="4" max="4" width="26" style="29" customWidth="1"/>
    <col min="5" max="5" width="8" style="29" customWidth="1"/>
    <col min="6" max="6" width="7.85546875" style="29" customWidth="1"/>
    <col min="7" max="7" width="77.42578125" style="29" customWidth="1"/>
    <col min="8" max="8" width="8.42578125" style="29" customWidth="1"/>
    <col min="9" max="9" width="12" style="29" customWidth="1"/>
    <col min="10" max="10" width="11.42578125" style="29" customWidth="1"/>
    <col min="11" max="11" width="10.85546875" style="29" customWidth="1"/>
    <col min="12" max="14" width="5.85546875" style="29" customWidth="1"/>
    <col min="15" max="15" width="12.5703125" style="29" customWidth="1"/>
    <col min="16" max="1024" width="9.140625" style="29"/>
    <col min="1025" max="16384" width="9.140625" style="1"/>
  </cols>
  <sheetData>
    <row r="1" spans="1:1024" ht="18" customHeight="1" x14ac:dyDescent="0.25">
      <c r="A1" s="125" t="s">
        <v>80</v>
      </c>
      <c r="B1" s="125"/>
      <c r="C1" s="125"/>
      <c r="D1" s="125"/>
      <c r="E1" s="125"/>
      <c r="F1" s="125"/>
      <c r="G1" s="125"/>
      <c r="H1" s="125"/>
      <c r="I1" s="125"/>
      <c r="J1" s="27" t="s">
        <v>81</v>
      </c>
      <c r="K1" s="28" t="s">
        <v>82</v>
      </c>
    </row>
    <row r="2" spans="1:1024" ht="18.75" customHeight="1" thickBot="1" x14ac:dyDescent="0.3">
      <c r="A2" s="30"/>
      <c r="B2" s="30"/>
      <c r="C2" s="30"/>
      <c r="D2" s="31"/>
      <c r="E2" s="31"/>
      <c r="F2" s="31"/>
      <c r="G2" s="31"/>
      <c r="H2" s="31"/>
      <c r="I2" s="31"/>
      <c r="J2" s="31"/>
      <c r="K2" s="31"/>
    </row>
    <row r="3" spans="1:1024" ht="18.75" customHeight="1" thickBot="1" x14ac:dyDescent="0.3">
      <c r="A3" s="126" t="s">
        <v>83</v>
      </c>
      <c r="B3" s="126"/>
      <c r="C3" s="126"/>
      <c r="D3" s="129" t="str">
        <f>'Necesidades Trimestrales'!C4</f>
        <v>90 - Ministerio de Seguridad</v>
      </c>
      <c r="E3" s="129"/>
      <c r="F3" s="129"/>
      <c r="G3" s="129"/>
      <c r="H3" s="129"/>
      <c r="I3" s="129"/>
      <c r="J3" s="129"/>
      <c r="K3" s="129"/>
    </row>
    <row r="4" spans="1:1024" ht="18.75" customHeight="1" thickBot="1" x14ac:dyDescent="0.3">
      <c r="A4" s="128" t="s">
        <v>84</v>
      </c>
      <c r="B4" s="128"/>
      <c r="C4" s="128"/>
      <c r="D4" s="129" t="str">
        <f>'Necesidades Trimestrales'!C5</f>
        <v>7- Dirección Provincial de Administración de la Policía de la Provincia de Catamarca</v>
      </c>
      <c r="E4" s="129"/>
      <c r="F4" s="129"/>
      <c r="G4" s="129"/>
      <c r="H4" s="129"/>
      <c r="I4" s="129"/>
      <c r="J4" s="129"/>
      <c r="K4" s="129"/>
    </row>
    <row r="5" spans="1:1024" ht="18.75" customHeight="1" thickBot="1" x14ac:dyDescent="0.3">
      <c r="A5" s="128" t="s">
        <v>85</v>
      </c>
      <c r="B5" s="128"/>
      <c r="C5" s="128"/>
      <c r="D5" s="129" t="s">
        <v>86</v>
      </c>
      <c r="E5" s="129"/>
      <c r="F5" s="129"/>
      <c r="G5" s="129"/>
      <c r="H5" s="129"/>
      <c r="I5" s="129"/>
      <c r="J5" s="129"/>
      <c r="K5" s="129"/>
    </row>
    <row r="6" spans="1:1024" ht="16.5" customHeight="1" thickBot="1" x14ac:dyDescent="0.3">
      <c r="A6" s="126" t="s">
        <v>87</v>
      </c>
      <c r="B6" s="126"/>
      <c r="C6" s="126"/>
      <c r="D6" s="127" t="s">
        <v>88</v>
      </c>
      <c r="E6" s="113"/>
      <c r="F6" s="113"/>
      <c r="G6" s="113"/>
      <c r="H6" s="113"/>
      <c r="I6" s="113"/>
      <c r="J6" s="113"/>
      <c r="K6" s="114"/>
    </row>
    <row r="7" spans="1:1024" ht="16.5" customHeight="1" thickBot="1" x14ac:dyDescent="0.3">
      <c r="A7" s="128" t="s">
        <v>89</v>
      </c>
      <c r="B7" s="128"/>
      <c r="C7" s="128"/>
      <c r="D7" s="129" t="s">
        <v>90</v>
      </c>
      <c r="E7" s="129"/>
      <c r="F7" s="129"/>
      <c r="G7" s="129"/>
      <c r="H7" s="129"/>
      <c r="I7" s="129"/>
      <c r="J7" s="129"/>
      <c r="K7" s="129"/>
    </row>
    <row r="8" spans="1:1024" ht="16.5" customHeight="1" thickBot="1" x14ac:dyDescent="0.3">
      <c r="A8" s="121" t="s">
        <v>91</v>
      </c>
      <c r="B8" s="121"/>
      <c r="C8" s="121"/>
      <c r="D8" s="112" t="s">
        <v>92</v>
      </c>
      <c r="E8" s="113"/>
      <c r="F8" s="113"/>
      <c r="G8" s="113"/>
      <c r="H8" s="113"/>
      <c r="I8" s="113"/>
      <c r="J8" s="113"/>
      <c r="K8" s="114"/>
    </row>
    <row r="9" spans="1:1024" ht="18" thickBot="1" x14ac:dyDescent="0.3">
      <c r="A9" s="32"/>
      <c r="B9" s="32"/>
      <c r="C9" s="32"/>
      <c r="D9" s="33"/>
      <c r="E9" s="33"/>
      <c r="F9" s="33"/>
      <c r="G9" s="33"/>
      <c r="H9" s="33"/>
      <c r="I9" s="33"/>
      <c r="J9" s="33"/>
      <c r="K9" s="33"/>
    </row>
    <row r="10" spans="1:1024" ht="14.25" customHeight="1" thickBot="1" x14ac:dyDescent="0.3">
      <c r="A10" s="115" t="s">
        <v>93</v>
      </c>
      <c r="B10" s="116" t="s">
        <v>94</v>
      </c>
      <c r="C10" s="117" t="s">
        <v>95</v>
      </c>
      <c r="D10" s="118"/>
      <c r="E10" s="118"/>
      <c r="F10" s="118"/>
      <c r="G10" s="119"/>
      <c r="H10" s="120" t="s">
        <v>96</v>
      </c>
      <c r="I10" s="118" t="s">
        <v>97</v>
      </c>
      <c r="J10" s="118" t="s">
        <v>98</v>
      </c>
      <c r="K10" s="119" t="s">
        <v>99</v>
      </c>
    </row>
    <row r="11" spans="1:1024" ht="14.25" customHeight="1" thickBot="1" x14ac:dyDescent="0.3">
      <c r="A11" s="115"/>
      <c r="B11" s="116"/>
      <c r="C11" s="117"/>
      <c r="D11" s="118"/>
      <c r="E11" s="118"/>
      <c r="F11" s="118"/>
      <c r="G11" s="119"/>
      <c r="H11" s="120"/>
      <c r="I11" s="118"/>
      <c r="J11" s="118"/>
      <c r="K11" s="119"/>
    </row>
    <row r="12" spans="1:1024" ht="22.5" customHeight="1" thickBot="1" x14ac:dyDescent="0.3">
      <c r="A12" s="34">
        <v>1</v>
      </c>
      <c r="B12" s="66" t="e">
        <f>'Necesidades Trimestrales'!#REF!</f>
        <v>#REF!</v>
      </c>
      <c r="C12" s="122" t="e">
        <f>'Necesidades Trimestrales'!#REF!</f>
        <v>#REF!</v>
      </c>
      <c r="D12" s="123"/>
      <c r="E12" s="123"/>
      <c r="F12" s="123"/>
      <c r="G12" s="124"/>
      <c r="H12" s="35" t="s">
        <v>100</v>
      </c>
      <c r="I12" s="36" t="e">
        <f>'Necesidades Trimestrales'!#REF!</f>
        <v>#REF!</v>
      </c>
      <c r="J12" s="37" t="e">
        <f>'Necesidades Trimestrales'!#REF!</f>
        <v>#REF!</v>
      </c>
      <c r="K12" s="38" t="e">
        <f>'Necesidades Trimestrales'!#REF!</f>
        <v>#REF!</v>
      </c>
    </row>
    <row r="13" spans="1:1024" ht="22.5" customHeight="1" thickBot="1" x14ac:dyDescent="0.3">
      <c r="A13" s="34"/>
      <c r="B13" s="66" t="e">
        <f>'Necesidades Trimestrales'!#REF!</f>
        <v>#REF!</v>
      </c>
      <c r="C13" s="122" t="e">
        <f>'Necesidades Trimestrales'!#REF!</f>
        <v>#REF!</v>
      </c>
      <c r="D13" s="123"/>
      <c r="E13" s="123"/>
      <c r="F13" s="123"/>
      <c r="G13" s="124"/>
      <c r="H13" s="35" t="s">
        <v>100</v>
      </c>
      <c r="I13" s="36" t="e">
        <f>'Necesidades Trimestrales'!#REF!</f>
        <v>#REF!</v>
      </c>
      <c r="J13" s="37" t="e">
        <f>'Necesidades Trimestrales'!#REF!</f>
        <v>#REF!</v>
      </c>
      <c r="K13" s="38" t="e">
        <f>'Necesidades Trimestrales'!#REF!</f>
        <v>#REF!</v>
      </c>
    </row>
    <row r="14" spans="1:1024" ht="19.5" customHeight="1" x14ac:dyDescent="0.25">
      <c r="A14" s="34">
        <v>3</v>
      </c>
      <c r="B14" s="66" t="e">
        <f>'Necesidades Trimestrales'!#REF!</f>
        <v>#REF!</v>
      </c>
      <c r="C14" s="122" t="e">
        <f>'Necesidades Trimestrales'!#REF!</f>
        <v>#REF!</v>
      </c>
      <c r="D14" s="123"/>
      <c r="E14" s="123"/>
      <c r="F14" s="123"/>
      <c r="G14" s="124"/>
      <c r="H14" s="35" t="s">
        <v>100</v>
      </c>
      <c r="I14" s="36" t="e">
        <f>'Necesidades Trimestrales'!#REF!</f>
        <v>#REF!</v>
      </c>
      <c r="J14" s="37" t="e">
        <f>'Necesidades Trimestrales'!#REF!</f>
        <v>#REF!</v>
      </c>
      <c r="K14" s="38" t="e">
        <f>'Necesidades Trimestrales'!#REF!</f>
        <v>#REF!</v>
      </c>
    </row>
    <row r="15" spans="1:1024" ht="15.75" thickBot="1" x14ac:dyDescent="0.3">
      <c r="A15" s="110" t="s">
        <v>101</v>
      </c>
      <c r="B15" s="110"/>
      <c r="C15" s="110"/>
      <c r="D15" s="110"/>
      <c r="E15" s="110"/>
      <c r="F15" s="110"/>
      <c r="G15" s="110"/>
      <c r="H15" s="110"/>
      <c r="I15" s="110"/>
      <c r="J15" s="111">
        <f>'Necesidades Trimestrales'!I24</f>
        <v>3999212.5</v>
      </c>
      <c r="K15" s="11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  <c r="IW15" s="1"/>
      <c r="IX15" s="1"/>
      <c r="IY15" s="1"/>
      <c r="IZ15" s="1"/>
      <c r="JA15" s="1"/>
      <c r="JB15" s="1"/>
      <c r="JC15" s="1"/>
      <c r="JD15" s="1"/>
      <c r="JE15" s="1"/>
      <c r="JF15" s="1"/>
      <c r="JG15" s="1"/>
      <c r="JH15" s="1"/>
      <c r="JI15" s="1"/>
      <c r="JJ15" s="1"/>
      <c r="JK15" s="1"/>
      <c r="JL15" s="1"/>
      <c r="JM15" s="1"/>
      <c r="JN15" s="1"/>
      <c r="JO15" s="1"/>
      <c r="JP15" s="1"/>
      <c r="JQ15" s="1"/>
      <c r="JR15" s="1"/>
      <c r="JS15" s="1"/>
      <c r="JT15" s="1"/>
      <c r="JU15" s="1"/>
      <c r="JV15" s="1"/>
      <c r="JW15" s="1"/>
      <c r="JX15" s="1"/>
      <c r="JY15" s="1"/>
      <c r="JZ15" s="1"/>
      <c r="KA15" s="1"/>
      <c r="KB15" s="1"/>
      <c r="KC15" s="1"/>
      <c r="KD15" s="1"/>
      <c r="KE15" s="1"/>
      <c r="KF15" s="1"/>
      <c r="KG15" s="1"/>
      <c r="KH15" s="1"/>
      <c r="KI15" s="1"/>
      <c r="KJ15" s="1"/>
      <c r="KK15" s="1"/>
      <c r="KL15" s="1"/>
      <c r="KM15" s="1"/>
      <c r="KN15" s="1"/>
      <c r="KO15" s="1"/>
      <c r="KP15" s="1"/>
      <c r="KQ15" s="1"/>
      <c r="KR15" s="1"/>
      <c r="KS15" s="1"/>
      <c r="KT15" s="1"/>
      <c r="KU15" s="1"/>
      <c r="KV15" s="1"/>
      <c r="KW15" s="1"/>
      <c r="KX15" s="1"/>
      <c r="KY15" s="1"/>
      <c r="KZ15" s="1"/>
      <c r="LA15" s="1"/>
      <c r="LB15" s="1"/>
      <c r="LC15" s="1"/>
      <c r="LD15" s="1"/>
      <c r="LE15" s="1"/>
      <c r="LF15" s="1"/>
      <c r="LG15" s="1"/>
      <c r="LH15" s="1"/>
      <c r="LI15" s="1"/>
      <c r="LJ15" s="1"/>
      <c r="LK15" s="1"/>
      <c r="LL15" s="1"/>
      <c r="LM15" s="1"/>
      <c r="LN15" s="1"/>
      <c r="LO15" s="1"/>
      <c r="LP15" s="1"/>
      <c r="LQ15" s="1"/>
      <c r="LR15" s="1"/>
      <c r="LS15" s="1"/>
      <c r="LT15" s="1"/>
      <c r="LU15" s="1"/>
      <c r="LV15" s="1"/>
      <c r="LW15" s="1"/>
      <c r="LX15" s="1"/>
      <c r="LY15" s="1"/>
      <c r="LZ15" s="1"/>
      <c r="MA15" s="1"/>
      <c r="MB15" s="1"/>
      <c r="MC15" s="1"/>
      <c r="MD15" s="1"/>
      <c r="ME15" s="1"/>
      <c r="MF15" s="1"/>
      <c r="MG15" s="1"/>
      <c r="MH15" s="1"/>
      <c r="MI15" s="1"/>
      <c r="MJ15" s="1"/>
      <c r="MK15" s="1"/>
      <c r="ML15" s="1"/>
      <c r="MM15" s="1"/>
      <c r="MN15" s="1"/>
      <c r="MO15" s="1"/>
      <c r="MP15" s="1"/>
      <c r="MQ15" s="1"/>
      <c r="MR15" s="1"/>
      <c r="MS15" s="1"/>
      <c r="MT15" s="1"/>
      <c r="MU15" s="1"/>
      <c r="MV15" s="1"/>
      <c r="MW15" s="1"/>
      <c r="MX15" s="1"/>
      <c r="MY15" s="1"/>
      <c r="MZ15" s="1"/>
      <c r="NA15" s="1"/>
      <c r="NB15" s="1"/>
      <c r="NC15" s="1"/>
      <c r="ND15" s="1"/>
      <c r="NE15" s="1"/>
      <c r="NF15" s="1"/>
      <c r="NG15" s="1"/>
      <c r="NH15" s="1"/>
      <c r="NI15" s="1"/>
      <c r="NJ15" s="1"/>
      <c r="NK15" s="1"/>
      <c r="NL15" s="1"/>
      <c r="NM15" s="1"/>
      <c r="NN15" s="1"/>
      <c r="NO15" s="1"/>
      <c r="NP15" s="1"/>
      <c r="NQ15" s="1"/>
      <c r="NR15" s="1"/>
      <c r="NS15" s="1"/>
      <c r="NT15" s="1"/>
      <c r="NU15" s="1"/>
      <c r="NV15" s="1"/>
      <c r="NW15" s="1"/>
      <c r="NX15" s="1"/>
      <c r="NY15" s="1"/>
      <c r="NZ15" s="1"/>
      <c r="OA15" s="1"/>
      <c r="OB15" s="1"/>
      <c r="OC15" s="1"/>
      <c r="OD15" s="1"/>
      <c r="OE15" s="1"/>
      <c r="OF15" s="1"/>
      <c r="OG15" s="1"/>
      <c r="OH15" s="1"/>
      <c r="OI15" s="1"/>
      <c r="OJ15" s="1"/>
      <c r="OK15" s="1"/>
      <c r="OL15" s="1"/>
      <c r="OM15" s="1"/>
      <c r="ON15" s="1"/>
      <c r="OO15" s="1"/>
      <c r="OP15" s="1"/>
      <c r="OQ15" s="1"/>
      <c r="OR15" s="1"/>
      <c r="OS15" s="1"/>
      <c r="OT15" s="1"/>
      <c r="OU15" s="1"/>
      <c r="OV15" s="1"/>
      <c r="OW15" s="1"/>
      <c r="OX15" s="1"/>
      <c r="OY15" s="1"/>
      <c r="OZ15" s="1"/>
      <c r="PA15" s="1"/>
      <c r="PB15" s="1"/>
      <c r="PC15" s="1"/>
      <c r="PD15" s="1"/>
      <c r="PE15" s="1"/>
      <c r="PF15" s="1"/>
      <c r="PG15" s="1"/>
      <c r="PH15" s="1"/>
      <c r="PI15" s="1"/>
      <c r="PJ15" s="1"/>
      <c r="PK15" s="1"/>
      <c r="PL15" s="1"/>
      <c r="PM15" s="1"/>
      <c r="PN15" s="1"/>
      <c r="PO15" s="1"/>
      <c r="PP15" s="1"/>
      <c r="PQ15" s="1"/>
      <c r="PR15" s="1"/>
      <c r="PS15" s="1"/>
      <c r="PT15" s="1"/>
      <c r="PU15" s="1"/>
      <c r="PV15" s="1"/>
      <c r="PW15" s="1"/>
      <c r="PX15" s="1"/>
      <c r="PY15" s="1"/>
      <c r="PZ15" s="1"/>
      <c r="QA15" s="1"/>
      <c r="QB15" s="1"/>
      <c r="QC15" s="1"/>
      <c r="QD15" s="1"/>
      <c r="QE15" s="1"/>
      <c r="QF15" s="1"/>
      <c r="QG15" s="1"/>
      <c r="QH15" s="1"/>
      <c r="QI15" s="1"/>
      <c r="QJ15" s="1"/>
      <c r="QK15" s="1"/>
      <c r="QL15" s="1"/>
      <c r="QM15" s="1"/>
      <c r="QN15" s="1"/>
      <c r="QO15" s="1"/>
      <c r="QP15" s="1"/>
      <c r="QQ15" s="1"/>
      <c r="QR15" s="1"/>
      <c r="QS15" s="1"/>
      <c r="QT15" s="1"/>
      <c r="QU15" s="1"/>
      <c r="QV15" s="1"/>
      <c r="QW15" s="1"/>
      <c r="QX15" s="1"/>
      <c r="QY15" s="1"/>
      <c r="QZ15" s="1"/>
      <c r="RA15" s="1"/>
      <c r="RB15" s="1"/>
      <c r="RC15" s="1"/>
      <c r="RD15" s="1"/>
      <c r="RE15" s="1"/>
      <c r="RF15" s="1"/>
      <c r="RG15" s="1"/>
      <c r="RH15" s="1"/>
      <c r="RI15" s="1"/>
      <c r="RJ15" s="1"/>
      <c r="RK15" s="1"/>
      <c r="RL15" s="1"/>
      <c r="RM15" s="1"/>
      <c r="RN15" s="1"/>
      <c r="RO15" s="1"/>
      <c r="RP15" s="1"/>
      <c r="RQ15" s="1"/>
      <c r="RR15" s="1"/>
      <c r="RS15" s="1"/>
      <c r="RT15" s="1"/>
      <c r="RU15" s="1"/>
      <c r="RV15" s="1"/>
      <c r="RW15" s="1"/>
      <c r="RX15" s="1"/>
      <c r="RY15" s="1"/>
      <c r="RZ15" s="1"/>
      <c r="SA15" s="1"/>
      <c r="SB15" s="1"/>
      <c r="SC15" s="1"/>
      <c r="SD15" s="1"/>
      <c r="SE15" s="1"/>
      <c r="SF15" s="1"/>
      <c r="SG15" s="1"/>
      <c r="SH15" s="1"/>
      <c r="SI15" s="1"/>
      <c r="SJ15" s="1"/>
      <c r="SK15" s="1"/>
      <c r="SL15" s="1"/>
      <c r="SM15" s="1"/>
      <c r="SN15" s="1"/>
      <c r="SO15" s="1"/>
      <c r="SP15" s="1"/>
      <c r="SQ15" s="1"/>
      <c r="SR15" s="1"/>
      <c r="SS15" s="1"/>
      <c r="ST15" s="1"/>
      <c r="SU15" s="1"/>
      <c r="SV15" s="1"/>
      <c r="SW15" s="1"/>
      <c r="SX15" s="1"/>
      <c r="SY15" s="1"/>
      <c r="SZ15" s="1"/>
      <c r="TA15" s="1"/>
      <c r="TB15" s="1"/>
      <c r="TC15" s="1"/>
      <c r="TD15" s="1"/>
      <c r="TE15" s="1"/>
      <c r="TF15" s="1"/>
      <c r="TG15" s="1"/>
      <c r="TH15" s="1"/>
      <c r="TI15" s="1"/>
      <c r="TJ15" s="1"/>
      <c r="TK15" s="1"/>
      <c r="TL15" s="1"/>
      <c r="TM15" s="1"/>
      <c r="TN15" s="1"/>
      <c r="TO15" s="1"/>
      <c r="TP15" s="1"/>
      <c r="TQ15" s="1"/>
      <c r="TR15" s="1"/>
      <c r="TS15" s="1"/>
      <c r="TT15" s="1"/>
      <c r="TU15" s="1"/>
      <c r="TV15" s="1"/>
      <c r="TW15" s="1"/>
      <c r="TX15" s="1"/>
      <c r="TY15" s="1"/>
      <c r="TZ15" s="1"/>
      <c r="UA15" s="1"/>
      <c r="UB15" s="1"/>
      <c r="UC15" s="1"/>
      <c r="UD15" s="1"/>
      <c r="UE15" s="1"/>
      <c r="UF15" s="1"/>
      <c r="UG15" s="1"/>
      <c r="UH15" s="1"/>
      <c r="UI15" s="1"/>
      <c r="UJ15" s="1"/>
      <c r="UK15" s="1"/>
      <c r="UL15" s="1"/>
      <c r="UM15" s="1"/>
      <c r="UN15" s="1"/>
      <c r="UO15" s="1"/>
      <c r="UP15" s="1"/>
      <c r="UQ15" s="1"/>
      <c r="UR15" s="1"/>
      <c r="US15" s="1"/>
      <c r="UT15" s="1"/>
      <c r="UU15" s="1"/>
      <c r="UV15" s="1"/>
      <c r="UW15" s="1"/>
      <c r="UX15" s="1"/>
      <c r="UY15" s="1"/>
      <c r="UZ15" s="1"/>
      <c r="VA15" s="1"/>
      <c r="VB15" s="1"/>
      <c r="VC15" s="1"/>
      <c r="VD15" s="1"/>
      <c r="VE15" s="1"/>
      <c r="VF15" s="1"/>
      <c r="VG15" s="1"/>
      <c r="VH15" s="1"/>
      <c r="VI15" s="1"/>
      <c r="VJ15" s="1"/>
      <c r="VK15" s="1"/>
      <c r="VL15" s="1"/>
      <c r="VM15" s="1"/>
      <c r="VN15" s="1"/>
      <c r="VO15" s="1"/>
      <c r="VP15" s="1"/>
      <c r="VQ15" s="1"/>
      <c r="VR15" s="1"/>
      <c r="VS15" s="1"/>
      <c r="VT15" s="1"/>
      <c r="VU15" s="1"/>
      <c r="VV15" s="1"/>
      <c r="VW15" s="1"/>
      <c r="VX15" s="1"/>
      <c r="VY15" s="1"/>
      <c r="VZ15" s="1"/>
      <c r="WA15" s="1"/>
      <c r="WB15" s="1"/>
      <c r="WC15" s="1"/>
      <c r="WD15" s="1"/>
      <c r="WE15" s="1"/>
      <c r="WF15" s="1"/>
      <c r="WG15" s="1"/>
      <c r="WH15" s="1"/>
      <c r="WI15" s="1"/>
      <c r="WJ15" s="1"/>
      <c r="WK15" s="1"/>
      <c r="WL15" s="1"/>
      <c r="WM15" s="1"/>
      <c r="WN15" s="1"/>
      <c r="WO15" s="1"/>
      <c r="WP15" s="1"/>
      <c r="WQ15" s="1"/>
      <c r="WR15" s="1"/>
      <c r="WS15" s="1"/>
      <c r="WT15" s="1"/>
      <c r="WU15" s="1"/>
      <c r="WV15" s="1"/>
      <c r="WW15" s="1"/>
      <c r="WX15" s="1"/>
      <c r="WY15" s="1"/>
      <c r="WZ15" s="1"/>
      <c r="XA15" s="1"/>
      <c r="XB15" s="1"/>
      <c r="XC15" s="1"/>
      <c r="XD15" s="1"/>
      <c r="XE15" s="1"/>
      <c r="XF15" s="1"/>
      <c r="XG15" s="1"/>
      <c r="XH15" s="1"/>
      <c r="XI15" s="1"/>
      <c r="XJ15" s="1"/>
      <c r="XK15" s="1"/>
      <c r="XL15" s="1"/>
      <c r="XM15" s="1"/>
      <c r="XN15" s="1"/>
      <c r="XO15" s="1"/>
      <c r="XP15" s="1"/>
      <c r="XQ15" s="1"/>
      <c r="XR15" s="1"/>
      <c r="XS15" s="1"/>
      <c r="XT15" s="1"/>
      <c r="XU15" s="1"/>
      <c r="XV15" s="1"/>
      <c r="XW15" s="1"/>
      <c r="XX15" s="1"/>
      <c r="XY15" s="1"/>
      <c r="XZ15" s="1"/>
      <c r="YA15" s="1"/>
      <c r="YB15" s="1"/>
      <c r="YC15" s="1"/>
      <c r="YD15" s="1"/>
      <c r="YE15" s="1"/>
      <c r="YF15" s="1"/>
      <c r="YG15" s="1"/>
      <c r="YH15" s="1"/>
      <c r="YI15" s="1"/>
      <c r="YJ15" s="1"/>
      <c r="YK15" s="1"/>
      <c r="YL15" s="1"/>
      <c r="YM15" s="1"/>
      <c r="YN15" s="1"/>
      <c r="YO15" s="1"/>
      <c r="YP15" s="1"/>
      <c r="YQ15" s="1"/>
      <c r="YR15" s="1"/>
      <c r="YS15" s="1"/>
      <c r="YT15" s="1"/>
      <c r="YU15" s="1"/>
      <c r="YV15" s="1"/>
      <c r="YW15" s="1"/>
      <c r="YX15" s="1"/>
      <c r="YY15" s="1"/>
      <c r="YZ15" s="1"/>
      <c r="ZA15" s="1"/>
      <c r="ZB15" s="1"/>
      <c r="ZC15" s="1"/>
      <c r="ZD15" s="1"/>
      <c r="ZE15" s="1"/>
      <c r="ZF15" s="1"/>
      <c r="ZG15" s="1"/>
      <c r="ZH15" s="1"/>
      <c r="ZI15" s="1"/>
      <c r="ZJ15" s="1"/>
      <c r="ZK15" s="1"/>
      <c r="ZL15" s="1"/>
      <c r="ZM15" s="1"/>
      <c r="ZN15" s="1"/>
      <c r="ZO15" s="1"/>
      <c r="ZP15" s="1"/>
      <c r="ZQ15" s="1"/>
      <c r="ZR15" s="1"/>
      <c r="ZS15" s="1"/>
      <c r="ZT15" s="1"/>
      <c r="ZU15" s="1"/>
      <c r="ZV15" s="1"/>
      <c r="ZW15" s="1"/>
      <c r="ZX15" s="1"/>
      <c r="ZY15" s="1"/>
      <c r="ZZ15" s="1"/>
      <c r="AAA15" s="1"/>
      <c r="AAB15" s="1"/>
      <c r="AAC15" s="1"/>
      <c r="AAD15" s="1"/>
      <c r="AAE15" s="1"/>
      <c r="AAF15" s="1"/>
      <c r="AAG15" s="1"/>
      <c r="AAH15" s="1"/>
      <c r="AAI15" s="1"/>
      <c r="AAJ15" s="1"/>
      <c r="AAK15" s="1"/>
      <c r="AAL15" s="1"/>
      <c r="AAM15" s="1"/>
      <c r="AAN15" s="1"/>
      <c r="AAO15" s="1"/>
      <c r="AAP15" s="1"/>
      <c r="AAQ15" s="1"/>
      <c r="AAR15" s="1"/>
      <c r="AAS15" s="1"/>
      <c r="AAT15" s="1"/>
      <c r="AAU15" s="1"/>
      <c r="AAV15" s="1"/>
      <c r="AAW15" s="1"/>
      <c r="AAX15" s="1"/>
      <c r="AAY15" s="1"/>
      <c r="AAZ15" s="1"/>
      <c r="ABA15" s="1"/>
      <c r="ABB15" s="1"/>
      <c r="ABC15" s="1"/>
      <c r="ABD15" s="1"/>
      <c r="ABE15" s="1"/>
      <c r="ABF15" s="1"/>
      <c r="ABG15" s="1"/>
      <c r="ABH15" s="1"/>
      <c r="ABI15" s="1"/>
      <c r="ABJ15" s="1"/>
      <c r="ABK15" s="1"/>
      <c r="ABL15" s="1"/>
      <c r="ABM15" s="1"/>
      <c r="ABN15" s="1"/>
      <c r="ABO15" s="1"/>
      <c r="ABP15" s="1"/>
      <c r="ABQ15" s="1"/>
      <c r="ABR15" s="1"/>
      <c r="ABS15" s="1"/>
      <c r="ABT15" s="1"/>
      <c r="ABU15" s="1"/>
      <c r="ABV15" s="1"/>
      <c r="ABW15" s="1"/>
      <c r="ABX15" s="1"/>
      <c r="ABY15" s="1"/>
      <c r="ABZ15" s="1"/>
      <c r="ACA15" s="1"/>
      <c r="ACB15" s="1"/>
      <c r="ACC15" s="1"/>
      <c r="ACD15" s="1"/>
      <c r="ACE15" s="1"/>
      <c r="ACF15" s="1"/>
      <c r="ACG15" s="1"/>
      <c r="ACH15" s="1"/>
      <c r="ACI15" s="1"/>
      <c r="ACJ15" s="1"/>
      <c r="ACK15" s="1"/>
      <c r="ACL15" s="1"/>
      <c r="ACM15" s="1"/>
      <c r="ACN15" s="1"/>
      <c r="ACO15" s="1"/>
      <c r="ACP15" s="1"/>
      <c r="ACQ15" s="1"/>
      <c r="ACR15" s="1"/>
      <c r="ACS15" s="1"/>
      <c r="ACT15" s="1"/>
      <c r="ACU15" s="1"/>
      <c r="ACV15" s="1"/>
      <c r="ACW15" s="1"/>
      <c r="ACX15" s="1"/>
      <c r="ACY15" s="1"/>
      <c r="ACZ15" s="1"/>
      <c r="ADA15" s="1"/>
      <c r="ADB15" s="1"/>
      <c r="ADC15" s="1"/>
      <c r="ADD15" s="1"/>
      <c r="ADE15" s="1"/>
      <c r="ADF15" s="1"/>
      <c r="ADG15" s="1"/>
      <c r="ADH15" s="1"/>
      <c r="ADI15" s="1"/>
      <c r="ADJ15" s="1"/>
      <c r="ADK15" s="1"/>
      <c r="ADL15" s="1"/>
      <c r="ADM15" s="1"/>
      <c r="ADN15" s="1"/>
      <c r="ADO15" s="1"/>
      <c r="ADP15" s="1"/>
      <c r="ADQ15" s="1"/>
      <c r="ADR15" s="1"/>
      <c r="ADS15" s="1"/>
      <c r="ADT15" s="1"/>
      <c r="ADU15" s="1"/>
      <c r="ADV15" s="1"/>
      <c r="ADW15" s="1"/>
      <c r="ADX15" s="1"/>
      <c r="ADY15" s="1"/>
      <c r="ADZ15" s="1"/>
      <c r="AEA15" s="1"/>
      <c r="AEB15" s="1"/>
      <c r="AEC15" s="1"/>
      <c r="AED15" s="1"/>
      <c r="AEE15" s="1"/>
      <c r="AEF15" s="1"/>
      <c r="AEG15" s="1"/>
      <c r="AEH15" s="1"/>
      <c r="AEI15" s="1"/>
      <c r="AEJ15" s="1"/>
      <c r="AEK15" s="1"/>
      <c r="AEL15" s="1"/>
      <c r="AEM15" s="1"/>
      <c r="AEN15" s="1"/>
      <c r="AEO15" s="1"/>
      <c r="AEP15" s="1"/>
      <c r="AEQ15" s="1"/>
      <c r="AER15" s="1"/>
      <c r="AES15" s="1"/>
      <c r="AET15" s="1"/>
      <c r="AEU15" s="1"/>
      <c r="AEV15" s="1"/>
      <c r="AEW15" s="1"/>
      <c r="AEX15" s="1"/>
      <c r="AEY15" s="1"/>
      <c r="AEZ15" s="1"/>
      <c r="AFA15" s="1"/>
      <c r="AFB15" s="1"/>
      <c r="AFC15" s="1"/>
      <c r="AFD15" s="1"/>
      <c r="AFE15" s="1"/>
      <c r="AFF15" s="1"/>
      <c r="AFG15" s="1"/>
      <c r="AFH15" s="1"/>
      <c r="AFI15" s="1"/>
      <c r="AFJ15" s="1"/>
      <c r="AFK15" s="1"/>
      <c r="AFL15" s="1"/>
      <c r="AFM15" s="1"/>
      <c r="AFN15" s="1"/>
      <c r="AFO15" s="1"/>
      <c r="AFP15" s="1"/>
      <c r="AFQ15" s="1"/>
      <c r="AFR15" s="1"/>
      <c r="AFS15" s="1"/>
      <c r="AFT15" s="1"/>
      <c r="AFU15" s="1"/>
      <c r="AFV15" s="1"/>
      <c r="AFW15" s="1"/>
      <c r="AFX15" s="1"/>
      <c r="AFY15" s="1"/>
      <c r="AFZ15" s="1"/>
      <c r="AGA15" s="1"/>
      <c r="AGB15" s="1"/>
      <c r="AGC15" s="1"/>
      <c r="AGD15" s="1"/>
      <c r="AGE15" s="1"/>
      <c r="AGF15" s="1"/>
      <c r="AGG15" s="1"/>
      <c r="AGH15" s="1"/>
      <c r="AGI15" s="1"/>
      <c r="AGJ15" s="1"/>
      <c r="AGK15" s="1"/>
      <c r="AGL15" s="1"/>
      <c r="AGM15" s="1"/>
      <c r="AGN15" s="1"/>
      <c r="AGO15" s="1"/>
      <c r="AGP15" s="1"/>
      <c r="AGQ15" s="1"/>
      <c r="AGR15" s="1"/>
      <c r="AGS15" s="1"/>
      <c r="AGT15" s="1"/>
      <c r="AGU15" s="1"/>
      <c r="AGV15" s="1"/>
      <c r="AGW15" s="1"/>
      <c r="AGX15" s="1"/>
      <c r="AGY15" s="1"/>
      <c r="AGZ15" s="1"/>
      <c r="AHA15" s="1"/>
      <c r="AHB15" s="1"/>
      <c r="AHC15" s="1"/>
      <c r="AHD15" s="1"/>
      <c r="AHE15" s="1"/>
      <c r="AHF15" s="1"/>
      <c r="AHG15" s="1"/>
      <c r="AHH15" s="1"/>
      <c r="AHI15" s="1"/>
      <c r="AHJ15" s="1"/>
      <c r="AHK15" s="1"/>
      <c r="AHL15" s="1"/>
      <c r="AHM15" s="1"/>
      <c r="AHN15" s="1"/>
      <c r="AHO15" s="1"/>
      <c r="AHP15" s="1"/>
      <c r="AHQ15" s="1"/>
      <c r="AHR15" s="1"/>
      <c r="AHS15" s="1"/>
      <c r="AHT15" s="1"/>
      <c r="AHU15" s="1"/>
      <c r="AHV15" s="1"/>
      <c r="AHW15" s="1"/>
      <c r="AHX15" s="1"/>
      <c r="AHY15" s="1"/>
      <c r="AHZ15" s="1"/>
      <c r="AIA15" s="1"/>
      <c r="AIB15" s="1"/>
      <c r="AIC15" s="1"/>
      <c r="AID15" s="1"/>
      <c r="AIE15" s="1"/>
      <c r="AIF15" s="1"/>
      <c r="AIG15" s="1"/>
      <c r="AIH15" s="1"/>
      <c r="AII15" s="1"/>
      <c r="AIJ15" s="1"/>
      <c r="AIK15" s="1"/>
      <c r="AIL15" s="1"/>
      <c r="AIM15" s="1"/>
      <c r="AIN15" s="1"/>
      <c r="AIO15" s="1"/>
      <c r="AIP15" s="1"/>
      <c r="AIQ15" s="1"/>
      <c r="AIR15" s="1"/>
      <c r="AIS15" s="1"/>
      <c r="AIT15" s="1"/>
      <c r="AIU15" s="1"/>
      <c r="AIV15" s="1"/>
      <c r="AIW15" s="1"/>
      <c r="AIX15" s="1"/>
      <c r="AIY15" s="1"/>
      <c r="AIZ15" s="1"/>
      <c r="AJA15" s="1"/>
      <c r="AJB15" s="1"/>
      <c r="AJC15" s="1"/>
      <c r="AJD15" s="1"/>
      <c r="AJE15" s="1"/>
      <c r="AJF15" s="1"/>
      <c r="AJG15" s="1"/>
      <c r="AJH15" s="1"/>
      <c r="AJI15" s="1"/>
      <c r="AJJ15" s="1"/>
      <c r="AJK15" s="1"/>
      <c r="AJL15" s="1"/>
      <c r="AJM15" s="1"/>
      <c r="AJN15" s="1"/>
      <c r="AJO15" s="1"/>
      <c r="AJP15" s="1"/>
      <c r="AJQ15" s="1"/>
      <c r="AJR15" s="1"/>
      <c r="AJS15" s="1"/>
      <c r="AJT15" s="1"/>
      <c r="AJU15" s="1"/>
      <c r="AJV15" s="1"/>
      <c r="AJW15" s="1"/>
      <c r="AJX15" s="1"/>
      <c r="AJY15" s="1"/>
      <c r="AJZ15" s="1"/>
      <c r="AKA15" s="1"/>
      <c r="AKB15" s="1"/>
      <c r="AKC15" s="1"/>
      <c r="AKD15" s="1"/>
      <c r="AKE15" s="1"/>
      <c r="AKF15" s="1"/>
      <c r="AKG15" s="1"/>
      <c r="AKH15" s="1"/>
      <c r="AKI15" s="1"/>
      <c r="AKJ15" s="1"/>
      <c r="AKK15" s="1"/>
      <c r="AKL15" s="1"/>
      <c r="AKM15" s="1"/>
      <c r="AKN15" s="1"/>
      <c r="AKO15" s="1"/>
      <c r="AKP15" s="1"/>
      <c r="AKQ15" s="1"/>
      <c r="AKR15" s="1"/>
      <c r="AKS15" s="1"/>
      <c r="AKT15" s="1"/>
      <c r="AKU15" s="1"/>
      <c r="AKV15" s="1"/>
      <c r="AKW15" s="1"/>
      <c r="AKX15" s="1"/>
      <c r="AKY15" s="1"/>
      <c r="AKZ15" s="1"/>
      <c r="ALA15" s="1"/>
      <c r="ALB15" s="1"/>
      <c r="ALC15" s="1"/>
      <c r="ALD15" s="1"/>
      <c r="ALE15" s="1"/>
      <c r="ALF15" s="1"/>
      <c r="ALG15" s="1"/>
      <c r="ALH15" s="1"/>
      <c r="ALI15" s="1"/>
      <c r="ALJ15" s="1"/>
      <c r="ALK15" s="1"/>
      <c r="ALL15" s="1"/>
      <c r="ALM15" s="1"/>
      <c r="ALN15" s="1"/>
      <c r="ALO15" s="1"/>
      <c r="ALP15" s="1"/>
      <c r="ALQ15" s="1"/>
      <c r="ALR15" s="1"/>
      <c r="ALS15" s="1"/>
      <c r="ALT15" s="1"/>
      <c r="ALU15" s="1"/>
      <c r="ALV15" s="1"/>
      <c r="ALW15" s="1"/>
      <c r="ALX15" s="1"/>
      <c r="ALY15" s="1"/>
      <c r="ALZ15" s="1"/>
      <c r="AMA15" s="1"/>
      <c r="AMB15" s="1"/>
      <c r="AMC15" s="1"/>
      <c r="AMD15" s="1"/>
      <c r="AME15" s="1"/>
      <c r="AMF15" s="1"/>
      <c r="AMG15" s="1"/>
      <c r="AMH15" s="1"/>
      <c r="AMI15" s="1"/>
      <c r="AMJ15" s="1"/>
    </row>
    <row r="16" spans="1:1024" x14ac:dyDescent="0.25">
      <c r="J16" s="39"/>
    </row>
  </sheetData>
  <mergeCells count="25"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  <mergeCell ref="A15:I15"/>
    <mergeCell ref="J15:K15"/>
    <mergeCell ref="D8:K8"/>
    <mergeCell ref="A10:A11"/>
    <mergeCell ref="B10:B11"/>
    <mergeCell ref="C10:G11"/>
    <mergeCell ref="H10:H11"/>
    <mergeCell ref="I10:I11"/>
    <mergeCell ref="J10:J11"/>
    <mergeCell ref="K10:K11"/>
    <mergeCell ref="A8:C8"/>
    <mergeCell ref="C14:G14"/>
    <mergeCell ref="C12:G12"/>
    <mergeCell ref="C13:G13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0"/>
  <sheetViews>
    <sheetView topLeftCell="A7" workbookViewId="0">
      <selection activeCell="O15" sqref="O15:P15"/>
    </sheetView>
  </sheetViews>
  <sheetFormatPr baseColWidth="10" defaultColWidth="11" defaultRowHeight="13.5" x14ac:dyDescent="0.25"/>
  <cols>
    <col min="1" max="6" width="4.42578125" style="1" customWidth="1"/>
    <col min="7" max="7" width="4.42578125" style="5" customWidth="1"/>
    <col min="8" max="14" width="4.42578125" style="1" customWidth="1"/>
    <col min="15" max="16" width="14.85546875" style="1" customWidth="1"/>
    <col min="17" max="17" width="26.42578125" style="1" customWidth="1"/>
    <col min="18" max="16384" width="11" style="1"/>
  </cols>
  <sheetData>
    <row r="1" spans="1:17" ht="15.75" customHeight="1" x14ac:dyDescent="0.25">
      <c r="A1" s="158" t="s">
        <v>5</v>
      </c>
      <c r="B1" s="158"/>
      <c r="C1" s="158"/>
      <c r="D1" s="159">
        <f>'Necesidades Trimestrales'!C6</f>
        <v>2022</v>
      </c>
      <c r="E1" s="159"/>
      <c r="F1" s="10"/>
      <c r="G1" s="10"/>
      <c r="H1" s="11"/>
      <c r="I1" s="11"/>
      <c r="J1" s="11"/>
      <c r="K1" s="11"/>
      <c r="L1" s="11"/>
      <c r="M1" s="11"/>
      <c r="N1" s="11"/>
      <c r="P1" s="160" t="s">
        <v>102</v>
      </c>
      <c r="Q1" s="160"/>
    </row>
    <row r="2" spans="1:17" ht="15.75" customHeight="1" x14ac:dyDescent="0.25">
      <c r="H2" s="11"/>
      <c r="I2" s="11"/>
      <c r="J2" s="11"/>
      <c r="K2" s="11"/>
      <c r="L2" s="11"/>
      <c r="M2" s="11"/>
      <c r="N2" s="11"/>
      <c r="P2" s="160"/>
      <c r="Q2" s="160"/>
    </row>
    <row r="4" spans="1:17" ht="18" customHeight="1" thickBot="1" x14ac:dyDescent="0.35">
      <c r="A4" s="161" t="s">
        <v>103</v>
      </c>
      <c r="B4" s="161"/>
      <c r="C4" s="161"/>
      <c r="D4" s="161"/>
      <c r="E4" s="161"/>
      <c r="F4" s="161"/>
      <c r="G4" s="156" t="str">
        <f>' NotaPedido'!D3</f>
        <v>90 - Ministerio de Seguridad</v>
      </c>
      <c r="H4" s="156"/>
      <c r="I4" s="156"/>
      <c r="J4" s="156"/>
      <c r="K4" s="156"/>
      <c r="L4" s="156"/>
      <c r="M4" s="156"/>
      <c r="N4" s="156"/>
      <c r="O4" s="156"/>
      <c r="P4" s="156"/>
      <c r="Q4" s="156"/>
    </row>
    <row r="5" spans="1:17" ht="18" customHeight="1" thickBot="1" x14ac:dyDescent="0.35">
      <c r="A5" s="153" t="s">
        <v>84</v>
      </c>
      <c r="B5" s="154"/>
      <c r="C5" s="154"/>
      <c r="D5" s="154"/>
      <c r="E5" s="154"/>
      <c r="F5" s="155"/>
      <c r="G5" s="156" t="str">
        <f>' NotaPedido'!D4</f>
        <v>7- Dirección Provincial de Administración de la Policía de la Provincia de Catamarca</v>
      </c>
      <c r="H5" s="156"/>
      <c r="I5" s="156"/>
      <c r="J5" s="156"/>
      <c r="K5" s="156"/>
      <c r="L5" s="156"/>
      <c r="M5" s="156"/>
      <c r="N5" s="156"/>
      <c r="O5" s="156"/>
      <c r="P5" s="156"/>
      <c r="Q5" s="156"/>
    </row>
    <row r="6" spans="1:17" ht="18" customHeight="1" thickBot="1" x14ac:dyDescent="0.35">
      <c r="A6" s="153" t="s">
        <v>85</v>
      </c>
      <c r="B6" s="154"/>
      <c r="C6" s="154"/>
      <c r="D6" s="154"/>
      <c r="E6" s="154"/>
      <c r="F6" s="155"/>
      <c r="G6" s="156" t="str">
        <f>' NotaPedido'!D5</f>
        <v>Policía de la Provincia de Catamarca</v>
      </c>
      <c r="H6" s="156"/>
      <c r="I6" s="156"/>
      <c r="J6" s="156"/>
      <c r="K6" s="156"/>
      <c r="L6" s="156"/>
      <c r="M6" s="156"/>
      <c r="N6" s="156"/>
      <c r="O6" s="156"/>
      <c r="P6" s="156"/>
      <c r="Q6" s="156"/>
    </row>
    <row r="7" spans="1:17" ht="18" customHeight="1" thickBot="1" x14ac:dyDescent="0.35">
      <c r="A7" s="153" t="s">
        <v>87</v>
      </c>
      <c r="B7" s="154"/>
      <c r="C7" s="154"/>
      <c r="D7" s="154"/>
      <c r="E7" s="154"/>
      <c r="F7" s="155"/>
      <c r="G7" s="156" t="str">
        <f>' NotaPedido'!D6</f>
        <v>División Intendencia, Departamento Logística</v>
      </c>
      <c r="H7" s="156"/>
      <c r="I7" s="156"/>
      <c r="J7" s="156"/>
      <c r="K7" s="156"/>
      <c r="L7" s="156"/>
      <c r="M7" s="156"/>
      <c r="N7" s="156"/>
      <c r="O7" s="156"/>
      <c r="P7" s="156"/>
      <c r="Q7" s="156"/>
    </row>
    <row r="8" spans="1:17" ht="18" customHeight="1" thickBot="1" x14ac:dyDescent="0.3">
      <c r="A8" s="157" t="s">
        <v>104</v>
      </c>
      <c r="B8" s="157"/>
      <c r="C8" s="157"/>
      <c r="D8" s="157"/>
      <c r="E8" s="157"/>
      <c r="F8" s="157"/>
      <c r="G8" s="157"/>
      <c r="H8" s="157"/>
      <c r="I8" s="157"/>
      <c r="J8" s="157"/>
      <c r="K8" s="157"/>
      <c r="L8" s="157"/>
      <c r="M8" s="157"/>
      <c r="N8" s="157"/>
      <c r="O8" s="157"/>
      <c r="P8" s="157"/>
      <c r="Q8" s="157"/>
    </row>
    <row r="9" spans="1:17" ht="18" customHeight="1" x14ac:dyDescent="0.3">
      <c r="A9" s="147" t="s">
        <v>105</v>
      </c>
      <c r="B9" s="147"/>
      <c r="C9" s="147"/>
      <c r="D9" s="147"/>
      <c r="E9" s="147"/>
      <c r="F9" s="147"/>
      <c r="G9" s="147"/>
      <c r="H9" s="147"/>
      <c r="I9" s="147"/>
      <c r="J9" s="147"/>
      <c r="K9" s="147"/>
      <c r="L9" s="147"/>
      <c r="M9" s="147"/>
      <c r="N9" s="147"/>
      <c r="O9" s="4"/>
      <c r="P9" s="4"/>
      <c r="Q9" s="12"/>
    </row>
    <row r="10" spans="1:17" ht="66.75" customHeight="1" x14ac:dyDescent="0.25">
      <c r="A10" s="148" t="str">
        <f>"Autorizo la realización de los  trámites correspondientes, a fin de proveer a  este Organismo los bienes y/o servicios que se detallan en Nota  de Pedido N° " &amp;' NotaPedido'!K1&amp;",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81/2021,  afectando la erogación resultante a los créditos presupuestarios aprobados a favor de esta Unidad Ejecutora, conforme al siguiente detalle:</v>
      </c>
      <c r="B10" s="148"/>
      <c r="C10" s="148"/>
      <c r="D10" s="148"/>
      <c r="E10" s="148"/>
      <c r="F10" s="148"/>
      <c r="G10" s="148"/>
      <c r="H10" s="148"/>
      <c r="I10" s="148"/>
      <c r="J10" s="148"/>
      <c r="K10" s="148"/>
      <c r="L10" s="148"/>
      <c r="M10" s="148"/>
      <c r="N10" s="148"/>
      <c r="O10" s="148"/>
      <c r="P10" s="148"/>
      <c r="Q10" s="148"/>
    </row>
    <row r="11" spans="1:17" ht="9" customHeight="1" x14ac:dyDescent="0.25">
      <c r="A11" s="13"/>
      <c r="B11" s="14"/>
      <c r="C11" s="14"/>
      <c r="D11" s="14"/>
      <c r="E11" s="14"/>
      <c r="F11" s="14"/>
      <c r="G11" s="15"/>
      <c r="H11" s="14"/>
      <c r="I11" s="14"/>
      <c r="J11" s="14"/>
      <c r="K11" s="14"/>
      <c r="L11" s="14"/>
      <c r="M11" s="14"/>
      <c r="N11" s="14"/>
      <c r="O11" s="14"/>
      <c r="P11" s="14"/>
      <c r="Q11" s="16"/>
    </row>
    <row r="12" spans="1:17" ht="15.75" customHeight="1" x14ac:dyDescent="0.25">
      <c r="A12" s="149" t="s">
        <v>106</v>
      </c>
      <c r="B12" s="149"/>
      <c r="C12" s="149"/>
      <c r="D12" s="149"/>
      <c r="E12" s="149"/>
      <c r="F12" s="149"/>
      <c r="G12" s="149"/>
      <c r="H12" s="149"/>
      <c r="I12" s="149"/>
      <c r="J12" s="149"/>
      <c r="K12" s="149"/>
      <c r="L12" s="149"/>
      <c r="M12" s="149"/>
      <c r="N12" s="149"/>
      <c r="O12" s="149"/>
      <c r="P12" s="149"/>
      <c r="Q12" s="149"/>
    </row>
    <row r="13" spans="1:17" ht="15.75" customHeight="1" x14ac:dyDescent="0.25">
      <c r="A13" s="150" t="s">
        <v>107</v>
      </c>
      <c r="B13" s="150"/>
      <c r="C13" s="150"/>
      <c r="D13" s="150"/>
      <c r="E13" s="150"/>
      <c r="F13" s="150"/>
      <c r="G13" s="150"/>
      <c r="H13" s="150"/>
      <c r="I13" s="150"/>
      <c r="J13" s="150"/>
      <c r="K13" s="150"/>
      <c r="L13" s="150"/>
      <c r="M13" s="150"/>
      <c r="N13" s="150"/>
      <c r="O13" s="151" t="s">
        <v>108</v>
      </c>
      <c r="P13" s="151"/>
      <c r="Q13" s="152" t="s">
        <v>109</v>
      </c>
    </row>
    <row r="14" spans="1:17" ht="15.75" customHeight="1" thickBot="1" x14ac:dyDescent="0.3">
      <c r="A14" s="17" t="s">
        <v>110</v>
      </c>
      <c r="B14" s="18" t="s">
        <v>111</v>
      </c>
      <c r="C14" s="18" t="s">
        <v>112</v>
      </c>
      <c r="D14" s="18" t="s">
        <v>113</v>
      </c>
      <c r="E14" s="18" t="s">
        <v>114</v>
      </c>
      <c r="F14" s="18" t="s">
        <v>115</v>
      </c>
      <c r="G14" s="19" t="s">
        <v>116</v>
      </c>
      <c r="H14" s="18" t="s">
        <v>117</v>
      </c>
      <c r="I14" s="18" t="s">
        <v>118</v>
      </c>
      <c r="J14" s="18" t="s">
        <v>119</v>
      </c>
      <c r="K14" s="18" t="s">
        <v>119</v>
      </c>
      <c r="L14" s="18" t="s">
        <v>120</v>
      </c>
      <c r="M14" s="20" t="s">
        <v>121</v>
      </c>
      <c r="N14" s="21" t="s">
        <v>122</v>
      </c>
      <c r="O14" s="151"/>
      <c r="P14" s="151"/>
      <c r="Q14" s="152"/>
    </row>
    <row r="15" spans="1:17" ht="26.25" customHeight="1" x14ac:dyDescent="0.25">
      <c r="A15" s="22">
        <v>16</v>
      </c>
      <c r="B15" s="23">
        <v>0</v>
      </c>
      <c r="C15" s="23">
        <v>0</v>
      </c>
      <c r="D15" s="23">
        <v>1</v>
      </c>
      <c r="E15" s="23">
        <v>0</v>
      </c>
      <c r="F15" s="23">
        <v>10</v>
      </c>
      <c r="G15" s="23">
        <v>2</v>
      </c>
      <c r="H15" s="23">
        <v>210</v>
      </c>
      <c r="I15" s="23">
        <v>2</v>
      </c>
      <c r="J15" s="23">
        <v>9</v>
      </c>
      <c r="K15" s="23">
        <v>1</v>
      </c>
      <c r="L15" s="23">
        <v>0</v>
      </c>
      <c r="M15" s="24">
        <v>1</v>
      </c>
      <c r="N15" s="23" t="s">
        <v>123</v>
      </c>
      <c r="O15" s="130" t="e">
        <f>'Necesidades Trimestrales'!#REF!</f>
        <v>#REF!</v>
      </c>
      <c r="P15" s="131"/>
      <c r="Q15" s="25">
        <f>' NotaPedido'!J15</f>
        <v>3999212.5</v>
      </c>
    </row>
    <row r="16" spans="1:17" ht="33" customHeight="1" thickBot="1" x14ac:dyDescent="0.3">
      <c r="A16" s="143" t="s">
        <v>124</v>
      </c>
      <c r="B16" s="143"/>
      <c r="C16" s="143"/>
      <c r="D16" s="143"/>
      <c r="E16" s="143"/>
      <c r="F16" s="143"/>
      <c r="G16" s="143"/>
      <c r="H16" s="143"/>
      <c r="I16" s="143"/>
      <c r="J16" s="143"/>
      <c r="K16" s="143"/>
      <c r="L16" s="143"/>
      <c r="M16" s="143"/>
      <c r="N16" s="143"/>
      <c r="O16" s="143"/>
      <c r="P16" s="143"/>
      <c r="Q16" s="26">
        <f>Q15</f>
        <v>3999212.5</v>
      </c>
    </row>
    <row r="17" spans="1:17" ht="18" customHeight="1" thickBot="1" x14ac:dyDescent="0.3">
      <c r="A17" s="144"/>
      <c r="B17" s="145"/>
      <c r="C17" s="145"/>
      <c r="D17" s="145"/>
      <c r="E17" s="145"/>
      <c r="F17" s="145"/>
      <c r="G17" s="145"/>
      <c r="H17" s="145"/>
      <c r="I17" s="145"/>
      <c r="J17" s="145"/>
      <c r="K17" s="145"/>
      <c r="L17" s="145"/>
      <c r="M17" s="145"/>
      <c r="N17" s="145"/>
      <c r="O17" s="145"/>
      <c r="P17" s="145"/>
      <c r="Q17" s="146"/>
    </row>
    <row r="18" spans="1:17" ht="17.25" customHeight="1" thickBot="1" x14ac:dyDescent="0.3">
      <c r="A18" s="132" t="s">
        <v>125</v>
      </c>
      <c r="B18" s="133"/>
      <c r="C18" s="133"/>
      <c r="D18" s="133"/>
      <c r="E18" s="133"/>
      <c r="F18" s="134"/>
      <c r="G18" s="135"/>
      <c r="H18" s="136"/>
      <c r="I18" s="136"/>
      <c r="J18" s="136"/>
      <c r="K18" s="136"/>
      <c r="L18" s="136"/>
      <c r="M18" s="136"/>
      <c r="N18" s="136"/>
      <c r="O18" s="136"/>
      <c r="P18" s="136"/>
      <c r="Q18" s="136"/>
    </row>
    <row r="19" spans="1:17" ht="18" customHeight="1" x14ac:dyDescent="0.25">
      <c r="A19" s="137" t="str">
        <f>' NotaPedido'!D8</f>
        <v>Adquisición de Uniformes de Fajina para el personal policial.</v>
      </c>
      <c r="B19" s="138"/>
      <c r="C19" s="138"/>
      <c r="D19" s="138"/>
      <c r="E19" s="138"/>
      <c r="F19" s="138"/>
      <c r="G19" s="138"/>
      <c r="H19" s="138"/>
      <c r="I19" s="138"/>
      <c r="J19" s="138"/>
      <c r="K19" s="138"/>
      <c r="L19" s="138"/>
      <c r="M19" s="138"/>
      <c r="N19" s="138"/>
      <c r="O19" s="138"/>
      <c r="P19" s="138"/>
      <c r="Q19" s="139"/>
    </row>
    <row r="20" spans="1:17" ht="15" customHeight="1" thickBot="1" x14ac:dyDescent="0.3">
      <c r="A20" s="140"/>
      <c r="B20" s="141"/>
      <c r="C20" s="141"/>
      <c r="D20" s="141"/>
      <c r="E20" s="141"/>
      <c r="F20" s="141"/>
      <c r="G20" s="141"/>
      <c r="H20" s="141"/>
      <c r="I20" s="141"/>
      <c r="J20" s="141"/>
      <c r="K20" s="141"/>
      <c r="L20" s="141"/>
      <c r="M20" s="141"/>
      <c r="N20" s="141"/>
      <c r="O20" s="141"/>
      <c r="P20" s="141"/>
      <c r="Q20" s="142"/>
    </row>
  </sheetData>
  <mergeCells count="24">
    <mergeCell ref="A1:C1"/>
    <mergeCell ref="D1:E1"/>
    <mergeCell ref="P1:Q2"/>
    <mergeCell ref="A4:F4"/>
    <mergeCell ref="G4:Q4"/>
    <mergeCell ref="A5:F5"/>
    <mergeCell ref="G5:Q5"/>
    <mergeCell ref="A8:Q8"/>
    <mergeCell ref="A6:F6"/>
    <mergeCell ref="G6:Q6"/>
    <mergeCell ref="A7:F7"/>
    <mergeCell ref="G7:Q7"/>
    <mergeCell ref="A9:N9"/>
    <mergeCell ref="A10:Q10"/>
    <mergeCell ref="A12:Q12"/>
    <mergeCell ref="A13:N13"/>
    <mergeCell ref="O13:P14"/>
    <mergeCell ref="Q13:Q14"/>
    <mergeCell ref="O15:P15"/>
    <mergeCell ref="A18:F18"/>
    <mergeCell ref="G18:Q18"/>
    <mergeCell ref="A19:Q20"/>
    <mergeCell ref="A16:P16"/>
    <mergeCell ref="A17:Q17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Necesidades Trimestrales</vt:lpstr>
      <vt:lpstr> NotaPedido</vt:lpstr>
      <vt:lpstr>Autor Gastar</vt:lpstr>
      <vt:lpstr>' NotaPedido'!Área_de_impresión</vt:lpstr>
      <vt:lpstr>'Autor Gastar'!Área_de_impresión</vt:lpstr>
      <vt:lpstr>'Necesidades Trimestrales'!Área_de_impresión</vt:lpstr>
    </vt:vector>
  </TitlesOfParts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Policia</dc:creator>
  <cp:lastModifiedBy>Ponce</cp:lastModifiedBy>
  <cp:revision>2</cp:revision>
  <cp:lastPrinted>2022-04-21T13:13:45Z</cp:lastPrinted>
  <dcterms:created xsi:type="dcterms:W3CDTF">2020-07-17T23:44:49Z</dcterms:created>
  <dcterms:modified xsi:type="dcterms:W3CDTF">2022-04-21T13:54:18Z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