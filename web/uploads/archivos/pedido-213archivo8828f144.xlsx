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eguridad\Serv. Penitenciario\AÑO 2022\Adq.Alimentos Perecederos 04-2022\"/>
    </mc:Choice>
  </mc:AlternateContent>
  <xr:revisionPtr revIDLastSave="0" documentId="13_ncr:1_{387FA17E-D918-4481-B8B8-1A075FBBBE29}" xr6:coauthVersionLast="47" xr6:coauthVersionMax="47" xr10:uidLastSave="{00000000-0000-0000-0000-000000000000}"/>
  <bookViews>
    <workbookView xWindow="-120" yWindow="-120" windowWidth="20730" windowHeight="11160" xr2:uid="{A8304F5E-F44E-4ACE-A303-5AA67D2891C7}"/>
  </bookViews>
  <sheets>
    <sheet name="Control Items" sheetId="1" r:id="rId1"/>
    <sheet name="Cond.calidad" sheetId="2" r:id="rId2"/>
    <sheet name="S.G N°13-SAF 8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21" i="1" s="1"/>
</calcChain>
</file>

<file path=xl/sharedStrings.xml><?xml version="1.0" encoding="utf-8"?>
<sst xmlns="http://schemas.openxmlformats.org/spreadsheetml/2006/main" count="139" uniqueCount="81">
  <si>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</si>
  <si>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</si>
  <si>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</si>
  <si>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</si>
  <si>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</si>
  <si>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</si>
  <si>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</si>
  <si>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</si>
  <si>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</si>
  <si>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</si>
  <si>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</si>
  <si>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</si>
  <si>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KG.</t>
  </si>
  <si>
    <t>2.1.1-542.235</t>
  </si>
  <si>
    <t>QUESOS; TIPO: PORT SALUT, PRESENTACION: AL PESO, ELEM. TRANSPORTE: SIN, MATERIAL ELEM. TRANSPORTE: SIN, MATERIAL ENVASE: SIN, CERTIFICADO FORESTAL (GFS): SIN, LIBRE DE GLUTEN: A DEFINIR</t>
  </si>
  <si>
    <t>2.1.1-541.18</t>
  </si>
  <si>
    <t>2.1.1-621.20</t>
  </si>
  <si>
    <t>AVES; TIPO: POLLO, PRESENTACION: CAJA X 22 Kg, EVISCERADO: SI, ELEM. TRANSPORTE: SIN, MATERIAL ELEM. TRANSPORTE: SIN, LIBRE DE GLUTEN: SIN VALOR</t>
  </si>
  <si>
    <t>CAJA</t>
  </si>
  <si>
    <t>2.1.1-541.59</t>
  </si>
  <si>
    <t>CARNES; ESPECIE: VACUNA, CORTE: MONDONGO, TIPO: VACUNA</t>
  </si>
  <si>
    <t>2.1.1-6546.335</t>
  </si>
  <si>
    <t>VERDURAS Y HORTALIZAS; VARIEDAD: PAPA BLANCA, ESTADO: NATURAL, PRESENTACION: BOLSA, PESO: 25 Kg</t>
  </si>
  <si>
    <t>BOLSA</t>
  </si>
  <si>
    <t>2.1.1-6546.158</t>
  </si>
  <si>
    <t>VERDURAS Y HORTALIZAS; ESTADO: NATURAL, VARIEDAD: ZAPALLO ANCO, PRESENTACION: GRANEL, PESO: SIN VALOR</t>
  </si>
  <si>
    <t>2.1.1-6546.188</t>
  </si>
  <si>
    <t>VERDURAS Y HORTALIZAS; ESTADO: NATURAL, PRESENTACION: GRANEL, PESO: SIN VALOR, VARIEDAD: ZAPALLO CRIOLLO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</si>
  <si>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</si>
  <si>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</si>
  <si>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CAJON</t>
  </si>
  <si>
    <t>2.1.1-483.37</t>
  </si>
  <si>
    <t>HUEVO DE GALLINA; TAMAÑO: GRANDE, COLOR: COLOR, PRESENTACION: 30 UN</t>
  </si>
  <si>
    <t>CARTON</t>
  </si>
  <si>
    <t>2.1.1-6546.34</t>
  </si>
  <si>
    <t>VERDURAS Y HORTALIZAS; VARIEDAD: ACELGA, ESTADO: EN HOJA, PRESENTACION: ATADO, PESO: SIN VALOR</t>
  </si>
  <si>
    <t>ATADO</t>
  </si>
  <si>
    <t>2.1.1-6546.39</t>
  </si>
  <si>
    <t>VERDURAS Y HORTALIZAS; VARIEDAD: CEBOLLA, ESTADO: NATURAL, PRESENTACION: BOLSA, PESO: 25 Kg</t>
  </si>
  <si>
    <t>2.1.1-6546.151</t>
  </si>
  <si>
    <t>VERDURAS Y HORTALIZAS; VARIEDAD: ZAPALLITO REDONDO, ESTADO: NATURAL, PRESENTACION: CAJON, PESO: SIN VALOR</t>
  </si>
  <si>
    <t>2.1.1-6546.167</t>
  </si>
  <si>
    <t>VERDURAS Y HORTALIZAS; VARIEDAD: ZANAHORIA, PRESENTACION: BOLSA, ESTADO: NATURAL, PESO: 20 Kg</t>
  </si>
  <si>
    <t>2.1.1-6539.2</t>
  </si>
  <si>
    <t>FRUTAS; PRESENTACION: GRANEL, VARIEDAD: NARANJA OMBLIGO, ESTADO: NATURAL, PESO: SIN VALOR</t>
  </si>
  <si>
    <t>2.1.1-2116.2</t>
  </si>
  <si>
    <t xml:space="preserve">IMPORTE TOTAL ESTIMADO </t>
  </si>
  <si>
    <t>Especificidades Item N° 9:</t>
  </si>
  <si>
    <t>Cajon x 20 KG</t>
  </si>
  <si>
    <t>Especificidades Item N° 11:</t>
  </si>
  <si>
    <t>Atado x 1 KG aprox.</t>
  </si>
  <si>
    <t>Especificidades Item N° 13:</t>
  </si>
  <si>
    <t>Especificidades Item N° 15:</t>
  </si>
  <si>
    <t>Bolsa x 20 KG</t>
  </si>
  <si>
    <r>
      <rPr>
        <b/>
        <u/>
        <sz val="14"/>
        <color theme="1"/>
        <rFont val="Calibri"/>
        <family val="2"/>
        <scheme val="minor"/>
      </rPr>
      <t>NO-2022-00625832-CAT-DA#SPC</t>
    </r>
    <r>
      <rPr>
        <b/>
        <sz val="14"/>
        <color theme="1"/>
        <rFont val="Calibri"/>
        <family val="2"/>
        <scheme val="minor"/>
      </rPr>
      <t xml:space="preserve"> (Adq. Alimentos perecederos destinado a la alimentación de la población penal).</t>
    </r>
  </si>
  <si>
    <r>
      <t xml:space="preserve">QUESOS; TIPO: CREMOSO, </t>
    </r>
    <r>
      <rPr>
        <b/>
        <sz val="11"/>
        <color theme="1"/>
        <rFont val="Calibri"/>
        <family val="2"/>
        <scheme val="minor"/>
      </rPr>
      <t>PRESENTACION: AL PESO</t>
    </r>
    <r>
      <rPr>
        <sz val="11"/>
        <color theme="1"/>
        <rFont val="Calibri"/>
        <family val="2"/>
        <scheme val="minor"/>
      </rPr>
      <t>, ELEM. TRANSPORTE: SIN, MATERIAL ELEM. TRANSPORTE: SIN, MATERIAL ENVASE: SIN, CERTIFICADO FORESTAL (GFS): SIN, LIBRE DE GLUTEN: A DEFINIR</t>
    </r>
  </si>
  <si>
    <r>
      <t xml:space="preserve">QUESOS; TIPO: PORT SALUT, </t>
    </r>
    <r>
      <rPr>
        <b/>
        <sz val="11"/>
        <color theme="1"/>
        <rFont val="Calibri"/>
        <family val="2"/>
        <scheme val="minor"/>
      </rPr>
      <t>PRESENTACION: AL PESO</t>
    </r>
    <r>
      <rPr>
        <sz val="11"/>
        <color theme="1"/>
        <rFont val="Calibri"/>
        <family val="2"/>
        <scheme val="minor"/>
      </rPr>
      <t>, ELEM. TRANSPORTE: SIN, MATERIAL ELEM. TRANSPORTE: SIN, MATERIAL ENVASE: SIN, CERTIFICADO FORESTAL (GFS): SIN, LIBRE DE GLUTEN: A DEFINIR</t>
    </r>
  </si>
  <si>
    <r>
      <t xml:space="preserve">AVES; TIPO: POLLO, PRESENTACION: </t>
    </r>
    <r>
      <rPr>
        <b/>
        <sz val="11"/>
        <color theme="1"/>
        <rFont val="Calibri"/>
        <family val="2"/>
        <scheme val="minor"/>
      </rPr>
      <t>CAJA X 22 Kg</t>
    </r>
    <r>
      <rPr>
        <sz val="11"/>
        <color theme="1"/>
        <rFont val="Calibri"/>
        <family val="2"/>
        <scheme val="minor"/>
      </rPr>
      <t>, EVISCERADO: SI, ELEM. TRANSPORTE: SIN, MATERIAL ELEM. TRANSPORTE: SIN, LIBRE DE GLUTEN: SIN VALOR</t>
    </r>
  </si>
  <si>
    <r>
      <t xml:space="preserve">VERDURAS Y HORTALIZAS; VARIEDAD: PAPA BLANCA, ESTADO: NATURAL, PRESENTACION: </t>
    </r>
    <r>
      <rPr>
        <b/>
        <sz val="11"/>
        <color theme="1"/>
        <rFont val="Calibri"/>
        <family val="2"/>
        <scheme val="minor"/>
      </rPr>
      <t>BOLSA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PESO: 25 Kg</t>
    </r>
  </si>
  <si>
    <r>
      <t xml:space="preserve">VERDURAS Y HORTALIZAS; ESTADO: NATURAL, VARIEDAD: ZAPALLO ANCO, </t>
    </r>
    <r>
      <rPr>
        <b/>
        <sz val="11"/>
        <color theme="1"/>
        <rFont val="Calibri"/>
        <family val="2"/>
        <scheme val="minor"/>
      </rPr>
      <t>PRESENTACION: GRANEL</t>
    </r>
    <r>
      <rPr>
        <sz val="11"/>
        <color theme="1"/>
        <rFont val="Calibri"/>
        <family val="2"/>
        <scheme val="minor"/>
      </rPr>
      <t>, PESO: SIN VALOR</t>
    </r>
  </si>
  <si>
    <r>
      <t xml:space="preserve">VERDURAS Y HORTALIZAS; ESTADO: NATURAL, </t>
    </r>
    <r>
      <rPr>
        <b/>
        <sz val="11"/>
        <color theme="1"/>
        <rFont val="Calibri"/>
        <family val="2"/>
        <scheme val="minor"/>
      </rPr>
      <t>PRESENTACION: GRANEL</t>
    </r>
    <r>
      <rPr>
        <sz val="11"/>
        <color theme="1"/>
        <rFont val="Calibri"/>
        <family val="2"/>
        <scheme val="minor"/>
      </rPr>
      <t>, PESO: SIN VALOR, VARIEDAD: ZAPALLO CRIOLLO</t>
    </r>
  </si>
  <si>
    <r>
      <t xml:space="preserve">VERDURAS Y HORTALIZAS; VARIEDAD: TOMATE REDONDO, ESTADO: NATURAL, PRESENTACION: </t>
    </r>
    <r>
      <rPr>
        <b/>
        <sz val="11"/>
        <color theme="1"/>
        <rFont val="Calibri"/>
        <family val="2"/>
        <scheme val="minor"/>
      </rPr>
      <t>CAJON, PESO: 17 A 22 Kg</t>
    </r>
    <r>
      <rPr>
        <sz val="11"/>
        <color theme="1"/>
        <rFont val="Calibri"/>
        <family val="2"/>
        <scheme val="minor"/>
      </rPr>
      <t>, ELEM. TRANSPORTE: SIN, MATERIAL ELEM. TRANSPORTE: SIN, LIBRE DE GLUTEN: SI, ORGANICO: NO</t>
    </r>
  </si>
  <si>
    <r>
      <t xml:space="preserve">HUEVO DE GALLINA; TAMAÑO: GRANDE, COLOR: COLOR, </t>
    </r>
    <r>
      <rPr>
        <b/>
        <sz val="11"/>
        <color theme="1"/>
        <rFont val="Calibri"/>
        <family val="2"/>
        <scheme val="minor"/>
      </rPr>
      <t>PRESENTACION: 30 UN</t>
    </r>
  </si>
  <si>
    <r>
      <t xml:space="preserve">VERDURAS Y HORTALIZAS; VARIEDAD: ACELGA, ESTADO: EN HOJA, </t>
    </r>
    <r>
      <rPr>
        <b/>
        <sz val="11"/>
        <color theme="1"/>
        <rFont val="Calibri"/>
        <family val="2"/>
        <scheme val="minor"/>
      </rPr>
      <t>PRESENTACION: ATADO</t>
    </r>
    <r>
      <rPr>
        <sz val="11"/>
        <color theme="1"/>
        <rFont val="Calibri"/>
        <family val="2"/>
        <scheme val="minor"/>
      </rPr>
      <t>, PESO: SIN VALOR</t>
    </r>
  </si>
  <si>
    <r>
      <t xml:space="preserve">VERDURAS Y HORTALIZAS; VARIEDAD: CEBOLLA, ESTADO: NATURAL, PRESENTACION: </t>
    </r>
    <r>
      <rPr>
        <b/>
        <sz val="11"/>
        <color theme="1"/>
        <rFont val="Calibri"/>
        <family val="2"/>
        <scheme val="minor"/>
      </rPr>
      <t>BOLSA, PESO: 25 Kg</t>
    </r>
  </si>
  <si>
    <r>
      <t xml:space="preserve">VERDURAS Y HORTALIZAS; VARIEDAD: ZAPALLITO REDONDO, ESTADO: NATURAL, </t>
    </r>
    <r>
      <rPr>
        <b/>
        <sz val="11"/>
        <color theme="1"/>
        <rFont val="Calibri"/>
        <family val="2"/>
        <scheme val="minor"/>
      </rPr>
      <t>PRESENTACION: CAJON</t>
    </r>
    <r>
      <rPr>
        <sz val="11"/>
        <color theme="1"/>
        <rFont val="Calibri"/>
        <family val="2"/>
        <scheme val="minor"/>
      </rPr>
      <t>, PESO: SIN VALOR</t>
    </r>
  </si>
  <si>
    <r>
      <t xml:space="preserve">VERDURAS Y HORTALIZAS; VARIEDAD: ZANAHORIA, PRESENTACION: </t>
    </r>
    <r>
      <rPr>
        <b/>
        <sz val="11"/>
        <color theme="1"/>
        <rFont val="Calibri"/>
        <family val="2"/>
        <scheme val="minor"/>
      </rPr>
      <t>BOLSA</t>
    </r>
    <r>
      <rPr>
        <sz val="11"/>
        <color theme="1"/>
        <rFont val="Calibri"/>
        <family val="2"/>
        <scheme val="minor"/>
      </rPr>
      <t xml:space="preserve">, ESTADO: NATURAL, </t>
    </r>
    <r>
      <rPr>
        <b/>
        <sz val="11"/>
        <color theme="1"/>
        <rFont val="Calibri"/>
        <family val="2"/>
        <scheme val="minor"/>
      </rPr>
      <t>PESO: 20 Kg</t>
    </r>
  </si>
  <si>
    <r>
      <t xml:space="preserve">FRUTAS; </t>
    </r>
    <r>
      <rPr>
        <b/>
        <sz val="11"/>
        <color theme="1"/>
        <rFont val="Calibri"/>
        <family val="2"/>
        <scheme val="minor"/>
      </rPr>
      <t>PRESENTACION: GRANEL</t>
    </r>
    <r>
      <rPr>
        <sz val="11"/>
        <color theme="1"/>
        <rFont val="Calibri"/>
        <family val="2"/>
        <scheme val="minor"/>
      </rPr>
      <t>, VARIEDAD: NARANJA OMBLIGO, ESTADO: NATURAL, PESO: SIN VALOR</t>
    </r>
  </si>
  <si>
    <t>Entrega y Forma de Pago: 
(Para todos los ítems)</t>
  </si>
  <si>
    <t>Lugar de Entrega:</t>
  </si>
  <si>
    <t>Servicio Penitenciario Provincial, Ruta Nacional 38, km 558 Colonia del Valle.</t>
  </si>
  <si>
    <t>Calidad Mínima esperada</t>
  </si>
  <si>
    <t>Los productos deben ser de 1° calidad, según condiciones establecidas en nota (Condición de Calidad)</t>
  </si>
  <si>
    <t>Mantenimiento:</t>
  </si>
  <si>
    <t>45 días</t>
  </si>
  <si>
    <t>DESCRIPCION S/CATALOGO COMPR.AR</t>
  </si>
  <si>
    <r>
      <t>CARNES</t>
    </r>
    <r>
      <rPr>
        <b/>
        <sz val="11"/>
        <color rgb="FFFF0000"/>
        <rFont val="Calibri"/>
        <family val="2"/>
        <scheme val="minor"/>
      </rPr>
      <t>;</t>
    </r>
    <r>
      <rPr>
        <sz val="11"/>
        <color theme="1"/>
        <rFont val="Calibri"/>
        <family val="2"/>
        <scheme val="minor"/>
      </rPr>
      <t xml:space="preserve"> ESPECIE: VACUNA, CORTE: ROAST BEEF, TIPO: VACUNA</t>
    </r>
  </si>
  <si>
    <r>
      <t>LEVADURAS</t>
    </r>
    <r>
      <rPr>
        <b/>
        <sz val="11"/>
        <color rgb="FFFF0000"/>
        <rFont val="Calibri"/>
        <family val="2"/>
        <scheme val="minor"/>
      </rPr>
      <t>;</t>
    </r>
    <r>
      <rPr>
        <sz val="11"/>
        <color theme="1"/>
        <rFont val="Calibri"/>
        <family val="2"/>
        <scheme val="minor"/>
      </rPr>
      <t xml:space="preserve"> TIPO: DE CERVEZA, PRESENTACION: PAQUETE, PESO: 1 Kg</t>
    </r>
  </si>
  <si>
    <r>
      <t xml:space="preserve">Las entregas se realizarán a requerimiento de acuerdo, a las Solicitudes de Provisión que se realicen. Se estima emitir </t>
    </r>
    <r>
      <rPr>
        <u/>
        <sz val="11"/>
        <color theme="1"/>
        <rFont val="Calibri"/>
        <family val="2"/>
        <scheme val="minor"/>
      </rPr>
      <t>una cantidad aproximada de 2 (Dos) Solicitudes de Provisión de 1/2 aprox. de la cantidad solicitada</t>
    </r>
    <r>
      <rPr>
        <sz val="11"/>
        <color theme="1"/>
        <rFont val="Calibri"/>
        <family val="2"/>
        <scheme val="minor"/>
      </rPr>
      <t xml:space="preserve">, en un plazo de 2 (Dos) meses: </t>
    </r>
    <r>
      <rPr>
        <b/>
        <sz val="11"/>
        <color theme="1"/>
        <rFont val="Calibri"/>
        <family val="2"/>
        <scheme val="minor"/>
      </rPr>
      <t>1° Solic.de Provisión:</t>
    </r>
    <r>
      <rPr>
        <sz val="11"/>
        <color theme="1"/>
        <rFont val="Calibri"/>
        <family val="2"/>
        <scheme val="minor"/>
      </rPr>
      <t xml:space="preserve"> aprox.a los 2 (Dos) dias hábiles de la firma del instrumento contractual. </t>
    </r>
    <r>
      <rPr>
        <b/>
        <sz val="11"/>
        <color theme="1"/>
        <rFont val="Calibri"/>
        <family val="2"/>
        <scheme val="minor"/>
      </rPr>
      <t>2° Solic.de Provisión:</t>
    </r>
    <r>
      <rPr>
        <sz val="11"/>
        <color theme="1"/>
        <rFont val="Calibri"/>
        <family val="2"/>
        <scheme val="minor"/>
      </rPr>
      <t xml:space="preserve"> al mes de la firma del instrumento contractual. </t>
    </r>
    <r>
      <rPr>
        <b/>
        <u/>
        <sz val="11"/>
        <color theme="1"/>
        <rFont val="Calibri"/>
        <family val="2"/>
        <scheme val="minor"/>
      </rPr>
      <t>Plazo de cumplimiento de cada Solicitud de Provisión:</t>
    </r>
    <r>
      <rPr>
        <sz val="11"/>
        <color theme="1"/>
        <rFont val="Calibri"/>
        <family val="2"/>
        <scheme val="minor"/>
      </rPr>
      <t xml:space="preserve"> a los 2 días hábiles de notificada la misma, según necesidades del Organismo solicitante. </t>
    </r>
    <r>
      <rPr>
        <b/>
        <u/>
        <sz val="11"/>
        <color theme="1"/>
        <rFont val="Calibri"/>
        <family val="2"/>
        <scheme val="minor"/>
      </rPr>
      <t>Forma de Pago:</t>
    </r>
    <r>
      <rPr>
        <sz val="11"/>
        <color theme="1"/>
        <rFont val="Calibri"/>
        <family val="2"/>
        <scheme val="minor"/>
      </rPr>
      <t xml:space="preserve"> Se solicita Pagos parciales por cada Solicitud de Provisión emitida, una vez finalizada la entrega de las cantidades contenidas en la misma.</t>
    </r>
  </si>
  <si>
    <r>
      <t>CARNES</t>
    </r>
    <r>
      <rPr>
        <b/>
        <sz val="11"/>
        <color rgb="FFFF0000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ESPECIE: VACUNA, CORTE: ROAST BEEF, TIPO: VACUNA</t>
    </r>
  </si>
  <si>
    <r>
      <t>LEVADURAS</t>
    </r>
    <r>
      <rPr>
        <b/>
        <sz val="11"/>
        <color rgb="FFFF0000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TIPO: DE CERVEZA, PRESENTACION: </t>
    </r>
    <r>
      <rPr>
        <b/>
        <sz val="11"/>
        <color theme="1"/>
        <rFont val="Calibri"/>
        <family val="2"/>
        <scheme val="minor"/>
      </rPr>
      <t>PAQUETE, PESO: 1 KG.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</si>
</sst>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5" fontId="0" fillId="0" borderId="1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4" fillId="0" borderId="0" xfId="0" applyFont="1"/>
    <xf numFmtId="0" fontId="0" fillId="2" borderId="21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180975</xdr:rowOff>
    </xdr:from>
    <xdr:to>
      <xdr:col>11</xdr:col>
      <xdr:colOff>733425</xdr:colOff>
      <xdr:row>61</xdr:row>
      <xdr:rowOff>73399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E990B9-2466-4795-A72E-2B523C354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0975"/>
          <a:ext cx="8896350" cy="11512924"/>
        </a:xfrm>
        <a:prstGeom prst="rect">
          <a:avLst/>
        </a:prstGeom>
      </xdr:spPr>
    </xdr:pic>
    <xdr:clientData/>
  </xdr:twoCellAnchor>
  <xdr:twoCellAnchor editAs="oneCell">
    <xdr:from>
      <xdr:col>12</xdr:col>
      <xdr:colOff>401348</xdr:colOff>
      <xdr:row>0</xdr:row>
      <xdr:rowOff>85724</xdr:rowOff>
    </xdr:from>
    <xdr:to>
      <xdr:col>24</xdr:col>
      <xdr:colOff>288347</xdr:colOff>
      <xdr:row>61</xdr:row>
      <xdr:rowOff>152399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BEBB902-17E2-432E-8523-5D062865D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5348" y="85724"/>
          <a:ext cx="9030999" cy="11687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190499</xdr:rowOff>
    </xdr:from>
    <xdr:to>
      <xdr:col>12</xdr:col>
      <xdr:colOff>276225</xdr:colOff>
      <xdr:row>68</xdr:row>
      <xdr:rowOff>50808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86A2E3-6A1F-4417-9595-EE4CC4EFE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499"/>
          <a:ext cx="9048750" cy="12814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AEA7-1B99-4CAE-A48B-96689C6296EC}">
  <dimension ref="A2:N26"/>
  <sheetViews>
    <sheetView tabSelected="1" workbookViewId="0"/>
  </sheetViews>
  <sheetFormatPr baseColWidth="10" defaultRowHeight="15" x14ac:dyDescent="0.25"/>
  <cols>
    <col min="1" max="1" width="3" bestFit="1" customWidth="1"/>
    <col min="2" max="2" width="13.42578125" customWidth="1"/>
    <col min="3" max="3" width="12.42578125" customWidth="1"/>
    <col min="4" max="4" width="5.5703125" bestFit="1" customWidth="1"/>
    <col min="5" max="5" width="69" customWidth="1"/>
    <col min="7" max="7" width="10.28515625" bestFit="1" customWidth="1"/>
    <col min="9" max="9" width="14.140625" bestFit="1" customWidth="1"/>
    <col min="13" max="13" width="13.42578125" bestFit="1" customWidth="1"/>
    <col min="14" max="14" width="69" customWidth="1"/>
  </cols>
  <sheetData>
    <row r="2" spans="1:14" ht="18.75" x14ac:dyDescent="0.3">
      <c r="B2" s="26" t="s">
        <v>54</v>
      </c>
    </row>
    <row r="3" spans="1:14" ht="15.75" thickBot="1" x14ac:dyDescent="0.3"/>
    <row r="4" spans="1:14" ht="45.75" thickBot="1" x14ac:dyDescent="0.3">
      <c r="A4" s="11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5" t="s">
        <v>7</v>
      </c>
      <c r="I4" s="18" t="s">
        <v>46</v>
      </c>
      <c r="N4" s="43" t="s">
        <v>75</v>
      </c>
    </row>
    <row r="5" spans="1:14" ht="45" x14ac:dyDescent="0.25">
      <c r="A5" s="6">
        <v>1</v>
      </c>
      <c r="B5" s="4" t="s">
        <v>8</v>
      </c>
      <c r="C5" s="4" t="s">
        <v>9</v>
      </c>
      <c r="D5" s="4" t="s">
        <v>10</v>
      </c>
      <c r="E5" s="5" t="s">
        <v>55</v>
      </c>
      <c r="F5" s="4" t="s">
        <v>12</v>
      </c>
      <c r="G5" s="4">
        <v>270</v>
      </c>
      <c r="H5" s="16">
        <v>900</v>
      </c>
      <c r="I5" s="19">
        <f>G5*H5</f>
        <v>243000</v>
      </c>
      <c r="M5" s="44" t="s">
        <v>8</v>
      </c>
      <c r="N5" s="47" t="s">
        <v>11</v>
      </c>
    </row>
    <row r="6" spans="1:14" ht="45" x14ac:dyDescent="0.25">
      <c r="A6" s="7">
        <v>2</v>
      </c>
      <c r="B6" s="2" t="s">
        <v>13</v>
      </c>
      <c r="C6" s="2" t="s">
        <v>9</v>
      </c>
      <c r="D6" s="2" t="s">
        <v>10</v>
      </c>
      <c r="E6" s="3" t="s">
        <v>56</v>
      </c>
      <c r="F6" s="2" t="s">
        <v>12</v>
      </c>
      <c r="G6" s="2">
        <v>200</v>
      </c>
      <c r="H6" s="14">
        <v>890</v>
      </c>
      <c r="I6" s="20">
        <f t="shared" ref="I6:I20" si="0">G6*H6</f>
        <v>178000</v>
      </c>
      <c r="M6" s="45" t="s">
        <v>13</v>
      </c>
      <c r="N6" s="48" t="s">
        <v>14</v>
      </c>
    </row>
    <row r="7" spans="1:14" x14ac:dyDescent="0.25">
      <c r="A7" s="7">
        <v>3</v>
      </c>
      <c r="B7" s="2" t="s">
        <v>15</v>
      </c>
      <c r="C7" s="2" t="s">
        <v>9</v>
      </c>
      <c r="D7" s="2" t="s">
        <v>10</v>
      </c>
      <c r="E7" s="3" t="s">
        <v>79</v>
      </c>
      <c r="F7" s="2" t="s">
        <v>12</v>
      </c>
      <c r="G7" s="2">
        <v>3700</v>
      </c>
      <c r="H7" s="14">
        <v>1350</v>
      </c>
      <c r="I7" s="20">
        <f t="shared" si="0"/>
        <v>4995000</v>
      </c>
      <c r="M7" s="45" t="s">
        <v>15</v>
      </c>
      <c r="N7" s="48" t="s">
        <v>76</v>
      </c>
    </row>
    <row r="8" spans="1:14" ht="45" x14ac:dyDescent="0.25">
      <c r="A8" s="7">
        <v>4</v>
      </c>
      <c r="B8" s="2" t="s">
        <v>16</v>
      </c>
      <c r="C8" s="2" t="s">
        <v>9</v>
      </c>
      <c r="D8" s="2" t="s">
        <v>10</v>
      </c>
      <c r="E8" s="3" t="s">
        <v>57</v>
      </c>
      <c r="F8" s="2" t="s">
        <v>18</v>
      </c>
      <c r="G8" s="2">
        <v>250</v>
      </c>
      <c r="H8" s="14">
        <v>7200</v>
      </c>
      <c r="I8" s="20">
        <f t="shared" si="0"/>
        <v>1800000</v>
      </c>
      <c r="M8" s="45" t="s">
        <v>16</v>
      </c>
      <c r="N8" s="48" t="s">
        <v>17</v>
      </c>
    </row>
    <row r="9" spans="1:14" x14ac:dyDescent="0.25">
      <c r="A9" s="7">
        <v>5</v>
      </c>
      <c r="B9" s="2" t="s">
        <v>19</v>
      </c>
      <c r="C9" s="2" t="s">
        <v>9</v>
      </c>
      <c r="D9" s="2" t="s">
        <v>10</v>
      </c>
      <c r="E9" s="3" t="s">
        <v>20</v>
      </c>
      <c r="F9" s="2" t="s">
        <v>12</v>
      </c>
      <c r="G9" s="2">
        <v>400</v>
      </c>
      <c r="H9" s="14">
        <v>590</v>
      </c>
      <c r="I9" s="20">
        <f t="shared" si="0"/>
        <v>236000</v>
      </c>
      <c r="M9" s="45" t="s">
        <v>19</v>
      </c>
      <c r="N9" s="48" t="s">
        <v>20</v>
      </c>
    </row>
    <row r="10" spans="1:14" ht="30" x14ac:dyDescent="0.25">
      <c r="A10" s="7">
        <v>6</v>
      </c>
      <c r="B10" s="2" t="s">
        <v>21</v>
      </c>
      <c r="C10" s="2" t="s">
        <v>9</v>
      </c>
      <c r="D10" s="2" t="s">
        <v>10</v>
      </c>
      <c r="E10" s="3" t="s">
        <v>58</v>
      </c>
      <c r="F10" s="2" t="s">
        <v>23</v>
      </c>
      <c r="G10" s="2">
        <v>440</v>
      </c>
      <c r="H10" s="14">
        <v>820</v>
      </c>
      <c r="I10" s="20">
        <f t="shared" si="0"/>
        <v>360800</v>
      </c>
      <c r="M10" s="45" t="s">
        <v>21</v>
      </c>
      <c r="N10" s="48" t="s">
        <v>22</v>
      </c>
    </row>
    <row r="11" spans="1:14" ht="30" x14ac:dyDescent="0.25">
      <c r="A11" s="7">
        <v>7</v>
      </c>
      <c r="B11" s="2" t="s">
        <v>24</v>
      </c>
      <c r="C11" s="2" t="s">
        <v>9</v>
      </c>
      <c r="D11" s="2" t="s">
        <v>10</v>
      </c>
      <c r="E11" s="3" t="s">
        <v>59</v>
      </c>
      <c r="F11" s="2" t="s">
        <v>12</v>
      </c>
      <c r="G11" s="2">
        <v>1150</v>
      </c>
      <c r="H11" s="14">
        <v>80</v>
      </c>
      <c r="I11" s="20">
        <f t="shared" si="0"/>
        <v>92000</v>
      </c>
      <c r="M11" s="45" t="s">
        <v>24</v>
      </c>
      <c r="N11" s="48" t="s">
        <v>25</v>
      </c>
    </row>
    <row r="12" spans="1:14" ht="30.75" thickBot="1" x14ac:dyDescent="0.3">
      <c r="A12" s="7">
        <v>8</v>
      </c>
      <c r="B12" s="2" t="s">
        <v>26</v>
      </c>
      <c r="C12" s="2" t="s">
        <v>9</v>
      </c>
      <c r="D12" s="2" t="s">
        <v>10</v>
      </c>
      <c r="E12" s="3" t="s">
        <v>60</v>
      </c>
      <c r="F12" s="2" t="s">
        <v>12</v>
      </c>
      <c r="G12" s="2">
        <v>1700</v>
      </c>
      <c r="H12" s="14">
        <v>100</v>
      </c>
      <c r="I12" s="20">
        <f t="shared" si="0"/>
        <v>170000</v>
      </c>
      <c r="M12" s="45" t="s">
        <v>26</v>
      </c>
      <c r="N12" s="48" t="s">
        <v>27</v>
      </c>
    </row>
    <row r="13" spans="1:14" ht="60.75" thickBot="1" x14ac:dyDescent="0.3">
      <c r="A13" s="25">
        <v>9</v>
      </c>
      <c r="B13" s="2" t="s">
        <v>28</v>
      </c>
      <c r="C13" s="2" t="s">
        <v>9</v>
      </c>
      <c r="D13" s="2" t="s">
        <v>10</v>
      </c>
      <c r="E13" s="3" t="s">
        <v>61</v>
      </c>
      <c r="F13" s="2" t="s">
        <v>30</v>
      </c>
      <c r="G13" s="2">
        <v>240</v>
      </c>
      <c r="H13" s="14">
        <v>3100</v>
      </c>
      <c r="I13" s="20">
        <f t="shared" si="0"/>
        <v>744000</v>
      </c>
      <c r="J13" s="24" t="s">
        <v>47</v>
      </c>
      <c r="K13" s="40" t="s">
        <v>48</v>
      </c>
      <c r="M13" s="45" t="s">
        <v>28</v>
      </c>
      <c r="N13" s="48" t="s">
        <v>29</v>
      </c>
    </row>
    <row r="14" spans="1:14" ht="30.75" thickBot="1" x14ac:dyDescent="0.3">
      <c r="A14" s="7">
        <v>10</v>
      </c>
      <c r="B14" s="2" t="s">
        <v>31</v>
      </c>
      <c r="C14" s="2" t="s">
        <v>9</v>
      </c>
      <c r="D14" s="2" t="s">
        <v>10</v>
      </c>
      <c r="E14" s="3" t="s">
        <v>62</v>
      </c>
      <c r="F14" s="2" t="s">
        <v>33</v>
      </c>
      <c r="G14" s="2">
        <v>340</v>
      </c>
      <c r="H14" s="14">
        <v>500</v>
      </c>
      <c r="I14" s="20">
        <f t="shared" si="0"/>
        <v>170000</v>
      </c>
      <c r="J14" s="23"/>
      <c r="K14" s="22"/>
      <c r="M14" s="45" t="s">
        <v>31</v>
      </c>
      <c r="N14" s="48" t="s">
        <v>32</v>
      </c>
    </row>
    <row r="15" spans="1:14" ht="30.75" thickBot="1" x14ac:dyDescent="0.3">
      <c r="A15" s="25">
        <v>11</v>
      </c>
      <c r="B15" s="2" t="s">
        <v>34</v>
      </c>
      <c r="C15" s="2" t="s">
        <v>9</v>
      </c>
      <c r="D15" s="2" t="s">
        <v>10</v>
      </c>
      <c r="E15" s="3" t="s">
        <v>63</v>
      </c>
      <c r="F15" s="2" t="s">
        <v>36</v>
      </c>
      <c r="G15" s="2">
        <v>670</v>
      </c>
      <c r="H15" s="14">
        <v>55</v>
      </c>
      <c r="I15" s="20">
        <f t="shared" si="0"/>
        <v>36850</v>
      </c>
      <c r="J15" s="24" t="s">
        <v>49</v>
      </c>
      <c r="K15" s="40" t="s">
        <v>50</v>
      </c>
      <c r="M15" s="45" t="s">
        <v>34</v>
      </c>
      <c r="N15" s="48" t="s">
        <v>35</v>
      </c>
    </row>
    <row r="16" spans="1:14" ht="30.75" thickBot="1" x14ac:dyDescent="0.3">
      <c r="A16" s="7">
        <v>12</v>
      </c>
      <c r="B16" s="2" t="s">
        <v>37</v>
      </c>
      <c r="C16" s="2" t="s">
        <v>9</v>
      </c>
      <c r="D16" s="2" t="s">
        <v>10</v>
      </c>
      <c r="E16" s="3" t="s">
        <v>64</v>
      </c>
      <c r="F16" s="2" t="s">
        <v>23</v>
      </c>
      <c r="G16" s="2">
        <v>340</v>
      </c>
      <c r="H16" s="14">
        <v>1170</v>
      </c>
      <c r="I16" s="20">
        <f t="shared" si="0"/>
        <v>397800</v>
      </c>
      <c r="J16" s="41"/>
      <c r="K16" s="42"/>
      <c r="M16" s="45" t="s">
        <v>37</v>
      </c>
      <c r="N16" s="48" t="s">
        <v>38</v>
      </c>
    </row>
    <row r="17" spans="1:14" ht="30.75" thickBot="1" x14ac:dyDescent="0.3">
      <c r="A17" s="25">
        <v>13</v>
      </c>
      <c r="B17" s="2" t="s">
        <v>39</v>
      </c>
      <c r="C17" s="2" t="s">
        <v>9</v>
      </c>
      <c r="D17" s="2" t="s">
        <v>10</v>
      </c>
      <c r="E17" s="3" t="s">
        <v>65</v>
      </c>
      <c r="F17" s="2" t="s">
        <v>30</v>
      </c>
      <c r="G17" s="2">
        <v>200</v>
      </c>
      <c r="H17" s="14">
        <v>2100</v>
      </c>
      <c r="I17" s="20">
        <f t="shared" si="0"/>
        <v>420000</v>
      </c>
      <c r="J17" s="24" t="s">
        <v>51</v>
      </c>
      <c r="K17" s="40" t="s">
        <v>48</v>
      </c>
      <c r="M17" s="45" t="s">
        <v>39</v>
      </c>
      <c r="N17" s="48" t="s">
        <v>40</v>
      </c>
    </row>
    <row r="18" spans="1:14" ht="30.75" thickBot="1" x14ac:dyDescent="0.3">
      <c r="A18" s="7">
        <v>14</v>
      </c>
      <c r="B18" s="2" t="s">
        <v>41</v>
      </c>
      <c r="C18" s="2" t="s">
        <v>9</v>
      </c>
      <c r="D18" s="2" t="s">
        <v>10</v>
      </c>
      <c r="E18" s="3" t="s">
        <v>66</v>
      </c>
      <c r="F18" s="2" t="s">
        <v>23</v>
      </c>
      <c r="G18" s="2">
        <v>340</v>
      </c>
      <c r="H18" s="14">
        <v>670</v>
      </c>
      <c r="I18" s="20">
        <f t="shared" si="0"/>
        <v>227800</v>
      </c>
      <c r="J18" s="23"/>
      <c r="K18" s="22"/>
      <c r="M18" s="45" t="s">
        <v>41</v>
      </c>
      <c r="N18" s="48" t="s">
        <v>42</v>
      </c>
    </row>
    <row r="19" spans="1:14" ht="30.75" thickBot="1" x14ac:dyDescent="0.3">
      <c r="A19" s="25">
        <v>15</v>
      </c>
      <c r="B19" s="2" t="s">
        <v>43</v>
      </c>
      <c r="C19" s="2" t="s">
        <v>9</v>
      </c>
      <c r="D19" s="2" t="s">
        <v>10</v>
      </c>
      <c r="E19" s="3" t="s">
        <v>67</v>
      </c>
      <c r="F19" s="2" t="s">
        <v>23</v>
      </c>
      <c r="G19" s="2">
        <v>200</v>
      </c>
      <c r="H19" s="14">
        <v>1750</v>
      </c>
      <c r="I19" s="20">
        <f t="shared" si="0"/>
        <v>350000</v>
      </c>
      <c r="J19" s="24" t="s">
        <v>52</v>
      </c>
      <c r="K19" s="40" t="s">
        <v>53</v>
      </c>
      <c r="M19" s="45" t="s">
        <v>43</v>
      </c>
      <c r="N19" s="48" t="s">
        <v>44</v>
      </c>
    </row>
    <row r="20" spans="1:14" ht="15.75" thickBot="1" x14ac:dyDescent="0.3">
      <c r="A20" s="8">
        <v>16</v>
      </c>
      <c r="B20" s="9" t="s">
        <v>45</v>
      </c>
      <c r="C20" s="9" t="s">
        <v>9</v>
      </c>
      <c r="D20" s="9" t="s">
        <v>10</v>
      </c>
      <c r="E20" s="10" t="s">
        <v>80</v>
      </c>
      <c r="F20" s="9" t="s">
        <v>12</v>
      </c>
      <c r="G20" s="9">
        <v>340</v>
      </c>
      <c r="H20" s="17">
        <v>700</v>
      </c>
      <c r="I20" s="21">
        <f t="shared" si="0"/>
        <v>238000</v>
      </c>
      <c r="M20" s="46" t="s">
        <v>45</v>
      </c>
      <c r="N20" s="49" t="s">
        <v>77</v>
      </c>
    </row>
    <row r="21" spans="1:14" ht="15.75" thickBot="1" x14ac:dyDescent="0.3">
      <c r="A21" s="1"/>
      <c r="B21" s="1"/>
      <c r="C21" s="1"/>
      <c r="D21" s="1"/>
      <c r="E21" s="1"/>
      <c r="F21" s="1"/>
      <c r="G21" s="1"/>
      <c r="H21" s="1"/>
      <c r="I21" s="13">
        <f>SUM(I5:I20)</f>
        <v>10659250</v>
      </c>
    </row>
    <row r="22" spans="1:14" ht="15.75" thickBot="1" x14ac:dyDescent="0.3">
      <c r="A22" s="1"/>
      <c r="B22" s="1"/>
      <c r="C22" s="1"/>
      <c r="D22" s="1"/>
      <c r="E22" s="1"/>
      <c r="F22" s="1"/>
      <c r="G22" s="1"/>
      <c r="H22" s="1"/>
      <c r="I22" s="39"/>
    </row>
    <row r="23" spans="1:14" ht="105.75" customHeight="1" x14ac:dyDescent="0.25">
      <c r="A23" s="1"/>
      <c r="B23" s="33" t="s">
        <v>68</v>
      </c>
      <c r="C23" s="34"/>
      <c r="D23" s="27" t="s">
        <v>78</v>
      </c>
      <c r="E23" s="27"/>
      <c r="F23" s="27"/>
      <c r="G23" s="27"/>
      <c r="H23" s="28"/>
      <c r="I23" s="1"/>
    </row>
    <row r="24" spans="1:14" x14ac:dyDescent="0.25">
      <c r="B24" s="35" t="s">
        <v>69</v>
      </c>
      <c r="C24" s="36"/>
      <c r="D24" s="29" t="s">
        <v>70</v>
      </c>
      <c r="E24" s="29"/>
      <c r="F24" s="29"/>
      <c r="G24" s="29"/>
      <c r="H24" s="30"/>
    </row>
    <row r="25" spans="1:14" x14ac:dyDescent="0.25">
      <c r="B25" s="35" t="s">
        <v>71</v>
      </c>
      <c r="C25" s="36"/>
      <c r="D25" s="29" t="s">
        <v>72</v>
      </c>
      <c r="E25" s="29"/>
      <c r="F25" s="29"/>
      <c r="G25" s="29"/>
      <c r="H25" s="30"/>
    </row>
    <row r="26" spans="1:14" ht="15.75" thickBot="1" x14ac:dyDescent="0.3">
      <c r="B26" s="37" t="s">
        <v>73</v>
      </c>
      <c r="C26" s="38"/>
      <c r="D26" s="31" t="s">
        <v>74</v>
      </c>
      <c r="E26" s="31"/>
      <c r="F26" s="31"/>
      <c r="G26" s="31"/>
      <c r="H26" s="32"/>
    </row>
  </sheetData>
  <mergeCells count="8">
    <mergeCell ref="B23:C23"/>
    <mergeCell ref="B24:C24"/>
    <mergeCell ref="B25:C25"/>
    <mergeCell ref="B26:C26"/>
    <mergeCell ref="D23:H23"/>
    <mergeCell ref="D24:H24"/>
    <mergeCell ref="D25:H25"/>
    <mergeCell ref="D26:H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AAA8-E289-4A3C-8469-980E82390BA0}">
  <dimension ref="A1:Y63"/>
  <sheetViews>
    <sheetView workbookViewId="0"/>
  </sheetViews>
  <sheetFormatPr baseColWidth="10" defaultRowHeight="15" x14ac:dyDescent="0.25"/>
  <sheetData>
    <row r="1" spans="1:25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1:25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spans="1:25" x14ac:dyDescent="0.2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spans="1:25" x14ac:dyDescent="0.2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1:25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1:25" x14ac:dyDescent="0.2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spans="1:25" x14ac:dyDescent="0.2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spans="1:25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 spans="1:25" x14ac:dyDescent="0.2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 spans="1:25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spans="1:25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spans="1:25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 spans="1:25" x14ac:dyDescent="0.2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 spans="1:25" x14ac:dyDescent="0.2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x14ac:dyDescent="0.2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 spans="1:25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 spans="1:25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</row>
    <row r="21" spans="1:25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 spans="1:25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 spans="1:25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 spans="1:25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spans="1:25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 spans="1:25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 spans="1:25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x14ac:dyDescent="0.2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x14ac:dyDescent="0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x14ac:dyDescent="0.2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x14ac:dyDescent="0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spans="1:25" x14ac:dyDescent="0.2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 x14ac:dyDescent="0.2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 x14ac:dyDescent="0.2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x14ac:dyDescent="0.2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x14ac:dyDescent="0.2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x14ac:dyDescent="0.2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x14ac:dyDescent="0.2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 spans="1:25" x14ac:dyDescent="0.2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 spans="1:25" x14ac:dyDescent="0.2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 spans="1:25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spans="1:25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spans="1:25" x14ac:dyDescent="0.2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spans="1:25" x14ac:dyDescent="0.2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spans="1:25" x14ac:dyDescent="0.2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spans="1:25" x14ac:dyDescent="0.2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spans="1:25" x14ac:dyDescent="0.2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spans="1:25" x14ac:dyDescent="0.2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:25" x14ac:dyDescent="0.2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1:25" x14ac:dyDescent="0.2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1:25" x14ac:dyDescent="0.2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36FC-148C-4D25-8634-E7E5B946E170}">
  <dimension ref="A1:M69"/>
  <sheetViews>
    <sheetView workbookViewId="0"/>
  </sheetViews>
  <sheetFormatPr baseColWidth="10" defaultRowHeight="15" x14ac:dyDescent="0.25"/>
  <sheetData>
    <row r="1" spans="1:13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x14ac:dyDescent="0.2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</row>
    <row r="6" spans="1:13" x14ac:dyDescent="0.2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3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</row>
    <row r="8" spans="1:13" x14ac:dyDescent="0.2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 spans="1:13" x14ac:dyDescent="0.2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13" x14ac:dyDescent="0.2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 spans="1:13" x14ac:dyDescent="0.2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</row>
    <row r="13" spans="1:13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</row>
    <row r="14" spans="1:13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13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</row>
    <row r="16" spans="1:13" x14ac:dyDescent="0.2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13" x14ac:dyDescent="0.2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</row>
    <row r="18" spans="1:13" x14ac:dyDescent="0.2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 spans="1:13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1:13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 spans="1:13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 spans="1:13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13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</row>
    <row r="24" spans="1:13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</row>
    <row r="25" spans="1:13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 spans="1:13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</row>
    <row r="27" spans="1:13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</row>
    <row r="28" spans="1:13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spans="1:13" x14ac:dyDescent="0.2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 spans="1:13" x14ac:dyDescent="0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 spans="1:13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13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 spans="1:13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</row>
    <row r="34" spans="1:13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5" spans="1:13" x14ac:dyDescent="0.2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</row>
    <row r="36" spans="1:13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spans="1:13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</row>
    <row r="38" spans="1:13" x14ac:dyDescent="0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spans="1:13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 spans="1:13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1:13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</row>
    <row r="42" spans="1:13" x14ac:dyDescent="0.2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 spans="1:13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 spans="1:13" x14ac:dyDescent="0.2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x14ac:dyDescent="0.2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</row>
    <row r="47" spans="1:13" x14ac:dyDescent="0.2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x14ac:dyDescent="0.2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x14ac:dyDescent="0.2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 spans="1:13" x14ac:dyDescent="0.2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 spans="1:13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</row>
    <row r="54" spans="1:13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</row>
    <row r="55" spans="1:13" x14ac:dyDescent="0.2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 spans="1:13" x14ac:dyDescent="0.2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</row>
    <row r="57" spans="1:13" x14ac:dyDescent="0.2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</row>
    <row r="58" spans="1:13" x14ac:dyDescent="0.2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 spans="1:13" x14ac:dyDescent="0.2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</row>
    <row r="60" spans="1:13" x14ac:dyDescent="0.2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</row>
    <row r="61" spans="1:13" x14ac:dyDescent="0.2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</row>
    <row r="62" spans="1:13" x14ac:dyDescent="0.2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 spans="1:13" x14ac:dyDescent="0.2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</row>
    <row r="64" spans="1:13" x14ac:dyDescent="0.2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 spans="1:13" x14ac:dyDescent="0.2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</row>
    <row r="66" spans="1:13" x14ac:dyDescent="0.2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</row>
    <row r="67" spans="1:13" x14ac:dyDescent="0.2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</row>
    <row r="68" spans="1:13" x14ac:dyDescent="0.2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</row>
    <row r="69" spans="1:13" x14ac:dyDescent="0.2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 Items</vt:lpstr>
      <vt:lpstr>Cond.calidad</vt:lpstr>
      <vt:lpstr>S.G N°13-SAF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2022-04-26T15:14:39Z</dcterms:created>
  <dcterms:modified xsi:type="dcterms:W3CDTF">2022-04-26T16:19:09Z</dcterms:modified>
</cp:coreProperties>
</file>