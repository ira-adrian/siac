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E:\SECRETARIA DE COMPRAS\COMPRAS\2022\Adquisicion de camas simples, cuchetas y colchones\apertura\"/>
    </mc:Choice>
  </mc:AlternateContent>
  <xr:revisionPtr revIDLastSave="0" documentId="13_ncr:1_{641152F5-A808-43BB-B016-4D62C45D95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2" l="1"/>
  <c r="M13" i="2"/>
  <c r="Q13" i="2"/>
  <c r="U13" i="2"/>
  <c r="Y13" i="2"/>
</calcChain>
</file>

<file path=xl/sharedStrings.xml><?xml version="1.0" encoding="utf-8"?>
<sst xmlns="http://schemas.openxmlformats.org/spreadsheetml/2006/main" count="66" uniqueCount="43">
  <si>
    <t>Número expediente:</t>
  </si>
  <si>
    <t>EX-2022-00183540-   -CAT-SCA#MEC</t>
  </si>
  <si>
    <t>Número proceso de compra:</t>
  </si>
  <si>
    <t>100-0010-CPR22</t>
  </si>
  <si>
    <t>Nombre descriptivo proceso de compra:</t>
  </si>
  <si>
    <t>ADQUISICION DE CAMAS SIMPLES, CUCHETAS Y COLCHONES PARA EL MINISTERIO DE DESARROLLO SOCIAL</t>
  </si>
  <si>
    <t>Unidad Operativa de Compras:</t>
  </si>
  <si>
    <t>Secretaria de Compras y Abastecimiento</t>
  </si>
  <si>
    <t>Fecha de Apertura:</t>
  </si>
  <si>
    <t>22/02/2022</t>
  </si>
  <si>
    <t>Renglón</t>
  </si>
  <si>
    <t>SUCESION DE LUIS JAIME KOTLER</t>
  </si>
  <si>
    <t>BRUNO RODOLFO LUCERO ALESSANDRO</t>
  </si>
  <si>
    <t>MARTIN ABEL LAGORIA</t>
  </si>
  <si>
    <t>SARAKO S.R.L.</t>
  </si>
  <si>
    <t>TEJADA HNOS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</si>
  <si>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</si>
  <si>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</si>
  <si>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</si>
  <si>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</si>
  <si>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</si>
  <si>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</si>
  <si>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</si>
  <si>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</si>
  <si>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</si>
  <si>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</si>
  <si>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4.3.7-2207.3 </t>
  </si>
  <si>
    <t xml:space="preserve">CAMAS; LARGO X ANCHO: 1,90 X 0,75 M, MATERIAL: HIERRO, 
TERMINACION: ESMALTE SINTETICO COLOR, TIPO: 1PLAZA </t>
  </si>
  <si>
    <t xml:space="preserve">UNIDAD </t>
  </si>
  <si>
    <t xml:space="preserve">Cama Simple de una plaza, estructura metálica 1,90 x 0,75 
cm.TIPO: 1PLAZA M, MATERIAL: HIERRO.  Terminación esmalte sintético, color 
negro  MARCA KATZ </t>
  </si>
  <si>
    <t xml:space="preserve">CAMA, MARCA DONNET, LARGO X ANCHO 1,90X0,75 M, MATERIAL: HIERRO, 
TERMINACION: ESMALTE SINTETICO COLOR NEGRO, TIPO: 1 PLAZA  </t>
  </si>
  <si>
    <t xml:space="preserve">2 </t>
  </si>
  <si>
    <t xml:space="preserve">4.3.7-2207.8 </t>
  </si>
  <si>
    <t xml:space="preserve">CAMAS; LARGO X ANCHO: 1,90 X 0,75 M, MATERIAL: HIERRO, 
TERMINACION: ESMALTE SINTETICO COLOR, TIPO: CUCHETA </t>
  </si>
  <si>
    <t xml:space="preserve">Cama tipo cucheta, estructuras metálicas 1,90 x 0,75 cm.M, MATERIAL: 
HIERRO.  Terminación esmalte sintético, color negro de una plaza 
MARCA: KATZ </t>
  </si>
  <si>
    <t xml:space="preserve">Cama tipo cucheta, estructuras metálicas caño reforzado de 3 pulgadas 
parrilla de madera incluida 2 travesaños de caño estructural de 
40 x 20 pintada al horno con pintura termocontrahible 1,90 
x 0,80 </t>
  </si>
  <si>
    <t xml:space="preserve">CAMA CUCHETA FIJA, MARCA DONNET, LARGO X ANCHO 1,90X0,75 M, 
MATERIAL: HIERRO, TERMINACION: ESMALTE SINTETICO COLOR NEGRO, TIPO: CUCHETA  
</t>
  </si>
  <si>
    <t xml:space="preserve">3 </t>
  </si>
  <si>
    <t xml:space="preserve">2.2.9-701.140 </t>
  </si>
  <si>
    <t xml:space="preserve">COLCHONES; CONSTRUCCION: ESPUMA, DIMENSION: 190 X 80 Cm, ESPESOR: 17 
Cm, DENSIDAD: 23 KG/CM2, TERMINACION: TELA </t>
  </si>
  <si>
    <t xml:space="preserve">COLCHONES; CONSTRUCCION: ESPUMA, DIMENSION: 190 X 80 Cm, ESPESOR: 17 
Cm, DENSIDAD: 23 KG/CM2, TERMINACION: TELA MARCA: BAHIA </t>
  </si>
  <si>
    <t xml:space="preserve">COLCHON ESTÁNDAR MARCA GANI; CONSTRUCCIÓN: ESPUMA; DIMENSIÓN: 190X80Cm, ESPESOR: 17 
Cm, DENSIDAD: 23 KG/CM2, TERMINACIÓN: TELA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</si>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</sst>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3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3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3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3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13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13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E20" sqref="E2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3.5703125" customWidth="1"/>
    <col min="4" max="4" width="70.28515625" customWidth="1"/>
    <col min="5" max="5" width="94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8.42578125" customWidth="1"/>
    <col min="11" max="11" width="14.28515625" customWidth="1"/>
    <col min="12" max="12" width="17.28515625" customWidth="1"/>
    <col min="13" max="13" width="16.5703125" customWidth="1"/>
    <col min="14" max="14" width="62.42578125" customWidth="1"/>
    <col min="15" max="15" width="14.28515625" customWidth="1"/>
    <col min="16" max="16" width="17.28515625" customWidth="1"/>
    <col min="17" max="17" width="16.5703125" customWidth="1"/>
    <col min="18" max="18" width="77.28515625" customWidth="1"/>
    <col min="19" max="19" width="14.28515625" customWidth="1"/>
    <col min="20" max="20" width="17.28515625" customWidth="1"/>
    <col min="21" max="21" width="16.5703125" customWidth="1"/>
    <col min="22" max="22" width="70.28515625" customWidth="1"/>
    <col min="23" max="23" width="14.28515625" customWidth="1"/>
    <col min="24" max="24" width="17.28515625" customWidth="1"/>
    <col min="25" max="25" width="16.5703125" customWidth="1"/>
    <col min="26" max="26" width="88.42578125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60" x14ac:dyDescent="0.25">
      <c r="A10" t="s">
        <v>25</v>
      </c>
      <c r="B10" t="s">
        <v>25</v>
      </c>
      <c r="C10" t="s">
        <v>26</v>
      </c>
      <c r="D10" s="4" t="s">
        <v>27</v>
      </c>
      <c r="E10">
        <v>500</v>
      </c>
      <c r="F10" t="s">
        <v>28</v>
      </c>
      <c r="G10" s="3">
        <v>9999</v>
      </c>
      <c r="H10" s="3">
        <v>500</v>
      </c>
      <c r="I10" s="5">
        <v>4999500</v>
      </c>
      <c r="J10" s="4" t="s">
        <v>29</v>
      </c>
      <c r="K10" s="3">
        <v>12000</v>
      </c>
      <c r="L10" s="3">
        <v>500</v>
      </c>
      <c r="M10" s="5">
        <v>6000000</v>
      </c>
      <c r="N10" s="4" t="s">
        <v>27</v>
      </c>
      <c r="O10" s="3">
        <v>6990</v>
      </c>
      <c r="P10" s="3">
        <v>500</v>
      </c>
      <c r="Q10" s="5">
        <v>3495000</v>
      </c>
      <c r="R10" s="4" t="s">
        <v>30</v>
      </c>
      <c r="S10" s="3"/>
      <c r="T10" s="3"/>
      <c r="U10" s="5"/>
      <c r="W10" s="3"/>
      <c r="X10" s="3"/>
      <c r="Y10" s="5"/>
    </row>
    <row r="11" spans="1:26" ht="75" x14ac:dyDescent="0.25">
      <c r="A11" t="s">
        <v>31</v>
      </c>
      <c r="B11" t="s">
        <v>25</v>
      </c>
      <c r="C11" t="s">
        <v>32</v>
      </c>
      <c r="D11" s="4" t="s">
        <v>33</v>
      </c>
      <c r="E11">
        <v>1000</v>
      </c>
      <c r="F11" t="s">
        <v>28</v>
      </c>
      <c r="G11" s="3">
        <v>24000</v>
      </c>
      <c r="H11" s="3">
        <v>1000</v>
      </c>
      <c r="I11" s="5">
        <v>24000000</v>
      </c>
      <c r="J11" s="4" t="s">
        <v>34</v>
      </c>
      <c r="K11" s="3">
        <v>22400</v>
      </c>
      <c r="L11" s="3">
        <v>1000</v>
      </c>
      <c r="M11" s="5">
        <v>22400000</v>
      </c>
      <c r="N11" s="4" t="s">
        <v>35</v>
      </c>
      <c r="O11" s="3">
        <v>18490</v>
      </c>
      <c r="P11" s="3">
        <v>1000</v>
      </c>
      <c r="Q11" s="5">
        <v>18490000</v>
      </c>
      <c r="R11" s="4" t="s">
        <v>36</v>
      </c>
      <c r="S11" s="3"/>
      <c r="T11" s="3"/>
      <c r="U11" s="5"/>
      <c r="W11" s="3"/>
      <c r="X11" s="3"/>
      <c r="Y11" s="5"/>
    </row>
    <row r="12" spans="1:26" ht="45" x14ac:dyDescent="0.25">
      <c r="A12" t="s">
        <v>37</v>
      </c>
      <c r="B12" t="s">
        <v>25</v>
      </c>
      <c r="C12" t="s">
        <v>38</v>
      </c>
      <c r="D12" s="4" t="s">
        <v>39</v>
      </c>
      <c r="E12">
        <v>3000</v>
      </c>
      <c r="F12" t="s">
        <v>28</v>
      </c>
      <c r="G12" s="3"/>
      <c r="H12" s="3"/>
      <c r="I12" s="5"/>
      <c r="K12" s="3"/>
      <c r="L12" s="3"/>
      <c r="M12" s="5"/>
      <c r="O12" s="3"/>
      <c r="P12" s="3"/>
      <c r="Q12" s="5"/>
      <c r="S12" s="3">
        <v>6500</v>
      </c>
      <c r="T12" s="3">
        <v>3000</v>
      </c>
      <c r="U12" s="5">
        <v>19500000</v>
      </c>
      <c r="V12" s="4" t="s">
        <v>40</v>
      </c>
      <c r="W12" s="3">
        <v>5190</v>
      </c>
      <c r="X12" s="3">
        <v>3000</v>
      </c>
      <c r="Y12" s="5">
        <v>15570000</v>
      </c>
      <c r="Z12" s="4" t="s">
        <v>41</v>
      </c>
    </row>
    <row r="13" spans="1:26" x14ac:dyDescent="0.25">
      <c r="C13" t="s">
        <v>42</v>
      </c>
      <c r="D13" s="4"/>
      <c r="G13" s="3"/>
      <c r="H13" s="3"/>
      <c r="I13" s="5">
        <f>SUBTOTAL(109,Table2[Total por renglón])</f>
        <v>28999500</v>
      </c>
      <c r="K13" s="3"/>
      <c r="L13" s="3"/>
      <c r="M13" s="5">
        <f>SUBTOTAL(109,Table3[Total por renglón])</f>
        <v>28400000</v>
      </c>
      <c r="O13" s="3"/>
      <c r="P13" s="3"/>
      <c r="Q13" s="5">
        <f>SUBTOTAL(109,Table4[Total por renglón])</f>
        <v>21985000</v>
      </c>
      <c r="S13" s="3"/>
      <c r="T13" s="3"/>
      <c r="U13" s="5">
        <f>SUBTOTAL(109,Table5[Total por renglón])</f>
        <v>19500000</v>
      </c>
      <c r="V13" s="4"/>
      <c r="W13" s="3"/>
      <c r="X13" s="3"/>
      <c r="Y13" s="5">
        <f>SUBTOTAL(109,Table6[Total por renglón])</f>
        <v>15570000</v>
      </c>
      <c r="Z13" s="4"/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VISÑOVEZKY</cp:lastModifiedBy>
  <dcterms:created xsi:type="dcterms:W3CDTF">2022-02-22T12:50:04Z</dcterms:created>
  <dcterms:modified xsi:type="dcterms:W3CDTF">2022-03-03T13:11:49Z</dcterms:modified>
</cp:coreProperties>
</file>