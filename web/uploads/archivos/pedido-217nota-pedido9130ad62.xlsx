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8_{32B76A35-DA2D-43BD-B537-4F59F5731A86}" xr6:coauthVersionLast="46" xr6:coauthVersionMax="46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NotaPedido" sheetId="2" r:id="rId2"/>
    <sheet name="Autor Gastar" sheetId="3" r:id="rId3"/>
  </sheets>
  <definedNames>
    <definedName name="_xlnm.Print_Area" localSheetId="2">'Autor Gastar'!$A$1:$Q$27</definedName>
    <definedName name="_xlnm.Print_Area" localSheetId="1">NotaPedido!$A$1:$K$14</definedName>
  </definedNames>
  <calcPr calcId="181029"/>
</workbook>
</file>

<file path=xl/calcChain.xml><?xml version="1.0" encoding="utf-8"?>
<calcChain xmlns="http://schemas.openxmlformats.org/spreadsheetml/2006/main">
  <c r="A26" i="3" l="1"/>
  <c r="A10" i="3"/>
  <c r="K13" i="2"/>
  <c r="J13" i="2"/>
  <c r="I13" i="2"/>
  <c r="C13" i="2"/>
  <c r="B13" i="2"/>
  <c r="K12" i="2"/>
  <c r="J12" i="2"/>
  <c r="I12" i="2"/>
  <c r="C12" i="2"/>
  <c r="B12" i="2"/>
  <c r="I11" i="1"/>
  <c r="I10" i="1"/>
  <c r="J14" i="2" l="1"/>
  <c r="G6" i="3" l="1"/>
  <c r="G7" i="3"/>
  <c r="D7" i="2"/>
  <c r="D3" i="2"/>
  <c r="G4" i="3" s="1"/>
  <c r="D4" i="2"/>
  <c r="G5" i="3" s="1"/>
  <c r="D1" i="3" l="1"/>
  <c r="Q23" i="3"/>
</calcChain>
</file>

<file path=xl/sharedStrings.xml><?xml version="1.0" encoding="utf-8"?>
<sst xmlns="http://schemas.openxmlformats.org/spreadsheetml/2006/main" count="88" uniqueCount="80">
  <si>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</si>
  <si>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</si>
  <si>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</si>
  <si>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</si>
  <si>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</si>
  <si>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</si>
  <si>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</si>
  <si>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</si>
  <si>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</si>
  <si>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</si>
  <si>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</si>
  <si>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</si>
  <si>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</si>
  <si>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</si>
  <si>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</si>
  <si>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</si>
  <si>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</si>
  <si>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</si>
  <si>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</si>
  <si>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</si>
  <si>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</si>
  <si>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</si>
  <si>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</si>
  <si>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</si>
  <si>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</si>
  <si>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</si>
  <si>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</si>
  <si>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</si>
  <si>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</si>
  <si>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</si>
  <si>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</si>
  <si>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</si>
  <si>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</si>
  <si>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</si>
  <si>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</si>
  <si>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</si>
  <si>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</si>
  <si>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</si>
  <si>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</si>
  <si>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</si>
  <si>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</si>
  <si>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</si>
  <si>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</si>
  <si>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</si>
  <si>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</si>
  <si>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</si>
  <si>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</si>
  <si>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</si>
  <si>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</si>
  <si>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</si>
  <si>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</si>
  <si>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</si>
  <si>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</si>
  <si>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</si>
  <si>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</si>
  <si>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</si>
  <si>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NO</t>
  </si>
  <si>
    <t>40 - Ministerio de Salud</t>
  </si>
  <si>
    <t>23 - Hospital Interzonal San Juan Bautista</t>
  </si>
  <si>
    <t>168 - Direccion Asistencial</t>
  </si>
  <si>
    <t>Servicio de Farmacia</t>
  </si>
  <si>
    <t>Productos Farmaceuticos y Medicinales</t>
  </si>
  <si>
    <t xml:space="preserve">45 dias habiles </t>
  </si>
  <si>
    <t>3.1</t>
  </si>
  <si>
    <t>1.1</t>
  </si>
  <si>
    <t>INSULINA CORRIENTE HUMANA 100 UI FCO AMP 10 ML</t>
  </si>
  <si>
    <t>INSULINA NPH HUMANA 100 UI FCO AMP 10 ML</t>
  </si>
  <si>
    <t>UNIDAD</t>
  </si>
  <si>
    <t xml:space="preserve">UNIDAD </t>
  </si>
  <si>
    <t>2.5.2</t>
  </si>
  <si>
    <t xml:space="preserve">MEDICAMENTOS </t>
  </si>
  <si>
    <t xml:space="preserve">PLAZO DE MANTENIMIENTO DE OFERTA: 45 DIAS HABILES </t>
  </si>
  <si>
    <t>Adquisición de Antidiabeticos e Insulinas</t>
  </si>
  <si>
    <t>067 - 2021</t>
  </si>
  <si>
    <t>Presentar copia certificada de Resolución de Habilitación expedida por la Subsecretaria de Asistencia en Salud  Publica o copia certificada de Certificado de Habilitación de Establecimiento y/o copia certificada de Certificado de Transito Interjurisdiccional emitido por A.N.M.A.T, el que correspondiere conforme a la situación de cada establecimiento cotizante (Laboratorio, Droguería, etc.), en caso de corresponder. Indicar Marca y Numero de Certificado de ANMAT por ítem.VENCIMIENTO DE MEDICAMENTOS: UN PLAZO NO MENOR A 12 MESES DE LA FECHA DE RECEPCION.</t>
  </si>
  <si>
    <t xml:space="preserve">PLAZO DE ENTREGA: 20 DIAS CORRIDOS EN EL SERVICIO DE FARMACIA - AVDA. ILLIA Y MARIANO MORENO </t>
  </si>
  <si>
    <t xml:space="preserve">20 dias corridos - Servicio de Farmacia del HISJB - Avda. Illia y Mariano Moreno </t>
  </si>
  <si>
    <t>Especificidades Item N° 1 y 2:</t>
  </si>
  <si>
    <t>Costo total estimado: ciento cincuenta y tres mil seiscientos cuarenta con 00/100.------</t>
  </si>
  <si>
    <t>TOTAL DE PESOS: CIENTO CINCUENTA Y TRES MIL SEISCIENTOS CUARENTA CON 00/100.---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</si>
</sst>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7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9"/>
      <name val="Arial"/>
      <family val="2"/>
    </font>
    <font>
      <sz val="20"/>
      <name val="Times New Roman"/>
      <family val="1"/>
    </font>
    <font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5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32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0" xfId="0" applyFont="1" applyBorder="1" applyAlignment="1">
      <alignment horizontal="right" vertical="center"/>
    </xf>
    <xf numFmtId="0" fontId="5" fillId="0" borderId="12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19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0" xfId="0" applyBorder="1"/>
    <xf numFmtId="0" fontId="0" fillId="0" borderId="25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6" xfId="0" applyBorder="1"/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/>
    </xf>
    <xf numFmtId="0" fontId="13" fillId="0" borderId="30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166" fontId="0" fillId="0" borderId="34" xfId="3" applyNumberFormat="1" applyFont="1" applyBorder="1" applyAlignment="1" applyProtection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166" fontId="0" fillId="0" borderId="39" xfId="3" applyNumberFormat="1" applyFont="1" applyBorder="1" applyAlignment="1" applyProtection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166" fontId="13" fillId="0" borderId="44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22" fillId="0" borderId="2" xfId="0" applyFont="1" applyBorder="1"/>
    <xf numFmtId="0" fontId="15" fillId="0" borderId="3" xfId="0" applyFont="1" applyBorder="1"/>
    <xf numFmtId="0" fontId="15" fillId="0" borderId="4" xfId="0" applyFont="1" applyBorder="1"/>
    <xf numFmtId="0" fontId="15" fillId="0" borderId="5" xfId="0" applyFont="1" applyBorder="1"/>
    <xf numFmtId="0" fontId="15" fillId="0" borderId="0" xfId="0" applyFont="1" applyBorder="1"/>
    <xf numFmtId="0" fontId="15" fillId="0" borderId="6" xfId="0" applyFont="1" applyBorder="1"/>
    <xf numFmtId="0" fontId="22" fillId="0" borderId="5" xfId="0" applyFont="1" applyBorder="1" applyAlignment="1">
      <alignment horizontal="left" indent="3"/>
    </xf>
    <xf numFmtId="0" fontId="15" fillId="0" borderId="5" xfId="0" applyFont="1" applyBorder="1" applyAlignment="1">
      <alignment horizontal="left" indent="3"/>
    </xf>
    <xf numFmtId="0" fontId="15" fillId="0" borderId="0" xfId="0" applyFont="1" applyBorder="1" applyAlignment="1">
      <alignment horizontal="center" wrapText="1"/>
    </xf>
    <xf numFmtId="0" fontId="15" fillId="0" borderId="6" xfId="0" applyFont="1" applyBorder="1" applyAlignment="1">
      <alignment horizontal="center" wrapText="1"/>
    </xf>
    <xf numFmtId="0" fontId="15" fillId="0" borderId="7" xfId="0" applyFont="1" applyBorder="1" applyAlignment="1">
      <alignment horizontal="left" indent="3"/>
    </xf>
    <xf numFmtId="0" fontId="15" fillId="0" borderId="8" xfId="0" applyFont="1" applyBorder="1"/>
    <xf numFmtId="0" fontId="15" fillId="0" borderId="9" xfId="0" applyFont="1" applyBorder="1"/>
    <xf numFmtId="0" fontId="19" fillId="0" borderId="14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/>
    </xf>
    <xf numFmtId="0" fontId="21" fillId="4" borderId="14" xfId="0" applyFont="1" applyFill="1" applyBorder="1" applyAlignment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right" vertical="center" wrapText="1"/>
    </xf>
    <xf numFmtId="0" fontId="23" fillId="4" borderId="0" xfId="0" applyFont="1" applyFill="1" applyAlignment="1">
      <alignment horizontal="left" wrapText="1" indent="1"/>
    </xf>
    <xf numFmtId="0" fontId="19" fillId="5" borderId="0" xfId="0" applyFont="1" applyFill="1" applyAlignment="1">
      <alignment horizontal="left" wrapText="1"/>
    </xf>
    <xf numFmtId="0" fontId="6" fillId="4" borderId="11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left" vertical="center"/>
    </xf>
    <xf numFmtId="0" fontId="4" fillId="4" borderId="19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 wrapText="1"/>
    </xf>
    <xf numFmtId="166" fontId="4" fillId="5" borderId="19" xfId="1" applyNumberFormat="1" applyFont="1" applyFill="1" applyBorder="1" applyAlignment="1" applyProtection="1">
      <alignment horizontal="right" vertical="center" wrapText="1"/>
    </xf>
    <xf numFmtId="3" fontId="4" fillId="5" borderId="19" xfId="0" applyNumberFormat="1" applyFont="1" applyFill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166" fontId="0" fillId="0" borderId="0" xfId="0" applyNumberFormat="1"/>
    <xf numFmtId="0" fontId="21" fillId="5" borderId="14" xfId="0" applyFont="1" applyFill="1" applyBorder="1" applyAlignment="1">
      <alignment horizontal="left" vertical="center" wrapText="1"/>
    </xf>
    <xf numFmtId="0" fontId="21" fillId="5" borderId="14" xfId="0" applyFont="1" applyFill="1" applyBorder="1" applyAlignment="1">
      <alignment horizontal="center" vertical="center" wrapText="1"/>
    </xf>
    <xf numFmtId="0" fontId="14" fillId="5" borderId="14" xfId="0" applyFont="1" applyFill="1" applyBorder="1" applyAlignment="1">
      <alignment horizontal="left" vertical="center" wrapText="1"/>
    </xf>
    <xf numFmtId="0" fontId="0" fillId="0" borderId="31" xfId="0" applyFont="1" applyBorder="1" applyAlignment="1">
      <alignment horizontal="center" vertical="center"/>
    </xf>
    <xf numFmtId="0" fontId="0" fillId="0" borderId="32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0" fillId="0" borderId="33" xfId="0" applyFont="1" applyBorder="1" applyAlignment="1">
      <alignment horizontal="center" vertical="center"/>
    </xf>
    <xf numFmtId="0" fontId="22" fillId="0" borderId="0" xfId="0" applyFont="1" applyBorder="1"/>
    <xf numFmtId="0" fontId="16" fillId="0" borderId="0" xfId="0" applyFont="1" applyBorder="1" applyAlignment="1">
      <alignment horizontal="center"/>
    </xf>
    <xf numFmtId="0" fontId="17" fillId="0" borderId="0" xfId="0" applyFont="1" applyBorder="1" applyAlignment="1">
      <alignment horizontal="left" vertical="center" wrapText="1"/>
    </xf>
    <xf numFmtId="0" fontId="23" fillId="4" borderId="0" xfId="0" applyFont="1" applyFill="1" applyBorder="1" applyAlignment="1">
      <alignment horizontal="left" wrapText="1" indent="1"/>
    </xf>
    <xf numFmtId="0" fontId="15" fillId="3" borderId="6" xfId="0" applyFont="1" applyFill="1" applyBorder="1" applyAlignment="1">
      <alignment horizontal="center" wrapText="1"/>
    </xf>
    <xf numFmtId="0" fontId="15" fillId="4" borderId="6" xfId="0" applyFont="1" applyFill="1" applyBorder="1" applyAlignment="1">
      <alignment horizontal="left" wrapText="1"/>
    </xf>
    <xf numFmtId="0" fontId="15" fillId="3" borderId="6" xfId="0" applyFont="1" applyFill="1" applyBorder="1" applyAlignment="1">
      <alignment horizontal="center"/>
    </xf>
    <xf numFmtId="0" fontId="15" fillId="4" borderId="6" xfId="0" applyFont="1" applyFill="1" applyBorder="1" applyAlignment="1">
      <alignment horizontal="left"/>
    </xf>
    <xf numFmtId="0" fontId="15" fillId="4" borderId="6" xfId="0" applyFont="1" applyFill="1" applyBorder="1" applyAlignment="1">
      <alignment horizontal="center"/>
    </xf>
    <xf numFmtId="0" fontId="15" fillId="3" borderId="14" xfId="0" applyFont="1" applyFill="1" applyBorder="1" applyAlignment="1">
      <alignment horizontal="center" vertical="center" wrapText="1"/>
    </xf>
    <xf numFmtId="0" fontId="25" fillId="3" borderId="21" xfId="0" applyFont="1" applyFill="1" applyBorder="1" applyAlignment="1">
      <alignment horizontal="center" vertical="center" wrapText="1"/>
    </xf>
    <xf numFmtId="0" fontId="15" fillId="6" borderId="20" xfId="0" applyFont="1" applyFill="1" applyBorder="1" applyAlignment="1">
      <alignment horizontal="center" vertical="center"/>
    </xf>
    <xf numFmtId="0" fontId="15" fillId="6" borderId="48" xfId="0" applyFont="1" applyFill="1" applyBorder="1" applyAlignment="1">
      <alignment horizontal="center" vertical="center"/>
    </xf>
    <xf numFmtId="0" fontId="15" fillId="6" borderId="21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 wrapText="1"/>
    </xf>
    <xf numFmtId="0" fontId="6" fillId="5" borderId="14" xfId="0" applyFont="1" applyFill="1" applyBorder="1" applyAlignment="1">
      <alignment horizontal="left" vertical="center" wrapText="1" indent="1"/>
    </xf>
    <xf numFmtId="0" fontId="7" fillId="0" borderId="15" xfId="0" applyFont="1" applyBorder="1" applyAlignment="1">
      <alignment horizontal="left" vertical="center" wrapText="1"/>
    </xf>
    <xf numFmtId="0" fontId="4" fillId="5" borderId="19" xfId="0" applyFont="1" applyFill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 indent="1"/>
    </xf>
    <xf numFmtId="167" fontId="7" fillId="0" borderId="14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left" vertical="center"/>
    </xf>
    <xf numFmtId="0" fontId="6" fillId="4" borderId="17" xfId="0" applyFont="1" applyFill="1" applyBorder="1" applyAlignment="1">
      <alignment horizontal="left" vertical="center" wrapText="1" indent="1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0" fillId="0" borderId="20" xfId="0" applyFont="1" applyBorder="1" applyAlignment="1">
      <alignment horizontal="center"/>
    </xf>
    <xf numFmtId="3" fontId="9" fillId="0" borderId="2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0" fontId="2" fillId="0" borderId="11" xfId="0" applyFont="1" applyBorder="1"/>
    <xf numFmtId="0" fontId="11" fillId="0" borderId="11" xfId="0" applyFont="1" applyBorder="1" applyAlignment="1">
      <alignment horizontal="left" indent="1"/>
    </xf>
    <xf numFmtId="0" fontId="4" fillId="0" borderId="13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12" fillId="0" borderId="11" xfId="0" applyFont="1" applyBorder="1" applyAlignment="1">
      <alignment horizontal="left"/>
    </xf>
    <xf numFmtId="0" fontId="11" fillId="0" borderId="23" xfId="0" applyFont="1" applyBorder="1"/>
    <xf numFmtId="0" fontId="11" fillId="0" borderId="24" xfId="0" applyFont="1" applyBorder="1" applyAlignment="1">
      <alignment horizontal="left" vertical="center" wrapText="1" indent="1"/>
    </xf>
    <xf numFmtId="0" fontId="13" fillId="0" borderId="2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/>
    </xf>
    <xf numFmtId="0" fontId="26" fillId="0" borderId="32" xfId="0" applyFont="1" applyBorder="1" applyAlignment="1">
      <alignment horizontal="left" vertical="center"/>
    </xf>
    <xf numFmtId="0" fontId="24" fillId="0" borderId="38" xfId="0" applyFont="1" applyBorder="1" applyAlignment="1">
      <alignment horizontal="left" vertical="center"/>
    </xf>
    <xf numFmtId="0" fontId="14" fillId="0" borderId="38" xfId="0" applyFont="1" applyBorder="1" applyAlignment="1">
      <alignment horizontal="left" vertical="center"/>
    </xf>
    <xf numFmtId="0" fontId="0" fillId="0" borderId="38" xfId="0" applyFont="1" applyBorder="1" applyAlignment="1">
      <alignment horizontal="left" vertical="center"/>
    </xf>
    <xf numFmtId="0" fontId="9" fillId="0" borderId="20" xfId="0" applyFont="1" applyBorder="1" applyAlignment="1">
      <alignment vertical="center" wrapText="1"/>
    </xf>
    <xf numFmtId="0" fontId="9" fillId="0" borderId="45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4" borderId="44" xfId="0" applyFont="1" applyFill="1" applyBorder="1" applyAlignment="1">
      <alignment horizontal="left" vertical="center" wrapText="1" indent="1"/>
    </xf>
    <xf numFmtId="0" fontId="0" fillId="0" borderId="38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13" fillId="0" borderId="44" xfId="0" applyFont="1" applyBorder="1" applyAlignment="1">
      <alignment horizontal="left" vertical="center" wrapText="1"/>
    </xf>
    <xf numFmtId="0" fontId="0" fillId="0" borderId="22" xfId="0" applyBorder="1"/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33"/>
  <sheetViews>
    <sheetView tabSelected="1" zoomScale="85" zoomScaleNormal="85" workbookViewId="0">
      <selection activeCell="I14" sqref="I14"/>
    </sheetView>
  </sheetViews>
  <sheetFormatPr baseColWidth="10" defaultColWidth="11" defaultRowHeight="12.75" x14ac:dyDescent="0.2"/>
  <cols>
    <col min="1" max="1" width="4.5703125" style="39" customWidth="1"/>
    <col min="2" max="2" width="12.85546875" style="39" customWidth="1"/>
    <col min="3" max="3" width="32.42578125" style="39" customWidth="1"/>
    <col min="4" max="4" width="8.42578125" style="39" customWidth="1"/>
    <col min="5" max="5" width="79" style="39" customWidth="1"/>
    <col min="6" max="6" width="11" style="39"/>
    <col min="7" max="7" width="12.7109375" style="39" customWidth="1"/>
    <col min="8" max="8" width="13.85546875" style="39" customWidth="1"/>
    <col min="9" max="9" width="18.5703125" style="39" customWidth="1"/>
    <col min="10" max="16384" width="11" style="39"/>
  </cols>
  <sheetData>
    <row r="2" spans="1:9" ht="27" x14ac:dyDescent="0.35">
      <c r="B2" s="79" t="s">
        <v>0</v>
      </c>
      <c r="C2" s="79"/>
      <c r="D2" s="79"/>
      <c r="E2" s="79"/>
      <c r="F2" s="79"/>
      <c r="G2" s="79"/>
      <c r="H2" s="79"/>
    </row>
    <row r="4" spans="1:9" ht="18" customHeight="1" x14ac:dyDescent="0.25">
      <c r="A4" s="80" t="s">
        <v>1</v>
      </c>
      <c r="B4" s="80"/>
      <c r="C4" s="81" t="s">
        <v>57</v>
      </c>
      <c r="D4" s="81"/>
      <c r="E4" s="81"/>
      <c r="F4" s="40"/>
      <c r="G4" s="41"/>
      <c r="H4" s="40"/>
    </row>
    <row r="5" spans="1:9" ht="18" customHeight="1" x14ac:dyDescent="0.25">
      <c r="A5" s="80" t="s">
        <v>2</v>
      </c>
      <c r="B5" s="80"/>
      <c r="C5" s="81" t="s">
        <v>58</v>
      </c>
      <c r="D5" s="81"/>
      <c r="E5" s="81"/>
      <c r="F5" s="40"/>
      <c r="G5" s="41"/>
      <c r="H5" s="40"/>
    </row>
    <row r="6" spans="1:9" ht="16.5" customHeight="1" x14ac:dyDescent="0.25">
      <c r="A6" s="80" t="s">
        <v>3</v>
      </c>
      <c r="B6" s="80"/>
      <c r="C6" s="60">
        <v>2021</v>
      </c>
      <c r="D6" s="61"/>
      <c r="E6" s="61"/>
      <c r="F6" s="40"/>
      <c r="G6" s="41"/>
      <c r="H6" s="40"/>
    </row>
    <row r="7" spans="1:9" ht="16.5" customHeight="1" x14ac:dyDescent="0.25">
      <c r="A7" s="80" t="s">
        <v>4</v>
      </c>
      <c r="B7" s="80"/>
      <c r="C7" s="60">
        <v>3</v>
      </c>
      <c r="D7" s="61"/>
      <c r="E7" s="61"/>
      <c r="F7" s="40"/>
      <c r="G7" s="41"/>
      <c r="H7" s="40"/>
    </row>
    <row r="8" spans="1:9" ht="13.5" thickBot="1" x14ac:dyDescent="0.25">
      <c r="B8" s="40"/>
      <c r="C8" s="41"/>
      <c r="D8" s="40"/>
      <c r="E8" s="40"/>
      <c r="F8" s="40"/>
      <c r="G8" s="41"/>
      <c r="H8" s="40"/>
    </row>
    <row r="9" spans="1:9" ht="39" thickBot="1" x14ac:dyDescent="0.25">
      <c r="A9" s="55" t="s">
        <v>5</v>
      </c>
      <c r="B9" s="55" t="s">
        <v>6</v>
      </c>
      <c r="C9" s="55" t="s">
        <v>7</v>
      </c>
      <c r="D9" s="55" t="s">
        <v>8</v>
      </c>
      <c r="E9" s="55" t="s">
        <v>9</v>
      </c>
      <c r="F9" s="55" t="s">
        <v>10</v>
      </c>
      <c r="G9" s="55" t="s">
        <v>11</v>
      </c>
      <c r="H9" s="55" t="s">
        <v>12</v>
      </c>
      <c r="I9" s="55" t="s">
        <v>13</v>
      </c>
    </row>
    <row r="10" spans="1:9" ht="31.9" customHeight="1" thickBot="1" x14ac:dyDescent="0.25">
      <c r="A10" s="56">
        <v>1</v>
      </c>
      <c r="B10" s="57"/>
      <c r="C10" s="71" t="s">
        <v>70</v>
      </c>
      <c r="D10" s="72" t="s">
        <v>69</v>
      </c>
      <c r="E10" s="73" t="s">
        <v>65</v>
      </c>
      <c r="F10" s="57" t="s">
        <v>67</v>
      </c>
      <c r="G10" s="57">
        <v>80</v>
      </c>
      <c r="H10" s="58">
        <v>1668</v>
      </c>
      <c r="I10" s="59">
        <f t="shared" ref="I10:I11" si="0">G10*H10</f>
        <v>133440</v>
      </c>
    </row>
    <row r="11" spans="1:9" ht="31.9" customHeight="1" thickBot="1" x14ac:dyDescent="0.25">
      <c r="A11" s="56">
        <v>2</v>
      </c>
      <c r="B11" s="57"/>
      <c r="C11" s="71" t="s">
        <v>70</v>
      </c>
      <c r="D11" s="72" t="s">
        <v>69</v>
      </c>
      <c r="E11" s="73" t="s">
        <v>66</v>
      </c>
      <c r="F11" s="57" t="s">
        <v>68</v>
      </c>
      <c r="G11" s="57">
        <v>20</v>
      </c>
      <c r="H11" s="58">
        <v>1010</v>
      </c>
      <c r="I11" s="59">
        <f t="shared" si="0"/>
        <v>20200</v>
      </c>
    </row>
    <row r="12" spans="1:9" ht="13.5" thickBot="1" x14ac:dyDescent="0.25"/>
    <row r="13" spans="1:9" ht="58.5" customHeight="1" thickBot="1" x14ac:dyDescent="0.25">
      <c r="C13" s="87" t="s">
        <v>74</v>
      </c>
      <c r="D13" s="88"/>
      <c r="E13" s="88"/>
    </row>
    <row r="14" spans="1:9" ht="32.25" customHeight="1" thickBot="1" x14ac:dyDescent="0.25">
      <c r="C14" s="89" t="s">
        <v>71</v>
      </c>
      <c r="D14" s="90"/>
      <c r="E14" s="91"/>
    </row>
    <row r="15" spans="1:9" ht="31.5" customHeight="1" thickBot="1" x14ac:dyDescent="0.25">
      <c r="C15" s="89" t="s">
        <v>75</v>
      </c>
      <c r="D15" s="90"/>
      <c r="E15" s="91"/>
    </row>
    <row r="16" spans="1:9" ht="13.5" thickBot="1" x14ac:dyDescent="0.25"/>
    <row r="17" spans="2:5" x14ac:dyDescent="0.2">
      <c r="B17" s="42" t="s">
        <v>77</v>
      </c>
      <c r="C17" s="43"/>
      <c r="D17" s="43"/>
      <c r="E17" s="44"/>
    </row>
    <row r="18" spans="2:5" ht="5.25" customHeight="1" x14ac:dyDescent="0.2">
      <c r="B18" s="45"/>
      <c r="C18" s="46"/>
      <c r="D18" s="46"/>
      <c r="E18" s="47"/>
    </row>
    <row r="19" spans="2:5" x14ac:dyDescent="0.2">
      <c r="B19" s="48" t="s">
        <v>14</v>
      </c>
      <c r="C19" s="46"/>
      <c r="D19" s="46"/>
      <c r="E19" s="47"/>
    </row>
    <row r="20" spans="2:5" ht="41.25" customHeight="1" x14ac:dyDescent="0.2">
      <c r="B20" s="48"/>
      <c r="C20" s="82"/>
      <c r="D20" s="82"/>
      <c r="E20" s="82"/>
    </row>
    <row r="21" spans="2:5" x14ac:dyDescent="0.2">
      <c r="B21" s="48" t="s">
        <v>15</v>
      </c>
      <c r="C21" s="46"/>
      <c r="D21" s="46"/>
      <c r="E21" s="47"/>
    </row>
    <row r="22" spans="2:5" x14ac:dyDescent="0.2">
      <c r="B22" s="49"/>
      <c r="C22" s="85" t="s">
        <v>76</v>
      </c>
      <c r="D22" s="85"/>
      <c r="E22" s="85"/>
    </row>
    <row r="23" spans="2:5" x14ac:dyDescent="0.2">
      <c r="B23" s="49"/>
      <c r="C23" s="86"/>
      <c r="D23" s="86"/>
      <c r="E23" s="86"/>
    </row>
    <row r="24" spans="2:5" x14ac:dyDescent="0.2">
      <c r="B24" s="48" t="s">
        <v>16</v>
      </c>
      <c r="C24" s="46"/>
      <c r="D24" s="46"/>
      <c r="E24" s="47"/>
    </row>
    <row r="25" spans="2:5" ht="26.25" customHeight="1" x14ac:dyDescent="0.2">
      <c r="B25" s="49"/>
      <c r="C25" s="82"/>
      <c r="D25" s="82"/>
      <c r="E25" s="82"/>
    </row>
    <row r="26" spans="2:5" x14ac:dyDescent="0.2">
      <c r="B26" s="48" t="s">
        <v>17</v>
      </c>
      <c r="C26" s="50"/>
      <c r="D26" s="50"/>
      <c r="E26" s="51"/>
    </row>
    <row r="27" spans="2:5" ht="26.25" customHeight="1" x14ac:dyDescent="0.2">
      <c r="B27" s="49"/>
      <c r="C27" s="83" t="s">
        <v>62</v>
      </c>
      <c r="D27" s="83"/>
      <c r="E27" s="83"/>
    </row>
    <row r="28" spans="2:5" x14ac:dyDescent="0.2">
      <c r="B28" s="48" t="s">
        <v>18</v>
      </c>
      <c r="C28" s="46"/>
      <c r="D28" s="46"/>
      <c r="E28" s="47"/>
    </row>
    <row r="29" spans="2:5" ht="23.25" customHeight="1" x14ac:dyDescent="0.2">
      <c r="B29" s="48"/>
      <c r="C29" s="84"/>
      <c r="D29" s="84"/>
      <c r="E29" s="84"/>
    </row>
    <row r="30" spans="2:5" x14ac:dyDescent="0.2">
      <c r="B30" s="52"/>
      <c r="C30" s="53"/>
      <c r="D30" s="53"/>
      <c r="E30" s="54"/>
    </row>
    <row r="32" spans="2:5" ht="12" customHeight="1" x14ac:dyDescent="0.2">
      <c r="B32" s="78"/>
      <c r="C32" s="46"/>
      <c r="D32" s="46"/>
      <c r="E32" s="46"/>
    </row>
    <row r="33" spans="1:5" x14ac:dyDescent="0.2">
      <c r="A33" s="46"/>
      <c r="B33" s="46"/>
      <c r="C33" s="46"/>
      <c r="D33" s="46"/>
      <c r="E33" s="46"/>
    </row>
  </sheetData>
  <mergeCells count="16">
    <mergeCell ref="C25:E25"/>
    <mergeCell ref="C27:E27"/>
    <mergeCell ref="C29:E29"/>
    <mergeCell ref="A6:B6"/>
    <mergeCell ref="A7:B7"/>
    <mergeCell ref="C20:E20"/>
    <mergeCell ref="C22:E22"/>
    <mergeCell ref="C23:E23"/>
    <mergeCell ref="C13:E13"/>
    <mergeCell ref="C14:E14"/>
    <mergeCell ref="C15:E15"/>
    <mergeCell ref="B2:H2"/>
    <mergeCell ref="A4:B4"/>
    <mergeCell ref="C4:E4"/>
    <mergeCell ref="A5:B5"/>
    <mergeCell ref="C5:E5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4"/>
  <sheetViews>
    <sheetView zoomScale="70" zoomScaleNormal="70" workbookViewId="0">
      <selection activeCell="D24" sqref="D24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024" ht="18" customHeight="1" x14ac:dyDescent="0.2">
      <c r="A1" s="92" t="s">
        <v>19</v>
      </c>
      <c r="B1" s="92"/>
      <c r="C1" s="92"/>
      <c r="D1" s="92"/>
      <c r="E1" s="92"/>
      <c r="F1" s="92"/>
      <c r="G1" s="92"/>
      <c r="H1" s="92"/>
      <c r="I1" s="92"/>
      <c r="J1" s="3" t="s">
        <v>20</v>
      </c>
      <c r="K1" s="62" t="s">
        <v>73</v>
      </c>
    </row>
    <row r="2" spans="1:1024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024" ht="18.75" customHeight="1" thickBot="1" x14ac:dyDescent="0.25">
      <c r="A3" s="93" t="s">
        <v>53</v>
      </c>
      <c r="B3" s="93"/>
      <c r="C3" s="93"/>
      <c r="D3" s="94" t="str">
        <f>'Necesidades Trimestrales'!C4</f>
        <v>40 - Ministerio de Salud</v>
      </c>
      <c r="E3" s="94"/>
      <c r="F3" s="94"/>
      <c r="G3" s="94"/>
      <c r="H3" s="94"/>
      <c r="I3" s="94"/>
      <c r="J3" s="94"/>
      <c r="K3" s="94"/>
    </row>
    <row r="4" spans="1:1024" ht="18.75" customHeight="1" thickBot="1" x14ac:dyDescent="0.25">
      <c r="A4" s="95" t="s">
        <v>54</v>
      </c>
      <c r="B4" s="95"/>
      <c r="C4" s="95"/>
      <c r="D4" s="94" t="str">
        <f>'Necesidades Trimestrales'!C5</f>
        <v>23 - Hospital Interzonal San Juan Bautista</v>
      </c>
      <c r="E4" s="94"/>
      <c r="F4" s="94"/>
      <c r="G4" s="94"/>
      <c r="H4" s="94"/>
      <c r="I4" s="94"/>
      <c r="J4" s="94"/>
      <c r="K4" s="94"/>
    </row>
    <row r="5" spans="1:1024" ht="18.75" customHeight="1" thickBot="1" x14ac:dyDescent="0.25">
      <c r="A5" s="95" t="s">
        <v>32</v>
      </c>
      <c r="B5" s="95"/>
      <c r="C5" s="95"/>
      <c r="D5" s="94" t="s">
        <v>59</v>
      </c>
      <c r="E5" s="94"/>
      <c r="F5" s="94"/>
      <c r="G5" s="94"/>
      <c r="H5" s="94"/>
      <c r="I5" s="94"/>
      <c r="J5" s="94"/>
      <c r="K5" s="94"/>
    </row>
    <row r="6" spans="1:1024" ht="16.5" customHeight="1" thickBot="1" x14ac:dyDescent="0.25">
      <c r="A6" s="93" t="s">
        <v>55</v>
      </c>
      <c r="B6" s="93"/>
      <c r="C6" s="93"/>
      <c r="D6" s="94" t="s">
        <v>60</v>
      </c>
      <c r="E6" s="94"/>
      <c r="F6" s="94"/>
      <c r="G6" s="94"/>
      <c r="H6" s="94"/>
      <c r="I6" s="94"/>
      <c r="J6" s="94"/>
      <c r="K6" s="94"/>
    </row>
    <row r="7" spans="1:1024" ht="16.5" customHeight="1" x14ac:dyDescent="0.2">
      <c r="A7" s="95" t="s">
        <v>21</v>
      </c>
      <c r="B7" s="95"/>
      <c r="C7" s="95"/>
      <c r="D7" s="94" t="str">
        <f>'Necesidades Trimestrales'!C7 &amp; "° Trimestre - Año " &amp; 'Necesidades Trimestrales'!C6</f>
        <v>3° Trimestre - Año 2021</v>
      </c>
      <c r="E7" s="94"/>
      <c r="F7" s="94"/>
      <c r="G7" s="94"/>
      <c r="H7" s="94"/>
      <c r="I7" s="94"/>
      <c r="J7" s="94"/>
      <c r="K7" s="94"/>
    </row>
    <row r="8" spans="1:1024" ht="16.5" customHeight="1" x14ac:dyDescent="0.2">
      <c r="A8" s="99" t="s">
        <v>22</v>
      </c>
      <c r="B8" s="99"/>
      <c r="C8" s="99"/>
      <c r="D8" s="100" t="s">
        <v>72</v>
      </c>
      <c r="E8" s="100"/>
      <c r="F8" s="100"/>
      <c r="G8" s="100"/>
      <c r="H8" s="100"/>
      <c r="I8" s="100"/>
      <c r="J8" s="100"/>
      <c r="K8" s="100"/>
    </row>
    <row r="9" spans="1:1024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024" ht="18.75" customHeight="1" x14ac:dyDescent="0.2">
      <c r="A10" s="101" t="s">
        <v>23</v>
      </c>
      <c r="B10" s="102" t="s">
        <v>24</v>
      </c>
      <c r="C10" s="102" t="s">
        <v>25</v>
      </c>
      <c r="D10" s="102"/>
      <c r="E10" s="102"/>
      <c r="F10" s="102"/>
      <c r="G10" s="102"/>
      <c r="H10" s="102" t="s">
        <v>26</v>
      </c>
      <c r="I10" s="102" t="s">
        <v>27</v>
      </c>
      <c r="J10" s="102" t="s">
        <v>28</v>
      </c>
      <c r="K10" s="103" t="s">
        <v>29</v>
      </c>
    </row>
    <row r="11" spans="1:1024" ht="24" customHeight="1" thickBot="1" x14ac:dyDescent="0.25">
      <c r="A11" s="101"/>
      <c r="B11" s="102"/>
      <c r="C11" s="102"/>
      <c r="D11" s="102"/>
      <c r="E11" s="102"/>
      <c r="F11" s="102"/>
      <c r="G11" s="102"/>
      <c r="H11" s="102"/>
      <c r="I11" s="102"/>
      <c r="J11" s="102"/>
      <c r="K11" s="103"/>
    </row>
    <row r="12" spans="1:1024" ht="20.25" customHeight="1" thickBot="1" x14ac:dyDescent="0.25">
      <c r="A12" s="8">
        <v>1</v>
      </c>
      <c r="B12" s="63">
        <f>'Necesidades Trimestrales'!B10</f>
        <v>0</v>
      </c>
      <c r="C12" s="96" t="str">
        <f>'Necesidades Trimestrales'!E10</f>
        <v>INSULINA CORRIENTE HUMANA 100 UI FCO AMP 10 ML</v>
      </c>
      <c r="D12" s="96"/>
      <c r="E12" s="96"/>
      <c r="F12" s="96"/>
      <c r="G12" s="96"/>
      <c r="H12" s="64" t="s">
        <v>56</v>
      </c>
      <c r="I12" s="65" t="str">
        <f>'Necesidades Trimestrales'!F10</f>
        <v>UNIDAD</v>
      </c>
      <c r="J12" s="66">
        <f>'Necesidades Trimestrales'!H10</f>
        <v>1668</v>
      </c>
      <c r="K12" s="67">
        <f>'Necesidades Trimestrales'!G10</f>
        <v>80</v>
      </c>
    </row>
    <row r="13" spans="1:1024" ht="20.25" customHeight="1" thickBot="1" x14ac:dyDescent="0.25">
      <c r="A13" s="8">
        <v>2</v>
      </c>
      <c r="B13" s="63">
        <f>'Necesidades Trimestrales'!B11</f>
        <v>0</v>
      </c>
      <c r="C13" s="96" t="str">
        <f>'Necesidades Trimestrales'!E11</f>
        <v>INSULINA NPH HUMANA 100 UI FCO AMP 10 ML</v>
      </c>
      <c r="D13" s="96"/>
      <c r="E13" s="96"/>
      <c r="F13" s="96"/>
      <c r="G13" s="96"/>
      <c r="H13" s="64" t="s">
        <v>56</v>
      </c>
      <c r="I13" s="65" t="str">
        <f>'Necesidades Trimestrales'!F11</f>
        <v xml:space="preserve">UNIDAD </v>
      </c>
      <c r="J13" s="66">
        <f>'Necesidades Trimestrales'!H11</f>
        <v>1010</v>
      </c>
      <c r="K13" s="67">
        <f>'Necesidades Trimestrales'!G11</f>
        <v>20</v>
      </c>
    </row>
    <row r="14" spans="1:1024" ht="20.25" customHeight="1" thickBot="1" x14ac:dyDescent="0.25">
      <c r="A14" s="97" t="s">
        <v>78</v>
      </c>
      <c r="B14" s="97"/>
      <c r="C14" s="97"/>
      <c r="D14" s="97"/>
      <c r="E14" s="97"/>
      <c r="F14" s="97"/>
      <c r="G14" s="97"/>
      <c r="H14" s="97"/>
      <c r="I14" s="97"/>
      <c r="J14" s="98">
        <f>SUMPRODUCT(J12:J13,K12:K13)</f>
        <v>153640</v>
      </c>
      <c r="K14" s="98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  <c r="PV14"/>
      <c r="PW14"/>
      <c r="PX14"/>
      <c r="PY14"/>
      <c r="PZ14"/>
      <c r="QA14"/>
      <c r="QB14"/>
      <c r="QC14"/>
      <c r="QD14"/>
      <c r="QE14"/>
      <c r="QF14"/>
      <c r="QG14"/>
      <c r="QH14"/>
      <c r="QI14"/>
      <c r="QJ14"/>
      <c r="QK14"/>
      <c r="QL14"/>
      <c r="QM14"/>
      <c r="QN14"/>
      <c r="QO14"/>
      <c r="QP14"/>
      <c r="QQ14"/>
      <c r="QR14"/>
      <c r="QS14"/>
      <c r="QT14"/>
      <c r="QU14"/>
      <c r="QV14"/>
      <c r="QW14"/>
      <c r="QX14"/>
      <c r="QY14"/>
      <c r="QZ14"/>
      <c r="RA14"/>
      <c r="RB14"/>
      <c r="RC14"/>
      <c r="RD14"/>
      <c r="RE14"/>
      <c r="RF14"/>
      <c r="RG14"/>
      <c r="RH14"/>
      <c r="RI14"/>
      <c r="RJ14"/>
      <c r="RK14"/>
      <c r="RL14"/>
      <c r="RM14"/>
      <c r="RN14"/>
      <c r="RO14"/>
      <c r="RP14"/>
      <c r="RQ14"/>
      <c r="RR14"/>
      <c r="RS14"/>
      <c r="RT14"/>
      <c r="RU14"/>
      <c r="RV14"/>
      <c r="RW14"/>
      <c r="RX14"/>
      <c r="RY14"/>
      <c r="RZ14"/>
      <c r="SA14"/>
      <c r="SB14"/>
      <c r="SC14"/>
      <c r="SD14"/>
      <c r="SE14"/>
      <c r="SF14"/>
      <c r="SG14"/>
      <c r="SH14"/>
      <c r="SI14"/>
      <c r="SJ14"/>
      <c r="SK14"/>
      <c r="SL14"/>
      <c r="SM14"/>
      <c r="SN14"/>
      <c r="SO14"/>
      <c r="SP14"/>
      <c r="SQ14"/>
      <c r="SR14"/>
      <c r="SS14"/>
      <c r="ST14"/>
      <c r="SU14"/>
      <c r="SV14"/>
      <c r="SW14"/>
      <c r="SX14"/>
      <c r="SY14"/>
      <c r="SZ14"/>
      <c r="TA14"/>
      <c r="TB14"/>
      <c r="TC14"/>
      <c r="TD14"/>
      <c r="TE14"/>
      <c r="TF14"/>
      <c r="TG14"/>
      <c r="TH14"/>
      <c r="TI14"/>
      <c r="TJ14"/>
      <c r="TK14"/>
      <c r="TL14"/>
      <c r="TM14"/>
      <c r="TN14"/>
      <c r="TO14"/>
      <c r="TP14"/>
      <c r="TQ14"/>
      <c r="TR14"/>
      <c r="TS14"/>
      <c r="TT14"/>
      <c r="TU14"/>
      <c r="TV14"/>
      <c r="TW14"/>
      <c r="TX14"/>
      <c r="TY14"/>
      <c r="TZ14"/>
      <c r="UA14"/>
      <c r="UB14"/>
      <c r="UC14"/>
      <c r="UD14"/>
      <c r="UE14"/>
      <c r="UF14"/>
      <c r="UG14"/>
      <c r="UH14"/>
      <c r="UI14"/>
      <c r="UJ14"/>
      <c r="UK14"/>
      <c r="UL14"/>
      <c r="UM14"/>
      <c r="UN14"/>
      <c r="UO14"/>
      <c r="UP14"/>
      <c r="UQ14"/>
      <c r="UR14"/>
      <c r="US14"/>
      <c r="UT14"/>
      <c r="UU14"/>
      <c r="UV14"/>
      <c r="UW14"/>
      <c r="UX14"/>
      <c r="UY14"/>
      <c r="UZ14"/>
      <c r="VA14"/>
      <c r="VB14"/>
      <c r="VC14"/>
      <c r="VD14"/>
      <c r="VE14"/>
      <c r="VF14"/>
      <c r="VG14"/>
      <c r="VH14"/>
      <c r="VI14"/>
      <c r="VJ14"/>
      <c r="VK14"/>
      <c r="VL14"/>
      <c r="VM14"/>
      <c r="VN14"/>
      <c r="VO14"/>
      <c r="VP14"/>
      <c r="VQ14"/>
      <c r="VR14"/>
      <c r="VS14"/>
      <c r="VT14"/>
      <c r="VU14"/>
      <c r="VV14"/>
      <c r="VW14"/>
      <c r="VX14"/>
      <c r="VY14"/>
      <c r="VZ14"/>
      <c r="WA14"/>
      <c r="WB14"/>
      <c r="WC14"/>
      <c r="WD14"/>
      <c r="WE14"/>
      <c r="WF14"/>
      <c r="WG14"/>
      <c r="WH14"/>
      <c r="WI14"/>
      <c r="WJ14"/>
      <c r="WK14"/>
      <c r="WL14"/>
      <c r="WM14"/>
      <c r="WN14"/>
      <c r="WO14"/>
      <c r="WP14"/>
      <c r="WQ14"/>
      <c r="WR14"/>
      <c r="WS14"/>
      <c r="WT14"/>
      <c r="WU14"/>
      <c r="WV14"/>
      <c r="WW14"/>
      <c r="WX14"/>
      <c r="WY14"/>
      <c r="WZ14"/>
      <c r="XA14"/>
      <c r="XB14"/>
      <c r="XC14"/>
      <c r="XD14"/>
      <c r="XE14"/>
      <c r="XF14"/>
      <c r="XG14"/>
      <c r="XH14"/>
      <c r="XI14"/>
      <c r="XJ14"/>
      <c r="XK14"/>
      <c r="XL14"/>
      <c r="XM14"/>
      <c r="XN14"/>
      <c r="XO14"/>
      <c r="XP14"/>
      <c r="XQ14"/>
      <c r="XR14"/>
      <c r="XS14"/>
      <c r="XT14"/>
      <c r="XU14"/>
      <c r="XV14"/>
      <c r="XW14"/>
      <c r="XX14"/>
      <c r="XY14"/>
      <c r="XZ14"/>
      <c r="YA14"/>
      <c r="YB14"/>
      <c r="YC14"/>
      <c r="YD14"/>
      <c r="YE14"/>
      <c r="YF14"/>
      <c r="YG14"/>
      <c r="YH14"/>
      <c r="YI14"/>
      <c r="YJ14"/>
      <c r="YK14"/>
      <c r="YL14"/>
      <c r="YM14"/>
      <c r="YN14"/>
      <c r="YO14"/>
      <c r="YP14"/>
      <c r="YQ14"/>
      <c r="YR14"/>
      <c r="YS14"/>
      <c r="YT14"/>
      <c r="YU14"/>
      <c r="YV14"/>
      <c r="YW14"/>
      <c r="YX14"/>
      <c r="YY14"/>
      <c r="YZ14"/>
      <c r="ZA14"/>
      <c r="ZB14"/>
      <c r="ZC14"/>
      <c r="ZD14"/>
      <c r="ZE14"/>
      <c r="ZF14"/>
      <c r="ZG14"/>
      <c r="ZH14"/>
      <c r="ZI14"/>
      <c r="ZJ14"/>
      <c r="ZK14"/>
      <c r="ZL14"/>
      <c r="ZM14"/>
      <c r="ZN14"/>
      <c r="ZO14"/>
      <c r="ZP14"/>
      <c r="ZQ14"/>
      <c r="ZR14"/>
      <c r="ZS14"/>
      <c r="ZT14"/>
      <c r="ZU14"/>
      <c r="ZV14"/>
      <c r="ZW14"/>
      <c r="ZX14"/>
      <c r="ZY14"/>
      <c r="ZZ14"/>
      <c r="AAA14"/>
      <c r="AAB14"/>
      <c r="AAC14"/>
      <c r="AAD14"/>
      <c r="AAE14"/>
      <c r="AAF14"/>
      <c r="AAG14"/>
      <c r="AAH14"/>
      <c r="AAI14"/>
      <c r="AAJ14"/>
      <c r="AAK14"/>
      <c r="AAL14"/>
      <c r="AAM14"/>
      <c r="AAN14"/>
      <c r="AAO14"/>
      <c r="AAP14"/>
      <c r="AAQ14"/>
      <c r="AAR14"/>
      <c r="AAS14"/>
      <c r="AAT14"/>
      <c r="AAU14"/>
      <c r="AAV14"/>
      <c r="AAW14"/>
      <c r="AAX14"/>
      <c r="AAY14"/>
      <c r="AAZ14"/>
      <c r="ABA14"/>
      <c r="ABB14"/>
      <c r="ABC14"/>
      <c r="ABD14"/>
      <c r="ABE14"/>
      <c r="ABF14"/>
      <c r="ABG14"/>
      <c r="ABH14"/>
      <c r="ABI14"/>
      <c r="ABJ14"/>
      <c r="ABK14"/>
      <c r="ABL14"/>
      <c r="ABM14"/>
      <c r="ABN14"/>
      <c r="ABO14"/>
      <c r="ABP14"/>
      <c r="ABQ14"/>
      <c r="ABR14"/>
      <c r="ABS14"/>
      <c r="ABT14"/>
      <c r="ABU14"/>
      <c r="ABV14"/>
      <c r="ABW14"/>
      <c r="ABX14"/>
      <c r="ABY14"/>
      <c r="ABZ14"/>
      <c r="ACA14"/>
      <c r="ACB14"/>
      <c r="ACC14"/>
      <c r="ACD14"/>
      <c r="ACE14"/>
      <c r="ACF14"/>
      <c r="ACG14"/>
      <c r="ACH14"/>
      <c r="ACI14"/>
      <c r="ACJ14"/>
      <c r="ACK14"/>
      <c r="ACL14"/>
      <c r="ACM14"/>
      <c r="ACN14"/>
      <c r="ACO14"/>
      <c r="ACP14"/>
      <c r="ACQ14"/>
      <c r="ACR14"/>
      <c r="ACS14"/>
      <c r="ACT14"/>
      <c r="ACU14"/>
      <c r="ACV14"/>
      <c r="ACW14"/>
      <c r="ACX14"/>
      <c r="ACY14"/>
      <c r="ACZ14"/>
      <c r="ADA14"/>
      <c r="ADB14"/>
      <c r="ADC14"/>
      <c r="ADD14"/>
      <c r="ADE14"/>
      <c r="ADF14"/>
      <c r="ADG14"/>
      <c r="ADH14"/>
      <c r="ADI14"/>
      <c r="ADJ14"/>
      <c r="ADK14"/>
      <c r="ADL14"/>
      <c r="ADM14"/>
      <c r="ADN14"/>
      <c r="ADO14"/>
      <c r="ADP14"/>
      <c r="ADQ14"/>
      <c r="ADR14"/>
      <c r="ADS14"/>
      <c r="ADT14"/>
      <c r="ADU14"/>
      <c r="ADV14"/>
      <c r="ADW14"/>
      <c r="ADX14"/>
      <c r="ADY14"/>
      <c r="ADZ14"/>
      <c r="AEA14"/>
      <c r="AEB14"/>
      <c r="AEC14"/>
      <c r="AED14"/>
      <c r="AEE14"/>
      <c r="AEF14"/>
      <c r="AEG14"/>
      <c r="AEH14"/>
      <c r="AEI14"/>
      <c r="AEJ14"/>
      <c r="AEK14"/>
      <c r="AEL14"/>
      <c r="AEM14"/>
      <c r="AEN14"/>
      <c r="AEO14"/>
      <c r="AEP14"/>
      <c r="AEQ14"/>
      <c r="AER14"/>
      <c r="AES14"/>
      <c r="AET14"/>
      <c r="AEU14"/>
      <c r="AEV14"/>
      <c r="AEW14"/>
      <c r="AEX14"/>
      <c r="AEY14"/>
      <c r="AEZ14"/>
      <c r="AFA14"/>
      <c r="AFB14"/>
      <c r="AFC14"/>
      <c r="AFD14"/>
      <c r="AFE14"/>
      <c r="AFF14"/>
      <c r="AFG14"/>
      <c r="AFH14"/>
      <c r="AFI14"/>
      <c r="AFJ14"/>
      <c r="AFK14"/>
      <c r="AFL14"/>
      <c r="AFM14"/>
      <c r="AFN14"/>
      <c r="AFO14"/>
      <c r="AFP14"/>
      <c r="AFQ14"/>
      <c r="AFR14"/>
      <c r="AFS14"/>
      <c r="AFT14"/>
      <c r="AFU14"/>
      <c r="AFV14"/>
      <c r="AFW14"/>
      <c r="AFX14"/>
      <c r="AFY14"/>
      <c r="AFZ14"/>
      <c r="AGA14"/>
      <c r="AGB14"/>
      <c r="AGC14"/>
      <c r="AGD14"/>
      <c r="AGE14"/>
      <c r="AGF14"/>
      <c r="AGG14"/>
      <c r="AGH14"/>
      <c r="AGI14"/>
      <c r="AGJ14"/>
      <c r="AGK14"/>
      <c r="AGL14"/>
      <c r="AGM14"/>
      <c r="AGN14"/>
      <c r="AGO14"/>
      <c r="AGP14"/>
      <c r="AGQ14"/>
      <c r="AGR14"/>
      <c r="AGS14"/>
      <c r="AGT14"/>
      <c r="AGU14"/>
      <c r="AGV14"/>
      <c r="AGW14"/>
      <c r="AGX14"/>
      <c r="AGY14"/>
      <c r="AGZ14"/>
      <c r="AHA14"/>
      <c r="AHB14"/>
      <c r="AHC14"/>
      <c r="AHD14"/>
      <c r="AHE14"/>
      <c r="AHF14"/>
      <c r="AHG14"/>
      <c r="AHH14"/>
      <c r="AHI14"/>
      <c r="AHJ14"/>
      <c r="AHK14"/>
      <c r="AHL14"/>
      <c r="AHM14"/>
      <c r="AHN14"/>
      <c r="AHO14"/>
      <c r="AHP14"/>
      <c r="AHQ14"/>
      <c r="AHR14"/>
      <c r="AHS14"/>
      <c r="AHT14"/>
      <c r="AHU14"/>
      <c r="AHV14"/>
      <c r="AHW14"/>
      <c r="AHX14"/>
      <c r="AHY14"/>
      <c r="AHZ14"/>
      <c r="AIA14"/>
      <c r="AIB14"/>
      <c r="AIC14"/>
      <c r="AID14"/>
      <c r="AIE14"/>
      <c r="AIF14"/>
      <c r="AIG14"/>
      <c r="AIH14"/>
      <c r="AII14"/>
      <c r="AIJ14"/>
      <c r="AIK14"/>
      <c r="AIL14"/>
      <c r="AIM14"/>
      <c r="AIN14"/>
      <c r="AIO14"/>
      <c r="AIP14"/>
      <c r="AIQ14"/>
      <c r="AIR14"/>
      <c r="AIS14"/>
      <c r="AIT14"/>
      <c r="AIU14"/>
      <c r="AIV14"/>
      <c r="AIW14"/>
      <c r="AIX14"/>
      <c r="AIY14"/>
      <c r="AIZ14"/>
      <c r="AJA14"/>
      <c r="AJB14"/>
      <c r="AJC14"/>
      <c r="AJD14"/>
      <c r="AJE14"/>
      <c r="AJF14"/>
      <c r="AJG14"/>
      <c r="AJH14"/>
      <c r="AJI14"/>
      <c r="AJJ14"/>
      <c r="AJK14"/>
      <c r="AJL14"/>
      <c r="AJM14"/>
      <c r="AJN14"/>
      <c r="AJO14"/>
      <c r="AJP14"/>
      <c r="AJQ14"/>
      <c r="AJR14"/>
      <c r="AJS14"/>
      <c r="AJT14"/>
      <c r="AJU14"/>
      <c r="AJV14"/>
      <c r="AJW14"/>
      <c r="AJX14"/>
      <c r="AJY14"/>
      <c r="AJZ14"/>
      <c r="AKA14"/>
      <c r="AKB14"/>
      <c r="AKC14"/>
      <c r="AKD14"/>
      <c r="AKE14"/>
      <c r="AKF14"/>
      <c r="AKG14"/>
      <c r="AKH14"/>
      <c r="AKI14"/>
      <c r="AKJ14"/>
      <c r="AKK14"/>
      <c r="AKL14"/>
      <c r="AKM14"/>
      <c r="AKN14"/>
      <c r="AKO14"/>
      <c r="AKP14"/>
      <c r="AKQ14"/>
      <c r="AKR14"/>
      <c r="AKS14"/>
      <c r="AKT14"/>
      <c r="AKU14"/>
      <c r="AKV14"/>
      <c r="AKW14"/>
      <c r="AKX14"/>
      <c r="AKY14"/>
      <c r="AKZ14"/>
      <c r="ALA14"/>
      <c r="ALB14"/>
      <c r="ALC14"/>
      <c r="ALD14"/>
      <c r="ALE14"/>
      <c r="ALF14"/>
      <c r="ALG14"/>
      <c r="ALH14"/>
      <c r="ALI14"/>
      <c r="ALJ14"/>
      <c r="ALK14"/>
      <c r="ALL14"/>
      <c r="ALM14"/>
      <c r="ALN14"/>
      <c r="ALO14"/>
      <c r="ALP14"/>
      <c r="ALQ14"/>
      <c r="ALR14"/>
      <c r="ALS14"/>
      <c r="ALT14"/>
      <c r="ALU14"/>
      <c r="ALV14"/>
      <c r="ALW14"/>
      <c r="ALX14"/>
      <c r="ALY14"/>
      <c r="ALZ14"/>
      <c r="AMA14"/>
      <c r="AMB14"/>
      <c r="AMC14"/>
      <c r="AMD14"/>
      <c r="AME14"/>
      <c r="AMF14"/>
      <c r="AMG14"/>
      <c r="AMH14"/>
      <c r="AMI14"/>
      <c r="AMJ14"/>
    </row>
  </sheetData>
  <mergeCells count="24">
    <mergeCell ref="C12:G12"/>
    <mergeCell ref="C13:G13"/>
    <mergeCell ref="A14:I14"/>
    <mergeCell ref="J14:K14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7"/>
  <sheetViews>
    <sheetView topLeftCell="A13" zoomScale="130" zoomScaleNormal="130" workbookViewId="0">
      <selection activeCell="K19" sqref="K19"/>
    </sheetView>
  </sheetViews>
  <sheetFormatPr baseColWidth="10" defaultColWidth="11" defaultRowHeight="12.75" x14ac:dyDescent="0.2"/>
  <cols>
    <col min="1" max="4" width="4.42578125" customWidth="1"/>
    <col min="5" max="5" width="4.140625" customWidth="1"/>
    <col min="6" max="6" width="5.140625" customWidth="1"/>
    <col min="7" max="7" width="4.42578125" style="9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7" ht="15.75" customHeight="1" x14ac:dyDescent="0.25">
      <c r="A1" s="104" t="s">
        <v>3</v>
      </c>
      <c r="B1" s="104"/>
      <c r="C1" s="104"/>
      <c r="D1" s="105">
        <f>'Necesidades Trimestrales'!C6</f>
        <v>2021</v>
      </c>
      <c r="E1" s="105"/>
      <c r="F1" s="10"/>
      <c r="G1" s="10"/>
      <c r="H1" s="11"/>
      <c r="I1" s="11"/>
      <c r="J1" s="11"/>
      <c r="K1" s="11"/>
      <c r="L1" s="11"/>
      <c r="M1" s="11"/>
      <c r="N1" s="11"/>
      <c r="P1" s="106" t="s">
        <v>30</v>
      </c>
      <c r="Q1" s="106"/>
    </row>
    <row r="2" spans="1:17" ht="15.75" customHeight="1" x14ac:dyDescent="0.2">
      <c r="H2" s="11"/>
      <c r="I2" s="11"/>
      <c r="J2" s="11"/>
      <c r="K2" s="11"/>
      <c r="L2" s="11"/>
      <c r="M2" s="11"/>
      <c r="N2" s="11"/>
      <c r="P2" s="106"/>
      <c r="Q2" s="106"/>
    </row>
    <row r="4" spans="1:17" s="12" customFormat="1" ht="18" customHeight="1" thickBot="1" x14ac:dyDescent="0.25">
      <c r="A4" s="107" t="s">
        <v>31</v>
      </c>
      <c r="B4" s="107"/>
      <c r="C4" s="107"/>
      <c r="D4" s="107"/>
      <c r="E4" s="107"/>
      <c r="F4" s="107"/>
      <c r="G4" s="108" t="str">
        <f>NotaPedido!D3</f>
        <v>40 - Ministerio de Salud</v>
      </c>
      <c r="H4" s="108"/>
      <c r="I4" s="108"/>
      <c r="J4" s="108"/>
      <c r="K4" s="108"/>
      <c r="L4" s="108"/>
      <c r="M4" s="108"/>
      <c r="N4" s="108"/>
      <c r="O4" s="108"/>
      <c r="P4" s="108"/>
      <c r="Q4" s="108"/>
    </row>
    <row r="5" spans="1:17" s="12" customFormat="1" ht="18" customHeight="1" thickBot="1" x14ac:dyDescent="0.25">
      <c r="A5" s="109" t="s">
        <v>54</v>
      </c>
      <c r="B5" s="110"/>
      <c r="C5" s="110"/>
      <c r="D5" s="110"/>
      <c r="E5" s="110"/>
      <c r="F5" s="111"/>
      <c r="G5" s="108" t="str">
        <f>NotaPedido!D4</f>
        <v>23 - Hospital Interzonal San Juan Bautista</v>
      </c>
      <c r="H5" s="108"/>
      <c r="I5" s="108"/>
      <c r="J5" s="108"/>
      <c r="K5" s="108"/>
      <c r="L5" s="108"/>
      <c r="M5" s="108"/>
      <c r="N5" s="108"/>
      <c r="O5" s="108"/>
      <c r="P5" s="108"/>
      <c r="Q5" s="108"/>
    </row>
    <row r="6" spans="1:17" s="12" customFormat="1" ht="18" customHeight="1" thickBot="1" x14ac:dyDescent="0.25">
      <c r="A6" s="109" t="s">
        <v>32</v>
      </c>
      <c r="B6" s="110"/>
      <c r="C6" s="110"/>
      <c r="D6" s="110"/>
      <c r="E6" s="110"/>
      <c r="F6" s="111"/>
      <c r="G6" s="108" t="str">
        <f>NotaPedido!D5</f>
        <v>168 - Direccion Asistencial</v>
      </c>
      <c r="H6" s="108"/>
      <c r="I6" s="108"/>
      <c r="J6" s="108"/>
      <c r="K6" s="108"/>
      <c r="L6" s="108"/>
      <c r="M6" s="108"/>
      <c r="N6" s="108"/>
      <c r="O6" s="108"/>
      <c r="P6" s="108"/>
      <c r="Q6" s="108"/>
    </row>
    <row r="7" spans="1:17" s="12" customFormat="1" ht="18" customHeight="1" thickBot="1" x14ac:dyDescent="0.25">
      <c r="A7" s="109" t="s">
        <v>55</v>
      </c>
      <c r="B7" s="110"/>
      <c r="C7" s="110"/>
      <c r="D7" s="110"/>
      <c r="E7" s="110"/>
      <c r="F7" s="111"/>
      <c r="G7" s="108" t="str">
        <f>NotaPedido!D6</f>
        <v>Servicio de Farmacia</v>
      </c>
      <c r="H7" s="108"/>
      <c r="I7" s="108"/>
      <c r="J7" s="108"/>
      <c r="K7" s="108"/>
      <c r="L7" s="108"/>
      <c r="M7" s="108"/>
      <c r="N7" s="108"/>
      <c r="O7" s="108"/>
      <c r="P7" s="108"/>
      <c r="Q7" s="108"/>
    </row>
    <row r="8" spans="1:17" ht="18" customHeight="1" thickBot="1" x14ac:dyDescent="0.25">
      <c r="A8" s="112" t="s">
        <v>33</v>
      </c>
      <c r="B8" s="112"/>
      <c r="C8" s="112"/>
      <c r="D8" s="112"/>
      <c r="E8" s="112"/>
      <c r="F8" s="112"/>
      <c r="G8" s="112"/>
      <c r="H8" s="112"/>
      <c r="I8" s="112"/>
      <c r="J8" s="112"/>
      <c r="K8" s="112"/>
      <c r="L8" s="112"/>
      <c r="M8" s="112"/>
      <c r="N8" s="112"/>
      <c r="O8" s="112"/>
      <c r="P8" s="112"/>
      <c r="Q8" s="112"/>
    </row>
    <row r="9" spans="1:17" ht="18" customHeight="1" x14ac:dyDescent="0.2">
      <c r="A9" s="113" t="s">
        <v>34</v>
      </c>
      <c r="B9" s="113"/>
      <c r="C9" s="113"/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"/>
      <c r="P9" s="1"/>
      <c r="Q9" s="13"/>
    </row>
    <row r="10" spans="1:17" ht="54.75" customHeight="1" x14ac:dyDescent="0.2">
      <c r="A10" s="114" t="str">
        <f>"Autorizo la realización de los  trámites correspondientes, a fin de proveer a  este Organismo los bienes y/o servicios que se detallan en Nota de Pedido N° " &amp; 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067 - 2021,  afectando la erogación resultante a los créditos presupuestarios aprobados a favor de esta Unidad Ejecutora, conforme al siguiente detalle:</v>
      </c>
      <c r="B10" s="114"/>
      <c r="C10" s="114"/>
      <c r="D10" s="114"/>
      <c r="E10" s="114"/>
      <c r="F10" s="114"/>
      <c r="G10" s="114"/>
      <c r="H10" s="114"/>
      <c r="I10" s="114"/>
      <c r="J10" s="114"/>
      <c r="K10" s="114"/>
      <c r="L10" s="114"/>
      <c r="M10" s="114"/>
      <c r="N10" s="114"/>
      <c r="O10" s="114"/>
      <c r="P10" s="114"/>
      <c r="Q10" s="114"/>
    </row>
    <row r="11" spans="1:17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 x14ac:dyDescent="0.2">
      <c r="A12" s="115" t="s">
        <v>35</v>
      </c>
      <c r="B12" s="115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</row>
    <row r="13" spans="1:17" ht="15.75" customHeight="1" x14ac:dyDescent="0.2">
      <c r="A13" s="116" t="s">
        <v>36</v>
      </c>
      <c r="B13" s="116"/>
      <c r="C13" s="116"/>
      <c r="D13" s="116"/>
      <c r="E13" s="116"/>
      <c r="F13" s="116"/>
      <c r="G13" s="116"/>
      <c r="H13" s="116"/>
      <c r="I13" s="116"/>
      <c r="J13" s="116"/>
      <c r="K13" s="116"/>
      <c r="L13" s="116"/>
      <c r="M13" s="116"/>
      <c r="N13" s="116"/>
      <c r="O13" s="117" t="s">
        <v>37</v>
      </c>
      <c r="P13" s="117"/>
      <c r="Q13" s="118" t="s">
        <v>38</v>
      </c>
    </row>
    <row r="14" spans="1:17" ht="15.75" customHeight="1" thickBot="1" x14ac:dyDescent="0.25">
      <c r="A14" s="18" t="s">
        <v>39</v>
      </c>
      <c r="B14" s="19" t="s">
        <v>40</v>
      </c>
      <c r="C14" s="19" t="s">
        <v>41</v>
      </c>
      <c r="D14" s="19" t="s">
        <v>42</v>
      </c>
      <c r="E14" s="19" t="s">
        <v>43</v>
      </c>
      <c r="F14" s="19" t="s">
        <v>44</v>
      </c>
      <c r="G14" s="20" t="s">
        <v>45</v>
      </c>
      <c r="H14" s="19" t="s">
        <v>46</v>
      </c>
      <c r="I14" s="19" t="s">
        <v>47</v>
      </c>
      <c r="J14" s="19" t="s">
        <v>48</v>
      </c>
      <c r="K14" s="19" t="s">
        <v>48</v>
      </c>
      <c r="L14" s="19" t="s">
        <v>49</v>
      </c>
      <c r="M14" s="21" t="s">
        <v>50</v>
      </c>
      <c r="N14" s="22" t="s">
        <v>51</v>
      </c>
      <c r="O14" s="117"/>
      <c r="P14" s="117"/>
      <c r="Q14" s="118"/>
    </row>
    <row r="15" spans="1:17" ht="17.25" customHeight="1" x14ac:dyDescent="0.2">
      <c r="A15" s="74">
        <v>33</v>
      </c>
      <c r="B15" s="75"/>
      <c r="C15" s="75"/>
      <c r="D15" s="75">
        <v>2</v>
      </c>
      <c r="E15" s="75"/>
      <c r="F15" s="75">
        <v>4901</v>
      </c>
      <c r="G15" s="75">
        <v>3</v>
      </c>
      <c r="H15" s="76" t="s">
        <v>63</v>
      </c>
      <c r="I15" s="75">
        <v>2</v>
      </c>
      <c r="J15" s="75">
        <v>5</v>
      </c>
      <c r="K15" s="75">
        <v>2</v>
      </c>
      <c r="L15" s="75"/>
      <c r="M15" s="77">
        <v>1</v>
      </c>
      <c r="N15" s="76" t="s">
        <v>64</v>
      </c>
      <c r="O15" s="119" t="s">
        <v>61</v>
      </c>
      <c r="P15" s="119"/>
      <c r="Q15" s="23">
        <v>153640</v>
      </c>
    </row>
    <row r="16" spans="1:17" ht="17.25" customHeight="1" x14ac:dyDescent="0.2">
      <c r="A16" s="24"/>
      <c r="B16" s="25"/>
      <c r="C16" s="25"/>
      <c r="D16" s="25"/>
      <c r="E16" s="25"/>
      <c r="F16" s="25"/>
      <c r="G16" s="25"/>
      <c r="H16" s="68"/>
      <c r="I16" s="25"/>
      <c r="J16" s="25"/>
      <c r="K16" s="25"/>
      <c r="L16" s="25"/>
      <c r="M16" s="26"/>
      <c r="N16" s="69"/>
      <c r="O16" s="120"/>
      <c r="P16" s="120"/>
      <c r="Q16" s="28"/>
    </row>
    <row r="17" spans="1:19" ht="17.25" customHeight="1" x14ac:dyDescent="0.2">
      <c r="A17" s="24"/>
      <c r="B17" s="25"/>
      <c r="C17" s="25"/>
      <c r="D17" s="25"/>
      <c r="E17" s="25"/>
      <c r="F17" s="27"/>
      <c r="G17" s="25"/>
      <c r="H17" s="68"/>
      <c r="I17" s="25"/>
      <c r="J17" s="25"/>
      <c r="K17" s="25"/>
      <c r="L17" s="25"/>
      <c r="M17" s="26"/>
      <c r="N17" s="69"/>
      <c r="O17" s="120"/>
      <c r="P17" s="120"/>
      <c r="Q17" s="28"/>
      <c r="S17" s="70"/>
    </row>
    <row r="18" spans="1:19" ht="17.25" customHeight="1" x14ac:dyDescent="0.2">
      <c r="A18" s="24"/>
      <c r="B18" s="25"/>
      <c r="C18" s="25"/>
      <c r="D18" s="25"/>
      <c r="E18" s="25"/>
      <c r="F18" s="25"/>
      <c r="G18" s="25"/>
      <c r="H18" s="68"/>
      <c r="I18" s="25"/>
      <c r="J18" s="25"/>
      <c r="K18" s="25"/>
      <c r="L18" s="25"/>
      <c r="M18" s="26"/>
      <c r="N18" s="69"/>
      <c r="O18" s="121"/>
      <c r="P18" s="122"/>
      <c r="Q18" s="28"/>
    </row>
    <row r="19" spans="1:19" ht="17.25" customHeight="1" x14ac:dyDescent="0.2">
      <c r="A19" s="24"/>
      <c r="B19" s="25"/>
      <c r="C19" s="25"/>
      <c r="D19" s="25"/>
      <c r="E19" s="25"/>
      <c r="F19" s="27"/>
      <c r="G19" s="25"/>
      <c r="H19" s="25"/>
      <c r="I19" s="25"/>
      <c r="J19" s="25"/>
      <c r="K19" s="25"/>
      <c r="L19" s="25"/>
      <c r="M19" s="26"/>
      <c r="N19" s="27"/>
      <c r="O19" s="122"/>
      <c r="P19" s="122"/>
      <c r="Q19" s="28"/>
    </row>
    <row r="20" spans="1:19" ht="17.25" customHeight="1" x14ac:dyDescent="0.2">
      <c r="A20" s="24"/>
      <c r="B20" s="25"/>
      <c r="C20" s="25"/>
      <c r="D20" s="25"/>
      <c r="E20" s="25"/>
      <c r="F20" s="27"/>
      <c r="G20" s="25"/>
      <c r="H20" s="25"/>
      <c r="I20" s="25"/>
      <c r="J20" s="25"/>
      <c r="K20" s="25"/>
      <c r="L20" s="25"/>
      <c r="M20" s="26"/>
      <c r="N20" s="27"/>
      <c r="O20" s="122"/>
      <c r="P20" s="122"/>
      <c r="Q20" s="28"/>
    </row>
    <row r="21" spans="1:19" ht="17.25" customHeight="1" x14ac:dyDescent="0.2">
      <c r="A21" s="29"/>
      <c r="B21" s="30"/>
      <c r="C21" s="30"/>
      <c r="D21" s="30"/>
      <c r="E21" s="30"/>
      <c r="F21" s="31"/>
      <c r="G21" s="30"/>
      <c r="H21" s="30"/>
      <c r="I21" s="30"/>
      <c r="J21" s="30"/>
      <c r="K21" s="30"/>
      <c r="L21" s="30"/>
      <c r="M21" s="32"/>
      <c r="N21" s="33"/>
      <c r="O21" s="128"/>
      <c r="P21" s="128"/>
      <c r="Q21" s="28"/>
      <c r="R21" s="1"/>
    </row>
    <row r="22" spans="1:19" ht="17.25" customHeight="1" x14ac:dyDescent="0.2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6"/>
      <c r="N22" s="35"/>
      <c r="O22" s="129"/>
      <c r="P22" s="129"/>
      <c r="Q22" s="37"/>
    </row>
    <row r="23" spans="1:19" ht="20.25" customHeight="1" x14ac:dyDescent="0.2">
      <c r="A23" s="130" t="s">
        <v>79</v>
      </c>
      <c r="B23" s="130"/>
      <c r="C23" s="130"/>
      <c r="D23" s="130"/>
      <c r="E23" s="130"/>
      <c r="F23" s="130"/>
      <c r="G23" s="130"/>
      <c r="H23" s="130"/>
      <c r="I23" s="130"/>
      <c r="J23" s="130"/>
      <c r="K23" s="130"/>
      <c r="L23" s="130"/>
      <c r="M23" s="130"/>
      <c r="N23" s="130"/>
      <c r="O23" s="130"/>
      <c r="P23" s="130"/>
      <c r="Q23" s="38">
        <f>SUM(Q15:Q22)</f>
        <v>153640</v>
      </c>
    </row>
    <row r="24" spans="1:19" ht="18" customHeight="1" thickBot="1" x14ac:dyDescent="0.25">
      <c r="A24" s="131"/>
      <c r="B24" s="131"/>
      <c r="C24" s="131"/>
      <c r="D24" s="131"/>
      <c r="E24" s="131"/>
      <c r="F24" s="131"/>
      <c r="G24" s="131"/>
      <c r="H24" s="131"/>
      <c r="I24" s="131"/>
      <c r="J24" s="131"/>
      <c r="K24" s="131"/>
      <c r="L24" s="131"/>
      <c r="M24" s="131"/>
      <c r="N24" s="131"/>
      <c r="O24" s="131"/>
      <c r="P24" s="131"/>
      <c r="Q24" s="131"/>
    </row>
    <row r="25" spans="1:19" ht="17.25" customHeight="1" thickBot="1" x14ac:dyDescent="0.25">
      <c r="A25" s="123" t="s">
        <v>52</v>
      </c>
      <c r="B25" s="124"/>
      <c r="C25" s="124"/>
      <c r="D25" s="124"/>
      <c r="E25" s="124"/>
      <c r="F25" s="125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</row>
    <row r="26" spans="1:19" ht="18" customHeight="1" thickBot="1" x14ac:dyDescent="0.25">
      <c r="A26" s="127" t="str">
        <f>"Para la "&amp; NotaPedido!D8 &amp;" para ser destinados al " &amp; NotaPedido!D6 &amp;"  del HISJB del Ministerio de Salud."</f>
        <v>Para la Adquisición de Antidiabeticos e Insulinas para ser destinados al Servicio de Farmacia  del HISJB del Ministerio de Salud.</v>
      </c>
      <c r="B26" s="127"/>
      <c r="C26" s="127"/>
      <c r="D26" s="127"/>
      <c r="E26" s="127"/>
      <c r="F26" s="127"/>
      <c r="G26" s="127"/>
      <c r="H26" s="127"/>
      <c r="I26" s="127"/>
      <c r="J26" s="127"/>
      <c r="K26" s="127"/>
      <c r="L26" s="127"/>
      <c r="M26" s="127"/>
      <c r="N26" s="127"/>
      <c r="O26" s="127"/>
      <c r="P26" s="127"/>
      <c r="Q26" s="127"/>
    </row>
    <row r="27" spans="1:19" ht="15" customHeight="1" x14ac:dyDescent="0.2">
      <c r="A27" s="127"/>
      <c r="B27" s="127"/>
      <c r="C27" s="127"/>
      <c r="D27" s="127"/>
      <c r="E27" s="127"/>
      <c r="F27" s="127"/>
      <c r="G27" s="127"/>
      <c r="H27" s="127"/>
      <c r="I27" s="127"/>
      <c r="J27" s="127"/>
      <c r="K27" s="127"/>
      <c r="L27" s="127"/>
      <c r="M27" s="127"/>
      <c r="N27" s="127"/>
      <c r="O27" s="127"/>
      <c r="P27" s="127"/>
      <c r="Q27" s="127"/>
    </row>
  </sheetData>
  <mergeCells count="31">
    <mergeCell ref="A25:F25"/>
    <mergeCell ref="G25:Q25"/>
    <mergeCell ref="A26:Q27"/>
    <mergeCell ref="O20:P20"/>
    <mergeCell ref="O21:P21"/>
    <mergeCell ref="O22:P22"/>
    <mergeCell ref="A23:P23"/>
    <mergeCell ref="A24:Q24"/>
    <mergeCell ref="O15:P15"/>
    <mergeCell ref="O16:P16"/>
    <mergeCell ref="O17:P17"/>
    <mergeCell ref="O18:P18"/>
    <mergeCell ref="O19:P19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NotaPedido</vt:lpstr>
      <vt:lpstr>Autor Gastar</vt:lpstr>
      <vt:lpstr>'Autor Gastar'!Área_de_impresión</vt:lpstr>
      <vt:lpstr>NotaPedido!Área_de_impresión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COMPRAS</cp:lastModifiedBy>
  <cp:revision>2</cp:revision>
  <cp:lastPrinted>2020-07-17T22:18:48Z</cp:lastPrinted>
  <dcterms:created xsi:type="dcterms:W3CDTF">2020-07-17T23:44:49Z</dcterms:created>
  <dcterms:modified xsi:type="dcterms:W3CDTF">2021-08-12T16:46:21Z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