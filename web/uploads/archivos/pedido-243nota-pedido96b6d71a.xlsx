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A AYBAR\Downloads\"/>
    </mc:Choice>
  </mc:AlternateContent>
  <xr:revisionPtr revIDLastSave="0" documentId="8_{E4A04979-7CBA-4E12-8F29-92A0993FF785}" xr6:coauthVersionLast="47" xr6:coauthVersionMax="47" xr10:uidLastSave="{00000000-0000-0000-0000-000000000000}"/>
  <bookViews>
    <workbookView xWindow="-120" yWindow="-120" windowWidth="29040" windowHeight="15840" xr2:uid="{46C06F9E-2CC0-4D92-80CA-CBEE52746FC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7" i="1" l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</calcChain>
</file>

<file path=xl/sharedStrings.xml><?xml version="1.0" encoding="utf-8"?>
<sst xmlns="http://schemas.openxmlformats.org/spreadsheetml/2006/main" count="135" uniqueCount="61">
  <si>
    <t>Pedido de Necesidades Trimestrales</t>
  </si>
  <si>
    <t>JURISDICCION:</t>
  </si>
  <si>
    <t>040 - Ministerio de Salud</t>
  </si>
  <si>
    <t xml:space="preserve">SAF N°: </t>
  </si>
  <si>
    <t>024 - Hospital Interzonal de Niños</t>
  </si>
  <si>
    <t>EJERCICIO:</t>
  </si>
  <si>
    <t>TRIMESTRE: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</si>
  <si>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</si>
  <si>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</si>
  <si>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</si>
  <si>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</si>
  <si>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</si>
  <si>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</si>
  <si>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</si>
  <si>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</si>
  <si>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PROD. MEDICO/FARMACEUTICOS/LAB</t>
  </si>
  <si>
    <t>ALBUMINA 20% X 50 ML</t>
  </si>
  <si>
    <t>UNIDAD</t>
  </si>
  <si>
    <t>DEXAMETASONA 8 MG. AMPOLLA</t>
  </si>
  <si>
    <t xml:space="preserve">DICLOFENAC 75 MG. AMPOLLA </t>
  </si>
  <si>
    <t>ENOXAPARINA 40 MG AMPOLLA PRELLENA</t>
  </si>
  <si>
    <t>FENOBARBITAL 100 MG. AMPOLLAS</t>
  </si>
  <si>
    <t>GENTAMICINA 80 MG AMPOLLA</t>
  </si>
  <si>
    <t>HEPARINA SODICA 5000 UI FCO AMPOLLA</t>
  </si>
  <si>
    <t>METRONIDAZOL 500 MG SACHET</t>
  </si>
  <si>
    <t>MIDAZOLAM 15 MG AMPOLLA</t>
  </si>
  <si>
    <t>PARACETAMOL 100 ML FRASCO</t>
  </si>
  <si>
    <t>ALPRAZOLAM 1MG. COMP</t>
  </si>
  <si>
    <t>CLONAZEPAM 1MG COMP</t>
  </si>
  <si>
    <t>CLONAZEPAM 2MG COMP</t>
  </si>
  <si>
    <t>DIAZEPAN 10MG COMP</t>
  </si>
  <si>
    <t>DIAZEPAN 5MG COMP</t>
  </si>
  <si>
    <t>PREGABALINA 75 MG COMP</t>
  </si>
  <si>
    <t>VALPROATO DE MAGNESIO 400MG COMP</t>
  </si>
  <si>
    <t xml:space="preserve">ALUM, HIDR +MG.HIDR SUSP X 175 ML </t>
  </si>
  <si>
    <t>BACLOFENO 10 MG COMP</t>
  </si>
  <si>
    <t>CINCLOPENTOLATO 1% GOTAS X5ML</t>
  </si>
  <si>
    <t>COLISTINA F/A X2ML</t>
  </si>
  <si>
    <t>COTRIMOXAZOL 800/160MG COMP</t>
  </si>
  <si>
    <t>COTRIMOXAZOL AMP. I.V. x 5ML</t>
  </si>
  <si>
    <t>DOMPERIDONA GOTAS X 20ML</t>
  </si>
  <si>
    <t>DOPAMINA CLORH 100MG AMP X 5ML</t>
  </si>
  <si>
    <t>ESPIRONOLACTONA 100 MG COMP</t>
  </si>
  <si>
    <t>FENOBARBITAL 15 MG COMP</t>
  </si>
  <si>
    <t>FOTORRETIN SOL. OFT. ESTERIL X 5ML</t>
  </si>
  <si>
    <t>HIOSCINA BULTIBROMURO 20 MG AMP. X1 ML</t>
  </si>
  <si>
    <t>INSULINA CORRIENTE 100 UI F/A X 10ML</t>
  </si>
  <si>
    <t>METOCLOPRAMIDA 10MG AMP X 1X 2ML</t>
  </si>
  <si>
    <t>METRONIDAZOL 500MG COMP</t>
  </si>
  <si>
    <t>MORFINA CLORH 1% AMP X 1ML</t>
  </si>
  <si>
    <t>OMEPRAZOL 4MG FCO/AMP</t>
  </si>
  <si>
    <t>PROPARACAINA COL. X 10ML</t>
  </si>
  <si>
    <t>RESINA COLOFON/ADHESOLX92ML</t>
  </si>
  <si>
    <t>RIFAMPICINA 600MG F/A</t>
  </si>
  <si>
    <t>VALPROICO ACIDO 500 MG X 5ML AMP X 1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</si>
  <si>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</si>
  <si>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</si>
  <si>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</si>
  <si>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</si>
  <si>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>Mantenimiento de Oferta:</t>
  </si>
  <si>
    <t xml:space="preserve">45 dias habiles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</si>
</sst>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[$$-2C0A]\ #,##0.00;[$$-2C0A]&quot; -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9"/>
      <color rgb="FF000000"/>
      <name val="Times New Roman"/>
      <family val="1"/>
    </font>
    <font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5" fontId="1" fillId="0" borderId="0" xfId="1" applyNumberFormat="1" applyFill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wrapText="1" inden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0" fontId="7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5" fontId="1" fillId="0" borderId="2" xfId="1" applyNumberFormat="1" applyFill="1" applyBorder="1"/>
    <xf numFmtId="0" fontId="9" fillId="0" borderId="5" xfId="0" applyFont="1" applyBorder="1" applyAlignment="1">
      <alignment horizontal="center" vertical="center"/>
    </xf>
    <xf numFmtId="0" fontId="0" fillId="0" borderId="6" xfId="0" applyBorder="1"/>
    <xf numFmtId="0" fontId="10" fillId="3" borderId="6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65" fontId="1" fillId="0" borderId="7" xfId="1" applyNumberFormat="1" applyFill="1" applyBorder="1" applyProtection="1"/>
    <xf numFmtId="166" fontId="9" fillId="2" borderId="8" xfId="1" applyNumberFormat="1" applyFont="1" applyFill="1" applyBorder="1" applyAlignment="1" applyProtection="1">
      <alignment horizontal="right" vertical="center" wrapText="1"/>
    </xf>
    <xf numFmtId="0" fontId="11" fillId="2" borderId="9" xfId="0" applyFont="1" applyFill="1" applyBorder="1" applyAlignment="1">
      <alignment horizontal="center" vertical="center" wrapText="1"/>
    </xf>
    <xf numFmtId="165" fontId="1" fillId="0" borderId="9" xfId="1" applyNumberFormat="1" applyFill="1" applyBorder="1" applyProtection="1"/>
    <xf numFmtId="0" fontId="11" fillId="2" borderId="10" xfId="0" applyFont="1" applyFill="1" applyBorder="1" applyAlignment="1">
      <alignment horizontal="center" vertical="center" wrapText="1"/>
    </xf>
    <xf numFmtId="165" fontId="1" fillId="0" borderId="10" xfId="1" applyNumberFormat="1" applyFill="1" applyBorder="1" applyProtection="1"/>
    <xf numFmtId="0" fontId="11" fillId="2" borderId="6" xfId="0" applyFont="1" applyFill="1" applyBorder="1" applyAlignment="1">
      <alignment horizontal="center" vertical="center"/>
    </xf>
    <xf numFmtId="165" fontId="1" fillId="0" borderId="6" xfId="1" applyNumberFormat="1" applyFill="1" applyBorder="1" applyProtection="1"/>
    <xf numFmtId="0" fontId="12" fillId="0" borderId="11" xfId="0" applyFont="1" applyBorder="1" applyAlignment="1">
      <alignment horizontal="left" indent="3"/>
    </xf>
    <xf numFmtId="0" fontId="2" fillId="0" borderId="12" xfId="0" applyFont="1" applyBorder="1"/>
    <xf numFmtId="0" fontId="2" fillId="0" borderId="13" xfId="0" applyFont="1" applyBorder="1"/>
    <xf numFmtId="0" fontId="2" fillId="0" borderId="0" xfId="0" applyFont="1" applyAlignment="1">
      <alignment vertical="center"/>
    </xf>
    <xf numFmtId="0" fontId="2" fillId="2" borderId="14" xfId="2" applyFont="1" applyFill="1" applyBorder="1" applyAlignment="1">
      <alignment horizontal="left" wrapText="1"/>
    </xf>
    <xf numFmtId="0" fontId="2" fillId="2" borderId="0" xfId="2" applyFont="1" applyFill="1" applyAlignment="1">
      <alignment horizontal="left" wrapText="1"/>
    </xf>
    <xf numFmtId="0" fontId="2" fillId="2" borderId="15" xfId="2" applyFont="1" applyFill="1" applyBorder="1" applyAlignment="1">
      <alignment horizontal="left" wrapText="1"/>
    </xf>
    <xf numFmtId="0" fontId="12" fillId="0" borderId="14" xfId="0" applyFont="1" applyBorder="1"/>
    <xf numFmtId="0" fontId="2" fillId="0" borderId="0" xfId="0" applyFont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14" xfId="0" applyFont="1" applyBorder="1" applyAlignment="1">
      <alignment horizontal="left" indent="3"/>
    </xf>
    <xf numFmtId="0" fontId="2" fillId="2" borderId="15" xfId="0" applyFont="1" applyFill="1" applyBorder="1" applyAlignment="1">
      <alignment horizontal="left" wrapText="1"/>
    </xf>
    <xf numFmtId="0" fontId="2" fillId="0" borderId="16" xfId="0" applyFont="1" applyBorder="1" applyAlignment="1">
      <alignment horizontal="left" indent="3"/>
    </xf>
    <xf numFmtId="0" fontId="2" fillId="0" borderId="17" xfId="0" applyFont="1" applyBorder="1"/>
    <xf numFmtId="0" fontId="2" fillId="0" borderId="18" xfId="0" applyFont="1" applyBorder="1"/>
  </cellXfs>
  <cellStyles count="3">
    <cellStyle name="Moneda" xfId="1" builtinId="4"/>
    <cellStyle name="Normal" xfId="0" builtinId="0"/>
    <cellStyle name="Normal 2" xfId="2" xr:uid="{538F02BF-A5CB-486B-BB09-534186633B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1F6D-77E0-4A24-B71C-14136348E4F3}">
  <dimension ref="A2:H58"/>
  <sheetViews>
    <sheetView tabSelected="1" workbookViewId="0">
      <selection activeCell="K10" sqref="K10"/>
    </sheetView>
  </sheetViews>
  <sheetFormatPr baseColWidth="10" defaultColWidth="11" defaultRowHeight="15" x14ac:dyDescent="0.25"/>
  <cols>
    <col min="1" max="1" width="4.5703125" style="1" customWidth="1"/>
    <col min="2" max="2" width="14" style="1" customWidth="1"/>
    <col min="3" max="3" width="13.28515625" style="1" customWidth="1"/>
    <col min="4" max="4" width="52.5703125" style="1" customWidth="1"/>
    <col min="5" max="5" width="11" style="1"/>
    <col min="6" max="6" width="10.42578125" style="3" bestFit="1" customWidth="1"/>
    <col min="7" max="7" width="13.85546875" style="4" customWidth="1"/>
    <col min="8" max="8" width="18.5703125" style="1" customWidth="1"/>
    <col min="9" max="16384" width="11" style="1"/>
  </cols>
  <sheetData>
    <row r="2" spans="1:8" ht="27" x14ac:dyDescent="0.35">
      <c r="B2" s="2" t="s">
        <v>0</v>
      </c>
      <c r="C2" s="2"/>
      <c r="D2" s="2"/>
      <c r="E2" s="2"/>
      <c r="F2" s="2"/>
      <c r="G2" s="2"/>
    </row>
    <row r="3" spans="1:8" ht="12" customHeight="1" x14ac:dyDescent="0.25"/>
    <row r="4" spans="1:8" ht="18" customHeight="1" x14ac:dyDescent="0.25">
      <c r="A4" s="5" t="s">
        <v>1</v>
      </c>
      <c r="B4" s="5"/>
      <c r="C4" s="6" t="s">
        <v>2</v>
      </c>
      <c r="D4" s="6"/>
      <c r="E4" s="7"/>
      <c r="F4" s="8"/>
    </row>
    <row r="5" spans="1:8" ht="18" customHeight="1" x14ac:dyDescent="0.25">
      <c r="A5" s="5" t="s">
        <v>3</v>
      </c>
      <c r="B5" s="5"/>
      <c r="C5" s="6" t="s">
        <v>4</v>
      </c>
      <c r="D5" s="6"/>
      <c r="E5" s="7"/>
      <c r="F5" s="8"/>
    </row>
    <row r="6" spans="1:8" ht="16.5" customHeight="1" x14ac:dyDescent="0.25">
      <c r="A6" s="5" t="s">
        <v>5</v>
      </c>
      <c r="B6" s="5"/>
      <c r="C6" s="9">
        <v>2021</v>
      </c>
      <c r="D6" s="10"/>
      <c r="E6" s="7"/>
      <c r="F6" s="8"/>
    </row>
    <row r="7" spans="1:8" ht="16.5" customHeight="1" x14ac:dyDescent="0.25">
      <c r="A7" s="5" t="s">
        <v>6</v>
      </c>
      <c r="B7" s="5"/>
      <c r="C7" s="9">
        <v>1</v>
      </c>
      <c r="D7" s="10"/>
      <c r="E7" s="7"/>
      <c r="F7" s="8"/>
    </row>
    <row r="8" spans="1:8" ht="15.75" thickBot="1" x14ac:dyDescent="0.3">
      <c r="B8" s="7"/>
      <c r="C8" s="11"/>
      <c r="D8" s="7"/>
      <c r="E8" s="7"/>
      <c r="F8" s="8"/>
    </row>
    <row r="9" spans="1:8" ht="27" thickTop="1" thickBot="1" x14ac:dyDescent="0.3">
      <c r="A9" s="12" t="s">
        <v>7</v>
      </c>
      <c r="B9" s="13" t="s">
        <v>8</v>
      </c>
      <c r="C9" s="13" t="s">
        <v>9</v>
      </c>
      <c r="D9" s="14" t="s">
        <v>10</v>
      </c>
      <c r="E9" s="15" t="s">
        <v>11</v>
      </c>
      <c r="F9" s="13" t="s">
        <v>12</v>
      </c>
      <c r="G9" s="16" t="s">
        <v>13</v>
      </c>
      <c r="H9" s="13" t="s">
        <v>14</v>
      </c>
    </row>
    <row r="10" spans="1:8" ht="16.5" thickTop="1" thickBot="1" x14ac:dyDescent="0.3">
      <c r="A10" s="17">
        <v>1</v>
      </c>
      <c r="B10" s="18">
        <v>252</v>
      </c>
      <c r="C10" s="18" t="s">
        <v>15</v>
      </c>
      <c r="D10" s="19" t="s">
        <v>16</v>
      </c>
      <c r="E10" s="20" t="s">
        <v>17</v>
      </c>
      <c r="F10" s="21">
        <v>200</v>
      </c>
      <c r="G10" s="22">
        <v>30</v>
      </c>
      <c r="H10" s="23">
        <f>+F10*G10</f>
        <v>6000</v>
      </c>
    </row>
    <row r="11" spans="1:8" ht="15.75" thickBot="1" x14ac:dyDescent="0.3">
      <c r="A11" s="17">
        <v>2</v>
      </c>
      <c r="B11" s="18">
        <v>252</v>
      </c>
      <c r="C11" s="18" t="s">
        <v>15</v>
      </c>
      <c r="D11" s="19" t="s">
        <v>18</v>
      </c>
      <c r="E11" s="20" t="s">
        <v>17</v>
      </c>
      <c r="F11" s="24">
        <v>4000</v>
      </c>
      <c r="G11" s="25">
        <v>82</v>
      </c>
      <c r="H11" s="23">
        <f t="shared" ref="H11:H47" si="0">+F11*G11</f>
        <v>328000</v>
      </c>
    </row>
    <row r="12" spans="1:8" ht="15.75" thickBot="1" x14ac:dyDescent="0.3">
      <c r="A12" s="17">
        <v>3</v>
      </c>
      <c r="B12" s="18">
        <v>252</v>
      </c>
      <c r="C12" s="18" t="s">
        <v>15</v>
      </c>
      <c r="D12" s="19" t="s">
        <v>19</v>
      </c>
      <c r="E12" s="20" t="s">
        <v>17</v>
      </c>
      <c r="F12" s="24">
        <v>3000</v>
      </c>
      <c r="G12" s="25">
        <v>220</v>
      </c>
      <c r="H12" s="23">
        <f t="shared" si="0"/>
        <v>660000</v>
      </c>
    </row>
    <row r="13" spans="1:8" ht="15.75" thickBot="1" x14ac:dyDescent="0.3">
      <c r="A13" s="17">
        <v>4</v>
      </c>
      <c r="B13" s="18">
        <v>252</v>
      </c>
      <c r="C13" s="18" t="s">
        <v>15</v>
      </c>
      <c r="D13" s="19" t="s">
        <v>20</v>
      </c>
      <c r="E13" s="20" t="s">
        <v>17</v>
      </c>
      <c r="F13" s="24">
        <v>200</v>
      </c>
      <c r="G13" s="25">
        <v>43</v>
      </c>
      <c r="H13" s="23">
        <f t="shared" si="0"/>
        <v>8600</v>
      </c>
    </row>
    <row r="14" spans="1:8" ht="15.75" thickBot="1" x14ac:dyDescent="0.3">
      <c r="A14" s="17">
        <v>5</v>
      </c>
      <c r="B14" s="18">
        <v>252</v>
      </c>
      <c r="C14" s="18" t="s">
        <v>15</v>
      </c>
      <c r="D14" s="19" t="s">
        <v>21</v>
      </c>
      <c r="E14" s="20" t="s">
        <v>17</v>
      </c>
      <c r="F14" s="24">
        <v>500</v>
      </c>
      <c r="G14" s="25">
        <v>79</v>
      </c>
      <c r="H14" s="23">
        <f t="shared" si="0"/>
        <v>39500</v>
      </c>
    </row>
    <row r="15" spans="1:8" ht="15.75" thickBot="1" x14ac:dyDescent="0.3">
      <c r="A15" s="17">
        <v>6</v>
      </c>
      <c r="B15" s="18">
        <v>252</v>
      </c>
      <c r="C15" s="18" t="s">
        <v>15</v>
      </c>
      <c r="D15" s="19" t="s">
        <v>22</v>
      </c>
      <c r="E15" s="20" t="s">
        <v>17</v>
      </c>
      <c r="F15" s="24">
        <v>300</v>
      </c>
      <c r="G15" s="25">
        <v>102</v>
      </c>
      <c r="H15" s="23">
        <f t="shared" si="0"/>
        <v>30600</v>
      </c>
    </row>
    <row r="16" spans="1:8" ht="15.75" thickBot="1" x14ac:dyDescent="0.3">
      <c r="A16" s="17">
        <v>7</v>
      </c>
      <c r="B16" s="18">
        <v>252</v>
      </c>
      <c r="C16" s="18" t="s">
        <v>15</v>
      </c>
      <c r="D16" s="19" t="s">
        <v>23</v>
      </c>
      <c r="E16" s="20" t="s">
        <v>17</v>
      </c>
      <c r="F16" s="20">
        <v>300</v>
      </c>
      <c r="G16" s="25">
        <v>315</v>
      </c>
      <c r="H16" s="23">
        <f t="shared" si="0"/>
        <v>94500</v>
      </c>
    </row>
    <row r="17" spans="1:8" ht="15.75" thickBot="1" x14ac:dyDescent="0.3">
      <c r="A17" s="17">
        <v>8</v>
      </c>
      <c r="B17" s="18">
        <v>252</v>
      </c>
      <c r="C17" s="18" t="s">
        <v>15</v>
      </c>
      <c r="D17" s="19" t="s">
        <v>24</v>
      </c>
      <c r="E17" s="20" t="s">
        <v>17</v>
      </c>
      <c r="F17" s="20">
        <v>1500</v>
      </c>
      <c r="G17" s="25">
        <v>980</v>
      </c>
      <c r="H17" s="23">
        <f t="shared" si="0"/>
        <v>1470000</v>
      </c>
    </row>
    <row r="18" spans="1:8" ht="15.75" thickBot="1" x14ac:dyDescent="0.3">
      <c r="A18" s="17">
        <v>9</v>
      </c>
      <c r="B18" s="18">
        <v>252</v>
      </c>
      <c r="C18" s="18" t="s">
        <v>15</v>
      </c>
      <c r="D18" s="19" t="s">
        <v>25</v>
      </c>
      <c r="E18" s="20" t="s">
        <v>17</v>
      </c>
      <c r="F18" s="20">
        <v>2000</v>
      </c>
      <c r="G18" s="25">
        <v>3800</v>
      </c>
      <c r="H18" s="23">
        <f t="shared" si="0"/>
        <v>7600000</v>
      </c>
    </row>
    <row r="19" spans="1:8" ht="15.75" thickBot="1" x14ac:dyDescent="0.3">
      <c r="A19" s="17">
        <v>10</v>
      </c>
      <c r="B19" s="18">
        <v>252</v>
      </c>
      <c r="C19" s="18" t="s">
        <v>15</v>
      </c>
      <c r="D19" s="19" t="s">
        <v>26</v>
      </c>
      <c r="E19" s="20" t="s">
        <v>17</v>
      </c>
      <c r="F19" s="20">
        <v>30</v>
      </c>
      <c r="G19" s="25">
        <v>580</v>
      </c>
      <c r="H19" s="23">
        <f t="shared" si="0"/>
        <v>17400</v>
      </c>
    </row>
    <row r="20" spans="1:8" ht="15.75" thickBot="1" x14ac:dyDescent="0.3">
      <c r="A20" s="17">
        <v>11</v>
      </c>
      <c r="B20" s="18">
        <v>252</v>
      </c>
      <c r="C20" t="s">
        <v>15</v>
      </c>
      <c r="D20" s="19" t="s">
        <v>27</v>
      </c>
      <c r="E20" s="20" t="s">
        <v>17</v>
      </c>
      <c r="F20" s="26">
        <v>500</v>
      </c>
      <c r="G20" s="27">
        <v>4.75</v>
      </c>
      <c r="H20" s="23">
        <f t="shared" si="0"/>
        <v>2375</v>
      </c>
    </row>
    <row r="21" spans="1:8" ht="15.75" thickBot="1" x14ac:dyDescent="0.3">
      <c r="A21" s="17">
        <v>12</v>
      </c>
      <c r="B21" s="18">
        <v>252</v>
      </c>
      <c r="C21" s="18" t="s">
        <v>15</v>
      </c>
      <c r="D21" s="19" t="s">
        <v>28</v>
      </c>
      <c r="E21" s="20" t="s">
        <v>17</v>
      </c>
      <c r="F21" s="28">
        <v>500</v>
      </c>
      <c r="G21" s="29">
        <v>9.9700000000000006</v>
      </c>
      <c r="H21" s="23">
        <f t="shared" si="0"/>
        <v>4985</v>
      </c>
    </row>
    <row r="22" spans="1:8" ht="15.75" thickBot="1" x14ac:dyDescent="0.3">
      <c r="A22" s="17">
        <v>13</v>
      </c>
      <c r="B22" s="18">
        <v>252</v>
      </c>
      <c r="C22" s="18" t="s">
        <v>15</v>
      </c>
      <c r="D22" s="19" t="s">
        <v>29</v>
      </c>
      <c r="E22" s="20" t="s">
        <v>17</v>
      </c>
      <c r="F22" s="28">
        <v>500</v>
      </c>
      <c r="G22" s="29">
        <v>4.9800000000000004</v>
      </c>
      <c r="H22" s="23">
        <f t="shared" si="0"/>
        <v>2490</v>
      </c>
    </row>
    <row r="23" spans="1:8" ht="15.75" thickBot="1" x14ac:dyDescent="0.3">
      <c r="A23" s="17">
        <v>14</v>
      </c>
      <c r="B23" s="18">
        <v>252</v>
      </c>
      <c r="C23" s="18" t="s">
        <v>15</v>
      </c>
      <c r="D23" s="19" t="s">
        <v>30</v>
      </c>
      <c r="E23" s="20" t="s">
        <v>17</v>
      </c>
      <c r="F23" s="28">
        <v>1500</v>
      </c>
      <c r="G23" s="29">
        <v>6.46</v>
      </c>
      <c r="H23" s="23">
        <f t="shared" si="0"/>
        <v>9690</v>
      </c>
    </row>
    <row r="24" spans="1:8" ht="15.75" thickBot="1" x14ac:dyDescent="0.3">
      <c r="A24" s="17">
        <v>15</v>
      </c>
      <c r="B24" s="18">
        <v>252</v>
      </c>
      <c r="C24" s="18" t="s">
        <v>15</v>
      </c>
      <c r="D24" s="19" t="s">
        <v>31</v>
      </c>
      <c r="E24" s="20" t="s">
        <v>17</v>
      </c>
      <c r="F24" s="28">
        <v>1000</v>
      </c>
      <c r="G24" s="29">
        <v>8.15</v>
      </c>
      <c r="H24" s="23">
        <f t="shared" si="0"/>
        <v>8150</v>
      </c>
    </row>
    <row r="25" spans="1:8" ht="15.75" thickBot="1" x14ac:dyDescent="0.3">
      <c r="A25" s="17">
        <v>16</v>
      </c>
      <c r="B25" s="18">
        <v>252</v>
      </c>
      <c r="C25" s="18" t="s">
        <v>15</v>
      </c>
      <c r="D25" s="19" t="s">
        <v>32</v>
      </c>
      <c r="E25" s="20" t="s">
        <v>17</v>
      </c>
      <c r="F25" s="28">
        <v>300</v>
      </c>
      <c r="G25" s="29">
        <v>27.54</v>
      </c>
      <c r="H25" s="23">
        <f t="shared" si="0"/>
        <v>8262</v>
      </c>
    </row>
    <row r="26" spans="1:8" ht="15.75" thickBot="1" x14ac:dyDescent="0.3">
      <c r="A26" s="17">
        <v>17</v>
      </c>
      <c r="B26" s="18">
        <v>252</v>
      </c>
      <c r="C26" s="18" t="s">
        <v>15</v>
      </c>
      <c r="D26" s="19" t="s">
        <v>33</v>
      </c>
      <c r="E26" s="20" t="s">
        <v>17</v>
      </c>
      <c r="F26" s="28">
        <v>300</v>
      </c>
      <c r="G26" s="29">
        <v>94.65</v>
      </c>
      <c r="H26" s="23">
        <f t="shared" si="0"/>
        <v>28395</v>
      </c>
    </row>
    <row r="27" spans="1:8" ht="15.75" thickBot="1" x14ac:dyDescent="0.3">
      <c r="A27" s="17">
        <v>18</v>
      </c>
      <c r="B27" s="18">
        <v>252</v>
      </c>
      <c r="C27" s="18" t="s">
        <v>15</v>
      </c>
      <c r="D27" s="19" t="s">
        <v>34</v>
      </c>
      <c r="E27" s="20" t="s">
        <v>17</v>
      </c>
      <c r="F27" s="28">
        <v>200</v>
      </c>
      <c r="G27" s="29">
        <v>700.76</v>
      </c>
      <c r="H27" s="23">
        <f t="shared" si="0"/>
        <v>140152</v>
      </c>
    </row>
    <row r="28" spans="1:8" ht="15.75" thickBot="1" x14ac:dyDescent="0.3">
      <c r="A28" s="17">
        <v>19</v>
      </c>
      <c r="B28" s="18">
        <v>252</v>
      </c>
      <c r="C28" s="18" t="s">
        <v>15</v>
      </c>
      <c r="D28" s="19" t="s">
        <v>35</v>
      </c>
      <c r="E28" s="20" t="s">
        <v>17</v>
      </c>
      <c r="F28" s="28">
        <v>1000</v>
      </c>
      <c r="G28" s="29">
        <v>7.2</v>
      </c>
      <c r="H28" s="23">
        <f t="shared" si="0"/>
        <v>7200</v>
      </c>
    </row>
    <row r="29" spans="1:8" ht="15.75" thickBot="1" x14ac:dyDescent="0.3">
      <c r="A29" s="17">
        <v>20</v>
      </c>
      <c r="B29" s="18">
        <v>252</v>
      </c>
      <c r="C29" s="18" t="s">
        <v>15</v>
      </c>
      <c r="D29" s="19" t="s">
        <v>36</v>
      </c>
      <c r="E29" s="20" t="s">
        <v>17</v>
      </c>
      <c r="F29" s="28">
        <v>50</v>
      </c>
      <c r="G29" s="29">
        <v>524</v>
      </c>
      <c r="H29" s="23">
        <f t="shared" si="0"/>
        <v>26200</v>
      </c>
    </row>
    <row r="30" spans="1:8" ht="15.75" thickBot="1" x14ac:dyDescent="0.3">
      <c r="A30" s="17">
        <v>21</v>
      </c>
      <c r="B30" s="18">
        <v>252</v>
      </c>
      <c r="C30" s="18" t="s">
        <v>15</v>
      </c>
      <c r="D30" s="19" t="s">
        <v>37</v>
      </c>
      <c r="E30" s="20" t="s">
        <v>17</v>
      </c>
      <c r="F30" s="28">
        <v>100</v>
      </c>
      <c r="G30" s="29">
        <v>841.5</v>
      </c>
      <c r="H30" s="23">
        <f t="shared" si="0"/>
        <v>84150</v>
      </c>
    </row>
    <row r="31" spans="1:8" ht="15.75" thickBot="1" x14ac:dyDescent="0.3">
      <c r="A31" s="17">
        <v>22</v>
      </c>
      <c r="B31" s="18">
        <v>252</v>
      </c>
      <c r="C31" s="18" t="s">
        <v>15</v>
      </c>
      <c r="D31" s="19" t="s">
        <v>38</v>
      </c>
      <c r="E31" s="20" t="s">
        <v>17</v>
      </c>
      <c r="F31" s="28">
        <v>500</v>
      </c>
      <c r="G31" s="29">
        <v>21.75</v>
      </c>
      <c r="H31" s="23">
        <f t="shared" si="0"/>
        <v>10875</v>
      </c>
    </row>
    <row r="32" spans="1:8" ht="15.75" thickBot="1" x14ac:dyDescent="0.3">
      <c r="A32" s="17">
        <v>23</v>
      </c>
      <c r="B32" s="18">
        <v>252</v>
      </c>
      <c r="C32" s="18" t="s">
        <v>15</v>
      </c>
      <c r="D32" s="19" t="s">
        <v>39</v>
      </c>
      <c r="E32" s="20" t="s">
        <v>17</v>
      </c>
      <c r="F32" s="28">
        <v>500</v>
      </c>
      <c r="G32" s="29">
        <v>242.35</v>
      </c>
      <c r="H32" s="23">
        <f t="shared" si="0"/>
        <v>121175</v>
      </c>
    </row>
    <row r="33" spans="1:8" ht="15.75" thickBot="1" x14ac:dyDescent="0.3">
      <c r="A33" s="17">
        <v>24</v>
      </c>
      <c r="B33" s="18">
        <v>252</v>
      </c>
      <c r="C33" s="18" t="s">
        <v>15</v>
      </c>
      <c r="D33" s="19" t="s">
        <v>40</v>
      </c>
      <c r="E33" s="20" t="s">
        <v>17</v>
      </c>
      <c r="F33" s="28">
        <v>100</v>
      </c>
      <c r="G33" s="29">
        <v>220</v>
      </c>
      <c r="H33" s="23">
        <f t="shared" si="0"/>
        <v>22000</v>
      </c>
    </row>
    <row r="34" spans="1:8" ht="15.75" thickBot="1" x14ac:dyDescent="0.3">
      <c r="A34" s="17">
        <v>25</v>
      </c>
      <c r="B34" s="18">
        <v>252</v>
      </c>
      <c r="C34" s="18" t="s">
        <v>15</v>
      </c>
      <c r="D34" s="19" t="s">
        <v>41</v>
      </c>
      <c r="E34" s="20" t="s">
        <v>17</v>
      </c>
      <c r="F34" s="28">
        <v>100</v>
      </c>
      <c r="G34" s="29">
        <v>247.81</v>
      </c>
      <c r="H34" s="23">
        <f t="shared" si="0"/>
        <v>24781</v>
      </c>
    </row>
    <row r="35" spans="1:8" ht="15.75" thickBot="1" x14ac:dyDescent="0.3">
      <c r="A35" s="17">
        <v>26</v>
      </c>
      <c r="B35" s="18">
        <v>252</v>
      </c>
      <c r="C35" s="18" t="s">
        <v>15</v>
      </c>
      <c r="D35" s="19" t="s">
        <v>42</v>
      </c>
      <c r="E35" s="20" t="s">
        <v>17</v>
      </c>
      <c r="F35" s="28">
        <v>500</v>
      </c>
      <c r="G35" s="29">
        <v>36.229999999999997</v>
      </c>
      <c r="H35" s="23">
        <f t="shared" si="0"/>
        <v>18115</v>
      </c>
    </row>
    <row r="36" spans="1:8" ht="15.75" thickBot="1" x14ac:dyDescent="0.3">
      <c r="A36" s="17">
        <v>27</v>
      </c>
      <c r="B36" s="18">
        <v>252</v>
      </c>
      <c r="C36" s="18" t="s">
        <v>15</v>
      </c>
      <c r="D36" s="19" t="s">
        <v>43</v>
      </c>
      <c r="E36" s="20" t="s">
        <v>17</v>
      </c>
      <c r="F36" s="28">
        <v>500</v>
      </c>
      <c r="G36" s="29">
        <v>3.1</v>
      </c>
      <c r="H36" s="23">
        <f t="shared" si="0"/>
        <v>1550</v>
      </c>
    </row>
    <row r="37" spans="1:8" ht="15.75" thickBot="1" x14ac:dyDescent="0.3">
      <c r="A37" s="17">
        <v>28</v>
      </c>
      <c r="B37" s="18">
        <v>252</v>
      </c>
      <c r="C37" s="18" t="s">
        <v>15</v>
      </c>
      <c r="D37" s="19" t="s">
        <v>44</v>
      </c>
      <c r="E37" s="20" t="s">
        <v>17</v>
      </c>
      <c r="F37" s="28">
        <v>30</v>
      </c>
      <c r="G37" s="29">
        <v>561.20000000000005</v>
      </c>
      <c r="H37" s="23">
        <f t="shared" si="0"/>
        <v>16836</v>
      </c>
    </row>
    <row r="38" spans="1:8" ht="15.75" thickBot="1" x14ac:dyDescent="0.3">
      <c r="A38" s="17">
        <v>29</v>
      </c>
      <c r="B38" s="18">
        <v>252</v>
      </c>
      <c r="C38" s="18" t="s">
        <v>15</v>
      </c>
      <c r="D38" s="19" t="s">
        <v>45</v>
      </c>
      <c r="E38" s="20" t="s">
        <v>17</v>
      </c>
      <c r="F38" s="28">
        <v>1000</v>
      </c>
      <c r="G38" s="29">
        <v>120.45</v>
      </c>
      <c r="H38" s="23">
        <f t="shared" si="0"/>
        <v>120450</v>
      </c>
    </row>
    <row r="39" spans="1:8" ht="15.75" thickBot="1" x14ac:dyDescent="0.3">
      <c r="A39" s="17">
        <v>30</v>
      </c>
      <c r="B39" s="18">
        <v>252</v>
      </c>
      <c r="C39" s="18" t="s">
        <v>15</v>
      </c>
      <c r="D39" s="19" t="s">
        <v>46</v>
      </c>
      <c r="E39" s="20" t="s">
        <v>17</v>
      </c>
      <c r="F39" s="28">
        <v>10</v>
      </c>
      <c r="G39" s="29">
        <v>1990</v>
      </c>
      <c r="H39" s="23">
        <f t="shared" si="0"/>
        <v>19900</v>
      </c>
    </row>
    <row r="40" spans="1:8" ht="15.75" thickBot="1" x14ac:dyDescent="0.3">
      <c r="A40" s="17">
        <v>31</v>
      </c>
      <c r="B40" s="18">
        <v>252</v>
      </c>
      <c r="C40" s="18" t="s">
        <v>15</v>
      </c>
      <c r="D40" s="19" t="s">
        <v>47</v>
      </c>
      <c r="E40" s="20" t="s">
        <v>17</v>
      </c>
      <c r="F40" s="28">
        <v>2000</v>
      </c>
      <c r="G40" s="29">
        <v>39</v>
      </c>
      <c r="H40" s="23">
        <f t="shared" si="0"/>
        <v>78000</v>
      </c>
    </row>
    <row r="41" spans="1:8" ht="15.75" thickBot="1" x14ac:dyDescent="0.3">
      <c r="A41" s="17">
        <v>32</v>
      </c>
      <c r="B41" s="18">
        <v>252</v>
      </c>
      <c r="C41" s="18" t="s">
        <v>15</v>
      </c>
      <c r="D41" s="19" t="s">
        <v>48</v>
      </c>
      <c r="E41" s="20" t="s">
        <v>17</v>
      </c>
      <c r="F41" s="28">
        <v>500</v>
      </c>
      <c r="G41" s="29">
        <v>19.399999999999999</v>
      </c>
      <c r="H41" s="23">
        <f t="shared" si="0"/>
        <v>9700</v>
      </c>
    </row>
    <row r="42" spans="1:8" ht="15.75" thickBot="1" x14ac:dyDescent="0.3">
      <c r="A42" s="17">
        <v>33</v>
      </c>
      <c r="B42" s="18">
        <v>252</v>
      </c>
      <c r="C42" s="18" t="s">
        <v>15</v>
      </c>
      <c r="D42" s="19" t="s">
        <v>49</v>
      </c>
      <c r="E42" s="20" t="s">
        <v>17</v>
      </c>
      <c r="F42" s="28">
        <v>500</v>
      </c>
      <c r="G42" s="29">
        <v>170</v>
      </c>
      <c r="H42" s="23">
        <f t="shared" si="0"/>
        <v>85000</v>
      </c>
    </row>
    <row r="43" spans="1:8" ht="15.75" thickBot="1" x14ac:dyDescent="0.3">
      <c r="A43" s="17">
        <v>34</v>
      </c>
      <c r="B43" s="18">
        <v>252</v>
      </c>
      <c r="C43" s="18" t="s">
        <v>15</v>
      </c>
      <c r="D43" s="19" t="s">
        <v>50</v>
      </c>
      <c r="E43" s="20" t="s">
        <v>17</v>
      </c>
      <c r="F43" s="28">
        <v>300</v>
      </c>
      <c r="G43" s="29">
        <v>307.8</v>
      </c>
      <c r="H43" s="23">
        <f t="shared" si="0"/>
        <v>92340</v>
      </c>
    </row>
    <row r="44" spans="1:8" ht="15.75" thickBot="1" x14ac:dyDescent="0.3">
      <c r="A44" s="17">
        <v>35</v>
      </c>
      <c r="B44" s="18">
        <v>252</v>
      </c>
      <c r="C44" s="18" t="s">
        <v>15</v>
      </c>
      <c r="D44" s="19" t="s">
        <v>51</v>
      </c>
      <c r="E44" s="20" t="s">
        <v>17</v>
      </c>
      <c r="F44" s="28">
        <v>50</v>
      </c>
      <c r="G44" s="29">
        <v>412.65</v>
      </c>
      <c r="H44" s="23">
        <f t="shared" si="0"/>
        <v>20632.5</v>
      </c>
    </row>
    <row r="45" spans="1:8" ht="15.75" thickBot="1" x14ac:dyDescent="0.3">
      <c r="A45" s="17">
        <v>36</v>
      </c>
      <c r="B45" s="18">
        <v>252</v>
      </c>
      <c r="C45" s="18" t="s">
        <v>15</v>
      </c>
      <c r="D45" s="19" t="s">
        <v>52</v>
      </c>
      <c r="E45" s="20" t="s">
        <v>17</v>
      </c>
      <c r="F45" s="28">
        <v>10</v>
      </c>
      <c r="G45" s="29">
        <v>833.63</v>
      </c>
      <c r="H45" s="23">
        <f t="shared" si="0"/>
        <v>8336.2999999999993</v>
      </c>
    </row>
    <row r="46" spans="1:8" ht="15.75" thickBot="1" x14ac:dyDescent="0.3">
      <c r="A46" s="17">
        <v>37</v>
      </c>
      <c r="B46" s="18">
        <v>252</v>
      </c>
      <c r="C46" s="18" t="s">
        <v>15</v>
      </c>
      <c r="D46" s="19" t="s">
        <v>53</v>
      </c>
      <c r="E46" s="20" t="s">
        <v>17</v>
      </c>
      <c r="F46" s="28">
        <v>30</v>
      </c>
      <c r="G46" s="29">
        <v>2204.14</v>
      </c>
      <c r="H46" s="23">
        <f t="shared" si="0"/>
        <v>66124.2</v>
      </c>
    </row>
    <row r="47" spans="1:8" x14ac:dyDescent="0.25">
      <c r="A47" s="17">
        <v>38</v>
      </c>
      <c r="B47" s="18">
        <v>252</v>
      </c>
      <c r="C47" s="18" t="s">
        <v>15</v>
      </c>
      <c r="D47" s="19" t="s">
        <v>54</v>
      </c>
      <c r="E47" s="20" t="s">
        <v>17</v>
      </c>
      <c r="F47" s="28">
        <v>100</v>
      </c>
      <c r="G47" s="29">
        <v>848.52</v>
      </c>
      <c r="H47" s="23">
        <f t="shared" si="0"/>
        <v>84852</v>
      </c>
    </row>
    <row r="49" spans="2:7" ht="15.75" thickBot="1" x14ac:dyDescent="0.3"/>
    <row r="50" spans="2:7" ht="12.75" x14ac:dyDescent="0.2">
      <c r="B50" s="30" t="s">
        <v>55</v>
      </c>
      <c r="C50" s="31"/>
      <c r="D50" s="31"/>
      <c r="E50" s="32"/>
      <c r="F50" s="33"/>
      <c r="G50" s="1"/>
    </row>
    <row r="51" spans="2:7" ht="12.75" customHeight="1" x14ac:dyDescent="0.2">
      <c r="B51" s="34" t="s">
        <v>56</v>
      </c>
      <c r="C51" s="35"/>
      <c r="D51" s="35"/>
      <c r="E51" s="36"/>
      <c r="F51" s="33"/>
      <c r="G51" s="1"/>
    </row>
    <row r="52" spans="2:7" ht="26.25" customHeight="1" x14ac:dyDescent="0.2">
      <c r="B52" s="34"/>
      <c r="C52" s="35"/>
      <c r="D52" s="35"/>
      <c r="E52" s="36"/>
      <c r="F52" s="33"/>
      <c r="G52" s="1"/>
    </row>
    <row r="53" spans="2:7" ht="26.25" customHeight="1" x14ac:dyDescent="0.2">
      <c r="B53" s="34" t="s">
        <v>57</v>
      </c>
      <c r="C53" s="35"/>
      <c r="D53" s="35"/>
      <c r="E53" s="36"/>
      <c r="F53" s="33"/>
      <c r="G53" s="1"/>
    </row>
    <row r="54" spans="2:7" ht="26.25" customHeight="1" x14ac:dyDescent="0.2">
      <c r="B54" s="34" t="s">
        <v>58</v>
      </c>
      <c r="C54" s="35"/>
      <c r="D54" s="35"/>
      <c r="E54" s="36"/>
      <c r="F54" s="33"/>
      <c r="G54" s="1"/>
    </row>
    <row r="55" spans="2:7" ht="12.75" x14ac:dyDescent="0.2">
      <c r="B55" s="37" t="s">
        <v>59</v>
      </c>
      <c r="C55" s="38"/>
      <c r="D55" s="38"/>
      <c r="E55" s="39"/>
      <c r="F55" s="33"/>
      <c r="G55" s="1"/>
    </row>
    <row r="56" spans="2:7" ht="26.25" customHeight="1" x14ac:dyDescent="0.2">
      <c r="B56" s="40"/>
      <c r="C56" s="41" t="s">
        <v>60</v>
      </c>
      <c r="D56" s="41"/>
      <c r="E56" s="41"/>
      <c r="F56" s="33"/>
      <c r="G56" s="1"/>
    </row>
    <row r="57" spans="2:7" ht="13.5" thickBot="1" x14ac:dyDescent="0.25">
      <c r="B57" s="42"/>
      <c r="C57" s="43"/>
      <c r="D57" s="43"/>
      <c r="E57" s="44"/>
      <c r="F57" s="33"/>
      <c r="G57" s="1"/>
    </row>
    <row r="58" spans="2:7" ht="12.75" x14ac:dyDescent="0.2">
      <c r="F58" s="33"/>
      <c r="G58" s="1"/>
    </row>
  </sheetData>
  <mergeCells count="11">
    <mergeCell ref="A7:B7"/>
    <mergeCell ref="B51:E52"/>
    <mergeCell ref="B53:E53"/>
    <mergeCell ref="B54:E54"/>
    <mergeCell ref="C56:E56"/>
    <mergeCell ref="B2:G2"/>
    <mergeCell ref="A4:B4"/>
    <mergeCell ref="C4:D4"/>
    <mergeCell ref="A5:B5"/>
    <mergeCell ref="C5:D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AYBAR</dc:creator>
  <cp:lastModifiedBy>JOHANA AYBAR</cp:lastModifiedBy>
  <dcterms:created xsi:type="dcterms:W3CDTF">2021-08-13T12:07:00Z</dcterms:created>
  <dcterms:modified xsi:type="dcterms:W3CDTF">2021-08-13T12:07:43Z</dcterms:modified>
</cp:coreProperties>
</file>