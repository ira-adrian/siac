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 defaultThemeVersion="124226"/>
  <bookViews>
    <workbookView xWindow="-15" yWindow="-15" windowWidth="28830" windowHeight="6405" tabRatio="500"/>
  </bookViews>
  <sheets>
    <sheet name="Necesidades Trimestrales" sheetId="1" r:id="rId1"/>
    <sheet name="NP DPFeI" sheetId="4" r:id="rId2"/>
    <sheet name="AGP DPFeI" sheetId="5" r:id="rId3"/>
    <sheet name="NP DPMIyA" sheetId="6" r:id="rId4"/>
    <sheet name="AGP DPMIyA" sheetId="7" r:id="rId5"/>
    <sheet name="NP DPSAME" sheetId="2" r:id="rId6"/>
    <sheet name="AGP DPSAME" sheetId="3" r:id="rId7"/>
  </sheets>
  <definedNames>
    <definedName name="_xlnm._FilterDatabase" localSheetId="0" hidden="1">'Necesidades Trimestrales'!$A$9:$O$44</definedName>
    <definedName name="_xlnm._FilterDatabase" localSheetId="1" hidden="1">'NP DPFeI'!$A$10:$AMK$46</definedName>
    <definedName name="_xlnm._FilterDatabase" localSheetId="3" hidden="1">'NP DPMIyA'!$A$10:$AMK$13</definedName>
    <definedName name="_xlnm._FilterDatabase" localSheetId="5" hidden="1">'NP DPSAME'!$A$10:$AMK$20</definedName>
    <definedName name="_xlnm.Print_Area" localSheetId="2">'AGP DPFeI'!$A$1:$Q$27</definedName>
    <definedName name="_xlnm.Print_Area" localSheetId="4">'AGP DPMIyA'!$A$1:$Q$27</definedName>
    <definedName name="_xlnm.Print_Area" localSheetId="6">'AGP DPSAME'!$A$1:$Q$27</definedName>
    <definedName name="_xlnm.Print_Area" localSheetId="0">'Necesidades Trimestrales'!#REF!</definedName>
    <definedName name="_xlnm.Print_Area" localSheetId="1">'NP DPFeI'!$A$1:$L$46</definedName>
    <definedName name="_xlnm.Print_Area" localSheetId="3">'NP DPMIyA'!$A$1:$L$13</definedName>
    <definedName name="_xlnm.Print_Area" localSheetId="5">'NP DPSAME'!$A$1:$L$20</definedName>
  </definedNames>
  <calcPr calcId="144525"/>
</workbook>
</file>

<file path=xl/calcChain.xml><?xml version="1.0" encoding="utf-8"?>
<calcChain xmlns="http://schemas.openxmlformats.org/spreadsheetml/2006/main">
  <c r="K12" i="6" l="1"/>
  <c r="A26" i="7"/>
  <c r="A10" i="7"/>
  <c r="G7" i="7"/>
  <c r="G6" i="7"/>
  <c r="D1" i="7"/>
  <c r="J12" i="6"/>
  <c r="J13" i="6" s="1"/>
  <c r="Q15" i="7" s="1"/>
  <c r="Q23" i="7" s="1"/>
  <c r="I12" i="6"/>
  <c r="C12" i="6"/>
  <c r="B12" i="6"/>
  <c r="C4" i="6"/>
  <c r="G5" i="7" s="1"/>
  <c r="C3" i="6"/>
  <c r="G4" i="7" s="1"/>
  <c r="C19" i="2" l="1"/>
  <c r="B17" i="2"/>
  <c r="I16" i="2"/>
  <c r="B14" i="2"/>
  <c r="C43" i="4" l="1"/>
  <c r="C40" i="4"/>
  <c r="C26" i="4" l="1"/>
  <c r="B24" i="4"/>
  <c r="K12" i="2" l="1"/>
  <c r="K13" i="2"/>
  <c r="K14" i="2"/>
  <c r="K15" i="2"/>
  <c r="K16" i="2"/>
  <c r="K17" i="2"/>
  <c r="K18" i="2"/>
  <c r="K19" i="2"/>
  <c r="A26" i="5"/>
  <c r="A10" i="5"/>
  <c r="G7" i="5"/>
  <c r="G6" i="5"/>
  <c r="D1" i="5"/>
  <c r="K45" i="4"/>
  <c r="J45" i="4"/>
  <c r="I45" i="4"/>
  <c r="C45" i="4"/>
  <c r="B45" i="4"/>
  <c r="K44" i="4"/>
  <c r="J44" i="4"/>
  <c r="I44" i="4"/>
  <c r="C44" i="4"/>
  <c r="B44" i="4"/>
  <c r="K43" i="4"/>
  <c r="J43" i="4"/>
  <c r="I43" i="4"/>
  <c r="B43" i="4"/>
  <c r="K42" i="4"/>
  <c r="J42" i="4"/>
  <c r="I42" i="4"/>
  <c r="C42" i="4"/>
  <c r="B42" i="4"/>
  <c r="K41" i="4"/>
  <c r="J41" i="4"/>
  <c r="I41" i="4"/>
  <c r="C41" i="4"/>
  <c r="B41" i="4"/>
  <c r="K40" i="4"/>
  <c r="J40" i="4"/>
  <c r="I40" i="4"/>
  <c r="B40" i="4"/>
  <c r="K39" i="4"/>
  <c r="J39" i="4"/>
  <c r="I39" i="4"/>
  <c r="C39" i="4"/>
  <c r="B39" i="4"/>
  <c r="K38" i="4"/>
  <c r="J38" i="4"/>
  <c r="I38" i="4"/>
  <c r="C38" i="4"/>
  <c r="B38" i="4"/>
  <c r="K37" i="4"/>
  <c r="J37" i="4"/>
  <c r="I37" i="4"/>
  <c r="C37" i="4"/>
  <c r="B37" i="4"/>
  <c r="K36" i="4"/>
  <c r="J36" i="4"/>
  <c r="I36" i="4"/>
  <c r="C36" i="4"/>
  <c r="B36" i="4"/>
  <c r="K35" i="4"/>
  <c r="J35" i="4"/>
  <c r="I35" i="4"/>
  <c r="C35" i="4"/>
  <c r="B35" i="4"/>
  <c r="K34" i="4"/>
  <c r="J34" i="4"/>
  <c r="I34" i="4"/>
  <c r="C34" i="4"/>
  <c r="B34" i="4"/>
  <c r="K33" i="4"/>
  <c r="J33" i="4"/>
  <c r="I33" i="4"/>
  <c r="C33" i="4"/>
  <c r="B33" i="4"/>
  <c r="K32" i="4"/>
  <c r="J32" i="4"/>
  <c r="I32" i="4"/>
  <c r="C32" i="4"/>
  <c r="B32" i="4"/>
  <c r="K31" i="4"/>
  <c r="J31" i="4"/>
  <c r="I31" i="4"/>
  <c r="C31" i="4"/>
  <c r="B31" i="4"/>
  <c r="K30" i="4"/>
  <c r="J30" i="4"/>
  <c r="I30" i="4"/>
  <c r="C30" i="4"/>
  <c r="B30" i="4"/>
  <c r="K29" i="4"/>
  <c r="J29" i="4"/>
  <c r="I29" i="4"/>
  <c r="C29" i="4"/>
  <c r="B29" i="4"/>
  <c r="K28" i="4"/>
  <c r="J28" i="4"/>
  <c r="I28" i="4"/>
  <c r="C28" i="4"/>
  <c r="B28" i="4"/>
  <c r="K27" i="4"/>
  <c r="J27" i="4"/>
  <c r="I27" i="4"/>
  <c r="C27" i="4"/>
  <c r="B27" i="4"/>
  <c r="K26" i="4"/>
  <c r="J26" i="4"/>
  <c r="I26" i="4"/>
  <c r="B26" i="4"/>
  <c r="K25" i="4"/>
  <c r="J25" i="4"/>
  <c r="I25" i="4"/>
  <c r="C25" i="4"/>
  <c r="B25" i="4"/>
  <c r="K24" i="4"/>
  <c r="J24" i="4"/>
  <c r="I24" i="4"/>
  <c r="C24" i="4"/>
  <c r="K23" i="4"/>
  <c r="J23" i="4"/>
  <c r="I23" i="4"/>
  <c r="C23" i="4"/>
  <c r="B23" i="4"/>
  <c r="K22" i="4"/>
  <c r="J22" i="4"/>
  <c r="I22" i="4"/>
  <c r="C22" i="4"/>
  <c r="B22" i="4"/>
  <c r="K21" i="4"/>
  <c r="J21" i="4"/>
  <c r="I21" i="4"/>
  <c r="C21" i="4"/>
  <c r="B21" i="4"/>
  <c r="K20" i="4"/>
  <c r="J20" i="4"/>
  <c r="I20" i="4"/>
  <c r="C20" i="4"/>
  <c r="B20" i="4"/>
  <c r="K19" i="4"/>
  <c r="J19" i="4"/>
  <c r="I19" i="4"/>
  <c r="C19" i="4"/>
  <c r="B19" i="4"/>
  <c r="K18" i="4"/>
  <c r="J18" i="4"/>
  <c r="I18" i="4"/>
  <c r="C18" i="4"/>
  <c r="B18" i="4"/>
  <c r="K17" i="4"/>
  <c r="J17" i="4"/>
  <c r="I17" i="4"/>
  <c r="C17" i="4"/>
  <c r="B17" i="4"/>
  <c r="K16" i="4"/>
  <c r="J16" i="4"/>
  <c r="I16" i="4"/>
  <c r="C16" i="4"/>
  <c r="B16" i="4"/>
  <c r="K15" i="4"/>
  <c r="J15" i="4"/>
  <c r="I15" i="4"/>
  <c r="C15" i="4"/>
  <c r="B15" i="4"/>
  <c r="K14" i="4"/>
  <c r="J14" i="4"/>
  <c r="I14" i="4"/>
  <c r="C14" i="4"/>
  <c r="B14" i="4"/>
  <c r="K13" i="4"/>
  <c r="J13" i="4"/>
  <c r="I13" i="4"/>
  <c r="C13" i="4"/>
  <c r="B13" i="4"/>
  <c r="K12" i="4"/>
  <c r="J12" i="4"/>
  <c r="I12" i="4"/>
  <c r="C12" i="4"/>
  <c r="B12" i="4"/>
  <c r="C4" i="4"/>
  <c r="G5" i="5" s="1"/>
  <c r="C3" i="4"/>
  <c r="G4" i="5" s="1"/>
  <c r="A26" i="3"/>
  <c r="J46" i="4" l="1"/>
  <c r="Q15" i="5" s="1"/>
  <c r="Q23" i="5" s="1"/>
  <c r="H25" i="1"/>
  <c r="J25" i="1"/>
  <c r="L25" i="1"/>
  <c r="M25" i="1"/>
  <c r="O25" i="1" s="1"/>
  <c r="M10" i="1" l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6" i="1"/>
  <c r="O26" i="1" s="1"/>
  <c r="M27" i="1"/>
  <c r="O27" i="1" s="1"/>
  <c r="M28" i="1"/>
  <c r="O28" i="1" s="1"/>
  <c r="M29" i="1"/>
  <c r="O29" i="1" s="1"/>
  <c r="M30" i="1"/>
  <c r="O30" i="1" s="1"/>
  <c r="M31" i="1"/>
  <c r="O31" i="1" s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M39" i="1"/>
  <c r="O39" i="1" s="1"/>
  <c r="M40" i="1"/>
  <c r="O40" i="1" s="1"/>
  <c r="M41" i="1"/>
  <c r="O41" i="1" s="1"/>
  <c r="M42" i="1"/>
  <c r="O42" i="1" s="1"/>
  <c r="M43" i="1"/>
  <c r="O43" i="1" s="1"/>
  <c r="M44" i="1"/>
  <c r="O44" i="1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J45" i="1" l="1"/>
  <c r="L45" i="1"/>
  <c r="H45" i="1"/>
  <c r="J12" i="2"/>
  <c r="J13" i="2"/>
  <c r="J14" i="2"/>
  <c r="J15" i="2"/>
  <c r="J16" i="2"/>
  <c r="J17" i="2"/>
  <c r="J18" i="2"/>
  <c r="J19" i="2"/>
  <c r="I12" i="2"/>
  <c r="I13" i="2"/>
  <c r="I14" i="2"/>
  <c r="I15" i="2"/>
  <c r="I17" i="2"/>
  <c r="I18" i="2"/>
  <c r="I19" i="2"/>
  <c r="C12" i="2"/>
  <c r="C13" i="2"/>
  <c r="C14" i="2"/>
  <c r="C15" i="2"/>
  <c r="C16" i="2"/>
  <c r="C17" i="2"/>
  <c r="C18" i="2"/>
  <c r="B12" i="2"/>
  <c r="B13" i="2"/>
  <c r="B15" i="2"/>
  <c r="B16" i="2"/>
  <c r="B18" i="2"/>
  <c r="B19" i="2"/>
  <c r="J20" i="2" l="1"/>
  <c r="Q15" i="3" s="1"/>
  <c r="Q23" i="3" s="1"/>
  <c r="O45" i="1" l="1"/>
  <c r="A10" i="3" l="1"/>
  <c r="G6" i="3" l="1"/>
  <c r="G7" i="3"/>
  <c r="C3" i="2"/>
  <c r="G4" i="3" s="1"/>
  <c r="C4" i="2"/>
  <c r="G5" i="3" s="1"/>
  <c r="D1" i="3" l="1"/>
</calcChain>
</file>

<file path=xl/sharedStrings.xml><?xml version="1.0" encoding="utf-8"?>
<sst xmlns="http://schemas.openxmlformats.org/spreadsheetml/2006/main" count="376" uniqueCount="167">
  <si>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</si>
  <si>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</si>
  <si>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</si>
  <si>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</si>
  <si>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</si>
  <si>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</si>
  <si>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</si>
  <si>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</si>
  <si>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</si>
  <si>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</si>
  <si>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</si>
  <si>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</si>
  <si>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</si>
  <si>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</si>
  <si>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</si>
  <si>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</si>
  <si>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</si>
  <si>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</si>
  <si>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</si>
  <si>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</si>
  <si>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</si>
  <si>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</si>
  <si>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</si>
  <si>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</si>
  <si>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</si>
  <si>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</si>
  <si>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</si>
  <si>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</si>
  <si>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</si>
  <si>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</si>
  <si>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</si>
  <si>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</si>
  <si>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</si>
  <si>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</si>
  <si>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</si>
  <si>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</si>
  <si>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</si>
  <si>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</si>
  <si>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</si>
  <si>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</si>
  <si>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</si>
  <si>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</si>
  <si>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</si>
  <si>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</si>
  <si>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</si>
  <si>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</si>
  <si>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</si>
  <si>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</si>
  <si>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</si>
  <si>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</si>
  <si>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</si>
  <si>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</si>
  <si>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xxx/2022</t>
  </si>
  <si>
    <t>Cuatrimestral</t>
  </si>
  <si>
    <t>COMPRIMIDO</t>
  </si>
  <si>
    <t>FRASCO</t>
  </si>
  <si>
    <t>AMPOLLA</t>
  </si>
  <si>
    <t>UNIDAD</t>
  </si>
  <si>
    <t>GOTERO</t>
  </si>
  <si>
    <t>CAJA</t>
  </si>
  <si>
    <t>Adquisición de TERAPIA DERMATOLOGICA/SISTEMA GENITOURINARIO Y HORMONAS SEXUALES /HORMONAS SISTEMICAS /CORTICOIDES SISTEMICOS/RESPIRATORIO/ANTIHISTAMINICOS</t>
  </si>
  <si>
    <t>2.5.2-1855.23</t>
  </si>
  <si>
    <t>2.5.2-1855.83</t>
  </si>
  <si>
    <t>2.5.2-2476.50</t>
  </si>
  <si>
    <t>2.5.2-1823.67</t>
  </si>
  <si>
    <t>2.5.2-1855.7</t>
  </si>
  <si>
    <t>2.5.2-2476.74</t>
  </si>
  <si>
    <t>2.5.2-2476.36</t>
  </si>
  <si>
    <t>2.5.2-2476.44</t>
  </si>
  <si>
    <t>2.5.2-1853.4</t>
  </si>
  <si>
    <t>2.5.2-1855.47</t>
  </si>
  <si>
    <t>2.5.2-1855.77</t>
  </si>
  <si>
    <t>2.5.2-1875.9</t>
  </si>
  <si>
    <t>2.5.2-1902.10</t>
  </si>
  <si>
    <t>2.5.2-1823.24</t>
  </si>
  <si>
    <t>2.5.2-2476.12</t>
  </si>
  <si>
    <t>2.5.2-2476.3</t>
  </si>
  <si>
    <t>2.5.2-2200.4</t>
  </si>
  <si>
    <t>2.5.2-2200.19</t>
  </si>
  <si>
    <t>2.5.2-1855.105</t>
  </si>
  <si>
    <t>2.5.2-1821.487</t>
  </si>
  <si>
    <t>2.5.2-1723.122</t>
  </si>
  <si>
    <t>2.5.2-1853.2</t>
  </si>
  <si>
    <t>2.5.2-1875.11</t>
  </si>
  <si>
    <t>CORTICOESTEROIDES; TIPO: MONODROGA, DROGA GENERICA: BETAMETASONA, FORMA FARMACEUTICA: CREMA, PRESENTACION: 15 GR</t>
  </si>
  <si>
    <t>CORTICOESTEROIDES; TIPO: ASOCIACION, DROGA GENERICA: BETAMETASONA ACETATO+FOSFATO, FORMA FARMACEUTICA: AMPOLLA, PRESENTACION: ENVASE X 2 mL</t>
  </si>
  <si>
    <t>ANTIALERGICOS-ANTIHISTAMINICOS; TIPO: MONODROGA, DROGA GENERICA: BUDESONIDA 1 MG/ML, FORMA FARMACEUTICA: GOTAS, PRESENTACION: ENVASE X 20 mL</t>
  </si>
  <si>
    <t>CORTICOESTEROIDES; TIPO: MONODROGA, DROGA GENERICA: DEXAMETASONA, FORMA FARMACEUTICA: AMPOLLA, PRESENTACION: 8 mGr</t>
  </si>
  <si>
    <t>ANTIALERGICOS-ANTIHISTAMINICOS; TIPO: MONODROGA, DROGA GENERICA: DIFENHIDRAMINA 250 MG, FORMA FARMACEUTICA: JARABE, PRESENTACION: FRASCO X 120 mL</t>
  </si>
  <si>
    <t>ANTIALERGICOS-ANTIHISTAMINICOS; TIPO: MONODROGA, DROGA GENERICA: DIFENHIDRAMINA, FORMA FARMACEUTICA: COMPRIMIDO, PRESENTACION: 50 mGr</t>
  </si>
  <si>
    <t>ANTIALERGICOS-ANTIHISTAMINICOS; TIPO: MONODROGA, DROGA GENERICA: DIFENHIDRAMINA, FORMA FARMACEUTICA: AMPOLLA, PRESENTACION: 10 mGr</t>
  </si>
  <si>
    <t>OCITOCICOS; TIPO: MONODROGA, DROGA GENERICA: ERGONOVINA, PRESENTACION: 0.2 mGr, FORMA FARMACEUTICA: AMPOLLAS</t>
  </si>
  <si>
    <t>CORTICOESTEROIDES; TIPO: MONODROGA, DROGA GENERICA: HIDROCORTISONA, FORMA FARMACEUTICA: AMPOLLA/FRASCO, PRESENTACION: 100 mGr</t>
  </si>
  <si>
    <t>CORTICOESTEROIDES; TIPO: MONODROGA, DROGA GENERICA: HIDROCORTISONA, FORMA FARMACEUTICA: FRASCO AMPOLLA, PRESENTACION: ENVASE X 500 mGr</t>
  </si>
  <si>
    <t>ANTIASMATICO BRONCODILATADOR; TIPO: MONODROGA, DROGA GENERICA: BROMURO DE IPRATROPIO, FORMA FARMACEUTICA: SOLUCION, PRESENTACION: 20 mL</t>
  </si>
  <si>
    <t>DROGAS UTERINAS; TIPO: MONODROGA, DROGA GENERICA: ISOXUPRINA 10 mGr, FORMA FARMACEUTICA: AMPOLLA, PRESENTACION: UNIDAD</t>
  </si>
  <si>
    <t>ANTIMICOTICOS; TIPO: MONODROGA, FORMA FARMACEUTICA: CREMA, PRESENTACION: 15 GR, DROGA GENERICA: KETOCONAZOL</t>
  </si>
  <si>
    <t>ANTIALERGICOS-ANTIHISTAMINICOS; TIPO: MONODROGA, DROGA GENERICA: LORATADINA, FORMA FARMACEUTICA: COMPRIMIDO, PRESENTACION: 10 mGr</t>
  </si>
  <si>
    <t>ANTIALERGICOS-ANTIHISTAMINICOS; TIPO: ASOCIACION, DROGA GENERICA: LORATADINA, FORMA FARMACEUTICA: JARABE, PRESENTACION: 60 mL</t>
  </si>
  <si>
    <t>CORTICOIDES; DROGA GENERICA: MEPREDNISONA, FORMA FARMACEUTICA: COMPRIMIDO, PRESENTACION: 4 mGr, TIPO: MONODROGA</t>
  </si>
  <si>
    <t>CORTICOESTEROIDES; TIPO: MONODROGA, DROGA GENERICA: MEPREDNISONA 8 mGr, FORMA FARMACEUTICA: COMPRIMIDO, PRESENTACION: UNIDAD</t>
  </si>
  <si>
    <t>ANTIBIOTICOS P/PERSONAS; TIPO: MONODROGA, DROGA GENERICA: METRONIDAZOL, FORMA FARMACEUTICA: OVULO, PRESENTACION: UNIDAD</t>
  </si>
  <si>
    <t>ANTISEPTICOS LOCALES P/PERSONA; TIPO: MONODROGA, DROGA GENERICA: NITROFURAZONA, FORMA FARMACEUTICA: APOSITO, PRESENTACION: ENVASE X 20 UN</t>
  </si>
  <si>
    <t>OCITOCICOS; TIPO: MONODROGA, DROGA GENERICA: OXITOCINA SINTÉTICA, PRESENTACION: 10 UI, FORMA FARMACEUTICA: AMPOLLA</t>
  </si>
  <si>
    <t>ANTIASMATICO BRONCODILATADOR; TIPO: MONODROGA, PRESENTACION: 20 mL, FORMA FARMACEUTICA: GOTAS, DROGA GENERICA: SALBUTAMOL</t>
  </si>
  <si>
    <t>PROD. MEDICO/FARMACEUTICOS/LAB</t>
  </si>
  <si>
    <t>CORTICOIDES; DROGA GENERICA: MEPREDNISONA, FORMA FARMACEUTICA: COMPRIMIDO, PRESENTACION: 40 mGr, TIPO: MONODROGA</t>
  </si>
  <si>
    <t>ANTIVIRALES; TIPO: MONODROGA, DROGA GENERICA: ACICLOVIR 5 %, FORMA FARMACEUTICA: CREMA, PRESENTACION: ENVASE X 5 GR</t>
  </si>
  <si>
    <t>2.5.2-1829.25</t>
  </si>
  <si>
    <t>APOSITOS; TIPO: HIDROCOLOIDE, TAMAÑO: 10 X 10 Cm</t>
  </si>
  <si>
    <t>2.9.5-427.39</t>
  </si>
  <si>
    <t>2.5.2-1875.74</t>
  </si>
  <si>
    <t>LAXANTES; TIPO: MONODROGA, DROGA GENERICA: VASELINA, FORMA FARMACEUTICA: SOLIDO, PRESENTACION: 1000 GR</t>
  </si>
  <si>
    <t>2.5.2-2481.3</t>
  </si>
  <si>
    <t>2.5.2-1875.55</t>
  </si>
  <si>
    <t>ANTIASMATICO BRONCODILATADOR; TIPO: MONODROGA, DROGA GENERICA: SALBUTAMOL, FORMA FARMACEUTICA: AEROSOL, PRESENTACION: 250 DOSIS</t>
  </si>
  <si>
    <t>ANTIASMATICO BRONCODILATADOR; TIPO: MONODROGA, DROGA GENERICA: N-ACETIL CISTEINA 600 MGR, FORMA FARMACEUTICA: TABLETA EFERVESCENTE, PRESENTACION: UNIDAD</t>
  </si>
  <si>
    <t>2.5.2-1875.133</t>
  </si>
  <si>
    <t>ANTIASMATICO BRONCODILATADOR; TIPO: MONODROGA, DROGA GENERICA: AMINOFILINA 240MGR, FORMA FARMACEUTICA: AMPOLLA, PRESENTACION: ENVASE X 10 ML</t>
  </si>
  <si>
    <t>APOSITOS; TIPO: HIDROCOLOIDE, TAMAÑO: 15 X 17,5 Cm</t>
  </si>
  <si>
    <t>2.9.5-427.33</t>
  </si>
  <si>
    <t>ANTIASMATICO BRONCODILATADOR; TIPO: MONODROGA, DROGA GENERICA: BUDESONIDE 200 µGR, FORMA FARMACEUTICA: AEROSOL, PRESENTACION: 100 DOSIS</t>
  </si>
  <si>
    <t>2.5.2-1875.134</t>
  </si>
  <si>
    <t>CORTICOIDES; DROGA GENÉRICA: MEPREDNISONA 4 ML/MG, FORMA FARMACEÚTICA: GOTAS</t>
  </si>
  <si>
    <t>2.5.2-2200.41</t>
  </si>
  <si>
    <t>GENITOURINARIO; TIPO: MONODROGA, DROGA GENÉRICA: NISTATINA, FORMA FARMACEÚTICA: COMPRIMIDO VAGINAL, PRESENTACIÓN: 100000 UI</t>
  </si>
  <si>
    <t>2.5.2-1851.29</t>
  </si>
  <si>
    <t>ANESTÉSICOS LOCALES; TIPO: ANALGÉSICO LOCAL Y ANTIBACTERIANO, DROGA GENÉRICA: LIDOCAÍNA + SULFADIAZINA + VITAMINA A, FORMA FARMACEÚTICA: CREMA, PRESENTACIÓN: ENVASE X 100 GR</t>
  </si>
  <si>
    <t>2.5.2-1883.189</t>
  </si>
  <si>
    <t>ANTIMICOTICOS; TIPO: MONODROGA, DROGA GENERICA: CLOTRIMAZOL 1%, FORMA FARMACEUTICA: CREMA POR 20 GR, PRESENTACION: UNIDAD</t>
  </si>
  <si>
    <t>SI</t>
  </si>
  <si>
    <t>DESCRIPCION</t>
  </si>
  <si>
    <t>2.5.2-1855.18</t>
  </si>
  <si>
    <t>CORTICOESTEROIDES; TIPO: MONODROGA, DROGA GENERICA: BETAMETASONA, FORMA FARMACEUTICA: GOTAS, PRESENTACION: 15 mL</t>
  </si>
  <si>
    <t>Productos Farmacéuticos y Medicinales</t>
  </si>
  <si>
    <t>TOTAL DPFeI</t>
  </si>
  <si>
    <t>CANT. DPFeI</t>
  </si>
  <si>
    <t>CANT. DPMIA</t>
  </si>
  <si>
    <t>TOTAL DPMIA</t>
  </si>
  <si>
    <t>CANT. DPSAME</t>
  </si>
  <si>
    <t>TOTAL DPSAME</t>
  </si>
  <si>
    <t>CANT. TOTAL</t>
  </si>
  <si>
    <t>TOTAL RUBRO TERAPIA DERMATOLOGICA/SISTEMA GENITOURINARIO Y HORMONAS SEXUALES /HORMONAS SISTEMICAS /CORTICOIDES SISTEMICOS/RESPIRATORIO/ANTIHISTAMINICOS</t>
  </si>
  <si>
    <t>Ítem 32: Con AEROCAMARA</t>
  </si>
  <si>
    <t>Ítem 25: TIPO DELTISONA GOTAS X 20 ML</t>
  </si>
  <si>
    <t>Ítem 16: TIPO CORTEROID GTS</t>
  </si>
  <si>
    <t>469 - Direccion Provincial de Farmacia e Insumos</t>
  </si>
  <si>
    <t>TOTAL DE PESOS: PESOS TREINTA Y UN MILLONES NOVECIENTOS NOVENTA Y SIETE MIL CUATROCIENTOS NOVENTA con 00/100.</t>
  </si>
  <si>
    <t>011 - Direccion Provincial de Administracion - MS</t>
  </si>
  <si>
    <t>748 - Direccion Provincial Sistema de Atencion Medica de Emergencia</t>
  </si>
  <si>
    <t>TOTAL DE PESOS: QUINIENTOS SIETE MIL NOVECIENTOS con 00/100.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</si>
  <si>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</si>
  <si>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</si>
  <si>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</si>
  <si>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</si>
  <si>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</si>
  <si>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</si>
  <si>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</si>
  <si>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 habiles</t>
  </si>
  <si>
    <t>Costo total estimado: PESOS TREINTA Y UN MILLONES NOVECIENTOS NOVENTA Y SIETE MIL CUATROCIENTOS NOVENTA con 00/100.</t>
  </si>
  <si>
    <t>ITEMS 1 al 10, 11 (120.000 unid), 12 (15.000 unid), 13, 14 (50.000 unid), 15, 17 (6.000 unid), 18 (10.000 unid), 19 al 31, 32 (4.000 unid), 33 al 35 - DIR. PROV. DE FARMACIA E INSUMOS - CHACABUCO N° 169 - en el horario de 8:00hs a 12:00hs de lunes a viernes. DEBIENDO CORRER LOS GASTOS DE FLETES, ACARREO, CARGA, DESCARGA Y SEGURO A CARGO DEL ADJUDICATARIO.</t>
  </si>
  <si>
    <t>ITEMS 11 (700 unid), 12 (100 unid), 14 (300 unid), 16, 17 (500 unid), 18 (500 unid), 32 (100 unid) -  DIR. PROV. SISTEMA DE ATENCION MEDICA DE EMERGENCIA - CASEROS N° 864 - en el horario de 8:00hs a 12:00hs de lunes a viernes. DEBIENDO CORRER LOS GASTOS DE FLETES, ACARREO, CARGA, DESCARGA Y SEGURO A CARGO DEL ADJUDICATARIO.</t>
  </si>
  <si>
    <t>Costo total estimado: PESOS CUATROCIENTOS CINCUENTA MIL NOVECIENTOS con 00/100.</t>
  </si>
  <si>
    <t>ITEM 32 (3.000 unid)-  DIR. PROV. MATERNIDAD, INFANCIA Y ADOLESCENCIA - CHACABUCO N° 169 - en el horario de 8:00hs a 12:00hs de lunes a viernes. DEBIENDO CORRER LOS GASTOS DE FLETES, ACARREO, CARGA, DESCARGA Y SEGURO A CARGO DEL ADJUDICATARIO.</t>
  </si>
  <si>
    <t>162 - Direccion Provincial Maternidad, Infancia y Adolescencia</t>
  </si>
  <si>
    <t>Costo total estimado: PESOS CUATRO MILLONES SETECIENTOS CUARENTA MIL con 00/100.</t>
  </si>
  <si>
    <t>TOTAL DE PESOS: CUATRO MILLONES SETECIENTOS CUARENTA MIL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</si>
</sst>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[$$-2C0A]\ * #,##0.00_-;\-[$$-2C0A]\ * #,##0.00_-;_-[$$-2C0A]\ * &quot;-&quot;??_-;_-@_-"/>
  </numFmts>
  <fonts count="4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sz val="10"/>
      <color theme="1"/>
      <name val="Arial"/>
      <family val="2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8"/>
      <name val="Arial"/>
      <family val="2"/>
      <charset val="1"/>
    </font>
    <font>
      <sz val="8"/>
      <name val="Arial"/>
      <family val="2"/>
    </font>
    <font>
      <b/>
      <sz val="10"/>
      <color rgb="FFFF0000"/>
      <name val="Times New Roman"/>
      <family val="1"/>
    </font>
    <font>
      <b/>
      <sz val="2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4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184">
    <xf numFmtId="0" fontId="0" fillId="0" borderId="0" xfId="0"/>
    <xf numFmtId="0" fontId="0" fillId="0" borderId="0" xfId="0" applyAlignment="1">
      <alignment horizontal="left"/>
    </xf>
    <xf numFmtId="3" fontId="12" fillId="0" borderId="0" xfId="0" applyNumberFormat="1" applyFont="1"/>
    <xf numFmtId="169" fontId="0" fillId="0" borderId="0" xfId="0" applyNumberFormat="1" applyAlignment="1">
      <alignment horizontal="left"/>
    </xf>
    <xf numFmtId="0" fontId="5" fillId="0" borderId="0" xfId="0" applyFont="1"/>
    <xf numFmtId="0" fontId="18" fillId="0" borderId="0" xfId="0" applyFont="1" applyFill="1"/>
    <xf numFmtId="164" fontId="18" fillId="0" borderId="0" xfId="0" applyNumberFormat="1" applyFont="1" applyFill="1"/>
    <xf numFmtId="0" fontId="18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left" wrapText="1"/>
    </xf>
    <xf numFmtId="0" fontId="22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left" vertical="center" wrapText="1"/>
    </xf>
    <xf numFmtId="0" fontId="25" fillId="0" borderId="14" xfId="0" applyFont="1" applyFill="1" applyBorder="1" applyAlignment="1">
      <alignment horizontal="center" vertical="center" wrapText="1"/>
    </xf>
    <xf numFmtId="164" fontId="25" fillId="0" borderId="14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7" fillId="0" borderId="14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 wrapText="1"/>
    </xf>
    <xf numFmtId="0" fontId="26" fillId="0" borderId="14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left" vertical="center" wrapText="1"/>
    </xf>
    <xf numFmtId="3" fontId="17" fillId="0" borderId="14" xfId="0" applyNumberFormat="1" applyFont="1" applyFill="1" applyBorder="1" applyAlignment="1">
      <alignment horizontal="center" vertical="center"/>
    </xf>
    <xf numFmtId="44" fontId="17" fillId="0" borderId="14" xfId="1" applyNumberFormat="1" applyFill="1" applyBorder="1" applyAlignment="1">
      <alignment horizontal="center" vertical="center"/>
    </xf>
    <xf numFmtId="44" fontId="28" fillId="0" borderId="14" xfId="8" applyNumberFormat="1" applyFont="1" applyFill="1" applyBorder="1" applyAlignment="1">
      <alignment horizontal="left" vertical="center"/>
    </xf>
    <xf numFmtId="0" fontId="0" fillId="0" borderId="14" xfId="0" applyFill="1" applyBorder="1" applyAlignment="1">
      <alignment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17" fillId="0" borderId="14" xfId="0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44" fontId="17" fillId="0" borderId="14" xfId="1" applyNumberFormat="1" applyFill="1" applyBorder="1" applyAlignment="1">
      <alignment horizontal="right" vertical="center"/>
    </xf>
    <xf numFmtId="44" fontId="18" fillId="0" borderId="0" xfId="0" applyNumberFormat="1" applyFont="1" applyFill="1"/>
    <xf numFmtId="0" fontId="18" fillId="0" borderId="2" xfId="0" applyFont="1" applyFill="1" applyBorder="1"/>
    <xf numFmtId="0" fontId="18" fillId="0" borderId="3" xfId="0" applyFont="1" applyFill="1" applyBorder="1"/>
    <xf numFmtId="0" fontId="18" fillId="0" borderId="5" xfId="0" applyFont="1" applyFill="1" applyBorder="1"/>
    <xf numFmtId="0" fontId="18" fillId="0" borderId="8" xfId="0" applyFont="1" applyFill="1" applyBorder="1"/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9" fillId="0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0" fillId="0" borderId="0" xfId="0" applyFill="1"/>
    <xf numFmtId="0" fontId="8" fillId="0" borderId="12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 indent="1"/>
    </xf>
    <xf numFmtId="0" fontId="30" fillId="0" borderId="0" xfId="0" applyFont="1" applyFill="1" applyAlignment="1">
      <alignment horizontal="left" vertical="center" wrapText="1" indent="1"/>
    </xf>
    <xf numFmtId="0" fontId="7" fillId="0" borderId="14" xfId="0" applyFont="1" applyFill="1" applyBorder="1" applyAlignment="1">
      <alignment horizontal="center" vertical="center"/>
    </xf>
    <xf numFmtId="0" fontId="2" fillId="0" borderId="14" xfId="12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wrapText="1"/>
    </xf>
    <xf numFmtId="4" fontId="7" fillId="0" borderId="14" xfId="1" applyNumberFormat="1" applyFont="1" applyFill="1" applyBorder="1" applyAlignment="1" applyProtection="1">
      <alignment horizontal="right" vertical="center" wrapText="1"/>
    </xf>
    <xf numFmtId="44" fontId="21" fillId="0" borderId="0" xfId="0" applyNumberFormat="1" applyFont="1" applyFill="1" applyAlignment="1">
      <alignment horizontal="left" wrapText="1"/>
    </xf>
    <xf numFmtId="44" fontId="25" fillId="0" borderId="14" xfId="0" applyNumberFormat="1" applyFont="1" applyFill="1" applyBorder="1" applyAlignment="1">
      <alignment horizontal="center" vertical="center" wrapText="1"/>
    </xf>
    <xf numFmtId="44" fontId="17" fillId="0" borderId="14" xfId="0" applyNumberFormat="1" applyFont="1" applyFill="1" applyBorder="1" applyAlignment="1">
      <alignment horizontal="center" vertical="center"/>
    </xf>
    <xf numFmtId="44" fontId="18" fillId="0" borderId="0" xfId="0" applyNumberFormat="1" applyFont="1" applyFill="1" applyBorder="1" applyAlignment="1">
      <alignment horizontal="center" vertical="center"/>
    </xf>
    <xf numFmtId="0" fontId="33" fillId="0" borderId="14" xfId="0" applyFont="1" applyFill="1" applyBorder="1" applyAlignment="1">
      <alignment vertical="center"/>
    </xf>
    <xf numFmtId="44" fontId="33" fillId="0" borderId="14" xfId="0" applyNumberFormat="1" applyFont="1" applyFill="1" applyBorder="1" applyAlignment="1">
      <alignment vertical="center"/>
    </xf>
    <xf numFmtId="164" fontId="33" fillId="0" borderId="0" xfId="0" applyNumberFormat="1" applyFont="1" applyFill="1" applyAlignment="1">
      <alignment vertical="center"/>
    </xf>
    <xf numFmtId="0" fontId="33" fillId="0" borderId="0" xfId="0" applyFont="1" applyFill="1" applyAlignment="1">
      <alignment horizontal="left" vertical="center"/>
    </xf>
    <xf numFmtId="0" fontId="33" fillId="0" borderId="0" xfId="0" applyFont="1" applyFill="1" applyAlignment="1">
      <alignment vertical="center"/>
    </xf>
    <xf numFmtId="0" fontId="18" fillId="0" borderId="7" xfId="0" applyFont="1" applyFill="1" applyBorder="1"/>
    <xf numFmtId="0" fontId="34" fillId="0" borderId="0" xfId="0" applyFont="1" applyFill="1" applyAlignment="1">
      <alignment horizontal="center" vertical="center"/>
    </xf>
    <xf numFmtId="0" fontId="18" fillId="0" borderId="4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left" vertical="center"/>
    </xf>
    <xf numFmtId="0" fontId="18" fillId="0" borderId="9" xfId="0" applyFont="1" applyFill="1" applyBorder="1" applyAlignment="1">
      <alignment horizontal="left" vertical="center"/>
    </xf>
    <xf numFmtId="168" fontId="9" fillId="0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35" fillId="0" borderId="0" xfId="0" applyFont="1" applyFill="1"/>
    <xf numFmtId="170" fontId="17" fillId="0" borderId="10" xfId="1" applyNumberFormat="1" applyBorder="1"/>
    <xf numFmtId="170" fontId="17" fillId="0" borderId="0" xfId="1" applyNumberFormat="1"/>
    <xf numFmtId="170" fontId="17" fillId="0" borderId="14" xfId="1" applyNumberFormat="1" applyBorder="1" applyAlignment="1" applyProtection="1">
      <alignment vertical="center"/>
    </xf>
    <xf numFmtId="0" fontId="5" fillId="0" borderId="0" xfId="0" applyFont="1" applyFill="1"/>
    <xf numFmtId="0" fontId="0" fillId="0" borderId="10" xfId="0" applyFill="1" applyBorder="1"/>
    <xf numFmtId="0" fontId="0" fillId="0" borderId="21" xfId="0" applyFill="1" applyBorder="1"/>
    <xf numFmtId="0" fontId="0" fillId="0" borderId="12" xfId="0" applyFill="1" applyBorder="1"/>
    <xf numFmtId="0" fontId="0" fillId="0" borderId="12" xfId="0" applyFill="1" applyBorder="1" applyAlignment="1">
      <alignment horizontal="left"/>
    </xf>
    <xf numFmtId="0" fontId="0" fillId="0" borderId="22" xfId="0" applyFill="1" applyBorder="1"/>
    <xf numFmtId="0" fontId="16" fillId="0" borderId="24" xfId="0" applyFont="1" applyFill="1" applyBorder="1" applyAlignment="1">
      <alignment horizontal="center" vertical="center"/>
    </xf>
    <xf numFmtId="0" fontId="16" fillId="0" borderId="25" xfId="0" applyFont="1" applyFill="1" applyBorder="1" applyAlignment="1">
      <alignment horizontal="center" vertical="center"/>
    </xf>
    <xf numFmtId="0" fontId="16" fillId="0" borderId="25" xfId="0" applyFont="1" applyFill="1" applyBorder="1" applyAlignment="1">
      <alignment horizontal="left" vertical="center"/>
    </xf>
    <xf numFmtId="0" fontId="16" fillId="0" borderId="26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67" fontId="0" fillId="0" borderId="30" xfId="3" applyNumberFormat="1" applyFont="1" applyFill="1" applyBorder="1" applyAlignment="1" applyProtection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167" fontId="0" fillId="0" borderId="35" xfId="3" applyNumberFormat="1" applyFont="1" applyFill="1" applyBorder="1" applyAlignment="1" applyProtection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167" fontId="0" fillId="0" borderId="39" xfId="3" applyNumberFormat="1" applyFont="1" applyFill="1" applyBorder="1" applyAlignment="1" applyProtection="1">
      <alignment horizontal="center" vertical="center"/>
    </xf>
    <xf numFmtId="167" fontId="16" fillId="0" borderId="40" xfId="0" applyNumberFormat="1" applyFont="1" applyFill="1" applyBorder="1" applyAlignment="1">
      <alignment horizontal="center" vertical="center"/>
    </xf>
    <xf numFmtId="0" fontId="18" fillId="0" borderId="0" xfId="7" applyFont="1" applyFill="1" applyBorder="1" applyAlignment="1">
      <alignment horizontal="left" vertical="center" wrapText="1"/>
    </xf>
    <xf numFmtId="0" fontId="18" fillId="0" borderId="0" xfId="7" applyFont="1" applyFill="1" applyBorder="1" applyAlignment="1">
      <alignment horizontal="center" vertical="center"/>
    </xf>
    <xf numFmtId="0" fontId="18" fillId="0" borderId="0" xfId="7" applyFont="1" applyFill="1" applyBorder="1" applyAlignment="1">
      <alignment vertical="center"/>
    </xf>
    <xf numFmtId="0" fontId="18" fillId="0" borderId="0" xfId="7" applyFont="1" applyBorder="1" applyAlignment="1">
      <alignment horizontal="center" vertical="center"/>
    </xf>
    <xf numFmtId="0" fontId="27" fillId="0" borderId="0" xfId="7" applyFont="1" applyFill="1" applyBorder="1" applyAlignment="1">
      <alignment horizontal="center" vertical="center" wrapText="1"/>
    </xf>
    <xf numFmtId="0" fontId="27" fillId="0" borderId="0" xfId="7" applyFont="1" applyBorder="1" applyAlignment="1">
      <alignment horizontal="center" vertical="center" wrapText="1"/>
    </xf>
    <xf numFmtId="3" fontId="37" fillId="0" borderId="11" xfId="0" applyNumberFormat="1" applyFont="1" applyFill="1" applyBorder="1" applyAlignment="1">
      <alignment horizontal="center" vertical="center"/>
    </xf>
    <xf numFmtId="3" fontId="38" fillId="0" borderId="0" xfId="0" applyNumberFormat="1" applyFont="1" applyFill="1" applyAlignment="1">
      <alignment vertical="center"/>
    </xf>
    <xf numFmtId="3" fontId="37" fillId="0" borderId="0" xfId="0" applyNumberFormat="1" applyFont="1" applyFill="1" applyAlignment="1">
      <alignment horizontal="left" vertical="center" wrapText="1" indent="1"/>
    </xf>
    <xf numFmtId="3" fontId="17" fillId="0" borderId="14" xfId="1" applyNumberFormat="1" applyFont="1" applyFill="1" applyBorder="1" applyAlignment="1" applyProtection="1">
      <alignment horizontal="right" vertical="center" wrapText="1"/>
    </xf>
    <xf numFmtId="3" fontId="17" fillId="0" borderId="0" xfId="0" applyNumberFormat="1" applyFont="1" applyFill="1" applyAlignment="1">
      <alignment vertical="center"/>
    </xf>
    <xf numFmtId="0" fontId="27" fillId="0" borderId="5" xfId="7" applyFont="1" applyFill="1" applyBorder="1" applyAlignment="1">
      <alignment horizontal="center" vertical="center" wrapText="1"/>
    </xf>
    <xf numFmtId="0" fontId="27" fillId="0" borderId="0" xfId="7" applyFont="1" applyFill="1" applyBorder="1" applyAlignment="1">
      <alignment horizontal="center" vertical="center" wrapText="1"/>
    </xf>
    <xf numFmtId="0" fontId="18" fillId="0" borderId="0" xfId="7" applyFont="1" applyFill="1" applyBorder="1" applyAlignment="1">
      <alignment horizontal="left" vertical="center"/>
    </xf>
    <xf numFmtId="0" fontId="18" fillId="0" borderId="6" xfId="7" applyFont="1" applyFill="1" applyBorder="1" applyAlignment="1">
      <alignment horizontal="left" vertical="center"/>
    </xf>
    <xf numFmtId="0" fontId="18" fillId="0" borderId="0" xfId="7" applyFont="1" applyFill="1" applyBorder="1" applyAlignment="1">
      <alignment horizontal="left" vertical="center" wrapText="1"/>
    </xf>
    <xf numFmtId="0" fontId="18" fillId="0" borderId="6" xfId="7" applyFont="1" applyFill="1" applyBorder="1" applyAlignment="1">
      <alignment horizontal="left" vertical="center" wrapText="1"/>
    </xf>
    <xf numFmtId="0" fontId="18" fillId="0" borderId="0" xfId="7" applyFont="1" applyBorder="1" applyAlignment="1">
      <alignment horizontal="center" vertical="center"/>
    </xf>
    <xf numFmtId="0" fontId="18" fillId="0" borderId="6" xfId="7" applyFont="1" applyBorder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20" fillId="0" borderId="0" xfId="0" applyFont="1" applyFill="1" applyAlignment="1">
      <alignment horizontal="left" vertical="center" wrapText="1"/>
    </xf>
    <xf numFmtId="0" fontId="24" fillId="0" borderId="0" xfId="0" applyFont="1" applyFill="1" applyAlignment="1">
      <alignment horizontal="left" wrapText="1" indent="1"/>
    </xf>
    <xf numFmtId="0" fontId="33" fillId="0" borderId="16" xfId="0" applyFont="1" applyFill="1" applyBorder="1" applyAlignment="1">
      <alignment horizontal="center" vertical="center"/>
    </xf>
    <xf numFmtId="0" fontId="33" fillId="0" borderId="48" xfId="0" applyFont="1" applyFill="1" applyBorder="1" applyAlignment="1">
      <alignment horizontal="center" vertical="center"/>
    </xf>
    <xf numFmtId="0" fontId="33" fillId="0" borderId="17" xfId="0" applyFont="1" applyFill="1" applyBorder="1" applyAlignment="1">
      <alignment horizontal="center" vertical="center"/>
    </xf>
    <xf numFmtId="0" fontId="27" fillId="0" borderId="2" xfId="7" applyFont="1" applyFill="1" applyBorder="1" applyAlignment="1">
      <alignment horizontal="center" vertical="center" wrapText="1"/>
    </xf>
    <xf numFmtId="0" fontId="27" fillId="0" borderId="3" xfId="7" applyFont="1" applyFill="1" applyBorder="1" applyAlignment="1">
      <alignment horizontal="center" vertical="center" wrapText="1"/>
    </xf>
    <xf numFmtId="0" fontId="18" fillId="0" borderId="3" xfId="7" applyFont="1" applyFill="1" applyBorder="1" applyAlignment="1">
      <alignment horizontal="left" vertical="center" wrapText="1"/>
    </xf>
    <xf numFmtId="0" fontId="18" fillId="0" borderId="4" xfId="7" applyFont="1" applyFill="1" applyBorder="1" applyAlignment="1">
      <alignment horizontal="left" vertical="center" wrapText="1"/>
    </xf>
    <xf numFmtId="0" fontId="27" fillId="0" borderId="5" xfId="7" applyFont="1" applyBorder="1" applyAlignment="1">
      <alignment horizontal="center" vertical="center" wrapText="1"/>
    </xf>
    <xf numFmtId="0" fontId="27" fillId="0" borderId="0" xfId="7" applyFont="1" applyBorder="1" applyAlignment="1">
      <alignment horizontal="center" vertical="center" wrapText="1"/>
    </xf>
    <xf numFmtId="0" fontId="18" fillId="0" borderId="0" xfId="7" applyFont="1" applyBorder="1" applyAlignment="1">
      <alignment horizontal="left" vertical="center"/>
    </xf>
    <xf numFmtId="0" fontId="18" fillId="0" borderId="6" xfId="7" applyFont="1" applyBorder="1" applyAlignment="1">
      <alignment horizontal="left" vertical="center"/>
    </xf>
    <xf numFmtId="0" fontId="7" fillId="0" borderId="14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168" fontId="9" fillId="0" borderId="14" xfId="0" applyNumberFormat="1" applyFont="1" applyFill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3" fontId="39" fillId="0" borderId="14" xfId="0" applyNumberFormat="1" applyFont="1" applyFill="1" applyBorder="1" applyAlignment="1">
      <alignment horizontal="center" vertical="center" wrapText="1"/>
    </xf>
    <xf numFmtId="170" fontId="36" fillId="0" borderId="49" xfId="1" applyNumberFormat="1" applyFont="1" applyBorder="1" applyAlignment="1">
      <alignment horizontal="center" vertical="center" wrapText="1"/>
    </xf>
    <xf numFmtId="170" fontId="36" fillId="0" borderId="50" xfId="1" applyNumberFormat="1" applyFont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left" vertical="center" wrapText="1"/>
    </xf>
    <xf numFmtId="0" fontId="10" fillId="0" borderId="45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 indent="1"/>
    </xf>
    <xf numFmtId="0" fontId="10" fillId="0" borderId="46" xfId="0" applyFont="1" applyFill="1" applyBorder="1" applyAlignment="1">
      <alignment horizontal="left" vertical="center" wrapText="1"/>
    </xf>
    <xf numFmtId="0" fontId="10" fillId="0" borderId="47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/>
    </xf>
    <xf numFmtId="0" fontId="10" fillId="0" borderId="44" xfId="0" applyFont="1" applyFill="1" applyBorder="1" applyAlignment="1">
      <alignment horizontal="left" vertical="center"/>
    </xf>
    <xf numFmtId="0" fontId="9" fillId="0" borderId="41" xfId="0" applyFont="1" applyFill="1" applyBorder="1" applyAlignment="1">
      <alignment horizontal="left" vertical="center" wrapText="1"/>
    </xf>
    <xf numFmtId="0" fontId="9" fillId="0" borderId="4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 indent="1"/>
    </xf>
    <xf numFmtId="0" fontId="0" fillId="0" borderId="34" xfId="0" applyFill="1" applyBorder="1" applyAlignment="1">
      <alignment horizontal="left" vertical="center"/>
    </xf>
    <xf numFmtId="0" fontId="0" fillId="0" borderId="37" xfId="0" applyFill="1" applyBorder="1" applyAlignment="1">
      <alignment horizontal="left" vertical="center"/>
    </xf>
    <xf numFmtId="0" fontId="12" fillId="0" borderId="40" xfId="0" applyFont="1" applyFill="1" applyBorder="1" applyAlignment="1">
      <alignment horizontal="left" vertical="center" wrapText="1"/>
    </xf>
    <xf numFmtId="0" fontId="0" fillId="0" borderId="18" xfId="0" applyBorder="1"/>
    <xf numFmtId="0" fontId="12" fillId="0" borderId="16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32" fillId="0" borderId="28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42" xfId="0" applyFont="1" applyFill="1" applyBorder="1" applyAlignment="1">
      <alignment horizontal="left" vertical="center" wrapText="1"/>
    </xf>
    <xf numFmtId="0" fontId="7" fillId="0" borderId="43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left" indent="1"/>
    </xf>
    <xf numFmtId="0" fontId="15" fillId="0" borderId="11" xfId="0" applyFont="1" applyFill="1" applyBorder="1" applyAlignment="1">
      <alignment horizontal="left"/>
    </xf>
    <xf numFmtId="0" fontId="14" fillId="0" borderId="19" xfId="0" applyFont="1" applyFill="1" applyBorder="1"/>
    <xf numFmtId="0" fontId="14" fillId="0" borderId="20" xfId="0" applyFont="1" applyFill="1" applyBorder="1" applyAlignment="1">
      <alignment horizontal="left" vertical="center" wrapText="1" indent="1"/>
    </xf>
    <xf numFmtId="0" fontId="16" fillId="0" borderId="18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</cellXfs>
  <cellStyles count="14">
    <cellStyle name="Encabezado 1" xfId="2"/>
    <cellStyle name="Millares 2" xfId="10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2 3" xfId="6"/>
    <cellStyle name="Normal 3" xfId="11"/>
    <cellStyle name="Normal 4" xfId="9"/>
    <cellStyle name="Normal 5" xfId="8"/>
    <cellStyle name="Normal 6" xfId="12"/>
    <cellStyle name="Normal 7" xfId="13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73"/>
  <sheetViews>
    <sheetView tabSelected="1" zoomScaleNormal="100" workbookViewId="0">
      <selection activeCell="A13" sqref="A13"/>
    </sheetView>
  </sheetViews>
  <sheetFormatPr baseColWidth="10" defaultColWidth="11" defaultRowHeight="12.75" x14ac:dyDescent="0.2"/>
  <cols>
    <col min="1" max="1" width="4.5703125" style="5" customWidth="1"/>
    <col min="2" max="2" width="14" style="5" customWidth="1"/>
    <col min="3" max="3" width="37.7109375" style="5" customWidth="1"/>
    <col min="4" max="4" width="8.42578125" style="5" customWidth="1"/>
    <col min="5" max="5" width="93.7109375" style="7" customWidth="1"/>
    <col min="6" max="6" width="15.28515625" style="5" customWidth="1"/>
    <col min="7" max="7" width="15" style="5" hidden="1" customWidth="1"/>
    <col min="8" max="8" width="15" style="30" hidden="1" customWidth="1"/>
    <col min="9" max="9" width="15" style="5" hidden="1" customWidth="1"/>
    <col min="10" max="10" width="15" style="30" hidden="1" customWidth="1"/>
    <col min="11" max="11" width="15" style="5" hidden="1" customWidth="1"/>
    <col min="12" max="12" width="15" style="30" hidden="1" customWidth="1"/>
    <col min="13" max="13" width="15" style="5" customWidth="1"/>
    <col min="14" max="14" width="14.42578125" style="5" bestFit="1" customWidth="1"/>
    <col min="15" max="15" width="17" style="5" customWidth="1"/>
    <col min="16" max="16" width="12" style="6" customWidth="1"/>
    <col min="17" max="17" width="100.7109375" style="7" bestFit="1" customWidth="1"/>
    <col min="18" max="16384" width="11" style="5"/>
  </cols>
  <sheetData>
    <row r="2" spans="1:17" ht="27" x14ac:dyDescent="0.35">
      <c r="B2" s="119" t="s">
        <v>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</row>
    <row r="4" spans="1:17" ht="15.75" x14ac:dyDescent="0.25">
      <c r="A4" s="120" t="s">
        <v>1</v>
      </c>
      <c r="B4" s="120"/>
      <c r="C4" s="121" t="s">
        <v>48</v>
      </c>
      <c r="D4" s="121"/>
      <c r="E4" s="121"/>
      <c r="F4" s="121"/>
      <c r="G4" s="8"/>
      <c r="H4" s="50"/>
      <c r="I4" s="8"/>
      <c r="J4" s="50"/>
      <c r="K4" s="8"/>
      <c r="L4" s="50"/>
      <c r="M4" s="8"/>
      <c r="N4" s="9"/>
      <c r="O4" s="8"/>
    </row>
    <row r="5" spans="1:17" ht="15.75" x14ac:dyDescent="0.25">
      <c r="A5" s="120" t="s">
        <v>2</v>
      </c>
      <c r="B5" s="120"/>
      <c r="C5" s="121" t="s">
        <v>148</v>
      </c>
      <c r="D5" s="121"/>
      <c r="E5" s="121"/>
      <c r="F5" s="121"/>
      <c r="G5" s="8"/>
      <c r="H5" s="50"/>
      <c r="I5" s="8"/>
      <c r="J5" s="50"/>
      <c r="K5" s="8"/>
      <c r="L5" s="50"/>
      <c r="M5" s="8"/>
      <c r="N5" s="9"/>
      <c r="O5" s="8"/>
    </row>
    <row r="6" spans="1:17" ht="15.75" x14ac:dyDescent="0.25">
      <c r="A6" s="120" t="s">
        <v>3</v>
      </c>
      <c r="B6" s="120"/>
      <c r="C6" s="10">
        <v>2022</v>
      </c>
      <c r="D6" s="11"/>
      <c r="E6" s="12"/>
      <c r="F6" s="11"/>
      <c r="G6" s="8"/>
      <c r="H6" s="50"/>
      <c r="I6" s="8"/>
      <c r="J6" s="50"/>
      <c r="K6" s="8"/>
      <c r="L6" s="50"/>
      <c r="M6" s="8"/>
      <c r="N6" s="9"/>
      <c r="O6" s="8"/>
    </row>
    <row r="7" spans="1:17" ht="15.75" x14ac:dyDescent="0.25">
      <c r="A7" s="120" t="s">
        <v>4</v>
      </c>
      <c r="B7" s="120"/>
      <c r="C7" s="10">
        <v>4</v>
      </c>
      <c r="D7" s="11"/>
      <c r="E7" s="12"/>
      <c r="F7" s="11"/>
      <c r="G7" s="8"/>
      <c r="H7" s="50"/>
      <c r="I7" s="8"/>
      <c r="J7" s="50"/>
      <c r="K7" s="8"/>
      <c r="L7" s="50"/>
      <c r="M7" s="8"/>
      <c r="N7" s="9"/>
      <c r="O7" s="8"/>
    </row>
    <row r="8" spans="1:17" ht="13.5" thickBot="1" x14ac:dyDescent="0.25">
      <c r="B8" s="8"/>
      <c r="C8" s="9"/>
      <c r="D8" s="8"/>
      <c r="E8" s="13"/>
      <c r="F8" s="8"/>
      <c r="G8" s="8"/>
      <c r="H8" s="50"/>
      <c r="I8" s="8"/>
      <c r="J8" s="50"/>
      <c r="K8" s="8"/>
      <c r="L8" s="50"/>
      <c r="M8" s="8"/>
      <c r="N8" s="9"/>
      <c r="O8" s="8"/>
    </row>
    <row r="9" spans="1:17" s="17" customFormat="1" ht="39" thickBot="1" x14ac:dyDescent="0.25">
      <c r="A9" s="14" t="s">
        <v>5</v>
      </c>
      <c r="B9" s="14" t="s">
        <v>6</v>
      </c>
      <c r="C9" s="14" t="s">
        <v>7</v>
      </c>
      <c r="D9" s="14" t="s">
        <v>8</v>
      </c>
      <c r="E9" s="14" t="s">
        <v>131</v>
      </c>
      <c r="F9" s="14" t="s">
        <v>9</v>
      </c>
      <c r="G9" s="14" t="s">
        <v>136</v>
      </c>
      <c r="H9" s="51" t="s">
        <v>135</v>
      </c>
      <c r="I9" s="14" t="s">
        <v>137</v>
      </c>
      <c r="J9" s="51" t="s">
        <v>138</v>
      </c>
      <c r="K9" s="14" t="s">
        <v>139</v>
      </c>
      <c r="L9" s="51" t="s">
        <v>140</v>
      </c>
      <c r="M9" s="14" t="s">
        <v>141</v>
      </c>
      <c r="N9" s="14" t="s">
        <v>10</v>
      </c>
      <c r="O9" s="15" t="s">
        <v>11</v>
      </c>
      <c r="P9" s="16"/>
    </row>
    <row r="10" spans="1:17" ht="45.75" customHeight="1" thickBot="1" x14ac:dyDescent="0.25">
      <c r="A10" s="18">
        <v>1</v>
      </c>
      <c r="B10" s="18" t="s">
        <v>117</v>
      </c>
      <c r="C10" s="25" t="s">
        <v>105</v>
      </c>
      <c r="D10" s="20">
        <v>252</v>
      </c>
      <c r="E10" s="21" t="s">
        <v>116</v>
      </c>
      <c r="F10" s="18" t="s">
        <v>57</v>
      </c>
      <c r="G10" s="22">
        <v>500</v>
      </c>
      <c r="H10" s="52">
        <f t="shared" ref="H10:H43" si="0">+G10*N10</f>
        <v>17620</v>
      </c>
      <c r="I10" s="22"/>
      <c r="J10" s="52">
        <f t="shared" ref="J10:J43" si="1">+I10*N10</f>
        <v>0</v>
      </c>
      <c r="K10" s="22"/>
      <c r="L10" s="52">
        <f t="shared" ref="L10:L43" si="2">+K10*N10</f>
        <v>0</v>
      </c>
      <c r="M10" s="22">
        <f t="shared" ref="M10:M43" si="3">+G10+I10+K10</f>
        <v>500</v>
      </c>
      <c r="N10" s="23">
        <v>35.24</v>
      </c>
      <c r="O10" s="24">
        <f>+M10*N10</f>
        <v>17620</v>
      </c>
      <c r="P10" s="60"/>
      <c r="Q10" s="5"/>
    </row>
    <row r="11" spans="1:17" ht="45.75" customHeight="1" thickBot="1" x14ac:dyDescent="0.25">
      <c r="A11" s="18">
        <v>2</v>
      </c>
      <c r="B11" s="18" t="s">
        <v>108</v>
      </c>
      <c r="C11" s="25" t="s">
        <v>105</v>
      </c>
      <c r="D11" s="20">
        <v>252</v>
      </c>
      <c r="E11" s="26" t="s">
        <v>107</v>
      </c>
      <c r="F11" s="18" t="s">
        <v>57</v>
      </c>
      <c r="G11" s="22">
        <v>100</v>
      </c>
      <c r="H11" s="52">
        <f t="shared" si="0"/>
        <v>28500</v>
      </c>
      <c r="I11" s="22"/>
      <c r="J11" s="52">
        <f t="shared" si="1"/>
        <v>0</v>
      </c>
      <c r="K11" s="22"/>
      <c r="L11" s="52">
        <f t="shared" si="2"/>
        <v>0</v>
      </c>
      <c r="M11" s="22">
        <f t="shared" si="3"/>
        <v>100</v>
      </c>
      <c r="N11" s="23">
        <v>285</v>
      </c>
      <c r="O11" s="24">
        <f t="shared" ref="O11:O44" si="4">+M11*N11</f>
        <v>28500</v>
      </c>
      <c r="P11" s="60"/>
      <c r="Q11" s="5"/>
    </row>
    <row r="12" spans="1:17" ht="45.75" customHeight="1" thickBot="1" x14ac:dyDescent="0.25">
      <c r="A12" s="18">
        <v>3</v>
      </c>
      <c r="B12" s="18" t="s">
        <v>111</v>
      </c>
      <c r="C12" s="19" t="s">
        <v>105</v>
      </c>
      <c r="D12" s="20">
        <v>252</v>
      </c>
      <c r="E12" s="21" t="s">
        <v>118</v>
      </c>
      <c r="F12" s="18" t="s">
        <v>56</v>
      </c>
      <c r="G12" s="22">
        <v>1000</v>
      </c>
      <c r="H12" s="52">
        <f t="shared" si="0"/>
        <v>86000</v>
      </c>
      <c r="I12" s="22"/>
      <c r="J12" s="52">
        <f t="shared" si="1"/>
        <v>0</v>
      </c>
      <c r="K12" s="22"/>
      <c r="L12" s="52">
        <f t="shared" si="2"/>
        <v>0</v>
      </c>
      <c r="M12" s="22">
        <f t="shared" si="3"/>
        <v>1000</v>
      </c>
      <c r="N12" s="23">
        <v>86</v>
      </c>
      <c r="O12" s="24">
        <f t="shared" si="4"/>
        <v>86000</v>
      </c>
      <c r="P12" s="60"/>
      <c r="Q12" s="5"/>
    </row>
    <row r="13" spans="1:17" ht="45.75" customHeight="1" thickBot="1" x14ac:dyDescent="0.25">
      <c r="A13" s="18">
        <v>4</v>
      </c>
      <c r="B13" s="18" t="s">
        <v>120</v>
      </c>
      <c r="C13" s="25" t="s">
        <v>105</v>
      </c>
      <c r="D13" s="20">
        <v>252</v>
      </c>
      <c r="E13" s="27" t="s">
        <v>119</v>
      </c>
      <c r="F13" s="18" t="s">
        <v>57</v>
      </c>
      <c r="G13" s="22">
        <v>50</v>
      </c>
      <c r="H13" s="52">
        <f t="shared" si="0"/>
        <v>56000</v>
      </c>
      <c r="I13" s="22"/>
      <c r="J13" s="52">
        <f t="shared" si="1"/>
        <v>0</v>
      </c>
      <c r="K13" s="22"/>
      <c r="L13" s="52">
        <f t="shared" si="2"/>
        <v>0</v>
      </c>
      <c r="M13" s="22">
        <f t="shared" si="3"/>
        <v>50</v>
      </c>
      <c r="N13" s="23">
        <v>1120</v>
      </c>
      <c r="O13" s="24">
        <f t="shared" si="4"/>
        <v>56000</v>
      </c>
      <c r="P13" s="60"/>
      <c r="Q13" s="5"/>
    </row>
    <row r="14" spans="1:17" ht="45.75" customHeight="1" thickBot="1" x14ac:dyDescent="0.25">
      <c r="A14" s="18">
        <v>5</v>
      </c>
      <c r="B14" s="18" t="s">
        <v>110</v>
      </c>
      <c r="C14" s="25" t="s">
        <v>105</v>
      </c>
      <c r="D14" s="20">
        <v>252</v>
      </c>
      <c r="E14" s="26" t="s">
        <v>109</v>
      </c>
      <c r="F14" s="18" t="s">
        <v>57</v>
      </c>
      <c r="G14" s="22">
        <v>100</v>
      </c>
      <c r="H14" s="52">
        <f t="shared" si="0"/>
        <v>58000</v>
      </c>
      <c r="I14" s="22"/>
      <c r="J14" s="52">
        <f t="shared" si="1"/>
        <v>0</v>
      </c>
      <c r="K14" s="22"/>
      <c r="L14" s="52">
        <f t="shared" si="2"/>
        <v>0</v>
      </c>
      <c r="M14" s="22">
        <f t="shared" si="3"/>
        <v>100</v>
      </c>
      <c r="N14" s="23">
        <v>580</v>
      </c>
      <c r="O14" s="24">
        <f t="shared" si="4"/>
        <v>58000</v>
      </c>
      <c r="P14" s="60"/>
      <c r="Q14" s="5"/>
    </row>
    <row r="15" spans="1:17" ht="45.75" customHeight="1" thickBot="1" x14ac:dyDescent="0.25">
      <c r="A15" s="18">
        <v>6</v>
      </c>
      <c r="B15" s="18" t="s">
        <v>61</v>
      </c>
      <c r="C15" s="25" t="s">
        <v>105</v>
      </c>
      <c r="D15" s="20">
        <v>252</v>
      </c>
      <c r="E15" s="26" t="s">
        <v>84</v>
      </c>
      <c r="F15" s="18" t="s">
        <v>57</v>
      </c>
      <c r="G15" s="22">
        <v>1000</v>
      </c>
      <c r="H15" s="52">
        <f t="shared" si="0"/>
        <v>280000</v>
      </c>
      <c r="I15" s="22"/>
      <c r="J15" s="52">
        <f t="shared" si="1"/>
        <v>0</v>
      </c>
      <c r="K15" s="22"/>
      <c r="L15" s="52">
        <f t="shared" si="2"/>
        <v>0</v>
      </c>
      <c r="M15" s="22">
        <f t="shared" si="3"/>
        <v>1000</v>
      </c>
      <c r="N15" s="23">
        <v>280</v>
      </c>
      <c r="O15" s="24">
        <f t="shared" si="4"/>
        <v>280000</v>
      </c>
      <c r="P15" s="60"/>
      <c r="Q15" s="5"/>
    </row>
    <row r="16" spans="1:17" ht="45.75" customHeight="1" thickBot="1" x14ac:dyDescent="0.25">
      <c r="A16" s="18">
        <v>7</v>
      </c>
      <c r="B16" s="18" t="s">
        <v>62</v>
      </c>
      <c r="C16" s="25" t="s">
        <v>105</v>
      </c>
      <c r="D16" s="20">
        <v>252</v>
      </c>
      <c r="E16" s="26" t="s">
        <v>85</v>
      </c>
      <c r="F16" s="18" t="s">
        <v>56</v>
      </c>
      <c r="G16" s="22">
        <v>10000</v>
      </c>
      <c r="H16" s="52">
        <f t="shared" si="0"/>
        <v>2950000</v>
      </c>
      <c r="I16" s="22"/>
      <c r="J16" s="52">
        <f t="shared" si="1"/>
        <v>0</v>
      </c>
      <c r="K16" s="22"/>
      <c r="L16" s="52">
        <f t="shared" si="2"/>
        <v>0</v>
      </c>
      <c r="M16" s="22">
        <f t="shared" si="3"/>
        <v>10000</v>
      </c>
      <c r="N16" s="23">
        <v>295</v>
      </c>
      <c r="O16" s="24">
        <f t="shared" si="4"/>
        <v>2950000</v>
      </c>
      <c r="P16" s="60"/>
      <c r="Q16" s="5"/>
    </row>
    <row r="17" spans="1:17" ht="45.75" customHeight="1" thickBot="1" x14ac:dyDescent="0.25">
      <c r="A17" s="18">
        <v>8</v>
      </c>
      <c r="B17" s="18" t="s">
        <v>122</v>
      </c>
      <c r="C17" s="25" t="s">
        <v>105</v>
      </c>
      <c r="D17" s="20">
        <v>252</v>
      </c>
      <c r="E17" s="21" t="s">
        <v>121</v>
      </c>
      <c r="F17" s="18" t="s">
        <v>57</v>
      </c>
      <c r="G17" s="22">
        <v>2000</v>
      </c>
      <c r="H17" s="52">
        <f t="shared" si="0"/>
        <v>1500000</v>
      </c>
      <c r="I17" s="22"/>
      <c r="J17" s="52">
        <f t="shared" si="1"/>
        <v>0</v>
      </c>
      <c r="K17" s="22"/>
      <c r="L17" s="52">
        <f t="shared" si="2"/>
        <v>0</v>
      </c>
      <c r="M17" s="22">
        <f t="shared" si="3"/>
        <v>2000</v>
      </c>
      <c r="N17" s="23">
        <v>750</v>
      </c>
      <c r="O17" s="24">
        <f t="shared" si="4"/>
        <v>1500000</v>
      </c>
      <c r="P17" s="60"/>
      <c r="Q17" s="5"/>
    </row>
    <row r="18" spans="1:17" ht="45.75" customHeight="1" thickBot="1" x14ac:dyDescent="0.25">
      <c r="A18" s="18">
        <v>9</v>
      </c>
      <c r="B18" s="18" t="s">
        <v>63</v>
      </c>
      <c r="C18" s="25" t="s">
        <v>105</v>
      </c>
      <c r="D18" s="20">
        <v>252</v>
      </c>
      <c r="E18" s="26" t="s">
        <v>86</v>
      </c>
      <c r="F18" s="18" t="s">
        <v>57</v>
      </c>
      <c r="G18" s="22">
        <v>300</v>
      </c>
      <c r="H18" s="52">
        <f t="shared" si="0"/>
        <v>98100</v>
      </c>
      <c r="I18" s="22"/>
      <c r="J18" s="52">
        <f t="shared" si="1"/>
        <v>0</v>
      </c>
      <c r="K18" s="22"/>
      <c r="L18" s="52">
        <f t="shared" si="2"/>
        <v>0</v>
      </c>
      <c r="M18" s="22">
        <f t="shared" si="3"/>
        <v>300</v>
      </c>
      <c r="N18" s="23">
        <v>327</v>
      </c>
      <c r="O18" s="24">
        <f t="shared" si="4"/>
        <v>98100</v>
      </c>
      <c r="P18" s="60"/>
      <c r="Q18" s="5"/>
    </row>
    <row r="19" spans="1:17" ht="45.75" customHeight="1" thickBot="1" x14ac:dyDescent="0.25">
      <c r="A19" s="18">
        <v>10</v>
      </c>
      <c r="B19" s="18" t="s">
        <v>64</v>
      </c>
      <c r="C19" s="19" t="s">
        <v>105</v>
      </c>
      <c r="D19" s="20">
        <v>252</v>
      </c>
      <c r="E19" s="21" t="s">
        <v>129</v>
      </c>
      <c r="F19" s="18" t="s">
        <v>57</v>
      </c>
      <c r="G19" s="22">
        <v>1000</v>
      </c>
      <c r="H19" s="52">
        <f t="shared" si="0"/>
        <v>280000</v>
      </c>
      <c r="I19" s="22"/>
      <c r="J19" s="52">
        <f t="shared" si="1"/>
        <v>0</v>
      </c>
      <c r="K19" s="22"/>
      <c r="L19" s="52">
        <f t="shared" si="2"/>
        <v>0</v>
      </c>
      <c r="M19" s="22">
        <f t="shared" si="3"/>
        <v>1000</v>
      </c>
      <c r="N19" s="23">
        <v>280</v>
      </c>
      <c r="O19" s="24">
        <f t="shared" si="4"/>
        <v>280000</v>
      </c>
      <c r="P19" s="60"/>
      <c r="Q19" s="5"/>
    </row>
    <row r="20" spans="1:17" ht="45.75" customHeight="1" thickBot="1" x14ac:dyDescent="0.25">
      <c r="A20" s="18">
        <v>11</v>
      </c>
      <c r="B20" s="18" t="s">
        <v>65</v>
      </c>
      <c r="C20" s="25" t="s">
        <v>105</v>
      </c>
      <c r="D20" s="20">
        <v>252</v>
      </c>
      <c r="E20" s="26" t="s">
        <v>87</v>
      </c>
      <c r="F20" s="18" t="s">
        <v>56</v>
      </c>
      <c r="G20" s="22">
        <v>120000</v>
      </c>
      <c r="H20" s="52">
        <f t="shared" si="0"/>
        <v>5400000</v>
      </c>
      <c r="I20" s="22"/>
      <c r="J20" s="52">
        <f t="shared" si="1"/>
        <v>0</v>
      </c>
      <c r="K20" s="22">
        <v>700</v>
      </c>
      <c r="L20" s="52">
        <f t="shared" si="2"/>
        <v>31500</v>
      </c>
      <c r="M20" s="22">
        <f t="shared" si="3"/>
        <v>120700</v>
      </c>
      <c r="N20" s="23">
        <v>45</v>
      </c>
      <c r="O20" s="24">
        <f t="shared" si="4"/>
        <v>5431500</v>
      </c>
      <c r="P20" s="60"/>
      <c r="Q20" s="5"/>
    </row>
    <row r="21" spans="1:17" ht="45.75" customHeight="1" thickBot="1" x14ac:dyDescent="0.25">
      <c r="A21" s="18">
        <v>12</v>
      </c>
      <c r="B21" s="18" t="s">
        <v>66</v>
      </c>
      <c r="C21" s="25" t="s">
        <v>105</v>
      </c>
      <c r="D21" s="20">
        <v>252</v>
      </c>
      <c r="E21" s="26" t="s">
        <v>88</v>
      </c>
      <c r="F21" s="18" t="s">
        <v>55</v>
      </c>
      <c r="G21" s="22">
        <v>15000</v>
      </c>
      <c r="H21" s="52">
        <f t="shared" si="0"/>
        <v>2985000</v>
      </c>
      <c r="I21" s="22"/>
      <c r="J21" s="52">
        <f t="shared" si="1"/>
        <v>0</v>
      </c>
      <c r="K21" s="22">
        <v>100</v>
      </c>
      <c r="L21" s="52">
        <f t="shared" si="2"/>
        <v>19900</v>
      </c>
      <c r="M21" s="22">
        <f t="shared" si="3"/>
        <v>15100</v>
      </c>
      <c r="N21" s="23">
        <v>199</v>
      </c>
      <c r="O21" s="24">
        <f t="shared" si="4"/>
        <v>3004900</v>
      </c>
      <c r="P21" s="60"/>
      <c r="Q21" s="5"/>
    </row>
    <row r="22" spans="1:17" ht="45.75" customHeight="1" thickBot="1" x14ac:dyDescent="0.25">
      <c r="A22" s="18">
        <v>13</v>
      </c>
      <c r="B22" s="18" t="s">
        <v>67</v>
      </c>
      <c r="C22" s="25" t="s">
        <v>105</v>
      </c>
      <c r="D22" s="20">
        <v>252</v>
      </c>
      <c r="E22" s="26" t="s">
        <v>89</v>
      </c>
      <c r="F22" s="18" t="s">
        <v>54</v>
      </c>
      <c r="G22" s="22">
        <v>50000</v>
      </c>
      <c r="H22" s="52">
        <f t="shared" si="0"/>
        <v>232500.00000000003</v>
      </c>
      <c r="I22" s="22"/>
      <c r="J22" s="52">
        <f t="shared" si="1"/>
        <v>0</v>
      </c>
      <c r="K22" s="22"/>
      <c r="L22" s="52">
        <f t="shared" si="2"/>
        <v>0</v>
      </c>
      <c r="M22" s="22">
        <f t="shared" si="3"/>
        <v>50000</v>
      </c>
      <c r="N22" s="23">
        <v>4.6500000000000004</v>
      </c>
      <c r="O22" s="24">
        <f t="shared" si="4"/>
        <v>232500.00000000003</v>
      </c>
      <c r="P22" s="60"/>
      <c r="Q22" s="5"/>
    </row>
    <row r="23" spans="1:17" ht="45.75" customHeight="1" thickBot="1" x14ac:dyDescent="0.25">
      <c r="A23" s="18">
        <v>14</v>
      </c>
      <c r="B23" s="18" t="s">
        <v>68</v>
      </c>
      <c r="C23" s="25" t="s">
        <v>105</v>
      </c>
      <c r="D23" s="20">
        <v>252</v>
      </c>
      <c r="E23" s="26" t="s">
        <v>90</v>
      </c>
      <c r="F23" s="18" t="s">
        <v>56</v>
      </c>
      <c r="G23" s="22">
        <v>50000</v>
      </c>
      <c r="H23" s="52">
        <f t="shared" si="0"/>
        <v>2750000</v>
      </c>
      <c r="I23" s="22"/>
      <c r="J23" s="52">
        <f t="shared" si="1"/>
        <v>0</v>
      </c>
      <c r="K23" s="22">
        <v>300</v>
      </c>
      <c r="L23" s="52">
        <f t="shared" si="2"/>
        <v>16500</v>
      </c>
      <c r="M23" s="22">
        <f t="shared" si="3"/>
        <v>50300</v>
      </c>
      <c r="N23" s="23">
        <v>55</v>
      </c>
      <c r="O23" s="24">
        <f t="shared" si="4"/>
        <v>2766500</v>
      </c>
      <c r="P23" s="60"/>
      <c r="Q23" s="5"/>
    </row>
    <row r="24" spans="1:17" ht="45.75" customHeight="1" thickBot="1" x14ac:dyDescent="0.25">
      <c r="A24" s="18">
        <v>15</v>
      </c>
      <c r="B24" s="18" t="s">
        <v>69</v>
      </c>
      <c r="C24" s="25" t="s">
        <v>105</v>
      </c>
      <c r="D24" s="20">
        <v>252</v>
      </c>
      <c r="E24" s="26" t="s">
        <v>91</v>
      </c>
      <c r="F24" s="18" t="s">
        <v>56</v>
      </c>
      <c r="G24" s="22">
        <v>2000</v>
      </c>
      <c r="H24" s="52">
        <f t="shared" si="0"/>
        <v>82000</v>
      </c>
      <c r="I24" s="22"/>
      <c r="J24" s="52">
        <f t="shared" si="1"/>
        <v>0</v>
      </c>
      <c r="K24" s="22"/>
      <c r="L24" s="52">
        <f t="shared" si="2"/>
        <v>0</v>
      </c>
      <c r="M24" s="22">
        <f t="shared" si="3"/>
        <v>2000</v>
      </c>
      <c r="N24" s="23">
        <v>41</v>
      </c>
      <c r="O24" s="24">
        <f t="shared" si="4"/>
        <v>82000</v>
      </c>
      <c r="P24" s="60"/>
      <c r="Q24" s="5"/>
    </row>
    <row r="25" spans="1:17" ht="45.75" customHeight="1" thickBot="1" x14ac:dyDescent="0.25">
      <c r="A25" s="18">
        <v>16</v>
      </c>
      <c r="B25" s="18" t="s">
        <v>132</v>
      </c>
      <c r="C25" s="25" t="s">
        <v>105</v>
      </c>
      <c r="D25" s="20">
        <v>252</v>
      </c>
      <c r="E25" s="26" t="s">
        <v>133</v>
      </c>
      <c r="F25" s="18" t="s">
        <v>57</v>
      </c>
      <c r="G25" s="22"/>
      <c r="H25" s="52">
        <f t="shared" si="0"/>
        <v>0</v>
      </c>
      <c r="I25" s="22"/>
      <c r="J25" s="52">
        <f t="shared" si="1"/>
        <v>0</v>
      </c>
      <c r="K25" s="22">
        <v>60</v>
      </c>
      <c r="L25" s="52">
        <f t="shared" si="2"/>
        <v>20400</v>
      </c>
      <c r="M25" s="22">
        <f t="shared" si="3"/>
        <v>60</v>
      </c>
      <c r="N25" s="23">
        <v>340</v>
      </c>
      <c r="O25" s="24">
        <f t="shared" si="4"/>
        <v>20400</v>
      </c>
      <c r="P25" s="60"/>
      <c r="Q25" s="5"/>
    </row>
    <row r="26" spans="1:17" ht="45.75" customHeight="1" thickBot="1" x14ac:dyDescent="0.25">
      <c r="A26" s="18">
        <v>17</v>
      </c>
      <c r="B26" s="18" t="s">
        <v>70</v>
      </c>
      <c r="C26" s="25" t="s">
        <v>105</v>
      </c>
      <c r="D26" s="20">
        <v>252</v>
      </c>
      <c r="E26" s="26" t="s">
        <v>92</v>
      </c>
      <c r="F26" s="18" t="s">
        <v>56</v>
      </c>
      <c r="G26" s="22">
        <v>6000</v>
      </c>
      <c r="H26" s="52">
        <f t="shared" si="0"/>
        <v>720000</v>
      </c>
      <c r="I26" s="22"/>
      <c r="J26" s="52">
        <f t="shared" si="1"/>
        <v>0</v>
      </c>
      <c r="K26" s="22">
        <v>500</v>
      </c>
      <c r="L26" s="52">
        <f t="shared" si="2"/>
        <v>60000</v>
      </c>
      <c r="M26" s="22">
        <f t="shared" si="3"/>
        <v>6500</v>
      </c>
      <c r="N26" s="23">
        <v>120</v>
      </c>
      <c r="O26" s="24">
        <f t="shared" si="4"/>
        <v>780000</v>
      </c>
      <c r="P26" s="60"/>
      <c r="Q26" s="5"/>
    </row>
    <row r="27" spans="1:17" ht="45.75" customHeight="1" thickBot="1" x14ac:dyDescent="0.25">
      <c r="A27" s="18">
        <v>18</v>
      </c>
      <c r="B27" s="18" t="s">
        <v>71</v>
      </c>
      <c r="C27" s="25" t="s">
        <v>105</v>
      </c>
      <c r="D27" s="20">
        <v>252</v>
      </c>
      <c r="E27" s="26" t="s">
        <v>93</v>
      </c>
      <c r="F27" s="18" t="s">
        <v>56</v>
      </c>
      <c r="G27" s="22">
        <v>10000</v>
      </c>
      <c r="H27" s="52">
        <f t="shared" si="0"/>
        <v>2220000</v>
      </c>
      <c r="I27" s="22"/>
      <c r="J27" s="52">
        <f t="shared" si="1"/>
        <v>0</v>
      </c>
      <c r="K27" s="22">
        <v>500</v>
      </c>
      <c r="L27" s="52">
        <f t="shared" si="2"/>
        <v>111000</v>
      </c>
      <c r="M27" s="22">
        <f t="shared" si="3"/>
        <v>10500</v>
      </c>
      <c r="N27" s="23">
        <v>222</v>
      </c>
      <c r="O27" s="24">
        <f t="shared" si="4"/>
        <v>2331000</v>
      </c>
      <c r="P27" s="60"/>
      <c r="Q27" s="5"/>
    </row>
    <row r="28" spans="1:17" ht="45.75" customHeight="1" thickBot="1" x14ac:dyDescent="0.25">
      <c r="A28" s="18">
        <v>19</v>
      </c>
      <c r="B28" s="18" t="s">
        <v>72</v>
      </c>
      <c r="C28" s="25" t="s">
        <v>105</v>
      </c>
      <c r="D28" s="20">
        <v>252</v>
      </c>
      <c r="E28" s="26" t="s">
        <v>94</v>
      </c>
      <c r="F28" s="18" t="s">
        <v>58</v>
      </c>
      <c r="G28" s="22">
        <v>2000</v>
      </c>
      <c r="H28" s="52">
        <f t="shared" si="0"/>
        <v>196000</v>
      </c>
      <c r="I28" s="22"/>
      <c r="J28" s="52">
        <f t="shared" si="1"/>
        <v>0</v>
      </c>
      <c r="K28" s="22"/>
      <c r="L28" s="52">
        <f t="shared" si="2"/>
        <v>0</v>
      </c>
      <c r="M28" s="22">
        <f t="shared" si="3"/>
        <v>2000</v>
      </c>
      <c r="N28" s="23">
        <v>98</v>
      </c>
      <c r="O28" s="24">
        <f t="shared" si="4"/>
        <v>196000</v>
      </c>
      <c r="P28" s="60"/>
      <c r="Q28" s="5"/>
    </row>
    <row r="29" spans="1:17" ht="45.75" customHeight="1" thickBot="1" x14ac:dyDescent="0.25">
      <c r="A29" s="18">
        <v>20</v>
      </c>
      <c r="B29" s="18" t="s">
        <v>73</v>
      </c>
      <c r="C29" s="25" t="s">
        <v>105</v>
      </c>
      <c r="D29" s="20">
        <v>252</v>
      </c>
      <c r="E29" s="26" t="s">
        <v>95</v>
      </c>
      <c r="F29" s="18" t="s">
        <v>56</v>
      </c>
      <c r="G29" s="22">
        <v>2000</v>
      </c>
      <c r="H29" s="52">
        <f t="shared" si="0"/>
        <v>90000</v>
      </c>
      <c r="I29" s="22"/>
      <c r="J29" s="52">
        <f t="shared" si="1"/>
        <v>0</v>
      </c>
      <c r="K29" s="22"/>
      <c r="L29" s="52">
        <f t="shared" si="2"/>
        <v>0</v>
      </c>
      <c r="M29" s="22">
        <f t="shared" si="3"/>
        <v>2000</v>
      </c>
      <c r="N29" s="23">
        <v>45</v>
      </c>
      <c r="O29" s="24">
        <f t="shared" si="4"/>
        <v>90000</v>
      </c>
      <c r="P29" s="60"/>
      <c r="Q29" s="5"/>
    </row>
    <row r="30" spans="1:17" ht="45.75" customHeight="1" thickBot="1" x14ac:dyDescent="0.25">
      <c r="A30" s="18">
        <v>21</v>
      </c>
      <c r="B30" s="18" t="s">
        <v>74</v>
      </c>
      <c r="C30" s="25" t="s">
        <v>105</v>
      </c>
      <c r="D30" s="20">
        <v>252</v>
      </c>
      <c r="E30" s="26" t="s">
        <v>96</v>
      </c>
      <c r="F30" s="18" t="s">
        <v>57</v>
      </c>
      <c r="G30" s="22">
        <v>1000</v>
      </c>
      <c r="H30" s="52">
        <f t="shared" si="0"/>
        <v>250000</v>
      </c>
      <c r="I30" s="22"/>
      <c r="J30" s="52">
        <f t="shared" si="1"/>
        <v>0</v>
      </c>
      <c r="K30" s="22"/>
      <c r="L30" s="52">
        <f t="shared" si="2"/>
        <v>0</v>
      </c>
      <c r="M30" s="22">
        <f t="shared" si="3"/>
        <v>1000</v>
      </c>
      <c r="N30" s="23">
        <v>250</v>
      </c>
      <c r="O30" s="24">
        <f t="shared" si="4"/>
        <v>250000</v>
      </c>
      <c r="P30" s="60"/>
      <c r="Q30" s="5"/>
    </row>
    <row r="31" spans="1:17" ht="45.75" customHeight="1" thickBot="1" x14ac:dyDescent="0.25">
      <c r="A31" s="18">
        <v>22</v>
      </c>
      <c r="B31" s="18" t="s">
        <v>75</v>
      </c>
      <c r="C31" s="25" t="s">
        <v>105</v>
      </c>
      <c r="D31" s="20">
        <v>252</v>
      </c>
      <c r="E31" s="26" t="s">
        <v>97</v>
      </c>
      <c r="F31" s="18" t="s">
        <v>54</v>
      </c>
      <c r="G31" s="22">
        <v>60000</v>
      </c>
      <c r="H31" s="52">
        <f t="shared" si="0"/>
        <v>206400</v>
      </c>
      <c r="I31" s="22"/>
      <c r="J31" s="52">
        <f t="shared" si="1"/>
        <v>0</v>
      </c>
      <c r="K31" s="22"/>
      <c r="L31" s="52">
        <f t="shared" si="2"/>
        <v>0</v>
      </c>
      <c r="M31" s="22">
        <f t="shared" si="3"/>
        <v>60000</v>
      </c>
      <c r="N31" s="23">
        <v>3.44</v>
      </c>
      <c r="O31" s="24">
        <f t="shared" si="4"/>
        <v>206400</v>
      </c>
      <c r="P31" s="60"/>
      <c r="Q31" s="5"/>
    </row>
    <row r="32" spans="1:17" ht="45.75" customHeight="1" thickBot="1" x14ac:dyDescent="0.25">
      <c r="A32" s="18">
        <v>23</v>
      </c>
      <c r="B32" s="18" t="s">
        <v>76</v>
      </c>
      <c r="C32" s="25" t="s">
        <v>105</v>
      </c>
      <c r="D32" s="20">
        <v>252</v>
      </c>
      <c r="E32" s="26" t="s">
        <v>98</v>
      </c>
      <c r="F32" s="18" t="s">
        <v>55</v>
      </c>
      <c r="G32" s="22">
        <v>6000</v>
      </c>
      <c r="H32" s="52">
        <f t="shared" si="0"/>
        <v>1080000</v>
      </c>
      <c r="I32" s="22"/>
      <c r="J32" s="52">
        <f t="shared" si="1"/>
        <v>0</v>
      </c>
      <c r="K32" s="22"/>
      <c r="L32" s="52">
        <f t="shared" si="2"/>
        <v>0</v>
      </c>
      <c r="M32" s="22">
        <f t="shared" si="3"/>
        <v>6000</v>
      </c>
      <c r="N32" s="23">
        <v>180</v>
      </c>
      <c r="O32" s="24">
        <f t="shared" si="4"/>
        <v>1080000</v>
      </c>
      <c r="P32" s="60"/>
      <c r="Q32" s="5"/>
    </row>
    <row r="33" spans="1:17" ht="45.75" customHeight="1" thickBot="1" x14ac:dyDescent="0.25">
      <c r="A33" s="18">
        <v>24</v>
      </c>
      <c r="B33" s="18" t="s">
        <v>77</v>
      </c>
      <c r="C33" s="25" t="s">
        <v>105</v>
      </c>
      <c r="D33" s="20">
        <v>252</v>
      </c>
      <c r="E33" s="26" t="s">
        <v>99</v>
      </c>
      <c r="F33" s="18" t="s">
        <v>54</v>
      </c>
      <c r="G33" s="22">
        <v>1000</v>
      </c>
      <c r="H33" s="52">
        <f t="shared" si="0"/>
        <v>9800</v>
      </c>
      <c r="I33" s="22"/>
      <c r="J33" s="52">
        <f t="shared" si="1"/>
        <v>0</v>
      </c>
      <c r="K33" s="22"/>
      <c r="L33" s="52">
        <f t="shared" si="2"/>
        <v>0</v>
      </c>
      <c r="M33" s="22">
        <f t="shared" si="3"/>
        <v>1000</v>
      </c>
      <c r="N33" s="23">
        <v>9.8000000000000007</v>
      </c>
      <c r="O33" s="24">
        <f t="shared" si="4"/>
        <v>9800</v>
      </c>
      <c r="P33" s="60"/>
      <c r="Q33" s="5"/>
    </row>
    <row r="34" spans="1:17" ht="45.75" customHeight="1" thickBot="1" x14ac:dyDescent="0.25">
      <c r="A34" s="18">
        <v>25</v>
      </c>
      <c r="B34" s="18" t="s">
        <v>124</v>
      </c>
      <c r="C34" s="19" t="s">
        <v>105</v>
      </c>
      <c r="D34" s="20">
        <v>252</v>
      </c>
      <c r="E34" s="21" t="s">
        <v>123</v>
      </c>
      <c r="F34" s="18" t="s">
        <v>58</v>
      </c>
      <c r="G34" s="22">
        <v>6000</v>
      </c>
      <c r="H34" s="52">
        <f t="shared" si="0"/>
        <v>1890000</v>
      </c>
      <c r="I34" s="22"/>
      <c r="J34" s="52">
        <f t="shared" si="1"/>
        <v>0</v>
      </c>
      <c r="K34" s="22"/>
      <c r="L34" s="52">
        <f t="shared" si="2"/>
        <v>0</v>
      </c>
      <c r="M34" s="22">
        <f t="shared" si="3"/>
        <v>6000</v>
      </c>
      <c r="N34" s="29">
        <v>315</v>
      </c>
      <c r="O34" s="24">
        <f t="shared" si="4"/>
        <v>1890000</v>
      </c>
      <c r="P34" s="60"/>
      <c r="Q34" s="5"/>
    </row>
    <row r="35" spans="1:17" ht="45.75" customHeight="1" thickBot="1" x14ac:dyDescent="0.25">
      <c r="A35" s="18">
        <v>26</v>
      </c>
      <c r="B35" s="18" t="s">
        <v>78</v>
      </c>
      <c r="C35" s="25" t="s">
        <v>105</v>
      </c>
      <c r="D35" s="20">
        <v>252</v>
      </c>
      <c r="E35" s="26" t="s">
        <v>106</v>
      </c>
      <c r="F35" s="18" t="s">
        <v>54</v>
      </c>
      <c r="G35" s="22">
        <v>2000</v>
      </c>
      <c r="H35" s="52">
        <f t="shared" si="0"/>
        <v>110000</v>
      </c>
      <c r="I35" s="22"/>
      <c r="J35" s="52">
        <f t="shared" si="1"/>
        <v>0</v>
      </c>
      <c r="K35" s="22"/>
      <c r="L35" s="52">
        <f t="shared" si="2"/>
        <v>0</v>
      </c>
      <c r="M35" s="22">
        <f t="shared" si="3"/>
        <v>2000</v>
      </c>
      <c r="N35" s="29">
        <v>55</v>
      </c>
      <c r="O35" s="24">
        <f t="shared" si="4"/>
        <v>110000</v>
      </c>
      <c r="P35" s="60"/>
      <c r="Q35" s="5"/>
    </row>
    <row r="36" spans="1:17" ht="45.75" customHeight="1" thickBot="1" x14ac:dyDescent="0.25">
      <c r="A36" s="18">
        <v>27</v>
      </c>
      <c r="B36" s="18" t="s">
        <v>79</v>
      </c>
      <c r="C36" s="25" t="s">
        <v>105</v>
      </c>
      <c r="D36" s="20">
        <v>252</v>
      </c>
      <c r="E36" s="26" t="s">
        <v>100</v>
      </c>
      <c r="F36" s="18" t="s">
        <v>54</v>
      </c>
      <c r="G36" s="22">
        <v>1000</v>
      </c>
      <c r="H36" s="52">
        <f t="shared" si="0"/>
        <v>17350</v>
      </c>
      <c r="I36" s="22"/>
      <c r="J36" s="52">
        <f t="shared" si="1"/>
        <v>0</v>
      </c>
      <c r="K36" s="22"/>
      <c r="L36" s="52">
        <f t="shared" si="2"/>
        <v>0</v>
      </c>
      <c r="M36" s="22">
        <f t="shared" si="3"/>
        <v>1000</v>
      </c>
      <c r="N36" s="29">
        <v>17.350000000000001</v>
      </c>
      <c r="O36" s="24">
        <f t="shared" si="4"/>
        <v>17350</v>
      </c>
      <c r="P36" s="60"/>
      <c r="Q36" s="5"/>
    </row>
    <row r="37" spans="1:17" ht="45.75" customHeight="1" thickBot="1" x14ac:dyDescent="0.25">
      <c r="A37" s="18">
        <v>28</v>
      </c>
      <c r="B37" s="18" t="s">
        <v>80</v>
      </c>
      <c r="C37" s="25" t="s">
        <v>105</v>
      </c>
      <c r="D37" s="20">
        <v>252</v>
      </c>
      <c r="E37" s="26" t="s">
        <v>101</v>
      </c>
      <c r="F37" s="18" t="s">
        <v>57</v>
      </c>
      <c r="G37" s="22">
        <v>3000</v>
      </c>
      <c r="H37" s="52">
        <f t="shared" si="0"/>
        <v>141720</v>
      </c>
      <c r="I37" s="22"/>
      <c r="J37" s="52">
        <f t="shared" si="1"/>
        <v>0</v>
      </c>
      <c r="K37" s="22"/>
      <c r="L37" s="52">
        <f t="shared" si="2"/>
        <v>0</v>
      </c>
      <c r="M37" s="22">
        <f t="shared" si="3"/>
        <v>3000</v>
      </c>
      <c r="N37" s="29">
        <v>47.24</v>
      </c>
      <c r="O37" s="24">
        <f t="shared" si="4"/>
        <v>141720</v>
      </c>
      <c r="P37" s="60"/>
      <c r="Q37" s="5"/>
    </row>
    <row r="38" spans="1:17" ht="45.75" customHeight="1" thickBot="1" x14ac:dyDescent="0.25">
      <c r="A38" s="18">
        <v>29</v>
      </c>
      <c r="B38" s="18" t="s">
        <v>126</v>
      </c>
      <c r="C38" s="25" t="s">
        <v>105</v>
      </c>
      <c r="D38" s="20">
        <v>252</v>
      </c>
      <c r="E38" s="26" t="s">
        <v>125</v>
      </c>
      <c r="F38" s="18" t="s">
        <v>54</v>
      </c>
      <c r="G38" s="22">
        <v>1000</v>
      </c>
      <c r="H38" s="52">
        <f t="shared" si="0"/>
        <v>33500</v>
      </c>
      <c r="I38" s="22"/>
      <c r="J38" s="52">
        <f t="shared" si="1"/>
        <v>0</v>
      </c>
      <c r="K38" s="22"/>
      <c r="L38" s="52">
        <f t="shared" si="2"/>
        <v>0</v>
      </c>
      <c r="M38" s="22">
        <f t="shared" si="3"/>
        <v>1000</v>
      </c>
      <c r="N38" s="29">
        <v>33.5</v>
      </c>
      <c r="O38" s="24">
        <f t="shared" si="4"/>
        <v>33500</v>
      </c>
      <c r="P38" s="60"/>
      <c r="Q38" s="5"/>
    </row>
    <row r="39" spans="1:17" ht="45.75" customHeight="1" thickBot="1" x14ac:dyDescent="0.25">
      <c r="A39" s="18">
        <v>30</v>
      </c>
      <c r="B39" s="18" t="s">
        <v>81</v>
      </c>
      <c r="C39" s="25" t="s">
        <v>105</v>
      </c>
      <c r="D39" s="20">
        <v>252</v>
      </c>
      <c r="E39" s="26" t="s">
        <v>102</v>
      </c>
      <c r="F39" s="18" t="s">
        <v>59</v>
      </c>
      <c r="G39" s="22">
        <v>500</v>
      </c>
      <c r="H39" s="52">
        <f t="shared" si="0"/>
        <v>415000</v>
      </c>
      <c r="I39" s="22"/>
      <c r="J39" s="52">
        <f t="shared" si="1"/>
        <v>0</v>
      </c>
      <c r="K39" s="22"/>
      <c r="L39" s="52">
        <f t="shared" si="2"/>
        <v>0</v>
      </c>
      <c r="M39" s="22">
        <f t="shared" si="3"/>
        <v>500</v>
      </c>
      <c r="N39" s="29">
        <v>830</v>
      </c>
      <c r="O39" s="24">
        <f t="shared" si="4"/>
        <v>415000</v>
      </c>
      <c r="P39" s="60"/>
      <c r="Q39" s="5"/>
    </row>
    <row r="40" spans="1:17" ht="45.75" customHeight="1" thickBot="1" x14ac:dyDescent="0.25">
      <c r="A40" s="18">
        <v>31</v>
      </c>
      <c r="B40" s="18" t="s">
        <v>82</v>
      </c>
      <c r="C40" s="25" t="s">
        <v>105</v>
      </c>
      <c r="D40" s="20">
        <v>252</v>
      </c>
      <c r="E40" s="26" t="s">
        <v>103</v>
      </c>
      <c r="F40" s="18" t="s">
        <v>56</v>
      </c>
      <c r="G40" s="22">
        <v>6000</v>
      </c>
      <c r="H40" s="52">
        <f t="shared" si="0"/>
        <v>216000</v>
      </c>
      <c r="I40" s="22"/>
      <c r="J40" s="52">
        <f t="shared" si="1"/>
        <v>0</v>
      </c>
      <c r="K40" s="22"/>
      <c r="L40" s="52">
        <f t="shared" si="2"/>
        <v>0</v>
      </c>
      <c r="M40" s="22">
        <f t="shared" si="3"/>
        <v>6000</v>
      </c>
      <c r="N40" s="29">
        <v>36</v>
      </c>
      <c r="O40" s="24">
        <f t="shared" si="4"/>
        <v>216000</v>
      </c>
      <c r="P40" s="60"/>
      <c r="Q40" s="5"/>
    </row>
    <row r="41" spans="1:17" ht="45.75" customHeight="1" thickBot="1" x14ac:dyDescent="0.25">
      <c r="A41" s="18">
        <v>32</v>
      </c>
      <c r="B41" s="18" t="s">
        <v>114</v>
      </c>
      <c r="C41" s="19" t="s">
        <v>105</v>
      </c>
      <c r="D41" s="20">
        <v>252</v>
      </c>
      <c r="E41" s="26" t="s">
        <v>115</v>
      </c>
      <c r="F41" s="18" t="s">
        <v>57</v>
      </c>
      <c r="G41" s="22">
        <v>4000</v>
      </c>
      <c r="H41" s="52">
        <f t="shared" si="0"/>
        <v>6320000</v>
      </c>
      <c r="I41" s="22">
        <v>3000</v>
      </c>
      <c r="J41" s="52">
        <f t="shared" si="1"/>
        <v>4740000</v>
      </c>
      <c r="K41" s="22">
        <v>100</v>
      </c>
      <c r="L41" s="52">
        <f t="shared" si="2"/>
        <v>158000</v>
      </c>
      <c r="M41" s="22">
        <f t="shared" si="3"/>
        <v>7100</v>
      </c>
      <c r="N41" s="29">
        <v>1580</v>
      </c>
      <c r="O41" s="24">
        <f t="shared" si="4"/>
        <v>11218000</v>
      </c>
      <c r="P41" s="60"/>
      <c r="Q41" s="28"/>
    </row>
    <row r="42" spans="1:17" ht="45.75" customHeight="1" thickBot="1" x14ac:dyDescent="0.25">
      <c r="A42" s="18">
        <v>33</v>
      </c>
      <c r="B42" s="18" t="s">
        <v>83</v>
      </c>
      <c r="C42" s="25" t="s">
        <v>105</v>
      </c>
      <c r="D42" s="20">
        <v>252</v>
      </c>
      <c r="E42" s="26" t="s">
        <v>104</v>
      </c>
      <c r="F42" s="18" t="s">
        <v>58</v>
      </c>
      <c r="G42" s="22">
        <v>1000</v>
      </c>
      <c r="H42" s="52">
        <f t="shared" si="0"/>
        <v>95000</v>
      </c>
      <c r="I42" s="22"/>
      <c r="J42" s="52">
        <f t="shared" si="1"/>
        <v>0</v>
      </c>
      <c r="K42" s="22"/>
      <c r="L42" s="52">
        <f t="shared" si="2"/>
        <v>0</v>
      </c>
      <c r="M42" s="22">
        <f t="shared" si="3"/>
        <v>1000</v>
      </c>
      <c r="N42" s="29">
        <v>95</v>
      </c>
      <c r="O42" s="24">
        <f t="shared" si="4"/>
        <v>95000</v>
      </c>
      <c r="P42" s="60"/>
      <c r="Q42" s="5"/>
    </row>
    <row r="43" spans="1:17" ht="45.75" customHeight="1" thickBot="1" x14ac:dyDescent="0.25">
      <c r="A43" s="18">
        <v>34</v>
      </c>
      <c r="B43" s="18" t="s">
        <v>128</v>
      </c>
      <c r="C43" s="25" t="s">
        <v>105</v>
      </c>
      <c r="D43" s="20">
        <v>252</v>
      </c>
      <c r="E43" s="21" t="s">
        <v>127</v>
      </c>
      <c r="F43" s="18" t="s">
        <v>57</v>
      </c>
      <c r="G43" s="22">
        <v>1000</v>
      </c>
      <c r="H43" s="52">
        <f t="shared" si="0"/>
        <v>1120000</v>
      </c>
      <c r="I43" s="22"/>
      <c r="J43" s="52">
        <f t="shared" si="1"/>
        <v>0</v>
      </c>
      <c r="K43" s="22">
        <v>30</v>
      </c>
      <c r="L43" s="52">
        <f t="shared" si="2"/>
        <v>33600</v>
      </c>
      <c r="M43" s="22">
        <f t="shared" si="3"/>
        <v>1030</v>
      </c>
      <c r="N43" s="29">
        <v>1120</v>
      </c>
      <c r="O43" s="24">
        <f t="shared" si="4"/>
        <v>1153600</v>
      </c>
      <c r="P43" s="60"/>
      <c r="Q43" s="5"/>
    </row>
    <row r="44" spans="1:17" ht="45.75" customHeight="1" thickBot="1" x14ac:dyDescent="0.25">
      <c r="A44" s="18">
        <v>35</v>
      </c>
      <c r="B44" s="18" t="s">
        <v>113</v>
      </c>
      <c r="C44" s="25" t="s">
        <v>105</v>
      </c>
      <c r="D44" s="20">
        <v>252</v>
      </c>
      <c r="E44" s="26" t="s">
        <v>112</v>
      </c>
      <c r="F44" s="18" t="s">
        <v>57</v>
      </c>
      <c r="G44" s="22">
        <v>50</v>
      </c>
      <c r="H44" s="52">
        <f t="shared" ref="H44" si="5">+G44*N44</f>
        <v>63000</v>
      </c>
      <c r="I44" s="22"/>
      <c r="J44" s="52">
        <f t="shared" ref="J44" si="6">+I44*N44</f>
        <v>0</v>
      </c>
      <c r="K44" s="22"/>
      <c r="L44" s="52">
        <f t="shared" ref="L44" si="7">+K44*N44</f>
        <v>0</v>
      </c>
      <c r="M44" s="22">
        <f t="shared" ref="M44" si="8">+G44+I44+K44</f>
        <v>50</v>
      </c>
      <c r="N44" s="23">
        <v>1260</v>
      </c>
      <c r="O44" s="24">
        <f t="shared" si="4"/>
        <v>63000</v>
      </c>
      <c r="P44" s="60"/>
      <c r="Q44" s="5"/>
    </row>
    <row r="45" spans="1:17" s="58" customFormat="1" ht="31.5" customHeight="1" thickBot="1" x14ac:dyDescent="0.25">
      <c r="A45" s="122" t="s">
        <v>142</v>
      </c>
      <c r="B45" s="123"/>
      <c r="C45" s="123"/>
      <c r="D45" s="123"/>
      <c r="E45" s="123"/>
      <c r="F45" s="124"/>
      <c r="G45" s="54"/>
      <c r="H45" s="55">
        <f>SUM(H10:H44)</f>
        <v>31997490</v>
      </c>
      <c r="I45" s="54"/>
      <c r="J45" s="55">
        <f>SUM(J10:J44)</f>
        <v>4740000</v>
      </c>
      <c r="K45" s="54"/>
      <c r="L45" s="55">
        <f>SUM(L10:L44)</f>
        <v>450900</v>
      </c>
      <c r="M45" s="54"/>
      <c r="N45" s="54"/>
      <c r="O45" s="55">
        <f>SUM(O10:O44)</f>
        <v>37188390</v>
      </c>
      <c r="P45" s="56"/>
      <c r="Q45" s="57"/>
    </row>
    <row r="46" spans="1:17" ht="13.5" thickBot="1" x14ac:dyDescent="0.25"/>
    <row r="47" spans="1:17" ht="89.25" customHeight="1" x14ac:dyDescent="0.2">
      <c r="B47" s="125" t="s">
        <v>151</v>
      </c>
      <c r="C47" s="126"/>
      <c r="D47" s="127" t="s">
        <v>152</v>
      </c>
      <c r="E47" s="128"/>
    </row>
    <row r="48" spans="1:17" ht="15" x14ac:dyDescent="0.2">
      <c r="B48" s="33"/>
      <c r="C48" s="104"/>
      <c r="D48" s="100"/>
      <c r="E48" s="62"/>
    </row>
    <row r="49" spans="2:13" ht="12.75" customHeight="1" x14ac:dyDescent="0.2">
      <c r="B49" s="111" t="s">
        <v>153</v>
      </c>
      <c r="C49" s="112"/>
      <c r="D49" s="113" t="s">
        <v>154</v>
      </c>
      <c r="E49" s="114"/>
    </row>
    <row r="50" spans="2:13" ht="15" x14ac:dyDescent="0.2">
      <c r="B50" s="33"/>
      <c r="C50" s="104"/>
      <c r="D50" s="101"/>
      <c r="E50" s="62"/>
    </row>
    <row r="51" spans="2:13" ht="59.25" customHeight="1" x14ac:dyDescent="0.2">
      <c r="B51" s="111" t="s">
        <v>155</v>
      </c>
      <c r="C51" s="112"/>
      <c r="D51" s="115" t="s">
        <v>160</v>
      </c>
      <c r="E51" s="116"/>
    </row>
    <row r="52" spans="2:13" ht="45" customHeight="1" x14ac:dyDescent="0.2">
      <c r="B52" s="111"/>
      <c r="C52" s="112"/>
      <c r="D52" s="115" t="s">
        <v>163</v>
      </c>
      <c r="E52" s="116"/>
    </row>
    <row r="53" spans="2:13" ht="56.25" customHeight="1" x14ac:dyDescent="0.2">
      <c r="B53" s="111"/>
      <c r="C53" s="112"/>
      <c r="D53" s="115" t="s">
        <v>161</v>
      </c>
      <c r="E53" s="116"/>
    </row>
    <row r="54" spans="2:13" ht="15" x14ac:dyDescent="0.2">
      <c r="B54" s="33"/>
      <c r="C54" s="104"/>
      <c r="D54" s="102"/>
      <c r="E54" s="62"/>
    </row>
    <row r="55" spans="2:13" ht="12.75" customHeight="1" x14ac:dyDescent="0.2">
      <c r="B55" s="129" t="s">
        <v>156</v>
      </c>
      <c r="C55" s="130"/>
      <c r="D55" s="117"/>
      <c r="E55" s="118"/>
    </row>
    <row r="56" spans="2:13" ht="15" x14ac:dyDescent="0.2">
      <c r="B56" s="33"/>
      <c r="C56" s="105"/>
      <c r="D56" s="103"/>
      <c r="E56" s="62"/>
    </row>
    <row r="57" spans="2:13" ht="13.5" customHeight="1" x14ac:dyDescent="0.2">
      <c r="B57" s="129" t="s">
        <v>157</v>
      </c>
      <c r="C57" s="130"/>
      <c r="D57" s="131" t="s">
        <v>158</v>
      </c>
      <c r="E57" s="132"/>
    </row>
    <row r="58" spans="2:13" ht="13.5" thickBot="1" x14ac:dyDescent="0.25">
      <c r="B58" s="59"/>
      <c r="C58" s="34"/>
      <c r="D58" s="34"/>
      <c r="E58" s="63"/>
    </row>
    <row r="59" spans="2:13" ht="13.5" thickBot="1" x14ac:dyDescent="0.25"/>
    <row r="60" spans="2:13" x14ac:dyDescent="0.2">
      <c r="B60" s="31" t="s">
        <v>51</v>
      </c>
      <c r="C60" s="32"/>
      <c r="D60" s="32"/>
      <c r="E60" s="61"/>
      <c r="F60" s="36"/>
      <c r="G60" s="35"/>
      <c r="H60" s="53"/>
      <c r="I60" s="35"/>
      <c r="J60" s="53"/>
      <c r="K60" s="35"/>
      <c r="L60" s="53"/>
      <c r="M60" s="35"/>
    </row>
    <row r="61" spans="2:13" x14ac:dyDescent="0.2">
      <c r="B61" s="33"/>
      <c r="C61" s="36"/>
      <c r="D61" s="36"/>
      <c r="E61" s="62"/>
      <c r="F61" s="36"/>
      <c r="G61" s="35"/>
      <c r="H61" s="53"/>
      <c r="I61" s="35"/>
      <c r="J61" s="53"/>
      <c r="K61" s="35"/>
      <c r="L61" s="53"/>
      <c r="M61" s="35"/>
    </row>
    <row r="62" spans="2:13" x14ac:dyDescent="0.2">
      <c r="B62" s="33" t="s">
        <v>145</v>
      </c>
      <c r="C62" s="36"/>
      <c r="D62" s="36"/>
      <c r="E62" s="62"/>
      <c r="F62" s="36"/>
      <c r="G62" s="35"/>
      <c r="H62" s="53"/>
      <c r="I62" s="35"/>
      <c r="J62" s="53"/>
      <c r="K62" s="35"/>
      <c r="L62" s="53"/>
      <c r="M62" s="35"/>
    </row>
    <row r="63" spans="2:13" ht="13.5" thickBot="1" x14ac:dyDescent="0.25">
      <c r="B63" s="59"/>
      <c r="C63" s="34"/>
      <c r="D63" s="34"/>
      <c r="E63" s="63"/>
      <c r="F63" s="36"/>
      <c r="G63" s="35"/>
      <c r="H63" s="53"/>
      <c r="I63" s="35"/>
      <c r="J63" s="53"/>
      <c r="K63" s="35"/>
      <c r="L63" s="53"/>
      <c r="M63" s="35"/>
    </row>
    <row r="64" spans="2:13" ht="13.5" thickBot="1" x14ac:dyDescent="0.25">
      <c r="F64" s="36"/>
      <c r="G64" s="36"/>
    </row>
    <row r="65" spans="2:13" x14ac:dyDescent="0.2">
      <c r="B65" s="31" t="s">
        <v>51</v>
      </c>
      <c r="C65" s="32"/>
      <c r="D65" s="32"/>
      <c r="E65" s="61"/>
      <c r="F65" s="36"/>
      <c r="G65" s="35"/>
      <c r="H65" s="53"/>
      <c r="I65" s="35"/>
      <c r="J65" s="53"/>
      <c r="K65" s="35"/>
      <c r="L65" s="53"/>
      <c r="M65" s="35"/>
    </row>
    <row r="66" spans="2:13" x14ac:dyDescent="0.2">
      <c r="B66" s="33"/>
      <c r="C66" s="36"/>
      <c r="D66" s="36"/>
      <c r="E66" s="62"/>
      <c r="F66" s="36"/>
      <c r="G66" s="35"/>
      <c r="H66" s="53"/>
      <c r="I66" s="35"/>
      <c r="J66" s="53"/>
      <c r="K66" s="35"/>
      <c r="L66" s="53"/>
      <c r="M66" s="35"/>
    </row>
    <row r="67" spans="2:13" x14ac:dyDescent="0.2">
      <c r="B67" s="33" t="s">
        <v>144</v>
      </c>
      <c r="C67" s="36"/>
      <c r="D67" s="36"/>
      <c r="E67" s="62"/>
      <c r="F67" s="36"/>
      <c r="G67" s="35"/>
      <c r="H67" s="53"/>
      <c r="I67" s="35"/>
      <c r="J67" s="53"/>
      <c r="K67" s="35"/>
      <c r="L67" s="53"/>
      <c r="M67" s="35"/>
    </row>
    <row r="68" spans="2:13" ht="13.5" thickBot="1" x14ac:dyDescent="0.25">
      <c r="B68" s="59"/>
      <c r="C68" s="34"/>
      <c r="D68" s="34"/>
      <c r="E68" s="63"/>
      <c r="F68" s="36"/>
      <c r="G68" s="35"/>
      <c r="H68" s="53"/>
      <c r="I68" s="35"/>
      <c r="J68" s="53"/>
      <c r="K68" s="35"/>
      <c r="L68" s="53"/>
      <c r="M68" s="35"/>
    </row>
    <row r="69" spans="2:13" ht="13.5" thickBot="1" x14ac:dyDescent="0.25">
      <c r="F69" s="36"/>
      <c r="G69" s="36"/>
    </row>
    <row r="70" spans="2:13" x14ac:dyDescent="0.2">
      <c r="B70" s="31" t="s">
        <v>51</v>
      </c>
      <c r="C70" s="32"/>
      <c r="D70" s="32"/>
      <c r="E70" s="61"/>
      <c r="F70" s="36"/>
      <c r="G70" s="35"/>
      <c r="H70" s="53"/>
      <c r="I70" s="35"/>
      <c r="J70" s="53"/>
      <c r="K70" s="35"/>
      <c r="L70" s="53"/>
      <c r="M70" s="35"/>
    </row>
    <row r="71" spans="2:13" x14ac:dyDescent="0.2">
      <c r="B71" s="33"/>
      <c r="C71" s="36"/>
      <c r="D71" s="36"/>
      <c r="E71" s="62"/>
      <c r="F71" s="36"/>
      <c r="G71" s="35"/>
      <c r="H71" s="53"/>
      <c r="I71" s="35"/>
      <c r="J71" s="53"/>
      <c r="K71" s="35"/>
      <c r="L71" s="53"/>
      <c r="M71" s="35"/>
    </row>
    <row r="72" spans="2:13" x14ac:dyDescent="0.2">
      <c r="B72" s="33" t="s">
        <v>143</v>
      </c>
      <c r="C72" s="36"/>
      <c r="D72" s="36"/>
      <c r="E72" s="62"/>
      <c r="F72" s="36"/>
      <c r="G72" s="35"/>
      <c r="H72" s="53"/>
      <c r="I72" s="35"/>
      <c r="J72" s="53"/>
      <c r="K72" s="35"/>
      <c r="L72" s="53"/>
      <c r="M72" s="35"/>
    </row>
    <row r="73" spans="2:13" ht="13.5" thickBot="1" x14ac:dyDescent="0.25">
      <c r="B73" s="59"/>
      <c r="C73" s="34"/>
      <c r="D73" s="34"/>
      <c r="E73" s="63"/>
      <c r="F73" s="36"/>
      <c r="G73" s="35"/>
      <c r="H73" s="53"/>
      <c r="I73" s="35"/>
      <c r="J73" s="53"/>
      <c r="K73" s="35"/>
      <c r="L73" s="53"/>
      <c r="M73" s="35"/>
    </row>
  </sheetData>
  <mergeCells count="20">
    <mergeCell ref="B57:C57"/>
    <mergeCell ref="D57:E57"/>
    <mergeCell ref="B51:C53"/>
    <mergeCell ref="D52:E52"/>
    <mergeCell ref="D53:E53"/>
    <mergeCell ref="B55:C55"/>
    <mergeCell ref="B49:C49"/>
    <mergeCell ref="D49:E49"/>
    <mergeCell ref="D51:E51"/>
    <mergeCell ref="D55:E55"/>
    <mergeCell ref="B2:O2"/>
    <mergeCell ref="A4:B4"/>
    <mergeCell ref="C4:F4"/>
    <mergeCell ref="A5:B5"/>
    <mergeCell ref="C5:F5"/>
    <mergeCell ref="A6:B6"/>
    <mergeCell ref="A7:B7"/>
    <mergeCell ref="A45:F45"/>
    <mergeCell ref="B47:C47"/>
    <mergeCell ref="D47:E47"/>
  </mergeCells>
  <conditionalFormatting sqref="C56 B57 B55 C54 B51 C50 B49">
    <cfRule type="duplicateValues" dxfId="1" priority="1"/>
  </conditionalFormatting>
  <conditionalFormatting sqref="C56 B57 B55 C54 B51 C50 B49">
    <cfRule type="duplicateValues" dxfId="0" priority="2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6"/>
  <sheetViews>
    <sheetView topLeftCell="A37" zoomScaleNormal="100" workbookViewId="0">
      <selection activeCell="C21" sqref="C21:G21"/>
    </sheetView>
  </sheetViews>
  <sheetFormatPr baseColWidth="10" defaultColWidth="9.140625" defaultRowHeight="12.75" x14ac:dyDescent="0.2"/>
  <cols>
    <col min="1" max="1" width="5.5703125" style="38" customWidth="1"/>
    <col min="2" max="2" width="16.5703125" style="38" bestFit="1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55" style="38" customWidth="1"/>
    <col min="8" max="8" width="13.42578125" style="38" customWidth="1"/>
    <col min="9" max="9" width="16" style="38" customWidth="1"/>
    <col min="10" max="10" width="15.5703125" style="68" customWidth="1"/>
    <col min="11" max="11" width="14" style="110" customWidth="1"/>
    <col min="12" max="12" width="15.5703125" style="38" customWidth="1"/>
    <col min="13" max="13" width="5.85546875" style="38" customWidth="1"/>
    <col min="14" max="14" width="9.42578125" style="38" customWidth="1"/>
    <col min="15" max="15" width="5.85546875" style="38" customWidth="1"/>
    <col min="16" max="16" width="12.5703125" style="38" customWidth="1"/>
    <col min="17" max="1025" width="9.140625" style="38"/>
    <col min="1026" max="16384" width="9.140625" style="39"/>
  </cols>
  <sheetData>
    <row r="1" spans="1:12 1025:1025" ht="16.5" thickBot="1" x14ac:dyDescent="0.25">
      <c r="A1" s="157" t="s">
        <v>12</v>
      </c>
      <c r="B1" s="157"/>
      <c r="C1" s="157"/>
      <c r="D1" s="157"/>
      <c r="E1" s="157"/>
      <c r="F1" s="157"/>
      <c r="G1" s="157"/>
      <c r="H1" s="157"/>
      <c r="I1" s="157"/>
      <c r="J1" s="67" t="s">
        <v>13</v>
      </c>
      <c r="K1" s="106" t="s">
        <v>52</v>
      </c>
      <c r="AMK1" s="39"/>
    </row>
    <row r="2" spans="1:12 1025:1025" ht="16.5" thickBot="1" x14ac:dyDescent="0.25">
      <c r="A2" s="40"/>
      <c r="B2" s="40"/>
      <c r="C2" s="40"/>
      <c r="D2" s="41"/>
      <c r="E2" s="41"/>
      <c r="F2" s="41"/>
      <c r="G2" s="41"/>
      <c r="H2" s="42"/>
      <c r="I2" s="41"/>
      <c r="K2" s="107"/>
      <c r="L2" s="41"/>
    </row>
    <row r="3" spans="1:12 1025:1025" ht="16.5" customHeight="1" thickBot="1" x14ac:dyDescent="0.25">
      <c r="A3" s="147" t="s">
        <v>45</v>
      </c>
      <c r="B3" s="148"/>
      <c r="C3" s="149" t="str">
        <f>'Necesidades Trimestrales'!C4</f>
        <v>040 - Ministerio de Salud</v>
      </c>
      <c r="D3" s="149"/>
      <c r="E3" s="149"/>
      <c r="F3" s="149"/>
      <c r="G3" s="149"/>
      <c r="H3" s="149"/>
      <c r="I3" s="149"/>
      <c r="J3" s="149"/>
      <c r="K3" s="149"/>
      <c r="AMK3" s="39"/>
    </row>
    <row r="4" spans="1:12 1025:1025" ht="16.5" thickBot="1" x14ac:dyDescent="0.25">
      <c r="A4" s="147" t="s">
        <v>46</v>
      </c>
      <c r="B4" s="148"/>
      <c r="C4" s="149" t="str">
        <f>'Necesidades Trimestrales'!C5</f>
        <v>011 - Direccion Provincial de Administracion - MS</v>
      </c>
      <c r="D4" s="149"/>
      <c r="E4" s="149"/>
      <c r="F4" s="149"/>
      <c r="G4" s="149"/>
      <c r="H4" s="149"/>
      <c r="I4" s="149"/>
      <c r="J4" s="149"/>
      <c r="K4" s="149"/>
      <c r="AMK4" s="39"/>
    </row>
    <row r="5" spans="1:12 1025:1025" ht="16.5" customHeight="1" thickBot="1" x14ac:dyDescent="0.25">
      <c r="A5" s="147" t="s">
        <v>24</v>
      </c>
      <c r="B5" s="148"/>
      <c r="C5" s="149" t="s">
        <v>146</v>
      </c>
      <c r="D5" s="149"/>
      <c r="E5" s="149"/>
      <c r="F5" s="149"/>
      <c r="G5" s="149"/>
      <c r="H5" s="149"/>
      <c r="I5" s="149"/>
      <c r="J5" s="149"/>
      <c r="K5" s="149"/>
      <c r="AMK5" s="39"/>
    </row>
    <row r="6" spans="1:12 1025:1025" ht="16.5" customHeight="1" thickBot="1" x14ac:dyDescent="0.25">
      <c r="A6" s="147" t="s">
        <v>47</v>
      </c>
      <c r="B6" s="148"/>
      <c r="C6" s="149" t="s">
        <v>146</v>
      </c>
      <c r="D6" s="149"/>
      <c r="E6" s="149"/>
      <c r="F6" s="149"/>
      <c r="G6" s="149"/>
      <c r="H6" s="149"/>
      <c r="I6" s="149"/>
      <c r="J6" s="149"/>
      <c r="K6" s="149"/>
      <c r="AMK6" s="39"/>
    </row>
    <row r="7" spans="1:12 1025:1025" ht="16.5" customHeight="1" thickBot="1" x14ac:dyDescent="0.25">
      <c r="A7" s="150" t="s">
        <v>14</v>
      </c>
      <c r="B7" s="151"/>
      <c r="C7" s="149" t="s">
        <v>53</v>
      </c>
      <c r="D7" s="149"/>
      <c r="E7" s="149"/>
      <c r="F7" s="149"/>
      <c r="G7" s="149"/>
      <c r="H7" s="149"/>
      <c r="I7" s="149"/>
      <c r="J7" s="149"/>
      <c r="K7" s="149"/>
      <c r="AMK7" s="39"/>
    </row>
    <row r="8" spans="1:12 1025:1025" ht="41.25" customHeight="1" thickBot="1" x14ac:dyDescent="0.25">
      <c r="A8" s="152" t="s">
        <v>15</v>
      </c>
      <c r="B8" s="153"/>
      <c r="C8" s="154" t="s">
        <v>60</v>
      </c>
      <c r="D8" s="155"/>
      <c r="E8" s="155"/>
      <c r="F8" s="155"/>
      <c r="G8" s="155"/>
      <c r="H8" s="155"/>
      <c r="I8" s="155"/>
      <c r="J8" s="155"/>
      <c r="K8" s="156"/>
      <c r="AMK8" s="39"/>
    </row>
    <row r="9" spans="1:12 1025:1025" ht="16.5" thickBot="1" x14ac:dyDescent="0.25">
      <c r="A9" s="43"/>
      <c r="B9" s="43"/>
      <c r="C9" s="43"/>
      <c r="D9" s="44"/>
      <c r="E9" s="44"/>
      <c r="F9" s="44"/>
      <c r="G9" s="44"/>
      <c r="H9" s="45"/>
      <c r="I9" s="44"/>
      <c r="K9" s="108"/>
      <c r="L9" s="44"/>
    </row>
    <row r="10" spans="1:12 1025:1025" ht="13.5" thickBot="1" x14ac:dyDescent="0.25">
      <c r="A10" s="145" t="s">
        <v>16</v>
      </c>
      <c r="B10" s="145" t="s">
        <v>6</v>
      </c>
      <c r="C10" s="146" t="s">
        <v>17</v>
      </c>
      <c r="D10" s="146"/>
      <c r="E10" s="146"/>
      <c r="F10" s="146"/>
      <c r="G10" s="146"/>
      <c r="H10" s="146" t="s">
        <v>18</v>
      </c>
      <c r="I10" s="146" t="s">
        <v>19</v>
      </c>
      <c r="J10" s="143" t="s">
        <v>20</v>
      </c>
      <c r="K10" s="142" t="s">
        <v>21</v>
      </c>
      <c r="AMK10" s="39"/>
    </row>
    <row r="11" spans="1:12 1025:1025" ht="35.25" customHeight="1" thickBot="1" x14ac:dyDescent="0.25">
      <c r="A11" s="145"/>
      <c r="B11" s="145"/>
      <c r="C11" s="146"/>
      <c r="D11" s="146"/>
      <c r="E11" s="146"/>
      <c r="F11" s="146"/>
      <c r="G11" s="146"/>
      <c r="H11" s="146"/>
      <c r="I11" s="146"/>
      <c r="J11" s="144"/>
      <c r="K11" s="142"/>
      <c r="AMK11" s="39"/>
    </row>
    <row r="12" spans="1:12 1025:1025" ht="46.5" customHeight="1" thickBot="1" x14ac:dyDescent="0.25">
      <c r="A12" s="46">
        <v>1</v>
      </c>
      <c r="B12" s="47" t="str">
        <f>+'Necesidades Trimestrales'!B10</f>
        <v>2.5.2-1875.133</v>
      </c>
      <c r="C12" s="133" t="str">
        <f>+'Necesidades Trimestrales'!E10</f>
        <v>ANTIASMATICO BRONCODILATADOR; TIPO: MONODROGA, DROGA GENERICA: N-ACETIL CISTEINA 600 MGR, FORMA FARMACEUTICA: TABLETA EFERVESCENTE, PRESENTACION: UNIDAD</v>
      </c>
      <c r="D12" s="133"/>
      <c r="E12" s="133"/>
      <c r="F12" s="133"/>
      <c r="G12" s="133"/>
      <c r="H12" s="46" t="s">
        <v>50</v>
      </c>
      <c r="I12" s="48" t="str">
        <f>+'Necesidades Trimestrales'!F10</f>
        <v>UNIDAD</v>
      </c>
      <c r="J12" s="69">
        <f>+'Necesidades Trimestrales'!N10</f>
        <v>35.24</v>
      </c>
      <c r="K12" s="109">
        <f>+'Necesidades Trimestrales'!G10</f>
        <v>500</v>
      </c>
      <c r="AMK12" s="39"/>
    </row>
    <row r="13" spans="1:12 1025:1025" ht="46.5" customHeight="1" thickBot="1" x14ac:dyDescent="0.25">
      <c r="A13" s="46">
        <v>2</v>
      </c>
      <c r="B13" s="47" t="str">
        <f>+'Necesidades Trimestrales'!B11</f>
        <v>2.5.2-1829.25</v>
      </c>
      <c r="C13" s="133" t="str">
        <f>+'Necesidades Trimestrales'!E11</f>
        <v>ANTIVIRALES; TIPO: MONODROGA, DROGA GENERICA: ACICLOVIR 5 %, FORMA FARMACEUTICA: CREMA, PRESENTACION: ENVASE X 5 GR</v>
      </c>
      <c r="D13" s="133"/>
      <c r="E13" s="133"/>
      <c r="F13" s="133"/>
      <c r="G13" s="133"/>
      <c r="H13" s="46" t="s">
        <v>50</v>
      </c>
      <c r="I13" s="48" t="str">
        <f>+'Necesidades Trimestrales'!F11</f>
        <v>UNIDAD</v>
      </c>
      <c r="J13" s="69">
        <f>+'Necesidades Trimestrales'!N11</f>
        <v>285</v>
      </c>
      <c r="K13" s="109">
        <f>+'Necesidades Trimestrales'!G11</f>
        <v>100</v>
      </c>
      <c r="AMK13" s="39"/>
    </row>
    <row r="14" spans="1:12 1025:1025" ht="46.5" customHeight="1" thickBot="1" x14ac:dyDescent="0.25">
      <c r="A14" s="46">
        <v>3</v>
      </c>
      <c r="B14" s="47" t="str">
        <f>+'Necesidades Trimestrales'!B12</f>
        <v>2.5.2-1875.74</v>
      </c>
      <c r="C14" s="133" t="str">
        <f>+'Necesidades Trimestrales'!E12</f>
        <v>ANTIASMATICO BRONCODILATADOR; TIPO: MONODROGA, DROGA GENERICA: AMINOFILINA 240MGR, FORMA FARMACEUTICA: AMPOLLA, PRESENTACION: ENVASE X 10 ML</v>
      </c>
      <c r="D14" s="133"/>
      <c r="E14" s="133"/>
      <c r="F14" s="133"/>
      <c r="G14" s="133"/>
      <c r="H14" s="46" t="s">
        <v>50</v>
      </c>
      <c r="I14" s="48" t="str">
        <f>+'Necesidades Trimestrales'!F12</f>
        <v>AMPOLLA</v>
      </c>
      <c r="J14" s="69">
        <f>+'Necesidades Trimestrales'!N12</f>
        <v>86</v>
      </c>
      <c r="K14" s="109">
        <f>+'Necesidades Trimestrales'!G12</f>
        <v>1000</v>
      </c>
      <c r="AMK14" s="39"/>
    </row>
    <row r="15" spans="1:12 1025:1025" ht="46.5" customHeight="1" thickBot="1" x14ac:dyDescent="0.25">
      <c r="A15" s="46">
        <v>4</v>
      </c>
      <c r="B15" s="47" t="str">
        <f>+'Necesidades Trimestrales'!B13</f>
        <v>2.9.5-427.33</v>
      </c>
      <c r="C15" s="133" t="str">
        <f>+'Necesidades Trimestrales'!E13</f>
        <v>APOSITOS; TIPO: HIDROCOLOIDE, TAMAÑO: 15 X 17,5 Cm</v>
      </c>
      <c r="D15" s="133"/>
      <c r="E15" s="133"/>
      <c r="F15" s="133"/>
      <c r="G15" s="133"/>
      <c r="H15" s="46" t="s">
        <v>50</v>
      </c>
      <c r="I15" s="48" t="str">
        <f>+'Necesidades Trimestrales'!F13</f>
        <v>UNIDAD</v>
      </c>
      <c r="J15" s="69">
        <f>+'Necesidades Trimestrales'!N13</f>
        <v>1120</v>
      </c>
      <c r="K15" s="109">
        <f>+'Necesidades Trimestrales'!G13</f>
        <v>50</v>
      </c>
      <c r="AMK15" s="39"/>
    </row>
    <row r="16" spans="1:12 1025:1025" ht="46.5" customHeight="1" thickBot="1" x14ac:dyDescent="0.25">
      <c r="A16" s="46">
        <v>5</v>
      </c>
      <c r="B16" s="47" t="str">
        <f>+'Necesidades Trimestrales'!B14</f>
        <v>2.9.5-427.39</v>
      </c>
      <c r="C16" s="133" t="str">
        <f>+'Necesidades Trimestrales'!E14</f>
        <v>APOSITOS; TIPO: HIDROCOLOIDE, TAMAÑO: 10 X 10 Cm</v>
      </c>
      <c r="D16" s="133"/>
      <c r="E16" s="133"/>
      <c r="F16" s="133"/>
      <c r="G16" s="133"/>
      <c r="H16" s="46" t="s">
        <v>50</v>
      </c>
      <c r="I16" s="48" t="str">
        <f>+'Necesidades Trimestrales'!F14</f>
        <v>UNIDAD</v>
      </c>
      <c r="J16" s="69">
        <f>+'Necesidades Trimestrales'!N14</f>
        <v>580</v>
      </c>
      <c r="K16" s="109">
        <f>+'Necesidades Trimestrales'!G14</f>
        <v>100</v>
      </c>
      <c r="AMK16" s="39"/>
    </row>
    <row r="17" spans="1:13 1025:1025" ht="46.5" customHeight="1" thickBot="1" x14ac:dyDescent="0.25">
      <c r="A17" s="46">
        <v>6</v>
      </c>
      <c r="B17" s="47" t="str">
        <f>+'Necesidades Trimestrales'!B15</f>
        <v>2.5.2-1855.23</v>
      </c>
      <c r="C17" s="133" t="str">
        <f>+'Necesidades Trimestrales'!E15</f>
        <v>CORTICOESTEROIDES; TIPO: MONODROGA, DROGA GENERICA: BETAMETASONA, FORMA FARMACEUTICA: CREMA, PRESENTACION: 15 GR</v>
      </c>
      <c r="D17" s="133"/>
      <c r="E17" s="133"/>
      <c r="F17" s="133"/>
      <c r="G17" s="133"/>
      <c r="H17" s="46" t="s">
        <v>50</v>
      </c>
      <c r="I17" s="48" t="str">
        <f>+'Necesidades Trimestrales'!F15</f>
        <v>UNIDAD</v>
      </c>
      <c r="J17" s="69">
        <f>+'Necesidades Trimestrales'!N15</f>
        <v>280</v>
      </c>
      <c r="K17" s="109">
        <f>+'Necesidades Trimestrales'!G15</f>
        <v>1000</v>
      </c>
      <c r="AMK17" s="39"/>
    </row>
    <row r="18" spans="1:13 1025:1025" ht="46.5" customHeight="1" thickBot="1" x14ac:dyDescent="0.25">
      <c r="A18" s="46">
        <v>7</v>
      </c>
      <c r="B18" s="47" t="str">
        <f>+'Necesidades Trimestrales'!B16</f>
        <v>2.5.2-1855.83</v>
      </c>
      <c r="C18" s="133" t="str">
        <f>+'Necesidades Trimestrales'!E16</f>
        <v>CORTICOESTEROIDES; TIPO: ASOCIACION, DROGA GENERICA: BETAMETASONA ACETATO+FOSFATO, FORMA FARMACEUTICA: AMPOLLA, PRESENTACION: ENVASE X 2 mL</v>
      </c>
      <c r="D18" s="133"/>
      <c r="E18" s="133"/>
      <c r="F18" s="133"/>
      <c r="G18" s="133"/>
      <c r="H18" s="46" t="s">
        <v>50</v>
      </c>
      <c r="I18" s="48" t="str">
        <f>+'Necesidades Trimestrales'!F16</f>
        <v>AMPOLLA</v>
      </c>
      <c r="J18" s="69">
        <f>+'Necesidades Trimestrales'!N16</f>
        <v>295</v>
      </c>
      <c r="K18" s="109">
        <f>+'Necesidades Trimestrales'!G16</f>
        <v>10000</v>
      </c>
      <c r="AMK18" s="39"/>
    </row>
    <row r="19" spans="1:13 1025:1025" ht="46.5" customHeight="1" thickBot="1" x14ac:dyDescent="0.25">
      <c r="A19" s="46">
        <v>8</v>
      </c>
      <c r="B19" s="47" t="str">
        <f>+'Necesidades Trimestrales'!B17</f>
        <v>2.5.2-1875.134</v>
      </c>
      <c r="C19" s="133" t="str">
        <f>+'Necesidades Trimestrales'!E17</f>
        <v>ANTIASMATICO BRONCODILATADOR; TIPO: MONODROGA, DROGA GENERICA: BUDESONIDE 200 µGR, FORMA FARMACEUTICA: AEROSOL, PRESENTACION: 100 DOSIS</v>
      </c>
      <c r="D19" s="133"/>
      <c r="E19" s="133"/>
      <c r="F19" s="133"/>
      <c r="G19" s="133"/>
      <c r="H19" s="46" t="s">
        <v>50</v>
      </c>
      <c r="I19" s="48" t="str">
        <f>+'Necesidades Trimestrales'!F17</f>
        <v>UNIDAD</v>
      </c>
      <c r="J19" s="69">
        <f>+'Necesidades Trimestrales'!N17</f>
        <v>750</v>
      </c>
      <c r="K19" s="109">
        <f>+'Necesidades Trimestrales'!G17</f>
        <v>2000</v>
      </c>
      <c r="AMK19" s="39"/>
    </row>
    <row r="20" spans="1:13 1025:1025" ht="46.5" customHeight="1" thickBot="1" x14ac:dyDescent="0.25">
      <c r="A20" s="46">
        <v>9</v>
      </c>
      <c r="B20" s="47" t="str">
        <f>+'Necesidades Trimestrales'!B18</f>
        <v>2.5.2-2476.50</v>
      </c>
      <c r="C20" s="133" t="str">
        <f>+'Necesidades Trimestrales'!E18</f>
        <v>ANTIALERGICOS-ANTIHISTAMINICOS; TIPO: MONODROGA, DROGA GENERICA: BUDESONIDA 1 MG/ML, FORMA FARMACEUTICA: GOTAS, PRESENTACION: ENVASE X 20 mL</v>
      </c>
      <c r="D20" s="133"/>
      <c r="E20" s="133"/>
      <c r="F20" s="133"/>
      <c r="G20" s="133"/>
      <c r="H20" s="46" t="s">
        <v>50</v>
      </c>
      <c r="I20" s="48" t="str">
        <f>+'Necesidades Trimestrales'!F18</f>
        <v>UNIDAD</v>
      </c>
      <c r="J20" s="69">
        <f>+'Necesidades Trimestrales'!N18</f>
        <v>327</v>
      </c>
      <c r="K20" s="109">
        <f>+'Necesidades Trimestrales'!G18</f>
        <v>300</v>
      </c>
      <c r="AMK20" s="39"/>
    </row>
    <row r="21" spans="1:13 1025:1025" ht="46.5" customHeight="1" thickBot="1" x14ac:dyDescent="0.25">
      <c r="A21" s="46">
        <v>10</v>
      </c>
      <c r="B21" s="47" t="str">
        <f>+'Necesidades Trimestrales'!B19</f>
        <v>2.5.2-1823.67</v>
      </c>
      <c r="C21" s="133" t="str">
        <f>+'Necesidades Trimestrales'!E19</f>
        <v>ANTIMICOTICOS; TIPO: MONODROGA, DROGA GENERICA: CLOTRIMAZOL 1%, FORMA FARMACEUTICA: CREMA POR 20 GR, PRESENTACION: UNIDAD</v>
      </c>
      <c r="D21" s="133"/>
      <c r="E21" s="133"/>
      <c r="F21" s="133"/>
      <c r="G21" s="133"/>
      <c r="H21" s="46" t="s">
        <v>50</v>
      </c>
      <c r="I21" s="48" t="str">
        <f>+'Necesidades Trimestrales'!F19</f>
        <v>UNIDAD</v>
      </c>
      <c r="J21" s="69">
        <f>+'Necesidades Trimestrales'!N19</f>
        <v>280</v>
      </c>
      <c r="K21" s="109">
        <f>+'Necesidades Trimestrales'!G19</f>
        <v>1000</v>
      </c>
      <c r="L21" s="140"/>
      <c r="M21" s="141"/>
      <c r="AMK21" s="39"/>
    </row>
    <row r="22" spans="1:13 1025:1025" ht="46.5" customHeight="1" thickBot="1" x14ac:dyDescent="0.25">
      <c r="A22" s="46">
        <v>11</v>
      </c>
      <c r="B22" s="47" t="str">
        <f>+'Necesidades Trimestrales'!B20</f>
        <v>2.5.2-1855.7</v>
      </c>
      <c r="C22" s="133" t="str">
        <f>+'Necesidades Trimestrales'!E20</f>
        <v>CORTICOESTEROIDES; TIPO: MONODROGA, DROGA GENERICA: DEXAMETASONA, FORMA FARMACEUTICA: AMPOLLA, PRESENTACION: 8 mGr</v>
      </c>
      <c r="D22" s="133"/>
      <c r="E22" s="133"/>
      <c r="F22" s="133"/>
      <c r="G22" s="133"/>
      <c r="H22" s="46" t="s">
        <v>50</v>
      </c>
      <c r="I22" s="48" t="str">
        <f>+'Necesidades Trimestrales'!F20</f>
        <v>AMPOLLA</v>
      </c>
      <c r="J22" s="69">
        <f>+'Necesidades Trimestrales'!N20</f>
        <v>45</v>
      </c>
      <c r="K22" s="109">
        <f>+'Necesidades Trimestrales'!G20</f>
        <v>120000</v>
      </c>
      <c r="AMK22" s="39"/>
    </row>
    <row r="23" spans="1:13 1025:1025" ht="46.5" customHeight="1" thickBot="1" x14ac:dyDescent="0.25">
      <c r="A23" s="46">
        <v>12</v>
      </c>
      <c r="B23" s="47" t="str">
        <f>+'Necesidades Trimestrales'!B21</f>
        <v>2.5.2-2476.74</v>
      </c>
      <c r="C23" s="133" t="str">
        <f>+'Necesidades Trimestrales'!E21</f>
        <v>ANTIALERGICOS-ANTIHISTAMINICOS; TIPO: MONODROGA, DROGA GENERICA: DIFENHIDRAMINA 250 MG, FORMA FARMACEUTICA: JARABE, PRESENTACION: FRASCO X 120 mL</v>
      </c>
      <c r="D23" s="133"/>
      <c r="E23" s="133"/>
      <c r="F23" s="133"/>
      <c r="G23" s="133"/>
      <c r="H23" s="46" t="s">
        <v>50</v>
      </c>
      <c r="I23" s="48" t="str">
        <f>+'Necesidades Trimestrales'!F21</f>
        <v>FRASCO</v>
      </c>
      <c r="J23" s="69">
        <f>+'Necesidades Trimestrales'!N21</f>
        <v>199</v>
      </c>
      <c r="K23" s="109">
        <f>+'Necesidades Trimestrales'!G21</f>
        <v>15000</v>
      </c>
      <c r="AMK23" s="39"/>
    </row>
    <row r="24" spans="1:13 1025:1025" ht="46.5" customHeight="1" thickBot="1" x14ac:dyDescent="0.25">
      <c r="A24" s="46">
        <v>13</v>
      </c>
      <c r="B24" s="47" t="str">
        <f>+'Necesidades Trimestrales'!B22</f>
        <v>2.5.2-2476.36</v>
      </c>
      <c r="C24" s="133" t="str">
        <f>+'Necesidades Trimestrales'!E22</f>
        <v>ANTIALERGICOS-ANTIHISTAMINICOS; TIPO: MONODROGA, DROGA GENERICA: DIFENHIDRAMINA, FORMA FARMACEUTICA: COMPRIMIDO, PRESENTACION: 50 mGr</v>
      </c>
      <c r="D24" s="133"/>
      <c r="E24" s="133"/>
      <c r="F24" s="133"/>
      <c r="G24" s="133"/>
      <c r="H24" s="46" t="s">
        <v>50</v>
      </c>
      <c r="I24" s="48" t="str">
        <f>+'Necesidades Trimestrales'!F22</f>
        <v>COMPRIMIDO</v>
      </c>
      <c r="J24" s="69">
        <f>+'Necesidades Trimestrales'!N22</f>
        <v>4.6500000000000004</v>
      </c>
      <c r="K24" s="109">
        <f>+'Necesidades Trimestrales'!G22</f>
        <v>50000</v>
      </c>
      <c r="AMK24" s="39"/>
    </row>
    <row r="25" spans="1:13 1025:1025" ht="46.5" customHeight="1" thickBot="1" x14ac:dyDescent="0.25">
      <c r="A25" s="46">
        <v>14</v>
      </c>
      <c r="B25" s="47" t="str">
        <f>+'Necesidades Trimestrales'!B23</f>
        <v>2.5.2-2476.44</v>
      </c>
      <c r="C25" s="133" t="str">
        <f>+'Necesidades Trimestrales'!E23</f>
        <v>ANTIALERGICOS-ANTIHISTAMINICOS; TIPO: MONODROGA, DROGA GENERICA: DIFENHIDRAMINA, FORMA FARMACEUTICA: AMPOLLA, PRESENTACION: 10 mGr</v>
      </c>
      <c r="D25" s="133"/>
      <c r="E25" s="133"/>
      <c r="F25" s="133"/>
      <c r="G25" s="133"/>
      <c r="H25" s="46" t="s">
        <v>50</v>
      </c>
      <c r="I25" s="48" t="str">
        <f>+'Necesidades Trimestrales'!F23</f>
        <v>AMPOLLA</v>
      </c>
      <c r="J25" s="69">
        <f>+'Necesidades Trimestrales'!N23</f>
        <v>55</v>
      </c>
      <c r="K25" s="109">
        <f>+'Necesidades Trimestrales'!G23</f>
        <v>50000</v>
      </c>
      <c r="AMK25" s="39"/>
    </row>
    <row r="26" spans="1:13 1025:1025" ht="46.5" customHeight="1" thickBot="1" x14ac:dyDescent="0.25">
      <c r="A26" s="46">
        <v>15</v>
      </c>
      <c r="B26" s="47" t="str">
        <f>+'Necesidades Trimestrales'!B24</f>
        <v>2.5.2-1853.4</v>
      </c>
      <c r="C26" s="133" t="str">
        <f>+'Necesidades Trimestrales'!E24</f>
        <v>OCITOCICOS; TIPO: MONODROGA, DROGA GENERICA: ERGONOVINA, PRESENTACION: 0.2 mGr, FORMA FARMACEUTICA: AMPOLLAS</v>
      </c>
      <c r="D26" s="133"/>
      <c r="E26" s="133"/>
      <c r="F26" s="133"/>
      <c r="G26" s="133"/>
      <c r="H26" s="46" t="s">
        <v>50</v>
      </c>
      <c r="I26" s="48" t="str">
        <f>+'Necesidades Trimestrales'!F24</f>
        <v>AMPOLLA</v>
      </c>
      <c r="J26" s="69">
        <f>+'Necesidades Trimestrales'!N24</f>
        <v>41</v>
      </c>
      <c r="K26" s="109">
        <f>+'Necesidades Trimestrales'!G24</f>
        <v>2000</v>
      </c>
      <c r="AMK26" s="39"/>
    </row>
    <row r="27" spans="1:13 1025:1025" ht="46.5" customHeight="1" thickBot="1" x14ac:dyDescent="0.25">
      <c r="A27" s="46">
        <v>16</v>
      </c>
      <c r="B27" s="47" t="str">
        <f>+'Necesidades Trimestrales'!B26</f>
        <v>2.5.2-1855.47</v>
      </c>
      <c r="C27" s="133" t="str">
        <f>+'Necesidades Trimestrales'!E26</f>
        <v>CORTICOESTEROIDES; TIPO: MONODROGA, DROGA GENERICA: HIDROCORTISONA, FORMA FARMACEUTICA: AMPOLLA/FRASCO, PRESENTACION: 100 mGr</v>
      </c>
      <c r="D27" s="133"/>
      <c r="E27" s="133"/>
      <c r="F27" s="133"/>
      <c r="G27" s="133"/>
      <c r="H27" s="46" t="s">
        <v>50</v>
      </c>
      <c r="I27" s="48" t="str">
        <f>+'Necesidades Trimestrales'!F26</f>
        <v>AMPOLLA</v>
      </c>
      <c r="J27" s="69">
        <f>+'Necesidades Trimestrales'!N26</f>
        <v>120</v>
      </c>
      <c r="K27" s="109">
        <f>+'Necesidades Trimestrales'!G26</f>
        <v>6000</v>
      </c>
      <c r="AMK27" s="39"/>
    </row>
    <row r="28" spans="1:13 1025:1025" ht="46.5" customHeight="1" thickBot="1" x14ac:dyDescent="0.25">
      <c r="A28" s="46">
        <v>17</v>
      </c>
      <c r="B28" s="47" t="str">
        <f>+'Necesidades Trimestrales'!B27</f>
        <v>2.5.2-1855.77</v>
      </c>
      <c r="C28" s="133" t="str">
        <f>+'Necesidades Trimestrales'!E27</f>
        <v>CORTICOESTEROIDES; TIPO: MONODROGA, DROGA GENERICA: HIDROCORTISONA, FORMA FARMACEUTICA: FRASCO AMPOLLA, PRESENTACION: ENVASE X 500 mGr</v>
      </c>
      <c r="D28" s="133"/>
      <c r="E28" s="133"/>
      <c r="F28" s="133"/>
      <c r="G28" s="133"/>
      <c r="H28" s="46" t="s">
        <v>50</v>
      </c>
      <c r="I28" s="48" t="str">
        <f>+'Necesidades Trimestrales'!F27</f>
        <v>AMPOLLA</v>
      </c>
      <c r="J28" s="69">
        <f>+'Necesidades Trimestrales'!N27</f>
        <v>222</v>
      </c>
      <c r="K28" s="109">
        <f>+'Necesidades Trimestrales'!G27</f>
        <v>10000</v>
      </c>
      <c r="AMK28" s="39"/>
    </row>
    <row r="29" spans="1:13 1025:1025" ht="46.5" customHeight="1" thickBot="1" x14ac:dyDescent="0.25">
      <c r="A29" s="46">
        <v>18</v>
      </c>
      <c r="B29" s="47" t="str">
        <f>+'Necesidades Trimestrales'!B28</f>
        <v>2.5.2-1875.9</v>
      </c>
      <c r="C29" s="133" t="str">
        <f>+'Necesidades Trimestrales'!E28</f>
        <v>ANTIASMATICO BRONCODILATADOR; TIPO: MONODROGA, DROGA GENERICA: BROMURO DE IPRATROPIO, FORMA FARMACEUTICA: SOLUCION, PRESENTACION: 20 mL</v>
      </c>
      <c r="D29" s="133"/>
      <c r="E29" s="133"/>
      <c r="F29" s="133"/>
      <c r="G29" s="133"/>
      <c r="H29" s="46" t="s">
        <v>50</v>
      </c>
      <c r="I29" s="48" t="str">
        <f>+'Necesidades Trimestrales'!F28</f>
        <v>GOTERO</v>
      </c>
      <c r="J29" s="69">
        <f>+'Necesidades Trimestrales'!N28</f>
        <v>98</v>
      </c>
      <c r="K29" s="109">
        <f>+'Necesidades Trimestrales'!G28</f>
        <v>2000</v>
      </c>
      <c r="AMK29" s="39"/>
    </row>
    <row r="30" spans="1:13 1025:1025" ht="46.5" customHeight="1" thickBot="1" x14ac:dyDescent="0.25">
      <c r="A30" s="46">
        <v>19</v>
      </c>
      <c r="B30" s="47" t="str">
        <f>+'Necesidades Trimestrales'!B29</f>
        <v>2.5.2-1902.10</v>
      </c>
      <c r="C30" s="133" t="str">
        <f>+'Necesidades Trimestrales'!E29</f>
        <v>DROGAS UTERINAS; TIPO: MONODROGA, DROGA GENERICA: ISOXUPRINA 10 mGr, FORMA FARMACEUTICA: AMPOLLA, PRESENTACION: UNIDAD</v>
      </c>
      <c r="D30" s="133"/>
      <c r="E30" s="133"/>
      <c r="F30" s="133"/>
      <c r="G30" s="133"/>
      <c r="H30" s="46" t="s">
        <v>50</v>
      </c>
      <c r="I30" s="48" t="str">
        <f>+'Necesidades Trimestrales'!F29</f>
        <v>AMPOLLA</v>
      </c>
      <c r="J30" s="69">
        <f>+'Necesidades Trimestrales'!N29</f>
        <v>45</v>
      </c>
      <c r="K30" s="109">
        <f>+'Necesidades Trimestrales'!G29</f>
        <v>2000</v>
      </c>
      <c r="AMK30" s="39"/>
    </row>
    <row r="31" spans="1:13 1025:1025" ht="46.5" customHeight="1" thickBot="1" x14ac:dyDescent="0.25">
      <c r="A31" s="46">
        <v>20</v>
      </c>
      <c r="B31" s="47" t="str">
        <f>+'Necesidades Trimestrales'!B30</f>
        <v>2.5.2-1823.24</v>
      </c>
      <c r="C31" s="133" t="str">
        <f>+'Necesidades Trimestrales'!E30</f>
        <v>ANTIMICOTICOS; TIPO: MONODROGA, FORMA FARMACEUTICA: CREMA, PRESENTACION: 15 GR, DROGA GENERICA: KETOCONAZOL</v>
      </c>
      <c r="D31" s="133"/>
      <c r="E31" s="133"/>
      <c r="F31" s="133"/>
      <c r="G31" s="133"/>
      <c r="H31" s="46" t="s">
        <v>50</v>
      </c>
      <c r="I31" s="48" t="str">
        <f>+'Necesidades Trimestrales'!F30</f>
        <v>UNIDAD</v>
      </c>
      <c r="J31" s="69">
        <f>+'Necesidades Trimestrales'!N30</f>
        <v>250</v>
      </c>
      <c r="K31" s="109">
        <f>+'Necesidades Trimestrales'!G30</f>
        <v>1000</v>
      </c>
      <c r="AMK31" s="39"/>
    </row>
    <row r="32" spans="1:13 1025:1025" ht="46.5" customHeight="1" thickBot="1" x14ac:dyDescent="0.25">
      <c r="A32" s="46">
        <v>21</v>
      </c>
      <c r="B32" s="47" t="str">
        <f>+'Necesidades Trimestrales'!B31</f>
        <v>2.5.2-2476.12</v>
      </c>
      <c r="C32" s="133" t="str">
        <f>+'Necesidades Trimestrales'!E31</f>
        <v>ANTIALERGICOS-ANTIHISTAMINICOS; TIPO: MONODROGA, DROGA GENERICA: LORATADINA, FORMA FARMACEUTICA: COMPRIMIDO, PRESENTACION: 10 mGr</v>
      </c>
      <c r="D32" s="133"/>
      <c r="E32" s="133"/>
      <c r="F32" s="133"/>
      <c r="G32" s="133"/>
      <c r="H32" s="46" t="s">
        <v>50</v>
      </c>
      <c r="I32" s="48" t="str">
        <f>+'Necesidades Trimestrales'!F31</f>
        <v>COMPRIMIDO</v>
      </c>
      <c r="J32" s="69">
        <f>+'Necesidades Trimestrales'!N31</f>
        <v>3.44</v>
      </c>
      <c r="K32" s="109">
        <f>+'Necesidades Trimestrales'!G31</f>
        <v>60000</v>
      </c>
      <c r="AMK32" s="39"/>
    </row>
    <row r="33" spans="1:1025" ht="46.5" customHeight="1" thickBot="1" x14ac:dyDescent="0.25">
      <c r="A33" s="46">
        <v>22</v>
      </c>
      <c r="B33" s="47" t="str">
        <f>+'Necesidades Trimestrales'!B32</f>
        <v>2.5.2-2476.3</v>
      </c>
      <c r="C33" s="133" t="str">
        <f>+'Necesidades Trimestrales'!E32</f>
        <v>ANTIALERGICOS-ANTIHISTAMINICOS; TIPO: ASOCIACION, DROGA GENERICA: LORATADINA, FORMA FARMACEUTICA: JARABE, PRESENTACION: 60 mL</v>
      </c>
      <c r="D33" s="133"/>
      <c r="E33" s="133"/>
      <c r="F33" s="133"/>
      <c r="G33" s="133"/>
      <c r="H33" s="46" t="s">
        <v>50</v>
      </c>
      <c r="I33" s="48" t="str">
        <f>+'Necesidades Trimestrales'!F32</f>
        <v>FRASCO</v>
      </c>
      <c r="J33" s="69">
        <f>+'Necesidades Trimestrales'!N32</f>
        <v>180</v>
      </c>
      <c r="K33" s="109">
        <f>+'Necesidades Trimestrales'!G32</f>
        <v>6000</v>
      </c>
      <c r="AMK33" s="39"/>
    </row>
    <row r="34" spans="1:1025" ht="46.5" customHeight="1" thickBot="1" x14ac:dyDescent="0.25">
      <c r="A34" s="46">
        <v>23</v>
      </c>
      <c r="B34" s="47" t="str">
        <f>+'Necesidades Trimestrales'!B33</f>
        <v>2.5.2-2200.4</v>
      </c>
      <c r="C34" s="133" t="str">
        <f>+'Necesidades Trimestrales'!E33</f>
        <v>CORTICOIDES; DROGA GENERICA: MEPREDNISONA, FORMA FARMACEUTICA: COMPRIMIDO, PRESENTACION: 4 mGr, TIPO: MONODROGA</v>
      </c>
      <c r="D34" s="133"/>
      <c r="E34" s="133"/>
      <c r="F34" s="133"/>
      <c r="G34" s="133"/>
      <c r="H34" s="46" t="s">
        <v>50</v>
      </c>
      <c r="I34" s="48" t="str">
        <f>+'Necesidades Trimestrales'!F33</f>
        <v>COMPRIMIDO</v>
      </c>
      <c r="J34" s="69">
        <f>+'Necesidades Trimestrales'!N33</f>
        <v>9.8000000000000007</v>
      </c>
      <c r="K34" s="109">
        <f>+'Necesidades Trimestrales'!G33</f>
        <v>1000</v>
      </c>
      <c r="AMK34" s="39"/>
    </row>
    <row r="35" spans="1:1025" ht="46.5" customHeight="1" thickBot="1" x14ac:dyDescent="0.25">
      <c r="A35" s="46">
        <v>24</v>
      </c>
      <c r="B35" s="47" t="str">
        <f>+'Necesidades Trimestrales'!B34</f>
        <v>2.5.2-2200.41</v>
      </c>
      <c r="C35" s="133" t="str">
        <f>+'Necesidades Trimestrales'!E34</f>
        <v>CORTICOIDES; DROGA GENÉRICA: MEPREDNISONA 4 ML/MG, FORMA FARMACEÚTICA: GOTAS</v>
      </c>
      <c r="D35" s="133"/>
      <c r="E35" s="133"/>
      <c r="F35" s="133"/>
      <c r="G35" s="133"/>
      <c r="H35" s="46" t="s">
        <v>130</v>
      </c>
      <c r="I35" s="48" t="str">
        <f>+'Necesidades Trimestrales'!F34</f>
        <v>GOTERO</v>
      </c>
      <c r="J35" s="69">
        <f>+'Necesidades Trimestrales'!N34</f>
        <v>315</v>
      </c>
      <c r="K35" s="109">
        <f>+'Necesidades Trimestrales'!G34</f>
        <v>6000</v>
      </c>
      <c r="AMK35" s="39"/>
    </row>
    <row r="36" spans="1:1025" ht="46.5" customHeight="1" thickBot="1" x14ac:dyDescent="0.25">
      <c r="A36" s="46">
        <v>25</v>
      </c>
      <c r="B36" s="47" t="str">
        <f>+'Necesidades Trimestrales'!B35</f>
        <v>2.5.2-2200.19</v>
      </c>
      <c r="C36" s="133" t="str">
        <f>+'Necesidades Trimestrales'!E35</f>
        <v>CORTICOIDES; DROGA GENERICA: MEPREDNISONA, FORMA FARMACEUTICA: COMPRIMIDO, PRESENTACION: 40 mGr, TIPO: MONODROGA</v>
      </c>
      <c r="D36" s="133"/>
      <c r="E36" s="133"/>
      <c r="F36" s="133"/>
      <c r="G36" s="133"/>
      <c r="H36" s="46" t="s">
        <v>50</v>
      </c>
      <c r="I36" s="48" t="str">
        <f>+'Necesidades Trimestrales'!F35</f>
        <v>COMPRIMIDO</v>
      </c>
      <c r="J36" s="69">
        <f>+'Necesidades Trimestrales'!N35</f>
        <v>55</v>
      </c>
      <c r="K36" s="109">
        <f>+'Necesidades Trimestrales'!G35</f>
        <v>2000</v>
      </c>
      <c r="AMK36" s="39"/>
    </row>
    <row r="37" spans="1:1025" ht="46.5" customHeight="1" thickBot="1" x14ac:dyDescent="0.25">
      <c r="A37" s="46">
        <v>26</v>
      </c>
      <c r="B37" s="47" t="str">
        <f>+'Necesidades Trimestrales'!B36</f>
        <v>2.5.2-1855.105</v>
      </c>
      <c r="C37" s="133" t="str">
        <f>+'Necesidades Trimestrales'!E36</f>
        <v>CORTICOESTEROIDES; TIPO: MONODROGA, DROGA GENERICA: MEPREDNISONA 8 mGr, FORMA FARMACEUTICA: COMPRIMIDO, PRESENTACION: UNIDAD</v>
      </c>
      <c r="D37" s="133"/>
      <c r="E37" s="133"/>
      <c r="F37" s="133"/>
      <c r="G37" s="133"/>
      <c r="H37" s="46" t="s">
        <v>50</v>
      </c>
      <c r="I37" s="48" t="str">
        <f>+'Necesidades Trimestrales'!F36</f>
        <v>COMPRIMIDO</v>
      </c>
      <c r="J37" s="69">
        <f>+'Necesidades Trimestrales'!N36</f>
        <v>17.350000000000001</v>
      </c>
      <c r="K37" s="109">
        <f>+'Necesidades Trimestrales'!G36</f>
        <v>1000</v>
      </c>
      <c r="AMK37" s="39"/>
    </row>
    <row r="38" spans="1:1025" ht="46.5" customHeight="1" thickBot="1" x14ac:dyDescent="0.25">
      <c r="A38" s="46">
        <v>27</v>
      </c>
      <c r="B38" s="47" t="str">
        <f>+'Necesidades Trimestrales'!B37</f>
        <v>2.5.2-1821.487</v>
      </c>
      <c r="C38" s="133" t="str">
        <f>+'Necesidades Trimestrales'!E37</f>
        <v>ANTIBIOTICOS P/PERSONAS; TIPO: MONODROGA, DROGA GENERICA: METRONIDAZOL, FORMA FARMACEUTICA: OVULO, PRESENTACION: UNIDAD</v>
      </c>
      <c r="D38" s="133"/>
      <c r="E38" s="133"/>
      <c r="F38" s="133"/>
      <c r="G38" s="133"/>
      <c r="H38" s="46" t="s">
        <v>50</v>
      </c>
      <c r="I38" s="48" t="str">
        <f>+'Necesidades Trimestrales'!F37</f>
        <v>UNIDAD</v>
      </c>
      <c r="J38" s="69">
        <f>+'Necesidades Trimestrales'!N37</f>
        <v>47.24</v>
      </c>
      <c r="K38" s="109">
        <f>+'Necesidades Trimestrales'!G37</f>
        <v>3000</v>
      </c>
      <c r="L38" s="136"/>
      <c r="M38" s="137"/>
      <c r="AMK38" s="39"/>
    </row>
    <row r="39" spans="1:1025" ht="46.5" customHeight="1" thickBot="1" x14ac:dyDescent="0.25">
      <c r="A39" s="46">
        <v>28</v>
      </c>
      <c r="B39" s="47" t="str">
        <f>+'Necesidades Trimestrales'!B38</f>
        <v>2.5.2-1851.29</v>
      </c>
      <c r="C39" s="133" t="str">
        <f>+'Necesidades Trimestrales'!E38</f>
        <v>GENITOURINARIO; TIPO: MONODROGA, DROGA GENÉRICA: NISTATINA, FORMA FARMACEÚTICA: COMPRIMIDO VAGINAL, PRESENTACIÓN: 100000 UI</v>
      </c>
      <c r="D39" s="133"/>
      <c r="E39" s="133"/>
      <c r="F39" s="133"/>
      <c r="G39" s="133"/>
      <c r="H39" s="46" t="s">
        <v>50</v>
      </c>
      <c r="I39" s="48" t="str">
        <f>+'Necesidades Trimestrales'!F38</f>
        <v>COMPRIMIDO</v>
      </c>
      <c r="J39" s="69">
        <f>+'Necesidades Trimestrales'!N38</f>
        <v>33.5</v>
      </c>
      <c r="K39" s="109">
        <f>+'Necesidades Trimestrales'!G38</f>
        <v>1000</v>
      </c>
      <c r="AMK39" s="39"/>
    </row>
    <row r="40" spans="1:1025" ht="46.5" customHeight="1" thickBot="1" x14ac:dyDescent="0.25">
      <c r="A40" s="46">
        <v>29</v>
      </c>
      <c r="B40" s="47" t="str">
        <f>+'Necesidades Trimestrales'!B39</f>
        <v>2.5.2-1723.122</v>
      </c>
      <c r="C40" s="133" t="str">
        <f>+'Necesidades Trimestrales'!E39</f>
        <v>ANTISEPTICOS LOCALES P/PERSONA; TIPO: MONODROGA, DROGA GENERICA: NITROFURAZONA, FORMA FARMACEUTICA: APOSITO, PRESENTACION: ENVASE X 20 UN</v>
      </c>
      <c r="D40" s="133"/>
      <c r="E40" s="133"/>
      <c r="F40" s="133"/>
      <c r="G40" s="133"/>
      <c r="H40" s="46" t="s">
        <v>50</v>
      </c>
      <c r="I40" s="48" t="str">
        <f>+'Necesidades Trimestrales'!F39</f>
        <v>CAJA</v>
      </c>
      <c r="J40" s="69">
        <f>+'Necesidades Trimestrales'!N39</f>
        <v>830</v>
      </c>
      <c r="K40" s="109">
        <f>+'Necesidades Trimestrales'!G39</f>
        <v>500</v>
      </c>
      <c r="AMK40" s="39"/>
    </row>
    <row r="41" spans="1:1025" ht="46.5" customHeight="1" thickBot="1" x14ac:dyDescent="0.25">
      <c r="A41" s="46">
        <v>30</v>
      </c>
      <c r="B41" s="47" t="str">
        <f>+'Necesidades Trimestrales'!B40</f>
        <v>2.5.2-1853.2</v>
      </c>
      <c r="C41" s="133" t="str">
        <f>+'Necesidades Trimestrales'!E40</f>
        <v>OCITOCICOS; TIPO: MONODROGA, DROGA GENERICA: OXITOCINA SINTÉTICA, PRESENTACION: 10 UI, FORMA FARMACEUTICA: AMPOLLA</v>
      </c>
      <c r="D41" s="133"/>
      <c r="E41" s="133"/>
      <c r="F41" s="133"/>
      <c r="G41" s="133"/>
      <c r="H41" s="46" t="s">
        <v>50</v>
      </c>
      <c r="I41" s="48" t="str">
        <f>+'Necesidades Trimestrales'!F40</f>
        <v>AMPOLLA</v>
      </c>
      <c r="J41" s="69">
        <f>+'Necesidades Trimestrales'!N40</f>
        <v>36</v>
      </c>
      <c r="K41" s="109">
        <f>+'Necesidades Trimestrales'!G40</f>
        <v>6000</v>
      </c>
      <c r="AMK41" s="39"/>
    </row>
    <row r="42" spans="1:1025" ht="46.5" customHeight="1" thickBot="1" x14ac:dyDescent="0.25">
      <c r="A42" s="46">
        <v>31</v>
      </c>
      <c r="B42" s="47" t="str">
        <f>+'Necesidades Trimestrales'!B41</f>
        <v>2.5.2-1875.55</v>
      </c>
      <c r="C42" s="133" t="str">
        <f>+'Necesidades Trimestrales'!E41</f>
        <v>ANTIASMATICO BRONCODILATADOR; TIPO: MONODROGA, DROGA GENERICA: SALBUTAMOL, FORMA FARMACEUTICA: AEROSOL, PRESENTACION: 250 DOSIS</v>
      </c>
      <c r="D42" s="133"/>
      <c r="E42" s="133"/>
      <c r="F42" s="133"/>
      <c r="G42" s="133"/>
      <c r="H42" s="46" t="s">
        <v>130</v>
      </c>
      <c r="I42" s="48" t="str">
        <f>+'Necesidades Trimestrales'!F41</f>
        <v>UNIDAD</v>
      </c>
      <c r="J42" s="69">
        <f>+'Necesidades Trimestrales'!N41</f>
        <v>1580</v>
      </c>
      <c r="K42" s="109">
        <f>+'Necesidades Trimestrales'!G41</f>
        <v>4000</v>
      </c>
      <c r="AMK42" s="39"/>
    </row>
    <row r="43" spans="1:1025" ht="46.5" customHeight="1" thickBot="1" x14ac:dyDescent="0.25">
      <c r="A43" s="46">
        <v>32</v>
      </c>
      <c r="B43" s="47" t="str">
        <f>+'Necesidades Trimestrales'!B42</f>
        <v>2.5.2-1875.11</v>
      </c>
      <c r="C43" s="133" t="str">
        <f>+'Necesidades Trimestrales'!E42</f>
        <v>ANTIASMATICO BRONCODILATADOR; TIPO: MONODROGA, PRESENTACION: 20 mL, FORMA FARMACEUTICA: GOTAS, DROGA GENERICA: SALBUTAMOL</v>
      </c>
      <c r="D43" s="133"/>
      <c r="E43" s="133"/>
      <c r="F43" s="133"/>
      <c r="G43" s="133"/>
      <c r="H43" s="46" t="s">
        <v>50</v>
      </c>
      <c r="I43" s="48" t="str">
        <f>+'Necesidades Trimestrales'!F42</f>
        <v>GOTERO</v>
      </c>
      <c r="J43" s="69">
        <f>+'Necesidades Trimestrales'!N42</f>
        <v>95</v>
      </c>
      <c r="K43" s="109">
        <f>+'Necesidades Trimestrales'!G42</f>
        <v>1000</v>
      </c>
      <c r="L43" s="138"/>
      <c r="M43" s="139"/>
      <c r="AMK43" s="39"/>
    </row>
    <row r="44" spans="1:1025" ht="46.5" customHeight="1" thickBot="1" x14ac:dyDescent="0.25">
      <c r="A44" s="46">
        <v>33</v>
      </c>
      <c r="B44" s="47" t="str">
        <f>+'Necesidades Trimestrales'!B43</f>
        <v>2.5.2-1883.189</v>
      </c>
      <c r="C44" s="133" t="str">
        <f>+'Necesidades Trimestrales'!E43</f>
        <v>ANESTÉSICOS LOCALES; TIPO: ANALGÉSICO LOCAL Y ANTIBACTERIANO, DROGA GENÉRICA: LIDOCAÍNA + SULFADIAZINA + VITAMINA A, FORMA FARMACEÚTICA: CREMA, PRESENTACIÓN: ENVASE X 100 GR</v>
      </c>
      <c r="D44" s="133"/>
      <c r="E44" s="133"/>
      <c r="F44" s="133"/>
      <c r="G44" s="133"/>
      <c r="H44" s="46" t="s">
        <v>50</v>
      </c>
      <c r="I44" s="48" t="str">
        <f>+'Necesidades Trimestrales'!F43</f>
        <v>UNIDAD</v>
      </c>
      <c r="J44" s="69">
        <f>+'Necesidades Trimestrales'!N43</f>
        <v>1120</v>
      </c>
      <c r="K44" s="109">
        <f>+'Necesidades Trimestrales'!G43</f>
        <v>1000</v>
      </c>
      <c r="AMK44" s="39"/>
    </row>
    <row r="45" spans="1:1025" ht="46.5" customHeight="1" thickBot="1" x14ac:dyDescent="0.25">
      <c r="A45" s="46">
        <v>34</v>
      </c>
      <c r="B45" s="47" t="str">
        <f>+'Necesidades Trimestrales'!B44</f>
        <v>2.5.2-2481.3</v>
      </c>
      <c r="C45" s="133" t="str">
        <f>+'Necesidades Trimestrales'!E44</f>
        <v>LAXANTES; TIPO: MONODROGA, DROGA GENERICA: VASELINA, FORMA FARMACEUTICA: SOLIDO, PRESENTACION: 1000 GR</v>
      </c>
      <c r="D45" s="133"/>
      <c r="E45" s="133"/>
      <c r="F45" s="133"/>
      <c r="G45" s="133"/>
      <c r="H45" s="46" t="s">
        <v>50</v>
      </c>
      <c r="I45" s="48" t="str">
        <f>+'Necesidades Trimestrales'!F44</f>
        <v>UNIDAD</v>
      </c>
      <c r="J45" s="69">
        <f>+'Necesidades Trimestrales'!N44</f>
        <v>1260</v>
      </c>
      <c r="K45" s="109">
        <f>+'Necesidades Trimestrales'!G44</f>
        <v>50</v>
      </c>
      <c r="AMK45" s="39"/>
    </row>
    <row r="46" spans="1:1025" s="66" customFormat="1" ht="16.5" thickBot="1" x14ac:dyDescent="0.25">
      <c r="A46" s="134" t="s">
        <v>159</v>
      </c>
      <c r="B46" s="134"/>
      <c r="C46" s="134"/>
      <c r="D46" s="134"/>
      <c r="E46" s="134"/>
      <c r="F46" s="134"/>
      <c r="G46" s="134"/>
      <c r="H46" s="134"/>
      <c r="I46" s="134"/>
      <c r="J46" s="135">
        <f>SUMPRODUCT(J12:J45,K12:K45)</f>
        <v>31997490</v>
      </c>
      <c r="K46" s="135"/>
      <c r="L46" s="64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  <c r="FK46" s="65"/>
      <c r="FL46" s="65"/>
      <c r="FM46" s="65"/>
      <c r="FN46" s="65"/>
      <c r="FO46" s="65"/>
      <c r="FP46" s="65"/>
      <c r="FQ46" s="65"/>
      <c r="FR46" s="65"/>
      <c r="FS46" s="65"/>
      <c r="FT46" s="65"/>
      <c r="FU46" s="65"/>
      <c r="FV46" s="65"/>
      <c r="FW46" s="65"/>
      <c r="FX46" s="65"/>
      <c r="FY46" s="65"/>
      <c r="FZ46" s="65"/>
      <c r="GA46" s="65"/>
      <c r="GB46" s="65"/>
      <c r="GC46" s="65"/>
      <c r="GD46" s="65"/>
      <c r="GE46" s="65"/>
      <c r="GF46" s="65"/>
      <c r="GG46" s="65"/>
      <c r="GH46" s="65"/>
      <c r="GI46" s="65"/>
      <c r="GJ46" s="65"/>
      <c r="GK46" s="65"/>
      <c r="GL46" s="65"/>
      <c r="GM46" s="65"/>
      <c r="GN46" s="65"/>
      <c r="GO46" s="65"/>
      <c r="GP46" s="65"/>
      <c r="GQ46" s="65"/>
      <c r="GR46" s="65"/>
      <c r="GS46" s="65"/>
      <c r="GT46" s="65"/>
      <c r="GU46" s="65"/>
      <c r="GV46" s="65"/>
      <c r="GW46" s="65"/>
      <c r="GX46" s="65"/>
      <c r="GY46" s="65"/>
      <c r="GZ46" s="65"/>
      <c r="HA46" s="65"/>
      <c r="HB46" s="65"/>
      <c r="HC46" s="65"/>
      <c r="HD46" s="65"/>
      <c r="HE46" s="65"/>
      <c r="HF46" s="65"/>
      <c r="HG46" s="65"/>
      <c r="HH46" s="65"/>
      <c r="HI46" s="65"/>
      <c r="HJ46" s="65"/>
      <c r="HK46" s="65"/>
      <c r="HL46" s="65"/>
      <c r="HM46" s="65"/>
      <c r="HN46" s="65"/>
      <c r="HO46" s="65"/>
      <c r="HP46" s="65"/>
      <c r="HQ46" s="65"/>
      <c r="HR46" s="65"/>
      <c r="HS46" s="65"/>
      <c r="HT46" s="65"/>
      <c r="HU46" s="65"/>
      <c r="HV46" s="65"/>
      <c r="HW46" s="65"/>
      <c r="HX46" s="65"/>
      <c r="HY46" s="65"/>
      <c r="HZ46" s="65"/>
      <c r="IA46" s="65"/>
      <c r="IB46" s="65"/>
      <c r="IC46" s="65"/>
      <c r="ID46" s="65"/>
      <c r="IE46" s="65"/>
      <c r="IF46" s="65"/>
      <c r="IG46" s="65"/>
      <c r="IH46" s="65"/>
      <c r="II46" s="65"/>
      <c r="IJ46" s="65"/>
      <c r="IK46" s="65"/>
      <c r="IL46" s="65"/>
      <c r="IM46" s="65"/>
      <c r="IN46" s="65"/>
      <c r="IO46" s="65"/>
      <c r="IP46" s="65"/>
      <c r="IQ46" s="65"/>
      <c r="IR46" s="65"/>
      <c r="IS46" s="65"/>
      <c r="IT46" s="65"/>
      <c r="IU46" s="65"/>
      <c r="IV46" s="65"/>
      <c r="IW46" s="65"/>
      <c r="IX46" s="65"/>
      <c r="IY46" s="65"/>
      <c r="IZ46" s="65"/>
      <c r="JA46" s="65"/>
      <c r="JB46" s="65"/>
      <c r="JC46" s="65"/>
      <c r="JD46" s="65"/>
      <c r="JE46" s="65"/>
      <c r="JF46" s="65"/>
      <c r="JG46" s="65"/>
      <c r="JH46" s="65"/>
      <c r="JI46" s="65"/>
      <c r="JJ46" s="65"/>
      <c r="JK46" s="65"/>
      <c r="JL46" s="65"/>
      <c r="JM46" s="65"/>
      <c r="JN46" s="65"/>
      <c r="JO46" s="65"/>
      <c r="JP46" s="65"/>
      <c r="JQ46" s="65"/>
      <c r="JR46" s="65"/>
      <c r="JS46" s="65"/>
      <c r="JT46" s="65"/>
      <c r="JU46" s="65"/>
      <c r="JV46" s="65"/>
      <c r="JW46" s="65"/>
      <c r="JX46" s="65"/>
      <c r="JY46" s="65"/>
      <c r="JZ46" s="65"/>
      <c r="KA46" s="65"/>
      <c r="KB46" s="65"/>
      <c r="KC46" s="65"/>
      <c r="KD46" s="65"/>
      <c r="KE46" s="65"/>
      <c r="KF46" s="65"/>
      <c r="KG46" s="65"/>
      <c r="KH46" s="65"/>
      <c r="KI46" s="65"/>
      <c r="KJ46" s="65"/>
      <c r="KK46" s="65"/>
      <c r="KL46" s="65"/>
      <c r="KM46" s="65"/>
      <c r="KN46" s="65"/>
      <c r="KO46" s="65"/>
      <c r="KP46" s="65"/>
      <c r="KQ46" s="65"/>
      <c r="KR46" s="65"/>
      <c r="KS46" s="65"/>
      <c r="KT46" s="65"/>
      <c r="KU46" s="65"/>
      <c r="KV46" s="65"/>
      <c r="KW46" s="65"/>
      <c r="KX46" s="65"/>
      <c r="KY46" s="65"/>
      <c r="KZ46" s="65"/>
      <c r="LA46" s="65"/>
      <c r="LB46" s="65"/>
      <c r="LC46" s="65"/>
      <c r="LD46" s="65"/>
      <c r="LE46" s="65"/>
      <c r="LF46" s="65"/>
      <c r="LG46" s="65"/>
      <c r="LH46" s="65"/>
      <c r="LI46" s="65"/>
      <c r="LJ46" s="65"/>
      <c r="LK46" s="65"/>
      <c r="LL46" s="65"/>
      <c r="LM46" s="65"/>
      <c r="LN46" s="65"/>
      <c r="LO46" s="65"/>
      <c r="LP46" s="65"/>
      <c r="LQ46" s="65"/>
      <c r="LR46" s="65"/>
      <c r="LS46" s="65"/>
      <c r="LT46" s="65"/>
      <c r="LU46" s="65"/>
      <c r="LV46" s="65"/>
      <c r="LW46" s="65"/>
      <c r="LX46" s="65"/>
      <c r="LY46" s="65"/>
      <c r="LZ46" s="65"/>
      <c r="MA46" s="65"/>
      <c r="MB46" s="65"/>
      <c r="MC46" s="65"/>
      <c r="MD46" s="65"/>
      <c r="ME46" s="65"/>
      <c r="MF46" s="65"/>
      <c r="MG46" s="65"/>
      <c r="MH46" s="65"/>
      <c r="MI46" s="65"/>
      <c r="MJ46" s="65"/>
      <c r="MK46" s="65"/>
      <c r="ML46" s="65"/>
      <c r="MM46" s="65"/>
      <c r="MN46" s="65"/>
      <c r="MO46" s="65"/>
      <c r="MP46" s="65"/>
      <c r="MQ46" s="65"/>
      <c r="MR46" s="65"/>
      <c r="MS46" s="65"/>
      <c r="MT46" s="65"/>
      <c r="MU46" s="65"/>
      <c r="MV46" s="65"/>
      <c r="MW46" s="65"/>
      <c r="MX46" s="65"/>
      <c r="MY46" s="65"/>
      <c r="MZ46" s="65"/>
      <c r="NA46" s="65"/>
      <c r="NB46" s="65"/>
      <c r="NC46" s="65"/>
      <c r="ND46" s="65"/>
      <c r="NE46" s="65"/>
      <c r="NF46" s="65"/>
      <c r="NG46" s="65"/>
      <c r="NH46" s="65"/>
      <c r="NI46" s="65"/>
      <c r="NJ46" s="65"/>
      <c r="NK46" s="65"/>
      <c r="NL46" s="65"/>
      <c r="NM46" s="65"/>
      <c r="NN46" s="65"/>
      <c r="NO46" s="65"/>
      <c r="NP46" s="65"/>
      <c r="NQ46" s="65"/>
      <c r="NR46" s="65"/>
      <c r="NS46" s="65"/>
      <c r="NT46" s="65"/>
      <c r="NU46" s="65"/>
      <c r="NV46" s="65"/>
      <c r="NW46" s="65"/>
      <c r="NX46" s="65"/>
      <c r="NY46" s="65"/>
      <c r="NZ46" s="65"/>
      <c r="OA46" s="65"/>
      <c r="OB46" s="65"/>
      <c r="OC46" s="65"/>
      <c r="OD46" s="65"/>
      <c r="OE46" s="65"/>
      <c r="OF46" s="65"/>
      <c r="OG46" s="65"/>
      <c r="OH46" s="65"/>
      <c r="OI46" s="65"/>
      <c r="OJ46" s="65"/>
      <c r="OK46" s="65"/>
      <c r="OL46" s="65"/>
      <c r="OM46" s="65"/>
      <c r="ON46" s="65"/>
      <c r="OO46" s="65"/>
      <c r="OP46" s="65"/>
      <c r="OQ46" s="65"/>
      <c r="OR46" s="65"/>
      <c r="OS46" s="65"/>
      <c r="OT46" s="65"/>
      <c r="OU46" s="65"/>
      <c r="OV46" s="65"/>
      <c r="OW46" s="65"/>
      <c r="OX46" s="65"/>
      <c r="OY46" s="65"/>
      <c r="OZ46" s="65"/>
      <c r="PA46" s="65"/>
      <c r="PB46" s="65"/>
      <c r="PC46" s="65"/>
      <c r="PD46" s="65"/>
      <c r="PE46" s="65"/>
      <c r="PF46" s="65"/>
      <c r="PG46" s="65"/>
      <c r="PH46" s="65"/>
      <c r="PI46" s="65"/>
      <c r="PJ46" s="65"/>
      <c r="PK46" s="65"/>
      <c r="PL46" s="65"/>
      <c r="PM46" s="65"/>
      <c r="PN46" s="65"/>
      <c r="PO46" s="65"/>
      <c r="PP46" s="65"/>
      <c r="PQ46" s="65"/>
      <c r="PR46" s="65"/>
      <c r="PS46" s="65"/>
      <c r="PT46" s="65"/>
      <c r="PU46" s="65"/>
      <c r="PV46" s="65"/>
      <c r="PW46" s="65"/>
      <c r="PX46" s="65"/>
      <c r="PY46" s="65"/>
      <c r="PZ46" s="65"/>
      <c r="QA46" s="65"/>
      <c r="QB46" s="65"/>
      <c r="QC46" s="65"/>
      <c r="QD46" s="65"/>
      <c r="QE46" s="65"/>
      <c r="QF46" s="65"/>
      <c r="QG46" s="65"/>
      <c r="QH46" s="65"/>
      <c r="QI46" s="65"/>
      <c r="QJ46" s="65"/>
      <c r="QK46" s="65"/>
      <c r="QL46" s="65"/>
      <c r="QM46" s="65"/>
      <c r="QN46" s="65"/>
      <c r="QO46" s="65"/>
      <c r="QP46" s="65"/>
      <c r="QQ46" s="65"/>
      <c r="QR46" s="65"/>
      <c r="QS46" s="65"/>
      <c r="QT46" s="65"/>
      <c r="QU46" s="65"/>
      <c r="QV46" s="65"/>
      <c r="QW46" s="65"/>
      <c r="QX46" s="65"/>
      <c r="QY46" s="65"/>
      <c r="QZ46" s="65"/>
      <c r="RA46" s="65"/>
      <c r="RB46" s="65"/>
      <c r="RC46" s="65"/>
      <c r="RD46" s="65"/>
      <c r="RE46" s="65"/>
      <c r="RF46" s="65"/>
      <c r="RG46" s="65"/>
      <c r="RH46" s="65"/>
      <c r="RI46" s="65"/>
      <c r="RJ46" s="65"/>
      <c r="RK46" s="65"/>
      <c r="RL46" s="65"/>
      <c r="RM46" s="65"/>
      <c r="RN46" s="65"/>
      <c r="RO46" s="65"/>
      <c r="RP46" s="65"/>
      <c r="RQ46" s="65"/>
      <c r="RR46" s="65"/>
      <c r="RS46" s="65"/>
      <c r="RT46" s="65"/>
      <c r="RU46" s="65"/>
      <c r="RV46" s="65"/>
      <c r="RW46" s="65"/>
      <c r="RX46" s="65"/>
      <c r="RY46" s="65"/>
      <c r="RZ46" s="65"/>
      <c r="SA46" s="65"/>
      <c r="SB46" s="65"/>
      <c r="SC46" s="65"/>
      <c r="SD46" s="65"/>
      <c r="SE46" s="65"/>
      <c r="SF46" s="65"/>
      <c r="SG46" s="65"/>
      <c r="SH46" s="65"/>
      <c r="SI46" s="65"/>
      <c r="SJ46" s="65"/>
      <c r="SK46" s="65"/>
      <c r="SL46" s="65"/>
      <c r="SM46" s="65"/>
      <c r="SN46" s="65"/>
      <c r="SO46" s="65"/>
      <c r="SP46" s="65"/>
      <c r="SQ46" s="65"/>
      <c r="SR46" s="65"/>
      <c r="SS46" s="65"/>
      <c r="ST46" s="65"/>
      <c r="SU46" s="65"/>
      <c r="SV46" s="65"/>
      <c r="SW46" s="65"/>
      <c r="SX46" s="65"/>
      <c r="SY46" s="65"/>
      <c r="SZ46" s="65"/>
      <c r="TA46" s="65"/>
      <c r="TB46" s="65"/>
      <c r="TC46" s="65"/>
      <c r="TD46" s="65"/>
      <c r="TE46" s="65"/>
      <c r="TF46" s="65"/>
      <c r="TG46" s="65"/>
      <c r="TH46" s="65"/>
      <c r="TI46" s="65"/>
      <c r="TJ46" s="65"/>
      <c r="TK46" s="65"/>
      <c r="TL46" s="65"/>
      <c r="TM46" s="65"/>
      <c r="TN46" s="65"/>
      <c r="TO46" s="65"/>
      <c r="TP46" s="65"/>
      <c r="TQ46" s="65"/>
      <c r="TR46" s="65"/>
      <c r="TS46" s="65"/>
      <c r="TT46" s="65"/>
      <c r="TU46" s="65"/>
      <c r="TV46" s="65"/>
      <c r="TW46" s="65"/>
      <c r="TX46" s="65"/>
      <c r="TY46" s="65"/>
      <c r="TZ46" s="65"/>
      <c r="UA46" s="65"/>
      <c r="UB46" s="65"/>
      <c r="UC46" s="65"/>
      <c r="UD46" s="65"/>
      <c r="UE46" s="65"/>
      <c r="UF46" s="65"/>
      <c r="UG46" s="65"/>
      <c r="UH46" s="65"/>
      <c r="UI46" s="65"/>
      <c r="UJ46" s="65"/>
      <c r="UK46" s="65"/>
      <c r="UL46" s="65"/>
      <c r="UM46" s="65"/>
      <c r="UN46" s="65"/>
      <c r="UO46" s="65"/>
      <c r="UP46" s="65"/>
      <c r="UQ46" s="65"/>
      <c r="UR46" s="65"/>
      <c r="US46" s="65"/>
      <c r="UT46" s="65"/>
      <c r="UU46" s="65"/>
      <c r="UV46" s="65"/>
      <c r="UW46" s="65"/>
      <c r="UX46" s="65"/>
      <c r="UY46" s="65"/>
      <c r="UZ46" s="65"/>
      <c r="VA46" s="65"/>
      <c r="VB46" s="65"/>
      <c r="VC46" s="65"/>
      <c r="VD46" s="65"/>
      <c r="VE46" s="65"/>
      <c r="VF46" s="65"/>
      <c r="VG46" s="65"/>
      <c r="VH46" s="65"/>
      <c r="VI46" s="65"/>
      <c r="VJ46" s="65"/>
      <c r="VK46" s="65"/>
      <c r="VL46" s="65"/>
      <c r="VM46" s="65"/>
      <c r="VN46" s="65"/>
      <c r="VO46" s="65"/>
      <c r="VP46" s="65"/>
      <c r="VQ46" s="65"/>
      <c r="VR46" s="65"/>
      <c r="VS46" s="65"/>
      <c r="VT46" s="65"/>
      <c r="VU46" s="65"/>
      <c r="VV46" s="65"/>
      <c r="VW46" s="65"/>
      <c r="VX46" s="65"/>
      <c r="VY46" s="65"/>
      <c r="VZ46" s="65"/>
      <c r="WA46" s="65"/>
      <c r="WB46" s="65"/>
      <c r="WC46" s="65"/>
      <c r="WD46" s="65"/>
      <c r="WE46" s="65"/>
      <c r="WF46" s="65"/>
      <c r="WG46" s="65"/>
      <c r="WH46" s="65"/>
      <c r="WI46" s="65"/>
      <c r="WJ46" s="65"/>
      <c r="WK46" s="65"/>
      <c r="WL46" s="65"/>
      <c r="WM46" s="65"/>
      <c r="WN46" s="65"/>
      <c r="WO46" s="65"/>
      <c r="WP46" s="65"/>
      <c r="WQ46" s="65"/>
      <c r="WR46" s="65"/>
      <c r="WS46" s="65"/>
      <c r="WT46" s="65"/>
      <c r="WU46" s="65"/>
      <c r="WV46" s="65"/>
      <c r="WW46" s="65"/>
      <c r="WX46" s="65"/>
      <c r="WY46" s="65"/>
      <c r="WZ46" s="65"/>
      <c r="XA46" s="65"/>
      <c r="XB46" s="65"/>
      <c r="XC46" s="65"/>
      <c r="XD46" s="65"/>
      <c r="XE46" s="65"/>
      <c r="XF46" s="65"/>
      <c r="XG46" s="65"/>
      <c r="XH46" s="65"/>
      <c r="XI46" s="65"/>
      <c r="XJ46" s="65"/>
      <c r="XK46" s="65"/>
      <c r="XL46" s="65"/>
      <c r="XM46" s="65"/>
      <c r="XN46" s="65"/>
      <c r="XO46" s="65"/>
      <c r="XP46" s="65"/>
      <c r="XQ46" s="65"/>
      <c r="XR46" s="65"/>
      <c r="XS46" s="65"/>
      <c r="XT46" s="65"/>
      <c r="XU46" s="65"/>
      <c r="XV46" s="65"/>
      <c r="XW46" s="65"/>
      <c r="XX46" s="65"/>
      <c r="XY46" s="65"/>
      <c r="XZ46" s="65"/>
      <c r="YA46" s="65"/>
      <c r="YB46" s="65"/>
      <c r="YC46" s="65"/>
      <c r="YD46" s="65"/>
      <c r="YE46" s="65"/>
      <c r="YF46" s="65"/>
      <c r="YG46" s="65"/>
      <c r="YH46" s="65"/>
      <c r="YI46" s="65"/>
      <c r="YJ46" s="65"/>
      <c r="YK46" s="65"/>
      <c r="YL46" s="65"/>
      <c r="YM46" s="65"/>
      <c r="YN46" s="65"/>
      <c r="YO46" s="65"/>
      <c r="YP46" s="65"/>
      <c r="YQ46" s="65"/>
      <c r="YR46" s="65"/>
      <c r="YS46" s="65"/>
      <c r="YT46" s="65"/>
      <c r="YU46" s="65"/>
      <c r="YV46" s="65"/>
      <c r="YW46" s="65"/>
      <c r="YX46" s="65"/>
      <c r="YY46" s="65"/>
      <c r="YZ46" s="65"/>
      <c r="ZA46" s="65"/>
      <c r="ZB46" s="65"/>
      <c r="ZC46" s="65"/>
      <c r="ZD46" s="65"/>
      <c r="ZE46" s="65"/>
      <c r="ZF46" s="65"/>
      <c r="ZG46" s="65"/>
      <c r="ZH46" s="65"/>
      <c r="ZI46" s="65"/>
      <c r="ZJ46" s="65"/>
      <c r="ZK46" s="65"/>
      <c r="ZL46" s="65"/>
      <c r="ZM46" s="65"/>
      <c r="ZN46" s="65"/>
      <c r="ZO46" s="65"/>
      <c r="ZP46" s="65"/>
      <c r="ZQ46" s="65"/>
      <c r="ZR46" s="65"/>
      <c r="ZS46" s="65"/>
      <c r="ZT46" s="65"/>
      <c r="ZU46" s="65"/>
      <c r="ZV46" s="65"/>
      <c r="ZW46" s="65"/>
      <c r="ZX46" s="65"/>
      <c r="ZY46" s="65"/>
      <c r="ZZ46" s="65"/>
      <c r="AAA46" s="65"/>
      <c r="AAB46" s="65"/>
      <c r="AAC46" s="65"/>
      <c r="AAD46" s="65"/>
      <c r="AAE46" s="65"/>
      <c r="AAF46" s="65"/>
      <c r="AAG46" s="65"/>
      <c r="AAH46" s="65"/>
      <c r="AAI46" s="65"/>
      <c r="AAJ46" s="65"/>
      <c r="AAK46" s="65"/>
      <c r="AAL46" s="65"/>
      <c r="AAM46" s="65"/>
      <c r="AAN46" s="65"/>
      <c r="AAO46" s="65"/>
      <c r="AAP46" s="65"/>
      <c r="AAQ46" s="65"/>
      <c r="AAR46" s="65"/>
      <c r="AAS46" s="65"/>
      <c r="AAT46" s="65"/>
      <c r="AAU46" s="65"/>
      <c r="AAV46" s="65"/>
      <c r="AAW46" s="65"/>
      <c r="AAX46" s="65"/>
      <c r="AAY46" s="65"/>
      <c r="AAZ46" s="65"/>
      <c r="ABA46" s="65"/>
      <c r="ABB46" s="65"/>
      <c r="ABC46" s="65"/>
      <c r="ABD46" s="65"/>
      <c r="ABE46" s="65"/>
      <c r="ABF46" s="65"/>
      <c r="ABG46" s="65"/>
      <c r="ABH46" s="65"/>
      <c r="ABI46" s="65"/>
      <c r="ABJ46" s="65"/>
      <c r="ABK46" s="65"/>
      <c r="ABL46" s="65"/>
      <c r="ABM46" s="65"/>
      <c r="ABN46" s="65"/>
      <c r="ABO46" s="65"/>
      <c r="ABP46" s="65"/>
      <c r="ABQ46" s="65"/>
      <c r="ABR46" s="65"/>
      <c r="ABS46" s="65"/>
      <c r="ABT46" s="65"/>
      <c r="ABU46" s="65"/>
      <c r="ABV46" s="65"/>
      <c r="ABW46" s="65"/>
      <c r="ABX46" s="65"/>
      <c r="ABY46" s="65"/>
      <c r="ABZ46" s="65"/>
      <c r="ACA46" s="65"/>
      <c r="ACB46" s="65"/>
      <c r="ACC46" s="65"/>
      <c r="ACD46" s="65"/>
      <c r="ACE46" s="65"/>
      <c r="ACF46" s="65"/>
      <c r="ACG46" s="65"/>
      <c r="ACH46" s="65"/>
      <c r="ACI46" s="65"/>
      <c r="ACJ46" s="65"/>
      <c r="ACK46" s="65"/>
      <c r="ACL46" s="65"/>
      <c r="ACM46" s="65"/>
      <c r="ACN46" s="65"/>
      <c r="ACO46" s="65"/>
      <c r="ACP46" s="65"/>
      <c r="ACQ46" s="65"/>
      <c r="ACR46" s="65"/>
      <c r="ACS46" s="65"/>
      <c r="ACT46" s="65"/>
      <c r="ACU46" s="65"/>
      <c r="ACV46" s="65"/>
      <c r="ACW46" s="65"/>
      <c r="ACX46" s="65"/>
      <c r="ACY46" s="65"/>
      <c r="ACZ46" s="65"/>
      <c r="ADA46" s="65"/>
      <c r="ADB46" s="65"/>
      <c r="ADC46" s="65"/>
      <c r="ADD46" s="65"/>
      <c r="ADE46" s="65"/>
      <c r="ADF46" s="65"/>
      <c r="ADG46" s="65"/>
      <c r="ADH46" s="65"/>
      <c r="ADI46" s="65"/>
      <c r="ADJ46" s="65"/>
      <c r="ADK46" s="65"/>
      <c r="ADL46" s="65"/>
      <c r="ADM46" s="65"/>
      <c r="ADN46" s="65"/>
      <c r="ADO46" s="65"/>
      <c r="ADP46" s="65"/>
      <c r="ADQ46" s="65"/>
      <c r="ADR46" s="65"/>
      <c r="ADS46" s="65"/>
      <c r="ADT46" s="65"/>
      <c r="ADU46" s="65"/>
      <c r="ADV46" s="65"/>
      <c r="ADW46" s="65"/>
      <c r="ADX46" s="65"/>
      <c r="ADY46" s="65"/>
      <c r="ADZ46" s="65"/>
      <c r="AEA46" s="65"/>
      <c r="AEB46" s="65"/>
      <c r="AEC46" s="65"/>
      <c r="AED46" s="65"/>
      <c r="AEE46" s="65"/>
      <c r="AEF46" s="65"/>
      <c r="AEG46" s="65"/>
      <c r="AEH46" s="65"/>
      <c r="AEI46" s="65"/>
      <c r="AEJ46" s="65"/>
      <c r="AEK46" s="65"/>
      <c r="AEL46" s="65"/>
      <c r="AEM46" s="65"/>
      <c r="AEN46" s="65"/>
      <c r="AEO46" s="65"/>
      <c r="AEP46" s="65"/>
      <c r="AEQ46" s="65"/>
      <c r="AER46" s="65"/>
      <c r="AES46" s="65"/>
      <c r="AET46" s="65"/>
      <c r="AEU46" s="65"/>
      <c r="AEV46" s="65"/>
      <c r="AEW46" s="65"/>
      <c r="AEX46" s="65"/>
      <c r="AEY46" s="65"/>
      <c r="AEZ46" s="65"/>
      <c r="AFA46" s="65"/>
      <c r="AFB46" s="65"/>
      <c r="AFC46" s="65"/>
      <c r="AFD46" s="65"/>
      <c r="AFE46" s="65"/>
      <c r="AFF46" s="65"/>
      <c r="AFG46" s="65"/>
      <c r="AFH46" s="65"/>
      <c r="AFI46" s="65"/>
      <c r="AFJ46" s="65"/>
      <c r="AFK46" s="65"/>
      <c r="AFL46" s="65"/>
      <c r="AFM46" s="65"/>
      <c r="AFN46" s="65"/>
      <c r="AFO46" s="65"/>
      <c r="AFP46" s="65"/>
      <c r="AFQ46" s="65"/>
      <c r="AFR46" s="65"/>
      <c r="AFS46" s="65"/>
      <c r="AFT46" s="65"/>
      <c r="AFU46" s="65"/>
      <c r="AFV46" s="65"/>
      <c r="AFW46" s="65"/>
      <c r="AFX46" s="65"/>
      <c r="AFY46" s="65"/>
      <c r="AFZ46" s="65"/>
      <c r="AGA46" s="65"/>
      <c r="AGB46" s="65"/>
      <c r="AGC46" s="65"/>
      <c r="AGD46" s="65"/>
      <c r="AGE46" s="65"/>
      <c r="AGF46" s="65"/>
      <c r="AGG46" s="65"/>
      <c r="AGH46" s="65"/>
      <c r="AGI46" s="65"/>
      <c r="AGJ46" s="65"/>
      <c r="AGK46" s="65"/>
      <c r="AGL46" s="65"/>
      <c r="AGM46" s="65"/>
      <c r="AGN46" s="65"/>
      <c r="AGO46" s="65"/>
      <c r="AGP46" s="65"/>
      <c r="AGQ46" s="65"/>
      <c r="AGR46" s="65"/>
      <c r="AGS46" s="65"/>
      <c r="AGT46" s="65"/>
      <c r="AGU46" s="65"/>
      <c r="AGV46" s="65"/>
      <c r="AGW46" s="65"/>
      <c r="AGX46" s="65"/>
      <c r="AGY46" s="65"/>
      <c r="AGZ46" s="65"/>
      <c r="AHA46" s="65"/>
      <c r="AHB46" s="65"/>
      <c r="AHC46" s="65"/>
      <c r="AHD46" s="65"/>
      <c r="AHE46" s="65"/>
      <c r="AHF46" s="65"/>
      <c r="AHG46" s="65"/>
      <c r="AHH46" s="65"/>
      <c r="AHI46" s="65"/>
      <c r="AHJ46" s="65"/>
      <c r="AHK46" s="65"/>
      <c r="AHL46" s="65"/>
      <c r="AHM46" s="65"/>
      <c r="AHN46" s="65"/>
      <c r="AHO46" s="65"/>
      <c r="AHP46" s="65"/>
      <c r="AHQ46" s="65"/>
      <c r="AHR46" s="65"/>
      <c r="AHS46" s="65"/>
      <c r="AHT46" s="65"/>
      <c r="AHU46" s="65"/>
      <c r="AHV46" s="65"/>
      <c r="AHW46" s="65"/>
      <c r="AHX46" s="65"/>
      <c r="AHY46" s="65"/>
      <c r="AHZ46" s="65"/>
      <c r="AIA46" s="65"/>
      <c r="AIB46" s="65"/>
      <c r="AIC46" s="65"/>
      <c r="AID46" s="65"/>
      <c r="AIE46" s="65"/>
      <c r="AIF46" s="65"/>
      <c r="AIG46" s="65"/>
      <c r="AIH46" s="65"/>
      <c r="AII46" s="65"/>
      <c r="AIJ46" s="65"/>
      <c r="AIK46" s="65"/>
      <c r="AIL46" s="65"/>
      <c r="AIM46" s="65"/>
      <c r="AIN46" s="65"/>
      <c r="AIO46" s="65"/>
      <c r="AIP46" s="65"/>
      <c r="AIQ46" s="65"/>
      <c r="AIR46" s="65"/>
      <c r="AIS46" s="65"/>
      <c r="AIT46" s="65"/>
      <c r="AIU46" s="65"/>
      <c r="AIV46" s="65"/>
      <c r="AIW46" s="65"/>
      <c r="AIX46" s="65"/>
      <c r="AIY46" s="65"/>
      <c r="AIZ46" s="65"/>
      <c r="AJA46" s="65"/>
      <c r="AJB46" s="65"/>
      <c r="AJC46" s="65"/>
      <c r="AJD46" s="65"/>
      <c r="AJE46" s="65"/>
      <c r="AJF46" s="65"/>
      <c r="AJG46" s="65"/>
      <c r="AJH46" s="65"/>
      <c r="AJI46" s="65"/>
      <c r="AJJ46" s="65"/>
      <c r="AJK46" s="65"/>
      <c r="AJL46" s="65"/>
      <c r="AJM46" s="65"/>
      <c r="AJN46" s="65"/>
      <c r="AJO46" s="65"/>
      <c r="AJP46" s="65"/>
      <c r="AJQ46" s="65"/>
      <c r="AJR46" s="65"/>
      <c r="AJS46" s="65"/>
      <c r="AJT46" s="65"/>
      <c r="AJU46" s="65"/>
      <c r="AJV46" s="65"/>
      <c r="AJW46" s="65"/>
      <c r="AJX46" s="65"/>
      <c r="AJY46" s="65"/>
      <c r="AJZ46" s="65"/>
      <c r="AKA46" s="65"/>
      <c r="AKB46" s="65"/>
      <c r="AKC46" s="65"/>
      <c r="AKD46" s="65"/>
      <c r="AKE46" s="65"/>
      <c r="AKF46" s="65"/>
      <c r="AKG46" s="65"/>
      <c r="AKH46" s="65"/>
      <c r="AKI46" s="65"/>
      <c r="AKJ46" s="65"/>
      <c r="AKK46" s="65"/>
      <c r="AKL46" s="65"/>
      <c r="AKM46" s="65"/>
      <c r="AKN46" s="65"/>
      <c r="AKO46" s="65"/>
      <c r="AKP46" s="65"/>
      <c r="AKQ46" s="65"/>
      <c r="AKR46" s="65"/>
      <c r="AKS46" s="65"/>
      <c r="AKT46" s="65"/>
      <c r="AKU46" s="65"/>
      <c r="AKV46" s="65"/>
      <c r="AKW46" s="65"/>
      <c r="AKX46" s="65"/>
      <c r="AKY46" s="65"/>
      <c r="AKZ46" s="65"/>
      <c r="ALA46" s="65"/>
      <c r="ALB46" s="65"/>
      <c r="ALC46" s="65"/>
      <c r="ALD46" s="65"/>
      <c r="ALE46" s="65"/>
      <c r="ALF46" s="65"/>
      <c r="ALG46" s="65"/>
      <c r="ALH46" s="65"/>
      <c r="ALI46" s="65"/>
      <c r="ALJ46" s="65"/>
      <c r="ALK46" s="65"/>
      <c r="ALL46" s="65"/>
      <c r="ALM46" s="65"/>
      <c r="ALN46" s="65"/>
      <c r="ALO46" s="65"/>
      <c r="ALP46" s="65"/>
      <c r="ALQ46" s="65"/>
      <c r="ALR46" s="65"/>
      <c r="ALS46" s="65"/>
      <c r="ALT46" s="65"/>
      <c r="ALU46" s="65"/>
      <c r="ALV46" s="65"/>
      <c r="ALW46" s="65"/>
      <c r="ALX46" s="65"/>
      <c r="ALY46" s="65"/>
      <c r="ALZ46" s="65"/>
      <c r="AMA46" s="65"/>
      <c r="AMB46" s="65"/>
      <c r="AMC46" s="65"/>
      <c r="AMD46" s="65"/>
      <c r="AME46" s="65"/>
      <c r="AMF46" s="65"/>
      <c r="AMG46" s="65"/>
      <c r="AMH46" s="65"/>
      <c r="AMI46" s="65"/>
      <c r="AMJ46" s="65"/>
      <c r="AMK46" s="65"/>
    </row>
  </sheetData>
  <mergeCells count="59">
    <mergeCell ref="A5:B5"/>
    <mergeCell ref="C5:K5"/>
    <mergeCell ref="A1:I1"/>
    <mergeCell ref="A3:B3"/>
    <mergeCell ref="C3:K3"/>
    <mergeCell ref="A4:B4"/>
    <mergeCell ref="C4:K4"/>
    <mergeCell ref="A6:B6"/>
    <mergeCell ref="C6:K6"/>
    <mergeCell ref="A7:B7"/>
    <mergeCell ref="C7:K7"/>
    <mergeCell ref="A8:B8"/>
    <mergeCell ref="C8:K8"/>
    <mergeCell ref="A10:A11"/>
    <mergeCell ref="B10:B11"/>
    <mergeCell ref="C10:G11"/>
    <mergeCell ref="H10:H11"/>
    <mergeCell ref="I10:I11"/>
    <mergeCell ref="L21:M21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32:G32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3:G33"/>
    <mergeCell ref="C34:G34"/>
    <mergeCell ref="C35:G35"/>
    <mergeCell ref="C36:G36"/>
    <mergeCell ref="C37:G37"/>
    <mergeCell ref="C44:G44"/>
    <mergeCell ref="C45:G45"/>
    <mergeCell ref="A46:I46"/>
    <mergeCell ref="J46:K46"/>
    <mergeCell ref="L38:M38"/>
    <mergeCell ref="C39:G39"/>
    <mergeCell ref="C40:G40"/>
    <mergeCell ref="C41:G41"/>
    <mergeCell ref="C42:G42"/>
    <mergeCell ref="C43:G43"/>
    <mergeCell ref="L43:M43"/>
    <mergeCell ref="C38:G3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opLeftCell="A16" zoomScale="130" zoomScaleNormal="13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79" t="s">
        <v>3</v>
      </c>
      <c r="B1" s="179"/>
      <c r="C1" s="179"/>
      <c r="D1" s="180">
        <f>'Necesidades Trimestrales'!C6</f>
        <v>2022</v>
      </c>
      <c r="E1" s="180"/>
      <c r="F1" s="2"/>
      <c r="G1" s="2"/>
      <c r="H1" s="3"/>
      <c r="I1" s="3"/>
      <c r="J1" s="3"/>
      <c r="K1" s="3"/>
      <c r="L1" s="3"/>
      <c r="M1" s="3"/>
      <c r="N1" s="3"/>
      <c r="P1" s="181" t="s">
        <v>22</v>
      </c>
      <c r="Q1" s="181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181"/>
      <c r="Q2" s="181"/>
    </row>
    <row r="4" spans="1:17" s="4" customFormat="1" ht="18" customHeight="1" thickBot="1" x14ac:dyDescent="0.25">
      <c r="A4" s="182" t="s">
        <v>23</v>
      </c>
      <c r="B4" s="182"/>
      <c r="C4" s="182"/>
      <c r="D4" s="182"/>
      <c r="E4" s="182"/>
      <c r="F4" s="182"/>
      <c r="G4" s="183" t="str">
        <f>'NP DPFeI'!C3</f>
        <v>040 - Ministerio de Salud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 s="70" customFormat="1" ht="18" customHeight="1" thickBot="1" x14ac:dyDescent="0.25">
      <c r="A5" s="168" t="s">
        <v>46</v>
      </c>
      <c r="B5" s="169"/>
      <c r="C5" s="169"/>
      <c r="D5" s="169"/>
      <c r="E5" s="169"/>
      <c r="F5" s="170"/>
      <c r="G5" s="171" t="str">
        <f>'NP DPFeI'!C4</f>
        <v>011 - Direccion Provincial de Administracion - MS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s="70" customFormat="1" ht="18" customHeight="1" thickBot="1" x14ac:dyDescent="0.25">
      <c r="A6" s="168" t="s">
        <v>24</v>
      </c>
      <c r="B6" s="169"/>
      <c r="C6" s="169"/>
      <c r="D6" s="169"/>
      <c r="E6" s="169"/>
      <c r="F6" s="170"/>
      <c r="G6" s="171" t="str">
        <f>'NP DPFeI'!C5</f>
        <v>469 - Direccion Provincial de Farmacia e Insumos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s="70" customFormat="1" ht="18" customHeight="1" thickBot="1" x14ac:dyDescent="0.25">
      <c r="A7" s="168" t="s">
        <v>47</v>
      </c>
      <c r="B7" s="169"/>
      <c r="C7" s="169"/>
      <c r="D7" s="169"/>
      <c r="E7" s="169"/>
      <c r="F7" s="170"/>
      <c r="G7" s="171" t="str">
        <f>'NP DPFeI'!C6</f>
        <v>469 - Direccion Provincial de Farmacia e Insumos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s="39" customFormat="1" ht="18" customHeight="1" thickBot="1" x14ac:dyDescent="0.25">
      <c r="A8" s="172" t="s">
        <v>25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</row>
    <row r="9" spans="1:17" s="39" customFormat="1" ht="18" customHeight="1" x14ac:dyDescent="0.2">
      <c r="A9" s="173" t="s">
        <v>26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Q9" s="71"/>
    </row>
    <row r="10" spans="1:17" s="39" customFormat="1" ht="54.75" customHeight="1" x14ac:dyDescent="0.2">
      <c r="A10" s="174" t="str">
        <f>"Autorizo la realización de los  trámites correspondientes, a fin de proveer a  este Organismo los bienes y/o servicios que se detallan en Nota  de Pedido N° " &amp; 'NP DPFeI'!K1&amp;",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</row>
    <row r="11" spans="1:17" s="39" customFormat="1" ht="9" customHeight="1" thickBot="1" x14ac:dyDescent="0.25">
      <c r="A11" s="72"/>
      <c r="B11" s="73"/>
      <c r="C11" s="73"/>
      <c r="D11" s="73"/>
      <c r="E11" s="73"/>
      <c r="F11" s="73"/>
      <c r="G11" s="74"/>
      <c r="H11" s="73"/>
      <c r="I11" s="73"/>
      <c r="J11" s="73"/>
      <c r="K11" s="73"/>
      <c r="L11" s="73"/>
      <c r="M11" s="73"/>
      <c r="N11" s="73"/>
      <c r="O11" s="73"/>
      <c r="P11" s="73"/>
      <c r="Q11" s="75"/>
    </row>
    <row r="12" spans="1:17" s="39" customFormat="1" ht="15.75" customHeight="1" thickBot="1" x14ac:dyDescent="0.25">
      <c r="A12" s="175" t="s">
        <v>27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</row>
    <row r="13" spans="1:17" s="39" customFormat="1" ht="15.75" customHeight="1" thickBot="1" x14ac:dyDescent="0.25">
      <c r="A13" s="176" t="s">
        <v>28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7" t="s">
        <v>29</v>
      </c>
      <c r="P13" s="177"/>
      <c r="Q13" s="178" t="s">
        <v>30</v>
      </c>
    </row>
    <row r="14" spans="1:17" s="39" customFormat="1" ht="15.75" customHeight="1" thickBot="1" x14ac:dyDescent="0.25">
      <c r="A14" s="76" t="s">
        <v>31</v>
      </c>
      <c r="B14" s="77" t="s">
        <v>32</v>
      </c>
      <c r="C14" s="77" t="s">
        <v>33</v>
      </c>
      <c r="D14" s="77" t="s">
        <v>34</v>
      </c>
      <c r="E14" s="77" t="s">
        <v>35</v>
      </c>
      <c r="F14" s="77" t="s">
        <v>36</v>
      </c>
      <c r="G14" s="78" t="s">
        <v>37</v>
      </c>
      <c r="H14" s="77" t="s">
        <v>38</v>
      </c>
      <c r="I14" s="77" t="s">
        <v>39</v>
      </c>
      <c r="J14" s="77" t="s">
        <v>40</v>
      </c>
      <c r="K14" s="77" t="s">
        <v>40</v>
      </c>
      <c r="L14" s="77" t="s">
        <v>41</v>
      </c>
      <c r="M14" s="79" t="s">
        <v>42</v>
      </c>
      <c r="N14" s="80" t="s">
        <v>43</v>
      </c>
      <c r="O14" s="177"/>
      <c r="P14" s="177"/>
      <c r="Q14" s="178"/>
    </row>
    <row r="15" spans="1:17" s="39" customFormat="1" ht="17.25" customHeight="1" x14ac:dyDescent="0.2">
      <c r="A15" s="81">
        <v>30</v>
      </c>
      <c r="B15" s="82"/>
      <c r="C15" s="82"/>
      <c r="D15" s="82">
        <v>1</v>
      </c>
      <c r="E15" s="82"/>
      <c r="F15" s="82">
        <v>4901</v>
      </c>
      <c r="G15" s="82">
        <v>3</v>
      </c>
      <c r="H15" s="82">
        <v>1</v>
      </c>
      <c r="I15" s="82">
        <v>2</v>
      </c>
      <c r="J15" s="82">
        <v>5</v>
      </c>
      <c r="K15" s="82">
        <v>2</v>
      </c>
      <c r="L15" s="82"/>
      <c r="M15" s="83">
        <v>1</v>
      </c>
      <c r="N15" s="84" t="s">
        <v>49</v>
      </c>
      <c r="O15" s="167" t="s">
        <v>134</v>
      </c>
      <c r="P15" s="167"/>
      <c r="Q15" s="85">
        <f>+'NP DPFeI'!J46</f>
        <v>31997490</v>
      </c>
    </row>
    <row r="16" spans="1:17" s="39" customFormat="1" ht="17.25" customHeight="1" x14ac:dyDescent="0.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8"/>
      <c r="N16" s="89"/>
      <c r="O16" s="159"/>
      <c r="P16" s="159"/>
      <c r="Q16" s="90"/>
    </row>
    <row r="17" spans="1:17" s="39" customFormat="1" ht="17.25" customHeight="1" x14ac:dyDescent="0.2">
      <c r="A17" s="86"/>
      <c r="B17" s="87"/>
      <c r="C17" s="87"/>
      <c r="D17" s="87"/>
      <c r="E17" s="87"/>
      <c r="F17" s="89"/>
      <c r="G17" s="87"/>
      <c r="H17" s="87"/>
      <c r="I17" s="87"/>
      <c r="J17" s="87"/>
      <c r="K17" s="87"/>
      <c r="L17" s="87"/>
      <c r="M17" s="88"/>
      <c r="N17" s="89"/>
      <c r="O17" s="159"/>
      <c r="P17" s="159"/>
      <c r="Q17" s="90"/>
    </row>
    <row r="18" spans="1:17" s="39" customFormat="1" ht="17.25" customHeight="1" x14ac:dyDescent="0.2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8"/>
      <c r="N18" s="89"/>
      <c r="O18" s="159"/>
      <c r="P18" s="159"/>
      <c r="Q18" s="90"/>
    </row>
    <row r="19" spans="1:17" s="39" customFormat="1" ht="17.25" customHeight="1" x14ac:dyDescent="0.2">
      <c r="A19" s="86"/>
      <c r="B19" s="87"/>
      <c r="C19" s="87"/>
      <c r="D19" s="87"/>
      <c r="E19" s="87"/>
      <c r="F19" s="89"/>
      <c r="G19" s="87"/>
      <c r="H19" s="87"/>
      <c r="I19" s="87"/>
      <c r="J19" s="87"/>
      <c r="K19" s="87"/>
      <c r="L19" s="87"/>
      <c r="M19" s="88"/>
      <c r="N19" s="89"/>
      <c r="O19" s="159"/>
      <c r="P19" s="159"/>
      <c r="Q19" s="90"/>
    </row>
    <row r="20" spans="1:17" s="39" customFormat="1" ht="17.25" customHeight="1" x14ac:dyDescent="0.2">
      <c r="A20" s="86"/>
      <c r="B20" s="87"/>
      <c r="C20" s="87"/>
      <c r="D20" s="87"/>
      <c r="E20" s="87"/>
      <c r="F20" s="89"/>
      <c r="G20" s="87"/>
      <c r="H20" s="87"/>
      <c r="I20" s="87"/>
      <c r="J20" s="87"/>
      <c r="K20" s="87"/>
      <c r="L20" s="87"/>
      <c r="M20" s="88"/>
      <c r="N20" s="89"/>
      <c r="O20" s="159"/>
      <c r="P20" s="159"/>
      <c r="Q20" s="90"/>
    </row>
    <row r="21" spans="1:17" s="39" customFormat="1" ht="17.25" customHeight="1" x14ac:dyDescent="0.2">
      <c r="A21" s="91"/>
      <c r="B21" s="92"/>
      <c r="C21" s="92"/>
      <c r="D21" s="92"/>
      <c r="E21" s="92"/>
      <c r="F21" s="89"/>
      <c r="G21" s="92"/>
      <c r="H21" s="92"/>
      <c r="I21" s="92"/>
      <c r="J21" s="92"/>
      <c r="K21" s="92"/>
      <c r="L21" s="92"/>
      <c r="M21" s="93"/>
      <c r="N21" s="94"/>
      <c r="O21" s="159"/>
      <c r="P21" s="159"/>
      <c r="Q21" s="90"/>
    </row>
    <row r="22" spans="1:17" s="39" customFormat="1" ht="17.25" customHeight="1" thickBot="1" x14ac:dyDescent="0.25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7"/>
      <c r="N22" s="96"/>
      <c r="O22" s="160"/>
      <c r="P22" s="160"/>
      <c r="Q22" s="98"/>
    </row>
    <row r="23" spans="1:17" s="39" customFormat="1" ht="29.25" customHeight="1" thickBot="1" x14ac:dyDescent="0.25">
      <c r="A23" s="161" t="s">
        <v>147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99">
        <f>SUM(Q15:Q22)</f>
        <v>31997490</v>
      </c>
    </row>
    <row r="24" spans="1:17" ht="18" customHeight="1" thickBot="1" x14ac:dyDescent="0.25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1:17" ht="17.25" customHeight="1" thickBot="1" x14ac:dyDescent="0.25">
      <c r="A25" s="163" t="s">
        <v>44</v>
      </c>
      <c r="B25" s="164"/>
      <c r="C25" s="164"/>
      <c r="D25" s="164"/>
      <c r="E25" s="164"/>
      <c r="F25" s="165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</row>
    <row r="26" spans="1:17" ht="18" customHeight="1" thickBot="1" x14ac:dyDescent="0.25">
      <c r="A26" s="158" t="str">
        <f>'NP DPFeI'!C8</f>
        <v>Adquisición de TERAPIA DERMATOLOGICA/SISTEMA GENITOURINARIO Y HORMONAS SEXUALES /HORMONAS SISTEMICAS /CORTICOIDES SISTEMICOS/RESPIRATORIO/ANTIHISTAMINICOS</v>
      </c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</row>
    <row r="27" spans="1:17" ht="15" customHeight="1" thickBot="1" x14ac:dyDescent="0.25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3"/>
  <sheetViews>
    <sheetView zoomScaleNormal="100" workbookViewId="0">
      <selection activeCell="A14" sqref="A14"/>
    </sheetView>
  </sheetViews>
  <sheetFormatPr baseColWidth="10" defaultColWidth="9.140625" defaultRowHeight="12.75" x14ac:dyDescent="0.2"/>
  <cols>
    <col min="1" max="1" width="5.5703125" style="38" customWidth="1"/>
    <col min="2" max="2" width="16.5703125" style="38" bestFit="1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55" style="38" customWidth="1"/>
    <col min="8" max="8" width="13.42578125" style="38" customWidth="1"/>
    <col min="9" max="9" width="16" style="38" customWidth="1"/>
    <col min="10" max="10" width="15.5703125" style="68" customWidth="1"/>
    <col min="11" max="11" width="14" style="38" customWidth="1"/>
    <col min="12" max="12" width="15.5703125" style="38" customWidth="1"/>
    <col min="13" max="13" width="5.85546875" style="38" customWidth="1"/>
    <col min="14" max="14" width="9.42578125" style="38" customWidth="1"/>
    <col min="15" max="15" width="5.85546875" style="38" customWidth="1"/>
    <col min="16" max="16" width="12.5703125" style="38" customWidth="1"/>
    <col min="17" max="1025" width="9.140625" style="38"/>
    <col min="1026" max="16384" width="9.140625" style="39"/>
  </cols>
  <sheetData>
    <row r="1" spans="1:1025" ht="16.5" thickBot="1" x14ac:dyDescent="0.25">
      <c r="A1" s="157" t="s">
        <v>12</v>
      </c>
      <c r="B1" s="157"/>
      <c r="C1" s="157"/>
      <c r="D1" s="157"/>
      <c r="E1" s="157"/>
      <c r="F1" s="157"/>
      <c r="G1" s="157"/>
      <c r="H1" s="157"/>
      <c r="I1" s="157"/>
      <c r="J1" s="67" t="s">
        <v>13</v>
      </c>
      <c r="K1" s="37" t="s">
        <v>52</v>
      </c>
      <c r="AMK1" s="39"/>
    </row>
    <row r="2" spans="1:1025" ht="16.5" thickBot="1" x14ac:dyDescent="0.25">
      <c r="A2" s="40"/>
      <c r="B2" s="40"/>
      <c r="C2" s="40"/>
      <c r="D2" s="41"/>
      <c r="E2" s="41"/>
      <c r="F2" s="41"/>
      <c r="G2" s="41"/>
      <c r="H2" s="42"/>
      <c r="I2" s="41"/>
      <c r="K2" s="41"/>
      <c r="L2" s="41"/>
    </row>
    <row r="3" spans="1:1025" ht="16.5" customHeight="1" thickBot="1" x14ac:dyDescent="0.25">
      <c r="A3" s="147" t="s">
        <v>45</v>
      </c>
      <c r="B3" s="148"/>
      <c r="C3" s="149" t="str">
        <f>'Necesidades Trimestrales'!C4</f>
        <v>040 - Ministerio de Salud</v>
      </c>
      <c r="D3" s="149"/>
      <c r="E3" s="149"/>
      <c r="F3" s="149"/>
      <c r="G3" s="149"/>
      <c r="H3" s="149"/>
      <c r="I3" s="149"/>
      <c r="J3" s="149"/>
      <c r="K3" s="149"/>
      <c r="AMK3" s="39"/>
    </row>
    <row r="4" spans="1:1025" ht="16.5" thickBot="1" x14ac:dyDescent="0.25">
      <c r="A4" s="147" t="s">
        <v>46</v>
      </c>
      <c r="B4" s="148"/>
      <c r="C4" s="149" t="str">
        <f>'Necesidades Trimestrales'!C5</f>
        <v>011 - Direccion Provincial de Administracion - MS</v>
      </c>
      <c r="D4" s="149"/>
      <c r="E4" s="149"/>
      <c r="F4" s="149"/>
      <c r="G4" s="149"/>
      <c r="H4" s="149"/>
      <c r="I4" s="149"/>
      <c r="J4" s="149"/>
      <c r="K4" s="149"/>
      <c r="AMK4" s="39"/>
    </row>
    <row r="5" spans="1:1025" ht="16.5" customHeight="1" thickBot="1" x14ac:dyDescent="0.25">
      <c r="A5" s="147" t="s">
        <v>24</v>
      </c>
      <c r="B5" s="148"/>
      <c r="C5" s="149" t="s">
        <v>164</v>
      </c>
      <c r="D5" s="149"/>
      <c r="E5" s="149"/>
      <c r="F5" s="149"/>
      <c r="G5" s="149"/>
      <c r="H5" s="149"/>
      <c r="I5" s="149"/>
      <c r="J5" s="149"/>
      <c r="K5" s="149"/>
      <c r="AMK5" s="39"/>
    </row>
    <row r="6" spans="1:1025" ht="16.5" customHeight="1" thickBot="1" x14ac:dyDescent="0.25">
      <c r="A6" s="147" t="s">
        <v>47</v>
      </c>
      <c r="B6" s="148"/>
      <c r="C6" s="149" t="s">
        <v>164</v>
      </c>
      <c r="D6" s="149"/>
      <c r="E6" s="149"/>
      <c r="F6" s="149"/>
      <c r="G6" s="149"/>
      <c r="H6" s="149"/>
      <c r="I6" s="149"/>
      <c r="J6" s="149"/>
      <c r="K6" s="149"/>
      <c r="AMK6" s="39"/>
    </row>
    <row r="7" spans="1:1025" ht="16.5" customHeight="1" thickBot="1" x14ac:dyDescent="0.25">
      <c r="A7" s="150" t="s">
        <v>14</v>
      </c>
      <c r="B7" s="151"/>
      <c r="C7" s="149" t="s">
        <v>53</v>
      </c>
      <c r="D7" s="149"/>
      <c r="E7" s="149"/>
      <c r="F7" s="149"/>
      <c r="G7" s="149"/>
      <c r="H7" s="149"/>
      <c r="I7" s="149"/>
      <c r="J7" s="149"/>
      <c r="K7" s="149"/>
      <c r="AMK7" s="39"/>
    </row>
    <row r="8" spans="1:1025" ht="41.25" customHeight="1" thickBot="1" x14ac:dyDescent="0.25">
      <c r="A8" s="152" t="s">
        <v>15</v>
      </c>
      <c r="B8" s="153"/>
      <c r="C8" s="154" t="s">
        <v>60</v>
      </c>
      <c r="D8" s="155"/>
      <c r="E8" s="155"/>
      <c r="F8" s="155"/>
      <c r="G8" s="155"/>
      <c r="H8" s="155"/>
      <c r="I8" s="155"/>
      <c r="J8" s="155"/>
      <c r="K8" s="156"/>
      <c r="AMK8" s="39"/>
    </row>
    <row r="9" spans="1:1025" ht="16.5" thickBot="1" x14ac:dyDescent="0.25">
      <c r="A9" s="43"/>
      <c r="B9" s="43"/>
      <c r="C9" s="43"/>
      <c r="D9" s="44"/>
      <c r="E9" s="44"/>
      <c r="F9" s="44"/>
      <c r="G9" s="44"/>
      <c r="H9" s="45"/>
      <c r="I9" s="44"/>
      <c r="K9" s="44"/>
      <c r="L9" s="44"/>
    </row>
    <row r="10" spans="1:1025" ht="13.5" thickBot="1" x14ac:dyDescent="0.25">
      <c r="A10" s="145" t="s">
        <v>16</v>
      </c>
      <c r="B10" s="145" t="s">
        <v>6</v>
      </c>
      <c r="C10" s="146" t="s">
        <v>17</v>
      </c>
      <c r="D10" s="146"/>
      <c r="E10" s="146"/>
      <c r="F10" s="146"/>
      <c r="G10" s="146"/>
      <c r="H10" s="146" t="s">
        <v>18</v>
      </c>
      <c r="I10" s="146" t="s">
        <v>19</v>
      </c>
      <c r="J10" s="143" t="s">
        <v>20</v>
      </c>
      <c r="K10" s="146" t="s">
        <v>21</v>
      </c>
      <c r="AMK10" s="39"/>
    </row>
    <row r="11" spans="1:1025" ht="35.25" customHeight="1" thickBot="1" x14ac:dyDescent="0.25">
      <c r="A11" s="145"/>
      <c r="B11" s="145"/>
      <c r="C11" s="146"/>
      <c r="D11" s="146"/>
      <c r="E11" s="146"/>
      <c r="F11" s="146"/>
      <c r="G11" s="146"/>
      <c r="H11" s="146"/>
      <c r="I11" s="146"/>
      <c r="J11" s="144"/>
      <c r="K11" s="146"/>
      <c r="AMK11" s="39"/>
    </row>
    <row r="12" spans="1:1025" ht="46.5" customHeight="1" thickBot="1" x14ac:dyDescent="0.25">
      <c r="A12" s="46">
        <v>1</v>
      </c>
      <c r="B12" s="47" t="str">
        <f>+'Necesidades Trimestrales'!B41</f>
        <v>2.5.2-1875.55</v>
      </c>
      <c r="C12" s="133" t="str">
        <f>+'Necesidades Trimestrales'!E41</f>
        <v>ANTIASMATICO BRONCODILATADOR; TIPO: MONODROGA, DROGA GENERICA: SALBUTAMOL, FORMA FARMACEUTICA: AEROSOL, PRESENTACION: 250 DOSIS</v>
      </c>
      <c r="D12" s="133"/>
      <c r="E12" s="133"/>
      <c r="F12" s="133"/>
      <c r="G12" s="133"/>
      <c r="H12" s="46" t="s">
        <v>130</v>
      </c>
      <c r="I12" s="48" t="str">
        <f>+'Necesidades Trimestrales'!F41</f>
        <v>UNIDAD</v>
      </c>
      <c r="J12" s="69">
        <f>+'Necesidades Trimestrales'!N41</f>
        <v>1580</v>
      </c>
      <c r="K12" s="49">
        <f>'Necesidades Trimestrales'!I41</f>
        <v>3000</v>
      </c>
      <c r="AMK12" s="39"/>
    </row>
    <row r="13" spans="1:1025" s="66" customFormat="1" ht="16.5" thickBot="1" x14ac:dyDescent="0.25">
      <c r="A13" s="134" t="s">
        <v>165</v>
      </c>
      <c r="B13" s="134"/>
      <c r="C13" s="134"/>
      <c r="D13" s="134"/>
      <c r="E13" s="134"/>
      <c r="F13" s="134"/>
      <c r="G13" s="134"/>
      <c r="H13" s="134"/>
      <c r="I13" s="134"/>
      <c r="J13" s="135">
        <f>SUMPRODUCT(J12:J12,K12:K12)</f>
        <v>4740000</v>
      </c>
      <c r="K13" s="135"/>
      <c r="L13" s="64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65"/>
      <c r="JQ13" s="65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65"/>
      <c r="KR13" s="65"/>
      <c r="KS13" s="65"/>
      <c r="KT13" s="65"/>
      <c r="KU13" s="65"/>
      <c r="KV13" s="65"/>
      <c r="KW13" s="65"/>
      <c r="KX13" s="65"/>
      <c r="KY13" s="65"/>
      <c r="KZ13" s="65"/>
      <c r="LA13" s="65"/>
      <c r="LB13" s="65"/>
      <c r="LC13" s="65"/>
      <c r="LD13" s="65"/>
      <c r="LE13" s="65"/>
      <c r="LF13" s="65"/>
      <c r="LG13" s="65"/>
      <c r="LH13" s="65"/>
      <c r="LI13" s="65"/>
      <c r="LJ13" s="65"/>
      <c r="LK13" s="65"/>
      <c r="LL13" s="65"/>
      <c r="LM13" s="65"/>
      <c r="LN13" s="65"/>
      <c r="LO13" s="65"/>
      <c r="LP13" s="65"/>
      <c r="LQ13" s="65"/>
      <c r="LR13" s="65"/>
      <c r="LS13" s="65"/>
      <c r="LT13" s="65"/>
      <c r="LU13" s="65"/>
      <c r="LV13" s="65"/>
      <c r="LW13" s="65"/>
      <c r="LX13" s="65"/>
      <c r="LY13" s="65"/>
      <c r="LZ13" s="65"/>
      <c r="MA13" s="65"/>
      <c r="MB13" s="65"/>
      <c r="MC13" s="65"/>
      <c r="MD13" s="65"/>
      <c r="ME13" s="65"/>
      <c r="MF13" s="65"/>
      <c r="MG13" s="65"/>
      <c r="MH13" s="65"/>
      <c r="MI13" s="65"/>
      <c r="MJ13" s="65"/>
      <c r="MK13" s="65"/>
      <c r="ML13" s="65"/>
      <c r="MM13" s="65"/>
      <c r="MN13" s="65"/>
      <c r="MO13" s="65"/>
      <c r="MP13" s="65"/>
      <c r="MQ13" s="65"/>
      <c r="MR13" s="65"/>
      <c r="MS13" s="65"/>
      <c r="MT13" s="65"/>
      <c r="MU13" s="65"/>
      <c r="MV13" s="65"/>
      <c r="MW13" s="65"/>
      <c r="MX13" s="65"/>
      <c r="MY13" s="65"/>
      <c r="MZ13" s="65"/>
      <c r="NA13" s="65"/>
      <c r="NB13" s="65"/>
      <c r="NC13" s="65"/>
      <c r="ND13" s="65"/>
      <c r="NE13" s="65"/>
      <c r="NF13" s="65"/>
      <c r="NG13" s="65"/>
      <c r="NH13" s="65"/>
      <c r="NI13" s="65"/>
      <c r="NJ13" s="65"/>
      <c r="NK13" s="65"/>
      <c r="NL13" s="65"/>
      <c r="NM13" s="65"/>
      <c r="NN13" s="65"/>
      <c r="NO13" s="65"/>
      <c r="NP13" s="65"/>
      <c r="NQ13" s="65"/>
      <c r="NR13" s="65"/>
      <c r="NS13" s="65"/>
      <c r="NT13" s="65"/>
      <c r="NU13" s="65"/>
      <c r="NV13" s="65"/>
      <c r="NW13" s="65"/>
      <c r="NX13" s="65"/>
      <c r="NY13" s="65"/>
      <c r="NZ13" s="65"/>
      <c r="OA13" s="65"/>
      <c r="OB13" s="65"/>
      <c r="OC13" s="65"/>
      <c r="OD13" s="65"/>
      <c r="OE13" s="65"/>
      <c r="OF13" s="65"/>
      <c r="OG13" s="65"/>
      <c r="OH13" s="65"/>
      <c r="OI13" s="65"/>
      <c r="OJ13" s="65"/>
      <c r="OK13" s="65"/>
      <c r="OL13" s="65"/>
      <c r="OM13" s="65"/>
      <c r="ON13" s="65"/>
      <c r="OO13" s="65"/>
      <c r="OP13" s="65"/>
      <c r="OQ13" s="65"/>
      <c r="OR13" s="65"/>
      <c r="OS13" s="65"/>
      <c r="OT13" s="65"/>
      <c r="OU13" s="65"/>
      <c r="OV13" s="65"/>
      <c r="OW13" s="65"/>
      <c r="OX13" s="65"/>
      <c r="OY13" s="65"/>
      <c r="OZ13" s="65"/>
      <c r="PA13" s="65"/>
      <c r="PB13" s="65"/>
      <c r="PC13" s="65"/>
      <c r="PD13" s="65"/>
      <c r="PE13" s="65"/>
      <c r="PF13" s="65"/>
      <c r="PG13" s="65"/>
      <c r="PH13" s="65"/>
      <c r="PI13" s="65"/>
      <c r="PJ13" s="65"/>
      <c r="PK13" s="65"/>
      <c r="PL13" s="65"/>
      <c r="PM13" s="65"/>
      <c r="PN13" s="65"/>
      <c r="PO13" s="65"/>
      <c r="PP13" s="65"/>
      <c r="PQ13" s="65"/>
      <c r="PR13" s="65"/>
      <c r="PS13" s="65"/>
      <c r="PT13" s="65"/>
      <c r="PU13" s="65"/>
      <c r="PV13" s="65"/>
      <c r="PW13" s="65"/>
      <c r="PX13" s="65"/>
      <c r="PY13" s="65"/>
      <c r="PZ13" s="65"/>
      <c r="QA13" s="65"/>
      <c r="QB13" s="65"/>
      <c r="QC13" s="65"/>
      <c r="QD13" s="65"/>
      <c r="QE13" s="65"/>
      <c r="QF13" s="65"/>
      <c r="QG13" s="65"/>
      <c r="QH13" s="65"/>
      <c r="QI13" s="65"/>
      <c r="QJ13" s="65"/>
      <c r="QK13" s="65"/>
      <c r="QL13" s="65"/>
      <c r="QM13" s="65"/>
      <c r="QN13" s="65"/>
      <c r="QO13" s="65"/>
      <c r="QP13" s="65"/>
      <c r="QQ13" s="65"/>
      <c r="QR13" s="65"/>
      <c r="QS13" s="65"/>
      <c r="QT13" s="65"/>
      <c r="QU13" s="65"/>
      <c r="QV13" s="65"/>
      <c r="QW13" s="65"/>
      <c r="QX13" s="65"/>
      <c r="QY13" s="65"/>
      <c r="QZ13" s="65"/>
      <c r="RA13" s="65"/>
      <c r="RB13" s="65"/>
      <c r="RC13" s="65"/>
      <c r="RD13" s="65"/>
      <c r="RE13" s="65"/>
      <c r="RF13" s="65"/>
      <c r="RG13" s="65"/>
      <c r="RH13" s="65"/>
      <c r="RI13" s="65"/>
      <c r="RJ13" s="65"/>
      <c r="RK13" s="65"/>
      <c r="RL13" s="65"/>
      <c r="RM13" s="65"/>
      <c r="RN13" s="65"/>
      <c r="RO13" s="65"/>
      <c r="RP13" s="65"/>
      <c r="RQ13" s="65"/>
      <c r="RR13" s="65"/>
      <c r="RS13" s="65"/>
      <c r="RT13" s="65"/>
      <c r="RU13" s="65"/>
      <c r="RV13" s="65"/>
      <c r="RW13" s="65"/>
      <c r="RX13" s="65"/>
      <c r="RY13" s="65"/>
      <c r="RZ13" s="65"/>
      <c r="SA13" s="65"/>
      <c r="SB13" s="65"/>
      <c r="SC13" s="65"/>
      <c r="SD13" s="65"/>
      <c r="SE13" s="65"/>
      <c r="SF13" s="65"/>
      <c r="SG13" s="65"/>
      <c r="SH13" s="65"/>
      <c r="SI13" s="65"/>
      <c r="SJ13" s="65"/>
      <c r="SK13" s="65"/>
      <c r="SL13" s="65"/>
      <c r="SM13" s="65"/>
      <c r="SN13" s="65"/>
      <c r="SO13" s="65"/>
      <c r="SP13" s="65"/>
      <c r="SQ13" s="65"/>
      <c r="SR13" s="65"/>
      <c r="SS13" s="65"/>
      <c r="ST13" s="65"/>
      <c r="SU13" s="65"/>
      <c r="SV13" s="65"/>
      <c r="SW13" s="65"/>
      <c r="SX13" s="65"/>
      <c r="SY13" s="65"/>
      <c r="SZ13" s="65"/>
      <c r="TA13" s="65"/>
      <c r="TB13" s="65"/>
      <c r="TC13" s="65"/>
      <c r="TD13" s="65"/>
      <c r="TE13" s="65"/>
      <c r="TF13" s="65"/>
      <c r="TG13" s="65"/>
      <c r="TH13" s="65"/>
      <c r="TI13" s="65"/>
      <c r="TJ13" s="65"/>
      <c r="TK13" s="65"/>
      <c r="TL13" s="65"/>
      <c r="TM13" s="65"/>
      <c r="TN13" s="65"/>
      <c r="TO13" s="65"/>
      <c r="TP13" s="65"/>
      <c r="TQ13" s="65"/>
      <c r="TR13" s="65"/>
      <c r="TS13" s="65"/>
      <c r="TT13" s="65"/>
      <c r="TU13" s="65"/>
      <c r="TV13" s="65"/>
      <c r="TW13" s="65"/>
      <c r="TX13" s="65"/>
      <c r="TY13" s="65"/>
      <c r="TZ13" s="65"/>
      <c r="UA13" s="65"/>
      <c r="UB13" s="65"/>
      <c r="UC13" s="65"/>
      <c r="UD13" s="65"/>
      <c r="UE13" s="65"/>
      <c r="UF13" s="65"/>
      <c r="UG13" s="65"/>
      <c r="UH13" s="65"/>
      <c r="UI13" s="65"/>
      <c r="UJ13" s="65"/>
      <c r="UK13" s="65"/>
      <c r="UL13" s="65"/>
      <c r="UM13" s="65"/>
      <c r="UN13" s="65"/>
      <c r="UO13" s="65"/>
      <c r="UP13" s="65"/>
      <c r="UQ13" s="65"/>
      <c r="UR13" s="65"/>
      <c r="US13" s="65"/>
      <c r="UT13" s="65"/>
      <c r="UU13" s="65"/>
      <c r="UV13" s="65"/>
      <c r="UW13" s="65"/>
      <c r="UX13" s="65"/>
      <c r="UY13" s="65"/>
      <c r="UZ13" s="65"/>
      <c r="VA13" s="65"/>
      <c r="VB13" s="65"/>
      <c r="VC13" s="65"/>
      <c r="VD13" s="65"/>
      <c r="VE13" s="65"/>
      <c r="VF13" s="65"/>
      <c r="VG13" s="65"/>
      <c r="VH13" s="65"/>
      <c r="VI13" s="65"/>
      <c r="VJ13" s="65"/>
      <c r="VK13" s="65"/>
      <c r="VL13" s="65"/>
      <c r="VM13" s="65"/>
      <c r="VN13" s="65"/>
      <c r="VO13" s="65"/>
      <c r="VP13" s="65"/>
      <c r="VQ13" s="65"/>
      <c r="VR13" s="65"/>
      <c r="VS13" s="65"/>
      <c r="VT13" s="65"/>
      <c r="VU13" s="65"/>
      <c r="VV13" s="65"/>
      <c r="VW13" s="65"/>
      <c r="VX13" s="65"/>
      <c r="VY13" s="65"/>
      <c r="VZ13" s="65"/>
      <c r="WA13" s="65"/>
      <c r="WB13" s="65"/>
      <c r="WC13" s="65"/>
      <c r="WD13" s="65"/>
      <c r="WE13" s="65"/>
      <c r="WF13" s="65"/>
      <c r="WG13" s="65"/>
      <c r="WH13" s="65"/>
      <c r="WI13" s="65"/>
      <c r="WJ13" s="65"/>
      <c r="WK13" s="65"/>
      <c r="WL13" s="65"/>
      <c r="WM13" s="65"/>
      <c r="WN13" s="65"/>
      <c r="WO13" s="65"/>
      <c r="WP13" s="65"/>
      <c r="WQ13" s="65"/>
      <c r="WR13" s="65"/>
      <c r="WS13" s="65"/>
      <c r="WT13" s="65"/>
      <c r="WU13" s="65"/>
      <c r="WV13" s="65"/>
      <c r="WW13" s="65"/>
      <c r="WX13" s="65"/>
      <c r="WY13" s="65"/>
      <c r="WZ13" s="65"/>
      <c r="XA13" s="65"/>
      <c r="XB13" s="65"/>
      <c r="XC13" s="65"/>
      <c r="XD13" s="65"/>
      <c r="XE13" s="65"/>
      <c r="XF13" s="65"/>
      <c r="XG13" s="65"/>
      <c r="XH13" s="65"/>
      <c r="XI13" s="65"/>
      <c r="XJ13" s="65"/>
      <c r="XK13" s="65"/>
      <c r="XL13" s="65"/>
      <c r="XM13" s="65"/>
      <c r="XN13" s="65"/>
      <c r="XO13" s="65"/>
      <c r="XP13" s="65"/>
      <c r="XQ13" s="65"/>
      <c r="XR13" s="65"/>
      <c r="XS13" s="65"/>
      <c r="XT13" s="65"/>
      <c r="XU13" s="65"/>
      <c r="XV13" s="65"/>
      <c r="XW13" s="65"/>
      <c r="XX13" s="65"/>
      <c r="XY13" s="65"/>
      <c r="XZ13" s="65"/>
      <c r="YA13" s="65"/>
      <c r="YB13" s="65"/>
      <c r="YC13" s="65"/>
      <c r="YD13" s="65"/>
      <c r="YE13" s="65"/>
      <c r="YF13" s="65"/>
      <c r="YG13" s="65"/>
      <c r="YH13" s="65"/>
      <c r="YI13" s="65"/>
      <c r="YJ13" s="65"/>
      <c r="YK13" s="65"/>
      <c r="YL13" s="65"/>
      <c r="YM13" s="65"/>
      <c r="YN13" s="65"/>
      <c r="YO13" s="65"/>
      <c r="YP13" s="65"/>
      <c r="YQ13" s="65"/>
      <c r="YR13" s="65"/>
      <c r="YS13" s="65"/>
      <c r="YT13" s="65"/>
      <c r="YU13" s="65"/>
      <c r="YV13" s="65"/>
      <c r="YW13" s="65"/>
      <c r="YX13" s="65"/>
      <c r="YY13" s="65"/>
      <c r="YZ13" s="65"/>
      <c r="ZA13" s="65"/>
      <c r="ZB13" s="65"/>
      <c r="ZC13" s="65"/>
      <c r="ZD13" s="65"/>
      <c r="ZE13" s="65"/>
      <c r="ZF13" s="65"/>
      <c r="ZG13" s="65"/>
      <c r="ZH13" s="65"/>
      <c r="ZI13" s="65"/>
      <c r="ZJ13" s="65"/>
      <c r="ZK13" s="65"/>
      <c r="ZL13" s="65"/>
      <c r="ZM13" s="65"/>
      <c r="ZN13" s="65"/>
      <c r="ZO13" s="65"/>
      <c r="ZP13" s="65"/>
      <c r="ZQ13" s="65"/>
      <c r="ZR13" s="65"/>
      <c r="ZS13" s="65"/>
      <c r="ZT13" s="65"/>
      <c r="ZU13" s="65"/>
      <c r="ZV13" s="65"/>
      <c r="ZW13" s="65"/>
      <c r="ZX13" s="65"/>
      <c r="ZY13" s="65"/>
      <c r="ZZ13" s="65"/>
      <c r="AAA13" s="65"/>
      <c r="AAB13" s="65"/>
      <c r="AAC13" s="65"/>
      <c r="AAD13" s="65"/>
      <c r="AAE13" s="65"/>
      <c r="AAF13" s="65"/>
      <c r="AAG13" s="65"/>
      <c r="AAH13" s="65"/>
      <c r="AAI13" s="65"/>
      <c r="AAJ13" s="65"/>
      <c r="AAK13" s="65"/>
      <c r="AAL13" s="65"/>
      <c r="AAM13" s="65"/>
      <c r="AAN13" s="65"/>
      <c r="AAO13" s="65"/>
      <c r="AAP13" s="65"/>
      <c r="AAQ13" s="65"/>
      <c r="AAR13" s="65"/>
      <c r="AAS13" s="65"/>
      <c r="AAT13" s="65"/>
      <c r="AAU13" s="65"/>
      <c r="AAV13" s="65"/>
      <c r="AAW13" s="65"/>
      <c r="AAX13" s="65"/>
      <c r="AAY13" s="65"/>
      <c r="AAZ13" s="65"/>
      <c r="ABA13" s="65"/>
      <c r="ABB13" s="65"/>
      <c r="ABC13" s="65"/>
      <c r="ABD13" s="65"/>
      <c r="ABE13" s="65"/>
      <c r="ABF13" s="65"/>
      <c r="ABG13" s="65"/>
      <c r="ABH13" s="65"/>
      <c r="ABI13" s="65"/>
      <c r="ABJ13" s="65"/>
      <c r="ABK13" s="65"/>
      <c r="ABL13" s="65"/>
      <c r="ABM13" s="65"/>
      <c r="ABN13" s="65"/>
      <c r="ABO13" s="65"/>
      <c r="ABP13" s="65"/>
      <c r="ABQ13" s="65"/>
      <c r="ABR13" s="65"/>
      <c r="ABS13" s="65"/>
      <c r="ABT13" s="65"/>
      <c r="ABU13" s="65"/>
      <c r="ABV13" s="65"/>
      <c r="ABW13" s="65"/>
      <c r="ABX13" s="65"/>
      <c r="ABY13" s="65"/>
      <c r="ABZ13" s="65"/>
      <c r="ACA13" s="65"/>
      <c r="ACB13" s="65"/>
      <c r="ACC13" s="65"/>
      <c r="ACD13" s="65"/>
      <c r="ACE13" s="65"/>
      <c r="ACF13" s="65"/>
      <c r="ACG13" s="65"/>
      <c r="ACH13" s="65"/>
      <c r="ACI13" s="65"/>
      <c r="ACJ13" s="65"/>
      <c r="ACK13" s="65"/>
      <c r="ACL13" s="65"/>
      <c r="ACM13" s="65"/>
      <c r="ACN13" s="65"/>
      <c r="ACO13" s="65"/>
      <c r="ACP13" s="65"/>
      <c r="ACQ13" s="65"/>
      <c r="ACR13" s="65"/>
      <c r="ACS13" s="65"/>
      <c r="ACT13" s="65"/>
      <c r="ACU13" s="65"/>
      <c r="ACV13" s="65"/>
      <c r="ACW13" s="65"/>
      <c r="ACX13" s="65"/>
      <c r="ACY13" s="65"/>
      <c r="ACZ13" s="65"/>
      <c r="ADA13" s="65"/>
      <c r="ADB13" s="65"/>
      <c r="ADC13" s="65"/>
      <c r="ADD13" s="65"/>
      <c r="ADE13" s="65"/>
      <c r="ADF13" s="65"/>
      <c r="ADG13" s="65"/>
      <c r="ADH13" s="65"/>
      <c r="ADI13" s="65"/>
      <c r="ADJ13" s="65"/>
      <c r="ADK13" s="65"/>
      <c r="ADL13" s="65"/>
      <c r="ADM13" s="65"/>
      <c r="ADN13" s="65"/>
      <c r="ADO13" s="65"/>
      <c r="ADP13" s="65"/>
      <c r="ADQ13" s="65"/>
      <c r="ADR13" s="65"/>
      <c r="ADS13" s="65"/>
      <c r="ADT13" s="65"/>
      <c r="ADU13" s="65"/>
      <c r="ADV13" s="65"/>
      <c r="ADW13" s="65"/>
      <c r="ADX13" s="65"/>
      <c r="ADY13" s="65"/>
      <c r="ADZ13" s="65"/>
      <c r="AEA13" s="65"/>
      <c r="AEB13" s="65"/>
      <c r="AEC13" s="65"/>
      <c r="AED13" s="65"/>
      <c r="AEE13" s="65"/>
      <c r="AEF13" s="65"/>
      <c r="AEG13" s="65"/>
      <c r="AEH13" s="65"/>
      <c r="AEI13" s="65"/>
      <c r="AEJ13" s="65"/>
      <c r="AEK13" s="65"/>
      <c r="AEL13" s="65"/>
      <c r="AEM13" s="65"/>
      <c r="AEN13" s="65"/>
      <c r="AEO13" s="65"/>
      <c r="AEP13" s="65"/>
      <c r="AEQ13" s="65"/>
      <c r="AER13" s="65"/>
      <c r="AES13" s="65"/>
      <c r="AET13" s="65"/>
      <c r="AEU13" s="65"/>
      <c r="AEV13" s="65"/>
      <c r="AEW13" s="65"/>
      <c r="AEX13" s="65"/>
      <c r="AEY13" s="65"/>
      <c r="AEZ13" s="65"/>
      <c r="AFA13" s="65"/>
      <c r="AFB13" s="65"/>
      <c r="AFC13" s="65"/>
      <c r="AFD13" s="65"/>
      <c r="AFE13" s="65"/>
      <c r="AFF13" s="65"/>
      <c r="AFG13" s="65"/>
      <c r="AFH13" s="65"/>
      <c r="AFI13" s="65"/>
      <c r="AFJ13" s="65"/>
      <c r="AFK13" s="65"/>
      <c r="AFL13" s="65"/>
      <c r="AFM13" s="65"/>
      <c r="AFN13" s="65"/>
      <c r="AFO13" s="65"/>
      <c r="AFP13" s="65"/>
      <c r="AFQ13" s="65"/>
      <c r="AFR13" s="65"/>
      <c r="AFS13" s="65"/>
      <c r="AFT13" s="65"/>
      <c r="AFU13" s="65"/>
      <c r="AFV13" s="65"/>
      <c r="AFW13" s="65"/>
      <c r="AFX13" s="65"/>
      <c r="AFY13" s="65"/>
      <c r="AFZ13" s="65"/>
      <c r="AGA13" s="65"/>
      <c r="AGB13" s="65"/>
      <c r="AGC13" s="65"/>
      <c r="AGD13" s="65"/>
      <c r="AGE13" s="65"/>
      <c r="AGF13" s="65"/>
      <c r="AGG13" s="65"/>
      <c r="AGH13" s="65"/>
      <c r="AGI13" s="65"/>
      <c r="AGJ13" s="65"/>
      <c r="AGK13" s="65"/>
      <c r="AGL13" s="65"/>
      <c r="AGM13" s="65"/>
      <c r="AGN13" s="65"/>
      <c r="AGO13" s="65"/>
      <c r="AGP13" s="65"/>
      <c r="AGQ13" s="65"/>
      <c r="AGR13" s="65"/>
      <c r="AGS13" s="65"/>
      <c r="AGT13" s="65"/>
      <c r="AGU13" s="65"/>
      <c r="AGV13" s="65"/>
      <c r="AGW13" s="65"/>
      <c r="AGX13" s="65"/>
      <c r="AGY13" s="65"/>
      <c r="AGZ13" s="65"/>
      <c r="AHA13" s="65"/>
      <c r="AHB13" s="65"/>
      <c r="AHC13" s="65"/>
      <c r="AHD13" s="65"/>
      <c r="AHE13" s="65"/>
      <c r="AHF13" s="65"/>
      <c r="AHG13" s="65"/>
      <c r="AHH13" s="65"/>
      <c r="AHI13" s="65"/>
      <c r="AHJ13" s="65"/>
      <c r="AHK13" s="65"/>
      <c r="AHL13" s="65"/>
      <c r="AHM13" s="65"/>
      <c r="AHN13" s="65"/>
      <c r="AHO13" s="65"/>
      <c r="AHP13" s="65"/>
      <c r="AHQ13" s="65"/>
      <c r="AHR13" s="65"/>
      <c r="AHS13" s="65"/>
      <c r="AHT13" s="65"/>
      <c r="AHU13" s="65"/>
      <c r="AHV13" s="65"/>
      <c r="AHW13" s="65"/>
      <c r="AHX13" s="65"/>
      <c r="AHY13" s="65"/>
      <c r="AHZ13" s="65"/>
      <c r="AIA13" s="65"/>
      <c r="AIB13" s="65"/>
      <c r="AIC13" s="65"/>
      <c r="AID13" s="65"/>
      <c r="AIE13" s="65"/>
      <c r="AIF13" s="65"/>
      <c r="AIG13" s="65"/>
      <c r="AIH13" s="65"/>
      <c r="AII13" s="65"/>
      <c r="AIJ13" s="65"/>
      <c r="AIK13" s="65"/>
      <c r="AIL13" s="65"/>
      <c r="AIM13" s="65"/>
      <c r="AIN13" s="65"/>
      <c r="AIO13" s="65"/>
      <c r="AIP13" s="65"/>
      <c r="AIQ13" s="65"/>
      <c r="AIR13" s="65"/>
      <c r="AIS13" s="65"/>
      <c r="AIT13" s="65"/>
      <c r="AIU13" s="65"/>
      <c r="AIV13" s="65"/>
      <c r="AIW13" s="65"/>
      <c r="AIX13" s="65"/>
      <c r="AIY13" s="65"/>
      <c r="AIZ13" s="65"/>
      <c r="AJA13" s="65"/>
      <c r="AJB13" s="65"/>
      <c r="AJC13" s="65"/>
      <c r="AJD13" s="65"/>
      <c r="AJE13" s="65"/>
      <c r="AJF13" s="65"/>
      <c r="AJG13" s="65"/>
      <c r="AJH13" s="65"/>
      <c r="AJI13" s="65"/>
      <c r="AJJ13" s="65"/>
      <c r="AJK13" s="65"/>
      <c r="AJL13" s="65"/>
      <c r="AJM13" s="65"/>
      <c r="AJN13" s="65"/>
      <c r="AJO13" s="65"/>
      <c r="AJP13" s="65"/>
      <c r="AJQ13" s="65"/>
      <c r="AJR13" s="65"/>
      <c r="AJS13" s="65"/>
      <c r="AJT13" s="65"/>
      <c r="AJU13" s="65"/>
      <c r="AJV13" s="65"/>
      <c r="AJW13" s="65"/>
      <c r="AJX13" s="65"/>
      <c r="AJY13" s="65"/>
      <c r="AJZ13" s="65"/>
      <c r="AKA13" s="65"/>
      <c r="AKB13" s="65"/>
      <c r="AKC13" s="65"/>
      <c r="AKD13" s="65"/>
      <c r="AKE13" s="65"/>
      <c r="AKF13" s="65"/>
      <c r="AKG13" s="65"/>
      <c r="AKH13" s="65"/>
      <c r="AKI13" s="65"/>
      <c r="AKJ13" s="65"/>
      <c r="AKK13" s="65"/>
      <c r="AKL13" s="65"/>
      <c r="AKM13" s="65"/>
      <c r="AKN13" s="65"/>
      <c r="AKO13" s="65"/>
      <c r="AKP13" s="65"/>
      <c r="AKQ13" s="65"/>
      <c r="AKR13" s="65"/>
      <c r="AKS13" s="65"/>
      <c r="AKT13" s="65"/>
      <c r="AKU13" s="65"/>
      <c r="AKV13" s="65"/>
      <c r="AKW13" s="65"/>
      <c r="AKX13" s="65"/>
      <c r="AKY13" s="65"/>
      <c r="AKZ13" s="65"/>
      <c r="ALA13" s="65"/>
      <c r="ALB13" s="65"/>
      <c r="ALC13" s="65"/>
      <c r="ALD13" s="65"/>
      <c r="ALE13" s="65"/>
      <c r="ALF13" s="65"/>
      <c r="ALG13" s="65"/>
      <c r="ALH13" s="65"/>
      <c r="ALI13" s="65"/>
      <c r="ALJ13" s="65"/>
      <c r="ALK13" s="65"/>
      <c r="ALL13" s="65"/>
      <c r="ALM13" s="65"/>
      <c r="ALN13" s="65"/>
      <c r="ALO13" s="65"/>
      <c r="ALP13" s="65"/>
      <c r="ALQ13" s="65"/>
      <c r="ALR13" s="65"/>
      <c r="ALS13" s="65"/>
      <c r="ALT13" s="65"/>
      <c r="ALU13" s="65"/>
      <c r="ALV13" s="65"/>
      <c r="ALW13" s="65"/>
      <c r="ALX13" s="65"/>
      <c r="ALY13" s="65"/>
      <c r="ALZ13" s="65"/>
      <c r="AMA13" s="65"/>
      <c r="AMB13" s="65"/>
      <c r="AMC13" s="65"/>
      <c r="AMD13" s="65"/>
      <c r="AME13" s="65"/>
      <c r="AMF13" s="65"/>
      <c r="AMG13" s="65"/>
      <c r="AMH13" s="65"/>
      <c r="AMI13" s="65"/>
      <c r="AMJ13" s="65"/>
      <c r="AMK13" s="65"/>
    </row>
  </sheetData>
  <mergeCells count="23">
    <mergeCell ref="A5:B5"/>
    <mergeCell ref="C5:K5"/>
    <mergeCell ref="A1:I1"/>
    <mergeCell ref="A3:B3"/>
    <mergeCell ref="C3:K3"/>
    <mergeCell ref="A4:B4"/>
    <mergeCell ref="C4:K4"/>
    <mergeCell ref="A6:B6"/>
    <mergeCell ref="C6:K6"/>
    <mergeCell ref="A7:B7"/>
    <mergeCell ref="C7:K7"/>
    <mergeCell ref="A8:B8"/>
    <mergeCell ref="C8:K8"/>
    <mergeCell ref="C12:G12"/>
    <mergeCell ref="A13:I13"/>
    <mergeCell ref="J13:K13"/>
    <mergeCell ref="K10:K11"/>
    <mergeCell ref="A10:A11"/>
    <mergeCell ref="B10:B11"/>
    <mergeCell ref="C10:G11"/>
    <mergeCell ref="H10:H11"/>
    <mergeCell ref="I10:I11"/>
    <mergeCell ref="J10:J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opLeftCell="A4" zoomScale="130" zoomScaleNormal="130" workbookViewId="0">
      <selection activeCell="O16" sqref="O16:P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79" t="s">
        <v>3</v>
      </c>
      <c r="B1" s="179"/>
      <c r="C1" s="179"/>
      <c r="D1" s="180">
        <f>'Necesidades Trimestrales'!C6</f>
        <v>2022</v>
      </c>
      <c r="E1" s="180"/>
      <c r="F1" s="2"/>
      <c r="G1" s="2"/>
      <c r="H1" s="3"/>
      <c r="I1" s="3"/>
      <c r="J1" s="3"/>
      <c r="K1" s="3"/>
      <c r="L1" s="3"/>
      <c r="M1" s="3"/>
      <c r="N1" s="3"/>
      <c r="P1" s="181" t="s">
        <v>22</v>
      </c>
      <c r="Q1" s="181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181"/>
      <c r="Q2" s="181"/>
    </row>
    <row r="4" spans="1:17" s="4" customFormat="1" ht="18" customHeight="1" thickBot="1" x14ac:dyDescent="0.25">
      <c r="A4" s="182" t="s">
        <v>23</v>
      </c>
      <c r="B4" s="182"/>
      <c r="C4" s="182"/>
      <c r="D4" s="182"/>
      <c r="E4" s="182"/>
      <c r="F4" s="182"/>
      <c r="G4" s="183" t="str">
        <f>'NP DPMIyA'!C3</f>
        <v>040 - Ministerio de Salud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 s="70" customFormat="1" ht="18" customHeight="1" thickBot="1" x14ac:dyDescent="0.25">
      <c r="A5" s="168" t="s">
        <v>46</v>
      </c>
      <c r="B5" s="169"/>
      <c r="C5" s="169"/>
      <c r="D5" s="169"/>
      <c r="E5" s="169"/>
      <c r="F5" s="170"/>
      <c r="G5" s="171" t="str">
        <f>'NP DPMIyA'!C4</f>
        <v>011 - Direccion Provincial de Administracion - MS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s="70" customFormat="1" ht="18" customHeight="1" thickBot="1" x14ac:dyDescent="0.25">
      <c r="A6" s="168" t="s">
        <v>24</v>
      </c>
      <c r="B6" s="169"/>
      <c r="C6" s="169"/>
      <c r="D6" s="169"/>
      <c r="E6" s="169"/>
      <c r="F6" s="170"/>
      <c r="G6" s="171" t="str">
        <f>'NP DPMIyA'!C5</f>
        <v>162 - Direccion Provincial Maternidad, Infancia y Adolescencia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s="70" customFormat="1" ht="18" customHeight="1" thickBot="1" x14ac:dyDescent="0.25">
      <c r="A7" s="168" t="s">
        <v>47</v>
      </c>
      <c r="B7" s="169"/>
      <c r="C7" s="169"/>
      <c r="D7" s="169"/>
      <c r="E7" s="169"/>
      <c r="F7" s="170"/>
      <c r="G7" s="171" t="str">
        <f>'NP DPMIyA'!C6</f>
        <v>162 - Direccion Provincial Maternidad, Infancia y Adolescencia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s="39" customFormat="1" ht="18" customHeight="1" thickBot="1" x14ac:dyDescent="0.25">
      <c r="A8" s="172" t="s">
        <v>25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</row>
    <row r="9" spans="1:17" s="39" customFormat="1" ht="18" customHeight="1" x14ac:dyDescent="0.2">
      <c r="A9" s="173" t="s">
        <v>26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Q9" s="71"/>
    </row>
    <row r="10" spans="1:17" s="39" customFormat="1" ht="54.75" customHeight="1" x14ac:dyDescent="0.2">
      <c r="A10" s="174" t="str">
        <f>"Autorizo la realización de los  trámites correspondientes, a fin de proveer a  este Organismo los bienes y/o servicios que se detallan en Nota  de Pedido N° " &amp; 'NP DPMIyA'!K1&amp;",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</row>
    <row r="11" spans="1:17" s="39" customFormat="1" ht="9" customHeight="1" thickBot="1" x14ac:dyDescent="0.25">
      <c r="A11" s="72"/>
      <c r="B11" s="73"/>
      <c r="C11" s="73"/>
      <c r="D11" s="73"/>
      <c r="E11" s="73"/>
      <c r="F11" s="73"/>
      <c r="G11" s="74"/>
      <c r="H11" s="73"/>
      <c r="I11" s="73"/>
      <c r="J11" s="73"/>
      <c r="K11" s="73"/>
      <c r="L11" s="73"/>
      <c r="M11" s="73"/>
      <c r="N11" s="73"/>
      <c r="O11" s="73"/>
      <c r="P11" s="73"/>
      <c r="Q11" s="75"/>
    </row>
    <row r="12" spans="1:17" s="39" customFormat="1" ht="15.75" customHeight="1" thickBot="1" x14ac:dyDescent="0.25">
      <c r="A12" s="175" t="s">
        <v>27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</row>
    <row r="13" spans="1:17" s="39" customFormat="1" ht="15.75" customHeight="1" thickBot="1" x14ac:dyDescent="0.25">
      <c r="A13" s="176" t="s">
        <v>28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7" t="s">
        <v>29</v>
      </c>
      <c r="P13" s="177"/>
      <c r="Q13" s="178" t="s">
        <v>30</v>
      </c>
    </row>
    <row r="14" spans="1:17" s="39" customFormat="1" ht="15.75" customHeight="1" thickBot="1" x14ac:dyDescent="0.25">
      <c r="A14" s="76" t="s">
        <v>31</v>
      </c>
      <c r="B14" s="77" t="s">
        <v>32</v>
      </c>
      <c r="C14" s="77" t="s">
        <v>33</v>
      </c>
      <c r="D14" s="77" t="s">
        <v>34</v>
      </c>
      <c r="E14" s="77" t="s">
        <v>35</v>
      </c>
      <c r="F14" s="77" t="s">
        <v>36</v>
      </c>
      <c r="G14" s="78" t="s">
        <v>37</v>
      </c>
      <c r="H14" s="77" t="s">
        <v>38</v>
      </c>
      <c r="I14" s="77" t="s">
        <v>39</v>
      </c>
      <c r="J14" s="77" t="s">
        <v>40</v>
      </c>
      <c r="K14" s="77" t="s">
        <v>40</v>
      </c>
      <c r="L14" s="77" t="s">
        <v>41</v>
      </c>
      <c r="M14" s="79" t="s">
        <v>42</v>
      </c>
      <c r="N14" s="80" t="s">
        <v>43</v>
      </c>
      <c r="O14" s="177"/>
      <c r="P14" s="177"/>
      <c r="Q14" s="178"/>
    </row>
    <row r="15" spans="1:17" s="39" customFormat="1" ht="17.25" customHeight="1" x14ac:dyDescent="0.2">
      <c r="A15" s="81">
        <v>20</v>
      </c>
      <c r="B15" s="82"/>
      <c r="C15" s="82"/>
      <c r="D15" s="82">
        <v>3</v>
      </c>
      <c r="E15" s="82"/>
      <c r="F15" s="82">
        <v>4901</v>
      </c>
      <c r="G15" s="82">
        <v>3</v>
      </c>
      <c r="H15" s="82">
        <v>1</v>
      </c>
      <c r="I15" s="82">
        <v>2</v>
      </c>
      <c r="J15" s="82">
        <v>5</v>
      </c>
      <c r="K15" s="82">
        <v>2</v>
      </c>
      <c r="L15" s="82"/>
      <c r="M15" s="83">
        <v>1</v>
      </c>
      <c r="N15" s="84" t="s">
        <v>49</v>
      </c>
      <c r="O15" s="167" t="s">
        <v>134</v>
      </c>
      <c r="P15" s="167"/>
      <c r="Q15" s="85">
        <f>+'NP DPMIyA'!J13</f>
        <v>4740000</v>
      </c>
    </row>
    <row r="16" spans="1:17" s="39" customFormat="1" ht="17.25" customHeight="1" x14ac:dyDescent="0.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8"/>
      <c r="N16" s="89"/>
      <c r="O16" s="159"/>
      <c r="P16" s="159"/>
      <c r="Q16" s="90"/>
    </row>
    <row r="17" spans="1:17" s="39" customFormat="1" ht="17.25" customHeight="1" x14ac:dyDescent="0.2">
      <c r="A17" s="86"/>
      <c r="B17" s="87"/>
      <c r="C17" s="87"/>
      <c r="D17" s="87"/>
      <c r="E17" s="87"/>
      <c r="F17" s="89"/>
      <c r="G17" s="87"/>
      <c r="H17" s="87"/>
      <c r="I17" s="87"/>
      <c r="J17" s="87"/>
      <c r="K17" s="87"/>
      <c r="L17" s="87"/>
      <c r="M17" s="88"/>
      <c r="N17" s="89"/>
      <c r="O17" s="159"/>
      <c r="P17" s="159"/>
      <c r="Q17" s="90"/>
    </row>
    <row r="18" spans="1:17" s="39" customFormat="1" ht="17.25" customHeight="1" x14ac:dyDescent="0.2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8"/>
      <c r="N18" s="89"/>
      <c r="O18" s="159"/>
      <c r="P18" s="159"/>
      <c r="Q18" s="90"/>
    </row>
    <row r="19" spans="1:17" s="39" customFormat="1" ht="17.25" customHeight="1" x14ac:dyDescent="0.2">
      <c r="A19" s="86"/>
      <c r="B19" s="87"/>
      <c r="C19" s="87"/>
      <c r="D19" s="87"/>
      <c r="E19" s="87"/>
      <c r="F19" s="89"/>
      <c r="G19" s="87"/>
      <c r="H19" s="87"/>
      <c r="I19" s="87"/>
      <c r="J19" s="87"/>
      <c r="K19" s="87"/>
      <c r="L19" s="87"/>
      <c r="M19" s="88"/>
      <c r="N19" s="89"/>
      <c r="O19" s="159"/>
      <c r="P19" s="159"/>
      <c r="Q19" s="90"/>
    </row>
    <row r="20" spans="1:17" s="39" customFormat="1" ht="17.25" customHeight="1" x14ac:dyDescent="0.2">
      <c r="A20" s="86"/>
      <c r="B20" s="87"/>
      <c r="C20" s="87"/>
      <c r="D20" s="87"/>
      <c r="E20" s="87"/>
      <c r="F20" s="89"/>
      <c r="G20" s="87"/>
      <c r="H20" s="87"/>
      <c r="I20" s="87"/>
      <c r="J20" s="87"/>
      <c r="K20" s="87"/>
      <c r="L20" s="87"/>
      <c r="M20" s="88"/>
      <c r="N20" s="89"/>
      <c r="O20" s="159"/>
      <c r="P20" s="159"/>
      <c r="Q20" s="90"/>
    </row>
    <row r="21" spans="1:17" s="39" customFormat="1" ht="17.25" customHeight="1" x14ac:dyDescent="0.2">
      <c r="A21" s="91"/>
      <c r="B21" s="92"/>
      <c r="C21" s="92"/>
      <c r="D21" s="92"/>
      <c r="E21" s="92"/>
      <c r="F21" s="89"/>
      <c r="G21" s="92"/>
      <c r="H21" s="92"/>
      <c r="I21" s="92"/>
      <c r="J21" s="92"/>
      <c r="K21" s="92"/>
      <c r="L21" s="92"/>
      <c r="M21" s="93"/>
      <c r="N21" s="94"/>
      <c r="O21" s="159"/>
      <c r="P21" s="159"/>
      <c r="Q21" s="90"/>
    </row>
    <row r="22" spans="1:17" s="39" customFormat="1" ht="17.25" customHeight="1" thickBot="1" x14ac:dyDescent="0.25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7"/>
      <c r="N22" s="96"/>
      <c r="O22" s="160"/>
      <c r="P22" s="160"/>
      <c r="Q22" s="98"/>
    </row>
    <row r="23" spans="1:17" s="39" customFormat="1" ht="29.25" customHeight="1" thickBot="1" x14ac:dyDescent="0.25">
      <c r="A23" s="161" t="s">
        <v>166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99">
        <f>SUM(Q15:Q22)</f>
        <v>4740000</v>
      </c>
    </row>
    <row r="24" spans="1:17" ht="18" customHeight="1" thickBot="1" x14ac:dyDescent="0.25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1:17" ht="17.25" customHeight="1" thickBot="1" x14ac:dyDescent="0.25">
      <c r="A25" s="163" t="s">
        <v>44</v>
      </c>
      <c r="B25" s="164"/>
      <c r="C25" s="164"/>
      <c r="D25" s="164"/>
      <c r="E25" s="164"/>
      <c r="F25" s="165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</row>
    <row r="26" spans="1:17" ht="18" customHeight="1" thickBot="1" x14ac:dyDescent="0.25">
      <c r="A26" s="158" t="str">
        <f>'NP DPMIyA'!C8</f>
        <v>Adquisición de TERAPIA DERMATOLOGICA/SISTEMA GENITOURINARIO Y HORMONAS SEXUALES /HORMONAS SISTEMICAS /CORTICOIDES SISTEMICOS/RESPIRATORIO/ANTIHISTAMINICOS</v>
      </c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</row>
    <row r="27" spans="1:17" ht="15" customHeight="1" thickBot="1" x14ac:dyDescent="0.25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0"/>
  <sheetViews>
    <sheetView zoomScaleNormal="100" workbookViewId="0">
      <selection activeCell="C15" sqref="C15:G15"/>
    </sheetView>
  </sheetViews>
  <sheetFormatPr baseColWidth="10" defaultColWidth="9.140625" defaultRowHeight="12.75" x14ac:dyDescent="0.2"/>
  <cols>
    <col min="1" max="1" width="5.5703125" style="38" customWidth="1"/>
    <col min="2" max="2" width="16.5703125" style="38" bestFit="1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55" style="38" customWidth="1"/>
    <col min="8" max="8" width="13.42578125" style="38" customWidth="1"/>
    <col min="9" max="9" width="16" style="38" customWidth="1"/>
    <col min="10" max="10" width="15.5703125" style="68" customWidth="1"/>
    <col min="11" max="11" width="14" style="38" customWidth="1"/>
    <col min="12" max="12" width="15.5703125" style="38" customWidth="1"/>
    <col min="13" max="13" width="5.85546875" style="38" customWidth="1"/>
    <col min="14" max="14" width="9.42578125" style="38" customWidth="1"/>
    <col min="15" max="15" width="5.85546875" style="38" customWidth="1"/>
    <col min="16" max="16" width="12.5703125" style="38" customWidth="1"/>
    <col min="17" max="1025" width="9.140625" style="38"/>
    <col min="1026" max="16384" width="9.140625" style="39"/>
  </cols>
  <sheetData>
    <row r="1" spans="1:12 1025:1025" ht="16.5" thickBot="1" x14ac:dyDescent="0.25">
      <c r="A1" s="157" t="s">
        <v>12</v>
      </c>
      <c r="B1" s="157"/>
      <c r="C1" s="157"/>
      <c r="D1" s="157"/>
      <c r="E1" s="157"/>
      <c r="F1" s="157"/>
      <c r="G1" s="157"/>
      <c r="H1" s="157"/>
      <c r="I1" s="157"/>
      <c r="J1" s="67" t="s">
        <v>13</v>
      </c>
      <c r="K1" s="37" t="s">
        <v>52</v>
      </c>
      <c r="AMK1" s="39"/>
    </row>
    <row r="2" spans="1:12 1025:1025" ht="16.5" thickBot="1" x14ac:dyDescent="0.25">
      <c r="A2" s="40"/>
      <c r="B2" s="40"/>
      <c r="C2" s="40"/>
      <c r="D2" s="41"/>
      <c r="E2" s="41"/>
      <c r="F2" s="41"/>
      <c r="G2" s="41"/>
      <c r="H2" s="42"/>
      <c r="I2" s="41"/>
      <c r="K2" s="41"/>
      <c r="L2" s="41"/>
    </row>
    <row r="3" spans="1:12 1025:1025" ht="16.5" customHeight="1" thickBot="1" x14ac:dyDescent="0.25">
      <c r="A3" s="147" t="s">
        <v>45</v>
      </c>
      <c r="B3" s="148"/>
      <c r="C3" s="149" t="str">
        <f>'Necesidades Trimestrales'!C4</f>
        <v>040 - Ministerio de Salud</v>
      </c>
      <c r="D3" s="149"/>
      <c r="E3" s="149"/>
      <c r="F3" s="149"/>
      <c r="G3" s="149"/>
      <c r="H3" s="149"/>
      <c r="I3" s="149"/>
      <c r="J3" s="149"/>
      <c r="K3" s="149"/>
      <c r="AMK3" s="39"/>
    </row>
    <row r="4" spans="1:12 1025:1025" ht="16.5" thickBot="1" x14ac:dyDescent="0.25">
      <c r="A4" s="147" t="s">
        <v>46</v>
      </c>
      <c r="B4" s="148"/>
      <c r="C4" s="149" t="str">
        <f>'Necesidades Trimestrales'!C5</f>
        <v>011 - Direccion Provincial de Administracion - MS</v>
      </c>
      <c r="D4" s="149"/>
      <c r="E4" s="149"/>
      <c r="F4" s="149"/>
      <c r="G4" s="149"/>
      <c r="H4" s="149"/>
      <c r="I4" s="149"/>
      <c r="J4" s="149"/>
      <c r="K4" s="149"/>
      <c r="AMK4" s="39"/>
    </row>
    <row r="5" spans="1:12 1025:1025" ht="16.5" customHeight="1" thickBot="1" x14ac:dyDescent="0.25">
      <c r="A5" s="147" t="s">
        <v>24</v>
      </c>
      <c r="B5" s="148"/>
      <c r="C5" s="149" t="s">
        <v>149</v>
      </c>
      <c r="D5" s="149"/>
      <c r="E5" s="149"/>
      <c r="F5" s="149"/>
      <c r="G5" s="149"/>
      <c r="H5" s="149"/>
      <c r="I5" s="149"/>
      <c r="J5" s="149"/>
      <c r="K5" s="149"/>
      <c r="AMK5" s="39"/>
    </row>
    <row r="6" spans="1:12 1025:1025" ht="16.5" customHeight="1" thickBot="1" x14ac:dyDescent="0.25">
      <c r="A6" s="147" t="s">
        <v>47</v>
      </c>
      <c r="B6" s="148"/>
      <c r="C6" s="149" t="s">
        <v>149</v>
      </c>
      <c r="D6" s="149"/>
      <c r="E6" s="149"/>
      <c r="F6" s="149"/>
      <c r="G6" s="149"/>
      <c r="H6" s="149"/>
      <c r="I6" s="149"/>
      <c r="J6" s="149"/>
      <c r="K6" s="149"/>
      <c r="AMK6" s="39"/>
    </row>
    <row r="7" spans="1:12 1025:1025" ht="16.5" customHeight="1" thickBot="1" x14ac:dyDescent="0.25">
      <c r="A7" s="150" t="s">
        <v>14</v>
      </c>
      <c r="B7" s="151"/>
      <c r="C7" s="149" t="s">
        <v>53</v>
      </c>
      <c r="D7" s="149"/>
      <c r="E7" s="149"/>
      <c r="F7" s="149"/>
      <c r="G7" s="149"/>
      <c r="H7" s="149"/>
      <c r="I7" s="149"/>
      <c r="J7" s="149"/>
      <c r="K7" s="149"/>
      <c r="AMK7" s="39"/>
    </row>
    <row r="8" spans="1:12 1025:1025" ht="41.25" customHeight="1" thickBot="1" x14ac:dyDescent="0.25">
      <c r="A8" s="152" t="s">
        <v>15</v>
      </c>
      <c r="B8" s="153"/>
      <c r="C8" s="154" t="s">
        <v>60</v>
      </c>
      <c r="D8" s="155"/>
      <c r="E8" s="155"/>
      <c r="F8" s="155"/>
      <c r="G8" s="155"/>
      <c r="H8" s="155"/>
      <c r="I8" s="155"/>
      <c r="J8" s="155"/>
      <c r="K8" s="156"/>
      <c r="AMK8" s="39"/>
    </row>
    <row r="9" spans="1:12 1025:1025" ht="16.5" thickBot="1" x14ac:dyDescent="0.25">
      <c r="A9" s="43"/>
      <c r="B9" s="43"/>
      <c r="C9" s="43"/>
      <c r="D9" s="44"/>
      <c r="E9" s="44"/>
      <c r="F9" s="44"/>
      <c r="G9" s="44"/>
      <c r="H9" s="45"/>
      <c r="I9" s="44"/>
      <c r="K9" s="44"/>
      <c r="L9" s="44"/>
    </row>
    <row r="10" spans="1:12 1025:1025" ht="13.5" thickBot="1" x14ac:dyDescent="0.25">
      <c r="A10" s="145" t="s">
        <v>16</v>
      </c>
      <c r="B10" s="145" t="s">
        <v>6</v>
      </c>
      <c r="C10" s="146" t="s">
        <v>17</v>
      </c>
      <c r="D10" s="146"/>
      <c r="E10" s="146"/>
      <c r="F10" s="146"/>
      <c r="G10" s="146"/>
      <c r="H10" s="146" t="s">
        <v>18</v>
      </c>
      <c r="I10" s="146" t="s">
        <v>19</v>
      </c>
      <c r="J10" s="143" t="s">
        <v>20</v>
      </c>
      <c r="K10" s="146" t="s">
        <v>21</v>
      </c>
      <c r="AMK10" s="39"/>
    </row>
    <row r="11" spans="1:12 1025:1025" ht="35.25" customHeight="1" thickBot="1" x14ac:dyDescent="0.25">
      <c r="A11" s="145"/>
      <c r="B11" s="145"/>
      <c r="C11" s="146"/>
      <c r="D11" s="146"/>
      <c r="E11" s="146"/>
      <c r="F11" s="146"/>
      <c r="G11" s="146"/>
      <c r="H11" s="146"/>
      <c r="I11" s="146"/>
      <c r="J11" s="144"/>
      <c r="K11" s="146"/>
      <c r="AMK11" s="39"/>
    </row>
    <row r="12" spans="1:12 1025:1025" ht="46.5" customHeight="1" thickBot="1" x14ac:dyDescent="0.25">
      <c r="A12" s="46">
        <v>1</v>
      </c>
      <c r="B12" s="47" t="str">
        <f>+'Necesidades Trimestrales'!B20</f>
        <v>2.5.2-1855.7</v>
      </c>
      <c r="C12" s="133" t="str">
        <f>+'Necesidades Trimestrales'!E20</f>
        <v>CORTICOESTEROIDES; TIPO: MONODROGA, DROGA GENERICA: DEXAMETASONA, FORMA FARMACEUTICA: AMPOLLA, PRESENTACION: 8 mGr</v>
      </c>
      <c r="D12" s="133"/>
      <c r="E12" s="133"/>
      <c r="F12" s="133"/>
      <c r="G12" s="133"/>
      <c r="H12" s="46" t="s">
        <v>50</v>
      </c>
      <c r="I12" s="48" t="str">
        <f>+'Necesidades Trimestrales'!F20</f>
        <v>AMPOLLA</v>
      </c>
      <c r="J12" s="69">
        <f>+'Necesidades Trimestrales'!N20</f>
        <v>45</v>
      </c>
      <c r="K12" s="49">
        <f>'Necesidades Trimestrales'!K20</f>
        <v>700</v>
      </c>
      <c r="AMK12" s="39"/>
    </row>
    <row r="13" spans="1:12 1025:1025" ht="46.5" customHeight="1" thickBot="1" x14ac:dyDescent="0.25">
      <c r="A13" s="46">
        <v>2</v>
      </c>
      <c r="B13" s="47" t="str">
        <f>+'Necesidades Trimestrales'!B21</f>
        <v>2.5.2-2476.74</v>
      </c>
      <c r="C13" s="133" t="str">
        <f>+'Necesidades Trimestrales'!E21</f>
        <v>ANTIALERGICOS-ANTIHISTAMINICOS; TIPO: MONODROGA, DROGA GENERICA: DIFENHIDRAMINA 250 MG, FORMA FARMACEUTICA: JARABE, PRESENTACION: FRASCO X 120 mL</v>
      </c>
      <c r="D13" s="133"/>
      <c r="E13" s="133"/>
      <c r="F13" s="133"/>
      <c r="G13" s="133"/>
      <c r="H13" s="46" t="s">
        <v>50</v>
      </c>
      <c r="I13" s="48" t="str">
        <f>+'Necesidades Trimestrales'!F21</f>
        <v>FRASCO</v>
      </c>
      <c r="J13" s="69">
        <f>+'Necesidades Trimestrales'!N21</f>
        <v>199</v>
      </c>
      <c r="K13" s="49">
        <f>'Necesidades Trimestrales'!K21</f>
        <v>100</v>
      </c>
      <c r="AMK13" s="39"/>
    </row>
    <row r="14" spans="1:12 1025:1025" ht="46.5" customHeight="1" thickBot="1" x14ac:dyDescent="0.25">
      <c r="A14" s="46">
        <v>3</v>
      </c>
      <c r="B14" s="47" t="str">
        <f>+'Necesidades Trimestrales'!B23</f>
        <v>2.5.2-2476.44</v>
      </c>
      <c r="C14" s="133" t="str">
        <f>+'Necesidades Trimestrales'!E23</f>
        <v>ANTIALERGICOS-ANTIHISTAMINICOS; TIPO: MONODROGA, DROGA GENERICA: DIFENHIDRAMINA, FORMA FARMACEUTICA: AMPOLLA, PRESENTACION: 10 mGr</v>
      </c>
      <c r="D14" s="133"/>
      <c r="E14" s="133"/>
      <c r="F14" s="133"/>
      <c r="G14" s="133"/>
      <c r="H14" s="46" t="s">
        <v>50</v>
      </c>
      <c r="I14" s="48" t="str">
        <f>+'Necesidades Trimestrales'!F23</f>
        <v>AMPOLLA</v>
      </c>
      <c r="J14" s="69">
        <f>+'Necesidades Trimestrales'!N23</f>
        <v>55</v>
      </c>
      <c r="K14" s="49">
        <f>'Necesidades Trimestrales'!K23</f>
        <v>300</v>
      </c>
      <c r="AMK14" s="39"/>
    </row>
    <row r="15" spans="1:12 1025:1025" ht="33" customHeight="1" thickBot="1" x14ac:dyDescent="0.25">
      <c r="A15" s="46">
        <v>4</v>
      </c>
      <c r="B15" s="47" t="str">
        <f>+'Necesidades Trimestrales'!B25</f>
        <v>2.5.2-1855.18</v>
      </c>
      <c r="C15" s="133" t="str">
        <f>+'Necesidades Trimestrales'!E25</f>
        <v>CORTICOESTEROIDES; TIPO: MONODROGA, DROGA GENERICA: BETAMETASONA, FORMA FARMACEUTICA: GOTAS, PRESENTACION: 15 mL</v>
      </c>
      <c r="D15" s="133"/>
      <c r="E15" s="133"/>
      <c r="F15" s="133"/>
      <c r="G15" s="133"/>
      <c r="H15" s="46" t="s">
        <v>130</v>
      </c>
      <c r="I15" s="48" t="str">
        <f>+'Necesidades Trimestrales'!F25</f>
        <v>UNIDAD</v>
      </c>
      <c r="J15" s="69">
        <f>+'Necesidades Trimestrales'!N25</f>
        <v>340</v>
      </c>
      <c r="K15" s="49">
        <f>'Necesidades Trimestrales'!K25</f>
        <v>60</v>
      </c>
      <c r="AMK15" s="39"/>
    </row>
    <row r="16" spans="1:12 1025:1025" ht="46.5" customHeight="1" thickBot="1" x14ac:dyDescent="0.25">
      <c r="A16" s="46">
        <v>5</v>
      </c>
      <c r="B16" s="47" t="str">
        <f>+'Necesidades Trimestrales'!B26</f>
        <v>2.5.2-1855.47</v>
      </c>
      <c r="C16" s="133" t="str">
        <f>+'Necesidades Trimestrales'!E26</f>
        <v>CORTICOESTEROIDES; TIPO: MONODROGA, DROGA GENERICA: HIDROCORTISONA, FORMA FARMACEUTICA: AMPOLLA/FRASCO, PRESENTACION: 100 mGr</v>
      </c>
      <c r="D16" s="133"/>
      <c r="E16" s="133"/>
      <c r="F16" s="133"/>
      <c r="G16" s="133"/>
      <c r="H16" s="46" t="s">
        <v>50</v>
      </c>
      <c r="I16" s="48" t="str">
        <f>+'Necesidades Trimestrales'!F26</f>
        <v>AMPOLLA</v>
      </c>
      <c r="J16" s="69">
        <f>+'Necesidades Trimestrales'!N26</f>
        <v>120</v>
      </c>
      <c r="K16" s="49">
        <f>'Necesidades Trimestrales'!K26</f>
        <v>500</v>
      </c>
      <c r="AMK16" s="39"/>
    </row>
    <row r="17" spans="1:1025" ht="46.5" customHeight="1" thickBot="1" x14ac:dyDescent="0.25">
      <c r="A17" s="46">
        <v>6</v>
      </c>
      <c r="B17" s="47" t="str">
        <f>+'Necesidades Trimestrales'!B27</f>
        <v>2.5.2-1855.77</v>
      </c>
      <c r="C17" s="133" t="str">
        <f>+'Necesidades Trimestrales'!E27</f>
        <v>CORTICOESTEROIDES; TIPO: MONODROGA, DROGA GENERICA: HIDROCORTISONA, FORMA FARMACEUTICA: FRASCO AMPOLLA, PRESENTACION: ENVASE X 500 mGr</v>
      </c>
      <c r="D17" s="133"/>
      <c r="E17" s="133"/>
      <c r="F17" s="133"/>
      <c r="G17" s="133"/>
      <c r="H17" s="46" t="s">
        <v>50</v>
      </c>
      <c r="I17" s="48" t="str">
        <f>+'Necesidades Trimestrales'!F27</f>
        <v>AMPOLLA</v>
      </c>
      <c r="J17" s="69">
        <f>+'Necesidades Trimestrales'!N27</f>
        <v>222</v>
      </c>
      <c r="K17" s="49">
        <f>'Necesidades Trimestrales'!K27</f>
        <v>500</v>
      </c>
      <c r="AMK17" s="39"/>
    </row>
    <row r="18" spans="1:1025" ht="46.5" customHeight="1" thickBot="1" x14ac:dyDescent="0.25">
      <c r="A18" s="46">
        <v>7</v>
      </c>
      <c r="B18" s="47" t="str">
        <f>+'Necesidades Trimestrales'!B41</f>
        <v>2.5.2-1875.55</v>
      </c>
      <c r="C18" s="133" t="str">
        <f>+'Necesidades Trimestrales'!E41</f>
        <v>ANTIASMATICO BRONCODILATADOR; TIPO: MONODROGA, DROGA GENERICA: SALBUTAMOL, FORMA FARMACEUTICA: AEROSOL, PRESENTACION: 250 DOSIS</v>
      </c>
      <c r="D18" s="133"/>
      <c r="E18" s="133"/>
      <c r="F18" s="133"/>
      <c r="G18" s="133"/>
      <c r="H18" s="46" t="s">
        <v>130</v>
      </c>
      <c r="I18" s="48" t="str">
        <f>+'Necesidades Trimestrales'!F41</f>
        <v>UNIDAD</v>
      </c>
      <c r="J18" s="69">
        <f>+'Necesidades Trimestrales'!N41</f>
        <v>1580</v>
      </c>
      <c r="K18" s="49">
        <f>'Necesidades Trimestrales'!K41</f>
        <v>100</v>
      </c>
      <c r="AMK18" s="39"/>
    </row>
    <row r="19" spans="1:1025" ht="46.5" customHeight="1" thickBot="1" x14ac:dyDescent="0.25">
      <c r="A19" s="46">
        <v>8</v>
      </c>
      <c r="B19" s="47" t="str">
        <f>+'Necesidades Trimestrales'!B43</f>
        <v>2.5.2-1883.189</v>
      </c>
      <c r="C19" s="133" t="str">
        <f>+'Necesidades Trimestrales'!E43</f>
        <v>ANESTÉSICOS LOCALES; TIPO: ANALGÉSICO LOCAL Y ANTIBACTERIANO, DROGA GENÉRICA: LIDOCAÍNA + SULFADIAZINA + VITAMINA A, FORMA FARMACEÚTICA: CREMA, PRESENTACIÓN: ENVASE X 100 GR</v>
      </c>
      <c r="D19" s="133"/>
      <c r="E19" s="133"/>
      <c r="F19" s="133"/>
      <c r="G19" s="133"/>
      <c r="H19" s="46" t="s">
        <v>50</v>
      </c>
      <c r="I19" s="48" t="str">
        <f>+'Necesidades Trimestrales'!F43</f>
        <v>UNIDAD</v>
      </c>
      <c r="J19" s="69">
        <f>+'Necesidades Trimestrales'!N43</f>
        <v>1120</v>
      </c>
      <c r="K19" s="49">
        <f>'Necesidades Trimestrales'!K43</f>
        <v>30</v>
      </c>
      <c r="AMK19" s="39"/>
    </row>
    <row r="20" spans="1:1025" s="66" customFormat="1" ht="16.5" thickBot="1" x14ac:dyDescent="0.25">
      <c r="A20" s="134" t="s">
        <v>162</v>
      </c>
      <c r="B20" s="134"/>
      <c r="C20" s="134"/>
      <c r="D20" s="134"/>
      <c r="E20" s="134"/>
      <c r="F20" s="134"/>
      <c r="G20" s="134"/>
      <c r="H20" s="134"/>
      <c r="I20" s="134"/>
      <c r="J20" s="135">
        <f>SUMPRODUCT(J12:J19,K12:K19)</f>
        <v>450900</v>
      </c>
      <c r="K20" s="135"/>
      <c r="L20" s="64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65"/>
      <c r="GN20" s="65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65"/>
      <c r="HO20" s="65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65"/>
      <c r="IP20" s="65"/>
      <c r="IQ20" s="65"/>
      <c r="IR20" s="65"/>
      <c r="IS20" s="65"/>
      <c r="IT20" s="65"/>
      <c r="IU20" s="65"/>
      <c r="IV20" s="65"/>
      <c r="IW20" s="65"/>
      <c r="IX20" s="65"/>
      <c r="IY20" s="65"/>
      <c r="IZ20" s="65"/>
      <c r="JA20" s="65"/>
      <c r="JB20" s="65"/>
      <c r="JC20" s="65"/>
      <c r="JD20" s="65"/>
      <c r="JE20" s="65"/>
      <c r="JF20" s="65"/>
      <c r="JG20" s="65"/>
      <c r="JH20" s="65"/>
      <c r="JI20" s="65"/>
      <c r="JJ20" s="65"/>
      <c r="JK20" s="65"/>
      <c r="JL20" s="65"/>
      <c r="JM20" s="65"/>
      <c r="JN20" s="65"/>
      <c r="JO20" s="65"/>
      <c r="JP20" s="65"/>
      <c r="JQ20" s="65"/>
      <c r="JR20" s="65"/>
      <c r="JS20" s="65"/>
      <c r="JT20" s="65"/>
      <c r="JU20" s="65"/>
      <c r="JV20" s="65"/>
      <c r="JW20" s="65"/>
      <c r="JX20" s="65"/>
      <c r="JY20" s="65"/>
      <c r="JZ20" s="65"/>
      <c r="KA20" s="65"/>
      <c r="KB20" s="65"/>
      <c r="KC20" s="65"/>
      <c r="KD20" s="65"/>
      <c r="KE20" s="65"/>
      <c r="KF20" s="65"/>
      <c r="KG20" s="65"/>
      <c r="KH20" s="65"/>
      <c r="KI20" s="65"/>
      <c r="KJ20" s="65"/>
      <c r="KK20" s="65"/>
      <c r="KL20" s="65"/>
      <c r="KM20" s="65"/>
      <c r="KN20" s="65"/>
      <c r="KO20" s="65"/>
      <c r="KP20" s="65"/>
      <c r="KQ20" s="65"/>
      <c r="KR20" s="65"/>
      <c r="KS20" s="65"/>
      <c r="KT20" s="65"/>
      <c r="KU20" s="65"/>
      <c r="KV20" s="65"/>
      <c r="KW20" s="65"/>
      <c r="KX20" s="65"/>
      <c r="KY20" s="65"/>
      <c r="KZ20" s="65"/>
      <c r="LA20" s="65"/>
      <c r="LB20" s="65"/>
      <c r="LC20" s="65"/>
      <c r="LD20" s="65"/>
      <c r="LE20" s="65"/>
      <c r="LF20" s="65"/>
      <c r="LG20" s="65"/>
      <c r="LH20" s="65"/>
      <c r="LI20" s="65"/>
      <c r="LJ20" s="65"/>
      <c r="LK20" s="65"/>
      <c r="LL20" s="65"/>
      <c r="LM20" s="65"/>
      <c r="LN20" s="65"/>
      <c r="LO20" s="65"/>
      <c r="LP20" s="65"/>
      <c r="LQ20" s="65"/>
      <c r="LR20" s="65"/>
      <c r="LS20" s="65"/>
      <c r="LT20" s="65"/>
      <c r="LU20" s="65"/>
      <c r="LV20" s="65"/>
      <c r="LW20" s="65"/>
      <c r="LX20" s="65"/>
      <c r="LY20" s="65"/>
      <c r="LZ20" s="65"/>
      <c r="MA20" s="65"/>
      <c r="MB20" s="65"/>
      <c r="MC20" s="65"/>
      <c r="MD20" s="65"/>
      <c r="ME20" s="65"/>
      <c r="MF20" s="65"/>
      <c r="MG20" s="65"/>
      <c r="MH20" s="65"/>
      <c r="MI20" s="65"/>
      <c r="MJ20" s="65"/>
      <c r="MK20" s="65"/>
      <c r="ML20" s="65"/>
      <c r="MM20" s="65"/>
      <c r="MN20" s="65"/>
      <c r="MO20" s="65"/>
      <c r="MP20" s="65"/>
      <c r="MQ20" s="65"/>
      <c r="MR20" s="65"/>
      <c r="MS20" s="65"/>
      <c r="MT20" s="65"/>
      <c r="MU20" s="65"/>
      <c r="MV20" s="65"/>
      <c r="MW20" s="65"/>
      <c r="MX20" s="65"/>
      <c r="MY20" s="65"/>
      <c r="MZ20" s="65"/>
      <c r="NA20" s="65"/>
      <c r="NB20" s="65"/>
      <c r="NC20" s="65"/>
      <c r="ND20" s="65"/>
      <c r="NE20" s="65"/>
      <c r="NF20" s="65"/>
      <c r="NG20" s="65"/>
      <c r="NH20" s="65"/>
      <c r="NI20" s="65"/>
      <c r="NJ20" s="65"/>
      <c r="NK20" s="65"/>
      <c r="NL20" s="65"/>
      <c r="NM20" s="65"/>
      <c r="NN20" s="65"/>
      <c r="NO20" s="65"/>
      <c r="NP20" s="65"/>
      <c r="NQ20" s="65"/>
      <c r="NR20" s="65"/>
      <c r="NS20" s="65"/>
      <c r="NT20" s="65"/>
      <c r="NU20" s="65"/>
      <c r="NV20" s="65"/>
      <c r="NW20" s="65"/>
      <c r="NX20" s="65"/>
      <c r="NY20" s="65"/>
      <c r="NZ20" s="65"/>
      <c r="OA20" s="65"/>
      <c r="OB20" s="65"/>
      <c r="OC20" s="65"/>
      <c r="OD20" s="65"/>
      <c r="OE20" s="65"/>
      <c r="OF20" s="65"/>
      <c r="OG20" s="65"/>
      <c r="OH20" s="65"/>
      <c r="OI20" s="65"/>
      <c r="OJ20" s="65"/>
      <c r="OK20" s="65"/>
      <c r="OL20" s="65"/>
      <c r="OM20" s="65"/>
      <c r="ON20" s="65"/>
      <c r="OO20" s="65"/>
      <c r="OP20" s="65"/>
      <c r="OQ20" s="65"/>
      <c r="OR20" s="65"/>
      <c r="OS20" s="65"/>
      <c r="OT20" s="65"/>
      <c r="OU20" s="65"/>
      <c r="OV20" s="65"/>
      <c r="OW20" s="65"/>
      <c r="OX20" s="65"/>
      <c r="OY20" s="65"/>
      <c r="OZ20" s="65"/>
      <c r="PA20" s="65"/>
      <c r="PB20" s="65"/>
      <c r="PC20" s="65"/>
      <c r="PD20" s="65"/>
      <c r="PE20" s="65"/>
      <c r="PF20" s="65"/>
      <c r="PG20" s="65"/>
      <c r="PH20" s="65"/>
      <c r="PI20" s="65"/>
      <c r="PJ20" s="65"/>
      <c r="PK20" s="65"/>
      <c r="PL20" s="65"/>
      <c r="PM20" s="65"/>
      <c r="PN20" s="65"/>
      <c r="PO20" s="65"/>
      <c r="PP20" s="65"/>
      <c r="PQ20" s="65"/>
      <c r="PR20" s="65"/>
      <c r="PS20" s="65"/>
      <c r="PT20" s="65"/>
      <c r="PU20" s="65"/>
      <c r="PV20" s="65"/>
      <c r="PW20" s="65"/>
      <c r="PX20" s="65"/>
      <c r="PY20" s="65"/>
      <c r="PZ20" s="65"/>
      <c r="QA20" s="65"/>
      <c r="QB20" s="65"/>
      <c r="QC20" s="65"/>
      <c r="QD20" s="65"/>
      <c r="QE20" s="65"/>
      <c r="QF20" s="65"/>
      <c r="QG20" s="65"/>
      <c r="QH20" s="65"/>
      <c r="QI20" s="65"/>
      <c r="QJ20" s="65"/>
      <c r="QK20" s="65"/>
      <c r="QL20" s="65"/>
      <c r="QM20" s="65"/>
      <c r="QN20" s="65"/>
      <c r="QO20" s="65"/>
      <c r="QP20" s="65"/>
      <c r="QQ20" s="65"/>
      <c r="QR20" s="65"/>
      <c r="QS20" s="65"/>
      <c r="QT20" s="65"/>
      <c r="QU20" s="65"/>
      <c r="QV20" s="65"/>
      <c r="QW20" s="65"/>
      <c r="QX20" s="65"/>
      <c r="QY20" s="65"/>
      <c r="QZ20" s="65"/>
      <c r="RA20" s="65"/>
      <c r="RB20" s="65"/>
      <c r="RC20" s="65"/>
      <c r="RD20" s="65"/>
      <c r="RE20" s="65"/>
      <c r="RF20" s="65"/>
      <c r="RG20" s="65"/>
      <c r="RH20" s="65"/>
      <c r="RI20" s="65"/>
      <c r="RJ20" s="65"/>
      <c r="RK20" s="65"/>
      <c r="RL20" s="65"/>
      <c r="RM20" s="65"/>
      <c r="RN20" s="65"/>
      <c r="RO20" s="65"/>
      <c r="RP20" s="65"/>
      <c r="RQ20" s="65"/>
      <c r="RR20" s="65"/>
      <c r="RS20" s="65"/>
      <c r="RT20" s="65"/>
      <c r="RU20" s="65"/>
      <c r="RV20" s="65"/>
      <c r="RW20" s="65"/>
      <c r="RX20" s="65"/>
      <c r="RY20" s="65"/>
      <c r="RZ20" s="65"/>
      <c r="SA20" s="65"/>
      <c r="SB20" s="65"/>
      <c r="SC20" s="65"/>
      <c r="SD20" s="65"/>
      <c r="SE20" s="65"/>
      <c r="SF20" s="65"/>
      <c r="SG20" s="65"/>
      <c r="SH20" s="65"/>
      <c r="SI20" s="65"/>
      <c r="SJ20" s="65"/>
      <c r="SK20" s="65"/>
      <c r="SL20" s="65"/>
      <c r="SM20" s="65"/>
      <c r="SN20" s="65"/>
      <c r="SO20" s="65"/>
      <c r="SP20" s="65"/>
      <c r="SQ20" s="65"/>
      <c r="SR20" s="65"/>
      <c r="SS20" s="65"/>
      <c r="ST20" s="65"/>
      <c r="SU20" s="65"/>
      <c r="SV20" s="65"/>
      <c r="SW20" s="65"/>
      <c r="SX20" s="65"/>
      <c r="SY20" s="65"/>
      <c r="SZ20" s="65"/>
      <c r="TA20" s="65"/>
      <c r="TB20" s="65"/>
      <c r="TC20" s="65"/>
      <c r="TD20" s="65"/>
      <c r="TE20" s="65"/>
      <c r="TF20" s="65"/>
      <c r="TG20" s="65"/>
      <c r="TH20" s="65"/>
      <c r="TI20" s="65"/>
      <c r="TJ20" s="65"/>
      <c r="TK20" s="65"/>
      <c r="TL20" s="65"/>
      <c r="TM20" s="65"/>
      <c r="TN20" s="65"/>
      <c r="TO20" s="65"/>
      <c r="TP20" s="65"/>
      <c r="TQ20" s="65"/>
      <c r="TR20" s="65"/>
      <c r="TS20" s="65"/>
      <c r="TT20" s="65"/>
      <c r="TU20" s="65"/>
      <c r="TV20" s="65"/>
      <c r="TW20" s="65"/>
      <c r="TX20" s="65"/>
      <c r="TY20" s="65"/>
      <c r="TZ20" s="65"/>
      <c r="UA20" s="65"/>
      <c r="UB20" s="65"/>
      <c r="UC20" s="65"/>
      <c r="UD20" s="65"/>
      <c r="UE20" s="65"/>
      <c r="UF20" s="65"/>
      <c r="UG20" s="65"/>
      <c r="UH20" s="65"/>
      <c r="UI20" s="65"/>
      <c r="UJ20" s="65"/>
      <c r="UK20" s="65"/>
      <c r="UL20" s="65"/>
      <c r="UM20" s="65"/>
      <c r="UN20" s="65"/>
      <c r="UO20" s="65"/>
      <c r="UP20" s="65"/>
      <c r="UQ20" s="65"/>
      <c r="UR20" s="65"/>
      <c r="US20" s="65"/>
      <c r="UT20" s="65"/>
      <c r="UU20" s="65"/>
      <c r="UV20" s="65"/>
      <c r="UW20" s="65"/>
      <c r="UX20" s="65"/>
      <c r="UY20" s="65"/>
      <c r="UZ20" s="65"/>
      <c r="VA20" s="65"/>
      <c r="VB20" s="65"/>
      <c r="VC20" s="65"/>
      <c r="VD20" s="65"/>
      <c r="VE20" s="65"/>
      <c r="VF20" s="65"/>
      <c r="VG20" s="65"/>
      <c r="VH20" s="65"/>
      <c r="VI20" s="65"/>
      <c r="VJ20" s="65"/>
      <c r="VK20" s="65"/>
      <c r="VL20" s="65"/>
      <c r="VM20" s="65"/>
      <c r="VN20" s="65"/>
      <c r="VO20" s="65"/>
      <c r="VP20" s="65"/>
      <c r="VQ20" s="65"/>
      <c r="VR20" s="65"/>
      <c r="VS20" s="65"/>
      <c r="VT20" s="65"/>
      <c r="VU20" s="65"/>
      <c r="VV20" s="65"/>
      <c r="VW20" s="65"/>
      <c r="VX20" s="65"/>
      <c r="VY20" s="65"/>
      <c r="VZ20" s="65"/>
      <c r="WA20" s="65"/>
      <c r="WB20" s="65"/>
      <c r="WC20" s="65"/>
      <c r="WD20" s="65"/>
      <c r="WE20" s="65"/>
      <c r="WF20" s="65"/>
      <c r="WG20" s="65"/>
      <c r="WH20" s="65"/>
      <c r="WI20" s="65"/>
      <c r="WJ20" s="65"/>
      <c r="WK20" s="65"/>
      <c r="WL20" s="65"/>
      <c r="WM20" s="65"/>
      <c r="WN20" s="65"/>
      <c r="WO20" s="65"/>
      <c r="WP20" s="65"/>
      <c r="WQ20" s="65"/>
      <c r="WR20" s="65"/>
      <c r="WS20" s="65"/>
      <c r="WT20" s="65"/>
      <c r="WU20" s="65"/>
      <c r="WV20" s="65"/>
      <c r="WW20" s="65"/>
      <c r="WX20" s="65"/>
      <c r="WY20" s="65"/>
      <c r="WZ20" s="65"/>
      <c r="XA20" s="65"/>
      <c r="XB20" s="65"/>
      <c r="XC20" s="65"/>
      <c r="XD20" s="65"/>
      <c r="XE20" s="65"/>
      <c r="XF20" s="65"/>
      <c r="XG20" s="65"/>
      <c r="XH20" s="65"/>
      <c r="XI20" s="65"/>
      <c r="XJ20" s="65"/>
      <c r="XK20" s="65"/>
      <c r="XL20" s="65"/>
      <c r="XM20" s="65"/>
      <c r="XN20" s="65"/>
      <c r="XO20" s="65"/>
      <c r="XP20" s="65"/>
      <c r="XQ20" s="65"/>
      <c r="XR20" s="65"/>
      <c r="XS20" s="65"/>
      <c r="XT20" s="65"/>
      <c r="XU20" s="65"/>
      <c r="XV20" s="65"/>
      <c r="XW20" s="65"/>
      <c r="XX20" s="65"/>
      <c r="XY20" s="65"/>
      <c r="XZ20" s="65"/>
      <c r="YA20" s="65"/>
      <c r="YB20" s="65"/>
      <c r="YC20" s="65"/>
      <c r="YD20" s="65"/>
      <c r="YE20" s="65"/>
      <c r="YF20" s="65"/>
      <c r="YG20" s="65"/>
      <c r="YH20" s="65"/>
      <c r="YI20" s="65"/>
      <c r="YJ20" s="65"/>
      <c r="YK20" s="65"/>
      <c r="YL20" s="65"/>
      <c r="YM20" s="65"/>
      <c r="YN20" s="65"/>
      <c r="YO20" s="65"/>
      <c r="YP20" s="65"/>
      <c r="YQ20" s="65"/>
      <c r="YR20" s="65"/>
      <c r="YS20" s="65"/>
      <c r="YT20" s="65"/>
      <c r="YU20" s="65"/>
      <c r="YV20" s="65"/>
      <c r="YW20" s="65"/>
      <c r="YX20" s="65"/>
      <c r="YY20" s="65"/>
      <c r="YZ20" s="65"/>
      <c r="ZA20" s="65"/>
      <c r="ZB20" s="65"/>
      <c r="ZC20" s="65"/>
      <c r="ZD20" s="65"/>
      <c r="ZE20" s="65"/>
      <c r="ZF20" s="65"/>
      <c r="ZG20" s="65"/>
      <c r="ZH20" s="65"/>
      <c r="ZI20" s="65"/>
      <c r="ZJ20" s="65"/>
      <c r="ZK20" s="65"/>
      <c r="ZL20" s="65"/>
      <c r="ZM20" s="65"/>
      <c r="ZN20" s="65"/>
      <c r="ZO20" s="65"/>
      <c r="ZP20" s="65"/>
      <c r="ZQ20" s="65"/>
      <c r="ZR20" s="65"/>
      <c r="ZS20" s="65"/>
      <c r="ZT20" s="65"/>
      <c r="ZU20" s="65"/>
      <c r="ZV20" s="65"/>
      <c r="ZW20" s="65"/>
      <c r="ZX20" s="65"/>
      <c r="ZY20" s="65"/>
      <c r="ZZ20" s="65"/>
      <c r="AAA20" s="65"/>
      <c r="AAB20" s="65"/>
      <c r="AAC20" s="65"/>
      <c r="AAD20" s="65"/>
      <c r="AAE20" s="65"/>
      <c r="AAF20" s="65"/>
      <c r="AAG20" s="65"/>
      <c r="AAH20" s="65"/>
      <c r="AAI20" s="65"/>
      <c r="AAJ20" s="65"/>
      <c r="AAK20" s="65"/>
      <c r="AAL20" s="65"/>
      <c r="AAM20" s="65"/>
      <c r="AAN20" s="65"/>
      <c r="AAO20" s="65"/>
      <c r="AAP20" s="65"/>
      <c r="AAQ20" s="65"/>
      <c r="AAR20" s="65"/>
      <c r="AAS20" s="65"/>
      <c r="AAT20" s="65"/>
      <c r="AAU20" s="65"/>
      <c r="AAV20" s="65"/>
      <c r="AAW20" s="65"/>
      <c r="AAX20" s="65"/>
      <c r="AAY20" s="65"/>
      <c r="AAZ20" s="65"/>
      <c r="ABA20" s="65"/>
      <c r="ABB20" s="65"/>
      <c r="ABC20" s="65"/>
      <c r="ABD20" s="65"/>
      <c r="ABE20" s="65"/>
      <c r="ABF20" s="65"/>
      <c r="ABG20" s="65"/>
      <c r="ABH20" s="65"/>
      <c r="ABI20" s="65"/>
      <c r="ABJ20" s="65"/>
      <c r="ABK20" s="65"/>
      <c r="ABL20" s="65"/>
      <c r="ABM20" s="65"/>
      <c r="ABN20" s="65"/>
      <c r="ABO20" s="65"/>
      <c r="ABP20" s="65"/>
      <c r="ABQ20" s="65"/>
      <c r="ABR20" s="65"/>
      <c r="ABS20" s="65"/>
      <c r="ABT20" s="65"/>
      <c r="ABU20" s="65"/>
      <c r="ABV20" s="65"/>
      <c r="ABW20" s="65"/>
      <c r="ABX20" s="65"/>
      <c r="ABY20" s="65"/>
      <c r="ABZ20" s="65"/>
      <c r="ACA20" s="65"/>
      <c r="ACB20" s="65"/>
      <c r="ACC20" s="65"/>
      <c r="ACD20" s="65"/>
      <c r="ACE20" s="65"/>
      <c r="ACF20" s="65"/>
      <c r="ACG20" s="65"/>
      <c r="ACH20" s="65"/>
      <c r="ACI20" s="65"/>
      <c r="ACJ20" s="65"/>
      <c r="ACK20" s="65"/>
      <c r="ACL20" s="65"/>
      <c r="ACM20" s="65"/>
      <c r="ACN20" s="65"/>
      <c r="ACO20" s="65"/>
      <c r="ACP20" s="65"/>
      <c r="ACQ20" s="65"/>
      <c r="ACR20" s="65"/>
      <c r="ACS20" s="65"/>
      <c r="ACT20" s="65"/>
      <c r="ACU20" s="65"/>
      <c r="ACV20" s="65"/>
      <c r="ACW20" s="65"/>
      <c r="ACX20" s="65"/>
      <c r="ACY20" s="65"/>
      <c r="ACZ20" s="65"/>
      <c r="ADA20" s="65"/>
      <c r="ADB20" s="65"/>
      <c r="ADC20" s="65"/>
      <c r="ADD20" s="65"/>
      <c r="ADE20" s="65"/>
      <c r="ADF20" s="65"/>
      <c r="ADG20" s="65"/>
      <c r="ADH20" s="65"/>
      <c r="ADI20" s="65"/>
      <c r="ADJ20" s="65"/>
      <c r="ADK20" s="65"/>
      <c r="ADL20" s="65"/>
      <c r="ADM20" s="65"/>
      <c r="ADN20" s="65"/>
      <c r="ADO20" s="65"/>
      <c r="ADP20" s="65"/>
      <c r="ADQ20" s="65"/>
      <c r="ADR20" s="65"/>
      <c r="ADS20" s="65"/>
      <c r="ADT20" s="65"/>
      <c r="ADU20" s="65"/>
      <c r="ADV20" s="65"/>
      <c r="ADW20" s="65"/>
      <c r="ADX20" s="65"/>
      <c r="ADY20" s="65"/>
      <c r="ADZ20" s="65"/>
      <c r="AEA20" s="65"/>
      <c r="AEB20" s="65"/>
      <c r="AEC20" s="65"/>
      <c r="AED20" s="65"/>
      <c r="AEE20" s="65"/>
      <c r="AEF20" s="65"/>
      <c r="AEG20" s="65"/>
      <c r="AEH20" s="65"/>
      <c r="AEI20" s="65"/>
      <c r="AEJ20" s="65"/>
      <c r="AEK20" s="65"/>
      <c r="AEL20" s="65"/>
      <c r="AEM20" s="65"/>
      <c r="AEN20" s="65"/>
      <c r="AEO20" s="65"/>
      <c r="AEP20" s="65"/>
      <c r="AEQ20" s="65"/>
      <c r="AER20" s="65"/>
      <c r="AES20" s="65"/>
      <c r="AET20" s="65"/>
      <c r="AEU20" s="65"/>
      <c r="AEV20" s="65"/>
      <c r="AEW20" s="65"/>
      <c r="AEX20" s="65"/>
      <c r="AEY20" s="65"/>
      <c r="AEZ20" s="65"/>
      <c r="AFA20" s="65"/>
      <c r="AFB20" s="65"/>
      <c r="AFC20" s="65"/>
      <c r="AFD20" s="65"/>
      <c r="AFE20" s="65"/>
      <c r="AFF20" s="65"/>
      <c r="AFG20" s="65"/>
      <c r="AFH20" s="65"/>
      <c r="AFI20" s="65"/>
      <c r="AFJ20" s="65"/>
      <c r="AFK20" s="65"/>
      <c r="AFL20" s="65"/>
      <c r="AFM20" s="65"/>
      <c r="AFN20" s="65"/>
      <c r="AFO20" s="65"/>
      <c r="AFP20" s="65"/>
      <c r="AFQ20" s="65"/>
      <c r="AFR20" s="65"/>
      <c r="AFS20" s="65"/>
      <c r="AFT20" s="65"/>
      <c r="AFU20" s="65"/>
      <c r="AFV20" s="65"/>
      <c r="AFW20" s="65"/>
      <c r="AFX20" s="65"/>
      <c r="AFY20" s="65"/>
      <c r="AFZ20" s="65"/>
      <c r="AGA20" s="65"/>
      <c r="AGB20" s="65"/>
      <c r="AGC20" s="65"/>
      <c r="AGD20" s="65"/>
      <c r="AGE20" s="65"/>
      <c r="AGF20" s="65"/>
      <c r="AGG20" s="65"/>
      <c r="AGH20" s="65"/>
      <c r="AGI20" s="65"/>
      <c r="AGJ20" s="65"/>
      <c r="AGK20" s="65"/>
      <c r="AGL20" s="65"/>
      <c r="AGM20" s="65"/>
      <c r="AGN20" s="65"/>
      <c r="AGO20" s="65"/>
      <c r="AGP20" s="65"/>
      <c r="AGQ20" s="65"/>
      <c r="AGR20" s="65"/>
      <c r="AGS20" s="65"/>
      <c r="AGT20" s="65"/>
      <c r="AGU20" s="65"/>
      <c r="AGV20" s="65"/>
      <c r="AGW20" s="65"/>
      <c r="AGX20" s="65"/>
      <c r="AGY20" s="65"/>
      <c r="AGZ20" s="65"/>
      <c r="AHA20" s="65"/>
      <c r="AHB20" s="65"/>
      <c r="AHC20" s="65"/>
      <c r="AHD20" s="65"/>
      <c r="AHE20" s="65"/>
      <c r="AHF20" s="65"/>
      <c r="AHG20" s="65"/>
      <c r="AHH20" s="65"/>
      <c r="AHI20" s="65"/>
      <c r="AHJ20" s="65"/>
      <c r="AHK20" s="65"/>
      <c r="AHL20" s="65"/>
      <c r="AHM20" s="65"/>
      <c r="AHN20" s="65"/>
      <c r="AHO20" s="65"/>
      <c r="AHP20" s="65"/>
      <c r="AHQ20" s="65"/>
      <c r="AHR20" s="65"/>
      <c r="AHS20" s="65"/>
      <c r="AHT20" s="65"/>
      <c r="AHU20" s="65"/>
      <c r="AHV20" s="65"/>
      <c r="AHW20" s="65"/>
      <c r="AHX20" s="65"/>
      <c r="AHY20" s="65"/>
      <c r="AHZ20" s="65"/>
      <c r="AIA20" s="65"/>
      <c r="AIB20" s="65"/>
      <c r="AIC20" s="65"/>
      <c r="AID20" s="65"/>
      <c r="AIE20" s="65"/>
      <c r="AIF20" s="65"/>
      <c r="AIG20" s="65"/>
      <c r="AIH20" s="65"/>
      <c r="AII20" s="65"/>
      <c r="AIJ20" s="65"/>
      <c r="AIK20" s="65"/>
      <c r="AIL20" s="65"/>
      <c r="AIM20" s="65"/>
      <c r="AIN20" s="65"/>
      <c r="AIO20" s="65"/>
      <c r="AIP20" s="65"/>
      <c r="AIQ20" s="65"/>
      <c r="AIR20" s="65"/>
      <c r="AIS20" s="65"/>
      <c r="AIT20" s="65"/>
      <c r="AIU20" s="65"/>
      <c r="AIV20" s="65"/>
      <c r="AIW20" s="65"/>
      <c r="AIX20" s="65"/>
      <c r="AIY20" s="65"/>
      <c r="AIZ20" s="65"/>
      <c r="AJA20" s="65"/>
      <c r="AJB20" s="65"/>
      <c r="AJC20" s="65"/>
      <c r="AJD20" s="65"/>
      <c r="AJE20" s="65"/>
      <c r="AJF20" s="65"/>
      <c r="AJG20" s="65"/>
      <c r="AJH20" s="65"/>
      <c r="AJI20" s="65"/>
      <c r="AJJ20" s="65"/>
      <c r="AJK20" s="65"/>
      <c r="AJL20" s="65"/>
      <c r="AJM20" s="65"/>
      <c r="AJN20" s="65"/>
      <c r="AJO20" s="65"/>
      <c r="AJP20" s="65"/>
      <c r="AJQ20" s="65"/>
      <c r="AJR20" s="65"/>
      <c r="AJS20" s="65"/>
      <c r="AJT20" s="65"/>
      <c r="AJU20" s="65"/>
      <c r="AJV20" s="65"/>
      <c r="AJW20" s="65"/>
      <c r="AJX20" s="65"/>
      <c r="AJY20" s="65"/>
      <c r="AJZ20" s="65"/>
      <c r="AKA20" s="65"/>
      <c r="AKB20" s="65"/>
      <c r="AKC20" s="65"/>
      <c r="AKD20" s="65"/>
      <c r="AKE20" s="65"/>
      <c r="AKF20" s="65"/>
      <c r="AKG20" s="65"/>
      <c r="AKH20" s="65"/>
      <c r="AKI20" s="65"/>
      <c r="AKJ20" s="65"/>
      <c r="AKK20" s="65"/>
      <c r="AKL20" s="65"/>
      <c r="AKM20" s="65"/>
      <c r="AKN20" s="65"/>
      <c r="AKO20" s="65"/>
      <c r="AKP20" s="65"/>
      <c r="AKQ20" s="65"/>
      <c r="AKR20" s="65"/>
      <c r="AKS20" s="65"/>
      <c r="AKT20" s="65"/>
      <c r="AKU20" s="65"/>
      <c r="AKV20" s="65"/>
      <c r="AKW20" s="65"/>
      <c r="AKX20" s="65"/>
      <c r="AKY20" s="65"/>
      <c r="AKZ20" s="65"/>
      <c r="ALA20" s="65"/>
      <c r="ALB20" s="65"/>
      <c r="ALC20" s="65"/>
      <c r="ALD20" s="65"/>
      <c r="ALE20" s="65"/>
      <c r="ALF20" s="65"/>
      <c r="ALG20" s="65"/>
      <c r="ALH20" s="65"/>
      <c r="ALI20" s="65"/>
      <c r="ALJ20" s="65"/>
      <c r="ALK20" s="65"/>
      <c r="ALL20" s="65"/>
      <c r="ALM20" s="65"/>
      <c r="ALN20" s="65"/>
      <c r="ALO20" s="65"/>
      <c r="ALP20" s="65"/>
      <c r="ALQ20" s="65"/>
      <c r="ALR20" s="65"/>
      <c r="ALS20" s="65"/>
      <c r="ALT20" s="65"/>
      <c r="ALU20" s="65"/>
      <c r="ALV20" s="65"/>
      <c r="ALW20" s="65"/>
      <c r="ALX20" s="65"/>
      <c r="ALY20" s="65"/>
      <c r="ALZ20" s="65"/>
      <c r="AMA20" s="65"/>
      <c r="AMB20" s="65"/>
      <c r="AMC20" s="65"/>
      <c r="AMD20" s="65"/>
      <c r="AME20" s="65"/>
      <c r="AMF20" s="65"/>
      <c r="AMG20" s="65"/>
      <c r="AMH20" s="65"/>
      <c r="AMI20" s="65"/>
      <c r="AMJ20" s="65"/>
      <c r="AMK20" s="65"/>
    </row>
  </sheetData>
  <mergeCells count="30">
    <mergeCell ref="J20:K20"/>
    <mergeCell ref="A20:I20"/>
    <mergeCell ref="A10:A11"/>
    <mergeCell ref="B10:B11"/>
    <mergeCell ref="C10:G11"/>
    <mergeCell ref="C12:G12"/>
    <mergeCell ref="C18:G18"/>
    <mergeCell ref="C19:G19"/>
    <mergeCell ref="C17:G17"/>
    <mergeCell ref="C13:G13"/>
    <mergeCell ref="C14:G14"/>
    <mergeCell ref="C15:G15"/>
    <mergeCell ref="C16:G16"/>
    <mergeCell ref="H10:H11"/>
    <mergeCell ref="I10:I11"/>
    <mergeCell ref="J10:J11"/>
    <mergeCell ref="A1:I1"/>
    <mergeCell ref="A3:B3"/>
    <mergeCell ref="A4:B4"/>
    <mergeCell ref="A5:B5"/>
    <mergeCell ref="A6:B6"/>
    <mergeCell ref="C3:K3"/>
    <mergeCell ref="C4:K4"/>
    <mergeCell ref="C5:K5"/>
    <mergeCell ref="K10:K11"/>
    <mergeCell ref="A7:B7"/>
    <mergeCell ref="A8:B8"/>
    <mergeCell ref="C6:K6"/>
    <mergeCell ref="C7:K7"/>
    <mergeCell ref="C8:K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130" zoomScaleNormal="130" workbookViewId="0">
      <selection activeCell="O13" sqref="O13:P1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9" t="s">
        <v>3</v>
      </c>
      <c r="B1" s="179"/>
      <c r="C1" s="179"/>
      <c r="D1" s="180">
        <f>'Necesidades Trimestrales'!C6</f>
        <v>2022</v>
      </c>
      <c r="E1" s="180"/>
      <c r="F1" s="2"/>
      <c r="G1" s="2"/>
      <c r="H1" s="3"/>
      <c r="I1" s="3"/>
      <c r="J1" s="3"/>
      <c r="K1" s="3"/>
      <c r="L1" s="3"/>
      <c r="M1" s="3"/>
      <c r="N1" s="3"/>
      <c r="P1" s="181" t="s">
        <v>22</v>
      </c>
      <c r="Q1" s="181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81"/>
      <c r="Q2" s="181"/>
    </row>
    <row r="4" spans="1:17" s="4" customFormat="1" ht="18" customHeight="1" thickBot="1" x14ac:dyDescent="0.25">
      <c r="A4" s="182" t="s">
        <v>23</v>
      </c>
      <c r="B4" s="182"/>
      <c r="C4" s="182"/>
      <c r="D4" s="182"/>
      <c r="E4" s="182"/>
      <c r="F4" s="182"/>
      <c r="G4" s="183" t="str">
        <f>'NP DPSAME'!C3</f>
        <v>040 - Ministerio de Salud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 s="70" customFormat="1" ht="18" customHeight="1" thickBot="1" x14ac:dyDescent="0.25">
      <c r="A5" s="168" t="s">
        <v>46</v>
      </c>
      <c r="B5" s="169"/>
      <c r="C5" s="169"/>
      <c r="D5" s="169"/>
      <c r="E5" s="169"/>
      <c r="F5" s="170"/>
      <c r="G5" s="171" t="str">
        <f>'NP DPSAME'!C4</f>
        <v>011 - Direccion Provincial de Administracion - MS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s="70" customFormat="1" ht="18" customHeight="1" thickBot="1" x14ac:dyDescent="0.25">
      <c r="A6" s="168" t="s">
        <v>24</v>
      </c>
      <c r="B6" s="169"/>
      <c r="C6" s="169"/>
      <c r="D6" s="169"/>
      <c r="E6" s="169"/>
      <c r="F6" s="170"/>
      <c r="G6" s="171" t="str">
        <f>'NP DPSAME'!C5</f>
        <v>748 - Direccion Provincial Sistema de Atencion Medica de Emergencia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s="70" customFormat="1" ht="18" customHeight="1" thickBot="1" x14ac:dyDescent="0.25">
      <c r="A7" s="168" t="s">
        <v>47</v>
      </c>
      <c r="B7" s="169"/>
      <c r="C7" s="169"/>
      <c r="D7" s="169"/>
      <c r="E7" s="169"/>
      <c r="F7" s="170"/>
      <c r="G7" s="171" t="str">
        <f>'NP DPSAME'!C6</f>
        <v>748 - Direccion Provincial Sistema de Atencion Medica de Emergencia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s="39" customFormat="1" ht="18" customHeight="1" thickBot="1" x14ac:dyDescent="0.25">
      <c r="A8" s="172" t="s">
        <v>25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</row>
    <row r="9" spans="1:17" s="39" customFormat="1" ht="18" customHeight="1" x14ac:dyDescent="0.2">
      <c r="A9" s="173" t="s">
        <v>26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Q9" s="71"/>
    </row>
    <row r="10" spans="1:17" s="39" customFormat="1" ht="54.75" customHeight="1" x14ac:dyDescent="0.2">
      <c r="A10" s="174" t="str">
        <f>"Autorizo la realización de los  trámites correspondientes, a fin de proveer a  este Organismo los bienes y/o servicios que se detallan en Nota  de Pedido N° " &amp; 'NP DPSAME'!K1&amp;",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</row>
    <row r="11" spans="1:17" s="39" customFormat="1" ht="9" customHeight="1" x14ac:dyDescent="0.2">
      <c r="A11" s="72"/>
      <c r="B11" s="73"/>
      <c r="C11" s="73"/>
      <c r="D11" s="73"/>
      <c r="E11" s="73"/>
      <c r="F11" s="73"/>
      <c r="G11" s="74"/>
      <c r="H11" s="73"/>
      <c r="I11" s="73"/>
      <c r="J11" s="73"/>
      <c r="K11" s="73"/>
      <c r="L11" s="73"/>
      <c r="M11" s="73"/>
      <c r="N11" s="73"/>
      <c r="O11" s="73"/>
      <c r="P11" s="73"/>
      <c r="Q11" s="75"/>
    </row>
    <row r="12" spans="1:17" s="39" customFormat="1" ht="15.75" customHeight="1" x14ac:dyDescent="0.2">
      <c r="A12" s="175" t="s">
        <v>27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</row>
    <row r="13" spans="1:17" s="39" customFormat="1" ht="15.75" customHeight="1" x14ac:dyDescent="0.2">
      <c r="A13" s="176" t="s">
        <v>28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7" t="s">
        <v>29</v>
      </c>
      <c r="P13" s="177"/>
      <c r="Q13" s="178" t="s">
        <v>30</v>
      </c>
    </row>
    <row r="14" spans="1:17" s="39" customFormat="1" ht="15.75" customHeight="1" x14ac:dyDescent="0.2">
      <c r="A14" s="76" t="s">
        <v>31</v>
      </c>
      <c r="B14" s="77" t="s">
        <v>32</v>
      </c>
      <c r="C14" s="77" t="s">
        <v>33</v>
      </c>
      <c r="D14" s="77" t="s">
        <v>34</v>
      </c>
      <c r="E14" s="77" t="s">
        <v>35</v>
      </c>
      <c r="F14" s="77" t="s">
        <v>36</v>
      </c>
      <c r="G14" s="78" t="s">
        <v>37</v>
      </c>
      <c r="H14" s="77" t="s">
        <v>38</v>
      </c>
      <c r="I14" s="77" t="s">
        <v>39</v>
      </c>
      <c r="J14" s="77" t="s">
        <v>40</v>
      </c>
      <c r="K14" s="77" t="s">
        <v>40</v>
      </c>
      <c r="L14" s="77" t="s">
        <v>41</v>
      </c>
      <c r="M14" s="79" t="s">
        <v>42</v>
      </c>
      <c r="N14" s="80" t="s">
        <v>43</v>
      </c>
      <c r="O14" s="177"/>
      <c r="P14" s="177"/>
      <c r="Q14" s="178"/>
    </row>
    <row r="15" spans="1:17" s="39" customFormat="1" ht="17.25" customHeight="1" x14ac:dyDescent="0.2">
      <c r="A15" s="81">
        <v>31</v>
      </c>
      <c r="B15" s="82"/>
      <c r="C15" s="82"/>
      <c r="D15" s="82">
        <v>1</v>
      </c>
      <c r="E15" s="82"/>
      <c r="F15" s="82">
        <v>4901</v>
      </c>
      <c r="G15" s="82">
        <v>3</v>
      </c>
      <c r="H15" s="82">
        <v>1</v>
      </c>
      <c r="I15" s="82">
        <v>2</v>
      </c>
      <c r="J15" s="82">
        <v>5</v>
      </c>
      <c r="K15" s="82">
        <v>2</v>
      </c>
      <c r="L15" s="82"/>
      <c r="M15" s="83">
        <v>1</v>
      </c>
      <c r="N15" s="84" t="s">
        <v>49</v>
      </c>
      <c r="O15" s="167" t="s">
        <v>134</v>
      </c>
      <c r="P15" s="167"/>
      <c r="Q15" s="85">
        <f>+'NP DPSAME'!J20</f>
        <v>450900</v>
      </c>
    </row>
    <row r="16" spans="1:17" s="39" customFormat="1" ht="17.25" customHeight="1" x14ac:dyDescent="0.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8"/>
      <c r="N16" s="89"/>
      <c r="O16" s="159"/>
      <c r="P16" s="159"/>
      <c r="Q16" s="90"/>
    </row>
    <row r="17" spans="1:17" s="39" customFormat="1" ht="17.25" customHeight="1" x14ac:dyDescent="0.2">
      <c r="A17" s="86"/>
      <c r="B17" s="87"/>
      <c r="C17" s="87"/>
      <c r="D17" s="87"/>
      <c r="E17" s="87"/>
      <c r="F17" s="89"/>
      <c r="G17" s="87"/>
      <c r="H17" s="87"/>
      <c r="I17" s="87"/>
      <c r="J17" s="87"/>
      <c r="K17" s="87"/>
      <c r="L17" s="87"/>
      <c r="M17" s="88"/>
      <c r="N17" s="89"/>
      <c r="O17" s="159"/>
      <c r="P17" s="159"/>
      <c r="Q17" s="90"/>
    </row>
    <row r="18" spans="1:17" s="39" customFormat="1" ht="17.25" customHeight="1" x14ac:dyDescent="0.2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8"/>
      <c r="N18" s="89"/>
      <c r="O18" s="159"/>
      <c r="P18" s="159"/>
      <c r="Q18" s="90"/>
    </row>
    <row r="19" spans="1:17" s="39" customFormat="1" ht="17.25" customHeight="1" x14ac:dyDescent="0.2">
      <c r="A19" s="86"/>
      <c r="B19" s="87"/>
      <c r="C19" s="87"/>
      <c r="D19" s="87"/>
      <c r="E19" s="87"/>
      <c r="F19" s="89"/>
      <c r="G19" s="87"/>
      <c r="H19" s="87"/>
      <c r="I19" s="87"/>
      <c r="J19" s="87"/>
      <c r="K19" s="87"/>
      <c r="L19" s="87"/>
      <c r="M19" s="88"/>
      <c r="N19" s="89"/>
      <c r="O19" s="159"/>
      <c r="P19" s="159"/>
      <c r="Q19" s="90"/>
    </row>
    <row r="20" spans="1:17" s="39" customFormat="1" ht="17.25" customHeight="1" x14ac:dyDescent="0.2">
      <c r="A20" s="86"/>
      <c r="B20" s="87"/>
      <c r="C20" s="87"/>
      <c r="D20" s="87"/>
      <c r="E20" s="87"/>
      <c r="F20" s="89"/>
      <c r="G20" s="87"/>
      <c r="H20" s="87"/>
      <c r="I20" s="87"/>
      <c r="J20" s="87"/>
      <c r="K20" s="87"/>
      <c r="L20" s="87"/>
      <c r="M20" s="88"/>
      <c r="N20" s="89"/>
      <c r="O20" s="159"/>
      <c r="P20" s="159"/>
      <c r="Q20" s="90"/>
    </row>
    <row r="21" spans="1:17" s="39" customFormat="1" ht="17.25" customHeight="1" x14ac:dyDescent="0.2">
      <c r="A21" s="91"/>
      <c r="B21" s="92"/>
      <c r="C21" s="92"/>
      <c r="D21" s="92"/>
      <c r="E21" s="92"/>
      <c r="F21" s="89"/>
      <c r="G21" s="92"/>
      <c r="H21" s="92"/>
      <c r="I21" s="92"/>
      <c r="J21" s="92"/>
      <c r="K21" s="92"/>
      <c r="L21" s="92"/>
      <c r="M21" s="93"/>
      <c r="N21" s="94"/>
      <c r="O21" s="159"/>
      <c r="P21" s="159"/>
      <c r="Q21" s="90"/>
    </row>
    <row r="22" spans="1:17" s="39" customFormat="1" ht="17.25" customHeight="1" x14ac:dyDescent="0.2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7"/>
      <c r="N22" s="96"/>
      <c r="O22" s="160"/>
      <c r="P22" s="160"/>
      <c r="Q22" s="98"/>
    </row>
    <row r="23" spans="1:17" s="39" customFormat="1" ht="29.25" customHeight="1" x14ac:dyDescent="0.2">
      <c r="A23" s="161" t="s">
        <v>150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99">
        <f>SUM(Q15:Q22)</f>
        <v>450900</v>
      </c>
    </row>
    <row r="24" spans="1:17" ht="18" customHeight="1" thickBot="1" x14ac:dyDescent="0.25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1:17" ht="17.25" customHeight="1" thickBot="1" x14ac:dyDescent="0.25">
      <c r="A25" s="163" t="s">
        <v>44</v>
      </c>
      <c r="B25" s="164"/>
      <c r="C25" s="164"/>
      <c r="D25" s="164"/>
      <c r="E25" s="164"/>
      <c r="F25" s="165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</row>
    <row r="26" spans="1:17" ht="18" customHeight="1" thickBot="1" x14ac:dyDescent="0.25">
      <c r="A26" s="158" t="str">
        <f>'NP DPSAME'!C8</f>
        <v>Adquisición de TERAPIA DERMATOLOGICA/SISTEMA GENITOURINARIO Y HORMONAS SEXUALES /HORMONAS SISTEMICAS /CORTICOIDES SISTEMICOS/RESPIRATORIO/ANTIHISTAMINICOS</v>
      </c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</row>
    <row r="27" spans="1:17" ht="15" customHeight="1" x14ac:dyDescent="0.2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Necesidades Trimestrales</vt:lpstr>
      <vt:lpstr>NP DPFeI</vt:lpstr>
      <vt:lpstr>AGP DPFeI</vt:lpstr>
      <vt:lpstr>NP DPMIyA</vt:lpstr>
      <vt:lpstr>AGP DPMIyA</vt:lpstr>
      <vt:lpstr>NP DPSAME</vt:lpstr>
      <vt:lpstr>AGP DPSAME</vt:lpstr>
      <vt:lpstr>'AGP DPFeI'!Área_de_impresión</vt:lpstr>
      <vt:lpstr>'AGP DPMIyA'!Área_de_impresión</vt:lpstr>
      <vt:lpstr>'AGP DPSAME'!Área_de_impresión</vt:lpstr>
      <vt:lpstr>'NP DPFeI'!Área_de_impresión</vt:lpstr>
      <vt:lpstr>'NP DPMIyA'!Área_de_impresión</vt:lpstr>
      <vt:lpstr>'NP DPSAME'!Área_de_impresión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2022-10-13T21:03:40Z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