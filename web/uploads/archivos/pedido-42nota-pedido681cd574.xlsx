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HNEP\DESCARTABLES COMPLEJOS\"/>
    </mc:Choice>
  </mc:AlternateContent>
  <xr:revisionPtr revIDLastSave="0" documentId="13_ncr:1_{0BB2F2E7-847C-4AE7-90D1-86679624CEA7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Trimestrales'!$A$9:$I$68</definedName>
    <definedName name="_xlnm.Print_Area" localSheetId="1">' NotaPedido'!$A$1:$K$71</definedName>
    <definedName name="_xlnm.Print_Area" localSheetId="2">'Autor Gastar'!$A$1:$Q$25</definedName>
    <definedName name="_xlnm.Print_Area" localSheetId="0">'Necesidades Trimestrales'!$E$9:$E$68</definedName>
  </definedNames>
  <calcPr calcId="181029"/>
</workbook>
</file>

<file path=xl/calcChain.xml><?xml version="1.0" encoding="utf-8"?>
<calcChain xmlns="http://schemas.openxmlformats.org/spreadsheetml/2006/main"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30" i="1" l="1"/>
  <c r="I31" i="1"/>
  <c r="K21" i="2" l="1"/>
  <c r="K22" i="2"/>
  <c r="K23" i="2"/>
  <c r="K24" i="2"/>
  <c r="K25" i="2"/>
  <c r="J21" i="2"/>
  <c r="J22" i="2"/>
  <c r="J23" i="2"/>
  <c r="J24" i="2"/>
  <c r="J25" i="2"/>
  <c r="J26" i="2"/>
  <c r="J27" i="2"/>
  <c r="J28" i="2"/>
  <c r="J29" i="2"/>
  <c r="J30" i="2"/>
  <c r="I21" i="2"/>
  <c r="I22" i="2"/>
  <c r="I23" i="2"/>
  <c r="I24" i="2"/>
  <c r="I25" i="2"/>
  <c r="I26" i="2"/>
  <c r="I27" i="2"/>
  <c r="I28" i="2"/>
  <c r="I29" i="2"/>
  <c r="I19" i="1"/>
  <c r="I20" i="1"/>
  <c r="I21" i="1"/>
  <c r="I22" i="1"/>
  <c r="I23" i="1"/>
  <c r="I24" i="1"/>
  <c r="I25" i="1"/>
  <c r="I26" i="1"/>
  <c r="I27" i="1"/>
  <c r="I28" i="1"/>
  <c r="I29" i="1"/>
  <c r="I12" i="2" l="1"/>
  <c r="I13" i="2"/>
  <c r="I14" i="2"/>
  <c r="I15" i="2"/>
  <c r="I16" i="2"/>
  <c r="I17" i="2"/>
  <c r="I18" i="2"/>
  <c r="I19" i="2"/>
  <c r="I20" i="2"/>
  <c r="K12" i="2"/>
  <c r="K13" i="2"/>
  <c r="K14" i="2"/>
  <c r="K15" i="2"/>
  <c r="K16" i="2"/>
  <c r="K17" i="2"/>
  <c r="K18" i="2"/>
  <c r="K19" i="2"/>
  <c r="K20" i="2"/>
  <c r="J12" i="2"/>
  <c r="J13" i="2"/>
  <c r="J14" i="2"/>
  <c r="J15" i="2"/>
  <c r="J16" i="2"/>
  <c r="J17" i="2"/>
  <c r="J18" i="2"/>
  <c r="J19" i="2"/>
  <c r="J20" i="2"/>
  <c r="I10" i="1"/>
  <c r="I11" i="1"/>
  <c r="I12" i="1"/>
  <c r="I13" i="1"/>
  <c r="I14" i="1"/>
  <c r="I15" i="1"/>
  <c r="I16" i="1"/>
  <c r="I17" i="1"/>
  <c r="I18" i="1"/>
  <c r="A10" i="3" l="1"/>
  <c r="G6" i="3" l="1"/>
  <c r="D3" i="2"/>
  <c r="G4" i="3" s="1"/>
  <c r="D4" i="2"/>
  <c r="G5" i="3" s="1"/>
  <c r="D1" i="3" l="1"/>
  <c r="J71" i="2" l="1"/>
  <c r="Q21" i="3"/>
</calcChain>
</file>

<file path=xl/sharedStrings.xml><?xml version="1.0" encoding="utf-8"?>
<sst xmlns="http://schemas.openxmlformats.org/spreadsheetml/2006/main" count="314" uniqueCount="131">
  <si>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</si>
  <si>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</si>
  <si>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</si>
  <si>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</si>
  <si>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</si>
  <si>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</si>
  <si>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</si>
  <si>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</si>
  <si>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</si>
  <si>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</si>
  <si>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</si>
  <si>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</si>
  <si>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</si>
  <si>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</si>
  <si>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</si>
  <si>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</si>
  <si>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</si>
  <si>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</si>
  <si>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</si>
  <si>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</si>
  <si>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</si>
  <si>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</si>
  <si>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</si>
  <si>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</si>
  <si>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</si>
  <si>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</si>
  <si>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</si>
  <si>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</si>
  <si>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</si>
  <si>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</si>
  <si>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</si>
  <si>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</si>
  <si>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</si>
  <si>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</si>
  <si>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</si>
  <si>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</si>
  <si>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</si>
  <si>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</si>
  <si>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</si>
  <si>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</si>
  <si>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</si>
  <si>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</si>
  <si>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</si>
  <si>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</si>
  <si>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</si>
  <si>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</si>
  <si>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</si>
  <si>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</si>
  <si>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</si>
  <si>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</si>
  <si>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</si>
  <si>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</si>
  <si>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</si>
  <si>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</si>
  <si>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</si>
  <si>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</si>
  <si>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</si>
  <si>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PROD. MEDICO/ FARMACEUTICOS/LAB</t>
  </si>
  <si>
    <t>UNIDAD</t>
  </si>
  <si>
    <t>UTILES MENORES MEDICO, QUIRURGICO Y DE LABORATORIO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</si>
  <si>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</si>
  <si>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</si>
  <si>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CERA P/HUESOS 2,5 GR. ESTERIL X 1</t>
  </si>
  <si>
    <t>CLAVIJAS DE ACERO 1,5MM</t>
  </si>
  <si>
    <t>CLAVIJAS DE ACERO 2 MM X 20CM</t>
  </si>
  <si>
    <t>CLAVIJAS ULTRAFINA 1 MM</t>
  </si>
  <si>
    <t>CLAVIJAS ULTRAFINAS 0,5 MM</t>
  </si>
  <si>
    <t>EQUIPO P/DIALISIS PERITONEAL PED.T/V-308</t>
  </si>
  <si>
    <t>ESPONJA GELATINOSA ABSORBIBLE TIPO SPONGOSTAN 80 X 50 X 10 MM SOBRE</t>
  </si>
  <si>
    <t>FRASCO PARA DRENAJE TORACICO x 750 ML</t>
  </si>
  <si>
    <t>SONDA GASTRICA SILICONA PURA SP391-10</t>
  </si>
  <si>
    <t>SONDA GASTRICA SILICONA PURA SP391-12</t>
  </si>
  <si>
    <t>SONDA GASTRICA SILICONA PURA SP391-14</t>
  </si>
  <si>
    <t>SONDA GASTRICA SILICONA PURA SP392-07</t>
  </si>
  <si>
    <t>SONDA GASTRICA SILICONA PURA SP392-09</t>
  </si>
  <si>
    <t xml:space="preserve">SONDA PARA DRENAJE TORACICO SILICONADO 150/28 TIPO SILMAG </t>
  </si>
  <si>
    <t xml:space="preserve">SONDA PARA DRENAJE TORACICO SILICONADO 150/40 TIPO SILMAG </t>
  </si>
  <si>
    <t>SURGICEL 7 x 5 CM SOBRE</t>
  </si>
  <si>
    <t>TROCAR P/DRENAJE PLEURAL FR 10</t>
  </si>
  <si>
    <t>TROCAR P/DRENAJE PLEURAL FR 12</t>
  </si>
  <si>
    <t>TROCAR P/DRENAJE PLEURAL FR 14</t>
  </si>
  <si>
    <t>TROCAR P/DRENAJE PLEURAL FR 16</t>
  </si>
  <si>
    <t>TROCAR P/DRENAJE PLEURAL FR 18</t>
  </si>
  <si>
    <t>TROCAR P/DRENAJE PLEURAL FR 20</t>
  </si>
  <si>
    <t>TROCAR P/DRENAJE PLEURAL FR 22</t>
  </si>
  <si>
    <t>TROCAR P/DRENAJE PLEURAL FR 24</t>
  </si>
  <si>
    <t>TROCAR P/DRENAJE PLEURAL FR 28</t>
  </si>
  <si>
    <t>TUBO P/DRENAJE 110-12-SILMAG</t>
  </si>
  <si>
    <t>TUBO P/DRENAJE 110-16-SILMAG</t>
  </si>
  <si>
    <t>TUBO P/DRENAJE 110-20-SILMAG</t>
  </si>
  <si>
    <t>TUBO P/DRENAJE 110-24-SILMAG</t>
  </si>
  <si>
    <t>TUBO P/DRENAJE 110-28-SILMAG</t>
  </si>
  <si>
    <t>Descartable Complejo</t>
  </si>
  <si>
    <t>Para la adquisición de Descartable Complejo destinados al Servicio de Farmacia del Hospital Interzonal de Niños Eva Peron, para el normal funcionamiento del organismo.</t>
  </si>
  <si>
    <t>CATETER FOGARTY Nº 3</t>
  </si>
  <si>
    <t>CATETER FOGARTY Nº 4</t>
  </si>
  <si>
    <t>CATETER FOGARTY Nº 5</t>
  </si>
  <si>
    <t>CLAVIJAS DE ACERO 2.5 MM</t>
  </si>
  <si>
    <t>MALLA ABSORBIBLE POLIGLICOLICO 30 X 30 TIPO VICRYL</t>
  </si>
  <si>
    <t xml:space="preserve">MALLA QUIRURGICA SINTETICA NO ABSORBIBLE 30 X 30 TIPO PROLENE </t>
  </si>
  <si>
    <t>BANDEJA PARA HEMOFILTRACION PEDIATRICA – HEMOFILTRO D150</t>
  </si>
  <si>
    <t>BOLSA P/COLOSTOMIA PEDIATRICA</t>
  </si>
  <si>
    <t>CAMPO DE INCISION STERI-DRAPE 10-50</t>
  </si>
  <si>
    <t>CAMPO DE INCISION U-DRAPE 10-15</t>
  </si>
  <si>
    <t>CANASTILLA DE DORMIA tipo FUJIFILM MEDWORCK 2,8 MM</t>
  </si>
  <si>
    <t>CATÉTER DE DIÁLISIS PERITONEAL 12FR. T/SILMAG</t>
  </si>
  <si>
    <t xml:space="preserve">CATÉTER DE DIALISIS PERITONEAL 15FR. T/SILMAG </t>
  </si>
  <si>
    <t>CATETER DOBLE J 4.7 FR x 26 CM TIPO COOK</t>
  </si>
  <si>
    <t>CATETER DOBLE J 4.8 FRENCH X 46 CM TIPO COOK</t>
  </si>
  <si>
    <t>CATETER DOBLE J 7 FRENCH X 46 CM TIPO COOK</t>
  </si>
  <si>
    <t>CATETER DOBLE P/DIAG.NEUMONIA T/BRONCHOCATH DCD</t>
  </si>
  <si>
    <t>CATETER P/HEMODIALISIS DOBLE LUMEN  11 FR X 20 CM BQ- 05 BILI QP YUGULAR RAMA CURVA</t>
  </si>
  <si>
    <t>CATETER P/HEMODIALISIS DOBLE LUMEN  9 FR X 15 CM T/MEDCOM</t>
  </si>
  <si>
    <t>CATETER P/HEMODIALISIS DOBLE LUMEN SUBCLAVIA P/HEMODIALISIS 11FR.X 15CM</t>
  </si>
  <si>
    <t>CATETER P/HEMODIALISIS DOBLE LUMEN SUBCLAVIA P/HEMODIALISIS 12FR.X 20CM</t>
  </si>
  <si>
    <t>CATETER P/HEMODIALISIS TRANSITORIO 9 FR</t>
  </si>
  <si>
    <t>DERMATOMO HOJA X 1 AESCOLAP T/WAGNER</t>
  </si>
  <si>
    <t>FRASCO PARA DRENAJE TORACICO x 2500 ML</t>
  </si>
  <si>
    <t>SET. P/HEMODIALISIS SUBCLAVIA DOBLE LUM HIDR. 8FR X 15 CM</t>
  </si>
  <si>
    <t>TROCAR D/BIOPSIA D/MEDULA OSEA NEONATAL T/MONOJET- x 10 UNIDADES</t>
  </si>
  <si>
    <t>CAJA</t>
  </si>
  <si>
    <t>TROCAR D/BIOPSIA D/MEDULA OSEA PEDIATRICO T/MONOJE X 10 UNIDADES</t>
  </si>
  <si>
    <t>TROCAR D/PUNCION ASP.D/MEDULA OSEA NEONATAL T/GALL X 10 UNIDADES</t>
  </si>
  <si>
    <t>TROCAR D/PUNCION ASP.D/MEDULA OSEA PEDIATRICO T/GA X 10 UNIDADES</t>
  </si>
  <si>
    <t>007/2022</t>
  </si>
  <si>
    <t>Semestral</t>
  </si>
  <si>
    <r>
      <t>Mantenimiento de Oferta</t>
    </r>
    <r>
      <rPr>
        <sz val="10"/>
        <rFont val="Times New Roman"/>
        <family val="1"/>
      </rPr>
      <t xml:space="preserve">: 45 dias habiles </t>
    </r>
  </si>
  <si>
    <t>Costo total estimado: Cuatro Millones Ciento Noventa y Tres Mil Ochocientos Cuarenta Y Cinco Con 50/100.</t>
  </si>
  <si>
    <t>TOTAL DE PESOS: CUATRO MILLONES CIENTO NOVENTA Y TRES MIL OCHOCIENTOS CUARENTA Y CINCO CON 50/100.</t>
  </si>
  <si>
    <t>PRODUCTOS FARMACEUTICOS Y MEDICINALES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</si>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</sst>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#,##0.00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b/>
      <sz val="10"/>
      <name val="Times New Roman"/>
      <family val="1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4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left" vertical="center"/>
    </xf>
    <xf numFmtId="0" fontId="25" fillId="0" borderId="2" xfId="0" applyFont="1" applyBorder="1" applyAlignment="1">
      <alignment horizontal="left" indent="3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20" fillId="0" borderId="0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7" fillId="3" borderId="5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0" fillId="3" borderId="15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167" fontId="10" fillId="3" borderId="14" xfId="0" applyNumberFormat="1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4" fillId="0" borderId="11" xfId="0" applyFont="1" applyBorder="1" applyAlignment="1">
      <alignment horizontal="left" indent="1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28" fillId="0" borderId="28" xfId="0" applyFont="1" applyFill="1" applyBorder="1" applyAlignment="1">
      <alignment horizontal="left" vertical="center" wrapText="1"/>
    </xf>
    <xf numFmtId="0" fontId="17" fillId="0" borderId="60" xfId="0" applyFont="1" applyBorder="1" applyAlignment="1">
      <alignment horizontal="left" vertical="center" wrapText="1"/>
    </xf>
    <xf numFmtId="0" fontId="0" fillId="0" borderId="61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  <xf numFmtId="0" fontId="23" fillId="3" borderId="54" xfId="0" applyFont="1" applyFill="1" applyBorder="1" applyAlignment="1">
      <alignment horizontal="center" vertical="center"/>
    </xf>
    <xf numFmtId="0" fontId="0" fillId="3" borderId="53" xfId="0" applyFill="1" applyBorder="1"/>
    <xf numFmtId="0" fontId="17" fillId="3" borderId="53" xfId="0" applyFont="1" applyFill="1" applyBorder="1" applyAlignment="1">
      <alignment wrapText="1"/>
    </xf>
    <xf numFmtId="0" fontId="18" fillId="3" borderId="57" xfId="0" applyFont="1" applyFill="1" applyBorder="1" applyAlignment="1">
      <alignment horizontal="center" vertical="center" wrapText="1"/>
    </xf>
    <xf numFmtId="0" fontId="29" fillId="3" borderId="58" xfId="0" applyFont="1" applyFill="1" applyBorder="1" applyAlignment="1">
      <alignment vertical="center" wrapText="1"/>
    </xf>
    <xf numFmtId="0" fontId="17" fillId="3" borderId="53" xfId="0" applyFont="1" applyFill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center" vertical="center" wrapText="1"/>
    </xf>
    <xf numFmtId="170" fontId="17" fillId="3" borderId="53" xfId="1" applyNumberFormat="1" applyFont="1" applyFill="1" applyBorder="1" applyAlignment="1" applyProtection="1">
      <alignment vertical="center" wrapText="1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30" fillId="3" borderId="53" xfId="0" applyFont="1" applyFill="1" applyBorder="1" applyAlignment="1">
      <alignment horizontal="center" vertical="center"/>
    </xf>
    <xf numFmtId="170" fontId="17" fillId="3" borderId="53" xfId="1" applyNumberFormat="1" applyFont="1" applyFill="1" applyBorder="1" applyAlignment="1">
      <alignment vertical="center"/>
    </xf>
    <xf numFmtId="0" fontId="31" fillId="3" borderId="53" xfId="0" applyFont="1" applyFill="1" applyBorder="1" applyAlignment="1">
      <alignment horizontal="center" vertical="center"/>
    </xf>
    <xf numFmtId="0" fontId="17" fillId="3" borderId="58" xfId="0" applyFont="1" applyFill="1" applyBorder="1" applyAlignment="1">
      <alignment vertical="center" wrapText="1"/>
    </xf>
    <xf numFmtId="0" fontId="29" fillId="3" borderId="59" xfId="0" applyFont="1" applyFill="1" applyBorder="1" applyAlignment="1">
      <alignment vertical="center" wrapText="1"/>
    </xf>
    <xf numFmtId="0" fontId="0" fillId="3" borderId="59" xfId="0" applyFill="1" applyBorder="1" applyAlignment="1">
      <alignment vertical="center" wrapText="1"/>
    </xf>
    <xf numFmtId="0" fontId="29" fillId="3" borderId="59" xfId="0" applyFont="1" applyFill="1" applyBorder="1" applyAlignment="1">
      <alignment horizontal="left" vertical="center" wrapText="1"/>
    </xf>
    <xf numFmtId="0" fontId="29" fillId="3" borderId="53" xfId="0" applyFont="1" applyFill="1" applyBorder="1" applyAlignment="1">
      <alignment vertical="center" wrapText="1"/>
    </xf>
    <xf numFmtId="0" fontId="18" fillId="3" borderId="53" xfId="0" applyFont="1" applyFill="1" applyBorder="1" applyAlignment="1">
      <alignment horizontal="center" vertical="center" wrapText="1"/>
    </xf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  <cellStyle name="Normal 4" xfId="8" xr:uid="{00000000-0005-0000-0000-000008000000}"/>
  </cellStyles>
  <dxfs count="1">
    <dxf>
      <fill>
        <patternFill patternType="solid">
          <fgColor rgb="FFC6D9F0"/>
          <bgColor rgb="FFC6D9F0"/>
        </patternFill>
      </fill>
      <border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75"/>
  <sheetViews>
    <sheetView tabSelected="1" zoomScale="93" zoomScaleNormal="93" workbookViewId="0">
      <selection activeCell="E6" sqref="E6"/>
    </sheetView>
  </sheetViews>
  <sheetFormatPr baseColWidth="10" defaultColWidth="11" defaultRowHeight="12.75" x14ac:dyDescent="0.2"/>
  <cols>
    <col min="1" max="1" width="6.42578125" style="26" customWidth="1"/>
    <col min="2" max="2" width="11.42578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85546875" style="26" customWidth="1"/>
    <col min="8" max="8" width="13.85546875" style="45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77" t="s">
        <v>0</v>
      </c>
      <c r="C2" s="77"/>
      <c r="D2" s="77"/>
      <c r="E2" s="77"/>
      <c r="F2" s="77"/>
      <c r="G2" s="77"/>
      <c r="H2" s="77"/>
    </row>
    <row r="3" spans="1:10" ht="12" customHeight="1" x14ac:dyDescent="0.2"/>
    <row r="4" spans="1:10" ht="18" customHeight="1" x14ac:dyDescent="0.25">
      <c r="A4" s="73" t="s">
        <v>1</v>
      </c>
      <c r="B4" s="73"/>
      <c r="C4" s="78" t="s">
        <v>52</v>
      </c>
      <c r="D4" s="78"/>
      <c r="E4" s="78"/>
      <c r="F4" s="27"/>
      <c r="G4" s="28"/>
      <c r="H4" s="46"/>
    </row>
    <row r="5" spans="1:10" ht="18" customHeight="1" x14ac:dyDescent="0.25">
      <c r="A5" s="73" t="s">
        <v>2</v>
      </c>
      <c r="B5" s="73"/>
      <c r="C5" s="78" t="s">
        <v>51</v>
      </c>
      <c r="D5" s="78"/>
      <c r="E5" s="78"/>
      <c r="F5" s="27"/>
      <c r="G5" s="28" t="s">
        <v>55</v>
      </c>
      <c r="H5" s="46"/>
    </row>
    <row r="6" spans="1:10" ht="16.5" customHeight="1" x14ac:dyDescent="0.25">
      <c r="A6" s="73" t="s">
        <v>3</v>
      </c>
      <c r="B6" s="73"/>
      <c r="C6" s="42">
        <v>2022</v>
      </c>
      <c r="D6" s="43"/>
      <c r="E6" s="43"/>
      <c r="F6" s="27"/>
      <c r="G6" s="28"/>
      <c r="H6" s="46"/>
    </row>
    <row r="7" spans="1:10" ht="16.5" customHeight="1" x14ac:dyDescent="0.25">
      <c r="A7" s="73" t="s">
        <v>4</v>
      </c>
      <c r="B7" s="73"/>
      <c r="C7" s="42">
        <v>1</v>
      </c>
      <c r="D7" s="43"/>
      <c r="E7" s="43"/>
      <c r="F7" s="27"/>
      <c r="G7" s="28"/>
      <c r="H7" s="46"/>
    </row>
    <row r="8" spans="1:10" ht="13.5" thickBot="1" x14ac:dyDescent="0.25">
      <c r="B8" s="27"/>
      <c r="C8" s="28"/>
      <c r="D8" s="27"/>
      <c r="E8" s="27"/>
      <c r="F8" s="27"/>
      <c r="G8" s="28"/>
      <c r="H8" s="46"/>
      <c r="J8" s="44"/>
    </row>
    <row r="9" spans="1:10" ht="36.75" thickBot="1" x14ac:dyDescent="0.25">
      <c r="A9" s="65" t="s">
        <v>5</v>
      </c>
      <c r="B9" s="65" t="s">
        <v>6</v>
      </c>
      <c r="C9" s="65" t="s">
        <v>7</v>
      </c>
      <c r="D9" s="65" t="s">
        <v>8</v>
      </c>
      <c r="E9" s="65" t="s">
        <v>9</v>
      </c>
      <c r="F9" s="65" t="s">
        <v>10</v>
      </c>
      <c r="G9" s="65" t="s">
        <v>11</v>
      </c>
      <c r="H9" s="66" t="s">
        <v>12</v>
      </c>
      <c r="I9" s="65" t="s">
        <v>13</v>
      </c>
    </row>
    <row r="10" spans="1:10" ht="25.5" x14ac:dyDescent="0.2">
      <c r="A10" s="123">
        <v>1</v>
      </c>
      <c r="B10" s="124"/>
      <c r="C10" s="125" t="s">
        <v>57</v>
      </c>
      <c r="D10" s="126">
        <v>295</v>
      </c>
      <c r="E10" s="127" t="s">
        <v>100</v>
      </c>
      <c r="F10" s="128" t="s">
        <v>58</v>
      </c>
      <c r="G10" s="129">
        <v>10</v>
      </c>
      <c r="H10" s="130">
        <v>31915</v>
      </c>
      <c r="I10" s="131">
        <f t="shared" ref="I10:I68" si="0">+G10*H10</f>
        <v>319150</v>
      </c>
    </row>
    <row r="11" spans="1:10" ht="25.5" x14ac:dyDescent="0.2">
      <c r="A11" s="123">
        <v>2</v>
      </c>
      <c r="B11" s="124"/>
      <c r="C11" s="125" t="s">
        <v>57</v>
      </c>
      <c r="D11" s="126">
        <v>295</v>
      </c>
      <c r="E11" s="127" t="s">
        <v>101</v>
      </c>
      <c r="F11" s="128" t="s">
        <v>58</v>
      </c>
      <c r="G11" s="129">
        <v>60</v>
      </c>
      <c r="H11" s="130">
        <v>295.10000000000002</v>
      </c>
      <c r="I11" s="131">
        <f t="shared" si="0"/>
        <v>17706</v>
      </c>
    </row>
    <row r="12" spans="1:10" ht="25.5" x14ac:dyDescent="0.2">
      <c r="A12" s="123">
        <v>3</v>
      </c>
      <c r="B12" s="124"/>
      <c r="C12" s="125" t="s">
        <v>57</v>
      </c>
      <c r="D12" s="126">
        <v>295</v>
      </c>
      <c r="E12" s="127" t="s">
        <v>102</v>
      </c>
      <c r="F12" s="128" t="s">
        <v>58</v>
      </c>
      <c r="G12" s="129">
        <v>50</v>
      </c>
      <c r="H12" s="130">
        <v>472.89</v>
      </c>
      <c r="I12" s="131">
        <f t="shared" si="0"/>
        <v>23644.5</v>
      </c>
    </row>
    <row r="13" spans="1:10" ht="25.5" x14ac:dyDescent="0.2">
      <c r="A13" s="123">
        <v>4</v>
      </c>
      <c r="B13" s="124"/>
      <c r="C13" s="125" t="s">
        <v>57</v>
      </c>
      <c r="D13" s="126">
        <v>295</v>
      </c>
      <c r="E13" s="127" t="s">
        <v>103</v>
      </c>
      <c r="F13" s="128" t="s">
        <v>58</v>
      </c>
      <c r="G13" s="132">
        <v>50</v>
      </c>
      <c r="H13" s="133">
        <v>818.9</v>
      </c>
      <c r="I13" s="131">
        <f t="shared" si="0"/>
        <v>40945</v>
      </c>
    </row>
    <row r="14" spans="1:10" ht="25.5" x14ac:dyDescent="0.2">
      <c r="A14" s="123">
        <v>5</v>
      </c>
      <c r="B14" s="124"/>
      <c r="C14" s="125" t="s">
        <v>57</v>
      </c>
      <c r="D14" s="126">
        <v>295</v>
      </c>
      <c r="E14" s="127" t="s">
        <v>104</v>
      </c>
      <c r="F14" s="128" t="s">
        <v>58</v>
      </c>
      <c r="G14" s="134">
        <v>1</v>
      </c>
      <c r="H14" s="133">
        <v>23709.4</v>
      </c>
      <c r="I14" s="131">
        <f t="shared" si="0"/>
        <v>23709.4</v>
      </c>
    </row>
    <row r="15" spans="1:10" ht="25.5" x14ac:dyDescent="0.2">
      <c r="A15" s="123">
        <v>6</v>
      </c>
      <c r="B15" s="124"/>
      <c r="C15" s="125" t="s">
        <v>57</v>
      </c>
      <c r="D15" s="126">
        <v>295</v>
      </c>
      <c r="E15" s="127" t="s">
        <v>105</v>
      </c>
      <c r="F15" s="128" t="s">
        <v>58</v>
      </c>
      <c r="G15" s="132">
        <v>10</v>
      </c>
      <c r="H15" s="133">
        <v>25740</v>
      </c>
      <c r="I15" s="131">
        <f t="shared" si="0"/>
        <v>257400</v>
      </c>
    </row>
    <row r="16" spans="1:10" ht="25.5" x14ac:dyDescent="0.2">
      <c r="A16" s="123">
        <v>7</v>
      </c>
      <c r="B16" s="124"/>
      <c r="C16" s="125" t="s">
        <v>57</v>
      </c>
      <c r="D16" s="126">
        <v>295</v>
      </c>
      <c r="E16" s="127" t="s">
        <v>106</v>
      </c>
      <c r="F16" s="128" t="s">
        <v>58</v>
      </c>
      <c r="G16" s="132">
        <v>10</v>
      </c>
      <c r="H16" s="133">
        <v>25740</v>
      </c>
      <c r="I16" s="131">
        <f t="shared" si="0"/>
        <v>257400</v>
      </c>
    </row>
    <row r="17" spans="1:9" ht="25.5" x14ac:dyDescent="0.2">
      <c r="A17" s="123">
        <v>8</v>
      </c>
      <c r="B17" s="124"/>
      <c r="C17" s="125" t="s">
        <v>57</v>
      </c>
      <c r="D17" s="126">
        <v>295</v>
      </c>
      <c r="E17" s="127" t="s">
        <v>107</v>
      </c>
      <c r="F17" s="128" t="s">
        <v>58</v>
      </c>
      <c r="G17" s="132">
        <v>1</v>
      </c>
      <c r="H17" s="133">
        <v>17326.400000000001</v>
      </c>
      <c r="I17" s="131">
        <f t="shared" si="0"/>
        <v>17326.400000000001</v>
      </c>
    </row>
    <row r="18" spans="1:9" ht="25.5" x14ac:dyDescent="0.2">
      <c r="A18" s="123">
        <v>9</v>
      </c>
      <c r="B18" s="124"/>
      <c r="C18" s="125" t="s">
        <v>57</v>
      </c>
      <c r="D18" s="126">
        <v>295</v>
      </c>
      <c r="E18" s="127" t="s">
        <v>108</v>
      </c>
      <c r="F18" s="128" t="s">
        <v>58</v>
      </c>
      <c r="G18" s="132">
        <v>1</v>
      </c>
      <c r="H18" s="133">
        <v>54800</v>
      </c>
      <c r="I18" s="131">
        <f t="shared" si="0"/>
        <v>54800</v>
      </c>
    </row>
    <row r="19" spans="1:9" ht="25.5" x14ac:dyDescent="0.2">
      <c r="A19" s="123">
        <v>10</v>
      </c>
      <c r="B19" s="124"/>
      <c r="C19" s="125" t="s">
        <v>57</v>
      </c>
      <c r="D19" s="126">
        <v>295</v>
      </c>
      <c r="E19" s="127" t="s">
        <v>109</v>
      </c>
      <c r="F19" s="128" t="s">
        <v>58</v>
      </c>
      <c r="G19" s="132">
        <v>1</v>
      </c>
      <c r="H19" s="133">
        <v>54800</v>
      </c>
      <c r="I19" s="131">
        <f t="shared" si="0"/>
        <v>54800</v>
      </c>
    </row>
    <row r="20" spans="1:9" ht="25.5" x14ac:dyDescent="0.2">
      <c r="A20" s="123">
        <v>11</v>
      </c>
      <c r="B20" s="124"/>
      <c r="C20" s="125" t="s">
        <v>57</v>
      </c>
      <c r="D20" s="126">
        <v>295</v>
      </c>
      <c r="E20" s="127" t="s">
        <v>110</v>
      </c>
      <c r="F20" s="128" t="s">
        <v>58</v>
      </c>
      <c r="G20" s="132">
        <v>20</v>
      </c>
      <c r="H20" s="133">
        <v>21800</v>
      </c>
      <c r="I20" s="131">
        <f t="shared" si="0"/>
        <v>436000</v>
      </c>
    </row>
    <row r="21" spans="1:9" ht="25.5" x14ac:dyDescent="0.2">
      <c r="A21" s="123">
        <v>12</v>
      </c>
      <c r="B21" s="124"/>
      <c r="C21" s="125" t="s">
        <v>57</v>
      </c>
      <c r="D21" s="126">
        <v>295</v>
      </c>
      <c r="E21" s="127" t="s">
        <v>94</v>
      </c>
      <c r="F21" s="128" t="s">
        <v>58</v>
      </c>
      <c r="G21" s="132">
        <v>2</v>
      </c>
      <c r="H21" s="133">
        <v>4163.8999999999996</v>
      </c>
      <c r="I21" s="131">
        <f t="shared" si="0"/>
        <v>8327.7999999999993</v>
      </c>
    </row>
    <row r="22" spans="1:9" ht="25.5" x14ac:dyDescent="0.2">
      <c r="A22" s="123">
        <v>13</v>
      </c>
      <c r="B22" s="124"/>
      <c r="C22" s="125" t="s">
        <v>57</v>
      </c>
      <c r="D22" s="126">
        <v>295</v>
      </c>
      <c r="E22" s="127" t="s">
        <v>95</v>
      </c>
      <c r="F22" s="128" t="s">
        <v>58</v>
      </c>
      <c r="G22" s="132">
        <v>2</v>
      </c>
      <c r="H22" s="133">
        <v>4163.8999999999996</v>
      </c>
      <c r="I22" s="131">
        <f t="shared" si="0"/>
        <v>8327.7999999999993</v>
      </c>
    </row>
    <row r="23" spans="1:9" ht="25.5" x14ac:dyDescent="0.2">
      <c r="A23" s="123">
        <v>14</v>
      </c>
      <c r="B23" s="124"/>
      <c r="C23" s="125" t="s">
        <v>57</v>
      </c>
      <c r="D23" s="126">
        <v>295</v>
      </c>
      <c r="E23" s="127" t="s">
        <v>96</v>
      </c>
      <c r="F23" s="128" t="s">
        <v>58</v>
      </c>
      <c r="G23" s="132">
        <v>2</v>
      </c>
      <c r="H23" s="133">
        <v>4163.8999999999996</v>
      </c>
      <c r="I23" s="131">
        <f t="shared" si="0"/>
        <v>8327.7999999999993</v>
      </c>
    </row>
    <row r="24" spans="1:9" ht="25.5" x14ac:dyDescent="0.2">
      <c r="A24" s="123">
        <v>15</v>
      </c>
      <c r="B24" s="124"/>
      <c r="C24" s="125" t="s">
        <v>57</v>
      </c>
      <c r="D24" s="126">
        <v>295</v>
      </c>
      <c r="E24" s="127" t="s">
        <v>111</v>
      </c>
      <c r="F24" s="128" t="s">
        <v>58</v>
      </c>
      <c r="G24" s="132">
        <v>5</v>
      </c>
      <c r="H24" s="133">
        <v>15600</v>
      </c>
      <c r="I24" s="131">
        <f t="shared" si="0"/>
        <v>78000</v>
      </c>
    </row>
    <row r="25" spans="1:9" ht="25.5" x14ac:dyDescent="0.2">
      <c r="A25" s="123">
        <v>16</v>
      </c>
      <c r="B25" s="124"/>
      <c r="C25" s="125" t="s">
        <v>57</v>
      </c>
      <c r="D25" s="126">
        <v>295</v>
      </c>
      <c r="E25" s="127" t="s">
        <v>112</v>
      </c>
      <c r="F25" s="128" t="s">
        <v>58</v>
      </c>
      <c r="G25" s="132">
        <v>5</v>
      </c>
      <c r="H25" s="133">
        <v>14550</v>
      </c>
      <c r="I25" s="131">
        <f t="shared" si="0"/>
        <v>72750</v>
      </c>
    </row>
    <row r="26" spans="1:9" ht="25.5" x14ac:dyDescent="0.2">
      <c r="A26" s="123">
        <v>17</v>
      </c>
      <c r="B26" s="124"/>
      <c r="C26" s="125" t="s">
        <v>57</v>
      </c>
      <c r="D26" s="126">
        <v>295</v>
      </c>
      <c r="E26" s="127" t="s">
        <v>113</v>
      </c>
      <c r="F26" s="128" t="s">
        <v>58</v>
      </c>
      <c r="G26" s="132">
        <v>5</v>
      </c>
      <c r="H26" s="133">
        <v>5525</v>
      </c>
      <c r="I26" s="131">
        <f t="shared" si="0"/>
        <v>27625</v>
      </c>
    </row>
    <row r="27" spans="1:9" ht="25.5" x14ac:dyDescent="0.2">
      <c r="A27" s="123">
        <v>18</v>
      </c>
      <c r="B27" s="124"/>
      <c r="C27" s="125" t="s">
        <v>57</v>
      </c>
      <c r="D27" s="126">
        <v>295</v>
      </c>
      <c r="E27" s="127" t="s">
        <v>114</v>
      </c>
      <c r="F27" s="128" t="s">
        <v>58</v>
      </c>
      <c r="G27" s="132">
        <v>5</v>
      </c>
      <c r="H27" s="133">
        <v>5525</v>
      </c>
      <c r="I27" s="131">
        <f t="shared" si="0"/>
        <v>27625</v>
      </c>
    </row>
    <row r="28" spans="1:9" ht="25.5" x14ac:dyDescent="0.2">
      <c r="A28" s="123">
        <v>19</v>
      </c>
      <c r="B28" s="124"/>
      <c r="C28" s="125" t="s">
        <v>57</v>
      </c>
      <c r="D28" s="126">
        <v>295</v>
      </c>
      <c r="E28" s="127" t="s">
        <v>115</v>
      </c>
      <c r="F28" s="128" t="s">
        <v>58</v>
      </c>
      <c r="G28" s="132">
        <v>5</v>
      </c>
      <c r="H28" s="133">
        <v>36200</v>
      </c>
      <c r="I28" s="131">
        <f t="shared" si="0"/>
        <v>181000</v>
      </c>
    </row>
    <row r="29" spans="1:9" ht="25.5" x14ac:dyDescent="0.2">
      <c r="A29" s="123">
        <v>20</v>
      </c>
      <c r="B29" s="124"/>
      <c r="C29" s="125" t="s">
        <v>57</v>
      </c>
      <c r="D29" s="126">
        <v>252</v>
      </c>
      <c r="E29" s="127" t="s">
        <v>62</v>
      </c>
      <c r="F29" s="128" t="s">
        <v>58</v>
      </c>
      <c r="G29" s="132">
        <v>100</v>
      </c>
      <c r="H29" s="133">
        <v>488</v>
      </c>
      <c r="I29" s="131">
        <f t="shared" si="0"/>
        <v>48800</v>
      </c>
    </row>
    <row r="30" spans="1:9" ht="25.5" x14ac:dyDescent="0.2">
      <c r="A30" s="123">
        <v>21</v>
      </c>
      <c r="B30" s="124"/>
      <c r="C30" s="125" t="s">
        <v>57</v>
      </c>
      <c r="D30" s="126">
        <v>295</v>
      </c>
      <c r="E30" s="127" t="s">
        <v>63</v>
      </c>
      <c r="F30" s="128" t="s">
        <v>58</v>
      </c>
      <c r="G30" s="132">
        <v>50</v>
      </c>
      <c r="H30" s="133">
        <v>375.7</v>
      </c>
      <c r="I30" s="131">
        <f t="shared" si="0"/>
        <v>18785</v>
      </c>
    </row>
    <row r="31" spans="1:9" ht="25.5" x14ac:dyDescent="0.2">
      <c r="A31" s="123">
        <v>22</v>
      </c>
      <c r="B31" s="124"/>
      <c r="C31" s="125" t="s">
        <v>57</v>
      </c>
      <c r="D31" s="126">
        <v>295</v>
      </c>
      <c r="E31" s="135" t="s">
        <v>64</v>
      </c>
      <c r="F31" s="128" t="s">
        <v>58</v>
      </c>
      <c r="G31" s="132">
        <v>30</v>
      </c>
      <c r="H31" s="133">
        <v>392.6</v>
      </c>
      <c r="I31" s="131">
        <f t="shared" si="0"/>
        <v>11778</v>
      </c>
    </row>
    <row r="32" spans="1:9" ht="25.5" x14ac:dyDescent="0.2">
      <c r="A32" s="123">
        <v>23</v>
      </c>
      <c r="B32" s="124"/>
      <c r="C32" s="125" t="s">
        <v>57</v>
      </c>
      <c r="D32" s="126">
        <v>295</v>
      </c>
      <c r="E32" s="136" t="s">
        <v>97</v>
      </c>
      <c r="F32" s="128" t="s">
        <v>58</v>
      </c>
      <c r="G32" s="132">
        <v>30</v>
      </c>
      <c r="H32" s="133">
        <v>451.1</v>
      </c>
      <c r="I32" s="131">
        <f t="shared" si="0"/>
        <v>13533</v>
      </c>
    </row>
    <row r="33" spans="1:9" ht="25.5" x14ac:dyDescent="0.2">
      <c r="A33" s="123">
        <v>24</v>
      </c>
      <c r="B33" s="124"/>
      <c r="C33" s="125" t="s">
        <v>57</v>
      </c>
      <c r="D33" s="126">
        <v>295</v>
      </c>
      <c r="E33" s="136" t="s">
        <v>65</v>
      </c>
      <c r="F33" s="128" t="s">
        <v>58</v>
      </c>
      <c r="G33" s="132">
        <v>50</v>
      </c>
      <c r="H33" s="133">
        <v>366.6</v>
      </c>
      <c r="I33" s="131">
        <f t="shared" si="0"/>
        <v>18330</v>
      </c>
    </row>
    <row r="34" spans="1:9" ht="25.5" x14ac:dyDescent="0.2">
      <c r="A34" s="123">
        <v>25</v>
      </c>
      <c r="B34" s="124"/>
      <c r="C34" s="125" t="s">
        <v>57</v>
      </c>
      <c r="D34" s="126">
        <v>295</v>
      </c>
      <c r="E34" s="136" t="s">
        <v>66</v>
      </c>
      <c r="F34" s="128" t="s">
        <v>58</v>
      </c>
      <c r="G34" s="132">
        <v>50</v>
      </c>
      <c r="H34" s="133">
        <v>421.2</v>
      </c>
      <c r="I34" s="131">
        <f t="shared" si="0"/>
        <v>21060</v>
      </c>
    </row>
    <row r="35" spans="1:9" ht="25.5" x14ac:dyDescent="0.2">
      <c r="A35" s="123">
        <v>26</v>
      </c>
      <c r="B35" s="124"/>
      <c r="C35" s="125" t="s">
        <v>57</v>
      </c>
      <c r="D35" s="126">
        <v>295</v>
      </c>
      <c r="E35" s="136" t="s">
        <v>116</v>
      </c>
      <c r="F35" s="128" t="s">
        <v>58</v>
      </c>
      <c r="G35" s="132">
        <v>5</v>
      </c>
      <c r="H35" s="133">
        <v>6800</v>
      </c>
      <c r="I35" s="131">
        <f t="shared" si="0"/>
        <v>34000</v>
      </c>
    </row>
    <row r="36" spans="1:9" ht="25.5" x14ac:dyDescent="0.2">
      <c r="A36" s="123">
        <v>27</v>
      </c>
      <c r="B36" s="124"/>
      <c r="C36" s="125" t="s">
        <v>57</v>
      </c>
      <c r="D36" s="126">
        <v>295</v>
      </c>
      <c r="E36" s="136" t="s">
        <v>67</v>
      </c>
      <c r="F36" s="128" t="s">
        <v>58</v>
      </c>
      <c r="G36" s="132">
        <v>50</v>
      </c>
      <c r="H36" s="133">
        <v>10350</v>
      </c>
      <c r="I36" s="131">
        <f t="shared" si="0"/>
        <v>517500</v>
      </c>
    </row>
    <row r="37" spans="1:9" ht="25.5" x14ac:dyDescent="0.2">
      <c r="A37" s="123">
        <v>28</v>
      </c>
      <c r="B37" s="124"/>
      <c r="C37" s="125" t="s">
        <v>57</v>
      </c>
      <c r="D37" s="126">
        <v>295</v>
      </c>
      <c r="E37" s="136" t="s">
        <v>68</v>
      </c>
      <c r="F37" s="128" t="s">
        <v>58</v>
      </c>
      <c r="G37" s="132">
        <v>100</v>
      </c>
      <c r="H37" s="133">
        <v>768.4</v>
      </c>
      <c r="I37" s="131">
        <f t="shared" si="0"/>
        <v>76840</v>
      </c>
    </row>
    <row r="38" spans="1:9" ht="25.5" x14ac:dyDescent="0.2">
      <c r="A38" s="123">
        <v>29</v>
      </c>
      <c r="B38" s="124"/>
      <c r="C38" s="125" t="s">
        <v>57</v>
      </c>
      <c r="D38" s="126">
        <v>295</v>
      </c>
      <c r="E38" s="137" t="s">
        <v>117</v>
      </c>
      <c r="F38" s="128" t="s">
        <v>58</v>
      </c>
      <c r="G38" s="132">
        <v>50</v>
      </c>
      <c r="H38" s="133">
        <v>950</v>
      </c>
      <c r="I38" s="131">
        <f t="shared" si="0"/>
        <v>47500</v>
      </c>
    </row>
    <row r="39" spans="1:9" ht="25.5" x14ac:dyDescent="0.2">
      <c r="A39" s="123">
        <v>30</v>
      </c>
      <c r="B39" s="124"/>
      <c r="C39" s="125" t="s">
        <v>57</v>
      </c>
      <c r="D39" s="126">
        <v>295</v>
      </c>
      <c r="E39" s="137" t="s">
        <v>69</v>
      </c>
      <c r="F39" s="128" t="s">
        <v>58</v>
      </c>
      <c r="G39" s="132">
        <v>100</v>
      </c>
      <c r="H39" s="133">
        <v>330</v>
      </c>
      <c r="I39" s="131">
        <f t="shared" si="0"/>
        <v>33000</v>
      </c>
    </row>
    <row r="40" spans="1:9" ht="25.5" x14ac:dyDescent="0.2">
      <c r="A40" s="123">
        <v>31</v>
      </c>
      <c r="B40" s="124"/>
      <c r="C40" s="125" t="s">
        <v>57</v>
      </c>
      <c r="D40" s="126">
        <v>295</v>
      </c>
      <c r="E40" s="136" t="s">
        <v>98</v>
      </c>
      <c r="F40" s="128" t="s">
        <v>58</v>
      </c>
      <c r="G40" s="132">
        <v>5</v>
      </c>
      <c r="H40" s="133">
        <v>7327.5</v>
      </c>
      <c r="I40" s="131">
        <f t="shared" si="0"/>
        <v>36637.5</v>
      </c>
    </row>
    <row r="41" spans="1:9" ht="25.5" x14ac:dyDescent="0.2">
      <c r="A41" s="123">
        <v>32</v>
      </c>
      <c r="B41" s="124"/>
      <c r="C41" s="125" t="s">
        <v>57</v>
      </c>
      <c r="D41" s="126">
        <v>295</v>
      </c>
      <c r="E41" s="136" t="s">
        <v>99</v>
      </c>
      <c r="F41" s="128" t="s">
        <v>58</v>
      </c>
      <c r="G41" s="132">
        <v>5</v>
      </c>
      <c r="H41" s="133">
        <v>9909.2999999999993</v>
      </c>
      <c r="I41" s="131">
        <f t="shared" si="0"/>
        <v>49546.5</v>
      </c>
    </row>
    <row r="42" spans="1:9" ht="25.5" x14ac:dyDescent="0.2">
      <c r="A42" s="123">
        <v>33</v>
      </c>
      <c r="B42" s="124"/>
      <c r="C42" s="125" t="s">
        <v>57</v>
      </c>
      <c r="D42" s="126">
        <v>295</v>
      </c>
      <c r="E42" s="136" t="s">
        <v>118</v>
      </c>
      <c r="F42" s="128" t="s">
        <v>58</v>
      </c>
      <c r="G42" s="132">
        <v>5</v>
      </c>
      <c r="H42" s="133">
        <v>17800</v>
      </c>
      <c r="I42" s="131">
        <f t="shared" si="0"/>
        <v>89000</v>
      </c>
    </row>
    <row r="43" spans="1:9" ht="25.5" x14ac:dyDescent="0.2">
      <c r="A43" s="123">
        <v>34</v>
      </c>
      <c r="B43" s="124"/>
      <c r="C43" s="125" t="s">
        <v>57</v>
      </c>
      <c r="D43" s="126">
        <v>295</v>
      </c>
      <c r="E43" s="136" t="s">
        <v>70</v>
      </c>
      <c r="F43" s="128" t="s">
        <v>58</v>
      </c>
      <c r="G43" s="132">
        <v>50</v>
      </c>
      <c r="H43" s="133">
        <v>1658.8</v>
      </c>
      <c r="I43" s="131">
        <f t="shared" si="0"/>
        <v>82940</v>
      </c>
    </row>
    <row r="44" spans="1:9" ht="25.5" x14ac:dyDescent="0.2">
      <c r="A44" s="123">
        <v>35</v>
      </c>
      <c r="B44" s="124"/>
      <c r="C44" s="125" t="s">
        <v>57</v>
      </c>
      <c r="D44" s="126">
        <v>295</v>
      </c>
      <c r="E44" s="136" t="s">
        <v>71</v>
      </c>
      <c r="F44" s="128" t="s">
        <v>58</v>
      </c>
      <c r="G44" s="132">
        <v>30</v>
      </c>
      <c r="H44" s="133">
        <v>1658.8</v>
      </c>
      <c r="I44" s="131">
        <f t="shared" si="0"/>
        <v>49764</v>
      </c>
    </row>
    <row r="45" spans="1:9" ht="25.5" x14ac:dyDescent="0.2">
      <c r="A45" s="123">
        <v>36</v>
      </c>
      <c r="B45" s="124"/>
      <c r="C45" s="125" t="s">
        <v>57</v>
      </c>
      <c r="D45" s="126">
        <v>295</v>
      </c>
      <c r="E45" s="138" t="s">
        <v>72</v>
      </c>
      <c r="F45" s="128" t="s">
        <v>58</v>
      </c>
      <c r="G45" s="132">
        <v>30</v>
      </c>
      <c r="H45" s="133">
        <v>1658.8</v>
      </c>
      <c r="I45" s="131">
        <f t="shared" si="0"/>
        <v>49764</v>
      </c>
    </row>
    <row r="46" spans="1:9" ht="25.5" x14ac:dyDescent="0.2">
      <c r="A46" s="123">
        <v>37</v>
      </c>
      <c r="B46" s="124"/>
      <c r="C46" s="125" t="s">
        <v>57</v>
      </c>
      <c r="D46" s="126">
        <v>295</v>
      </c>
      <c r="E46" s="136" t="s">
        <v>73</v>
      </c>
      <c r="F46" s="128" t="s">
        <v>58</v>
      </c>
      <c r="G46" s="132">
        <v>50</v>
      </c>
      <c r="H46" s="133">
        <v>1658.8</v>
      </c>
      <c r="I46" s="131">
        <f t="shared" si="0"/>
        <v>82940</v>
      </c>
    </row>
    <row r="47" spans="1:9" ht="25.5" x14ac:dyDescent="0.2">
      <c r="A47" s="123">
        <v>38</v>
      </c>
      <c r="B47" s="124"/>
      <c r="C47" s="125" t="s">
        <v>57</v>
      </c>
      <c r="D47" s="126">
        <v>295</v>
      </c>
      <c r="E47" s="136" t="s">
        <v>74</v>
      </c>
      <c r="F47" s="128" t="s">
        <v>58</v>
      </c>
      <c r="G47" s="132">
        <v>50</v>
      </c>
      <c r="H47" s="133">
        <v>1658.8</v>
      </c>
      <c r="I47" s="131">
        <f t="shared" si="0"/>
        <v>82940</v>
      </c>
    </row>
    <row r="48" spans="1:9" ht="25.5" x14ac:dyDescent="0.2">
      <c r="A48" s="123">
        <v>39</v>
      </c>
      <c r="B48" s="124"/>
      <c r="C48" s="125" t="s">
        <v>57</v>
      </c>
      <c r="D48" s="126">
        <v>295</v>
      </c>
      <c r="E48" s="136" t="s">
        <v>75</v>
      </c>
      <c r="F48" s="128" t="s">
        <v>58</v>
      </c>
      <c r="G48" s="132">
        <v>20</v>
      </c>
      <c r="H48" s="133">
        <v>3720.6</v>
      </c>
      <c r="I48" s="131">
        <f t="shared" si="0"/>
        <v>74412</v>
      </c>
    </row>
    <row r="49" spans="1:9" ht="25.5" x14ac:dyDescent="0.2">
      <c r="A49" s="123">
        <v>40</v>
      </c>
      <c r="B49" s="124"/>
      <c r="C49" s="125" t="s">
        <v>57</v>
      </c>
      <c r="D49" s="126">
        <v>295</v>
      </c>
      <c r="E49" s="136" t="s">
        <v>76</v>
      </c>
      <c r="F49" s="128" t="s">
        <v>58</v>
      </c>
      <c r="G49" s="132">
        <v>20</v>
      </c>
      <c r="H49" s="133">
        <v>5374.2</v>
      </c>
      <c r="I49" s="131">
        <f t="shared" si="0"/>
        <v>107484</v>
      </c>
    </row>
    <row r="50" spans="1:9" ht="25.5" x14ac:dyDescent="0.2">
      <c r="A50" s="123">
        <v>41</v>
      </c>
      <c r="B50" s="124"/>
      <c r="C50" s="125" t="s">
        <v>57</v>
      </c>
      <c r="D50" s="126">
        <v>295</v>
      </c>
      <c r="E50" s="136" t="s">
        <v>77</v>
      </c>
      <c r="F50" s="128" t="s">
        <v>58</v>
      </c>
      <c r="G50" s="132">
        <v>20</v>
      </c>
      <c r="H50" s="133">
        <v>988</v>
      </c>
      <c r="I50" s="131">
        <f t="shared" si="0"/>
        <v>19760</v>
      </c>
    </row>
    <row r="51" spans="1:9" ht="25.5" x14ac:dyDescent="0.2">
      <c r="A51" s="123">
        <v>42</v>
      </c>
      <c r="B51" s="124"/>
      <c r="C51" s="125" t="s">
        <v>57</v>
      </c>
      <c r="D51" s="126">
        <v>295</v>
      </c>
      <c r="E51" s="127" t="s">
        <v>119</v>
      </c>
      <c r="F51" s="128" t="s">
        <v>120</v>
      </c>
      <c r="G51" s="132">
        <v>1</v>
      </c>
      <c r="H51" s="133">
        <v>25000</v>
      </c>
      <c r="I51" s="131">
        <f t="shared" si="0"/>
        <v>25000</v>
      </c>
    </row>
    <row r="52" spans="1:9" ht="25.5" x14ac:dyDescent="0.2">
      <c r="A52" s="123">
        <v>43</v>
      </c>
      <c r="B52" s="124"/>
      <c r="C52" s="125" t="s">
        <v>57</v>
      </c>
      <c r="D52" s="126">
        <v>295</v>
      </c>
      <c r="E52" s="127" t="s">
        <v>121</v>
      </c>
      <c r="F52" s="128" t="s">
        <v>120</v>
      </c>
      <c r="G52" s="132">
        <v>1</v>
      </c>
      <c r="H52" s="133">
        <v>25000</v>
      </c>
      <c r="I52" s="131">
        <f t="shared" si="0"/>
        <v>25000</v>
      </c>
    </row>
    <row r="53" spans="1:9" ht="25.5" x14ac:dyDescent="0.2">
      <c r="A53" s="123">
        <v>44</v>
      </c>
      <c r="B53" s="124"/>
      <c r="C53" s="125" t="s">
        <v>57</v>
      </c>
      <c r="D53" s="126">
        <v>295</v>
      </c>
      <c r="E53" s="127" t="s">
        <v>122</v>
      </c>
      <c r="F53" s="128" t="s">
        <v>120</v>
      </c>
      <c r="G53" s="132">
        <v>1</v>
      </c>
      <c r="H53" s="133">
        <v>25000</v>
      </c>
      <c r="I53" s="131">
        <f t="shared" si="0"/>
        <v>25000</v>
      </c>
    </row>
    <row r="54" spans="1:9" ht="25.5" x14ac:dyDescent="0.2">
      <c r="A54" s="123">
        <v>45</v>
      </c>
      <c r="B54" s="124"/>
      <c r="C54" s="125" t="s">
        <v>57</v>
      </c>
      <c r="D54" s="126">
        <v>295</v>
      </c>
      <c r="E54" s="139" t="s">
        <v>123</v>
      </c>
      <c r="F54" s="128" t="s">
        <v>120</v>
      </c>
      <c r="G54" s="132">
        <v>1</v>
      </c>
      <c r="H54" s="133">
        <v>25000</v>
      </c>
      <c r="I54" s="131">
        <f t="shared" si="0"/>
        <v>25000</v>
      </c>
    </row>
    <row r="55" spans="1:9" ht="25.5" x14ac:dyDescent="0.2">
      <c r="A55" s="123">
        <v>46</v>
      </c>
      <c r="B55" s="124"/>
      <c r="C55" s="125" t="s">
        <v>57</v>
      </c>
      <c r="D55" s="126">
        <v>295</v>
      </c>
      <c r="E55" s="139" t="s">
        <v>78</v>
      </c>
      <c r="F55" s="128" t="s">
        <v>58</v>
      </c>
      <c r="G55" s="132">
        <v>20</v>
      </c>
      <c r="H55" s="133">
        <v>804.38</v>
      </c>
      <c r="I55" s="131">
        <f t="shared" si="0"/>
        <v>16087.6</v>
      </c>
    </row>
    <row r="56" spans="1:9" ht="25.5" x14ac:dyDescent="0.2">
      <c r="A56" s="123">
        <v>47</v>
      </c>
      <c r="B56" s="124"/>
      <c r="C56" s="125" t="s">
        <v>57</v>
      </c>
      <c r="D56" s="126">
        <v>295</v>
      </c>
      <c r="E56" s="139" t="s">
        <v>79</v>
      </c>
      <c r="F56" s="128" t="s">
        <v>58</v>
      </c>
      <c r="G56" s="132">
        <v>20</v>
      </c>
      <c r="H56" s="133">
        <v>804.8</v>
      </c>
      <c r="I56" s="131">
        <f t="shared" si="0"/>
        <v>16096</v>
      </c>
    </row>
    <row r="57" spans="1:9" ht="25.5" x14ac:dyDescent="0.2">
      <c r="A57" s="123">
        <v>48</v>
      </c>
      <c r="B57" s="124"/>
      <c r="C57" s="125" t="s">
        <v>57</v>
      </c>
      <c r="D57" s="126">
        <v>295</v>
      </c>
      <c r="E57" s="139" t="s">
        <v>80</v>
      </c>
      <c r="F57" s="128" t="s">
        <v>58</v>
      </c>
      <c r="G57" s="132">
        <v>20</v>
      </c>
      <c r="H57" s="133">
        <v>804.38</v>
      </c>
      <c r="I57" s="131">
        <f t="shared" si="0"/>
        <v>16087.6</v>
      </c>
    </row>
    <row r="58" spans="1:9" ht="25.5" x14ac:dyDescent="0.2">
      <c r="A58" s="123">
        <v>49</v>
      </c>
      <c r="B58" s="124"/>
      <c r="C58" s="125" t="s">
        <v>57</v>
      </c>
      <c r="D58" s="126">
        <v>295</v>
      </c>
      <c r="E58" s="139" t="s">
        <v>81</v>
      </c>
      <c r="F58" s="128" t="s">
        <v>58</v>
      </c>
      <c r="G58" s="132">
        <v>20</v>
      </c>
      <c r="H58" s="133">
        <v>804.38</v>
      </c>
      <c r="I58" s="131">
        <f t="shared" si="0"/>
        <v>16087.6</v>
      </c>
    </row>
    <row r="59" spans="1:9" ht="25.5" x14ac:dyDescent="0.2">
      <c r="A59" s="123">
        <v>50</v>
      </c>
      <c r="B59" s="124"/>
      <c r="C59" s="125" t="s">
        <v>57</v>
      </c>
      <c r="D59" s="126">
        <v>295</v>
      </c>
      <c r="E59" s="139" t="s">
        <v>82</v>
      </c>
      <c r="F59" s="128" t="s">
        <v>58</v>
      </c>
      <c r="G59" s="132">
        <v>20</v>
      </c>
      <c r="H59" s="133">
        <v>804.38</v>
      </c>
      <c r="I59" s="131">
        <f t="shared" si="0"/>
        <v>16087.6</v>
      </c>
    </row>
    <row r="60" spans="1:9" ht="25.5" x14ac:dyDescent="0.2">
      <c r="A60" s="123">
        <v>51</v>
      </c>
      <c r="B60" s="124"/>
      <c r="C60" s="125" t="s">
        <v>57</v>
      </c>
      <c r="D60" s="126">
        <v>295</v>
      </c>
      <c r="E60" s="139" t="s">
        <v>83</v>
      </c>
      <c r="F60" s="128" t="s">
        <v>58</v>
      </c>
      <c r="G60" s="132">
        <v>20</v>
      </c>
      <c r="H60" s="133">
        <v>804.38</v>
      </c>
      <c r="I60" s="131">
        <f t="shared" si="0"/>
        <v>16087.6</v>
      </c>
    </row>
    <row r="61" spans="1:9" ht="25.5" x14ac:dyDescent="0.2">
      <c r="A61" s="123">
        <v>52</v>
      </c>
      <c r="B61" s="124"/>
      <c r="C61" s="125" t="s">
        <v>57</v>
      </c>
      <c r="D61" s="140">
        <v>295</v>
      </c>
      <c r="E61" s="139" t="s">
        <v>84</v>
      </c>
      <c r="F61" s="128" t="s">
        <v>58</v>
      </c>
      <c r="G61" s="132">
        <v>20</v>
      </c>
      <c r="H61" s="133">
        <v>804.38</v>
      </c>
      <c r="I61" s="131">
        <f t="shared" si="0"/>
        <v>16087.6</v>
      </c>
    </row>
    <row r="62" spans="1:9" ht="25.5" x14ac:dyDescent="0.2">
      <c r="A62" s="123">
        <v>53</v>
      </c>
      <c r="B62" s="124"/>
      <c r="C62" s="125" t="s">
        <v>57</v>
      </c>
      <c r="D62" s="140">
        <v>295</v>
      </c>
      <c r="E62" s="139" t="s">
        <v>85</v>
      </c>
      <c r="F62" s="128" t="s">
        <v>58</v>
      </c>
      <c r="G62" s="132">
        <v>20</v>
      </c>
      <c r="H62" s="133">
        <v>804.38</v>
      </c>
      <c r="I62" s="131">
        <f t="shared" si="0"/>
        <v>16087.6</v>
      </c>
    </row>
    <row r="63" spans="1:9" ht="25.5" x14ac:dyDescent="0.2">
      <c r="A63" s="123">
        <v>54</v>
      </c>
      <c r="B63" s="124"/>
      <c r="C63" s="125" t="s">
        <v>57</v>
      </c>
      <c r="D63" s="140">
        <v>295</v>
      </c>
      <c r="E63" s="139" t="s">
        <v>86</v>
      </c>
      <c r="F63" s="128" t="s">
        <v>58</v>
      </c>
      <c r="G63" s="132">
        <v>20</v>
      </c>
      <c r="H63" s="133">
        <v>804.38</v>
      </c>
      <c r="I63" s="131">
        <f t="shared" si="0"/>
        <v>16087.6</v>
      </c>
    </row>
    <row r="64" spans="1:9" ht="25.5" x14ac:dyDescent="0.2">
      <c r="A64" s="123">
        <v>55</v>
      </c>
      <c r="B64" s="124"/>
      <c r="C64" s="125" t="s">
        <v>57</v>
      </c>
      <c r="D64" s="140">
        <v>295</v>
      </c>
      <c r="E64" s="139" t="s">
        <v>87</v>
      </c>
      <c r="F64" s="128" t="s">
        <v>58</v>
      </c>
      <c r="G64" s="132">
        <v>50</v>
      </c>
      <c r="H64" s="133">
        <v>1786.2</v>
      </c>
      <c r="I64" s="131">
        <f t="shared" si="0"/>
        <v>89310</v>
      </c>
    </row>
    <row r="65" spans="1:9" ht="25.5" x14ac:dyDescent="0.2">
      <c r="A65" s="123">
        <v>56</v>
      </c>
      <c r="B65" s="124"/>
      <c r="C65" s="125" t="s">
        <v>57</v>
      </c>
      <c r="D65" s="140">
        <v>295</v>
      </c>
      <c r="E65" s="139" t="s">
        <v>88</v>
      </c>
      <c r="F65" s="128" t="s">
        <v>58</v>
      </c>
      <c r="G65" s="132">
        <v>50</v>
      </c>
      <c r="H65" s="133">
        <v>1786.2</v>
      </c>
      <c r="I65" s="131">
        <f t="shared" si="0"/>
        <v>89310</v>
      </c>
    </row>
    <row r="66" spans="1:9" ht="25.5" x14ac:dyDescent="0.2">
      <c r="A66" s="123">
        <v>57</v>
      </c>
      <c r="B66" s="124"/>
      <c r="C66" s="125" t="s">
        <v>57</v>
      </c>
      <c r="D66" s="140">
        <v>295</v>
      </c>
      <c r="E66" s="139" t="s">
        <v>89</v>
      </c>
      <c r="F66" s="128" t="s">
        <v>58</v>
      </c>
      <c r="G66" s="132">
        <v>50</v>
      </c>
      <c r="H66" s="133">
        <v>1786.2</v>
      </c>
      <c r="I66" s="131">
        <f t="shared" si="0"/>
        <v>89310</v>
      </c>
    </row>
    <row r="67" spans="1:9" ht="25.5" x14ac:dyDescent="0.2">
      <c r="A67" s="123">
        <v>58</v>
      </c>
      <c r="B67" s="124"/>
      <c r="C67" s="125" t="s">
        <v>57</v>
      </c>
      <c r="D67" s="140">
        <v>295</v>
      </c>
      <c r="E67" s="139" t="s">
        <v>90</v>
      </c>
      <c r="F67" s="128" t="s">
        <v>58</v>
      </c>
      <c r="G67" s="132">
        <v>50</v>
      </c>
      <c r="H67" s="133">
        <v>1786.2</v>
      </c>
      <c r="I67" s="131">
        <f t="shared" si="0"/>
        <v>89310</v>
      </c>
    </row>
    <row r="68" spans="1:9" ht="25.5" x14ac:dyDescent="0.2">
      <c r="A68" s="123">
        <v>59</v>
      </c>
      <c r="B68" s="124"/>
      <c r="C68" s="125" t="s">
        <v>57</v>
      </c>
      <c r="D68" s="140">
        <v>295</v>
      </c>
      <c r="E68" s="139" t="s">
        <v>91</v>
      </c>
      <c r="F68" s="128" t="s">
        <v>58</v>
      </c>
      <c r="G68" s="132">
        <v>50</v>
      </c>
      <c r="H68" s="133">
        <v>2212.6</v>
      </c>
      <c r="I68" s="131">
        <f t="shared" si="0"/>
        <v>110630</v>
      </c>
    </row>
    <row r="69" spans="1:9" ht="13.5" thickBot="1" x14ac:dyDescent="0.25">
      <c r="I69" s="33"/>
    </row>
    <row r="70" spans="1:9" x14ac:dyDescent="0.2">
      <c r="B70" s="68" t="s">
        <v>60</v>
      </c>
      <c r="C70" s="29"/>
      <c r="D70" s="29"/>
      <c r="E70" s="30"/>
      <c r="I70" s="33"/>
    </row>
    <row r="71" spans="1:9" ht="13.5" customHeight="1" x14ac:dyDescent="0.2">
      <c r="B71" s="74" t="s">
        <v>61</v>
      </c>
      <c r="C71" s="75"/>
      <c r="D71" s="75"/>
      <c r="E71" s="76"/>
    </row>
    <row r="72" spans="1:9" ht="25.5" customHeight="1" x14ac:dyDescent="0.2">
      <c r="B72" s="74"/>
      <c r="C72" s="75"/>
      <c r="D72" s="75"/>
      <c r="E72" s="76"/>
      <c r="F72" s="31"/>
      <c r="G72" s="32"/>
    </row>
    <row r="73" spans="1:9" ht="13.5" customHeight="1" x14ac:dyDescent="0.2">
      <c r="B73" s="74" t="s">
        <v>130</v>
      </c>
      <c r="C73" s="75"/>
      <c r="D73" s="75"/>
      <c r="E73" s="76"/>
      <c r="F73" s="31"/>
      <c r="G73" s="32"/>
    </row>
    <row r="74" spans="1:9" ht="13.5" thickBot="1" x14ac:dyDescent="0.25">
      <c r="B74" s="69" t="s">
        <v>126</v>
      </c>
      <c r="C74" s="70"/>
      <c r="D74" s="71"/>
      <c r="E74" s="72"/>
      <c r="F74" s="31"/>
      <c r="G74" s="32"/>
    </row>
    <row r="75" spans="1:9" ht="12" customHeight="1" x14ac:dyDescent="0.2"/>
  </sheetData>
  <autoFilter ref="A9:I68" xr:uid="{00000000-0009-0000-0000-000000000000}"/>
  <mergeCells count="9">
    <mergeCell ref="A6:B6"/>
    <mergeCell ref="A7:B7"/>
    <mergeCell ref="B71:E72"/>
    <mergeCell ref="B73:E73"/>
    <mergeCell ref="B2:H2"/>
    <mergeCell ref="A4:B4"/>
    <mergeCell ref="C4:E4"/>
    <mergeCell ref="A5:B5"/>
    <mergeCell ref="C5:E5"/>
  </mergeCells>
  <conditionalFormatting sqref="E32">
    <cfRule type="expression" dxfId="0" priority="1">
      <formula>ROW()=CELL("fila")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1"/>
  <sheetViews>
    <sheetView topLeftCell="A28" zoomScale="80" zoomScaleNormal="80" workbookViewId="0">
      <selection activeCell="A72" sqref="A72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80" t="s">
        <v>14</v>
      </c>
      <c r="B1" s="80"/>
      <c r="C1" s="80"/>
      <c r="D1" s="80"/>
      <c r="E1" s="80"/>
      <c r="F1" s="80"/>
      <c r="G1" s="80"/>
      <c r="H1" s="80"/>
      <c r="I1" s="80"/>
      <c r="J1" s="34" t="s">
        <v>15</v>
      </c>
      <c r="K1" s="35" t="s">
        <v>124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81" t="s">
        <v>48</v>
      </c>
      <c r="B3" s="81"/>
      <c r="C3" s="81"/>
      <c r="D3" s="82" t="str">
        <f>'Necesidades Trimestrales'!C4</f>
        <v>040 - Ministerio de Salud</v>
      </c>
      <c r="E3" s="82"/>
      <c r="F3" s="82"/>
      <c r="G3" s="82"/>
      <c r="H3" s="82"/>
      <c r="I3" s="82"/>
      <c r="J3" s="82"/>
      <c r="K3" s="82"/>
    </row>
    <row r="4" spans="1:11" ht="18.75" customHeight="1" thickBot="1" x14ac:dyDescent="0.25">
      <c r="A4" s="83" t="s">
        <v>49</v>
      </c>
      <c r="B4" s="83"/>
      <c r="C4" s="83"/>
      <c r="D4" s="82" t="str">
        <f>'Necesidades Trimestrales'!C5</f>
        <v>024 - Hospital Interzonal de Niños</v>
      </c>
      <c r="E4" s="82"/>
      <c r="F4" s="82"/>
      <c r="G4" s="82"/>
      <c r="H4" s="82"/>
      <c r="I4" s="82"/>
      <c r="J4" s="82"/>
      <c r="K4" s="82"/>
    </row>
    <row r="5" spans="1:11" ht="18.75" customHeight="1" thickBot="1" x14ac:dyDescent="0.25">
      <c r="A5" s="83" t="s">
        <v>27</v>
      </c>
      <c r="B5" s="83"/>
      <c r="C5" s="83"/>
      <c r="D5" s="82" t="s">
        <v>51</v>
      </c>
      <c r="E5" s="82"/>
      <c r="F5" s="82"/>
      <c r="G5" s="82"/>
      <c r="H5" s="82"/>
      <c r="I5" s="82"/>
      <c r="J5" s="82"/>
      <c r="K5" s="82"/>
    </row>
    <row r="6" spans="1:11" ht="16.5" customHeight="1" thickBot="1" x14ac:dyDescent="0.25">
      <c r="A6" s="81" t="s">
        <v>50</v>
      </c>
      <c r="B6" s="81"/>
      <c r="C6" s="81"/>
      <c r="D6" s="82" t="s">
        <v>56</v>
      </c>
      <c r="E6" s="82"/>
      <c r="F6" s="82"/>
      <c r="G6" s="82"/>
      <c r="H6" s="82"/>
      <c r="I6" s="82"/>
      <c r="J6" s="82"/>
      <c r="K6" s="82"/>
    </row>
    <row r="7" spans="1:11" ht="16.5" customHeight="1" x14ac:dyDescent="0.2">
      <c r="A7" s="83" t="s">
        <v>16</v>
      </c>
      <c r="B7" s="83"/>
      <c r="C7" s="83"/>
      <c r="D7" s="82" t="s">
        <v>125</v>
      </c>
      <c r="E7" s="82"/>
      <c r="F7" s="82"/>
      <c r="G7" s="82"/>
      <c r="H7" s="82"/>
      <c r="I7" s="82"/>
      <c r="J7" s="82"/>
      <c r="K7" s="82"/>
    </row>
    <row r="8" spans="1:11" ht="16.5" customHeight="1" x14ac:dyDescent="0.2">
      <c r="A8" s="88" t="s">
        <v>17</v>
      </c>
      <c r="B8" s="88"/>
      <c r="C8" s="88"/>
      <c r="D8" s="84" t="s">
        <v>92</v>
      </c>
      <c r="E8" s="84"/>
      <c r="F8" s="84"/>
      <c r="G8" s="84"/>
      <c r="H8" s="84"/>
      <c r="I8" s="84"/>
      <c r="J8" s="84"/>
      <c r="K8" s="84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85" t="s">
        <v>18</v>
      </c>
      <c r="B10" s="86" t="s">
        <v>19</v>
      </c>
      <c r="C10" s="86" t="s">
        <v>20</v>
      </c>
      <c r="D10" s="86"/>
      <c r="E10" s="86"/>
      <c r="F10" s="86"/>
      <c r="G10" s="86"/>
      <c r="H10" s="86" t="s">
        <v>21</v>
      </c>
      <c r="I10" s="86" t="s">
        <v>22</v>
      </c>
      <c r="J10" s="86" t="s">
        <v>23</v>
      </c>
      <c r="K10" s="87" t="s">
        <v>24</v>
      </c>
    </row>
    <row r="11" spans="1:11" ht="24" customHeight="1" thickBo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7"/>
    </row>
    <row r="12" spans="1:11" ht="27.75" customHeight="1" x14ac:dyDescent="0.2">
      <c r="A12" s="59">
        <v>1</v>
      </c>
      <c r="B12" s="60"/>
      <c r="C12" s="79" t="str">
        <f>'Necesidades Trimestrales'!E10</f>
        <v>BANDEJA PARA HEMOFILTRACION PEDIATRICA – HEMOFILTRO D150</v>
      </c>
      <c r="D12" s="79"/>
      <c r="E12" s="79"/>
      <c r="F12" s="79"/>
      <c r="G12" s="79"/>
      <c r="H12" s="63" t="s">
        <v>54</v>
      </c>
      <c r="I12" s="64" t="str">
        <f>'Necesidades Trimestrales'!F10</f>
        <v>UNIDAD</v>
      </c>
      <c r="J12" s="62">
        <f>'Necesidades Trimestrales'!H10</f>
        <v>31915</v>
      </c>
      <c r="K12" s="61">
        <f>'Necesidades Trimestrales'!G10</f>
        <v>10</v>
      </c>
    </row>
    <row r="13" spans="1:11" ht="27.75" customHeight="1" x14ac:dyDescent="0.2">
      <c r="A13" s="59">
        <v>2</v>
      </c>
      <c r="B13" s="60"/>
      <c r="C13" s="79" t="str">
        <f>'Necesidades Trimestrales'!E11</f>
        <v>BOLSA P/COLOSTOMIA PEDIATRICA</v>
      </c>
      <c r="D13" s="79"/>
      <c r="E13" s="79"/>
      <c r="F13" s="79"/>
      <c r="G13" s="79"/>
      <c r="H13" s="63" t="s">
        <v>54</v>
      </c>
      <c r="I13" s="64" t="str">
        <f>'Necesidades Trimestrales'!F11</f>
        <v>UNIDAD</v>
      </c>
      <c r="J13" s="62">
        <f>'Necesidades Trimestrales'!H11</f>
        <v>295.10000000000002</v>
      </c>
      <c r="K13" s="61">
        <f>'Necesidades Trimestrales'!G11</f>
        <v>60</v>
      </c>
    </row>
    <row r="14" spans="1:11" ht="27.75" customHeight="1" x14ac:dyDescent="0.2">
      <c r="A14" s="59">
        <v>3</v>
      </c>
      <c r="B14" s="60"/>
      <c r="C14" s="79" t="str">
        <f>'Necesidades Trimestrales'!E12</f>
        <v>CAMPO DE INCISION STERI-DRAPE 10-50</v>
      </c>
      <c r="D14" s="79"/>
      <c r="E14" s="79"/>
      <c r="F14" s="79"/>
      <c r="G14" s="79"/>
      <c r="H14" s="63" t="s">
        <v>54</v>
      </c>
      <c r="I14" s="64" t="str">
        <f>'Necesidades Trimestrales'!F12</f>
        <v>UNIDAD</v>
      </c>
      <c r="J14" s="62">
        <f>'Necesidades Trimestrales'!H12</f>
        <v>472.89</v>
      </c>
      <c r="K14" s="61">
        <f>'Necesidades Trimestrales'!G12</f>
        <v>50</v>
      </c>
    </row>
    <row r="15" spans="1:11" ht="27.75" customHeight="1" x14ac:dyDescent="0.2">
      <c r="A15" s="59">
        <v>4</v>
      </c>
      <c r="B15" s="60"/>
      <c r="C15" s="79" t="str">
        <f>'Necesidades Trimestrales'!E13</f>
        <v>CAMPO DE INCISION U-DRAPE 10-15</v>
      </c>
      <c r="D15" s="79"/>
      <c r="E15" s="79"/>
      <c r="F15" s="79"/>
      <c r="G15" s="79"/>
      <c r="H15" s="63" t="s">
        <v>54</v>
      </c>
      <c r="I15" s="64" t="str">
        <f>'Necesidades Trimestrales'!F13</f>
        <v>UNIDAD</v>
      </c>
      <c r="J15" s="62">
        <f>'Necesidades Trimestrales'!H13</f>
        <v>818.9</v>
      </c>
      <c r="K15" s="61">
        <f>'Necesidades Trimestrales'!G13</f>
        <v>50</v>
      </c>
    </row>
    <row r="16" spans="1:11" ht="27.75" customHeight="1" x14ac:dyDescent="0.2">
      <c r="A16" s="59">
        <v>5</v>
      </c>
      <c r="B16" s="60"/>
      <c r="C16" s="79" t="str">
        <f>'Necesidades Trimestrales'!E14</f>
        <v>CANASTILLA DE DORMIA tipo FUJIFILM MEDWORCK 2,8 MM</v>
      </c>
      <c r="D16" s="79"/>
      <c r="E16" s="79"/>
      <c r="F16" s="79"/>
      <c r="G16" s="79"/>
      <c r="H16" s="63" t="s">
        <v>54</v>
      </c>
      <c r="I16" s="64" t="str">
        <f>'Necesidades Trimestrales'!F14</f>
        <v>UNIDAD</v>
      </c>
      <c r="J16" s="62">
        <f>'Necesidades Trimestrales'!H14</f>
        <v>23709.4</v>
      </c>
      <c r="K16" s="61">
        <f>'Necesidades Trimestrales'!G14</f>
        <v>1</v>
      </c>
    </row>
    <row r="17" spans="1:14" ht="27.75" customHeight="1" x14ac:dyDescent="0.2">
      <c r="A17" s="59">
        <v>6</v>
      </c>
      <c r="B17" s="60"/>
      <c r="C17" s="79" t="str">
        <f>'Necesidades Trimestrales'!E15</f>
        <v>CATÉTER DE DIÁLISIS PERITONEAL 12FR. T/SILMAG</v>
      </c>
      <c r="D17" s="79"/>
      <c r="E17" s="79"/>
      <c r="F17" s="79"/>
      <c r="G17" s="79"/>
      <c r="H17" s="63" t="s">
        <v>54</v>
      </c>
      <c r="I17" s="64" t="str">
        <f>'Necesidades Trimestrales'!F15</f>
        <v>UNIDAD</v>
      </c>
      <c r="J17" s="62">
        <f>'Necesidades Trimestrales'!H15</f>
        <v>25740</v>
      </c>
      <c r="K17" s="61">
        <f>'Necesidades Trimestrales'!G15</f>
        <v>10</v>
      </c>
    </row>
    <row r="18" spans="1:14" ht="27.75" customHeight="1" x14ac:dyDescent="0.2">
      <c r="A18" s="59">
        <v>7</v>
      </c>
      <c r="B18" s="60"/>
      <c r="C18" s="79" t="str">
        <f>'Necesidades Trimestrales'!E16</f>
        <v xml:space="preserve">CATÉTER DE DIALISIS PERITONEAL 15FR. T/SILMAG </v>
      </c>
      <c r="D18" s="79"/>
      <c r="E18" s="79"/>
      <c r="F18" s="79"/>
      <c r="G18" s="79"/>
      <c r="H18" s="63" t="s">
        <v>54</v>
      </c>
      <c r="I18" s="64" t="str">
        <f>'Necesidades Trimestrales'!F16</f>
        <v>UNIDAD</v>
      </c>
      <c r="J18" s="62">
        <f>'Necesidades Trimestrales'!H16</f>
        <v>25740</v>
      </c>
      <c r="K18" s="61">
        <f>'Necesidades Trimestrales'!G16</f>
        <v>10</v>
      </c>
    </row>
    <row r="19" spans="1:14" ht="27.75" customHeight="1" x14ac:dyDescent="0.2">
      <c r="A19" s="59">
        <v>8</v>
      </c>
      <c r="B19" s="60"/>
      <c r="C19" s="79" t="str">
        <f>'Necesidades Trimestrales'!E17</f>
        <v>CATETER DOBLE J 4.7 FR x 26 CM TIPO COOK</v>
      </c>
      <c r="D19" s="79"/>
      <c r="E19" s="79"/>
      <c r="F19" s="79"/>
      <c r="G19" s="79"/>
      <c r="H19" s="63" t="s">
        <v>54</v>
      </c>
      <c r="I19" s="64" t="str">
        <f>'Necesidades Trimestrales'!F17</f>
        <v>UNIDAD</v>
      </c>
      <c r="J19" s="62">
        <f>'Necesidades Trimestrales'!H17</f>
        <v>17326.400000000001</v>
      </c>
      <c r="K19" s="61">
        <f>'Necesidades Trimestrales'!G17</f>
        <v>1</v>
      </c>
    </row>
    <row r="20" spans="1:14" ht="27.75" customHeight="1" x14ac:dyDescent="0.2">
      <c r="A20" s="59">
        <v>9</v>
      </c>
      <c r="B20" s="60"/>
      <c r="C20" s="79" t="str">
        <f>'Necesidades Trimestrales'!E18</f>
        <v>CATETER DOBLE J 4.8 FRENCH X 46 CM TIPO COOK</v>
      </c>
      <c r="D20" s="79"/>
      <c r="E20" s="79"/>
      <c r="F20" s="79"/>
      <c r="G20" s="79"/>
      <c r="H20" s="63" t="s">
        <v>54</v>
      </c>
      <c r="I20" s="64" t="str">
        <f>'Necesidades Trimestrales'!F18</f>
        <v>UNIDAD</v>
      </c>
      <c r="J20" s="62">
        <f>'Necesidades Trimestrales'!H18</f>
        <v>54800</v>
      </c>
      <c r="K20" s="61">
        <f>'Necesidades Trimestrales'!G18</f>
        <v>1</v>
      </c>
    </row>
    <row r="21" spans="1:14" ht="27.75" customHeight="1" x14ac:dyDescent="0.2">
      <c r="A21" s="59">
        <v>10</v>
      </c>
      <c r="B21" s="67"/>
      <c r="C21" s="79" t="str">
        <f>'Necesidades Trimestrales'!E19</f>
        <v>CATETER DOBLE J 7 FRENCH X 46 CM TIPO COOK</v>
      </c>
      <c r="D21" s="79"/>
      <c r="E21" s="79"/>
      <c r="F21" s="79"/>
      <c r="G21" s="79"/>
      <c r="H21" s="63" t="s">
        <v>54</v>
      </c>
      <c r="I21" s="64" t="str">
        <f>'Necesidades Trimestrales'!F19</f>
        <v>UNIDAD</v>
      </c>
      <c r="J21" s="62">
        <f>'Necesidades Trimestrales'!H19</f>
        <v>54800</v>
      </c>
      <c r="K21" s="61">
        <f>'Necesidades Trimestrales'!G19</f>
        <v>1</v>
      </c>
    </row>
    <row r="22" spans="1:14" ht="27.75" customHeight="1" x14ac:dyDescent="0.2">
      <c r="A22" s="59">
        <v>11</v>
      </c>
      <c r="B22" s="67"/>
      <c r="C22" s="79" t="str">
        <f>'Necesidades Trimestrales'!E20</f>
        <v>CATETER DOBLE P/DIAG.NEUMONIA T/BRONCHOCATH DCD</v>
      </c>
      <c r="D22" s="79"/>
      <c r="E22" s="79"/>
      <c r="F22" s="79"/>
      <c r="G22" s="79"/>
      <c r="H22" s="63" t="s">
        <v>54</v>
      </c>
      <c r="I22" s="64" t="str">
        <f>'Necesidades Trimestrales'!F20</f>
        <v>UNIDAD</v>
      </c>
      <c r="J22" s="62">
        <f>'Necesidades Trimestrales'!H20</f>
        <v>21800</v>
      </c>
      <c r="K22" s="61">
        <f>'Necesidades Trimestrales'!G20</f>
        <v>20</v>
      </c>
    </row>
    <row r="23" spans="1:14" ht="27.75" customHeight="1" x14ac:dyDescent="0.2">
      <c r="A23" s="59">
        <v>12</v>
      </c>
      <c r="B23" s="67"/>
      <c r="C23" s="79" t="str">
        <f>'Necesidades Trimestrales'!E21</f>
        <v>CATETER FOGARTY Nº 3</v>
      </c>
      <c r="D23" s="79"/>
      <c r="E23" s="79"/>
      <c r="F23" s="79"/>
      <c r="G23" s="79"/>
      <c r="H23" s="63" t="s">
        <v>54</v>
      </c>
      <c r="I23" s="64" t="str">
        <f>'Necesidades Trimestrales'!F21</f>
        <v>UNIDAD</v>
      </c>
      <c r="J23" s="62">
        <f>'Necesidades Trimestrales'!H21</f>
        <v>4163.8999999999996</v>
      </c>
      <c r="K23" s="61">
        <f>'Necesidades Trimestrales'!G21</f>
        <v>2</v>
      </c>
    </row>
    <row r="24" spans="1:14" ht="27.75" customHeight="1" x14ac:dyDescent="0.2">
      <c r="A24" s="59">
        <v>13</v>
      </c>
      <c r="B24" s="67"/>
      <c r="C24" s="79" t="str">
        <f>'Necesidades Trimestrales'!E22</f>
        <v>CATETER FOGARTY Nº 4</v>
      </c>
      <c r="D24" s="79"/>
      <c r="E24" s="79"/>
      <c r="F24" s="79"/>
      <c r="G24" s="79"/>
      <c r="H24" s="63" t="s">
        <v>54</v>
      </c>
      <c r="I24" s="64" t="str">
        <f>'Necesidades Trimestrales'!F22</f>
        <v>UNIDAD</v>
      </c>
      <c r="J24" s="62">
        <f>'Necesidades Trimestrales'!H22</f>
        <v>4163.8999999999996</v>
      </c>
      <c r="K24" s="61">
        <f>'Necesidades Trimestrales'!G22</f>
        <v>2</v>
      </c>
    </row>
    <row r="25" spans="1:14" ht="27.75" customHeight="1" x14ac:dyDescent="0.2">
      <c r="A25" s="59">
        <v>14</v>
      </c>
      <c r="B25" s="67"/>
      <c r="C25" s="79" t="str">
        <f>'Necesidades Trimestrales'!E23</f>
        <v>CATETER FOGARTY Nº 5</v>
      </c>
      <c r="D25" s="79"/>
      <c r="E25" s="79"/>
      <c r="F25" s="79"/>
      <c r="G25" s="79"/>
      <c r="H25" s="63" t="s">
        <v>54</v>
      </c>
      <c r="I25" s="64" t="str">
        <f>'Necesidades Trimestrales'!F23</f>
        <v>UNIDAD</v>
      </c>
      <c r="J25" s="62">
        <f>'Necesidades Trimestrales'!H23</f>
        <v>4163.8999999999996</v>
      </c>
      <c r="K25" s="61">
        <f>'Necesidades Trimestrales'!G23</f>
        <v>2</v>
      </c>
    </row>
    <row r="26" spans="1:14" ht="27.75" customHeight="1" x14ac:dyDescent="0.2">
      <c r="A26" s="59">
        <v>15</v>
      </c>
      <c r="B26" s="67"/>
      <c r="C26" s="79" t="str">
        <f>'Necesidades Trimestrales'!E24</f>
        <v>CATETER P/HEMODIALISIS DOBLE LUMEN  11 FR X 20 CM BQ- 05 BILI QP YUGULAR RAMA CURVA</v>
      </c>
      <c r="D26" s="79"/>
      <c r="E26" s="79"/>
      <c r="F26" s="79"/>
      <c r="G26" s="79"/>
      <c r="H26" s="63" t="s">
        <v>54</v>
      </c>
      <c r="I26" s="64" t="str">
        <f>'Necesidades Trimestrales'!F24</f>
        <v>UNIDAD</v>
      </c>
      <c r="J26" s="62">
        <f>'Necesidades Trimestrales'!H24</f>
        <v>15600</v>
      </c>
      <c r="K26" s="61">
        <f>'Necesidades Trimestrales'!G24</f>
        <v>5</v>
      </c>
    </row>
    <row r="27" spans="1:14" ht="27.75" customHeight="1" x14ac:dyDescent="0.2">
      <c r="A27" s="59">
        <v>16</v>
      </c>
      <c r="B27" s="67"/>
      <c r="C27" s="79" t="str">
        <f>'Necesidades Trimestrales'!E25</f>
        <v>CATETER P/HEMODIALISIS DOBLE LUMEN  9 FR X 15 CM T/MEDCOM</v>
      </c>
      <c r="D27" s="79"/>
      <c r="E27" s="79"/>
      <c r="F27" s="79"/>
      <c r="G27" s="79"/>
      <c r="H27" s="63" t="s">
        <v>54</v>
      </c>
      <c r="I27" s="64" t="str">
        <f>'Necesidades Trimestrales'!F25</f>
        <v>UNIDAD</v>
      </c>
      <c r="J27" s="62">
        <f>'Necesidades Trimestrales'!H25</f>
        <v>14550</v>
      </c>
      <c r="K27" s="61">
        <f>'Necesidades Trimestrales'!G25</f>
        <v>5</v>
      </c>
    </row>
    <row r="28" spans="1:14" ht="27.75" customHeight="1" x14ac:dyDescent="0.2">
      <c r="A28" s="59">
        <v>17</v>
      </c>
      <c r="B28" s="67"/>
      <c r="C28" s="79" t="str">
        <f>'Necesidades Trimestrales'!E26</f>
        <v>CATETER P/HEMODIALISIS DOBLE LUMEN SUBCLAVIA P/HEMODIALISIS 11FR.X 15CM</v>
      </c>
      <c r="D28" s="79"/>
      <c r="E28" s="79"/>
      <c r="F28" s="79"/>
      <c r="G28" s="79"/>
      <c r="H28" s="63" t="s">
        <v>54</v>
      </c>
      <c r="I28" s="64" t="str">
        <f>'Necesidades Trimestrales'!F26</f>
        <v>UNIDAD</v>
      </c>
      <c r="J28" s="62">
        <f>'Necesidades Trimestrales'!H26</f>
        <v>5525</v>
      </c>
      <c r="K28" s="61">
        <f>'Necesidades Trimestrales'!G26</f>
        <v>5</v>
      </c>
    </row>
    <row r="29" spans="1:14" ht="27.75" customHeight="1" x14ac:dyDescent="0.2">
      <c r="A29" s="59">
        <v>18</v>
      </c>
      <c r="B29" s="67"/>
      <c r="C29" s="79" t="str">
        <f>'Necesidades Trimestrales'!E27</f>
        <v>CATETER P/HEMODIALISIS DOBLE LUMEN SUBCLAVIA P/HEMODIALISIS 12FR.X 20CM</v>
      </c>
      <c r="D29" s="79"/>
      <c r="E29" s="79"/>
      <c r="F29" s="79"/>
      <c r="G29" s="79"/>
      <c r="H29" s="63" t="s">
        <v>54</v>
      </c>
      <c r="I29" s="64" t="str">
        <f>'Necesidades Trimestrales'!F27</f>
        <v>UNIDAD</v>
      </c>
      <c r="J29" s="62">
        <f>'Necesidades Trimestrales'!H27</f>
        <v>5525</v>
      </c>
      <c r="K29" s="61">
        <f>'Necesidades Trimestrales'!G27</f>
        <v>5</v>
      </c>
    </row>
    <row r="30" spans="1:14" ht="27.75" customHeight="1" x14ac:dyDescent="0.2">
      <c r="A30" s="59">
        <v>19</v>
      </c>
      <c r="B30" s="67"/>
      <c r="C30" s="79" t="str">
        <f>'Necesidades Trimestrales'!E28</f>
        <v>CATETER P/HEMODIALISIS TRANSITORIO 9 FR</v>
      </c>
      <c r="D30" s="79"/>
      <c r="E30" s="79"/>
      <c r="F30" s="79"/>
      <c r="G30" s="79"/>
      <c r="H30" s="63" t="s">
        <v>54</v>
      </c>
      <c r="I30" s="64" t="str">
        <f>'Necesidades Trimestrales'!F28</f>
        <v>UNIDAD</v>
      </c>
      <c r="J30" s="62">
        <f>'Necesidades Trimestrales'!H28</f>
        <v>36200</v>
      </c>
      <c r="K30" s="61">
        <f>'Necesidades Trimestrales'!G28</f>
        <v>5</v>
      </c>
    </row>
    <row r="31" spans="1:14" ht="27.75" customHeight="1" x14ac:dyDescent="0.2">
      <c r="A31" s="59">
        <v>20</v>
      </c>
      <c r="B31" s="67"/>
      <c r="C31" s="79" t="str">
        <f>'Necesidades Trimestrales'!E29</f>
        <v>CERA P/HUESOS 2,5 GR. ESTERIL X 1</v>
      </c>
      <c r="D31" s="79"/>
      <c r="E31" s="79"/>
      <c r="F31" s="79"/>
      <c r="G31" s="79"/>
      <c r="H31" s="63" t="s">
        <v>54</v>
      </c>
      <c r="I31" s="64" t="str">
        <f>'Necesidades Trimestrales'!F29</f>
        <v>UNIDAD</v>
      </c>
      <c r="J31" s="62">
        <f>'Necesidades Trimestrales'!H29</f>
        <v>488</v>
      </c>
      <c r="K31" s="61">
        <f>'Necesidades Trimestrales'!G29</f>
        <v>100</v>
      </c>
      <c r="N31" s="36" t="s">
        <v>55</v>
      </c>
    </row>
    <row r="32" spans="1:14" ht="27.75" customHeight="1" x14ac:dyDescent="0.2">
      <c r="A32" s="59">
        <v>21</v>
      </c>
      <c r="B32" s="67"/>
      <c r="C32" s="79" t="str">
        <f>'Necesidades Trimestrales'!E30</f>
        <v>CLAVIJAS DE ACERO 1,5MM</v>
      </c>
      <c r="D32" s="79"/>
      <c r="E32" s="79"/>
      <c r="F32" s="79"/>
      <c r="G32" s="79"/>
      <c r="H32" s="63" t="s">
        <v>54</v>
      </c>
      <c r="I32" s="64" t="str">
        <f>'Necesidades Trimestrales'!F30</f>
        <v>UNIDAD</v>
      </c>
      <c r="J32" s="62">
        <f>'Necesidades Trimestrales'!H30</f>
        <v>375.7</v>
      </c>
      <c r="K32" s="61">
        <f>'Necesidades Trimestrales'!G30</f>
        <v>50</v>
      </c>
    </row>
    <row r="33" spans="1:11" ht="27.75" customHeight="1" x14ac:dyDescent="0.2">
      <c r="A33" s="59">
        <v>22</v>
      </c>
      <c r="B33" s="67"/>
      <c r="C33" s="79" t="str">
        <f>'Necesidades Trimestrales'!E31</f>
        <v>CLAVIJAS DE ACERO 2 MM X 20CM</v>
      </c>
      <c r="D33" s="79"/>
      <c r="E33" s="79"/>
      <c r="F33" s="79"/>
      <c r="G33" s="79"/>
      <c r="H33" s="63" t="s">
        <v>54</v>
      </c>
      <c r="I33" s="64" t="str">
        <f>'Necesidades Trimestrales'!F31</f>
        <v>UNIDAD</v>
      </c>
      <c r="J33" s="62">
        <f>'Necesidades Trimestrales'!H31</f>
        <v>392.6</v>
      </c>
      <c r="K33" s="61">
        <f>'Necesidades Trimestrales'!G31</f>
        <v>30</v>
      </c>
    </row>
    <row r="34" spans="1:11" ht="27.75" customHeight="1" x14ac:dyDescent="0.2">
      <c r="A34" s="59">
        <v>23</v>
      </c>
      <c r="B34" s="67"/>
      <c r="C34" s="79" t="str">
        <f>'Necesidades Trimestrales'!E32</f>
        <v>CLAVIJAS DE ACERO 2.5 MM</v>
      </c>
      <c r="D34" s="79"/>
      <c r="E34" s="79"/>
      <c r="F34" s="79"/>
      <c r="G34" s="79"/>
      <c r="H34" s="63" t="s">
        <v>54</v>
      </c>
      <c r="I34" s="64" t="str">
        <f>'Necesidades Trimestrales'!F32</f>
        <v>UNIDAD</v>
      </c>
      <c r="J34" s="62">
        <f>'Necesidades Trimestrales'!H32</f>
        <v>451.1</v>
      </c>
      <c r="K34" s="61">
        <f>'Necesidades Trimestrales'!G32</f>
        <v>30</v>
      </c>
    </row>
    <row r="35" spans="1:11" ht="27.75" customHeight="1" x14ac:dyDescent="0.2">
      <c r="A35" s="59">
        <v>24</v>
      </c>
      <c r="B35" s="67"/>
      <c r="C35" s="79" t="str">
        <f>'Necesidades Trimestrales'!E33</f>
        <v>CLAVIJAS ULTRAFINA 1 MM</v>
      </c>
      <c r="D35" s="79"/>
      <c r="E35" s="79"/>
      <c r="F35" s="79"/>
      <c r="G35" s="79"/>
      <c r="H35" s="63" t="s">
        <v>54</v>
      </c>
      <c r="I35" s="64" t="str">
        <f>'Necesidades Trimestrales'!F33</f>
        <v>UNIDAD</v>
      </c>
      <c r="J35" s="62">
        <f>'Necesidades Trimestrales'!H33</f>
        <v>366.6</v>
      </c>
      <c r="K35" s="61">
        <f>'Necesidades Trimestrales'!G33</f>
        <v>50</v>
      </c>
    </row>
    <row r="36" spans="1:11" ht="27.75" customHeight="1" x14ac:dyDescent="0.2">
      <c r="A36" s="59">
        <v>25</v>
      </c>
      <c r="B36" s="67"/>
      <c r="C36" s="79" t="str">
        <f>'Necesidades Trimestrales'!E34</f>
        <v>CLAVIJAS ULTRAFINAS 0,5 MM</v>
      </c>
      <c r="D36" s="79"/>
      <c r="E36" s="79"/>
      <c r="F36" s="79"/>
      <c r="G36" s="79"/>
      <c r="H36" s="63" t="s">
        <v>54</v>
      </c>
      <c r="I36" s="64" t="str">
        <f>'Necesidades Trimestrales'!F34</f>
        <v>UNIDAD</v>
      </c>
      <c r="J36" s="62">
        <f>'Necesidades Trimestrales'!H34</f>
        <v>421.2</v>
      </c>
      <c r="K36" s="61">
        <f>'Necesidades Trimestrales'!G34</f>
        <v>50</v>
      </c>
    </row>
    <row r="37" spans="1:11" ht="27.75" customHeight="1" x14ac:dyDescent="0.2">
      <c r="A37" s="59">
        <v>26</v>
      </c>
      <c r="B37" s="67"/>
      <c r="C37" s="79" t="str">
        <f>'Necesidades Trimestrales'!E35</f>
        <v>DERMATOMO HOJA X 1 AESCOLAP T/WAGNER</v>
      </c>
      <c r="D37" s="79"/>
      <c r="E37" s="79"/>
      <c r="F37" s="79"/>
      <c r="G37" s="79"/>
      <c r="H37" s="63" t="s">
        <v>54</v>
      </c>
      <c r="I37" s="64" t="str">
        <f>'Necesidades Trimestrales'!F35</f>
        <v>UNIDAD</v>
      </c>
      <c r="J37" s="62">
        <f>'Necesidades Trimestrales'!H35</f>
        <v>6800</v>
      </c>
      <c r="K37" s="61">
        <f>'Necesidades Trimestrales'!G35</f>
        <v>5</v>
      </c>
    </row>
    <row r="38" spans="1:11" ht="27.75" customHeight="1" x14ac:dyDescent="0.2">
      <c r="A38" s="59">
        <v>27</v>
      </c>
      <c r="B38" s="67"/>
      <c r="C38" s="79" t="str">
        <f>'Necesidades Trimestrales'!E36</f>
        <v>EQUIPO P/DIALISIS PERITONEAL PED.T/V-308</v>
      </c>
      <c r="D38" s="79"/>
      <c r="E38" s="79"/>
      <c r="F38" s="79"/>
      <c r="G38" s="79"/>
      <c r="H38" s="63" t="s">
        <v>54</v>
      </c>
      <c r="I38" s="64" t="str">
        <f>'Necesidades Trimestrales'!F36</f>
        <v>UNIDAD</v>
      </c>
      <c r="J38" s="62">
        <f>'Necesidades Trimestrales'!H36</f>
        <v>10350</v>
      </c>
      <c r="K38" s="61">
        <f>'Necesidades Trimestrales'!G36</f>
        <v>50</v>
      </c>
    </row>
    <row r="39" spans="1:11" ht="27.75" customHeight="1" x14ac:dyDescent="0.2">
      <c r="A39" s="59">
        <v>28</v>
      </c>
      <c r="B39" s="67"/>
      <c r="C39" s="79" t="str">
        <f>'Necesidades Trimestrales'!E37</f>
        <v>ESPONJA GELATINOSA ABSORBIBLE TIPO SPONGOSTAN 80 X 50 X 10 MM SOBRE</v>
      </c>
      <c r="D39" s="79"/>
      <c r="E39" s="79"/>
      <c r="F39" s="79"/>
      <c r="G39" s="79"/>
      <c r="H39" s="63" t="s">
        <v>54</v>
      </c>
      <c r="I39" s="64" t="str">
        <f>'Necesidades Trimestrales'!F37</f>
        <v>UNIDAD</v>
      </c>
      <c r="J39" s="62">
        <f>'Necesidades Trimestrales'!H37</f>
        <v>768.4</v>
      </c>
      <c r="K39" s="61">
        <f>'Necesidades Trimestrales'!G37</f>
        <v>100</v>
      </c>
    </row>
    <row r="40" spans="1:11" ht="27.75" customHeight="1" x14ac:dyDescent="0.2">
      <c r="A40" s="59">
        <v>29</v>
      </c>
      <c r="B40" s="67"/>
      <c r="C40" s="79" t="str">
        <f>'Necesidades Trimestrales'!E38</f>
        <v>FRASCO PARA DRENAJE TORACICO x 2500 ML</v>
      </c>
      <c r="D40" s="79"/>
      <c r="E40" s="79"/>
      <c r="F40" s="79"/>
      <c r="G40" s="79"/>
      <c r="H40" s="63" t="s">
        <v>54</v>
      </c>
      <c r="I40" s="64" t="str">
        <f>'Necesidades Trimestrales'!F38</f>
        <v>UNIDAD</v>
      </c>
      <c r="J40" s="62">
        <f>'Necesidades Trimestrales'!H38</f>
        <v>950</v>
      </c>
      <c r="K40" s="61">
        <f>'Necesidades Trimestrales'!G38</f>
        <v>50</v>
      </c>
    </row>
    <row r="41" spans="1:11" ht="27.75" customHeight="1" x14ac:dyDescent="0.2">
      <c r="A41" s="59">
        <v>30</v>
      </c>
      <c r="B41" s="67"/>
      <c r="C41" s="79" t="str">
        <f>'Necesidades Trimestrales'!E39</f>
        <v>FRASCO PARA DRENAJE TORACICO x 750 ML</v>
      </c>
      <c r="D41" s="79"/>
      <c r="E41" s="79"/>
      <c r="F41" s="79"/>
      <c r="G41" s="79"/>
      <c r="H41" s="63" t="s">
        <v>54</v>
      </c>
      <c r="I41" s="64" t="str">
        <f>'Necesidades Trimestrales'!F39</f>
        <v>UNIDAD</v>
      </c>
      <c r="J41" s="62">
        <f>'Necesidades Trimestrales'!H39</f>
        <v>330</v>
      </c>
      <c r="K41" s="61">
        <f>'Necesidades Trimestrales'!G39</f>
        <v>100</v>
      </c>
    </row>
    <row r="42" spans="1:11" ht="27.75" customHeight="1" x14ac:dyDescent="0.2">
      <c r="A42" s="59">
        <v>31</v>
      </c>
      <c r="B42" s="67"/>
      <c r="C42" s="79" t="str">
        <f>'Necesidades Trimestrales'!E40</f>
        <v>MALLA ABSORBIBLE POLIGLICOLICO 30 X 30 TIPO VICRYL</v>
      </c>
      <c r="D42" s="79"/>
      <c r="E42" s="79"/>
      <c r="F42" s="79"/>
      <c r="G42" s="79"/>
      <c r="H42" s="63" t="s">
        <v>54</v>
      </c>
      <c r="I42" s="64" t="str">
        <f>'Necesidades Trimestrales'!F40</f>
        <v>UNIDAD</v>
      </c>
      <c r="J42" s="62">
        <f>'Necesidades Trimestrales'!H40</f>
        <v>7327.5</v>
      </c>
      <c r="K42" s="61">
        <f>'Necesidades Trimestrales'!G40</f>
        <v>5</v>
      </c>
    </row>
    <row r="43" spans="1:11" ht="27.75" customHeight="1" x14ac:dyDescent="0.2">
      <c r="A43" s="59">
        <v>32</v>
      </c>
      <c r="B43" s="67"/>
      <c r="C43" s="79" t="str">
        <f>'Necesidades Trimestrales'!E41</f>
        <v xml:space="preserve">MALLA QUIRURGICA SINTETICA NO ABSORBIBLE 30 X 30 TIPO PROLENE </v>
      </c>
      <c r="D43" s="79"/>
      <c r="E43" s="79"/>
      <c r="F43" s="79"/>
      <c r="G43" s="79"/>
      <c r="H43" s="63" t="s">
        <v>54</v>
      </c>
      <c r="I43" s="64" t="str">
        <f>'Necesidades Trimestrales'!F41</f>
        <v>UNIDAD</v>
      </c>
      <c r="J43" s="62">
        <f>'Necesidades Trimestrales'!H41</f>
        <v>9909.2999999999993</v>
      </c>
      <c r="K43" s="61">
        <f>'Necesidades Trimestrales'!G41</f>
        <v>5</v>
      </c>
    </row>
    <row r="44" spans="1:11" ht="27.75" customHeight="1" x14ac:dyDescent="0.2">
      <c r="A44" s="59">
        <v>33</v>
      </c>
      <c r="B44" s="67"/>
      <c r="C44" s="79" t="str">
        <f>'Necesidades Trimestrales'!E42</f>
        <v>SET. P/HEMODIALISIS SUBCLAVIA DOBLE LUM HIDR. 8FR X 15 CM</v>
      </c>
      <c r="D44" s="79"/>
      <c r="E44" s="79"/>
      <c r="F44" s="79"/>
      <c r="G44" s="79"/>
      <c r="H44" s="63" t="s">
        <v>54</v>
      </c>
      <c r="I44" s="64" t="str">
        <f>'Necesidades Trimestrales'!F42</f>
        <v>UNIDAD</v>
      </c>
      <c r="J44" s="62">
        <f>'Necesidades Trimestrales'!H42</f>
        <v>17800</v>
      </c>
      <c r="K44" s="61">
        <f>'Necesidades Trimestrales'!G42</f>
        <v>5</v>
      </c>
    </row>
    <row r="45" spans="1:11" ht="27.75" customHeight="1" x14ac:dyDescent="0.2">
      <c r="A45" s="59">
        <v>34</v>
      </c>
      <c r="B45" s="67"/>
      <c r="C45" s="79" t="str">
        <f>'Necesidades Trimestrales'!E43</f>
        <v>SONDA GASTRICA SILICONA PURA SP391-10</v>
      </c>
      <c r="D45" s="79"/>
      <c r="E45" s="79"/>
      <c r="F45" s="79"/>
      <c r="G45" s="79"/>
      <c r="H45" s="63" t="s">
        <v>54</v>
      </c>
      <c r="I45" s="64" t="str">
        <f>'Necesidades Trimestrales'!F43</f>
        <v>UNIDAD</v>
      </c>
      <c r="J45" s="62">
        <f>'Necesidades Trimestrales'!H43</f>
        <v>1658.8</v>
      </c>
      <c r="K45" s="61">
        <f>'Necesidades Trimestrales'!G43</f>
        <v>50</v>
      </c>
    </row>
    <row r="46" spans="1:11" ht="27.75" customHeight="1" x14ac:dyDescent="0.2">
      <c r="A46" s="59">
        <v>35</v>
      </c>
      <c r="B46" s="67"/>
      <c r="C46" s="79" t="str">
        <f>'Necesidades Trimestrales'!E44</f>
        <v>SONDA GASTRICA SILICONA PURA SP391-12</v>
      </c>
      <c r="D46" s="79"/>
      <c r="E46" s="79"/>
      <c r="F46" s="79"/>
      <c r="G46" s="79"/>
      <c r="H46" s="63" t="s">
        <v>54</v>
      </c>
      <c r="I46" s="64" t="str">
        <f>'Necesidades Trimestrales'!F44</f>
        <v>UNIDAD</v>
      </c>
      <c r="J46" s="62">
        <f>'Necesidades Trimestrales'!H44</f>
        <v>1658.8</v>
      </c>
      <c r="K46" s="61">
        <f>'Necesidades Trimestrales'!G44</f>
        <v>30</v>
      </c>
    </row>
    <row r="47" spans="1:11" ht="27.75" customHeight="1" x14ac:dyDescent="0.2">
      <c r="A47" s="59">
        <v>36</v>
      </c>
      <c r="B47" s="67"/>
      <c r="C47" s="79" t="str">
        <f>'Necesidades Trimestrales'!E45</f>
        <v>SONDA GASTRICA SILICONA PURA SP391-14</v>
      </c>
      <c r="D47" s="79"/>
      <c r="E47" s="79"/>
      <c r="F47" s="79"/>
      <c r="G47" s="79"/>
      <c r="H47" s="63" t="s">
        <v>54</v>
      </c>
      <c r="I47" s="64" t="str">
        <f>'Necesidades Trimestrales'!F45</f>
        <v>UNIDAD</v>
      </c>
      <c r="J47" s="62">
        <f>'Necesidades Trimestrales'!H45</f>
        <v>1658.8</v>
      </c>
      <c r="K47" s="61">
        <f>'Necesidades Trimestrales'!G45</f>
        <v>30</v>
      </c>
    </row>
    <row r="48" spans="1:11" ht="27.75" customHeight="1" x14ac:dyDescent="0.2">
      <c r="A48" s="59">
        <v>37</v>
      </c>
      <c r="B48" s="67"/>
      <c r="C48" s="79" t="str">
        <f>'Necesidades Trimestrales'!E46</f>
        <v>SONDA GASTRICA SILICONA PURA SP392-07</v>
      </c>
      <c r="D48" s="79"/>
      <c r="E48" s="79"/>
      <c r="F48" s="79"/>
      <c r="G48" s="79"/>
      <c r="H48" s="63" t="s">
        <v>54</v>
      </c>
      <c r="I48" s="64" t="str">
        <f>'Necesidades Trimestrales'!F46</f>
        <v>UNIDAD</v>
      </c>
      <c r="J48" s="62">
        <f>'Necesidades Trimestrales'!H46</f>
        <v>1658.8</v>
      </c>
      <c r="K48" s="61">
        <f>'Necesidades Trimestrales'!G46</f>
        <v>50</v>
      </c>
    </row>
    <row r="49" spans="1:15" ht="27.75" customHeight="1" x14ac:dyDescent="0.2">
      <c r="A49" s="59">
        <v>38</v>
      </c>
      <c r="B49" s="67"/>
      <c r="C49" s="79" t="str">
        <f>'Necesidades Trimestrales'!E47</f>
        <v>SONDA GASTRICA SILICONA PURA SP392-09</v>
      </c>
      <c r="D49" s="79"/>
      <c r="E49" s="79"/>
      <c r="F49" s="79"/>
      <c r="G49" s="79"/>
      <c r="H49" s="63" t="s">
        <v>54</v>
      </c>
      <c r="I49" s="64" t="str">
        <f>'Necesidades Trimestrales'!F47</f>
        <v>UNIDAD</v>
      </c>
      <c r="J49" s="62">
        <f>'Necesidades Trimestrales'!H47</f>
        <v>1658.8</v>
      </c>
      <c r="K49" s="61">
        <f>'Necesidades Trimestrales'!G47</f>
        <v>50</v>
      </c>
    </row>
    <row r="50" spans="1:15" ht="27.75" customHeight="1" x14ac:dyDescent="0.2">
      <c r="A50" s="59">
        <v>39</v>
      </c>
      <c r="B50" s="67"/>
      <c r="C50" s="79" t="str">
        <f>'Necesidades Trimestrales'!E48</f>
        <v xml:space="preserve">SONDA PARA DRENAJE TORACICO SILICONADO 150/28 TIPO SILMAG </v>
      </c>
      <c r="D50" s="79"/>
      <c r="E50" s="79"/>
      <c r="F50" s="79"/>
      <c r="G50" s="79"/>
      <c r="H50" s="63" t="s">
        <v>54</v>
      </c>
      <c r="I50" s="64" t="str">
        <f>'Necesidades Trimestrales'!F48</f>
        <v>UNIDAD</v>
      </c>
      <c r="J50" s="62">
        <f>'Necesidades Trimestrales'!H48</f>
        <v>3720.6</v>
      </c>
      <c r="K50" s="61">
        <f>'Necesidades Trimestrales'!G48</f>
        <v>20</v>
      </c>
    </row>
    <row r="51" spans="1:15" ht="27.75" customHeight="1" x14ac:dyDescent="0.2">
      <c r="A51" s="59">
        <v>40</v>
      </c>
      <c r="B51" s="67"/>
      <c r="C51" s="79" t="str">
        <f>'Necesidades Trimestrales'!E49</f>
        <v xml:space="preserve">SONDA PARA DRENAJE TORACICO SILICONADO 150/40 TIPO SILMAG </v>
      </c>
      <c r="D51" s="79"/>
      <c r="E51" s="79"/>
      <c r="F51" s="79"/>
      <c r="G51" s="79"/>
      <c r="H51" s="63" t="s">
        <v>54</v>
      </c>
      <c r="I51" s="64" t="str">
        <f>'Necesidades Trimestrales'!F49</f>
        <v>UNIDAD</v>
      </c>
      <c r="J51" s="62">
        <f>'Necesidades Trimestrales'!H49</f>
        <v>5374.2</v>
      </c>
      <c r="K51" s="61">
        <f>'Necesidades Trimestrales'!G49</f>
        <v>20</v>
      </c>
    </row>
    <row r="52" spans="1:15" ht="27.75" customHeight="1" x14ac:dyDescent="0.2">
      <c r="A52" s="59">
        <v>41</v>
      </c>
      <c r="B52" s="67"/>
      <c r="C52" s="79" t="str">
        <f>'Necesidades Trimestrales'!E50</f>
        <v>SURGICEL 7 x 5 CM SOBRE</v>
      </c>
      <c r="D52" s="79"/>
      <c r="E52" s="79"/>
      <c r="F52" s="79"/>
      <c r="G52" s="79"/>
      <c r="H52" s="63" t="s">
        <v>54</v>
      </c>
      <c r="I52" s="64" t="str">
        <f>'Necesidades Trimestrales'!F50</f>
        <v>UNIDAD</v>
      </c>
      <c r="J52" s="62">
        <f>'Necesidades Trimestrales'!H50</f>
        <v>988</v>
      </c>
      <c r="K52" s="61">
        <f>'Necesidades Trimestrales'!G50</f>
        <v>20</v>
      </c>
    </row>
    <row r="53" spans="1:15" ht="27.75" customHeight="1" x14ac:dyDescent="0.2">
      <c r="A53" s="59">
        <v>42</v>
      </c>
      <c r="B53" s="67"/>
      <c r="C53" s="79" t="str">
        <f>'Necesidades Trimestrales'!E51</f>
        <v>TROCAR D/BIOPSIA D/MEDULA OSEA NEONATAL T/MONOJET- x 10 UNIDADES</v>
      </c>
      <c r="D53" s="79"/>
      <c r="E53" s="79"/>
      <c r="F53" s="79"/>
      <c r="G53" s="79"/>
      <c r="H53" s="63" t="s">
        <v>54</v>
      </c>
      <c r="I53" s="64" t="str">
        <f>'Necesidades Trimestrales'!F51</f>
        <v>CAJA</v>
      </c>
      <c r="J53" s="62">
        <f>'Necesidades Trimestrales'!H51</f>
        <v>25000</v>
      </c>
      <c r="K53" s="61">
        <f>'Necesidades Trimestrales'!G51</f>
        <v>1</v>
      </c>
    </row>
    <row r="54" spans="1:15" ht="27.75" customHeight="1" x14ac:dyDescent="0.2">
      <c r="A54" s="59">
        <v>43</v>
      </c>
      <c r="B54" s="67"/>
      <c r="C54" s="79" t="str">
        <f>'Necesidades Trimestrales'!E52</f>
        <v>TROCAR D/BIOPSIA D/MEDULA OSEA PEDIATRICO T/MONOJE X 10 UNIDADES</v>
      </c>
      <c r="D54" s="79"/>
      <c r="E54" s="79"/>
      <c r="F54" s="79"/>
      <c r="G54" s="79"/>
      <c r="H54" s="63" t="s">
        <v>54</v>
      </c>
      <c r="I54" s="64" t="str">
        <f>'Necesidades Trimestrales'!F52</f>
        <v>CAJA</v>
      </c>
      <c r="J54" s="62">
        <f>'Necesidades Trimestrales'!H52</f>
        <v>25000</v>
      </c>
      <c r="K54" s="61">
        <f>'Necesidades Trimestrales'!G52</f>
        <v>1</v>
      </c>
    </row>
    <row r="55" spans="1:15" ht="27.75" customHeight="1" x14ac:dyDescent="0.2">
      <c r="A55" s="59">
        <v>44</v>
      </c>
      <c r="B55" s="67"/>
      <c r="C55" s="79" t="str">
        <f>'Necesidades Trimestrales'!E53</f>
        <v>TROCAR D/PUNCION ASP.D/MEDULA OSEA NEONATAL T/GALL X 10 UNIDADES</v>
      </c>
      <c r="D55" s="79"/>
      <c r="E55" s="79"/>
      <c r="F55" s="79"/>
      <c r="G55" s="79"/>
      <c r="H55" s="63" t="s">
        <v>54</v>
      </c>
      <c r="I55" s="64" t="str">
        <f>'Necesidades Trimestrales'!F53</f>
        <v>CAJA</v>
      </c>
      <c r="J55" s="62">
        <f>'Necesidades Trimestrales'!H53</f>
        <v>25000</v>
      </c>
      <c r="K55" s="61">
        <f>'Necesidades Trimestrales'!G53</f>
        <v>1</v>
      </c>
    </row>
    <row r="56" spans="1:15" ht="27.75" customHeight="1" x14ac:dyDescent="0.2">
      <c r="A56" s="59">
        <v>45</v>
      </c>
      <c r="B56" s="67"/>
      <c r="C56" s="79" t="str">
        <f>'Necesidades Trimestrales'!E54</f>
        <v>TROCAR D/PUNCION ASP.D/MEDULA OSEA PEDIATRICO T/GA X 10 UNIDADES</v>
      </c>
      <c r="D56" s="79"/>
      <c r="E56" s="79"/>
      <c r="F56" s="79"/>
      <c r="G56" s="79"/>
      <c r="H56" s="63" t="s">
        <v>54</v>
      </c>
      <c r="I56" s="64" t="str">
        <f>'Necesidades Trimestrales'!F54</f>
        <v>CAJA</v>
      </c>
      <c r="J56" s="62">
        <f>'Necesidades Trimestrales'!H54</f>
        <v>25000</v>
      </c>
      <c r="K56" s="61">
        <f>'Necesidades Trimestrales'!G54</f>
        <v>1</v>
      </c>
    </row>
    <row r="57" spans="1:15" ht="27.75" customHeight="1" x14ac:dyDescent="0.2">
      <c r="A57" s="59">
        <v>46</v>
      </c>
      <c r="B57" s="67"/>
      <c r="C57" s="79" t="str">
        <f>'Necesidades Trimestrales'!E55</f>
        <v>TROCAR P/DRENAJE PLEURAL FR 10</v>
      </c>
      <c r="D57" s="79"/>
      <c r="E57" s="79"/>
      <c r="F57" s="79"/>
      <c r="G57" s="79"/>
      <c r="H57" s="63" t="s">
        <v>54</v>
      </c>
      <c r="I57" s="64" t="str">
        <f>'Necesidades Trimestrales'!F55</f>
        <v>UNIDAD</v>
      </c>
      <c r="J57" s="62">
        <f>'Necesidades Trimestrales'!H55</f>
        <v>804.38</v>
      </c>
      <c r="K57" s="61">
        <f>'Necesidades Trimestrales'!G55</f>
        <v>20</v>
      </c>
      <c r="O57" s="36" t="s">
        <v>55</v>
      </c>
    </row>
    <row r="58" spans="1:15" ht="27.75" customHeight="1" x14ac:dyDescent="0.2">
      <c r="A58" s="59">
        <v>47</v>
      </c>
      <c r="B58" s="67"/>
      <c r="C58" s="79" t="str">
        <f>'Necesidades Trimestrales'!E56</f>
        <v>TROCAR P/DRENAJE PLEURAL FR 12</v>
      </c>
      <c r="D58" s="79"/>
      <c r="E58" s="79"/>
      <c r="F58" s="79"/>
      <c r="G58" s="79"/>
      <c r="H58" s="63" t="s">
        <v>54</v>
      </c>
      <c r="I58" s="64" t="str">
        <f>'Necesidades Trimestrales'!F56</f>
        <v>UNIDAD</v>
      </c>
      <c r="J58" s="62">
        <f>'Necesidades Trimestrales'!H56</f>
        <v>804.8</v>
      </c>
      <c r="K58" s="61">
        <f>'Necesidades Trimestrales'!G56</f>
        <v>20</v>
      </c>
    </row>
    <row r="59" spans="1:15" ht="27.75" customHeight="1" x14ac:dyDescent="0.2">
      <c r="A59" s="59">
        <v>48</v>
      </c>
      <c r="B59" s="67"/>
      <c r="C59" s="79" t="str">
        <f>'Necesidades Trimestrales'!E57</f>
        <v>TROCAR P/DRENAJE PLEURAL FR 14</v>
      </c>
      <c r="D59" s="79"/>
      <c r="E59" s="79"/>
      <c r="F59" s="79"/>
      <c r="G59" s="79"/>
      <c r="H59" s="63" t="s">
        <v>54</v>
      </c>
      <c r="I59" s="64" t="str">
        <f>'Necesidades Trimestrales'!F57</f>
        <v>UNIDAD</v>
      </c>
      <c r="J59" s="62">
        <f>'Necesidades Trimestrales'!H57</f>
        <v>804.38</v>
      </c>
      <c r="K59" s="61">
        <f>'Necesidades Trimestrales'!G57</f>
        <v>20</v>
      </c>
    </row>
    <row r="60" spans="1:15" ht="27.75" customHeight="1" x14ac:dyDescent="0.2">
      <c r="A60" s="59">
        <v>49</v>
      </c>
      <c r="B60" s="67"/>
      <c r="C60" s="79" t="str">
        <f>'Necesidades Trimestrales'!E58</f>
        <v>TROCAR P/DRENAJE PLEURAL FR 16</v>
      </c>
      <c r="D60" s="79"/>
      <c r="E60" s="79"/>
      <c r="F60" s="79"/>
      <c r="G60" s="79"/>
      <c r="H60" s="63" t="s">
        <v>54</v>
      </c>
      <c r="I60" s="64" t="str">
        <f>'Necesidades Trimestrales'!F58</f>
        <v>UNIDAD</v>
      </c>
      <c r="J60" s="62">
        <f>'Necesidades Trimestrales'!H58</f>
        <v>804.38</v>
      </c>
      <c r="K60" s="61">
        <f>'Necesidades Trimestrales'!G58</f>
        <v>20</v>
      </c>
    </row>
    <row r="61" spans="1:15" ht="27.75" customHeight="1" x14ac:dyDescent="0.2">
      <c r="A61" s="59">
        <v>50</v>
      </c>
      <c r="B61" s="67"/>
      <c r="C61" s="79" t="str">
        <f>'Necesidades Trimestrales'!E59</f>
        <v>TROCAR P/DRENAJE PLEURAL FR 18</v>
      </c>
      <c r="D61" s="79"/>
      <c r="E61" s="79"/>
      <c r="F61" s="79"/>
      <c r="G61" s="79"/>
      <c r="H61" s="63" t="s">
        <v>54</v>
      </c>
      <c r="I61" s="64" t="str">
        <f>'Necesidades Trimestrales'!F59</f>
        <v>UNIDAD</v>
      </c>
      <c r="J61" s="62">
        <f>'Necesidades Trimestrales'!H59</f>
        <v>804.38</v>
      </c>
      <c r="K61" s="61">
        <f>'Necesidades Trimestrales'!G59</f>
        <v>20</v>
      </c>
    </row>
    <row r="62" spans="1:15" ht="27.75" customHeight="1" x14ac:dyDescent="0.2">
      <c r="A62" s="59">
        <v>51</v>
      </c>
      <c r="B62" s="67"/>
      <c r="C62" s="79" t="str">
        <f>'Necesidades Trimestrales'!E60</f>
        <v>TROCAR P/DRENAJE PLEURAL FR 20</v>
      </c>
      <c r="D62" s="79"/>
      <c r="E62" s="79"/>
      <c r="F62" s="79"/>
      <c r="G62" s="79"/>
      <c r="H62" s="63" t="s">
        <v>54</v>
      </c>
      <c r="I62" s="64" t="str">
        <f>'Necesidades Trimestrales'!F60</f>
        <v>UNIDAD</v>
      </c>
      <c r="J62" s="62">
        <f>'Necesidades Trimestrales'!H60</f>
        <v>804.38</v>
      </c>
      <c r="K62" s="61">
        <f>'Necesidades Trimestrales'!G60</f>
        <v>20</v>
      </c>
    </row>
    <row r="63" spans="1:15" ht="27.75" customHeight="1" x14ac:dyDescent="0.2">
      <c r="A63" s="59">
        <v>52</v>
      </c>
      <c r="B63" s="67"/>
      <c r="C63" s="79" t="str">
        <f>'Necesidades Trimestrales'!E61</f>
        <v>TROCAR P/DRENAJE PLEURAL FR 22</v>
      </c>
      <c r="D63" s="79"/>
      <c r="E63" s="79"/>
      <c r="F63" s="79"/>
      <c r="G63" s="79"/>
      <c r="H63" s="63" t="s">
        <v>54</v>
      </c>
      <c r="I63" s="64" t="str">
        <f>'Necesidades Trimestrales'!F61</f>
        <v>UNIDAD</v>
      </c>
      <c r="J63" s="62">
        <f>'Necesidades Trimestrales'!H61</f>
        <v>804.38</v>
      </c>
      <c r="K63" s="61">
        <f>'Necesidades Trimestrales'!G61</f>
        <v>20</v>
      </c>
    </row>
    <row r="64" spans="1:15" ht="27.75" customHeight="1" x14ac:dyDescent="0.2">
      <c r="A64" s="59">
        <v>53</v>
      </c>
      <c r="B64" s="67"/>
      <c r="C64" s="79" t="str">
        <f>'Necesidades Trimestrales'!E62</f>
        <v>TROCAR P/DRENAJE PLEURAL FR 24</v>
      </c>
      <c r="D64" s="79"/>
      <c r="E64" s="79"/>
      <c r="F64" s="79"/>
      <c r="G64" s="79"/>
      <c r="H64" s="63" t="s">
        <v>54</v>
      </c>
      <c r="I64" s="64" t="str">
        <f>'Necesidades Trimestrales'!F62</f>
        <v>UNIDAD</v>
      </c>
      <c r="J64" s="62">
        <f>'Necesidades Trimestrales'!H62</f>
        <v>804.38</v>
      </c>
      <c r="K64" s="61">
        <f>'Necesidades Trimestrales'!G62</f>
        <v>20</v>
      </c>
    </row>
    <row r="65" spans="1:14" ht="27.75" customHeight="1" x14ac:dyDescent="0.2">
      <c r="A65" s="59">
        <v>54</v>
      </c>
      <c r="B65" s="67"/>
      <c r="C65" s="79" t="str">
        <f>'Necesidades Trimestrales'!E63</f>
        <v>TROCAR P/DRENAJE PLEURAL FR 28</v>
      </c>
      <c r="D65" s="79"/>
      <c r="E65" s="79"/>
      <c r="F65" s="79"/>
      <c r="G65" s="79"/>
      <c r="H65" s="63" t="s">
        <v>54</v>
      </c>
      <c r="I65" s="64" t="str">
        <f>'Necesidades Trimestrales'!F63</f>
        <v>UNIDAD</v>
      </c>
      <c r="J65" s="62">
        <f>'Necesidades Trimestrales'!H63</f>
        <v>804.38</v>
      </c>
      <c r="K65" s="61">
        <f>'Necesidades Trimestrales'!G63</f>
        <v>20</v>
      </c>
    </row>
    <row r="66" spans="1:14" ht="27.75" customHeight="1" x14ac:dyDescent="0.2">
      <c r="A66" s="59">
        <v>55</v>
      </c>
      <c r="B66" s="67"/>
      <c r="C66" s="79" t="str">
        <f>'Necesidades Trimestrales'!E64</f>
        <v>TUBO P/DRENAJE 110-12-SILMAG</v>
      </c>
      <c r="D66" s="79"/>
      <c r="E66" s="79"/>
      <c r="F66" s="79"/>
      <c r="G66" s="79"/>
      <c r="H66" s="63" t="s">
        <v>54</v>
      </c>
      <c r="I66" s="64" t="str">
        <f>'Necesidades Trimestrales'!F64</f>
        <v>UNIDAD</v>
      </c>
      <c r="J66" s="62">
        <f>'Necesidades Trimestrales'!H64</f>
        <v>1786.2</v>
      </c>
      <c r="K66" s="61">
        <f>'Necesidades Trimestrales'!G64</f>
        <v>50</v>
      </c>
    </row>
    <row r="67" spans="1:14" ht="27.75" customHeight="1" x14ac:dyDescent="0.2">
      <c r="A67" s="59">
        <v>56</v>
      </c>
      <c r="B67" s="67"/>
      <c r="C67" s="79" t="str">
        <f>'Necesidades Trimestrales'!E65</f>
        <v>TUBO P/DRENAJE 110-16-SILMAG</v>
      </c>
      <c r="D67" s="79"/>
      <c r="E67" s="79"/>
      <c r="F67" s="79"/>
      <c r="G67" s="79"/>
      <c r="H67" s="63" t="s">
        <v>54</v>
      </c>
      <c r="I67" s="64" t="str">
        <f>'Necesidades Trimestrales'!F65</f>
        <v>UNIDAD</v>
      </c>
      <c r="J67" s="62">
        <f>'Necesidades Trimestrales'!H65</f>
        <v>1786.2</v>
      </c>
      <c r="K67" s="61">
        <f>'Necesidades Trimestrales'!G65</f>
        <v>50</v>
      </c>
    </row>
    <row r="68" spans="1:14" ht="27.75" customHeight="1" x14ac:dyDescent="0.2">
      <c r="A68" s="59">
        <v>57</v>
      </c>
      <c r="B68" s="67"/>
      <c r="C68" s="79" t="str">
        <f>'Necesidades Trimestrales'!E66</f>
        <v>TUBO P/DRENAJE 110-20-SILMAG</v>
      </c>
      <c r="D68" s="79"/>
      <c r="E68" s="79"/>
      <c r="F68" s="79"/>
      <c r="G68" s="79"/>
      <c r="H68" s="63" t="s">
        <v>54</v>
      </c>
      <c r="I68" s="64" t="str">
        <f>'Necesidades Trimestrales'!F66</f>
        <v>UNIDAD</v>
      </c>
      <c r="J68" s="62">
        <f>'Necesidades Trimestrales'!H66</f>
        <v>1786.2</v>
      </c>
      <c r="K68" s="61">
        <f>'Necesidades Trimestrales'!G66</f>
        <v>50</v>
      </c>
    </row>
    <row r="69" spans="1:14" ht="27.75" customHeight="1" x14ac:dyDescent="0.2">
      <c r="A69" s="59">
        <v>58</v>
      </c>
      <c r="B69" s="67"/>
      <c r="C69" s="79" t="str">
        <f>'Necesidades Trimestrales'!E67</f>
        <v>TUBO P/DRENAJE 110-24-SILMAG</v>
      </c>
      <c r="D69" s="79"/>
      <c r="E69" s="79"/>
      <c r="F69" s="79"/>
      <c r="G69" s="79"/>
      <c r="H69" s="63" t="s">
        <v>54</v>
      </c>
      <c r="I69" s="64" t="str">
        <f>'Necesidades Trimestrales'!F67</f>
        <v>UNIDAD</v>
      </c>
      <c r="J69" s="62">
        <f>'Necesidades Trimestrales'!H67</f>
        <v>1786.2</v>
      </c>
      <c r="K69" s="61">
        <f>'Necesidades Trimestrales'!G67</f>
        <v>50</v>
      </c>
    </row>
    <row r="70" spans="1:14" ht="27.75" customHeight="1" thickBot="1" x14ac:dyDescent="0.25">
      <c r="A70" s="59">
        <v>59</v>
      </c>
      <c r="B70" s="67"/>
      <c r="C70" s="79" t="str">
        <f>'Necesidades Trimestrales'!E68</f>
        <v>TUBO P/DRENAJE 110-28-SILMAG</v>
      </c>
      <c r="D70" s="79"/>
      <c r="E70" s="79"/>
      <c r="F70" s="79"/>
      <c r="G70" s="79"/>
      <c r="H70" s="63" t="s">
        <v>54</v>
      </c>
      <c r="I70" s="64" t="str">
        <f>'Necesidades Trimestrales'!F68</f>
        <v>UNIDAD</v>
      </c>
      <c r="J70" s="62">
        <f>'Necesidades Trimestrales'!H68</f>
        <v>2212.6</v>
      </c>
      <c r="K70" s="61">
        <f>'Necesidades Trimestrales'!G68</f>
        <v>50</v>
      </c>
    </row>
    <row r="71" spans="1:14" ht="20.25" customHeight="1" thickBot="1" x14ac:dyDescent="0.25">
      <c r="A71" s="82" t="s">
        <v>127</v>
      </c>
      <c r="B71" s="82"/>
      <c r="C71" s="82"/>
      <c r="D71" s="82"/>
      <c r="E71" s="82"/>
      <c r="F71" s="82"/>
      <c r="G71" s="82"/>
      <c r="H71" s="82"/>
      <c r="I71" s="82"/>
      <c r="J71" s="89">
        <f>SUMPRODUCT(J12:J70,K12:K70)</f>
        <v>4193845.5000000009</v>
      </c>
      <c r="K71" s="89"/>
      <c r="N71" s="47"/>
    </row>
  </sheetData>
  <mergeCells count="81">
    <mergeCell ref="C68:G68"/>
    <mergeCell ref="C69:G69"/>
    <mergeCell ref="C70:G70"/>
    <mergeCell ref="C63:G63"/>
    <mergeCell ref="C64:G64"/>
    <mergeCell ref="C65:G65"/>
    <mergeCell ref="C66:G66"/>
    <mergeCell ref="C67:G67"/>
    <mergeCell ref="C58:G58"/>
    <mergeCell ref="C59:G59"/>
    <mergeCell ref="C60:G60"/>
    <mergeCell ref="C61:G61"/>
    <mergeCell ref="C62:G62"/>
    <mergeCell ref="A71:I71"/>
    <mergeCell ref="J71:K7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4:G24"/>
    <mergeCell ref="C21:G21"/>
    <mergeCell ref="C22:G22"/>
    <mergeCell ref="C23:G23"/>
    <mergeCell ref="C30:G30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1:G31"/>
    <mergeCell ref="C25:G25"/>
    <mergeCell ref="C26:G26"/>
    <mergeCell ref="C27:G27"/>
    <mergeCell ref="C28:G28"/>
    <mergeCell ref="C29:G29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55:G55"/>
    <mergeCell ref="C56:G56"/>
    <mergeCell ref="C57:G57"/>
    <mergeCell ref="C50:G50"/>
    <mergeCell ref="C51:G51"/>
    <mergeCell ref="C52:G52"/>
    <mergeCell ref="C53:G53"/>
    <mergeCell ref="C54:G54"/>
    <mergeCell ref="C43:G43"/>
    <mergeCell ref="C44:G44"/>
    <mergeCell ref="C45:G45"/>
    <mergeCell ref="C46:G46"/>
    <mergeCell ref="C47:G47"/>
    <mergeCell ref="C48:G48"/>
    <mergeCell ref="C49:G49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opLeftCell="A7" zoomScale="130" zoomScaleNormal="130" workbookViewId="0">
      <selection activeCell="O19" sqref="O19:P1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90" t="s">
        <v>3</v>
      </c>
      <c r="B1" s="90"/>
      <c r="C1" s="90"/>
      <c r="D1" s="91">
        <f>'Necesidades Trimestrales'!C6</f>
        <v>2022</v>
      </c>
      <c r="E1" s="91"/>
      <c r="F1" s="3"/>
      <c r="G1" s="3"/>
      <c r="H1" s="4"/>
      <c r="I1" s="4"/>
      <c r="J1" s="4"/>
      <c r="K1" s="4"/>
      <c r="L1" s="4"/>
      <c r="M1" s="4"/>
      <c r="N1" s="4"/>
      <c r="P1" s="92" t="s">
        <v>25</v>
      </c>
      <c r="Q1" s="92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92"/>
      <c r="Q2" s="92"/>
    </row>
    <row r="4" spans="1:17" s="5" customFormat="1" ht="18" customHeight="1" thickBot="1" x14ac:dyDescent="0.25">
      <c r="A4" s="93" t="s">
        <v>26</v>
      </c>
      <c r="B4" s="93"/>
      <c r="C4" s="93"/>
      <c r="D4" s="93"/>
      <c r="E4" s="93"/>
      <c r="F4" s="93"/>
      <c r="G4" s="94" t="str">
        <f>' NotaPedido'!D3</f>
        <v>040 - Ministerio de Salud</v>
      </c>
      <c r="H4" s="94"/>
      <c r="I4" s="94"/>
      <c r="J4" s="94"/>
      <c r="K4" s="94"/>
      <c r="L4" s="94"/>
      <c r="M4" s="94"/>
      <c r="N4" s="94"/>
      <c r="O4" s="94"/>
      <c r="P4" s="94"/>
      <c r="Q4" s="94"/>
    </row>
    <row r="5" spans="1:17" s="5" customFormat="1" ht="18" customHeight="1" thickBot="1" x14ac:dyDescent="0.25">
      <c r="A5" s="95" t="s">
        <v>49</v>
      </c>
      <c r="B5" s="96"/>
      <c r="C5" s="96"/>
      <c r="D5" s="96"/>
      <c r="E5" s="96"/>
      <c r="F5" s="97"/>
      <c r="G5" s="94" t="str">
        <f>' NotaPedido'!D4</f>
        <v>024 - Hospital Interzonal de Niños</v>
      </c>
      <c r="H5" s="94"/>
      <c r="I5" s="94"/>
      <c r="J5" s="94"/>
      <c r="K5" s="94"/>
      <c r="L5" s="94"/>
      <c r="M5" s="94"/>
      <c r="N5" s="94"/>
      <c r="O5" s="94"/>
      <c r="P5" s="94"/>
      <c r="Q5" s="94"/>
    </row>
    <row r="6" spans="1:17" s="5" customFormat="1" ht="18" customHeight="1" thickBot="1" x14ac:dyDescent="0.25">
      <c r="A6" s="95" t="s">
        <v>27</v>
      </c>
      <c r="B6" s="96"/>
      <c r="C6" s="96"/>
      <c r="D6" s="96"/>
      <c r="E6" s="96"/>
      <c r="F6" s="97"/>
      <c r="G6" s="94" t="str">
        <f>' NotaPedido'!D5</f>
        <v>024 - Hospital Interzonal de Niños</v>
      </c>
      <c r="H6" s="94"/>
      <c r="I6" s="94"/>
      <c r="J6" s="94"/>
      <c r="K6" s="94"/>
      <c r="L6" s="94"/>
      <c r="M6" s="94"/>
      <c r="N6" s="94"/>
      <c r="O6" s="94"/>
      <c r="P6" s="94"/>
      <c r="Q6" s="94"/>
    </row>
    <row r="7" spans="1:17" s="5" customFormat="1" ht="18" customHeight="1" thickBot="1" x14ac:dyDescent="0.25">
      <c r="A7" s="95" t="s">
        <v>50</v>
      </c>
      <c r="B7" s="96"/>
      <c r="C7" s="96"/>
      <c r="D7" s="96"/>
      <c r="E7" s="96"/>
      <c r="F7" s="97"/>
      <c r="G7" s="94" t="s">
        <v>56</v>
      </c>
      <c r="H7" s="94"/>
      <c r="I7" s="94"/>
      <c r="J7" s="94"/>
      <c r="K7" s="94"/>
      <c r="L7" s="94"/>
      <c r="M7" s="94"/>
      <c r="N7" s="94"/>
      <c r="O7" s="94"/>
      <c r="P7" s="94"/>
      <c r="Q7" s="94"/>
    </row>
    <row r="8" spans="1:17" ht="18" customHeight="1" thickBot="1" x14ac:dyDescent="0.25">
      <c r="A8" s="98" t="s">
        <v>28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</row>
    <row r="9" spans="1:17" ht="18" customHeight="1" x14ac:dyDescent="0.2">
      <c r="A9" s="99" t="s">
        <v>29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1"/>
      <c r="P9" s="1"/>
      <c r="Q9" s="6"/>
    </row>
    <row r="10" spans="1:17" ht="54.75" customHeight="1" x14ac:dyDescent="0.2">
      <c r="A10" s="10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007/2022,  afectando la erogación resultante a los créditos presupuestarios aprobados a favor de esta Unidad Ejecutora, conforme al siguiente detalle: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01" t="s">
        <v>30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</row>
    <row r="13" spans="1:17" ht="15.75" customHeight="1" thickBot="1" x14ac:dyDescent="0.25">
      <c r="A13" s="102" t="s">
        <v>31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 t="s">
        <v>32</v>
      </c>
      <c r="P13" s="105"/>
      <c r="Q13" s="108" t="s">
        <v>33</v>
      </c>
    </row>
    <row r="14" spans="1:17" ht="15.75" customHeight="1" thickBot="1" x14ac:dyDescent="0.25">
      <c r="A14" s="52" t="s">
        <v>34</v>
      </c>
      <c r="B14" s="53" t="s">
        <v>35</v>
      </c>
      <c r="C14" s="53" t="s">
        <v>36</v>
      </c>
      <c r="D14" s="53" t="s">
        <v>37</v>
      </c>
      <c r="E14" s="53" t="s">
        <v>38</v>
      </c>
      <c r="F14" s="53" t="s">
        <v>39</v>
      </c>
      <c r="G14" s="54" t="s">
        <v>40</v>
      </c>
      <c r="H14" s="53" t="s">
        <v>41</v>
      </c>
      <c r="I14" s="53" t="s">
        <v>42</v>
      </c>
      <c r="J14" s="53" t="s">
        <v>43</v>
      </c>
      <c r="K14" s="53" t="s">
        <v>43</v>
      </c>
      <c r="L14" s="53" t="s">
        <v>44</v>
      </c>
      <c r="M14" s="55" t="s">
        <v>45</v>
      </c>
      <c r="N14" s="56" t="s">
        <v>46</v>
      </c>
      <c r="O14" s="106"/>
      <c r="P14" s="107"/>
      <c r="Q14" s="109"/>
    </row>
    <row r="15" spans="1:17" ht="26.25" customHeight="1" x14ac:dyDescent="0.2">
      <c r="A15" s="48">
        <v>36</v>
      </c>
      <c r="B15" s="49"/>
      <c r="C15" s="49"/>
      <c r="D15" s="49">
        <v>1</v>
      </c>
      <c r="E15" s="49"/>
      <c r="F15" s="49">
        <v>4901</v>
      </c>
      <c r="G15" s="49">
        <v>3</v>
      </c>
      <c r="H15" s="49">
        <v>310</v>
      </c>
      <c r="I15" s="49">
        <v>2</v>
      </c>
      <c r="J15" s="49">
        <v>5</v>
      </c>
      <c r="K15" s="49">
        <v>2</v>
      </c>
      <c r="L15" s="49"/>
      <c r="M15" s="50">
        <v>1</v>
      </c>
      <c r="N15" s="51" t="s">
        <v>53</v>
      </c>
      <c r="O15" s="110" t="s">
        <v>129</v>
      </c>
      <c r="P15" s="110"/>
      <c r="Q15" s="57">
        <v>48800</v>
      </c>
    </row>
    <row r="16" spans="1:17" ht="24.75" customHeight="1" x14ac:dyDescent="0.2">
      <c r="A16" s="11">
        <v>36</v>
      </c>
      <c r="B16" s="12"/>
      <c r="C16" s="12"/>
      <c r="D16" s="12">
        <v>1</v>
      </c>
      <c r="E16" s="12"/>
      <c r="F16" s="12">
        <v>4901</v>
      </c>
      <c r="G16" s="12">
        <v>3</v>
      </c>
      <c r="H16" s="12">
        <v>310</v>
      </c>
      <c r="I16" s="12">
        <v>2</v>
      </c>
      <c r="J16" s="12">
        <v>9</v>
      </c>
      <c r="K16" s="12">
        <v>5</v>
      </c>
      <c r="L16" s="12"/>
      <c r="M16" s="13">
        <v>1</v>
      </c>
      <c r="N16" s="58" t="s">
        <v>53</v>
      </c>
      <c r="O16" s="111" t="s">
        <v>59</v>
      </c>
      <c r="P16" s="112"/>
      <c r="Q16" s="15">
        <v>4145045.5</v>
      </c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13"/>
      <c r="P17" s="113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13"/>
      <c r="P18" s="113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19"/>
      <c r="P19" s="119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20"/>
      <c r="P20" s="120"/>
      <c r="Q20" s="24"/>
    </row>
    <row r="21" spans="1:18" ht="29.25" customHeight="1" x14ac:dyDescent="0.2">
      <c r="A21" s="121" t="s">
        <v>128</v>
      </c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25">
        <f>SUM(Q15:Q20)</f>
        <v>4193845.5</v>
      </c>
    </row>
    <row r="22" spans="1:18" ht="18" customHeight="1" thickBot="1" x14ac:dyDescent="0.2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</row>
    <row r="23" spans="1:18" ht="17.25" customHeight="1" thickBot="1" x14ac:dyDescent="0.25">
      <c r="A23" s="114" t="s">
        <v>47</v>
      </c>
      <c r="B23" s="115"/>
      <c r="C23" s="115"/>
      <c r="D23" s="115"/>
      <c r="E23" s="115"/>
      <c r="F23" s="116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</row>
    <row r="24" spans="1:18" ht="18" customHeight="1" thickBot="1" x14ac:dyDescent="0.25">
      <c r="A24" s="118" t="s">
        <v>93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</row>
    <row r="25" spans="1:18" ht="26.25" customHeight="1" x14ac:dyDescent="0.2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2021-11-08T15:21:02Z</cp:lastPrinted>
  <dcterms:created xsi:type="dcterms:W3CDTF">2020-07-17T23:44:49Z</dcterms:created>
  <dcterms:modified xsi:type="dcterms:W3CDTF">2022-01-27T15:46:26Z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