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15600" windowHeight="11250"/>
  </bookViews>
  <sheets>
    <sheet name="Necesidades Trimestrales" sheetId="1" r:id="rId1"/>
    <sheet name="Nota Pedido" sheetId="2" r:id="rId2"/>
    <sheet name="APG" sheetId="3" r:id="rId3"/>
  </sheets>
  <definedNames>
    <definedName name="_xlnm.Print_Area" localSheetId="2">APG!$A$1:$Q$23</definedName>
    <definedName name="_xlnm.Print_Area" localSheetId="0">'Necesidades Trimestrales'!$A$2:$I$29</definedName>
    <definedName name="_xlnm.Print_Area" localSheetId="1">'Nota Pedido'!$A$1:$K$14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3" l="1"/>
  <c r="J12" i="2" l="1"/>
  <c r="J14" i="2" s="1"/>
  <c r="K12" i="2" l="1"/>
  <c r="I11" i="1" l="1"/>
  <c r="I15" i="1" s="1"/>
  <c r="D3" i="2"/>
  <c r="G4" i="3" s="1"/>
  <c r="D4" i="2"/>
  <c r="G5" i="3" s="1"/>
  <c r="A19" i="3"/>
  <c r="A10" i="3"/>
  <c r="G7" i="3"/>
  <c r="G6" i="3"/>
  <c r="D1" i="3"/>
  <c r="D7" i="2"/>
  <c r="I12" i="2"/>
  <c r="C12" i="2"/>
  <c r="B12" i="2"/>
  <c r="A12" i="2"/>
  <c r="Q15" i="3" l="1"/>
  <c r="Q19" i="3" s="1"/>
</calcChain>
</file>

<file path=xl/sharedStrings.xml><?xml version="1.0" encoding="utf-8"?>
<sst xmlns="http://schemas.openxmlformats.org/spreadsheetml/2006/main" count="88" uniqueCount="80">
  <si>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</si>
  <si>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</si>
  <si>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</si>
  <si>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</si>
  <si>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</si>
  <si>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</si>
  <si>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</si>
  <si>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</si>
  <si>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</si>
  <si>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</si>
  <si>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</si>
  <si>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</si>
  <si>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</si>
  <si>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</si>
  <si>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 y Lugar de entrega:</t>
  </si>
  <si>
    <t xml:space="preserve"> </t>
  </si>
  <si>
    <t>Mantenimiento:</t>
  </si>
  <si>
    <t>Garantia:</t>
  </si>
  <si>
    <t>Especificidades Item N° 1:</t>
  </si>
  <si>
    <t>Descripción técnica:</t>
  </si>
  <si>
    <t>Calidad Minima esperada: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</si>
  <si>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</si>
  <si>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</si>
  <si>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</si>
  <si>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</si>
  <si>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</si>
  <si>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</si>
  <si>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</si>
  <si>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</si>
  <si>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</si>
  <si>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</si>
  <si>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</si>
  <si>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</si>
  <si>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</si>
  <si>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Cantidad Solicitada</t>
  </si>
  <si>
    <t>Precio Unitario Estimado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</si>
  <si>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</si>
  <si>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</si>
  <si>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</si>
  <si>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</si>
  <si>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</si>
  <si>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</si>
  <si>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</si>
  <si>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</si>
  <si>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</si>
  <si>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</si>
  <si>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</si>
  <si>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</si>
  <si>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</si>
  <si>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</si>
  <si>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</si>
  <si>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</si>
  <si>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</si>
  <si>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</si>
  <si>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</si>
  <si>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</si>
  <si>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</si>
  <si>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</si>
  <si>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</si>
  <si>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Costo total estimado: </t>
  </si>
  <si>
    <t>95 - Ministerio de Cultura, Turismo y Deporte.-</t>
  </si>
  <si>
    <t>18 - Secretaria de Administracion y Recursos Humanos.-</t>
  </si>
  <si>
    <t>Ministerio de Cultura, Turismo y Deporte</t>
  </si>
  <si>
    <t>4.3.8</t>
  </si>
  <si>
    <t xml:space="preserve">HERRAMIENTAS </t>
  </si>
  <si>
    <t>UNIDAD</t>
  </si>
  <si>
    <t>2° Trimestre</t>
  </si>
  <si>
    <t xml:space="preserve">Ministerio de Cultura, Turismo y Deporte </t>
  </si>
  <si>
    <t>Herramientas y Repuestos Mayores.-</t>
  </si>
  <si>
    <t>CUARENTA Y CINCO (45) días hábiles.-</t>
  </si>
  <si>
    <t xml:space="preserve">2 AÑOS COMO MINIMO </t>
  </si>
  <si>
    <t xml:space="preserve">NUEVO SIN USO </t>
  </si>
  <si>
    <t>4.3.8-2023.14</t>
  </si>
  <si>
    <t>BORDEADORAS DE CESPED; TIPO: DESMALEZADORA, CAPACIDAD: 1,2 L., ACCESORIO: ARNÉS DOBLE PROFESIONAL</t>
  </si>
  <si>
    <t xml:space="preserve">El plazo de entrega no podrá ser superior a los Siete (07) días hábiles a partir de la fecha de recepción de la respectiva Orden de Compra. La entrega de dichos bienes se realizará en la Secretaría de Administracion y Recursos Humanos del Ministerio de Cultura, Turismo y Deporte,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</si>
  <si>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 xml:space="preserve">Adquisición de desmalezadoras para el Ministerio de Cultura, Turismo y Deporte.- </t>
  </si>
  <si>
    <t xml:space="preserve">SETECIENTOS OCHENTA MIL CON 00/100 CENTAVOS.- </t>
  </si>
  <si>
    <t>016/2022</t>
  </si>
  <si>
    <t>SI</t>
  </si>
  <si>
    <t>Motor: minimo 2 tiempos, refrigerado por aire; Potencia - Cilindrada: desde 2,4 HP - 52 CC.;  Velocidad: desde 6.500 r.p.m.; Tanque combustible: como minimo 1,2 Lts.; Eje: recto - Pistón: cromado; Ancho corte tanza hasta: 420 mm.; Ancho corte cuchilla hasta: 230 mm.; Nivel de presión sonora: desde 114 dB(A) LWA.; Arnés: como minimo Doble - profesional; Peso: desde 8,4 Kg.-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</si>
</sst>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&quot;$&quot;\ #,##0.00"/>
    <numFmt numFmtId="166" formatCode="[$$-2C0A]\ #,##0.00"/>
    <numFmt numFmtId="167" formatCode="dd\-mm\-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2"/>
      <color rgb="FF00000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Times New Roman"/>
      <family val="1"/>
      <charset val="1"/>
    </font>
    <font>
      <sz val="12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22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rgb="FF3D3D3D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3D3D3D"/>
      </left>
      <right style="medium">
        <color indexed="64"/>
      </right>
      <top style="thin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2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Fill="1" applyBorder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vertical="center"/>
    </xf>
    <xf numFmtId="165" fontId="8" fillId="0" borderId="10" xfId="1" applyNumberFormat="1" applyFont="1" applyBorder="1" applyAlignment="1" applyProtection="1">
      <alignment horizontal="center" vertical="center" wrapText="1"/>
    </xf>
    <xf numFmtId="165" fontId="8" fillId="0" borderId="14" xfId="1" applyNumberFormat="1" applyFont="1" applyBorder="1" applyAlignment="1" applyProtection="1">
      <alignment horizontal="center" vertical="center" wrapText="1"/>
    </xf>
    <xf numFmtId="165" fontId="8" fillId="0" borderId="16" xfId="1" applyNumberFormat="1" applyFont="1" applyBorder="1" applyAlignment="1" applyProtection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29" xfId="0" applyBorder="1"/>
    <xf numFmtId="0" fontId="0" fillId="0" borderId="7" xfId="0" applyBorder="1"/>
    <xf numFmtId="0" fontId="2" fillId="0" borderId="28" xfId="0" applyFont="1" applyBorder="1"/>
    <xf numFmtId="0" fontId="2" fillId="0" borderId="7" xfId="0" applyFont="1" applyBorder="1"/>
    <xf numFmtId="0" fontId="14" fillId="0" borderId="4" xfId="0" applyFont="1" applyBorder="1"/>
    <xf numFmtId="0" fontId="14" fillId="0" borderId="28" xfId="0" applyFont="1" applyBorder="1"/>
    <xf numFmtId="0" fontId="15" fillId="0" borderId="30" xfId="0" applyFont="1" applyBorder="1" applyAlignment="1">
      <alignment horizontal="right" vertical="center"/>
    </xf>
    <xf numFmtId="0" fontId="15" fillId="0" borderId="3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center" wrapText="1" indent="1"/>
    </xf>
    <xf numFmtId="165" fontId="13" fillId="0" borderId="25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right"/>
    </xf>
    <xf numFmtId="0" fontId="0" fillId="0" borderId="54" xfId="0" applyBorder="1"/>
    <xf numFmtId="0" fontId="0" fillId="0" borderId="32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55" xfId="0" applyBorder="1" applyAlignment="1">
      <alignment horizontal="right"/>
    </xf>
    <xf numFmtId="0" fontId="26" fillId="0" borderId="61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/>
    </xf>
    <xf numFmtId="0" fontId="26" fillId="0" borderId="63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1" fontId="8" fillId="0" borderId="12" xfId="0" applyNumberFormat="1" applyFont="1" applyFill="1" applyBorder="1" applyAlignment="1">
      <alignment horizontal="center" vertical="center" wrapText="1"/>
    </xf>
    <xf numFmtId="165" fontId="8" fillId="0" borderId="13" xfId="1" applyNumberFormat="1" applyFont="1" applyFill="1" applyBorder="1" applyAlignment="1" applyProtection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center" vertical="center" wrapText="1"/>
    </xf>
    <xf numFmtId="1" fontId="9" fillId="0" borderId="14" xfId="0" applyNumberFormat="1" applyFont="1" applyFill="1" applyBorder="1" applyAlignment="1">
      <alignment horizontal="center" vertical="center" wrapText="1"/>
    </xf>
    <xf numFmtId="165" fontId="9" fillId="0" borderId="15" xfId="0" applyNumberFormat="1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center" vertical="center" wrapText="1"/>
    </xf>
    <xf numFmtId="1" fontId="9" fillId="0" borderId="16" xfId="0" applyNumberFormat="1" applyFont="1" applyFill="1" applyBorder="1" applyAlignment="1">
      <alignment horizontal="center" vertical="center" wrapText="1"/>
    </xf>
    <xf numFmtId="165" fontId="9" fillId="0" borderId="17" xfId="0" applyNumberFormat="1" applyFont="1" applyFill="1" applyBorder="1" applyAlignment="1">
      <alignment horizontal="center" vertical="center" wrapText="1"/>
    </xf>
    <xf numFmtId="49" fontId="16" fillId="0" borderId="31" xfId="0" applyNumberFormat="1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0" fillId="0" borderId="73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29" fillId="0" borderId="68" xfId="0" applyFont="1" applyFill="1" applyBorder="1" applyAlignment="1">
      <alignment horizontal="center" vertical="center"/>
    </xf>
    <xf numFmtId="0" fontId="29" fillId="0" borderId="69" xfId="0" applyFont="1" applyFill="1" applyBorder="1" applyAlignment="1">
      <alignment horizontal="center" vertical="center"/>
    </xf>
    <xf numFmtId="0" fontId="30" fillId="0" borderId="70" xfId="0" applyFont="1" applyFill="1" applyBorder="1" applyAlignment="1">
      <alignment horizontal="center" vertical="center"/>
    </xf>
    <xf numFmtId="0" fontId="29" fillId="0" borderId="40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30" fillId="0" borderId="38" xfId="0" applyFont="1" applyFill="1" applyBorder="1" applyAlignment="1">
      <alignment horizontal="center" vertical="center"/>
    </xf>
    <xf numFmtId="165" fontId="29" fillId="0" borderId="72" xfId="1" applyNumberFormat="1" applyFont="1" applyBorder="1" applyAlignment="1">
      <alignment horizontal="right" vertical="center"/>
    </xf>
    <xf numFmtId="165" fontId="29" fillId="0" borderId="23" xfId="1" applyNumberFormat="1" applyFont="1" applyBorder="1" applyAlignment="1" applyProtection="1">
      <alignment horizontal="right" vertical="center"/>
    </xf>
    <xf numFmtId="165" fontId="29" fillId="0" borderId="23" xfId="1" applyNumberFormat="1" applyFont="1" applyBorder="1" applyAlignment="1" applyProtection="1">
      <alignment horizontal="right"/>
    </xf>
    <xf numFmtId="165" fontId="29" fillId="0" borderId="74" xfId="1" applyNumberFormat="1" applyFont="1" applyBorder="1" applyAlignment="1" applyProtection="1">
      <alignment horizontal="right"/>
    </xf>
    <xf numFmtId="0" fontId="17" fillId="0" borderId="83" xfId="0" applyFont="1" applyFill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 wrapText="1"/>
    </xf>
    <xf numFmtId="1" fontId="18" fillId="0" borderId="85" xfId="0" applyNumberFormat="1" applyFont="1" applyBorder="1" applyAlignment="1">
      <alignment horizontal="center" vertical="center" wrapText="1"/>
    </xf>
    <xf numFmtId="165" fontId="18" fillId="0" borderId="84" xfId="1" applyNumberFormat="1" applyFont="1" applyFill="1" applyBorder="1" applyAlignment="1" applyProtection="1">
      <alignment horizontal="center" vertical="center" wrapText="1"/>
    </xf>
    <xf numFmtId="1" fontId="18" fillId="0" borderId="19" xfId="0" applyNumberFormat="1" applyFont="1" applyBorder="1" applyAlignment="1">
      <alignment horizontal="center" vertical="center" wrapText="1"/>
    </xf>
    <xf numFmtId="165" fontId="18" fillId="0" borderId="18" xfId="1" applyNumberFormat="1" applyFont="1" applyFill="1" applyBorder="1" applyAlignment="1" applyProtection="1">
      <alignment horizontal="center" vertical="center" wrapText="1"/>
    </xf>
    <xf numFmtId="0" fontId="17" fillId="0" borderId="86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8" fillId="0" borderId="86" xfId="0" applyFont="1" applyFill="1" applyBorder="1" applyAlignment="1">
      <alignment horizontal="center" vertical="center"/>
    </xf>
    <xf numFmtId="0" fontId="3" fillId="0" borderId="87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 vertical="center" wrapText="1"/>
    </xf>
    <xf numFmtId="1" fontId="9" fillId="0" borderId="18" xfId="0" applyNumberFormat="1" applyFont="1" applyFill="1" applyBorder="1" applyAlignment="1">
      <alignment horizontal="center" vertical="center" wrapText="1"/>
    </xf>
    <xf numFmtId="165" fontId="9" fillId="0" borderId="19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8" fillId="0" borderId="83" xfId="0" applyFont="1" applyBorder="1" applyAlignment="1">
      <alignment horizontal="center" vertical="center"/>
    </xf>
    <xf numFmtId="0" fontId="18" fillId="0" borderId="8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0" xfId="0" applyFill="1" applyBorder="1"/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0" borderId="16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3" fontId="22" fillId="0" borderId="5" xfId="0" applyNumberFormat="1" applyFont="1" applyBorder="1"/>
    <xf numFmtId="167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28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8" fillId="0" borderId="26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5" fillId="0" borderId="0" xfId="0" applyFont="1" applyFill="1" applyAlignment="1">
      <alignment horizontal="left" wrapText="1"/>
    </xf>
    <xf numFmtId="0" fontId="3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34" fillId="2" borderId="94" xfId="0" applyFont="1" applyFill="1" applyBorder="1" applyAlignment="1">
      <alignment vertical="center" wrapText="1"/>
    </xf>
    <xf numFmtId="0" fontId="34" fillId="2" borderId="17" xfId="0" applyFont="1" applyFill="1" applyBorder="1" applyAlignment="1">
      <alignment vertical="center" wrapText="1"/>
    </xf>
    <xf numFmtId="0" fontId="34" fillId="2" borderId="24" xfId="0" applyFont="1" applyFill="1" applyBorder="1" applyAlignment="1">
      <alignment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left" vertical="center" wrapText="1"/>
    </xf>
    <xf numFmtId="0" fontId="18" fillId="0" borderId="69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166" fontId="17" fillId="0" borderId="11" xfId="0" applyNumberFormat="1" applyFont="1" applyBorder="1" applyAlignment="1">
      <alignment horizontal="center" vertical="center"/>
    </xf>
    <xf numFmtId="0" fontId="18" fillId="0" borderId="88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18" fillId="0" borderId="89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 indent="1"/>
    </xf>
    <xf numFmtId="0" fontId="17" fillId="0" borderId="3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 indent="1"/>
    </xf>
    <xf numFmtId="0" fontId="24" fillId="0" borderId="47" xfId="0" applyFont="1" applyFill="1" applyBorder="1" applyAlignment="1">
      <alignment horizontal="left" vertical="center" wrapText="1" indent="1"/>
    </xf>
    <xf numFmtId="0" fontId="24" fillId="0" borderId="48" xfId="0" applyFont="1" applyFill="1" applyBorder="1" applyAlignment="1">
      <alignment horizontal="left" vertical="center" wrapText="1" indent="1"/>
    </xf>
    <xf numFmtId="0" fontId="24" fillId="0" borderId="49" xfId="0" applyFont="1" applyFill="1" applyBorder="1" applyAlignment="1">
      <alignment horizontal="left" vertical="center" wrapText="1" indent="1"/>
    </xf>
    <xf numFmtId="0" fontId="24" fillId="0" borderId="75" xfId="0" applyFont="1" applyFill="1" applyBorder="1" applyAlignment="1">
      <alignment horizontal="left" vertical="center" wrapText="1" indent="1"/>
    </xf>
    <xf numFmtId="0" fontId="24" fillId="0" borderId="76" xfId="0" applyFont="1" applyFill="1" applyBorder="1" applyAlignment="1">
      <alignment horizontal="left" vertical="center" wrapText="1" indent="1"/>
    </xf>
    <xf numFmtId="0" fontId="24" fillId="0" borderId="77" xfId="0" applyFont="1" applyFill="1" applyBorder="1" applyAlignment="1">
      <alignment horizontal="left" vertical="center" wrapText="1" indent="1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165" fontId="31" fillId="0" borderId="10" xfId="1" applyNumberFormat="1" applyFont="1" applyFill="1" applyBorder="1" applyAlignment="1">
      <alignment horizontal="right" vertical="center"/>
    </xf>
    <xf numFmtId="165" fontId="31" fillId="0" borderId="25" xfId="1" applyNumberFormat="1" applyFont="1" applyFill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22" fillId="0" borderId="5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30" fillId="0" borderId="40" xfId="0" applyFont="1" applyFill="1" applyBorder="1" applyAlignment="1">
      <alignment horizontal="left" vertical="center" wrapText="1"/>
    </xf>
    <xf numFmtId="0" fontId="29" fillId="0" borderId="41" xfId="0" applyFont="1" applyFill="1" applyBorder="1" applyAlignment="1">
      <alignment horizontal="left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28" fillId="0" borderId="51" xfId="0" applyFont="1" applyBorder="1" applyAlignment="1">
      <alignment horizontal="left" vertical="center" wrapText="1" indent="1"/>
    </xf>
    <xf numFmtId="0" fontId="28" fillId="0" borderId="52" xfId="0" applyFont="1" applyBorder="1" applyAlignment="1">
      <alignment horizontal="left" vertical="center" wrapText="1" indent="1"/>
    </xf>
    <xf numFmtId="0" fontId="28" fillId="0" borderId="53" xfId="0" applyFont="1" applyBorder="1" applyAlignment="1">
      <alignment horizontal="left" vertical="center" wrapText="1" indent="1"/>
    </xf>
    <xf numFmtId="0" fontId="26" fillId="0" borderId="5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30" fillId="0" borderId="68" xfId="0" applyFont="1" applyFill="1" applyBorder="1" applyAlignment="1">
      <alignment horizontal="center" vertical="center" wrapText="1"/>
    </xf>
    <xf numFmtId="0" fontId="29" fillId="0" borderId="71" xfId="0" applyFont="1" applyFill="1" applyBorder="1" applyAlignment="1">
      <alignment horizontal="center" vertical="center" wrapText="1"/>
    </xf>
    <xf numFmtId="0" fontId="28" fillId="0" borderId="28" xfId="0" applyFont="1" applyBorder="1"/>
    <xf numFmtId="0" fontId="28" fillId="0" borderId="50" xfId="0" applyFont="1" applyBorder="1"/>
    <xf numFmtId="0" fontId="14" fillId="0" borderId="1" xfId="0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90" xfId="0" applyFont="1" applyBorder="1" applyAlignment="1">
      <alignment horizontal="center" vertical="center" wrapText="1"/>
    </xf>
    <xf numFmtId="0" fontId="26" fillId="0" borderId="91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4" fillId="0" borderId="31" xfId="0" applyFont="1" applyBorder="1" applyAlignment="1">
      <alignment horizontal="left" vertical="center"/>
    </xf>
    <xf numFmtId="0" fontId="24" fillId="0" borderId="90" xfId="0" applyFont="1" applyBorder="1" applyAlignment="1">
      <alignment horizontal="left" vertical="center"/>
    </xf>
    <xf numFmtId="0" fontId="27" fillId="0" borderId="92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/>
    </xf>
    <xf numFmtId="0" fontId="32" fillId="0" borderId="90" xfId="0" applyFont="1" applyBorder="1" applyAlignment="1">
      <alignment horizontal="left" vertical="center"/>
    </xf>
    <xf numFmtId="0" fontId="27" fillId="0" borderId="93" xfId="0" applyFont="1" applyBorder="1" applyAlignment="1">
      <alignment horizontal="left" vertical="center" wrapText="1"/>
    </xf>
    <xf numFmtId="0" fontId="27" fillId="0" borderId="44" xfId="0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4" fillId="2" borderId="46" xfId="0" applyFont="1" applyFill="1" applyBorder="1" applyAlignment="1">
      <alignment horizontal="left" vertical="center"/>
    </xf>
    <xf numFmtId="0" fontId="24" fillId="2" borderId="5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left"/>
    </xf>
    <xf numFmtId="0" fontId="25" fillId="0" borderId="48" xfId="0" applyFont="1" applyBorder="1" applyAlignment="1">
      <alignment horizontal="left"/>
    </xf>
    <xf numFmtId="0" fontId="25" fillId="0" borderId="49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4" zoomScale="84" zoomScaleNormal="84" workbookViewId="0">
      <selection activeCell="C21" sqref="C21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26.28515625" customWidth="1"/>
    <col min="4" max="4" width="8.42578125" customWidth="1"/>
    <col min="5" max="5" width="77.42578125" customWidth="1"/>
    <col min="7" max="7" width="11" customWidth="1"/>
    <col min="8" max="8" width="13.85546875" customWidth="1"/>
    <col min="9" max="9" width="22.5703125" customWidth="1"/>
  </cols>
  <sheetData>
    <row r="1" spans="1:9" ht="32.25" customHeight="1" x14ac:dyDescent="0.25">
      <c r="B1" s="105"/>
      <c r="C1" s="120"/>
      <c r="D1" s="120"/>
    </row>
    <row r="2" spans="1:9" ht="27" x14ac:dyDescent="0.35">
      <c r="A2" s="1"/>
      <c r="B2" s="122" t="s">
        <v>0</v>
      </c>
      <c r="C2" s="122"/>
      <c r="D2" s="122"/>
      <c r="E2" s="122"/>
      <c r="F2" s="122"/>
      <c r="G2" s="122"/>
      <c r="H2" s="122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123" t="s">
        <v>1</v>
      </c>
      <c r="B4" s="123"/>
      <c r="C4" s="124" t="s">
        <v>60</v>
      </c>
      <c r="D4" s="124"/>
      <c r="E4" s="124"/>
      <c r="F4" s="2"/>
      <c r="G4" s="3"/>
      <c r="H4" s="2"/>
      <c r="I4" s="1"/>
    </row>
    <row r="5" spans="1:9" ht="15.75" customHeight="1" x14ac:dyDescent="0.25">
      <c r="A5" s="123" t="s">
        <v>2</v>
      </c>
      <c r="B5" s="123"/>
      <c r="C5" s="124" t="s">
        <v>61</v>
      </c>
      <c r="D5" s="124"/>
      <c r="E5" s="124"/>
      <c r="F5" s="125"/>
      <c r="G5" s="125"/>
      <c r="H5" s="125"/>
      <c r="I5" s="125"/>
    </row>
    <row r="6" spans="1:9" ht="15.75" x14ac:dyDescent="0.25">
      <c r="A6" s="123" t="s">
        <v>3</v>
      </c>
      <c r="B6" s="123"/>
      <c r="C6" s="121">
        <v>2022</v>
      </c>
      <c r="D6" s="121"/>
      <c r="E6" s="121"/>
      <c r="F6" s="12"/>
      <c r="G6" s="13"/>
      <c r="H6" s="12"/>
      <c r="I6" s="11"/>
    </row>
    <row r="7" spans="1:9" ht="15.75" x14ac:dyDescent="0.25">
      <c r="A7" s="123" t="s">
        <v>4</v>
      </c>
      <c r="B7" s="123"/>
      <c r="C7" s="121" t="s">
        <v>66</v>
      </c>
      <c r="D7" s="121"/>
      <c r="E7" s="121"/>
      <c r="F7" s="12"/>
      <c r="G7" s="13"/>
      <c r="H7" s="126"/>
      <c r="I7" s="126"/>
    </row>
    <row r="8" spans="1:9" x14ac:dyDescent="0.25">
      <c r="A8" s="1"/>
      <c r="B8" s="2"/>
      <c r="C8" s="3"/>
      <c r="D8" s="2"/>
      <c r="E8" s="2"/>
      <c r="F8" s="12"/>
      <c r="G8" s="13"/>
      <c r="H8" s="126"/>
      <c r="I8" s="126"/>
    </row>
    <row r="9" spans="1:9" ht="15.75" thickBot="1" x14ac:dyDescent="0.3">
      <c r="A9" s="1"/>
      <c r="B9" s="2"/>
      <c r="C9" s="3"/>
      <c r="D9" s="2"/>
      <c r="E9" s="2"/>
      <c r="F9" s="2"/>
      <c r="G9" s="3"/>
      <c r="H9" s="4"/>
      <c r="I9" s="4"/>
    </row>
    <row r="10" spans="1:9" ht="39" thickBot="1" x14ac:dyDescent="0.3">
      <c r="A10" s="5" t="s">
        <v>5</v>
      </c>
      <c r="B10" s="6" t="s">
        <v>6</v>
      </c>
      <c r="C10" s="5" t="s">
        <v>7</v>
      </c>
      <c r="D10" s="6" t="s">
        <v>8</v>
      </c>
      <c r="E10" s="5" t="s">
        <v>9</v>
      </c>
      <c r="F10" s="6" t="s">
        <v>10</v>
      </c>
      <c r="G10" s="7" t="s">
        <v>11</v>
      </c>
      <c r="H10" s="8" t="s">
        <v>12</v>
      </c>
      <c r="I10" s="7" t="s">
        <v>13</v>
      </c>
    </row>
    <row r="11" spans="1:9" ht="40.5" customHeight="1" x14ac:dyDescent="0.25">
      <c r="A11" s="49">
        <v>1</v>
      </c>
      <c r="B11" s="117" t="s">
        <v>72</v>
      </c>
      <c r="C11" s="96" t="s">
        <v>64</v>
      </c>
      <c r="D11" s="50" t="s">
        <v>63</v>
      </c>
      <c r="E11" s="51" t="s">
        <v>73</v>
      </c>
      <c r="F11" s="52" t="s">
        <v>65</v>
      </c>
      <c r="G11" s="53">
        <v>20</v>
      </c>
      <c r="H11" s="54">
        <v>39000</v>
      </c>
      <c r="I11" s="15">
        <f>G11*H11</f>
        <v>780000</v>
      </c>
    </row>
    <row r="12" spans="1:9" x14ac:dyDescent="0.25">
      <c r="A12" s="14"/>
      <c r="B12" s="55"/>
      <c r="C12" s="97"/>
      <c r="D12" s="56"/>
      <c r="E12" s="57"/>
      <c r="F12" s="58"/>
      <c r="G12" s="59" t="s">
        <v>15</v>
      </c>
      <c r="H12" s="60"/>
      <c r="I12" s="16"/>
    </row>
    <row r="13" spans="1:9" x14ac:dyDescent="0.25">
      <c r="A13" s="14"/>
      <c r="B13" s="91"/>
      <c r="C13" s="98"/>
      <c r="D13" s="56"/>
      <c r="E13" s="92"/>
      <c r="F13" s="93"/>
      <c r="G13" s="94"/>
      <c r="H13" s="95"/>
      <c r="I13" s="16"/>
    </row>
    <row r="14" spans="1:9" ht="15.75" thickBot="1" x14ac:dyDescent="0.3">
      <c r="A14" s="108"/>
      <c r="B14" s="61"/>
      <c r="C14" s="62"/>
      <c r="D14" s="63"/>
      <c r="E14" s="64"/>
      <c r="F14" s="65"/>
      <c r="G14" s="66"/>
      <c r="H14" s="67"/>
      <c r="I14" s="17"/>
    </row>
    <row r="15" spans="1:9" ht="25.5" customHeight="1" thickBot="1" x14ac:dyDescent="0.3">
      <c r="A15" s="1"/>
      <c r="B15" s="1"/>
      <c r="C15" s="1"/>
      <c r="D15" s="1"/>
      <c r="E15" s="9"/>
      <c r="F15" s="10"/>
      <c r="G15" s="10"/>
      <c r="H15" s="10"/>
      <c r="I15" s="35">
        <f>SUM(I11:I14)</f>
        <v>780000</v>
      </c>
    </row>
    <row r="16" spans="1:9" ht="15.75" thickBot="1" x14ac:dyDescent="0.3"/>
    <row r="17" spans="2:5" x14ac:dyDescent="0.25">
      <c r="B17" s="25" t="s">
        <v>18</v>
      </c>
      <c r="C17" s="18"/>
      <c r="D17" s="18"/>
      <c r="E17" s="19"/>
    </row>
    <row r="18" spans="2:5" x14ac:dyDescent="0.25">
      <c r="B18" s="23"/>
      <c r="C18" s="20"/>
      <c r="D18" s="20"/>
      <c r="E18" s="21"/>
    </row>
    <row r="19" spans="2:5" x14ac:dyDescent="0.25">
      <c r="B19" s="23" t="s">
        <v>19</v>
      </c>
      <c r="C19" s="20"/>
      <c r="D19" s="20"/>
      <c r="E19" s="21"/>
    </row>
    <row r="20" spans="2:5" s="103" customFormat="1" ht="92.25" customHeight="1" thickBot="1" x14ac:dyDescent="0.3">
      <c r="B20" s="104"/>
      <c r="C20" s="129" t="s">
        <v>79</v>
      </c>
      <c r="D20" s="130"/>
      <c r="E20" s="131"/>
    </row>
    <row r="21" spans="2:5" x14ac:dyDescent="0.25">
      <c r="B21" s="26" t="s">
        <v>14</v>
      </c>
      <c r="C21" s="20"/>
      <c r="D21" s="20"/>
      <c r="E21" s="21"/>
    </row>
    <row r="22" spans="2:5" ht="104.25" customHeight="1" thickBot="1" x14ac:dyDescent="0.3">
      <c r="B22" s="24" t="s">
        <v>15</v>
      </c>
      <c r="C22" s="127" t="s">
        <v>74</v>
      </c>
      <c r="D22" s="127"/>
      <c r="E22" s="128"/>
    </row>
    <row r="23" spans="2:5" x14ac:dyDescent="0.25">
      <c r="B23" s="26" t="s">
        <v>20</v>
      </c>
      <c r="C23" s="20"/>
      <c r="D23" s="20"/>
      <c r="E23" s="21"/>
    </row>
    <row r="24" spans="2:5" ht="15.75" thickBot="1" x14ac:dyDescent="0.3">
      <c r="B24" s="24"/>
      <c r="C24" s="106" t="s">
        <v>71</v>
      </c>
      <c r="D24" s="106"/>
      <c r="E24" s="107"/>
    </row>
    <row r="25" spans="2:5" x14ac:dyDescent="0.25">
      <c r="B25" s="26" t="s">
        <v>16</v>
      </c>
      <c r="C25" s="20"/>
      <c r="D25" s="20"/>
      <c r="E25" s="21"/>
    </row>
    <row r="26" spans="2:5" ht="15.75" thickBot="1" x14ac:dyDescent="0.3">
      <c r="B26" s="24"/>
      <c r="C26" s="106" t="s">
        <v>69</v>
      </c>
      <c r="D26" s="106"/>
      <c r="E26" s="107"/>
    </row>
    <row r="27" spans="2:5" x14ac:dyDescent="0.25">
      <c r="B27" s="25" t="s">
        <v>17</v>
      </c>
      <c r="C27" s="18"/>
      <c r="D27" s="18"/>
      <c r="E27" s="19"/>
    </row>
    <row r="28" spans="2:5" ht="15.75" thickBot="1" x14ac:dyDescent="0.3">
      <c r="B28" s="22"/>
      <c r="C28" s="118" t="s">
        <v>70</v>
      </c>
      <c r="D28" s="118"/>
      <c r="E28" s="119"/>
    </row>
    <row r="37" spans="5:5" x14ac:dyDescent="0.25">
      <c r="E37" t="s">
        <v>15</v>
      </c>
    </row>
  </sheetData>
  <mergeCells count="15">
    <mergeCell ref="C28:E28"/>
    <mergeCell ref="C1:D1"/>
    <mergeCell ref="C7:E7"/>
    <mergeCell ref="C6:E6"/>
    <mergeCell ref="B2:H2"/>
    <mergeCell ref="A4:B4"/>
    <mergeCell ref="C4:E4"/>
    <mergeCell ref="A5:B5"/>
    <mergeCell ref="C5:E5"/>
    <mergeCell ref="F5:I5"/>
    <mergeCell ref="A6:B6"/>
    <mergeCell ref="A7:B7"/>
    <mergeCell ref="H7:I8"/>
    <mergeCell ref="C22:E22"/>
    <mergeCell ref="C20:E20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4" workbookViewId="0">
      <selection activeCell="H13" sqref="H1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15" customWidth="1"/>
    <col min="7" max="7" width="7.5703125" customWidth="1"/>
    <col min="8" max="8" width="9.28515625" customWidth="1"/>
    <col min="9" max="9" width="11.85546875" customWidth="1"/>
    <col min="10" max="10" width="11.28515625" customWidth="1"/>
    <col min="11" max="11" width="13.28515625" customWidth="1"/>
  </cols>
  <sheetData>
    <row r="1" spans="1:11" ht="16.5" thickBot="1" x14ac:dyDescent="0.3">
      <c r="A1" s="160" t="s">
        <v>21</v>
      </c>
      <c r="B1" s="160"/>
      <c r="C1" s="160"/>
      <c r="D1" s="160"/>
      <c r="E1" s="160"/>
      <c r="F1" s="160"/>
      <c r="G1" s="160"/>
      <c r="H1" s="160"/>
      <c r="I1" s="160"/>
      <c r="J1" s="27" t="s">
        <v>22</v>
      </c>
      <c r="K1" s="68" t="s">
        <v>77</v>
      </c>
    </row>
    <row r="2" spans="1:11" ht="16.5" thickBot="1" x14ac:dyDescent="0.3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6.5" thickBot="1" x14ac:dyDescent="0.3">
      <c r="A3" s="151" t="s">
        <v>23</v>
      </c>
      <c r="B3" s="151"/>
      <c r="C3" s="151"/>
      <c r="D3" s="161" t="str">
        <f>'Necesidades Trimestrales'!C4</f>
        <v>95 - Ministerio de Cultura, Turismo y Deporte.-</v>
      </c>
      <c r="E3" s="162"/>
      <c r="F3" s="162"/>
      <c r="G3" s="162"/>
      <c r="H3" s="162"/>
      <c r="I3" s="162"/>
      <c r="J3" s="162"/>
      <c r="K3" s="163"/>
    </row>
    <row r="4" spans="1:11" ht="16.5" thickBot="1" x14ac:dyDescent="0.3">
      <c r="A4" s="153" t="s">
        <v>24</v>
      </c>
      <c r="B4" s="153"/>
      <c r="C4" s="153"/>
      <c r="D4" s="164" t="str">
        <f>'Necesidades Trimestrales'!C5</f>
        <v>18 - Secretaria de Administracion y Recursos Humanos.-</v>
      </c>
      <c r="E4" s="164"/>
      <c r="F4" s="164"/>
      <c r="G4" s="164"/>
      <c r="H4" s="164"/>
      <c r="I4" s="164"/>
      <c r="J4" s="164"/>
      <c r="K4" s="164"/>
    </row>
    <row r="5" spans="1:11" ht="16.5" thickBot="1" x14ac:dyDescent="0.3">
      <c r="A5" s="153" t="s">
        <v>25</v>
      </c>
      <c r="B5" s="153"/>
      <c r="C5" s="153"/>
      <c r="D5" s="152" t="s">
        <v>62</v>
      </c>
      <c r="E5" s="152"/>
      <c r="F5" s="152"/>
      <c r="G5" s="152"/>
      <c r="H5" s="152"/>
      <c r="I5" s="152"/>
      <c r="J5" s="152"/>
      <c r="K5" s="152"/>
    </row>
    <row r="6" spans="1:11" ht="16.5" thickBot="1" x14ac:dyDescent="0.3">
      <c r="A6" s="151" t="s">
        <v>26</v>
      </c>
      <c r="B6" s="151"/>
      <c r="C6" s="151"/>
      <c r="D6" s="152" t="s">
        <v>67</v>
      </c>
      <c r="E6" s="152"/>
      <c r="F6" s="152"/>
      <c r="G6" s="152"/>
      <c r="H6" s="152"/>
      <c r="I6" s="152"/>
      <c r="J6" s="152"/>
      <c r="K6" s="152"/>
    </row>
    <row r="7" spans="1:11" ht="16.5" thickBot="1" x14ac:dyDescent="0.3">
      <c r="A7" s="153" t="s">
        <v>27</v>
      </c>
      <c r="B7" s="153"/>
      <c r="C7" s="153"/>
      <c r="D7" s="154" t="str">
        <f xml:space="preserve"> 'Necesidades Trimestrales'!C7 &amp; "  - Año " &amp; 'Necesidades Trimestrales'!C6</f>
        <v>2° Trimestre  - Año 2022</v>
      </c>
      <c r="E7" s="154"/>
      <c r="F7" s="154"/>
      <c r="G7" s="154"/>
      <c r="H7" s="154"/>
      <c r="I7" s="154"/>
      <c r="J7" s="154"/>
      <c r="K7" s="154"/>
    </row>
    <row r="8" spans="1:11" ht="24" customHeight="1" thickBot="1" x14ac:dyDescent="0.3">
      <c r="A8" s="155" t="s">
        <v>28</v>
      </c>
      <c r="B8" s="156"/>
      <c r="C8" s="157"/>
      <c r="D8" s="158" t="s">
        <v>75</v>
      </c>
      <c r="E8" s="158"/>
      <c r="F8" s="158"/>
      <c r="G8" s="158"/>
      <c r="H8" s="158"/>
      <c r="I8" s="158"/>
      <c r="J8" s="158"/>
      <c r="K8" s="159"/>
    </row>
    <row r="9" spans="1:11" ht="16.5" thickBot="1" x14ac:dyDescent="0.3">
      <c r="A9" s="30"/>
      <c r="B9" s="31"/>
      <c r="C9" s="32"/>
      <c r="D9" s="33"/>
      <c r="E9" s="33"/>
      <c r="F9" s="33"/>
      <c r="G9" s="33"/>
      <c r="H9" s="33"/>
      <c r="I9" s="33"/>
      <c r="J9" s="33"/>
      <c r="K9" s="34"/>
    </row>
    <row r="10" spans="1:11" ht="24.75" customHeight="1" thickBot="1" x14ac:dyDescent="0.3">
      <c r="A10" s="145" t="s">
        <v>29</v>
      </c>
      <c r="B10" s="137" t="s">
        <v>30</v>
      </c>
      <c r="C10" s="146" t="s">
        <v>31</v>
      </c>
      <c r="D10" s="147"/>
      <c r="E10" s="147"/>
      <c r="F10" s="147"/>
      <c r="G10" s="148"/>
      <c r="H10" s="149" t="s">
        <v>32</v>
      </c>
      <c r="I10" s="137" t="s">
        <v>33</v>
      </c>
      <c r="J10" s="150" t="s">
        <v>34</v>
      </c>
      <c r="K10" s="137" t="s">
        <v>35</v>
      </c>
    </row>
    <row r="11" spans="1:11" ht="21.75" customHeight="1" thickBot="1" x14ac:dyDescent="0.3">
      <c r="A11" s="145"/>
      <c r="B11" s="137"/>
      <c r="C11" s="146"/>
      <c r="D11" s="147"/>
      <c r="E11" s="147"/>
      <c r="F11" s="147"/>
      <c r="G11" s="148"/>
      <c r="H11" s="149"/>
      <c r="I11" s="137"/>
      <c r="J11" s="150"/>
      <c r="K11" s="137"/>
    </row>
    <row r="12" spans="1:11" ht="70.5" customHeight="1" x14ac:dyDescent="0.25">
      <c r="A12" s="99">
        <f>'Necesidades Trimestrales'!A11</f>
        <v>1</v>
      </c>
      <c r="B12" s="100" t="str">
        <f>'Necesidades Trimestrales'!B11</f>
        <v>4.3.8-2023.14</v>
      </c>
      <c r="C12" s="138" t="str">
        <f>'Necesidades Trimestrales'!E11</f>
        <v>BORDEADORAS DE CESPED; TIPO: DESMALEZADORA, CAPACIDAD: 1,2 L., ACCESORIO: ARNÉS DOBLE PROFESIONAL</v>
      </c>
      <c r="D12" s="139"/>
      <c r="E12" s="139"/>
      <c r="F12" s="139"/>
      <c r="G12" s="140"/>
      <c r="H12" s="83" t="s">
        <v>78</v>
      </c>
      <c r="I12" s="84" t="str">
        <f>'Necesidades Trimestrales'!F11</f>
        <v>UNIDAD</v>
      </c>
      <c r="J12" s="85">
        <f>+'Necesidades Trimestrales'!G11</f>
        <v>20</v>
      </c>
      <c r="K12" s="86">
        <f>+'Necesidades Trimestrales'!H11</f>
        <v>39000</v>
      </c>
    </row>
    <row r="13" spans="1:11" ht="21.75" customHeight="1" thickBot="1" x14ac:dyDescent="0.3">
      <c r="A13" s="102"/>
      <c r="B13" s="101"/>
      <c r="C13" s="142"/>
      <c r="D13" s="143"/>
      <c r="E13" s="143"/>
      <c r="F13" s="143"/>
      <c r="G13" s="144"/>
      <c r="H13" s="89"/>
      <c r="I13" s="90"/>
      <c r="J13" s="87"/>
      <c r="K13" s="88"/>
    </row>
    <row r="14" spans="1:11" ht="32.25" customHeight="1" thickBot="1" x14ac:dyDescent="0.3">
      <c r="A14" s="132" t="s">
        <v>59</v>
      </c>
      <c r="B14" s="133"/>
      <c r="C14" s="134" t="s">
        <v>76</v>
      </c>
      <c r="D14" s="135"/>
      <c r="E14" s="135"/>
      <c r="F14" s="135"/>
      <c r="G14" s="135"/>
      <c r="H14" s="135"/>
      <c r="I14" s="136"/>
      <c r="J14" s="141">
        <f>+J12*K12</f>
        <v>780000</v>
      </c>
      <c r="K14" s="141"/>
    </row>
  </sheetData>
  <mergeCells count="2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4:B14"/>
    <mergeCell ref="C14:I14"/>
    <mergeCell ref="K10:K11"/>
    <mergeCell ref="C12:G12"/>
    <mergeCell ref="J14:K14"/>
    <mergeCell ref="C13:G13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opLeftCell="A7" zoomScale="80" zoomScaleNormal="80" workbookViewId="0">
      <selection activeCell="F27" sqref="F27"/>
    </sheetView>
  </sheetViews>
  <sheetFormatPr baseColWidth="10" defaultRowHeight="15" x14ac:dyDescent="0.25"/>
  <cols>
    <col min="1" max="5" width="4.42578125" customWidth="1"/>
    <col min="6" max="6" width="6.140625" customWidth="1"/>
    <col min="7" max="7" width="4.42578125" customWidth="1"/>
    <col min="8" max="8" width="5.28515625" customWidth="1"/>
    <col min="9" max="11" width="4.42578125" customWidth="1"/>
    <col min="12" max="12" width="5.42578125" customWidth="1"/>
    <col min="13" max="14" width="4.42578125" customWidth="1"/>
    <col min="15" max="15" width="11" customWidth="1"/>
    <col min="16" max="16" width="11.28515625" customWidth="1"/>
    <col min="17" max="17" width="16.28515625" customWidth="1"/>
  </cols>
  <sheetData>
    <row r="1" spans="1:17" ht="20.25" customHeight="1" thickBot="1" x14ac:dyDescent="0.3">
      <c r="A1" s="209" t="s">
        <v>3</v>
      </c>
      <c r="B1" s="209"/>
      <c r="C1" s="209"/>
      <c r="D1" s="210">
        <f>'Necesidades Trimestrales'!C6</f>
        <v>2022</v>
      </c>
      <c r="E1" s="210"/>
      <c r="F1" s="110"/>
      <c r="G1" s="110"/>
      <c r="H1" s="111"/>
      <c r="I1" s="111"/>
      <c r="J1" s="111"/>
      <c r="K1" s="111"/>
      <c r="L1" s="111"/>
      <c r="M1" s="111"/>
      <c r="N1" s="111"/>
      <c r="O1" s="112"/>
      <c r="P1" s="211" t="s">
        <v>36</v>
      </c>
      <c r="Q1" s="212"/>
    </row>
    <row r="2" spans="1:17" ht="15.75" thickBot="1" x14ac:dyDescent="0.3">
      <c r="A2" s="113"/>
      <c r="B2" s="20"/>
      <c r="C2" s="20"/>
      <c r="D2" s="20"/>
      <c r="E2" s="20"/>
      <c r="F2" s="20"/>
      <c r="G2" s="114"/>
      <c r="H2" s="115"/>
      <c r="I2" s="115"/>
      <c r="J2" s="115"/>
      <c r="K2" s="115"/>
      <c r="L2" s="115"/>
      <c r="M2" s="115"/>
      <c r="N2" s="115"/>
      <c r="O2" s="116"/>
      <c r="P2" s="213"/>
      <c r="Q2" s="214"/>
    </row>
    <row r="3" spans="1:17" ht="15.75" thickBot="1" x14ac:dyDescent="0.3">
      <c r="A3" s="113"/>
      <c r="B3" s="20"/>
      <c r="C3" s="20"/>
      <c r="D3" s="20"/>
      <c r="E3" s="20"/>
      <c r="F3" s="20"/>
      <c r="G3" s="114"/>
      <c r="H3" s="20"/>
      <c r="I3" s="20"/>
      <c r="J3" s="20"/>
      <c r="K3" s="20"/>
      <c r="L3" s="20"/>
      <c r="M3" s="20"/>
      <c r="N3" s="20"/>
      <c r="O3" s="116"/>
      <c r="P3" s="116"/>
      <c r="Q3" s="36"/>
    </row>
    <row r="4" spans="1:17" ht="22.5" customHeight="1" thickBot="1" x14ac:dyDescent="0.3">
      <c r="A4" s="215" t="s">
        <v>37</v>
      </c>
      <c r="B4" s="216"/>
      <c r="C4" s="216"/>
      <c r="D4" s="216"/>
      <c r="E4" s="216"/>
      <c r="F4" s="216"/>
      <c r="G4" s="217" t="str">
        <f>'Nota Pedido'!D3</f>
        <v>95 - Ministerio de Cultura, Turismo y Deporte.-</v>
      </c>
      <c r="H4" s="217"/>
      <c r="I4" s="217"/>
      <c r="J4" s="217"/>
      <c r="K4" s="217"/>
      <c r="L4" s="217"/>
      <c r="M4" s="217"/>
      <c r="N4" s="217"/>
      <c r="O4" s="217"/>
      <c r="P4" s="217"/>
      <c r="Q4" s="218"/>
    </row>
    <row r="5" spans="1:17" ht="22.5" customHeight="1" thickBot="1" x14ac:dyDescent="0.3">
      <c r="A5" s="219" t="s">
        <v>24</v>
      </c>
      <c r="B5" s="220"/>
      <c r="C5" s="220"/>
      <c r="D5" s="220"/>
      <c r="E5" s="220"/>
      <c r="F5" s="221"/>
      <c r="G5" s="222" t="str">
        <f>'Nota Pedido'!D4</f>
        <v>18 - Secretaria de Administracion y Recursos Humanos.-</v>
      </c>
      <c r="H5" s="222"/>
      <c r="I5" s="222"/>
      <c r="J5" s="222"/>
      <c r="K5" s="222"/>
      <c r="L5" s="222"/>
      <c r="M5" s="222"/>
      <c r="N5" s="222"/>
      <c r="O5" s="222"/>
      <c r="P5" s="222"/>
      <c r="Q5" s="223"/>
    </row>
    <row r="6" spans="1:17" ht="22.5" customHeight="1" thickBot="1" x14ac:dyDescent="0.3">
      <c r="A6" s="219" t="s">
        <v>25</v>
      </c>
      <c r="B6" s="220"/>
      <c r="C6" s="220"/>
      <c r="D6" s="220"/>
      <c r="E6" s="220"/>
      <c r="F6" s="221"/>
      <c r="G6" s="217" t="str">
        <f>'Nota Pedido'!D5</f>
        <v>Ministerio de Cultura, Turismo y Deporte</v>
      </c>
      <c r="H6" s="217"/>
      <c r="I6" s="217"/>
      <c r="J6" s="217"/>
      <c r="K6" s="217"/>
      <c r="L6" s="217"/>
      <c r="M6" s="217"/>
      <c r="N6" s="217"/>
      <c r="O6" s="217"/>
      <c r="P6" s="217"/>
      <c r="Q6" s="218"/>
    </row>
    <row r="7" spans="1:17" ht="33" customHeight="1" thickBot="1" x14ac:dyDescent="0.3">
      <c r="A7" s="224" t="s">
        <v>26</v>
      </c>
      <c r="B7" s="225"/>
      <c r="C7" s="225"/>
      <c r="D7" s="225"/>
      <c r="E7" s="225"/>
      <c r="F7" s="226"/>
      <c r="G7" s="227" t="str">
        <f>'Nota Pedido'!D6</f>
        <v xml:space="preserve">Ministerio de Cultura, Turismo y Deporte </v>
      </c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ht="15.75" thickBot="1" x14ac:dyDescent="0.3">
      <c r="A8" s="229" t="s">
        <v>38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1"/>
    </row>
    <row r="9" spans="1:17" ht="20.25" customHeight="1" x14ac:dyDescent="0.25">
      <c r="A9" s="207" t="s">
        <v>39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16"/>
      <c r="P9" s="116"/>
      <c r="Q9" s="36"/>
    </row>
    <row r="10" spans="1:17" ht="62.25" customHeight="1" x14ac:dyDescent="0.25">
      <c r="A10" s="190" t="str">
        <f>"Autorizo la realización de los  trámites correspondientes, a fin de proveer a  este Organismo los bienes y/o servicios que se detallan en Nota  de Pedido N° "&amp;'Nota 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016/2022,  afectando la erogación resultante a los créditos presupuestarios aprobados a favor de esta Unidad Ejecutora, conforme al siguiente detalle: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</row>
    <row r="11" spans="1:17" ht="15.75" thickBot="1" x14ac:dyDescent="0.3">
      <c r="A11" s="37"/>
      <c r="B11" s="38"/>
      <c r="C11" s="38"/>
      <c r="D11" s="38"/>
      <c r="E11" s="38"/>
      <c r="F11" s="38"/>
      <c r="G11" s="39"/>
      <c r="H11" s="38"/>
      <c r="I11" s="38"/>
      <c r="J11" s="38"/>
      <c r="K11" s="38"/>
      <c r="L11" s="38"/>
      <c r="M11" s="38"/>
      <c r="N11" s="38"/>
      <c r="O11" s="40"/>
      <c r="P11" s="40"/>
      <c r="Q11" s="41"/>
    </row>
    <row r="12" spans="1:17" ht="15.75" thickBot="1" x14ac:dyDescent="0.3">
      <c r="A12" s="193" t="s">
        <v>40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5"/>
    </row>
    <row r="13" spans="1:17" ht="33.75" customHeight="1" thickBot="1" x14ac:dyDescent="0.3">
      <c r="A13" s="196" t="s">
        <v>41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8"/>
      <c r="O13" s="199" t="s">
        <v>42</v>
      </c>
      <c r="P13" s="200"/>
      <c r="Q13" s="203" t="s">
        <v>43</v>
      </c>
    </row>
    <row r="14" spans="1:17" ht="25.5" customHeight="1" thickBot="1" x14ac:dyDescent="0.3">
      <c r="A14" s="42" t="s">
        <v>44</v>
      </c>
      <c r="B14" s="43" t="s">
        <v>45</v>
      </c>
      <c r="C14" s="43" t="s">
        <v>46</v>
      </c>
      <c r="D14" s="43" t="s">
        <v>47</v>
      </c>
      <c r="E14" s="43" t="s">
        <v>48</v>
      </c>
      <c r="F14" s="43" t="s">
        <v>49</v>
      </c>
      <c r="G14" s="44" t="s">
        <v>50</v>
      </c>
      <c r="H14" s="43" t="s">
        <v>51</v>
      </c>
      <c r="I14" s="43" t="s">
        <v>52</v>
      </c>
      <c r="J14" s="43" t="s">
        <v>53</v>
      </c>
      <c r="K14" s="43" t="s">
        <v>53</v>
      </c>
      <c r="L14" s="43" t="s">
        <v>54</v>
      </c>
      <c r="M14" s="45" t="s">
        <v>55</v>
      </c>
      <c r="N14" s="46" t="s">
        <v>56</v>
      </c>
      <c r="O14" s="201"/>
      <c r="P14" s="202"/>
      <c r="Q14" s="204"/>
    </row>
    <row r="15" spans="1:17" ht="36.75" customHeight="1" x14ac:dyDescent="0.25">
      <c r="A15" s="73">
        <v>36</v>
      </c>
      <c r="B15" s="74">
        <v>0</v>
      </c>
      <c r="C15" s="74">
        <v>0</v>
      </c>
      <c r="D15" s="74">
        <v>1</v>
      </c>
      <c r="E15" s="74">
        <v>0</v>
      </c>
      <c r="F15" s="74">
        <v>4901</v>
      </c>
      <c r="G15" s="74">
        <v>3</v>
      </c>
      <c r="H15" s="74">
        <v>4</v>
      </c>
      <c r="I15" s="74">
        <v>4</v>
      </c>
      <c r="J15" s="74">
        <v>3</v>
      </c>
      <c r="K15" s="74">
        <v>8</v>
      </c>
      <c r="L15" s="74">
        <v>0</v>
      </c>
      <c r="M15" s="74">
        <v>1</v>
      </c>
      <c r="N15" s="75" t="s">
        <v>57</v>
      </c>
      <c r="O15" s="205" t="s">
        <v>68</v>
      </c>
      <c r="P15" s="206"/>
      <c r="Q15" s="79">
        <f>'Nota Pedido'!J14</f>
        <v>780000</v>
      </c>
    </row>
    <row r="16" spans="1:17" ht="30" customHeight="1" x14ac:dyDescent="0.25">
      <c r="A16" s="76"/>
      <c r="B16" s="77"/>
      <c r="C16" s="77"/>
      <c r="D16" s="77"/>
      <c r="E16" s="77"/>
      <c r="F16" s="77"/>
      <c r="G16" s="77"/>
      <c r="H16" s="77" t="s">
        <v>15</v>
      </c>
      <c r="I16" s="77"/>
      <c r="J16" s="77"/>
      <c r="K16" s="77"/>
      <c r="L16" s="77"/>
      <c r="M16" s="77"/>
      <c r="N16" s="78"/>
      <c r="O16" s="186"/>
      <c r="P16" s="187"/>
      <c r="Q16" s="80"/>
    </row>
    <row r="17" spans="1:17" ht="22.5" customHeight="1" x14ac:dyDescent="0.25">
      <c r="A17" s="71"/>
      <c r="B17" s="72"/>
      <c r="C17" s="72"/>
      <c r="D17" s="72"/>
      <c r="E17" s="72"/>
      <c r="F17" s="72"/>
      <c r="G17" s="69"/>
      <c r="H17" s="69"/>
      <c r="I17" s="69"/>
      <c r="J17" s="69"/>
      <c r="K17" s="69"/>
      <c r="L17" s="69"/>
      <c r="M17" s="69"/>
      <c r="N17" s="70"/>
      <c r="O17" s="188"/>
      <c r="P17" s="189"/>
      <c r="Q17" s="81"/>
    </row>
    <row r="18" spans="1:17" ht="22.5" customHeight="1" thickBot="1" x14ac:dyDescent="0.3">
      <c r="A18" s="109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8"/>
      <c r="O18" s="179"/>
      <c r="P18" s="180"/>
      <c r="Q18" s="82"/>
    </row>
    <row r="19" spans="1:17" ht="15.75" customHeight="1" x14ac:dyDescent="0.25">
      <c r="A19" s="171" t="str">
        <f xml:space="preserve"> "TOTAL DE PESOS: " &amp; 'Nota Pedido'!C14</f>
        <v xml:space="preserve">TOTAL DE PESOS: SETECIENTOS OCHENTA MIL CON 00/100 CENTAVOS.- 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3"/>
      <c r="Q19" s="177">
        <f>SUM(Q15:Q18)</f>
        <v>780000</v>
      </c>
    </row>
    <row r="20" spans="1:17" ht="15.75" thickBot="1" x14ac:dyDescent="0.3">
      <c r="A20" s="174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Q20" s="178"/>
    </row>
    <row r="21" spans="1:17" ht="15.75" thickBot="1" x14ac:dyDescent="0.3">
      <c r="A21" s="181" t="s">
        <v>58</v>
      </c>
      <c r="B21" s="182"/>
      <c r="C21" s="182"/>
      <c r="D21" s="182"/>
      <c r="E21" s="182"/>
      <c r="F21" s="183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5"/>
    </row>
    <row r="22" spans="1:17" ht="19.5" customHeight="1" thickBot="1" x14ac:dyDescent="0.3">
      <c r="A22" s="165" t="str">
        <f xml:space="preserve"> 'Nota Pedido'!D8</f>
        <v xml:space="preserve">Adquisición de desmalezadoras para el Ministerio de Cultura, Turismo y Deporte.- 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7"/>
    </row>
    <row r="23" spans="1:17" ht="24.75" customHeight="1" thickBot="1" x14ac:dyDescent="0.3">
      <c r="A23" s="168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70"/>
    </row>
  </sheetData>
  <mergeCells count="27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6:P16"/>
    <mergeCell ref="O17:P17"/>
    <mergeCell ref="A10:Q10"/>
    <mergeCell ref="A12:Q12"/>
    <mergeCell ref="A13:N13"/>
    <mergeCell ref="O13:P14"/>
    <mergeCell ref="Q13:Q14"/>
    <mergeCell ref="O15:P15"/>
    <mergeCell ref="A22:Q23"/>
    <mergeCell ref="A19:P20"/>
    <mergeCell ref="Q19:Q20"/>
    <mergeCell ref="O18:P18"/>
    <mergeCell ref="A21:F21"/>
    <mergeCell ref="G21:Q2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 Pedido</vt:lpstr>
      <vt:lpstr>APG</vt:lpstr>
      <vt:lpstr>APG!Área_de_impresión</vt:lpstr>
      <vt:lpstr>'Necesidades Trimestrales'!Área_de_impresión</vt:lpstr>
      <vt:lpstr>'Nota Pedido'!Área_de_impresión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Luffi</cp:lastModifiedBy>
  <cp:lastPrinted>2022-04-27T13:00:40Z</cp:lastPrinted>
  <dcterms:created xsi:type="dcterms:W3CDTF">2021-02-24T16:51:27Z</dcterms:created>
  <dcterms:modified xsi:type="dcterms:W3CDTF">2022-05-24T13:32:35Z</dcterms:modified>
</cp:coreProperties>
</file>