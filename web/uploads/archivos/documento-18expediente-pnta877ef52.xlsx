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cesidades Trimestrales" sheetId="1" r:id="rId4"/>
    <sheet name="Nota Pedido DA#MP" sheetId="2" r:id="rId5"/>
    <sheet name="APG DA#MP" sheetId="3" r:id="rId6"/>
  </sheets>
  <definedNames>
    <definedName name="_xlnm.Print_Area" localSheetId="1">'Nota Pedido DA#MP'!$A$1:$G$64</definedName>
    <definedName name="_xlnm.Print_Area" localSheetId="2">'APG DA#MP'!$A$1:$Q$24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<sst xmlns="http://schemas.openxmlformats.org/spreadsheetml/2006/main" uniqueCount="171">
  <si>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Pedido de Necesidades Trimestrales</t>
  </si>
  <si>
    <t>JURISDICCION:</t>
  </si>
  <si>
    <t>30 - MINISTERIO DE ECONOMIA</t>
  </si>
  <si>
    <t xml:space="preserve">SAF N°: </t>
  </si>
  <si>
    <t>100 - SECRETARIA DE COMPRAS Y ABASTECIMIENTO</t>
  </si>
  <si>
    <t>EJERCICIO:</t>
  </si>
  <si>
    <t>TRIMESTRE:</t>
  </si>
  <si>
    <t>4°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</si>
  <si>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</si>
  <si>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</si>
  <si>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</si>
  <si>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</si>
  <si>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</si>
  <si>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</si>
  <si>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</si>
  <si>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</si>
  <si>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</si>
  <si>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</si>
  <si>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2.1.1-6546.34</t>
  </si>
  <si>
    <t>ALIMENTOS</t>
  </si>
  <si>
    <t>2.1.1</t>
  </si>
  <si>
    <t>VERDURAS Y HORTALIZAS; VARIEDAD: ACELGA, ESTADO: EN HOJA, PRESENTACION: ATADO, PESO: SIN VALOR</t>
  </si>
  <si>
    <t>ATADO</t>
  </si>
  <si>
    <t>2.1.1-6539.84</t>
  </si>
  <si>
    <t>FRUTAS; VARIEDAD: LIMON, ESTADO: NATURAL, PRESENTACION: CAJON X 1 KG, PESO: 1 KG</t>
  </si>
  <si>
    <t>KG</t>
  </si>
  <si>
    <t>2.1.1-6546.154</t>
  </si>
  <si>
    <t>VERDURAS Y HORTALIZAS; ESTADO: NATURAL, PESO: SIN VALOR, VARIEDAD: AJO, PRESENTACION: UNIDAD</t>
  </si>
  <si>
    <t>UNIDAD</t>
  </si>
  <si>
    <t>2.1.1-6546.330</t>
  </si>
  <si>
    <t>VERDURAS Y HORTALIZAS; VARIEDAD: ZAPALLO ANCO, ESTADO: NATURAL, PRESENTACION: UNIDAD, PESO: 1 KG</t>
  </si>
  <si>
    <t>2.1.1-2610.1</t>
  </si>
  <si>
    <t>TAPAS P/EMPANADAS; TIPO: P/HORNO, PRESENTACION: BOLSA X 12</t>
  </si>
  <si>
    <t>PAQUETE</t>
  </si>
  <si>
    <t>2.1.1-456.91</t>
  </si>
  <si>
    <t>YOGHURT; TIPO: DESCREMADO, AGREGADO: SIN, CONSISTENCIA: FIRME, SABOR: VAINILLA-FRUTILLA, PRESENTACION: POTE PLASTICO X 190 ML</t>
  </si>
  <si>
    <t>VASO</t>
  </si>
  <si>
    <t>2.1.1-456.90</t>
  </si>
  <si>
    <t>YOGHURT; TIPO: ENTERO, AGREGADO: SIN, CONSISTENCIA: FIRME, SABOR: VAINILLA-FRUTILLA, PRESENTACION: POTE PLASTICO X 190 ML</t>
  </si>
  <si>
    <t>2.1.1-6546.133</t>
  </si>
  <si>
    <t>VERDURAS Y HORTALIZAS; VARIEDAD: PEREJIL, ESTADO: NATURAL, PRESENTACION: ATADO, PESO: 1 KG</t>
  </si>
  <si>
    <t>2.1.1-707.38</t>
  </si>
  <si>
    <t>PASTAS FRESCAS; VARIEDAD: RAVIOL, RELLENO: VERDURA Y POLLO, PRESENTACION: ENVASE X 500 GR</t>
  </si>
  <si>
    <t>2.1.1-6546.230</t>
  </si>
  <si>
    <t>VERDURAS Y HORTALIZAS; VARIEDAD: APIO, ESTADO: NATURAL, PRESENTACION: ATADO, PESO: 800 GR</t>
  </si>
  <si>
    <t>2.1.1-2429.4</t>
  </si>
  <si>
    <t>TAPAS P/TARTAS; TIPO: REDONDA, MASA: HOJALDRE, PRESENTACION: ENVASE X 400 GR</t>
  </si>
  <si>
    <t>2.1.1-669.64</t>
  </si>
  <si>
    <t>PANES; TIPO: FRANCES, PRESENTACION: ENVASE X 1 KG</t>
  </si>
  <si>
    <t>2.1.1-669.25</t>
  </si>
  <si>
    <t>PANES; TIPO: RALLADO, PRESENTACION: BOLSA DE 1000 GR</t>
  </si>
  <si>
    <t>2.1.1-6546.403</t>
  </si>
  <si>
    <t>VERDURAS Y HORTALIZAS; VARIEDAD: ZANAHORIA, ESTADO: NATURAL, PRESENTACION: BOLSA, PESO: NO CORRESPONDE, ELEM. TRANSPORTE: SIN, MATERIAL ELEM. TRANSPORTE: SIN, LIBRE DE GLUTEN: SI, ORGANICO: NO</t>
  </si>
  <si>
    <t>BOLSA</t>
  </si>
  <si>
    <t>2.1.1-483.33</t>
  </si>
  <si>
    <t>HUEVO DE GALLINA; TAMAÑO: MEDIANOS, COLOR: BLANCOS, PRESENTACION: 30</t>
  </si>
  <si>
    <t>CARTON</t>
  </si>
  <si>
    <t>2.1.1-541.137</t>
  </si>
  <si>
    <t>CARNES; ESPECIE: PORCINA, CORTE: CARRE CONGELADO, TIPO: PORCINA</t>
  </si>
  <si>
    <t>2.1.1-541.164</t>
  </si>
  <si>
    <t>CARNES; TIPO: PORCINA, CORTE: COSTELETA</t>
  </si>
  <si>
    <t>2.1.1-542.236</t>
  </si>
  <si>
    <t>QUESOS; TIPO: CREMOSO, PRESENTACION: AL PESO, ELEM. TRANSPORTE: SIN, MATERIAL ELEM. TRANSPORTE: SIN, MATERIAL ENVASE: SIN, CERTIFICADO FORESTAL (GFS): SIN, LIBRE DE GLUTEN: A DEFINIR</t>
  </si>
  <si>
    <t>KILOGRAMO</t>
  </si>
  <si>
    <t>2.1.1-4975.2</t>
  </si>
  <si>
    <t>RICOTA; ENVASE: PAQUETE, PESO: 1 KG, SABOR: SIN</t>
  </si>
  <si>
    <t>2.1.1-541.20</t>
  </si>
  <si>
    <t>CARNES; CORTE: TAPA DE NALGA, ESPECIE: VACUNA, TIPO: VACUNA</t>
  </si>
  <si>
    <t>2.1.1-6546.207</t>
  </si>
  <si>
    <t>VERDURAS Y HORTALIZAS; VARIEDAD: BATATA, ESTADO: NATURAL, PRESENTACION: BOLSA, PESO: 10 KG</t>
  </si>
  <si>
    <t>2.1.1-541.33</t>
  </si>
  <si>
    <t>CARNES; ESPECIE: VACUNA, CORTE: BOLA DE LOMO, TIPO: VACUNA</t>
  </si>
  <si>
    <t>2.1.1-6539.8</t>
  </si>
  <si>
    <t>FRUTAS; VARIEDAD: NARANJA ESPECIAL, ESTADO: NATURAL, PRESENTACION: CAJON, PESO: SIN VALOR</t>
  </si>
  <si>
    <t>CAJON</t>
  </si>
  <si>
    <t>2.1.1-6546.177</t>
  </si>
  <si>
    <t>VERDURAS Y HORTALIZAS; VARIEDAD: BERENJENA, ESTADO: NATURAL, PRESENTACION: GRANEL, PESO: SIN VALOR</t>
  </si>
  <si>
    <t>2.1.1-542.225</t>
  </si>
  <si>
    <t>QUESOS; TIPO: TYBO, PRESENTACION: ENVASE X 1 KG, ELEM. TRANSPORTE: SIN, MATERIAL ELEM. TRANSPORTE: SIN, MATERIAL ENVASE: POLIESTIRENO, CERTIFICADO FORESTAL (GFS): SIN, LIBRE DE GLUTEN: SI</t>
  </si>
  <si>
    <t>2.1.1-969.96</t>
  </si>
  <si>
    <t>FIAMBRES; TIPO: JAMON COCIDO, PRESENTACION: AL VACIO</t>
  </si>
  <si>
    <t>2.1.1-541.49</t>
  </si>
  <si>
    <t>CARNES; ESPECIE: VACUNA, CORTE: NALGA, TIPO: VACUNA</t>
  </si>
  <si>
    <t>2.1.1-6546.18</t>
  </si>
  <si>
    <t>VERDURAS Y HORTALIZAS; VARIEDAD: TOMATE REDONDO, ESTADO: NATURAL, PRESENTACION: CAJON, PESO: 10 KG</t>
  </si>
  <si>
    <t>2.1.1-6546.162</t>
  </si>
  <si>
    <t>VERDURAS Y HORTALIZAS; VARIEDAD: ZAPALLO CRIOLLO, ESTADO: NATURAL, PRESENTACION: UNIDAD, PESO: SIN VALOR</t>
  </si>
  <si>
    <t>2.1.1-6546.374</t>
  </si>
  <si>
    <t>VERDURAS Y HORTALIZAS; VARIEDAD: LECHUGA ARREPOLLADA, ESTADO: NATURAL, PRESENTACION: A GRANEL, PESO: 300 GR CADA PLANTA, ELEM. TRANSPORTE: SIN, MATERIAL ELEM. TRANSPORTE: SIN, LIBRE DE GLUTEN: SI</t>
  </si>
  <si>
    <t>2.1.1-541.29</t>
  </si>
  <si>
    <t>CARNES; CORTE: PECETO, ESPECIE: VACUNA, TIPO: VACUNA</t>
  </si>
  <si>
    <t>2.1.1-6546.95</t>
  </si>
  <si>
    <t>VERDURAS Y HORTALIZAS; VARIEDAD: MORRON VERDE, ESTADO: NATURAL, PRESENTACION: GRANEL, PESO: SIN VALOR</t>
  </si>
  <si>
    <t>2.1.1-6546.335</t>
  </si>
  <si>
    <t>VERDURAS Y HORTALIZAS; VARIEDAD: PAPA BLANCA, ESTADO: NATURAL, PRESENTACION: BOLSA, PESO: 25 KG</t>
  </si>
  <si>
    <t>2.1.1-6546.298</t>
  </si>
  <si>
    <t>VERDURAS Y HORTALIZAS; VARIEDAD: ZUCHINI, ESTADO: NATURAL, PRESENTACION: CAJON, PESO: 18 KG</t>
  </si>
  <si>
    <t>2.1.1-6546.365</t>
  </si>
  <si>
    <t>VERDURAS Y HORTALIZAS; VARIEDAD: MORRON ROJO, ESTADO: NATURAL, PRESENTACION: ENVASE X 10 KG, PESO: 10 KG, ELEM. TRANSPORTE: CAJON, MATERIAL ELEM. TRANSPORTE: MADERA, LIBRE DE GLUTEN: SI</t>
  </si>
  <si>
    <t>2.1.1-6546.151</t>
  </si>
  <si>
    <t>VERDURAS Y HORTALIZAS; VARIEDAD: ZAPALLITO REDONDO, ESTADO: NATURAL, PRESENTACION: CAJON, PESO: SIN VALOR</t>
  </si>
  <si>
    <t>2.1.1-6539.32</t>
  </si>
  <si>
    <t>FRUTAS; VARIEDAD: PERA AMARILLA, ESTADO: NATURAL, PRESENTACION: CAJON, PESO: SIN VALOR</t>
  </si>
  <si>
    <t>2.1.1-6546.377</t>
  </si>
  <si>
    <t>VERDURAS Y HORTALIZAS; VARIEDAD: CEBOLLA DE VERDEO, ESTADO: NATURAL, PRESENTACION: CAJON, PESO: 10 KG, ELEM. TRANSPORTE: CAJON, MATERIAL ELEM. TRANSPORTE: CARTON, LIBRE DE GLUTEN: NO</t>
  </si>
  <si>
    <t>2.1.1-6546.236</t>
  </si>
  <si>
    <t>VERDURAS Y HORTALIZAS; VARIEDAD: CEBOLLA, ESTADO: NATURAL, PRESENTACION: BOLSA, PESO: 20 KG</t>
  </si>
  <si>
    <t>2.1.1-6539.20</t>
  </si>
  <si>
    <t>FRUTAS; ESTADO: NATURAL, VARIEDAD: MANZANA RED DELICIOSA, PRESENTACION: CAJON, PESO: SIN VALOR</t>
  </si>
  <si>
    <t>2.1.1-542.240</t>
  </si>
  <si>
    <t>QUESOS; TIPO: SARDO, PRESENTACION: HORMA, ELEM. TRANSPORTE: SIN, MATERIAL ELEM. TRANSPORTE: SIN, MATERIAL ENVASE: SIN, CERTIFICADO FORESTAL (GFS): SIN, LIBRE DE GLUTEN: A DEFINIR</t>
  </si>
  <si>
    <t>2.1.1-6539.30</t>
  </si>
  <si>
    <t>FRUTAS; VARIEDAD: BANANA, PRESENTACION: CAJON, ESTADO: NATURAL, PESO: SIN VALOR</t>
  </si>
  <si>
    <t>CUATRO MILLONES CIENTO CUARENTA MIL NOVECIENTOS TREINTA CON 00/100 PESOS</t>
  </si>
  <si>
    <t>Total</t>
  </si>
  <si>
    <t>Plazos y lugares de entrega:</t>
  </si>
  <si>
    <r>
      <t xml:space="preserve">a) LUGAR DE ENTREGA:   - De 08 a 12 horas. 
</t>
    </r>
    <r>
      <rPr>
        <rFont val="Calibri"/>
        <b val="true"/>
        <i val="false"/>
        <strike val="false"/>
        <color rgb="FF000000"/>
        <sz val="11"/>
        <u val="none"/>
      </rPr>
      <t xml:space="preserve">b)</t>
    </r>
    <r>
      <rPr>
        <rFont val="Calibri"/>
        <b val="false"/>
        <i val="false"/>
        <strike val="false"/>
        <color rgb="FF000000"/>
        <sz val="11"/>
        <u val="none"/>
      </rPr>
      <t xml:space="preserve"> FORMA DE LA ENTREGA: Libre de flete, acarreo y embalaje, como así también, de todo riesgo de pérdida o destrucción total o parcial, por causas ajenas a la Institución. 
</t>
    </r>
    <r>
      <rPr>
        <rFont val="Calibri"/>
        <b val="true"/>
        <i val="false"/>
        <strike val="false"/>
        <color rgb="FF000000"/>
        <sz val="11"/>
        <u val="none"/>
      </rPr>
      <t xml:space="preserve">c)</t>
    </r>
    <r>
      <rPr>
        <rFont val="Calibri"/>
        <b val="false"/>
        <i val="false"/>
        <strike val="false"/>
        <color rgb="FF000000"/>
        <sz val="11"/>
        <u val="none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</si>
  <si>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</si>
  <si>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</si>
  <si>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</si>
  <si>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</si>
  <si>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</si>
  <si>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</si>
  <si>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</si>
  <si>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</si>
  <si>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>542 / 2022</t>
  </si>
  <si>
    <t xml:space="preserve">JURISDICCIÓN: </t>
  </si>
  <si>
    <t>SAF:</t>
  </si>
  <si>
    <t>UNIDAD EJECUTORA:</t>
  </si>
  <si>
    <t>SAF 28 - MATERNIDAD PROVINCIAL 25 DE MAYO</t>
  </si>
  <si>
    <t xml:space="preserve">DEPENDENCIA SOLICITANTE: </t>
  </si>
  <si>
    <t>PERIODO UTILIZACIÓN:</t>
  </si>
  <si>
    <t>4° TRIMESTRE - 2022</t>
  </si>
  <si>
    <t>OBJETO:</t>
  </si>
  <si>
    <t>211 - ALIMENTOS PARA PERSONAS (Adq. Alimentos Perecederos p/Servicio de Nutrición)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</si>
  <si>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</si>
  <si>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</si>
  <si>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</si>
  <si>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</si>
  <si>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</si>
  <si>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</si>
  <si>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</si>
  <si>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</si>
  <si>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 xml:space="preserve">Costo total estimado: </t>
  </si>
  <si>
    <t>DETALLE TECNICO</t>
  </si>
  <si>
    <t>AUTORIZACION PARA GASTAR</t>
  </si>
  <si>
    <t>JURISDICCIÓN:</t>
  </si>
  <si>
    <r>
      <rPr>
        <rFont val="Arial"/>
        <b val="true"/>
        <i val="false"/>
        <strike val="false"/>
        <color rgb="FF000000"/>
        <sz val="10"/>
        <u val="single"/>
      </rPr>
      <t xml:space="preserve">AUTORIZACIÓN</t>
    </r>
    <r>
      <rPr>
        <rFont val="Arial"/>
        <b val="true"/>
        <i val="false"/>
        <strike val="false"/>
        <color rgb="FF000000"/>
        <sz val="10"/>
        <u val="none"/>
      </rPr>
      <t xml:space="preserve">:</t>
    </r>
  </si>
  <si>
    <t>Señor Jefe de Servicio Administrativo Financiero:</t>
  </si>
  <si>
    <t xml:space="preserve"> Autorizo la realización de los  trámites correspondientes, a fin de proveer a  este Organismo los bienes y/o servicios que se detallan en Nota  de Pedido N° 542 / 2022,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</si>
  <si>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</si>
  <si>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</si>
  <si>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</si>
  <si>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</si>
  <si>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</si>
  <si>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</si>
  <si>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</si>
  <si>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</si>
  <si>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</si>
  <si>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</si>
  <si>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</si>
  <si>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</si>
  <si>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</si>
  <si>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</si>
  <si>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</si>
  <si>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</si>
  <si>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</si>
  <si>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ALIMENTOS PARA PERSONAS</t>
  </si>
  <si>
    <t xml:space="preserve">TOTAL DE PESOS: </t>
  </si>
  <si>
    <t>JUSTIFICACIÓN:</t>
  </si>
  <si>
    <t>OBSERVACIONES:</t>
  </si>
</sst>
</file>

<file path=xl/styles.xml><?xml version="1.0" encoding="utf-8"?>
<styleSheet xmlns="http://schemas.openxmlformats.org/spreadsheetml/2006/main" xml:space="preserve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C0C0C0"/>
      <name val="Times New Roman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singl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1"/>
      <color rgb="FFFF0000"/>
      <name val="Calibri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4"/>
      <color rgb="FF000000"/>
      <name val="Times New Roman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3D3D3D"/>
      </right>
    </border>
    <border>
      <left style="medium">
        <color rgb="FF3D3D3D"/>
      </left>
      <bottom style="medium">
        <color rgb="FF3D3D3D"/>
      </bottom>
    </border>
    <border>
      <bottom style="medium">
        <color rgb="FF3D3D3D"/>
      </bottom>
    </border>
    <border>
      <right style="medium">
        <color rgb="FF3D3D3D"/>
      </right>
      <bottom style="medium">
        <color rgb="FF3D3D3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medium">
        <color rgb="FF3D3D3D"/>
      </right>
      <bottom style="medium">
        <color rgb="FF3D3D3D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</border>
    <border>
      <left style="medium">
        <color rgb="FF3D3D3D"/>
      </left>
      <top style="medium">
        <color rgb="FF000000"/>
      </top>
      <bottom style="medium">
        <color rgb="FF000000"/>
      </bottom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3D3D3D"/>
      </right>
      <top style="medium">
        <color rgb="FF3D3D3D"/>
      </top>
    </border>
    <border>
      <left style="medium">
        <color rgb="FF3D3D3D"/>
      </left>
    </border>
    <border>
      <left style="medium">
        <color rgb="FF000000"/>
      </left>
      <right style="medium">
        <color rgb="FF3D3D3D"/>
      </right>
      <top style="medium">
        <color rgb="FF000000"/>
      </top>
    </border>
    <border>
      <left style="medium">
        <color rgb="FF3D3D3D"/>
      </left>
      <top style="medium">
        <color rgb="FF000000"/>
      </top>
    </border>
    <border>
      <left style="medium">
        <color rgb="FF3D3D3D"/>
      </left>
      <top style="medium">
        <color rgb="FF3D3D3D"/>
      </top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</border>
    <border>
      <left style="medium">
        <color rgb="FF3D3D3D"/>
      </left>
      <top style="thin">
        <color rgb="FF000000"/>
      </top>
      <bottom style="medium">
        <color rgb="FF3D3D3D"/>
      </bottom>
    </border>
    <border>
      <right style="medium">
        <color rgb="FF3D3D3D"/>
      </right>
      <top style="thin">
        <color rgb="FF000000"/>
      </top>
      <bottom style="medium">
        <color rgb="FF3D3D3D"/>
      </bottom>
    </border>
    <border>
      <top style="thin">
        <color rgb="FF000000"/>
      </top>
      <bottom style="medium">
        <color rgb="FF3D3D3D"/>
      </bottom>
    </border>
    <border>
      <left style="medium">
        <color rgb="FF3D3D3D"/>
      </left>
      <top style="medium">
        <color rgb="FF3D3D3D"/>
      </top>
      <bottom style="medium">
        <color rgb="FF3D3D3D"/>
      </bottom>
    </border>
    <border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000000"/>
      </top>
    </border>
    <border>
      <left style="medium">
        <color rgb="FF000000"/>
      </left>
      <top style="medium">
        <color rgb="FF3D3D3D"/>
      </top>
      <bottom style="medium">
        <color rgb="FF3D3D3D"/>
      </bottom>
    </border>
    <border>
      <left style="medium">
        <color rgb="FF3D3D3D"/>
      </left>
      <right style="medium">
        <color rgb="FF3D3D3D"/>
      </right>
    </border>
    <border>
      <left style="medium">
        <color rgb="FF3D3D3D"/>
      </left>
      <right style="medium">
        <color rgb="FF3D3D3D"/>
      </right>
      <top style="medium">
        <color rgb="FF3D3D3D"/>
      </top>
    </border>
  </borders>
  <cellStyleXfs count="1">
    <xf numFmtId="0" fontId="0" fillId="0" borderId="0"/>
  </cellStyleXfs>
  <cellXfs count="17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bottom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4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6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165" fillId="0" borderId="1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7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164" fillId="0" borderId="13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4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9" numFmtId="0" fillId="0" borderId="18" applyFont="1" applyNumberFormat="0" applyFill="0" applyBorder="1" applyAlignment="1" applyProtection="true">
      <alignment horizontal="right" vertical="center" textRotation="0" wrapText="false" shrinkToFit="false"/>
      <protection hidden="false"/>
    </xf>
    <xf xfId="0" fontId="10" numFmtId="0" fillId="0" borderId="19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1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1" numFmtId="0" fillId="0" borderId="20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2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2" numFmtId="0" fillId="0" borderId="2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4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6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2" numFmtId="0" fillId="0" borderId="2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7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9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3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7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3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2" numFmtId="0" fillId="0" borderId="3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3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35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2" numFmtId="166" fillId="0" borderId="3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0" borderId="37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2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4" numFmtId="0" fillId="0" borderId="38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4" numFmtId="0" fillId="0" borderId="3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34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3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1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6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2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1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7" numFmtId="0" fillId="0" borderId="1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2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1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4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2" numFmtId="0" fillId="0" borderId="2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0" borderId="4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47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168" fillId="0" borderId="4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3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3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0" borderId="4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5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6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0" borderId="5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0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4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6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7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0" numFmtId="0" fillId="0" borderId="57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0" numFmtId="0" fillId="0" borderId="0" applyFont="1" applyNumberFormat="0" applyFill="0" applyBorder="0" applyAlignment="1" applyProtection="true">
      <alignment horizontal="left" vertical="center" textRotation="0" wrapText="true" shrinkToFit="false" indent="1"/>
      <protection hidden="false"/>
    </xf>
    <xf xfId="0" fontId="10" numFmtId="0" fillId="0" borderId="3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2" numFmtId="0" fillId="0" borderId="5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0" numFmtId="0" fillId="0" borderId="6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0" numFmtId="0" fillId="0" borderId="6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0" numFmtId="0" fillId="0" borderId="6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18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1" fillId="0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1" numFmtId="0" fillId="0" borderId="5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53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" numFmtId="0" fillId="0" borderId="6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6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69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36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3" numFmtId="0" fillId="0" borderId="7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0" numFmtId="0" fillId="0" borderId="7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7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4"/>
  <sheetViews>
    <sheetView tabSelected="1" workbookViewId="0" showGridLines="true" showRowColHeaders="1">
      <selection activeCell="I54" sqref="I54"/>
    </sheetView>
  </sheetViews>
  <sheetFormatPr customHeight="true" defaultRowHeight="12.75" defaultColWidth="11" outlineLevelRow="0" outlineLevelCol="0"/>
  <cols>
    <col min="1" max="1" width="4.5703125" customWidth="true" style="1"/>
    <col min="2" max="2" width="15.28515625" customWidth="true" style="1"/>
    <col min="3" max="3" width="31.28515625" customWidth="true" style="1"/>
    <col min="4" max="4" width="8.42578125" customWidth="true" style="1"/>
    <col min="5" max="5" width="69" customWidth="true" style="1"/>
    <col min="6" max="6" width="11.85546875" customWidth="true" style="1"/>
    <col min="7" max="7" width="9.140625" customWidth="true" style="1"/>
    <col min="8" max="8" width="13.85546875" customWidth="true" style="1"/>
    <col min="9" max="9" width="14.5703125" customWidth="true" style="1"/>
    <col min="10" max="10" width="31.7109375" customWidth="true" style="1"/>
  </cols>
  <sheetData>
    <row r="1" spans="1:10" customHeight="1" ht="13.5"/>
    <row r="2" spans="1:10" customHeight="1" ht="24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</row>
    <row r="4" spans="1:10" customHeight="1" ht="18">
      <c r="A4" s="102" t="s">
        <v>1</v>
      </c>
      <c r="B4" s="103"/>
      <c r="C4" s="99" t="s">
        <v>2</v>
      </c>
      <c r="D4" s="100"/>
      <c r="E4" s="100"/>
      <c r="F4" s="100"/>
      <c r="G4" s="100"/>
      <c r="H4" s="100"/>
      <c r="I4" s="100"/>
      <c r="J4" s="101"/>
    </row>
    <row r="5" spans="1:10" customHeight="1" ht="18">
      <c r="A5" s="104" t="s">
        <v>3</v>
      </c>
      <c r="B5" s="105"/>
      <c r="C5" s="99" t="s">
        <v>4</v>
      </c>
      <c r="D5" s="100"/>
      <c r="E5" s="100"/>
      <c r="F5" s="100"/>
      <c r="G5" s="100"/>
      <c r="H5" s="100"/>
      <c r="I5" s="100"/>
      <c r="J5" s="101"/>
    </row>
    <row r="6" spans="1:10" customHeight="1" ht="16.5">
      <c r="A6" s="104" t="s">
        <v>5</v>
      </c>
      <c r="B6" s="105"/>
      <c r="C6" s="99">
        <v>2022</v>
      </c>
      <c r="D6" s="100"/>
      <c r="E6" s="100"/>
      <c r="F6" s="100"/>
      <c r="G6" s="100"/>
      <c r="H6" s="100"/>
      <c r="I6" s="100"/>
      <c r="J6" s="101"/>
    </row>
    <row r="7" spans="1:10" customHeight="1" ht="16.5">
      <c r="A7" s="106" t="s">
        <v>6</v>
      </c>
      <c r="B7" s="107"/>
      <c r="C7" s="99" t="s">
        <v>7</v>
      </c>
      <c r="D7" s="100"/>
      <c r="E7" s="100"/>
      <c r="F7" s="100"/>
      <c r="G7" s="100"/>
      <c r="H7" s="100"/>
      <c r="I7" s="100"/>
      <c r="J7" s="101"/>
    </row>
    <row r="8" spans="1:10" customHeight="1" ht="13.5">
      <c r="A8" s="5"/>
      <c r="B8" s="3"/>
      <c r="C8" s="4"/>
      <c r="D8" s="3"/>
      <c r="E8" s="3"/>
      <c r="F8" s="3"/>
      <c r="G8" s="4"/>
      <c r="H8" s="3"/>
      <c r="I8" s="5"/>
      <c r="J8" s="5"/>
    </row>
    <row r="9" spans="1:10" customHeight="1" ht="38.25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14" t="s">
        <v>13</v>
      </c>
      <c r="G9" s="19" t="s">
        <v>14</v>
      </c>
      <c r="H9" s="20" t="s">
        <v>15</v>
      </c>
      <c r="I9" s="21" t="s">
        <v>16</v>
      </c>
      <c r="J9" s="21" t="s">
        <v>17</v>
      </c>
    </row>
    <row r="10" spans="1:10" customHeight="1" ht="20.25" s="22" customFormat="1">
      <c r="A10" s="79">
        <v>1</v>
      </c>
      <c r="B10" s="80" t="s">
        <v>18</v>
      </c>
      <c r="C10" s="80" t="s">
        <v>19</v>
      </c>
      <c r="D10" s="79" t="s">
        <v>20</v>
      </c>
      <c r="E10" s="80" t="s">
        <v>21</v>
      </c>
      <c r="F10" s="81" t="s">
        <v>22</v>
      </c>
      <c r="G10" s="81">
        <v>699</v>
      </c>
      <c r="H10" s="82">
        <v>80.0</v>
      </c>
      <c r="I10" s="82">
        <v>55920.0</v>
      </c>
      <c r="J10" s="80"/>
    </row>
    <row r="11" spans="1:10" customHeight="1" ht="20.25">
      <c r="A11" s="79">
        <v>2</v>
      </c>
      <c r="B11" s="80" t="s">
        <v>23</v>
      </c>
      <c r="C11" s="80" t="s">
        <v>19</v>
      </c>
      <c r="D11" s="79" t="s">
        <v>20</v>
      </c>
      <c r="E11" s="80" t="s">
        <v>24</v>
      </c>
      <c r="F11" s="81" t="s">
        <v>25</v>
      </c>
      <c r="G11" s="81">
        <v>50</v>
      </c>
      <c r="H11" s="82">
        <v>80.0</v>
      </c>
      <c r="I11" s="82">
        <v>4000.0</v>
      </c>
      <c r="J11" s="80"/>
    </row>
    <row r="12" spans="1:10" customHeight="1" ht="20.25">
      <c r="A12" s="79">
        <v>3</v>
      </c>
      <c r="B12" s="80" t="s">
        <v>26</v>
      </c>
      <c r="C12" s="80" t="s">
        <v>19</v>
      </c>
      <c r="D12" s="79" t="s">
        <v>20</v>
      </c>
      <c r="E12" s="80" t="s">
        <v>27</v>
      </c>
      <c r="F12" s="81" t="s">
        <v>28</v>
      </c>
      <c r="G12" s="81">
        <v>80</v>
      </c>
      <c r="H12" s="82">
        <v>88.0</v>
      </c>
      <c r="I12" s="82">
        <v>7040.0</v>
      </c>
      <c r="J12" s="80"/>
    </row>
    <row r="13" spans="1:10" customHeight="1" ht="20.25">
      <c r="A13" s="79">
        <v>4</v>
      </c>
      <c r="B13" s="80" t="s">
        <v>29</v>
      </c>
      <c r="C13" s="80" t="s">
        <v>19</v>
      </c>
      <c r="D13" s="79" t="s">
        <v>20</v>
      </c>
      <c r="E13" s="80" t="s">
        <v>30</v>
      </c>
      <c r="F13" s="81" t="s">
        <v>25</v>
      </c>
      <c r="G13" s="81">
        <v>800</v>
      </c>
      <c r="H13" s="82">
        <v>100.0</v>
      </c>
      <c r="I13" s="82">
        <v>80000.0</v>
      </c>
      <c r="J13" s="80"/>
    </row>
    <row r="14" spans="1:10" customHeight="1" ht="20.25">
      <c r="A14" s="79">
        <v>5</v>
      </c>
      <c r="B14" s="80" t="s">
        <v>31</v>
      </c>
      <c r="C14" s="80" t="s">
        <v>19</v>
      </c>
      <c r="D14" s="79" t="s">
        <v>20</v>
      </c>
      <c r="E14" s="80" t="s">
        <v>32</v>
      </c>
      <c r="F14" s="81" t="s">
        <v>33</v>
      </c>
      <c r="G14" s="81">
        <v>200</v>
      </c>
      <c r="H14" s="82">
        <v>100.0</v>
      </c>
      <c r="I14" s="82">
        <v>20000.0</v>
      </c>
      <c r="J14" s="80"/>
    </row>
    <row r="15" spans="1:10" customHeight="1" ht="20.25">
      <c r="A15" s="79">
        <v>6</v>
      </c>
      <c r="B15" s="80" t="s">
        <v>34</v>
      </c>
      <c r="C15" s="80" t="s">
        <v>19</v>
      </c>
      <c r="D15" s="79" t="s">
        <v>20</v>
      </c>
      <c r="E15" s="80" t="s">
        <v>35</v>
      </c>
      <c r="F15" s="81" t="s">
        <v>36</v>
      </c>
      <c r="G15" s="81">
        <v>100</v>
      </c>
      <c r="H15" s="82">
        <v>120.0</v>
      </c>
      <c r="I15" s="82">
        <v>12000.0</v>
      </c>
      <c r="J15" s="80"/>
    </row>
    <row r="16" spans="1:10" customHeight="1" ht="20.25">
      <c r="A16" s="79">
        <v>7</v>
      </c>
      <c r="B16" s="80" t="s">
        <v>37</v>
      </c>
      <c r="C16" s="80" t="s">
        <v>19</v>
      </c>
      <c r="D16" s="79" t="s">
        <v>20</v>
      </c>
      <c r="E16" s="80" t="s">
        <v>38</v>
      </c>
      <c r="F16" s="81" t="s">
        <v>36</v>
      </c>
      <c r="G16" s="81">
        <v>100</v>
      </c>
      <c r="H16" s="82">
        <v>120.0</v>
      </c>
      <c r="I16" s="82">
        <v>12000.0</v>
      </c>
      <c r="J16" s="80"/>
    </row>
    <row r="17" spans="1:10" customHeight="1" ht="20.25">
      <c r="A17" s="79">
        <v>8</v>
      </c>
      <c r="B17" s="80" t="s">
        <v>39</v>
      </c>
      <c r="C17" s="80" t="s">
        <v>19</v>
      </c>
      <c r="D17" s="79" t="s">
        <v>20</v>
      </c>
      <c r="E17" s="80" t="s">
        <v>40</v>
      </c>
      <c r="F17" s="81" t="s">
        <v>22</v>
      </c>
      <c r="G17" s="81">
        <v>10</v>
      </c>
      <c r="H17" s="82">
        <v>390.0</v>
      </c>
      <c r="I17" s="82">
        <v>3900.0</v>
      </c>
      <c r="J17" s="80"/>
    </row>
    <row r="18" spans="1:10" customHeight="1" ht="20.25">
      <c r="A18" s="79">
        <v>9</v>
      </c>
      <c r="B18" s="80" t="s">
        <v>41</v>
      </c>
      <c r="C18" s="80" t="s">
        <v>19</v>
      </c>
      <c r="D18" s="79" t="s">
        <v>20</v>
      </c>
      <c r="E18" s="80" t="s">
        <v>42</v>
      </c>
      <c r="F18" s="81" t="s">
        <v>33</v>
      </c>
      <c r="G18" s="81">
        <v>10</v>
      </c>
      <c r="H18" s="82">
        <v>396.0</v>
      </c>
      <c r="I18" s="82">
        <v>3960.0</v>
      </c>
      <c r="J18" s="80"/>
    </row>
    <row r="19" spans="1:10" customHeight="1" ht="20.25">
      <c r="A19" s="79">
        <v>10</v>
      </c>
      <c r="B19" s="80" t="s">
        <v>43</v>
      </c>
      <c r="C19" s="80" t="s">
        <v>19</v>
      </c>
      <c r="D19" s="79" t="s">
        <v>20</v>
      </c>
      <c r="E19" s="80" t="s">
        <v>44</v>
      </c>
      <c r="F19" s="81" t="s">
        <v>22</v>
      </c>
      <c r="G19" s="81">
        <v>10</v>
      </c>
      <c r="H19" s="82">
        <v>398.0</v>
      </c>
      <c r="I19" s="82">
        <v>3980.0</v>
      </c>
      <c r="J19" s="80"/>
    </row>
    <row r="20" spans="1:10" customHeight="1" ht="20.25">
      <c r="A20" s="79">
        <v>11</v>
      </c>
      <c r="B20" s="80" t="s">
        <v>45</v>
      </c>
      <c r="C20" s="80" t="s">
        <v>19</v>
      </c>
      <c r="D20" s="79" t="s">
        <v>20</v>
      </c>
      <c r="E20" s="80" t="s">
        <v>46</v>
      </c>
      <c r="F20" s="81" t="s">
        <v>33</v>
      </c>
      <c r="G20" s="81">
        <v>120</v>
      </c>
      <c r="H20" s="82">
        <v>410.0</v>
      </c>
      <c r="I20" s="82">
        <v>49200.0</v>
      </c>
      <c r="J20" s="80"/>
    </row>
    <row r="21" spans="1:10" customHeight="1" ht="20.25">
      <c r="A21" s="79">
        <v>12</v>
      </c>
      <c r="B21" s="80" t="s">
        <v>47</v>
      </c>
      <c r="C21" s="80" t="s">
        <v>19</v>
      </c>
      <c r="D21" s="79" t="s">
        <v>20</v>
      </c>
      <c r="E21" s="80" t="s">
        <v>48</v>
      </c>
      <c r="F21" s="81" t="s">
        <v>25</v>
      </c>
      <c r="G21" s="81">
        <v>600</v>
      </c>
      <c r="H21" s="82">
        <v>420.0</v>
      </c>
      <c r="I21" s="82">
        <v>252000.0</v>
      </c>
      <c r="J21" s="80"/>
    </row>
    <row r="22" spans="1:10" customHeight="1" ht="20.25">
      <c r="A22" s="79">
        <v>13</v>
      </c>
      <c r="B22" s="80" t="s">
        <v>49</v>
      </c>
      <c r="C22" s="80" t="s">
        <v>19</v>
      </c>
      <c r="D22" s="79" t="s">
        <v>20</v>
      </c>
      <c r="E22" s="80" t="s">
        <v>50</v>
      </c>
      <c r="F22" s="81" t="s">
        <v>25</v>
      </c>
      <c r="G22" s="81">
        <v>100</v>
      </c>
      <c r="H22" s="82">
        <v>420.0</v>
      </c>
      <c r="I22" s="82">
        <v>42000.0</v>
      </c>
      <c r="J22" s="80"/>
    </row>
    <row r="23" spans="1:10" customHeight="1" ht="20.25">
      <c r="A23" s="79">
        <v>14</v>
      </c>
      <c r="B23" s="80" t="s">
        <v>51</v>
      </c>
      <c r="C23" s="80" t="s">
        <v>19</v>
      </c>
      <c r="D23" s="79" t="s">
        <v>20</v>
      </c>
      <c r="E23" s="80" t="s">
        <v>52</v>
      </c>
      <c r="F23" s="81" t="s">
        <v>53</v>
      </c>
      <c r="G23" s="81">
        <v>30</v>
      </c>
      <c r="H23" s="82">
        <v>800.0</v>
      </c>
      <c r="I23" s="82">
        <v>24000.0</v>
      </c>
      <c r="J23" s="80"/>
    </row>
    <row r="24" spans="1:10" customHeight="1" ht="20.25">
      <c r="A24" s="79">
        <v>15</v>
      </c>
      <c r="B24" s="80" t="s">
        <v>54</v>
      </c>
      <c r="C24" s="80" t="s">
        <v>19</v>
      </c>
      <c r="D24" s="79" t="s">
        <v>20</v>
      </c>
      <c r="E24" s="80" t="s">
        <v>55</v>
      </c>
      <c r="F24" s="81" t="s">
        <v>56</v>
      </c>
      <c r="G24" s="81">
        <v>150</v>
      </c>
      <c r="H24" s="82">
        <v>920.0</v>
      </c>
      <c r="I24" s="82">
        <v>138000.0</v>
      </c>
      <c r="J24" s="80"/>
    </row>
    <row r="25" spans="1:10" customHeight="1" ht="20.25">
      <c r="A25" s="79">
        <v>16</v>
      </c>
      <c r="B25" s="80" t="s">
        <v>57</v>
      </c>
      <c r="C25" s="80" t="s">
        <v>19</v>
      </c>
      <c r="D25" s="79" t="s">
        <v>20</v>
      </c>
      <c r="E25" s="80" t="s">
        <v>58</v>
      </c>
      <c r="F25" s="81" t="s">
        <v>25</v>
      </c>
      <c r="G25" s="81">
        <v>150</v>
      </c>
      <c r="H25" s="82">
        <v>1070.0</v>
      </c>
      <c r="I25" s="82">
        <v>160500.0</v>
      </c>
      <c r="J25" s="80"/>
    </row>
    <row r="26" spans="1:10" customHeight="1" ht="20.25">
      <c r="A26" s="79">
        <v>17</v>
      </c>
      <c r="B26" s="80" t="s">
        <v>59</v>
      </c>
      <c r="C26" s="80" t="s">
        <v>19</v>
      </c>
      <c r="D26" s="79" t="s">
        <v>20</v>
      </c>
      <c r="E26" s="80" t="s">
        <v>60</v>
      </c>
      <c r="F26" s="81" t="s">
        <v>25</v>
      </c>
      <c r="G26" s="81">
        <v>200</v>
      </c>
      <c r="H26" s="82">
        <v>1070.0</v>
      </c>
      <c r="I26" s="82">
        <v>214000.0</v>
      </c>
      <c r="J26" s="80"/>
    </row>
    <row r="27" spans="1:10" customHeight="1" ht="20.25">
      <c r="A27" s="79">
        <v>18</v>
      </c>
      <c r="B27" s="80" t="s">
        <v>61</v>
      </c>
      <c r="C27" s="80" t="s">
        <v>19</v>
      </c>
      <c r="D27" s="79" t="s">
        <v>20</v>
      </c>
      <c r="E27" s="80" t="s">
        <v>62</v>
      </c>
      <c r="F27" s="81" t="s">
        <v>63</v>
      </c>
      <c r="G27" s="81">
        <v>200</v>
      </c>
      <c r="H27" s="82">
        <v>1170.0</v>
      </c>
      <c r="I27" s="82">
        <v>234000.0</v>
      </c>
      <c r="J27" s="80"/>
    </row>
    <row r="28" spans="1:10" customHeight="1" ht="20.25">
      <c r="A28" s="79">
        <v>19</v>
      </c>
      <c r="B28" s="80" t="s">
        <v>64</v>
      </c>
      <c r="C28" s="80" t="s">
        <v>19</v>
      </c>
      <c r="D28" s="79" t="s">
        <v>20</v>
      </c>
      <c r="E28" s="80" t="s">
        <v>65</v>
      </c>
      <c r="F28" s="81" t="s">
        <v>33</v>
      </c>
      <c r="G28" s="81">
        <v>1</v>
      </c>
      <c r="H28" s="82">
        <v>1500.0</v>
      </c>
      <c r="I28" s="82">
        <v>1500.0</v>
      </c>
      <c r="J28" s="80"/>
    </row>
    <row r="29" spans="1:10" customHeight="1" ht="20.25">
      <c r="A29" s="79">
        <v>20</v>
      </c>
      <c r="B29" s="80" t="s">
        <v>66</v>
      </c>
      <c r="C29" s="80" t="s">
        <v>19</v>
      </c>
      <c r="D29" s="79" t="s">
        <v>20</v>
      </c>
      <c r="E29" s="80" t="s">
        <v>67</v>
      </c>
      <c r="F29" s="81" t="s">
        <v>25</v>
      </c>
      <c r="G29" s="81">
        <v>50</v>
      </c>
      <c r="H29" s="82">
        <v>1520.0</v>
      </c>
      <c r="I29" s="82">
        <v>76000.0</v>
      </c>
      <c r="J29" s="80"/>
    </row>
    <row r="30" spans="1:10" customHeight="1" ht="20.25">
      <c r="A30" s="79">
        <v>21</v>
      </c>
      <c r="B30" s="80" t="s">
        <v>68</v>
      </c>
      <c r="C30" s="80" t="s">
        <v>19</v>
      </c>
      <c r="D30" s="79" t="s">
        <v>20</v>
      </c>
      <c r="E30" s="80" t="s">
        <v>69</v>
      </c>
      <c r="F30" s="81" t="s">
        <v>53</v>
      </c>
      <c r="G30" s="81">
        <v>10</v>
      </c>
      <c r="H30" s="82">
        <v>1590.0</v>
      </c>
      <c r="I30" s="82">
        <v>15900.0</v>
      </c>
      <c r="J30" s="80"/>
    </row>
    <row r="31" spans="1:10" customHeight="1" ht="20.25">
      <c r="A31" s="79">
        <v>22</v>
      </c>
      <c r="B31" s="80" t="s">
        <v>70</v>
      </c>
      <c r="C31" s="80" t="s">
        <v>19</v>
      </c>
      <c r="D31" s="79" t="s">
        <v>20</v>
      </c>
      <c r="E31" s="80" t="s">
        <v>71</v>
      </c>
      <c r="F31" s="81" t="s">
        <v>25</v>
      </c>
      <c r="G31" s="81">
        <v>300</v>
      </c>
      <c r="H31" s="82">
        <v>1599.0</v>
      </c>
      <c r="I31" s="82">
        <v>479700.0</v>
      </c>
      <c r="J31" s="80"/>
    </row>
    <row r="32" spans="1:10" customHeight="1" ht="20.25">
      <c r="A32" s="79">
        <v>23</v>
      </c>
      <c r="B32" s="80" t="s">
        <v>72</v>
      </c>
      <c r="C32" s="80" t="s">
        <v>19</v>
      </c>
      <c r="D32" s="79" t="s">
        <v>20</v>
      </c>
      <c r="E32" s="80" t="s">
        <v>73</v>
      </c>
      <c r="F32" s="81" t="s">
        <v>74</v>
      </c>
      <c r="G32" s="81">
        <v>10</v>
      </c>
      <c r="H32" s="82">
        <v>1600.0</v>
      </c>
      <c r="I32" s="82">
        <v>16000.0</v>
      </c>
      <c r="J32" s="80"/>
    </row>
    <row r="33" spans="1:10" customHeight="1" ht="20.25">
      <c r="A33" s="79">
        <v>24</v>
      </c>
      <c r="B33" s="80" t="s">
        <v>75</v>
      </c>
      <c r="C33" s="80" t="s">
        <v>19</v>
      </c>
      <c r="D33" s="79" t="s">
        <v>20</v>
      </c>
      <c r="E33" s="80" t="s">
        <v>76</v>
      </c>
      <c r="F33" s="81" t="s">
        <v>74</v>
      </c>
      <c r="G33" s="81">
        <v>2</v>
      </c>
      <c r="H33" s="82">
        <v>1790.0</v>
      </c>
      <c r="I33" s="82">
        <v>3580.0</v>
      </c>
      <c r="J33" s="80"/>
    </row>
    <row r="34" spans="1:10" customHeight="1" ht="20.25">
      <c r="A34" s="79">
        <v>25</v>
      </c>
      <c r="B34" s="80" t="s">
        <v>77</v>
      </c>
      <c r="C34" s="80" t="s">
        <v>19</v>
      </c>
      <c r="D34" s="79" t="s">
        <v>20</v>
      </c>
      <c r="E34" s="80" t="s">
        <v>78</v>
      </c>
      <c r="F34" s="81" t="s">
        <v>25</v>
      </c>
      <c r="G34" s="81">
        <v>20</v>
      </c>
      <c r="H34" s="82">
        <v>1810.0</v>
      </c>
      <c r="I34" s="82">
        <v>36200.0</v>
      </c>
      <c r="J34" s="80"/>
    </row>
    <row r="35" spans="1:10" customHeight="1" ht="20.25">
      <c r="A35" s="79">
        <v>26</v>
      </c>
      <c r="B35" s="80" t="s">
        <v>79</v>
      </c>
      <c r="C35" s="80" t="s">
        <v>19</v>
      </c>
      <c r="D35" s="79" t="s">
        <v>20</v>
      </c>
      <c r="E35" s="80" t="s">
        <v>80</v>
      </c>
      <c r="F35" s="81" t="s">
        <v>63</v>
      </c>
      <c r="G35" s="81">
        <v>40</v>
      </c>
      <c r="H35" s="82">
        <v>1870.0</v>
      </c>
      <c r="I35" s="82">
        <v>74800.0</v>
      </c>
      <c r="J35" s="80"/>
    </row>
    <row r="36" spans="1:10" customHeight="1" ht="20.25">
      <c r="A36" s="79">
        <v>27</v>
      </c>
      <c r="B36" s="80" t="s">
        <v>81</v>
      </c>
      <c r="C36" s="80" t="s">
        <v>19</v>
      </c>
      <c r="D36" s="79" t="s">
        <v>20</v>
      </c>
      <c r="E36" s="80" t="s">
        <v>82</v>
      </c>
      <c r="F36" s="81" t="s">
        <v>25</v>
      </c>
      <c r="G36" s="81">
        <v>500</v>
      </c>
      <c r="H36" s="82">
        <v>1870.0</v>
      </c>
      <c r="I36" s="82">
        <v>935000.0</v>
      </c>
      <c r="J36" s="80"/>
    </row>
    <row r="37" spans="1:10" customHeight="1" ht="20.25">
      <c r="A37" s="79">
        <v>28</v>
      </c>
      <c r="B37" s="80" t="s">
        <v>83</v>
      </c>
      <c r="C37" s="80" t="s">
        <v>19</v>
      </c>
      <c r="D37" s="79" t="s">
        <v>20</v>
      </c>
      <c r="E37" s="80" t="s">
        <v>84</v>
      </c>
      <c r="F37" s="81" t="s">
        <v>28</v>
      </c>
      <c r="G37" s="81">
        <v>20</v>
      </c>
      <c r="H37" s="82">
        <v>2000.0</v>
      </c>
      <c r="I37" s="82">
        <v>40000.0</v>
      </c>
      <c r="J37" s="80"/>
    </row>
    <row r="38" spans="1:10" customHeight="1" ht="20.25">
      <c r="A38" s="79">
        <v>29</v>
      </c>
      <c r="B38" s="80" t="s">
        <v>85</v>
      </c>
      <c r="C38" s="80" t="s">
        <v>19</v>
      </c>
      <c r="D38" s="79" t="s">
        <v>20</v>
      </c>
      <c r="E38" s="80" t="s">
        <v>86</v>
      </c>
      <c r="F38" s="81" t="s">
        <v>28</v>
      </c>
      <c r="G38" s="81">
        <v>1</v>
      </c>
      <c r="H38" s="82">
        <v>2000.0</v>
      </c>
      <c r="I38" s="82">
        <v>2000.0</v>
      </c>
      <c r="J38" s="80"/>
    </row>
    <row r="39" spans="1:10" customHeight="1" ht="20.25">
      <c r="A39" s="79">
        <v>30</v>
      </c>
      <c r="B39" s="80" t="s">
        <v>87</v>
      </c>
      <c r="C39" s="80" t="s">
        <v>19</v>
      </c>
      <c r="D39" s="79" t="s">
        <v>20</v>
      </c>
      <c r="E39" s="80" t="s">
        <v>88</v>
      </c>
      <c r="F39" s="81" t="s">
        <v>74</v>
      </c>
      <c r="G39" s="81">
        <v>10</v>
      </c>
      <c r="H39" s="82">
        <v>2150.0</v>
      </c>
      <c r="I39" s="82">
        <v>21500.0</v>
      </c>
      <c r="J39" s="80"/>
    </row>
    <row r="40" spans="1:10" customHeight="1" ht="20.25">
      <c r="A40" s="79">
        <v>31</v>
      </c>
      <c r="B40" s="80" t="s">
        <v>89</v>
      </c>
      <c r="C40" s="80" t="s">
        <v>19</v>
      </c>
      <c r="D40" s="79" t="s">
        <v>20</v>
      </c>
      <c r="E40" s="80" t="s">
        <v>90</v>
      </c>
      <c r="F40" s="81" t="s">
        <v>25</v>
      </c>
      <c r="G40" s="81">
        <v>117</v>
      </c>
      <c r="H40" s="82">
        <v>2150.0</v>
      </c>
      <c r="I40" s="82">
        <v>251550.0</v>
      </c>
      <c r="J40" s="80"/>
    </row>
    <row r="41" spans="1:10" customHeight="1" ht="20.25">
      <c r="A41" s="79">
        <v>32</v>
      </c>
      <c r="B41" s="80" t="s">
        <v>91</v>
      </c>
      <c r="C41" s="80" t="s">
        <v>19</v>
      </c>
      <c r="D41" s="79" t="s">
        <v>20</v>
      </c>
      <c r="E41" s="80" t="s">
        <v>92</v>
      </c>
      <c r="F41" s="81" t="s">
        <v>74</v>
      </c>
      <c r="G41" s="81">
        <v>20</v>
      </c>
      <c r="H41" s="82">
        <v>2200.0</v>
      </c>
      <c r="I41" s="82">
        <v>44000.0</v>
      </c>
      <c r="J41" s="80"/>
    </row>
    <row r="42" spans="1:10" customHeight="1" ht="20.25">
      <c r="A42" s="79">
        <v>33</v>
      </c>
      <c r="B42" s="80" t="s">
        <v>93</v>
      </c>
      <c r="C42" s="80" t="s">
        <v>19</v>
      </c>
      <c r="D42" s="79" t="s">
        <v>20</v>
      </c>
      <c r="E42" s="80" t="s">
        <v>94</v>
      </c>
      <c r="F42" s="81" t="s">
        <v>53</v>
      </c>
      <c r="G42" s="81">
        <v>50</v>
      </c>
      <c r="H42" s="82">
        <v>2800.0</v>
      </c>
      <c r="I42" s="82">
        <v>140000.0</v>
      </c>
      <c r="J42" s="80"/>
    </row>
    <row r="43" spans="1:10" customHeight="1" ht="20.25">
      <c r="A43" s="79">
        <v>34</v>
      </c>
      <c r="B43" s="80" t="s">
        <v>95</v>
      </c>
      <c r="C43" s="80" t="s">
        <v>19</v>
      </c>
      <c r="D43" s="79" t="s">
        <v>20</v>
      </c>
      <c r="E43" s="80" t="s">
        <v>96</v>
      </c>
      <c r="F43" s="81" t="s">
        <v>74</v>
      </c>
      <c r="G43" s="81">
        <v>8</v>
      </c>
      <c r="H43" s="82">
        <v>3500.0</v>
      </c>
      <c r="I43" s="82">
        <v>28000.0</v>
      </c>
      <c r="J43" s="80"/>
    </row>
    <row r="44" spans="1:10" customHeight="1" ht="20.25">
      <c r="A44" s="79">
        <v>35</v>
      </c>
      <c r="B44" s="80" t="s">
        <v>97</v>
      </c>
      <c r="C44" s="80" t="s">
        <v>19</v>
      </c>
      <c r="D44" s="79" t="s">
        <v>20</v>
      </c>
      <c r="E44" s="80" t="s">
        <v>98</v>
      </c>
      <c r="F44" s="81" t="s">
        <v>74</v>
      </c>
      <c r="G44" s="81">
        <v>20</v>
      </c>
      <c r="H44" s="82">
        <v>3800.0</v>
      </c>
      <c r="I44" s="82">
        <v>76000.0</v>
      </c>
      <c r="J44" s="80"/>
    </row>
    <row r="45" spans="1:10" customHeight="1" ht="20.25">
      <c r="A45" s="79">
        <v>36</v>
      </c>
      <c r="B45" s="80" t="s">
        <v>99</v>
      </c>
      <c r="C45" s="80" t="s">
        <v>19</v>
      </c>
      <c r="D45" s="79" t="s">
        <v>20</v>
      </c>
      <c r="E45" s="80" t="s">
        <v>100</v>
      </c>
      <c r="F45" s="81" t="s">
        <v>74</v>
      </c>
      <c r="G45" s="81">
        <v>8</v>
      </c>
      <c r="H45" s="82">
        <v>4000.0</v>
      </c>
      <c r="I45" s="82">
        <v>32000.0</v>
      </c>
      <c r="J45" s="80"/>
    </row>
    <row r="46" spans="1:10" customHeight="1" ht="20.25">
      <c r="A46" s="79">
        <v>37</v>
      </c>
      <c r="B46" s="80" t="s">
        <v>101</v>
      </c>
      <c r="C46" s="80" t="s">
        <v>19</v>
      </c>
      <c r="D46" s="79" t="s">
        <v>20</v>
      </c>
      <c r="E46" s="80" t="s">
        <v>102</v>
      </c>
      <c r="F46" s="81" t="s">
        <v>74</v>
      </c>
      <c r="G46" s="81">
        <v>15</v>
      </c>
      <c r="H46" s="82">
        <v>4100.0</v>
      </c>
      <c r="I46" s="82">
        <v>61500.0</v>
      </c>
      <c r="J46" s="80"/>
    </row>
    <row r="47" spans="1:10" customHeight="1" ht="20.25">
      <c r="A47" s="79">
        <v>38</v>
      </c>
      <c r="B47" s="80" t="s">
        <v>103</v>
      </c>
      <c r="C47" s="80" t="s">
        <v>19</v>
      </c>
      <c r="D47" s="79" t="s">
        <v>20</v>
      </c>
      <c r="E47" s="80" t="s">
        <v>104</v>
      </c>
      <c r="F47" s="81" t="s">
        <v>74</v>
      </c>
      <c r="G47" s="81">
        <v>2</v>
      </c>
      <c r="H47" s="82">
        <v>5000.0</v>
      </c>
      <c r="I47" s="82">
        <v>10000.0</v>
      </c>
      <c r="J47" s="80"/>
    </row>
    <row r="48" spans="1:10" customHeight="1" ht="20.25">
      <c r="A48" s="79">
        <v>39</v>
      </c>
      <c r="B48" s="80" t="s">
        <v>105</v>
      </c>
      <c r="C48" s="80" t="s">
        <v>19</v>
      </c>
      <c r="D48" s="79" t="s">
        <v>20</v>
      </c>
      <c r="E48" s="80" t="s">
        <v>106</v>
      </c>
      <c r="F48" s="81" t="s">
        <v>53</v>
      </c>
      <c r="G48" s="81">
        <v>36</v>
      </c>
      <c r="H48" s="82">
        <v>5600.0</v>
      </c>
      <c r="I48" s="82">
        <v>201600.0</v>
      </c>
      <c r="J48" s="80"/>
    </row>
    <row r="49" spans="1:10" customHeight="1" ht="20.25">
      <c r="A49" s="79">
        <v>40</v>
      </c>
      <c r="B49" s="80" t="s">
        <v>107</v>
      </c>
      <c r="C49" s="80" t="s">
        <v>19</v>
      </c>
      <c r="D49" s="79" t="s">
        <v>20</v>
      </c>
      <c r="E49" s="80" t="s">
        <v>108</v>
      </c>
      <c r="F49" s="81" t="s">
        <v>74</v>
      </c>
      <c r="G49" s="81">
        <v>20</v>
      </c>
      <c r="H49" s="82">
        <v>5990.0</v>
      </c>
      <c r="I49" s="82">
        <v>119800.0</v>
      </c>
      <c r="J49" s="80"/>
    </row>
    <row r="50" spans="1:10" customHeight="1" ht="20.25">
      <c r="A50" s="79">
        <v>41</v>
      </c>
      <c r="B50" s="80" t="s">
        <v>109</v>
      </c>
      <c r="C50" s="80" t="s">
        <v>19</v>
      </c>
      <c r="D50" s="79" t="s">
        <v>20</v>
      </c>
      <c r="E50" s="80" t="s">
        <v>110</v>
      </c>
      <c r="F50" s="81" t="s">
        <v>28</v>
      </c>
      <c r="G50" s="81">
        <v>10</v>
      </c>
      <c r="H50" s="82">
        <v>6120.0</v>
      </c>
      <c r="I50" s="82">
        <v>61200.0</v>
      </c>
      <c r="J50" s="80"/>
    </row>
    <row r="51" spans="1:10" customHeight="1" ht="20.25">
      <c r="A51" s="79">
        <v>42</v>
      </c>
      <c r="B51" s="80" t="s">
        <v>111</v>
      </c>
      <c r="C51" s="80" t="s">
        <v>19</v>
      </c>
      <c r="D51" s="79" t="s">
        <v>20</v>
      </c>
      <c r="E51" s="80" t="s">
        <v>112</v>
      </c>
      <c r="F51" s="81" t="s">
        <v>74</v>
      </c>
      <c r="G51" s="81">
        <v>14</v>
      </c>
      <c r="H51" s="82">
        <v>6900.0</v>
      </c>
      <c r="I51" s="82">
        <v>96600.0</v>
      </c>
      <c r="J51" s="80"/>
    </row>
    <row r="52" spans="1:10" customHeight="1" ht="20.25">
      <c r="A52" s="79"/>
      <c r="B52" s="80"/>
      <c r="C52" s="80"/>
      <c r="D52" s="79"/>
      <c r="E52" s="80"/>
      <c r="F52" s="81"/>
      <c r="G52" s="81"/>
      <c r="H52" s="82"/>
      <c r="I52" s="82"/>
      <c r="J52" s="80"/>
    </row>
    <row r="53" spans="1:10" customHeight="1" ht="17.25" s="22" customFormat="1">
      <c r="A53" s="23"/>
      <c r="B53" s="27"/>
      <c r="C53" s="27"/>
      <c r="D53" s="23"/>
      <c r="E53" s="80"/>
      <c r="F53" s="23"/>
      <c r="G53" s="23"/>
      <c r="H53" s="24"/>
      <c r="I53" s="24"/>
      <c r="J53" s="80"/>
    </row>
    <row r="54" spans="1:10" customHeight="1" ht="13.5">
      <c r="C54" s="10" t="s">
        <v>113</v>
      </c>
      <c r="H54" s="25" t="s">
        <v>114</v>
      </c>
      <c r="I54" s="26">
        <f>SUM(I10:I53)</f>
        <v>4140930</v>
      </c>
      <c r="J54" s="10"/>
    </row>
    <row r="55" spans="1:10" customHeight="1" ht="15">
      <c r="B55" s="11"/>
      <c r="C55" s="12"/>
      <c r="D55" s="12"/>
      <c r="E55" s="13"/>
      <c r="F55" s="9"/>
    </row>
    <row r="56" spans="1:10" customHeight="1" ht="15">
      <c r="B56" s="87" t="s">
        <v>115</v>
      </c>
      <c r="C56" s="88"/>
      <c r="D56" s="88"/>
      <c r="E56" s="89"/>
    </row>
    <row r="57" spans="1:10" customHeight="1" ht="128.25">
      <c r="B57" s="93" t="inlineStr">
        <is>
          <r>
            <t xml:space="preserve">a) LUGAR DE ENTREGA:   - De 08 a 12 horas.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FORMA DE LA ENTREGA: Libre de flete, acarreo y embalaje, como así también, de todo riesgo de pérdida o destrucción total o parcial, por causas ajenas a la Institución.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      </r>
        </is>
      </c>
      <c r="C57" s="94"/>
      <c r="D57" s="94"/>
      <c r="E57" s="95"/>
    </row>
    <row r="58" spans="1:10" customHeight="1" ht="16.5">
      <c r="B58" s="87" t="s">
        <v>117</v>
      </c>
      <c r="C58" s="88"/>
      <c r="D58" s="88"/>
      <c r="E58" s="89"/>
    </row>
    <row r="59" spans="1:10" customHeight="1" ht="15">
      <c r="B59" s="90" t="s">
        <v>118</v>
      </c>
      <c r="C59" s="91"/>
      <c r="D59" s="91"/>
      <c r="E59" s="92"/>
    </row>
    <row r="60" spans="1:10" customHeight="1" ht="15">
      <c r="B60" s="87" t="s">
        <v>119</v>
      </c>
      <c r="C60" s="88"/>
      <c r="D60" s="88"/>
      <c r="E60" s="89"/>
    </row>
    <row r="61" spans="1:10" customHeight="1" ht="15">
      <c r="B61" s="90" t="s">
        <v>120</v>
      </c>
      <c r="C61" s="91"/>
      <c r="D61" s="91"/>
      <c r="E61" s="92"/>
    </row>
    <row r="62" spans="1:10" customHeight="1" ht="15">
      <c r="B62" s="87" t="s">
        <v>121</v>
      </c>
      <c r="C62" s="88"/>
      <c r="D62" s="88"/>
      <c r="E62" s="89"/>
    </row>
    <row r="63" spans="1:10" customHeight="1" ht="31.5">
      <c r="B63" s="84" t="s">
        <v>122</v>
      </c>
      <c r="C63" s="85"/>
      <c r="D63" s="85"/>
      <c r="E63" s="86"/>
    </row>
    <row r="64" spans="1:10" customHeight="1" ht="12.75">
      <c r="C64" s="2"/>
      <c r="D64" s="2"/>
      <c r="E64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J2"/>
    <mergeCell ref="C4:J4"/>
    <mergeCell ref="C5:J5"/>
    <mergeCell ref="C6:J6"/>
    <mergeCell ref="C7:J7"/>
    <mergeCell ref="B61:E61"/>
    <mergeCell ref="A4:B4"/>
    <mergeCell ref="A5:B5"/>
    <mergeCell ref="A6:B6"/>
    <mergeCell ref="A7:B7"/>
    <mergeCell ref="B63:E63"/>
    <mergeCell ref="B56:E56"/>
    <mergeCell ref="B58:E58"/>
    <mergeCell ref="B60:E60"/>
    <mergeCell ref="B62:E62"/>
    <mergeCell ref="B59:E59"/>
    <mergeCell ref="B57:E57"/>
  </mergeCells>
  <printOptions gridLines="false" gridLinesSet="true"/>
  <pageMargins left="0.7" right="0.7" top="0.75" bottom="0.75" header="0.51180555555555" footer="0.51180555555555"/>
  <pageSetup paperSize="9" orientation="landscape" scale="42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4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123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124</v>
      </c>
      <c r="G2" s="41" t="s">
        <v>125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126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127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128</v>
      </c>
      <c r="B6" s="128"/>
      <c r="C6" s="112" t="s">
        <v>129</v>
      </c>
      <c r="D6" s="113"/>
      <c r="E6" s="113"/>
      <c r="F6" s="113"/>
      <c r="G6" s="114"/>
    </row>
    <row r="7" spans="1:7" customHeight="1" ht="32.25">
      <c r="A7" s="127" t="s">
        <v>130</v>
      </c>
      <c r="B7" s="128"/>
      <c r="C7" s="112" t="s">
        <v>129</v>
      </c>
      <c r="D7" s="113"/>
      <c r="E7" s="113"/>
      <c r="F7" s="113"/>
      <c r="G7" s="114"/>
    </row>
    <row r="8" spans="1:7" customHeight="1" ht="16.5">
      <c r="A8" s="127" t="s">
        <v>131</v>
      </c>
      <c r="B8" s="128"/>
      <c r="C8" s="112" t="s">
        <v>132</v>
      </c>
      <c r="D8" s="113"/>
      <c r="E8" s="113"/>
      <c r="F8" s="113"/>
      <c r="G8" s="114"/>
    </row>
    <row r="9" spans="1:7" customHeight="1" ht="27.75">
      <c r="A9" s="117" t="s">
        <v>133</v>
      </c>
      <c r="B9" s="118"/>
      <c r="C9" s="124" t="s">
        <v>134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135</v>
      </c>
      <c r="B11" s="131" t="s">
        <v>136</v>
      </c>
      <c r="C11" s="119" t="s">
        <v>137</v>
      </c>
      <c r="D11" s="135" t="s">
        <v>138</v>
      </c>
      <c r="E11" s="135" t="s">
        <v>139</v>
      </c>
      <c r="F11" s="135" t="s">
        <v>140</v>
      </c>
      <c r="G11" s="135" t="s">
        <v>141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18</v>
      </c>
      <c r="C13" s="35" t="s">
        <v>21</v>
      </c>
      <c r="D13" s="31" t="s">
        <v>142</v>
      </c>
      <c r="E13" s="31" t="s">
        <v>22</v>
      </c>
      <c r="F13" s="32">
        <v>80.0</v>
      </c>
      <c r="G13" s="33">
        <v>699</v>
      </c>
    </row>
    <row r="14" spans="1:7" customHeight="1" ht="15">
      <c r="A14" s="44">
        <v>2</v>
      </c>
      <c r="B14" s="34" t="s">
        <v>26</v>
      </c>
      <c r="C14" s="35" t="s">
        <v>27</v>
      </c>
      <c r="D14" s="31" t="s">
        <v>142</v>
      </c>
      <c r="E14" s="31" t="s">
        <v>28</v>
      </c>
      <c r="F14" s="32">
        <v>88.0</v>
      </c>
      <c r="G14" s="33">
        <v>80</v>
      </c>
    </row>
    <row r="15" spans="1:7" customHeight="1" ht="15">
      <c r="A15" s="44">
        <v>3</v>
      </c>
      <c r="B15" s="34" t="s">
        <v>29</v>
      </c>
      <c r="C15" s="35" t="s">
        <v>30</v>
      </c>
      <c r="D15" s="31" t="s">
        <v>142</v>
      </c>
      <c r="E15" s="31" t="s">
        <v>25</v>
      </c>
      <c r="F15" s="32">
        <v>100.0</v>
      </c>
      <c r="G15" s="33">
        <v>800</v>
      </c>
    </row>
    <row r="16" spans="1:7" customHeight="1" ht="15">
      <c r="A16" s="44">
        <v>4</v>
      </c>
      <c r="B16" s="34" t="s">
        <v>43</v>
      </c>
      <c r="C16" s="35" t="s">
        <v>44</v>
      </c>
      <c r="D16" s="31" t="s">
        <v>142</v>
      </c>
      <c r="E16" s="31" t="s">
        <v>22</v>
      </c>
      <c r="F16" s="32">
        <v>398.0</v>
      </c>
      <c r="G16" s="33">
        <v>10</v>
      </c>
    </row>
    <row r="17" spans="1:7" customHeight="1" ht="15">
      <c r="A17" s="44">
        <v>5</v>
      </c>
      <c r="B17" s="34" t="s">
        <v>111</v>
      </c>
      <c r="C17" s="35" t="s">
        <v>112</v>
      </c>
      <c r="D17" s="31" t="s">
        <v>142</v>
      </c>
      <c r="E17" s="31" t="s">
        <v>74</v>
      </c>
      <c r="F17" s="32">
        <v>6900.0</v>
      </c>
      <c r="G17" s="33">
        <v>14</v>
      </c>
    </row>
    <row r="18" spans="1:7" customHeight="1" ht="15">
      <c r="A18" s="44">
        <v>6</v>
      </c>
      <c r="B18" s="34" t="s">
        <v>68</v>
      </c>
      <c r="C18" s="35" t="s">
        <v>69</v>
      </c>
      <c r="D18" s="31" t="s">
        <v>142</v>
      </c>
      <c r="E18" s="31" t="s">
        <v>53</v>
      </c>
      <c r="F18" s="32">
        <v>1590.0</v>
      </c>
      <c r="G18" s="33">
        <v>10</v>
      </c>
    </row>
    <row r="19" spans="1:7" customHeight="1" ht="15">
      <c r="A19" s="44">
        <v>7</v>
      </c>
      <c r="B19" s="34" t="s">
        <v>75</v>
      </c>
      <c r="C19" s="35" t="s">
        <v>76</v>
      </c>
      <c r="D19" s="31" t="s">
        <v>142</v>
      </c>
      <c r="E19" s="31" t="s">
        <v>74</v>
      </c>
      <c r="F19" s="32">
        <v>1790.0</v>
      </c>
      <c r="G19" s="33">
        <v>2</v>
      </c>
    </row>
    <row r="20" spans="1:7" customHeight="1" ht="15">
      <c r="A20" s="44">
        <v>8</v>
      </c>
      <c r="B20" s="34" t="s">
        <v>70</v>
      </c>
      <c r="C20" s="35" t="s">
        <v>71</v>
      </c>
      <c r="D20" s="31" t="s">
        <v>142</v>
      </c>
      <c r="E20" s="31" t="s">
        <v>25</v>
      </c>
      <c r="F20" s="32">
        <v>1599.0</v>
      </c>
      <c r="G20" s="33">
        <v>300</v>
      </c>
    </row>
    <row r="21" spans="1:7" customHeight="1" ht="15">
      <c r="A21" s="44">
        <v>9</v>
      </c>
      <c r="B21" s="34" t="s">
        <v>57</v>
      </c>
      <c r="C21" s="35" t="s">
        <v>58</v>
      </c>
      <c r="D21" s="31" t="s">
        <v>142</v>
      </c>
      <c r="E21" s="31" t="s">
        <v>25</v>
      </c>
      <c r="F21" s="32">
        <v>1070.0</v>
      </c>
      <c r="G21" s="33">
        <v>150</v>
      </c>
    </row>
    <row r="22" spans="1:7" customHeight="1" ht="15">
      <c r="A22" s="44">
        <v>10</v>
      </c>
      <c r="B22" s="34" t="s">
        <v>105</v>
      </c>
      <c r="C22" s="35" t="s">
        <v>106</v>
      </c>
      <c r="D22" s="31" t="s">
        <v>142</v>
      </c>
      <c r="E22" s="31" t="s">
        <v>53</v>
      </c>
      <c r="F22" s="32">
        <v>5600.0</v>
      </c>
      <c r="G22" s="33">
        <v>36</v>
      </c>
    </row>
    <row r="23" spans="1:7" customHeight="1" ht="15">
      <c r="A23" s="44">
        <v>11</v>
      </c>
      <c r="B23" s="34" t="s">
        <v>103</v>
      </c>
      <c r="C23" s="35" t="s">
        <v>104</v>
      </c>
      <c r="D23" s="31" t="s">
        <v>142</v>
      </c>
      <c r="E23" s="31" t="s">
        <v>74</v>
      </c>
      <c r="F23" s="32">
        <v>5000.0</v>
      </c>
      <c r="G23" s="33">
        <v>2</v>
      </c>
    </row>
    <row r="24" spans="1:7" customHeight="1" ht="15">
      <c r="A24" s="44">
        <v>12</v>
      </c>
      <c r="B24" s="34" t="s">
        <v>59</v>
      </c>
      <c r="C24" s="35" t="s">
        <v>60</v>
      </c>
      <c r="D24" s="31" t="s">
        <v>142</v>
      </c>
      <c r="E24" s="31" t="s">
        <v>25</v>
      </c>
      <c r="F24" s="32">
        <v>1070.0</v>
      </c>
      <c r="G24" s="33">
        <v>200</v>
      </c>
    </row>
    <row r="25" spans="1:7" customHeight="1" ht="15">
      <c r="A25" s="44">
        <v>13</v>
      </c>
      <c r="B25" s="34" t="s">
        <v>54</v>
      </c>
      <c r="C25" s="35" t="s">
        <v>55</v>
      </c>
      <c r="D25" s="31" t="s">
        <v>142</v>
      </c>
      <c r="E25" s="31" t="s">
        <v>56</v>
      </c>
      <c r="F25" s="32">
        <v>920.0</v>
      </c>
      <c r="G25" s="33">
        <v>150</v>
      </c>
    </row>
    <row r="26" spans="1:7" customHeight="1" ht="15">
      <c r="A26" s="44">
        <v>14</v>
      </c>
      <c r="B26" s="34" t="s">
        <v>79</v>
      </c>
      <c r="C26" s="35" t="s">
        <v>80</v>
      </c>
      <c r="D26" s="31" t="s">
        <v>142</v>
      </c>
      <c r="E26" s="31" t="s">
        <v>63</v>
      </c>
      <c r="F26" s="32">
        <v>1870.0</v>
      </c>
      <c r="G26" s="33">
        <v>40</v>
      </c>
    </row>
    <row r="27" spans="1:7" customHeight="1" ht="15">
      <c r="A27" s="44">
        <v>15</v>
      </c>
      <c r="B27" s="34" t="s">
        <v>87</v>
      </c>
      <c r="C27" s="35" t="s">
        <v>88</v>
      </c>
      <c r="D27" s="31" t="s">
        <v>142</v>
      </c>
      <c r="E27" s="31" t="s">
        <v>74</v>
      </c>
      <c r="F27" s="32">
        <v>2150.0</v>
      </c>
      <c r="G27" s="33">
        <v>10</v>
      </c>
    </row>
    <row r="28" spans="1:7" customHeight="1" ht="15">
      <c r="A28" s="44">
        <v>16</v>
      </c>
      <c r="B28" s="34" t="s">
        <v>23</v>
      </c>
      <c r="C28" s="35" t="s">
        <v>24</v>
      </c>
      <c r="D28" s="31" t="s">
        <v>142</v>
      </c>
      <c r="E28" s="31" t="s">
        <v>25</v>
      </c>
      <c r="F28" s="32">
        <v>80.0</v>
      </c>
      <c r="G28" s="33">
        <v>50</v>
      </c>
    </row>
    <row r="29" spans="1:7" customHeight="1" ht="15">
      <c r="A29" s="44">
        <v>17</v>
      </c>
      <c r="B29" s="34" t="s">
        <v>107</v>
      </c>
      <c r="C29" s="35" t="s">
        <v>108</v>
      </c>
      <c r="D29" s="31" t="s">
        <v>142</v>
      </c>
      <c r="E29" s="31" t="s">
        <v>74</v>
      </c>
      <c r="F29" s="32">
        <v>5990.0</v>
      </c>
      <c r="G29" s="33">
        <v>20</v>
      </c>
    </row>
    <row r="30" spans="1:7" customHeight="1" ht="15">
      <c r="A30" s="44">
        <v>18</v>
      </c>
      <c r="B30" s="34" t="s">
        <v>81</v>
      </c>
      <c r="C30" s="35" t="s">
        <v>82</v>
      </c>
      <c r="D30" s="31" t="s">
        <v>142</v>
      </c>
      <c r="E30" s="31" t="s">
        <v>25</v>
      </c>
      <c r="F30" s="32">
        <v>1870.0</v>
      </c>
      <c r="G30" s="33">
        <v>500</v>
      </c>
    </row>
    <row r="31" spans="1:7" customHeight="1" ht="15">
      <c r="A31" s="44">
        <v>19</v>
      </c>
      <c r="B31" s="34" t="s">
        <v>66</v>
      </c>
      <c r="C31" s="35" t="s">
        <v>67</v>
      </c>
      <c r="D31" s="31" t="s">
        <v>142</v>
      </c>
      <c r="E31" s="31" t="s">
        <v>25</v>
      </c>
      <c r="F31" s="32">
        <v>1520.0</v>
      </c>
      <c r="G31" s="33">
        <v>50</v>
      </c>
    </row>
    <row r="32" spans="1:7" customHeight="1" ht="15">
      <c r="A32" s="44">
        <v>20</v>
      </c>
      <c r="B32" s="34" t="s">
        <v>72</v>
      </c>
      <c r="C32" s="35" t="s">
        <v>73</v>
      </c>
      <c r="D32" s="31" t="s">
        <v>142</v>
      </c>
      <c r="E32" s="31" t="s">
        <v>74</v>
      </c>
      <c r="F32" s="32">
        <v>1600.0</v>
      </c>
      <c r="G32" s="33">
        <v>10</v>
      </c>
    </row>
    <row r="33" spans="1:7" customHeight="1" ht="15">
      <c r="A33" s="44">
        <v>21</v>
      </c>
      <c r="B33" s="34" t="s">
        <v>47</v>
      </c>
      <c r="C33" s="35" t="s">
        <v>48</v>
      </c>
      <c r="D33" s="31" t="s">
        <v>142</v>
      </c>
      <c r="E33" s="31" t="s">
        <v>25</v>
      </c>
      <c r="F33" s="32">
        <v>420.0</v>
      </c>
      <c r="G33" s="33">
        <v>600</v>
      </c>
    </row>
    <row r="34" spans="1:7" customHeight="1" ht="15">
      <c r="A34" s="44">
        <v>22</v>
      </c>
      <c r="B34" s="34" t="s">
        <v>49</v>
      </c>
      <c r="C34" s="35" t="s">
        <v>50</v>
      </c>
      <c r="D34" s="31" t="s">
        <v>142</v>
      </c>
      <c r="E34" s="31" t="s">
        <v>25</v>
      </c>
      <c r="F34" s="32">
        <v>420.0</v>
      </c>
      <c r="G34" s="33">
        <v>100</v>
      </c>
    </row>
    <row r="35" spans="1:7" customHeight="1" ht="15">
      <c r="A35" s="44">
        <v>23</v>
      </c>
      <c r="B35" s="34" t="s">
        <v>93</v>
      </c>
      <c r="C35" s="35" t="s">
        <v>94</v>
      </c>
      <c r="D35" s="31" t="s">
        <v>142</v>
      </c>
      <c r="E35" s="31" t="s">
        <v>53</v>
      </c>
      <c r="F35" s="32">
        <v>2800.0</v>
      </c>
      <c r="G35" s="33">
        <v>50</v>
      </c>
    </row>
    <row r="36" spans="1:7" customHeight="1" ht="15">
      <c r="A36" s="44">
        <v>24</v>
      </c>
      <c r="B36" s="34" t="s">
        <v>89</v>
      </c>
      <c r="C36" s="35" t="s">
        <v>90</v>
      </c>
      <c r="D36" s="31" t="s">
        <v>142</v>
      </c>
      <c r="E36" s="31" t="s">
        <v>25</v>
      </c>
      <c r="F36" s="32">
        <v>2150.0</v>
      </c>
      <c r="G36" s="33">
        <v>117</v>
      </c>
    </row>
    <row r="37" spans="1:7" customHeight="1" ht="15">
      <c r="A37" s="44">
        <v>25</v>
      </c>
      <c r="B37" s="34" t="s">
        <v>101</v>
      </c>
      <c r="C37" s="35" t="s">
        <v>102</v>
      </c>
      <c r="D37" s="31" t="s">
        <v>142</v>
      </c>
      <c r="E37" s="31" t="s">
        <v>74</v>
      </c>
      <c r="F37" s="32">
        <v>4100.0</v>
      </c>
      <c r="G37" s="33">
        <v>15</v>
      </c>
    </row>
    <row r="38" spans="1:7" customHeight="1" ht="15">
      <c r="A38" s="44">
        <v>26</v>
      </c>
      <c r="B38" s="34" t="s">
        <v>39</v>
      </c>
      <c r="C38" s="35" t="s">
        <v>40</v>
      </c>
      <c r="D38" s="31" t="s">
        <v>142</v>
      </c>
      <c r="E38" s="31" t="s">
        <v>22</v>
      </c>
      <c r="F38" s="32">
        <v>390.0</v>
      </c>
      <c r="G38" s="33">
        <v>10</v>
      </c>
    </row>
    <row r="39" spans="1:7" customHeight="1" ht="15">
      <c r="A39" s="44">
        <v>27</v>
      </c>
      <c r="B39" s="34" t="s">
        <v>97</v>
      </c>
      <c r="C39" s="35" t="s">
        <v>98</v>
      </c>
      <c r="D39" s="31" t="s">
        <v>142</v>
      </c>
      <c r="E39" s="31" t="s">
        <v>74</v>
      </c>
      <c r="F39" s="32">
        <v>3800.0</v>
      </c>
      <c r="G39" s="33">
        <v>20</v>
      </c>
    </row>
    <row r="40" spans="1:7" customHeight="1" ht="15">
      <c r="A40" s="44">
        <v>28</v>
      </c>
      <c r="B40" s="34" t="s">
        <v>91</v>
      </c>
      <c r="C40" s="35" t="s">
        <v>92</v>
      </c>
      <c r="D40" s="31" t="s">
        <v>142</v>
      </c>
      <c r="E40" s="31" t="s">
        <v>74</v>
      </c>
      <c r="F40" s="32">
        <v>2200.0</v>
      </c>
      <c r="G40" s="33">
        <v>20</v>
      </c>
    </row>
    <row r="41" spans="1:7" customHeight="1" ht="15">
      <c r="A41" s="44">
        <v>29</v>
      </c>
      <c r="B41" s="34" t="s">
        <v>61</v>
      </c>
      <c r="C41" s="35" t="s">
        <v>62</v>
      </c>
      <c r="D41" s="31" t="s">
        <v>142</v>
      </c>
      <c r="E41" s="31" t="s">
        <v>63</v>
      </c>
      <c r="F41" s="32">
        <v>1170.0</v>
      </c>
      <c r="G41" s="33">
        <v>200</v>
      </c>
    </row>
    <row r="42" spans="1:7" customHeight="1" ht="15">
      <c r="A42" s="44">
        <v>30</v>
      </c>
      <c r="B42" s="34" t="s">
        <v>109</v>
      </c>
      <c r="C42" s="35" t="s">
        <v>110</v>
      </c>
      <c r="D42" s="31" t="s">
        <v>142</v>
      </c>
      <c r="E42" s="31" t="s">
        <v>28</v>
      </c>
      <c r="F42" s="32">
        <v>6120.0</v>
      </c>
      <c r="G42" s="33">
        <v>10</v>
      </c>
    </row>
    <row r="43" spans="1:7" customHeight="1" ht="15">
      <c r="A43" s="44">
        <v>31</v>
      </c>
      <c r="B43" s="34" t="s">
        <v>77</v>
      </c>
      <c r="C43" s="35" t="s">
        <v>78</v>
      </c>
      <c r="D43" s="31" t="s">
        <v>142</v>
      </c>
      <c r="E43" s="31" t="s">
        <v>25</v>
      </c>
      <c r="F43" s="32">
        <v>1810.0</v>
      </c>
      <c r="G43" s="33">
        <v>20</v>
      </c>
    </row>
    <row r="44" spans="1:7" customHeight="1" ht="15">
      <c r="A44" s="44">
        <v>32</v>
      </c>
      <c r="B44" s="34" t="s">
        <v>41</v>
      </c>
      <c r="C44" s="35" t="s">
        <v>42</v>
      </c>
      <c r="D44" s="31" t="s">
        <v>142</v>
      </c>
      <c r="E44" s="31" t="s">
        <v>33</v>
      </c>
      <c r="F44" s="32">
        <v>396.0</v>
      </c>
      <c r="G44" s="33">
        <v>10</v>
      </c>
    </row>
    <row r="45" spans="1:7" customHeight="1" ht="15">
      <c r="A45" s="44">
        <v>33</v>
      </c>
      <c r="B45" s="34" t="s">
        <v>31</v>
      </c>
      <c r="C45" s="35" t="s">
        <v>32</v>
      </c>
      <c r="D45" s="31" t="s">
        <v>142</v>
      </c>
      <c r="E45" s="31" t="s">
        <v>33</v>
      </c>
      <c r="F45" s="32">
        <v>100.0</v>
      </c>
      <c r="G45" s="33">
        <v>200</v>
      </c>
    </row>
    <row r="46" spans="1:7" customHeight="1" ht="15">
      <c r="A46" s="44">
        <v>34</v>
      </c>
      <c r="B46" s="34" t="s">
        <v>45</v>
      </c>
      <c r="C46" s="35" t="s">
        <v>46</v>
      </c>
      <c r="D46" s="31" t="s">
        <v>142</v>
      </c>
      <c r="E46" s="31" t="s">
        <v>33</v>
      </c>
      <c r="F46" s="32">
        <v>410.0</v>
      </c>
      <c r="G46" s="33">
        <v>120</v>
      </c>
    </row>
    <row r="47" spans="1:7" customHeight="1" ht="15">
      <c r="A47" s="44">
        <v>35</v>
      </c>
      <c r="B47" s="34" t="s">
        <v>83</v>
      </c>
      <c r="C47" s="35" t="s">
        <v>84</v>
      </c>
      <c r="D47" s="31" t="s">
        <v>142</v>
      </c>
      <c r="E47" s="31" t="s">
        <v>28</v>
      </c>
      <c r="F47" s="32">
        <v>2000.0</v>
      </c>
      <c r="G47" s="33">
        <v>20</v>
      </c>
    </row>
    <row r="48" spans="1:7" customHeight="1" ht="15">
      <c r="A48" s="44">
        <v>36</v>
      </c>
      <c r="B48" s="34" t="s">
        <v>34</v>
      </c>
      <c r="C48" s="35" t="s">
        <v>35</v>
      </c>
      <c r="D48" s="31" t="s">
        <v>142</v>
      </c>
      <c r="E48" s="31" t="s">
        <v>36</v>
      </c>
      <c r="F48" s="32">
        <v>120.0</v>
      </c>
      <c r="G48" s="33">
        <v>100</v>
      </c>
    </row>
    <row r="49" spans="1:7" customHeight="1" ht="15">
      <c r="A49" s="44">
        <v>37</v>
      </c>
      <c r="B49" s="34" t="s">
        <v>37</v>
      </c>
      <c r="C49" s="35" t="s">
        <v>38</v>
      </c>
      <c r="D49" s="31" t="s">
        <v>142</v>
      </c>
      <c r="E49" s="31" t="s">
        <v>36</v>
      </c>
      <c r="F49" s="32">
        <v>120.0</v>
      </c>
      <c r="G49" s="33">
        <v>100</v>
      </c>
    </row>
    <row r="50" spans="1:7" customHeight="1" ht="15">
      <c r="A50" s="44">
        <v>38</v>
      </c>
      <c r="B50" s="34" t="s">
        <v>51</v>
      </c>
      <c r="C50" s="35" t="s">
        <v>52</v>
      </c>
      <c r="D50" s="31" t="s">
        <v>142</v>
      </c>
      <c r="E50" s="31" t="s">
        <v>53</v>
      </c>
      <c r="F50" s="32">
        <v>800.0</v>
      </c>
      <c r="G50" s="33">
        <v>30</v>
      </c>
    </row>
    <row r="51" spans="1:7" customHeight="1" ht="15">
      <c r="A51" s="44">
        <v>39</v>
      </c>
      <c r="B51" s="34" t="s">
        <v>99</v>
      </c>
      <c r="C51" s="35" t="s">
        <v>100</v>
      </c>
      <c r="D51" s="31" t="s">
        <v>142</v>
      </c>
      <c r="E51" s="31" t="s">
        <v>74</v>
      </c>
      <c r="F51" s="32">
        <v>4000.0</v>
      </c>
      <c r="G51" s="33">
        <v>8</v>
      </c>
    </row>
    <row r="52" spans="1:7" customHeight="1" ht="15">
      <c r="A52" s="44">
        <v>40</v>
      </c>
      <c r="B52" s="34" t="s">
        <v>95</v>
      </c>
      <c r="C52" s="35" t="s">
        <v>96</v>
      </c>
      <c r="D52" s="31" t="s">
        <v>142</v>
      </c>
      <c r="E52" s="31" t="s">
        <v>74</v>
      </c>
      <c r="F52" s="32">
        <v>3500.0</v>
      </c>
      <c r="G52" s="33">
        <v>8</v>
      </c>
    </row>
    <row r="53" spans="1:7" customHeight="1" ht="15">
      <c r="A53" s="44">
        <v>41</v>
      </c>
      <c r="B53" s="34" t="s">
        <v>85</v>
      </c>
      <c r="C53" s="35" t="s">
        <v>86</v>
      </c>
      <c r="D53" s="31" t="s">
        <v>142</v>
      </c>
      <c r="E53" s="31" t="s">
        <v>28</v>
      </c>
      <c r="F53" s="32">
        <v>2000.0</v>
      </c>
      <c r="G53" s="33">
        <v>1</v>
      </c>
    </row>
    <row r="54" spans="1:7" customHeight="1" ht="15">
      <c r="A54" s="44">
        <v>42</v>
      </c>
      <c r="B54" s="34" t="s">
        <v>64</v>
      </c>
      <c r="C54" s="35" t="s">
        <v>65</v>
      </c>
      <c r="D54" s="31" t="s">
        <v>142</v>
      </c>
      <c r="E54" s="31" t="s">
        <v>33</v>
      </c>
      <c r="F54" s="32">
        <v>1500.0</v>
      </c>
      <c r="G54" s="33">
        <v>1</v>
      </c>
    </row>
    <row r="55" spans="1:7" customHeight="1" ht="15">
      <c r="A55" s="44"/>
      <c r="B55" s="34"/>
      <c r="C55" s="35"/>
      <c r="D55" s="31"/>
      <c r="E55" s="31"/>
      <c r="F55" s="32"/>
      <c r="G55" s="33"/>
    </row>
    <row r="56" spans="1:7" customHeight="1" ht="15.75">
      <c r="A56" s="45"/>
      <c r="B56" s="36"/>
      <c r="C56" s="37"/>
      <c r="D56" s="28"/>
      <c r="E56" s="28"/>
      <c r="F56" s="29"/>
      <c r="G56" s="30"/>
    </row>
    <row r="57" spans="1:7" customHeight="1" ht="20.25">
      <c r="A57" s="122" t="s">
        <v>143</v>
      </c>
      <c r="B57" s="123"/>
      <c r="C57" s="133" t="s">
        <v>113</v>
      </c>
      <c r="D57" s="133"/>
      <c r="E57" s="134"/>
      <c r="F57" s="121">
        <f>SUMPRODUCT(F13:F56,G13:G56)</f>
        <v>4140930</v>
      </c>
      <c r="G57" s="121"/>
    </row>
    <row r="61" spans="1:7" customHeight="1" ht="13.5"/>
    <row r="62" spans="1:7" customHeight="1" ht="15.75">
      <c r="A62" s="46"/>
      <c r="B62" s="115" t="s">
        <v>144</v>
      </c>
      <c r="C62" s="115"/>
      <c r="D62" s="116"/>
    </row>
    <row r="63" spans="1:7" customHeight="1" ht="18.75">
      <c r="A63" s="47"/>
      <c r="B63" s="48"/>
      <c r="C63" s="49"/>
      <c r="D63" s="50"/>
    </row>
    <row r="64" spans="1:7" customHeight="1" ht="18.75">
      <c r="A64" s="51"/>
      <c r="B64" s="52"/>
      <c r="C64" s="53"/>
      <c r="D64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57:B57"/>
    <mergeCell ref="C9:G9"/>
    <mergeCell ref="A8:B8"/>
    <mergeCell ref="A11:A12"/>
    <mergeCell ref="B11:B12"/>
    <mergeCell ref="C57:E57"/>
    <mergeCell ref="F11:F12"/>
    <mergeCell ref="G11:G12"/>
    <mergeCell ref="E11:E12"/>
    <mergeCell ref="A1:G1"/>
    <mergeCell ref="C4:G4"/>
    <mergeCell ref="C5:G5"/>
    <mergeCell ref="C6:G6"/>
    <mergeCell ref="C7:G7"/>
    <mergeCell ref="B62:D62"/>
    <mergeCell ref="C8:G8"/>
    <mergeCell ref="A9:B9"/>
    <mergeCell ref="C11:C12"/>
    <mergeCell ref="F57:G57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145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146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127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128</v>
      </c>
      <c r="B6" s="165"/>
      <c r="C6" s="165"/>
      <c r="D6" s="165"/>
      <c r="E6" s="165"/>
      <c r="F6" s="166"/>
      <c r="G6" s="163" t="s">
        <v>129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130</v>
      </c>
      <c r="B7" s="165"/>
      <c r="C7" s="165"/>
      <c r="D7" s="165"/>
      <c r="E7" s="165"/>
      <c r="F7" s="166"/>
      <c r="G7" s="170" t="s">
        <v>129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147</v>
      </c>
      <c r="B8" s="139"/>
      <c r="C8" s="139" t="s">
        <v>132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148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149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150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151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152</v>
      </c>
      <c r="P13" s="149"/>
      <c r="Q13" s="152" t="s">
        <v>153</v>
      </c>
    </row>
    <row r="14" spans="1:17" customHeight="1" ht="15.75">
      <c r="A14" s="66" t="s">
        <v>154</v>
      </c>
      <c r="B14" s="66" t="s">
        <v>155</v>
      </c>
      <c r="C14" s="66" t="s">
        <v>156</v>
      </c>
      <c r="D14" s="66" t="s">
        <v>157</v>
      </c>
      <c r="E14" s="66" t="s">
        <v>158</v>
      </c>
      <c r="F14" s="66" t="s">
        <v>159</v>
      </c>
      <c r="G14" s="67" t="s">
        <v>160</v>
      </c>
      <c r="H14" s="66" t="s">
        <v>161</v>
      </c>
      <c r="I14" s="66" t="s">
        <v>162</v>
      </c>
      <c r="J14" s="66" t="s">
        <v>163</v>
      </c>
      <c r="K14" s="66" t="s">
        <v>163</v>
      </c>
      <c r="L14" s="66" t="s">
        <v>164</v>
      </c>
      <c r="M14" s="66" t="s">
        <v>165</v>
      </c>
      <c r="N14" s="66" t="s">
        <v>166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1</v>
      </c>
      <c r="K15" s="69">
        <v>1</v>
      </c>
      <c r="L15" s="69">
        <v>0</v>
      </c>
      <c r="M15" s="70">
        <v>1</v>
      </c>
      <c r="N15" s="83">
        <v>11</v>
      </c>
      <c r="O15" s="78" t="s">
        <v>167</v>
      </c>
      <c r="P15" s="77"/>
      <c r="Q15" s="71">
        <v>4140930.0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168</v>
      </c>
      <c r="B18" s="155"/>
      <c r="C18" s="156" t="s">
        <v>113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4140930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169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134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170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Necesidades Trimestrales</vt:lpstr>
      <vt:lpstr>Nota Pedido DA#MP</vt:lpstr>
      <vt:lpstr>APG DA#MP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2022-07-06T14:43:28+00:00</dcterms:created>
  <dcterms:modified xsi:type="dcterms:W3CDTF">2022-07-15T12:40:22+00:00</dcterms:modified>
  <dc:title/>
  <dc:description/>
  <dc:subject/>
  <cp:keywords/>
  <cp:category/>
</cp:coreProperties>
</file>