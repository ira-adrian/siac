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cion\Desktop\carla\vehiculos\compra de camionetas\"/>
    </mc:Choice>
  </mc:AlternateContent>
  <bookViews>
    <workbookView xWindow="0" yWindow="0" windowWidth="28800" windowHeight="12435" tabRatio="500"/>
  </bookViews>
  <sheets>
    <sheet name="Necesidades Trimestrales" sheetId="1" r:id="rId1"/>
  </sheets>
  <definedNames>
    <definedName name="_xlnm.Print_Area" localSheetId="0">'Necesidades Trimestrales'!$A$1:$I$35</definedName>
  </definedNames>
  <calcPr calcId="152511"/>
</workbook>
</file>

<file path=xl/calcChain.xml><?xml version="1.0" encoding="utf-8"?>
<calcChain xmlns="http://schemas.openxmlformats.org/spreadsheetml/2006/main">
  <c r="I12" i="1" l="1"/>
  <c r="I11" i="1" l="1"/>
  <c r="I10" i="1"/>
</calcChain>
</file>

<file path=xl/sharedStrings.xml><?xml version="1.0" encoding="utf-8"?>
<sst xmlns="http://schemas.openxmlformats.org/spreadsheetml/2006/main" count="41" uniqueCount="37">
  <si>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</si>
  <si>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</si>
  <si>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</si>
  <si>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</si>
  <si>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</si>
  <si>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</si>
  <si>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</si>
  <si>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</si>
  <si>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</si>
  <si>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</si>
  <si>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</si>
  <si>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</si>
  <si>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</si>
  <si>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</si>
  <si>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EQUIPOS</t>
  </si>
  <si>
    <t>4.3.2.</t>
  </si>
  <si>
    <t>UNIDAD</t>
  </si>
  <si>
    <t>Especificidades Item N° 1:</t>
  </si>
  <si>
    <t>Descripción</t>
  </si>
  <si>
    <t>Plazos y lugares de entrega</t>
  </si>
  <si>
    <t>Calidad Minima esperada</t>
  </si>
  <si>
    <t>Mantenimiento</t>
  </si>
  <si>
    <t>Garantia</t>
  </si>
  <si>
    <t>GARANTÍA mínima de cinco años o 150.000 Km lo que ocurra primero, estableciendo claramente que partes mecánicas y/o electrónicas alcanzan dicha Garantía</t>
  </si>
  <si>
    <t>4.3.2-1715.337</t>
  </si>
  <si>
    <t>CAMIONETAS; AÑO: SIN VALOR, TIPO: PICK UP, POTENCIA: DESDE 140 CV, CILINDRADA: DESDE 1950 CM3, TRACCION: 4 X 2, CANT. DE CILINDROS: DESDE 4, CAPACIDAD DE CARGA: DESDE 500 KG, TIPO DE MOTOR: DIESEL</t>
  </si>
  <si>
    <t>según garantía tecnica</t>
  </si>
  <si>
    <t xml:space="preserve">45 - MINISTERIO DE DESARROLLO SOCIAL </t>
  </si>
  <si>
    <t>25 - DIRECCION PROVINCIAL DE GESTION ADMINISTRATIVA Y RR HH</t>
  </si>
  <si>
    <t>CAMIONETAS; AÑO: SIN VALOR, TIPO: PICK UP, POTENCIA: DESDE 140 CV, CILINDRADA: DESDE 1950 CM3, TRACCION: 4 X 4, CANT. DE CILINDROS: DESDE 4, CAPACIDAD DE CARGA: DESDE 500 KG, TIPO DE MOTOR: DIESEL</t>
  </si>
  <si>
    <t>4.3.2-1715.338</t>
  </si>
  <si>
    <t>Especificidades Item N° 2:</t>
  </si>
  <si>
    <t>Que cumpla con lo solicitado y anexo 1</t>
  </si>
  <si>
    <r>
      <t xml:space="preserve">a) </t>
    </r>
    <r>
      <rPr>
        <b/>
        <sz val="12"/>
        <rFont val="Century Gothic"/>
        <family val="2"/>
      </rPr>
      <t>LUGAR DE ENTREGA: Secretaria Privada del Ministerio de Desarrollo Social sito Av. Venezuela S/N pabellon Nº 25 C.A.P.E</t>
    </r>
    <r>
      <rPr>
        <sz val="12"/>
        <rFont val="Century Gothic"/>
        <family val="2"/>
      </rPr>
      <t>. De 08 a 12 horas. 
b)</t>
    </r>
    <r>
      <rPr>
        <b/>
        <sz val="12"/>
        <rFont val="Century Gothic"/>
        <family val="2"/>
      </rPr>
      <t xml:space="preserve"> FORMA DE LA ENTREGA</t>
    </r>
    <r>
      <rPr>
        <sz val="12"/>
        <rFont val="Century Gothic"/>
        <family val="2"/>
      </rPr>
      <t xml:space="preserve">: los gastos de flete, acarreos, carga, descarga y seguro por cuenta del adjudicatario. de flete, acarreo y embalaje, como así también, de todo riesgo de pérdida o destrucción total o parcial, por causas ajenas a la Institución.
c)  </t>
    </r>
    <r>
      <rPr>
        <b/>
        <sz val="12"/>
        <rFont val="Century Gothic"/>
        <family val="2"/>
      </rPr>
      <t>PLAZO DE ENTREGA</t>
    </r>
    <r>
      <rPr>
        <sz val="12"/>
        <rFont val="Century Gothic"/>
        <family val="2"/>
      </rPr>
      <t>: El Oferente deberá establecer plazo de entrega de los elementos cotizados, debiendo ser expresado en días hábiles; que no podrá ser superior a treinta (30) días hábiles, contados a partir de la recepción de la comunicación prevista en Reglamento Parcial N° 2 de la ley 4938. - modificada por Ley 5636 Decreto Acuerdo Nº 1127/20 y  Decreto Acuerdo 1573/20 y  Decreto Acuerdo Nº 2036/2020.-</t>
    </r>
  </si>
  <si>
    <r>
      <t xml:space="preserve">
</t>
    </r>
    <r>
      <rPr>
        <b/>
        <u/>
        <sz val="14"/>
        <rFont val="Century Gothic"/>
        <family val="2"/>
      </rPr>
      <t>ADEMAS EL PRECIO OFRECIDO DEBERA ESPECIFICAR:</t>
    </r>
    <r>
      <rPr>
        <b/>
        <sz val="14"/>
        <rFont val="Century Gothic"/>
        <family val="2"/>
      </rPr>
      <t xml:space="preserve">
</t>
    </r>
    <r>
      <rPr>
        <sz val="14"/>
        <rFont val="Century Gothic"/>
        <family val="2"/>
      </rPr>
      <t>1) SERVICIOS que cubre la concesionaria sin cargo;
2) CURSO DE CAPACITACIÓN para el personal de mantenimiento;
3) DOCUMENTACION A ENTREGAR (Título de Propiedad a nombre del Ministerio. Constancias y placas identificadoras pertinentes.) ; 
4) Manual de información y receteo del vehículo; 
5) PATENTAMIENTO a nombre de "MINISTERIO DE DESARROLLO SOCIAL" CUIT: 30-66810566-8 ; 
6) COBERTURA DE SEGURO OBLIGATORIO de responsabilidad civil contra terceros, terceros transportados y terceros no transportados por 60 (sesenta) días, contados a partir de la recepción definitiva de los móviles. ----</t>
    </r>
  </si>
  <si>
    <r>
      <rPr>
        <sz val="12"/>
        <rFont val="Century Gothic"/>
        <family val="2"/>
      </rPr>
      <t xml:space="preserve">Camioneta tipo PICK UP doble cabina nueva sin uso,  Modelo: 2022 0Km; MOTOR TIPO DIESEL CILINDRADAS desde 1950 CM3 Tracción 4x2, Cantidas de Cilindro desde 4 Potencia desde 140 CV y capacidad de carga desde 500 kg. DIMENSIONES: desde los 5,25 metros de longitud y 1,78 metros de alto. Neumáticos: tipo radial sin cámara y llantas de acero de 16 " como mínimo. TRANSMICION: Caja de Cambios Manual. TIPO DE DIRECCION: Hidráulica o eléctrica. CANTIDAD DE PLAZAS TRASERAS: 3 (con sus respectivos cinturones). FAROS ANTINIEBLAS delanteros. CIERRE CENTRALIZADO de puertas. porton de caja de carga con cerradura y apertura amortiguada, frenos con ABS off road, servofreno de emergencia BAS y distribuidor de fuerza de frenado EBD, sistema de frenado automatico post-colision. bloqueo electronico de diferencial EDL, bloqueo mecanico de diferencial, control de estabilidad ESP con control de descenso. Combustible: Diesel. Tanque de combustible: capacidad de 60 lt como mínimo. Capacidad de carga: desde 500 Kg. Equipamiento Interior: AUDIO reproductor de radio AM-FM, mp3, entrada USB y bluetooth como mínimo. Aire acondicionado, - asiento original de fábrica, con apoya cabezas regulables, Elementos de auxilio: con matafuego tri-clase y herramienta estándar de fábrica, ruedas de auxilio, (gato hidráulico y llave de rueda), Balizas triangulares, cubre alfombras, Manuales técnicos de taller, Mantenimiento y de repuestos de la unidad. Seguridad: Cinturón de seguridad inerciales, con regulación de altura, de dos puntos- Doble Airbag delanteros (volante para el conductor y Frente de torpedo para acompañante).
</t>
    </r>
    <r>
      <rPr>
        <b/>
        <u/>
        <sz val="12"/>
        <rFont val="Century Gothic"/>
        <family val="2"/>
      </rPr>
      <t xml:space="preserve">
</t>
    </r>
  </si>
  <si>
    <r>
      <rPr>
        <sz val="12"/>
        <rFont val="Century Gothic"/>
        <family val="2"/>
      </rPr>
      <t xml:space="preserve">Camioneta tipo PICK UP doble cabina nueva sin uso,  Modelo: 2022 0Km; MOTOR TIPO DIESEL CILINDRADAS desde 1950 CM3 Tracción 4x4,Cantidas de Cilindro desde 4 Potencia desde 140 CV y capacidad de carga desde 500 kg. DIMENSIONES: desde los 5,25 metros de longitud y 1,78 metros de alto. Neumáticos: tipo radial sin cámara y llantas de acero de 16 " como mínimo. TRANSMICION: Caja de Cambios Manual. TIPO DE DIRECCION: Hidráulica o eléctrica. CANTIDAD DE PLAZAS TRASERAS: 3 (con sus respectivos cinturones). FAROS ANTINIEBLAS delanteros. CIERRE CENTRALIZADO de puertas. porton de caja de carga con cerradura y apertura amortiguada, frenos con ABS off road, servofreno de emergencia BAS y distribuidor de fuerza de frenado EBD, sistema de frenado automatico post-colision. bloqueo electronico de diferencial EDL, bloqueo mecanico de diferencial, control de estabilidad ESP con control de descenso. control de traccion. Combustible: Diesel. Tanque de combustible: capacidad de 60 lt como mínimo. Capacidad de carga: desde 500 Kg. Equipamiento Interior: AUDIO reproductor de radio AM-FM, mp3, entrada USB y bluetooth como mínimo. Aire acondicionado, - asiento original de fábrica, con apoya cabezas regulables, Elementos de auxilio: con matafuego tri-clase y herramienta estándar de fábrica, ruedas de auxilio, (gato hidráulico y llave de rueda), Balizas triangulares, cubre alfombras, Manuales técnicos de taller, Mantenimiento y de repuestos de la unidad. Seguridad: Cinturón de seguridad inerciales, con regulación de altura, de dos puntos- Doble Airbag delanteros (volante para el conductor y Frente de torpedo para acompañante).
</t>
    </r>
    <r>
      <rPr>
        <b/>
        <u/>
        <sz val="12"/>
        <rFont val="Century Gothic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</si>
</sst>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&quot; €&quot;_-;\-* #,##0.00&quot; €&quot;_-;_-* \-??&quot; €&quot;_-;_-@_-"/>
    <numFmt numFmtId="165" formatCode="[$$-2C0A]\ #,##0.00;[$$-2C0A]&quot; -&quot;#,##0.00"/>
    <numFmt numFmtId="166" formatCode="_-[$$-2C0A]\ * #,##0.00_-;\-[$$-2C0A]\ * #,##0.00_-;_-[$$-2C0A]\ * &quot;-&quot;??_-;_-@_-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  <font>
      <b/>
      <sz val="24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1"/>
      <name val="Century Gothic"/>
      <family val="2"/>
    </font>
    <font>
      <sz val="11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ambria"/>
      <family val="1"/>
    </font>
    <font>
      <b/>
      <sz val="18"/>
      <name val="Century Gothic"/>
      <family val="2"/>
    </font>
    <font>
      <u/>
      <sz val="11"/>
      <name val="Century Gothic"/>
      <family val="2"/>
    </font>
    <font>
      <b/>
      <sz val="14"/>
      <name val="Century Gothic"/>
      <family val="2"/>
    </font>
    <font>
      <b/>
      <u/>
      <sz val="14"/>
      <name val="Century Gothic"/>
      <family val="2"/>
    </font>
    <font>
      <b/>
      <u/>
      <sz val="10"/>
      <name val="Century Gothic"/>
      <family val="2"/>
    </font>
    <font>
      <sz val="14"/>
      <name val="Century Gothic"/>
      <family val="2"/>
    </font>
    <font>
      <b/>
      <sz val="9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63">
    <xf numFmtId="0" fontId="0" fillId="0" borderId="0" xfId="0"/>
    <xf numFmtId="0" fontId="4" fillId="3" borderId="0" xfId="0" applyFont="1" applyFill="1"/>
    <xf numFmtId="0" fontId="4" fillId="3" borderId="0" xfId="0" applyFont="1" applyFill="1" applyBorder="1"/>
    <xf numFmtId="0" fontId="6" fillId="3" borderId="0" xfId="0" applyFont="1" applyFill="1" applyAlignment="1">
      <alignment horizontal="left" wrapText="1"/>
    </xf>
    <xf numFmtId="0" fontId="6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0" fontId="4" fillId="3" borderId="0" xfId="0" applyFont="1" applyFill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indent="1"/>
    </xf>
    <xf numFmtId="0" fontId="9" fillId="3" borderId="3" xfId="0" applyFont="1" applyFill="1" applyBorder="1" applyAlignment="1">
      <alignment horizontal="center" vertical="center" wrapText="1"/>
    </xf>
    <xf numFmtId="165" fontId="14" fillId="3" borderId="3" xfId="1" applyNumberFormat="1" applyFont="1" applyFill="1" applyBorder="1" applyAlignment="1" applyProtection="1">
      <alignment horizontal="right" vertical="center" wrapText="1"/>
    </xf>
    <xf numFmtId="165" fontId="13" fillId="3" borderId="0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6" fillId="3" borderId="3" xfId="0" applyNumberFormat="1" applyFont="1" applyFill="1" applyBorder="1" applyAlignment="1">
      <alignment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horizontal="left" indent="3"/>
    </xf>
    <xf numFmtId="0" fontId="4" fillId="3" borderId="0" xfId="0" applyFont="1" applyFill="1" applyBorder="1" applyAlignment="1">
      <alignment horizontal="left" indent="3"/>
    </xf>
    <xf numFmtId="166" fontId="19" fillId="0" borderId="3" xfId="0" applyNumberFormat="1" applyFont="1" applyBorder="1" applyAlignment="1">
      <alignment horizontal="left" vertical="center" indent="6"/>
    </xf>
    <xf numFmtId="165" fontId="20" fillId="4" borderId="3" xfId="0" applyNumberFormat="1" applyFont="1" applyFill="1" applyBorder="1" applyAlignment="1">
      <alignment vertical="center"/>
    </xf>
    <xf numFmtId="0" fontId="16" fillId="3" borderId="0" xfId="0" applyFont="1" applyFill="1" applyBorder="1" applyAlignment="1">
      <alignment horizontal="left" indent="3"/>
    </xf>
    <xf numFmtId="0" fontId="16" fillId="3" borderId="0" xfId="0" applyFont="1" applyFill="1" applyBorder="1"/>
    <xf numFmtId="0" fontId="21" fillId="3" borderId="0" xfId="0" applyFont="1" applyFill="1" applyBorder="1" applyAlignment="1">
      <alignment horizontal="left" indent="3"/>
    </xf>
    <xf numFmtId="0" fontId="16" fillId="3" borderId="0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vertical="center" wrapText="1"/>
    </xf>
    <xf numFmtId="0" fontId="24" fillId="3" borderId="0" xfId="0" applyFont="1" applyFill="1" applyBorder="1"/>
    <xf numFmtId="0" fontId="24" fillId="3" borderId="0" xfId="0" applyFont="1" applyFill="1" applyBorder="1" applyAlignment="1">
      <alignment horizontal="left" indent="3"/>
    </xf>
    <xf numFmtId="0" fontId="10" fillId="3" borderId="10" xfId="0" applyFont="1" applyFill="1" applyBorder="1" applyAlignment="1">
      <alignment horizontal="left" indent="3"/>
    </xf>
    <xf numFmtId="0" fontId="22" fillId="3" borderId="0" xfId="0" applyFont="1" applyFill="1" applyBorder="1" applyAlignment="1">
      <alignment horizontal="left" vertical="top" wrapText="1"/>
    </xf>
    <xf numFmtId="0" fontId="23" fillId="3" borderId="0" xfId="0" applyFont="1" applyFill="1" applyBorder="1" applyAlignment="1">
      <alignment horizontal="left" vertical="top" wrapText="1"/>
    </xf>
    <xf numFmtId="0" fontId="4" fillId="3" borderId="11" xfId="0" applyFont="1" applyFill="1" applyBorder="1"/>
    <xf numFmtId="0" fontId="21" fillId="3" borderId="2" xfId="0" applyFont="1" applyFill="1" applyBorder="1" applyAlignment="1">
      <alignment horizontal="left" indent="3"/>
    </xf>
    <xf numFmtId="0" fontId="16" fillId="3" borderId="2" xfId="0" applyFont="1" applyFill="1" applyBorder="1"/>
    <xf numFmtId="0" fontId="4" fillId="3" borderId="2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4" fillId="3" borderId="10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24" fillId="3" borderId="2" xfId="0" applyFont="1" applyFill="1" applyBorder="1"/>
    <xf numFmtId="0" fontId="26" fillId="4" borderId="9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left" vertical="top" indent="3"/>
    </xf>
    <xf numFmtId="0" fontId="14" fillId="3" borderId="0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wrapText="1" indent="1"/>
    </xf>
    <xf numFmtId="0" fontId="14" fillId="3" borderId="0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left" wrapText="1"/>
    </xf>
    <xf numFmtId="0" fontId="12" fillId="3" borderId="15" xfId="0" applyFont="1" applyFill="1" applyBorder="1" applyAlignment="1">
      <alignment horizontal="left" vertical="top" wrapText="1"/>
    </xf>
    <xf numFmtId="0" fontId="22" fillId="4" borderId="3" xfId="0" applyFont="1" applyFill="1" applyBorder="1" applyAlignment="1">
      <alignment horizontal="left" vertical="top" wrapText="1"/>
    </xf>
    <xf numFmtId="0" fontId="23" fillId="4" borderId="3" xfId="0" applyFont="1" applyFill="1" applyBorder="1" applyAlignment="1">
      <alignment horizontal="left" vertical="top" wrapText="1"/>
    </xf>
  </cellXfs>
  <cellStyles count="4">
    <cellStyle name="Encabezado 1" xfId="2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0"/>
  <sheetViews>
    <sheetView tabSelected="1" view="pageBreakPreview" topLeftCell="A16" zoomScale="90" zoomScaleNormal="100" zoomScaleSheetLayoutView="90" workbookViewId="0">
      <selection activeCell="C20" sqref="C20:H20"/>
    </sheetView>
  </sheetViews>
  <sheetFormatPr baseColWidth="10" defaultColWidth="11" defaultRowHeight="13.5" x14ac:dyDescent="0.25"/>
  <cols>
    <col min="1" max="1" width="8.42578125" style="1" customWidth="1"/>
    <col min="2" max="2" width="14.85546875" style="1" customWidth="1"/>
    <col min="3" max="3" width="17.7109375" style="1" customWidth="1"/>
    <col min="4" max="4" width="8.42578125" style="1" customWidth="1"/>
    <col min="5" max="5" width="76.7109375" style="1" customWidth="1"/>
    <col min="6" max="6" width="11" style="1"/>
    <col min="7" max="7" width="12.7109375" style="1" customWidth="1"/>
    <col min="8" max="8" width="28.7109375" style="1" customWidth="1"/>
    <col min="9" max="9" width="28.5703125" style="1" customWidth="1"/>
    <col min="10" max="16384" width="11" style="1"/>
  </cols>
  <sheetData>
    <row r="1" spans="1:9" ht="14.25" thickBot="1" x14ac:dyDescent="0.3"/>
    <row r="2" spans="1:9" ht="30" thickBot="1" x14ac:dyDescent="0.4">
      <c r="B2" s="53" t="s">
        <v>0</v>
      </c>
      <c r="C2" s="53"/>
      <c r="D2" s="53"/>
      <c r="E2" s="53"/>
      <c r="F2" s="53"/>
      <c r="G2" s="53"/>
      <c r="H2" s="53"/>
    </row>
    <row r="4" spans="1:9" ht="24.95" customHeight="1" x14ac:dyDescent="0.25">
      <c r="A4" s="54" t="s">
        <v>1</v>
      </c>
      <c r="B4" s="54"/>
      <c r="C4" s="55" t="s">
        <v>27</v>
      </c>
      <c r="D4" s="55"/>
      <c r="E4" s="55"/>
      <c r="F4" s="3"/>
      <c r="G4" s="4"/>
      <c r="H4" s="3"/>
    </row>
    <row r="5" spans="1:9" ht="24.95" customHeight="1" x14ac:dyDescent="0.25">
      <c r="A5" s="54" t="s">
        <v>2</v>
      </c>
      <c r="B5" s="54"/>
      <c r="C5" s="55" t="s">
        <v>28</v>
      </c>
      <c r="D5" s="55"/>
      <c r="E5" s="55"/>
      <c r="F5" s="3"/>
      <c r="G5" s="4"/>
      <c r="H5" s="3"/>
    </row>
    <row r="6" spans="1:9" ht="24.95" customHeight="1" x14ac:dyDescent="0.25">
      <c r="A6" s="54" t="s">
        <v>3</v>
      </c>
      <c r="B6" s="54"/>
      <c r="C6" s="5">
        <v>2022</v>
      </c>
      <c r="D6" s="6"/>
      <c r="E6" s="6"/>
      <c r="F6" s="3"/>
      <c r="G6" s="4"/>
      <c r="H6" s="3"/>
    </row>
    <row r="7" spans="1:9" ht="24.95" customHeight="1" x14ac:dyDescent="0.25">
      <c r="A7" s="54" t="s">
        <v>4</v>
      </c>
      <c r="B7" s="54"/>
      <c r="C7" s="5">
        <v>3</v>
      </c>
      <c r="D7" s="6"/>
      <c r="E7" s="6"/>
      <c r="F7" s="3"/>
      <c r="G7" s="4"/>
      <c r="H7" s="3"/>
    </row>
    <row r="8" spans="1:9" ht="14.25" thickBot="1" x14ac:dyDescent="0.3">
      <c r="B8" s="3"/>
      <c r="C8" s="4"/>
      <c r="D8" s="3"/>
      <c r="E8" s="3"/>
      <c r="F8" s="3"/>
      <c r="G8" s="4"/>
      <c r="H8" s="3"/>
    </row>
    <row r="9" spans="1:9" ht="31.5" customHeight="1" thickBot="1" x14ac:dyDescent="0.3">
      <c r="A9" s="15" t="s">
        <v>5</v>
      </c>
      <c r="B9" s="16" t="s">
        <v>6</v>
      </c>
      <c r="C9" s="17" t="s">
        <v>7</v>
      </c>
      <c r="D9" s="18" t="s">
        <v>8</v>
      </c>
      <c r="E9" s="19" t="s">
        <v>9</v>
      </c>
      <c r="F9" s="50" t="s">
        <v>10</v>
      </c>
      <c r="G9" s="17" t="s">
        <v>11</v>
      </c>
      <c r="H9" s="17" t="s">
        <v>12</v>
      </c>
      <c r="I9" s="20" t="s">
        <v>13</v>
      </c>
    </row>
    <row r="10" spans="1:9" ht="102.75" customHeight="1" thickBot="1" x14ac:dyDescent="0.3">
      <c r="A10" s="8">
        <v>1</v>
      </c>
      <c r="B10" s="23" t="s">
        <v>24</v>
      </c>
      <c r="C10" s="9" t="s">
        <v>14</v>
      </c>
      <c r="D10" s="10" t="s">
        <v>15</v>
      </c>
      <c r="E10" s="21" t="s">
        <v>25</v>
      </c>
      <c r="F10" s="10" t="s">
        <v>16</v>
      </c>
      <c r="G10" s="22">
        <v>3</v>
      </c>
      <c r="H10" s="26">
        <v>6914000</v>
      </c>
      <c r="I10" s="11">
        <f>H10*G10</f>
        <v>20742000</v>
      </c>
    </row>
    <row r="11" spans="1:9" ht="117" customHeight="1" thickBot="1" x14ac:dyDescent="0.3">
      <c r="A11" s="8">
        <v>2</v>
      </c>
      <c r="B11" s="23" t="s">
        <v>30</v>
      </c>
      <c r="C11" s="9" t="s">
        <v>14</v>
      </c>
      <c r="D11" s="10" t="s">
        <v>15</v>
      </c>
      <c r="E11" s="21" t="s">
        <v>29</v>
      </c>
      <c r="F11" s="10" t="s">
        <v>16</v>
      </c>
      <c r="G11" s="22">
        <v>2</v>
      </c>
      <c r="H11" s="26">
        <v>7807000</v>
      </c>
      <c r="I11" s="11">
        <f>H11*G11</f>
        <v>15614000</v>
      </c>
    </row>
    <row r="12" spans="1:9" s="7" customFormat="1" ht="48.75" customHeight="1" thickBot="1" x14ac:dyDescent="0.25">
      <c r="H12" s="13"/>
      <c r="I12" s="27">
        <f>SUM(I10:I11)</f>
        <v>36356000</v>
      </c>
    </row>
    <row r="13" spans="1:9" s="7" customFormat="1" ht="52.5" customHeight="1" x14ac:dyDescent="0.2">
      <c r="G13" s="14"/>
      <c r="H13" s="14"/>
      <c r="I13" s="12"/>
    </row>
    <row r="14" spans="1:9" s="7" customFormat="1" ht="4.5" customHeight="1" thickBot="1" x14ac:dyDescent="0.25">
      <c r="B14" s="14"/>
      <c r="C14" s="14"/>
      <c r="D14" s="14"/>
      <c r="E14" s="14"/>
      <c r="F14" s="14"/>
      <c r="G14" s="14"/>
      <c r="H14" s="14"/>
      <c r="I14" s="12"/>
    </row>
    <row r="15" spans="1:9" x14ac:dyDescent="0.25">
      <c r="A15" s="39"/>
      <c r="B15" s="49" t="s">
        <v>17</v>
      </c>
      <c r="C15" s="42"/>
      <c r="D15" s="42"/>
      <c r="E15" s="42"/>
      <c r="F15" s="42"/>
      <c r="G15" s="42"/>
      <c r="H15" s="42"/>
      <c r="I15" s="43"/>
    </row>
    <row r="16" spans="1:9" ht="15.75" customHeight="1" x14ac:dyDescent="0.25">
      <c r="A16" s="44"/>
      <c r="B16" s="35" t="s">
        <v>18</v>
      </c>
      <c r="C16" s="2"/>
      <c r="D16" s="2"/>
      <c r="E16" s="2"/>
      <c r="F16" s="2"/>
      <c r="G16" s="2"/>
      <c r="H16" s="2"/>
      <c r="I16" s="45"/>
    </row>
    <row r="17" spans="1:10" ht="267" customHeight="1" x14ac:dyDescent="0.25">
      <c r="A17" s="44"/>
      <c r="B17" s="24"/>
      <c r="C17" s="59" t="s">
        <v>35</v>
      </c>
      <c r="D17" s="59"/>
      <c r="E17" s="59"/>
      <c r="F17" s="59"/>
      <c r="G17" s="59"/>
      <c r="H17" s="59"/>
      <c r="I17" s="45"/>
    </row>
    <row r="18" spans="1:10" ht="19.5" customHeight="1" x14ac:dyDescent="0.25">
      <c r="A18" s="44"/>
      <c r="B18" s="34" t="s">
        <v>31</v>
      </c>
      <c r="C18" s="2"/>
      <c r="D18" s="2"/>
      <c r="E18" s="2"/>
      <c r="F18" s="2"/>
      <c r="G18" s="2"/>
      <c r="H18" s="2"/>
      <c r="I18" s="45"/>
    </row>
    <row r="19" spans="1:10" ht="15.75" customHeight="1" x14ac:dyDescent="0.25">
      <c r="A19" s="44"/>
      <c r="B19" s="35" t="s">
        <v>18</v>
      </c>
      <c r="C19" s="2"/>
      <c r="D19" s="2"/>
      <c r="E19" s="2"/>
      <c r="F19" s="2"/>
      <c r="G19" s="2"/>
      <c r="H19" s="2"/>
      <c r="I19" s="45"/>
    </row>
    <row r="20" spans="1:10" ht="236.25" customHeight="1" thickBot="1" x14ac:dyDescent="0.3">
      <c r="A20" s="46"/>
      <c r="B20" s="51"/>
      <c r="C20" s="60" t="s">
        <v>36</v>
      </c>
      <c r="D20" s="60"/>
      <c r="E20" s="60"/>
      <c r="F20" s="60"/>
      <c r="G20" s="60"/>
      <c r="H20" s="60"/>
      <c r="I20" s="48"/>
    </row>
    <row r="21" spans="1:10" ht="7.5" customHeight="1" thickBot="1" x14ac:dyDescent="0.3">
      <c r="A21" s="2"/>
      <c r="B21" s="24"/>
      <c r="C21" s="32"/>
      <c r="D21" s="33"/>
      <c r="E21" s="33"/>
      <c r="F21" s="33"/>
      <c r="G21" s="33"/>
      <c r="H21" s="33"/>
      <c r="I21" s="2"/>
    </row>
    <row r="22" spans="1:10" ht="241.5" customHeight="1" thickBot="1" x14ac:dyDescent="0.3">
      <c r="A22" s="2"/>
      <c r="B22" s="36"/>
      <c r="C22" s="61" t="s">
        <v>34</v>
      </c>
      <c r="D22" s="62"/>
      <c r="E22" s="62"/>
      <c r="F22" s="62"/>
      <c r="G22" s="62"/>
      <c r="H22" s="62"/>
      <c r="I22" s="2"/>
      <c r="J22" s="2"/>
    </row>
    <row r="23" spans="1:10" ht="10.5" customHeight="1" thickBot="1" x14ac:dyDescent="0.3">
      <c r="A23" s="2"/>
      <c r="B23" s="24"/>
      <c r="C23" s="37"/>
      <c r="D23" s="38"/>
      <c r="E23" s="38"/>
      <c r="F23" s="38"/>
      <c r="G23" s="38"/>
      <c r="H23" s="38"/>
      <c r="I23" s="2"/>
      <c r="J23" s="2"/>
    </row>
    <row r="24" spans="1:10" ht="24" customHeight="1" x14ac:dyDescent="0.3">
      <c r="A24" s="39"/>
      <c r="B24" s="40" t="s">
        <v>19</v>
      </c>
      <c r="C24" s="41"/>
      <c r="D24" s="41"/>
      <c r="E24" s="41"/>
      <c r="F24" s="41"/>
      <c r="G24" s="41"/>
      <c r="H24" s="42"/>
      <c r="I24" s="43"/>
    </row>
    <row r="25" spans="1:10" ht="113.25" customHeight="1" x14ac:dyDescent="0.3">
      <c r="A25" s="44"/>
      <c r="B25" s="28"/>
      <c r="C25" s="56" t="s">
        <v>33</v>
      </c>
      <c r="D25" s="56"/>
      <c r="E25" s="56"/>
      <c r="F25" s="56"/>
      <c r="G25" s="56"/>
      <c r="H25" s="56"/>
      <c r="I25" s="45"/>
    </row>
    <row r="26" spans="1:10" ht="15" customHeight="1" x14ac:dyDescent="0.3">
      <c r="A26" s="44"/>
      <c r="B26" s="28"/>
      <c r="C26" s="58"/>
      <c r="D26" s="58"/>
      <c r="E26" s="58"/>
      <c r="F26" s="29"/>
      <c r="G26" s="29"/>
      <c r="H26" s="2"/>
      <c r="I26" s="45"/>
    </row>
    <row r="27" spans="1:10" ht="16.5" x14ac:dyDescent="0.3">
      <c r="A27" s="44"/>
      <c r="B27" s="30" t="s">
        <v>20</v>
      </c>
      <c r="C27" s="29"/>
      <c r="D27" s="29"/>
      <c r="E27" s="29"/>
      <c r="F27" s="29"/>
      <c r="G27" s="29"/>
      <c r="H27" s="2"/>
      <c r="I27" s="45"/>
    </row>
    <row r="28" spans="1:10" ht="26.25" customHeight="1" x14ac:dyDescent="0.3">
      <c r="A28" s="44"/>
      <c r="B28" s="28"/>
      <c r="C28" s="56" t="s">
        <v>32</v>
      </c>
      <c r="D28" s="56"/>
      <c r="E28" s="56"/>
      <c r="F28" s="29"/>
      <c r="G28" s="29"/>
      <c r="H28" s="2"/>
      <c r="I28" s="45"/>
    </row>
    <row r="29" spans="1:10" ht="16.5" x14ac:dyDescent="0.3">
      <c r="A29" s="44"/>
      <c r="B29" s="30" t="s">
        <v>21</v>
      </c>
      <c r="C29" s="31"/>
      <c r="D29" s="31"/>
      <c r="E29" s="31"/>
      <c r="F29" s="29"/>
      <c r="G29" s="29"/>
      <c r="H29" s="2"/>
      <c r="I29" s="45"/>
    </row>
    <row r="30" spans="1:10" ht="26.25" customHeight="1" x14ac:dyDescent="0.3">
      <c r="A30" s="44"/>
      <c r="B30" s="28"/>
      <c r="C30" s="57" t="s">
        <v>26</v>
      </c>
      <c r="D30" s="57"/>
      <c r="E30" s="57"/>
      <c r="F30" s="29"/>
      <c r="G30" s="29"/>
      <c r="H30" s="2"/>
      <c r="I30" s="45"/>
    </row>
    <row r="31" spans="1:10" ht="16.5" x14ac:dyDescent="0.3">
      <c r="A31" s="44"/>
      <c r="B31" s="30" t="s">
        <v>22</v>
      </c>
      <c r="C31" s="29"/>
      <c r="D31" s="29"/>
      <c r="E31" s="29"/>
      <c r="F31" s="29"/>
      <c r="G31" s="29"/>
      <c r="H31" s="2"/>
      <c r="I31" s="45"/>
    </row>
    <row r="32" spans="1:10" ht="40.5" customHeight="1" x14ac:dyDescent="0.3">
      <c r="A32" s="44"/>
      <c r="B32" s="30"/>
      <c r="C32" s="52" t="s">
        <v>23</v>
      </c>
      <c r="D32" s="52"/>
      <c r="E32" s="52"/>
      <c r="F32" s="52"/>
      <c r="G32" s="52"/>
      <c r="H32" s="52"/>
      <c r="I32" s="45"/>
    </row>
    <row r="33" spans="1:9" x14ac:dyDescent="0.25">
      <c r="A33" s="44"/>
      <c r="B33" s="25"/>
      <c r="C33" s="2"/>
      <c r="D33" s="2"/>
      <c r="E33" s="2"/>
      <c r="F33" s="2"/>
      <c r="G33" s="2"/>
      <c r="H33" s="2"/>
      <c r="I33" s="45"/>
    </row>
    <row r="34" spans="1:9" x14ac:dyDescent="0.25">
      <c r="A34" s="44"/>
      <c r="B34" s="2"/>
      <c r="C34" s="2"/>
      <c r="D34" s="2"/>
      <c r="E34" s="2"/>
      <c r="F34" s="2"/>
      <c r="G34" s="2"/>
      <c r="H34" s="2"/>
      <c r="I34" s="45"/>
    </row>
    <row r="35" spans="1:9" ht="14.25" thickBot="1" x14ac:dyDescent="0.3">
      <c r="A35" s="46"/>
      <c r="B35" s="47"/>
      <c r="C35" s="47"/>
      <c r="D35" s="47"/>
      <c r="E35" s="47"/>
      <c r="F35" s="47"/>
      <c r="G35" s="47"/>
      <c r="H35" s="47"/>
      <c r="I35" s="48"/>
    </row>
    <row r="36" spans="1:9" x14ac:dyDescent="0.25">
      <c r="C36" s="2"/>
      <c r="D36" s="2"/>
      <c r="E36" s="2"/>
      <c r="F36" s="2"/>
      <c r="G36" s="2"/>
      <c r="H36" s="2"/>
      <c r="I36" s="2"/>
    </row>
    <row r="37" spans="1:9" x14ac:dyDescent="0.25">
      <c r="C37" s="2"/>
      <c r="D37" s="2"/>
      <c r="E37" s="2"/>
      <c r="F37" s="2"/>
      <c r="G37" s="2"/>
      <c r="H37" s="2"/>
      <c r="I37" s="2"/>
    </row>
    <row r="38" spans="1:9" x14ac:dyDescent="0.25">
      <c r="C38" s="2"/>
      <c r="D38" s="2"/>
      <c r="E38" s="2"/>
      <c r="F38" s="2"/>
      <c r="G38" s="2"/>
      <c r="H38" s="2"/>
      <c r="I38" s="2"/>
    </row>
    <row r="39" spans="1:9" x14ac:dyDescent="0.25">
      <c r="C39" s="2"/>
      <c r="D39" s="2"/>
      <c r="E39" s="2"/>
      <c r="F39" s="2"/>
      <c r="G39" s="2"/>
      <c r="H39" s="2"/>
      <c r="I39" s="2"/>
    </row>
    <row r="40" spans="1:9" x14ac:dyDescent="0.25">
      <c r="C40" s="2"/>
      <c r="D40" s="2"/>
      <c r="E40" s="2"/>
      <c r="F40" s="2"/>
      <c r="G40" s="2"/>
      <c r="H40" s="2"/>
      <c r="I40" s="2"/>
    </row>
    <row r="41" spans="1:9" x14ac:dyDescent="0.25">
      <c r="C41" s="2"/>
      <c r="D41" s="2"/>
      <c r="E41" s="2"/>
      <c r="F41" s="2"/>
      <c r="G41" s="2"/>
      <c r="H41" s="2"/>
      <c r="I41" s="2"/>
    </row>
    <row r="42" spans="1:9" x14ac:dyDescent="0.25">
      <c r="C42" s="2"/>
      <c r="D42" s="2"/>
      <c r="E42" s="2"/>
      <c r="F42" s="2"/>
      <c r="G42" s="2"/>
      <c r="H42" s="2"/>
      <c r="I42" s="2"/>
    </row>
    <row r="43" spans="1:9" x14ac:dyDescent="0.25">
      <c r="C43" s="2"/>
      <c r="D43" s="2"/>
      <c r="E43" s="2"/>
      <c r="F43" s="2"/>
      <c r="G43" s="2"/>
      <c r="H43" s="2"/>
      <c r="I43" s="2"/>
    </row>
    <row r="44" spans="1:9" x14ac:dyDescent="0.25">
      <c r="C44" s="2"/>
      <c r="D44" s="2"/>
      <c r="E44" s="2"/>
      <c r="F44" s="2"/>
      <c r="G44" s="2"/>
      <c r="H44" s="2"/>
      <c r="I44" s="2"/>
    </row>
    <row r="45" spans="1:9" x14ac:dyDescent="0.25">
      <c r="C45" s="2"/>
      <c r="D45" s="2"/>
      <c r="E45" s="2"/>
      <c r="F45" s="2"/>
      <c r="G45" s="2"/>
      <c r="H45" s="2"/>
      <c r="I45" s="2"/>
    </row>
    <row r="46" spans="1:9" x14ac:dyDescent="0.25">
      <c r="C46" s="2"/>
      <c r="D46" s="2"/>
      <c r="E46" s="2"/>
      <c r="F46" s="2"/>
      <c r="G46" s="2"/>
      <c r="H46" s="2"/>
      <c r="I46" s="2"/>
    </row>
    <row r="47" spans="1:9" x14ac:dyDescent="0.25">
      <c r="C47" s="2"/>
      <c r="D47" s="2"/>
      <c r="E47" s="2"/>
      <c r="F47" s="2"/>
      <c r="G47" s="2"/>
      <c r="H47" s="2"/>
      <c r="I47" s="2"/>
    </row>
    <row r="48" spans="1:9" x14ac:dyDescent="0.25">
      <c r="C48" s="2"/>
      <c r="D48" s="2"/>
      <c r="E48" s="2"/>
      <c r="F48" s="2"/>
      <c r="G48" s="2"/>
      <c r="H48" s="2"/>
      <c r="I48" s="2"/>
    </row>
    <row r="49" spans="3:9" x14ac:dyDescent="0.25">
      <c r="C49" s="2"/>
      <c r="D49" s="2"/>
      <c r="E49" s="2"/>
      <c r="F49" s="2"/>
      <c r="G49" s="2"/>
      <c r="H49" s="2"/>
      <c r="I49" s="2"/>
    </row>
    <row r="50" spans="3:9" x14ac:dyDescent="0.25">
      <c r="C50" s="2"/>
      <c r="D50" s="2"/>
      <c r="E50" s="2"/>
      <c r="F50" s="2"/>
      <c r="G50" s="2"/>
      <c r="H50" s="2"/>
      <c r="I50" s="2"/>
    </row>
    <row r="51" spans="3:9" x14ac:dyDescent="0.25">
      <c r="C51" s="2"/>
      <c r="D51" s="2"/>
      <c r="E51" s="2"/>
      <c r="F51" s="2"/>
      <c r="G51" s="2"/>
      <c r="H51" s="2"/>
      <c r="I51" s="2"/>
    </row>
    <row r="52" spans="3:9" x14ac:dyDescent="0.25">
      <c r="C52" s="2"/>
      <c r="D52" s="2"/>
      <c r="E52" s="2"/>
      <c r="F52" s="2"/>
      <c r="G52" s="2"/>
      <c r="H52" s="2"/>
      <c r="I52" s="2"/>
    </row>
    <row r="53" spans="3:9" x14ac:dyDescent="0.25">
      <c r="C53" s="2"/>
      <c r="D53" s="2"/>
      <c r="E53" s="2"/>
      <c r="F53" s="2"/>
      <c r="G53" s="2"/>
      <c r="H53" s="2"/>
      <c r="I53" s="2"/>
    </row>
    <row r="54" spans="3:9" x14ac:dyDescent="0.25">
      <c r="C54" s="2"/>
      <c r="D54" s="2"/>
      <c r="E54" s="2"/>
      <c r="F54" s="2"/>
      <c r="G54" s="2"/>
      <c r="H54" s="2"/>
      <c r="I54" s="2"/>
    </row>
    <row r="55" spans="3:9" x14ac:dyDescent="0.25">
      <c r="C55" s="2"/>
      <c r="D55" s="2"/>
      <c r="E55" s="2"/>
      <c r="F55" s="2"/>
      <c r="G55" s="2"/>
      <c r="H55" s="2"/>
      <c r="I55" s="2"/>
    </row>
    <row r="56" spans="3:9" x14ac:dyDescent="0.25">
      <c r="C56" s="2"/>
      <c r="D56" s="2"/>
      <c r="E56" s="2"/>
      <c r="F56" s="2"/>
      <c r="G56" s="2"/>
      <c r="H56" s="2"/>
      <c r="I56" s="2"/>
    </row>
    <row r="57" spans="3:9" x14ac:dyDescent="0.25">
      <c r="C57" s="2"/>
      <c r="D57" s="2"/>
      <c r="E57" s="2"/>
      <c r="F57" s="2"/>
      <c r="G57" s="2"/>
      <c r="H57" s="2"/>
      <c r="I57" s="2"/>
    </row>
    <row r="58" spans="3:9" x14ac:dyDescent="0.25">
      <c r="C58" s="2"/>
      <c r="D58" s="2"/>
      <c r="E58" s="2"/>
      <c r="F58" s="2"/>
      <c r="G58" s="2"/>
      <c r="H58" s="2"/>
      <c r="I58" s="2"/>
    </row>
    <row r="59" spans="3:9" x14ac:dyDescent="0.25">
      <c r="C59" s="2"/>
      <c r="D59" s="2"/>
      <c r="E59" s="2"/>
      <c r="F59" s="2"/>
      <c r="G59" s="2"/>
      <c r="H59" s="2"/>
      <c r="I59" s="2"/>
    </row>
    <row r="60" spans="3:9" x14ac:dyDescent="0.25">
      <c r="C60" s="2"/>
      <c r="D60" s="2"/>
      <c r="E60" s="2"/>
      <c r="F60" s="2"/>
      <c r="G60" s="2"/>
      <c r="H60" s="2"/>
      <c r="I60" s="2"/>
    </row>
    <row r="61" spans="3:9" x14ac:dyDescent="0.25">
      <c r="F61" s="2"/>
    </row>
    <row r="62" spans="3:9" x14ac:dyDescent="0.25">
      <c r="F62" s="2"/>
    </row>
    <row r="63" spans="3:9" x14ac:dyDescent="0.25">
      <c r="F63" s="2"/>
    </row>
    <row r="64" spans="3:9" x14ac:dyDescent="0.25">
      <c r="F64" s="2"/>
    </row>
    <row r="65" spans="6:6" x14ac:dyDescent="0.25">
      <c r="F65" s="2"/>
    </row>
    <row r="66" spans="6:6" x14ac:dyDescent="0.25">
      <c r="F66" s="2"/>
    </row>
    <row r="67" spans="6:6" x14ac:dyDescent="0.25">
      <c r="F67" s="2"/>
    </row>
    <row r="68" spans="6:6" x14ac:dyDescent="0.25">
      <c r="F68" s="2"/>
    </row>
    <row r="69" spans="6:6" x14ac:dyDescent="0.25">
      <c r="F69" s="2"/>
    </row>
    <row r="70" spans="6:6" x14ac:dyDescent="0.25">
      <c r="F70" s="2"/>
    </row>
    <row r="71" spans="6:6" x14ac:dyDescent="0.25">
      <c r="F71" s="2"/>
    </row>
    <row r="72" spans="6:6" x14ac:dyDescent="0.25">
      <c r="F72" s="2"/>
    </row>
    <row r="73" spans="6:6" x14ac:dyDescent="0.25">
      <c r="F73" s="2"/>
    </row>
    <row r="74" spans="6:6" x14ac:dyDescent="0.25">
      <c r="F74" s="2"/>
    </row>
    <row r="75" spans="6:6" x14ac:dyDescent="0.25">
      <c r="F75" s="2"/>
    </row>
    <row r="76" spans="6:6" x14ac:dyDescent="0.25">
      <c r="F76" s="2"/>
    </row>
    <row r="77" spans="6:6" x14ac:dyDescent="0.25">
      <c r="F77" s="2"/>
    </row>
    <row r="78" spans="6:6" x14ac:dyDescent="0.25">
      <c r="F78" s="2"/>
    </row>
    <row r="79" spans="6:6" x14ac:dyDescent="0.25">
      <c r="F79" s="2"/>
    </row>
    <row r="80" spans="6:6" x14ac:dyDescent="0.25">
      <c r="F80" s="2"/>
    </row>
    <row r="81" spans="6:6" x14ac:dyDescent="0.25">
      <c r="F81" s="2"/>
    </row>
    <row r="82" spans="6:6" x14ac:dyDescent="0.25">
      <c r="F82" s="2"/>
    </row>
    <row r="83" spans="6:6" x14ac:dyDescent="0.25">
      <c r="F83" s="2"/>
    </row>
    <row r="84" spans="6:6" x14ac:dyDescent="0.25">
      <c r="F84" s="2"/>
    </row>
    <row r="85" spans="6:6" x14ac:dyDescent="0.25">
      <c r="F85" s="2"/>
    </row>
    <row r="86" spans="6:6" x14ac:dyDescent="0.25">
      <c r="F86" s="2"/>
    </row>
    <row r="87" spans="6:6" x14ac:dyDescent="0.25">
      <c r="F87" s="2"/>
    </row>
    <row r="88" spans="6:6" x14ac:dyDescent="0.25">
      <c r="F88" s="2"/>
    </row>
    <row r="89" spans="6:6" x14ac:dyDescent="0.25">
      <c r="F89" s="2"/>
    </row>
    <row r="90" spans="6:6" x14ac:dyDescent="0.25">
      <c r="F90" s="2"/>
    </row>
    <row r="91" spans="6:6" x14ac:dyDescent="0.25">
      <c r="F91" s="2"/>
    </row>
    <row r="92" spans="6:6" x14ac:dyDescent="0.25">
      <c r="F92" s="2"/>
    </row>
    <row r="93" spans="6:6" x14ac:dyDescent="0.25">
      <c r="F93" s="2"/>
    </row>
    <row r="94" spans="6:6" x14ac:dyDescent="0.25">
      <c r="F94" s="2"/>
    </row>
    <row r="95" spans="6:6" x14ac:dyDescent="0.25">
      <c r="F95" s="2"/>
    </row>
    <row r="96" spans="6:6" x14ac:dyDescent="0.25">
      <c r="F96" s="2"/>
    </row>
    <row r="97" spans="6:6" x14ac:dyDescent="0.25">
      <c r="F97" s="2"/>
    </row>
    <row r="98" spans="6:6" x14ac:dyDescent="0.25">
      <c r="F98" s="2"/>
    </row>
    <row r="99" spans="6:6" x14ac:dyDescent="0.25">
      <c r="F99" s="2"/>
    </row>
    <row r="100" spans="6:6" x14ac:dyDescent="0.25">
      <c r="F100" s="2"/>
    </row>
    <row r="101" spans="6:6" x14ac:dyDescent="0.25">
      <c r="F101" s="2"/>
    </row>
    <row r="102" spans="6:6" x14ac:dyDescent="0.25">
      <c r="F102" s="2"/>
    </row>
    <row r="103" spans="6:6" x14ac:dyDescent="0.25">
      <c r="F103" s="2"/>
    </row>
    <row r="104" spans="6:6" x14ac:dyDescent="0.25">
      <c r="F104" s="2"/>
    </row>
    <row r="105" spans="6:6" x14ac:dyDescent="0.25">
      <c r="F105" s="2"/>
    </row>
    <row r="106" spans="6:6" x14ac:dyDescent="0.25">
      <c r="F106" s="2"/>
    </row>
    <row r="107" spans="6:6" x14ac:dyDescent="0.25">
      <c r="F107" s="2"/>
    </row>
    <row r="108" spans="6:6" x14ac:dyDescent="0.25">
      <c r="F108" s="2"/>
    </row>
    <row r="109" spans="6:6" x14ac:dyDescent="0.25">
      <c r="F109" s="2"/>
    </row>
    <row r="110" spans="6:6" x14ac:dyDescent="0.25">
      <c r="F110" s="2"/>
    </row>
    <row r="111" spans="6:6" x14ac:dyDescent="0.25">
      <c r="F111" s="2"/>
    </row>
    <row r="112" spans="6:6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</sheetData>
  <mergeCells count="15">
    <mergeCell ref="C32:H32"/>
    <mergeCell ref="B2:H2"/>
    <mergeCell ref="A4:B4"/>
    <mergeCell ref="C4:E4"/>
    <mergeCell ref="A5:B5"/>
    <mergeCell ref="C5:E5"/>
    <mergeCell ref="C28:E28"/>
    <mergeCell ref="C30:E30"/>
    <mergeCell ref="A6:B6"/>
    <mergeCell ref="A7:B7"/>
    <mergeCell ref="C26:E26"/>
    <mergeCell ref="C17:H17"/>
    <mergeCell ref="C20:H20"/>
    <mergeCell ref="C25:H25"/>
    <mergeCell ref="C22:H22"/>
  </mergeCells>
  <pageMargins left="0.25" right="0.25" top="0.78" bottom="0.28999999999999998" header="0.3" footer="0.3"/>
  <pageSetup paperSize="5" scale="84" firstPageNumber="0" fitToWidth="0" fitToHeight="0" orientation="landscape" r:id="rId1"/>
  <rowBreaks count="2" manualBreakCount="2">
    <brk id="13" max="8" man="1"/>
    <brk id="2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Administracion</cp:lastModifiedBy>
  <cp:revision>2</cp:revision>
  <cp:lastPrinted>2022-07-15T16:00:54Z</cp:lastPrinted>
  <dcterms:created xsi:type="dcterms:W3CDTF">2020-07-17T23:44:49Z</dcterms:created>
  <dcterms:modified xsi:type="dcterms:W3CDTF">2022-07-19T17:12:57Z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