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228"/>
  <workbookPr defaultThemeVersion="124226"/>
  <mc:AlternateContent xmlns:mc="http://schemas.openxmlformats.org/markup-compatibility/2006">
    <mc:Choice Requires="x15">
      <x15ac:absPath xmlns:x15ac="http://schemas.microsoft.com/office/spreadsheetml/2010/11/ac" url="C:\Users\JOHANA AYBAR\Downloads\"/>
    </mc:Choice>
  </mc:AlternateContent>
  <xr:revisionPtr revIDLastSave="0" documentId="8_{56B95122-FCE5-4A5E-85DA-E6F1B81AB9D4}" xr6:coauthVersionLast="47" xr6:coauthVersionMax="47" xr10:uidLastSave="{00000000-0000-0000-0000-000000000000}"/>
  <bookViews>
    <workbookView xWindow="-120" yWindow="-120" windowWidth="29040" windowHeight="15840" tabRatio="500" firstSheet="3" activeTab="4" xr2:uid="{00000000-000D-0000-FFFF-FFFF00000000}"/>
  </bookViews>
  <sheets>
    <sheet name="gas" sheetId="4" state="hidden" r:id="rId1"/>
    <sheet name="limpieza" sheetId="5" state="hidden" r:id="rId2"/>
    <sheet name="alimento" sheetId="1" state="hidden" r:id="rId3"/>
    <sheet name=" NotaPedido" sheetId="2" r:id="rId4"/>
    <sheet name="ALIM-IMP" sheetId="9" r:id="rId5"/>
    <sheet name="Autor Gastar" sheetId="3" r:id="rId6"/>
    <sheet name=" NotaPedido (2)" sheetId="10" state="hidden" r:id="rId7"/>
    <sheet name="GAS-IMP" sheetId="7" state="hidden" r:id="rId8"/>
    <sheet name="Autor Gastar (2)" sheetId="11" state="hidden" r:id="rId9"/>
    <sheet name="LIM-IMP" sheetId="8" state="hidden" r:id="rId10"/>
  </sheets>
  <externalReferences>
    <externalReference r:id="rId11"/>
    <externalReference r:id="rId12"/>
  </externalReferences>
  <definedNames>
    <definedName name="_xlnm.Print_Area" localSheetId="3">' NotaPedido'!$A$1:$L$46</definedName>
    <definedName name="_xlnm.Print_Area" localSheetId="6">' NotaPedido (2)'!$A$1:$L$14</definedName>
    <definedName name="_xlnm.Print_Area" localSheetId="4">'ALIM-IMP'!$A$8:$I$43</definedName>
    <definedName name="_xlnm.Print_Area" localSheetId="5">'Autor Gastar'!$A$1:$Q$24</definedName>
    <definedName name="_xlnm.Print_Area" localSheetId="8">'Autor Gastar (2)'!$A$1:$Q$27</definedName>
    <definedName name="_xlnm.Print_Area" localSheetId="1">limpieza!$A$1:$I$118</definedName>
    <definedName name="_xlnm.Print_Titles" localSheetId="3">' NotaPedido'!$1:$9</definedName>
    <definedName name="_xlnm.Print_Titles" localSheetId="6">' NotaPedido (2)'!$1:$9</definedName>
  </definedNames>
  <calcPr calcId="191029"/>
</workbook>
</file>

<file path=xl/calcChain.xml><?xml version="1.0" encoding="utf-8"?>
<calcChain xmlns="http://schemas.openxmlformats.org/spreadsheetml/2006/main">
  <c r="G360" i="9" l="1"/>
  <c r="G361" i="9" s="1"/>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9" i="9"/>
  <c r="Q23" i="11" l="1"/>
  <c r="I15" i="11"/>
  <c r="A10" i="11"/>
  <c r="D1" i="11"/>
  <c r="K13" i="10"/>
  <c r="J13" i="10"/>
  <c r="I13" i="10"/>
  <c r="C13" i="10"/>
  <c r="B13" i="10"/>
  <c r="K12" i="10"/>
  <c r="J12" i="10"/>
  <c r="I12" i="10"/>
  <c r="C12" i="10"/>
  <c r="B12" i="10"/>
  <c r="D7" i="10"/>
  <c r="D4" i="10"/>
  <c r="D3" i="10"/>
  <c r="L12" i="10" l="1"/>
  <c r="L13" i="10"/>
  <c r="J14" i="10" s="1"/>
  <c r="I10" i="7"/>
  <c r="I11" i="7"/>
  <c r="D7" i="2"/>
  <c r="D1" i="3"/>
  <c r="J12" i="2"/>
  <c r="K12" i="2"/>
  <c r="J13" i="2"/>
  <c r="K13" i="2"/>
  <c r="J14" i="2"/>
  <c r="K14" i="2"/>
  <c r="J15" i="2"/>
  <c r="K15" i="2"/>
  <c r="J16" i="2"/>
  <c r="K16" i="2"/>
  <c r="J17" i="2"/>
  <c r="K17" i="2"/>
  <c r="J18" i="2"/>
  <c r="K18" i="2"/>
  <c r="J19" i="2"/>
  <c r="K19" i="2"/>
  <c r="J20" i="2"/>
  <c r="K20" i="2"/>
  <c r="J21" i="2"/>
  <c r="K21" i="2"/>
  <c r="J22" i="2"/>
  <c r="K22" i="2"/>
  <c r="J23" i="2"/>
  <c r="K23" i="2"/>
  <c r="J24" i="2"/>
  <c r="K24" i="2"/>
  <c r="J25" i="2"/>
  <c r="K25" i="2"/>
  <c r="J26" i="2"/>
  <c r="K26" i="2"/>
  <c r="J27" i="2"/>
  <c r="K27" i="2"/>
  <c r="J28" i="2"/>
  <c r="K28" i="2"/>
  <c r="J29" i="2"/>
  <c r="K29" i="2"/>
  <c r="J30" i="2"/>
  <c r="K30" i="2"/>
  <c r="J31" i="2"/>
  <c r="K31" i="2"/>
  <c r="J32" i="2"/>
  <c r="K32" i="2"/>
  <c r="J33" i="2"/>
  <c r="K33" i="2"/>
  <c r="J34" i="2"/>
  <c r="K34" i="2"/>
  <c r="L34" i="2" s="1"/>
  <c r="J35" i="2"/>
  <c r="K35" i="2"/>
  <c r="J36" i="2"/>
  <c r="K36" i="2"/>
  <c r="J37" i="2"/>
  <c r="K37" i="2"/>
  <c r="J38" i="2"/>
  <c r="K38" i="2"/>
  <c r="J39" i="2"/>
  <c r="K39" i="2"/>
  <c r="J40" i="2"/>
  <c r="K40" i="2"/>
  <c r="J41" i="2"/>
  <c r="K41" i="2"/>
  <c r="J42" i="2"/>
  <c r="K42" i="2"/>
  <c r="J43" i="2"/>
  <c r="K43" i="2"/>
  <c r="J44" i="2"/>
  <c r="K44" i="2"/>
  <c r="J45" i="2"/>
  <c r="K45" i="2"/>
  <c r="I42" i="2"/>
  <c r="I43" i="2"/>
  <c r="I44" i="2"/>
  <c r="I45" i="2"/>
  <c r="C42" i="2"/>
  <c r="C43" i="2"/>
  <c r="C44" i="2"/>
  <c r="C45" i="2"/>
  <c r="B42" i="2"/>
  <c r="B43" i="2"/>
  <c r="B44" i="2"/>
  <c r="B45" i="2"/>
  <c r="I11" i="8"/>
  <c r="I10" i="8"/>
  <c r="I9" i="8"/>
  <c r="I13" i="2"/>
  <c r="I15" i="2"/>
  <c r="I16" i="2"/>
  <c r="I17" i="2"/>
  <c r="I18" i="2"/>
  <c r="I19" i="2"/>
  <c r="I20" i="2"/>
  <c r="I21" i="2"/>
  <c r="I22" i="2"/>
  <c r="I23" i="2"/>
  <c r="I24" i="2"/>
  <c r="I25" i="2"/>
  <c r="I26" i="2"/>
  <c r="I27" i="2"/>
  <c r="I28" i="2"/>
  <c r="I29" i="2"/>
  <c r="I30" i="2"/>
  <c r="I31" i="2"/>
  <c r="I32" i="2"/>
  <c r="I33" i="2"/>
  <c r="I34" i="2"/>
  <c r="I35" i="2"/>
  <c r="I36" i="2"/>
  <c r="I37" i="2"/>
  <c r="I38" i="2"/>
  <c r="I39" i="2"/>
  <c r="I40" i="2"/>
  <c r="I41" i="2"/>
  <c r="I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12" i="2"/>
  <c r="C1120" i="9"/>
  <c r="E111" i="5"/>
  <c r="B111" i="5"/>
  <c r="E76" i="5"/>
  <c r="B76" i="5"/>
  <c r="B41" i="5"/>
  <c r="E41" i="5"/>
  <c r="E39" i="4"/>
  <c r="B39" i="4"/>
  <c r="E1082" i="1"/>
  <c r="B1082" i="1"/>
  <c r="E1047" i="1"/>
  <c r="B1047" i="1"/>
  <c r="E1012" i="1"/>
  <c r="B1012" i="1"/>
  <c r="E977" i="1"/>
  <c r="B977" i="1"/>
  <c r="E942" i="1"/>
  <c r="B942" i="1"/>
  <c r="E907" i="1"/>
  <c r="B907" i="1"/>
  <c r="E872" i="1"/>
  <c r="B872" i="1"/>
  <c r="E837" i="1"/>
  <c r="B837" i="1"/>
  <c r="E802" i="1"/>
  <c r="B802" i="1"/>
  <c r="E767" i="1"/>
  <c r="B767" i="1"/>
  <c r="E732" i="1"/>
  <c r="B732" i="1"/>
  <c r="E697" i="1"/>
  <c r="B697" i="1"/>
  <c r="E662" i="1"/>
  <c r="B662" i="1"/>
  <c r="E627" i="1"/>
  <c r="B627" i="1"/>
  <c r="E592" i="1"/>
  <c r="B592" i="1"/>
  <c r="E557" i="1"/>
  <c r="B557" i="1"/>
  <c r="E522" i="1"/>
  <c r="B522" i="1"/>
  <c r="E487" i="1"/>
  <c r="B487" i="1"/>
  <c r="E452" i="1"/>
  <c r="B452" i="1"/>
  <c r="E417" i="1"/>
  <c r="B417" i="1"/>
  <c r="E382" i="1"/>
  <c r="B382" i="1"/>
  <c r="E347" i="1"/>
  <c r="B347" i="1"/>
  <c r="E312" i="1"/>
  <c r="B312" i="1"/>
  <c r="E277" i="1"/>
  <c r="B277" i="1"/>
  <c r="E242" i="1"/>
  <c r="B242" i="1"/>
  <c r="E207" i="1"/>
  <c r="B207" i="1"/>
  <c r="E172" i="1"/>
  <c r="B172" i="1"/>
  <c r="E137" i="1"/>
  <c r="B137" i="1"/>
  <c r="E102" i="1"/>
  <c r="B102" i="1"/>
  <c r="E67" i="1"/>
  <c r="B67" i="1"/>
  <c r="E110" i="5"/>
  <c r="B110" i="5"/>
  <c r="E109" i="5"/>
  <c r="B109" i="5"/>
  <c r="E108" i="5"/>
  <c r="B108" i="5"/>
  <c r="E107" i="5"/>
  <c r="B107" i="5"/>
  <c r="E106" i="5"/>
  <c r="B106" i="5"/>
  <c r="E105" i="5"/>
  <c r="B105" i="5"/>
  <c r="E104" i="5"/>
  <c r="B104" i="5"/>
  <c r="E103" i="5"/>
  <c r="B103" i="5"/>
  <c r="E102" i="5"/>
  <c r="B102" i="5"/>
  <c r="E101" i="5"/>
  <c r="B101" i="5"/>
  <c r="E100" i="5"/>
  <c r="B100" i="5"/>
  <c r="E99" i="5"/>
  <c r="B99" i="5"/>
  <c r="E98" i="5"/>
  <c r="B98" i="5"/>
  <c r="E97" i="5"/>
  <c r="B97" i="5"/>
  <c r="E96" i="5"/>
  <c r="B96" i="5"/>
  <c r="E95" i="5"/>
  <c r="B95" i="5"/>
  <c r="E94" i="5"/>
  <c r="B94" i="5"/>
  <c r="E93" i="5"/>
  <c r="B93" i="5"/>
  <c r="E92" i="5"/>
  <c r="B92" i="5"/>
  <c r="E75" i="5"/>
  <c r="B75" i="5"/>
  <c r="E74" i="5"/>
  <c r="B74" i="5"/>
  <c r="E73" i="5"/>
  <c r="B73" i="5"/>
  <c r="E72" i="5"/>
  <c r="B72" i="5"/>
  <c r="E71" i="5"/>
  <c r="B71" i="5"/>
  <c r="E70" i="5"/>
  <c r="B70" i="5"/>
  <c r="E69" i="5"/>
  <c r="B69" i="5"/>
  <c r="E68" i="5"/>
  <c r="B68" i="5"/>
  <c r="E67" i="5"/>
  <c r="B67" i="5"/>
  <c r="E66" i="5"/>
  <c r="B66" i="5"/>
  <c r="E65" i="5"/>
  <c r="B65" i="5"/>
  <c r="E64" i="5"/>
  <c r="B64" i="5"/>
  <c r="E63" i="5"/>
  <c r="B63" i="5"/>
  <c r="E62" i="5"/>
  <c r="B62" i="5"/>
  <c r="E61" i="5"/>
  <c r="B61" i="5"/>
  <c r="E60" i="5"/>
  <c r="B60" i="5"/>
  <c r="E59" i="5"/>
  <c r="B59" i="5"/>
  <c r="E58" i="5"/>
  <c r="B58" i="5"/>
  <c r="E57" i="5"/>
  <c r="B57" i="5"/>
  <c r="E40" i="5"/>
  <c r="B40" i="5"/>
  <c r="E39" i="5"/>
  <c r="B39" i="5"/>
  <c r="E38" i="5"/>
  <c r="B38" i="5"/>
  <c r="E37" i="5"/>
  <c r="B37" i="5"/>
  <c r="E36" i="5"/>
  <c r="B36" i="5"/>
  <c r="E35" i="5"/>
  <c r="B35" i="5"/>
  <c r="E34" i="5"/>
  <c r="B34" i="5"/>
  <c r="E33" i="5"/>
  <c r="B33" i="5"/>
  <c r="E32" i="5"/>
  <c r="B32" i="5"/>
  <c r="E31" i="5"/>
  <c r="B31" i="5"/>
  <c r="E30" i="5"/>
  <c r="B30" i="5"/>
  <c r="E29" i="5"/>
  <c r="B29" i="5"/>
  <c r="E28" i="5"/>
  <c r="B28" i="5"/>
  <c r="E27" i="5"/>
  <c r="B27" i="5"/>
  <c r="E26" i="5"/>
  <c r="B26" i="5"/>
  <c r="E25" i="5"/>
  <c r="B25" i="5"/>
  <c r="E24" i="5"/>
  <c r="B24" i="5"/>
  <c r="E23" i="5"/>
  <c r="B23" i="5"/>
  <c r="E22" i="5"/>
  <c r="B22" i="5"/>
  <c r="E38" i="4"/>
  <c r="B38" i="4"/>
  <c r="E37" i="4"/>
  <c r="B37" i="4"/>
  <c r="E36" i="4"/>
  <c r="B36" i="4"/>
  <c r="E35" i="4"/>
  <c r="B35" i="4"/>
  <c r="E34" i="4"/>
  <c r="B34" i="4"/>
  <c r="E33" i="4"/>
  <c r="B33" i="4"/>
  <c r="E32" i="4"/>
  <c r="B32" i="4"/>
  <c r="E31" i="4"/>
  <c r="B31" i="4"/>
  <c r="E30" i="4"/>
  <c r="B30" i="4"/>
  <c r="E29" i="4"/>
  <c r="B29" i="4"/>
  <c r="E28" i="4"/>
  <c r="B28" i="4"/>
  <c r="E27" i="4"/>
  <c r="B27" i="4"/>
  <c r="E26" i="4"/>
  <c r="B26" i="4"/>
  <c r="E25" i="4"/>
  <c r="B25" i="4"/>
  <c r="E24" i="4"/>
  <c r="B24" i="4"/>
  <c r="E23" i="4"/>
  <c r="B23" i="4"/>
  <c r="E22" i="4"/>
  <c r="B22" i="4"/>
  <c r="E21" i="4"/>
  <c r="B21" i="4"/>
  <c r="E20" i="4"/>
  <c r="B20" i="4"/>
  <c r="B547" i="1"/>
  <c r="E1081" i="1"/>
  <c r="B1081" i="1"/>
  <c r="E1080" i="1"/>
  <c r="B1080" i="1"/>
  <c r="E1079" i="1"/>
  <c r="B1079" i="1"/>
  <c r="E1078" i="1"/>
  <c r="B1078" i="1"/>
  <c r="E1077" i="1"/>
  <c r="B1077" i="1"/>
  <c r="E1076" i="1"/>
  <c r="B1076" i="1"/>
  <c r="E1075" i="1"/>
  <c r="B1075" i="1"/>
  <c r="E1074" i="1"/>
  <c r="B1074" i="1"/>
  <c r="E1073" i="1"/>
  <c r="B1073" i="1"/>
  <c r="E1072" i="1"/>
  <c r="B1072" i="1"/>
  <c r="E1071" i="1"/>
  <c r="B1071" i="1"/>
  <c r="E1070" i="1"/>
  <c r="B1070" i="1"/>
  <c r="E1069" i="1"/>
  <c r="B1069" i="1"/>
  <c r="E1068" i="1"/>
  <c r="B1068" i="1"/>
  <c r="E1067" i="1"/>
  <c r="B1067" i="1"/>
  <c r="E1066" i="1"/>
  <c r="B1066" i="1"/>
  <c r="E1065" i="1"/>
  <c r="B1065" i="1"/>
  <c r="E1064" i="1"/>
  <c r="B1064" i="1"/>
  <c r="E1063" i="1"/>
  <c r="B1063" i="1"/>
  <c r="E1046" i="1"/>
  <c r="B1046" i="1"/>
  <c r="E1045" i="1"/>
  <c r="B1045" i="1"/>
  <c r="E1044" i="1"/>
  <c r="B1044" i="1"/>
  <c r="E1043" i="1"/>
  <c r="B1043" i="1"/>
  <c r="E1042" i="1"/>
  <c r="B1042" i="1"/>
  <c r="E1041" i="1"/>
  <c r="B1041" i="1"/>
  <c r="E1040" i="1"/>
  <c r="B1040" i="1"/>
  <c r="E1039" i="1"/>
  <c r="B1039" i="1"/>
  <c r="E1038" i="1"/>
  <c r="B1038" i="1"/>
  <c r="E1037" i="1"/>
  <c r="B1037" i="1"/>
  <c r="E1036" i="1"/>
  <c r="B1036" i="1"/>
  <c r="E1035" i="1"/>
  <c r="B1035" i="1"/>
  <c r="E1034" i="1"/>
  <c r="B1034" i="1"/>
  <c r="E1033" i="1"/>
  <c r="B1033" i="1"/>
  <c r="E1032" i="1"/>
  <c r="B1032" i="1"/>
  <c r="E1031" i="1"/>
  <c r="B1031" i="1"/>
  <c r="E1030" i="1"/>
  <c r="B1030" i="1"/>
  <c r="E1029" i="1"/>
  <c r="B1029" i="1"/>
  <c r="E1028" i="1"/>
  <c r="B1028" i="1"/>
  <c r="E1011" i="1"/>
  <c r="B1011" i="1"/>
  <c r="E1010" i="1"/>
  <c r="B1010" i="1"/>
  <c r="E1009" i="1"/>
  <c r="B1009" i="1"/>
  <c r="E1008" i="1"/>
  <c r="B1008" i="1"/>
  <c r="E1007" i="1"/>
  <c r="B1007" i="1"/>
  <c r="E1006" i="1"/>
  <c r="B1006" i="1"/>
  <c r="E1005" i="1"/>
  <c r="B1005" i="1"/>
  <c r="E1004" i="1"/>
  <c r="B1004" i="1"/>
  <c r="E1003" i="1"/>
  <c r="B1003" i="1"/>
  <c r="E1002" i="1"/>
  <c r="B1002" i="1"/>
  <c r="E1001" i="1"/>
  <c r="B1001" i="1"/>
  <c r="E1000" i="1"/>
  <c r="B1000" i="1"/>
  <c r="E999" i="1"/>
  <c r="B999" i="1"/>
  <c r="E998" i="1"/>
  <c r="B998" i="1"/>
  <c r="E997" i="1"/>
  <c r="B997" i="1"/>
  <c r="E996" i="1"/>
  <c r="B996" i="1"/>
  <c r="E995" i="1"/>
  <c r="B995" i="1"/>
  <c r="E994" i="1"/>
  <c r="B994" i="1"/>
  <c r="E993" i="1"/>
  <c r="B993" i="1"/>
  <c r="E976" i="1"/>
  <c r="B976" i="1"/>
  <c r="E975" i="1"/>
  <c r="B975" i="1"/>
  <c r="E974" i="1"/>
  <c r="B974" i="1"/>
  <c r="E973" i="1"/>
  <c r="B973" i="1"/>
  <c r="E972" i="1"/>
  <c r="B972" i="1"/>
  <c r="E971" i="1"/>
  <c r="B971" i="1"/>
  <c r="E970" i="1"/>
  <c r="B970" i="1"/>
  <c r="E969" i="1"/>
  <c r="B969" i="1"/>
  <c r="E968" i="1"/>
  <c r="B968" i="1"/>
  <c r="E967" i="1"/>
  <c r="B967" i="1"/>
  <c r="E966" i="1"/>
  <c r="B966" i="1"/>
  <c r="E965" i="1"/>
  <c r="B965" i="1"/>
  <c r="E964" i="1"/>
  <c r="B964" i="1"/>
  <c r="E963" i="1"/>
  <c r="B963" i="1"/>
  <c r="E962" i="1"/>
  <c r="B962" i="1"/>
  <c r="E961" i="1"/>
  <c r="B961" i="1"/>
  <c r="E960" i="1"/>
  <c r="B960" i="1"/>
  <c r="E959" i="1"/>
  <c r="B959" i="1"/>
  <c r="E958" i="1"/>
  <c r="B958" i="1"/>
  <c r="E941" i="1"/>
  <c r="B941" i="1"/>
  <c r="E940" i="1"/>
  <c r="B940" i="1"/>
  <c r="E939" i="1"/>
  <c r="B939" i="1"/>
  <c r="E938" i="1"/>
  <c r="B938" i="1"/>
  <c r="E937" i="1"/>
  <c r="B937" i="1"/>
  <c r="E936" i="1"/>
  <c r="B936" i="1"/>
  <c r="E935" i="1"/>
  <c r="B935" i="1"/>
  <c r="E934" i="1"/>
  <c r="B934" i="1"/>
  <c r="E933" i="1"/>
  <c r="B933" i="1"/>
  <c r="E932" i="1"/>
  <c r="B932" i="1"/>
  <c r="E931" i="1"/>
  <c r="B931" i="1"/>
  <c r="E930" i="1"/>
  <c r="B930" i="1"/>
  <c r="E929" i="1"/>
  <c r="B929" i="1"/>
  <c r="E928" i="1"/>
  <c r="B928" i="1"/>
  <c r="E927" i="1"/>
  <c r="B927" i="1"/>
  <c r="E926" i="1"/>
  <c r="B926" i="1"/>
  <c r="E925" i="1"/>
  <c r="B925" i="1"/>
  <c r="E924" i="1"/>
  <c r="B924" i="1"/>
  <c r="E923" i="1"/>
  <c r="B923" i="1"/>
  <c r="E906" i="1"/>
  <c r="B906" i="1"/>
  <c r="E905" i="1"/>
  <c r="B905" i="1"/>
  <c r="E904" i="1"/>
  <c r="B904" i="1"/>
  <c r="E903" i="1"/>
  <c r="B903" i="1"/>
  <c r="E902" i="1"/>
  <c r="B902" i="1"/>
  <c r="E901" i="1"/>
  <c r="B901" i="1"/>
  <c r="E900" i="1"/>
  <c r="B900" i="1"/>
  <c r="E899" i="1"/>
  <c r="B899" i="1"/>
  <c r="E898" i="1"/>
  <c r="B898" i="1"/>
  <c r="E897" i="1"/>
  <c r="B897" i="1"/>
  <c r="E896" i="1"/>
  <c r="B896" i="1"/>
  <c r="E895" i="1"/>
  <c r="B895" i="1"/>
  <c r="E894" i="1"/>
  <c r="B894" i="1"/>
  <c r="E893" i="1"/>
  <c r="B893" i="1"/>
  <c r="E892" i="1"/>
  <c r="B892" i="1"/>
  <c r="E891" i="1"/>
  <c r="B891" i="1"/>
  <c r="E890" i="1"/>
  <c r="B890" i="1"/>
  <c r="E889" i="1"/>
  <c r="B889" i="1"/>
  <c r="E888" i="1"/>
  <c r="B888" i="1"/>
  <c r="E871" i="1"/>
  <c r="B871" i="1"/>
  <c r="E870" i="1"/>
  <c r="B870" i="1"/>
  <c r="E869" i="1"/>
  <c r="B869" i="1"/>
  <c r="E868" i="1"/>
  <c r="B868" i="1"/>
  <c r="E867" i="1"/>
  <c r="B867" i="1"/>
  <c r="E866" i="1"/>
  <c r="B866" i="1"/>
  <c r="E865" i="1"/>
  <c r="B865" i="1"/>
  <c r="E864" i="1"/>
  <c r="B864" i="1"/>
  <c r="E863" i="1"/>
  <c r="B863" i="1"/>
  <c r="E862" i="1"/>
  <c r="B862" i="1"/>
  <c r="E861" i="1"/>
  <c r="B861" i="1"/>
  <c r="E860" i="1"/>
  <c r="B860" i="1"/>
  <c r="E859" i="1"/>
  <c r="B859" i="1"/>
  <c r="E858" i="1"/>
  <c r="B858" i="1"/>
  <c r="E857" i="1"/>
  <c r="B857" i="1"/>
  <c r="E856" i="1"/>
  <c r="B856" i="1"/>
  <c r="E855" i="1"/>
  <c r="B855" i="1"/>
  <c r="E854" i="1"/>
  <c r="B854" i="1"/>
  <c r="E853" i="1"/>
  <c r="B853" i="1"/>
  <c r="E836" i="1"/>
  <c r="B836" i="1"/>
  <c r="E835" i="1"/>
  <c r="B835" i="1"/>
  <c r="E834" i="1"/>
  <c r="B834" i="1"/>
  <c r="E833" i="1"/>
  <c r="B833" i="1"/>
  <c r="E832" i="1"/>
  <c r="B832" i="1"/>
  <c r="E831" i="1"/>
  <c r="B831" i="1"/>
  <c r="E830" i="1"/>
  <c r="B830" i="1"/>
  <c r="E829" i="1"/>
  <c r="B829" i="1"/>
  <c r="E828" i="1"/>
  <c r="B828" i="1"/>
  <c r="E827" i="1"/>
  <c r="B827" i="1"/>
  <c r="E826" i="1"/>
  <c r="B826" i="1"/>
  <c r="E825" i="1"/>
  <c r="B825" i="1"/>
  <c r="E824" i="1"/>
  <c r="B824" i="1"/>
  <c r="E823" i="1"/>
  <c r="B823" i="1"/>
  <c r="E822" i="1"/>
  <c r="B822" i="1"/>
  <c r="E821" i="1"/>
  <c r="B821" i="1"/>
  <c r="E820" i="1"/>
  <c r="B820" i="1"/>
  <c r="E819" i="1"/>
  <c r="B819" i="1"/>
  <c r="E818" i="1"/>
  <c r="B818" i="1"/>
  <c r="E801" i="1"/>
  <c r="B801" i="1"/>
  <c r="E800" i="1"/>
  <c r="B800" i="1"/>
  <c r="E799" i="1"/>
  <c r="B799" i="1"/>
  <c r="E798" i="1"/>
  <c r="B798" i="1"/>
  <c r="E797" i="1"/>
  <c r="B797" i="1"/>
  <c r="E796" i="1"/>
  <c r="B796" i="1"/>
  <c r="E795" i="1"/>
  <c r="B795" i="1"/>
  <c r="E794" i="1"/>
  <c r="B794" i="1"/>
  <c r="E793" i="1"/>
  <c r="B793" i="1"/>
  <c r="E792" i="1"/>
  <c r="B792" i="1"/>
  <c r="E791" i="1"/>
  <c r="B791" i="1"/>
  <c r="E790" i="1"/>
  <c r="B790" i="1"/>
  <c r="E789" i="1"/>
  <c r="B789" i="1"/>
  <c r="E788" i="1"/>
  <c r="B788" i="1"/>
  <c r="E787" i="1"/>
  <c r="B787" i="1"/>
  <c r="E786" i="1"/>
  <c r="B786" i="1"/>
  <c r="E785" i="1"/>
  <c r="B785" i="1"/>
  <c r="E784" i="1"/>
  <c r="B784" i="1"/>
  <c r="E783" i="1"/>
  <c r="B783" i="1"/>
  <c r="E766" i="1"/>
  <c r="B766" i="1"/>
  <c r="E765" i="1"/>
  <c r="B765" i="1"/>
  <c r="E764" i="1"/>
  <c r="B764" i="1"/>
  <c r="E763" i="1"/>
  <c r="B763" i="1"/>
  <c r="E762" i="1"/>
  <c r="B762" i="1"/>
  <c r="E761" i="1"/>
  <c r="B761" i="1"/>
  <c r="E760" i="1"/>
  <c r="B760" i="1"/>
  <c r="E759" i="1"/>
  <c r="B759" i="1"/>
  <c r="E758" i="1"/>
  <c r="B758" i="1"/>
  <c r="E757" i="1"/>
  <c r="B757" i="1"/>
  <c r="E756" i="1"/>
  <c r="B756" i="1"/>
  <c r="E755" i="1"/>
  <c r="B755" i="1"/>
  <c r="E754" i="1"/>
  <c r="B754" i="1"/>
  <c r="E753" i="1"/>
  <c r="B753" i="1"/>
  <c r="E752" i="1"/>
  <c r="B752" i="1"/>
  <c r="E751" i="1"/>
  <c r="B751" i="1"/>
  <c r="E750" i="1"/>
  <c r="B750" i="1"/>
  <c r="E749" i="1"/>
  <c r="B749" i="1"/>
  <c r="E748" i="1"/>
  <c r="B748" i="1"/>
  <c r="E731" i="1"/>
  <c r="B731" i="1"/>
  <c r="E730" i="1"/>
  <c r="B730" i="1"/>
  <c r="E729" i="1"/>
  <c r="B729" i="1"/>
  <c r="E728" i="1"/>
  <c r="B728" i="1"/>
  <c r="E727" i="1"/>
  <c r="B727" i="1"/>
  <c r="E726" i="1"/>
  <c r="B726" i="1"/>
  <c r="E725" i="1"/>
  <c r="B725" i="1"/>
  <c r="E724" i="1"/>
  <c r="B724" i="1"/>
  <c r="E723" i="1"/>
  <c r="B723" i="1"/>
  <c r="E722" i="1"/>
  <c r="B722" i="1"/>
  <c r="E721" i="1"/>
  <c r="B721" i="1"/>
  <c r="E720" i="1"/>
  <c r="B720" i="1"/>
  <c r="E719" i="1"/>
  <c r="B719" i="1"/>
  <c r="E718" i="1"/>
  <c r="B718" i="1"/>
  <c r="E717" i="1"/>
  <c r="B717" i="1"/>
  <c r="E716" i="1"/>
  <c r="B716" i="1"/>
  <c r="E715" i="1"/>
  <c r="B715" i="1"/>
  <c r="E714" i="1"/>
  <c r="B714" i="1"/>
  <c r="E713" i="1"/>
  <c r="B713" i="1"/>
  <c r="E696" i="1"/>
  <c r="B696" i="1"/>
  <c r="E695" i="1"/>
  <c r="B695" i="1"/>
  <c r="E694" i="1"/>
  <c r="B694" i="1"/>
  <c r="E693" i="1"/>
  <c r="B693" i="1"/>
  <c r="E692" i="1"/>
  <c r="B692" i="1"/>
  <c r="E691" i="1"/>
  <c r="B691" i="1"/>
  <c r="E690" i="1"/>
  <c r="B690" i="1"/>
  <c r="E689" i="1"/>
  <c r="B689" i="1"/>
  <c r="E688" i="1"/>
  <c r="B688" i="1"/>
  <c r="E687" i="1"/>
  <c r="B687" i="1"/>
  <c r="E686" i="1"/>
  <c r="B686" i="1"/>
  <c r="E685" i="1"/>
  <c r="B685" i="1"/>
  <c r="E684" i="1"/>
  <c r="B684" i="1"/>
  <c r="E683" i="1"/>
  <c r="B683" i="1"/>
  <c r="E682" i="1"/>
  <c r="B682" i="1"/>
  <c r="E681" i="1"/>
  <c r="B681" i="1"/>
  <c r="E680" i="1"/>
  <c r="B680" i="1"/>
  <c r="E679" i="1"/>
  <c r="B679" i="1"/>
  <c r="E678" i="1"/>
  <c r="B678" i="1"/>
  <c r="E661" i="1"/>
  <c r="B661" i="1"/>
  <c r="E660" i="1"/>
  <c r="B660" i="1"/>
  <c r="E659" i="1"/>
  <c r="B659" i="1"/>
  <c r="E658" i="1"/>
  <c r="B658" i="1"/>
  <c r="E657" i="1"/>
  <c r="B657" i="1"/>
  <c r="E656" i="1"/>
  <c r="B656" i="1"/>
  <c r="E655" i="1"/>
  <c r="B655" i="1"/>
  <c r="E654" i="1"/>
  <c r="B654" i="1"/>
  <c r="E653" i="1"/>
  <c r="B653" i="1"/>
  <c r="E652" i="1"/>
  <c r="B652" i="1"/>
  <c r="E651" i="1"/>
  <c r="B651" i="1"/>
  <c r="E650" i="1"/>
  <c r="B650" i="1"/>
  <c r="E649" i="1"/>
  <c r="B649" i="1"/>
  <c r="E648" i="1"/>
  <c r="B648" i="1"/>
  <c r="E647" i="1"/>
  <c r="B647" i="1"/>
  <c r="E646" i="1"/>
  <c r="B646" i="1"/>
  <c r="E645" i="1"/>
  <c r="B645" i="1"/>
  <c r="E644" i="1"/>
  <c r="B644" i="1"/>
  <c r="E643" i="1"/>
  <c r="B643" i="1"/>
  <c r="E626" i="1"/>
  <c r="B626" i="1"/>
  <c r="E625" i="1"/>
  <c r="B625" i="1"/>
  <c r="E624" i="1"/>
  <c r="B624" i="1"/>
  <c r="E623" i="1"/>
  <c r="B623" i="1"/>
  <c r="E622" i="1"/>
  <c r="B622" i="1"/>
  <c r="E621" i="1"/>
  <c r="B621" i="1"/>
  <c r="E620" i="1"/>
  <c r="B620" i="1"/>
  <c r="E619" i="1"/>
  <c r="B619" i="1"/>
  <c r="E618" i="1"/>
  <c r="B618" i="1"/>
  <c r="E617" i="1"/>
  <c r="B617" i="1"/>
  <c r="E616" i="1"/>
  <c r="B616" i="1"/>
  <c r="E615" i="1"/>
  <c r="B615" i="1"/>
  <c r="E614" i="1"/>
  <c r="B614" i="1"/>
  <c r="E613" i="1"/>
  <c r="B613" i="1"/>
  <c r="E612" i="1"/>
  <c r="B612" i="1"/>
  <c r="E611" i="1"/>
  <c r="B611" i="1"/>
  <c r="E610" i="1"/>
  <c r="B610" i="1"/>
  <c r="E609" i="1"/>
  <c r="B609" i="1"/>
  <c r="E608" i="1"/>
  <c r="B608" i="1"/>
  <c r="E591" i="1"/>
  <c r="B591" i="1"/>
  <c r="E590" i="1"/>
  <c r="B590" i="1"/>
  <c r="E589" i="1"/>
  <c r="B589" i="1"/>
  <c r="E588" i="1"/>
  <c r="B588" i="1"/>
  <c r="E587" i="1"/>
  <c r="B587" i="1"/>
  <c r="E586" i="1"/>
  <c r="B586" i="1"/>
  <c r="E585" i="1"/>
  <c r="B585" i="1"/>
  <c r="E584" i="1"/>
  <c r="B584" i="1"/>
  <c r="E583" i="1"/>
  <c r="B583" i="1"/>
  <c r="E582" i="1"/>
  <c r="B582" i="1"/>
  <c r="E581" i="1"/>
  <c r="B581" i="1"/>
  <c r="E580" i="1"/>
  <c r="B580" i="1"/>
  <c r="E579" i="1"/>
  <c r="B579" i="1"/>
  <c r="E578" i="1"/>
  <c r="B578" i="1"/>
  <c r="E577" i="1"/>
  <c r="B577" i="1"/>
  <c r="E576" i="1"/>
  <c r="B576" i="1"/>
  <c r="E575" i="1"/>
  <c r="B575" i="1"/>
  <c r="E574" i="1"/>
  <c r="B574" i="1"/>
  <c r="E573" i="1"/>
  <c r="B573" i="1"/>
  <c r="E556" i="1"/>
  <c r="B556" i="1"/>
  <c r="E555" i="1"/>
  <c r="B555" i="1"/>
  <c r="E554" i="1"/>
  <c r="B554" i="1"/>
  <c r="E553" i="1"/>
  <c r="B553" i="1"/>
  <c r="E552" i="1"/>
  <c r="B552" i="1"/>
  <c r="E551" i="1"/>
  <c r="B551" i="1"/>
  <c r="E550" i="1"/>
  <c r="B550" i="1"/>
  <c r="E549" i="1"/>
  <c r="B549" i="1"/>
  <c r="E548" i="1"/>
  <c r="B548" i="1"/>
  <c r="E547" i="1"/>
  <c r="E546" i="1"/>
  <c r="B546" i="1"/>
  <c r="E545" i="1"/>
  <c r="B545" i="1"/>
  <c r="E544" i="1"/>
  <c r="B544" i="1"/>
  <c r="E543" i="1"/>
  <c r="B543" i="1"/>
  <c r="E542" i="1"/>
  <c r="B542" i="1"/>
  <c r="E541" i="1"/>
  <c r="B541" i="1"/>
  <c r="E540" i="1"/>
  <c r="B540" i="1"/>
  <c r="E539" i="1"/>
  <c r="B539" i="1"/>
  <c r="E538" i="1"/>
  <c r="B538" i="1"/>
  <c r="E521" i="1"/>
  <c r="B521" i="1"/>
  <c r="E520" i="1"/>
  <c r="B520" i="1"/>
  <c r="E519" i="1"/>
  <c r="B519" i="1"/>
  <c r="E518" i="1"/>
  <c r="B518" i="1"/>
  <c r="E517" i="1"/>
  <c r="B517" i="1"/>
  <c r="E516" i="1"/>
  <c r="B516" i="1"/>
  <c r="E515" i="1"/>
  <c r="B515" i="1"/>
  <c r="E514" i="1"/>
  <c r="B514" i="1"/>
  <c r="E513" i="1"/>
  <c r="B513" i="1"/>
  <c r="E512" i="1"/>
  <c r="B512" i="1"/>
  <c r="E511" i="1"/>
  <c r="B511" i="1"/>
  <c r="E510" i="1"/>
  <c r="B510" i="1"/>
  <c r="E509" i="1"/>
  <c r="B509" i="1"/>
  <c r="E508" i="1"/>
  <c r="B508" i="1"/>
  <c r="E507" i="1"/>
  <c r="B507" i="1"/>
  <c r="E506" i="1"/>
  <c r="B506" i="1"/>
  <c r="E505" i="1"/>
  <c r="B505" i="1"/>
  <c r="E504" i="1"/>
  <c r="B504" i="1"/>
  <c r="E503" i="1"/>
  <c r="B503" i="1"/>
  <c r="E486" i="1"/>
  <c r="B486" i="1"/>
  <c r="E485" i="1"/>
  <c r="B485" i="1"/>
  <c r="E484" i="1"/>
  <c r="B484" i="1"/>
  <c r="E483" i="1"/>
  <c r="B483" i="1"/>
  <c r="E482" i="1"/>
  <c r="B482" i="1"/>
  <c r="E481" i="1"/>
  <c r="B481" i="1"/>
  <c r="E480" i="1"/>
  <c r="B480" i="1"/>
  <c r="E479" i="1"/>
  <c r="B479" i="1"/>
  <c r="E478" i="1"/>
  <c r="B478" i="1"/>
  <c r="E477" i="1"/>
  <c r="B477" i="1"/>
  <c r="E476" i="1"/>
  <c r="B476" i="1"/>
  <c r="E475" i="1"/>
  <c r="B475" i="1"/>
  <c r="E474" i="1"/>
  <c r="B474" i="1"/>
  <c r="E473" i="1"/>
  <c r="B473" i="1"/>
  <c r="E472" i="1"/>
  <c r="B472" i="1"/>
  <c r="E471" i="1"/>
  <c r="B471" i="1"/>
  <c r="E470" i="1"/>
  <c r="B470" i="1"/>
  <c r="E469" i="1"/>
  <c r="B469" i="1"/>
  <c r="E468" i="1"/>
  <c r="B468" i="1"/>
  <c r="E451" i="1"/>
  <c r="B451" i="1"/>
  <c r="E450" i="1"/>
  <c r="B450" i="1"/>
  <c r="E449" i="1"/>
  <c r="B449" i="1"/>
  <c r="E448" i="1"/>
  <c r="B448" i="1"/>
  <c r="E447" i="1"/>
  <c r="B447" i="1"/>
  <c r="E446" i="1"/>
  <c r="B446" i="1"/>
  <c r="E445" i="1"/>
  <c r="B445" i="1"/>
  <c r="E444" i="1"/>
  <c r="B444" i="1"/>
  <c r="E443" i="1"/>
  <c r="B443" i="1"/>
  <c r="E442" i="1"/>
  <c r="B442" i="1"/>
  <c r="E441" i="1"/>
  <c r="B441" i="1"/>
  <c r="E440" i="1"/>
  <c r="B440" i="1"/>
  <c r="E439" i="1"/>
  <c r="B439" i="1"/>
  <c r="E438" i="1"/>
  <c r="B438" i="1"/>
  <c r="E437" i="1"/>
  <c r="B437" i="1"/>
  <c r="E436" i="1"/>
  <c r="B436" i="1"/>
  <c r="E435" i="1"/>
  <c r="B435" i="1"/>
  <c r="E434" i="1"/>
  <c r="B434" i="1"/>
  <c r="E433" i="1"/>
  <c r="B433" i="1"/>
  <c r="E416" i="1"/>
  <c r="B416" i="1"/>
  <c r="E415" i="1"/>
  <c r="B415" i="1"/>
  <c r="E414" i="1"/>
  <c r="B414" i="1"/>
  <c r="E413" i="1"/>
  <c r="B413" i="1"/>
  <c r="E412" i="1"/>
  <c r="B412" i="1"/>
  <c r="E411" i="1"/>
  <c r="B411" i="1"/>
  <c r="E410" i="1"/>
  <c r="B410" i="1"/>
  <c r="E409" i="1"/>
  <c r="B409" i="1"/>
  <c r="E408" i="1"/>
  <c r="B408" i="1"/>
  <c r="E407" i="1"/>
  <c r="B407" i="1"/>
  <c r="E406" i="1"/>
  <c r="B406" i="1"/>
  <c r="E405" i="1"/>
  <c r="B405" i="1"/>
  <c r="E404" i="1"/>
  <c r="B404" i="1"/>
  <c r="E403" i="1"/>
  <c r="B403" i="1"/>
  <c r="E402" i="1"/>
  <c r="B402" i="1"/>
  <c r="E401" i="1"/>
  <c r="B401" i="1"/>
  <c r="E400" i="1"/>
  <c r="B400" i="1"/>
  <c r="E399" i="1"/>
  <c r="B399" i="1"/>
  <c r="E398" i="1"/>
  <c r="B398" i="1"/>
  <c r="E381" i="1"/>
  <c r="B381" i="1"/>
  <c r="E380" i="1"/>
  <c r="B380" i="1"/>
  <c r="E379" i="1"/>
  <c r="B379" i="1"/>
  <c r="E378" i="1"/>
  <c r="B378" i="1"/>
  <c r="E377" i="1"/>
  <c r="B377" i="1"/>
  <c r="E376" i="1"/>
  <c r="B376" i="1"/>
  <c r="E375" i="1"/>
  <c r="B375" i="1"/>
  <c r="E374" i="1"/>
  <c r="B374" i="1"/>
  <c r="E373" i="1"/>
  <c r="B373" i="1"/>
  <c r="E372" i="1"/>
  <c r="B372" i="1"/>
  <c r="E371" i="1"/>
  <c r="B371" i="1"/>
  <c r="E370" i="1"/>
  <c r="B370" i="1"/>
  <c r="E369" i="1"/>
  <c r="B369" i="1"/>
  <c r="E368" i="1"/>
  <c r="B368" i="1"/>
  <c r="E367" i="1"/>
  <c r="B367" i="1"/>
  <c r="E366" i="1"/>
  <c r="B366" i="1"/>
  <c r="E365" i="1"/>
  <c r="B365" i="1"/>
  <c r="E364" i="1"/>
  <c r="B364" i="1"/>
  <c r="E363" i="1"/>
  <c r="B363" i="1"/>
  <c r="E346" i="1"/>
  <c r="B346" i="1"/>
  <c r="E345" i="1"/>
  <c r="B345" i="1"/>
  <c r="E344" i="1"/>
  <c r="B344" i="1"/>
  <c r="E343" i="1"/>
  <c r="B343" i="1"/>
  <c r="E342" i="1"/>
  <c r="B342" i="1"/>
  <c r="E341" i="1"/>
  <c r="B341" i="1"/>
  <c r="E340" i="1"/>
  <c r="B340" i="1"/>
  <c r="E339" i="1"/>
  <c r="B339" i="1"/>
  <c r="E338" i="1"/>
  <c r="B338" i="1"/>
  <c r="E337" i="1"/>
  <c r="B337" i="1"/>
  <c r="E336" i="1"/>
  <c r="B336" i="1"/>
  <c r="E335" i="1"/>
  <c r="B335" i="1"/>
  <c r="E334" i="1"/>
  <c r="B334" i="1"/>
  <c r="E333" i="1"/>
  <c r="B333" i="1"/>
  <c r="E332" i="1"/>
  <c r="B332" i="1"/>
  <c r="E331" i="1"/>
  <c r="B331" i="1"/>
  <c r="E330" i="1"/>
  <c r="B330" i="1"/>
  <c r="E329" i="1"/>
  <c r="B329" i="1"/>
  <c r="E328" i="1"/>
  <c r="B328" i="1"/>
  <c r="E311" i="1"/>
  <c r="B311" i="1"/>
  <c r="E310" i="1"/>
  <c r="B310" i="1"/>
  <c r="E309" i="1"/>
  <c r="B309" i="1"/>
  <c r="E308" i="1"/>
  <c r="B308" i="1"/>
  <c r="E307" i="1"/>
  <c r="B307" i="1"/>
  <c r="E306" i="1"/>
  <c r="B306" i="1"/>
  <c r="E305" i="1"/>
  <c r="B305" i="1"/>
  <c r="E304" i="1"/>
  <c r="B304" i="1"/>
  <c r="E303" i="1"/>
  <c r="B303" i="1"/>
  <c r="E302" i="1"/>
  <c r="B302" i="1"/>
  <c r="E301" i="1"/>
  <c r="B301" i="1"/>
  <c r="E300" i="1"/>
  <c r="B300" i="1"/>
  <c r="E299" i="1"/>
  <c r="B299" i="1"/>
  <c r="E298" i="1"/>
  <c r="B298" i="1"/>
  <c r="E297" i="1"/>
  <c r="B297" i="1"/>
  <c r="E296" i="1"/>
  <c r="B296" i="1"/>
  <c r="E295" i="1"/>
  <c r="B295" i="1"/>
  <c r="E294" i="1"/>
  <c r="B294" i="1"/>
  <c r="E293" i="1"/>
  <c r="B293" i="1"/>
  <c r="E276" i="1"/>
  <c r="B276" i="1"/>
  <c r="E275" i="1"/>
  <c r="B275" i="1"/>
  <c r="E274" i="1"/>
  <c r="B274" i="1"/>
  <c r="E273" i="1"/>
  <c r="B273" i="1"/>
  <c r="E272" i="1"/>
  <c r="B272" i="1"/>
  <c r="E271" i="1"/>
  <c r="B271" i="1"/>
  <c r="E270" i="1"/>
  <c r="B270" i="1"/>
  <c r="E269" i="1"/>
  <c r="B269" i="1"/>
  <c r="E268" i="1"/>
  <c r="B268" i="1"/>
  <c r="E267" i="1"/>
  <c r="B267" i="1"/>
  <c r="E266" i="1"/>
  <c r="B266" i="1"/>
  <c r="E265" i="1"/>
  <c r="B265" i="1"/>
  <c r="E264" i="1"/>
  <c r="B264" i="1"/>
  <c r="E263" i="1"/>
  <c r="B263" i="1"/>
  <c r="E262" i="1"/>
  <c r="B262" i="1"/>
  <c r="E261" i="1"/>
  <c r="B261" i="1"/>
  <c r="E260" i="1"/>
  <c r="B260" i="1"/>
  <c r="E259" i="1"/>
  <c r="B259" i="1"/>
  <c r="E258" i="1"/>
  <c r="B258" i="1"/>
  <c r="E241" i="1"/>
  <c r="B241" i="1"/>
  <c r="E240" i="1"/>
  <c r="B240" i="1"/>
  <c r="E239" i="1"/>
  <c r="B239" i="1"/>
  <c r="E238" i="1"/>
  <c r="B238" i="1"/>
  <c r="E237" i="1"/>
  <c r="B237" i="1"/>
  <c r="E236" i="1"/>
  <c r="B236" i="1"/>
  <c r="E235" i="1"/>
  <c r="B235" i="1"/>
  <c r="E234" i="1"/>
  <c r="B234" i="1"/>
  <c r="E233" i="1"/>
  <c r="B233" i="1"/>
  <c r="E232" i="1"/>
  <c r="B232" i="1"/>
  <c r="E231" i="1"/>
  <c r="B231" i="1"/>
  <c r="E230" i="1"/>
  <c r="B230" i="1"/>
  <c r="E229" i="1"/>
  <c r="B229" i="1"/>
  <c r="E228" i="1"/>
  <c r="B228" i="1"/>
  <c r="E227" i="1"/>
  <c r="B227" i="1"/>
  <c r="E226" i="1"/>
  <c r="B226" i="1"/>
  <c r="E225" i="1"/>
  <c r="B225" i="1"/>
  <c r="E224" i="1"/>
  <c r="B224" i="1"/>
  <c r="E223" i="1"/>
  <c r="B223" i="1"/>
  <c r="E206" i="1"/>
  <c r="B206" i="1"/>
  <c r="E205" i="1"/>
  <c r="B205" i="1"/>
  <c r="E204" i="1"/>
  <c r="B204" i="1"/>
  <c r="E203" i="1"/>
  <c r="B203" i="1"/>
  <c r="E202" i="1"/>
  <c r="B202" i="1"/>
  <c r="E201" i="1"/>
  <c r="B201" i="1"/>
  <c r="E200" i="1"/>
  <c r="B200" i="1"/>
  <c r="E199" i="1"/>
  <c r="B199" i="1"/>
  <c r="E198" i="1"/>
  <c r="B198" i="1"/>
  <c r="E197" i="1"/>
  <c r="B197" i="1"/>
  <c r="E196" i="1"/>
  <c r="B196" i="1"/>
  <c r="E195" i="1"/>
  <c r="B195" i="1"/>
  <c r="E194" i="1"/>
  <c r="B194" i="1"/>
  <c r="E193" i="1"/>
  <c r="B193" i="1"/>
  <c r="E192" i="1"/>
  <c r="B192" i="1"/>
  <c r="E191" i="1"/>
  <c r="B191" i="1"/>
  <c r="E190" i="1"/>
  <c r="B190" i="1"/>
  <c r="E189" i="1"/>
  <c r="B189" i="1"/>
  <c r="E188" i="1"/>
  <c r="B188" i="1"/>
  <c r="E171" i="1"/>
  <c r="B171" i="1"/>
  <c r="E170" i="1"/>
  <c r="B170" i="1"/>
  <c r="E169" i="1"/>
  <c r="B169" i="1"/>
  <c r="E168" i="1"/>
  <c r="B168" i="1"/>
  <c r="E167" i="1"/>
  <c r="B167" i="1"/>
  <c r="E166" i="1"/>
  <c r="B166" i="1"/>
  <c r="E165" i="1"/>
  <c r="B165" i="1"/>
  <c r="E164" i="1"/>
  <c r="B164" i="1"/>
  <c r="E163" i="1"/>
  <c r="B163" i="1"/>
  <c r="E162" i="1"/>
  <c r="B162" i="1"/>
  <c r="E161" i="1"/>
  <c r="B161" i="1"/>
  <c r="E160" i="1"/>
  <c r="B160" i="1"/>
  <c r="E159" i="1"/>
  <c r="B159" i="1"/>
  <c r="E158" i="1"/>
  <c r="B158" i="1"/>
  <c r="E157" i="1"/>
  <c r="B157" i="1"/>
  <c r="E156" i="1"/>
  <c r="B156" i="1"/>
  <c r="E155" i="1"/>
  <c r="B155" i="1"/>
  <c r="E154" i="1"/>
  <c r="B154" i="1"/>
  <c r="E153" i="1"/>
  <c r="B153" i="1"/>
  <c r="E136" i="1"/>
  <c r="B136" i="1"/>
  <c r="E135" i="1"/>
  <c r="B135" i="1"/>
  <c r="E134" i="1"/>
  <c r="B134" i="1"/>
  <c r="E133" i="1"/>
  <c r="B133" i="1"/>
  <c r="E132" i="1"/>
  <c r="B132" i="1"/>
  <c r="E131" i="1"/>
  <c r="B131" i="1"/>
  <c r="E130" i="1"/>
  <c r="B130" i="1"/>
  <c r="E129" i="1"/>
  <c r="B129" i="1"/>
  <c r="E128" i="1"/>
  <c r="B128" i="1"/>
  <c r="E127" i="1"/>
  <c r="B127" i="1"/>
  <c r="E126" i="1"/>
  <c r="B126" i="1"/>
  <c r="E125" i="1"/>
  <c r="B125" i="1"/>
  <c r="E124" i="1"/>
  <c r="B124" i="1"/>
  <c r="E123" i="1"/>
  <c r="B123" i="1"/>
  <c r="E122" i="1"/>
  <c r="B122" i="1"/>
  <c r="E121" i="1"/>
  <c r="B121" i="1"/>
  <c r="E120" i="1"/>
  <c r="B120" i="1"/>
  <c r="E119" i="1"/>
  <c r="B119" i="1"/>
  <c r="E118" i="1"/>
  <c r="B118" i="1"/>
  <c r="E101" i="1"/>
  <c r="B101" i="1"/>
  <c r="E100" i="1"/>
  <c r="B100" i="1"/>
  <c r="E99" i="1"/>
  <c r="B99" i="1"/>
  <c r="E98" i="1"/>
  <c r="B98" i="1"/>
  <c r="E97" i="1"/>
  <c r="B97" i="1"/>
  <c r="E96" i="1"/>
  <c r="B96" i="1"/>
  <c r="E95" i="1"/>
  <c r="B95" i="1"/>
  <c r="E94" i="1"/>
  <c r="B94" i="1"/>
  <c r="E93" i="1"/>
  <c r="B93" i="1"/>
  <c r="E92" i="1"/>
  <c r="B92" i="1"/>
  <c r="E91" i="1"/>
  <c r="B91" i="1"/>
  <c r="E90" i="1"/>
  <c r="B90" i="1"/>
  <c r="E89" i="1"/>
  <c r="B89" i="1"/>
  <c r="E88" i="1"/>
  <c r="B88" i="1"/>
  <c r="E87" i="1"/>
  <c r="B87" i="1"/>
  <c r="E86" i="1"/>
  <c r="B86" i="1"/>
  <c r="E85" i="1"/>
  <c r="B85" i="1"/>
  <c r="E84" i="1"/>
  <c r="B84" i="1"/>
  <c r="E83" i="1"/>
  <c r="B83" i="1"/>
  <c r="E66" i="1"/>
  <c r="E65" i="1"/>
  <c r="E64" i="1"/>
  <c r="E63" i="1"/>
  <c r="E62" i="1"/>
  <c r="E61" i="1"/>
  <c r="E60" i="1"/>
  <c r="E59" i="1"/>
  <c r="E58" i="1"/>
  <c r="E57" i="1"/>
  <c r="E56" i="1"/>
  <c r="E55" i="1"/>
  <c r="E54" i="1"/>
  <c r="E53" i="1"/>
  <c r="E52" i="1"/>
  <c r="E51" i="1"/>
  <c r="E50" i="1"/>
  <c r="E49" i="1"/>
  <c r="E48" i="1"/>
  <c r="B66" i="1"/>
  <c r="B65" i="1"/>
  <c r="B64" i="1"/>
  <c r="B63" i="1"/>
  <c r="B62" i="1"/>
  <c r="B61" i="1"/>
  <c r="B60" i="1"/>
  <c r="B59" i="1"/>
  <c r="B58" i="1"/>
  <c r="B57" i="1"/>
  <c r="B56" i="1"/>
  <c r="B55" i="1"/>
  <c r="B54" i="1"/>
  <c r="B53" i="1"/>
  <c r="B52" i="1"/>
  <c r="B51" i="1"/>
  <c r="B50" i="1"/>
  <c r="B49" i="1"/>
  <c r="B48" i="1"/>
  <c r="D38" i="1"/>
  <c r="D37" i="1"/>
  <c r="I11" i="5"/>
  <c r="I12" i="5"/>
  <c r="I10" i="5"/>
  <c r="I10" i="4"/>
  <c r="D26" i="1"/>
  <c r="D27" i="1"/>
  <c r="D17" i="1"/>
  <c r="D18" i="1"/>
  <c r="D21" i="1"/>
  <c r="D22" i="1"/>
  <c r="D24" i="1"/>
  <c r="D25" i="1"/>
  <c r="D19" i="1"/>
  <c r="D30" i="1"/>
  <c r="D33" i="1"/>
  <c r="D34" i="1"/>
  <c r="D12" i="1"/>
  <c r="D15" i="1"/>
  <c r="I15" i="3"/>
  <c r="D9" i="1"/>
  <c r="D3" i="2"/>
  <c r="G4" i="11" s="1"/>
  <c r="D4" i="2"/>
  <c r="G5" i="11" s="1"/>
  <c r="A10" i="3"/>
  <c r="L41" i="2" l="1"/>
  <c r="L33" i="2"/>
  <c r="L17" i="2"/>
  <c r="I12" i="7"/>
  <c r="L25" i="2"/>
  <c r="L18" i="2"/>
  <c r="L42" i="2"/>
  <c r="L26" i="2"/>
  <c r="L13" i="2"/>
  <c r="L12" i="2"/>
  <c r="L45" i="2"/>
  <c r="L44" i="2"/>
  <c r="L43" i="2"/>
  <c r="L40" i="2"/>
  <c r="L39" i="2"/>
  <c r="L38" i="2"/>
  <c r="L37" i="2"/>
  <c r="L36" i="2"/>
  <c r="L35" i="2"/>
  <c r="L32" i="2"/>
  <c r="L31" i="2"/>
  <c r="L30" i="2"/>
  <c r="L29" i="2"/>
  <c r="L28" i="2"/>
  <c r="L27" i="2"/>
  <c r="L24" i="2"/>
  <c r="L23" i="2"/>
  <c r="L22" i="2"/>
  <c r="L21" i="2"/>
  <c r="L20" i="2"/>
  <c r="L19" i="2"/>
  <c r="L16" i="2"/>
  <c r="L15" i="2"/>
  <c r="L14" i="2"/>
  <c r="Q15" i="3"/>
  <c r="Q20" i="3" s="1"/>
  <c r="G4" i="3"/>
  <c r="G5" i="3"/>
  <c r="J46" i="2" l="1"/>
</calcChain>
</file>

<file path=xl/sharedStrings.xml><?xml version="1.0" encoding="utf-8"?>
<sst xmlns="http://schemas.openxmlformats.org/spreadsheetml/2006/main" count="3565" uniqueCount="419">
  <si>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</si>
  <si>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</si>
  <si>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</si>
  <si>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</si>
  <si>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</si>
  <si>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</si>
  <si>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</si>
  <si>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</si>
  <si>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</si>
  <si>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</si>
  <si>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</si>
  <si>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</si>
  <si>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</si>
  <si>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</si>
  <si>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UNIDAD</t>
  </si>
  <si>
    <t>Especificidades Item N° 1:</t>
  </si>
  <si>
    <t>Descripción técnica</t>
  </si>
  <si>
    <t>Plazos y lugares de entrega</t>
  </si>
  <si>
    <t>Calidad Minima esperada</t>
  </si>
  <si>
    <t>Mantenimiento</t>
  </si>
  <si>
    <t>Garantia</t>
  </si>
  <si>
    <t>Especificidades Item N° 2:</t>
  </si>
  <si>
    <t>NOTA DE PEDIDO</t>
  </si>
  <si>
    <t>N°</t>
  </si>
  <si>
    <t>PERIODO UTILIZACIÓN:</t>
  </si>
  <si>
    <t>OBJETO:</t>
  </si>
  <si>
    <t>Ítem</t>
  </si>
  <si>
    <t>Codigo Item</t>
  </si>
  <si>
    <t>DESCRIPCIÓN</t>
  </si>
  <si>
    <t>Adjunta Detalle Técnico</t>
  </si>
  <si>
    <t>Unidad Medida</t>
  </si>
  <si>
    <t>Precio Unitario Estimado</t>
  </si>
  <si>
    <t>Cantidad Solicitada</t>
  </si>
  <si>
    <t>SI</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</si>
  <si>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</si>
  <si>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</si>
  <si>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</si>
  <si>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</si>
  <si>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</si>
  <si>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</si>
  <si>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</si>
  <si>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</si>
  <si>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</si>
  <si>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</si>
  <si>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</si>
  <si>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</si>
  <si>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</si>
  <si>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</si>
  <si>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</si>
  <si>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</si>
  <si>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</si>
  <si>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</si>
  <si>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</si>
  <si>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</si>
  <si>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</si>
  <si>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</si>
  <si>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</si>
  <si>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</si>
  <si>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</si>
  <si>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</si>
  <si>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ALIMENTOS</t>
  </si>
  <si>
    <t>Alimentos para Personas</t>
  </si>
  <si>
    <t>25- Direccion Provincial de Gestion Administracion y RRHH</t>
  </si>
  <si>
    <t>ALTA</t>
  </si>
  <si>
    <t>S/E</t>
  </si>
  <si>
    <t>Especificidades Item N° 3:</t>
  </si>
  <si>
    <t>45- Ministerio de Desarrollo Social y Deporte.-</t>
  </si>
  <si>
    <t>2.1.1-482.69</t>
  </si>
  <si>
    <t>2.1.1-435.60</t>
  </si>
  <si>
    <t>2.1.1-6547.56</t>
  </si>
  <si>
    <t>2.1.1-6546.4</t>
  </si>
  <si>
    <t>2.1.1-6547.17</t>
  </si>
  <si>
    <t>2.1.1-6546.46</t>
  </si>
  <si>
    <t>2.1.1-6546.100</t>
  </si>
  <si>
    <t>2.1.1</t>
  </si>
  <si>
    <t>HARINAS; TIPO: MAIZ, PRESENTACION: ENVASE X 1 Kg, MATERIAL ENVASE: PAPEL, CERTICADO FORESTAL (GFS): SIN, ELEM. TRANSPORTE: SIN, MATERIAL ELEM. TRANSPORTE: SIN, LIBRE DE GLUTEN: NO</t>
  </si>
  <si>
    <t>ARROZ; TIPO GRANO: LARGO-FINO, TIPO: BLANCO, PROCESO: SIN CASCARA, PRESENTACION: BOLSA X 1 Kg, MATERIAL ENVASE: PLASTICO, CERTIFICADO FORESTAL (GFS): SIN, ELEM. TRANSPORTE: SIN, MATERIAL ELEM. TRANSPORTE: SIN, LIBRE DE GLUTEN: SI</t>
  </si>
  <si>
    <t>LEGUMBRES; VARIEDAD: POROTO BLANCO OVAL, ESTADO: SECO, PRESENTACION: BOLSA, PESO: 500 GR</t>
  </si>
  <si>
    <t>VERDURAS Y HORTALIZAS; VARIEDAD: TOMATE PERITA, ESTADO: TRITURADO, PRESENTACION: BOTELLA, PESO: 950 GR</t>
  </si>
  <si>
    <t>LEGUMBRES; VARIEDAD: ARVEJA, ESTADO: REMOJADO EN CONSERVA, PRESENTACION: LATA, PESO: 350 GR</t>
  </si>
  <si>
    <t>VERDURAS Y HORTALIZAS; VARIEDAD: CEBOLLA, ESTADO: NATURAL, PRESENTACION: GRANEL, PESO: SIN VALOR</t>
  </si>
  <si>
    <t>VERDURAS Y HORTALIZAS; ESTADO: NATURAL, PRESENTACION: GRANEL, VARIEDAD: PAPA BLANCA, PESO: SIN VALOR</t>
  </si>
  <si>
    <t>2.1.1-6546.403</t>
  </si>
  <si>
    <t>2.1.1-6546.95</t>
  </si>
  <si>
    <t>2.1.1-6546.401</t>
  </si>
  <si>
    <t>2.1.1-6546.47</t>
  </si>
  <si>
    <t>2.1.1-6546.162</t>
  </si>
  <si>
    <t>2.1.1-541.7</t>
  </si>
  <si>
    <t>2.1.1-541.49</t>
  </si>
  <si>
    <t>VERDURAS Y HORTALIZAS; VARIEDAD: ZANAHORIA, ESTADO: NATURAL, PRESENTACION: BOLSA, PESO: NO CORRESPONDE, ELEM. TRANSPORTE: SIN, MATERIAL ELEM. TRANSPORTE: SIN, LIBRE DE GLUTEN: SI, ORGANICO: NO</t>
  </si>
  <si>
    <t>VERDURAS Y HORTALIZAS; VARIEDAD: MORRON VERDE, ESTADO: NATURAL, PRESENTACION: GRANEL, PESO: SIN VALOR</t>
  </si>
  <si>
    <t>VERDURAS Y HORTALIZAS; VARIEDAD: AJO, ESTADO: NATURAL, PRESENTACION: UNIDAD, PESO: NO CORRESPONDE, ELEM. TRANSPORTE: SIN, MATERIAL ELEM. TRANSPORTE: SIN, LIBRE DE GLUTEN: SI, ORGANICO: NO</t>
  </si>
  <si>
    <t>VERDURAS Y HORTALIZAS; VARIEDAD: CEBOLLA DE VERDEO, ESTADO: NATURAL, PRESENTACION: GRANEL, PESO: SIN VALOR</t>
  </si>
  <si>
    <t>VERDURAS Y HORTALIZAS; VARIEDAD: ZAPALLO CRIOLLO, ESTADO: NATURAL, PRESENTACION: UNIDAD, PESO: SIN VALOR</t>
  </si>
  <si>
    <t>CARNES; ESPECIE: VACUNA, CORTE: PICADA ESPECIAL, TIPO: VACUNA</t>
  </si>
  <si>
    <t>CARNES; ESPECIE: VACUNA, CORTE: NALGA, TIPO: VACUNA</t>
  </si>
  <si>
    <t>2.1.1-489.132</t>
  </si>
  <si>
    <t>2.1.1-489.66</t>
  </si>
  <si>
    <t>2.1.1-489.67</t>
  </si>
  <si>
    <t>2.1.1-489.109</t>
  </si>
  <si>
    <t>2.1.1-514.15</t>
  </si>
  <si>
    <t>ESPECIAS; TIPO: PIMIENTA BLANCA, PRESENTACION: ENVASE X 1 Kg</t>
  </si>
  <si>
    <t>ESPECIAS; TIPO: OREGANO, PRESENTACION: BOLSA DE 1 Kg</t>
  </si>
  <si>
    <t>ESPECIAS; TIPO: PIMENTON, PRESENTACION: BOLSA DE 1 Kg</t>
  </si>
  <si>
    <t>ESPECIAS; TIPO: PROVENZAL, PRESENTACION: PAQUETE X 1 Kg</t>
  </si>
  <si>
    <t>SAL DE MESA; CONSISTENCIA: GRUESA, ENVASE: BOLSA, PESO: 1 Kg, TIPO: SIN VALOR</t>
  </si>
  <si>
    <t>2.5.6-798.8</t>
  </si>
  <si>
    <t>COMBUSTIBLES Y LUBRICANTES</t>
  </si>
  <si>
    <t>2.5.6</t>
  </si>
  <si>
    <t>GAS EN GARRAFA; CAPACIDAD: 10 Kg</t>
  </si>
  <si>
    <t>ELEMENTOS DE LIMPIEZA</t>
  </si>
  <si>
    <t>2.9.1</t>
  </si>
  <si>
    <t>2.1.1-6546.148</t>
  </si>
  <si>
    <t>VERDURAS Y HORTALIZAS; VARIEDAD: ZAPALLITO LARGO, ESTADO: NATURAL, PRESENTACION: CAJON, PESO: SIN VALOR</t>
  </si>
  <si>
    <t>2.1.1-669.32</t>
  </si>
  <si>
    <t>PANES; PRESENTACION: UNIDAD, TIPO: BAGUETTE</t>
  </si>
  <si>
    <t xml:space="preserve">UNIDAD </t>
  </si>
  <si>
    <t>KG</t>
  </si>
  <si>
    <t>LITROS</t>
  </si>
  <si>
    <t>2.1.1-621.3</t>
  </si>
  <si>
    <t>AVES; PRESENTACION: TROZADO SIN PIEL, ESPECIE: POLLO, EVISCERADO: SIN VALOR, TIPO: POLLO</t>
  </si>
  <si>
    <t>GARRAFA X 10 KGS. TIPO COMERCIAL</t>
  </si>
  <si>
    <t>2.9.1-6951.30</t>
  </si>
  <si>
    <t>2.9.1-6951.12</t>
  </si>
  <si>
    <t>2.9.1-4784.51</t>
  </si>
  <si>
    <t>LIMPIADORES; TIPO: LAVANDINA, PRESENTACION: ENVASE X 5 L</t>
  </si>
  <si>
    <t>LIMPIADORES; PRESENTACION: ENVASE X 5 L, TIPO: DETERGENTE</t>
  </si>
  <si>
    <t>LIMPIADORES MULTIUSO; COMPUESTOS BIODEGRADABLES: SI, PRESENTACION: ENVASE X 5 L, TIPO: DESENGRASANTE</t>
  </si>
  <si>
    <t>PRESENTACION EN BIDONES PLASTICOS POR 5LTS.</t>
  </si>
  <si>
    <t>2.1.1-6539.8</t>
  </si>
  <si>
    <t>2.1.1-6539.19</t>
  </si>
  <si>
    <t>2.1.1-6539.30</t>
  </si>
  <si>
    <t>2.1.1-6539.32</t>
  </si>
  <si>
    <t>FRUTAS; VARIEDAD: NARANJA ESPECIAL, ESTADO: NATURAL, PRESENTACION: CAJON, PESO: SIN VALOR</t>
  </si>
  <si>
    <t>FRUTAS; ESTADO: NATURAL, VARIEDAD: MANZANA RED ELEGIDA, PRESENTACION: CAJON, PESO: SIN VALOR</t>
  </si>
  <si>
    <t>FRUTAS; VARIEDAD: BANANA, PRESENTACION: CAJON, ESTADO: NATURAL, PESO: SIN VALOR</t>
  </si>
  <si>
    <t>FRUTAS; VARIEDAD: PERA AMARILLA, ESTADO: NATURAL, PRESENTACION: CAJON, PESO: SIN VALOR</t>
  </si>
  <si>
    <t>SEMANAL</t>
  </si>
  <si>
    <t>COMEDOR</t>
  </si>
  <si>
    <t>DOMICILIO DE ENTREGA</t>
  </si>
  <si>
    <t>60 DIAS</t>
  </si>
  <si>
    <t>Especificidades Item N° 4:</t>
  </si>
  <si>
    <t>Especificidades Item N° 5:</t>
  </si>
  <si>
    <t>Especificidades Item N° 6:</t>
  </si>
  <si>
    <t>Especificidades Item N° 7:</t>
  </si>
  <si>
    <t>Especificidades Item N° 8:</t>
  </si>
  <si>
    <t>Especificidades Item N° 9:</t>
  </si>
  <si>
    <t>Especificidades Item N° 10:</t>
  </si>
  <si>
    <t>Especificidades Item N° 11:</t>
  </si>
  <si>
    <t>Especificidades Item N° 12:</t>
  </si>
  <si>
    <t>Especificidades Item N° 13:</t>
  </si>
  <si>
    <t>Especificidades Item N° 14:</t>
  </si>
  <si>
    <t>Especificidades Item N° 15:</t>
  </si>
  <si>
    <t>Especificidades Item N° 16:</t>
  </si>
  <si>
    <t>Especificidades Item N° 17:</t>
  </si>
  <si>
    <t>Especificidades Item N° 18:</t>
  </si>
  <si>
    <t>Especificidades Item N° 19:</t>
  </si>
  <si>
    <t>Especificidades Item N° 20:</t>
  </si>
  <si>
    <t>Especificidades Item N° 21:</t>
  </si>
  <si>
    <t>Especificidades Item N° 22:</t>
  </si>
  <si>
    <t>Especificidades Item N° 23:</t>
  </si>
  <si>
    <t>Especificidades Item N° 24:</t>
  </si>
  <si>
    <t>Especificidades Item N° 25:</t>
  </si>
  <si>
    <t>Especificidades Item N° 26:</t>
  </si>
  <si>
    <t>Especificidades Item N° 27:</t>
  </si>
  <si>
    <t>Especificidades Item N° 28:</t>
  </si>
  <si>
    <t>Especificidades Item N° 29:</t>
  </si>
  <si>
    <t>Especificidades Item N° 30:</t>
  </si>
  <si>
    <t>24 KG</t>
  </si>
  <si>
    <t>18 KG</t>
  </si>
  <si>
    <t>35 KG</t>
  </si>
  <si>
    <t>41 KG</t>
  </si>
  <si>
    <t>33 KG</t>
  </si>
  <si>
    <t>15 KG</t>
  </si>
  <si>
    <t>20 KG</t>
  </si>
  <si>
    <t>30 KG</t>
  </si>
  <si>
    <t>45 KG</t>
  </si>
  <si>
    <t>53 KG</t>
  </si>
  <si>
    <t>38 KG</t>
  </si>
  <si>
    <t>27 KG</t>
  </si>
  <si>
    <t>26 KG</t>
  </si>
  <si>
    <t>25 KG</t>
  </si>
  <si>
    <t>11 KG</t>
  </si>
  <si>
    <t>14 KG</t>
  </si>
  <si>
    <t>13 KG</t>
  </si>
  <si>
    <t>22 KG</t>
  </si>
  <si>
    <t>39 KG</t>
  </si>
  <si>
    <t>28 KG</t>
  </si>
  <si>
    <t>19 KG</t>
  </si>
  <si>
    <t>32 KG</t>
  </si>
  <si>
    <t>46 KG</t>
  </si>
  <si>
    <t>54 KG</t>
  </si>
  <si>
    <t>44 KG</t>
  </si>
  <si>
    <t>40 KG</t>
  </si>
  <si>
    <t>60 KG</t>
  </si>
  <si>
    <t>70 KG</t>
  </si>
  <si>
    <t>50 KG</t>
  </si>
  <si>
    <t>36 KG</t>
  </si>
  <si>
    <t>34 KG</t>
  </si>
  <si>
    <t>21 KG</t>
  </si>
  <si>
    <t>9 KG</t>
  </si>
  <si>
    <t>12 KG</t>
  </si>
  <si>
    <t>23 KG</t>
  </si>
  <si>
    <t>16 KG</t>
  </si>
  <si>
    <t>64 KG</t>
  </si>
  <si>
    <t>76 KG</t>
  </si>
  <si>
    <t>62 KG</t>
  </si>
  <si>
    <t>56 KG</t>
  </si>
  <si>
    <t>84 KG</t>
  </si>
  <si>
    <t>98 KG</t>
  </si>
  <si>
    <t>48 KG</t>
  </si>
  <si>
    <t>47 KG</t>
  </si>
  <si>
    <t>81 KG</t>
  </si>
  <si>
    <t>95 KG</t>
  </si>
  <si>
    <t>77 KG</t>
  </si>
  <si>
    <t>42 KG</t>
  </si>
  <si>
    <t>105 KG</t>
  </si>
  <si>
    <t>123 KG</t>
  </si>
  <si>
    <t>88 KG</t>
  </si>
  <si>
    <t>63 KG</t>
  </si>
  <si>
    <t>59 KG</t>
  </si>
  <si>
    <t>51 KG</t>
  </si>
  <si>
    <t>29 KG</t>
  </si>
  <si>
    <t>66 KG</t>
  </si>
  <si>
    <t>55 KG</t>
  </si>
  <si>
    <t>37 KG</t>
  </si>
  <si>
    <t>10 KG</t>
  </si>
  <si>
    <t>17 KG</t>
  </si>
  <si>
    <t>49 KG</t>
  </si>
  <si>
    <t>31 KG</t>
  </si>
  <si>
    <t>92 KG</t>
  </si>
  <si>
    <t>108 KG</t>
  </si>
  <si>
    <t>52 KG</t>
  </si>
  <si>
    <t>80 KG</t>
  </si>
  <si>
    <t>120 KG</t>
  </si>
  <si>
    <t>140 KG</t>
  </si>
  <si>
    <t>100 KG</t>
  </si>
  <si>
    <t>72 KG</t>
  </si>
  <si>
    <t>69 KG</t>
  </si>
  <si>
    <t>67 KG</t>
  </si>
  <si>
    <t>QUINCENAL</t>
  </si>
  <si>
    <t>2 KG</t>
  </si>
  <si>
    <t>SEMANAL INTERCALANDO CON ITEM 29</t>
  </si>
  <si>
    <t>SEMANAL INTERCALANDO CON ITEM 30</t>
  </si>
  <si>
    <t>SEMANAL INTERCALANDO CON ITEM 28</t>
  </si>
  <si>
    <t>SEMANAL INTERCALANDO CON ITEM 27</t>
  </si>
  <si>
    <t>AV. RIVIERA DEL VALLE ENTRE FLORIDA Y SANTA FE</t>
  </si>
  <si>
    <t>Bº RIVERA DEL VALLE ENTRE VILLA EUMELIA Y MONTE CRISTO</t>
  </si>
  <si>
    <t>Bº MUNICIPAL 35VV. NORTE C/14</t>
  </si>
  <si>
    <t>CLUB DEPORTIVO CHACARITA</t>
  </si>
  <si>
    <t>CALLE DR.DERMIDIO GALINDEZ C/2660</t>
  </si>
  <si>
    <t>LA MORO</t>
  </si>
  <si>
    <t>MAIPU NORTE 1º ETAPA MZA "H" Bº MI JARDIN</t>
  </si>
  <si>
    <t>PAPA FRANCISCO</t>
  </si>
  <si>
    <t>ENTRE AV.TEREBINTO Y AV.SAN JUAN LOTE "2" MZA. "B"</t>
  </si>
  <si>
    <t>E.P.C - 100 V.V NORTE</t>
  </si>
  <si>
    <t>Bº VV NORTE C/48 ENTRE ESPAÑA Y FRANCIA</t>
  </si>
  <si>
    <t>Bº SANTA MARTA MZA. "S" LOTE "M" C/39</t>
  </si>
  <si>
    <t>LA LUCIERNAGA</t>
  </si>
  <si>
    <t>Bº 20 V.V NORTE C/3</t>
  </si>
  <si>
    <t>VALLE VIEJO - SUMALAO</t>
  </si>
  <si>
    <t>PADRE SEGURA S/N</t>
  </si>
  <si>
    <t>Bº LAS VIAS OESTE LOTE 42</t>
  </si>
  <si>
    <t>SAN JOSE OBRERO</t>
  </si>
  <si>
    <t>Bº SAN JOSE OBRERO. PJE. SANDOVAL S/Nº</t>
  </si>
  <si>
    <t>VIRGEN DE LUJAN</t>
  </si>
  <si>
    <t>Bº OJO DE AGUA C/DR.TEODULFO BARRIONUEVO S/Nº</t>
  </si>
  <si>
    <t>RENACER</t>
  </si>
  <si>
    <t>Bº VIRGEN MORENITA</t>
  </si>
  <si>
    <t>CENTRO VECINAL MI JARDIN</t>
  </si>
  <si>
    <t>C/ LOS TULIPANES ENTRE FLOR DE CEREZO Y HOLANDA MZA.27 Bº MI JARDIN</t>
  </si>
  <si>
    <t>LA VIEJA ESQUINA</t>
  </si>
  <si>
    <t>B° CRISTO REY PJE CAPATAZ VILLAFAÑEZ Y ARMANDO CORREA</t>
  </si>
  <si>
    <t>GAUCHITO GIL</t>
  </si>
  <si>
    <t>B° 26 VIVIENDAS CASA N° 3</t>
  </si>
  <si>
    <t>2.1.1-439.67</t>
  </si>
  <si>
    <t>ACEITES COMESTIBLES; TIPO: GIRASOL, PRESENTACION: ENVASE X 900 CM3, MATERIAL ENVASE: PLASTICO 1 (PET), ELEM. TRANSPORTE: SIN, MATERIAL ELEM. TRANSPORTE : SIN, LIBRE DE GLUTEN: NO</t>
  </si>
  <si>
    <t>LEGUMBRES; VARIEDAD: LENTEJA, ESTADO: NATURAL, PRESENTACION: BOLSA PLASTICA, PESO: 500 GR</t>
  </si>
  <si>
    <t>2.1.1-6547.22</t>
  </si>
  <si>
    <t>MAIZ; TIPO: BLANCO PISADO, PRESENTACION: ENVASE X 500 GR, FORMA DE PRESENTACION: SIN VALOR</t>
  </si>
  <si>
    <t>2.1.1-2616.9</t>
  </si>
  <si>
    <t>SAL DE MESA; CONSISTENCIA: FINA, PESO: 500 GR, TIPO: SIN VALOR, ENVASE: PAQUETE</t>
  </si>
  <si>
    <t>2.1.1-514.2</t>
  </si>
  <si>
    <t>7 KG</t>
  </si>
  <si>
    <t>8 KG</t>
  </si>
  <si>
    <t>1 KG</t>
  </si>
  <si>
    <t>*SE REALIZA LA ENTREGA DE 20 UNIDADES POR SEMANA (1 POR CADA COMEDOR) LO QUE HACE UNA SUMA DE 80 UNIDADES MENSUALES  QUE REPRESENTAN UN TOTAL DE 240 UNIDADES TRIMESTRALES</t>
  </si>
  <si>
    <t>LOS DIAS MARTES CADA 15 DIAS</t>
  </si>
  <si>
    <t>LOS DIAS JUEVES CADA 15 DIAS</t>
  </si>
  <si>
    <t>POR DIA (LUNES-MARTES-MIERCOLES-JUEVES Y VIERNES)</t>
  </si>
  <si>
    <t>Importe Estimado</t>
  </si>
  <si>
    <t>2.1.1-2868.55</t>
  </si>
  <si>
    <t>FIDEOS SECOS; VARIEDAD: TALLARIN, RELLENO: SIN, PRESENTACION: ENVASE X 500 GR, MATERIAL ENVASE: PLASTICO 1 (PET), ELEM. TRANSPORTE: SIN, MATERIAL ELEM. TRANSPORTE: SIN, CERTIFICADO FORESTAL (GFS): SIN, LIBRE DE GLUTEN: NO</t>
  </si>
  <si>
    <t>2.1.1-483.33</t>
  </si>
  <si>
    <t>HUEVO DE GALLINA; TAMAÑO: MEDIANOS, COLOR: BLANCOS, PRESENTACION: 30</t>
  </si>
  <si>
    <t>2.1.1-669.25</t>
  </si>
  <si>
    <t>PANES; TIPO: RALLADO, PRESENTACION: BOLSA DE 1000 GR</t>
  </si>
  <si>
    <t>Especificidades Item N° 31:</t>
  </si>
  <si>
    <t>JIREH LOTEO SUSSEX</t>
  </si>
  <si>
    <t>B° LA RIVERA CASA N° 28</t>
  </si>
  <si>
    <t>Bº SAN CARLOS OESTE AV. BONIFACIO COBACHO N° 670</t>
  </si>
  <si>
    <t xml:space="preserve">UNA SONRISA </t>
  </si>
  <si>
    <t xml:space="preserve">C.I.F Nº1 </t>
  </si>
  <si>
    <t>ESFUERZO PROPIO</t>
  </si>
  <si>
    <t xml:space="preserve">C.I.F - RIVERA DEL VALLE </t>
  </si>
  <si>
    <t xml:space="preserve">HOGAR DE CRISTO </t>
  </si>
  <si>
    <t xml:space="preserve">NUESTRO FUTURO </t>
  </si>
  <si>
    <t>CORAZONES FELICES</t>
  </si>
  <si>
    <t>LOTEO PARQUE SUR MZ 1 LOTE N° 21</t>
  </si>
  <si>
    <t>2.1.1-6547.55</t>
  </si>
  <si>
    <t>LEGUMBRES; VARIEDAD: POROTO SECO, ESTADO: SECA Y CONSERVADA, PRESENTACION: BOLSA PLASTICA, PESO: 1 Kg</t>
  </si>
  <si>
    <t>2.1.1-2616.6</t>
  </si>
  <si>
    <t>MAIZ; TIPO: BLANCO, PRESENTACION: PAQUETE X 1 Kg, FORMA DE PRESENTACION: PISADO</t>
  </si>
  <si>
    <t>2.1.1-2431.13</t>
  </si>
  <si>
    <t>CALDOS; GUSTO: VERDURA, TIPO: DESHIDRATADO, PRESENTACION: ENVASE X 12 UN</t>
  </si>
  <si>
    <t>VERDURAS Y HORTALIZAS; VARIEDAD: PEREJIL, ESTADO: NATURAL, PRESENTACION: GRANEL, PESO: SIN VALOR</t>
  </si>
  <si>
    <t>2.1.1-6546.132</t>
  </si>
  <si>
    <t>Especificidades Item N° 32:</t>
  </si>
  <si>
    <t>Especificidades Item N° 33:</t>
  </si>
  <si>
    <t>Especificidades Item N° 34:</t>
  </si>
  <si>
    <t>2.5.6-798.7</t>
  </si>
  <si>
    <t>GAS EN GARRAFA; CAPACIDAD: 45 Kg</t>
  </si>
  <si>
    <t>GARRAFA X 45 KGS. TIPO COMERCIAL</t>
  </si>
  <si>
    <t>000/2021</t>
  </si>
  <si>
    <t>CADA 20 DIAS</t>
  </si>
  <si>
    <t>*SE REALIZA LA ENTREGA DE 3 UNIDADES CADA 20 DIAS (1 POR CADA COMEDOR) LO QUE HACE UNA SUMA DE 9 UNIDADES BIMESTRALES  QUE REPRESENTAN UN TOTAL DE 27 UNIDADES SEMESTRALES</t>
  </si>
  <si>
    <t>Adquisición de Alimentos para asistir a Personas de escasos Recursos atravez de los Comedores Emergentes.-</t>
  </si>
  <si>
    <t>01- Ministerio de Desarrollo Social y Deporte</t>
  </si>
  <si>
    <t>01- Actividad Central</t>
  </si>
  <si>
    <t>TRIMESTRE</t>
  </si>
  <si>
    <t>*SE REALIZA LA ENTREGA DE 34 UNIDADES POR SEMANA (2 POR CADA COMEDOR) LO QUE HACE UNA SUMA DE 136 UNIDADES MENSUALES  QUE REPRESENTAN UN TOTAL DE 816 UNIDADES SEMESTRALES</t>
  </si>
  <si>
    <t>Costo total estimado:  TOTAL DE PESOS: OCHOCIENTOS SETENTA Y CUATRO MIL DOSCIENTOS CON 00/100.-</t>
  </si>
  <si>
    <t>TOTAL DE PESOS: OCHOCIENTOS SETENTA Y CUATRO MIL DOSCIENTOS CON 00/100.-</t>
  </si>
  <si>
    <t>Adquisición de Garrafas de Gas para asistir a Personas de escasos Recursos atravez de los Comedores Emergentes.-</t>
  </si>
  <si>
    <t>Combustibles y Lubricantes</t>
  </si>
  <si>
    <t>20- Promocion Socio Alimentaria PPG- MDSD</t>
  </si>
  <si>
    <t>20- Promocion Socio Alimentaria- PPG- MDSD</t>
  </si>
  <si>
    <t>686/2021</t>
  </si>
  <si>
    <t>2.1.1-6546.330</t>
  </si>
  <si>
    <t>VERDURAS Y HORTALIZAS; VARIEDAD: ZAPALLO ANCO, ESTADO: NATURAL, PRESENTACION: UNIDAD, PESO: 1 Kg</t>
  </si>
  <si>
    <t>CEBOLLA ESTADO NATURAL PRESENTACION POR UN KILOGRAMO</t>
  </si>
  <si>
    <t>PAPA BLANCA ESTADO NATURAL PRESENTACION POR UN KILOGRAMO</t>
  </si>
  <si>
    <t>2.1.1-6546.188</t>
  </si>
  <si>
    <t>VERDURAS Y HORTALIZAS; ESTADO: NATURAL, PRESENTACION: GRANEL, PESO: SIN VALOR, VARIEDAD: ZAPALLO CRIOLLO</t>
  </si>
  <si>
    <t>POLLO TROZADO, PRESENTACION POR UN KILOGRAMO</t>
  </si>
  <si>
    <t>2.1.1-669.64</t>
  </si>
  <si>
    <t>PANES; TIPO: FRANCES, PRESENTACION: ENVASE X 1 Kg</t>
  </si>
  <si>
    <t>BOLSA</t>
  </si>
  <si>
    <t>MAPLE</t>
  </si>
  <si>
    <t>BOTELLA</t>
  </si>
  <si>
    <t>LATA</t>
  </si>
  <si>
    <t>CAJON</t>
  </si>
  <si>
    <t>CABEZA</t>
  </si>
  <si>
    <t>ATADO</t>
  </si>
  <si>
    <t>PAQUETE</t>
  </si>
  <si>
    <t>CAJA</t>
  </si>
  <si>
    <t>MORRON VERDE ESTADO NATURAL PRESENTACION UNIDAD PESO APROXIMADO 200 GRAMOS</t>
  </si>
  <si>
    <t>ZANAHORIA ESTADO NATURAL PRESENTACION BOLSA POR UN KILOGRAMO</t>
  </si>
  <si>
    <t xml:space="preserve"> CABEZA DE AJO TAMAÑO GRANDE ESTADO:NATURAL , PESO APROXIMADO 70 GRAMOS</t>
  </si>
  <si>
    <t>PEREJIL ESTADO NATURAL, PRESENTACION: UNIDAD/ ATADO PESO APROXIMADO 100 GRAMOS</t>
  </si>
  <si>
    <t>CEBOLLA DE VERDEO ESTADO NATURAL PRESENTACION: UNIDAD/ATADO PESO APROXIMADO 150 GRAMOS</t>
  </si>
  <si>
    <t>HUEVOS DE GALLINA PRESENTACION: MAPLE DE CARTON X 30 UNIDADES, TAMAÑO MEDIANOS</t>
  </si>
  <si>
    <t>ACEITE COMESTIBLE DE GIRASOL. PRESENTACION: BOTELLA PLASTICA X 900 CM3</t>
  </si>
  <si>
    <t>ZAPALLO CRIOLLO ESTADO NATURAL PRESENTACION POR UN KILOGRAMO</t>
  </si>
  <si>
    <t>HARINA DE MAIZ. PRESENTACION PAQUETE DE PAPEL CERTIFICADO FORESTAL X UN KILOGRAMO</t>
  </si>
  <si>
    <t>FIDEO TIPO TALLARIN. PRESENTACION: PAQUETE X 500 GRAMOS</t>
  </si>
  <si>
    <t>ARROZ GRANO LARGO-FINO. PRESENTACION: BOLSA PLASTICA X 1 KG</t>
  </si>
  <si>
    <t>POROTO SECO. PRESENTACION: BOLSA PLASTICA X 1 KG</t>
  </si>
  <si>
    <t>ZAPALLO ANCO ESTADO NATURAL PRESENTACION POR UN KILOGRAMO</t>
  </si>
  <si>
    <t>TOMATE PERITA TRITURADO. PRESENTACION: BOTELLA DE VIDRIO X 950 GRAMOS</t>
  </si>
  <si>
    <t>ARVEJAS REMOJADAS EN CONSERVA. PRESENTACION: LATA X 350 GRAMOS</t>
  </si>
  <si>
    <t>CARNE VACUNA: PICADA ESPECIAL PRESENTACION POR UN KILOGRAMO</t>
  </si>
  <si>
    <t>CARNE VACUNA: NALGA ESPECIAL PRESENTACION POR UN KILOGRAMO</t>
  </si>
  <si>
    <t>PIMIENTA BLANCA. PRESENTACION: BOLSA PLASTICA POR UN KILOGRAMO</t>
  </si>
  <si>
    <t>OREGANO. PRESENTACION: BOLSA PLASTICA POR UN KILOGRAMO</t>
  </si>
  <si>
    <t>PIMENTON. PRESENTACION: BOLSA PLASTICA POR UN KILOGRAMO</t>
  </si>
  <si>
    <t>PROVENZAL. PRESENTACION: PAQUETE PLASTICO POR UN KILOGRAMO</t>
  </si>
  <si>
    <t>SAL DE MESA TIPO FINA. PRESENTACION: PAQUETE POR 500 GRAMOS</t>
  </si>
  <si>
    <t>SAL DE MESA TIPO GRUESA. PRESENTACION BOLSA PLASTICA POR UN KILOGRAMO</t>
  </si>
  <si>
    <t>PAN RALLADO PRESENTACION: BOLSA PLASTICA POR UN KILOGRAMO</t>
  </si>
  <si>
    <t>CALDO GUSTO DE VERDURA DESHIDRATADO. PRESENTACION: CAJA POR DOCE UNIDADES</t>
  </si>
  <si>
    <t>PAN FRANCES POR KILOGRAMO</t>
  </si>
  <si>
    <t>NARANJA ESTADO NATURAL PRESENTACION: CAJON MADERA X 18 KG - PESO APROXIMADO POR UNIDAD 200 GRAMOS</t>
  </si>
  <si>
    <t>MANZANA RED ELEGIDA ESTADO NATURAL PRESENTACION: CAJON MADERA X 20 KG - PESO APROXIMADO POR UNIDAD 200 GRAMOS</t>
  </si>
  <si>
    <t>BANANA ESTADO NATURAL PRESENTACION: CAJON CARTON X 20 KG - PESO APROXIMADO POR UNIDAD 200 GRAMOS</t>
  </si>
  <si>
    <t>PERA ESTADO NATURAL PRESENTACION: CAJON MADERA  X 18 KG - PESO APROXIMADO POR UNIDAD 166 GRAMOS</t>
  </si>
  <si>
    <t>MAIZ BLANCO PISADO. PRESENTACION: BOLSA PLASTICA POR  UN KILOGRAMO</t>
  </si>
  <si>
    <t>*SE REALIZA LA ENTREGA DE 1.323 UNIDADES POR SEMANA ( DISTRIBUIDOS SEGÚN DETALLE PARA CADA COMEDOR)   LO QUE HACE UNA SUMA DE 5.292 UNIDADES MENSUALES  QUE REPRESENTAN UN TOTAL DE 15.876 UNIDADES TRIMESTRALES</t>
  </si>
  <si>
    <t>*SE REALIZA LA ENTREGA DE 219 UNIDADES POR SEMANA ( DISTRIBUIDOS SEGÚN DETALLE PARA CADA COMEDOR)   LO QUE HACE UNA SUMA DE 876 UNIDADES MENSUALES  QUE REPRESENTAN UN TOTAL DE 2628 UNIDADES TRIMESTRALES</t>
  </si>
  <si>
    <t>*SE REALIZA LA ENTREGA DE 277 KG POR SEMANA ( DISTRIBUIDOS SEGÚN DETALLE PARA CADA COMEDOR)   LO QUE HACE UNA SUMA DE 1.108  KG MENSUALES  QUE REPRESENTA UN TOTAL DE 3.324  KG TRIMESTRALES</t>
  </si>
  <si>
    <t>*SE REALIZA LA ENTREGA DE 107 UNIDADES POR SEMANA ( DISTRIBUIDOS SEGÚN DETALLE PARA CADA COMEDOR)   LO QUE HACE UNA SUMA DE 428 UNIDADES MENSUALES  QUE REPRESENTA UN TOTAL DE 1.284 UNIDADES TRIMESTRALES</t>
  </si>
  <si>
    <t>*SE REALIZA LA ENTREGA DE 1.048 KG POR SEMANA ( DISTRIBUIDOS SEGÚN DETALLE PARA CADA COMEDOR)   LO QUE HACE UNA SUMA DE 4.192 KG MENSUALES  QUE REPRESENTA UN TOTAL DE 12.576 KG TRIMESTRALES</t>
  </si>
  <si>
    <t>*SE REALIZA LA ENTREGA DE 1.100 UNIDADES POR SEMANA ( DISTRIBUIDOS SEGÚN DETALLE PARA CADA COMEDOR)   LO QUE HACE UNA SUMA DE 4.400 UNIDADES MENSUALES  QUE REPRESENTA UN TOTAL DE 13.200 UNIDADES TRIMESTRALES</t>
  </si>
  <si>
    <t>*SE REALIZA LA ENTREGA DE 827 UNIDADES POR SEMANA ( DISTRIBUIDOS SEGÚN DETALLE PARA CADA COMEDOR)   LO QUE HACE UNA SUMA DE 3.308 UNIDADES MENSUALES  QUE REPRESENTA UN TOTAL DE 9.924 UNIDADES TRIMESTRALES</t>
  </si>
  <si>
    <t>*SE REALIZA LA ENTREGA DE 390 UNIDADES POR SEMANA ( DISTRIBUIDOS SEGÚN DETALLE PARA CADA COMEDOR)   LO QUE HACE UNA SUMA DE 1.560 UNIDADES MENSUALES  QUE REPRESENTA UN TOTAL DE 4.680 UNIDADES TRIMESTRALES</t>
  </si>
  <si>
    <t>*SE REALIZA LA ENTREGA DE 1.489 KG POR SEMANA ( DISTRIBUIDOS SEGÚN DETALLE PARA CADA COMEDOR)   LO QUE HACE UNA SUMA DE 5.956 KG MENSUALES  QUE REPRESENTA UN TOTAL DE 17.868 KG TRIMESTRALES</t>
  </si>
  <si>
    <t>*SE REALIZA LA ENTREGA DE 3.849 KG POR SEMANA ( DISTRIBUIDOS SEGÚN DETALLE PARA CADA COMEDOR)   LO QUE HACE UNA SUMA DE 15.396 KG MENSUALES  QUE REPRESENTA UN TOTAL DE 46.188 KG TRIMESTRALES</t>
  </si>
  <si>
    <t>*SE REALIZA LA ENTREGA DE 718 KG POR SEMANA ( DISTRIBUIDOS SEGÚN DETALLE PARA CADA COMEDOR)   LO QUE HACE UNA SUMA DE 2.872 KG MENSUALES  QUE REPRESENTA UN TOTAL DE 8.616 KG TRIMESTRALES</t>
  </si>
  <si>
    <t>*SE REALIZA LA ENTREGA DE 1.649 UNIDADES POR SEMANA ( DISTRIBUIDOS SEGÚN DETALLE PARA CADA COMEDOR)   LO QUE HACE UNA SUMA DE 6.596 UNIDADES MENSUALES  QUE REPRESENTA UN TOTAL DE 19.788 UNIDADES TRIMESTRALES</t>
  </si>
  <si>
    <t>*SE REALIZA LA ENTREGA DE 2.148 KG POR SEMANA ( DISTRIBUIDOS SEGÚN DETALLE PARA CADA COMEDOR)   LO QUE HACE UNA SUMA DE 8.592 KG MENSUALES  QUE REPRESENTA UN TOTAL DE 25.776 KG TRIMESTRALES</t>
  </si>
  <si>
    <t>*SE REALIZA LA ENTREGA DE 550 UNIDADES POR SEMANA ( DISTRIBUIDOS SEGÚN DETALLE PARA CADA COMEDOR)   LO QUE HACE UNA SUMA DE 2.200 UNIDADES MENSUALES  QUE REPRESENTA UN TOTAL DE 6.600 UNIDADES TRIMESTRALES</t>
  </si>
  <si>
    <t>*SE REALIZA LA ENTREGA DE 550 KG POR SEMANA ( DISTRIBUIDOS SEGÚN DETALLE PARA CADA COMEDOR)   LO QUE HACE UNA SUMA DE 2.200 KG MENSUALES  QUE REPRESENTA UN TOTAL DE 6.600 KG TRIMESTRALES</t>
  </si>
  <si>
    <t>*SE REALIZA LA ENTREGA DE 882 KG POR SEMANA ( DISTRIBUIDOS SEGÚN DETALLE PARA CADA COMEDOR)   LO QUE HACE UNA SUMA DE 3.528 KG MENSUALES  QUE REPRESENTA UN TOTAL DE 10.584 KG TRIMESTRALES</t>
  </si>
  <si>
    <t>*SE REALIZA LA ENTREGA DE 1.376 KG POR SEMANA ( DISTRIBUIDOS SEGÚN DETALLE PARA CADA COMEDOR)   LO QUE HACE UNA SUMA DE 5.504 KG MENSUALES  QUE REPRESENTA UN TOTAL DE 16.512 KG TRIMESTRALES</t>
  </si>
  <si>
    <t>*SE REALIZA LA ENTREGA DE 657 KG POR DIA ( DISTRIBUIDOS SEGÚN DETALLE PARA CADA COMEDOR) RESULTANDO3.285 KG POR SEMANA  LO QUE HACE UNA SUMA DE 13.140 KG MENSUALES  QUE REPRESENTA UN TOTAL DE 39.420 KG TRIMESTRALES</t>
  </si>
  <si>
    <t>*SE REALIZA LA ENTREGA DE 20 KG QUINCENALES ( DISTRIBUIDOS SEGÚN DETALLE PARA CADA COMEDOR)   LO QUE HACE UNA SUMA DE 40 KG MENSUALES  QUE REPRESENTA UN TOTAL DE 120 KG TRIMESTRALES</t>
  </si>
  <si>
    <t>*SE REALIZA LA ENTREGA DE 61 UNIDADES POR SEMANA ( DISTRIBUIDOS SEGÚN DETALLE PARA CADA COMEDOR)   LO QUE HACE UNA SUMA DE 244  UNIDADES MENSUALES  QUE REPRESENTA UN TOTAL DE 732 UNIDADES TRIMESTRALES</t>
  </si>
  <si>
    <t>*SE REALIZA LA ENTREGA DE 64 UNIDADES CADA 15 DIAS ( DISTRIBUIDOS SEGÚN DETALLE PARA CADA COMEDOR)   LO QUE HACE UNA SUMA DE 128 UNIDADES MENSUALES  QUE REPRESENTA UN TOTAL DE  384 UNIDADES TRIMESTRALES. LA ENTREGA NO DEBE COINCIDIR CON EL DIA MARTES EN QUE SE ENTREGA EL ITEM 29 (BANANA)</t>
  </si>
  <si>
    <t>*SE REALIZA LA ENTREGA DE 61 UNIDADES CADA 15 DIAS ( DISTRIBUIDOS SEGÚN DETALLE PARA CADA COMEDOR)   LO QUE HACE UNA SUMA DE 122 UNIDADES MENSUALES QUE REPRESENTA UN TOTAL DE 366 UNIDADES TRIMESTRALES. LA ENTREGA NO DEBE COINCIDIR CON EL DIA JUEVES EN QUE SE ENTREGA EL ITEM 30 (PERA)</t>
  </si>
  <si>
    <t>*SE REALIZA LA ENTREGA DE 61 UNIDADES CADA 15 DIAS ( DISTRIBUIDOS SEGÚN DETALLE PARA CADA COMEDOR)   LO QUE HACE UNA SUMA DE 122  UNIDADES MENSUALES QUE REPRESENTA UN TOTAL DE 366 UNIDADES TRIMESTRALES. LA ENTREGA NO DEBE COINCIDIR CON EL DIA JUEVES EN QUE SE ENTREGA EL ITEM 27 (NARANJA)</t>
  </si>
  <si>
    <t>*SE REALIZA LA ENTREGA DE 277 UNIDADES POR SEMANA ( DISTRIBUIDOS SEGÚN DETALLE PARA CADA COMEDOR)   LO QUE HACE UNA SUMA DE 1.108 UNIDADES MENSUALES  QUE REPRESENTAN UN TOTAL DE 3.324 UNIDADES TRIMESTRALES</t>
  </si>
  <si>
    <t>*SE REALIZA LA ENTREGA DE 550 UNIDADES POR SEMANA ( DISTRIBUIDOS SEGÚN DETALLE PARA CADA COMEDOR)   LO QUE HACE UNA SUMA DE 2.200 UNIDADES MENSUALES  QUE REPRESENTAN UN TOTAL DE 6.600 UNIDADES TRIMESTRALES</t>
  </si>
  <si>
    <t>*SE REALIZA LA ENTREGA DE 107 UNIDADES POR SEMANA ( DISTRIBUIDOS SEGÚN DETALLE PARA CADA COMEDOR)   LO QUE HACE UNA SUMA DE 428 UNIDADES MENSUALES  QUE REPRESENTAN UN TOTAL DE 1.284 UNIDADES TRIMESTRALES</t>
  </si>
  <si>
    <t>*SE REALIZA LA ENTREGA DE 219 UNIDADES POR SEMANA ( DISTRIBUIDOS SEGÚN DETALLE PARA CADA COMEDOR)   LO QUE HACE UNA SUMA DE 876 UNIDADES MENSUALES  QUE REPRESENTAN UN TOTAL DE 2.628 UNIDADES TRIMESTRALES</t>
  </si>
  <si>
    <t>Adquisición de Alimentos para asistir a Personas de escasos Recursos a traves de los Comedores Emergentes por un Periodo de 3 meses</t>
  </si>
  <si>
    <t>Adquisición de Alimentos para asistir a Personas de escasos Recursos a traves de los Comedores Emergentes por un Periodo de3 meses.-</t>
  </si>
  <si>
    <t>*SE REALIZA LA ENTREGA DE 56 UNIDADES CADA 15 DIAS (DISTRIBUIDOS SEGÚN DETALLE PARA CADA COMEDOR)   LO QUE HACE UNA SUMA DE 112  UNIDADES MENSUALES QUE REPRESENTA UN TOTAL DE 336 UNIDADES SEMESTRALES. LA ENTREGA NO DEBE COINCIDIR CON EL DIA JUEVES EN QUE SE ENTREGA EL ITEM 28 (MANZANA)</t>
  </si>
  <si>
    <t>TOTAL DE PESOS: CINCUENTA Y TRES MILLONES QUINIENTOS  SETENTA Y CINCO MIL SEISCIENTOS CUARENTA Y CUATRO CON 00/100.-</t>
  </si>
  <si>
    <t>Costo total estimado: CINCUENTA Y TRES MILLONES QUINIENTOS  SETENTA Y CINCO MIL SEISCIENTOS CUARENTA Y CUATRO CON 00/100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</si>
</sst>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164" formatCode="_ &quot;$&quot;\ * #,##0.00_ ;_ &quot;$&quot;\ * \-#,##0.00_ ;_ &quot;$&quot;\ * &quot;-&quot;??_ ;_ @_ "/>
    <numFmt numFmtId="165" formatCode="_(\$* #,##0.00_);_(\$* \(#,##0.00\);_(\$* \-??_);_(@_)"/>
    <numFmt numFmtId="166" formatCode="_-* #,##0.00&quot; €&quot;_-;\-* #,##0.00&quot; €&quot;_-;_-* \-??&quot; €&quot;_-;_-@_-"/>
    <numFmt numFmtId="167" formatCode="[$$-2C0A]\ #,##0.00;[$$-2C0A]&quot; -&quot;#,##0.00"/>
    <numFmt numFmtId="168" formatCode="[$$-2C0A]\ #,##0.00"/>
    <numFmt numFmtId="169" formatCode="dd\-mm\-yy;@"/>
    <numFmt numFmtId="170" formatCode="&quot;$&quot;\ #,##0.00"/>
    <numFmt numFmtId="171" formatCode="0.000"/>
  </numFmts>
  <fonts count="36"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sz val="10"/>
      <name val="Arial"/>
      <family val="2"/>
    </font>
    <font>
      <b/>
      <sz val="10"/>
      <name val="Arial"/>
      <family val="2"/>
    </font>
    <font>
      <b/>
      <sz val="10"/>
      <name val="Times New Roman"/>
      <family val="1"/>
    </font>
    <font>
      <b/>
      <sz val="11"/>
      <color rgb="FFFF0000"/>
      <name val="Arial"/>
      <family val="2"/>
      <charset val="1"/>
    </font>
    <font>
      <b/>
      <sz val="12"/>
      <color rgb="FFFF0000"/>
      <name val="Times New Roman"/>
      <family val="1"/>
      <charset val="1"/>
    </font>
    <font>
      <sz val="9"/>
      <color rgb="FFFF0000"/>
      <name val="Times New Roman"/>
      <family val="1"/>
    </font>
    <font>
      <b/>
      <sz val="9"/>
      <name val="Times New Roman"/>
      <family val="1"/>
    </font>
    <font>
      <sz val="9"/>
      <name val="Times New Roman"/>
      <family val="1"/>
      <charset val="1"/>
    </font>
    <font>
      <b/>
      <sz val="11"/>
      <name val="Arial"/>
      <family val="2"/>
    </font>
    <font>
      <sz val="12"/>
      <color rgb="FFFF0000"/>
      <name val="Times New Roman"/>
      <family val="1"/>
      <charset val="1"/>
    </font>
    <font>
      <b/>
      <sz val="10"/>
      <color rgb="FFFF0000"/>
      <name val="Times New Roman"/>
      <family val="1"/>
    </font>
  </fonts>
  <fills count="7">
    <fill>
      <patternFill patternType="none"/>
    </fill>
    <fill>
      <patternFill patternType="gray125"/>
    </fill>
    <fill>
      <patternFill patternType="solid">
        <fgColor rgb="FFFFFF99"/>
        <bgColor rgb="FFFFFFCC"/>
      </patternFill>
    </fill>
    <fill>
      <patternFill patternType="solid">
        <fgColor rgb="FFFFFF00"/>
        <bgColor rgb="FFFFFF00"/>
      </patternFill>
    </fill>
    <fill>
      <patternFill patternType="solid">
        <fgColor rgb="FFFFFF00"/>
        <bgColor indexed="64"/>
      </patternFill>
    </fill>
    <fill>
      <patternFill patternType="solid">
        <fgColor theme="0"/>
        <bgColor indexed="64"/>
      </patternFill>
    </fill>
    <fill>
      <patternFill patternType="solid">
        <fgColor theme="0"/>
        <bgColor rgb="FFFFFF00"/>
      </patternFill>
    </fill>
  </fills>
  <borders count="82">
    <border>
      <left/>
      <right/>
      <top/>
      <bottom/>
      <diagonal/>
    </border>
    <border>
      <left/>
      <right/>
      <top/>
      <bottom style="thick">
        <color rgb="FF33CCCC"/>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rgb="FF3D3D3D"/>
      </right>
      <top style="thin">
        <color rgb="FF3D3D3D"/>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style="medium">
        <color auto="1"/>
      </top>
      <bottom/>
      <diagonal/>
    </border>
    <border>
      <left/>
      <right style="thick">
        <color auto="1"/>
      </right>
      <top style="medium">
        <color indexed="64"/>
      </top>
      <bottom/>
      <diagonal/>
    </border>
    <border>
      <left style="thick">
        <color auto="1"/>
      </left>
      <right style="thick">
        <color auto="1"/>
      </right>
      <top style="medium">
        <color indexed="64"/>
      </top>
      <bottom/>
      <diagonal/>
    </border>
    <border>
      <left style="thick">
        <color auto="1"/>
      </left>
      <right style="medium">
        <color indexed="64"/>
      </right>
      <top style="medium">
        <color indexed="64"/>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style="thin">
        <color rgb="FF3D3D3D"/>
      </left>
      <right style="medium">
        <color rgb="FF3D3D3D"/>
      </right>
      <top/>
      <bottom style="thin">
        <color rgb="FF3D3D3D"/>
      </bottom>
      <diagonal/>
    </border>
    <border>
      <left style="medium">
        <color rgb="FF3D3D3D"/>
      </left>
      <right style="thin">
        <color rgb="FF3D3D3D"/>
      </right>
      <top style="medium">
        <color rgb="FF3D3D3D"/>
      </top>
      <bottom style="thin">
        <color indexed="64"/>
      </bottom>
      <diagonal/>
    </border>
    <border>
      <left style="thin">
        <color rgb="FF3D3D3D"/>
      </left>
      <right style="thin">
        <color rgb="FF3D3D3D"/>
      </right>
      <top style="medium">
        <color rgb="FF3D3D3D"/>
      </top>
      <bottom style="thin">
        <color indexed="64"/>
      </bottom>
      <diagonal/>
    </border>
    <border>
      <left style="thin">
        <color rgb="FF3D3D3D"/>
      </left>
      <right/>
      <top style="medium">
        <color rgb="FF3D3D3D"/>
      </top>
      <bottom style="thin">
        <color indexed="64"/>
      </bottom>
      <diagonal/>
    </border>
    <border>
      <left style="thin">
        <color rgb="FF3D3D3D"/>
      </left>
      <right style="medium">
        <color rgb="FF3D3D3D"/>
      </right>
      <top style="medium">
        <color rgb="FF3D3D3D"/>
      </top>
      <bottom style="thin">
        <color indexed="64"/>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style="medium">
        <color auto="1"/>
      </top>
      <bottom/>
      <diagonal/>
    </border>
    <border>
      <left style="medium">
        <color indexed="64"/>
      </left>
      <right style="thin">
        <color auto="1"/>
      </right>
      <top style="medium">
        <color indexed="64"/>
      </top>
      <bottom style="medium">
        <color indexed="64"/>
      </bottom>
      <diagonal/>
    </border>
    <border>
      <left/>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
      <left style="medium">
        <color indexed="64"/>
      </left>
      <right style="thin">
        <color auto="1"/>
      </right>
      <top/>
      <bottom style="medium">
        <color indexed="64"/>
      </bottom>
      <diagonal/>
    </border>
    <border>
      <left/>
      <right style="thin">
        <color auto="1"/>
      </right>
      <top style="medium">
        <color auto="1"/>
      </top>
      <bottom style="thin">
        <color auto="1"/>
      </bottom>
      <diagonal/>
    </border>
    <border>
      <left style="thin">
        <color auto="1"/>
      </left>
      <right style="thin">
        <color auto="1"/>
      </right>
      <top/>
      <bottom/>
      <diagonal/>
    </border>
    <border>
      <left/>
      <right style="thin">
        <color auto="1"/>
      </right>
      <top style="thin">
        <color auto="1"/>
      </top>
      <bottom style="medium">
        <color indexed="64"/>
      </bottom>
      <diagonal/>
    </border>
  </borders>
  <cellStyleXfs count="5">
    <xf numFmtId="0" fontId="0" fillId="0" borderId="0"/>
    <xf numFmtId="166" fontId="15" fillId="0" borderId="0" applyBorder="0" applyProtection="0"/>
    <xf numFmtId="0" fontId="1" fillId="0" borderId="1" applyProtection="0"/>
    <xf numFmtId="165" fontId="2" fillId="0" borderId="0" applyBorder="0" applyProtection="0"/>
    <xf numFmtId="0" fontId="3" fillId="2" borderId="0" applyBorder="0" applyProtection="0"/>
  </cellStyleXfs>
  <cellXfs count="398">
    <xf numFmtId="0" fontId="0" fillId="0" borderId="0" xfId="0"/>
    <xf numFmtId="0" fontId="0" fillId="0" borderId="0" xfId="0" applyBorder="1"/>
    <xf numFmtId="0" fontId="2" fillId="0" borderId="0" xfId="0" applyFont="1" applyBorder="1" applyAlignment="1">
      <alignment vertical="center"/>
    </xf>
    <xf numFmtId="0" fontId="5" fillId="0" borderId="17" xfId="0" applyFont="1" applyBorder="1" applyAlignment="1">
      <alignment horizontal="right" vertical="center"/>
    </xf>
    <xf numFmtId="0" fontId="5" fillId="0" borderId="19" xfId="0" applyFont="1" applyBorder="1" applyAlignment="1">
      <alignment vertical="center"/>
    </xf>
    <xf numFmtId="0" fontId="5" fillId="0" borderId="0" xfId="0" applyFont="1" applyBorder="1" applyAlignment="1">
      <alignment vertical="center"/>
    </xf>
    <xf numFmtId="0" fontId="7" fillId="0" borderId="0" xfId="0" applyFont="1" applyBorder="1" applyAlignment="1">
      <alignment horizontal="left" vertical="center"/>
    </xf>
    <xf numFmtId="0" fontId="6" fillId="0" borderId="0" xfId="0" applyFont="1" applyBorder="1" applyAlignment="1">
      <alignment horizontal="left" vertical="center" wrapText="1" indent="1"/>
    </xf>
    <xf numFmtId="0" fontId="4" fillId="0" borderId="26" xfId="0" applyFont="1" applyBorder="1" applyAlignment="1">
      <alignment horizontal="center" vertical="center"/>
    </xf>
    <xf numFmtId="0" fontId="9" fillId="0" borderId="27" xfId="0" applyFont="1" applyBorder="1" applyAlignment="1">
      <alignment horizontal="center" vertical="center"/>
    </xf>
    <xf numFmtId="0" fontId="0" fillId="0" borderId="0" xfId="0" applyAlignment="1">
      <alignment horizontal="left"/>
    </xf>
    <xf numFmtId="3" fontId="10" fillId="0" borderId="0" xfId="0" applyNumberFormat="1" applyFont="1" applyBorder="1" applyAlignment="1"/>
    <xf numFmtId="169" fontId="0" fillId="0" borderId="0" xfId="0" applyNumberFormat="1" applyAlignment="1">
      <alignment horizontal="left"/>
    </xf>
    <xf numFmtId="0" fontId="2" fillId="0" borderId="0" xfId="0" applyFont="1"/>
    <xf numFmtId="0" fontId="0" fillId="0" borderId="17" xfId="0" applyBorder="1"/>
    <xf numFmtId="0" fontId="0" fillId="0" borderId="33" xfId="0" applyBorder="1"/>
    <xf numFmtId="0" fontId="0" fillId="0" borderId="19" xfId="0" applyBorder="1"/>
    <xf numFmtId="0" fontId="0" fillId="0" borderId="19" xfId="0" applyBorder="1" applyAlignment="1">
      <alignment horizontal="left"/>
    </xf>
    <xf numFmtId="0" fontId="0" fillId="0" borderId="34" xfId="0" applyBorder="1"/>
    <xf numFmtId="0" fontId="14" fillId="0" borderId="36" xfId="0" applyFont="1" applyBorder="1" applyAlignment="1">
      <alignment horizontal="center" vertical="center"/>
    </xf>
    <xf numFmtId="0" fontId="14" fillId="0" borderId="37" xfId="0" applyFont="1" applyBorder="1" applyAlignment="1">
      <alignment horizontal="center" vertical="center"/>
    </xf>
    <xf numFmtId="0" fontId="14" fillId="0" borderId="37" xfId="0" applyFont="1" applyBorder="1" applyAlignment="1">
      <alignment horizontal="left" vertical="center"/>
    </xf>
    <xf numFmtId="0" fontId="14" fillId="0" borderId="38" xfId="0" applyFont="1" applyBorder="1" applyAlignment="1">
      <alignment horizontal="center" vertical="center"/>
    </xf>
    <xf numFmtId="0" fontId="14" fillId="0" borderId="32" xfId="0" applyFont="1" applyBorder="1" applyAlignment="1">
      <alignment horizontal="center" vertical="center"/>
    </xf>
    <xf numFmtId="0" fontId="0" fillId="0" borderId="39" xfId="0" applyFont="1" applyBorder="1" applyAlignment="1">
      <alignment horizontal="center" vertical="center"/>
    </xf>
    <xf numFmtId="0" fontId="0" fillId="0" borderId="40" xfId="0" applyFont="1" applyBorder="1" applyAlignment="1">
      <alignment horizontal="center" vertical="center"/>
    </xf>
    <xf numFmtId="0" fontId="0" fillId="0" borderId="41" xfId="0" applyFont="1" applyBorder="1" applyAlignment="1">
      <alignment horizontal="center" vertical="center"/>
    </xf>
    <xf numFmtId="0" fontId="0" fillId="0" borderId="42" xfId="0" applyFont="1" applyBorder="1" applyAlignment="1">
      <alignment horizontal="center" vertical="center"/>
    </xf>
    <xf numFmtId="167" fontId="0" fillId="0" borderId="43" xfId="3" applyNumberFormat="1" applyFont="1" applyBorder="1" applyAlignment="1" applyProtection="1">
      <alignment horizontal="center" vertical="center"/>
    </xf>
    <xf numFmtId="0" fontId="12" fillId="0" borderId="39" xfId="0" applyFont="1" applyBorder="1" applyAlignment="1">
      <alignment horizontal="center" vertical="center"/>
    </xf>
    <xf numFmtId="0" fontId="12" fillId="0" borderId="40" xfId="0" applyFont="1" applyBorder="1" applyAlignment="1">
      <alignment horizontal="center" vertical="center"/>
    </xf>
    <xf numFmtId="0" fontId="0" fillId="0" borderId="42" xfId="0" applyBorder="1" applyAlignment="1">
      <alignment horizontal="center" vertical="center"/>
    </xf>
    <xf numFmtId="0" fontId="12" fillId="0" borderId="41" xfId="0" applyFont="1" applyBorder="1" applyAlignment="1">
      <alignment horizontal="center" vertical="center"/>
    </xf>
    <xf numFmtId="0" fontId="12" fillId="0" borderId="42" xfId="0" applyFont="1" applyBorder="1" applyAlignment="1">
      <alignment horizontal="center" vertical="center"/>
    </xf>
    <xf numFmtId="0" fontId="0" fillId="0" borderId="44" xfId="0"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167" fontId="0" fillId="0" borderId="47" xfId="3" applyNumberFormat="1" applyFont="1" applyBorder="1" applyAlignment="1" applyProtection="1">
      <alignment horizontal="center" vertical="center"/>
    </xf>
    <xf numFmtId="0" fontId="16" fillId="0" borderId="0" xfId="0" applyFont="1"/>
    <xf numFmtId="0" fontId="19" fillId="0" borderId="0" xfId="0" applyFont="1" applyAlignment="1">
      <alignment horizontal="left" wrapText="1"/>
    </xf>
    <xf numFmtId="0" fontId="19" fillId="0" borderId="0" xfId="0" applyFont="1" applyAlignment="1">
      <alignment horizontal="center" wrapText="1"/>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21" fillId="0" borderId="7" xfId="0" applyFont="1" applyBorder="1" applyAlignment="1">
      <alignment horizontal="center" vertical="center"/>
    </xf>
    <xf numFmtId="0" fontId="23" fillId="0" borderId="9" xfId="0" applyFont="1" applyBorder="1"/>
    <xf numFmtId="0" fontId="16" fillId="0" borderId="10" xfId="0" applyFont="1" applyBorder="1"/>
    <xf numFmtId="0" fontId="16" fillId="0" borderId="11" xfId="0" applyFont="1" applyBorder="1"/>
    <xf numFmtId="0" fontId="16" fillId="0" borderId="12" xfId="0" applyFont="1" applyBorder="1"/>
    <xf numFmtId="0" fontId="16" fillId="0" borderId="0" xfId="0" applyFont="1" applyBorder="1"/>
    <xf numFmtId="0" fontId="16" fillId="0" borderId="13" xfId="0" applyFont="1" applyBorder="1"/>
    <xf numFmtId="0" fontId="23" fillId="0" borderId="12" xfId="0" applyFont="1" applyBorder="1" applyAlignment="1">
      <alignment horizontal="left" indent="3"/>
    </xf>
    <xf numFmtId="0" fontId="16" fillId="0" borderId="12" xfId="0" applyFont="1" applyBorder="1" applyAlignment="1">
      <alignment horizontal="left" indent="3"/>
    </xf>
    <xf numFmtId="0" fontId="16" fillId="0" borderId="0" xfId="0" applyFont="1" applyBorder="1" applyAlignment="1">
      <alignment horizontal="center" wrapText="1"/>
    </xf>
    <xf numFmtId="0" fontId="16" fillId="0" borderId="13" xfId="0" applyFont="1" applyBorder="1" applyAlignment="1">
      <alignment horizontal="center" wrapText="1"/>
    </xf>
    <xf numFmtId="0" fontId="16" fillId="0" borderId="14" xfId="0" applyFont="1" applyBorder="1" applyAlignment="1">
      <alignment horizontal="left" indent="3"/>
    </xf>
    <xf numFmtId="0" fontId="16" fillId="0" borderId="15" xfId="0" applyFont="1" applyBorder="1"/>
    <xf numFmtId="0" fontId="16" fillId="0" borderId="16" xfId="0" applyFont="1" applyBorder="1"/>
    <xf numFmtId="0" fontId="24" fillId="3" borderId="0" xfId="0" applyFont="1" applyFill="1" applyAlignment="1">
      <alignment horizontal="left" wrapText="1" indent="1"/>
    </xf>
    <xf numFmtId="0" fontId="20" fillId="0" borderId="0" xfId="0" applyFont="1" applyAlignment="1">
      <alignment horizontal="left" wrapText="1"/>
    </xf>
    <xf numFmtId="0" fontId="0" fillId="0" borderId="5" xfId="0" applyBorder="1"/>
    <xf numFmtId="0" fontId="20" fillId="0" borderId="9" xfId="0" applyFont="1" applyBorder="1" applyAlignment="1">
      <alignment horizontal="center" vertical="center" wrapText="1"/>
    </xf>
    <xf numFmtId="0" fontId="20" fillId="0" borderId="56" xfId="0" applyFont="1" applyBorder="1" applyAlignment="1">
      <alignment horizontal="center" vertical="center" wrapText="1"/>
    </xf>
    <xf numFmtId="0" fontId="20" fillId="0" borderId="57" xfId="0" applyFont="1" applyBorder="1" applyAlignment="1">
      <alignment horizontal="center" vertical="center" wrapText="1"/>
    </xf>
    <xf numFmtId="0" fontId="20" fillId="0" borderId="58" xfId="0" applyFont="1" applyBorder="1" applyAlignment="1">
      <alignment horizontal="center" vertical="center" wrapText="1"/>
    </xf>
    <xf numFmtId="0" fontId="0" fillId="0" borderId="8" xfId="0" applyBorder="1"/>
    <xf numFmtId="0" fontId="20" fillId="0" borderId="10" xfId="0" applyFont="1" applyBorder="1" applyAlignment="1">
      <alignment horizontal="center" vertical="center" wrapText="1"/>
    </xf>
    <xf numFmtId="167" fontId="0" fillId="0" borderId="63" xfId="3" applyNumberFormat="1" applyFont="1" applyBorder="1" applyAlignment="1" applyProtection="1">
      <alignment horizontal="center" vertical="center"/>
    </xf>
    <xf numFmtId="0" fontId="0" fillId="3" borderId="64" xfId="0" applyFont="1" applyFill="1" applyBorder="1" applyAlignment="1">
      <alignment horizontal="center" vertical="center"/>
    </xf>
    <xf numFmtId="0" fontId="0" fillId="3" borderId="65" xfId="0" applyFont="1" applyFill="1" applyBorder="1" applyAlignment="1">
      <alignment horizontal="center" vertical="center"/>
    </xf>
    <xf numFmtId="0" fontId="0" fillId="0" borderId="65" xfId="0" applyFont="1" applyBorder="1" applyAlignment="1">
      <alignment horizontal="center" vertical="center"/>
    </xf>
    <xf numFmtId="0" fontId="0" fillId="3" borderId="66" xfId="0" applyFont="1" applyFill="1" applyBorder="1" applyAlignment="1">
      <alignment horizontal="center" vertical="center"/>
    </xf>
    <xf numFmtId="0" fontId="0" fillId="0" borderId="3" xfId="0" applyBorder="1"/>
    <xf numFmtId="0" fontId="0" fillId="0" borderId="5" xfId="0" applyBorder="1" applyAlignment="1">
      <alignment horizontal="center"/>
    </xf>
    <xf numFmtId="41" fontId="0" fillId="0" borderId="5" xfId="0" applyNumberFormat="1" applyBorder="1" applyAlignment="1"/>
    <xf numFmtId="0" fontId="20" fillId="0" borderId="70" xfId="0" applyFont="1" applyBorder="1" applyAlignment="1">
      <alignment horizontal="center" vertical="center" wrapText="1"/>
    </xf>
    <xf numFmtId="0" fontId="21" fillId="0" borderId="71" xfId="0" applyFont="1" applyBorder="1" applyAlignment="1">
      <alignment horizontal="center" vertical="center"/>
    </xf>
    <xf numFmtId="0" fontId="0" fillId="0" borderId="72" xfId="0" applyBorder="1"/>
    <xf numFmtId="0" fontId="0" fillId="0" borderId="73" xfId="0" applyBorder="1"/>
    <xf numFmtId="0" fontId="22" fillId="0" borderId="73" xfId="0" applyFont="1" applyBorder="1" applyAlignment="1">
      <alignment horizontal="center" vertical="center" wrapText="1"/>
    </xf>
    <xf numFmtId="0" fontId="0" fillId="0" borderId="73" xfId="0" applyBorder="1" applyAlignment="1">
      <alignment horizontal="center"/>
    </xf>
    <xf numFmtId="0" fontId="0" fillId="0" borderId="73" xfId="0" applyBorder="1" applyAlignment="1">
      <alignment horizontal="right"/>
    </xf>
    <xf numFmtId="0" fontId="0" fillId="0" borderId="3" xfId="0" applyBorder="1" applyAlignment="1">
      <alignment horizontal="center"/>
    </xf>
    <xf numFmtId="41" fontId="0" fillId="0" borderId="3" xfId="0" applyNumberFormat="1" applyBorder="1" applyAlignment="1"/>
    <xf numFmtId="0" fontId="0" fillId="0" borderId="8" xfId="0" applyBorder="1" applyAlignment="1">
      <alignment horizontal="center"/>
    </xf>
    <xf numFmtId="41" fontId="0" fillId="0" borderId="8" xfId="0" applyNumberFormat="1" applyBorder="1" applyAlignment="1"/>
    <xf numFmtId="0" fontId="0" fillId="0" borderId="75" xfId="0" applyBorder="1"/>
    <xf numFmtId="0" fontId="0" fillId="0" borderId="76" xfId="0" applyBorder="1"/>
    <xf numFmtId="0" fontId="0" fillId="0" borderId="77" xfId="0" applyBorder="1"/>
    <xf numFmtId="0" fontId="22" fillId="0" borderId="2" xfId="0" applyFont="1" applyBorder="1" applyAlignment="1">
      <alignment horizontal="center" vertical="center" wrapText="1"/>
    </xf>
    <xf numFmtId="0" fontId="22" fillId="0" borderId="4" xfId="0" applyFont="1" applyBorder="1" applyAlignment="1">
      <alignment horizontal="center" vertical="center" wrapText="1"/>
    </xf>
    <xf numFmtId="0" fontId="22" fillId="0" borderId="7" xfId="0" applyFont="1" applyBorder="1" applyAlignment="1">
      <alignment horizontal="center" vertical="center" wrapText="1"/>
    </xf>
    <xf numFmtId="0" fontId="16" fillId="3" borderId="21" xfId="0" applyFont="1" applyFill="1" applyBorder="1" applyAlignment="1">
      <alignment horizontal="center"/>
    </xf>
    <xf numFmtId="0" fontId="20" fillId="0" borderId="0" xfId="0" applyFont="1" applyAlignment="1">
      <alignment horizontal="center" wrapText="1"/>
    </xf>
    <xf numFmtId="0" fontId="16" fillId="0" borderId="10" xfId="0" applyFont="1" applyBorder="1" applyAlignment="1">
      <alignment horizontal="center"/>
    </xf>
    <xf numFmtId="0" fontId="16" fillId="0" borderId="0" xfId="0" applyFont="1" applyBorder="1" applyAlignment="1">
      <alignment horizontal="center"/>
    </xf>
    <xf numFmtId="0" fontId="16" fillId="0" borderId="15" xfId="0" applyFont="1" applyBorder="1" applyAlignment="1">
      <alignment horizontal="center"/>
    </xf>
    <xf numFmtId="0" fontId="16" fillId="0" borderId="0" xfId="0" applyFont="1" applyAlignment="1">
      <alignment horizontal="center"/>
    </xf>
    <xf numFmtId="0" fontId="21" fillId="5" borderId="2" xfId="0" applyFont="1" applyFill="1" applyBorder="1" applyAlignment="1">
      <alignment horizontal="center" vertical="center"/>
    </xf>
    <xf numFmtId="0" fontId="0" fillId="5" borderId="3" xfId="0" applyFill="1" applyBorder="1"/>
    <xf numFmtId="0" fontId="22" fillId="5" borderId="55" xfId="0" applyFont="1" applyFill="1" applyBorder="1" applyAlignment="1">
      <alignment horizontal="center" vertical="center" wrapText="1"/>
    </xf>
    <xf numFmtId="0" fontId="0" fillId="5" borderId="3" xfId="0" applyFont="1" applyFill="1" applyBorder="1" applyAlignment="1">
      <alignment horizontal="center"/>
    </xf>
    <xf numFmtId="3" fontId="26" fillId="5" borderId="3" xfId="0" applyNumberFormat="1" applyFont="1" applyFill="1" applyBorder="1" applyAlignment="1">
      <alignment horizontal="right" vertical="center"/>
    </xf>
    <xf numFmtId="167" fontId="21" fillId="6" borderId="59" xfId="1" applyNumberFormat="1" applyFont="1" applyFill="1" applyBorder="1" applyAlignment="1" applyProtection="1">
      <alignment horizontal="right" vertical="center" wrapText="1"/>
    </xf>
    <xf numFmtId="167" fontId="21" fillId="6" borderId="60" xfId="1" applyNumberFormat="1" applyFont="1" applyFill="1" applyBorder="1" applyAlignment="1" applyProtection="1">
      <alignment horizontal="right" vertical="center" wrapText="1"/>
    </xf>
    <xf numFmtId="0" fontId="21" fillId="5" borderId="68" xfId="0" applyFont="1" applyFill="1" applyBorder="1" applyAlignment="1">
      <alignment horizontal="center" vertical="center"/>
    </xf>
    <xf numFmtId="0" fontId="0" fillId="5" borderId="5" xfId="0" applyFill="1" applyBorder="1"/>
    <xf numFmtId="0" fontId="22" fillId="5" borderId="5" xfId="0" applyFont="1" applyFill="1" applyBorder="1" applyAlignment="1">
      <alignment horizontal="center" vertical="center" wrapText="1"/>
    </xf>
    <xf numFmtId="0" fontId="0" fillId="5" borderId="5" xfId="0" applyFont="1" applyFill="1" applyBorder="1" applyAlignment="1">
      <alignment horizontal="center"/>
    </xf>
    <xf numFmtId="3" fontId="26" fillId="5" borderId="5" xfId="0" applyNumberFormat="1" applyFont="1" applyFill="1" applyBorder="1" applyAlignment="1">
      <alignment horizontal="right" vertical="center"/>
    </xf>
    <xf numFmtId="167" fontId="21" fillId="6" borderId="5" xfId="1" applyNumberFormat="1" applyFont="1" applyFill="1" applyBorder="1" applyAlignment="1" applyProtection="1">
      <alignment horizontal="right" vertical="center" wrapText="1"/>
    </xf>
    <xf numFmtId="167" fontId="21" fillId="6" borderId="6" xfId="1" applyNumberFormat="1" applyFont="1" applyFill="1" applyBorder="1" applyAlignment="1" applyProtection="1">
      <alignment horizontal="right" vertical="center" wrapText="1"/>
    </xf>
    <xf numFmtId="0" fontId="15" fillId="5" borderId="5" xfId="0" applyFont="1" applyFill="1" applyBorder="1"/>
    <xf numFmtId="0" fontId="21" fillId="5" borderId="52" xfId="0" applyFont="1" applyFill="1" applyBorder="1" applyAlignment="1">
      <alignment horizontal="center" vertical="center" wrapText="1"/>
    </xf>
    <xf numFmtId="0" fontId="15" fillId="5" borderId="5" xfId="0" applyFont="1" applyFill="1" applyBorder="1" applyAlignment="1">
      <alignment horizontal="center"/>
    </xf>
    <xf numFmtId="0" fontId="21" fillId="5" borderId="5" xfId="0" applyFont="1" applyFill="1" applyBorder="1" applyAlignment="1">
      <alignment horizontal="center" vertical="center" wrapText="1"/>
    </xf>
    <xf numFmtId="0" fontId="0" fillId="5" borderId="52" xfId="0" applyFont="1" applyFill="1" applyBorder="1" applyAlignment="1">
      <alignment horizontal="center"/>
    </xf>
    <xf numFmtId="3" fontId="26" fillId="5" borderId="52" xfId="0" applyNumberFormat="1" applyFont="1" applyFill="1" applyBorder="1" applyAlignment="1">
      <alignment horizontal="right" vertical="center"/>
    </xf>
    <xf numFmtId="0" fontId="0" fillId="5" borderId="0" xfId="0" applyFill="1" applyBorder="1"/>
    <xf numFmtId="3" fontId="26" fillId="5" borderId="54" xfId="0" applyNumberFormat="1" applyFont="1" applyFill="1" applyBorder="1" applyAlignment="1">
      <alignment horizontal="right" vertical="center"/>
    </xf>
    <xf numFmtId="167" fontId="21" fillId="6" borderId="53" xfId="1" applyNumberFormat="1" applyFont="1" applyFill="1" applyBorder="1" applyAlignment="1" applyProtection="1">
      <alignment horizontal="right" vertical="center" wrapText="1"/>
    </xf>
    <xf numFmtId="167" fontId="21" fillId="6" borderId="69" xfId="1" applyNumberFormat="1" applyFont="1" applyFill="1" applyBorder="1" applyAlignment="1" applyProtection="1">
      <alignment horizontal="right" vertical="center" wrapText="1"/>
    </xf>
    <xf numFmtId="0" fontId="15" fillId="5" borderId="52" xfId="0" applyFont="1" applyFill="1" applyBorder="1" applyAlignment="1">
      <alignment horizontal="center"/>
    </xf>
    <xf numFmtId="3" fontId="26" fillId="5" borderId="5" xfId="0" applyNumberFormat="1" applyFont="1" applyFill="1" applyBorder="1" applyAlignment="1">
      <alignment horizontal="right"/>
    </xf>
    <xf numFmtId="0" fontId="21" fillId="5" borderId="78" xfId="0" applyFont="1" applyFill="1" applyBorder="1" applyAlignment="1">
      <alignment horizontal="center" vertical="center"/>
    </xf>
    <xf numFmtId="0" fontId="0" fillId="5" borderId="8" xfId="0" applyFill="1" applyBorder="1"/>
    <xf numFmtId="0" fontId="22" fillId="5" borderId="8" xfId="0" applyFont="1" applyFill="1" applyBorder="1" applyAlignment="1">
      <alignment horizontal="center" vertical="center" wrapText="1"/>
    </xf>
    <xf numFmtId="0" fontId="15" fillId="5" borderId="8" xfId="0" applyFont="1" applyFill="1" applyBorder="1" applyAlignment="1">
      <alignment horizontal="center"/>
    </xf>
    <xf numFmtId="3" fontId="26" fillId="5" borderId="8" xfId="0" applyNumberFormat="1" applyFont="1" applyFill="1" applyBorder="1" applyAlignment="1">
      <alignment horizontal="right"/>
    </xf>
    <xf numFmtId="167" fontId="21" fillId="6" borderId="61" xfId="1" applyNumberFormat="1" applyFont="1" applyFill="1" applyBorder="1" applyAlignment="1" applyProtection="1">
      <alignment horizontal="right" vertical="center" wrapText="1"/>
    </xf>
    <xf numFmtId="167" fontId="21" fillId="6" borderId="62" xfId="1" applyNumberFormat="1" applyFont="1" applyFill="1" applyBorder="1" applyAlignment="1" applyProtection="1">
      <alignment horizontal="right" vertical="center" wrapText="1"/>
    </xf>
    <xf numFmtId="0" fontId="16" fillId="6" borderId="0" xfId="0" applyFont="1" applyFill="1" applyBorder="1" applyAlignment="1">
      <alignment horizontal="center"/>
    </xf>
    <xf numFmtId="0" fontId="16" fillId="6" borderId="13" xfId="0" applyFont="1" applyFill="1" applyBorder="1" applyAlignment="1"/>
    <xf numFmtId="167" fontId="21" fillId="6" borderId="73" xfId="1" applyNumberFormat="1" applyFont="1" applyFill="1" applyBorder="1" applyAlignment="1" applyProtection="1">
      <alignment horizontal="right" vertical="center" wrapText="1"/>
    </xf>
    <xf numFmtId="167" fontId="21" fillId="6" borderId="74" xfId="1" applyNumberFormat="1" applyFont="1" applyFill="1" applyBorder="1" applyAlignment="1" applyProtection="1">
      <alignment horizontal="right" vertical="center" wrapText="1"/>
    </xf>
    <xf numFmtId="167" fontId="21" fillId="6" borderId="3" xfId="1" applyNumberFormat="1" applyFont="1" applyFill="1" applyBorder="1" applyAlignment="1" applyProtection="1">
      <alignment horizontal="right" vertical="center" wrapText="1"/>
    </xf>
    <xf numFmtId="0" fontId="16" fillId="6" borderId="10" xfId="0" applyFont="1" applyFill="1" applyBorder="1" applyAlignment="1">
      <alignment horizontal="center"/>
    </xf>
    <xf numFmtId="0" fontId="16" fillId="6" borderId="11" xfId="0" applyFont="1" applyFill="1" applyBorder="1" applyAlignment="1"/>
    <xf numFmtId="0" fontId="16" fillId="6" borderId="15" xfId="0" applyFont="1" applyFill="1" applyBorder="1" applyAlignment="1">
      <alignment horizontal="center"/>
    </xf>
    <xf numFmtId="0" fontId="16" fillId="6" borderId="16" xfId="0" applyFont="1" applyFill="1" applyBorder="1" applyAlignment="1"/>
    <xf numFmtId="0" fontId="4" fillId="5" borderId="26" xfId="0" applyFont="1" applyFill="1" applyBorder="1" applyAlignment="1">
      <alignment horizontal="left" vertical="center"/>
    </xf>
    <xf numFmtId="0" fontId="4" fillId="6" borderId="26" xfId="0" applyFont="1" applyFill="1" applyBorder="1" applyAlignment="1">
      <alignment horizontal="center" vertical="center"/>
    </xf>
    <xf numFmtId="0" fontId="4" fillId="5" borderId="26" xfId="0" applyFont="1" applyFill="1" applyBorder="1" applyAlignment="1">
      <alignment horizontal="center" vertical="center" wrapText="1"/>
    </xf>
    <xf numFmtId="167" fontId="4" fillId="5" borderId="26" xfId="1" applyNumberFormat="1" applyFont="1" applyFill="1" applyBorder="1" applyAlignment="1" applyProtection="1">
      <alignment horizontal="right" vertical="center" wrapText="1"/>
    </xf>
    <xf numFmtId="3" fontId="4" fillId="5" borderId="26" xfId="0" applyNumberFormat="1" applyFont="1" applyFill="1" applyBorder="1" applyAlignment="1">
      <alignment horizontal="center" vertical="center"/>
    </xf>
    <xf numFmtId="0" fontId="16" fillId="3" borderId="70" xfId="0" applyFont="1" applyFill="1" applyBorder="1" applyAlignment="1">
      <alignment horizontal="center"/>
    </xf>
    <xf numFmtId="0" fontId="16" fillId="6" borderId="5" xfId="0" applyFont="1" applyFill="1" applyBorder="1" applyAlignment="1">
      <alignment horizontal="center"/>
    </xf>
    <xf numFmtId="0" fontId="16" fillId="6" borderId="5" xfId="0" applyFont="1" applyFill="1" applyBorder="1" applyAlignment="1"/>
    <xf numFmtId="0" fontId="16" fillId="6" borderId="52" xfId="0" applyFont="1" applyFill="1" applyBorder="1" applyAlignment="1">
      <alignment horizontal="center"/>
    </xf>
    <xf numFmtId="0" fontId="16" fillId="6" borderId="52" xfId="0" applyFont="1" applyFill="1" applyBorder="1" applyAlignment="1"/>
    <xf numFmtId="0" fontId="16" fillId="6" borderId="53" xfId="0" applyFont="1" applyFill="1" applyBorder="1" applyAlignment="1">
      <alignment horizontal="center"/>
    </xf>
    <xf numFmtId="0" fontId="16" fillId="6" borderId="53" xfId="0" applyFont="1" applyFill="1" applyBorder="1" applyAlignment="1"/>
    <xf numFmtId="170" fontId="4" fillId="5" borderId="26" xfId="0" applyNumberFormat="1" applyFont="1" applyFill="1" applyBorder="1" applyAlignment="1">
      <alignment horizontal="center" vertical="center"/>
    </xf>
    <xf numFmtId="167" fontId="4" fillId="5" borderId="70" xfId="1" applyNumberFormat="1" applyFont="1" applyFill="1" applyBorder="1" applyAlignment="1" applyProtection="1">
      <alignment horizontal="right" vertical="center" wrapText="1"/>
    </xf>
    <xf numFmtId="3" fontId="4" fillId="5" borderId="70" xfId="0" applyNumberFormat="1" applyFont="1" applyFill="1" applyBorder="1" applyAlignment="1">
      <alignment horizontal="center" vertical="center"/>
    </xf>
    <xf numFmtId="170" fontId="4" fillId="5" borderId="70" xfId="0" applyNumberFormat="1" applyFont="1" applyFill="1" applyBorder="1" applyAlignment="1">
      <alignment horizontal="center" vertical="center"/>
    </xf>
    <xf numFmtId="0" fontId="16" fillId="0" borderId="0" xfId="0" applyFont="1" applyFill="1"/>
    <xf numFmtId="167" fontId="30" fillId="3" borderId="3" xfId="1" applyNumberFormat="1" applyFont="1" applyFill="1" applyBorder="1" applyAlignment="1" applyProtection="1">
      <alignment horizontal="right" vertical="center" wrapText="1"/>
    </xf>
    <xf numFmtId="167" fontId="30" fillId="3" borderId="5" xfId="1" applyNumberFormat="1" applyFont="1" applyFill="1" applyBorder="1" applyAlignment="1" applyProtection="1">
      <alignment horizontal="right" vertical="center" wrapText="1"/>
    </xf>
    <xf numFmtId="167" fontId="30" fillId="3" borderId="61" xfId="1" applyNumberFormat="1" applyFont="1" applyFill="1" applyBorder="1" applyAlignment="1" applyProtection="1">
      <alignment horizontal="right" vertical="center" wrapText="1"/>
    </xf>
    <xf numFmtId="167" fontId="21" fillId="3" borderId="60" xfId="1" applyNumberFormat="1" applyFont="1" applyFill="1" applyBorder="1" applyAlignment="1" applyProtection="1">
      <alignment horizontal="right" vertical="center" wrapText="1"/>
    </xf>
    <xf numFmtId="167" fontId="21" fillId="3" borderId="6" xfId="1" applyNumberFormat="1" applyFont="1" applyFill="1" applyBorder="1" applyAlignment="1" applyProtection="1">
      <alignment horizontal="right" vertical="center" wrapText="1"/>
    </xf>
    <xf numFmtId="167" fontId="21" fillId="3" borderId="62" xfId="1" applyNumberFormat="1" applyFont="1" applyFill="1" applyBorder="1" applyAlignment="1" applyProtection="1">
      <alignment horizontal="right" vertical="center" wrapText="1"/>
    </xf>
    <xf numFmtId="167" fontId="21" fillId="3" borderId="74" xfId="1" applyNumberFormat="1" applyFont="1" applyFill="1" applyBorder="1" applyAlignment="1" applyProtection="1">
      <alignment horizontal="right" vertical="center" wrapText="1"/>
    </xf>
    <xf numFmtId="0" fontId="29" fillId="3" borderId="18" xfId="0" applyFont="1" applyFill="1" applyBorder="1" applyAlignment="1">
      <alignment horizontal="center" vertical="center"/>
    </xf>
    <xf numFmtId="0" fontId="16" fillId="0" borderId="53" xfId="0" applyFont="1" applyFill="1" applyBorder="1" applyAlignment="1"/>
    <xf numFmtId="0" fontId="16" fillId="0" borderId="5" xfId="0" applyFont="1" applyFill="1" applyBorder="1" applyAlignment="1"/>
    <xf numFmtId="0" fontId="16" fillId="0" borderId="52" xfId="0" applyFont="1" applyFill="1" applyBorder="1" applyAlignment="1"/>
    <xf numFmtId="167" fontId="27" fillId="0" borderId="0" xfId="0" applyNumberFormat="1" applyFont="1"/>
    <xf numFmtId="167" fontId="31" fillId="0" borderId="5" xfId="1" applyNumberFormat="1" applyFont="1" applyFill="1" applyBorder="1" applyAlignment="1" applyProtection="1">
      <alignment horizontal="right" vertical="center" wrapText="1"/>
    </xf>
    <xf numFmtId="0" fontId="16" fillId="6" borderId="5" xfId="0" applyFont="1" applyFill="1" applyBorder="1" applyAlignment="1">
      <alignment horizontal="center"/>
    </xf>
    <xf numFmtId="0" fontId="15" fillId="0" borderId="72" xfId="0" applyFont="1" applyBorder="1"/>
    <xf numFmtId="0" fontId="15" fillId="0" borderId="73" xfId="0" applyFont="1" applyBorder="1"/>
    <xf numFmtId="0" fontId="21" fillId="0" borderId="68" xfId="0" applyFont="1" applyFill="1" applyBorder="1" applyAlignment="1">
      <alignment horizontal="center" vertical="center"/>
    </xf>
    <xf numFmtId="0" fontId="0" fillId="0" borderId="5" xfId="0" applyFill="1" applyBorder="1"/>
    <xf numFmtId="0" fontId="22" fillId="0" borderId="5" xfId="0" applyFont="1" applyFill="1" applyBorder="1" applyAlignment="1">
      <alignment horizontal="center" vertical="center" wrapText="1"/>
    </xf>
    <xf numFmtId="0" fontId="21" fillId="0" borderId="2" xfId="0" applyFont="1" applyFill="1" applyBorder="1" applyAlignment="1">
      <alignment horizontal="center" vertical="center"/>
    </xf>
    <xf numFmtId="0" fontId="0" fillId="0" borderId="3" xfId="0" applyFill="1" applyBorder="1"/>
    <xf numFmtId="0" fontId="22" fillId="0" borderId="55" xfId="0" applyFont="1" applyFill="1" applyBorder="1" applyAlignment="1">
      <alignment horizontal="center" vertical="center" wrapText="1"/>
    </xf>
    <xf numFmtId="167" fontId="31" fillId="0" borderId="59" xfId="1" applyNumberFormat="1" applyFont="1" applyFill="1" applyBorder="1" applyAlignment="1" applyProtection="1">
      <alignment horizontal="right" vertical="center" wrapText="1"/>
    </xf>
    <xf numFmtId="0" fontId="0" fillId="0" borderId="0" xfId="0" applyFill="1"/>
    <xf numFmtId="0" fontId="15" fillId="0" borderId="5" xfId="0" applyFont="1" applyFill="1" applyBorder="1"/>
    <xf numFmtId="0" fontId="21" fillId="0" borderId="5" xfId="0" applyFont="1" applyFill="1" applyBorder="1" applyAlignment="1">
      <alignment horizontal="center" vertical="center" wrapText="1"/>
    </xf>
    <xf numFmtId="167" fontId="31" fillId="0" borderId="53" xfId="1" applyNumberFormat="1" applyFont="1" applyFill="1" applyBorder="1" applyAlignment="1" applyProtection="1">
      <alignment horizontal="right" vertical="center" wrapText="1"/>
    </xf>
    <xf numFmtId="0" fontId="21" fillId="0" borderId="4" xfId="0" applyFont="1" applyFill="1" applyBorder="1" applyAlignment="1">
      <alignment horizontal="center" vertical="center"/>
    </xf>
    <xf numFmtId="164" fontId="15" fillId="4" borderId="67" xfId="3" applyNumberFormat="1" applyFont="1" applyFill="1" applyBorder="1" applyAlignment="1" applyProtection="1">
      <alignment horizontal="center" vertical="center"/>
    </xf>
    <xf numFmtId="167" fontId="14" fillId="4" borderId="48" xfId="0" applyNumberFormat="1" applyFont="1" applyFill="1" applyBorder="1" applyAlignment="1">
      <alignment horizontal="center" vertical="center"/>
    </xf>
    <xf numFmtId="167" fontId="21" fillId="3" borderId="73" xfId="1" applyNumberFormat="1" applyFont="1" applyFill="1" applyBorder="1" applyAlignment="1" applyProtection="1">
      <alignment horizontal="right" vertical="center" wrapText="1"/>
    </xf>
    <xf numFmtId="0" fontId="15" fillId="0" borderId="73" xfId="0" applyFont="1" applyBorder="1" applyAlignment="1">
      <alignment horizontal="center"/>
    </xf>
    <xf numFmtId="0" fontId="0" fillId="0" borderId="64" xfId="0" applyFont="1" applyFill="1" applyBorder="1" applyAlignment="1">
      <alignment horizontal="center" vertical="center"/>
    </xf>
    <xf numFmtId="0" fontId="0" fillId="0" borderId="65" xfId="0" applyFont="1" applyFill="1" applyBorder="1" applyAlignment="1">
      <alignment horizontal="center" vertical="center"/>
    </xf>
    <xf numFmtId="0" fontId="0" fillId="0" borderId="66" xfId="0" applyFont="1" applyFill="1" applyBorder="1" applyAlignment="1">
      <alignment horizontal="center" vertical="center"/>
    </xf>
    <xf numFmtId="164" fontId="15" fillId="0" borderId="67" xfId="3" applyNumberFormat="1" applyFont="1" applyFill="1" applyBorder="1" applyAlignment="1" applyProtection="1">
      <alignment horizontal="center" vertical="center"/>
    </xf>
    <xf numFmtId="0" fontId="0" fillId="0" borderId="39" xfId="0" applyFont="1" applyFill="1" applyBorder="1" applyAlignment="1">
      <alignment horizontal="center" vertical="center"/>
    </xf>
    <xf numFmtId="0" fontId="0" fillId="0" borderId="40" xfId="0" applyFont="1" applyFill="1" applyBorder="1" applyAlignment="1">
      <alignment horizontal="center" vertical="center"/>
    </xf>
    <xf numFmtId="0" fontId="0" fillId="0" borderId="41" xfId="0" applyFont="1" applyFill="1" applyBorder="1" applyAlignment="1">
      <alignment horizontal="center" vertical="center"/>
    </xf>
    <xf numFmtId="167" fontId="0" fillId="0" borderId="63" xfId="3" applyNumberFormat="1" applyFont="1" applyFill="1" applyBorder="1" applyAlignment="1" applyProtection="1">
      <alignment horizontal="center" vertical="center"/>
    </xf>
    <xf numFmtId="0" fontId="0" fillId="0" borderId="42" xfId="0" applyFont="1" applyFill="1" applyBorder="1" applyAlignment="1">
      <alignment horizontal="center" vertical="center"/>
    </xf>
    <xf numFmtId="167" fontId="0" fillId="0" borderId="43" xfId="3" applyNumberFormat="1" applyFont="1" applyFill="1" applyBorder="1" applyAlignment="1" applyProtection="1">
      <alignment horizontal="center" vertical="center"/>
    </xf>
    <xf numFmtId="0" fontId="12" fillId="0" borderId="39" xfId="0" applyFont="1" applyFill="1" applyBorder="1" applyAlignment="1">
      <alignment horizontal="center" vertical="center"/>
    </xf>
    <xf numFmtId="0" fontId="12" fillId="0" borderId="40" xfId="0" applyFont="1" applyFill="1" applyBorder="1" applyAlignment="1">
      <alignment horizontal="center" vertical="center"/>
    </xf>
    <xf numFmtId="0" fontId="0" fillId="0" borderId="42" xfId="0" applyFill="1" applyBorder="1" applyAlignment="1">
      <alignment horizontal="center" vertical="center"/>
    </xf>
    <xf numFmtId="0" fontId="12" fillId="0" borderId="41" xfId="0" applyFont="1" applyFill="1" applyBorder="1" applyAlignment="1">
      <alignment horizontal="center" vertical="center"/>
    </xf>
    <xf numFmtId="0" fontId="12" fillId="0" borderId="42" xfId="0" applyFont="1" applyFill="1" applyBorder="1" applyAlignment="1">
      <alignment horizontal="center" vertical="center"/>
    </xf>
    <xf numFmtId="0" fontId="0" fillId="0" borderId="44" xfId="0" applyFill="1" applyBorder="1" applyAlignment="1">
      <alignment horizontal="center" vertical="center"/>
    </xf>
    <xf numFmtId="0" fontId="0" fillId="0" borderId="45" xfId="0" applyFill="1" applyBorder="1" applyAlignment="1">
      <alignment horizontal="center" vertical="center"/>
    </xf>
    <xf numFmtId="0" fontId="0" fillId="0" borderId="46" xfId="0" applyFill="1" applyBorder="1" applyAlignment="1">
      <alignment horizontal="center" vertical="center"/>
    </xf>
    <xf numFmtId="167" fontId="0" fillId="0" borderId="47" xfId="3" applyNumberFormat="1" applyFont="1" applyFill="1" applyBorder="1" applyAlignment="1" applyProtection="1">
      <alignment horizontal="center" vertical="center"/>
    </xf>
    <xf numFmtId="167" fontId="14" fillId="0" borderId="48" xfId="0" applyNumberFormat="1" applyFont="1" applyFill="1" applyBorder="1" applyAlignment="1">
      <alignment horizontal="center" vertical="center"/>
    </xf>
    <xf numFmtId="0" fontId="0" fillId="0" borderId="0" xfId="0" applyFill="1" applyAlignment="1">
      <alignment horizontal="left"/>
    </xf>
    <xf numFmtId="0" fontId="24" fillId="0" borderId="0" xfId="0" applyFont="1" applyFill="1" applyAlignment="1">
      <alignment horizontal="left" wrapText="1" indent="1"/>
    </xf>
    <xf numFmtId="0" fontId="20" fillId="0" borderId="0" xfId="0" applyFont="1" applyFill="1" applyAlignment="1">
      <alignment horizontal="center" wrapText="1"/>
    </xf>
    <xf numFmtId="0" fontId="20" fillId="0" borderId="0" xfId="0" applyFont="1" applyFill="1" applyAlignment="1">
      <alignment horizontal="left" wrapText="1"/>
    </xf>
    <xf numFmtId="0" fontId="23" fillId="0" borderId="12" xfId="0" applyFont="1" applyFill="1" applyBorder="1" applyAlignment="1">
      <alignment horizontal="left" indent="3"/>
    </xf>
    <xf numFmtId="0" fontId="16" fillId="0" borderId="0" xfId="0" applyFont="1" applyFill="1" applyBorder="1"/>
    <xf numFmtId="0" fontId="16" fillId="0" borderId="13" xfId="0" applyFont="1" applyFill="1" applyBorder="1"/>
    <xf numFmtId="0" fontId="16" fillId="0" borderId="21" xfId="0" applyFont="1" applyFill="1" applyBorder="1" applyAlignment="1">
      <alignment horizontal="center"/>
    </xf>
    <xf numFmtId="0" fontId="16" fillId="0" borderId="12" xfId="0" applyFont="1" applyFill="1" applyBorder="1" applyAlignment="1">
      <alignment horizontal="left" indent="3"/>
    </xf>
    <xf numFmtId="0" fontId="16" fillId="0" borderId="0" xfId="0" applyFont="1" applyFill="1" applyBorder="1" applyAlignment="1">
      <alignment horizontal="center" wrapText="1"/>
    </xf>
    <xf numFmtId="0" fontId="16" fillId="0" borderId="14" xfId="0" applyFont="1" applyFill="1" applyBorder="1" applyAlignment="1">
      <alignment horizontal="left" indent="3"/>
    </xf>
    <xf numFmtId="0" fontId="16" fillId="0" borderId="15" xfId="0" applyFont="1" applyFill="1" applyBorder="1"/>
    <xf numFmtId="0" fontId="16" fillId="0" borderId="15" xfId="0" applyFont="1" applyFill="1" applyBorder="1" applyAlignment="1">
      <alignment horizontal="center"/>
    </xf>
    <xf numFmtId="0" fontId="16" fillId="0" borderId="16" xfId="0" applyFont="1" applyFill="1" applyBorder="1"/>
    <xf numFmtId="0" fontId="16" fillId="0" borderId="0" xfId="0" applyFont="1" applyFill="1" applyAlignment="1">
      <alignment horizontal="center"/>
    </xf>
    <xf numFmtId="0" fontId="23" fillId="0" borderId="9" xfId="0" applyFont="1" applyFill="1" applyBorder="1"/>
    <xf numFmtId="0" fontId="16" fillId="0" borderId="10" xfId="0" applyFont="1" applyFill="1" applyBorder="1"/>
    <xf numFmtId="0" fontId="16" fillId="0" borderId="10" xfId="0" applyFont="1" applyFill="1" applyBorder="1" applyAlignment="1">
      <alignment horizontal="center"/>
    </xf>
    <xf numFmtId="0" fontId="16" fillId="0" borderId="11" xfId="0" applyFont="1" applyFill="1" applyBorder="1"/>
    <xf numFmtId="0" fontId="16" fillId="0" borderId="12" xfId="0" applyFont="1" applyFill="1" applyBorder="1"/>
    <xf numFmtId="0" fontId="16" fillId="0" borderId="70" xfId="0" applyFont="1" applyFill="1" applyBorder="1" applyAlignment="1">
      <alignment horizontal="center"/>
    </xf>
    <xf numFmtId="0" fontId="5" fillId="0" borderId="17" xfId="0" applyFont="1" applyFill="1" applyBorder="1" applyAlignment="1">
      <alignment horizontal="right" vertical="center"/>
    </xf>
    <xf numFmtId="0" fontId="6" fillId="0" borderId="18" xfId="0" applyFont="1" applyFill="1" applyBorder="1" applyAlignment="1">
      <alignment horizontal="center" vertical="center"/>
    </xf>
    <xf numFmtId="0" fontId="5" fillId="0" borderId="19" xfId="0" applyFont="1" applyFill="1" applyBorder="1" applyAlignment="1">
      <alignment vertical="center"/>
    </xf>
    <xf numFmtId="0" fontId="5" fillId="0" borderId="0" xfId="0" applyFont="1" applyFill="1" applyBorder="1" applyAlignment="1">
      <alignment vertical="center"/>
    </xf>
    <xf numFmtId="0" fontId="0" fillId="0" borderId="79" xfId="0" applyFill="1" applyBorder="1"/>
    <xf numFmtId="0" fontId="0" fillId="0" borderId="54" xfId="0" applyFill="1" applyBorder="1"/>
    <xf numFmtId="0" fontId="15" fillId="0" borderId="54" xfId="0" applyFont="1" applyFill="1" applyBorder="1"/>
    <xf numFmtId="0" fontId="0" fillId="0" borderId="80" xfId="0" applyFill="1" applyBorder="1"/>
    <xf numFmtId="0" fontId="0" fillId="0" borderId="80" xfId="0" applyBorder="1"/>
    <xf numFmtId="0" fontId="21" fillId="5" borderId="4" xfId="0" applyFont="1" applyFill="1" applyBorder="1" applyAlignment="1">
      <alignment horizontal="center" vertical="center"/>
    </xf>
    <xf numFmtId="0" fontId="0" fillId="5" borderId="54" xfId="0" applyFill="1" applyBorder="1"/>
    <xf numFmtId="167" fontId="31" fillId="5" borderId="5" xfId="1" applyNumberFormat="1" applyFont="1" applyFill="1" applyBorder="1" applyAlignment="1" applyProtection="1">
      <alignment horizontal="right" vertical="center" wrapText="1"/>
    </xf>
    <xf numFmtId="0" fontId="16" fillId="5" borderId="0" xfId="0" applyFont="1" applyFill="1"/>
    <xf numFmtId="0" fontId="15" fillId="5" borderId="3" xfId="0" applyFont="1" applyFill="1" applyBorder="1" applyAlignment="1">
      <alignment horizontal="center"/>
    </xf>
    <xf numFmtId="0" fontId="0" fillId="5" borderId="0" xfId="0" applyFill="1"/>
    <xf numFmtId="0" fontId="0" fillId="5" borderId="5" xfId="0" applyFill="1" applyBorder="1" applyAlignment="1">
      <alignment vertical="top"/>
    </xf>
    <xf numFmtId="0" fontId="0" fillId="5" borderId="5" xfId="0" applyFill="1" applyBorder="1" applyAlignment="1">
      <alignment horizontal="center"/>
    </xf>
    <xf numFmtId="0" fontId="16" fillId="0" borderId="5" xfId="0" applyFont="1" applyFill="1" applyBorder="1" applyAlignment="1">
      <alignment horizontal="center"/>
    </xf>
    <xf numFmtId="0" fontId="16" fillId="0" borderId="52" xfId="0" applyFont="1" applyFill="1" applyBorder="1" applyAlignment="1">
      <alignment horizontal="center"/>
    </xf>
    <xf numFmtId="0" fontId="16" fillId="0" borderId="29" xfId="0" applyFont="1" applyFill="1" applyBorder="1" applyAlignment="1">
      <alignment horizontal="center"/>
    </xf>
    <xf numFmtId="0" fontId="16" fillId="0" borderId="53" xfId="0" applyFont="1" applyFill="1" applyBorder="1" applyAlignment="1">
      <alignment horizontal="center"/>
    </xf>
    <xf numFmtId="0" fontId="16" fillId="0" borderId="0" xfId="0" applyFont="1" applyFill="1" applyBorder="1" applyAlignment="1">
      <alignment horizontal="center"/>
    </xf>
    <xf numFmtId="0" fontId="16" fillId="0" borderId="13" xfId="0" applyFont="1" applyFill="1" applyBorder="1" applyAlignment="1">
      <alignment horizontal="center" wrapText="1"/>
    </xf>
    <xf numFmtId="0" fontId="16" fillId="0" borderId="0" xfId="0" applyFont="1" applyFill="1" applyAlignment="1">
      <alignment horizontal="center" vertical="center"/>
    </xf>
    <xf numFmtId="0" fontId="0" fillId="0" borderId="0" xfId="0" applyBorder="1" applyAlignment="1">
      <alignment horizontal="center"/>
    </xf>
    <xf numFmtId="0" fontId="0" fillId="0" borderId="5" xfId="0" applyFill="1" applyBorder="1" applyAlignment="1">
      <alignment horizontal="center"/>
    </xf>
    <xf numFmtId="1" fontId="16" fillId="0" borderId="53" xfId="0" applyNumberFormat="1" applyFont="1" applyFill="1" applyBorder="1" applyAlignment="1">
      <alignment horizontal="center"/>
    </xf>
    <xf numFmtId="1" fontId="16" fillId="0" borderId="5" xfId="0" applyNumberFormat="1" applyFont="1" applyFill="1" applyBorder="1" applyAlignment="1">
      <alignment horizontal="center"/>
    </xf>
    <xf numFmtId="2" fontId="16" fillId="0" borderId="0" xfId="0" applyNumberFormat="1" applyFont="1" applyFill="1" applyBorder="1" applyAlignment="1">
      <alignment horizontal="center"/>
    </xf>
    <xf numFmtId="1" fontId="27" fillId="0" borderId="0" xfId="0" applyNumberFormat="1" applyFont="1" applyFill="1" applyBorder="1" applyAlignment="1">
      <alignment horizontal="center" vertical="center"/>
    </xf>
    <xf numFmtId="0" fontId="27" fillId="0" borderId="0" xfId="0" applyFont="1" applyFill="1" applyBorder="1" applyAlignment="1">
      <alignment horizontal="center" vertical="center"/>
    </xf>
    <xf numFmtId="3" fontId="16" fillId="0" borderId="0" xfId="0" applyNumberFormat="1" applyFont="1" applyFill="1" applyBorder="1"/>
    <xf numFmtId="1" fontId="16" fillId="0" borderId="0" xfId="0" applyNumberFormat="1" applyFont="1" applyFill="1" applyBorder="1"/>
    <xf numFmtId="171" fontId="16" fillId="0" borderId="0" xfId="0" applyNumberFormat="1" applyFont="1" applyFill="1" applyBorder="1" applyAlignment="1">
      <alignment horizontal="center"/>
    </xf>
    <xf numFmtId="0" fontId="35" fillId="0" borderId="0" xfId="0" applyFont="1" applyFill="1" applyBorder="1" applyAlignment="1">
      <alignment horizontal="center"/>
    </xf>
    <xf numFmtId="3" fontId="26" fillId="0" borderId="5" xfId="0" applyNumberFormat="1" applyFont="1" applyFill="1" applyBorder="1" applyAlignment="1">
      <alignment horizontal="right"/>
    </xf>
    <xf numFmtId="3" fontId="26" fillId="0" borderId="5" xfId="0" applyNumberFormat="1" applyFont="1" applyFill="1" applyBorder="1" applyAlignment="1">
      <alignment horizontal="right" vertical="center"/>
    </xf>
    <xf numFmtId="3" fontId="26" fillId="0" borderId="3" xfId="0" applyNumberFormat="1" applyFont="1" applyFill="1" applyBorder="1" applyAlignment="1">
      <alignment horizontal="right" vertical="center"/>
    </xf>
    <xf numFmtId="3" fontId="26" fillId="0" borderId="52" xfId="0" applyNumberFormat="1" applyFont="1" applyFill="1" applyBorder="1" applyAlignment="1">
      <alignment horizontal="right" vertical="center"/>
    </xf>
    <xf numFmtId="3" fontId="26" fillId="0" borderId="54" xfId="0" applyNumberFormat="1" applyFont="1" applyFill="1" applyBorder="1" applyAlignment="1">
      <alignment horizontal="right" vertical="center"/>
    </xf>
    <xf numFmtId="0" fontId="15" fillId="0" borderId="5" xfId="0" applyFont="1" applyFill="1" applyBorder="1" applyAlignment="1">
      <alignment horizontal="center"/>
    </xf>
    <xf numFmtId="0" fontId="15" fillId="0" borderId="65" xfId="0" applyFont="1" applyFill="1" applyBorder="1" applyAlignment="1">
      <alignment horizontal="center" vertical="center"/>
    </xf>
    <xf numFmtId="0" fontId="16" fillId="6" borderId="12" xfId="0" applyFont="1" applyFill="1" applyBorder="1" applyAlignment="1">
      <alignment horizontal="center"/>
    </xf>
    <xf numFmtId="0" fontId="16" fillId="6" borderId="0" xfId="0" applyFont="1" applyFill="1" applyBorder="1" applyAlignment="1">
      <alignment horizontal="center"/>
    </xf>
    <xf numFmtId="0" fontId="16" fillId="3" borderId="28" xfId="0" applyFont="1" applyFill="1" applyBorder="1" applyAlignment="1">
      <alignment horizontal="center"/>
    </xf>
    <xf numFmtId="0" fontId="16" fillId="3" borderId="72" xfId="0" applyFont="1" applyFill="1" applyBorder="1" applyAlignment="1">
      <alignment horizontal="center"/>
    </xf>
    <xf numFmtId="0" fontId="16" fillId="3" borderId="29" xfId="0" applyFont="1" applyFill="1" applyBorder="1" applyAlignment="1">
      <alignment horizontal="center"/>
    </xf>
    <xf numFmtId="0" fontId="16" fillId="3" borderId="12" xfId="0" applyFont="1" applyFill="1" applyBorder="1" applyAlignment="1">
      <alignment horizontal="center" vertical="center" wrapText="1"/>
    </xf>
    <xf numFmtId="0" fontId="16" fillId="3" borderId="0" xfId="0" applyFont="1" applyFill="1" applyBorder="1" applyAlignment="1">
      <alignment horizontal="center" vertical="center" wrapText="1"/>
    </xf>
    <xf numFmtId="0" fontId="16" fillId="3" borderId="13" xfId="0" applyFont="1" applyFill="1" applyBorder="1" applyAlignment="1">
      <alignment horizontal="center" vertical="center" wrapText="1"/>
    </xf>
    <xf numFmtId="0" fontId="18" fillId="0" borderId="0" xfId="0" applyFont="1" applyBorder="1" applyAlignment="1">
      <alignment horizontal="left" vertical="center" wrapText="1"/>
    </xf>
    <xf numFmtId="0" fontId="16" fillId="6" borderId="9" xfId="0" applyFont="1" applyFill="1" applyBorder="1" applyAlignment="1">
      <alignment horizontal="center"/>
    </xf>
    <xf numFmtId="0" fontId="16" fillId="6" borderId="10" xfId="0" applyFont="1" applyFill="1" applyBorder="1" applyAlignment="1">
      <alignment horizontal="center"/>
    </xf>
    <xf numFmtId="0" fontId="17" fillId="0" borderId="0" xfId="0" applyFont="1" applyBorder="1" applyAlignment="1">
      <alignment horizontal="center"/>
    </xf>
    <xf numFmtId="0" fontId="24" fillId="3" borderId="0" xfId="0" applyFont="1" applyFill="1" applyBorder="1" applyAlignment="1">
      <alignment horizontal="left" wrapText="1" indent="1"/>
    </xf>
    <xf numFmtId="0" fontId="16" fillId="3" borderId="12" xfId="0" applyFont="1" applyFill="1" applyBorder="1" applyAlignment="1">
      <alignment horizontal="center"/>
    </xf>
    <xf numFmtId="0" fontId="16" fillId="3" borderId="0" xfId="0" applyFont="1" applyFill="1" applyBorder="1" applyAlignment="1">
      <alignment horizontal="center"/>
    </xf>
    <xf numFmtId="0" fontId="16" fillId="3" borderId="13" xfId="0" applyFont="1" applyFill="1" applyBorder="1" applyAlignment="1">
      <alignment horizontal="center"/>
    </xf>
    <xf numFmtId="0" fontId="16" fillId="3" borderId="13" xfId="0" applyFont="1" applyFill="1" applyBorder="1" applyAlignment="1">
      <alignment horizontal="center" wrapText="1"/>
    </xf>
    <xf numFmtId="0" fontId="16" fillId="6" borderId="14" xfId="0" applyFont="1" applyFill="1" applyBorder="1" applyAlignment="1">
      <alignment horizontal="center"/>
    </xf>
    <xf numFmtId="0" fontId="16" fillId="6" borderId="15" xfId="0" applyFont="1" applyFill="1" applyBorder="1" applyAlignment="1">
      <alignment horizontal="center"/>
    </xf>
    <xf numFmtId="0" fontId="32" fillId="5" borderId="26" xfId="0" applyFont="1" applyFill="1" applyBorder="1" applyAlignment="1">
      <alignment horizontal="left" vertical="center" wrapText="1"/>
    </xf>
    <xf numFmtId="0" fontId="8" fillId="0" borderId="24" xfId="0" applyFont="1" applyBorder="1" applyAlignment="1">
      <alignment horizontal="center" vertical="center" wrapText="1"/>
    </xf>
    <xf numFmtId="168" fontId="6" fillId="0" borderId="28" xfId="0" applyNumberFormat="1" applyFont="1" applyFill="1" applyBorder="1" applyAlignment="1">
      <alignment horizontal="center" vertical="center"/>
    </xf>
    <xf numFmtId="168" fontId="6" fillId="0" borderId="72" xfId="0" applyNumberFormat="1" applyFont="1" applyFill="1" applyBorder="1" applyAlignment="1">
      <alignment horizontal="center" vertical="center"/>
    </xf>
    <xf numFmtId="168" fontId="6" fillId="0" borderId="29" xfId="0" applyNumberFormat="1" applyFont="1" applyFill="1" applyBorder="1" applyAlignment="1">
      <alignment horizontal="center" vertical="center"/>
    </xf>
    <xf numFmtId="0" fontId="6" fillId="0" borderId="21" xfId="0" applyFont="1" applyFill="1" applyBorder="1" applyAlignment="1">
      <alignment horizontal="left" vertical="center" wrapText="1" indent="1"/>
    </xf>
    <xf numFmtId="0" fontId="5" fillId="0" borderId="0" xfId="0" applyFont="1" applyFill="1" applyBorder="1" applyAlignment="1">
      <alignment horizontal="center" vertical="center"/>
    </xf>
    <xf numFmtId="0" fontId="7" fillId="0" borderId="22" xfId="0" applyFont="1" applyFill="1" applyBorder="1" applyAlignment="1">
      <alignment horizontal="left" vertical="center" wrapText="1"/>
    </xf>
    <xf numFmtId="0" fontId="7" fillId="0" borderId="20" xfId="0" applyFont="1" applyFill="1" applyBorder="1" applyAlignment="1">
      <alignment horizontal="left" vertical="center" wrapText="1"/>
    </xf>
    <xf numFmtId="0" fontId="7" fillId="0" borderId="23" xfId="0" applyFont="1" applyFill="1" applyBorder="1" applyAlignment="1">
      <alignment horizontal="left" vertical="center"/>
    </xf>
    <xf numFmtId="0" fontId="8" fillId="0" borderId="23" xfId="0" applyFont="1" applyBorder="1" applyAlignment="1">
      <alignment horizontal="center" vertical="center"/>
    </xf>
    <xf numFmtId="0" fontId="8" fillId="0" borderId="25" xfId="0" applyFont="1" applyBorder="1" applyAlignment="1">
      <alignment horizontal="center" vertical="center" wrapText="1"/>
    </xf>
    <xf numFmtId="0" fontId="6" fillId="0" borderId="49" xfId="0" applyFont="1" applyFill="1" applyBorder="1" applyAlignment="1">
      <alignment vertical="center" wrapText="1"/>
    </xf>
    <xf numFmtId="0" fontId="6" fillId="0" borderId="72" xfId="0" applyFont="1" applyFill="1" applyBorder="1" applyAlignment="1">
      <alignment vertical="center" wrapText="1"/>
    </xf>
    <xf numFmtId="0" fontId="6" fillId="0" borderId="29" xfId="0" applyFont="1" applyFill="1" applyBorder="1" applyAlignment="1">
      <alignment vertical="center" wrapText="1"/>
    </xf>
    <xf numFmtId="0" fontId="16" fillId="0" borderId="5" xfId="0" applyFont="1" applyFill="1" applyBorder="1" applyAlignment="1">
      <alignment horizontal="center"/>
    </xf>
    <xf numFmtId="0" fontId="16" fillId="0" borderId="52" xfId="0" applyFont="1" applyFill="1" applyBorder="1" applyAlignment="1">
      <alignment horizontal="center"/>
    </xf>
    <xf numFmtId="0" fontId="27" fillId="0" borderId="28" xfId="0" applyFont="1" applyFill="1" applyBorder="1" applyAlignment="1">
      <alignment horizontal="left" vertical="center" wrapText="1"/>
    </xf>
    <xf numFmtId="0" fontId="27" fillId="0" borderId="72" xfId="0" applyFont="1" applyFill="1" applyBorder="1" applyAlignment="1">
      <alignment horizontal="left" vertical="center" wrapText="1"/>
    </xf>
    <xf numFmtId="0" fontId="27" fillId="0" borderId="29" xfId="0" applyFont="1" applyFill="1" applyBorder="1" applyAlignment="1">
      <alignment horizontal="left" vertical="center" wrapText="1"/>
    </xf>
    <xf numFmtId="0" fontId="16" fillId="0" borderId="13" xfId="0" applyFont="1" applyFill="1" applyBorder="1" applyAlignment="1">
      <alignment horizontal="center" wrapText="1"/>
    </xf>
    <xf numFmtId="0" fontId="16" fillId="0" borderId="13" xfId="0" applyFont="1" applyFill="1" applyBorder="1" applyAlignment="1">
      <alignment horizontal="center"/>
    </xf>
    <xf numFmtId="0" fontId="16" fillId="0" borderId="28" xfId="0" applyFont="1" applyFill="1" applyBorder="1" applyAlignment="1">
      <alignment horizontal="center"/>
    </xf>
    <xf numFmtId="0" fontId="16" fillId="0" borderId="72" xfId="0" applyFont="1" applyFill="1" applyBorder="1" applyAlignment="1">
      <alignment horizontal="center"/>
    </xf>
    <xf numFmtId="0" fontId="16" fillId="0" borderId="29" xfId="0" applyFont="1" applyFill="1" applyBorder="1" applyAlignment="1">
      <alignment horizontal="center"/>
    </xf>
    <xf numFmtId="0" fontId="16" fillId="0" borderId="53" xfId="0" applyFont="1" applyFill="1" applyBorder="1" applyAlignment="1">
      <alignment horizontal="center"/>
    </xf>
    <xf numFmtId="0" fontId="16" fillId="0" borderId="9" xfId="0" applyFont="1" applyFill="1" applyBorder="1" applyAlignment="1">
      <alignment horizontal="center"/>
    </xf>
    <xf numFmtId="0" fontId="16" fillId="0" borderId="11" xfId="0" applyFont="1" applyFill="1" applyBorder="1" applyAlignment="1">
      <alignment horizontal="center"/>
    </xf>
    <xf numFmtId="0" fontId="16" fillId="0" borderId="0" xfId="0" applyFont="1" applyFill="1" applyBorder="1" applyAlignment="1">
      <alignment horizontal="center"/>
    </xf>
    <xf numFmtId="0" fontId="16" fillId="0" borderId="76" xfId="0" applyFont="1" applyFill="1" applyBorder="1" applyAlignment="1">
      <alignment horizontal="center"/>
    </xf>
    <xf numFmtId="0" fontId="16" fillId="0" borderId="54" xfId="0" applyFont="1" applyFill="1" applyBorder="1" applyAlignment="1">
      <alignment horizontal="center"/>
    </xf>
    <xf numFmtId="0" fontId="16" fillId="0" borderId="77" xfId="0" applyFont="1" applyFill="1" applyBorder="1" applyAlignment="1">
      <alignment horizontal="center"/>
    </xf>
    <xf numFmtId="0" fontId="16" fillId="0" borderId="81" xfId="0" applyFont="1" applyFill="1" applyBorder="1" applyAlignment="1">
      <alignment horizontal="center"/>
    </xf>
    <xf numFmtId="0" fontId="16" fillId="0" borderId="0" xfId="0" applyFont="1" applyFill="1" applyBorder="1" applyAlignment="1">
      <alignment horizontal="center" vertical="center" wrapText="1"/>
    </xf>
    <xf numFmtId="0" fontId="16" fillId="0" borderId="13" xfId="0" applyFont="1" applyFill="1" applyBorder="1" applyAlignment="1">
      <alignment horizontal="center" vertical="center" wrapText="1"/>
    </xf>
    <xf numFmtId="0" fontId="16" fillId="0" borderId="75" xfId="0" applyFont="1" applyFill="1" applyBorder="1" applyAlignment="1">
      <alignment horizontal="center"/>
    </xf>
    <xf numFmtId="0" fontId="16" fillId="0" borderId="79" xfId="0" applyFont="1" applyFill="1" applyBorder="1" applyAlignment="1">
      <alignment horizontal="center"/>
    </xf>
    <xf numFmtId="0" fontId="16" fillId="0" borderId="0" xfId="0" applyFont="1" applyFill="1" applyBorder="1" applyAlignment="1">
      <alignment horizontal="center" wrapText="1"/>
    </xf>
    <xf numFmtId="0" fontId="16" fillId="0" borderId="10" xfId="0" applyFont="1" applyFill="1" applyBorder="1" applyAlignment="1">
      <alignment horizontal="center"/>
    </xf>
    <xf numFmtId="0" fontId="16" fillId="0" borderId="71" xfId="0" applyFont="1" applyFill="1" applyBorder="1" applyAlignment="1">
      <alignment horizontal="center"/>
    </xf>
    <xf numFmtId="0" fontId="16" fillId="0" borderId="74" xfId="0" applyFont="1" applyFill="1" applyBorder="1" applyAlignment="1">
      <alignment horizontal="center"/>
    </xf>
    <xf numFmtId="0" fontId="24" fillId="0" borderId="0" xfId="0" applyFont="1" applyFill="1" applyBorder="1" applyAlignment="1">
      <alignment horizontal="left" wrapText="1" indent="1"/>
    </xf>
    <xf numFmtId="0" fontId="0" fillId="0" borderId="28" xfId="0" applyFont="1" applyBorder="1" applyAlignment="1">
      <alignment horizontal="center"/>
    </xf>
    <xf numFmtId="3" fontId="10" fillId="0" borderId="29" xfId="0" applyNumberFormat="1" applyFont="1" applyBorder="1" applyAlignment="1">
      <alignment horizontal="center"/>
    </xf>
    <xf numFmtId="0" fontId="11" fillId="0" borderId="18" xfId="0" applyFont="1" applyBorder="1" applyAlignment="1">
      <alignment horizontal="center" vertical="center" wrapText="1"/>
    </xf>
    <xf numFmtId="0" fontId="2" fillId="0" borderId="18" xfId="0" applyFont="1" applyBorder="1"/>
    <xf numFmtId="0" fontId="12" fillId="0" borderId="18" xfId="0" applyFont="1" applyBorder="1" applyAlignment="1">
      <alignment horizontal="left" indent="1"/>
    </xf>
    <xf numFmtId="0" fontId="4" fillId="0" borderId="20" xfId="0" applyFont="1" applyBorder="1" applyAlignment="1">
      <alignment horizontal="left" vertical="center" wrapText="1"/>
    </xf>
    <xf numFmtId="0" fontId="4" fillId="0" borderId="50" xfId="0" applyFont="1" applyBorder="1" applyAlignment="1">
      <alignment horizontal="left" vertical="center" wrapText="1"/>
    </xf>
    <xf numFmtId="0" fontId="4" fillId="0" borderId="51" xfId="0" applyFont="1" applyBorder="1" applyAlignment="1">
      <alignment horizontal="left" vertical="center" wrapText="1"/>
    </xf>
    <xf numFmtId="0" fontId="13" fillId="0" borderId="18" xfId="0" applyFont="1" applyBorder="1" applyAlignment="1">
      <alignment horizontal="left"/>
    </xf>
    <xf numFmtId="0" fontId="25" fillId="0" borderId="65" xfId="0" applyFont="1" applyFill="1" applyBorder="1" applyAlignment="1">
      <alignment horizontal="left" vertical="center" wrapText="1"/>
    </xf>
    <xf numFmtId="0" fontId="0" fillId="0" borderId="65" xfId="0" applyFont="1" applyFill="1" applyBorder="1" applyAlignment="1">
      <alignment horizontal="left" vertical="center" wrapText="1"/>
    </xf>
    <xf numFmtId="0" fontId="0" fillId="0" borderId="40" xfId="0" applyFont="1" applyFill="1" applyBorder="1" applyAlignment="1">
      <alignment horizontal="left" vertical="center"/>
    </xf>
    <xf numFmtId="0" fontId="0" fillId="0" borderId="42" xfId="0" applyFont="1" applyFill="1" applyBorder="1" applyAlignment="1">
      <alignment horizontal="left" vertical="center"/>
    </xf>
    <xf numFmtId="0" fontId="12" fillId="0" borderId="31" xfId="0" applyFont="1" applyBorder="1"/>
    <xf numFmtId="0" fontId="12" fillId="0" borderId="32" xfId="0" applyFont="1" applyBorder="1" applyAlignment="1">
      <alignment horizontal="left" vertical="center" wrapText="1" indent="1"/>
    </xf>
    <xf numFmtId="0" fontId="14" fillId="0" borderId="30" xfId="0" applyFont="1" applyBorder="1" applyAlignment="1">
      <alignment horizontal="center" vertical="center"/>
    </xf>
    <xf numFmtId="0" fontId="14" fillId="0" borderId="18" xfId="0" applyFont="1" applyBorder="1" applyAlignment="1">
      <alignment horizontal="center" vertical="center"/>
    </xf>
    <xf numFmtId="0" fontId="14" fillId="0" borderId="30" xfId="0" applyFont="1" applyBorder="1" applyAlignment="1">
      <alignment horizontal="center" vertical="center" wrapText="1"/>
    </xf>
    <xf numFmtId="0" fontId="14" fillId="0" borderId="35" xfId="0" applyFont="1" applyBorder="1" applyAlignment="1">
      <alignment horizontal="center" vertical="center"/>
    </xf>
    <xf numFmtId="0" fontId="10" fillId="0" borderId="28" xfId="0" applyFont="1" applyFill="1" applyBorder="1" applyAlignment="1">
      <alignment vertical="center" wrapText="1"/>
    </xf>
    <xf numFmtId="0" fontId="10" fillId="0" borderId="49" xfId="0" applyFont="1" applyFill="1" applyBorder="1" applyAlignment="1">
      <alignment vertical="center" wrapText="1"/>
    </xf>
    <xf numFmtId="0" fontId="10" fillId="0" borderId="24" xfId="0" applyFont="1" applyFill="1" applyBorder="1" applyAlignment="1">
      <alignment vertical="center" wrapText="1"/>
    </xf>
    <xf numFmtId="0" fontId="12" fillId="0" borderId="35" xfId="0" applyFont="1" applyFill="1" applyBorder="1" applyAlignment="1">
      <alignment vertical="center" wrapText="1"/>
    </xf>
    <xf numFmtId="0" fontId="12" fillId="0" borderId="48" xfId="0" applyFont="1" applyFill="1" applyBorder="1" applyAlignment="1">
      <alignment horizontal="left" vertical="center" wrapText="1" indent="1"/>
    </xf>
    <xf numFmtId="0" fontId="0" fillId="0" borderId="42" xfId="0" applyFill="1" applyBorder="1" applyAlignment="1">
      <alignment horizontal="left" vertical="center"/>
    </xf>
    <xf numFmtId="0" fontId="0" fillId="0" borderId="45" xfId="0" applyFill="1" applyBorder="1" applyAlignment="1">
      <alignment horizontal="left" vertical="center"/>
    </xf>
    <xf numFmtId="0" fontId="33" fillId="0" borderId="48" xfId="0" applyFont="1" applyFill="1" applyBorder="1" applyAlignment="1">
      <alignment horizontal="left" vertical="center" wrapText="1"/>
    </xf>
    <xf numFmtId="0" fontId="28" fillId="0" borderId="48" xfId="0" applyFont="1" applyFill="1" applyBorder="1" applyAlignment="1">
      <alignment horizontal="left" vertical="center" wrapText="1"/>
    </xf>
    <xf numFmtId="0" fontId="0" fillId="0" borderId="30" xfId="0" applyFill="1" applyBorder="1"/>
    <xf numFmtId="0" fontId="6" fillId="4" borderId="21" xfId="0" applyFont="1" applyFill="1" applyBorder="1" applyAlignment="1">
      <alignment horizontal="left" vertical="center" wrapText="1" indent="1"/>
    </xf>
    <xf numFmtId="168" fontId="6" fillId="4" borderId="28" xfId="0" applyNumberFormat="1" applyFont="1" applyFill="1" applyBorder="1" applyAlignment="1">
      <alignment horizontal="center" vertical="center"/>
    </xf>
    <xf numFmtId="168" fontId="6" fillId="4" borderId="72" xfId="0" applyNumberFormat="1" applyFont="1" applyFill="1" applyBorder="1" applyAlignment="1">
      <alignment horizontal="center" vertical="center"/>
    </xf>
    <xf numFmtId="168" fontId="6" fillId="4" borderId="29" xfId="0" applyNumberFormat="1" applyFont="1" applyFill="1" applyBorder="1" applyAlignment="1">
      <alignment horizontal="center" vertical="center"/>
    </xf>
    <xf numFmtId="0" fontId="32" fillId="5" borderId="28" xfId="0" applyFont="1" applyFill="1" applyBorder="1" applyAlignment="1">
      <alignment horizontal="left" vertical="center" wrapText="1"/>
    </xf>
    <xf numFmtId="0" fontId="32" fillId="5" borderId="72" xfId="0" applyFont="1" applyFill="1" applyBorder="1" applyAlignment="1">
      <alignment horizontal="left" vertical="center" wrapText="1"/>
    </xf>
    <xf numFmtId="0" fontId="32" fillId="5" borderId="29" xfId="0" applyFont="1" applyFill="1" applyBorder="1" applyAlignment="1">
      <alignment horizontal="left" vertical="center" wrapText="1"/>
    </xf>
    <xf numFmtId="0" fontId="34" fillId="0" borderId="20" xfId="0" applyFont="1" applyBorder="1" applyAlignment="1">
      <alignment horizontal="left" vertical="center" wrapText="1"/>
    </xf>
    <xf numFmtId="0" fontId="29" fillId="4" borderId="21" xfId="0" applyFont="1" applyFill="1" applyBorder="1" applyAlignment="1">
      <alignment horizontal="left" vertical="center" wrapText="1" indent="1"/>
    </xf>
    <xf numFmtId="0" fontId="7" fillId="0" borderId="22" xfId="0" applyFont="1" applyBorder="1" applyAlignment="1">
      <alignment horizontal="left" vertical="center" wrapText="1"/>
    </xf>
    <xf numFmtId="0" fontId="7" fillId="0" borderId="23" xfId="0" applyFont="1" applyBorder="1" applyAlignment="1">
      <alignment horizontal="left" vertical="center"/>
    </xf>
    <xf numFmtId="0" fontId="6" fillId="3" borderId="24" xfId="0" applyFont="1" applyFill="1" applyBorder="1" applyAlignment="1">
      <alignment horizontal="left" vertical="center" wrapText="1" indent="1"/>
    </xf>
    <xf numFmtId="0" fontId="34" fillId="0" borderId="22" xfId="0" applyFont="1" applyBorder="1" applyAlignment="1">
      <alignment horizontal="left" vertical="center" wrapText="1"/>
    </xf>
    <xf numFmtId="0" fontId="5" fillId="0" borderId="0" xfId="0" applyFont="1" applyBorder="1" applyAlignment="1">
      <alignment horizontal="center" vertical="center"/>
    </xf>
    <xf numFmtId="0" fontId="7" fillId="0" borderId="20" xfId="0" applyFont="1" applyBorder="1" applyAlignment="1">
      <alignment horizontal="left" vertical="center" wrapText="1"/>
    </xf>
    <xf numFmtId="0" fontId="16" fillId="6" borderId="5" xfId="0" applyFont="1" applyFill="1" applyBorder="1" applyAlignment="1">
      <alignment horizontal="center"/>
    </xf>
    <xf numFmtId="0" fontId="27" fillId="6" borderId="28" xfId="0" applyFont="1" applyFill="1" applyBorder="1" applyAlignment="1">
      <alignment horizontal="left" wrapText="1"/>
    </xf>
    <xf numFmtId="0" fontId="27" fillId="6" borderId="72" xfId="0" applyFont="1" applyFill="1" applyBorder="1" applyAlignment="1">
      <alignment horizontal="left" wrapText="1"/>
    </xf>
    <xf numFmtId="0" fontId="27" fillId="6" borderId="29" xfId="0" applyFont="1" applyFill="1" applyBorder="1" applyAlignment="1">
      <alignment horizontal="left" wrapText="1"/>
    </xf>
    <xf numFmtId="0" fontId="16" fillId="3" borderId="9" xfId="0" applyFont="1" applyFill="1" applyBorder="1" applyAlignment="1">
      <alignment horizontal="center"/>
    </xf>
    <xf numFmtId="0" fontId="16" fillId="3" borderId="11" xfId="0" applyFont="1" applyFill="1" applyBorder="1" applyAlignment="1">
      <alignment horizontal="center"/>
    </xf>
    <xf numFmtId="0" fontId="12" fillId="3" borderId="48" xfId="0" applyFont="1" applyFill="1" applyBorder="1" applyAlignment="1">
      <alignment horizontal="left" vertical="center" wrapText="1" indent="1"/>
    </xf>
    <xf numFmtId="0" fontId="0" fillId="0" borderId="40" xfId="0" applyFont="1" applyBorder="1" applyAlignment="1">
      <alignment horizontal="left" vertical="center"/>
    </xf>
    <xf numFmtId="0" fontId="0" fillId="0" borderId="42" xfId="0" applyFont="1" applyBorder="1" applyAlignment="1">
      <alignment horizontal="left" vertical="center"/>
    </xf>
    <xf numFmtId="0" fontId="0" fillId="0" borderId="42" xfId="0" applyBorder="1" applyAlignment="1">
      <alignment horizontal="left" vertical="center"/>
    </xf>
    <xf numFmtId="0" fontId="0" fillId="0" borderId="45" xfId="0" applyBorder="1" applyAlignment="1">
      <alignment horizontal="left" vertical="center"/>
    </xf>
    <xf numFmtId="0" fontId="33" fillId="4" borderId="48" xfId="0" applyFont="1" applyFill="1" applyBorder="1" applyAlignment="1">
      <alignment horizontal="left" vertical="center" wrapText="1"/>
    </xf>
    <xf numFmtId="0" fontId="28" fillId="4" borderId="48" xfId="0" applyFont="1" applyFill="1" applyBorder="1" applyAlignment="1">
      <alignment horizontal="left" vertical="center" wrapText="1"/>
    </xf>
    <xf numFmtId="0" fontId="0" fillId="0" borderId="30" xfId="0" applyBorder="1"/>
    <xf numFmtId="0" fontId="10" fillId="0" borderId="28" xfId="0" applyFont="1" applyBorder="1" applyAlignment="1">
      <alignment vertical="center" wrapText="1"/>
    </xf>
    <xf numFmtId="0" fontId="10" fillId="0" borderId="49" xfId="0" applyFont="1" applyBorder="1" applyAlignment="1">
      <alignment vertical="center" wrapText="1"/>
    </xf>
    <xf numFmtId="0" fontId="10" fillId="0" borderId="24" xfId="0" applyFont="1" applyBorder="1" applyAlignment="1">
      <alignment vertical="center" wrapText="1"/>
    </xf>
    <xf numFmtId="0" fontId="12" fillId="0" borderId="35" xfId="0" applyFont="1" applyBorder="1" applyAlignment="1">
      <alignment vertical="center" wrapText="1"/>
    </xf>
    <xf numFmtId="0" fontId="15" fillId="0" borderId="65" xfId="0" applyFont="1" applyBorder="1" applyAlignment="1">
      <alignment horizontal="left" vertical="center" wrapText="1"/>
    </xf>
    <xf numFmtId="0" fontId="0" fillId="0" borderId="65" xfId="0" applyFont="1" applyBorder="1" applyAlignment="1">
      <alignment horizontal="left" vertical="center" wrapText="1"/>
    </xf>
    <xf numFmtId="0" fontId="16" fillId="6" borderId="52" xfId="0" applyFont="1" applyFill="1" applyBorder="1" applyAlignment="1">
      <alignment horizontal="center"/>
    </xf>
    <xf numFmtId="0" fontId="16" fillId="6" borderId="53" xfId="0" applyFont="1" applyFill="1" applyBorder="1" applyAlignment="1">
      <alignment horizontal="center"/>
    </xf>
  </cellXfs>
  <cellStyles count="5">
    <cellStyle name="Encabezado 1" xfId="2" xr:uid="{00000000-0005-0000-0000-000000000000}"/>
    <cellStyle name="Moneda" xfId="1" builtinId="4"/>
    <cellStyle name="Moneda_AUTORIZACION Y NOTA DE PEDIDO" xfId="3" xr:uid="{00000000-0005-0000-0000-000002000000}"/>
    <cellStyle name="Neutral 1" xfId="4" xr:uid="{00000000-0005-0000-0000-000003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id="{00000000-0008-0000-05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id="{00000000-0008-0000-05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id="{00000000-0008-0000-05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id="{00000000-0008-0000-05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id="{00000000-0008-0000-0800-000002000000}"/>
            </a:ext>
          </a:extLst>
        </xdr:cNvPr>
        <xdr:cNvSpPr/>
      </xdr:nvSpPr>
      <xdr:spPr>
        <a:xfrm>
          <a:off x="688647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id="{00000000-0008-0000-0800-000003000000}"/>
            </a:ext>
          </a:extLst>
        </xdr:cNvPr>
        <xdr:cNvSpPr/>
      </xdr:nvSpPr>
      <xdr:spPr>
        <a:xfrm>
          <a:off x="688647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id="{00000000-0008-0000-0800-000004000000}"/>
            </a:ext>
          </a:extLst>
        </xdr:cNvPr>
        <xdr:cNvSpPr/>
      </xdr:nvSpPr>
      <xdr:spPr>
        <a:xfrm>
          <a:off x="688647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id="{00000000-0008-0000-0800-000005000000}"/>
            </a:ext>
          </a:extLst>
        </xdr:cNvPr>
        <xdr:cNvSpPr/>
      </xdr:nvSpPr>
      <xdr:spPr>
        <a:xfrm>
          <a:off x="688647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escrit/COMEDORES/COMEDORES%20EMERGENTES/COMESORES%20DESDE%2025-06-20/LISTA%20COMEDORES%20EMERGENT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Usuario/AppData/Local/Temp/acrord32_sbx/A9R1evpe16_d6giy3_9b0.tmp/COMBUSTIBLE/NecesidadesTrimestrales-NP-APG%20Combustib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EDORES EMERGENTES"/>
      <sheetName val="Hoja1"/>
      <sheetName val="UNA SONRISA"/>
      <sheetName val="C.I.F. Nº 1"/>
      <sheetName val="C.I.F"/>
      <sheetName val="COMEDOR ESFUERZO PROPIO"/>
      <sheetName val="ANGELITOS "/>
      <sheetName val="LA CHACARITA"/>
      <sheetName val="LA MORO"/>
      <sheetName val="PAPA FRANCISCO"/>
      <sheetName val="EPC NORTE"/>
      <sheetName val="HOGAR DE CRISTO"/>
      <sheetName val="LA LUCIERNAGA"/>
      <sheetName val="CLUB SUMALAO "/>
      <sheetName val="NUESTRO FUTURO LAS VIAS"/>
      <sheetName val="SAN JOSE OBRERO"/>
      <sheetName val="VIRGEN DE LUJAN"/>
      <sheetName val="RENACER"/>
      <sheetName val="CENTRO VECINAL MI JARDIN"/>
      <sheetName val="karina"/>
    </sheetNames>
    <sheetDataSet>
      <sheetData sheetId="0">
        <row r="3">
          <cell r="B3" t="str">
            <v>UNA SONRISA AV. LOS COBACHO</v>
          </cell>
          <cell r="G3" t="str">
            <v>Bº SAN CARLOS OESTE AV. Bonifacio cobacho 670</v>
          </cell>
        </row>
        <row r="4">
          <cell r="B4" t="str">
            <v>C.I.F Nº1 - RIVERA DEL VALLE Y FLORIDA</v>
          </cell>
          <cell r="G4" t="str">
            <v>AV. RIVIERA DEL VALLE ENTRE FLORIDA Y SANTA FE</v>
          </cell>
        </row>
        <row r="5">
          <cell r="B5" t="str">
            <v>C.I.F - RIVERA DEL VALLE - DILORENZO</v>
          </cell>
          <cell r="G5" t="str">
            <v>Bº RIVERA DEL VALLE ENTRE VILLA EUMELIA Y MONTE CRISTO</v>
          </cell>
        </row>
        <row r="6">
          <cell r="B6" t="str">
            <v>ESFUERZO PROPIO- Bº ALTOS DE CHOYA</v>
          </cell>
          <cell r="G6" t="str">
            <v>Bº MUNICIPAL 35VV. NORTE C/14</v>
          </cell>
        </row>
        <row r="7">
          <cell r="B7" t="str">
            <v>ANGELITOS - LOTEO SUSSEX</v>
          </cell>
          <cell r="G7" t="str">
            <v>Bº LOTEO SUSEX MZA.Nº 4 LOTE Nº3</v>
          </cell>
        </row>
        <row r="8">
          <cell r="B8" t="str">
            <v>CLUB DEPORTIVO CHACARITA</v>
          </cell>
          <cell r="G8" t="str">
            <v>CALLE DR.DERMIDIO GALINDEZ C/2660</v>
          </cell>
        </row>
        <row r="9">
          <cell r="B9" t="str">
            <v>LA MORO</v>
          </cell>
          <cell r="G9" t="str">
            <v>MAIPU NORTE 1º ETAPA MZA "H" Bº MI JARDIN</v>
          </cell>
        </row>
        <row r="10">
          <cell r="B10" t="str">
            <v>PAPA FRANCISCO</v>
          </cell>
          <cell r="G10" t="str">
            <v>ENTRE AV.TEREBINTO Y AV.SAN JUAN LOTE "2" MZA. "B"</v>
          </cell>
        </row>
        <row r="11">
          <cell r="B11" t="str">
            <v>E.P.C - 100 V.V NORTE</v>
          </cell>
          <cell r="G11" t="str">
            <v>Bº VV NORTE C/48 ENTRE ESPAÑA Y FRANCIA</v>
          </cell>
        </row>
        <row r="12">
          <cell r="B12" t="str">
            <v>HOGAR DE CRISTO - PADRE RAUL CONTRERAS</v>
          </cell>
          <cell r="G12" t="str">
            <v>Bº SANTA MARTA MZA. "S" LOTE "M" C/39</v>
          </cell>
        </row>
        <row r="13">
          <cell r="B13" t="str">
            <v>LA LUCIERNAGA</v>
          </cell>
          <cell r="G13" t="str">
            <v>Bº 20 V.V NORTE C/3</v>
          </cell>
        </row>
        <row r="14">
          <cell r="B14" t="str">
            <v>VALLE VIEJO - SUMALAO</v>
          </cell>
          <cell r="G14" t="str">
            <v>PADRE SEGURA S/N</v>
          </cell>
        </row>
        <row r="15">
          <cell r="B15" t="str">
            <v>NUESTRO FUTURO - LAS VIAS</v>
          </cell>
          <cell r="G15" t="str">
            <v>Bº LAS VIAS OESTE LOTE 42</v>
          </cell>
        </row>
        <row r="16">
          <cell r="B16" t="str">
            <v>SAN JOSE OBRERO</v>
          </cell>
          <cell r="G16" t="str">
            <v>Bº SAN JOSE OBRERO. PJE. SANDOVAL S/Nº</v>
          </cell>
        </row>
        <row r="17">
          <cell r="B17" t="str">
            <v>VIRGEN DE LUJAN</v>
          </cell>
          <cell r="G17" t="str">
            <v>Bº OJO DE AGUA C/DR.TEODULFO BARRIONUEVO S/Nº</v>
          </cell>
        </row>
        <row r="18">
          <cell r="B18" t="str">
            <v>RENACER</v>
          </cell>
          <cell r="G18" t="str">
            <v>Bº VIRGEN MORENITA</v>
          </cell>
        </row>
        <row r="19">
          <cell r="B19" t="str">
            <v>CENTRO VECINAL MI JARDIN</v>
          </cell>
          <cell r="G19" t="str">
            <v>C/ LOS TULIPANES ENTRE FLOR DE CEREZO Y HOLANDA MZA.27 Bº MI JARDIN</v>
          </cell>
        </row>
        <row r="20">
          <cell r="B20" t="str">
            <v>LA VIEJA ESQUINA</v>
          </cell>
          <cell r="G20" t="str">
            <v>B° CRISTO REY PJE CAPATAZ VILLAFAÑEZ Y ARMANDO CORREA</v>
          </cell>
        </row>
        <row r="21">
          <cell r="B21" t="str">
            <v>GAUCHITO GIL</v>
          </cell>
          <cell r="G21" t="str">
            <v>B° 26 VIVIENDAS CASA N° 3</v>
          </cell>
        </row>
        <row r="22">
          <cell r="B22" t="str">
            <v>LOS TOLDOS</v>
          </cell>
          <cell r="G22" t="str">
            <v>LOTEO PARQUE SUR CALLE S/NOMBRE S/N°</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cesidades Trimestrales"/>
      <sheetName val=" NotaPedido"/>
      <sheetName val="Autor Gastar"/>
    </sheetNames>
    <sheetDataSet>
      <sheetData sheetId="0">
        <row r="10">
          <cell r="D10" t="str">
            <v>2.5.6</v>
          </cell>
        </row>
      </sheetData>
      <sheetData sheetId="1"/>
      <sheetData sheetId="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42"/>
  <sheetViews>
    <sheetView topLeftCell="A4" workbookViewId="0">
      <selection sqref="A1:XFD1048576"/>
    </sheetView>
  </sheetViews>
  <sheetFormatPr baseColWidth="10" defaultColWidth="11" defaultRowHeight="12.75" x14ac:dyDescent="0.2"/>
  <cols>
    <col min="1" max="1" width="4.5703125" style="38" customWidth="1"/>
    <col min="2" max="2" width="19.85546875" style="38" customWidth="1"/>
    <col min="3" max="3" width="32.42578125" style="38" customWidth="1"/>
    <col min="4" max="4" width="10.42578125" style="38" customWidth="1"/>
    <col min="5" max="5" width="68.85546875" style="38" customWidth="1"/>
    <col min="6" max="6" width="11" style="38"/>
    <col min="7" max="7" width="12.7109375" style="38" customWidth="1"/>
    <col min="8" max="8" width="13.85546875" style="38" customWidth="1"/>
    <col min="9" max="9" width="18.5703125" style="38" customWidth="1"/>
    <col min="10" max="16384" width="11" style="38"/>
  </cols>
  <sheetData>
    <row r="2" spans="1:9" ht="27" x14ac:dyDescent="0.35">
      <c r="B2" s="282" t="s">
        <v>0</v>
      </c>
      <c r="C2" s="282"/>
      <c r="D2" s="282"/>
      <c r="E2" s="282"/>
      <c r="F2" s="282"/>
      <c r="G2" s="282"/>
      <c r="H2" s="282"/>
    </row>
    <row r="4" spans="1:9" ht="18" customHeight="1" x14ac:dyDescent="0.25">
      <c r="A4" s="279" t="s">
        <v>1</v>
      </c>
      <c r="B4" s="279"/>
      <c r="C4" s="283" t="s">
        <v>66</v>
      </c>
      <c r="D4" s="283"/>
      <c r="E4" s="283"/>
      <c r="F4" s="39"/>
      <c r="G4" s="40"/>
      <c r="H4" s="39"/>
    </row>
    <row r="5" spans="1:9" ht="18" customHeight="1" x14ac:dyDescent="0.25">
      <c r="A5" s="279" t="s">
        <v>2</v>
      </c>
      <c r="B5" s="279"/>
      <c r="C5" s="283" t="s">
        <v>62</v>
      </c>
      <c r="D5" s="283"/>
      <c r="E5" s="283"/>
      <c r="F5" s="39"/>
      <c r="G5" s="40"/>
      <c r="H5" s="39"/>
    </row>
    <row r="6" spans="1:9" ht="16.5" customHeight="1" x14ac:dyDescent="0.25">
      <c r="A6" s="279" t="s">
        <v>3</v>
      </c>
      <c r="B6" s="279"/>
      <c r="C6" s="57">
        <v>2020</v>
      </c>
      <c r="D6" s="58"/>
      <c r="E6" s="58"/>
      <c r="F6" s="39"/>
      <c r="G6" s="40"/>
      <c r="H6" s="39"/>
    </row>
    <row r="7" spans="1:9" ht="16.5" customHeight="1" x14ac:dyDescent="0.25">
      <c r="A7" s="279" t="s">
        <v>4</v>
      </c>
      <c r="B7" s="279"/>
      <c r="C7" s="57">
        <v>3</v>
      </c>
      <c r="D7" s="58"/>
      <c r="E7" s="58"/>
      <c r="F7" s="39"/>
      <c r="G7" s="40"/>
      <c r="H7" s="39"/>
    </row>
    <row r="8" spans="1:9" ht="13.5" thickBot="1" x14ac:dyDescent="0.25">
      <c r="B8" s="39"/>
      <c r="C8" s="40"/>
      <c r="D8" s="39"/>
      <c r="E8" s="39"/>
      <c r="F8" s="39"/>
      <c r="G8" s="40"/>
      <c r="H8" s="39"/>
    </row>
    <row r="9" spans="1:9" ht="39" thickBot="1" x14ac:dyDescent="0.25">
      <c r="A9" s="60" t="s">
        <v>5</v>
      </c>
      <c r="B9" s="74" t="s">
        <v>6</v>
      </c>
      <c r="C9" s="74" t="s">
        <v>7</v>
      </c>
      <c r="D9" s="65" t="s">
        <v>8</v>
      </c>
      <c r="E9" s="74" t="s">
        <v>9</v>
      </c>
      <c r="F9" s="61" t="s">
        <v>10</v>
      </c>
      <c r="G9" s="62" t="s">
        <v>11</v>
      </c>
      <c r="H9" s="62" t="s">
        <v>12</v>
      </c>
      <c r="I9" s="63" t="s">
        <v>13</v>
      </c>
    </row>
    <row r="10" spans="1:9" ht="13.5" thickBot="1" x14ac:dyDescent="0.25">
      <c r="A10" s="75">
        <v>28</v>
      </c>
      <c r="B10" s="76" t="s">
        <v>106</v>
      </c>
      <c r="C10" s="77" t="s">
        <v>107</v>
      </c>
      <c r="D10" s="78" t="s">
        <v>108</v>
      </c>
      <c r="E10" s="77" t="s">
        <v>109</v>
      </c>
      <c r="F10" s="79" t="s">
        <v>14</v>
      </c>
      <c r="G10" s="80">
        <v>240</v>
      </c>
      <c r="H10" s="132">
        <v>450</v>
      </c>
      <c r="I10" s="133">
        <f>+G10*H10</f>
        <v>108000</v>
      </c>
    </row>
    <row r="12" spans="1:9" ht="13.5" thickBot="1" x14ac:dyDescent="0.25"/>
    <row r="13" spans="1:9" x14ac:dyDescent="0.2">
      <c r="B13" s="44" t="s">
        <v>15</v>
      </c>
      <c r="C13" s="45"/>
      <c r="D13" s="45"/>
      <c r="E13" s="46"/>
    </row>
    <row r="14" spans="1:9" ht="5.25" customHeight="1" x14ac:dyDescent="0.2">
      <c r="B14" s="47"/>
      <c r="C14" s="48"/>
      <c r="D14" s="48"/>
      <c r="E14" s="49"/>
    </row>
    <row r="15" spans="1:9" x14ac:dyDescent="0.2">
      <c r="B15" s="50" t="s">
        <v>16</v>
      </c>
      <c r="C15" s="48"/>
      <c r="D15" s="48"/>
      <c r="E15" s="49"/>
    </row>
    <row r="16" spans="1:9" ht="25.5" customHeight="1" x14ac:dyDescent="0.2">
      <c r="B16" s="276" t="s">
        <v>121</v>
      </c>
      <c r="C16" s="277"/>
      <c r="D16" s="277"/>
      <c r="E16" s="278"/>
    </row>
    <row r="17" spans="2:5" ht="13.5" thickBot="1" x14ac:dyDescent="0.25">
      <c r="B17" s="50" t="s">
        <v>17</v>
      </c>
      <c r="C17" s="48"/>
      <c r="D17" s="48"/>
      <c r="E17" s="49"/>
    </row>
    <row r="18" spans="2:5" ht="13.5" thickBot="1" x14ac:dyDescent="0.25">
      <c r="B18" s="273" t="s">
        <v>137</v>
      </c>
      <c r="C18" s="274"/>
      <c r="D18" s="274"/>
      <c r="E18" s="275"/>
    </row>
    <row r="19" spans="2:5" ht="13.5" thickBot="1" x14ac:dyDescent="0.25">
      <c r="B19" s="273" t="s">
        <v>138</v>
      </c>
      <c r="C19" s="275"/>
      <c r="D19" s="91" t="s">
        <v>11</v>
      </c>
      <c r="E19" s="91" t="s">
        <v>139</v>
      </c>
    </row>
    <row r="20" spans="2:5" x14ac:dyDescent="0.2">
      <c r="B20" s="280" t="str">
        <f>'[1]COMEDORES EMERGENTES'!$B$3</f>
        <v>UNA SONRISA AV. LOS COBACHO</v>
      </c>
      <c r="C20" s="281"/>
      <c r="D20" s="130">
        <v>1</v>
      </c>
      <c r="E20" s="131" t="str">
        <f>'[1]COMEDORES EMERGENTES'!$G$3</f>
        <v>Bº SAN CARLOS OESTE AV. Bonifacio cobacho 670</v>
      </c>
    </row>
    <row r="21" spans="2:5" x14ac:dyDescent="0.2">
      <c r="B21" s="271" t="str">
        <f>'[1]COMEDORES EMERGENTES'!$B$4</f>
        <v>C.I.F Nº1 - RIVERA DEL VALLE Y FLORIDA</v>
      </c>
      <c r="C21" s="272"/>
      <c r="D21" s="130">
        <v>1</v>
      </c>
      <c r="E21" s="131" t="str">
        <f>'[1]COMEDORES EMERGENTES'!$G$4</f>
        <v>AV. RIVIERA DEL VALLE ENTRE FLORIDA Y SANTA FE</v>
      </c>
    </row>
    <row r="22" spans="2:5" x14ac:dyDescent="0.2">
      <c r="B22" s="271" t="str">
        <f>'[1]COMEDORES EMERGENTES'!$B$5</f>
        <v>C.I.F - RIVERA DEL VALLE - DILORENZO</v>
      </c>
      <c r="C22" s="272"/>
      <c r="D22" s="130">
        <v>1</v>
      </c>
      <c r="E22" s="131" t="str">
        <f>'[1]COMEDORES EMERGENTES'!$G$5</f>
        <v>Bº RIVERA DEL VALLE ENTRE VILLA EUMELIA Y MONTE CRISTO</v>
      </c>
    </row>
    <row r="23" spans="2:5" x14ac:dyDescent="0.2">
      <c r="B23" s="271" t="str">
        <f>'[1]COMEDORES EMERGENTES'!$B$6</f>
        <v>ESFUERZO PROPIO- Bº ALTOS DE CHOYA</v>
      </c>
      <c r="C23" s="272"/>
      <c r="D23" s="130">
        <v>1</v>
      </c>
      <c r="E23" s="131" t="str">
        <f>'[1]COMEDORES EMERGENTES'!$G$6</f>
        <v>Bº MUNICIPAL 35VV. NORTE C/14</v>
      </c>
    </row>
    <row r="24" spans="2:5" x14ac:dyDescent="0.2">
      <c r="B24" s="271" t="str">
        <f>'[1]COMEDORES EMERGENTES'!$B$7</f>
        <v>ANGELITOS - LOTEO SUSSEX</v>
      </c>
      <c r="C24" s="272"/>
      <c r="D24" s="130">
        <v>1</v>
      </c>
      <c r="E24" s="131" t="str">
        <f>'[1]COMEDORES EMERGENTES'!$G$7</f>
        <v>Bº LOTEO SUSEX MZA.Nº 4 LOTE Nº3</v>
      </c>
    </row>
    <row r="25" spans="2:5" x14ac:dyDescent="0.2">
      <c r="B25" s="271" t="str">
        <f>'[1]COMEDORES EMERGENTES'!$B$8</f>
        <v>CLUB DEPORTIVO CHACARITA</v>
      </c>
      <c r="C25" s="272"/>
      <c r="D25" s="130">
        <v>1</v>
      </c>
      <c r="E25" s="131" t="str">
        <f>'[1]COMEDORES EMERGENTES'!$G$8</f>
        <v>CALLE DR.DERMIDIO GALINDEZ C/2660</v>
      </c>
    </row>
    <row r="26" spans="2:5" x14ac:dyDescent="0.2">
      <c r="B26" s="271" t="str">
        <f>'[1]COMEDORES EMERGENTES'!$B$9</f>
        <v>LA MORO</v>
      </c>
      <c r="C26" s="272"/>
      <c r="D26" s="130">
        <v>1</v>
      </c>
      <c r="E26" s="131" t="str">
        <f>'[1]COMEDORES EMERGENTES'!$G$9</f>
        <v>MAIPU NORTE 1º ETAPA MZA "H" Bº MI JARDIN</v>
      </c>
    </row>
    <row r="27" spans="2:5" x14ac:dyDescent="0.2">
      <c r="B27" s="271" t="str">
        <f>'[1]COMEDORES EMERGENTES'!$B$10</f>
        <v>PAPA FRANCISCO</v>
      </c>
      <c r="C27" s="272"/>
      <c r="D27" s="130">
        <v>1</v>
      </c>
      <c r="E27" s="131" t="str">
        <f>'[1]COMEDORES EMERGENTES'!$G$10</f>
        <v>ENTRE AV.TEREBINTO Y AV.SAN JUAN LOTE "2" MZA. "B"</v>
      </c>
    </row>
    <row r="28" spans="2:5" x14ac:dyDescent="0.2">
      <c r="B28" s="271" t="str">
        <f>'[1]COMEDORES EMERGENTES'!$B$11</f>
        <v>E.P.C - 100 V.V NORTE</v>
      </c>
      <c r="C28" s="272"/>
      <c r="D28" s="130">
        <v>1</v>
      </c>
      <c r="E28" s="131" t="str">
        <f>'[1]COMEDORES EMERGENTES'!$G$11</f>
        <v>Bº VV NORTE C/48 ENTRE ESPAÑA Y FRANCIA</v>
      </c>
    </row>
    <row r="29" spans="2:5" x14ac:dyDescent="0.2">
      <c r="B29" s="271" t="str">
        <f>'[1]COMEDORES EMERGENTES'!$B$12</f>
        <v>HOGAR DE CRISTO - PADRE RAUL CONTRERAS</v>
      </c>
      <c r="C29" s="272"/>
      <c r="D29" s="130">
        <v>1</v>
      </c>
      <c r="E29" s="131" t="str">
        <f>'[1]COMEDORES EMERGENTES'!$G$12</f>
        <v>Bº SANTA MARTA MZA. "S" LOTE "M" C/39</v>
      </c>
    </row>
    <row r="30" spans="2:5" x14ac:dyDescent="0.2">
      <c r="B30" s="271" t="str">
        <f>'[1]COMEDORES EMERGENTES'!$B$13</f>
        <v>LA LUCIERNAGA</v>
      </c>
      <c r="C30" s="272"/>
      <c r="D30" s="130">
        <v>1</v>
      </c>
      <c r="E30" s="131" t="str">
        <f>'[1]COMEDORES EMERGENTES'!$G$13</f>
        <v>Bº 20 V.V NORTE C/3</v>
      </c>
    </row>
    <row r="31" spans="2:5" x14ac:dyDescent="0.2">
      <c r="B31" s="271" t="str">
        <f>'[1]COMEDORES EMERGENTES'!$B$14</f>
        <v>VALLE VIEJO - SUMALAO</v>
      </c>
      <c r="C31" s="272"/>
      <c r="D31" s="130">
        <v>1</v>
      </c>
      <c r="E31" s="131" t="str">
        <f>'[1]COMEDORES EMERGENTES'!$G$14</f>
        <v>PADRE SEGURA S/N</v>
      </c>
    </row>
    <row r="32" spans="2:5" x14ac:dyDescent="0.2">
      <c r="B32" s="271" t="str">
        <f>'[1]COMEDORES EMERGENTES'!$B$15</f>
        <v>NUESTRO FUTURO - LAS VIAS</v>
      </c>
      <c r="C32" s="272"/>
      <c r="D32" s="130">
        <v>1</v>
      </c>
      <c r="E32" s="131" t="str">
        <f>'[1]COMEDORES EMERGENTES'!$G$15</f>
        <v>Bº LAS VIAS OESTE LOTE 42</v>
      </c>
    </row>
    <row r="33" spans="2:5" x14ac:dyDescent="0.2">
      <c r="B33" s="271" t="str">
        <f>'[1]COMEDORES EMERGENTES'!$B$16</f>
        <v>SAN JOSE OBRERO</v>
      </c>
      <c r="C33" s="272"/>
      <c r="D33" s="130">
        <v>1</v>
      </c>
      <c r="E33" s="131" t="str">
        <f>'[1]COMEDORES EMERGENTES'!$G$16</f>
        <v>Bº SAN JOSE OBRERO. PJE. SANDOVAL S/Nº</v>
      </c>
    </row>
    <row r="34" spans="2:5" x14ac:dyDescent="0.2">
      <c r="B34" s="271" t="str">
        <f>'[1]COMEDORES EMERGENTES'!$B$17</f>
        <v>VIRGEN DE LUJAN</v>
      </c>
      <c r="C34" s="272"/>
      <c r="D34" s="130">
        <v>1</v>
      </c>
      <c r="E34" s="131" t="str">
        <f>'[1]COMEDORES EMERGENTES'!$G$17</f>
        <v>Bº OJO DE AGUA C/DR.TEODULFO BARRIONUEVO S/Nº</v>
      </c>
    </row>
    <row r="35" spans="2:5" x14ac:dyDescent="0.2">
      <c r="B35" s="271" t="str">
        <f>'[1]COMEDORES EMERGENTES'!$B$18</f>
        <v>RENACER</v>
      </c>
      <c r="C35" s="272"/>
      <c r="D35" s="130">
        <v>1</v>
      </c>
      <c r="E35" s="131" t="str">
        <f>'[1]COMEDORES EMERGENTES'!$G$18</f>
        <v>Bº VIRGEN MORENITA</v>
      </c>
    </row>
    <row r="36" spans="2:5" x14ac:dyDescent="0.2">
      <c r="B36" s="271" t="str">
        <f>'[1]COMEDORES EMERGENTES'!$B$19</f>
        <v>CENTRO VECINAL MI JARDIN</v>
      </c>
      <c r="C36" s="272"/>
      <c r="D36" s="130">
        <v>1</v>
      </c>
      <c r="E36" s="131" t="str">
        <f>'[1]COMEDORES EMERGENTES'!$G$19</f>
        <v>C/ LOS TULIPANES ENTRE FLOR DE CEREZO Y HOLANDA MZA.27 Bº MI JARDIN</v>
      </c>
    </row>
    <row r="37" spans="2:5" x14ac:dyDescent="0.2">
      <c r="B37" s="271" t="str">
        <f>'[1]COMEDORES EMERGENTES'!$B$20</f>
        <v>LA VIEJA ESQUINA</v>
      </c>
      <c r="C37" s="272"/>
      <c r="D37" s="130">
        <v>1</v>
      </c>
      <c r="E37" s="131" t="str">
        <f>'[1]COMEDORES EMERGENTES'!$G$20</f>
        <v>B° CRISTO REY PJE CAPATAZ VILLAFAÑEZ Y ARMANDO CORREA</v>
      </c>
    </row>
    <row r="38" spans="2:5" x14ac:dyDescent="0.2">
      <c r="B38" s="271" t="str">
        <f>'[1]COMEDORES EMERGENTES'!$B$21</f>
        <v>GAUCHITO GIL</v>
      </c>
      <c r="C38" s="272"/>
      <c r="D38" s="130">
        <v>1</v>
      </c>
      <c r="E38" s="131" t="str">
        <f>'[1]COMEDORES EMERGENTES'!$G$21</f>
        <v>B° 26 VIVIENDAS CASA N° 3</v>
      </c>
    </row>
    <row r="39" spans="2:5" x14ac:dyDescent="0.2">
      <c r="B39" s="271" t="str">
        <f>'[1]COMEDORES EMERGENTES'!$B$22</f>
        <v>LOS TOLDOS</v>
      </c>
      <c r="C39" s="272"/>
      <c r="D39" s="130">
        <v>1</v>
      </c>
      <c r="E39" s="131" t="str">
        <f>'[1]COMEDORES EMERGENTES'!$G$22</f>
        <v>LOTEO PARQUE SUR CALLE S/NOMBRE S/N°</v>
      </c>
    </row>
    <row r="40" spans="2:5" x14ac:dyDescent="0.2">
      <c r="B40" s="50" t="s">
        <v>20</v>
      </c>
      <c r="C40" s="48"/>
      <c r="D40" s="48"/>
      <c r="E40" s="49"/>
    </row>
    <row r="41" spans="2:5" x14ac:dyDescent="0.2">
      <c r="B41" s="284" t="s">
        <v>64</v>
      </c>
      <c r="C41" s="285"/>
      <c r="D41" s="285"/>
      <c r="E41" s="286"/>
    </row>
    <row r="42" spans="2:5" ht="13.5" thickBot="1" x14ac:dyDescent="0.25">
      <c r="B42" s="54"/>
      <c r="C42" s="55"/>
      <c r="D42" s="55"/>
      <c r="E42" s="56"/>
    </row>
  </sheetData>
  <mergeCells count="31">
    <mergeCell ref="B41:E41"/>
    <mergeCell ref="B33:C33"/>
    <mergeCell ref="B34:C34"/>
    <mergeCell ref="B35:C35"/>
    <mergeCell ref="B36:C36"/>
    <mergeCell ref="B37:C37"/>
    <mergeCell ref="B39:C39"/>
    <mergeCell ref="B2:H2"/>
    <mergeCell ref="A4:B4"/>
    <mergeCell ref="C4:E4"/>
    <mergeCell ref="A5:B5"/>
    <mergeCell ref="C5:E5"/>
    <mergeCell ref="A6:B6"/>
    <mergeCell ref="A7:B7"/>
    <mergeCell ref="B19:C19"/>
    <mergeCell ref="B20:C20"/>
    <mergeCell ref="B21:C21"/>
    <mergeCell ref="B22:C22"/>
    <mergeCell ref="B38:C38"/>
    <mergeCell ref="B18:E18"/>
    <mergeCell ref="B16:E16"/>
    <mergeCell ref="B28:C28"/>
    <mergeCell ref="B29:C29"/>
    <mergeCell ref="B30:C30"/>
    <mergeCell ref="B31:C31"/>
    <mergeCell ref="B32:C32"/>
    <mergeCell ref="B23:C23"/>
    <mergeCell ref="B24:C24"/>
    <mergeCell ref="B25:C25"/>
    <mergeCell ref="B26:C26"/>
    <mergeCell ref="B27:C27"/>
  </mergeCells>
  <pageMargins left="0.43307086614173229" right="0.51181102362204722" top="0.31496062992125984" bottom="0.74803149606299213" header="0.31496062992125984" footer="0.31496062992125984"/>
  <pageSetup paperSize="5" scale="8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I118"/>
  <sheetViews>
    <sheetView workbookViewId="0">
      <selection sqref="A1:XFD1048576"/>
    </sheetView>
  </sheetViews>
  <sheetFormatPr baseColWidth="10" defaultColWidth="11" defaultRowHeight="12.75" x14ac:dyDescent="0.2"/>
  <cols>
    <col min="1" max="1" width="3.5703125" style="38" customWidth="1"/>
    <col min="2" max="2" width="19.28515625" style="38" customWidth="1"/>
    <col min="3" max="3" width="29.28515625" style="38" customWidth="1"/>
    <col min="4" max="4" width="8.85546875" style="38" customWidth="1"/>
    <col min="5" max="5" width="110.140625" style="38" customWidth="1"/>
    <col min="6" max="6" width="11" style="38"/>
    <col min="7" max="7" width="12.7109375" style="38" customWidth="1"/>
    <col min="8" max="8" width="13.85546875" style="38" customWidth="1"/>
    <col min="9" max="9" width="18.5703125" style="38" customWidth="1"/>
    <col min="10" max="16384" width="11" style="38"/>
  </cols>
  <sheetData>
    <row r="2" spans="1:9" ht="27" x14ac:dyDescent="0.35">
      <c r="B2" s="282" t="s">
        <v>0</v>
      </c>
      <c r="C2" s="282"/>
      <c r="D2" s="282"/>
      <c r="E2" s="282"/>
      <c r="F2" s="282"/>
      <c r="G2" s="282"/>
      <c r="H2" s="282"/>
    </row>
    <row r="4" spans="1:9" ht="18" customHeight="1" x14ac:dyDescent="0.25">
      <c r="A4" s="279" t="s">
        <v>1</v>
      </c>
      <c r="B4" s="279"/>
      <c r="C4" s="283" t="s">
        <v>66</v>
      </c>
      <c r="D4" s="283"/>
      <c r="E4" s="283"/>
      <c r="F4" s="39"/>
      <c r="G4" s="40"/>
      <c r="H4" s="39"/>
    </row>
    <row r="5" spans="1:9" ht="18" customHeight="1" x14ac:dyDescent="0.25">
      <c r="A5" s="279" t="s">
        <v>2</v>
      </c>
      <c r="B5" s="279"/>
      <c r="C5" s="283" t="s">
        <v>62</v>
      </c>
      <c r="D5" s="283"/>
      <c r="E5" s="283"/>
      <c r="F5" s="39"/>
      <c r="G5" s="40"/>
      <c r="H5" s="39"/>
    </row>
    <row r="6" spans="1:9" ht="16.5" customHeight="1" x14ac:dyDescent="0.25">
      <c r="A6" s="279" t="s">
        <v>3</v>
      </c>
      <c r="B6" s="279"/>
      <c r="C6" s="57">
        <v>2020</v>
      </c>
      <c r="D6" s="58"/>
      <c r="E6" s="58"/>
      <c r="F6" s="39"/>
      <c r="G6" s="40"/>
      <c r="H6" s="39"/>
    </row>
    <row r="7" spans="1:9" ht="16.5" customHeight="1" x14ac:dyDescent="0.25">
      <c r="A7" s="279" t="s">
        <v>4</v>
      </c>
      <c r="B7" s="279"/>
      <c r="C7" s="57">
        <v>3</v>
      </c>
      <c r="D7" s="58"/>
      <c r="E7" s="58"/>
      <c r="F7" s="39"/>
      <c r="G7" s="40"/>
      <c r="H7" s="39"/>
    </row>
    <row r="8" spans="1:9" ht="13.5" thickBot="1" x14ac:dyDescent="0.25">
      <c r="B8" s="39"/>
      <c r="C8" s="40"/>
      <c r="D8" s="39"/>
      <c r="E8" s="39"/>
      <c r="F8" s="39"/>
      <c r="G8" s="40"/>
      <c r="H8" s="39"/>
    </row>
    <row r="9" spans="1:9" ht="39" thickBot="1" x14ac:dyDescent="0.25">
      <c r="A9" s="60" t="s">
        <v>5</v>
      </c>
      <c r="B9" s="74" t="s">
        <v>6</v>
      </c>
      <c r="C9" s="60" t="s">
        <v>7</v>
      </c>
      <c r="D9" s="60" t="s">
        <v>8</v>
      </c>
      <c r="E9" s="74" t="s">
        <v>9</v>
      </c>
      <c r="F9" s="61" t="s">
        <v>10</v>
      </c>
      <c r="G9" s="62" t="s">
        <v>11</v>
      </c>
      <c r="H9" s="62" t="s">
        <v>12</v>
      </c>
      <c r="I9" s="63" t="s">
        <v>13</v>
      </c>
    </row>
    <row r="10" spans="1:9" x14ac:dyDescent="0.2">
      <c r="A10" s="41">
        <v>1</v>
      </c>
      <c r="B10" s="71" t="s">
        <v>122</v>
      </c>
      <c r="C10" s="85" t="s">
        <v>110</v>
      </c>
      <c r="D10" s="88" t="s">
        <v>111</v>
      </c>
      <c r="E10" s="71" t="s">
        <v>125</v>
      </c>
      <c r="F10" s="81" t="s">
        <v>118</v>
      </c>
      <c r="G10" s="82">
        <v>240</v>
      </c>
      <c r="H10" s="134">
        <v>175</v>
      </c>
      <c r="I10" s="103">
        <f>+H10*G10</f>
        <v>42000</v>
      </c>
    </row>
    <row r="11" spans="1:9" x14ac:dyDescent="0.2">
      <c r="A11" s="42">
        <v>2</v>
      </c>
      <c r="B11" s="59" t="s">
        <v>123</v>
      </c>
      <c r="C11" s="86" t="s">
        <v>110</v>
      </c>
      <c r="D11" s="89" t="s">
        <v>111</v>
      </c>
      <c r="E11" s="59" t="s">
        <v>126</v>
      </c>
      <c r="F11" s="72" t="s">
        <v>118</v>
      </c>
      <c r="G11" s="73">
        <v>240</v>
      </c>
      <c r="H11" s="109">
        <v>225</v>
      </c>
      <c r="I11" s="110">
        <f>+H11*G11</f>
        <v>54000</v>
      </c>
    </row>
    <row r="12" spans="1:9" ht="13.5" thickBot="1" x14ac:dyDescent="0.25">
      <c r="A12" s="43">
        <v>3</v>
      </c>
      <c r="B12" s="64" t="s">
        <v>124</v>
      </c>
      <c r="C12" s="87" t="s">
        <v>110</v>
      </c>
      <c r="D12" s="90" t="s">
        <v>111</v>
      </c>
      <c r="E12" s="64" t="s">
        <v>127</v>
      </c>
      <c r="F12" s="83" t="s">
        <v>118</v>
      </c>
      <c r="G12" s="84">
        <v>240</v>
      </c>
      <c r="H12" s="128">
        <v>320</v>
      </c>
      <c r="I12" s="129">
        <f>+H12*G12</f>
        <v>76800</v>
      </c>
    </row>
    <row r="15" spans="1:9" x14ac:dyDescent="0.2">
      <c r="B15" s="44" t="s">
        <v>15</v>
      </c>
      <c r="C15" s="45"/>
      <c r="D15" s="45"/>
      <c r="E15" s="46"/>
    </row>
    <row r="16" spans="1:9" ht="5.25" customHeight="1" x14ac:dyDescent="0.2">
      <c r="B16" s="47"/>
      <c r="C16" s="48"/>
      <c r="D16" s="48"/>
      <c r="E16" s="49"/>
    </row>
    <row r="17" spans="2:5" x14ac:dyDescent="0.2">
      <c r="B17" s="50" t="s">
        <v>16</v>
      </c>
      <c r="C17" s="48"/>
      <c r="D17" s="48"/>
      <c r="E17" s="49"/>
    </row>
    <row r="18" spans="2:5" ht="25.5" customHeight="1" x14ac:dyDescent="0.2">
      <c r="B18" s="50"/>
      <c r="C18" s="277" t="s">
        <v>128</v>
      </c>
      <c r="D18" s="277"/>
      <c r="E18" s="278"/>
    </row>
    <row r="19" spans="2:5" ht="13.5" thickBot="1" x14ac:dyDescent="0.25">
      <c r="B19" s="50" t="s">
        <v>17</v>
      </c>
      <c r="C19" s="48"/>
      <c r="D19" s="48"/>
      <c r="E19" s="49"/>
    </row>
    <row r="20" spans="2:5" ht="13.5" thickBot="1" x14ac:dyDescent="0.25">
      <c r="B20" s="273" t="s">
        <v>137</v>
      </c>
      <c r="C20" s="274"/>
      <c r="D20" s="274"/>
      <c r="E20" s="275"/>
    </row>
    <row r="21" spans="2:5" ht="13.5" thickBot="1" x14ac:dyDescent="0.25">
      <c r="B21" s="273" t="s">
        <v>138</v>
      </c>
      <c r="C21" s="275"/>
      <c r="D21" s="91" t="s">
        <v>11</v>
      </c>
      <c r="E21" s="91" t="s">
        <v>139</v>
      </c>
    </row>
    <row r="22" spans="2:5" x14ac:dyDescent="0.2">
      <c r="B22" s="280" t="str">
        <f>'[1]COMEDORES EMERGENTES'!$B$3</f>
        <v>UNA SONRISA AV. LOS COBACHO</v>
      </c>
      <c r="C22" s="281"/>
      <c r="D22" s="130">
        <v>1</v>
      </c>
      <c r="E22" s="131" t="str">
        <f>'[1]COMEDORES EMERGENTES'!$G$3</f>
        <v>Bº SAN CARLOS OESTE AV. Bonifacio cobacho 670</v>
      </c>
    </row>
    <row r="23" spans="2:5" x14ac:dyDescent="0.2">
      <c r="B23" s="271" t="str">
        <f>'[1]COMEDORES EMERGENTES'!$B$4</f>
        <v>C.I.F Nº1 - RIVERA DEL VALLE Y FLORIDA</v>
      </c>
      <c r="C23" s="272"/>
      <c r="D23" s="130">
        <v>1</v>
      </c>
      <c r="E23" s="131" t="str">
        <f>'[1]COMEDORES EMERGENTES'!$G$4</f>
        <v>AV. RIVIERA DEL VALLE ENTRE FLORIDA Y SANTA FE</v>
      </c>
    </row>
    <row r="24" spans="2:5" x14ac:dyDescent="0.2">
      <c r="B24" s="271" t="str">
        <f>'[1]COMEDORES EMERGENTES'!$B$5</f>
        <v>C.I.F - RIVERA DEL VALLE - DILORENZO</v>
      </c>
      <c r="C24" s="272"/>
      <c r="D24" s="130">
        <v>1</v>
      </c>
      <c r="E24" s="131" t="str">
        <f>'[1]COMEDORES EMERGENTES'!$G$5</f>
        <v>Bº RIVERA DEL VALLE ENTRE VILLA EUMELIA Y MONTE CRISTO</v>
      </c>
    </row>
    <row r="25" spans="2:5" x14ac:dyDescent="0.2">
      <c r="B25" s="271" t="str">
        <f>'[1]COMEDORES EMERGENTES'!$B$6</f>
        <v>ESFUERZO PROPIO- Bº ALTOS DE CHOYA</v>
      </c>
      <c r="C25" s="272"/>
      <c r="D25" s="130">
        <v>1</v>
      </c>
      <c r="E25" s="131" t="str">
        <f>'[1]COMEDORES EMERGENTES'!$G$6</f>
        <v>Bº MUNICIPAL 35VV. NORTE C/14</v>
      </c>
    </row>
    <row r="26" spans="2:5" x14ac:dyDescent="0.2">
      <c r="B26" s="271" t="str">
        <f>'[1]COMEDORES EMERGENTES'!$B$7</f>
        <v>ANGELITOS - LOTEO SUSSEX</v>
      </c>
      <c r="C26" s="272"/>
      <c r="D26" s="130">
        <v>1</v>
      </c>
      <c r="E26" s="131" t="str">
        <f>'[1]COMEDORES EMERGENTES'!$G$7</f>
        <v>Bº LOTEO SUSEX MZA.Nº 4 LOTE Nº3</v>
      </c>
    </row>
    <row r="27" spans="2:5" x14ac:dyDescent="0.2">
      <c r="B27" s="271" t="str">
        <f>'[1]COMEDORES EMERGENTES'!$B$8</f>
        <v>CLUB DEPORTIVO CHACARITA</v>
      </c>
      <c r="C27" s="272"/>
      <c r="D27" s="130">
        <v>1</v>
      </c>
      <c r="E27" s="131" t="str">
        <f>'[1]COMEDORES EMERGENTES'!$G$8</f>
        <v>CALLE DR.DERMIDIO GALINDEZ C/2660</v>
      </c>
    </row>
    <row r="28" spans="2:5" x14ac:dyDescent="0.2">
      <c r="B28" s="271" t="str">
        <f>'[1]COMEDORES EMERGENTES'!$B$9</f>
        <v>LA MORO</v>
      </c>
      <c r="C28" s="272"/>
      <c r="D28" s="130">
        <v>1</v>
      </c>
      <c r="E28" s="131" t="str">
        <f>'[1]COMEDORES EMERGENTES'!$G$9</f>
        <v>MAIPU NORTE 1º ETAPA MZA "H" Bº MI JARDIN</v>
      </c>
    </row>
    <row r="29" spans="2:5" x14ac:dyDescent="0.2">
      <c r="B29" s="271" t="str">
        <f>'[1]COMEDORES EMERGENTES'!$B$10</f>
        <v>PAPA FRANCISCO</v>
      </c>
      <c r="C29" s="272"/>
      <c r="D29" s="130">
        <v>1</v>
      </c>
      <c r="E29" s="131" t="str">
        <f>'[1]COMEDORES EMERGENTES'!$G$10</f>
        <v>ENTRE AV.TEREBINTO Y AV.SAN JUAN LOTE "2" MZA. "B"</v>
      </c>
    </row>
    <row r="30" spans="2:5" x14ac:dyDescent="0.2">
      <c r="B30" s="271" t="str">
        <f>'[1]COMEDORES EMERGENTES'!$B$11</f>
        <v>E.P.C - 100 V.V NORTE</v>
      </c>
      <c r="C30" s="272"/>
      <c r="D30" s="130">
        <v>1</v>
      </c>
      <c r="E30" s="131" t="str">
        <f>'[1]COMEDORES EMERGENTES'!$G$11</f>
        <v>Bº VV NORTE C/48 ENTRE ESPAÑA Y FRANCIA</v>
      </c>
    </row>
    <row r="31" spans="2:5" x14ac:dyDescent="0.2">
      <c r="B31" s="271" t="str">
        <f>'[1]COMEDORES EMERGENTES'!$B$12</f>
        <v>HOGAR DE CRISTO - PADRE RAUL CONTRERAS</v>
      </c>
      <c r="C31" s="272"/>
      <c r="D31" s="130">
        <v>1</v>
      </c>
      <c r="E31" s="131" t="str">
        <f>'[1]COMEDORES EMERGENTES'!$G$12</f>
        <v>Bº SANTA MARTA MZA. "S" LOTE "M" C/39</v>
      </c>
    </row>
    <row r="32" spans="2:5" x14ac:dyDescent="0.2">
      <c r="B32" s="271" t="str">
        <f>'[1]COMEDORES EMERGENTES'!$B$13</f>
        <v>LA LUCIERNAGA</v>
      </c>
      <c r="C32" s="272"/>
      <c r="D32" s="130">
        <v>1</v>
      </c>
      <c r="E32" s="131" t="str">
        <f>'[1]COMEDORES EMERGENTES'!$G$13</f>
        <v>Bº 20 V.V NORTE C/3</v>
      </c>
    </row>
    <row r="33" spans="2:5" x14ac:dyDescent="0.2">
      <c r="B33" s="271" t="str">
        <f>'[1]COMEDORES EMERGENTES'!$B$14</f>
        <v>VALLE VIEJO - SUMALAO</v>
      </c>
      <c r="C33" s="272"/>
      <c r="D33" s="130">
        <v>1</v>
      </c>
      <c r="E33" s="131" t="str">
        <f>'[1]COMEDORES EMERGENTES'!$G$14</f>
        <v>PADRE SEGURA S/N</v>
      </c>
    </row>
    <row r="34" spans="2:5" x14ac:dyDescent="0.2">
      <c r="B34" s="271" t="str">
        <f>'[1]COMEDORES EMERGENTES'!$B$15</f>
        <v>NUESTRO FUTURO - LAS VIAS</v>
      </c>
      <c r="C34" s="272"/>
      <c r="D34" s="130">
        <v>1</v>
      </c>
      <c r="E34" s="131" t="str">
        <f>'[1]COMEDORES EMERGENTES'!$G$15</f>
        <v>Bº LAS VIAS OESTE LOTE 42</v>
      </c>
    </row>
    <row r="35" spans="2:5" x14ac:dyDescent="0.2">
      <c r="B35" s="271" t="str">
        <f>'[1]COMEDORES EMERGENTES'!$B$16</f>
        <v>SAN JOSE OBRERO</v>
      </c>
      <c r="C35" s="272"/>
      <c r="D35" s="130">
        <v>1</v>
      </c>
      <c r="E35" s="131" t="str">
        <f>'[1]COMEDORES EMERGENTES'!$G$16</f>
        <v>Bº SAN JOSE OBRERO. PJE. SANDOVAL S/Nº</v>
      </c>
    </row>
    <row r="36" spans="2:5" x14ac:dyDescent="0.2">
      <c r="B36" s="271" t="str">
        <f>'[1]COMEDORES EMERGENTES'!$B$17</f>
        <v>VIRGEN DE LUJAN</v>
      </c>
      <c r="C36" s="272"/>
      <c r="D36" s="130">
        <v>1</v>
      </c>
      <c r="E36" s="131" t="str">
        <f>'[1]COMEDORES EMERGENTES'!$G$17</f>
        <v>Bº OJO DE AGUA C/DR.TEODULFO BARRIONUEVO S/Nº</v>
      </c>
    </row>
    <row r="37" spans="2:5" x14ac:dyDescent="0.2">
      <c r="B37" s="271" t="str">
        <f>'[1]COMEDORES EMERGENTES'!$B$18</f>
        <v>RENACER</v>
      </c>
      <c r="C37" s="272"/>
      <c r="D37" s="130">
        <v>1</v>
      </c>
      <c r="E37" s="131" t="str">
        <f>'[1]COMEDORES EMERGENTES'!$G$18</f>
        <v>Bº VIRGEN MORENITA</v>
      </c>
    </row>
    <row r="38" spans="2:5" x14ac:dyDescent="0.2">
      <c r="B38" s="271" t="str">
        <f>'[1]COMEDORES EMERGENTES'!$B$19</f>
        <v>CENTRO VECINAL MI JARDIN</v>
      </c>
      <c r="C38" s="272"/>
      <c r="D38" s="130">
        <v>1</v>
      </c>
      <c r="E38" s="131" t="str">
        <f>'[1]COMEDORES EMERGENTES'!$G$19</f>
        <v>C/ LOS TULIPANES ENTRE FLOR DE CEREZO Y HOLANDA MZA.27 Bº MI JARDIN</v>
      </c>
    </row>
    <row r="39" spans="2:5" x14ac:dyDescent="0.2">
      <c r="B39" s="271" t="str">
        <f>'[1]COMEDORES EMERGENTES'!$B$20</f>
        <v>LA VIEJA ESQUINA</v>
      </c>
      <c r="C39" s="272"/>
      <c r="D39" s="130">
        <v>1</v>
      </c>
      <c r="E39" s="131" t="str">
        <f>'[1]COMEDORES EMERGENTES'!$G$20</f>
        <v>B° CRISTO REY PJE CAPATAZ VILLAFAÑEZ Y ARMANDO CORREA</v>
      </c>
    </row>
    <row r="40" spans="2:5" x14ac:dyDescent="0.2">
      <c r="B40" s="271" t="str">
        <f>'[1]COMEDORES EMERGENTES'!$B$21</f>
        <v>GAUCHITO GIL</v>
      </c>
      <c r="C40" s="272"/>
      <c r="D40" s="130">
        <v>1</v>
      </c>
      <c r="E40" s="131" t="str">
        <f>'[1]COMEDORES EMERGENTES'!$G$21</f>
        <v>B° 26 VIVIENDAS CASA N° 3</v>
      </c>
    </row>
    <row r="41" spans="2:5" x14ac:dyDescent="0.2">
      <c r="B41" s="271" t="str">
        <f>'[1]COMEDORES EMERGENTES'!$B$22</f>
        <v>LOS TOLDOS</v>
      </c>
      <c r="C41" s="272"/>
      <c r="D41" s="130">
        <v>1</v>
      </c>
      <c r="E41" s="131" t="str">
        <f>'[1]COMEDORES EMERGENTES'!$G$22</f>
        <v>LOTEO PARQUE SUR CALLE S/NOMBRE S/N°</v>
      </c>
    </row>
    <row r="42" spans="2:5" x14ac:dyDescent="0.2">
      <c r="B42" s="50" t="s">
        <v>18</v>
      </c>
      <c r="C42" s="48"/>
      <c r="D42" s="48"/>
      <c r="E42" s="49"/>
    </row>
    <row r="43" spans="2:5" x14ac:dyDescent="0.2">
      <c r="B43" s="51"/>
      <c r="C43" s="287" t="s">
        <v>63</v>
      </c>
      <c r="D43" s="287"/>
      <c r="E43" s="287"/>
    </row>
    <row r="44" spans="2:5" x14ac:dyDescent="0.2">
      <c r="B44" s="50" t="s">
        <v>19</v>
      </c>
      <c r="C44" s="52"/>
      <c r="D44" s="52"/>
      <c r="E44" s="53"/>
    </row>
    <row r="45" spans="2:5" x14ac:dyDescent="0.2">
      <c r="B45" s="51"/>
      <c r="C45" s="287" t="s">
        <v>140</v>
      </c>
      <c r="D45" s="287"/>
      <c r="E45" s="287"/>
    </row>
    <row r="46" spans="2:5" x14ac:dyDescent="0.2">
      <c r="B46" s="50" t="s">
        <v>20</v>
      </c>
      <c r="C46" s="48"/>
      <c r="D46" s="48"/>
      <c r="E46" s="49"/>
    </row>
    <row r="47" spans="2:5" x14ac:dyDescent="0.2">
      <c r="B47" s="50"/>
      <c r="C47" s="286" t="s">
        <v>64</v>
      </c>
      <c r="D47" s="286"/>
      <c r="E47" s="286"/>
    </row>
    <row r="48" spans="2:5" ht="13.5" thickBot="1" x14ac:dyDescent="0.25">
      <c r="B48" s="54"/>
      <c r="C48" s="55"/>
      <c r="D48" s="55"/>
      <c r="E48" s="56"/>
    </row>
    <row r="50" spans="2:5" x14ac:dyDescent="0.2">
      <c r="B50" s="44" t="s">
        <v>21</v>
      </c>
      <c r="C50" s="45"/>
      <c r="D50" s="45"/>
      <c r="E50" s="46"/>
    </row>
    <row r="51" spans="2:5" x14ac:dyDescent="0.2">
      <c r="B51" s="47"/>
      <c r="C51" s="48"/>
      <c r="D51" s="48"/>
      <c r="E51" s="49"/>
    </row>
    <row r="52" spans="2:5" x14ac:dyDescent="0.2">
      <c r="B52" s="50" t="s">
        <v>16</v>
      </c>
      <c r="C52" s="48"/>
      <c r="D52" s="48"/>
      <c r="E52" s="49"/>
    </row>
    <row r="53" spans="2:5" ht="25.5" customHeight="1" x14ac:dyDescent="0.2">
      <c r="B53" s="50"/>
      <c r="C53" s="277" t="s">
        <v>128</v>
      </c>
      <c r="D53" s="277"/>
      <c r="E53" s="278"/>
    </row>
    <row r="54" spans="2:5" ht="13.5" thickBot="1" x14ac:dyDescent="0.25">
      <c r="B54" s="50" t="s">
        <v>17</v>
      </c>
      <c r="C54" s="48"/>
      <c r="D54" s="48"/>
      <c r="E54" s="49"/>
    </row>
    <row r="55" spans="2:5" ht="13.5" thickBot="1" x14ac:dyDescent="0.25">
      <c r="B55" s="273" t="s">
        <v>137</v>
      </c>
      <c r="C55" s="274"/>
      <c r="D55" s="274"/>
      <c r="E55" s="275"/>
    </row>
    <row r="56" spans="2:5" ht="13.5" thickBot="1" x14ac:dyDescent="0.25">
      <c r="B56" s="273" t="s">
        <v>138</v>
      </c>
      <c r="C56" s="275"/>
      <c r="D56" s="91" t="s">
        <v>11</v>
      </c>
      <c r="E56" s="91" t="s">
        <v>139</v>
      </c>
    </row>
    <row r="57" spans="2:5" x14ac:dyDescent="0.2">
      <c r="B57" s="280" t="str">
        <f>'[1]COMEDORES EMERGENTES'!$B$3</f>
        <v>UNA SONRISA AV. LOS COBACHO</v>
      </c>
      <c r="C57" s="281"/>
      <c r="D57" s="130">
        <v>1</v>
      </c>
      <c r="E57" s="131" t="str">
        <f>'[1]COMEDORES EMERGENTES'!$G$3</f>
        <v>Bº SAN CARLOS OESTE AV. Bonifacio cobacho 670</v>
      </c>
    </row>
    <row r="58" spans="2:5" x14ac:dyDescent="0.2">
      <c r="B58" s="271" t="str">
        <f>'[1]COMEDORES EMERGENTES'!$B$4</f>
        <v>C.I.F Nº1 - RIVERA DEL VALLE Y FLORIDA</v>
      </c>
      <c r="C58" s="272"/>
      <c r="D58" s="130">
        <v>1</v>
      </c>
      <c r="E58" s="131" t="str">
        <f>'[1]COMEDORES EMERGENTES'!$G$4</f>
        <v>AV. RIVIERA DEL VALLE ENTRE FLORIDA Y SANTA FE</v>
      </c>
    </row>
    <row r="59" spans="2:5" x14ac:dyDescent="0.2">
      <c r="B59" s="271" t="str">
        <f>'[1]COMEDORES EMERGENTES'!$B$5</f>
        <v>C.I.F - RIVERA DEL VALLE - DILORENZO</v>
      </c>
      <c r="C59" s="272"/>
      <c r="D59" s="130">
        <v>1</v>
      </c>
      <c r="E59" s="131" t="str">
        <f>'[1]COMEDORES EMERGENTES'!$G$5</f>
        <v>Bº RIVERA DEL VALLE ENTRE VILLA EUMELIA Y MONTE CRISTO</v>
      </c>
    </row>
    <row r="60" spans="2:5" x14ac:dyDescent="0.2">
      <c r="B60" s="271" t="str">
        <f>'[1]COMEDORES EMERGENTES'!$B$6</f>
        <v>ESFUERZO PROPIO- Bº ALTOS DE CHOYA</v>
      </c>
      <c r="C60" s="272"/>
      <c r="D60" s="130">
        <v>1</v>
      </c>
      <c r="E60" s="131" t="str">
        <f>'[1]COMEDORES EMERGENTES'!$G$6</f>
        <v>Bº MUNICIPAL 35VV. NORTE C/14</v>
      </c>
    </row>
    <row r="61" spans="2:5" x14ac:dyDescent="0.2">
      <c r="B61" s="271" t="str">
        <f>'[1]COMEDORES EMERGENTES'!$B$7</f>
        <v>ANGELITOS - LOTEO SUSSEX</v>
      </c>
      <c r="C61" s="272"/>
      <c r="D61" s="130">
        <v>1</v>
      </c>
      <c r="E61" s="131" t="str">
        <f>'[1]COMEDORES EMERGENTES'!$G$7</f>
        <v>Bº LOTEO SUSEX MZA.Nº 4 LOTE Nº3</v>
      </c>
    </row>
    <row r="62" spans="2:5" x14ac:dyDescent="0.2">
      <c r="B62" s="271" t="str">
        <f>'[1]COMEDORES EMERGENTES'!$B$8</f>
        <v>CLUB DEPORTIVO CHACARITA</v>
      </c>
      <c r="C62" s="272"/>
      <c r="D62" s="130">
        <v>1</v>
      </c>
      <c r="E62" s="131" t="str">
        <f>'[1]COMEDORES EMERGENTES'!$G$8</f>
        <v>CALLE DR.DERMIDIO GALINDEZ C/2660</v>
      </c>
    </row>
    <row r="63" spans="2:5" x14ac:dyDescent="0.2">
      <c r="B63" s="271" t="str">
        <f>'[1]COMEDORES EMERGENTES'!$B$9</f>
        <v>LA MORO</v>
      </c>
      <c r="C63" s="272"/>
      <c r="D63" s="130">
        <v>1</v>
      </c>
      <c r="E63" s="131" t="str">
        <f>'[1]COMEDORES EMERGENTES'!$G$9</f>
        <v>MAIPU NORTE 1º ETAPA MZA "H" Bº MI JARDIN</v>
      </c>
    </row>
    <row r="64" spans="2:5" x14ac:dyDescent="0.2">
      <c r="B64" s="271" t="str">
        <f>'[1]COMEDORES EMERGENTES'!$B$10</f>
        <v>PAPA FRANCISCO</v>
      </c>
      <c r="C64" s="272"/>
      <c r="D64" s="130">
        <v>1</v>
      </c>
      <c r="E64" s="131" t="str">
        <f>'[1]COMEDORES EMERGENTES'!$G$10</f>
        <v>ENTRE AV.TEREBINTO Y AV.SAN JUAN LOTE "2" MZA. "B"</v>
      </c>
    </row>
    <row r="65" spans="2:5" x14ac:dyDescent="0.2">
      <c r="B65" s="271" t="str">
        <f>'[1]COMEDORES EMERGENTES'!$B$11</f>
        <v>E.P.C - 100 V.V NORTE</v>
      </c>
      <c r="C65" s="272"/>
      <c r="D65" s="130">
        <v>1</v>
      </c>
      <c r="E65" s="131" t="str">
        <f>'[1]COMEDORES EMERGENTES'!$G$11</f>
        <v>Bº VV NORTE C/48 ENTRE ESPAÑA Y FRANCIA</v>
      </c>
    </row>
    <row r="66" spans="2:5" x14ac:dyDescent="0.2">
      <c r="B66" s="271" t="str">
        <f>'[1]COMEDORES EMERGENTES'!$B$12</f>
        <v>HOGAR DE CRISTO - PADRE RAUL CONTRERAS</v>
      </c>
      <c r="C66" s="272"/>
      <c r="D66" s="130">
        <v>1</v>
      </c>
      <c r="E66" s="131" t="str">
        <f>'[1]COMEDORES EMERGENTES'!$G$12</f>
        <v>Bº SANTA MARTA MZA. "S" LOTE "M" C/39</v>
      </c>
    </row>
    <row r="67" spans="2:5" x14ac:dyDescent="0.2">
      <c r="B67" s="271" t="str">
        <f>'[1]COMEDORES EMERGENTES'!$B$13</f>
        <v>LA LUCIERNAGA</v>
      </c>
      <c r="C67" s="272"/>
      <c r="D67" s="130">
        <v>1</v>
      </c>
      <c r="E67" s="131" t="str">
        <f>'[1]COMEDORES EMERGENTES'!$G$13</f>
        <v>Bº 20 V.V NORTE C/3</v>
      </c>
    </row>
    <row r="68" spans="2:5" x14ac:dyDescent="0.2">
      <c r="B68" s="271" t="str">
        <f>'[1]COMEDORES EMERGENTES'!$B$14</f>
        <v>VALLE VIEJO - SUMALAO</v>
      </c>
      <c r="C68" s="272"/>
      <c r="D68" s="130">
        <v>1</v>
      </c>
      <c r="E68" s="131" t="str">
        <f>'[1]COMEDORES EMERGENTES'!$G$14</f>
        <v>PADRE SEGURA S/N</v>
      </c>
    </row>
    <row r="69" spans="2:5" x14ac:dyDescent="0.2">
      <c r="B69" s="271" t="str">
        <f>'[1]COMEDORES EMERGENTES'!$B$15</f>
        <v>NUESTRO FUTURO - LAS VIAS</v>
      </c>
      <c r="C69" s="272"/>
      <c r="D69" s="130">
        <v>1</v>
      </c>
      <c r="E69" s="131" t="str">
        <f>'[1]COMEDORES EMERGENTES'!$G$15</f>
        <v>Bº LAS VIAS OESTE LOTE 42</v>
      </c>
    </row>
    <row r="70" spans="2:5" x14ac:dyDescent="0.2">
      <c r="B70" s="271" t="str">
        <f>'[1]COMEDORES EMERGENTES'!$B$16</f>
        <v>SAN JOSE OBRERO</v>
      </c>
      <c r="C70" s="272"/>
      <c r="D70" s="130">
        <v>1</v>
      </c>
      <c r="E70" s="131" t="str">
        <f>'[1]COMEDORES EMERGENTES'!$G$16</f>
        <v>Bº SAN JOSE OBRERO. PJE. SANDOVAL S/Nº</v>
      </c>
    </row>
    <row r="71" spans="2:5" x14ac:dyDescent="0.2">
      <c r="B71" s="271" t="str">
        <f>'[1]COMEDORES EMERGENTES'!$B$17</f>
        <v>VIRGEN DE LUJAN</v>
      </c>
      <c r="C71" s="272"/>
      <c r="D71" s="130">
        <v>1</v>
      </c>
      <c r="E71" s="131" t="str">
        <f>'[1]COMEDORES EMERGENTES'!$G$17</f>
        <v>Bº OJO DE AGUA C/DR.TEODULFO BARRIONUEVO S/Nº</v>
      </c>
    </row>
    <row r="72" spans="2:5" x14ac:dyDescent="0.2">
      <c r="B72" s="271" t="str">
        <f>'[1]COMEDORES EMERGENTES'!$B$18</f>
        <v>RENACER</v>
      </c>
      <c r="C72" s="272"/>
      <c r="D72" s="130">
        <v>1</v>
      </c>
      <c r="E72" s="131" t="str">
        <f>'[1]COMEDORES EMERGENTES'!$G$18</f>
        <v>Bº VIRGEN MORENITA</v>
      </c>
    </row>
    <row r="73" spans="2:5" x14ac:dyDescent="0.2">
      <c r="B73" s="271" t="str">
        <f>'[1]COMEDORES EMERGENTES'!$B$19</f>
        <v>CENTRO VECINAL MI JARDIN</v>
      </c>
      <c r="C73" s="272"/>
      <c r="D73" s="130">
        <v>1</v>
      </c>
      <c r="E73" s="131" t="str">
        <f>'[1]COMEDORES EMERGENTES'!$G$19</f>
        <v>C/ LOS TULIPANES ENTRE FLOR DE CEREZO Y HOLANDA MZA.27 Bº MI JARDIN</v>
      </c>
    </row>
    <row r="74" spans="2:5" x14ac:dyDescent="0.2">
      <c r="B74" s="271" t="str">
        <f>'[1]COMEDORES EMERGENTES'!$B$20</f>
        <v>LA VIEJA ESQUINA</v>
      </c>
      <c r="C74" s="272"/>
      <c r="D74" s="130">
        <v>1</v>
      </c>
      <c r="E74" s="131" t="str">
        <f>'[1]COMEDORES EMERGENTES'!$G$20</f>
        <v>B° CRISTO REY PJE CAPATAZ VILLAFAÑEZ Y ARMANDO CORREA</v>
      </c>
    </row>
    <row r="75" spans="2:5" x14ac:dyDescent="0.2">
      <c r="B75" s="271" t="str">
        <f>'[1]COMEDORES EMERGENTES'!$B$21</f>
        <v>GAUCHITO GIL</v>
      </c>
      <c r="C75" s="272"/>
      <c r="D75" s="130">
        <v>1</v>
      </c>
      <c r="E75" s="131" t="str">
        <f>'[1]COMEDORES EMERGENTES'!$G$21</f>
        <v>B° 26 VIVIENDAS CASA N° 3</v>
      </c>
    </row>
    <row r="76" spans="2:5" x14ac:dyDescent="0.2">
      <c r="B76" s="271" t="str">
        <f>'[1]COMEDORES EMERGENTES'!$B$22</f>
        <v>LOS TOLDOS</v>
      </c>
      <c r="C76" s="272"/>
      <c r="D76" s="130">
        <v>1</v>
      </c>
      <c r="E76" s="131" t="str">
        <f>'[1]COMEDORES EMERGENTES'!$G$22</f>
        <v>LOTEO PARQUE SUR CALLE S/NOMBRE S/N°</v>
      </c>
    </row>
    <row r="77" spans="2:5" x14ac:dyDescent="0.2">
      <c r="B77" s="50" t="s">
        <v>18</v>
      </c>
      <c r="C77" s="48"/>
      <c r="D77" s="48"/>
      <c r="E77" s="49"/>
    </row>
    <row r="78" spans="2:5" x14ac:dyDescent="0.2">
      <c r="B78" s="51"/>
      <c r="C78" s="287" t="s">
        <v>63</v>
      </c>
      <c r="D78" s="287"/>
      <c r="E78" s="287"/>
    </row>
    <row r="79" spans="2:5" x14ac:dyDescent="0.2">
      <c r="B79" s="50" t="s">
        <v>19</v>
      </c>
      <c r="C79" s="52"/>
      <c r="D79" s="52"/>
      <c r="E79" s="53"/>
    </row>
    <row r="80" spans="2:5" x14ac:dyDescent="0.2">
      <c r="B80" s="51"/>
      <c r="C80" s="287" t="s">
        <v>140</v>
      </c>
      <c r="D80" s="287"/>
      <c r="E80" s="287"/>
    </row>
    <row r="81" spans="2:5" x14ac:dyDescent="0.2">
      <c r="B81" s="50" t="s">
        <v>20</v>
      </c>
      <c r="C81" s="48"/>
      <c r="D81" s="48"/>
      <c r="E81" s="49"/>
    </row>
    <row r="82" spans="2:5" x14ac:dyDescent="0.2">
      <c r="B82" s="50"/>
      <c r="C82" s="286" t="s">
        <v>64</v>
      </c>
      <c r="D82" s="286"/>
      <c r="E82" s="286"/>
    </row>
    <row r="83" spans="2:5" ht="13.5" thickBot="1" x14ac:dyDescent="0.25">
      <c r="B83" s="54"/>
      <c r="C83" s="55"/>
      <c r="D83" s="55"/>
      <c r="E83" s="56"/>
    </row>
    <row r="84" spans="2:5" ht="13.5" thickBot="1" x14ac:dyDescent="0.25"/>
    <row r="85" spans="2:5" x14ac:dyDescent="0.2">
      <c r="B85" s="44" t="s">
        <v>65</v>
      </c>
      <c r="C85" s="45"/>
      <c r="D85" s="45"/>
      <c r="E85" s="46"/>
    </row>
    <row r="86" spans="2:5" x14ac:dyDescent="0.2">
      <c r="B86" s="47"/>
      <c r="C86" s="48"/>
      <c r="D86" s="48"/>
      <c r="E86" s="49"/>
    </row>
    <row r="87" spans="2:5" x14ac:dyDescent="0.2">
      <c r="B87" s="50" t="s">
        <v>16</v>
      </c>
      <c r="C87" s="48"/>
      <c r="D87" s="48"/>
      <c r="E87" s="49"/>
    </row>
    <row r="88" spans="2:5" ht="25.5" customHeight="1" x14ac:dyDescent="0.2">
      <c r="B88" s="50"/>
      <c r="C88" s="277" t="s">
        <v>128</v>
      </c>
      <c r="D88" s="277"/>
      <c r="E88" s="278"/>
    </row>
    <row r="89" spans="2:5" ht="13.5" thickBot="1" x14ac:dyDescent="0.25">
      <c r="B89" s="50" t="s">
        <v>17</v>
      </c>
      <c r="C89" s="48"/>
      <c r="D89" s="48"/>
      <c r="E89" s="49"/>
    </row>
    <row r="90" spans="2:5" ht="13.5" thickBot="1" x14ac:dyDescent="0.25">
      <c r="B90" s="273" t="s">
        <v>137</v>
      </c>
      <c r="C90" s="274"/>
      <c r="D90" s="274"/>
      <c r="E90" s="275"/>
    </row>
    <row r="91" spans="2:5" ht="13.5" thickBot="1" x14ac:dyDescent="0.25">
      <c r="B91" s="273" t="s">
        <v>138</v>
      </c>
      <c r="C91" s="275"/>
      <c r="D91" s="91" t="s">
        <v>11</v>
      </c>
      <c r="E91" s="91" t="s">
        <v>139</v>
      </c>
    </row>
    <row r="92" spans="2:5" x14ac:dyDescent="0.2">
      <c r="B92" s="280" t="str">
        <f>'[1]COMEDORES EMERGENTES'!$B$3</f>
        <v>UNA SONRISA AV. LOS COBACHO</v>
      </c>
      <c r="C92" s="281"/>
      <c r="D92" s="130">
        <v>1</v>
      </c>
      <c r="E92" s="131" t="str">
        <f>'[1]COMEDORES EMERGENTES'!$G$3</f>
        <v>Bº SAN CARLOS OESTE AV. Bonifacio cobacho 670</v>
      </c>
    </row>
    <row r="93" spans="2:5" x14ac:dyDescent="0.2">
      <c r="B93" s="271" t="str">
        <f>'[1]COMEDORES EMERGENTES'!$B$4</f>
        <v>C.I.F Nº1 - RIVERA DEL VALLE Y FLORIDA</v>
      </c>
      <c r="C93" s="272"/>
      <c r="D93" s="130">
        <v>1</v>
      </c>
      <c r="E93" s="131" t="str">
        <f>'[1]COMEDORES EMERGENTES'!$G$4</f>
        <v>AV. RIVIERA DEL VALLE ENTRE FLORIDA Y SANTA FE</v>
      </c>
    </row>
    <row r="94" spans="2:5" x14ac:dyDescent="0.2">
      <c r="B94" s="271" t="str">
        <f>'[1]COMEDORES EMERGENTES'!$B$5</f>
        <v>C.I.F - RIVERA DEL VALLE - DILORENZO</v>
      </c>
      <c r="C94" s="272"/>
      <c r="D94" s="130">
        <v>1</v>
      </c>
      <c r="E94" s="131" t="str">
        <f>'[1]COMEDORES EMERGENTES'!$G$5</f>
        <v>Bº RIVERA DEL VALLE ENTRE VILLA EUMELIA Y MONTE CRISTO</v>
      </c>
    </row>
    <row r="95" spans="2:5" x14ac:dyDescent="0.2">
      <c r="B95" s="271" t="str">
        <f>'[1]COMEDORES EMERGENTES'!$B$6</f>
        <v>ESFUERZO PROPIO- Bº ALTOS DE CHOYA</v>
      </c>
      <c r="C95" s="272"/>
      <c r="D95" s="130">
        <v>1</v>
      </c>
      <c r="E95" s="131" t="str">
        <f>'[1]COMEDORES EMERGENTES'!$G$6</f>
        <v>Bº MUNICIPAL 35VV. NORTE C/14</v>
      </c>
    </row>
    <row r="96" spans="2:5" x14ac:dyDescent="0.2">
      <c r="B96" s="271" t="str">
        <f>'[1]COMEDORES EMERGENTES'!$B$7</f>
        <v>ANGELITOS - LOTEO SUSSEX</v>
      </c>
      <c r="C96" s="272"/>
      <c r="D96" s="130">
        <v>1</v>
      </c>
      <c r="E96" s="131" t="str">
        <f>'[1]COMEDORES EMERGENTES'!$G$7</f>
        <v>Bº LOTEO SUSEX MZA.Nº 4 LOTE Nº3</v>
      </c>
    </row>
    <row r="97" spans="2:5" x14ac:dyDescent="0.2">
      <c r="B97" s="271" t="str">
        <f>'[1]COMEDORES EMERGENTES'!$B$8</f>
        <v>CLUB DEPORTIVO CHACARITA</v>
      </c>
      <c r="C97" s="272"/>
      <c r="D97" s="130">
        <v>1</v>
      </c>
      <c r="E97" s="131" t="str">
        <f>'[1]COMEDORES EMERGENTES'!$G$8</f>
        <v>CALLE DR.DERMIDIO GALINDEZ C/2660</v>
      </c>
    </row>
    <row r="98" spans="2:5" x14ac:dyDescent="0.2">
      <c r="B98" s="271" t="str">
        <f>'[1]COMEDORES EMERGENTES'!$B$9</f>
        <v>LA MORO</v>
      </c>
      <c r="C98" s="272"/>
      <c r="D98" s="130">
        <v>1</v>
      </c>
      <c r="E98" s="131" t="str">
        <f>'[1]COMEDORES EMERGENTES'!$G$9</f>
        <v>MAIPU NORTE 1º ETAPA MZA "H" Bº MI JARDIN</v>
      </c>
    </row>
    <row r="99" spans="2:5" x14ac:dyDescent="0.2">
      <c r="B99" s="271" t="str">
        <f>'[1]COMEDORES EMERGENTES'!$B$10</f>
        <v>PAPA FRANCISCO</v>
      </c>
      <c r="C99" s="272"/>
      <c r="D99" s="130">
        <v>1</v>
      </c>
      <c r="E99" s="131" t="str">
        <f>'[1]COMEDORES EMERGENTES'!$G$10</f>
        <v>ENTRE AV.TEREBINTO Y AV.SAN JUAN LOTE "2" MZA. "B"</v>
      </c>
    </row>
    <row r="100" spans="2:5" x14ac:dyDescent="0.2">
      <c r="B100" s="271" t="str">
        <f>'[1]COMEDORES EMERGENTES'!$B$11</f>
        <v>E.P.C - 100 V.V NORTE</v>
      </c>
      <c r="C100" s="272"/>
      <c r="D100" s="130">
        <v>1</v>
      </c>
      <c r="E100" s="131" t="str">
        <f>'[1]COMEDORES EMERGENTES'!$G$11</f>
        <v>Bº VV NORTE C/48 ENTRE ESPAÑA Y FRANCIA</v>
      </c>
    </row>
    <row r="101" spans="2:5" x14ac:dyDescent="0.2">
      <c r="B101" s="271" t="str">
        <f>'[1]COMEDORES EMERGENTES'!$B$12</f>
        <v>HOGAR DE CRISTO - PADRE RAUL CONTRERAS</v>
      </c>
      <c r="C101" s="272"/>
      <c r="D101" s="130">
        <v>1</v>
      </c>
      <c r="E101" s="131" t="str">
        <f>'[1]COMEDORES EMERGENTES'!$G$12</f>
        <v>Bº SANTA MARTA MZA. "S" LOTE "M" C/39</v>
      </c>
    </row>
    <row r="102" spans="2:5" x14ac:dyDescent="0.2">
      <c r="B102" s="271" t="str">
        <f>'[1]COMEDORES EMERGENTES'!$B$13</f>
        <v>LA LUCIERNAGA</v>
      </c>
      <c r="C102" s="272"/>
      <c r="D102" s="130">
        <v>1</v>
      </c>
      <c r="E102" s="131" t="str">
        <f>'[1]COMEDORES EMERGENTES'!$G$13</f>
        <v>Bº 20 V.V NORTE C/3</v>
      </c>
    </row>
    <row r="103" spans="2:5" x14ac:dyDescent="0.2">
      <c r="B103" s="271" t="str">
        <f>'[1]COMEDORES EMERGENTES'!$B$14</f>
        <v>VALLE VIEJO - SUMALAO</v>
      </c>
      <c r="C103" s="272"/>
      <c r="D103" s="130">
        <v>1</v>
      </c>
      <c r="E103" s="131" t="str">
        <f>'[1]COMEDORES EMERGENTES'!$G$14</f>
        <v>PADRE SEGURA S/N</v>
      </c>
    </row>
    <row r="104" spans="2:5" x14ac:dyDescent="0.2">
      <c r="B104" s="271" t="str">
        <f>'[1]COMEDORES EMERGENTES'!$B$15</f>
        <v>NUESTRO FUTURO - LAS VIAS</v>
      </c>
      <c r="C104" s="272"/>
      <c r="D104" s="130">
        <v>1</v>
      </c>
      <c r="E104" s="131" t="str">
        <f>'[1]COMEDORES EMERGENTES'!$G$15</f>
        <v>Bº LAS VIAS OESTE LOTE 42</v>
      </c>
    </row>
    <row r="105" spans="2:5" x14ac:dyDescent="0.2">
      <c r="B105" s="271" t="str">
        <f>'[1]COMEDORES EMERGENTES'!$B$16</f>
        <v>SAN JOSE OBRERO</v>
      </c>
      <c r="C105" s="272"/>
      <c r="D105" s="130">
        <v>1</v>
      </c>
      <c r="E105" s="131" t="str">
        <f>'[1]COMEDORES EMERGENTES'!$G$16</f>
        <v>Bº SAN JOSE OBRERO. PJE. SANDOVAL S/Nº</v>
      </c>
    </row>
    <row r="106" spans="2:5" x14ac:dyDescent="0.2">
      <c r="B106" s="271" t="str">
        <f>'[1]COMEDORES EMERGENTES'!$B$17</f>
        <v>VIRGEN DE LUJAN</v>
      </c>
      <c r="C106" s="272"/>
      <c r="D106" s="130">
        <v>1</v>
      </c>
      <c r="E106" s="131" t="str">
        <f>'[1]COMEDORES EMERGENTES'!$G$17</f>
        <v>Bº OJO DE AGUA C/DR.TEODULFO BARRIONUEVO S/Nº</v>
      </c>
    </row>
    <row r="107" spans="2:5" x14ac:dyDescent="0.2">
      <c r="B107" s="271" t="str">
        <f>'[1]COMEDORES EMERGENTES'!$B$18</f>
        <v>RENACER</v>
      </c>
      <c r="C107" s="272"/>
      <c r="D107" s="130">
        <v>1</v>
      </c>
      <c r="E107" s="131" t="str">
        <f>'[1]COMEDORES EMERGENTES'!$G$18</f>
        <v>Bº VIRGEN MORENITA</v>
      </c>
    </row>
    <row r="108" spans="2:5" x14ac:dyDescent="0.2">
      <c r="B108" s="271" t="str">
        <f>'[1]COMEDORES EMERGENTES'!$B$19</f>
        <v>CENTRO VECINAL MI JARDIN</v>
      </c>
      <c r="C108" s="272"/>
      <c r="D108" s="130">
        <v>1</v>
      </c>
      <c r="E108" s="131" t="str">
        <f>'[1]COMEDORES EMERGENTES'!$G$19</f>
        <v>C/ LOS TULIPANES ENTRE FLOR DE CEREZO Y HOLANDA MZA.27 Bº MI JARDIN</v>
      </c>
    </row>
    <row r="109" spans="2:5" x14ac:dyDescent="0.2">
      <c r="B109" s="271" t="str">
        <f>'[1]COMEDORES EMERGENTES'!$B$20</f>
        <v>LA VIEJA ESQUINA</v>
      </c>
      <c r="C109" s="272"/>
      <c r="D109" s="130">
        <v>1</v>
      </c>
      <c r="E109" s="131" t="str">
        <f>'[1]COMEDORES EMERGENTES'!$G$20</f>
        <v>B° CRISTO REY PJE CAPATAZ VILLAFAÑEZ Y ARMANDO CORREA</v>
      </c>
    </row>
    <row r="110" spans="2:5" x14ac:dyDescent="0.2">
      <c r="B110" s="271" t="str">
        <f>'[1]COMEDORES EMERGENTES'!$B$21</f>
        <v>GAUCHITO GIL</v>
      </c>
      <c r="C110" s="272"/>
      <c r="D110" s="130">
        <v>1</v>
      </c>
      <c r="E110" s="131" t="str">
        <f>'[1]COMEDORES EMERGENTES'!$G$21</f>
        <v>B° 26 VIVIENDAS CASA N° 3</v>
      </c>
    </row>
    <row r="111" spans="2:5" x14ac:dyDescent="0.2">
      <c r="B111" s="271" t="str">
        <f>'[1]COMEDORES EMERGENTES'!$B$22</f>
        <v>LOS TOLDOS</v>
      </c>
      <c r="C111" s="272"/>
      <c r="D111" s="130">
        <v>1</v>
      </c>
      <c r="E111" s="131" t="str">
        <f>'[1]COMEDORES EMERGENTES'!$G$22</f>
        <v>LOTEO PARQUE SUR CALLE S/NOMBRE S/N°</v>
      </c>
    </row>
    <row r="112" spans="2:5" x14ac:dyDescent="0.2">
      <c r="B112" s="50" t="s">
        <v>18</v>
      </c>
      <c r="C112" s="48"/>
      <c r="D112" s="48"/>
      <c r="E112" s="49"/>
    </row>
    <row r="113" spans="2:5" x14ac:dyDescent="0.2">
      <c r="B113" s="51"/>
      <c r="C113" s="287" t="s">
        <v>63</v>
      </c>
      <c r="D113" s="287"/>
      <c r="E113" s="287"/>
    </row>
    <row r="114" spans="2:5" x14ac:dyDescent="0.2">
      <c r="B114" s="50" t="s">
        <v>19</v>
      </c>
      <c r="C114" s="52"/>
      <c r="D114" s="52"/>
      <c r="E114" s="53"/>
    </row>
    <row r="115" spans="2:5" x14ac:dyDescent="0.2">
      <c r="B115" s="51"/>
      <c r="C115" s="287" t="s">
        <v>140</v>
      </c>
      <c r="D115" s="287"/>
      <c r="E115" s="287"/>
    </row>
    <row r="116" spans="2:5" x14ac:dyDescent="0.2">
      <c r="B116" s="50" t="s">
        <v>20</v>
      </c>
      <c r="C116" s="48"/>
      <c r="D116" s="48"/>
      <c r="E116" s="49"/>
    </row>
    <row r="117" spans="2:5" x14ac:dyDescent="0.2">
      <c r="B117" s="50"/>
      <c r="C117" s="286" t="s">
        <v>64</v>
      </c>
      <c r="D117" s="286"/>
      <c r="E117" s="286"/>
    </row>
    <row r="118" spans="2:5" ht="13.5" thickBot="1" x14ac:dyDescent="0.25">
      <c r="B118" s="54"/>
      <c r="C118" s="55"/>
      <c r="D118" s="55"/>
      <c r="E118" s="56"/>
    </row>
  </sheetData>
  <mergeCells count="85">
    <mergeCell ref="B107:C107"/>
    <mergeCell ref="B108:C108"/>
    <mergeCell ref="B109:C109"/>
    <mergeCell ref="B110:C110"/>
    <mergeCell ref="B102:C102"/>
    <mergeCell ref="B103:C103"/>
    <mergeCell ref="B104:C104"/>
    <mergeCell ref="B105:C105"/>
    <mergeCell ref="B106:C106"/>
    <mergeCell ref="B73:C73"/>
    <mergeCell ref="B74:C74"/>
    <mergeCell ref="B75:C75"/>
    <mergeCell ref="B90:E90"/>
    <mergeCell ref="B91:C91"/>
    <mergeCell ref="C80:E80"/>
    <mergeCell ref="C78:E78"/>
    <mergeCell ref="B76:C76"/>
    <mergeCell ref="B68:C68"/>
    <mergeCell ref="B69:C69"/>
    <mergeCell ref="B70:C70"/>
    <mergeCell ref="B71:C71"/>
    <mergeCell ref="B72:C72"/>
    <mergeCell ref="B63:C63"/>
    <mergeCell ref="B64:C64"/>
    <mergeCell ref="B65:C65"/>
    <mergeCell ref="B66:C66"/>
    <mergeCell ref="B67:C67"/>
    <mergeCell ref="B58:C58"/>
    <mergeCell ref="B59:C59"/>
    <mergeCell ref="B60:C60"/>
    <mergeCell ref="B61:C61"/>
    <mergeCell ref="B62:C62"/>
    <mergeCell ref="B40:C40"/>
    <mergeCell ref="B55:E55"/>
    <mergeCell ref="B56:C56"/>
    <mergeCell ref="B57:C57"/>
    <mergeCell ref="C53:E53"/>
    <mergeCell ref="B35:C35"/>
    <mergeCell ref="B36:C36"/>
    <mergeCell ref="B37:C37"/>
    <mergeCell ref="B38:C38"/>
    <mergeCell ref="B39:C39"/>
    <mergeCell ref="B30:C30"/>
    <mergeCell ref="B31:C31"/>
    <mergeCell ref="B32:C32"/>
    <mergeCell ref="B33:C33"/>
    <mergeCell ref="B34:C34"/>
    <mergeCell ref="C117:E117"/>
    <mergeCell ref="C82:E82"/>
    <mergeCell ref="C88:E88"/>
    <mergeCell ref="C113:E113"/>
    <mergeCell ref="C115:E115"/>
    <mergeCell ref="B92:C92"/>
    <mergeCell ref="B93:C93"/>
    <mergeCell ref="B94:C94"/>
    <mergeCell ref="B95:C95"/>
    <mergeCell ref="B96:C96"/>
    <mergeCell ref="B97:C97"/>
    <mergeCell ref="B98:C98"/>
    <mergeCell ref="B99:C99"/>
    <mergeCell ref="B100:C100"/>
    <mergeCell ref="B111:C111"/>
    <mergeCell ref="B101:C101"/>
    <mergeCell ref="A7:B7"/>
    <mergeCell ref="C18:E18"/>
    <mergeCell ref="C43:E43"/>
    <mergeCell ref="C45:E45"/>
    <mergeCell ref="C47:E47"/>
    <mergeCell ref="B20:E20"/>
    <mergeCell ref="B21:C21"/>
    <mergeCell ref="B22:C22"/>
    <mergeCell ref="B23:C23"/>
    <mergeCell ref="B41:C41"/>
    <mergeCell ref="B24:C24"/>
    <mergeCell ref="B25:C25"/>
    <mergeCell ref="B26:C26"/>
    <mergeCell ref="B27:C27"/>
    <mergeCell ref="B28:C28"/>
    <mergeCell ref="B29:C29"/>
    <mergeCell ref="A6:B6"/>
    <mergeCell ref="B2:H2"/>
    <mergeCell ref="A4:B4"/>
    <mergeCell ref="C4:E4"/>
    <mergeCell ref="A5:B5"/>
    <mergeCell ref="C5:E5"/>
  </mergeCells>
  <pageMargins left="0.23622047244094491" right="0.23622047244094491" top="0.23622047244094491" bottom="0.31496062992125984" header="0.19685039370078741" footer="0.31496062992125984"/>
  <pageSetup paperSize="5" scale="7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89"/>
  <sheetViews>
    <sheetView topLeftCell="D1" workbookViewId="0">
      <selection activeCell="E38" sqref="E38"/>
    </sheetView>
  </sheetViews>
  <sheetFormatPr baseColWidth="10" defaultColWidth="11" defaultRowHeight="12.75" x14ac:dyDescent="0.2"/>
  <cols>
    <col min="1" max="1" width="4.5703125" style="38" customWidth="1"/>
    <col min="2" max="2" width="15.5703125" style="38" customWidth="1"/>
    <col min="3" max="3" width="32.42578125" style="38" customWidth="1"/>
    <col min="4" max="4" width="10" style="96" customWidth="1"/>
    <col min="5" max="5" width="168.28515625" style="38" customWidth="1"/>
    <col min="6" max="6" width="11" style="38"/>
    <col min="7" max="7" width="12.7109375" style="38" customWidth="1"/>
    <col min="8" max="8" width="13.85546875" style="38" customWidth="1"/>
    <col min="9" max="9" width="18.5703125" style="38" customWidth="1"/>
    <col min="10" max="16384" width="11" style="38"/>
  </cols>
  <sheetData>
    <row r="1" spans="1:9" ht="27" x14ac:dyDescent="0.35">
      <c r="B1" s="282" t="s">
        <v>0</v>
      </c>
      <c r="C1" s="282"/>
      <c r="D1" s="282"/>
      <c r="E1" s="282"/>
      <c r="F1" s="282"/>
      <c r="G1" s="282"/>
      <c r="H1" s="282"/>
    </row>
    <row r="2" spans="1:9" ht="6" customHeight="1" x14ac:dyDescent="0.2"/>
    <row r="3" spans="1:9" ht="16.5" customHeight="1" x14ac:dyDescent="0.25">
      <c r="A3" s="279" t="s">
        <v>1</v>
      </c>
      <c r="B3" s="279"/>
      <c r="C3" s="283" t="s">
        <v>66</v>
      </c>
      <c r="D3" s="283"/>
      <c r="E3" s="283"/>
      <c r="F3" s="39"/>
      <c r="G3" s="40"/>
      <c r="H3" s="39"/>
    </row>
    <row r="4" spans="1:9" ht="17.25" customHeight="1" x14ac:dyDescent="0.25">
      <c r="A4" s="279" t="s">
        <v>2</v>
      </c>
      <c r="B4" s="279"/>
      <c r="C4" s="283" t="s">
        <v>62</v>
      </c>
      <c r="D4" s="283"/>
      <c r="E4" s="283"/>
      <c r="F4" s="39"/>
      <c r="G4" s="40"/>
      <c r="H4" s="39"/>
    </row>
    <row r="5" spans="1:9" ht="15" customHeight="1" x14ac:dyDescent="0.25">
      <c r="A5" s="279" t="s">
        <v>3</v>
      </c>
      <c r="B5" s="279"/>
      <c r="C5" s="57">
        <v>2020</v>
      </c>
      <c r="D5" s="92"/>
      <c r="E5" s="58"/>
      <c r="F5" s="39"/>
      <c r="G5" s="40"/>
      <c r="H5" s="39"/>
    </row>
    <row r="6" spans="1:9" ht="16.5" customHeight="1" x14ac:dyDescent="0.25">
      <c r="A6" s="279" t="s">
        <v>4</v>
      </c>
      <c r="B6" s="279"/>
      <c r="C6" s="57">
        <v>3</v>
      </c>
      <c r="D6" s="92"/>
      <c r="E6" s="58"/>
      <c r="F6" s="39"/>
      <c r="G6" s="40"/>
      <c r="H6" s="39"/>
    </row>
    <row r="7" spans="1:9" ht="7.5" customHeight="1" thickBot="1" x14ac:dyDescent="0.25">
      <c r="B7" s="39"/>
      <c r="C7" s="40"/>
      <c r="D7" s="40"/>
      <c r="E7" s="39"/>
      <c r="F7" s="39"/>
      <c r="G7" s="40"/>
      <c r="H7" s="39"/>
    </row>
    <row r="8" spans="1:9" ht="39" thickBot="1" x14ac:dyDescent="0.25">
      <c r="A8" s="60" t="s">
        <v>5</v>
      </c>
      <c r="B8" s="74" t="s">
        <v>6</v>
      </c>
      <c r="C8" s="74" t="s">
        <v>7</v>
      </c>
      <c r="D8" s="65" t="s">
        <v>8</v>
      </c>
      <c r="E8" s="74" t="s">
        <v>9</v>
      </c>
      <c r="F8" s="61" t="s">
        <v>10</v>
      </c>
      <c r="G8" s="62" t="s">
        <v>11</v>
      </c>
      <c r="H8" s="62" t="s">
        <v>12</v>
      </c>
      <c r="I8" s="63" t="s">
        <v>13</v>
      </c>
    </row>
    <row r="9" spans="1:9" ht="15.75" customHeight="1" x14ac:dyDescent="0.2">
      <c r="A9" s="97">
        <v>1</v>
      </c>
      <c r="B9" s="98" t="s">
        <v>67</v>
      </c>
      <c r="C9" s="98" t="s">
        <v>60</v>
      </c>
      <c r="D9" s="99" t="str">
        <f>LEFT(B9,5)</f>
        <v>2.1.1</v>
      </c>
      <c r="E9" s="98" t="s">
        <v>75</v>
      </c>
      <c r="F9" s="100" t="s">
        <v>116</v>
      </c>
      <c r="G9" s="101">
        <v>7164</v>
      </c>
      <c r="H9" s="102"/>
      <c r="I9" s="103"/>
    </row>
    <row r="10" spans="1:9" x14ac:dyDescent="0.2">
      <c r="A10" s="104">
        <v>2</v>
      </c>
      <c r="B10" s="105" t="s">
        <v>68</v>
      </c>
      <c r="C10" s="105" t="s">
        <v>60</v>
      </c>
      <c r="D10" s="106" t="s">
        <v>74</v>
      </c>
      <c r="E10" s="105" t="s">
        <v>76</v>
      </c>
      <c r="F10" s="107" t="s">
        <v>116</v>
      </c>
      <c r="G10" s="108">
        <v>5232</v>
      </c>
      <c r="H10" s="109"/>
      <c r="I10" s="110"/>
    </row>
    <row r="11" spans="1:9" x14ac:dyDescent="0.2">
      <c r="A11" s="104">
        <v>3</v>
      </c>
      <c r="B11" s="111" t="s">
        <v>278</v>
      </c>
      <c r="C11" s="111" t="s">
        <v>60</v>
      </c>
      <c r="D11" s="112" t="s">
        <v>74</v>
      </c>
      <c r="E11" s="111" t="s">
        <v>277</v>
      </c>
      <c r="F11" s="113" t="s">
        <v>116</v>
      </c>
      <c r="G11" s="108">
        <v>9504</v>
      </c>
      <c r="H11" s="109"/>
      <c r="I11" s="110"/>
    </row>
    <row r="12" spans="1:9" x14ac:dyDescent="0.2">
      <c r="A12" s="104">
        <v>4</v>
      </c>
      <c r="B12" s="111" t="s">
        <v>280</v>
      </c>
      <c r="C12" s="111" t="s">
        <v>60</v>
      </c>
      <c r="D12" s="114" t="str">
        <f>LEFT(B12,5)</f>
        <v>2.1.1</v>
      </c>
      <c r="E12" s="111" t="s">
        <v>279</v>
      </c>
      <c r="F12" s="113" t="s">
        <v>116</v>
      </c>
      <c r="G12" s="108">
        <v>9504</v>
      </c>
      <c r="H12" s="109"/>
      <c r="I12" s="110"/>
    </row>
    <row r="13" spans="1:9" x14ac:dyDescent="0.2">
      <c r="A13" s="104">
        <v>5</v>
      </c>
      <c r="B13" s="105" t="s">
        <v>69</v>
      </c>
      <c r="C13" s="105" t="s">
        <v>60</v>
      </c>
      <c r="D13" s="106" t="s">
        <v>74</v>
      </c>
      <c r="E13" s="105" t="s">
        <v>77</v>
      </c>
      <c r="F13" s="107" t="s">
        <v>116</v>
      </c>
      <c r="G13" s="108">
        <v>4284</v>
      </c>
      <c r="H13" s="109"/>
      <c r="I13" s="110"/>
    </row>
    <row r="14" spans="1:9" x14ac:dyDescent="0.2">
      <c r="A14" s="104">
        <v>6</v>
      </c>
      <c r="B14" s="105" t="s">
        <v>70</v>
      </c>
      <c r="C14" s="105" t="s">
        <v>60</v>
      </c>
      <c r="D14" s="106" t="s">
        <v>74</v>
      </c>
      <c r="E14" s="105" t="s">
        <v>78</v>
      </c>
      <c r="F14" s="107" t="s">
        <v>116</v>
      </c>
      <c r="G14" s="108">
        <v>12828</v>
      </c>
      <c r="H14" s="109"/>
      <c r="I14" s="110"/>
    </row>
    <row r="15" spans="1:9" x14ac:dyDescent="0.2">
      <c r="A15" s="104">
        <v>7</v>
      </c>
      <c r="B15" s="105" t="s">
        <v>71</v>
      </c>
      <c r="C15" s="105" t="s">
        <v>60</v>
      </c>
      <c r="D15" s="106" t="str">
        <f t="shared" ref="D15:D34" si="0">LEFT(B15,5)</f>
        <v>2.1.1</v>
      </c>
      <c r="E15" s="105" t="s">
        <v>79</v>
      </c>
      <c r="F15" s="107" t="s">
        <v>116</v>
      </c>
      <c r="G15" s="108">
        <v>8544</v>
      </c>
      <c r="H15" s="109"/>
      <c r="I15" s="110"/>
    </row>
    <row r="16" spans="1:9" x14ac:dyDescent="0.2">
      <c r="A16" s="104">
        <v>8</v>
      </c>
      <c r="B16" s="111" t="s">
        <v>275</v>
      </c>
      <c r="C16" s="105" t="s">
        <v>60</v>
      </c>
      <c r="D16" s="106" t="s">
        <v>74</v>
      </c>
      <c r="E16" s="105" t="s">
        <v>276</v>
      </c>
      <c r="F16" s="107" t="s">
        <v>116</v>
      </c>
      <c r="G16" s="108">
        <v>2412</v>
      </c>
      <c r="H16" s="109"/>
      <c r="I16" s="110"/>
    </row>
    <row r="17" spans="1:9" x14ac:dyDescent="0.2">
      <c r="A17" s="104">
        <v>9</v>
      </c>
      <c r="B17" s="105" t="s">
        <v>72</v>
      </c>
      <c r="C17" s="105" t="s">
        <v>60</v>
      </c>
      <c r="D17" s="106" t="str">
        <f t="shared" si="0"/>
        <v>2.1.1</v>
      </c>
      <c r="E17" s="105" t="s">
        <v>80</v>
      </c>
      <c r="F17" s="107" t="s">
        <v>117</v>
      </c>
      <c r="G17" s="108">
        <v>13296</v>
      </c>
      <c r="H17" s="109"/>
      <c r="I17" s="110"/>
    </row>
    <row r="18" spans="1:9" x14ac:dyDescent="0.2">
      <c r="A18" s="104">
        <v>10</v>
      </c>
      <c r="B18" s="105" t="s">
        <v>73</v>
      </c>
      <c r="C18" s="105" t="s">
        <v>60</v>
      </c>
      <c r="D18" s="106" t="str">
        <f t="shared" si="0"/>
        <v>2.1.1</v>
      </c>
      <c r="E18" s="105" t="s">
        <v>81</v>
      </c>
      <c r="F18" s="107" t="s">
        <v>117</v>
      </c>
      <c r="G18" s="108">
        <v>16668</v>
      </c>
      <c r="H18" s="109"/>
      <c r="I18" s="110"/>
    </row>
    <row r="19" spans="1:9" x14ac:dyDescent="0.2">
      <c r="A19" s="104">
        <v>11</v>
      </c>
      <c r="B19" s="105" t="s">
        <v>82</v>
      </c>
      <c r="C19" s="105" t="s">
        <v>60</v>
      </c>
      <c r="D19" s="106" t="str">
        <f t="shared" si="0"/>
        <v>2.1.1</v>
      </c>
      <c r="E19" s="105" t="s">
        <v>89</v>
      </c>
      <c r="F19" s="115" t="s">
        <v>117</v>
      </c>
      <c r="G19" s="116">
        <v>10464</v>
      </c>
      <c r="H19" s="109"/>
      <c r="I19" s="110"/>
    </row>
    <row r="20" spans="1:9" x14ac:dyDescent="0.2">
      <c r="A20" s="104">
        <v>12</v>
      </c>
      <c r="B20" s="105" t="s">
        <v>83</v>
      </c>
      <c r="C20" s="105" t="s">
        <v>60</v>
      </c>
      <c r="D20" s="106" t="s">
        <v>74</v>
      </c>
      <c r="E20" s="105" t="s">
        <v>90</v>
      </c>
      <c r="F20" s="107" t="s">
        <v>14</v>
      </c>
      <c r="G20" s="108">
        <v>14256</v>
      </c>
      <c r="H20" s="109"/>
      <c r="I20" s="110"/>
    </row>
    <row r="21" spans="1:9" x14ac:dyDescent="0.2">
      <c r="A21" s="104">
        <v>13</v>
      </c>
      <c r="B21" s="105" t="s">
        <v>84</v>
      </c>
      <c r="C21" s="105" t="s">
        <v>60</v>
      </c>
      <c r="D21" s="106" t="str">
        <f>LEFT(B21,5)</f>
        <v>2.1.1</v>
      </c>
      <c r="E21" s="105" t="s">
        <v>91</v>
      </c>
      <c r="F21" s="107" t="s">
        <v>14</v>
      </c>
      <c r="G21" s="108">
        <v>1440</v>
      </c>
      <c r="H21" s="109"/>
      <c r="I21" s="110"/>
    </row>
    <row r="22" spans="1:9" x14ac:dyDescent="0.2">
      <c r="A22" s="104">
        <v>14</v>
      </c>
      <c r="B22" s="117" t="s">
        <v>112</v>
      </c>
      <c r="C22" s="117" t="s">
        <v>60</v>
      </c>
      <c r="D22" s="106" t="str">
        <f t="shared" si="0"/>
        <v>2.1.1</v>
      </c>
      <c r="E22" s="117" t="s">
        <v>113</v>
      </c>
      <c r="F22" s="107" t="s">
        <v>117</v>
      </c>
      <c r="G22" s="108">
        <v>4752</v>
      </c>
      <c r="H22" s="109"/>
      <c r="I22" s="110"/>
    </row>
    <row r="23" spans="1:9" x14ac:dyDescent="0.2">
      <c r="A23" s="104">
        <v>15</v>
      </c>
      <c r="B23" s="105" t="s">
        <v>85</v>
      </c>
      <c r="C23" s="105" t="s">
        <v>60</v>
      </c>
      <c r="D23" s="106" t="s">
        <v>74</v>
      </c>
      <c r="E23" s="105" t="s">
        <v>92</v>
      </c>
      <c r="F23" s="107" t="s">
        <v>14</v>
      </c>
      <c r="G23" s="108">
        <v>2856</v>
      </c>
      <c r="H23" s="109"/>
      <c r="I23" s="110"/>
    </row>
    <row r="24" spans="1:9" x14ac:dyDescent="0.2">
      <c r="A24" s="104">
        <v>16</v>
      </c>
      <c r="B24" s="105" t="s">
        <v>86</v>
      </c>
      <c r="C24" s="105" t="s">
        <v>60</v>
      </c>
      <c r="D24" s="106" t="str">
        <f>LEFT(B24,5)</f>
        <v>2.1.1</v>
      </c>
      <c r="E24" s="105" t="s">
        <v>93</v>
      </c>
      <c r="F24" s="107" t="s">
        <v>117</v>
      </c>
      <c r="G24" s="108">
        <v>9504</v>
      </c>
      <c r="H24" s="109"/>
      <c r="I24" s="110"/>
    </row>
    <row r="25" spans="1:9" x14ac:dyDescent="0.2">
      <c r="A25" s="104">
        <v>17</v>
      </c>
      <c r="B25" s="105" t="s">
        <v>87</v>
      </c>
      <c r="C25" s="105" t="s">
        <v>60</v>
      </c>
      <c r="D25" s="106" t="str">
        <f t="shared" si="0"/>
        <v>2.1.1</v>
      </c>
      <c r="E25" s="105" t="s">
        <v>94</v>
      </c>
      <c r="F25" s="107" t="s">
        <v>117</v>
      </c>
      <c r="G25" s="108">
        <v>4752</v>
      </c>
      <c r="H25" s="109"/>
      <c r="I25" s="110"/>
    </row>
    <row r="26" spans="1:9" x14ac:dyDescent="0.2">
      <c r="A26" s="104">
        <v>18</v>
      </c>
      <c r="B26" s="105" t="s">
        <v>88</v>
      </c>
      <c r="C26" s="105" t="s">
        <v>60</v>
      </c>
      <c r="D26" s="106" t="str">
        <f t="shared" si="0"/>
        <v>2.1.1</v>
      </c>
      <c r="E26" s="105" t="s">
        <v>95</v>
      </c>
      <c r="F26" s="107" t="s">
        <v>117</v>
      </c>
      <c r="G26" s="108">
        <v>8544</v>
      </c>
      <c r="H26" s="109"/>
      <c r="I26" s="110"/>
    </row>
    <row r="27" spans="1:9" x14ac:dyDescent="0.2">
      <c r="A27" s="104">
        <v>19</v>
      </c>
      <c r="B27" s="105" t="s">
        <v>119</v>
      </c>
      <c r="C27" s="105" t="s">
        <v>60</v>
      </c>
      <c r="D27" s="106" t="str">
        <f t="shared" si="0"/>
        <v>2.1.1</v>
      </c>
      <c r="E27" s="105" t="s">
        <v>120</v>
      </c>
      <c r="F27" s="107" t="s">
        <v>117</v>
      </c>
      <c r="G27" s="108">
        <v>7164</v>
      </c>
      <c r="H27" s="109"/>
      <c r="I27" s="110"/>
    </row>
    <row r="28" spans="1:9" x14ac:dyDescent="0.2">
      <c r="A28" s="104">
        <v>20</v>
      </c>
      <c r="B28" s="105" t="s">
        <v>114</v>
      </c>
      <c r="C28" s="105" t="s">
        <v>60</v>
      </c>
      <c r="D28" s="106" t="s">
        <v>74</v>
      </c>
      <c r="E28" s="105" t="s">
        <v>115</v>
      </c>
      <c r="F28" s="107" t="s">
        <v>117</v>
      </c>
      <c r="G28" s="108">
        <v>19008</v>
      </c>
      <c r="H28" s="109"/>
      <c r="I28" s="110"/>
    </row>
    <row r="29" spans="1:9" x14ac:dyDescent="0.2">
      <c r="A29" s="104">
        <v>21</v>
      </c>
      <c r="B29" s="105" t="s">
        <v>96</v>
      </c>
      <c r="C29" s="105" t="s">
        <v>60</v>
      </c>
      <c r="D29" s="106" t="s">
        <v>74</v>
      </c>
      <c r="E29" s="105" t="s">
        <v>101</v>
      </c>
      <c r="F29" s="107" t="s">
        <v>117</v>
      </c>
      <c r="G29" s="118">
        <v>120</v>
      </c>
      <c r="H29" s="109"/>
      <c r="I29" s="110"/>
    </row>
    <row r="30" spans="1:9" x14ac:dyDescent="0.2">
      <c r="A30" s="104">
        <v>22</v>
      </c>
      <c r="B30" s="105" t="s">
        <v>97</v>
      </c>
      <c r="C30" s="105" t="s">
        <v>60</v>
      </c>
      <c r="D30" s="106" t="str">
        <f t="shared" si="0"/>
        <v>2.1.1</v>
      </c>
      <c r="E30" s="105" t="s">
        <v>102</v>
      </c>
      <c r="F30" s="107" t="s">
        <v>117</v>
      </c>
      <c r="G30" s="108">
        <v>120</v>
      </c>
      <c r="H30" s="109"/>
      <c r="I30" s="110"/>
    </row>
    <row r="31" spans="1:9" x14ac:dyDescent="0.2">
      <c r="A31" s="104">
        <v>23</v>
      </c>
      <c r="B31" s="105" t="s">
        <v>98</v>
      </c>
      <c r="C31" s="105" t="s">
        <v>60</v>
      </c>
      <c r="D31" s="106" t="s">
        <v>74</v>
      </c>
      <c r="E31" s="105" t="s">
        <v>103</v>
      </c>
      <c r="F31" s="107" t="s">
        <v>117</v>
      </c>
      <c r="G31" s="108">
        <v>120</v>
      </c>
      <c r="H31" s="109"/>
      <c r="I31" s="110"/>
    </row>
    <row r="32" spans="1:9" x14ac:dyDescent="0.2">
      <c r="A32" s="104">
        <v>24</v>
      </c>
      <c r="B32" s="105" t="s">
        <v>99</v>
      </c>
      <c r="C32" s="105" t="s">
        <v>60</v>
      </c>
      <c r="D32" s="106" t="s">
        <v>74</v>
      </c>
      <c r="E32" s="105" t="s">
        <v>104</v>
      </c>
      <c r="F32" s="107" t="s">
        <v>117</v>
      </c>
      <c r="G32" s="108">
        <v>120</v>
      </c>
      <c r="H32" s="109"/>
      <c r="I32" s="110"/>
    </row>
    <row r="33" spans="1:9" x14ac:dyDescent="0.2">
      <c r="A33" s="104">
        <v>25</v>
      </c>
      <c r="B33" s="111" t="s">
        <v>282</v>
      </c>
      <c r="C33" s="111" t="s">
        <v>60</v>
      </c>
      <c r="D33" s="114" t="str">
        <f>LEFT(B33,5)</f>
        <v>2.1.1</v>
      </c>
      <c r="E33" s="111" t="s">
        <v>281</v>
      </c>
      <c r="F33" s="113" t="s">
        <v>14</v>
      </c>
      <c r="G33" s="108">
        <v>492</v>
      </c>
      <c r="H33" s="109"/>
      <c r="I33" s="110"/>
    </row>
    <row r="34" spans="1:9" x14ac:dyDescent="0.2">
      <c r="A34" s="104">
        <v>26</v>
      </c>
      <c r="B34" s="105" t="s">
        <v>100</v>
      </c>
      <c r="C34" s="105" t="s">
        <v>60</v>
      </c>
      <c r="D34" s="106" t="str">
        <f t="shared" si="0"/>
        <v>2.1.1</v>
      </c>
      <c r="E34" s="105" t="s">
        <v>105</v>
      </c>
      <c r="F34" s="107" t="s">
        <v>117</v>
      </c>
      <c r="G34" s="108">
        <v>270</v>
      </c>
      <c r="H34" s="119"/>
      <c r="I34" s="120"/>
    </row>
    <row r="35" spans="1:9" x14ac:dyDescent="0.2">
      <c r="A35" s="104">
        <v>27</v>
      </c>
      <c r="B35" s="105" t="s">
        <v>129</v>
      </c>
      <c r="C35" s="105" t="s">
        <v>60</v>
      </c>
      <c r="D35" s="106" t="s">
        <v>74</v>
      </c>
      <c r="E35" s="105" t="s">
        <v>133</v>
      </c>
      <c r="F35" s="121" t="s">
        <v>14</v>
      </c>
      <c r="G35" s="122">
        <v>23760</v>
      </c>
      <c r="H35" s="109"/>
      <c r="I35" s="110"/>
    </row>
    <row r="36" spans="1:9" x14ac:dyDescent="0.2">
      <c r="A36" s="104">
        <v>28</v>
      </c>
      <c r="B36" s="105" t="s">
        <v>130</v>
      </c>
      <c r="C36" s="105" t="s">
        <v>60</v>
      </c>
      <c r="D36" s="106" t="s">
        <v>74</v>
      </c>
      <c r="E36" s="105" t="s">
        <v>134</v>
      </c>
      <c r="F36" s="121" t="s">
        <v>14</v>
      </c>
      <c r="G36" s="122">
        <v>23760</v>
      </c>
      <c r="H36" s="109"/>
      <c r="I36" s="110"/>
    </row>
    <row r="37" spans="1:9" x14ac:dyDescent="0.2">
      <c r="A37" s="104">
        <v>29</v>
      </c>
      <c r="B37" s="105" t="s">
        <v>131</v>
      </c>
      <c r="C37" s="105" t="s">
        <v>60</v>
      </c>
      <c r="D37" s="106" t="str">
        <f>LEFT(B37,5)</f>
        <v>2.1.1</v>
      </c>
      <c r="E37" s="105" t="s">
        <v>135</v>
      </c>
      <c r="F37" s="121" t="s">
        <v>14</v>
      </c>
      <c r="G37" s="122">
        <v>23760</v>
      </c>
      <c r="H37" s="109"/>
      <c r="I37" s="110"/>
    </row>
    <row r="38" spans="1:9" ht="13.5" thickBot="1" x14ac:dyDescent="0.25">
      <c r="A38" s="123">
        <v>30</v>
      </c>
      <c r="B38" s="124" t="s">
        <v>132</v>
      </c>
      <c r="C38" s="124" t="s">
        <v>60</v>
      </c>
      <c r="D38" s="125" t="str">
        <f>LEFT(B38,5)</f>
        <v>2.1.1</v>
      </c>
      <c r="E38" s="124" t="s">
        <v>136</v>
      </c>
      <c r="F38" s="126" t="s">
        <v>14</v>
      </c>
      <c r="G38" s="127">
        <v>23760</v>
      </c>
      <c r="H38" s="128"/>
      <c r="I38" s="129"/>
    </row>
    <row r="41" spans="1:9" x14ac:dyDescent="0.2">
      <c r="B41" s="44" t="s">
        <v>15</v>
      </c>
      <c r="C41" s="45"/>
      <c r="D41" s="93"/>
      <c r="E41" s="46"/>
    </row>
    <row r="42" spans="1:9" ht="5.25" customHeight="1" x14ac:dyDescent="0.2">
      <c r="B42" s="47"/>
      <c r="C42" s="48"/>
      <c r="D42" s="94"/>
      <c r="E42" s="49"/>
    </row>
    <row r="43" spans="1:9" x14ac:dyDescent="0.2">
      <c r="B43" s="50" t="s">
        <v>16</v>
      </c>
      <c r="C43" s="48"/>
      <c r="D43" s="94"/>
      <c r="E43" s="49"/>
    </row>
    <row r="44" spans="1:9" ht="25.5" customHeight="1" x14ac:dyDescent="0.2">
      <c r="B44" s="50"/>
      <c r="C44" s="287"/>
      <c r="D44" s="287"/>
      <c r="E44" s="287"/>
    </row>
    <row r="45" spans="1:9" ht="13.5" thickBot="1" x14ac:dyDescent="0.25">
      <c r="B45" s="50" t="s">
        <v>17</v>
      </c>
      <c r="C45" s="48"/>
      <c r="D45" s="94"/>
      <c r="E45" s="49"/>
    </row>
    <row r="46" spans="1:9" ht="13.5" thickBot="1" x14ac:dyDescent="0.25">
      <c r="B46" s="273" t="s">
        <v>137</v>
      </c>
      <c r="C46" s="274"/>
      <c r="D46" s="274"/>
      <c r="E46" s="275"/>
    </row>
    <row r="47" spans="1:9" ht="13.5" thickBot="1" x14ac:dyDescent="0.25">
      <c r="B47" s="273" t="s">
        <v>138</v>
      </c>
      <c r="C47" s="275"/>
      <c r="D47" s="91" t="s">
        <v>11</v>
      </c>
      <c r="E47" s="91" t="s">
        <v>139</v>
      </c>
    </row>
    <row r="48" spans="1:9" x14ac:dyDescent="0.2">
      <c r="B48" s="280" t="str">
        <f>'[1]COMEDORES EMERGENTES'!$B$3</f>
        <v>UNA SONRISA AV. LOS COBACHO</v>
      </c>
      <c r="C48" s="281"/>
      <c r="D48" s="135" t="s">
        <v>168</v>
      </c>
      <c r="E48" s="136" t="str">
        <f>'[1]COMEDORES EMERGENTES'!$G$3</f>
        <v>Bº SAN CARLOS OESTE AV. Bonifacio cobacho 670</v>
      </c>
    </row>
    <row r="49" spans="2:5" x14ac:dyDescent="0.2">
      <c r="B49" s="271" t="str">
        <f>'[1]COMEDORES EMERGENTES'!$B$4</f>
        <v>C.I.F Nº1 - RIVERA DEL VALLE Y FLORIDA</v>
      </c>
      <c r="C49" s="272"/>
      <c r="D49" s="130" t="s">
        <v>170</v>
      </c>
      <c r="E49" s="131" t="str">
        <f>'[1]COMEDORES EMERGENTES'!$G$4</f>
        <v>AV. RIVIERA DEL VALLE ENTRE FLORIDA Y SANTA FE</v>
      </c>
    </row>
    <row r="50" spans="2:5" x14ac:dyDescent="0.2">
      <c r="B50" s="271" t="str">
        <f>'[1]COMEDORES EMERGENTES'!$B$5</f>
        <v>C.I.F - RIVERA DEL VALLE - DILORENZO</v>
      </c>
      <c r="C50" s="272"/>
      <c r="D50" s="130" t="s">
        <v>171</v>
      </c>
      <c r="E50" s="131" t="str">
        <f>'[1]COMEDORES EMERGENTES'!$G$5</f>
        <v>Bº RIVERA DEL VALLE ENTRE VILLA EUMELIA Y MONTE CRISTO</v>
      </c>
    </row>
    <row r="51" spans="2:5" x14ac:dyDescent="0.2">
      <c r="B51" s="271" t="str">
        <f>'[1]COMEDORES EMERGENTES'!$B$6</f>
        <v>ESFUERZO PROPIO- Bº ALTOS DE CHOYA</v>
      </c>
      <c r="C51" s="272"/>
      <c r="D51" s="130" t="s">
        <v>172</v>
      </c>
      <c r="E51" s="131" t="str">
        <f>'[1]COMEDORES EMERGENTES'!$G$6</f>
        <v>Bº MUNICIPAL 35VV. NORTE C/14</v>
      </c>
    </row>
    <row r="52" spans="2:5" x14ac:dyDescent="0.2">
      <c r="B52" s="271" t="str">
        <f>'[1]COMEDORES EMERGENTES'!$B$7</f>
        <v>ANGELITOS - LOTEO SUSSEX</v>
      </c>
      <c r="C52" s="272"/>
      <c r="D52" s="130" t="s">
        <v>173</v>
      </c>
      <c r="E52" s="131" t="str">
        <f>'[1]COMEDORES EMERGENTES'!$G$7</f>
        <v>Bº LOTEO SUSEX MZA.Nº 4 LOTE Nº3</v>
      </c>
    </row>
    <row r="53" spans="2:5" x14ac:dyDescent="0.2">
      <c r="B53" s="271" t="str">
        <f>'[1]COMEDORES EMERGENTES'!$B$8</f>
        <v>CLUB DEPORTIVO CHACARITA</v>
      </c>
      <c r="C53" s="272"/>
      <c r="D53" s="130" t="s">
        <v>174</v>
      </c>
      <c r="E53" s="131" t="str">
        <f>'[1]COMEDORES EMERGENTES'!$G$8</f>
        <v>CALLE DR.DERMIDIO GALINDEZ C/2660</v>
      </c>
    </row>
    <row r="54" spans="2:5" x14ac:dyDescent="0.2">
      <c r="B54" s="271" t="str">
        <f>'[1]COMEDORES EMERGENTES'!$B$9</f>
        <v>LA MORO</v>
      </c>
      <c r="C54" s="272"/>
      <c r="D54" s="130" t="s">
        <v>169</v>
      </c>
      <c r="E54" s="131" t="str">
        <f>'[1]COMEDORES EMERGENTES'!$G$9</f>
        <v>MAIPU NORTE 1º ETAPA MZA "H" Bº MI JARDIN</v>
      </c>
    </row>
    <row r="55" spans="2:5" x14ac:dyDescent="0.2">
      <c r="B55" s="271" t="str">
        <f>'[1]COMEDORES EMERGENTES'!$B$10</f>
        <v>PAPA FRANCISCO</v>
      </c>
      <c r="C55" s="272"/>
      <c r="D55" s="130" t="s">
        <v>175</v>
      </c>
      <c r="E55" s="131" t="str">
        <f>'[1]COMEDORES EMERGENTES'!$G$10</f>
        <v>ENTRE AV.TEREBINTO Y AV.SAN JUAN LOTE "2" MZA. "B"</v>
      </c>
    </row>
    <row r="56" spans="2:5" x14ac:dyDescent="0.2">
      <c r="B56" s="271" t="str">
        <f>'[1]COMEDORES EMERGENTES'!$B$11</f>
        <v>E.P.C - 100 V.V NORTE</v>
      </c>
      <c r="C56" s="272"/>
      <c r="D56" s="130" t="s">
        <v>176</v>
      </c>
      <c r="E56" s="131" t="str">
        <f>'[1]COMEDORES EMERGENTES'!$G$11</f>
        <v>Bº VV NORTE C/48 ENTRE ESPAÑA Y FRANCIA</v>
      </c>
    </row>
    <row r="57" spans="2:5" x14ac:dyDescent="0.2">
      <c r="B57" s="271" t="str">
        <f>'[1]COMEDORES EMERGENTES'!$B$12</f>
        <v>HOGAR DE CRISTO - PADRE RAUL CONTRERAS</v>
      </c>
      <c r="C57" s="272"/>
      <c r="D57" s="130" t="s">
        <v>176</v>
      </c>
      <c r="E57" s="131" t="str">
        <f>'[1]COMEDORES EMERGENTES'!$G$12</f>
        <v>Bº SANTA MARTA MZA. "S" LOTE "M" C/39</v>
      </c>
    </row>
    <row r="58" spans="2:5" x14ac:dyDescent="0.2">
      <c r="B58" s="271" t="str">
        <f>'[1]COMEDORES EMERGENTES'!$B$13</f>
        <v>LA LUCIERNAGA</v>
      </c>
      <c r="C58" s="272"/>
      <c r="D58" s="130" t="s">
        <v>175</v>
      </c>
      <c r="E58" s="131" t="str">
        <f>'[1]COMEDORES EMERGENTES'!$G$13</f>
        <v>Bº 20 V.V NORTE C/3</v>
      </c>
    </row>
    <row r="59" spans="2:5" x14ac:dyDescent="0.2">
      <c r="B59" s="271" t="str">
        <f>'[1]COMEDORES EMERGENTES'!$B$14</f>
        <v>VALLE VIEJO - SUMALAO</v>
      </c>
      <c r="C59" s="272"/>
      <c r="D59" s="130" t="s">
        <v>177</v>
      </c>
      <c r="E59" s="131" t="str">
        <f>'[1]COMEDORES EMERGENTES'!$G$14</f>
        <v>PADRE SEGURA S/N</v>
      </c>
    </row>
    <row r="60" spans="2:5" x14ac:dyDescent="0.2">
      <c r="B60" s="271" t="str">
        <f>'[1]COMEDORES EMERGENTES'!$B$15</f>
        <v>NUESTRO FUTURO - LAS VIAS</v>
      </c>
      <c r="C60" s="272"/>
      <c r="D60" s="130" t="s">
        <v>175</v>
      </c>
      <c r="E60" s="131" t="str">
        <f>'[1]COMEDORES EMERGENTES'!$G$15</f>
        <v>Bº LAS VIAS OESTE LOTE 42</v>
      </c>
    </row>
    <row r="61" spans="2:5" x14ac:dyDescent="0.2">
      <c r="B61" s="271" t="str">
        <f>'[1]COMEDORES EMERGENTES'!$B$16</f>
        <v>SAN JOSE OBRERO</v>
      </c>
      <c r="C61" s="272"/>
      <c r="D61" s="130" t="s">
        <v>174</v>
      </c>
      <c r="E61" s="131" t="str">
        <f>'[1]COMEDORES EMERGENTES'!$G$16</f>
        <v>Bº SAN JOSE OBRERO. PJE. SANDOVAL S/Nº</v>
      </c>
    </row>
    <row r="62" spans="2:5" x14ac:dyDescent="0.2">
      <c r="B62" s="271" t="str">
        <f>'[1]COMEDORES EMERGENTES'!$B$17</f>
        <v>VIRGEN DE LUJAN</v>
      </c>
      <c r="C62" s="272"/>
      <c r="D62" s="130" t="s">
        <v>175</v>
      </c>
      <c r="E62" s="131" t="str">
        <f>'[1]COMEDORES EMERGENTES'!$G$17</f>
        <v>Bº OJO DE AGUA C/DR.TEODULFO BARRIONUEVO S/Nº</v>
      </c>
    </row>
    <row r="63" spans="2:5" x14ac:dyDescent="0.2">
      <c r="B63" s="271" t="str">
        <f>'[1]COMEDORES EMERGENTES'!$B$18</f>
        <v>RENACER</v>
      </c>
      <c r="C63" s="272"/>
      <c r="D63" s="130" t="s">
        <v>178</v>
      </c>
      <c r="E63" s="131" t="str">
        <f>'[1]COMEDORES EMERGENTES'!$G$18</f>
        <v>Bº VIRGEN MORENITA</v>
      </c>
    </row>
    <row r="64" spans="2:5" x14ac:dyDescent="0.2">
      <c r="B64" s="271" t="str">
        <f>'[1]COMEDORES EMERGENTES'!$B$19</f>
        <v>CENTRO VECINAL MI JARDIN</v>
      </c>
      <c r="C64" s="272"/>
      <c r="D64" s="130" t="s">
        <v>179</v>
      </c>
      <c r="E64" s="131" t="str">
        <f>'[1]COMEDORES EMERGENTES'!$G$19</f>
        <v>C/ LOS TULIPANES ENTRE FLOR DE CEREZO Y HOLANDA MZA.27 Bº MI JARDIN</v>
      </c>
    </row>
    <row r="65" spans="2:5" x14ac:dyDescent="0.2">
      <c r="B65" s="271" t="str">
        <f>'[1]COMEDORES EMERGENTES'!$B$20</f>
        <v>LA VIEJA ESQUINA</v>
      </c>
      <c r="C65" s="272"/>
      <c r="D65" s="130" t="s">
        <v>180</v>
      </c>
      <c r="E65" s="131" t="str">
        <f>'[1]COMEDORES EMERGENTES'!$G$20</f>
        <v>B° CRISTO REY PJE CAPATAZ VILLAFAÑEZ Y ARMANDO CORREA</v>
      </c>
    </row>
    <row r="66" spans="2:5" x14ac:dyDescent="0.2">
      <c r="B66" s="271" t="str">
        <f>'[1]COMEDORES EMERGENTES'!$B$21</f>
        <v>GAUCHITO GIL</v>
      </c>
      <c r="C66" s="272"/>
      <c r="D66" s="130" t="s">
        <v>181</v>
      </c>
      <c r="E66" s="131" t="str">
        <f>'[1]COMEDORES EMERGENTES'!$G$21</f>
        <v>B° 26 VIVIENDAS CASA N° 3</v>
      </c>
    </row>
    <row r="67" spans="2:5" ht="13.5" thickBot="1" x14ac:dyDescent="0.25">
      <c r="B67" s="288" t="str">
        <f>'[1]COMEDORES EMERGENTES'!$B$22</f>
        <v>LOS TOLDOS</v>
      </c>
      <c r="C67" s="289"/>
      <c r="D67" s="137" t="s">
        <v>201</v>
      </c>
      <c r="E67" s="138" t="str">
        <f>'[1]COMEDORES EMERGENTES'!$G$22</f>
        <v>LOTEO PARQUE SUR CALLE S/NOMBRE S/N°</v>
      </c>
    </row>
    <row r="68" spans="2:5" x14ac:dyDescent="0.2">
      <c r="B68" s="50" t="s">
        <v>18</v>
      </c>
      <c r="C68" s="48"/>
      <c r="D68" s="94"/>
      <c r="E68" s="49"/>
    </row>
    <row r="69" spans="2:5" ht="12.75" customHeight="1" x14ac:dyDescent="0.2">
      <c r="B69" s="51"/>
      <c r="C69" s="287" t="s">
        <v>63</v>
      </c>
      <c r="D69" s="287"/>
      <c r="E69" s="287"/>
    </row>
    <row r="70" spans="2:5" x14ac:dyDescent="0.2">
      <c r="B70" s="50" t="s">
        <v>19</v>
      </c>
      <c r="C70" s="52"/>
      <c r="D70" s="52"/>
      <c r="E70" s="53"/>
    </row>
    <row r="71" spans="2:5" ht="14.25" customHeight="1" x14ac:dyDescent="0.2">
      <c r="B71" s="51"/>
      <c r="C71" s="287" t="s">
        <v>140</v>
      </c>
      <c r="D71" s="287"/>
      <c r="E71" s="287"/>
    </row>
    <row r="72" spans="2:5" x14ac:dyDescent="0.2">
      <c r="B72" s="50" t="s">
        <v>20</v>
      </c>
      <c r="C72" s="48"/>
      <c r="D72" s="94"/>
      <c r="E72" s="49"/>
    </row>
    <row r="73" spans="2:5" ht="11.25" customHeight="1" x14ac:dyDescent="0.2">
      <c r="B73" s="50"/>
      <c r="C73" s="286" t="s">
        <v>64</v>
      </c>
      <c r="D73" s="286"/>
      <c r="E73" s="286"/>
    </row>
    <row r="74" spans="2:5" x14ac:dyDescent="0.2">
      <c r="B74" s="54"/>
      <c r="C74" s="55"/>
      <c r="D74" s="95"/>
      <c r="E74" s="56"/>
    </row>
    <row r="75" spans="2:5" ht="13.5" thickBot="1" x14ac:dyDescent="0.25"/>
    <row r="76" spans="2:5" x14ac:dyDescent="0.2">
      <c r="B76" s="44" t="s">
        <v>21</v>
      </c>
      <c r="C76" s="45"/>
      <c r="D76" s="93"/>
      <c r="E76" s="46"/>
    </row>
    <row r="77" spans="2:5" ht="5.25" customHeight="1" x14ac:dyDescent="0.2">
      <c r="B77" s="47"/>
      <c r="C77" s="48"/>
      <c r="D77" s="94"/>
      <c r="E77" s="49"/>
    </row>
    <row r="78" spans="2:5" x14ac:dyDescent="0.2">
      <c r="B78" s="50" t="s">
        <v>16</v>
      </c>
      <c r="C78" s="48"/>
      <c r="D78" s="94"/>
      <c r="E78" s="49"/>
    </row>
    <row r="79" spans="2:5" ht="25.5" customHeight="1" x14ac:dyDescent="0.2">
      <c r="B79" s="50"/>
      <c r="C79" s="287"/>
      <c r="D79" s="287"/>
      <c r="E79" s="287"/>
    </row>
    <row r="80" spans="2:5" ht="13.5" thickBot="1" x14ac:dyDescent="0.25">
      <c r="B80" s="50" t="s">
        <v>17</v>
      </c>
      <c r="C80" s="48"/>
      <c r="D80" s="94"/>
      <c r="E80" s="49"/>
    </row>
    <row r="81" spans="2:5" ht="13.5" thickBot="1" x14ac:dyDescent="0.25">
      <c r="B81" s="273" t="s">
        <v>137</v>
      </c>
      <c r="C81" s="274"/>
      <c r="D81" s="274"/>
      <c r="E81" s="275"/>
    </row>
    <row r="82" spans="2:5" ht="13.5" thickBot="1" x14ac:dyDescent="0.25">
      <c r="B82" s="273" t="s">
        <v>138</v>
      </c>
      <c r="C82" s="275"/>
      <c r="D82" s="91" t="s">
        <v>11</v>
      </c>
      <c r="E82" s="91" t="s">
        <v>139</v>
      </c>
    </row>
    <row r="83" spans="2:5" x14ac:dyDescent="0.2">
      <c r="B83" s="280" t="str">
        <f>'[1]COMEDORES EMERGENTES'!$B$3</f>
        <v>UNA SONRISA AV. LOS COBACHO</v>
      </c>
      <c r="C83" s="281"/>
      <c r="D83" s="135" t="s">
        <v>169</v>
      </c>
      <c r="E83" s="136" t="str">
        <f>'[1]COMEDORES EMERGENTES'!$G$3</f>
        <v>Bº SAN CARLOS OESTE AV. Bonifacio cobacho 670</v>
      </c>
    </row>
    <row r="84" spans="2:5" x14ac:dyDescent="0.2">
      <c r="B84" s="271" t="str">
        <f>'[1]COMEDORES EMERGENTES'!$B$4</f>
        <v>C.I.F Nº1 - RIVERA DEL VALLE Y FLORIDA</v>
      </c>
      <c r="C84" s="272"/>
      <c r="D84" s="130" t="s">
        <v>181</v>
      </c>
      <c r="E84" s="131" t="str">
        <f>'[1]COMEDORES EMERGENTES'!$G$4</f>
        <v>AV. RIVIERA DEL VALLE ENTRE FLORIDA Y SANTA FE</v>
      </c>
    </row>
    <row r="85" spans="2:5" x14ac:dyDescent="0.2">
      <c r="B85" s="271" t="str">
        <f>'[1]COMEDORES EMERGENTES'!$B$5</f>
        <v>C.I.F - RIVERA DEL VALLE - DILORENZO</v>
      </c>
      <c r="C85" s="272"/>
      <c r="D85" s="130" t="s">
        <v>175</v>
      </c>
      <c r="E85" s="131" t="str">
        <f>'[1]COMEDORES EMERGENTES'!$G$5</f>
        <v>Bº RIVERA DEL VALLE ENTRE VILLA EUMELIA Y MONTE CRISTO</v>
      </c>
    </row>
    <row r="86" spans="2:5" x14ac:dyDescent="0.2">
      <c r="B86" s="271" t="str">
        <f>'[1]COMEDORES EMERGENTES'!$B$6</f>
        <v>ESFUERZO PROPIO- Bº ALTOS DE CHOYA</v>
      </c>
      <c r="C86" s="272"/>
      <c r="D86" s="130" t="s">
        <v>168</v>
      </c>
      <c r="E86" s="131" t="str">
        <f>'[1]COMEDORES EMERGENTES'!$G$6</f>
        <v>Bº MUNICIPAL 35VV. NORTE C/14</v>
      </c>
    </row>
    <row r="87" spans="2:5" x14ac:dyDescent="0.2">
      <c r="B87" s="271" t="str">
        <f>'[1]COMEDORES EMERGENTES'!$B$7</f>
        <v>ANGELITOS - LOTEO SUSSEX</v>
      </c>
      <c r="C87" s="272"/>
      <c r="D87" s="130" t="s">
        <v>182</v>
      </c>
      <c r="E87" s="131" t="str">
        <f>'[1]COMEDORES EMERGENTES'!$G$7</f>
        <v>Bº LOTEO SUSEX MZA.Nº 4 LOTE Nº3</v>
      </c>
    </row>
    <row r="88" spans="2:5" x14ac:dyDescent="0.2">
      <c r="B88" s="271" t="str">
        <f>'[1]COMEDORES EMERGENTES'!$B$8</f>
        <v>CLUB DEPORTIVO CHACARITA</v>
      </c>
      <c r="C88" s="272"/>
      <c r="D88" s="130" t="s">
        <v>183</v>
      </c>
      <c r="E88" s="131" t="str">
        <f>'[1]COMEDORES EMERGENTES'!$G$8</f>
        <v>CALLE DR.DERMIDIO GALINDEZ C/2660</v>
      </c>
    </row>
    <row r="89" spans="2:5" x14ac:dyDescent="0.2">
      <c r="B89" s="271" t="str">
        <f>'[1]COMEDORES EMERGENTES'!$B$9</f>
        <v>LA MORO</v>
      </c>
      <c r="C89" s="272"/>
      <c r="D89" s="130" t="s">
        <v>184</v>
      </c>
      <c r="E89" s="131" t="str">
        <f>'[1]COMEDORES EMERGENTES'!$G$9</f>
        <v>MAIPU NORTE 1º ETAPA MZA "H" Bº MI JARDIN</v>
      </c>
    </row>
    <row r="90" spans="2:5" x14ac:dyDescent="0.2">
      <c r="B90" s="271" t="str">
        <f>'[1]COMEDORES EMERGENTES'!$B$10</f>
        <v>PAPA FRANCISCO</v>
      </c>
      <c r="C90" s="272"/>
      <c r="D90" s="130" t="s">
        <v>185</v>
      </c>
      <c r="E90" s="131" t="str">
        <f>'[1]COMEDORES EMERGENTES'!$G$10</f>
        <v>ENTRE AV.TEREBINTO Y AV.SAN JUAN LOTE "2" MZA. "B"</v>
      </c>
    </row>
    <row r="91" spans="2:5" x14ac:dyDescent="0.2">
      <c r="B91" s="271" t="str">
        <f>'[1]COMEDORES EMERGENTES'!$B$11</f>
        <v>E.P.C - 100 V.V NORTE</v>
      </c>
      <c r="C91" s="272"/>
      <c r="D91" s="130" t="s">
        <v>172</v>
      </c>
      <c r="E91" s="131" t="str">
        <f>'[1]COMEDORES EMERGENTES'!$G$11</f>
        <v>Bº VV NORTE C/48 ENTRE ESPAÑA Y FRANCIA</v>
      </c>
    </row>
    <row r="92" spans="2:5" x14ac:dyDescent="0.2">
      <c r="B92" s="271" t="str">
        <f>'[1]COMEDORES EMERGENTES'!$B$12</f>
        <v>HOGAR DE CRISTO - PADRE RAUL CONTRERAS</v>
      </c>
      <c r="C92" s="272"/>
      <c r="D92" s="130" t="s">
        <v>172</v>
      </c>
      <c r="E92" s="131" t="str">
        <f>'[1]COMEDORES EMERGENTES'!$G$12</f>
        <v>Bº SANTA MARTA MZA. "S" LOTE "M" C/39</v>
      </c>
    </row>
    <row r="93" spans="2:5" x14ac:dyDescent="0.2">
      <c r="B93" s="271" t="str">
        <f>'[1]COMEDORES EMERGENTES'!$B$13</f>
        <v>LA LUCIERNAGA</v>
      </c>
      <c r="C93" s="272"/>
      <c r="D93" s="130" t="s">
        <v>185</v>
      </c>
      <c r="E93" s="131" t="str">
        <f>'[1]COMEDORES EMERGENTES'!$G$13</f>
        <v>Bº 20 V.V NORTE C/3</v>
      </c>
    </row>
    <row r="94" spans="2:5" x14ac:dyDescent="0.2">
      <c r="B94" s="271" t="str">
        <f>'[1]COMEDORES EMERGENTES'!$B$14</f>
        <v>VALLE VIEJO - SUMALAO</v>
      </c>
      <c r="C94" s="272"/>
      <c r="D94" s="130" t="s">
        <v>186</v>
      </c>
      <c r="E94" s="131" t="str">
        <f>'[1]COMEDORES EMERGENTES'!$G$14</f>
        <v>PADRE SEGURA S/N</v>
      </c>
    </row>
    <row r="95" spans="2:5" x14ac:dyDescent="0.2">
      <c r="B95" s="271" t="str">
        <f>'[1]COMEDORES EMERGENTES'!$B$15</f>
        <v>NUESTRO FUTURO - LAS VIAS</v>
      </c>
      <c r="C95" s="272"/>
      <c r="D95" s="130" t="s">
        <v>185</v>
      </c>
      <c r="E95" s="131" t="str">
        <f>'[1]COMEDORES EMERGENTES'!$G$15</f>
        <v>Bº LAS VIAS OESTE LOTE 42</v>
      </c>
    </row>
    <row r="96" spans="2:5" x14ac:dyDescent="0.2">
      <c r="B96" s="271" t="str">
        <f>'[1]COMEDORES EMERGENTES'!$B$16</f>
        <v>SAN JOSE OBRERO</v>
      </c>
      <c r="C96" s="272"/>
      <c r="D96" s="130" t="s">
        <v>183</v>
      </c>
      <c r="E96" s="131" t="str">
        <f>'[1]COMEDORES EMERGENTES'!$G$16</f>
        <v>Bº SAN JOSE OBRERO. PJE. SANDOVAL S/Nº</v>
      </c>
    </row>
    <row r="97" spans="2:5" x14ac:dyDescent="0.2">
      <c r="B97" s="271" t="str">
        <f>'[1]COMEDORES EMERGENTES'!$B$17</f>
        <v>VIRGEN DE LUJAN</v>
      </c>
      <c r="C97" s="272"/>
      <c r="D97" s="130" t="s">
        <v>185</v>
      </c>
      <c r="E97" s="131" t="str">
        <f>'[1]COMEDORES EMERGENTES'!$G$17</f>
        <v>Bº OJO DE AGUA C/DR.TEODULFO BARRIONUEVO S/Nº</v>
      </c>
    </row>
    <row r="98" spans="2:5" x14ac:dyDescent="0.2">
      <c r="B98" s="271" t="str">
        <f>'[1]COMEDORES EMERGENTES'!$B$18</f>
        <v>RENACER</v>
      </c>
      <c r="C98" s="272"/>
      <c r="D98" s="130" t="s">
        <v>187</v>
      </c>
      <c r="E98" s="131" t="str">
        <f>'[1]COMEDORES EMERGENTES'!$G$18</f>
        <v>Bº VIRGEN MORENITA</v>
      </c>
    </row>
    <row r="99" spans="2:5" x14ac:dyDescent="0.2">
      <c r="B99" s="271" t="str">
        <f>'[1]COMEDORES EMERGENTES'!$B$19</f>
        <v>CENTRO VECINAL MI JARDIN</v>
      </c>
      <c r="C99" s="272"/>
      <c r="D99" s="130" t="s">
        <v>174</v>
      </c>
      <c r="E99" s="131" t="str">
        <f>'[1]COMEDORES EMERGENTES'!$G$19</f>
        <v>C/ LOS TULIPANES ENTRE FLOR DE CEREZO Y HOLANDA MZA.27 Bº MI JARDIN</v>
      </c>
    </row>
    <row r="100" spans="2:5" x14ac:dyDescent="0.2">
      <c r="B100" s="271" t="str">
        <f>'[1]COMEDORES EMERGENTES'!$B$20</f>
        <v>LA VIEJA ESQUINA</v>
      </c>
      <c r="C100" s="272"/>
      <c r="D100" s="130" t="s">
        <v>188</v>
      </c>
      <c r="E100" s="131" t="str">
        <f>'[1]COMEDORES EMERGENTES'!$G$20</f>
        <v>B° CRISTO REY PJE CAPATAZ VILLAFAÑEZ Y ARMANDO CORREA</v>
      </c>
    </row>
    <row r="101" spans="2:5" x14ac:dyDescent="0.2">
      <c r="B101" s="271" t="str">
        <f>'[1]COMEDORES EMERGENTES'!$B$21</f>
        <v>GAUCHITO GIL</v>
      </c>
      <c r="C101" s="272"/>
      <c r="D101" s="130" t="s">
        <v>169</v>
      </c>
      <c r="E101" s="131" t="str">
        <f>'[1]COMEDORES EMERGENTES'!$G$21</f>
        <v>B° 26 VIVIENDAS CASA N° 3</v>
      </c>
    </row>
    <row r="102" spans="2:5" ht="13.5" thickBot="1" x14ac:dyDescent="0.25">
      <c r="B102" s="288" t="str">
        <f>'[1]COMEDORES EMERGENTES'!$B$22</f>
        <v>LOS TOLDOS</v>
      </c>
      <c r="C102" s="289"/>
      <c r="D102" s="137" t="s">
        <v>200</v>
      </c>
      <c r="E102" s="138" t="str">
        <f>'[1]COMEDORES EMERGENTES'!$G$22</f>
        <v>LOTEO PARQUE SUR CALLE S/NOMBRE S/N°</v>
      </c>
    </row>
    <row r="103" spans="2:5" x14ac:dyDescent="0.2">
      <c r="B103" s="50" t="s">
        <v>18</v>
      </c>
      <c r="C103" s="48"/>
      <c r="D103" s="94"/>
      <c r="E103" s="49"/>
    </row>
    <row r="104" spans="2:5" ht="12.75" customHeight="1" x14ac:dyDescent="0.2">
      <c r="B104" s="51"/>
      <c r="C104" s="287" t="s">
        <v>63</v>
      </c>
      <c r="D104" s="287"/>
      <c r="E104" s="287"/>
    </row>
    <row r="105" spans="2:5" x14ac:dyDescent="0.2">
      <c r="B105" s="50" t="s">
        <v>19</v>
      </c>
      <c r="C105" s="52"/>
      <c r="D105" s="52"/>
      <c r="E105" s="53"/>
    </row>
    <row r="106" spans="2:5" ht="14.25" customHeight="1" x14ac:dyDescent="0.2">
      <c r="B106" s="51"/>
      <c r="C106" s="287" t="s">
        <v>140</v>
      </c>
      <c r="D106" s="287"/>
      <c r="E106" s="287"/>
    </row>
    <row r="107" spans="2:5" x14ac:dyDescent="0.2">
      <c r="B107" s="50" t="s">
        <v>20</v>
      </c>
      <c r="C107" s="48"/>
      <c r="D107" s="94"/>
      <c r="E107" s="49"/>
    </row>
    <row r="108" spans="2:5" ht="11.25" customHeight="1" x14ac:dyDescent="0.2">
      <c r="B108" s="50"/>
      <c r="C108" s="286" t="s">
        <v>64</v>
      </c>
      <c r="D108" s="286"/>
      <c r="E108" s="286"/>
    </row>
    <row r="109" spans="2:5" ht="13.5" thickBot="1" x14ac:dyDescent="0.25">
      <c r="B109" s="54"/>
      <c r="C109" s="55"/>
      <c r="D109" s="95"/>
      <c r="E109" s="56"/>
    </row>
    <row r="110" spans="2:5" ht="13.5" thickBot="1" x14ac:dyDescent="0.25"/>
    <row r="111" spans="2:5" x14ac:dyDescent="0.2">
      <c r="B111" s="44" t="s">
        <v>65</v>
      </c>
      <c r="C111" s="45"/>
      <c r="D111" s="93"/>
      <c r="E111" s="46"/>
    </row>
    <row r="112" spans="2:5" ht="5.25" customHeight="1" x14ac:dyDescent="0.2">
      <c r="B112" s="47"/>
      <c r="C112" s="48"/>
      <c r="D112" s="94"/>
      <c r="E112" s="49"/>
    </row>
    <row r="113" spans="2:5" x14ac:dyDescent="0.2">
      <c r="B113" s="50" t="s">
        <v>16</v>
      </c>
      <c r="C113" s="48"/>
      <c r="D113" s="94"/>
      <c r="E113" s="49"/>
    </row>
    <row r="114" spans="2:5" ht="25.5" customHeight="1" x14ac:dyDescent="0.2">
      <c r="B114" s="50"/>
      <c r="C114" s="277"/>
      <c r="D114" s="277"/>
      <c r="E114" s="278"/>
    </row>
    <row r="115" spans="2:5" ht="13.5" thickBot="1" x14ac:dyDescent="0.25">
      <c r="B115" s="50" t="s">
        <v>17</v>
      </c>
      <c r="C115" s="48"/>
      <c r="D115" s="94"/>
      <c r="E115" s="49"/>
    </row>
    <row r="116" spans="2:5" ht="13.5" thickBot="1" x14ac:dyDescent="0.25">
      <c r="B116" s="273" t="s">
        <v>137</v>
      </c>
      <c r="C116" s="274"/>
      <c r="D116" s="274"/>
      <c r="E116" s="275"/>
    </row>
    <row r="117" spans="2:5" ht="13.5" thickBot="1" x14ac:dyDescent="0.25">
      <c r="B117" s="273" t="s">
        <v>138</v>
      </c>
      <c r="C117" s="275"/>
      <c r="D117" s="91" t="s">
        <v>11</v>
      </c>
      <c r="E117" s="91" t="s">
        <v>139</v>
      </c>
    </row>
    <row r="118" spans="2:5" x14ac:dyDescent="0.2">
      <c r="B118" s="280" t="str">
        <f>'[1]COMEDORES EMERGENTES'!$B$3</f>
        <v>UNA SONRISA AV. LOS COBACHO</v>
      </c>
      <c r="C118" s="281"/>
      <c r="D118" s="135" t="s">
        <v>189</v>
      </c>
      <c r="E118" s="136" t="str">
        <f>'[1]COMEDORES EMERGENTES'!$G$3</f>
        <v>Bº SAN CARLOS OESTE AV. Bonifacio cobacho 670</v>
      </c>
    </row>
    <row r="119" spans="2:5" x14ac:dyDescent="0.2">
      <c r="B119" s="271" t="str">
        <f>'[1]COMEDORES EMERGENTES'!$B$4</f>
        <v>C.I.F Nº1 - RIVERA DEL VALLE Y FLORIDA</v>
      </c>
      <c r="C119" s="272"/>
      <c r="D119" s="130" t="s">
        <v>190</v>
      </c>
      <c r="E119" s="131" t="str">
        <f>'[1]COMEDORES EMERGENTES'!$G$4</f>
        <v>AV. RIVIERA DEL VALLE ENTRE FLORIDA Y SANTA FE</v>
      </c>
    </row>
    <row r="120" spans="2:5" x14ac:dyDescent="0.2">
      <c r="B120" s="271" t="str">
        <f>'[1]COMEDORES EMERGENTES'!$B$5</f>
        <v>C.I.F - RIVERA DEL VALLE - DILORENZO</v>
      </c>
      <c r="C120" s="272"/>
      <c r="D120" s="130" t="s">
        <v>191</v>
      </c>
      <c r="E120" s="131" t="str">
        <f>'[1]COMEDORES EMERGENTES'!$G$5</f>
        <v>Bº RIVERA DEL VALLE ENTRE VILLA EUMELIA Y MONTE CRISTO</v>
      </c>
    </row>
    <row r="121" spans="2:5" x14ac:dyDescent="0.2">
      <c r="B121" s="271" t="str">
        <f>'[1]COMEDORES EMERGENTES'!$B$6</f>
        <v>ESFUERZO PROPIO- Bº ALTOS DE CHOYA</v>
      </c>
      <c r="C121" s="272"/>
      <c r="D121" s="130" t="s">
        <v>192</v>
      </c>
      <c r="E121" s="131" t="str">
        <f>'[1]COMEDORES EMERGENTES'!$G$6</f>
        <v>Bº MUNICIPAL 35VV. NORTE C/14</v>
      </c>
    </row>
    <row r="122" spans="2:5" x14ac:dyDescent="0.2">
      <c r="B122" s="271" t="str">
        <f>'[1]COMEDORES EMERGENTES'!$B$7</f>
        <v>ANGELITOS - LOTEO SUSSEX</v>
      </c>
      <c r="C122" s="272"/>
      <c r="D122" s="130" t="s">
        <v>174</v>
      </c>
      <c r="E122" s="131" t="str">
        <f>'[1]COMEDORES EMERGENTES'!$G$7</f>
        <v>Bº LOTEO SUSEX MZA.Nº 4 LOTE Nº3</v>
      </c>
    </row>
    <row r="123" spans="2:5" x14ac:dyDescent="0.2">
      <c r="B123" s="271" t="str">
        <f>'[1]COMEDORES EMERGENTES'!$B$8</f>
        <v>CLUB DEPORTIVO CHACARITA</v>
      </c>
      <c r="C123" s="272"/>
      <c r="D123" s="130" t="s">
        <v>180</v>
      </c>
      <c r="E123" s="131" t="str">
        <f>'[1]COMEDORES EMERGENTES'!$G$8</f>
        <v>CALLE DR.DERMIDIO GALINDEZ C/2660</v>
      </c>
    </row>
    <row r="124" spans="2:5" x14ac:dyDescent="0.2">
      <c r="B124" s="271" t="str">
        <f>'[1]COMEDORES EMERGENTES'!$B$9</f>
        <v>LA MORO</v>
      </c>
      <c r="C124" s="272"/>
      <c r="D124" s="130" t="s">
        <v>168</v>
      </c>
      <c r="E124" s="131" t="str">
        <f>'[1]COMEDORES EMERGENTES'!$G$9</f>
        <v>MAIPU NORTE 1º ETAPA MZA "H" Bº MI JARDIN</v>
      </c>
    </row>
    <row r="125" spans="2:5" x14ac:dyDescent="0.2">
      <c r="B125" s="271" t="str">
        <f>'[1]COMEDORES EMERGENTES'!$B$10</f>
        <v>PAPA FRANCISCO</v>
      </c>
      <c r="C125" s="272"/>
      <c r="D125" s="130" t="s">
        <v>193</v>
      </c>
      <c r="E125" s="131" t="str">
        <f>'[1]COMEDORES EMERGENTES'!$G$10</f>
        <v>ENTRE AV.TEREBINTO Y AV.SAN JUAN LOTE "2" MZA. "B"</v>
      </c>
    </row>
    <row r="126" spans="2:5" x14ac:dyDescent="0.2">
      <c r="B126" s="271" t="str">
        <f>'[1]COMEDORES EMERGENTES'!$B$11</f>
        <v>E.P.C - 100 V.V NORTE</v>
      </c>
      <c r="C126" s="272"/>
      <c r="D126" s="130" t="s">
        <v>194</v>
      </c>
      <c r="E126" s="131" t="str">
        <f>'[1]COMEDORES EMERGENTES'!$G$11</f>
        <v>Bº VV NORTE C/48 ENTRE ESPAÑA Y FRANCIA</v>
      </c>
    </row>
    <row r="127" spans="2:5" x14ac:dyDescent="0.2">
      <c r="B127" s="271" t="str">
        <f>'[1]COMEDORES EMERGENTES'!$B$12</f>
        <v>HOGAR DE CRISTO - PADRE RAUL CONTRERAS</v>
      </c>
      <c r="C127" s="272"/>
      <c r="D127" s="130" t="s">
        <v>194</v>
      </c>
      <c r="E127" s="131" t="str">
        <f>'[1]COMEDORES EMERGENTES'!$G$12</f>
        <v>Bº SANTA MARTA MZA. "S" LOTE "M" C/39</v>
      </c>
    </row>
    <row r="128" spans="2:5" x14ac:dyDescent="0.2">
      <c r="B128" s="271" t="str">
        <f>'[1]COMEDORES EMERGENTES'!$B$13</f>
        <v>LA LUCIERNAGA</v>
      </c>
      <c r="C128" s="272"/>
      <c r="D128" s="130" t="s">
        <v>193</v>
      </c>
      <c r="E128" s="131" t="str">
        <f>'[1]COMEDORES EMERGENTES'!$G$13</f>
        <v>Bº 20 V.V NORTE C/3</v>
      </c>
    </row>
    <row r="129" spans="2:5" x14ac:dyDescent="0.2">
      <c r="B129" s="271" t="str">
        <f>'[1]COMEDORES EMERGENTES'!$B$14</f>
        <v>VALLE VIEJO - SUMALAO</v>
      </c>
      <c r="C129" s="272"/>
      <c r="D129" s="130" t="s">
        <v>195</v>
      </c>
      <c r="E129" s="131" t="str">
        <f>'[1]COMEDORES EMERGENTES'!$G$14</f>
        <v>PADRE SEGURA S/N</v>
      </c>
    </row>
    <row r="130" spans="2:5" x14ac:dyDescent="0.2">
      <c r="B130" s="271" t="str">
        <f>'[1]COMEDORES EMERGENTES'!$B$15</f>
        <v>NUESTRO FUTURO - LAS VIAS</v>
      </c>
      <c r="C130" s="272"/>
      <c r="D130" s="130" t="s">
        <v>193</v>
      </c>
      <c r="E130" s="131" t="str">
        <f>'[1]COMEDORES EMERGENTES'!$G$15</f>
        <v>Bº LAS VIAS OESTE LOTE 42</v>
      </c>
    </row>
    <row r="131" spans="2:5" x14ac:dyDescent="0.2">
      <c r="B131" s="271" t="str">
        <f>'[1]COMEDORES EMERGENTES'!$B$16</f>
        <v>SAN JOSE OBRERO</v>
      </c>
      <c r="C131" s="272"/>
      <c r="D131" s="130" t="s">
        <v>180</v>
      </c>
      <c r="E131" s="131" t="str">
        <f>'[1]COMEDORES EMERGENTES'!$G$16</f>
        <v>Bº SAN JOSE OBRERO. PJE. SANDOVAL S/Nº</v>
      </c>
    </row>
    <row r="132" spans="2:5" x14ac:dyDescent="0.2">
      <c r="B132" s="271" t="str">
        <f>'[1]COMEDORES EMERGENTES'!$B$17</f>
        <v>VIRGEN DE LUJAN</v>
      </c>
      <c r="C132" s="272"/>
      <c r="D132" s="130" t="s">
        <v>193</v>
      </c>
      <c r="E132" s="131" t="str">
        <f>'[1]COMEDORES EMERGENTES'!$G$17</f>
        <v>Bº OJO DE AGUA C/DR.TEODULFO BARRIONUEVO S/Nº</v>
      </c>
    </row>
    <row r="133" spans="2:5" x14ac:dyDescent="0.2">
      <c r="B133" s="271" t="str">
        <f>'[1]COMEDORES EMERGENTES'!$B$18</f>
        <v>RENACER</v>
      </c>
      <c r="C133" s="272"/>
      <c r="D133" s="130" t="s">
        <v>196</v>
      </c>
      <c r="E133" s="131" t="str">
        <f>'[1]COMEDORES EMERGENTES'!$G$18</f>
        <v>Bº VIRGEN MORENITA</v>
      </c>
    </row>
    <row r="134" spans="2:5" x14ac:dyDescent="0.2">
      <c r="B134" s="271" t="str">
        <f>'[1]COMEDORES EMERGENTES'!$B$19</f>
        <v>CENTRO VECINAL MI JARDIN</v>
      </c>
      <c r="C134" s="272"/>
      <c r="D134" s="130" t="s">
        <v>197</v>
      </c>
      <c r="E134" s="131" t="str">
        <f>'[1]COMEDORES EMERGENTES'!$G$19</f>
        <v>C/ LOS TULIPANES ENTRE FLOR DE CEREZO Y HOLANDA MZA.27 Bº MI JARDIN</v>
      </c>
    </row>
    <row r="135" spans="2:5" x14ac:dyDescent="0.2">
      <c r="B135" s="271" t="str">
        <f>'[1]COMEDORES EMERGENTES'!$B$20</f>
        <v>LA VIEJA ESQUINA</v>
      </c>
      <c r="C135" s="272"/>
      <c r="D135" s="130" t="s">
        <v>198</v>
      </c>
      <c r="E135" s="131" t="str">
        <f>'[1]COMEDORES EMERGENTES'!$G$20</f>
        <v>B° CRISTO REY PJE CAPATAZ VILLAFAÑEZ Y ARMANDO CORREA</v>
      </c>
    </row>
    <row r="136" spans="2:5" x14ac:dyDescent="0.2">
      <c r="B136" s="271" t="str">
        <f>'[1]COMEDORES EMERGENTES'!$B$21</f>
        <v>GAUCHITO GIL</v>
      </c>
      <c r="C136" s="272"/>
      <c r="D136" s="130" t="s">
        <v>198</v>
      </c>
      <c r="E136" s="131" t="str">
        <f>'[1]COMEDORES EMERGENTES'!$G$21</f>
        <v>B° 26 VIVIENDAS CASA N° 3</v>
      </c>
    </row>
    <row r="137" spans="2:5" ht="13.5" thickBot="1" x14ac:dyDescent="0.25">
      <c r="B137" s="288" t="str">
        <f>'[1]COMEDORES EMERGENTES'!$B$22</f>
        <v>LOS TOLDOS</v>
      </c>
      <c r="C137" s="289"/>
      <c r="D137" s="137" t="s">
        <v>203</v>
      </c>
      <c r="E137" s="138" t="str">
        <f>'[1]COMEDORES EMERGENTES'!$G$22</f>
        <v>LOTEO PARQUE SUR CALLE S/NOMBRE S/N°</v>
      </c>
    </row>
    <row r="138" spans="2:5" x14ac:dyDescent="0.2">
      <c r="B138" s="50" t="s">
        <v>18</v>
      </c>
      <c r="C138" s="48"/>
      <c r="D138" s="94"/>
      <c r="E138" s="49"/>
    </row>
    <row r="139" spans="2:5" ht="12.75" customHeight="1" x14ac:dyDescent="0.2">
      <c r="B139" s="51"/>
      <c r="C139" s="287" t="s">
        <v>63</v>
      </c>
      <c r="D139" s="287"/>
      <c r="E139" s="287"/>
    </row>
    <row r="140" spans="2:5" x14ac:dyDescent="0.2">
      <c r="B140" s="50" t="s">
        <v>19</v>
      </c>
      <c r="C140" s="52"/>
      <c r="D140" s="52"/>
      <c r="E140" s="53"/>
    </row>
    <row r="141" spans="2:5" ht="14.25" customHeight="1" x14ac:dyDescent="0.2">
      <c r="B141" s="51"/>
      <c r="C141" s="287" t="s">
        <v>140</v>
      </c>
      <c r="D141" s="287"/>
      <c r="E141" s="287"/>
    </row>
    <row r="142" spans="2:5" x14ac:dyDescent="0.2">
      <c r="B142" s="50" t="s">
        <v>20</v>
      </c>
      <c r="C142" s="48"/>
      <c r="D142" s="94"/>
      <c r="E142" s="49"/>
    </row>
    <row r="143" spans="2:5" ht="11.25" customHeight="1" x14ac:dyDescent="0.2">
      <c r="B143" s="50"/>
      <c r="C143" s="286" t="s">
        <v>64</v>
      </c>
      <c r="D143" s="286"/>
      <c r="E143" s="286"/>
    </row>
    <row r="144" spans="2:5" ht="13.5" thickBot="1" x14ac:dyDescent="0.25">
      <c r="B144" s="54"/>
      <c r="C144" s="55"/>
      <c r="D144" s="95"/>
      <c r="E144" s="56"/>
    </row>
    <row r="145" spans="2:5" ht="13.5" thickBot="1" x14ac:dyDescent="0.25"/>
    <row r="146" spans="2:5" x14ac:dyDescent="0.2">
      <c r="B146" s="44" t="s">
        <v>141</v>
      </c>
      <c r="C146" s="45"/>
      <c r="D146" s="93"/>
      <c r="E146" s="46"/>
    </row>
    <row r="147" spans="2:5" ht="5.25" customHeight="1" x14ac:dyDescent="0.2">
      <c r="B147" s="47"/>
      <c r="C147" s="48"/>
      <c r="D147" s="94"/>
      <c r="E147" s="49"/>
    </row>
    <row r="148" spans="2:5" x14ac:dyDescent="0.2">
      <c r="B148" s="50" t="s">
        <v>16</v>
      </c>
      <c r="C148" s="48"/>
      <c r="D148" s="94"/>
      <c r="E148" s="49"/>
    </row>
    <row r="149" spans="2:5" ht="25.5" customHeight="1" x14ac:dyDescent="0.2">
      <c r="B149" s="50"/>
      <c r="C149" s="277"/>
      <c r="D149" s="277"/>
      <c r="E149" s="278"/>
    </row>
    <row r="150" spans="2:5" ht="13.5" thickBot="1" x14ac:dyDescent="0.25">
      <c r="B150" s="50" t="s">
        <v>17</v>
      </c>
      <c r="C150" s="48"/>
      <c r="D150" s="94"/>
      <c r="E150" s="49"/>
    </row>
    <row r="151" spans="2:5" ht="13.5" thickBot="1" x14ac:dyDescent="0.25">
      <c r="B151" s="273" t="s">
        <v>137</v>
      </c>
      <c r="C151" s="274"/>
      <c r="D151" s="274"/>
      <c r="E151" s="275"/>
    </row>
    <row r="152" spans="2:5" ht="13.5" thickBot="1" x14ac:dyDescent="0.25">
      <c r="B152" s="273" t="s">
        <v>138</v>
      </c>
      <c r="C152" s="275"/>
      <c r="D152" s="91" t="s">
        <v>11</v>
      </c>
      <c r="E152" s="91" t="s">
        <v>139</v>
      </c>
    </row>
    <row r="153" spans="2:5" x14ac:dyDescent="0.2">
      <c r="B153" s="280" t="str">
        <f>'[1]COMEDORES EMERGENTES'!$B$3</f>
        <v>UNA SONRISA AV. LOS COBACHO</v>
      </c>
      <c r="C153" s="281"/>
      <c r="D153" s="135" t="s">
        <v>189</v>
      </c>
      <c r="E153" s="136" t="str">
        <f>'[1]COMEDORES EMERGENTES'!$G$3</f>
        <v>Bº SAN CARLOS OESTE AV. Bonifacio cobacho 670</v>
      </c>
    </row>
    <row r="154" spans="2:5" x14ac:dyDescent="0.2">
      <c r="B154" s="271" t="str">
        <f>'[1]COMEDORES EMERGENTES'!$B$4</f>
        <v>C.I.F Nº1 - RIVERA DEL VALLE Y FLORIDA</v>
      </c>
      <c r="C154" s="272"/>
      <c r="D154" s="130" t="s">
        <v>190</v>
      </c>
      <c r="E154" s="131" t="str">
        <f>'[1]COMEDORES EMERGENTES'!$G$4</f>
        <v>AV. RIVIERA DEL VALLE ENTRE FLORIDA Y SANTA FE</v>
      </c>
    </row>
    <row r="155" spans="2:5" x14ac:dyDescent="0.2">
      <c r="B155" s="271" t="str">
        <f>'[1]COMEDORES EMERGENTES'!$B$5</f>
        <v>C.I.F - RIVERA DEL VALLE - DILORENZO</v>
      </c>
      <c r="C155" s="272"/>
      <c r="D155" s="130" t="s">
        <v>191</v>
      </c>
      <c r="E155" s="131" t="str">
        <f>'[1]COMEDORES EMERGENTES'!$G$5</f>
        <v>Bº RIVERA DEL VALLE ENTRE VILLA EUMELIA Y MONTE CRISTO</v>
      </c>
    </row>
    <row r="156" spans="2:5" x14ac:dyDescent="0.2">
      <c r="B156" s="271" t="str">
        <f>'[1]COMEDORES EMERGENTES'!$B$6</f>
        <v>ESFUERZO PROPIO- Bº ALTOS DE CHOYA</v>
      </c>
      <c r="C156" s="272"/>
      <c r="D156" s="130" t="s">
        <v>192</v>
      </c>
      <c r="E156" s="131" t="str">
        <f>'[1]COMEDORES EMERGENTES'!$G$6</f>
        <v>Bº MUNICIPAL 35VV. NORTE C/14</v>
      </c>
    </row>
    <row r="157" spans="2:5" x14ac:dyDescent="0.2">
      <c r="B157" s="271" t="str">
        <f>'[1]COMEDORES EMERGENTES'!$B$7</f>
        <v>ANGELITOS - LOTEO SUSSEX</v>
      </c>
      <c r="C157" s="272"/>
      <c r="D157" s="130" t="s">
        <v>174</v>
      </c>
      <c r="E157" s="131" t="str">
        <f>'[1]COMEDORES EMERGENTES'!$G$7</f>
        <v>Bº LOTEO SUSEX MZA.Nº 4 LOTE Nº3</v>
      </c>
    </row>
    <row r="158" spans="2:5" x14ac:dyDescent="0.2">
      <c r="B158" s="271" t="str">
        <f>'[1]COMEDORES EMERGENTES'!$B$8</f>
        <v>CLUB DEPORTIVO CHACARITA</v>
      </c>
      <c r="C158" s="272"/>
      <c r="D158" s="130" t="s">
        <v>180</v>
      </c>
      <c r="E158" s="131" t="str">
        <f>'[1]COMEDORES EMERGENTES'!$G$8</f>
        <v>CALLE DR.DERMIDIO GALINDEZ C/2660</v>
      </c>
    </row>
    <row r="159" spans="2:5" x14ac:dyDescent="0.2">
      <c r="B159" s="271" t="str">
        <f>'[1]COMEDORES EMERGENTES'!$B$9</f>
        <v>LA MORO</v>
      </c>
      <c r="C159" s="272"/>
      <c r="D159" s="130" t="s">
        <v>168</v>
      </c>
      <c r="E159" s="131" t="str">
        <f>'[1]COMEDORES EMERGENTES'!$G$9</f>
        <v>MAIPU NORTE 1º ETAPA MZA "H" Bº MI JARDIN</v>
      </c>
    </row>
    <row r="160" spans="2:5" x14ac:dyDescent="0.2">
      <c r="B160" s="271" t="str">
        <f>'[1]COMEDORES EMERGENTES'!$B$10</f>
        <v>PAPA FRANCISCO</v>
      </c>
      <c r="C160" s="272"/>
      <c r="D160" s="130" t="s">
        <v>193</v>
      </c>
      <c r="E160" s="131" t="str">
        <f>'[1]COMEDORES EMERGENTES'!$G$10</f>
        <v>ENTRE AV.TEREBINTO Y AV.SAN JUAN LOTE "2" MZA. "B"</v>
      </c>
    </row>
    <row r="161" spans="2:5" x14ac:dyDescent="0.2">
      <c r="B161" s="271" t="str">
        <f>'[1]COMEDORES EMERGENTES'!$B$11</f>
        <v>E.P.C - 100 V.V NORTE</v>
      </c>
      <c r="C161" s="272"/>
      <c r="D161" s="130" t="s">
        <v>194</v>
      </c>
      <c r="E161" s="131" t="str">
        <f>'[1]COMEDORES EMERGENTES'!$G$11</f>
        <v>Bº VV NORTE C/48 ENTRE ESPAÑA Y FRANCIA</v>
      </c>
    </row>
    <row r="162" spans="2:5" x14ac:dyDescent="0.2">
      <c r="B162" s="271" t="str">
        <f>'[1]COMEDORES EMERGENTES'!$B$12</f>
        <v>HOGAR DE CRISTO - PADRE RAUL CONTRERAS</v>
      </c>
      <c r="C162" s="272"/>
      <c r="D162" s="130" t="s">
        <v>194</v>
      </c>
      <c r="E162" s="131" t="str">
        <f>'[1]COMEDORES EMERGENTES'!$G$12</f>
        <v>Bº SANTA MARTA MZA. "S" LOTE "M" C/39</v>
      </c>
    </row>
    <row r="163" spans="2:5" x14ac:dyDescent="0.2">
      <c r="B163" s="271" t="str">
        <f>'[1]COMEDORES EMERGENTES'!$B$13</f>
        <v>LA LUCIERNAGA</v>
      </c>
      <c r="C163" s="272"/>
      <c r="D163" s="130" t="s">
        <v>193</v>
      </c>
      <c r="E163" s="131" t="str">
        <f>'[1]COMEDORES EMERGENTES'!$G$13</f>
        <v>Bº 20 V.V NORTE C/3</v>
      </c>
    </row>
    <row r="164" spans="2:5" x14ac:dyDescent="0.2">
      <c r="B164" s="271" t="str">
        <f>'[1]COMEDORES EMERGENTES'!$B$14</f>
        <v>VALLE VIEJO - SUMALAO</v>
      </c>
      <c r="C164" s="272"/>
      <c r="D164" s="130" t="s">
        <v>195</v>
      </c>
      <c r="E164" s="131" t="str">
        <f>'[1]COMEDORES EMERGENTES'!$G$14</f>
        <v>PADRE SEGURA S/N</v>
      </c>
    </row>
    <row r="165" spans="2:5" x14ac:dyDescent="0.2">
      <c r="B165" s="271" t="str">
        <f>'[1]COMEDORES EMERGENTES'!$B$15</f>
        <v>NUESTRO FUTURO - LAS VIAS</v>
      </c>
      <c r="C165" s="272"/>
      <c r="D165" s="130" t="s">
        <v>193</v>
      </c>
      <c r="E165" s="131" t="str">
        <f>'[1]COMEDORES EMERGENTES'!$G$15</f>
        <v>Bº LAS VIAS OESTE LOTE 42</v>
      </c>
    </row>
    <row r="166" spans="2:5" x14ac:dyDescent="0.2">
      <c r="B166" s="271" t="str">
        <f>'[1]COMEDORES EMERGENTES'!$B$16</f>
        <v>SAN JOSE OBRERO</v>
      </c>
      <c r="C166" s="272"/>
      <c r="D166" s="130" t="s">
        <v>180</v>
      </c>
      <c r="E166" s="131" t="str">
        <f>'[1]COMEDORES EMERGENTES'!$G$16</f>
        <v>Bº SAN JOSE OBRERO. PJE. SANDOVAL S/Nº</v>
      </c>
    </row>
    <row r="167" spans="2:5" x14ac:dyDescent="0.2">
      <c r="B167" s="271" t="str">
        <f>'[1]COMEDORES EMERGENTES'!$B$17</f>
        <v>VIRGEN DE LUJAN</v>
      </c>
      <c r="C167" s="272"/>
      <c r="D167" s="130" t="s">
        <v>193</v>
      </c>
      <c r="E167" s="131" t="str">
        <f>'[1]COMEDORES EMERGENTES'!$G$17</f>
        <v>Bº OJO DE AGUA C/DR.TEODULFO BARRIONUEVO S/Nº</v>
      </c>
    </row>
    <row r="168" spans="2:5" x14ac:dyDescent="0.2">
      <c r="B168" s="271" t="str">
        <f>'[1]COMEDORES EMERGENTES'!$B$18</f>
        <v>RENACER</v>
      </c>
      <c r="C168" s="272"/>
      <c r="D168" s="130" t="s">
        <v>196</v>
      </c>
      <c r="E168" s="131" t="str">
        <f>'[1]COMEDORES EMERGENTES'!$G$18</f>
        <v>Bº VIRGEN MORENITA</v>
      </c>
    </row>
    <row r="169" spans="2:5" x14ac:dyDescent="0.2">
      <c r="B169" s="271" t="str">
        <f>'[1]COMEDORES EMERGENTES'!$B$19</f>
        <v>CENTRO VECINAL MI JARDIN</v>
      </c>
      <c r="C169" s="272"/>
      <c r="D169" s="130" t="s">
        <v>197</v>
      </c>
      <c r="E169" s="131" t="str">
        <f>'[1]COMEDORES EMERGENTES'!$G$19</f>
        <v>C/ LOS TULIPANES ENTRE FLOR DE CEREZO Y HOLANDA MZA.27 Bº MI JARDIN</v>
      </c>
    </row>
    <row r="170" spans="2:5" x14ac:dyDescent="0.2">
      <c r="B170" s="271" t="str">
        <f>'[1]COMEDORES EMERGENTES'!$B$20</f>
        <v>LA VIEJA ESQUINA</v>
      </c>
      <c r="C170" s="272"/>
      <c r="D170" s="130" t="s">
        <v>198</v>
      </c>
      <c r="E170" s="131" t="str">
        <f>'[1]COMEDORES EMERGENTES'!$G$20</f>
        <v>B° CRISTO REY PJE CAPATAZ VILLAFAÑEZ Y ARMANDO CORREA</v>
      </c>
    </row>
    <row r="171" spans="2:5" x14ac:dyDescent="0.2">
      <c r="B171" s="271" t="str">
        <f>'[1]COMEDORES EMERGENTES'!$B$21</f>
        <v>GAUCHITO GIL</v>
      </c>
      <c r="C171" s="272"/>
      <c r="D171" s="130" t="s">
        <v>198</v>
      </c>
      <c r="E171" s="131" t="str">
        <f>'[1]COMEDORES EMERGENTES'!$G$21</f>
        <v>B° 26 VIVIENDAS CASA N° 3</v>
      </c>
    </row>
    <row r="172" spans="2:5" ht="13.5" thickBot="1" x14ac:dyDescent="0.25">
      <c r="B172" s="288" t="str">
        <f>'[1]COMEDORES EMERGENTES'!$B$22</f>
        <v>LOS TOLDOS</v>
      </c>
      <c r="C172" s="289"/>
      <c r="D172" s="137" t="s">
        <v>203</v>
      </c>
      <c r="E172" s="138" t="str">
        <f>'[1]COMEDORES EMERGENTES'!$G$22</f>
        <v>LOTEO PARQUE SUR CALLE S/NOMBRE S/N°</v>
      </c>
    </row>
    <row r="173" spans="2:5" x14ac:dyDescent="0.2">
      <c r="B173" s="50" t="s">
        <v>18</v>
      </c>
      <c r="C173" s="48"/>
      <c r="D173" s="94"/>
      <c r="E173" s="49"/>
    </row>
    <row r="174" spans="2:5" ht="12.75" customHeight="1" x14ac:dyDescent="0.2">
      <c r="B174" s="51"/>
      <c r="C174" s="287" t="s">
        <v>63</v>
      </c>
      <c r="D174" s="287"/>
      <c r="E174" s="287"/>
    </row>
    <row r="175" spans="2:5" x14ac:dyDescent="0.2">
      <c r="B175" s="50" t="s">
        <v>19</v>
      </c>
      <c r="C175" s="52"/>
      <c r="D175" s="52"/>
      <c r="E175" s="53"/>
    </row>
    <row r="176" spans="2:5" ht="14.25" customHeight="1" x14ac:dyDescent="0.2">
      <c r="B176" s="51"/>
      <c r="C176" s="287" t="s">
        <v>140</v>
      </c>
      <c r="D176" s="287"/>
      <c r="E176" s="287"/>
    </row>
    <row r="177" spans="2:5" x14ac:dyDescent="0.2">
      <c r="B177" s="50" t="s">
        <v>20</v>
      </c>
      <c r="C177" s="48"/>
      <c r="D177" s="94"/>
      <c r="E177" s="49"/>
    </row>
    <row r="178" spans="2:5" ht="11.25" customHeight="1" x14ac:dyDescent="0.2">
      <c r="B178" s="50"/>
      <c r="C178" s="286" t="s">
        <v>64</v>
      </c>
      <c r="D178" s="286"/>
      <c r="E178" s="286"/>
    </row>
    <row r="179" spans="2:5" ht="13.5" thickBot="1" x14ac:dyDescent="0.25">
      <c r="B179" s="54"/>
      <c r="C179" s="55"/>
      <c r="D179" s="95"/>
      <c r="E179" s="56"/>
    </row>
    <row r="180" spans="2:5" ht="13.5" thickBot="1" x14ac:dyDescent="0.25"/>
    <row r="181" spans="2:5" x14ac:dyDescent="0.2">
      <c r="B181" s="44" t="s">
        <v>142</v>
      </c>
      <c r="C181" s="45"/>
      <c r="D181" s="93"/>
      <c r="E181" s="46"/>
    </row>
    <row r="182" spans="2:5" ht="5.25" customHeight="1" x14ac:dyDescent="0.2">
      <c r="B182" s="47"/>
      <c r="C182" s="48"/>
      <c r="D182" s="94"/>
      <c r="E182" s="49"/>
    </row>
    <row r="183" spans="2:5" x14ac:dyDescent="0.2">
      <c r="B183" s="50" t="s">
        <v>16</v>
      </c>
      <c r="C183" s="48"/>
      <c r="D183" s="94"/>
      <c r="E183" s="49"/>
    </row>
    <row r="184" spans="2:5" ht="25.5" customHeight="1" x14ac:dyDescent="0.2">
      <c r="B184" s="50"/>
      <c r="C184" s="287"/>
      <c r="D184" s="287"/>
      <c r="E184" s="287"/>
    </row>
    <row r="185" spans="2:5" ht="13.5" thickBot="1" x14ac:dyDescent="0.25">
      <c r="B185" s="50" t="s">
        <v>17</v>
      </c>
      <c r="C185" s="48"/>
      <c r="D185" s="94"/>
      <c r="E185" s="49"/>
    </row>
    <row r="186" spans="2:5" ht="13.5" thickBot="1" x14ac:dyDescent="0.25">
      <c r="B186" s="273" t="s">
        <v>137</v>
      </c>
      <c r="C186" s="274"/>
      <c r="D186" s="274"/>
      <c r="E186" s="275"/>
    </row>
    <row r="187" spans="2:5" ht="13.5" thickBot="1" x14ac:dyDescent="0.25">
      <c r="B187" s="273" t="s">
        <v>138</v>
      </c>
      <c r="C187" s="275"/>
      <c r="D187" s="91" t="s">
        <v>11</v>
      </c>
      <c r="E187" s="91" t="s">
        <v>139</v>
      </c>
    </row>
    <row r="188" spans="2:5" x14ac:dyDescent="0.2">
      <c r="B188" s="280" t="str">
        <f>'[1]COMEDORES EMERGENTES'!$B$3</f>
        <v>UNA SONRISA AV. LOS COBACHO</v>
      </c>
      <c r="C188" s="281"/>
      <c r="D188" s="135" t="s">
        <v>183</v>
      </c>
      <c r="E188" s="136" t="str">
        <f>'[1]COMEDORES EMERGENTES'!$G$3</f>
        <v>Bº SAN CARLOS OESTE AV. Bonifacio cobacho 670</v>
      </c>
    </row>
    <row r="189" spans="2:5" x14ac:dyDescent="0.2">
      <c r="B189" s="271" t="str">
        <f>'[1]COMEDORES EMERGENTES'!$B$4</f>
        <v>C.I.F Nº1 - RIVERA DEL VALLE Y FLORIDA</v>
      </c>
      <c r="C189" s="272"/>
      <c r="D189" s="130" t="s">
        <v>199</v>
      </c>
      <c r="E189" s="131" t="str">
        <f>'[1]COMEDORES EMERGENTES'!$G$4</f>
        <v>AV. RIVIERA DEL VALLE ENTRE FLORIDA Y SANTA FE</v>
      </c>
    </row>
    <row r="190" spans="2:5" x14ac:dyDescent="0.2">
      <c r="B190" s="271" t="str">
        <f>'[1]COMEDORES EMERGENTES'!$B$5</f>
        <v>C.I.F - RIVERA DEL VALLE - DILORENZO</v>
      </c>
      <c r="C190" s="272"/>
      <c r="D190" s="130" t="s">
        <v>168</v>
      </c>
      <c r="E190" s="131" t="str">
        <f>'[1]COMEDORES EMERGENTES'!$G$5</f>
        <v>Bº RIVERA DEL VALLE ENTRE VILLA EUMELIA Y MONTE CRISTO</v>
      </c>
    </row>
    <row r="191" spans="2:5" x14ac:dyDescent="0.2">
      <c r="B191" s="271" t="str">
        <f>'[1]COMEDORES EMERGENTES'!$B$6</f>
        <v>ESFUERZO PROPIO- Bº ALTOS DE CHOYA</v>
      </c>
      <c r="C191" s="272"/>
      <c r="D191" s="130" t="s">
        <v>174</v>
      </c>
      <c r="E191" s="131" t="str">
        <f>'[1]COMEDORES EMERGENTES'!$G$6</f>
        <v>Bº MUNICIPAL 35VV. NORTE C/14</v>
      </c>
    </row>
    <row r="192" spans="2:5" x14ac:dyDescent="0.2">
      <c r="B192" s="271" t="str">
        <f>'[1]COMEDORES EMERGENTES'!$B$7</f>
        <v>ANGELITOS - LOTEO SUSSEX</v>
      </c>
      <c r="C192" s="272"/>
      <c r="D192" s="130" t="s">
        <v>200</v>
      </c>
      <c r="E192" s="131" t="str">
        <f>'[1]COMEDORES EMERGENTES'!$G$7</f>
        <v>Bº LOTEO SUSEX MZA.Nº 4 LOTE Nº3</v>
      </c>
    </row>
    <row r="193" spans="2:5" x14ac:dyDescent="0.2">
      <c r="B193" s="271" t="str">
        <f>'[1]COMEDORES EMERGENTES'!$B$8</f>
        <v>CLUB DEPORTIVO CHACARITA</v>
      </c>
      <c r="C193" s="272"/>
      <c r="D193" s="130" t="s">
        <v>201</v>
      </c>
      <c r="E193" s="131" t="str">
        <f>'[1]COMEDORES EMERGENTES'!$G$8</f>
        <v>CALLE DR.DERMIDIO GALINDEZ C/2660</v>
      </c>
    </row>
    <row r="194" spans="2:5" x14ac:dyDescent="0.2">
      <c r="B194" s="271" t="str">
        <f>'[1]COMEDORES EMERGENTES'!$B$9</f>
        <v>LA MORO</v>
      </c>
      <c r="C194" s="272"/>
      <c r="D194" s="130" t="s">
        <v>182</v>
      </c>
      <c r="E194" s="131" t="str">
        <f>'[1]COMEDORES EMERGENTES'!$G$9</f>
        <v>MAIPU NORTE 1º ETAPA MZA "H" Bº MI JARDIN</v>
      </c>
    </row>
    <row r="195" spans="2:5" x14ac:dyDescent="0.2">
      <c r="B195" s="271" t="str">
        <f>'[1]COMEDORES EMERGENTES'!$B$10</f>
        <v>PAPA FRANCISCO</v>
      </c>
      <c r="C195" s="272"/>
      <c r="D195" s="130" t="s">
        <v>169</v>
      </c>
      <c r="E195" s="131" t="str">
        <f>'[1]COMEDORES EMERGENTES'!$G$10</f>
        <v>ENTRE AV.TEREBINTO Y AV.SAN JUAN LOTE "2" MZA. "B"</v>
      </c>
    </row>
    <row r="196" spans="2:5" x14ac:dyDescent="0.2">
      <c r="B196" s="271" t="str">
        <f>'[1]COMEDORES EMERGENTES'!$B$11</f>
        <v>E.P.C - 100 V.V NORTE</v>
      </c>
      <c r="C196" s="272"/>
      <c r="D196" s="130" t="s">
        <v>179</v>
      </c>
      <c r="E196" s="131" t="str">
        <f>'[1]COMEDORES EMERGENTES'!$G$11</f>
        <v>Bº VV NORTE C/48 ENTRE ESPAÑA Y FRANCIA</v>
      </c>
    </row>
    <row r="197" spans="2:5" x14ac:dyDescent="0.2">
      <c r="B197" s="271" t="str">
        <f>'[1]COMEDORES EMERGENTES'!$B$12</f>
        <v>HOGAR DE CRISTO - PADRE RAUL CONTRERAS</v>
      </c>
      <c r="C197" s="272"/>
      <c r="D197" s="130" t="s">
        <v>179</v>
      </c>
      <c r="E197" s="131" t="str">
        <f>'[1]COMEDORES EMERGENTES'!$G$12</f>
        <v>Bº SANTA MARTA MZA. "S" LOTE "M" C/39</v>
      </c>
    </row>
    <row r="198" spans="2:5" x14ac:dyDescent="0.2">
      <c r="B198" s="271" t="str">
        <f>'[1]COMEDORES EMERGENTES'!$B$13</f>
        <v>LA LUCIERNAGA</v>
      </c>
      <c r="C198" s="272"/>
      <c r="D198" s="130" t="s">
        <v>169</v>
      </c>
      <c r="E198" s="131" t="str">
        <f>'[1]COMEDORES EMERGENTES'!$G$13</f>
        <v>Bº 20 V.V NORTE C/3</v>
      </c>
    </row>
    <row r="199" spans="2:5" x14ac:dyDescent="0.2">
      <c r="B199" s="271" t="str">
        <f>'[1]COMEDORES EMERGENTES'!$B$14</f>
        <v>VALLE VIEJO - SUMALAO</v>
      </c>
      <c r="C199" s="272"/>
      <c r="D199" s="130" t="s">
        <v>189</v>
      </c>
      <c r="E199" s="131" t="str">
        <f>'[1]COMEDORES EMERGENTES'!$G$14</f>
        <v>PADRE SEGURA S/N</v>
      </c>
    </row>
    <row r="200" spans="2:5" x14ac:dyDescent="0.2">
      <c r="B200" s="271" t="str">
        <f>'[1]COMEDORES EMERGENTES'!$B$15</f>
        <v>NUESTRO FUTURO - LAS VIAS</v>
      </c>
      <c r="C200" s="272"/>
      <c r="D200" s="130" t="s">
        <v>169</v>
      </c>
      <c r="E200" s="131" t="str">
        <f>'[1]COMEDORES EMERGENTES'!$G$15</f>
        <v>Bº LAS VIAS OESTE LOTE 42</v>
      </c>
    </row>
    <row r="201" spans="2:5" x14ac:dyDescent="0.2">
      <c r="B201" s="271" t="str">
        <f>'[1]COMEDORES EMERGENTES'!$B$16</f>
        <v>SAN JOSE OBRERO</v>
      </c>
      <c r="C201" s="272"/>
      <c r="D201" s="130" t="s">
        <v>201</v>
      </c>
      <c r="E201" s="131" t="str">
        <f>'[1]COMEDORES EMERGENTES'!$G$16</f>
        <v>Bº SAN JOSE OBRERO. PJE. SANDOVAL S/Nº</v>
      </c>
    </row>
    <row r="202" spans="2:5" x14ac:dyDescent="0.2">
      <c r="B202" s="271" t="str">
        <f>'[1]COMEDORES EMERGENTES'!$B$17</f>
        <v>VIRGEN DE LUJAN</v>
      </c>
      <c r="C202" s="272"/>
      <c r="D202" s="130" t="s">
        <v>169</v>
      </c>
      <c r="E202" s="131" t="str">
        <f>'[1]COMEDORES EMERGENTES'!$G$17</f>
        <v>Bº OJO DE AGUA C/DR.TEODULFO BARRIONUEVO S/Nº</v>
      </c>
    </row>
    <row r="203" spans="2:5" x14ac:dyDescent="0.2">
      <c r="B203" s="271" t="str">
        <f>'[1]COMEDORES EMERGENTES'!$B$18</f>
        <v>RENACER</v>
      </c>
      <c r="C203" s="272"/>
      <c r="D203" s="130" t="s">
        <v>202</v>
      </c>
      <c r="E203" s="131" t="str">
        <f>'[1]COMEDORES EMERGENTES'!$G$18</f>
        <v>Bº VIRGEN MORENITA</v>
      </c>
    </row>
    <row r="204" spans="2:5" x14ac:dyDescent="0.2">
      <c r="B204" s="271" t="str">
        <f>'[1]COMEDORES EMERGENTES'!$B$19</f>
        <v>CENTRO VECINAL MI JARDIN</v>
      </c>
      <c r="C204" s="272"/>
      <c r="D204" s="130" t="s">
        <v>203</v>
      </c>
      <c r="E204" s="131" t="str">
        <f>'[1]COMEDORES EMERGENTES'!$G$19</f>
        <v>C/ LOS TULIPANES ENTRE FLOR DE CEREZO Y HOLANDA MZA.27 Bº MI JARDIN</v>
      </c>
    </row>
    <row r="205" spans="2:5" x14ac:dyDescent="0.2">
      <c r="B205" s="271" t="str">
        <f>'[1]COMEDORES EMERGENTES'!$B$20</f>
        <v>LA VIEJA ESQUINA</v>
      </c>
      <c r="C205" s="272"/>
      <c r="D205" s="130" t="s">
        <v>173</v>
      </c>
      <c r="E205" s="131" t="str">
        <f>'[1]COMEDORES EMERGENTES'!$G$20</f>
        <v>B° CRISTO REY PJE CAPATAZ VILLAFAÑEZ Y ARMANDO CORREA</v>
      </c>
    </row>
    <row r="206" spans="2:5" x14ac:dyDescent="0.2">
      <c r="B206" s="271" t="str">
        <f>'[1]COMEDORES EMERGENTES'!$B$21</f>
        <v>GAUCHITO GIL</v>
      </c>
      <c r="C206" s="272"/>
      <c r="D206" s="130" t="s">
        <v>173</v>
      </c>
      <c r="E206" s="131" t="str">
        <f>'[1]COMEDORES EMERGENTES'!$G$21</f>
        <v>B° 26 VIVIENDAS CASA N° 3</v>
      </c>
    </row>
    <row r="207" spans="2:5" ht="13.5" thickBot="1" x14ac:dyDescent="0.25">
      <c r="B207" s="288" t="str">
        <f>'[1]COMEDORES EMERGENTES'!$B$22</f>
        <v>LOS TOLDOS</v>
      </c>
      <c r="C207" s="289"/>
      <c r="D207" s="137" t="s">
        <v>283</v>
      </c>
      <c r="E207" s="138" t="str">
        <f>'[1]COMEDORES EMERGENTES'!$G$22</f>
        <v>LOTEO PARQUE SUR CALLE S/NOMBRE S/N°</v>
      </c>
    </row>
    <row r="208" spans="2:5" x14ac:dyDescent="0.2">
      <c r="B208" s="50" t="s">
        <v>18</v>
      </c>
      <c r="C208" s="48"/>
      <c r="D208" s="94"/>
      <c r="E208" s="49"/>
    </row>
    <row r="209" spans="2:5" ht="12.75" customHeight="1" x14ac:dyDescent="0.2">
      <c r="B209" s="51"/>
      <c r="C209" s="287" t="s">
        <v>63</v>
      </c>
      <c r="D209" s="287"/>
      <c r="E209" s="287"/>
    </row>
    <row r="210" spans="2:5" x14ac:dyDescent="0.2">
      <c r="B210" s="50" t="s">
        <v>19</v>
      </c>
      <c r="C210" s="52"/>
      <c r="D210" s="52"/>
      <c r="E210" s="53"/>
    </row>
    <row r="211" spans="2:5" ht="14.25" customHeight="1" x14ac:dyDescent="0.2">
      <c r="B211" s="51"/>
      <c r="C211" s="287" t="s">
        <v>140</v>
      </c>
      <c r="D211" s="287"/>
      <c r="E211" s="287"/>
    </row>
    <row r="212" spans="2:5" x14ac:dyDescent="0.2">
      <c r="B212" s="50" t="s">
        <v>20</v>
      </c>
      <c r="C212" s="48"/>
      <c r="D212" s="94"/>
      <c r="E212" s="49"/>
    </row>
    <row r="213" spans="2:5" ht="11.25" customHeight="1" x14ac:dyDescent="0.2">
      <c r="B213" s="50"/>
      <c r="C213" s="286" t="s">
        <v>64</v>
      </c>
      <c r="D213" s="286"/>
      <c r="E213" s="286"/>
    </row>
    <row r="214" spans="2:5" ht="13.5" thickBot="1" x14ac:dyDescent="0.25">
      <c r="B214" s="54"/>
      <c r="C214" s="55"/>
      <c r="D214" s="95"/>
      <c r="E214" s="56"/>
    </row>
    <row r="215" spans="2:5" ht="13.5" thickBot="1" x14ac:dyDescent="0.25"/>
    <row r="216" spans="2:5" x14ac:dyDescent="0.2">
      <c r="B216" s="44" t="s">
        <v>143</v>
      </c>
      <c r="C216" s="45"/>
      <c r="D216" s="93"/>
      <c r="E216" s="46"/>
    </row>
    <row r="217" spans="2:5" ht="5.25" customHeight="1" x14ac:dyDescent="0.2">
      <c r="B217" s="47"/>
      <c r="C217" s="48"/>
      <c r="D217" s="94"/>
      <c r="E217" s="49"/>
    </row>
    <row r="218" spans="2:5" x14ac:dyDescent="0.2">
      <c r="B218" s="50" t="s">
        <v>16</v>
      </c>
      <c r="C218" s="48"/>
      <c r="D218" s="94"/>
      <c r="E218" s="49"/>
    </row>
    <row r="219" spans="2:5" ht="25.5" customHeight="1" x14ac:dyDescent="0.2">
      <c r="B219" s="50"/>
      <c r="C219" s="287"/>
      <c r="D219" s="287"/>
      <c r="E219" s="287"/>
    </row>
    <row r="220" spans="2:5" ht="13.5" thickBot="1" x14ac:dyDescent="0.25">
      <c r="B220" s="50" t="s">
        <v>17</v>
      </c>
      <c r="C220" s="48"/>
      <c r="D220" s="94"/>
      <c r="E220" s="49"/>
    </row>
    <row r="221" spans="2:5" ht="13.5" thickBot="1" x14ac:dyDescent="0.25">
      <c r="B221" s="273" t="s">
        <v>137</v>
      </c>
      <c r="C221" s="274"/>
      <c r="D221" s="274"/>
      <c r="E221" s="275"/>
    </row>
    <row r="222" spans="2:5" ht="13.5" thickBot="1" x14ac:dyDescent="0.25">
      <c r="B222" s="273" t="s">
        <v>138</v>
      </c>
      <c r="C222" s="275"/>
      <c r="D222" s="91" t="s">
        <v>11</v>
      </c>
      <c r="E222" s="91" t="s">
        <v>139</v>
      </c>
    </row>
    <row r="223" spans="2:5" x14ac:dyDescent="0.2">
      <c r="B223" s="280" t="str">
        <f>'[1]COMEDORES EMERGENTES'!$B$3</f>
        <v>UNA SONRISA AV. LOS COBACHO</v>
      </c>
      <c r="C223" s="281"/>
      <c r="D223" s="135">
        <v>43</v>
      </c>
      <c r="E223" s="136" t="str">
        <f>'[1]COMEDORES EMERGENTES'!$G$3</f>
        <v>Bº SAN CARLOS OESTE AV. Bonifacio cobacho 670</v>
      </c>
    </row>
    <row r="224" spans="2:5" x14ac:dyDescent="0.2">
      <c r="B224" s="271" t="str">
        <f>'[1]COMEDORES EMERGENTES'!$B$4</f>
        <v>C.I.F Nº1 - RIVERA DEL VALLE Y FLORIDA</v>
      </c>
      <c r="C224" s="272"/>
      <c r="D224" s="130">
        <v>62</v>
      </c>
      <c r="E224" s="131" t="str">
        <f>'[1]COMEDORES EMERGENTES'!$G$4</f>
        <v>AV. RIVIERA DEL VALLE ENTRE FLORIDA Y SANTA FE</v>
      </c>
    </row>
    <row r="225" spans="2:5" x14ac:dyDescent="0.2">
      <c r="B225" s="271" t="str">
        <f>'[1]COMEDORES EMERGENTES'!$B$5</f>
        <v>C.I.F - RIVERA DEL VALLE - DILORENZO</v>
      </c>
      <c r="C225" s="272"/>
      <c r="D225" s="130">
        <v>73</v>
      </c>
      <c r="E225" s="131" t="str">
        <f>'[1]COMEDORES EMERGENTES'!$G$5</f>
        <v>Bº RIVERA DEL VALLE ENTRE VILLA EUMELIA Y MONTE CRISTO</v>
      </c>
    </row>
    <row r="226" spans="2:5" x14ac:dyDescent="0.2">
      <c r="B226" s="271" t="str">
        <f>'[1]COMEDORES EMERGENTES'!$B$6</f>
        <v>ESFUERZO PROPIO- Bº ALTOS DE CHOYA</v>
      </c>
      <c r="C226" s="272"/>
      <c r="D226" s="130">
        <v>59</v>
      </c>
      <c r="E226" s="131" t="str">
        <f>'[1]COMEDORES EMERGENTES'!$G$6</f>
        <v>Bº MUNICIPAL 35VV. NORTE C/14</v>
      </c>
    </row>
    <row r="227" spans="2:5" x14ac:dyDescent="0.2">
      <c r="B227" s="271" t="str">
        <f>'[1]COMEDORES EMERGENTES'!$B$7</f>
        <v>ANGELITOS - LOTEO SUSSEX</v>
      </c>
      <c r="C227" s="272"/>
      <c r="D227" s="130">
        <v>27</v>
      </c>
      <c r="E227" s="131" t="str">
        <f>'[1]COMEDORES EMERGENTES'!$G$7</f>
        <v>Bº LOTEO SUSEX MZA.Nº 4 LOTE Nº3</v>
      </c>
    </row>
    <row r="228" spans="2:5" x14ac:dyDescent="0.2">
      <c r="B228" s="271" t="str">
        <f>'[1]COMEDORES EMERGENTES'!$B$8</f>
        <v>CLUB DEPORTIVO CHACARITA</v>
      </c>
      <c r="C228" s="272"/>
      <c r="D228" s="130">
        <v>35</v>
      </c>
      <c r="E228" s="131" t="str">
        <f>'[1]COMEDORES EMERGENTES'!$G$8</f>
        <v>CALLE DR.DERMIDIO GALINDEZ C/2660</v>
      </c>
    </row>
    <row r="229" spans="2:5" x14ac:dyDescent="0.2">
      <c r="B229" s="271" t="str">
        <f>'[1]COMEDORES EMERGENTES'!$B$9</f>
        <v>LA MORO</v>
      </c>
      <c r="C229" s="272"/>
      <c r="D229" s="130">
        <v>32</v>
      </c>
      <c r="E229" s="131" t="str">
        <f>'[1]COMEDORES EMERGENTES'!$G$9</f>
        <v>MAIPU NORTE 1º ETAPA MZA "H" Bº MI JARDIN</v>
      </c>
    </row>
    <row r="230" spans="2:5" x14ac:dyDescent="0.2">
      <c r="B230" s="271" t="str">
        <f>'[1]COMEDORES EMERGENTES'!$B$10</f>
        <v>PAPA FRANCISCO</v>
      </c>
      <c r="C230" s="272"/>
      <c r="D230" s="130">
        <v>54</v>
      </c>
      <c r="E230" s="131" t="str">
        <f>'[1]COMEDORES EMERGENTES'!$G$10</f>
        <v>ENTRE AV.TEREBINTO Y AV.SAN JUAN LOTE "2" MZA. "B"</v>
      </c>
    </row>
    <row r="231" spans="2:5" x14ac:dyDescent="0.2">
      <c r="B231" s="271" t="str">
        <f>'[1]COMEDORES EMERGENTES'!$B$11</f>
        <v>E.P.C - 100 V.V NORTE</v>
      </c>
      <c r="C231" s="272"/>
      <c r="D231" s="130">
        <v>81</v>
      </c>
      <c r="E231" s="131" t="str">
        <f>'[1]COMEDORES EMERGENTES'!$G$11</f>
        <v>Bº VV NORTE C/48 ENTRE ESPAÑA Y FRANCIA</v>
      </c>
    </row>
    <row r="232" spans="2:5" x14ac:dyDescent="0.2">
      <c r="B232" s="271" t="str">
        <f>'[1]COMEDORES EMERGENTES'!$B$12</f>
        <v>HOGAR DE CRISTO - PADRE RAUL CONTRERAS</v>
      </c>
      <c r="C232" s="272"/>
      <c r="D232" s="130">
        <v>81</v>
      </c>
      <c r="E232" s="131" t="str">
        <f>'[1]COMEDORES EMERGENTES'!$G$12</f>
        <v>Bº SANTA MARTA MZA. "S" LOTE "M" C/39</v>
      </c>
    </row>
    <row r="233" spans="2:5" x14ac:dyDescent="0.2">
      <c r="B233" s="271" t="str">
        <f>'[1]COMEDORES EMERGENTES'!$B$13</f>
        <v>LA LUCIERNAGA</v>
      </c>
      <c r="C233" s="272"/>
      <c r="D233" s="130">
        <v>54</v>
      </c>
      <c r="E233" s="131" t="str">
        <f>'[1]COMEDORES EMERGENTES'!$G$13</f>
        <v>Bº 20 V.V NORTE C/3</v>
      </c>
    </row>
    <row r="234" spans="2:5" x14ac:dyDescent="0.2">
      <c r="B234" s="271" t="str">
        <f>'[1]COMEDORES EMERGENTES'!$B$14</f>
        <v>VALLE VIEJO - SUMALAO</v>
      </c>
      <c r="C234" s="272"/>
      <c r="D234" s="130">
        <v>95</v>
      </c>
      <c r="E234" s="131" t="str">
        <f>'[1]COMEDORES EMERGENTES'!$G$14</f>
        <v>PADRE SEGURA S/N</v>
      </c>
    </row>
    <row r="235" spans="2:5" x14ac:dyDescent="0.2">
      <c r="B235" s="271" t="str">
        <f>'[1]COMEDORES EMERGENTES'!$B$15</f>
        <v>NUESTRO FUTURO - LAS VIAS</v>
      </c>
      <c r="C235" s="272"/>
      <c r="D235" s="130">
        <v>54</v>
      </c>
      <c r="E235" s="131" t="str">
        <f>'[1]COMEDORES EMERGENTES'!$G$15</f>
        <v>Bº LAS VIAS OESTE LOTE 42</v>
      </c>
    </row>
    <row r="236" spans="2:5" x14ac:dyDescent="0.2">
      <c r="B236" s="271" t="str">
        <f>'[1]COMEDORES EMERGENTES'!$B$16</f>
        <v>SAN JOSE OBRERO</v>
      </c>
      <c r="C236" s="272"/>
      <c r="D236" s="130">
        <v>35</v>
      </c>
      <c r="E236" s="131" t="str">
        <f>'[1]COMEDORES EMERGENTES'!$G$16</f>
        <v>Bº SAN JOSE OBRERO. PJE. SANDOVAL S/Nº</v>
      </c>
    </row>
    <row r="237" spans="2:5" x14ac:dyDescent="0.2">
      <c r="B237" s="271" t="str">
        <f>'[1]COMEDORES EMERGENTES'!$B$17</f>
        <v>VIRGEN DE LUJAN</v>
      </c>
      <c r="C237" s="272"/>
      <c r="D237" s="130">
        <v>54</v>
      </c>
      <c r="E237" s="131" t="str">
        <f>'[1]COMEDORES EMERGENTES'!$G$17</f>
        <v>Bº OJO DE AGUA C/DR.TEODULFO BARRIONUEVO S/Nº</v>
      </c>
    </row>
    <row r="238" spans="2:5" x14ac:dyDescent="0.2">
      <c r="B238" s="271" t="str">
        <f>'[1]COMEDORES EMERGENTES'!$B$18</f>
        <v>RENACER</v>
      </c>
      <c r="C238" s="272"/>
      <c r="D238" s="130">
        <v>68</v>
      </c>
      <c r="E238" s="131" t="str">
        <f>'[1]COMEDORES EMERGENTES'!$G$18</f>
        <v>Bº VIRGEN MORENITA</v>
      </c>
    </row>
    <row r="239" spans="2:5" x14ac:dyDescent="0.2">
      <c r="B239" s="271" t="str">
        <f>'[1]COMEDORES EMERGENTES'!$B$19</f>
        <v>CENTRO VECINAL MI JARDIN</v>
      </c>
      <c r="C239" s="272"/>
      <c r="D239" s="130">
        <v>49</v>
      </c>
      <c r="E239" s="131" t="str">
        <f>'[1]COMEDORES EMERGENTES'!$G$19</f>
        <v>C/ LOS TULIPANES ENTRE FLOR DE CEREZO Y HOLANDA MZA.27 Bº MI JARDIN</v>
      </c>
    </row>
    <row r="240" spans="2:5" x14ac:dyDescent="0.2">
      <c r="B240" s="271" t="str">
        <f>'[1]COMEDORES EMERGENTES'!$B$20</f>
        <v>LA VIEJA ESQUINA</v>
      </c>
      <c r="C240" s="272"/>
      <c r="D240" s="130">
        <v>46</v>
      </c>
      <c r="E240" s="131" t="str">
        <f>'[1]COMEDORES EMERGENTES'!$G$20</f>
        <v>B° CRISTO REY PJE CAPATAZ VILLAFAÑEZ Y ARMANDO CORREA</v>
      </c>
    </row>
    <row r="241" spans="2:5" x14ac:dyDescent="0.2">
      <c r="B241" s="271" t="str">
        <f>'[1]COMEDORES EMERGENTES'!$B$21</f>
        <v>GAUCHITO GIL</v>
      </c>
      <c r="C241" s="272"/>
      <c r="D241" s="130">
        <v>45</v>
      </c>
      <c r="E241" s="131" t="str">
        <f>'[1]COMEDORES EMERGENTES'!$G$21</f>
        <v>B° 26 VIVIENDAS CASA N° 3</v>
      </c>
    </row>
    <row r="242" spans="2:5" ht="13.5" thickBot="1" x14ac:dyDescent="0.25">
      <c r="B242" s="288" t="str">
        <f>'[1]COMEDORES EMERGENTES'!$B$22</f>
        <v>LOS TOLDOS</v>
      </c>
      <c r="C242" s="289"/>
      <c r="D242" s="137">
        <v>22</v>
      </c>
      <c r="E242" s="138" t="str">
        <f>'[1]COMEDORES EMERGENTES'!$G$22</f>
        <v>LOTEO PARQUE SUR CALLE S/NOMBRE S/N°</v>
      </c>
    </row>
    <row r="243" spans="2:5" x14ac:dyDescent="0.2">
      <c r="B243" s="50" t="s">
        <v>18</v>
      </c>
      <c r="C243" s="48"/>
      <c r="D243" s="94"/>
      <c r="E243" s="49"/>
    </row>
    <row r="244" spans="2:5" ht="12.75" customHeight="1" x14ac:dyDescent="0.2">
      <c r="B244" s="51"/>
      <c r="C244" s="287" t="s">
        <v>63</v>
      </c>
      <c r="D244" s="287"/>
      <c r="E244" s="287"/>
    </row>
    <row r="245" spans="2:5" x14ac:dyDescent="0.2">
      <c r="B245" s="50" t="s">
        <v>19</v>
      </c>
      <c r="C245" s="52"/>
      <c r="D245" s="52"/>
      <c r="E245" s="53"/>
    </row>
    <row r="246" spans="2:5" ht="14.25" customHeight="1" x14ac:dyDescent="0.2">
      <c r="B246" s="51"/>
      <c r="C246" s="287" t="s">
        <v>140</v>
      </c>
      <c r="D246" s="287"/>
      <c r="E246" s="287"/>
    </row>
    <row r="247" spans="2:5" x14ac:dyDescent="0.2">
      <c r="B247" s="50" t="s">
        <v>20</v>
      </c>
      <c r="C247" s="48"/>
      <c r="D247" s="94"/>
      <c r="E247" s="49"/>
    </row>
    <row r="248" spans="2:5" ht="11.25" customHeight="1" x14ac:dyDescent="0.2">
      <c r="B248" s="50"/>
      <c r="C248" s="286" t="s">
        <v>64</v>
      </c>
      <c r="D248" s="286"/>
      <c r="E248" s="286"/>
    </row>
    <row r="249" spans="2:5" ht="13.5" thickBot="1" x14ac:dyDescent="0.25">
      <c r="B249" s="54"/>
      <c r="C249" s="55"/>
      <c r="D249" s="95"/>
      <c r="E249" s="56"/>
    </row>
    <row r="250" spans="2:5" ht="13.5" thickBot="1" x14ac:dyDescent="0.25"/>
    <row r="251" spans="2:5" x14ac:dyDescent="0.2">
      <c r="B251" s="44" t="s">
        <v>144</v>
      </c>
      <c r="C251" s="45"/>
      <c r="D251" s="93"/>
      <c r="E251" s="46"/>
    </row>
    <row r="252" spans="2:5" ht="5.25" customHeight="1" x14ac:dyDescent="0.2">
      <c r="B252" s="47"/>
      <c r="C252" s="48"/>
      <c r="D252" s="94"/>
      <c r="E252" s="49"/>
    </row>
    <row r="253" spans="2:5" x14ac:dyDescent="0.2">
      <c r="B253" s="50" t="s">
        <v>16</v>
      </c>
      <c r="C253" s="48"/>
      <c r="D253" s="94"/>
      <c r="E253" s="49"/>
    </row>
    <row r="254" spans="2:5" ht="25.5" customHeight="1" x14ac:dyDescent="0.2">
      <c r="B254" s="50"/>
      <c r="C254" s="287"/>
      <c r="D254" s="287"/>
      <c r="E254" s="287"/>
    </row>
    <row r="255" spans="2:5" ht="13.5" thickBot="1" x14ac:dyDescent="0.25">
      <c r="B255" s="50" t="s">
        <v>17</v>
      </c>
      <c r="C255" s="48"/>
      <c r="D255" s="94"/>
      <c r="E255" s="49"/>
    </row>
    <row r="256" spans="2:5" ht="13.5" thickBot="1" x14ac:dyDescent="0.25">
      <c r="B256" s="273" t="s">
        <v>137</v>
      </c>
      <c r="C256" s="274"/>
      <c r="D256" s="274"/>
      <c r="E256" s="275"/>
    </row>
    <row r="257" spans="2:5" ht="13.5" thickBot="1" x14ac:dyDescent="0.25">
      <c r="B257" s="273" t="s">
        <v>138</v>
      </c>
      <c r="C257" s="275"/>
      <c r="D257" s="91" t="s">
        <v>11</v>
      </c>
      <c r="E257" s="91" t="s">
        <v>139</v>
      </c>
    </row>
    <row r="258" spans="2:5" x14ac:dyDescent="0.2">
      <c r="B258" s="280" t="str">
        <f>'[1]COMEDORES EMERGENTES'!$B$3</f>
        <v>UNA SONRISA AV. LOS COBACHO</v>
      </c>
      <c r="C258" s="281"/>
      <c r="D258" s="135">
        <v>29</v>
      </c>
      <c r="E258" s="136" t="str">
        <f>'[1]COMEDORES EMERGENTES'!$G$3</f>
        <v>Bº SAN CARLOS OESTE AV. Bonifacio cobacho 670</v>
      </c>
    </row>
    <row r="259" spans="2:5" x14ac:dyDescent="0.2">
      <c r="B259" s="271" t="str">
        <f>'[1]COMEDORES EMERGENTES'!$B$4</f>
        <v>C.I.F Nº1 - RIVERA DEL VALLE Y FLORIDA</v>
      </c>
      <c r="C259" s="272"/>
      <c r="D259" s="130">
        <v>41</v>
      </c>
      <c r="E259" s="131" t="str">
        <f>'[1]COMEDORES EMERGENTES'!$G$4</f>
        <v>AV. RIVIERA DEL VALLE ENTRE FLORIDA Y SANTA FE</v>
      </c>
    </row>
    <row r="260" spans="2:5" x14ac:dyDescent="0.2">
      <c r="B260" s="271" t="str">
        <f>'[1]COMEDORES EMERGENTES'!$B$5</f>
        <v>C.I.F - RIVERA DEL VALLE - DILORENZO</v>
      </c>
      <c r="C260" s="272"/>
      <c r="D260" s="130">
        <v>49</v>
      </c>
      <c r="E260" s="131" t="str">
        <f>'[1]COMEDORES EMERGENTES'!$G$5</f>
        <v>Bº RIVERA DEL VALLE ENTRE VILLA EUMELIA Y MONTE CRISTO</v>
      </c>
    </row>
    <row r="261" spans="2:5" x14ac:dyDescent="0.2">
      <c r="B261" s="271" t="str">
        <f>'[1]COMEDORES EMERGENTES'!$B$6</f>
        <v>ESFUERZO PROPIO- Bº ALTOS DE CHOYA</v>
      </c>
      <c r="C261" s="272"/>
      <c r="D261" s="130">
        <v>40</v>
      </c>
      <c r="E261" s="131" t="str">
        <f>'[1]COMEDORES EMERGENTES'!$G$6</f>
        <v>Bº MUNICIPAL 35VV. NORTE C/14</v>
      </c>
    </row>
    <row r="262" spans="2:5" x14ac:dyDescent="0.2">
      <c r="B262" s="271" t="str">
        <f>'[1]COMEDORES EMERGENTES'!$B$7</f>
        <v>ANGELITOS - LOTEO SUSSEX</v>
      </c>
      <c r="C262" s="272"/>
      <c r="D262" s="130">
        <v>18</v>
      </c>
      <c r="E262" s="131" t="str">
        <f>'[1]COMEDORES EMERGENTES'!$G$7</f>
        <v>Bº LOTEO SUSEX MZA.Nº 4 LOTE Nº3</v>
      </c>
    </row>
    <row r="263" spans="2:5" x14ac:dyDescent="0.2">
      <c r="B263" s="271" t="str">
        <f>'[1]COMEDORES EMERGENTES'!$B$8</f>
        <v>CLUB DEPORTIVO CHACARITA</v>
      </c>
      <c r="C263" s="272"/>
      <c r="D263" s="130">
        <v>23</v>
      </c>
      <c r="E263" s="131" t="str">
        <f>'[1]COMEDORES EMERGENTES'!$G$8</f>
        <v>CALLE DR.DERMIDIO GALINDEZ C/2660</v>
      </c>
    </row>
    <row r="264" spans="2:5" x14ac:dyDescent="0.2">
      <c r="B264" s="271" t="str">
        <f>'[1]COMEDORES EMERGENTES'!$B$9</f>
        <v>LA MORO</v>
      </c>
      <c r="C264" s="272"/>
      <c r="D264" s="130">
        <v>22</v>
      </c>
      <c r="E264" s="131" t="str">
        <f>'[1]COMEDORES EMERGENTES'!$G$9</f>
        <v>MAIPU NORTE 1º ETAPA MZA "H" Bº MI JARDIN</v>
      </c>
    </row>
    <row r="265" spans="2:5" x14ac:dyDescent="0.2">
      <c r="B265" s="271" t="str">
        <f>'[1]COMEDORES EMERGENTES'!$B$10</f>
        <v>PAPA FRANCISCO</v>
      </c>
      <c r="C265" s="272"/>
      <c r="D265" s="130">
        <v>36</v>
      </c>
      <c r="E265" s="131" t="str">
        <f>'[1]COMEDORES EMERGENTES'!$G$10</f>
        <v>ENTRE AV.TEREBINTO Y AV.SAN JUAN LOTE "2" MZA. "B"</v>
      </c>
    </row>
    <row r="266" spans="2:5" x14ac:dyDescent="0.2">
      <c r="B266" s="271" t="str">
        <f>'[1]COMEDORES EMERGENTES'!$B$11</f>
        <v>E.P.C - 100 V.V NORTE</v>
      </c>
      <c r="C266" s="272"/>
      <c r="D266" s="130">
        <v>54</v>
      </c>
      <c r="E266" s="131" t="str">
        <f>'[1]COMEDORES EMERGENTES'!$G$11</f>
        <v>Bº VV NORTE C/48 ENTRE ESPAÑA Y FRANCIA</v>
      </c>
    </row>
    <row r="267" spans="2:5" x14ac:dyDescent="0.2">
      <c r="B267" s="271" t="str">
        <f>'[1]COMEDORES EMERGENTES'!$B$12</f>
        <v>HOGAR DE CRISTO - PADRE RAUL CONTRERAS</v>
      </c>
      <c r="C267" s="272"/>
      <c r="D267" s="130">
        <v>54</v>
      </c>
      <c r="E267" s="131" t="str">
        <f>'[1]COMEDORES EMERGENTES'!$G$12</f>
        <v>Bº SANTA MARTA MZA. "S" LOTE "M" C/39</v>
      </c>
    </row>
    <row r="268" spans="2:5" x14ac:dyDescent="0.2">
      <c r="B268" s="271" t="str">
        <f>'[1]COMEDORES EMERGENTES'!$B$13</f>
        <v>LA LUCIERNAGA</v>
      </c>
      <c r="C268" s="272"/>
      <c r="D268" s="130">
        <v>36</v>
      </c>
      <c r="E268" s="131" t="str">
        <f>'[1]COMEDORES EMERGENTES'!$G$13</f>
        <v>Bº 20 V.V NORTE C/3</v>
      </c>
    </row>
    <row r="269" spans="2:5" x14ac:dyDescent="0.2">
      <c r="B269" s="271" t="str">
        <f>'[1]COMEDORES EMERGENTES'!$B$14</f>
        <v>VALLE VIEJO - SUMALAO</v>
      </c>
      <c r="C269" s="272"/>
      <c r="D269" s="130">
        <v>63</v>
      </c>
      <c r="E269" s="131" t="str">
        <f>'[1]COMEDORES EMERGENTES'!$G$14</f>
        <v>PADRE SEGURA S/N</v>
      </c>
    </row>
    <row r="270" spans="2:5" x14ac:dyDescent="0.2">
      <c r="B270" s="271" t="str">
        <f>'[1]COMEDORES EMERGENTES'!$B$15</f>
        <v>NUESTRO FUTURO - LAS VIAS</v>
      </c>
      <c r="C270" s="272"/>
      <c r="D270" s="130">
        <v>36</v>
      </c>
      <c r="E270" s="131" t="str">
        <f>'[1]COMEDORES EMERGENTES'!$G$15</f>
        <v>Bº LAS VIAS OESTE LOTE 42</v>
      </c>
    </row>
    <row r="271" spans="2:5" x14ac:dyDescent="0.2">
      <c r="B271" s="271" t="str">
        <f>'[1]COMEDORES EMERGENTES'!$B$16</f>
        <v>SAN JOSE OBRERO</v>
      </c>
      <c r="C271" s="272"/>
      <c r="D271" s="130">
        <v>23</v>
      </c>
      <c r="E271" s="131" t="str">
        <f>'[1]COMEDORES EMERGENTES'!$G$16</f>
        <v>Bº SAN JOSE OBRERO. PJE. SANDOVAL S/Nº</v>
      </c>
    </row>
    <row r="272" spans="2:5" x14ac:dyDescent="0.2">
      <c r="B272" s="271" t="str">
        <f>'[1]COMEDORES EMERGENTES'!$B$17</f>
        <v>VIRGEN DE LUJAN</v>
      </c>
      <c r="C272" s="272"/>
      <c r="D272" s="130">
        <v>36</v>
      </c>
      <c r="E272" s="131" t="str">
        <f>'[1]COMEDORES EMERGENTES'!$G$17</f>
        <v>Bº OJO DE AGUA C/DR.TEODULFO BARRIONUEVO S/Nº</v>
      </c>
    </row>
    <row r="273" spans="2:5" x14ac:dyDescent="0.2">
      <c r="B273" s="271" t="str">
        <f>'[1]COMEDORES EMERGENTES'!$B$18</f>
        <v>RENACER</v>
      </c>
      <c r="C273" s="272"/>
      <c r="D273" s="130">
        <v>45</v>
      </c>
      <c r="E273" s="131" t="str">
        <f>'[1]COMEDORES EMERGENTES'!$G$18</f>
        <v>Bº VIRGEN MORENITA</v>
      </c>
    </row>
    <row r="274" spans="2:5" x14ac:dyDescent="0.2">
      <c r="B274" s="271" t="str">
        <f>'[1]COMEDORES EMERGENTES'!$B$19</f>
        <v>CENTRO VECINAL MI JARDIN</v>
      </c>
      <c r="C274" s="272"/>
      <c r="D274" s="130">
        <v>32</v>
      </c>
      <c r="E274" s="131" t="str">
        <f>'[1]COMEDORES EMERGENTES'!$G$19</f>
        <v>C/ LOS TULIPANES ENTRE FLOR DE CEREZO Y HOLANDA MZA.27 Bº MI JARDIN</v>
      </c>
    </row>
    <row r="275" spans="2:5" x14ac:dyDescent="0.2">
      <c r="B275" s="271" t="str">
        <f>'[1]COMEDORES EMERGENTES'!$B$20</f>
        <v>LA VIEJA ESQUINA</v>
      </c>
      <c r="C275" s="272"/>
      <c r="D275" s="130">
        <v>31</v>
      </c>
      <c r="E275" s="131" t="str">
        <f>'[1]COMEDORES EMERGENTES'!$G$20</f>
        <v>B° CRISTO REY PJE CAPATAZ VILLAFAÑEZ Y ARMANDO CORREA</v>
      </c>
    </row>
    <row r="276" spans="2:5" x14ac:dyDescent="0.2">
      <c r="B276" s="271" t="str">
        <f>'[1]COMEDORES EMERGENTES'!$B$21</f>
        <v>GAUCHITO GIL</v>
      </c>
      <c r="C276" s="272"/>
      <c r="D276" s="130">
        <v>30</v>
      </c>
      <c r="E276" s="131" t="str">
        <f>'[1]COMEDORES EMERGENTES'!$G$21</f>
        <v>B° 26 VIVIENDAS CASA N° 3</v>
      </c>
    </row>
    <row r="277" spans="2:5" ht="13.5" thickBot="1" x14ac:dyDescent="0.25">
      <c r="B277" s="288" t="str">
        <f>'[1]COMEDORES EMERGENTES'!$B$22</f>
        <v>LOS TOLDOS</v>
      </c>
      <c r="C277" s="289"/>
      <c r="D277" s="137">
        <v>14</v>
      </c>
      <c r="E277" s="138" t="str">
        <f>'[1]COMEDORES EMERGENTES'!$G$22</f>
        <v>LOTEO PARQUE SUR CALLE S/NOMBRE S/N°</v>
      </c>
    </row>
    <row r="278" spans="2:5" x14ac:dyDescent="0.2">
      <c r="B278" s="50" t="s">
        <v>18</v>
      </c>
      <c r="C278" s="48"/>
      <c r="D278" s="94"/>
      <c r="E278" s="49"/>
    </row>
    <row r="279" spans="2:5" ht="12.75" customHeight="1" x14ac:dyDescent="0.2">
      <c r="B279" s="51"/>
      <c r="C279" s="287" t="s">
        <v>63</v>
      </c>
      <c r="D279" s="287"/>
      <c r="E279" s="287"/>
    </row>
    <row r="280" spans="2:5" x14ac:dyDescent="0.2">
      <c r="B280" s="50" t="s">
        <v>19</v>
      </c>
      <c r="C280" s="52"/>
      <c r="D280" s="52"/>
      <c r="E280" s="53"/>
    </row>
    <row r="281" spans="2:5" ht="14.25" customHeight="1" x14ac:dyDescent="0.2">
      <c r="B281" s="51"/>
      <c r="C281" s="287" t="s">
        <v>140</v>
      </c>
      <c r="D281" s="287"/>
      <c r="E281" s="287"/>
    </row>
    <row r="282" spans="2:5" x14ac:dyDescent="0.2">
      <c r="B282" s="50" t="s">
        <v>20</v>
      </c>
      <c r="C282" s="48"/>
      <c r="D282" s="94"/>
      <c r="E282" s="49"/>
    </row>
    <row r="283" spans="2:5" ht="11.25" customHeight="1" x14ac:dyDescent="0.2">
      <c r="B283" s="50"/>
      <c r="C283" s="286" t="s">
        <v>64</v>
      </c>
      <c r="D283" s="286"/>
      <c r="E283" s="286"/>
    </row>
    <row r="284" spans="2:5" ht="13.5" thickBot="1" x14ac:dyDescent="0.25">
      <c r="B284" s="54"/>
      <c r="C284" s="55"/>
      <c r="D284" s="95"/>
      <c r="E284" s="56"/>
    </row>
    <row r="285" spans="2:5" ht="13.5" thickBot="1" x14ac:dyDescent="0.25"/>
    <row r="286" spans="2:5" x14ac:dyDescent="0.2">
      <c r="B286" s="44" t="s">
        <v>145</v>
      </c>
      <c r="C286" s="45"/>
      <c r="D286" s="93"/>
      <c r="E286" s="46"/>
    </row>
    <row r="287" spans="2:5" ht="5.25" customHeight="1" x14ac:dyDescent="0.2">
      <c r="B287" s="47"/>
      <c r="C287" s="48"/>
      <c r="D287" s="94"/>
      <c r="E287" s="49"/>
    </row>
    <row r="288" spans="2:5" x14ac:dyDescent="0.2">
      <c r="B288" s="50" t="s">
        <v>16</v>
      </c>
      <c r="C288" s="48"/>
      <c r="D288" s="94"/>
      <c r="E288" s="49"/>
    </row>
    <row r="289" spans="2:5" ht="25.5" customHeight="1" x14ac:dyDescent="0.2">
      <c r="B289" s="50"/>
      <c r="C289" s="277"/>
      <c r="D289" s="277"/>
      <c r="E289" s="278"/>
    </row>
    <row r="290" spans="2:5" ht="13.5" thickBot="1" x14ac:dyDescent="0.25">
      <c r="B290" s="50" t="s">
        <v>17</v>
      </c>
      <c r="C290" s="48"/>
      <c r="D290" s="94"/>
      <c r="E290" s="49"/>
    </row>
    <row r="291" spans="2:5" ht="13.5" thickBot="1" x14ac:dyDescent="0.25">
      <c r="B291" s="273" t="s">
        <v>137</v>
      </c>
      <c r="C291" s="274"/>
      <c r="D291" s="274"/>
      <c r="E291" s="275"/>
    </row>
    <row r="292" spans="2:5" ht="13.5" thickBot="1" x14ac:dyDescent="0.25">
      <c r="B292" s="273" t="s">
        <v>138</v>
      </c>
      <c r="C292" s="275"/>
      <c r="D292" s="91" t="s">
        <v>11</v>
      </c>
      <c r="E292" s="91" t="s">
        <v>139</v>
      </c>
    </row>
    <row r="293" spans="2:5" x14ac:dyDescent="0.2">
      <c r="B293" s="280" t="str">
        <f>'[1]COMEDORES EMERGENTES'!$B$3</f>
        <v>UNA SONRISA AV. LOS COBACHO</v>
      </c>
      <c r="C293" s="281"/>
      <c r="D293" s="135">
        <v>8</v>
      </c>
      <c r="E293" s="136" t="str">
        <f>'[1]COMEDORES EMERGENTES'!$G$3</f>
        <v>Bº SAN CARLOS OESTE AV. Bonifacio cobacho 670</v>
      </c>
    </row>
    <row r="294" spans="2:5" x14ac:dyDescent="0.2">
      <c r="B294" s="271" t="str">
        <f>'[1]COMEDORES EMERGENTES'!$B$4</f>
        <v>C.I.F Nº1 - RIVERA DEL VALLE Y FLORIDA</v>
      </c>
      <c r="C294" s="272"/>
      <c r="D294" s="130">
        <v>12</v>
      </c>
      <c r="E294" s="131" t="str">
        <f>'[1]COMEDORES EMERGENTES'!$G$4</f>
        <v>AV. RIVIERA DEL VALLE ENTRE FLORIDA Y SANTA FE</v>
      </c>
    </row>
    <row r="295" spans="2:5" x14ac:dyDescent="0.2">
      <c r="B295" s="271" t="str">
        <f>'[1]COMEDORES EMERGENTES'!$B$5</f>
        <v>C.I.F - RIVERA DEL VALLE - DILORENZO</v>
      </c>
      <c r="C295" s="272"/>
      <c r="D295" s="130">
        <v>14</v>
      </c>
      <c r="E295" s="131" t="str">
        <f>'[1]COMEDORES EMERGENTES'!$G$5</f>
        <v>Bº RIVERA DEL VALLE ENTRE VILLA EUMELIA Y MONTE CRISTO</v>
      </c>
    </row>
    <row r="296" spans="2:5" x14ac:dyDescent="0.2">
      <c r="B296" s="271" t="str">
        <f>'[1]COMEDORES EMERGENTES'!$B$6</f>
        <v>ESFUERZO PROPIO- Bº ALTOS DE CHOYA</v>
      </c>
      <c r="C296" s="272"/>
      <c r="D296" s="130">
        <v>11</v>
      </c>
      <c r="E296" s="131" t="str">
        <f>'[1]COMEDORES EMERGENTES'!$G$6</f>
        <v>Bº MUNICIPAL 35VV. NORTE C/14</v>
      </c>
    </row>
    <row r="297" spans="2:5" x14ac:dyDescent="0.2">
      <c r="B297" s="271" t="str">
        <f>'[1]COMEDORES EMERGENTES'!$B$7</f>
        <v>ANGELITOS - LOTEO SUSSEX</v>
      </c>
      <c r="C297" s="272"/>
      <c r="D297" s="130">
        <v>5</v>
      </c>
      <c r="E297" s="131" t="str">
        <f>'[1]COMEDORES EMERGENTES'!$G$7</f>
        <v>Bº LOTEO SUSEX MZA.Nº 4 LOTE Nº3</v>
      </c>
    </row>
    <row r="298" spans="2:5" x14ac:dyDescent="0.2">
      <c r="B298" s="271" t="str">
        <f>'[1]COMEDORES EMERGENTES'!$B$8</f>
        <v>CLUB DEPORTIVO CHACARITA</v>
      </c>
      <c r="C298" s="272"/>
      <c r="D298" s="130">
        <v>7</v>
      </c>
      <c r="E298" s="131" t="str">
        <f>'[1]COMEDORES EMERGENTES'!$G$8</f>
        <v>CALLE DR.DERMIDIO GALINDEZ C/2660</v>
      </c>
    </row>
    <row r="299" spans="2:5" x14ac:dyDescent="0.2">
      <c r="B299" s="271" t="str">
        <f>'[1]COMEDORES EMERGENTES'!$B$9</f>
        <v>LA MORO</v>
      </c>
      <c r="C299" s="272"/>
      <c r="D299" s="130">
        <v>6</v>
      </c>
      <c r="E299" s="131" t="str">
        <f>'[1]COMEDORES EMERGENTES'!$G$9</f>
        <v>MAIPU NORTE 1º ETAPA MZA "H" Bº MI JARDIN</v>
      </c>
    </row>
    <row r="300" spans="2:5" x14ac:dyDescent="0.2">
      <c r="B300" s="271" t="str">
        <f>'[1]COMEDORES EMERGENTES'!$B$10</f>
        <v>PAPA FRANCISCO</v>
      </c>
      <c r="C300" s="272"/>
      <c r="D300" s="130">
        <v>10</v>
      </c>
      <c r="E300" s="131" t="str">
        <f>'[1]COMEDORES EMERGENTES'!$G$10</f>
        <v>ENTRE AV.TEREBINTO Y AV.SAN JUAN LOTE "2" MZA. "B"</v>
      </c>
    </row>
    <row r="301" spans="2:5" x14ac:dyDescent="0.2">
      <c r="B301" s="271" t="str">
        <f>'[1]COMEDORES EMERGENTES'!$B$11</f>
        <v>E.P.C - 100 V.V NORTE</v>
      </c>
      <c r="C301" s="272"/>
      <c r="D301" s="130">
        <v>15</v>
      </c>
      <c r="E301" s="131" t="str">
        <f>'[1]COMEDORES EMERGENTES'!$G$11</f>
        <v>Bº VV NORTE C/48 ENTRE ESPAÑA Y FRANCIA</v>
      </c>
    </row>
    <row r="302" spans="2:5" x14ac:dyDescent="0.2">
      <c r="B302" s="271" t="str">
        <f>'[1]COMEDORES EMERGENTES'!$B$12</f>
        <v>HOGAR DE CRISTO - PADRE RAUL CONTRERAS</v>
      </c>
      <c r="C302" s="272"/>
      <c r="D302" s="130">
        <v>15</v>
      </c>
      <c r="E302" s="131" t="str">
        <f>'[1]COMEDORES EMERGENTES'!$G$12</f>
        <v>Bº SANTA MARTA MZA. "S" LOTE "M" C/39</v>
      </c>
    </row>
    <row r="303" spans="2:5" x14ac:dyDescent="0.2">
      <c r="B303" s="271" t="str">
        <f>'[1]COMEDORES EMERGENTES'!$B$13</f>
        <v>LA LUCIERNAGA</v>
      </c>
      <c r="C303" s="272"/>
      <c r="D303" s="130">
        <v>10</v>
      </c>
      <c r="E303" s="131" t="str">
        <f>'[1]COMEDORES EMERGENTES'!$G$13</f>
        <v>Bº 20 V.V NORTE C/3</v>
      </c>
    </row>
    <row r="304" spans="2:5" x14ac:dyDescent="0.2">
      <c r="B304" s="271" t="str">
        <f>'[1]COMEDORES EMERGENTES'!$B$14</f>
        <v>VALLE VIEJO - SUMALAO</v>
      </c>
      <c r="C304" s="272"/>
      <c r="D304" s="130">
        <v>18</v>
      </c>
      <c r="E304" s="131" t="str">
        <f>'[1]COMEDORES EMERGENTES'!$G$14</f>
        <v>PADRE SEGURA S/N</v>
      </c>
    </row>
    <row r="305" spans="2:5" x14ac:dyDescent="0.2">
      <c r="B305" s="271" t="str">
        <f>'[1]COMEDORES EMERGENTES'!$B$15</f>
        <v>NUESTRO FUTURO - LAS VIAS</v>
      </c>
      <c r="C305" s="272"/>
      <c r="D305" s="130">
        <v>10</v>
      </c>
      <c r="E305" s="131" t="str">
        <f>'[1]COMEDORES EMERGENTES'!$G$15</f>
        <v>Bº LAS VIAS OESTE LOTE 42</v>
      </c>
    </row>
    <row r="306" spans="2:5" x14ac:dyDescent="0.2">
      <c r="B306" s="271" t="str">
        <f>'[1]COMEDORES EMERGENTES'!$B$16</f>
        <v>SAN JOSE OBRERO</v>
      </c>
      <c r="C306" s="272"/>
      <c r="D306" s="130">
        <v>7</v>
      </c>
      <c r="E306" s="131" t="str">
        <f>'[1]COMEDORES EMERGENTES'!$G$16</f>
        <v>Bº SAN JOSE OBRERO. PJE. SANDOVAL S/Nº</v>
      </c>
    </row>
    <row r="307" spans="2:5" x14ac:dyDescent="0.2">
      <c r="B307" s="271" t="str">
        <f>'[1]COMEDORES EMERGENTES'!$B$17</f>
        <v>VIRGEN DE LUJAN</v>
      </c>
      <c r="C307" s="272"/>
      <c r="D307" s="130">
        <v>10</v>
      </c>
      <c r="E307" s="131" t="str">
        <f>'[1]COMEDORES EMERGENTES'!$G$17</f>
        <v>Bº OJO DE AGUA C/DR.TEODULFO BARRIONUEVO S/Nº</v>
      </c>
    </row>
    <row r="308" spans="2:5" x14ac:dyDescent="0.2">
      <c r="B308" s="271" t="str">
        <f>'[1]COMEDORES EMERGENTES'!$B$18</f>
        <v>RENACER</v>
      </c>
      <c r="C308" s="272"/>
      <c r="D308" s="130">
        <v>13</v>
      </c>
      <c r="E308" s="131" t="str">
        <f>'[1]COMEDORES EMERGENTES'!$G$18</f>
        <v>Bº VIRGEN MORENITA</v>
      </c>
    </row>
    <row r="309" spans="2:5" x14ac:dyDescent="0.2">
      <c r="B309" s="271" t="str">
        <f>'[1]COMEDORES EMERGENTES'!$B$19</f>
        <v>CENTRO VECINAL MI JARDIN</v>
      </c>
      <c r="C309" s="272"/>
      <c r="D309" s="130">
        <v>9</v>
      </c>
      <c r="E309" s="131" t="str">
        <f>'[1]COMEDORES EMERGENTES'!$G$19</f>
        <v>C/ LOS TULIPANES ENTRE FLOR DE CEREZO Y HOLANDA MZA.27 Bº MI JARDIN</v>
      </c>
    </row>
    <row r="310" spans="2:5" x14ac:dyDescent="0.2">
      <c r="B310" s="271" t="str">
        <f>'[1]COMEDORES EMERGENTES'!$B$20</f>
        <v>LA VIEJA ESQUINA</v>
      </c>
      <c r="C310" s="272"/>
      <c r="D310" s="130">
        <v>9</v>
      </c>
      <c r="E310" s="131" t="str">
        <f>'[1]COMEDORES EMERGENTES'!$G$20</f>
        <v>B° CRISTO REY PJE CAPATAZ VILLAFAÑEZ Y ARMANDO CORREA</v>
      </c>
    </row>
    <row r="311" spans="2:5" x14ac:dyDescent="0.2">
      <c r="B311" s="271" t="str">
        <f>'[1]COMEDORES EMERGENTES'!$B$21</f>
        <v>GAUCHITO GIL</v>
      </c>
      <c r="C311" s="272"/>
      <c r="D311" s="130">
        <v>8</v>
      </c>
      <c r="E311" s="131" t="str">
        <f>'[1]COMEDORES EMERGENTES'!$G$21</f>
        <v>B° 26 VIVIENDAS CASA N° 3</v>
      </c>
    </row>
    <row r="312" spans="2:5" ht="13.5" thickBot="1" x14ac:dyDescent="0.25">
      <c r="B312" s="288" t="str">
        <f>'[1]COMEDORES EMERGENTES'!$B$22</f>
        <v>LOS TOLDOS</v>
      </c>
      <c r="C312" s="289"/>
      <c r="D312" s="137">
        <v>4</v>
      </c>
      <c r="E312" s="138" t="str">
        <f>'[1]COMEDORES EMERGENTES'!$G$22</f>
        <v>LOTEO PARQUE SUR CALLE S/NOMBRE S/N°</v>
      </c>
    </row>
    <row r="313" spans="2:5" x14ac:dyDescent="0.2">
      <c r="B313" s="50" t="s">
        <v>18</v>
      </c>
      <c r="C313" s="48"/>
      <c r="D313" s="94"/>
      <c r="E313" s="49"/>
    </row>
    <row r="314" spans="2:5" ht="12.75" customHeight="1" x14ac:dyDescent="0.2">
      <c r="B314" s="51"/>
      <c r="C314" s="287" t="s">
        <v>63</v>
      </c>
      <c r="D314" s="287"/>
      <c r="E314" s="287"/>
    </row>
    <row r="315" spans="2:5" x14ac:dyDescent="0.2">
      <c r="B315" s="50" t="s">
        <v>19</v>
      </c>
      <c r="C315" s="52"/>
      <c r="D315" s="52"/>
      <c r="E315" s="53"/>
    </row>
    <row r="316" spans="2:5" ht="14.25" customHeight="1" x14ac:dyDescent="0.2">
      <c r="B316" s="51"/>
      <c r="C316" s="287" t="s">
        <v>140</v>
      </c>
      <c r="D316" s="287"/>
      <c r="E316" s="287"/>
    </row>
    <row r="317" spans="2:5" x14ac:dyDescent="0.2">
      <c r="B317" s="50" t="s">
        <v>20</v>
      </c>
      <c r="C317" s="48"/>
      <c r="D317" s="94"/>
      <c r="E317" s="49"/>
    </row>
    <row r="318" spans="2:5" ht="11.25" customHeight="1" x14ac:dyDescent="0.2">
      <c r="B318" s="50"/>
      <c r="C318" s="286" t="s">
        <v>64</v>
      </c>
      <c r="D318" s="286"/>
      <c r="E318" s="286"/>
    </row>
    <row r="319" spans="2:5" ht="13.5" thickBot="1" x14ac:dyDescent="0.25">
      <c r="B319" s="54"/>
      <c r="C319" s="55"/>
      <c r="D319" s="95"/>
      <c r="E319" s="56"/>
    </row>
    <row r="320" spans="2:5" ht="13.5" thickBot="1" x14ac:dyDescent="0.25"/>
    <row r="321" spans="2:5" x14ac:dyDescent="0.2">
      <c r="B321" s="44" t="s">
        <v>146</v>
      </c>
      <c r="C321" s="45"/>
      <c r="D321" s="93"/>
      <c r="E321" s="46"/>
    </row>
    <row r="322" spans="2:5" ht="5.25" customHeight="1" x14ac:dyDescent="0.2">
      <c r="B322" s="47"/>
      <c r="C322" s="48"/>
      <c r="D322" s="94"/>
      <c r="E322" s="49"/>
    </row>
    <row r="323" spans="2:5" x14ac:dyDescent="0.2">
      <c r="B323" s="50" t="s">
        <v>16</v>
      </c>
      <c r="C323" s="48"/>
      <c r="D323" s="94"/>
      <c r="E323" s="49"/>
    </row>
    <row r="324" spans="2:5" ht="25.5" customHeight="1" x14ac:dyDescent="0.2">
      <c r="B324" s="50"/>
      <c r="C324" s="287"/>
      <c r="D324" s="287"/>
      <c r="E324" s="287"/>
    </row>
    <row r="325" spans="2:5" ht="13.5" thickBot="1" x14ac:dyDescent="0.25">
      <c r="B325" s="50" t="s">
        <v>17</v>
      </c>
      <c r="C325" s="48"/>
      <c r="D325" s="94"/>
      <c r="E325" s="49"/>
    </row>
    <row r="326" spans="2:5" ht="13.5" thickBot="1" x14ac:dyDescent="0.25">
      <c r="B326" s="273" t="s">
        <v>137</v>
      </c>
      <c r="C326" s="274"/>
      <c r="D326" s="274"/>
      <c r="E326" s="275"/>
    </row>
    <row r="327" spans="2:5" ht="13.5" thickBot="1" x14ac:dyDescent="0.25">
      <c r="B327" s="273" t="s">
        <v>138</v>
      </c>
      <c r="C327" s="275"/>
      <c r="D327" s="91" t="s">
        <v>11</v>
      </c>
      <c r="E327" s="91" t="s">
        <v>139</v>
      </c>
    </row>
    <row r="328" spans="2:5" x14ac:dyDescent="0.2">
      <c r="B328" s="280" t="str">
        <f>'[1]COMEDORES EMERGENTES'!$B$3</f>
        <v>UNA SONRISA AV. LOS COBACHO</v>
      </c>
      <c r="C328" s="281"/>
      <c r="D328" s="135" t="s">
        <v>176</v>
      </c>
      <c r="E328" s="136" t="str">
        <f>'[1]COMEDORES EMERGENTES'!$G$3</f>
        <v>Bº SAN CARLOS OESTE AV. Bonifacio cobacho 670</v>
      </c>
    </row>
    <row r="329" spans="2:5" x14ac:dyDescent="0.2">
      <c r="B329" s="271" t="str">
        <f>'[1]COMEDORES EMERGENTES'!$B$4</f>
        <v>C.I.F Nº1 - RIVERA DEL VALLE Y FLORIDA</v>
      </c>
      <c r="C329" s="272"/>
      <c r="D329" s="130" t="s">
        <v>204</v>
      </c>
      <c r="E329" s="131" t="str">
        <f>'[1]COMEDORES EMERGENTES'!$G$4</f>
        <v>AV. RIVIERA DEL VALLE ENTRE FLORIDA Y SANTA FE</v>
      </c>
    </row>
    <row r="330" spans="2:5" x14ac:dyDescent="0.2">
      <c r="B330" s="271" t="str">
        <f>'[1]COMEDORES EMERGENTES'!$B$5</f>
        <v>C.I.F - RIVERA DEL VALLE - DILORENZO</v>
      </c>
      <c r="C330" s="272"/>
      <c r="D330" s="130" t="s">
        <v>205</v>
      </c>
      <c r="E330" s="131" t="str">
        <f>'[1]COMEDORES EMERGENTES'!$G$5</f>
        <v>Bº RIVERA DEL VALLE ENTRE VILLA EUMELIA Y MONTE CRISTO</v>
      </c>
    </row>
    <row r="331" spans="2:5" x14ac:dyDescent="0.2">
      <c r="B331" s="271" t="str">
        <f>'[1]COMEDORES EMERGENTES'!$B$6</f>
        <v>ESFUERZO PROPIO- Bº ALTOS DE CHOYA</v>
      </c>
      <c r="C331" s="272"/>
      <c r="D331" s="130" t="s">
        <v>206</v>
      </c>
      <c r="E331" s="131" t="str">
        <f>'[1]COMEDORES EMERGENTES'!$G$6</f>
        <v>Bº MUNICIPAL 35VV. NORTE C/14</v>
      </c>
    </row>
    <row r="332" spans="2:5" x14ac:dyDescent="0.2">
      <c r="B332" s="271" t="str">
        <f>'[1]COMEDORES EMERGENTES'!$B$7</f>
        <v>ANGELITOS - LOTEO SUSSEX</v>
      </c>
      <c r="C332" s="272"/>
      <c r="D332" s="130" t="s">
        <v>187</v>
      </c>
      <c r="E332" s="131" t="str">
        <f>'[1]COMEDORES EMERGENTES'!$G$7</f>
        <v>Bº LOTEO SUSEX MZA.Nº 4 LOTE Nº3</v>
      </c>
    </row>
    <row r="333" spans="2:5" x14ac:dyDescent="0.2">
      <c r="B333" s="271" t="str">
        <f>'[1]COMEDORES EMERGENTES'!$B$8</f>
        <v>CLUB DEPORTIVO CHACARITA</v>
      </c>
      <c r="C333" s="272"/>
      <c r="D333" s="130" t="s">
        <v>197</v>
      </c>
      <c r="E333" s="131" t="str">
        <f>'[1]COMEDORES EMERGENTES'!$G$8</f>
        <v>CALLE DR.DERMIDIO GALINDEZ C/2660</v>
      </c>
    </row>
    <row r="334" spans="2:5" x14ac:dyDescent="0.2">
      <c r="B334" s="271" t="str">
        <f>'[1]COMEDORES EMERGENTES'!$B$9</f>
        <v>LA MORO</v>
      </c>
      <c r="C334" s="272"/>
      <c r="D334" s="130" t="s">
        <v>198</v>
      </c>
      <c r="E334" s="131" t="str">
        <f>'[1]COMEDORES EMERGENTES'!$G$9</f>
        <v>MAIPU NORTE 1º ETAPA MZA "H" Bº MI JARDIN</v>
      </c>
    </row>
    <row r="335" spans="2:5" x14ac:dyDescent="0.2">
      <c r="B335" s="271" t="str">
        <f>'[1]COMEDORES EMERGENTES'!$B$10</f>
        <v>PAPA FRANCISCO</v>
      </c>
      <c r="C335" s="272"/>
      <c r="D335" s="130" t="s">
        <v>207</v>
      </c>
      <c r="E335" s="131" t="str">
        <f>'[1]COMEDORES EMERGENTES'!$G$10</f>
        <v>ENTRE AV.TEREBINTO Y AV.SAN JUAN LOTE "2" MZA. "B"</v>
      </c>
    </row>
    <row r="336" spans="2:5" x14ac:dyDescent="0.2">
      <c r="B336" s="271" t="str">
        <f>'[1]COMEDORES EMERGENTES'!$B$11</f>
        <v>E.P.C - 100 V.V NORTE</v>
      </c>
      <c r="C336" s="272"/>
      <c r="D336" s="130" t="s">
        <v>208</v>
      </c>
      <c r="E336" s="131" t="str">
        <f>'[1]COMEDORES EMERGENTES'!$G$11</f>
        <v>Bº VV NORTE C/48 ENTRE ESPAÑA Y FRANCIA</v>
      </c>
    </row>
    <row r="337" spans="2:5" x14ac:dyDescent="0.2">
      <c r="B337" s="271" t="str">
        <f>'[1]COMEDORES EMERGENTES'!$B$12</f>
        <v>HOGAR DE CRISTO - PADRE RAUL CONTRERAS</v>
      </c>
      <c r="C337" s="272"/>
      <c r="D337" s="130" t="s">
        <v>208</v>
      </c>
      <c r="E337" s="131" t="str">
        <f>'[1]COMEDORES EMERGENTES'!$G$12</f>
        <v>Bº SANTA MARTA MZA. "S" LOTE "M" C/39</v>
      </c>
    </row>
    <row r="338" spans="2:5" x14ac:dyDescent="0.2">
      <c r="B338" s="271" t="str">
        <f>'[1]COMEDORES EMERGENTES'!$B$13</f>
        <v>LA LUCIERNAGA</v>
      </c>
      <c r="C338" s="272"/>
      <c r="D338" s="130" t="s">
        <v>207</v>
      </c>
      <c r="E338" s="131" t="str">
        <f>'[1]COMEDORES EMERGENTES'!$G$13</f>
        <v>Bº 20 V.V NORTE C/3</v>
      </c>
    </row>
    <row r="339" spans="2:5" x14ac:dyDescent="0.2">
      <c r="B339" s="271" t="str">
        <f>'[1]COMEDORES EMERGENTES'!$B$14</f>
        <v>VALLE VIEJO - SUMALAO</v>
      </c>
      <c r="C339" s="272"/>
      <c r="D339" s="130" t="s">
        <v>209</v>
      </c>
      <c r="E339" s="131" t="str">
        <f>'[1]COMEDORES EMERGENTES'!$G$14</f>
        <v>PADRE SEGURA S/N</v>
      </c>
    </row>
    <row r="340" spans="2:5" x14ac:dyDescent="0.2">
      <c r="B340" s="271" t="str">
        <f>'[1]COMEDORES EMERGENTES'!$B$15</f>
        <v>NUESTRO FUTURO - LAS VIAS</v>
      </c>
      <c r="C340" s="272"/>
      <c r="D340" s="130" t="s">
        <v>207</v>
      </c>
      <c r="E340" s="131" t="str">
        <f>'[1]COMEDORES EMERGENTES'!$G$15</f>
        <v>Bº LAS VIAS OESTE LOTE 42</v>
      </c>
    </row>
    <row r="341" spans="2:5" x14ac:dyDescent="0.2">
      <c r="B341" s="271" t="str">
        <f>'[1]COMEDORES EMERGENTES'!$B$16</f>
        <v>SAN JOSE OBRERO</v>
      </c>
      <c r="C341" s="272"/>
      <c r="D341" s="130" t="s">
        <v>197</v>
      </c>
      <c r="E341" s="131" t="str">
        <f>'[1]COMEDORES EMERGENTES'!$G$16</f>
        <v>Bº SAN JOSE OBRERO. PJE. SANDOVAL S/Nº</v>
      </c>
    </row>
    <row r="342" spans="2:5" x14ac:dyDescent="0.2">
      <c r="B342" s="271" t="str">
        <f>'[1]COMEDORES EMERGENTES'!$B$17</f>
        <v>VIRGEN DE LUJAN</v>
      </c>
      <c r="C342" s="272"/>
      <c r="D342" s="130" t="s">
        <v>207</v>
      </c>
      <c r="E342" s="131" t="str">
        <f>'[1]COMEDORES EMERGENTES'!$G$17</f>
        <v>Bº OJO DE AGUA C/DR.TEODULFO BARRIONUEVO S/Nº</v>
      </c>
    </row>
    <row r="343" spans="2:5" x14ac:dyDescent="0.2">
      <c r="B343" s="271" t="str">
        <f>'[1]COMEDORES EMERGENTES'!$B$18</f>
        <v>RENACER</v>
      </c>
      <c r="C343" s="272"/>
      <c r="D343" s="130" t="s">
        <v>195</v>
      </c>
      <c r="E343" s="131" t="str">
        <f>'[1]COMEDORES EMERGENTES'!$G$18</f>
        <v>Bº VIRGEN MORENITA</v>
      </c>
    </row>
    <row r="344" spans="2:5" x14ac:dyDescent="0.2">
      <c r="B344" s="271" t="str">
        <f>'[1]COMEDORES EMERGENTES'!$B$19</f>
        <v>CENTRO VECINAL MI JARDIN</v>
      </c>
      <c r="C344" s="272"/>
      <c r="D344" s="130" t="s">
        <v>196</v>
      </c>
      <c r="E344" s="131" t="str">
        <f>'[1]COMEDORES EMERGENTES'!$G$19</f>
        <v>C/ LOS TULIPANES ENTRE FLOR DE CEREZO Y HOLANDA MZA.27 Bº MI JARDIN</v>
      </c>
    </row>
    <row r="345" spans="2:5" x14ac:dyDescent="0.2">
      <c r="B345" s="271" t="str">
        <f>'[1]COMEDORES EMERGENTES'!$B$20</f>
        <v>LA VIEJA ESQUINA</v>
      </c>
      <c r="C345" s="272"/>
      <c r="D345" s="130" t="s">
        <v>210</v>
      </c>
      <c r="E345" s="131" t="str">
        <f>'[1]COMEDORES EMERGENTES'!$G$20</f>
        <v>B° CRISTO REY PJE CAPATAZ VILLAFAÑEZ Y ARMANDO CORREA</v>
      </c>
    </row>
    <row r="346" spans="2:5" x14ac:dyDescent="0.2">
      <c r="B346" s="271" t="str">
        <f>'[1]COMEDORES EMERGENTES'!$B$21</f>
        <v>GAUCHITO GIL</v>
      </c>
      <c r="C346" s="272"/>
      <c r="D346" s="130" t="s">
        <v>211</v>
      </c>
      <c r="E346" s="131" t="str">
        <f>'[1]COMEDORES EMERGENTES'!$G$21</f>
        <v>B° 26 VIVIENDAS CASA N° 3</v>
      </c>
    </row>
    <row r="347" spans="2:5" ht="13.5" thickBot="1" x14ac:dyDescent="0.25">
      <c r="B347" s="288" t="str">
        <f>'[1]COMEDORES EMERGENTES'!$B$22</f>
        <v>LOS TOLDOS</v>
      </c>
      <c r="C347" s="289"/>
      <c r="D347" s="137" t="s">
        <v>185</v>
      </c>
      <c r="E347" s="138" t="str">
        <f>'[1]COMEDORES EMERGENTES'!$G$22</f>
        <v>LOTEO PARQUE SUR CALLE S/NOMBRE S/N°</v>
      </c>
    </row>
    <row r="348" spans="2:5" x14ac:dyDescent="0.2">
      <c r="B348" s="50" t="s">
        <v>18</v>
      </c>
      <c r="C348" s="48"/>
      <c r="D348" s="94"/>
      <c r="E348" s="49"/>
    </row>
    <row r="349" spans="2:5" ht="12.75" customHeight="1" x14ac:dyDescent="0.2">
      <c r="B349" s="51"/>
      <c r="C349" s="287" t="s">
        <v>63</v>
      </c>
      <c r="D349" s="287"/>
      <c r="E349" s="287"/>
    </row>
    <row r="350" spans="2:5" x14ac:dyDescent="0.2">
      <c r="B350" s="50" t="s">
        <v>19</v>
      </c>
      <c r="C350" s="52"/>
      <c r="D350" s="52"/>
      <c r="E350" s="53"/>
    </row>
    <row r="351" spans="2:5" ht="14.25" customHeight="1" x14ac:dyDescent="0.2">
      <c r="B351" s="51"/>
      <c r="C351" s="287" t="s">
        <v>140</v>
      </c>
      <c r="D351" s="287"/>
      <c r="E351" s="287"/>
    </row>
    <row r="352" spans="2:5" x14ac:dyDescent="0.2">
      <c r="B352" s="50" t="s">
        <v>20</v>
      </c>
      <c r="C352" s="48"/>
      <c r="D352" s="94"/>
      <c r="E352" s="49"/>
    </row>
    <row r="353" spans="2:5" ht="11.25" customHeight="1" x14ac:dyDescent="0.2">
      <c r="B353" s="50"/>
      <c r="C353" s="286" t="s">
        <v>64</v>
      </c>
      <c r="D353" s="286"/>
      <c r="E353" s="286"/>
    </row>
    <row r="354" spans="2:5" ht="13.5" thickBot="1" x14ac:dyDescent="0.25">
      <c r="B354" s="54"/>
      <c r="C354" s="55"/>
      <c r="D354" s="95"/>
      <c r="E354" s="56"/>
    </row>
    <row r="355" spans="2:5" ht="13.5" thickBot="1" x14ac:dyDescent="0.25"/>
    <row r="356" spans="2:5" x14ac:dyDescent="0.2">
      <c r="B356" s="44" t="s">
        <v>147</v>
      </c>
      <c r="C356" s="45"/>
      <c r="D356" s="93"/>
      <c r="E356" s="46"/>
    </row>
    <row r="357" spans="2:5" ht="5.25" customHeight="1" x14ac:dyDescent="0.2">
      <c r="B357" s="47"/>
      <c r="C357" s="48"/>
      <c r="D357" s="94"/>
      <c r="E357" s="49"/>
    </row>
    <row r="358" spans="2:5" x14ac:dyDescent="0.2">
      <c r="B358" s="50" t="s">
        <v>16</v>
      </c>
      <c r="C358" s="48"/>
      <c r="D358" s="94"/>
      <c r="E358" s="49"/>
    </row>
    <row r="359" spans="2:5" ht="25.5" customHeight="1" x14ac:dyDescent="0.2">
      <c r="B359" s="50"/>
      <c r="C359" s="287"/>
      <c r="D359" s="287"/>
      <c r="E359" s="287"/>
    </row>
    <row r="360" spans="2:5" ht="13.5" thickBot="1" x14ac:dyDescent="0.25">
      <c r="B360" s="50" t="s">
        <v>17</v>
      </c>
      <c r="C360" s="48"/>
      <c r="D360" s="94"/>
      <c r="E360" s="49"/>
    </row>
    <row r="361" spans="2:5" ht="13.5" thickBot="1" x14ac:dyDescent="0.25">
      <c r="B361" s="273" t="s">
        <v>137</v>
      </c>
      <c r="C361" s="274"/>
      <c r="D361" s="274"/>
      <c r="E361" s="275"/>
    </row>
    <row r="362" spans="2:5" ht="13.5" thickBot="1" x14ac:dyDescent="0.25">
      <c r="B362" s="273" t="s">
        <v>138</v>
      </c>
      <c r="C362" s="275"/>
      <c r="D362" s="91" t="s">
        <v>11</v>
      </c>
      <c r="E362" s="91" t="s">
        <v>139</v>
      </c>
    </row>
    <row r="363" spans="2:5" x14ac:dyDescent="0.2">
      <c r="B363" s="280" t="str">
        <f>'[1]COMEDORES EMERGENTES'!$B$3</f>
        <v>UNA SONRISA AV. LOS COBACHO</v>
      </c>
      <c r="C363" s="281"/>
      <c r="D363" s="135" t="s">
        <v>207</v>
      </c>
      <c r="E363" s="136" t="str">
        <f>'[1]COMEDORES EMERGENTES'!$G$3</f>
        <v>Bº SAN CARLOS OESTE AV. Bonifacio cobacho 670</v>
      </c>
    </row>
    <row r="364" spans="2:5" x14ac:dyDescent="0.2">
      <c r="B364" s="271" t="str">
        <f>'[1]COMEDORES EMERGENTES'!$B$4</f>
        <v>C.I.F Nº1 - RIVERA DEL VALLE Y FLORIDA</v>
      </c>
      <c r="C364" s="272"/>
      <c r="D364" s="130" t="s">
        <v>212</v>
      </c>
      <c r="E364" s="131" t="str">
        <f>'[1]COMEDORES EMERGENTES'!$G$4</f>
        <v>AV. RIVIERA DEL VALLE ENTRE FLORIDA Y SANTA FE</v>
      </c>
    </row>
    <row r="365" spans="2:5" x14ac:dyDescent="0.2">
      <c r="B365" s="271" t="str">
        <f>'[1]COMEDORES EMERGENTES'!$B$5</f>
        <v>C.I.F - RIVERA DEL VALLE - DILORENZO</v>
      </c>
      <c r="C365" s="272"/>
      <c r="D365" s="130" t="s">
        <v>213</v>
      </c>
      <c r="E365" s="131" t="str">
        <f>'[1]COMEDORES EMERGENTES'!$G$5</f>
        <v>Bº RIVERA DEL VALLE ENTRE VILLA EUMELIA Y MONTE CRISTO</v>
      </c>
    </row>
    <row r="366" spans="2:5" x14ac:dyDescent="0.2">
      <c r="B366" s="271" t="str">
        <f>'[1]COMEDORES EMERGENTES'!$B$6</f>
        <v>ESFUERZO PROPIO- Bº ALTOS DE CHOYA</v>
      </c>
      <c r="C366" s="272"/>
      <c r="D366" s="130" t="s">
        <v>214</v>
      </c>
      <c r="E366" s="131" t="str">
        <f>'[1]COMEDORES EMERGENTES'!$G$6</f>
        <v>Bº MUNICIPAL 35VV. NORTE C/14</v>
      </c>
    </row>
    <row r="367" spans="2:5" x14ac:dyDescent="0.2">
      <c r="B367" s="271" t="str">
        <f>'[1]COMEDORES EMERGENTES'!$B$7</f>
        <v>ANGELITOS - LOTEO SUSSEX</v>
      </c>
      <c r="C367" s="272"/>
      <c r="D367" s="130" t="s">
        <v>170</v>
      </c>
      <c r="E367" s="131" t="str">
        <f>'[1]COMEDORES EMERGENTES'!$G$7</f>
        <v>Bº LOTEO SUSEX MZA.Nº 4 LOTE Nº3</v>
      </c>
    </row>
    <row r="368" spans="2:5" x14ac:dyDescent="0.2">
      <c r="B368" s="271" t="str">
        <f>'[1]COMEDORES EMERGENTES'!$B$8</f>
        <v>CLUB DEPORTIVO CHACARITA</v>
      </c>
      <c r="C368" s="272"/>
      <c r="D368" s="130" t="s">
        <v>190</v>
      </c>
      <c r="E368" s="131" t="str">
        <f>'[1]COMEDORES EMERGENTES'!$G$8</f>
        <v>CALLE DR.DERMIDIO GALINDEZ C/2660</v>
      </c>
    </row>
    <row r="369" spans="2:5" x14ac:dyDescent="0.2">
      <c r="B369" s="271" t="str">
        <f>'[1]COMEDORES EMERGENTES'!$B$9</f>
        <v>LA MORO</v>
      </c>
      <c r="C369" s="272"/>
      <c r="D369" s="130" t="s">
        <v>215</v>
      </c>
      <c r="E369" s="131" t="str">
        <f>'[1]COMEDORES EMERGENTES'!$G$9</f>
        <v>MAIPU NORTE 1º ETAPA MZA "H" Bº MI JARDIN</v>
      </c>
    </row>
    <row r="370" spans="2:5" x14ac:dyDescent="0.2">
      <c r="B370" s="271" t="str">
        <f>'[1]COMEDORES EMERGENTES'!$B$10</f>
        <v>PAPA FRANCISCO</v>
      </c>
      <c r="C370" s="272"/>
      <c r="D370" s="130" t="s">
        <v>195</v>
      </c>
      <c r="E370" s="131" t="str">
        <f>'[1]COMEDORES EMERGENTES'!$G$10</f>
        <v>ENTRE AV.TEREBINTO Y AV.SAN JUAN LOTE "2" MZA. "B"</v>
      </c>
    </row>
    <row r="371" spans="2:5" x14ac:dyDescent="0.2">
      <c r="B371" s="271" t="str">
        <f>'[1]COMEDORES EMERGENTES'!$B$11</f>
        <v>E.P.C - 100 V.V NORTE</v>
      </c>
      <c r="C371" s="272"/>
      <c r="D371" s="130" t="s">
        <v>216</v>
      </c>
      <c r="E371" s="131" t="str">
        <f>'[1]COMEDORES EMERGENTES'!$G$11</f>
        <v>Bº VV NORTE C/48 ENTRE ESPAÑA Y FRANCIA</v>
      </c>
    </row>
    <row r="372" spans="2:5" x14ac:dyDescent="0.2">
      <c r="B372" s="271" t="str">
        <f>'[1]COMEDORES EMERGENTES'!$B$12</f>
        <v>HOGAR DE CRISTO - PADRE RAUL CONTRERAS</v>
      </c>
      <c r="C372" s="272"/>
      <c r="D372" s="130" t="s">
        <v>216</v>
      </c>
      <c r="E372" s="131" t="str">
        <f>'[1]COMEDORES EMERGENTES'!$G$12</f>
        <v>Bº SANTA MARTA MZA. "S" LOTE "M" C/39</v>
      </c>
    </row>
    <row r="373" spans="2:5" x14ac:dyDescent="0.2">
      <c r="B373" s="271" t="str">
        <f>'[1]COMEDORES EMERGENTES'!$B$13</f>
        <v>LA LUCIERNAGA</v>
      </c>
      <c r="C373" s="272"/>
      <c r="D373" s="130" t="s">
        <v>195</v>
      </c>
      <c r="E373" s="131" t="str">
        <f>'[1]COMEDORES EMERGENTES'!$G$13</f>
        <v>Bº 20 V.V NORTE C/3</v>
      </c>
    </row>
    <row r="374" spans="2:5" x14ac:dyDescent="0.2">
      <c r="B374" s="271" t="str">
        <f>'[1]COMEDORES EMERGENTES'!$B$14</f>
        <v>VALLE VIEJO - SUMALAO</v>
      </c>
      <c r="C374" s="272"/>
      <c r="D374" s="130" t="s">
        <v>217</v>
      </c>
      <c r="E374" s="131" t="str">
        <f>'[1]COMEDORES EMERGENTES'!$G$14</f>
        <v>PADRE SEGURA S/N</v>
      </c>
    </row>
    <row r="375" spans="2:5" x14ac:dyDescent="0.2">
      <c r="B375" s="271" t="str">
        <f>'[1]COMEDORES EMERGENTES'!$B$15</f>
        <v>NUESTRO FUTURO - LAS VIAS</v>
      </c>
      <c r="C375" s="272"/>
      <c r="D375" s="130" t="s">
        <v>195</v>
      </c>
      <c r="E375" s="131" t="str">
        <f>'[1]COMEDORES EMERGENTES'!$G$15</f>
        <v>Bº LAS VIAS OESTE LOTE 42</v>
      </c>
    </row>
    <row r="376" spans="2:5" x14ac:dyDescent="0.2">
      <c r="B376" s="271" t="str">
        <f>'[1]COMEDORES EMERGENTES'!$B$16</f>
        <v>SAN JOSE OBRERO</v>
      </c>
      <c r="C376" s="272"/>
      <c r="D376" s="130" t="s">
        <v>190</v>
      </c>
      <c r="E376" s="131" t="str">
        <f>'[1]COMEDORES EMERGENTES'!$G$16</f>
        <v>Bº SAN JOSE OBRERO. PJE. SANDOVAL S/Nº</v>
      </c>
    </row>
    <row r="377" spans="2:5" x14ac:dyDescent="0.2">
      <c r="B377" s="271" t="str">
        <f>'[1]COMEDORES EMERGENTES'!$B$17</f>
        <v>VIRGEN DE LUJAN</v>
      </c>
      <c r="C377" s="272"/>
      <c r="D377" s="130" t="s">
        <v>195</v>
      </c>
      <c r="E377" s="131" t="str">
        <f>'[1]COMEDORES EMERGENTES'!$G$17</f>
        <v>Bº OJO DE AGUA C/DR.TEODULFO BARRIONUEVO S/Nº</v>
      </c>
    </row>
    <row r="378" spans="2:5" x14ac:dyDescent="0.2">
      <c r="B378" s="271" t="str">
        <f>'[1]COMEDORES EMERGENTES'!$B$18</f>
        <v>RENACER</v>
      </c>
      <c r="C378" s="272"/>
      <c r="D378" s="130" t="s">
        <v>218</v>
      </c>
      <c r="E378" s="131" t="str">
        <f>'[1]COMEDORES EMERGENTES'!$G$18</f>
        <v>Bº VIRGEN MORENITA</v>
      </c>
    </row>
    <row r="379" spans="2:5" x14ac:dyDescent="0.2">
      <c r="B379" s="271" t="str">
        <f>'[1]COMEDORES EMERGENTES'!$B$19</f>
        <v>CENTRO VECINAL MI JARDIN</v>
      </c>
      <c r="C379" s="272"/>
      <c r="D379" s="130" t="s">
        <v>219</v>
      </c>
      <c r="E379" s="131" t="str">
        <f>'[1]COMEDORES EMERGENTES'!$G$19</f>
        <v>C/ LOS TULIPANES ENTRE FLOR DE CEREZO Y HOLANDA MZA.27 Bº MI JARDIN</v>
      </c>
    </row>
    <row r="380" spans="2:5" x14ac:dyDescent="0.2">
      <c r="B380" s="271" t="str">
        <f>'[1]COMEDORES EMERGENTES'!$B$20</f>
        <v>LA VIEJA ESQUINA</v>
      </c>
      <c r="C380" s="272"/>
      <c r="D380" s="130" t="s">
        <v>194</v>
      </c>
      <c r="E380" s="131" t="str">
        <f>'[1]COMEDORES EMERGENTES'!$G$20</f>
        <v>B° CRISTO REY PJE CAPATAZ VILLAFAÑEZ Y ARMANDO CORREA</v>
      </c>
    </row>
    <row r="381" spans="2:5" x14ac:dyDescent="0.2">
      <c r="B381" s="271" t="str">
        <f>'[1]COMEDORES EMERGENTES'!$B$21</f>
        <v>GAUCHITO GIL</v>
      </c>
      <c r="C381" s="272"/>
      <c r="D381" s="130" t="s">
        <v>220</v>
      </c>
      <c r="E381" s="131" t="str">
        <f>'[1]COMEDORES EMERGENTES'!$G$21</f>
        <v>B° 26 VIVIENDAS CASA N° 3</v>
      </c>
    </row>
    <row r="382" spans="2:5" ht="13.5" thickBot="1" x14ac:dyDescent="0.25">
      <c r="B382" s="288" t="str">
        <f>'[1]COMEDORES EMERGENTES'!$B$22</f>
        <v>LOS TOLDOS</v>
      </c>
      <c r="C382" s="289"/>
      <c r="D382" s="137" t="s">
        <v>187</v>
      </c>
      <c r="E382" s="138" t="str">
        <f>'[1]COMEDORES EMERGENTES'!$G$22</f>
        <v>LOTEO PARQUE SUR CALLE S/NOMBRE S/N°</v>
      </c>
    </row>
    <row r="383" spans="2:5" x14ac:dyDescent="0.2">
      <c r="B383" s="50" t="s">
        <v>18</v>
      </c>
      <c r="C383" s="48"/>
      <c r="D383" s="94"/>
      <c r="E383" s="49"/>
    </row>
    <row r="384" spans="2:5" ht="12.75" customHeight="1" x14ac:dyDescent="0.2">
      <c r="B384" s="51"/>
      <c r="C384" s="287" t="s">
        <v>63</v>
      </c>
      <c r="D384" s="287"/>
      <c r="E384" s="287"/>
    </row>
    <row r="385" spans="2:5" x14ac:dyDescent="0.2">
      <c r="B385" s="50" t="s">
        <v>19</v>
      </c>
      <c r="C385" s="52"/>
      <c r="D385" s="52"/>
      <c r="E385" s="53"/>
    </row>
    <row r="386" spans="2:5" ht="14.25" customHeight="1" x14ac:dyDescent="0.2">
      <c r="B386" s="51"/>
      <c r="C386" s="287" t="s">
        <v>140</v>
      </c>
      <c r="D386" s="287"/>
      <c r="E386" s="287"/>
    </row>
    <row r="387" spans="2:5" x14ac:dyDescent="0.2">
      <c r="B387" s="50" t="s">
        <v>20</v>
      </c>
      <c r="C387" s="48"/>
      <c r="D387" s="94"/>
      <c r="E387" s="49"/>
    </row>
    <row r="388" spans="2:5" ht="11.25" customHeight="1" x14ac:dyDescent="0.2">
      <c r="B388" s="50"/>
      <c r="C388" s="286" t="s">
        <v>64</v>
      </c>
      <c r="D388" s="286"/>
      <c r="E388" s="286"/>
    </row>
    <row r="389" spans="2:5" ht="13.5" thickBot="1" x14ac:dyDescent="0.25">
      <c r="B389" s="54"/>
      <c r="C389" s="55"/>
      <c r="D389" s="95"/>
      <c r="E389" s="56"/>
    </row>
    <row r="390" spans="2:5" ht="13.5" thickBot="1" x14ac:dyDescent="0.25"/>
    <row r="391" spans="2:5" x14ac:dyDescent="0.2">
      <c r="B391" s="44" t="s">
        <v>148</v>
      </c>
      <c r="C391" s="45"/>
      <c r="D391" s="93"/>
      <c r="E391" s="46"/>
    </row>
    <row r="392" spans="2:5" ht="5.25" customHeight="1" x14ac:dyDescent="0.2">
      <c r="B392" s="47"/>
      <c r="C392" s="48"/>
      <c r="D392" s="94"/>
      <c r="E392" s="49"/>
    </row>
    <row r="393" spans="2:5" x14ac:dyDescent="0.2">
      <c r="B393" s="50" t="s">
        <v>16</v>
      </c>
      <c r="C393" s="48"/>
      <c r="D393" s="94"/>
      <c r="E393" s="49"/>
    </row>
    <row r="394" spans="2:5" ht="25.5" customHeight="1" x14ac:dyDescent="0.2">
      <c r="B394" s="50"/>
      <c r="C394" s="287"/>
      <c r="D394" s="287"/>
      <c r="E394" s="287"/>
    </row>
    <row r="395" spans="2:5" ht="13.5" thickBot="1" x14ac:dyDescent="0.25">
      <c r="B395" s="50" t="s">
        <v>17</v>
      </c>
      <c r="C395" s="48"/>
      <c r="D395" s="94"/>
      <c r="E395" s="49"/>
    </row>
    <row r="396" spans="2:5" ht="13.5" thickBot="1" x14ac:dyDescent="0.25">
      <c r="B396" s="273" t="s">
        <v>137</v>
      </c>
      <c r="C396" s="274"/>
      <c r="D396" s="274"/>
      <c r="E396" s="275"/>
    </row>
    <row r="397" spans="2:5" ht="13.5" thickBot="1" x14ac:dyDescent="0.25">
      <c r="B397" s="273" t="s">
        <v>138</v>
      </c>
      <c r="C397" s="275"/>
      <c r="D397" s="91" t="s">
        <v>11</v>
      </c>
      <c r="E397" s="91" t="s">
        <v>139</v>
      </c>
    </row>
    <row r="398" spans="2:5" x14ac:dyDescent="0.2">
      <c r="B398" s="280" t="str">
        <f>'[1]COMEDORES EMERGENTES'!$B$3</f>
        <v>UNA SONRISA AV. LOS COBACHO</v>
      </c>
      <c r="C398" s="281"/>
      <c r="D398" s="135" t="s">
        <v>170</v>
      </c>
      <c r="E398" s="136" t="str">
        <f>'[1]COMEDORES EMERGENTES'!$G$3</f>
        <v>Bº SAN CARLOS OESTE AV. Bonifacio cobacho 670</v>
      </c>
    </row>
    <row r="399" spans="2:5" x14ac:dyDescent="0.2">
      <c r="B399" s="271" t="str">
        <f>'[1]COMEDORES EMERGENTES'!$B$4</f>
        <v>C.I.F Nº1 - RIVERA DEL VALLE Y FLORIDA</v>
      </c>
      <c r="C399" s="272"/>
      <c r="D399" s="130" t="s">
        <v>221</v>
      </c>
      <c r="E399" s="131" t="str">
        <f>'[1]COMEDORES EMERGENTES'!$G$4</f>
        <v>AV. RIVIERA DEL VALLE ENTRE FLORIDA Y SANTA FE</v>
      </c>
    </row>
    <row r="400" spans="2:5" x14ac:dyDescent="0.2">
      <c r="B400" s="271" t="str">
        <f>'[1]COMEDORES EMERGENTES'!$B$5</f>
        <v>C.I.F - RIVERA DEL VALLE - DILORENZO</v>
      </c>
      <c r="C400" s="272"/>
      <c r="D400" s="130" t="s">
        <v>220</v>
      </c>
      <c r="E400" s="131" t="str">
        <f>'[1]COMEDORES EMERGENTES'!$G$5</f>
        <v>Bº RIVERA DEL VALLE ENTRE VILLA EUMELIA Y MONTE CRISTO</v>
      </c>
    </row>
    <row r="401" spans="2:5" x14ac:dyDescent="0.2">
      <c r="B401" s="271" t="str">
        <f>'[1]COMEDORES EMERGENTES'!$B$6</f>
        <v>ESFUERZO PROPIO- Bº ALTOS DE CHOYA</v>
      </c>
      <c r="C401" s="272"/>
      <c r="D401" s="130" t="s">
        <v>210</v>
      </c>
      <c r="E401" s="131" t="str">
        <f>'[1]COMEDORES EMERGENTES'!$G$6</f>
        <v>Bº MUNICIPAL 35VV. NORTE C/14</v>
      </c>
    </row>
    <row r="402" spans="2:5" x14ac:dyDescent="0.2">
      <c r="B402" s="271" t="str">
        <f>'[1]COMEDORES EMERGENTES'!$B$7</f>
        <v>ANGELITOS - LOTEO SUSSEX</v>
      </c>
      <c r="C402" s="272"/>
      <c r="D402" s="130" t="s">
        <v>185</v>
      </c>
      <c r="E402" s="131" t="str">
        <f>'[1]COMEDORES EMERGENTES'!$G$7</f>
        <v>Bº LOTEO SUSEX MZA.Nº 4 LOTE Nº3</v>
      </c>
    </row>
    <row r="403" spans="2:5" x14ac:dyDescent="0.2">
      <c r="B403" s="271" t="str">
        <f>'[1]COMEDORES EMERGENTES'!$B$8</f>
        <v>CLUB DEPORTIVO CHACARITA</v>
      </c>
      <c r="C403" s="272"/>
      <c r="D403" s="130" t="s">
        <v>222</v>
      </c>
      <c r="E403" s="131" t="str">
        <f>'[1]COMEDORES EMERGENTES'!$G$8</f>
        <v>CALLE DR.DERMIDIO GALINDEZ C/2660</v>
      </c>
    </row>
    <row r="404" spans="2:5" x14ac:dyDescent="0.2">
      <c r="B404" s="271" t="str">
        <f>'[1]COMEDORES EMERGENTES'!$B$9</f>
        <v>LA MORO</v>
      </c>
      <c r="C404" s="272"/>
      <c r="D404" s="130" t="s">
        <v>180</v>
      </c>
      <c r="E404" s="131" t="str">
        <f>'[1]COMEDORES EMERGENTES'!$G$9</f>
        <v>MAIPU NORTE 1º ETAPA MZA "H" Bº MI JARDIN</v>
      </c>
    </row>
    <row r="405" spans="2:5" x14ac:dyDescent="0.2">
      <c r="B405" s="271" t="str">
        <f>'[1]COMEDORES EMERGENTES'!$B$10</f>
        <v>PAPA FRANCISCO</v>
      </c>
      <c r="C405" s="272"/>
      <c r="D405" s="130" t="s">
        <v>192</v>
      </c>
      <c r="E405" s="131" t="str">
        <f>'[1]COMEDORES EMERGENTES'!$G$10</f>
        <v>ENTRE AV.TEREBINTO Y AV.SAN JUAN LOTE "2" MZA. "B"</v>
      </c>
    </row>
    <row r="406" spans="2:5" x14ac:dyDescent="0.2">
      <c r="B406" s="271" t="str">
        <f>'[1]COMEDORES EMERGENTES'!$B$11</f>
        <v>E.P.C - 100 V.V NORTE</v>
      </c>
      <c r="C406" s="272"/>
      <c r="D406" s="130" t="s">
        <v>223</v>
      </c>
      <c r="E406" s="131" t="str">
        <f>'[1]COMEDORES EMERGENTES'!$G$11</f>
        <v>Bº VV NORTE C/48 ENTRE ESPAÑA Y FRANCIA</v>
      </c>
    </row>
    <row r="407" spans="2:5" x14ac:dyDescent="0.2">
      <c r="B407" s="271" t="str">
        <f>'[1]COMEDORES EMERGENTES'!$B$12</f>
        <v>HOGAR DE CRISTO - PADRE RAUL CONTRERAS</v>
      </c>
      <c r="C407" s="272"/>
      <c r="D407" s="130" t="s">
        <v>223</v>
      </c>
      <c r="E407" s="131" t="str">
        <f>'[1]COMEDORES EMERGENTES'!$G$12</f>
        <v>Bº SANTA MARTA MZA. "S" LOTE "M" C/39</v>
      </c>
    </row>
    <row r="408" spans="2:5" x14ac:dyDescent="0.2">
      <c r="B408" s="271" t="str">
        <f>'[1]COMEDORES EMERGENTES'!$B$13</f>
        <v>LA LUCIERNAGA</v>
      </c>
      <c r="C408" s="272"/>
      <c r="D408" s="130" t="s">
        <v>192</v>
      </c>
      <c r="E408" s="131" t="str">
        <f>'[1]COMEDORES EMERGENTES'!$G$13</f>
        <v>Bº 20 V.V NORTE C/3</v>
      </c>
    </row>
    <row r="409" spans="2:5" x14ac:dyDescent="0.2">
      <c r="B409" s="271" t="str">
        <f>'[1]COMEDORES EMERGENTES'!$B$14</f>
        <v>VALLE VIEJO - SUMALAO</v>
      </c>
      <c r="C409" s="272"/>
      <c r="D409" s="130" t="s">
        <v>214</v>
      </c>
      <c r="E409" s="131" t="str">
        <f>'[1]COMEDORES EMERGENTES'!$G$14</f>
        <v>PADRE SEGURA S/N</v>
      </c>
    </row>
    <row r="410" spans="2:5" x14ac:dyDescent="0.2">
      <c r="B410" s="271" t="str">
        <f>'[1]COMEDORES EMERGENTES'!$B$15</f>
        <v>NUESTRO FUTURO - LAS VIAS</v>
      </c>
      <c r="C410" s="272"/>
      <c r="D410" s="130" t="s">
        <v>192</v>
      </c>
      <c r="E410" s="131" t="str">
        <f>'[1]COMEDORES EMERGENTES'!$G$15</f>
        <v>Bº LAS VIAS OESTE LOTE 42</v>
      </c>
    </row>
    <row r="411" spans="2:5" x14ac:dyDescent="0.2">
      <c r="B411" s="271" t="str">
        <f>'[1]COMEDORES EMERGENTES'!$B$16</f>
        <v>SAN JOSE OBRERO</v>
      </c>
      <c r="C411" s="272"/>
      <c r="D411" s="130" t="s">
        <v>222</v>
      </c>
      <c r="E411" s="131" t="str">
        <f>'[1]COMEDORES EMERGENTES'!$G$16</f>
        <v>Bº SAN JOSE OBRERO. PJE. SANDOVAL S/Nº</v>
      </c>
    </row>
    <row r="412" spans="2:5" x14ac:dyDescent="0.2">
      <c r="B412" s="271" t="str">
        <f>'[1]COMEDORES EMERGENTES'!$B$17</f>
        <v>VIRGEN DE LUJAN</v>
      </c>
      <c r="C412" s="272"/>
      <c r="D412" s="130" t="s">
        <v>192</v>
      </c>
      <c r="E412" s="131" t="str">
        <f>'[1]COMEDORES EMERGENTES'!$G$17</f>
        <v>Bº OJO DE AGUA C/DR.TEODULFO BARRIONUEVO S/Nº</v>
      </c>
    </row>
    <row r="413" spans="2:5" x14ac:dyDescent="0.2">
      <c r="B413" s="271" t="str">
        <f>'[1]COMEDORES EMERGENTES'!$B$18</f>
        <v>RENACER</v>
      </c>
      <c r="C413" s="272"/>
      <c r="D413" s="130" t="s">
        <v>224</v>
      </c>
      <c r="E413" s="131" t="str">
        <f>'[1]COMEDORES EMERGENTES'!$G$18</f>
        <v>Bº VIRGEN MORENITA</v>
      </c>
    </row>
    <row r="414" spans="2:5" x14ac:dyDescent="0.2">
      <c r="B414" s="271" t="str">
        <f>'[1]COMEDORES EMERGENTES'!$B$19</f>
        <v>CENTRO VECINAL MI JARDIN</v>
      </c>
      <c r="C414" s="272"/>
      <c r="D414" s="130" t="s">
        <v>193</v>
      </c>
      <c r="E414" s="131" t="str">
        <f>'[1]COMEDORES EMERGENTES'!$G$19</f>
        <v>C/ LOS TULIPANES ENTRE FLOR DE CEREZO Y HOLANDA MZA.27 Bº MI JARDIN</v>
      </c>
    </row>
    <row r="415" spans="2:5" x14ac:dyDescent="0.2">
      <c r="B415" s="271" t="str">
        <f>'[1]COMEDORES EMERGENTES'!$B$20</f>
        <v>LA VIEJA ESQUINA</v>
      </c>
      <c r="C415" s="272"/>
      <c r="D415" s="130" t="s">
        <v>178</v>
      </c>
      <c r="E415" s="131" t="str">
        <f>'[1]COMEDORES EMERGENTES'!$G$20</f>
        <v>B° CRISTO REY PJE CAPATAZ VILLAFAÑEZ Y ARMANDO CORREA</v>
      </c>
    </row>
    <row r="416" spans="2:5" x14ac:dyDescent="0.2">
      <c r="B416" s="271" t="str">
        <f>'[1]COMEDORES EMERGENTES'!$B$21</f>
        <v>GAUCHITO GIL</v>
      </c>
      <c r="C416" s="272"/>
      <c r="D416" s="130" t="s">
        <v>225</v>
      </c>
      <c r="E416" s="131" t="str">
        <f>'[1]COMEDORES EMERGENTES'!$G$21</f>
        <v>B° 26 VIVIENDAS CASA N° 3</v>
      </c>
    </row>
    <row r="417" spans="2:5" ht="13.5" thickBot="1" x14ac:dyDescent="0.25">
      <c r="B417" s="288" t="str">
        <f>'[1]COMEDORES EMERGENTES'!$B$22</f>
        <v>LOS TOLDOS</v>
      </c>
      <c r="C417" s="289"/>
      <c r="D417" s="137" t="s">
        <v>169</v>
      </c>
      <c r="E417" s="138" t="str">
        <f>'[1]COMEDORES EMERGENTES'!$G$22</f>
        <v>LOTEO PARQUE SUR CALLE S/NOMBRE S/N°</v>
      </c>
    </row>
    <row r="418" spans="2:5" x14ac:dyDescent="0.2">
      <c r="B418" s="50" t="s">
        <v>18</v>
      </c>
      <c r="C418" s="48"/>
      <c r="D418" s="94"/>
      <c r="E418" s="49"/>
    </row>
    <row r="419" spans="2:5" ht="12.75" customHeight="1" x14ac:dyDescent="0.2">
      <c r="B419" s="51"/>
      <c r="C419" s="287" t="s">
        <v>63</v>
      </c>
      <c r="D419" s="287"/>
      <c r="E419" s="287"/>
    </row>
    <row r="420" spans="2:5" x14ac:dyDescent="0.2">
      <c r="B420" s="50" t="s">
        <v>19</v>
      </c>
      <c r="C420" s="52"/>
      <c r="D420" s="52"/>
      <c r="E420" s="53"/>
    </row>
    <row r="421" spans="2:5" ht="14.25" customHeight="1" x14ac:dyDescent="0.2">
      <c r="B421" s="51"/>
      <c r="C421" s="287" t="s">
        <v>140</v>
      </c>
      <c r="D421" s="287"/>
      <c r="E421" s="287"/>
    </row>
    <row r="422" spans="2:5" x14ac:dyDescent="0.2">
      <c r="B422" s="50" t="s">
        <v>20</v>
      </c>
      <c r="C422" s="48"/>
      <c r="D422" s="94"/>
      <c r="E422" s="49"/>
    </row>
    <row r="423" spans="2:5" ht="11.25" customHeight="1" x14ac:dyDescent="0.2">
      <c r="B423" s="50"/>
      <c r="C423" s="286" t="s">
        <v>64</v>
      </c>
      <c r="D423" s="286"/>
      <c r="E423" s="286"/>
    </row>
    <row r="424" spans="2:5" ht="13.5" thickBot="1" x14ac:dyDescent="0.25">
      <c r="B424" s="54"/>
      <c r="C424" s="55"/>
      <c r="D424" s="95"/>
      <c r="E424" s="56"/>
    </row>
    <row r="425" spans="2:5" ht="13.5" thickBot="1" x14ac:dyDescent="0.25"/>
    <row r="426" spans="2:5" x14ac:dyDescent="0.2">
      <c r="B426" s="44" t="s">
        <v>149</v>
      </c>
      <c r="C426" s="45"/>
      <c r="D426" s="93"/>
      <c r="E426" s="46"/>
    </row>
    <row r="427" spans="2:5" x14ac:dyDescent="0.2">
      <c r="B427" s="47"/>
      <c r="C427" s="48"/>
      <c r="D427" s="94"/>
      <c r="E427" s="49"/>
    </row>
    <row r="428" spans="2:5" x14ac:dyDescent="0.2">
      <c r="B428" s="50" t="s">
        <v>16</v>
      </c>
      <c r="C428" s="48"/>
      <c r="D428" s="94"/>
      <c r="E428" s="49"/>
    </row>
    <row r="429" spans="2:5" ht="25.5" customHeight="1" x14ac:dyDescent="0.2">
      <c r="B429" s="50"/>
      <c r="C429" s="287"/>
      <c r="D429" s="287"/>
      <c r="E429" s="287"/>
    </row>
    <row r="430" spans="2:5" ht="13.5" thickBot="1" x14ac:dyDescent="0.25">
      <c r="B430" s="50" t="s">
        <v>17</v>
      </c>
      <c r="C430" s="48"/>
      <c r="D430" s="94"/>
      <c r="E430" s="49"/>
    </row>
    <row r="431" spans="2:5" ht="13.5" thickBot="1" x14ac:dyDescent="0.25">
      <c r="B431" s="273" t="s">
        <v>137</v>
      </c>
      <c r="C431" s="274"/>
      <c r="D431" s="274"/>
      <c r="E431" s="275"/>
    </row>
    <row r="432" spans="2:5" ht="13.5" thickBot="1" x14ac:dyDescent="0.25">
      <c r="B432" s="273" t="s">
        <v>138</v>
      </c>
      <c r="C432" s="275"/>
      <c r="D432" s="91" t="s">
        <v>11</v>
      </c>
      <c r="E432" s="91" t="s">
        <v>139</v>
      </c>
    </row>
    <row r="433" spans="2:5" x14ac:dyDescent="0.2">
      <c r="B433" s="280" t="str">
        <f>'[1]COMEDORES EMERGENTES'!$B$3</f>
        <v>UNA SONRISA AV. LOS COBACHO</v>
      </c>
      <c r="C433" s="281"/>
      <c r="D433" s="135">
        <v>48</v>
      </c>
      <c r="E433" s="136" t="str">
        <f>'[1]COMEDORES EMERGENTES'!$G$3</f>
        <v>Bº SAN CARLOS OESTE AV. Bonifacio cobacho 670</v>
      </c>
    </row>
    <row r="434" spans="2:5" x14ac:dyDescent="0.2">
      <c r="B434" s="271" t="str">
        <f>'[1]COMEDORES EMERGENTES'!$B$4</f>
        <v>C.I.F Nº1 - RIVERA DEL VALLE Y FLORIDA</v>
      </c>
      <c r="C434" s="272"/>
      <c r="D434" s="130">
        <v>69</v>
      </c>
      <c r="E434" s="131" t="str">
        <f>'[1]COMEDORES EMERGENTES'!$G$4</f>
        <v>AV. RIVIERA DEL VALLE ENTRE FLORIDA Y SANTA FE</v>
      </c>
    </row>
    <row r="435" spans="2:5" x14ac:dyDescent="0.2">
      <c r="B435" s="271" t="str">
        <f>'[1]COMEDORES EMERGENTES'!$B$5</f>
        <v>C.I.F - RIVERA DEL VALLE - DILORENZO</v>
      </c>
      <c r="C435" s="272"/>
      <c r="D435" s="130">
        <v>81</v>
      </c>
      <c r="E435" s="131" t="str">
        <f>'[1]COMEDORES EMERGENTES'!$G$5</f>
        <v>Bº RIVERA DEL VALLE ENTRE VILLA EUMELIA Y MONTE CRISTO</v>
      </c>
    </row>
    <row r="436" spans="2:5" x14ac:dyDescent="0.2">
      <c r="B436" s="271" t="str">
        <f>'[1]COMEDORES EMERGENTES'!$B$6</f>
        <v>ESFUERZO PROPIO- Bº ALTOS DE CHOYA</v>
      </c>
      <c r="C436" s="272"/>
      <c r="D436" s="130">
        <v>66</v>
      </c>
      <c r="E436" s="131" t="str">
        <f>'[1]COMEDORES EMERGENTES'!$G$6</f>
        <v>Bº MUNICIPAL 35VV. NORTE C/14</v>
      </c>
    </row>
    <row r="437" spans="2:5" x14ac:dyDescent="0.2">
      <c r="B437" s="271" t="str">
        <f>'[1]COMEDORES EMERGENTES'!$B$7</f>
        <v>ANGELITOS - LOTEO SUSSEX</v>
      </c>
      <c r="C437" s="272"/>
      <c r="D437" s="130">
        <v>30</v>
      </c>
      <c r="E437" s="131" t="str">
        <f>'[1]COMEDORES EMERGENTES'!$G$7</f>
        <v>Bº LOTEO SUSEX MZA.Nº 4 LOTE Nº3</v>
      </c>
    </row>
    <row r="438" spans="2:5" x14ac:dyDescent="0.2">
      <c r="B438" s="271" t="str">
        <f>'[1]COMEDORES EMERGENTES'!$B$8</f>
        <v>CLUB DEPORTIVO CHACARITA</v>
      </c>
      <c r="C438" s="272"/>
      <c r="D438" s="130">
        <v>39</v>
      </c>
      <c r="E438" s="131" t="str">
        <f>'[1]COMEDORES EMERGENTES'!$G$8</f>
        <v>CALLE DR.DERMIDIO GALINDEZ C/2660</v>
      </c>
    </row>
    <row r="439" spans="2:5" x14ac:dyDescent="0.2">
      <c r="B439" s="271" t="str">
        <f>'[1]COMEDORES EMERGENTES'!$B$9</f>
        <v>LA MORO</v>
      </c>
      <c r="C439" s="272"/>
      <c r="D439" s="130">
        <v>36</v>
      </c>
      <c r="E439" s="131" t="str">
        <f>'[1]COMEDORES EMERGENTES'!$G$9</f>
        <v>MAIPU NORTE 1º ETAPA MZA "H" Bº MI JARDIN</v>
      </c>
    </row>
    <row r="440" spans="2:5" x14ac:dyDescent="0.2">
      <c r="B440" s="271" t="str">
        <f>'[1]COMEDORES EMERGENTES'!$B$10</f>
        <v>PAPA FRANCISCO</v>
      </c>
      <c r="C440" s="272"/>
      <c r="D440" s="130">
        <v>60</v>
      </c>
      <c r="E440" s="131" t="str">
        <f>'[1]COMEDORES EMERGENTES'!$G$10</f>
        <v>ENTRE AV.TEREBINTO Y AV.SAN JUAN LOTE "2" MZA. "B"</v>
      </c>
    </row>
    <row r="441" spans="2:5" x14ac:dyDescent="0.2">
      <c r="B441" s="271" t="str">
        <f>'[1]COMEDORES EMERGENTES'!$B$11</f>
        <v>E.P.C - 100 V.V NORTE</v>
      </c>
      <c r="C441" s="272"/>
      <c r="D441" s="130">
        <v>90</v>
      </c>
      <c r="E441" s="131" t="str">
        <f>'[1]COMEDORES EMERGENTES'!$G$11</f>
        <v>Bº VV NORTE C/48 ENTRE ESPAÑA Y FRANCIA</v>
      </c>
    </row>
    <row r="442" spans="2:5" x14ac:dyDescent="0.2">
      <c r="B442" s="271" t="str">
        <f>'[1]COMEDORES EMERGENTES'!$B$12</f>
        <v>HOGAR DE CRISTO - PADRE RAUL CONTRERAS</v>
      </c>
      <c r="C442" s="272"/>
      <c r="D442" s="130">
        <v>90</v>
      </c>
      <c r="E442" s="131" t="str">
        <f>'[1]COMEDORES EMERGENTES'!$G$12</f>
        <v>Bº SANTA MARTA MZA. "S" LOTE "M" C/39</v>
      </c>
    </row>
    <row r="443" spans="2:5" x14ac:dyDescent="0.2">
      <c r="B443" s="271" t="str">
        <f>'[1]COMEDORES EMERGENTES'!$B$13</f>
        <v>LA LUCIERNAGA</v>
      </c>
      <c r="C443" s="272"/>
      <c r="D443" s="130">
        <v>60</v>
      </c>
      <c r="E443" s="131" t="str">
        <f>'[1]COMEDORES EMERGENTES'!$G$13</f>
        <v>Bº 20 V.V NORTE C/3</v>
      </c>
    </row>
    <row r="444" spans="2:5" x14ac:dyDescent="0.2">
      <c r="B444" s="271" t="str">
        <f>'[1]COMEDORES EMERGENTES'!$B$14</f>
        <v>VALLE VIEJO - SUMALAO</v>
      </c>
      <c r="C444" s="272"/>
      <c r="D444" s="130">
        <v>105</v>
      </c>
      <c r="E444" s="131" t="str">
        <f>'[1]COMEDORES EMERGENTES'!$G$14</f>
        <v>PADRE SEGURA S/N</v>
      </c>
    </row>
    <row r="445" spans="2:5" x14ac:dyDescent="0.2">
      <c r="B445" s="271" t="str">
        <f>'[1]COMEDORES EMERGENTES'!$B$15</f>
        <v>NUESTRO FUTURO - LAS VIAS</v>
      </c>
      <c r="C445" s="272"/>
      <c r="D445" s="130">
        <v>60</v>
      </c>
      <c r="E445" s="131" t="str">
        <f>'[1]COMEDORES EMERGENTES'!$G$15</f>
        <v>Bº LAS VIAS OESTE LOTE 42</v>
      </c>
    </row>
    <row r="446" spans="2:5" x14ac:dyDescent="0.2">
      <c r="B446" s="271" t="str">
        <f>'[1]COMEDORES EMERGENTES'!$B$16</f>
        <v>SAN JOSE OBRERO</v>
      </c>
      <c r="C446" s="272"/>
      <c r="D446" s="130">
        <v>39</v>
      </c>
      <c r="E446" s="131" t="str">
        <f>'[1]COMEDORES EMERGENTES'!$G$16</f>
        <v>Bº SAN JOSE OBRERO. PJE. SANDOVAL S/Nº</v>
      </c>
    </row>
    <row r="447" spans="2:5" x14ac:dyDescent="0.2">
      <c r="B447" s="271" t="str">
        <f>'[1]COMEDORES EMERGENTES'!$B$17</f>
        <v>VIRGEN DE LUJAN</v>
      </c>
      <c r="C447" s="272"/>
      <c r="D447" s="130">
        <v>60</v>
      </c>
      <c r="E447" s="131" t="str">
        <f>'[1]COMEDORES EMERGENTES'!$G$17</f>
        <v>Bº OJO DE AGUA C/DR.TEODULFO BARRIONUEVO S/Nº</v>
      </c>
    </row>
    <row r="448" spans="2:5" x14ac:dyDescent="0.2">
      <c r="B448" s="271" t="str">
        <f>'[1]COMEDORES EMERGENTES'!$B$18</f>
        <v>RENACER</v>
      </c>
      <c r="C448" s="272"/>
      <c r="D448" s="130">
        <v>75</v>
      </c>
      <c r="E448" s="131" t="str">
        <f>'[1]COMEDORES EMERGENTES'!$G$18</f>
        <v>Bº VIRGEN MORENITA</v>
      </c>
    </row>
    <row r="449" spans="2:5" x14ac:dyDescent="0.2">
      <c r="B449" s="271" t="str">
        <f>'[1]COMEDORES EMERGENTES'!$B$19</f>
        <v>CENTRO VECINAL MI JARDIN</v>
      </c>
      <c r="C449" s="272"/>
      <c r="D449" s="130">
        <v>54</v>
      </c>
      <c r="E449" s="131" t="str">
        <f>'[1]COMEDORES EMERGENTES'!$G$19</f>
        <v>C/ LOS TULIPANES ENTRE FLOR DE CEREZO Y HOLANDA MZA.27 Bº MI JARDIN</v>
      </c>
    </row>
    <row r="450" spans="2:5" x14ac:dyDescent="0.2">
      <c r="B450" s="271" t="str">
        <f>'[1]COMEDORES EMERGENTES'!$B$20</f>
        <v>LA VIEJA ESQUINA</v>
      </c>
      <c r="C450" s="272"/>
      <c r="D450" s="130">
        <v>52</v>
      </c>
      <c r="E450" s="131" t="str">
        <f>'[1]COMEDORES EMERGENTES'!$G$20</f>
        <v>B° CRISTO REY PJE CAPATAZ VILLAFAÑEZ Y ARMANDO CORREA</v>
      </c>
    </row>
    <row r="451" spans="2:5" x14ac:dyDescent="0.2">
      <c r="B451" s="271" t="str">
        <f>'[1]COMEDORES EMERGENTES'!$B$21</f>
        <v>GAUCHITO GIL</v>
      </c>
      <c r="C451" s="272"/>
      <c r="D451" s="130">
        <v>50</v>
      </c>
      <c r="E451" s="131" t="str">
        <f>'[1]COMEDORES EMERGENTES'!$G$21</f>
        <v>B° 26 VIVIENDAS CASA N° 3</v>
      </c>
    </row>
    <row r="452" spans="2:5" ht="13.5" thickBot="1" x14ac:dyDescent="0.25">
      <c r="B452" s="288" t="str">
        <f>'[1]COMEDORES EMERGENTES'!$B$22</f>
        <v>LOS TOLDOS</v>
      </c>
      <c r="C452" s="289"/>
      <c r="D452" s="137">
        <v>24</v>
      </c>
      <c r="E452" s="138" t="str">
        <f>'[1]COMEDORES EMERGENTES'!$G$22</f>
        <v>LOTEO PARQUE SUR CALLE S/NOMBRE S/N°</v>
      </c>
    </row>
    <row r="453" spans="2:5" x14ac:dyDescent="0.2">
      <c r="B453" s="50" t="s">
        <v>18</v>
      </c>
      <c r="C453" s="48"/>
      <c r="D453" s="94"/>
      <c r="E453" s="49"/>
    </row>
    <row r="454" spans="2:5" x14ac:dyDescent="0.2">
      <c r="B454" s="51"/>
      <c r="C454" s="287" t="s">
        <v>63</v>
      </c>
      <c r="D454" s="287"/>
      <c r="E454" s="287"/>
    </row>
    <row r="455" spans="2:5" x14ac:dyDescent="0.2">
      <c r="B455" s="50" t="s">
        <v>19</v>
      </c>
      <c r="C455" s="52"/>
      <c r="D455" s="52"/>
      <c r="E455" s="53"/>
    </row>
    <row r="456" spans="2:5" x14ac:dyDescent="0.2">
      <c r="B456" s="51"/>
      <c r="C456" s="287" t="s">
        <v>140</v>
      </c>
      <c r="D456" s="287"/>
      <c r="E456" s="287"/>
    </row>
    <row r="457" spans="2:5" x14ac:dyDescent="0.2">
      <c r="B457" s="50" t="s">
        <v>20</v>
      </c>
      <c r="C457" s="48"/>
      <c r="D457" s="94"/>
      <c r="E457" s="49"/>
    </row>
    <row r="458" spans="2:5" x14ac:dyDescent="0.2">
      <c r="B458" s="50"/>
      <c r="C458" s="286" t="s">
        <v>64</v>
      </c>
      <c r="D458" s="286"/>
      <c r="E458" s="286"/>
    </row>
    <row r="459" spans="2:5" ht="13.5" thickBot="1" x14ac:dyDescent="0.25">
      <c r="B459" s="54"/>
      <c r="C459" s="55"/>
      <c r="D459" s="95"/>
      <c r="E459" s="56"/>
    </row>
    <row r="460" spans="2:5" ht="13.5" thickBot="1" x14ac:dyDescent="0.25"/>
    <row r="461" spans="2:5" x14ac:dyDescent="0.2">
      <c r="B461" s="44" t="s">
        <v>150</v>
      </c>
      <c r="C461" s="45"/>
      <c r="D461" s="93"/>
      <c r="E461" s="46"/>
    </row>
    <row r="462" spans="2:5" x14ac:dyDescent="0.2">
      <c r="B462" s="47"/>
      <c r="C462" s="48"/>
      <c r="D462" s="94"/>
      <c r="E462" s="49"/>
    </row>
    <row r="463" spans="2:5" x14ac:dyDescent="0.2">
      <c r="B463" s="50" t="s">
        <v>16</v>
      </c>
      <c r="C463" s="48"/>
      <c r="D463" s="94"/>
      <c r="E463" s="49"/>
    </row>
    <row r="464" spans="2:5" ht="25.5" customHeight="1" x14ac:dyDescent="0.2">
      <c r="B464" s="50"/>
      <c r="C464" s="287"/>
      <c r="D464" s="287"/>
      <c r="E464" s="287"/>
    </row>
    <row r="465" spans="2:5" ht="13.5" thickBot="1" x14ac:dyDescent="0.25">
      <c r="B465" s="50" t="s">
        <v>17</v>
      </c>
      <c r="C465" s="48"/>
      <c r="D465" s="94"/>
      <c r="E465" s="49"/>
    </row>
    <row r="466" spans="2:5" ht="13.5" thickBot="1" x14ac:dyDescent="0.25">
      <c r="B466" s="273" t="s">
        <v>137</v>
      </c>
      <c r="C466" s="274"/>
      <c r="D466" s="274"/>
      <c r="E466" s="275"/>
    </row>
    <row r="467" spans="2:5" ht="13.5" thickBot="1" x14ac:dyDescent="0.25">
      <c r="B467" s="273" t="s">
        <v>138</v>
      </c>
      <c r="C467" s="275"/>
      <c r="D467" s="91" t="s">
        <v>11</v>
      </c>
      <c r="E467" s="91" t="s">
        <v>139</v>
      </c>
    </row>
    <row r="468" spans="2:5" x14ac:dyDescent="0.2">
      <c r="B468" s="280" t="str">
        <f>'[1]COMEDORES EMERGENTES'!$B$3</f>
        <v>UNA SONRISA AV. LOS COBACHO</v>
      </c>
      <c r="C468" s="281"/>
      <c r="D468" s="135">
        <v>5</v>
      </c>
      <c r="E468" s="136" t="str">
        <f>'[1]COMEDORES EMERGENTES'!$G$3</f>
        <v>Bº SAN CARLOS OESTE AV. Bonifacio cobacho 670</v>
      </c>
    </row>
    <row r="469" spans="2:5" x14ac:dyDescent="0.2">
      <c r="B469" s="271" t="str">
        <f>'[1]COMEDORES EMERGENTES'!$B$4</f>
        <v>C.I.F Nº1 - RIVERA DEL VALLE Y FLORIDA</v>
      </c>
      <c r="C469" s="272"/>
      <c r="D469" s="130">
        <v>7</v>
      </c>
      <c r="E469" s="131" t="str">
        <f>'[1]COMEDORES EMERGENTES'!$G$4</f>
        <v>AV. RIVIERA DEL VALLE ENTRE FLORIDA Y SANTA FE</v>
      </c>
    </row>
    <row r="470" spans="2:5" x14ac:dyDescent="0.2">
      <c r="B470" s="271" t="str">
        <f>'[1]COMEDORES EMERGENTES'!$B$5</f>
        <v>C.I.F - RIVERA DEL VALLE - DILORENZO</v>
      </c>
      <c r="C470" s="272"/>
      <c r="D470" s="130">
        <v>8</v>
      </c>
      <c r="E470" s="131" t="str">
        <f>'[1]COMEDORES EMERGENTES'!$G$5</f>
        <v>Bº RIVERA DEL VALLE ENTRE VILLA EUMELIA Y MONTE CRISTO</v>
      </c>
    </row>
    <row r="471" spans="2:5" x14ac:dyDescent="0.2">
      <c r="B471" s="271" t="str">
        <f>'[1]COMEDORES EMERGENTES'!$B$6</f>
        <v>ESFUERZO PROPIO- Bº ALTOS DE CHOYA</v>
      </c>
      <c r="C471" s="272"/>
      <c r="D471" s="130">
        <v>7</v>
      </c>
      <c r="E471" s="131" t="str">
        <f>'[1]COMEDORES EMERGENTES'!$G$6</f>
        <v>Bº MUNICIPAL 35VV. NORTE C/14</v>
      </c>
    </row>
    <row r="472" spans="2:5" x14ac:dyDescent="0.2">
      <c r="B472" s="271" t="str">
        <f>'[1]COMEDORES EMERGENTES'!$B$7</f>
        <v>ANGELITOS - LOTEO SUSSEX</v>
      </c>
      <c r="C472" s="272"/>
      <c r="D472" s="130">
        <v>3</v>
      </c>
      <c r="E472" s="131" t="str">
        <f>'[1]COMEDORES EMERGENTES'!$G$7</f>
        <v>Bº LOTEO SUSEX MZA.Nº 4 LOTE Nº3</v>
      </c>
    </row>
    <row r="473" spans="2:5" x14ac:dyDescent="0.2">
      <c r="B473" s="271" t="str">
        <f>'[1]COMEDORES EMERGENTES'!$B$8</f>
        <v>CLUB DEPORTIVO CHACARITA</v>
      </c>
      <c r="C473" s="272"/>
      <c r="D473" s="130">
        <v>4</v>
      </c>
      <c r="E473" s="131" t="str">
        <f>'[1]COMEDORES EMERGENTES'!$G$8</f>
        <v>CALLE DR.DERMIDIO GALINDEZ C/2660</v>
      </c>
    </row>
    <row r="474" spans="2:5" x14ac:dyDescent="0.2">
      <c r="B474" s="271" t="str">
        <f>'[1]COMEDORES EMERGENTES'!$B$9</f>
        <v>LA MORO</v>
      </c>
      <c r="C474" s="272"/>
      <c r="D474" s="130">
        <v>4</v>
      </c>
      <c r="E474" s="131" t="str">
        <f>'[1]COMEDORES EMERGENTES'!$G$9</f>
        <v>MAIPU NORTE 1º ETAPA MZA "H" Bº MI JARDIN</v>
      </c>
    </row>
    <row r="475" spans="2:5" x14ac:dyDescent="0.2">
      <c r="B475" s="271" t="str">
        <f>'[1]COMEDORES EMERGENTES'!$B$10</f>
        <v>PAPA FRANCISCO</v>
      </c>
      <c r="C475" s="272"/>
      <c r="D475" s="130">
        <v>6</v>
      </c>
      <c r="E475" s="131" t="str">
        <f>'[1]COMEDORES EMERGENTES'!$G$10</f>
        <v>ENTRE AV.TEREBINTO Y AV.SAN JUAN LOTE "2" MZA. "B"</v>
      </c>
    </row>
    <row r="476" spans="2:5" x14ac:dyDescent="0.2">
      <c r="B476" s="271" t="str">
        <f>'[1]COMEDORES EMERGENTES'!$B$11</f>
        <v>E.P.C - 100 V.V NORTE</v>
      </c>
      <c r="C476" s="272"/>
      <c r="D476" s="130">
        <v>9</v>
      </c>
      <c r="E476" s="131" t="str">
        <f>'[1]COMEDORES EMERGENTES'!$G$11</f>
        <v>Bº VV NORTE C/48 ENTRE ESPAÑA Y FRANCIA</v>
      </c>
    </row>
    <row r="477" spans="2:5" x14ac:dyDescent="0.2">
      <c r="B477" s="271" t="str">
        <f>'[1]COMEDORES EMERGENTES'!$B$12</f>
        <v>HOGAR DE CRISTO - PADRE RAUL CONTRERAS</v>
      </c>
      <c r="C477" s="272"/>
      <c r="D477" s="130">
        <v>9</v>
      </c>
      <c r="E477" s="131" t="str">
        <f>'[1]COMEDORES EMERGENTES'!$G$12</f>
        <v>Bº SANTA MARTA MZA. "S" LOTE "M" C/39</v>
      </c>
    </row>
    <row r="478" spans="2:5" x14ac:dyDescent="0.2">
      <c r="B478" s="271" t="str">
        <f>'[1]COMEDORES EMERGENTES'!$B$13</f>
        <v>LA LUCIERNAGA</v>
      </c>
      <c r="C478" s="272"/>
      <c r="D478" s="130">
        <v>6</v>
      </c>
      <c r="E478" s="131" t="str">
        <f>'[1]COMEDORES EMERGENTES'!$G$13</f>
        <v>Bº 20 V.V NORTE C/3</v>
      </c>
    </row>
    <row r="479" spans="2:5" x14ac:dyDescent="0.2">
      <c r="B479" s="271" t="str">
        <f>'[1]COMEDORES EMERGENTES'!$B$14</f>
        <v>VALLE VIEJO - SUMALAO</v>
      </c>
      <c r="C479" s="272"/>
      <c r="D479" s="130">
        <v>11</v>
      </c>
      <c r="E479" s="131" t="str">
        <f>'[1]COMEDORES EMERGENTES'!$G$14</f>
        <v>PADRE SEGURA S/N</v>
      </c>
    </row>
    <row r="480" spans="2:5" x14ac:dyDescent="0.2">
      <c r="B480" s="271" t="str">
        <f>'[1]COMEDORES EMERGENTES'!$B$15</f>
        <v>NUESTRO FUTURO - LAS VIAS</v>
      </c>
      <c r="C480" s="272"/>
      <c r="D480" s="130">
        <v>6</v>
      </c>
      <c r="E480" s="131" t="str">
        <f>'[1]COMEDORES EMERGENTES'!$G$15</f>
        <v>Bº LAS VIAS OESTE LOTE 42</v>
      </c>
    </row>
    <row r="481" spans="2:5" x14ac:dyDescent="0.2">
      <c r="B481" s="271" t="str">
        <f>'[1]COMEDORES EMERGENTES'!$B$16</f>
        <v>SAN JOSE OBRERO</v>
      </c>
      <c r="C481" s="272"/>
      <c r="D481" s="130">
        <v>4</v>
      </c>
      <c r="E481" s="131" t="str">
        <f>'[1]COMEDORES EMERGENTES'!$G$16</f>
        <v>Bº SAN JOSE OBRERO. PJE. SANDOVAL S/Nº</v>
      </c>
    </row>
    <row r="482" spans="2:5" x14ac:dyDescent="0.2">
      <c r="B482" s="271" t="str">
        <f>'[1]COMEDORES EMERGENTES'!$B$17</f>
        <v>VIRGEN DE LUJAN</v>
      </c>
      <c r="C482" s="272"/>
      <c r="D482" s="130">
        <v>6</v>
      </c>
      <c r="E482" s="131" t="str">
        <f>'[1]COMEDORES EMERGENTES'!$G$17</f>
        <v>Bº OJO DE AGUA C/DR.TEODULFO BARRIONUEVO S/Nº</v>
      </c>
    </row>
    <row r="483" spans="2:5" x14ac:dyDescent="0.2">
      <c r="B483" s="271" t="str">
        <f>'[1]COMEDORES EMERGENTES'!$B$18</f>
        <v>RENACER</v>
      </c>
      <c r="C483" s="272"/>
      <c r="D483" s="130">
        <v>8</v>
      </c>
      <c r="E483" s="131" t="str">
        <f>'[1]COMEDORES EMERGENTES'!$G$18</f>
        <v>Bº VIRGEN MORENITA</v>
      </c>
    </row>
    <row r="484" spans="2:5" x14ac:dyDescent="0.2">
      <c r="B484" s="271" t="str">
        <f>'[1]COMEDORES EMERGENTES'!$B$19</f>
        <v>CENTRO VECINAL MI JARDIN</v>
      </c>
      <c r="C484" s="272"/>
      <c r="D484" s="130">
        <v>5</v>
      </c>
      <c r="E484" s="131" t="str">
        <f>'[1]COMEDORES EMERGENTES'!$G$19</f>
        <v>C/ LOS TULIPANES ENTRE FLOR DE CEREZO Y HOLANDA MZA.27 Bº MI JARDIN</v>
      </c>
    </row>
    <row r="485" spans="2:5" x14ac:dyDescent="0.2">
      <c r="B485" s="271" t="str">
        <f>'[1]COMEDORES EMERGENTES'!$B$20</f>
        <v>LA VIEJA ESQUINA</v>
      </c>
      <c r="C485" s="272"/>
      <c r="D485" s="130">
        <v>5</v>
      </c>
      <c r="E485" s="131" t="str">
        <f>'[1]COMEDORES EMERGENTES'!$G$20</f>
        <v>B° CRISTO REY PJE CAPATAZ VILLAFAÑEZ Y ARMANDO CORREA</v>
      </c>
    </row>
    <row r="486" spans="2:5" x14ac:dyDescent="0.2">
      <c r="B486" s="271" t="str">
        <f>'[1]COMEDORES EMERGENTES'!$B$21</f>
        <v>GAUCHITO GIL</v>
      </c>
      <c r="C486" s="272"/>
      <c r="D486" s="130">
        <v>5</v>
      </c>
      <c r="E486" s="131" t="str">
        <f>'[1]COMEDORES EMERGENTES'!$G$21</f>
        <v>B° 26 VIVIENDAS CASA N° 3</v>
      </c>
    </row>
    <row r="487" spans="2:5" ht="13.5" thickBot="1" x14ac:dyDescent="0.25">
      <c r="B487" s="288" t="str">
        <f>'[1]COMEDORES EMERGENTES'!$B$22</f>
        <v>LOS TOLDOS</v>
      </c>
      <c r="C487" s="289"/>
      <c r="D487" s="137">
        <v>2</v>
      </c>
      <c r="E487" s="138" t="str">
        <f>'[1]COMEDORES EMERGENTES'!$G$22</f>
        <v>LOTEO PARQUE SUR CALLE S/NOMBRE S/N°</v>
      </c>
    </row>
    <row r="488" spans="2:5" x14ac:dyDescent="0.2">
      <c r="B488" s="50" t="s">
        <v>18</v>
      </c>
      <c r="C488" s="48"/>
      <c r="D488" s="94"/>
      <c r="E488" s="49"/>
    </row>
    <row r="489" spans="2:5" x14ac:dyDescent="0.2">
      <c r="B489" s="51"/>
      <c r="C489" s="287" t="s">
        <v>63</v>
      </c>
      <c r="D489" s="287"/>
      <c r="E489" s="287"/>
    </row>
    <row r="490" spans="2:5" x14ac:dyDescent="0.2">
      <c r="B490" s="50" t="s">
        <v>19</v>
      </c>
      <c r="C490" s="52"/>
      <c r="D490" s="52"/>
      <c r="E490" s="53"/>
    </row>
    <row r="491" spans="2:5" x14ac:dyDescent="0.2">
      <c r="B491" s="51"/>
      <c r="C491" s="287" t="s">
        <v>140</v>
      </c>
      <c r="D491" s="287"/>
      <c r="E491" s="287"/>
    </row>
    <row r="492" spans="2:5" x14ac:dyDescent="0.2">
      <c r="B492" s="50" t="s">
        <v>20</v>
      </c>
      <c r="C492" s="48"/>
      <c r="D492" s="94"/>
      <c r="E492" s="49"/>
    </row>
    <row r="493" spans="2:5" x14ac:dyDescent="0.2">
      <c r="B493" s="50"/>
      <c r="C493" s="286" t="s">
        <v>64</v>
      </c>
      <c r="D493" s="286"/>
      <c r="E493" s="286"/>
    </row>
    <row r="494" spans="2:5" ht="13.5" thickBot="1" x14ac:dyDescent="0.25">
      <c r="B494" s="54"/>
      <c r="C494" s="55"/>
      <c r="D494" s="95"/>
      <c r="E494" s="56"/>
    </row>
    <row r="495" spans="2:5" ht="13.5" thickBot="1" x14ac:dyDescent="0.25"/>
    <row r="496" spans="2:5" x14ac:dyDescent="0.2">
      <c r="B496" s="44" t="s">
        <v>151</v>
      </c>
      <c r="C496" s="45"/>
      <c r="D496" s="93"/>
      <c r="E496" s="46"/>
    </row>
    <row r="497" spans="2:5" x14ac:dyDescent="0.2">
      <c r="B497" s="47"/>
      <c r="C497" s="48"/>
      <c r="D497" s="94"/>
      <c r="E497" s="49"/>
    </row>
    <row r="498" spans="2:5" x14ac:dyDescent="0.2">
      <c r="B498" s="50" t="s">
        <v>16</v>
      </c>
      <c r="C498" s="48"/>
      <c r="D498" s="94"/>
      <c r="E498" s="49"/>
    </row>
    <row r="499" spans="2:5" ht="25.5" customHeight="1" x14ac:dyDescent="0.2">
      <c r="B499" s="50"/>
      <c r="C499" s="287"/>
      <c r="D499" s="287"/>
      <c r="E499" s="287"/>
    </row>
    <row r="500" spans="2:5" ht="13.5" thickBot="1" x14ac:dyDescent="0.25">
      <c r="B500" s="50" t="s">
        <v>17</v>
      </c>
      <c r="C500" s="48"/>
      <c r="D500" s="94"/>
      <c r="E500" s="49"/>
    </row>
    <row r="501" spans="2:5" ht="13.5" thickBot="1" x14ac:dyDescent="0.25">
      <c r="B501" s="273" t="s">
        <v>137</v>
      </c>
      <c r="C501" s="274"/>
      <c r="D501" s="274"/>
      <c r="E501" s="275"/>
    </row>
    <row r="502" spans="2:5" ht="13.5" thickBot="1" x14ac:dyDescent="0.25">
      <c r="B502" s="273" t="s">
        <v>138</v>
      </c>
      <c r="C502" s="275"/>
      <c r="D502" s="91" t="s">
        <v>11</v>
      </c>
      <c r="E502" s="91" t="s">
        <v>139</v>
      </c>
    </row>
    <row r="503" spans="2:5" x14ac:dyDescent="0.2">
      <c r="B503" s="280" t="str">
        <f>'[1]COMEDORES EMERGENTES'!$B$3</f>
        <v>UNA SONRISA AV. LOS COBACHO</v>
      </c>
      <c r="C503" s="281"/>
      <c r="D503" s="135" t="s">
        <v>203</v>
      </c>
      <c r="E503" s="136" t="str">
        <f>'[1]COMEDORES EMERGENTES'!$G$3</f>
        <v>Bº SAN CARLOS OESTE AV. Bonifacio cobacho 670</v>
      </c>
    </row>
    <row r="504" spans="2:5" x14ac:dyDescent="0.2">
      <c r="B504" s="271" t="str">
        <f>'[1]COMEDORES EMERGENTES'!$B$4</f>
        <v>C.I.F Nº1 - RIVERA DEL VALLE Y FLORIDA</v>
      </c>
      <c r="C504" s="272"/>
      <c r="D504" s="130" t="s">
        <v>202</v>
      </c>
      <c r="E504" s="131" t="str">
        <f>'[1]COMEDORES EMERGENTES'!$G$4</f>
        <v>AV. RIVIERA DEL VALLE ENTRE FLORIDA Y SANTA FE</v>
      </c>
    </row>
    <row r="505" spans="2:5" x14ac:dyDescent="0.2">
      <c r="B505" s="271" t="str">
        <f>'[1]COMEDORES EMERGENTES'!$B$5</f>
        <v>C.I.F - RIVERA DEL VALLE - DILORENZO</v>
      </c>
      <c r="C505" s="272"/>
      <c r="D505" s="130" t="s">
        <v>179</v>
      </c>
      <c r="E505" s="131" t="str">
        <f>'[1]COMEDORES EMERGENTES'!$G$5</f>
        <v>Bº RIVERA DEL VALLE ENTRE VILLA EUMELIA Y MONTE CRISTO</v>
      </c>
    </row>
    <row r="506" spans="2:5" x14ac:dyDescent="0.2">
      <c r="B506" s="271" t="str">
        <f>'[1]COMEDORES EMERGENTES'!$B$6</f>
        <v>ESFUERZO PROPIO- Bº ALTOS DE CHOYA</v>
      </c>
      <c r="C506" s="272"/>
      <c r="D506" s="130" t="s">
        <v>185</v>
      </c>
      <c r="E506" s="131" t="str">
        <f>'[1]COMEDORES EMERGENTES'!$G$6</f>
        <v>Bº MUNICIPAL 35VV. NORTE C/14</v>
      </c>
    </row>
    <row r="507" spans="2:5" x14ac:dyDescent="0.2">
      <c r="B507" s="271" t="str">
        <f>'[1]COMEDORES EMERGENTES'!$B$7</f>
        <v>ANGELITOS - LOTEO SUSSEX</v>
      </c>
      <c r="C507" s="272"/>
      <c r="D507" s="130" t="s">
        <v>226</v>
      </c>
      <c r="E507" s="131" t="str">
        <f>'[1]COMEDORES EMERGENTES'!$G$7</f>
        <v>Bº LOTEO SUSEX MZA.Nº 4 LOTE Nº3</v>
      </c>
    </row>
    <row r="508" spans="2:5" x14ac:dyDescent="0.2">
      <c r="B508" s="271" t="str">
        <f>'[1]COMEDORES EMERGENTES'!$B$8</f>
        <v>CLUB DEPORTIVO CHACARITA</v>
      </c>
      <c r="C508" s="272"/>
      <c r="D508" s="130" t="s">
        <v>184</v>
      </c>
      <c r="E508" s="131" t="str">
        <f>'[1]COMEDORES EMERGENTES'!$G$8</f>
        <v>CALLE DR.DERMIDIO GALINDEZ C/2660</v>
      </c>
    </row>
    <row r="509" spans="2:5" x14ac:dyDescent="0.2">
      <c r="B509" s="271" t="str">
        <f>'[1]COMEDORES EMERGENTES'!$B$9</f>
        <v>LA MORO</v>
      </c>
      <c r="C509" s="272"/>
      <c r="D509" s="130" t="s">
        <v>201</v>
      </c>
      <c r="E509" s="131" t="str">
        <f>'[1]COMEDORES EMERGENTES'!$G$9</f>
        <v>MAIPU NORTE 1º ETAPA MZA "H" Bº MI JARDIN</v>
      </c>
    </row>
    <row r="510" spans="2:5" x14ac:dyDescent="0.2">
      <c r="B510" s="271" t="str">
        <f>'[1]COMEDORES EMERGENTES'!$B$10</f>
        <v>PAPA FRANCISCO</v>
      </c>
      <c r="C510" s="272"/>
      <c r="D510" s="130" t="s">
        <v>174</v>
      </c>
      <c r="E510" s="131" t="str">
        <f>'[1]COMEDORES EMERGENTES'!$G$10</f>
        <v>ENTRE AV.TEREBINTO Y AV.SAN JUAN LOTE "2" MZA. "B"</v>
      </c>
    </row>
    <row r="511" spans="2:5" x14ac:dyDescent="0.2">
      <c r="B511" s="271" t="str">
        <f>'[1]COMEDORES EMERGENTES'!$B$11</f>
        <v>E.P.C - 100 V.V NORTE</v>
      </c>
      <c r="C511" s="272"/>
      <c r="D511" s="130" t="s">
        <v>175</v>
      </c>
      <c r="E511" s="131" t="str">
        <f>'[1]COMEDORES EMERGENTES'!$G$11</f>
        <v>Bº VV NORTE C/48 ENTRE ESPAÑA Y FRANCIA</v>
      </c>
    </row>
    <row r="512" spans="2:5" x14ac:dyDescent="0.2">
      <c r="B512" s="271" t="str">
        <f>'[1]COMEDORES EMERGENTES'!$B$12</f>
        <v>HOGAR DE CRISTO - PADRE RAUL CONTRERAS</v>
      </c>
      <c r="C512" s="272"/>
      <c r="D512" s="130" t="s">
        <v>175</v>
      </c>
      <c r="E512" s="131" t="str">
        <f>'[1]COMEDORES EMERGENTES'!$G$12</f>
        <v>Bº SANTA MARTA MZA. "S" LOTE "M" C/39</v>
      </c>
    </row>
    <row r="513" spans="2:5" x14ac:dyDescent="0.2">
      <c r="B513" s="271" t="str">
        <f>'[1]COMEDORES EMERGENTES'!$B$13</f>
        <v>LA LUCIERNAGA</v>
      </c>
      <c r="C513" s="272"/>
      <c r="D513" s="130" t="s">
        <v>174</v>
      </c>
      <c r="E513" s="131" t="str">
        <f>'[1]COMEDORES EMERGENTES'!$G$13</f>
        <v>Bº 20 V.V NORTE C/3</v>
      </c>
    </row>
    <row r="514" spans="2:5" x14ac:dyDescent="0.2">
      <c r="B514" s="271" t="str">
        <f>'[1]COMEDORES EMERGENTES'!$B$14</f>
        <v>VALLE VIEJO - SUMALAO</v>
      </c>
      <c r="C514" s="272"/>
      <c r="D514" s="130" t="s">
        <v>170</v>
      </c>
      <c r="E514" s="131" t="str">
        <f>'[1]COMEDORES EMERGENTES'!$G$14</f>
        <v>PADRE SEGURA S/N</v>
      </c>
    </row>
    <row r="515" spans="2:5" x14ac:dyDescent="0.2">
      <c r="B515" s="271" t="str">
        <f>'[1]COMEDORES EMERGENTES'!$B$15</f>
        <v>NUESTRO FUTURO - LAS VIAS</v>
      </c>
      <c r="C515" s="272"/>
      <c r="D515" s="130" t="s">
        <v>174</v>
      </c>
      <c r="E515" s="131" t="str">
        <f>'[1]COMEDORES EMERGENTES'!$G$15</f>
        <v>Bº LAS VIAS OESTE LOTE 42</v>
      </c>
    </row>
    <row r="516" spans="2:5" x14ac:dyDescent="0.2">
      <c r="B516" s="271" t="str">
        <f>'[1]COMEDORES EMERGENTES'!$B$16</f>
        <v>SAN JOSE OBRERO</v>
      </c>
      <c r="C516" s="272"/>
      <c r="D516" s="130" t="s">
        <v>184</v>
      </c>
      <c r="E516" s="131" t="str">
        <f>'[1]COMEDORES EMERGENTES'!$G$16</f>
        <v>Bº SAN JOSE OBRERO. PJE. SANDOVAL S/Nº</v>
      </c>
    </row>
    <row r="517" spans="2:5" x14ac:dyDescent="0.2">
      <c r="B517" s="271" t="str">
        <f>'[1]COMEDORES EMERGENTES'!$B$17</f>
        <v>VIRGEN DE LUJAN</v>
      </c>
      <c r="C517" s="272"/>
      <c r="D517" s="130" t="s">
        <v>174</v>
      </c>
      <c r="E517" s="131" t="str">
        <f>'[1]COMEDORES EMERGENTES'!$G$17</f>
        <v>Bº OJO DE AGUA C/DR.TEODULFO BARRIONUEVO S/Nº</v>
      </c>
    </row>
    <row r="518" spans="2:5" x14ac:dyDescent="0.2">
      <c r="B518" s="271" t="str">
        <f>'[1]COMEDORES EMERGENTES'!$B$18</f>
        <v>RENACER</v>
      </c>
      <c r="C518" s="272"/>
      <c r="D518" s="130" t="s">
        <v>181</v>
      </c>
      <c r="E518" s="131" t="str">
        <f>'[1]COMEDORES EMERGENTES'!$G$18</f>
        <v>Bº VIRGEN MORENITA</v>
      </c>
    </row>
    <row r="519" spans="2:5" x14ac:dyDescent="0.2">
      <c r="B519" s="271" t="str">
        <f>'[1]COMEDORES EMERGENTES'!$B$19</f>
        <v>CENTRO VECINAL MI JARDIN</v>
      </c>
      <c r="C519" s="272"/>
      <c r="D519" s="130" t="s">
        <v>169</v>
      </c>
      <c r="E519" s="131" t="str">
        <f>'[1]COMEDORES EMERGENTES'!$G$19</f>
        <v>C/ LOS TULIPANES ENTRE FLOR DE CEREZO Y HOLANDA MZA.27 Bº MI JARDIN</v>
      </c>
    </row>
    <row r="520" spans="2:5" x14ac:dyDescent="0.2">
      <c r="B520" s="271" t="str">
        <f>'[1]COMEDORES EMERGENTES'!$B$20</f>
        <v>LA VIEJA ESQUINA</v>
      </c>
      <c r="C520" s="272"/>
      <c r="D520" s="130" t="s">
        <v>227</v>
      </c>
      <c r="E520" s="131" t="str">
        <f>'[1]COMEDORES EMERGENTES'!$G$20</f>
        <v>B° CRISTO REY PJE CAPATAZ VILLAFAÑEZ Y ARMANDO CORREA</v>
      </c>
    </row>
    <row r="521" spans="2:5" x14ac:dyDescent="0.2">
      <c r="B521" s="271" t="str">
        <f>'[1]COMEDORES EMERGENTES'!$B$21</f>
        <v>GAUCHITO GIL</v>
      </c>
      <c r="C521" s="272"/>
      <c r="D521" s="130" t="s">
        <v>227</v>
      </c>
      <c r="E521" s="131" t="str">
        <f>'[1]COMEDORES EMERGENTES'!$G$21</f>
        <v>B° 26 VIVIENDAS CASA N° 3</v>
      </c>
    </row>
    <row r="522" spans="2:5" ht="13.5" thickBot="1" x14ac:dyDescent="0.25">
      <c r="B522" s="288" t="str">
        <f>'[1]COMEDORES EMERGENTES'!$B$22</f>
        <v>LOS TOLDOS</v>
      </c>
      <c r="C522" s="289"/>
      <c r="D522" s="137" t="s">
        <v>284</v>
      </c>
      <c r="E522" s="138" t="str">
        <f>'[1]COMEDORES EMERGENTES'!$G$22</f>
        <v>LOTEO PARQUE SUR CALLE S/NOMBRE S/N°</v>
      </c>
    </row>
    <row r="523" spans="2:5" x14ac:dyDescent="0.2">
      <c r="B523" s="50" t="s">
        <v>18</v>
      </c>
      <c r="C523" s="48"/>
      <c r="D523" s="94"/>
      <c r="E523" s="49"/>
    </row>
    <row r="524" spans="2:5" x14ac:dyDescent="0.2">
      <c r="B524" s="51"/>
      <c r="C524" s="287" t="s">
        <v>63</v>
      </c>
      <c r="D524" s="287"/>
      <c r="E524" s="287"/>
    </row>
    <row r="525" spans="2:5" x14ac:dyDescent="0.2">
      <c r="B525" s="50" t="s">
        <v>19</v>
      </c>
      <c r="C525" s="52"/>
      <c r="D525" s="52"/>
      <c r="E525" s="53"/>
    </row>
    <row r="526" spans="2:5" x14ac:dyDescent="0.2">
      <c r="B526" s="51"/>
      <c r="C526" s="287" t="s">
        <v>140</v>
      </c>
      <c r="D526" s="287"/>
      <c r="E526" s="287"/>
    </row>
    <row r="527" spans="2:5" x14ac:dyDescent="0.2">
      <c r="B527" s="50" t="s">
        <v>20</v>
      </c>
      <c r="C527" s="48"/>
      <c r="D527" s="94"/>
      <c r="E527" s="49"/>
    </row>
    <row r="528" spans="2:5" x14ac:dyDescent="0.2">
      <c r="B528" s="50"/>
      <c r="C528" s="286" t="s">
        <v>64</v>
      </c>
      <c r="D528" s="286"/>
      <c r="E528" s="286"/>
    </row>
    <row r="529" spans="2:5" ht="13.5" thickBot="1" x14ac:dyDescent="0.25">
      <c r="B529" s="54"/>
      <c r="C529" s="55"/>
      <c r="D529" s="95"/>
      <c r="E529" s="56"/>
    </row>
    <row r="530" spans="2:5" ht="13.5" thickBot="1" x14ac:dyDescent="0.25"/>
    <row r="531" spans="2:5" x14ac:dyDescent="0.2">
      <c r="B531" s="44" t="s">
        <v>152</v>
      </c>
      <c r="C531" s="45"/>
      <c r="D531" s="93"/>
      <c r="E531" s="46"/>
    </row>
    <row r="532" spans="2:5" x14ac:dyDescent="0.2">
      <c r="B532" s="47"/>
      <c r="C532" s="48"/>
      <c r="D532" s="94"/>
      <c r="E532" s="49"/>
    </row>
    <row r="533" spans="2:5" x14ac:dyDescent="0.2">
      <c r="B533" s="50" t="s">
        <v>16</v>
      </c>
      <c r="C533" s="48"/>
      <c r="D533" s="94"/>
      <c r="E533" s="49"/>
    </row>
    <row r="534" spans="2:5" ht="25.5" customHeight="1" x14ac:dyDescent="0.2">
      <c r="B534" s="50"/>
      <c r="C534" s="287"/>
      <c r="D534" s="287"/>
      <c r="E534" s="287"/>
    </row>
    <row r="535" spans="2:5" ht="13.5" thickBot="1" x14ac:dyDescent="0.25">
      <c r="B535" s="50" t="s">
        <v>17</v>
      </c>
      <c r="C535" s="48"/>
      <c r="D535" s="94"/>
      <c r="E535" s="49"/>
    </row>
    <row r="536" spans="2:5" ht="13.5" thickBot="1" x14ac:dyDescent="0.25">
      <c r="B536" s="273" t="s">
        <v>137</v>
      </c>
      <c r="C536" s="274"/>
      <c r="D536" s="274"/>
      <c r="E536" s="275"/>
    </row>
    <row r="537" spans="2:5" ht="13.5" thickBot="1" x14ac:dyDescent="0.25">
      <c r="B537" s="273" t="s">
        <v>138</v>
      </c>
      <c r="C537" s="275"/>
      <c r="D537" s="91" t="s">
        <v>11</v>
      </c>
      <c r="E537" s="91" t="s">
        <v>139</v>
      </c>
    </row>
    <row r="538" spans="2:5" x14ac:dyDescent="0.2">
      <c r="B538" s="280" t="str">
        <f>'[1]COMEDORES EMERGENTES'!$B$3</f>
        <v>UNA SONRISA AV. LOS COBACHO</v>
      </c>
      <c r="C538" s="281"/>
      <c r="D538" s="135">
        <v>10</v>
      </c>
      <c r="E538" s="136" t="str">
        <f>'[1]COMEDORES EMERGENTES'!$G$3</f>
        <v>Bº SAN CARLOS OESTE AV. Bonifacio cobacho 670</v>
      </c>
    </row>
    <row r="539" spans="2:5" x14ac:dyDescent="0.2">
      <c r="B539" s="271" t="str">
        <f>'[1]COMEDORES EMERGENTES'!$B$4</f>
        <v>C.I.F Nº1 - RIVERA DEL VALLE Y FLORIDA</v>
      </c>
      <c r="C539" s="272"/>
      <c r="D539" s="130">
        <v>14</v>
      </c>
      <c r="E539" s="131" t="str">
        <f>'[1]COMEDORES EMERGENTES'!$G$4</f>
        <v>AV. RIVIERA DEL VALLE ENTRE FLORIDA Y SANTA FE</v>
      </c>
    </row>
    <row r="540" spans="2:5" x14ac:dyDescent="0.2">
      <c r="B540" s="271" t="str">
        <f>'[1]COMEDORES EMERGENTES'!$B$5</f>
        <v>C.I.F - RIVERA DEL VALLE - DILORENZO</v>
      </c>
      <c r="C540" s="272"/>
      <c r="D540" s="130">
        <v>16</v>
      </c>
      <c r="E540" s="131" t="str">
        <f>'[1]COMEDORES EMERGENTES'!$G$5</f>
        <v>Bº RIVERA DEL VALLE ENTRE VILLA EUMELIA Y MONTE CRISTO</v>
      </c>
    </row>
    <row r="541" spans="2:5" x14ac:dyDescent="0.2">
      <c r="B541" s="271" t="str">
        <f>'[1]COMEDORES EMERGENTES'!$B$6</f>
        <v>ESFUERZO PROPIO- Bº ALTOS DE CHOYA</v>
      </c>
      <c r="C541" s="272"/>
      <c r="D541" s="130">
        <v>13</v>
      </c>
      <c r="E541" s="131" t="str">
        <f>'[1]COMEDORES EMERGENTES'!$G$6</f>
        <v>Bº MUNICIPAL 35VV. NORTE C/14</v>
      </c>
    </row>
    <row r="542" spans="2:5" x14ac:dyDescent="0.2">
      <c r="B542" s="271" t="str">
        <f>'[1]COMEDORES EMERGENTES'!$B$7</f>
        <v>ANGELITOS - LOTEO SUSSEX</v>
      </c>
      <c r="C542" s="272"/>
      <c r="D542" s="130">
        <v>6</v>
      </c>
      <c r="E542" s="131" t="str">
        <f>'[1]COMEDORES EMERGENTES'!$G$7</f>
        <v>Bº LOTEO SUSEX MZA.Nº 4 LOTE Nº3</v>
      </c>
    </row>
    <row r="543" spans="2:5" x14ac:dyDescent="0.2">
      <c r="B543" s="271" t="str">
        <f>'[1]COMEDORES EMERGENTES'!$B$8</f>
        <v>CLUB DEPORTIVO CHACARITA</v>
      </c>
      <c r="C543" s="272"/>
      <c r="D543" s="130">
        <v>8</v>
      </c>
      <c r="E543" s="131" t="str">
        <f>'[1]COMEDORES EMERGENTES'!$G$8</f>
        <v>CALLE DR.DERMIDIO GALINDEZ C/2660</v>
      </c>
    </row>
    <row r="544" spans="2:5" x14ac:dyDescent="0.2">
      <c r="B544" s="271" t="str">
        <f>'[1]COMEDORES EMERGENTES'!$B$9</f>
        <v>LA MORO</v>
      </c>
      <c r="C544" s="272"/>
      <c r="D544" s="130">
        <v>7</v>
      </c>
      <c r="E544" s="131" t="str">
        <f>'[1]COMEDORES EMERGENTES'!$G$9</f>
        <v>MAIPU NORTE 1º ETAPA MZA "H" Bº MI JARDIN</v>
      </c>
    </row>
    <row r="545" spans="2:5" x14ac:dyDescent="0.2">
      <c r="B545" s="271" t="str">
        <f>'[1]COMEDORES EMERGENTES'!$B$10</f>
        <v>PAPA FRANCISCO</v>
      </c>
      <c r="C545" s="272"/>
      <c r="D545" s="130">
        <v>12</v>
      </c>
      <c r="E545" s="131" t="str">
        <f>'[1]COMEDORES EMERGENTES'!$G$10</f>
        <v>ENTRE AV.TEREBINTO Y AV.SAN JUAN LOTE "2" MZA. "B"</v>
      </c>
    </row>
    <row r="546" spans="2:5" x14ac:dyDescent="0.2">
      <c r="B546" s="271" t="str">
        <f>'[1]COMEDORES EMERGENTES'!$B$11</f>
        <v>E.P.C - 100 V.V NORTE</v>
      </c>
      <c r="C546" s="272"/>
      <c r="D546" s="130">
        <v>18</v>
      </c>
      <c r="E546" s="131" t="str">
        <f>'[1]COMEDORES EMERGENTES'!$G$11</f>
        <v>Bº VV NORTE C/48 ENTRE ESPAÑA Y FRANCIA</v>
      </c>
    </row>
    <row r="547" spans="2:5" x14ac:dyDescent="0.2">
      <c r="B547" s="271" t="str">
        <f>'[1]COMEDORES EMERGENTES'!$B$12</f>
        <v>HOGAR DE CRISTO - PADRE RAUL CONTRERAS</v>
      </c>
      <c r="C547" s="272"/>
      <c r="D547" s="130">
        <v>18</v>
      </c>
      <c r="E547" s="131" t="str">
        <f>'[1]COMEDORES EMERGENTES'!$G$12</f>
        <v>Bº SANTA MARTA MZA. "S" LOTE "M" C/39</v>
      </c>
    </row>
    <row r="548" spans="2:5" x14ac:dyDescent="0.2">
      <c r="B548" s="271" t="str">
        <f>'[1]COMEDORES EMERGENTES'!$B$13</f>
        <v>LA LUCIERNAGA</v>
      </c>
      <c r="C548" s="272"/>
      <c r="D548" s="130">
        <v>12</v>
      </c>
      <c r="E548" s="131" t="str">
        <f>'[1]COMEDORES EMERGENTES'!$G$13</f>
        <v>Bº 20 V.V NORTE C/3</v>
      </c>
    </row>
    <row r="549" spans="2:5" x14ac:dyDescent="0.2">
      <c r="B549" s="271" t="str">
        <f>'[1]COMEDORES EMERGENTES'!$B$14</f>
        <v>VALLE VIEJO - SUMALAO</v>
      </c>
      <c r="C549" s="272"/>
      <c r="D549" s="130">
        <v>21</v>
      </c>
      <c r="E549" s="131" t="str">
        <f>'[1]COMEDORES EMERGENTES'!$G$14</f>
        <v>PADRE SEGURA S/N</v>
      </c>
    </row>
    <row r="550" spans="2:5" x14ac:dyDescent="0.2">
      <c r="B550" s="271" t="str">
        <f>'[1]COMEDORES EMERGENTES'!$B$15</f>
        <v>NUESTRO FUTURO - LAS VIAS</v>
      </c>
      <c r="C550" s="272"/>
      <c r="D550" s="130">
        <v>12</v>
      </c>
      <c r="E550" s="131" t="str">
        <f>'[1]COMEDORES EMERGENTES'!$G$15</f>
        <v>Bº LAS VIAS OESTE LOTE 42</v>
      </c>
    </row>
    <row r="551" spans="2:5" x14ac:dyDescent="0.2">
      <c r="B551" s="271" t="str">
        <f>'[1]COMEDORES EMERGENTES'!$B$16</f>
        <v>SAN JOSE OBRERO</v>
      </c>
      <c r="C551" s="272"/>
      <c r="D551" s="130">
        <v>8</v>
      </c>
      <c r="E551" s="131" t="str">
        <f>'[1]COMEDORES EMERGENTES'!$G$16</f>
        <v>Bº SAN JOSE OBRERO. PJE. SANDOVAL S/Nº</v>
      </c>
    </row>
    <row r="552" spans="2:5" x14ac:dyDescent="0.2">
      <c r="B552" s="271" t="str">
        <f>'[1]COMEDORES EMERGENTES'!$B$17</f>
        <v>VIRGEN DE LUJAN</v>
      </c>
      <c r="C552" s="272"/>
      <c r="D552" s="130">
        <v>12</v>
      </c>
      <c r="E552" s="131" t="str">
        <f>'[1]COMEDORES EMERGENTES'!$G$17</f>
        <v>Bº OJO DE AGUA C/DR.TEODULFO BARRIONUEVO S/Nº</v>
      </c>
    </row>
    <row r="553" spans="2:5" x14ac:dyDescent="0.2">
      <c r="B553" s="271" t="str">
        <f>'[1]COMEDORES EMERGENTES'!$B$18</f>
        <v>RENACER</v>
      </c>
      <c r="C553" s="272"/>
      <c r="D553" s="130">
        <v>15</v>
      </c>
      <c r="E553" s="131" t="str">
        <f>'[1]COMEDORES EMERGENTES'!$G$18</f>
        <v>Bº VIRGEN MORENITA</v>
      </c>
    </row>
    <row r="554" spans="2:5" x14ac:dyDescent="0.2">
      <c r="B554" s="271" t="str">
        <f>'[1]COMEDORES EMERGENTES'!$B$19</f>
        <v>CENTRO VECINAL MI JARDIN</v>
      </c>
      <c r="C554" s="272"/>
      <c r="D554" s="130">
        <v>11</v>
      </c>
      <c r="E554" s="131" t="str">
        <f>'[1]COMEDORES EMERGENTES'!$G$19</f>
        <v>C/ LOS TULIPANES ENTRE FLOR DE CEREZO Y HOLANDA MZA.27 Bº MI JARDIN</v>
      </c>
    </row>
    <row r="555" spans="2:5" x14ac:dyDescent="0.2">
      <c r="B555" s="271" t="str">
        <f>'[1]COMEDORES EMERGENTES'!$B$20</f>
        <v>LA VIEJA ESQUINA</v>
      </c>
      <c r="C555" s="272"/>
      <c r="D555" s="130">
        <v>10</v>
      </c>
      <c r="E555" s="131" t="str">
        <f>'[1]COMEDORES EMERGENTES'!$G$20</f>
        <v>B° CRISTO REY PJE CAPATAZ VILLAFAÑEZ Y ARMANDO CORREA</v>
      </c>
    </row>
    <row r="556" spans="2:5" x14ac:dyDescent="0.2">
      <c r="B556" s="271" t="str">
        <f>'[1]COMEDORES EMERGENTES'!$B$21</f>
        <v>GAUCHITO GIL</v>
      </c>
      <c r="C556" s="272"/>
      <c r="D556" s="130">
        <v>10</v>
      </c>
      <c r="E556" s="131" t="str">
        <f>'[1]COMEDORES EMERGENTES'!$G$21</f>
        <v>B° 26 VIVIENDAS CASA N° 3</v>
      </c>
    </row>
    <row r="557" spans="2:5" ht="13.5" thickBot="1" x14ac:dyDescent="0.25">
      <c r="B557" s="288" t="str">
        <f>'[1]COMEDORES EMERGENTES'!$B$22</f>
        <v>LOS TOLDOS</v>
      </c>
      <c r="C557" s="289"/>
      <c r="D557" s="137">
        <v>5</v>
      </c>
      <c r="E557" s="138" t="str">
        <f>'[1]COMEDORES EMERGENTES'!$G$22</f>
        <v>LOTEO PARQUE SUR CALLE S/NOMBRE S/N°</v>
      </c>
    </row>
    <row r="558" spans="2:5" x14ac:dyDescent="0.2">
      <c r="B558" s="50" t="s">
        <v>18</v>
      </c>
      <c r="C558" s="48"/>
      <c r="D558" s="94"/>
      <c r="E558" s="49"/>
    </row>
    <row r="559" spans="2:5" x14ac:dyDescent="0.2">
      <c r="B559" s="51"/>
      <c r="C559" s="287" t="s">
        <v>63</v>
      </c>
      <c r="D559" s="287"/>
      <c r="E559" s="287"/>
    </row>
    <row r="560" spans="2:5" x14ac:dyDescent="0.2">
      <c r="B560" s="50" t="s">
        <v>19</v>
      </c>
      <c r="C560" s="52"/>
      <c r="D560" s="52"/>
      <c r="E560" s="53"/>
    </row>
    <row r="561" spans="2:5" x14ac:dyDescent="0.2">
      <c r="B561" s="51"/>
      <c r="C561" s="287" t="s">
        <v>140</v>
      </c>
      <c r="D561" s="287"/>
      <c r="E561" s="287"/>
    </row>
    <row r="562" spans="2:5" x14ac:dyDescent="0.2">
      <c r="B562" s="50" t="s">
        <v>20</v>
      </c>
      <c r="C562" s="48"/>
      <c r="D562" s="94"/>
      <c r="E562" s="49"/>
    </row>
    <row r="563" spans="2:5" x14ac:dyDescent="0.2">
      <c r="B563" s="50"/>
      <c r="C563" s="286" t="s">
        <v>64</v>
      </c>
      <c r="D563" s="286"/>
      <c r="E563" s="286"/>
    </row>
    <row r="564" spans="2:5" ht="13.5" thickBot="1" x14ac:dyDescent="0.25">
      <c r="B564" s="54"/>
      <c r="C564" s="55"/>
      <c r="D564" s="95"/>
      <c r="E564" s="56"/>
    </row>
    <row r="565" spans="2:5" ht="13.5" thickBot="1" x14ac:dyDescent="0.25"/>
    <row r="566" spans="2:5" x14ac:dyDescent="0.2">
      <c r="B566" s="44" t="s">
        <v>153</v>
      </c>
      <c r="C566" s="45"/>
      <c r="D566" s="93"/>
      <c r="E566" s="46"/>
    </row>
    <row r="567" spans="2:5" x14ac:dyDescent="0.2">
      <c r="B567" s="47"/>
      <c r="C567" s="48"/>
      <c r="D567" s="94"/>
      <c r="E567" s="49"/>
    </row>
    <row r="568" spans="2:5" x14ac:dyDescent="0.2">
      <c r="B568" s="50" t="s">
        <v>16</v>
      </c>
      <c r="C568" s="48"/>
      <c r="D568" s="94"/>
      <c r="E568" s="49"/>
    </row>
    <row r="569" spans="2:5" ht="25.5" customHeight="1" x14ac:dyDescent="0.2">
      <c r="B569" s="50"/>
      <c r="C569" s="287"/>
      <c r="D569" s="287"/>
      <c r="E569" s="287"/>
    </row>
    <row r="570" spans="2:5" ht="13.5" thickBot="1" x14ac:dyDescent="0.25">
      <c r="B570" s="50" t="s">
        <v>17</v>
      </c>
      <c r="C570" s="48"/>
      <c r="D570" s="94"/>
      <c r="E570" s="49"/>
    </row>
    <row r="571" spans="2:5" ht="13.5" thickBot="1" x14ac:dyDescent="0.25">
      <c r="B571" s="273" t="s">
        <v>137</v>
      </c>
      <c r="C571" s="274"/>
      <c r="D571" s="274"/>
      <c r="E571" s="275"/>
    </row>
    <row r="572" spans="2:5" ht="13.5" thickBot="1" x14ac:dyDescent="0.25">
      <c r="B572" s="273" t="s">
        <v>138</v>
      </c>
      <c r="C572" s="275"/>
      <c r="D572" s="91" t="s">
        <v>11</v>
      </c>
      <c r="E572" s="91" t="s">
        <v>139</v>
      </c>
    </row>
    <row r="573" spans="2:5" x14ac:dyDescent="0.2">
      <c r="B573" s="280" t="str">
        <f>'[1]COMEDORES EMERGENTES'!$B$3</f>
        <v>UNA SONRISA AV. LOS COBACHO</v>
      </c>
      <c r="C573" s="281"/>
      <c r="D573" s="135" t="s">
        <v>189</v>
      </c>
      <c r="E573" s="136" t="str">
        <f>'[1]COMEDORES EMERGENTES'!$G$3</f>
        <v>Bº SAN CARLOS OESTE AV. Bonifacio cobacho 670</v>
      </c>
    </row>
    <row r="574" spans="2:5" x14ac:dyDescent="0.2">
      <c r="B574" s="271" t="str">
        <f>'[1]COMEDORES EMERGENTES'!$B$4</f>
        <v>C.I.F Nº1 - RIVERA DEL VALLE Y FLORIDA</v>
      </c>
      <c r="C574" s="272"/>
      <c r="D574" s="130" t="s">
        <v>190</v>
      </c>
      <c r="E574" s="131" t="str">
        <f>'[1]COMEDORES EMERGENTES'!$G$4</f>
        <v>AV. RIVIERA DEL VALLE ENTRE FLORIDA Y SANTA FE</v>
      </c>
    </row>
    <row r="575" spans="2:5" x14ac:dyDescent="0.2">
      <c r="B575" s="271" t="str">
        <f>'[1]COMEDORES EMERGENTES'!$B$5</f>
        <v>C.I.F - RIVERA DEL VALLE - DILORENZO</v>
      </c>
      <c r="C575" s="272"/>
      <c r="D575" s="130" t="s">
        <v>191</v>
      </c>
      <c r="E575" s="131" t="str">
        <f>'[1]COMEDORES EMERGENTES'!$G$5</f>
        <v>Bº RIVERA DEL VALLE ENTRE VILLA EUMELIA Y MONTE CRISTO</v>
      </c>
    </row>
    <row r="576" spans="2:5" x14ac:dyDescent="0.2">
      <c r="B576" s="271" t="str">
        <f>'[1]COMEDORES EMERGENTES'!$B$6</f>
        <v>ESFUERZO PROPIO- Bº ALTOS DE CHOYA</v>
      </c>
      <c r="C576" s="272"/>
      <c r="D576" s="130" t="s">
        <v>192</v>
      </c>
      <c r="E576" s="131" t="str">
        <f>'[1]COMEDORES EMERGENTES'!$G$6</f>
        <v>Bº MUNICIPAL 35VV. NORTE C/14</v>
      </c>
    </row>
    <row r="577" spans="2:5" x14ac:dyDescent="0.2">
      <c r="B577" s="271" t="str">
        <f>'[1]COMEDORES EMERGENTES'!$B$7</f>
        <v>ANGELITOS - LOTEO SUSSEX</v>
      </c>
      <c r="C577" s="272"/>
      <c r="D577" s="130" t="s">
        <v>174</v>
      </c>
      <c r="E577" s="131" t="str">
        <f>'[1]COMEDORES EMERGENTES'!$G$7</f>
        <v>Bº LOTEO SUSEX MZA.Nº 4 LOTE Nº3</v>
      </c>
    </row>
    <row r="578" spans="2:5" x14ac:dyDescent="0.2">
      <c r="B578" s="271" t="str">
        <f>'[1]COMEDORES EMERGENTES'!$B$8</f>
        <v>CLUB DEPORTIVO CHACARITA</v>
      </c>
      <c r="C578" s="272"/>
      <c r="D578" s="130" t="s">
        <v>180</v>
      </c>
      <c r="E578" s="131" t="str">
        <f>'[1]COMEDORES EMERGENTES'!$G$8</f>
        <v>CALLE DR.DERMIDIO GALINDEZ C/2660</v>
      </c>
    </row>
    <row r="579" spans="2:5" x14ac:dyDescent="0.2">
      <c r="B579" s="271" t="str">
        <f>'[1]COMEDORES EMERGENTES'!$B$9</f>
        <v>LA MORO</v>
      </c>
      <c r="C579" s="272"/>
      <c r="D579" s="130" t="s">
        <v>168</v>
      </c>
      <c r="E579" s="131" t="str">
        <f>'[1]COMEDORES EMERGENTES'!$G$9</f>
        <v>MAIPU NORTE 1º ETAPA MZA "H" Bº MI JARDIN</v>
      </c>
    </row>
    <row r="580" spans="2:5" x14ac:dyDescent="0.2">
      <c r="B580" s="271" t="str">
        <f>'[1]COMEDORES EMERGENTES'!$B$10</f>
        <v>PAPA FRANCISCO</v>
      </c>
      <c r="C580" s="272"/>
      <c r="D580" s="130" t="s">
        <v>193</v>
      </c>
      <c r="E580" s="131" t="str">
        <f>'[1]COMEDORES EMERGENTES'!$G$10</f>
        <v>ENTRE AV.TEREBINTO Y AV.SAN JUAN LOTE "2" MZA. "B"</v>
      </c>
    </row>
    <row r="581" spans="2:5" x14ac:dyDescent="0.2">
      <c r="B581" s="271" t="str">
        <f>'[1]COMEDORES EMERGENTES'!$B$11</f>
        <v>E.P.C - 100 V.V NORTE</v>
      </c>
      <c r="C581" s="272"/>
      <c r="D581" s="130" t="s">
        <v>194</v>
      </c>
      <c r="E581" s="131" t="str">
        <f>'[1]COMEDORES EMERGENTES'!$G$11</f>
        <v>Bº VV NORTE C/48 ENTRE ESPAÑA Y FRANCIA</v>
      </c>
    </row>
    <row r="582" spans="2:5" x14ac:dyDescent="0.2">
      <c r="B582" s="271" t="str">
        <f>'[1]COMEDORES EMERGENTES'!$B$12</f>
        <v>HOGAR DE CRISTO - PADRE RAUL CONTRERAS</v>
      </c>
      <c r="C582" s="272"/>
      <c r="D582" s="130" t="s">
        <v>194</v>
      </c>
      <c r="E582" s="131" t="str">
        <f>'[1]COMEDORES EMERGENTES'!$G$12</f>
        <v>Bº SANTA MARTA MZA. "S" LOTE "M" C/39</v>
      </c>
    </row>
    <row r="583" spans="2:5" x14ac:dyDescent="0.2">
      <c r="B583" s="271" t="str">
        <f>'[1]COMEDORES EMERGENTES'!$B$13</f>
        <v>LA LUCIERNAGA</v>
      </c>
      <c r="C583" s="272"/>
      <c r="D583" s="130" t="s">
        <v>193</v>
      </c>
      <c r="E583" s="131" t="str">
        <f>'[1]COMEDORES EMERGENTES'!$G$13</f>
        <v>Bº 20 V.V NORTE C/3</v>
      </c>
    </row>
    <row r="584" spans="2:5" x14ac:dyDescent="0.2">
      <c r="B584" s="271" t="str">
        <f>'[1]COMEDORES EMERGENTES'!$B$14</f>
        <v>VALLE VIEJO - SUMALAO</v>
      </c>
      <c r="C584" s="272"/>
      <c r="D584" s="130" t="s">
        <v>195</v>
      </c>
      <c r="E584" s="131" t="str">
        <f>'[1]COMEDORES EMERGENTES'!$G$14</f>
        <v>PADRE SEGURA S/N</v>
      </c>
    </row>
    <row r="585" spans="2:5" x14ac:dyDescent="0.2">
      <c r="B585" s="271" t="str">
        <f>'[1]COMEDORES EMERGENTES'!$B$15</f>
        <v>NUESTRO FUTURO - LAS VIAS</v>
      </c>
      <c r="C585" s="272"/>
      <c r="D585" s="130" t="s">
        <v>193</v>
      </c>
      <c r="E585" s="131" t="str">
        <f>'[1]COMEDORES EMERGENTES'!$G$15</f>
        <v>Bº LAS VIAS OESTE LOTE 42</v>
      </c>
    </row>
    <row r="586" spans="2:5" x14ac:dyDescent="0.2">
      <c r="B586" s="271" t="str">
        <f>'[1]COMEDORES EMERGENTES'!$B$16</f>
        <v>SAN JOSE OBRERO</v>
      </c>
      <c r="C586" s="272"/>
      <c r="D586" s="130" t="s">
        <v>180</v>
      </c>
      <c r="E586" s="131" t="str">
        <f>'[1]COMEDORES EMERGENTES'!$G$16</f>
        <v>Bº SAN JOSE OBRERO. PJE. SANDOVAL S/Nº</v>
      </c>
    </row>
    <row r="587" spans="2:5" x14ac:dyDescent="0.2">
      <c r="B587" s="271" t="str">
        <f>'[1]COMEDORES EMERGENTES'!$B$17</f>
        <v>VIRGEN DE LUJAN</v>
      </c>
      <c r="C587" s="272"/>
      <c r="D587" s="130" t="s">
        <v>193</v>
      </c>
      <c r="E587" s="131" t="str">
        <f>'[1]COMEDORES EMERGENTES'!$G$17</f>
        <v>Bº OJO DE AGUA C/DR.TEODULFO BARRIONUEVO S/Nº</v>
      </c>
    </row>
    <row r="588" spans="2:5" x14ac:dyDescent="0.2">
      <c r="B588" s="271" t="str">
        <f>'[1]COMEDORES EMERGENTES'!$B$18</f>
        <v>RENACER</v>
      </c>
      <c r="C588" s="272"/>
      <c r="D588" s="130" t="s">
        <v>196</v>
      </c>
      <c r="E588" s="131" t="str">
        <f>'[1]COMEDORES EMERGENTES'!$G$18</f>
        <v>Bº VIRGEN MORENITA</v>
      </c>
    </row>
    <row r="589" spans="2:5" x14ac:dyDescent="0.2">
      <c r="B589" s="271" t="str">
        <f>'[1]COMEDORES EMERGENTES'!$B$19</f>
        <v>CENTRO VECINAL MI JARDIN</v>
      </c>
      <c r="C589" s="272"/>
      <c r="D589" s="130" t="s">
        <v>197</v>
      </c>
      <c r="E589" s="131" t="str">
        <f>'[1]COMEDORES EMERGENTES'!$G$19</f>
        <v>C/ LOS TULIPANES ENTRE FLOR DE CEREZO Y HOLANDA MZA.27 Bº MI JARDIN</v>
      </c>
    </row>
    <row r="590" spans="2:5" x14ac:dyDescent="0.2">
      <c r="B590" s="271" t="str">
        <f>'[1]COMEDORES EMERGENTES'!$B$20</f>
        <v>LA VIEJA ESQUINA</v>
      </c>
      <c r="C590" s="272"/>
      <c r="D590" s="130" t="s">
        <v>198</v>
      </c>
      <c r="E590" s="131" t="str">
        <f>'[1]COMEDORES EMERGENTES'!$G$20</f>
        <v>B° CRISTO REY PJE CAPATAZ VILLAFAÑEZ Y ARMANDO CORREA</v>
      </c>
    </row>
    <row r="591" spans="2:5" x14ac:dyDescent="0.2">
      <c r="B591" s="271" t="str">
        <f>'[1]COMEDORES EMERGENTES'!$B$21</f>
        <v>GAUCHITO GIL</v>
      </c>
      <c r="C591" s="272"/>
      <c r="D591" s="130" t="s">
        <v>198</v>
      </c>
      <c r="E591" s="131" t="str">
        <f>'[1]COMEDORES EMERGENTES'!$G$21</f>
        <v>B° 26 VIVIENDAS CASA N° 3</v>
      </c>
    </row>
    <row r="592" spans="2:5" ht="13.5" thickBot="1" x14ac:dyDescent="0.25">
      <c r="B592" s="288" t="str">
        <f>'[1]COMEDORES EMERGENTES'!$B$22</f>
        <v>LOS TOLDOS</v>
      </c>
      <c r="C592" s="289"/>
      <c r="D592" s="137" t="s">
        <v>203</v>
      </c>
      <c r="E592" s="138" t="str">
        <f>'[1]COMEDORES EMERGENTES'!$G$22</f>
        <v>LOTEO PARQUE SUR CALLE S/NOMBRE S/N°</v>
      </c>
    </row>
    <row r="593" spans="2:5" x14ac:dyDescent="0.2">
      <c r="B593" s="50" t="s">
        <v>18</v>
      </c>
      <c r="C593" s="48"/>
      <c r="D593" s="94"/>
      <c r="E593" s="49"/>
    </row>
    <row r="594" spans="2:5" x14ac:dyDescent="0.2">
      <c r="B594" s="51"/>
      <c r="C594" s="287" t="s">
        <v>63</v>
      </c>
      <c r="D594" s="287"/>
      <c r="E594" s="287"/>
    </row>
    <row r="595" spans="2:5" x14ac:dyDescent="0.2">
      <c r="B595" s="50" t="s">
        <v>19</v>
      </c>
      <c r="C595" s="52"/>
      <c r="D595" s="52"/>
      <c r="E595" s="53"/>
    </row>
    <row r="596" spans="2:5" x14ac:dyDescent="0.2">
      <c r="B596" s="51"/>
      <c r="C596" s="287" t="s">
        <v>140</v>
      </c>
      <c r="D596" s="287"/>
      <c r="E596" s="287"/>
    </row>
    <row r="597" spans="2:5" x14ac:dyDescent="0.2">
      <c r="B597" s="50" t="s">
        <v>20</v>
      </c>
      <c r="C597" s="48"/>
      <c r="D597" s="94"/>
      <c r="E597" s="49"/>
    </row>
    <row r="598" spans="2:5" x14ac:dyDescent="0.2">
      <c r="B598" s="50"/>
      <c r="C598" s="286" t="s">
        <v>64</v>
      </c>
      <c r="D598" s="286"/>
      <c r="E598" s="286"/>
    </row>
    <row r="599" spans="2:5" ht="13.5" thickBot="1" x14ac:dyDescent="0.25">
      <c r="B599" s="54"/>
      <c r="C599" s="55"/>
      <c r="D599" s="95"/>
      <c r="E599" s="56"/>
    </row>
    <row r="600" spans="2:5" ht="13.5" thickBot="1" x14ac:dyDescent="0.25"/>
    <row r="601" spans="2:5" x14ac:dyDescent="0.2">
      <c r="B601" s="44" t="s">
        <v>154</v>
      </c>
      <c r="C601" s="45"/>
      <c r="D601" s="93"/>
      <c r="E601" s="46"/>
    </row>
    <row r="602" spans="2:5" x14ac:dyDescent="0.2">
      <c r="B602" s="47"/>
      <c r="C602" s="48"/>
      <c r="D602" s="94"/>
      <c r="E602" s="49"/>
    </row>
    <row r="603" spans="2:5" x14ac:dyDescent="0.2">
      <c r="B603" s="50" t="s">
        <v>16</v>
      </c>
      <c r="C603" s="48"/>
      <c r="D603" s="94"/>
      <c r="E603" s="49"/>
    </row>
    <row r="604" spans="2:5" ht="25.5" customHeight="1" x14ac:dyDescent="0.2">
      <c r="B604" s="50"/>
      <c r="C604" s="287"/>
      <c r="D604" s="287"/>
      <c r="E604" s="287"/>
    </row>
    <row r="605" spans="2:5" ht="13.5" thickBot="1" x14ac:dyDescent="0.25">
      <c r="B605" s="50" t="s">
        <v>17</v>
      </c>
      <c r="C605" s="48"/>
      <c r="D605" s="94"/>
      <c r="E605" s="49"/>
    </row>
    <row r="606" spans="2:5" ht="13.5" thickBot="1" x14ac:dyDescent="0.25">
      <c r="B606" s="273" t="s">
        <v>137</v>
      </c>
      <c r="C606" s="274"/>
      <c r="D606" s="274"/>
      <c r="E606" s="275"/>
    </row>
    <row r="607" spans="2:5" ht="13.5" thickBot="1" x14ac:dyDescent="0.25">
      <c r="B607" s="273" t="s">
        <v>138</v>
      </c>
      <c r="C607" s="275"/>
      <c r="D607" s="91" t="s">
        <v>11</v>
      </c>
      <c r="E607" s="91" t="s">
        <v>139</v>
      </c>
    </row>
    <row r="608" spans="2:5" x14ac:dyDescent="0.2">
      <c r="B608" s="280" t="str">
        <f>'[1]COMEDORES EMERGENTES'!$B$3</f>
        <v>UNA SONRISA AV. LOS COBACHO</v>
      </c>
      <c r="C608" s="281"/>
      <c r="D608" s="135" t="s">
        <v>203</v>
      </c>
      <c r="E608" s="136" t="str">
        <f>'[1]COMEDORES EMERGENTES'!$G$3</f>
        <v>Bº SAN CARLOS OESTE AV. Bonifacio cobacho 670</v>
      </c>
    </row>
    <row r="609" spans="2:5" x14ac:dyDescent="0.2">
      <c r="B609" s="271" t="str">
        <f>'[1]COMEDORES EMERGENTES'!$B$4</f>
        <v>C.I.F Nº1 - RIVERA DEL VALLE Y FLORIDA</v>
      </c>
      <c r="C609" s="272"/>
      <c r="D609" s="130" t="s">
        <v>202</v>
      </c>
      <c r="E609" s="131" t="str">
        <f>'[1]COMEDORES EMERGENTES'!$G$4</f>
        <v>AV. RIVIERA DEL VALLE ENTRE FLORIDA Y SANTA FE</v>
      </c>
    </row>
    <row r="610" spans="2:5" x14ac:dyDescent="0.2">
      <c r="B610" s="271" t="str">
        <f>'[1]COMEDORES EMERGENTES'!$B$5</f>
        <v>C.I.F - RIVERA DEL VALLE - DILORENZO</v>
      </c>
      <c r="C610" s="272"/>
      <c r="D610" s="130" t="s">
        <v>179</v>
      </c>
      <c r="E610" s="131" t="str">
        <f>'[1]COMEDORES EMERGENTES'!$G$5</f>
        <v>Bº RIVERA DEL VALLE ENTRE VILLA EUMELIA Y MONTE CRISTO</v>
      </c>
    </row>
    <row r="611" spans="2:5" x14ac:dyDescent="0.2">
      <c r="B611" s="271" t="str">
        <f>'[1]COMEDORES EMERGENTES'!$B$6</f>
        <v>ESFUERZO PROPIO- Bº ALTOS DE CHOYA</v>
      </c>
      <c r="C611" s="272"/>
      <c r="D611" s="130" t="s">
        <v>185</v>
      </c>
      <c r="E611" s="131" t="str">
        <f>'[1]COMEDORES EMERGENTES'!$G$6</f>
        <v>Bº MUNICIPAL 35VV. NORTE C/14</v>
      </c>
    </row>
    <row r="612" spans="2:5" x14ac:dyDescent="0.2">
      <c r="B612" s="271" t="str">
        <f>'[1]COMEDORES EMERGENTES'!$B$7</f>
        <v>ANGELITOS - LOTEO SUSSEX</v>
      </c>
      <c r="C612" s="272"/>
      <c r="D612" s="130" t="s">
        <v>226</v>
      </c>
      <c r="E612" s="131" t="str">
        <f>'[1]COMEDORES EMERGENTES'!$G$7</f>
        <v>Bº LOTEO SUSEX MZA.Nº 4 LOTE Nº3</v>
      </c>
    </row>
    <row r="613" spans="2:5" x14ac:dyDescent="0.2">
      <c r="B613" s="271" t="str">
        <f>'[1]COMEDORES EMERGENTES'!$B$8</f>
        <v>CLUB DEPORTIVO CHACARITA</v>
      </c>
      <c r="C613" s="272"/>
      <c r="D613" s="130" t="s">
        <v>184</v>
      </c>
      <c r="E613" s="131" t="str">
        <f>'[1]COMEDORES EMERGENTES'!$G$8</f>
        <v>CALLE DR.DERMIDIO GALINDEZ C/2660</v>
      </c>
    </row>
    <row r="614" spans="2:5" x14ac:dyDescent="0.2">
      <c r="B614" s="271" t="str">
        <f>'[1]COMEDORES EMERGENTES'!$B$9</f>
        <v>LA MORO</v>
      </c>
      <c r="C614" s="272"/>
      <c r="D614" s="130" t="s">
        <v>201</v>
      </c>
      <c r="E614" s="131" t="str">
        <f>'[1]COMEDORES EMERGENTES'!$G$9</f>
        <v>MAIPU NORTE 1º ETAPA MZA "H" Bº MI JARDIN</v>
      </c>
    </row>
    <row r="615" spans="2:5" x14ac:dyDescent="0.2">
      <c r="B615" s="271" t="str">
        <f>'[1]COMEDORES EMERGENTES'!$B$10</f>
        <v>PAPA FRANCISCO</v>
      </c>
      <c r="C615" s="272"/>
      <c r="D615" s="130" t="s">
        <v>174</v>
      </c>
      <c r="E615" s="131" t="str">
        <f>'[1]COMEDORES EMERGENTES'!$G$10</f>
        <v>ENTRE AV.TEREBINTO Y AV.SAN JUAN LOTE "2" MZA. "B"</v>
      </c>
    </row>
    <row r="616" spans="2:5" x14ac:dyDescent="0.2">
      <c r="B616" s="271" t="str">
        <f>'[1]COMEDORES EMERGENTES'!$B$11</f>
        <v>E.P.C - 100 V.V NORTE</v>
      </c>
      <c r="C616" s="272"/>
      <c r="D616" s="130" t="s">
        <v>175</v>
      </c>
      <c r="E616" s="131" t="str">
        <f>'[1]COMEDORES EMERGENTES'!$G$11</f>
        <v>Bº VV NORTE C/48 ENTRE ESPAÑA Y FRANCIA</v>
      </c>
    </row>
    <row r="617" spans="2:5" x14ac:dyDescent="0.2">
      <c r="B617" s="271" t="str">
        <f>'[1]COMEDORES EMERGENTES'!$B$12</f>
        <v>HOGAR DE CRISTO - PADRE RAUL CONTRERAS</v>
      </c>
      <c r="C617" s="272"/>
      <c r="D617" s="130" t="s">
        <v>175</v>
      </c>
      <c r="E617" s="131" t="str">
        <f>'[1]COMEDORES EMERGENTES'!$G$12</f>
        <v>Bº SANTA MARTA MZA. "S" LOTE "M" C/39</v>
      </c>
    </row>
    <row r="618" spans="2:5" x14ac:dyDescent="0.2">
      <c r="B618" s="271" t="str">
        <f>'[1]COMEDORES EMERGENTES'!$B$13</f>
        <v>LA LUCIERNAGA</v>
      </c>
      <c r="C618" s="272"/>
      <c r="D618" s="130" t="s">
        <v>174</v>
      </c>
      <c r="E618" s="131" t="str">
        <f>'[1]COMEDORES EMERGENTES'!$G$13</f>
        <v>Bº 20 V.V NORTE C/3</v>
      </c>
    </row>
    <row r="619" spans="2:5" x14ac:dyDescent="0.2">
      <c r="B619" s="271" t="str">
        <f>'[1]COMEDORES EMERGENTES'!$B$14</f>
        <v>VALLE VIEJO - SUMALAO</v>
      </c>
      <c r="C619" s="272"/>
      <c r="D619" s="130" t="s">
        <v>170</v>
      </c>
      <c r="E619" s="131" t="str">
        <f>'[1]COMEDORES EMERGENTES'!$G$14</f>
        <v>PADRE SEGURA S/N</v>
      </c>
    </row>
    <row r="620" spans="2:5" x14ac:dyDescent="0.2">
      <c r="B620" s="271" t="str">
        <f>'[1]COMEDORES EMERGENTES'!$B$15</f>
        <v>NUESTRO FUTURO - LAS VIAS</v>
      </c>
      <c r="C620" s="272"/>
      <c r="D620" s="130" t="s">
        <v>174</v>
      </c>
      <c r="E620" s="131" t="str">
        <f>'[1]COMEDORES EMERGENTES'!$G$15</f>
        <v>Bº LAS VIAS OESTE LOTE 42</v>
      </c>
    </row>
    <row r="621" spans="2:5" x14ac:dyDescent="0.2">
      <c r="B621" s="271" t="str">
        <f>'[1]COMEDORES EMERGENTES'!$B$16</f>
        <v>SAN JOSE OBRERO</v>
      </c>
      <c r="C621" s="272"/>
      <c r="D621" s="130" t="s">
        <v>184</v>
      </c>
      <c r="E621" s="131" t="str">
        <f>'[1]COMEDORES EMERGENTES'!$G$16</f>
        <v>Bº SAN JOSE OBRERO. PJE. SANDOVAL S/Nº</v>
      </c>
    </row>
    <row r="622" spans="2:5" x14ac:dyDescent="0.2">
      <c r="B622" s="271" t="str">
        <f>'[1]COMEDORES EMERGENTES'!$B$17</f>
        <v>VIRGEN DE LUJAN</v>
      </c>
      <c r="C622" s="272"/>
      <c r="D622" s="130" t="s">
        <v>174</v>
      </c>
      <c r="E622" s="131" t="str">
        <f>'[1]COMEDORES EMERGENTES'!$G$17</f>
        <v>Bº OJO DE AGUA C/DR.TEODULFO BARRIONUEVO S/Nº</v>
      </c>
    </row>
    <row r="623" spans="2:5" x14ac:dyDescent="0.2">
      <c r="B623" s="271" t="str">
        <f>'[1]COMEDORES EMERGENTES'!$B$18</f>
        <v>RENACER</v>
      </c>
      <c r="C623" s="272"/>
      <c r="D623" s="130" t="s">
        <v>181</v>
      </c>
      <c r="E623" s="131" t="str">
        <f>'[1]COMEDORES EMERGENTES'!$G$18</f>
        <v>Bº VIRGEN MORENITA</v>
      </c>
    </row>
    <row r="624" spans="2:5" x14ac:dyDescent="0.2">
      <c r="B624" s="271" t="str">
        <f>'[1]COMEDORES EMERGENTES'!$B$19</f>
        <v>CENTRO VECINAL MI JARDIN</v>
      </c>
      <c r="C624" s="272"/>
      <c r="D624" s="130" t="s">
        <v>169</v>
      </c>
      <c r="E624" s="131" t="str">
        <f>'[1]COMEDORES EMERGENTES'!$G$19</f>
        <v>C/ LOS TULIPANES ENTRE FLOR DE CEREZO Y HOLANDA MZA.27 Bº MI JARDIN</v>
      </c>
    </row>
    <row r="625" spans="2:5" x14ac:dyDescent="0.2">
      <c r="B625" s="271" t="str">
        <f>'[1]COMEDORES EMERGENTES'!$B$20</f>
        <v>LA VIEJA ESQUINA</v>
      </c>
      <c r="C625" s="272"/>
      <c r="D625" s="130" t="s">
        <v>227</v>
      </c>
      <c r="E625" s="131" t="str">
        <f>'[1]COMEDORES EMERGENTES'!$G$20</f>
        <v>B° CRISTO REY PJE CAPATAZ VILLAFAÑEZ Y ARMANDO CORREA</v>
      </c>
    </row>
    <row r="626" spans="2:5" x14ac:dyDescent="0.2">
      <c r="B626" s="271" t="str">
        <f>'[1]COMEDORES EMERGENTES'!$B$21</f>
        <v>GAUCHITO GIL</v>
      </c>
      <c r="C626" s="272"/>
      <c r="D626" s="130" t="s">
        <v>227</v>
      </c>
      <c r="E626" s="131" t="str">
        <f>'[1]COMEDORES EMERGENTES'!$G$21</f>
        <v>B° 26 VIVIENDAS CASA N° 3</v>
      </c>
    </row>
    <row r="627" spans="2:5" ht="13.5" thickBot="1" x14ac:dyDescent="0.25">
      <c r="B627" s="288" t="str">
        <f>'[1]COMEDORES EMERGENTES'!$B$22</f>
        <v>LOS TOLDOS</v>
      </c>
      <c r="C627" s="289"/>
      <c r="D627" s="137" t="s">
        <v>284</v>
      </c>
      <c r="E627" s="138" t="str">
        <f>'[1]COMEDORES EMERGENTES'!$G$22</f>
        <v>LOTEO PARQUE SUR CALLE S/NOMBRE S/N°</v>
      </c>
    </row>
    <row r="628" spans="2:5" x14ac:dyDescent="0.2">
      <c r="B628" s="50" t="s">
        <v>18</v>
      </c>
      <c r="C628" s="48"/>
      <c r="D628" s="94"/>
      <c r="E628" s="49"/>
    </row>
    <row r="629" spans="2:5" x14ac:dyDescent="0.2">
      <c r="B629" s="51"/>
      <c r="C629" s="287" t="s">
        <v>63</v>
      </c>
      <c r="D629" s="287"/>
      <c r="E629" s="287"/>
    </row>
    <row r="630" spans="2:5" x14ac:dyDescent="0.2">
      <c r="B630" s="50" t="s">
        <v>19</v>
      </c>
      <c r="C630" s="52"/>
      <c r="D630" s="52"/>
      <c r="E630" s="53"/>
    </row>
    <row r="631" spans="2:5" x14ac:dyDescent="0.2">
      <c r="B631" s="51"/>
      <c r="C631" s="287" t="s">
        <v>140</v>
      </c>
      <c r="D631" s="287"/>
      <c r="E631" s="287"/>
    </row>
    <row r="632" spans="2:5" x14ac:dyDescent="0.2">
      <c r="B632" s="50" t="s">
        <v>20</v>
      </c>
      <c r="C632" s="48"/>
      <c r="D632" s="94"/>
      <c r="E632" s="49"/>
    </row>
    <row r="633" spans="2:5" x14ac:dyDescent="0.2">
      <c r="B633" s="50"/>
      <c r="C633" s="286" t="s">
        <v>64</v>
      </c>
      <c r="D633" s="286"/>
      <c r="E633" s="286"/>
    </row>
    <row r="634" spans="2:5" ht="13.5" thickBot="1" x14ac:dyDescent="0.25">
      <c r="B634" s="54"/>
      <c r="C634" s="55"/>
      <c r="D634" s="95"/>
      <c r="E634" s="56"/>
    </row>
    <row r="635" spans="2:5" ht="13.5" thickBot="1" x14ac:dyDescent="0.25"/>
    <row r="636" spans="2:5" x14ac:dyDescent="0.2">
      <c r="B636" s="44" t="s">
        <v>155</v>
      </c>
      <c r="C636" s="45"/>
      <c r="D636" s="93"/>
      <c r="E636" s="46"/>
    </row>
    <row r="637" spans="2:5" x14ac:dyDescent="0.2">
      <c r="B637" s="47"/>
      <c r="C637" s="48"/>
      <c r="D637" s="94"/>
      <c r="E637" s="49"/>
    </row>
    <row r="638" spans="2:5" x14ac:dyDescent="0.2">
      <c r="B638" s="50" t="s">
        <v>16</v>
      </c>
      <c r="C638" s="48"/>
      <c r="D638" s="94"/>
      <c r="E638" s="49"/>
    </row>
    <row r="639" spans="2:5" ht="25.5" customHeight="1" x14ac:dyDescent="0.2">
      <c r="B639" s="50"/>
      <c r="C639" s="287"/>
      <c r="D639" s="287"/>
      <c r="E639" s="287"/>
    </row>
    <row r="640" spans="2:5" ht="13.5" thickBot="1" x14ac:dyDescent="0.25">
      <c r="B640" s="50" t="s">
        <v>17</v>
      </c>
      <c r="C640" s="48"/>
      <c r="D640" s="94"/>
      <c r="E640" s="49"/>
    </row>
    <row r="641" spans="2:5" ht="13.5" thickBot="1" x14ac:dyDescent="0.25">
      <c r="B641" s="273" t="s">
        <v>137</v>
      </c>
      <c r="C641" s="274"/>
      <c r="D641" s="274"/>
      <c r="E641" s="275"/>
    </row>
    <row r="642" spans="2:5" ht="13.5" thickBot="1" x14ac:dyDescent="0.25">
      <c r="B642" s="273" t="s">
        <v>138</v>
      </c>
      <c r="C642" s="275"/>
      <c r="D642" s="91" t="s">
        <v>11</v>
      </c>
      <c r="E642" s="91" t="s">
        <v>139</v>
      </c>
    </row>
    <row r="643" spans="2:5" x14ac:dyDescent="0.2">
      <c r="B643" s="280" t="str">
        <f>'[1]COMEDORES EMERGENTES'!$B$3</f>
        <v>UNA SONRISA AV. LOS COBACHO</v>
      </c>
      <c r="C643" s="281"/>
      <c r="D643" s="135" t="s">
        <v>222</v>
      </c>
      <c r="E643" s="136" t="str">
        <f>'[1]COMEDORES EMERGENTES'!$G$3</f>
        <v>Bº SAN CARLOS OESTE AV. Bonifacio cobacho 670</v>
      </c>
    </row>
    <row r="644" spans="2:5" x14ac:dyDescent="0.2">
      <c r="B644" s="271" t="str">
        <f>'[1]COMEDORES EMERGENTES'!$B$4</f>
        <v>C.I.F Nº1 - RIVERA DEL VALLE Y FLORIDA</v>
      </c>
      <c r="C644" s="272"/>
      <c r="D644" s="130" t="s">
        <v>171</v>
      </c>
      <c r="E644" s="131" t="str">
        <f>'[1]COMEDORES EMERGENTES'!$G$4</f>
        <v>AV. RIVIERA DEL VALLE ENTRE FLORIDA Y SANTA FE</v>
      </c>
    </row>
    <row r="645" spans="2:5" x14ac:dyDescent="0.2">
      <c r="B645" s="271" t="str">
        <f>'[1]COMEDORES EMERGENTES'!$B$5</f>
        <v>C.I.F - RIVERA DEL VALLE - DILORENZO</v>
      </c>
      <c r="C645" s="272"/>
      <c r="D645" s="130" t="s">
        <v>228</v>
      </c>
      <c r="E645" s="131" t="str">
        <f>'[1]COMEDORES EMERGENTES'!$G$5</f>
        <v>Bº RIVERA DEL VALLE ENTRE VILLA EUMELIA Y MONTE CRISTO</v>
      </c>
    </row>
    <row r="646" spans="2:5" x14ac:dyDescent="0.2">
      <c r="B646" s="271" t="str">
        <f>'[1]COMEDORES EMERGENTES'!$B$6</f>
        <v>ESFUERZO PROPIO- Bº ALTOS DE CHOYA</v>
      </c>
      <c r="C646" s="272"/>
      <c r="D646" s="130" t="s">
        <v>193</v>
      </c>
      <c r="E646" s="131" t="str">
        <f>'[1]COMEDORES EMERGENTES'!$G$6</f>
        <v>Bº MUNICIPAL 35VV. NORTE C/14</v>
      </c>
    </row>
    <row r="647" spans="2:5" x14ac:dyDescent="0.2">
      <c r="B647" s="271" t="str">
        <f>'[1]COMEDORES EMERGENTES'!$B$7</f>
        <v>ANGELITOS - LOTEO SUSSEX</v>
      </c>
      <c r="C647" s="272"/>
      <c r="D647" s="130" t="s">
        <v>169</v>
      </c>
      <c r="E647" s="131" t="str">
        <f>'[1]COMEDORES EMERGENTES'!$G$7</f>
        <v>Bº LOTEO SUSEX MZA.Nº 4 LOTE Nº3</v>
      </c>
    </row>
    <row r="648" spans="2:5" x14ac:dyDescent="0.2">
      <c r="B648" s="271" t="str">
        <f>'[1]COMEDORES EMERGENTES'!$B$8</f>
        <v>CLUB DEPORTIVO CHACARITA</v>
      </c>
      <c r="C648" s="272"/>
      <c r="D648" s="130" t="s">
        <v>202</v>
      </c>
      <c r="E648" s="131" t="str">
        <f>'[1]COMEDORES EMERGENTES'!$G$8</f>
        <v>CALLE DR.DERMIDIO GALINDEZ C/2660</v>
      </c>
    </row>
    <row r="649" spans="2:5" x14ac:dyDescent="0.2">
      <c r="B649" s="271" t="str">
        <f>'[1]COMEDORES EMERGENTES'!$B$9</f>
        <v>LA MORO</v>
      </c>
      <c r="C649" s="272"/>
      <c r="D649" s="130" t="s">
        <v>185</v>
      </c>
      <c r="E649" s="131" t="str">
        <f>'[1]COMEDORES EMERGENTES'!$G$9</f>
        <v>MAIPU NORTE 1º ETAPA MZA "H" Bº MI JARDIN</v>
      </c>
    </row>
    <row r="650" spans="2:5" x14ac:dyDescent="0.2">
      <c r="B650" s="271" t="str">
        <f>'[1]COMEDORES EMERGENTES'!$B$10</f>
        <v>PAPA FRANCISCO</v>
      </c>
      <c r="C650" s="272"/>
      <c r="D650" s="130" t="s">
        <v>197</v>
      </c>
      <c r="E650" s="131" t="str">
        <f>'[1]COMEDORES EMERGENTES'!$G$10</f>
        <v>ENTRE AV.TEREBINTO Y AV.SAN JUAN LOTE "2" MZA. "B"</v>
      </c>
    </row>
    <row r="651" spans="2:5" x14ac:dyDescent="0.2">
      <c r="B651" s="271" t="str">
        <f>'[1]COMEDORES EMERGENTES'!$B$11</f>
        <v>E.P.C - 100 V.V NORTE</v>
      </c>
      <c r="C651" s="272"/>
      <c r="D651" s="130" t="s">
        <v>191</v>
      </c>
      <c r="E651" s="131" t="str">
        <f>'[1]COMEDORES EMERGENTES'!$G$11</f>
        <v>Bº VV NORTE C/48 ENTRE ESPAÑA Y FRANCIA</v>
      </c>
    </row>
    <row r="652" spans="2:5" x14ac:dyDescent="0.2">
      <c r="B652" s="271" t="str">
        <f>'[1]COMEDORES EMERGENTES'!$B$12</f>
        <v>HOGAR DE CRISTO - PADRE RAUL CONTRERAS</v>
      </c>
      <c r="C652" s="272"/>
      <c r="D652" s="130" t="s">
        <v>191</v>
      </c>
      <c r="E652" s="131" t="str">
        <f>'[1]COMEDORES EMERGENTES'!$G$12</f>
        <v>Bº SANTA MARTA MZA. "S" LOTE "M" C/39</v>
      </c>
    </row>
    <row r="653" spans="2:5" x14ac:dyDescent="0.2">
      <c r="B653" s="271" t="str">
        <f>'[1]COMEDORES EMERGENTES'!$B$13</f>
        <v>LA LUCIERNAGA</v>
      </c>
      <c r="C653" s="272"/>
      <c r="D653" s="130" t="s">
        <v>197</v>
      </c>
      <c r="E653" s="131" t="str">
        <f>'[1]COMEDORES EMERGENTES'!$G$13</f>
        <v>Bº 20 V.V NORTE C/3</v>
      </c>
    </row>
    <row r="654" spans="2:5" x14ac:dyDescent="0.2">
      <c r="B654" s="271" t="str">
        <f>'[1]COMEDORES EMERGENTES'!$B$14</f>
        <v>VALLE VIEJO - SUMALAO</v>
      </c>
      <c r="C654" s="272"/>
      <c r="D654" s="130" t="s">
        <v>219</v>
      </c>
      <c r="E654" s="131" t="str">
        <f>'[1]COMEDORES EMERGENTES'!$G$14</f>
        <v>PADRE SEGURA S/N</v>
      </c>
    </row>
    <row r="655" spans="2:5" x14ac:dyDescent="0.2">
      <c r="B655" s="271" t="str">
        <f>'[1]COMEDORES EMERGENTES'!$B$15</f>
        <v>NUESTRO FUTURO - LAS VIAS</v>
      </c>
      <c r="C655" s="272"/>
      <c r="D655" s="130" t="s">
        <v>197</v>
      </c>
      <c r="E655" s="131" t="str">
        <f>'[1]COMEDORES EMERGENTES'!$G$15</f>
        <v>Bº LAS VIAS OESTE LOTE 42</v>
      </c>
    </row>
    <row r="656" spans="2:5" x14ac:dyDescent="0.2">
      <c r="B656" s="271" t="str">
        <f>'[1]COMEDORES EMERGENTES'!$B$16</f>
        <v>SAN JOSE OBRERO</v>
      </c>
      <c r="C656" s="272"/>
      <c r="D656" s="130" t="s">
        <v>202</v>
      </c>
      <c r="E656" s="131" t="str">
        <f>'[1]COMEDORES EMERGENTES'!$G$16</f>
        <v>Bº SAN JOSE OBRERO. PJE. SANDOVAL S/Nº</v>
      </c>
    </row>
    <row r="657" spans="2:5" x14ac:dyDescent="0.2">
      <c r="B657" s="271" t="str">
        <f>'[1]COMEDORES EMERGENTES'!$B$17</f>
        <v>VIRGEN DE LUJAN</v>
      </c>
      <c r="C657" s="272"/>
      <c r="D657" s="130" t="s">
        <v>197</v>
      </c>
      <c r="E657" s="131" t="str">
        <f>'[1]COMEDORES EMERGENTES'!$G$17</f>
        <v>Bº OJO DE AGUA C/DR.TEODULFO BARRIONUEVO S/Nº</v>
      </c>
    </row>
    <row r="658" spans="2:5" x14ac:dyDescent="0.2">
      <c r="B658" s="271" t="str">
        <f>'[1]COMEDORES EMERGENTES'!$B$18</f>
        <v>RENACER</v>
      </c>
      <c r="C658" s="272"/>
      <c r="D658" s="130" t="s">
        <v>176</v>
      </c>
      <c r="E658" s="131" t="str">
        <f>'[1]COMEDORES EMERGENTES'!$G$18</f>
        <v>Bº VIRGEN MORENITA</v>
      </c>
    </row>
    <row r="659" spans="2:5" x14ac:dyDescent="0.2">
      <c r="B659" s="271" t="str">
        <f>'[1]COMEDORES EMERGENTES'!$B$19</f>
        <v>CENTRO VECINAL MI JARDIN</v>
      </c>
      <c r="C659" s="272"/>
      <c r="D659" s="130" t="s">
        <v>189</v>
      </c>
      <c r="E659" s="131" t="str">
        <f>'[1]COMEDORES EMERGENTES'!$G$19</f>
        <v>C/ LOS TULIPANES ENTRE FLOR DE CEREZO Y HOLANDA MZA.27 Bº MI JARDIN</v>
      </c>
    </row>
    <row r="660" spans="2:5" x14ac:dyDescent="0.2">
      <c r="B660" s="271" t="str">
        <f>'[1]COMEDORES EMERGENTES'!$B$20</f>
        <v>LA VIEJA ESQUINA</v>
      </c>
      <c r="C660" s="272"/>
      <c r="D660" s="130" t="s">
        <v>229</v>
      </c>
      <c r="E660" s="131" t="str">
        <f>'[1]COMEDORES EMERGENTES'!$G$20</f>
        <v>B° CRISTO REY PJE CAPATAZ VILLAFAÑEZ Y ARMANDO CORREA</v>
      </c>
    </row>
    <row r="661" spans="2:5" x14ac:dyDescent="0.2">
      <c r="B661" s="271" t="str">
        <f>'[1]COMEDORES EMERGENTES'!$B$21</f>
        <v>GAUCHITO GIL</v>
      </c>
      <c r="C661" s="272"/>
      <c r="D661" s="130" t="s">
        <v>175</v>
      </c>
      <c r="E661" s="131" t="str">
        <f>'[1]COMEDORES EMERGENTES'!$G$21</f>
        <v>B° 26 VIVIENDAS CASA N° 3</v>
      </c>
    </row>
    <row r="662" spans="2:5" ht="13.5" thickBot="1" x14ac:dyDescent="0.25">
      <c r="B662" s="288" t="str">
        <f>'[1]COMEDORES EMERGENTES'!$B$22</f>
        <v>LOS TOLDOS</v>
      </c>
      <c r="C662" s="289"/>
      <c r="D662" s="137" t="s">
        <v>183</v>
      </c>
      <c r="E662" s="138" t="str">
        <f>'[1]COMEDORES EMERGENTES'!$G$22</f>
        <v>LOTEO PARQUE SUR CALLE S/NOMBRE S/N°</v>
      </c>
    </row>
    <row r="663" spans="2:5" x14ac:dyDescent="0.2">
      <c r="B663" s="50" t="s">
        <v>18</v>
      </c>
      <c r="C663" s="48"/>
      <c r="D663" s="94"/>
      <c r="E663" s="49"/>
    </row>
    <row r="664" spans="2:5" x14ac:dyDescent="0.2">
      <c r="B664" s="51"/>
      <c r="C664" s="287" t="s">
        <v>63</v>
      </c>
      <c r="D664" s="287"/>
      <c r="E664" s="287"/>
    </row>
    <row r="665" spans="2:5" x14ac:dyDescent="0.2">
      <c r="B665" s="50" t="s">
        <v>19</v>
      </c>
      <c r="C665" s="52"/>
      <c r="D665" s="52"/>
      <c r="E665" s="53"/>
    </row>
    <row r="666" spans="2:5" x14ac:dyDescent="0.2">
      <c r="B666" s="51"/>
      <c r="C666" s="287" t="s">
        <v>140</v>
      </c>
      <c r="D666" s="287"/>
      <c r="E666" s="287"/>
    </row>
    <row r="667" spans="2:5" x14ac:dyDescent="0.2">
      <c r="B667" s="50" t="s">
        <v>20</v>
      </c>
      <c r="C667" s="48"/>
      <c r="D667" s="94"/>
      <c r="E667" s="49"/>
    </row>
    <row r="668" spans="2:5" x14ac:dyDescent="0.2">
      <c r="B668" s="50"/>
      <c r="C668" s="286" t="s">
        <v>64</v>
      </c>
      <c r="D668" s="286"/>
      <c r="E668" s="286"/>
    </row>
    <row r="669" spans="2:5" ht="13.5" thickBot="1" x14ac:dyDescent="0.25">
      <c r="B669" s="54"/>
      <c r="C669" s="55"/>
      <c r="D669" s="95"/>
      <c r="E669" s="56"/>
    </row>
    <row r="670" spans="2:5" ht="13.5" thickBot="1" x14ac:dyDescent="0.25"/>
    <row r="671" spans="2:5" x14ac:dyDescent="0.2">
      <c r="B671" s="44" t="s">
        <v>156</v>
      </c>
      <c r="C671" s="45"/>
      <c r="D671" s="93"/>
      <c r="E671" s="46"/>
    </row>
    <row r="672" spans="2:5" x14ac:dyDescent="0.2">
      <c r="B672" s="47"/>
      <c r="C672" s="48"/>
      <c r="D672" s="94"/>
      <c r="E672" s="49"/>
    </row>
    <row r="673" spans="2:5" x14ac:dyDescent="0.2">
      <c r="B673" s="50" t="s">
        <v>16</v>
      </c>
      <c r="C673" s="48"/>
      <c r="D673" s="94"/>
      <c r="E673" s="49"/>
    </row>
    <row r="674" spans="2:5" ht="25.5" customHeight="1" x14ac:dyDescent="0.2">
      <c r="B674" s="50"/>
      <c r="C674" s="287"/>
      <c r="D674" s="287"/>
      <c r="E674" s="287"/>
    </row>
    <row r="675" spans="2:5" ht="13.5" thickBot="1" x14ac:dyDescent="0.25">
      <c r="B675" s="50" t="s">
        <v>17</v>
      </c>
      <c r="C675" s="48"/>
      <c r="D675" s="94"/>
      <c r="E675" s="49"/>
    </row>
    <row r="676" spans="2:5" ht="13.5" thickBot="1" x14ac:dyDescent="0.25">
      <c r="B676" s="273" t="s">
        <v>137</v>
      </c>
      <c r="C676" s="274"/>
      <c r="D676" s="274"/>
      <c r="E676" s="275"/>
    </row>
    <row r="677" spans="2:5" ht="13.5" thickBot="1" x14ac:dyDescent="0.25">
      <c r="B677" s="273" t="s">
        <v>138</v>
      </c>
      <c r="C677" s="275"/>
      <c r="D677" s="91" t="s">
        <v>11</v>
      </c>
      <c r="E677" s="91" t="s">
        <v>139</v>
      </c>
    </row>
    <row r="678" spans="2:5" x14ac:dyDescent="0.2">
      <c r="B678" s="280" t="str">
        <f>'[1]COMEDORES EMERGENTES'!$B$3</f>
        <v>UNA SONRISA AV. LOS COBACHO</v>
      </c>
      <c r="C678" s="281"/>
      <c r="D678" s="135" t="s">
        <v>168</v>
      </c>
      <c r="E678" s="136" t="str">
        <f>'[1]COMEDORES EMERGENTES'!$G$3</f>
        <v>Bº SAN CARLOS OESTE AV. Bonifacio cobacho 670</v>
      </c>
    </row>
    <row r="679" spans="2:5" x14ac:dyDescent="0.2">
      <c r="B679" s="271" t="str">
        <f>'[1]COMEDORES EMERGENTES'!$B$4</f>
        <v>C.I.F Nº1 - RIVERA DEL VALLE Y FLORIDA</v>
      </c>
      <c r="C679" s="272"/>
      <c r="D679" s="130" t="s">
        <v>170</v>
      </c>
      <c r="E679" s="131" t="str">
        <f>'[1]COMEDORES EMERGENTES'!$G$4</f>
        <v>AV. RIVIERA DEL VALLE ENTRE FLORIDA Y SANTA FE</v>
      </c>
    </row>
    <row r="680" spans="2:5" x14ac:dyDescent="0.2">
      <c r="B680" s="271" t="str">
        <f>'[1]COMEDORES EMERGENTES'!$B$5</f>
        <v>C.I.F - RIVERA DEL VALLE - DILORENZO</v>
      </c>
      <c r="C680" s="272"/>
      <c r="D680" s="130" t="s">
        <v>171</v>
      </c>
      <c r="E680" s="131" t="str">
        <f>'[1]COMEDORES EMERGENTES'!$G$5</f>
        <v>Bº RIVERA DEL VALLE ENTRE VILLA EUMELIA Y MONTE CRISTO</v>
      </c>
    </row>
    <row r="681" spans="2:5" x14ac:dyDescent="0.2">
      <c r="B681" s="271" t="str">
        <f>'[1]COMEDORES EMERGENTES'!$B$6</f>
        <v>ESFUERZO PROPIO- Bº ALTOS DE CHOYA</v>
      </c>
      <c r="C681" s="272"/>
      <c r="D681" s="130" t="s">
        <v>172</v>
      </c>
      <c r="E681" s="131" t="str">
        <f>'[1]COMEDORES EMERGENTES'!$G$6</f>
        <v>Bº MUNICIPAL 35VV. NORTE C/14</v>
      </c>
    </row>
    <row r="682" spans="2:5" x14ac:dyDescent="0.2">
      <c r="B682" s="271" t="str">
        <f>'[1]COMEDORES EMERGENTES'!$B$7</f>
        <v>ANGELITOS - LOTEO SUSSEX</v>
      </c>
      <c r="C682" s="272"/>
      <c r="D682" s="130" t="s">
        <v>173</v>
      </c>
      <c r="E682" s="131" t="str">
        <f>'[1]COMEDORES EMERGENTES'!$G$7</f>
        <v>Bº LOTEO SUSEX MZA.Nº 4 LOTE Nº3</v>
      </c>
    </row>
    <row r="683" spans="2:5" x14ac:dyDescent="0.2">
      <c r="B683" s="271" t="str">
        <f>'[1]COMEDORES EMERGENTES'!$B$8</f>
        <v>CLUB DEPORTIVO CHACARITA</v>
      </c>
      <c r="C683" s="272"/>
      <c r="D683" s="130" t="s">
        <v>174</v>
      </c>
      <c r="E683" s="131" t="str">
        <f>'[1]COMEDORES EMERGENTES'!$G$8</f>
        <v>CALLE DR.DERMIDIO GALINDEZ C/2660</v>
      </c>
    </row>
    <row r="684" spans="2:5" x14ac:dyDescent="0.2">
      <c r="B684" s="271" t="str">
        <f>'[1]COMEDORES EMERGENTES'!$B$9</f>
        <v>LA MORO</v>
      </c>
      <c r="C684" s="272"/>
      <c r="D684" s="130" t="s">
        <v>169</v>
      </c>
      <c r="E684" s="131" t="str">
        <f>'[1]COMEDORES EMERGENTES'!$G$9</f>
        <v>MAIPU NORTE 1º ETAPA MZA "H" Bº MI JARDIN</v>
      </c>
    </row>
    <row r="685" spans="2:5" x14ac:dyDescent="0.2">
      <c r="B685" s="271" t="str">
        <f>'[1]COMEDORES EMERGENTES'!$B$10</f>
        <v>PAPA FRANCISCO</v>
      </c>
      <c r="C685" s="272"/>
      <c r="D685" s="130" t="s">
        <v>175</v>
      </c>
      <c r="E685" s="131" t="str">
        <f>'[1]COMEDORES EMERGENTES'!$G$10</f>
        <v>ENTRE AV.TEREBINTO Y AV.SAN JUAN LOTE "2" MZA. "B"</v>
      </c>
    </row>
    <row r="686" spans="2:5" x14ac:dyDescent="0.2">
      <c r="B686" s="271" t="str">
        <f>'[1]COMEDORES EMERGENTES'!$B$11</f>
        <v>E.P.C - 100 V.V NORTE</v>
      </c>
      <c r="C686" s="272"/>
      <c r="D686" s="130" t="s">
        <v>176</v>
      </c>
      <c r="E686" s="131" t="str">
        <f>'[1]COMEDORES EMERGENTES'!$G$11</f>
        <v>Bº VV NORTE C/48 ENTRE ESPAÑA Y FRANCIA</v>
      </c>
    </row>
    <row r="687" spans="2:5" x14ac:dyDescent="0.2">
      <c r="B687" s="271" t="str">
        <f>'[1]COMEDORES EMERGENTES'!$B$12</f>
        <v>HOGAR DE CRISTO - PADRE RAUL CONTRERAS</v>
      </c>
      <c r="C687" s="272"/>
      <c r="D687" s="130" t="s">
        <v>176</v>
      </c>
      <c r="E687" s="131" t="str">
        <f>'[1]COMEDORES EMERGENTES'!$G$12</f>
        <v>Bº SANTA MARTA MZA. "S" LOTE "M" C/39</v>
      </c>
    </row>
    <row r="688" spans="2:5" x14ac:dyDescent="0.2">
      <c r="B688" s="271" t="str">
        <f>'[1]COMEDORES EMERGENTES'!$B$13</f>
        <v>LA LUCIERNAGA</v>
      </c>
      <c r="C688" s="272"/>
      <c r="D688" s="130" t="s">
        <v>175</v>
      </c>
      <c r="E688" s="131" t="str">
        <f>'[1]COMEDORES EMERGENTES'!$G$13</f>
        <v>Bº 20 V.V NORTE C/3</v>
      </c>
    </row>
    <row r="689" spans="2:5" x14ac:dyDescent="0.2">
      <c r="B689" s="271" t="str">
        <f>'[1]COMEDORES EMERGENTES'!$B$14</f>
        <v>VALLE VIEJO - SUMALAO</v>
      </c>
      <c r="C689" s="272"/>
      <c r="D689" s="130" t="s">
        <v>177</v>
      </c>
      <c r="E689" s="131" t="str">
        <f>'[1]COMEDORES EMERGENTES'!$G$14</f>
        <v>PADRE SEGURA S/N</v>
      </c>
    </row>
    <row r="690" spans="2:5" x14ac:dyDescent="0.2">
      <c r="B690" s="271" t="str">
        <f>'[1]COMEDORES EMERGENTES'!$B$15</f>
        <v>NUESTRO FUTURO - LAS VIAS</v>
      </c>
      <c r="C690" s="272"/>
      <c r="D690" s="130" t="s">
        <v>175</v>
      </c>
      <c r="E690" s="131" t="str">
        <f>'[1]COMEDORES EMERGENTES'!$G$15</f>
        <v>Bº LAS VIAS OESTE LOTE 42</v>
      </c>
    </row>
    <row r="691" spans="2:5" x14ac:dyDescent="0.2">
      <c r="B691" s="271" t="str">
        <f>'[1]COMEDORES EMERGENTES'!$B$16</f>
        <v>SAN JOSE OBRERO</v>
      </c>
      <c r="C691" s="272"/>
      <c r="D691" s="130" t="s">
        <v>174</v>
      </c>
      <c r="E691" s="131" t="str">
        <f>'[1]COMEDORES EMERGENTES'!$G$16</f>
        <v>Bº SAN JOSE OBRERO. PJE. SANDOVAL S/Nº</v>
      </c>
    </row>
    <row r="692" spans="2:5" x14ac:dyDescent="0.2">
      <c r="B692" s="271" t="str">
        <f>'[1]COMEDORES EMERGENTES'!$B$17</f>
        <v>VIRGEN DE LUJAN</v>
      </c>
      <c r="C692" s="272"/>
      <c r="D692" s="130" t="s">
        <v>175</v>
      </c>
      <c r="E692" s="131" t="str">
        <f>'[1]COMEDORES EMERGENTES'!$G$17</f>
        <v>Bº OJO DE AGUA C/DR.TEODULFO BARRIONUEVO S/Nº</v>
      </c>
    </row>
    <row r="693" spans="2:5" x14ac:dyDescent="0.2">
      <c r="B693" s="271" t="str">
        <f>'[1]COMEDORES EMERGENTES'!$B$18</f>
        <v>RENACER</v>
      </c>
      <c r="C693" s="272"/>
      <c r="D693" s="130" t="s">
        <v>178</v>
      </c>
      <c r="E693" s="131" t="str">
        <f>'[1]COMEDORES EMERGENTES'!$G$18</f>
        <v>Bº VIRGEN MORENITA</v>
      </c>
    </row>
    <row r="694" spans="2:5" x14ac:dyDescent="0.2">
      <c r="B694" s="271" t="str">
        <f>'[1]COMEDORES EMERGENTES'!$B$19</f>
        <v>CENTRO VECINAL MI JARDIN</v>
      </c>
      <c r="C694" s="272"/>
      <c r="D694" s="130" t="s">
        <v>179</v>
      </c>
      <c r="E694" s="131" t="str">
        <f>'[1]COMEDORES EMERGENTES'!$G$19</f>
        <v>C/ LOS TULIPANES ENTRE FLOR DE CEREZO Y HOLANDA MZA.27 Bº MI JARDIN</v>
      </c>
    </row>
    <row r="695" spans="2:5" x14ac:dyDescent="0.2">
      <c r="B695" s="271" t="str">
        <f>'[1]COMEDORES EMERGENTES'!$B$20</f>
        <v>LA VIEJA ESQUINA</v>
      </c>
      <c r="C695" s="272"/>
      <c r="D695" s="130" t="s">
        <v>180</v>
      </c>
      <c r="E695" s="131" t="str">
        <f>'[1]COMEDORES EMERGENTES'!$G$20</f>
        <v>B° CRISTO REY PJE CAPATAZ VILLAFAÑEZ Y ARMANDO CORREA</v>
      </c>
    </row>
    <row r="696" spans="2:5" x14ac:dyDescent="0.2">
      <c r="B696" s="271" t="str">
        <f>'[1]COMEDORES EMERGENTES'!$B$21</f>
        <v>GAUCHITO GIL</v>
      </c>
      <c r="C696" s="272"/>
      <c r="D696" s="130" t="s">
        <v>181</v>
      </c>
      <c r="E696" s="131" t="str">
        <f>'[1]COMEDORES EMERGENTES'!$G$21</f>
        <v>B° 26 VIVIENDAS CASA N° 3</v>
      </c>
    </row>
    <row r="697" spans="2:5" ht="13.5" thickBot="1" x14ac:dyDescent="0.25">
      <c r="B697" s="288" t="str">
        <f>'[1]COMEDORES EMERGENTES'!$B$22</f>
        <v>LOS TOLDOS</v>
      </c>
      <c r="C697" s="289"/>
      <c r="D697" s="137" t="s">
        <v>201</v>
      </c>
      <c r="E697" s="138" t="str">
        <f>'[1]COMEDORES EMERGENTES'!$G$22</f>
        <v>LOTEO PARQUE SUR CALLE S/NOMBRE S/N°</v>
      </c>
    </row>
    <row r="698" spans="2:5" x14ac:dyDescent="0.2">
      <c r="B698" s="50" t="s">
        <v>18</v>
      </c>
      <c r="C698" s="48"/>
      <c r="D698" s="94"/>
      <c r="E698" s="49"/>
    </row>
    <row r="699" spans="2:5" x14ac:dyDescent="0.2">
      <c r="B699" s="51"/>
      <c r="C699" s="287" t="s">
        <v>63</v>
      </c>
      <c r="D699" s="287"/>
      <c r="E699" s="287"/>
    </row>
    <row r="700" spans="2:5" x14ac:dyDescent="0.2">
      <c r="B700" s="50" t="s">
        <v>19</v>
      </c>
      <c r="C700" s="52"/>
      <c r="D700" s="52"/>
      <c r="E700" s="53"/>
    </row>
    <row r="701" spans="2:5" x14ac:dyDescent="0.2">
      <c r="B701" s="51"/>
      <c r="C701" s="287" t="s">
        <v>140</v>
      </c>
      <c r="D701" s="287"/>
      <c r="E701" s="287"/>
    </row>
    <row r="702" spans="2:5" x14ac:dyDescent="0.2">
      <c r="B702" s="50" t="s">
        <v>20</v>
      </c>
      <c r="C702" s="48"/>
      <c r="D702" s="94"/>
      <c r="E702" s="49"/>
    </row>
    <row r="703" spans="2:5" x14ac:dyDescent="0.2">
      <c r="B703" s="50"/>
      <c r="C703" s="286" t="s">
        <v>64</v>
      </c>
      <c r="D703" s="286"/>
      <c r="E703" s="286"/>
    </row>
    <row r="704" spans="2:5" ht="13.5" thickBot="1" x14ac:dyDescent="0.25">
      <c r="B704" s="54"/>
      <c r="C704" s="55"/>
      <c r="D704" s="95"/>
      <c r="E704" s="56"/>
    </row>
    <row r="705" spans="2:5" ht="13.5" thickBot="1" x14ac:dyDescent="0.25"/>
    <row r="706" spans="2:5" x14ac:dyDescent="0.2">
      <c r="B706" s="44" t="s">
        <v>157</v>
      </c>
      <c r="C706" s="45"/>
      <c r="D706" s="93"/>
      <c r="E706" s="46"/>
    </row>
    <row r="707" spans="2:5" x14ac:dyDescent="0.2">
      <c r="B707" s="47"/>
      <c r="C707" s="48"/>
      <c r="D707" s="94"/>
      <c r="E707" s="49"/>
    </row>
    <row r="708" spans="2:5" x14ac:dyDescent="0.2">
      <c r="B708" s="50" t="s">
        <v>16</v>
      </c>
      <c r="C708" s="48"/>
      <c r="D708" s="94"/>
      <c r="E708" s="49"/>
    </row>
    <row r="709" spans="2:5" ht="25.5" customHeight="1" x14ac:dyDescent="0.2">
      <c r="B709" s="50"/>
      <c r="C709" s="287"/>
      <c r="D709" s="287"/>
      <c r="E709" s="287"/>
    </row>
    <row r="710" spans="2:5" ht="13.5" thickBot="1" x14ac:dyDescent="0.25">
      <c r="B710" s="50" t="s">
        <v>17</v>
      </c>
      <c r="C710" s="48"/>
      <c r="D710" s="94"/>
      <c r="E710" s="49"/>
    </row>
    <row r="711" spans="2:5" ht="13.5" thickBot="1" x14ac:dyDescent="0.25">
      <c r="B711" s="273" t="s">
        <v>137</v>
      </c>
      <c r="C711" s="274"/>
      <c r="D711" s="274"/>
      <c r="E711" s="275"/>
    </row>
    <row r="712" spans="2:5" ht="13.5" thickBot="1" x14ac:dyDescent="0.25">
      <c r="B712" s="273" t="s">
        <v>138</v>
      </c>
      <c r="C712" s="275"/>
      <c r="D712" s="91" t="s">
        <v>11</v>
      </c>
      <c r="E712" s="91" t="s">
        <v>139</v>
      </c>
    </row>
    <row r="713" spans="2:5" x14ac:dyDescent="0.2">
      <c r="B713" s="280" t="str">
        <f>'[1]COMEDORES EMERGENTES'!$B$3</f>
        <v>UNA SONRISA AV. LOS COBACHO</v>
      </c>
      <c r="C713" s="281"/>
      <c r="D713" s="135" t="s">
        <v>204</v>
      </c>
      <c r="E713" s="136" t="str">
        <f>'[1]COMEDORES EMERGENTES'!$G$3</f>
        <v>Bº SAN CARLOS OESTE AV. Bonifacio cobacho 670</v>
      </c>
    </row>
    <row r="714" spans="2:5" x14ac:dyDescent="0.2">
      <c r="B714" s="271" t="str">
        <f>'[1]COMEDORES EMERGENTES'!$B$4</f>
        <v>C.I.F Nº1 - RIVERA DEL VALLE Y FLORIDA</v>
      </c>
      <c r="C714" s="272"/>
      <c r="D714" s="130" t="s">
        <v>230</v>
      </c>
      <c r="E714" s="131" t="str">
        <f>'[1]COMEDORES EMERGENTES'!$G$4</f>
        <v>AV. RIVIERA DEL VALLE ENTRE FLORIDA Y SANTA FE</v>
      </c>
    </row>
    <row r="715" spans="2:5" x14ac:dyDescent="0.2">
      <c r="B715" s="271" t="str">
        <f>'[1]COMEDORES EMERGENTES'!$B$5</f>
        <v>C.I.F - RIVERA DEL VALLE - DILORENZO</v>
      </c>
      <c r="C715" s="272"/>
      <c r="D715" s="130" t="s">
        <v>231</v>
      </c>
      <c r="E715" s="131" t="str">
        <f>'[1]COMEDORES EMERGENTES'!$G$5</f>
        <v>Bº RIVERA DEL VALLE ENTRE VILLA EUMELIA Y MONTE CRISTO</v>
      </c>
    </row>
    <row r="716" spans="2:5" x14ac:dyDescent="0.2">
      <c r="B716" s="271" t="str">
        <f>'[1]COMEDORES EMERGENTES'!$B$6</f>
        <v>ESFUERZO PROPIO- Bº ALTOS DE CHOYA</v>
      </c>
      <c r="C716" s="272"/>
      <c r="D716" s="130" t="s">
        <v>218</v>
      </c>
      <c r="E716" s="131" t="str">
        <f>'[1]COMEDORES EMERGENTES'!$G$6</f>
        <v>Bº MUNICIPAL 35VV. NORTE C/14</v>
      </c>
    </row>
    <row r="717" spans="2:5" x14ac:dyDescent="0.2">
      <c r="B717" s="271" t="str">
        <f>'[1]COMEDORES EMERGENTES'!$B$7</f>
        <v>ANGELITOS - LOTEO SUSSEX</v>
      </c>
      <c r="C717" s="272"/>
      <c r="D717" s="130" t="s">
        <v>193</v>
      </c>
      <c r="E717" s="131" t="str">
        <f>'[1]COMEDORES EMERGENTES'!$G$7</f>
        <v>Bº LOTEO SUSEX MZA.Nº 4 LOTE Nº3</v>
      </c>
    </row>
    <row r="718" spans="2:5" x14ac:dyDescent="0.2">
      <c r="B718" s="271" t="str">
        <f>'[1]COMEDORES EMERGENTES'!$B$8</f>
        <v>CLUB DEPORTIVO CHACARITA</v>
      </c>
      <c r="C718" s="272"/>
      <c r="D718" s="130" t="s">
        <v>232</v>
      </c>
      <c r="E718" s="131" t="str">
        <f>'[1]COMEDORES EMERGENTES'!$G$8</f>
        <v>CALLE DR.DERMIDIO GALINDEZ C/2660</v>
      </c>
    </row>
    <row r="719" spans="2:5" x14ac:dyDescent="0.2">
      <c r="B719" s="271" t="str">
        <f>'[1]COMEDORES EMERGENTES'!$B$9</f>
        <v>LA MORO</v>
      </c>
      <c r="C719" s="272"/>
      <c r="D719" s="130" t="s">
        <v>210</v>
      </c>
      <c r="E719" s="131" t="str">
        <f>'[1]COMEDORES EMERGENTES'!$G$9</f>
        <v>MAIPU NORTE 1º ETAPA MZA "H" Bº MI JARDIN</v>
      </c>
    </row>
    <row r="720" spans="2:5" x14ac:dyDescent="0.2">
      <c r="B720" s="271" t="str">
        <f>'[1]COMEDORES EMERGENTES'!$B$10</f>
        <v>PAPA FRANCISCO</v>
      </c>
      <c r="C720" s="272"/>
      <c r="D720" s="130" t="s">
        <v>233</v>
      </c>
      <c r="E720" s="131" t="str">
        <f>'[1]COMEDORES EMERGENTES'!$G$10</f>
        <v>ENTRE AV.TEREBINTO Y AV.SAN JUAN LOTE "2" MZA. "B"</v>
      </c>
    </row>
    <row r="721" spans="2:5" x14ac:dyDescent="0.2">
      <c r="B721" s="271" t="str">
        <f>'[1]COMEDORES EMERGENTES'!$B$11</f>
        <v>E.P.C - 100 V.V NORTE</v>
      </c>
      <c r="C721" s="272"/>
      <c r="D721" s="130" t="s">
        <v>234</v>
      </c>
      <c r="E721" s="131" t="str">
        <f>'[1]COMEDORES EMERGENTES'!$G$11</f>
        <v>Bº VV NORTE C/48 ENTRE ESPAÑA Y FRANCIA</v>
      </c>
    </row>
    <row r="722" spans="2:5" x14ac:dyDescent="0.2">
      <c r="B722" s="271" t="str">
        <f>'[1]COMEDORES EMERGENTES'!$B$12</f>
        <v>HOGAR DE CRISTO - PADRE RAUL CONTRERAS</v>
      </c>
      <c r="C722" s="272"/>
      <c r="D722" s="130" t="s">
        <v>234</v>
      </c>
      <c r="E722" s="131" t="str">
        <f>'[1]COMEDORES EMERGENTES'!$G$12</f>
        <v>Bº SANTA MARTA MZA. "S" LOTE "M" C/39</v>
      </c>
    </row>
    <row r="723" spans="2:5" x14ac:dyDescent="0.2">
      <c r="B723" s="271" t="str">
        <f>'[1]COMEDORES EMERGENTES'!$B$13</f>
        <v>LA LUCIERNAGA</v>
      </c>
      <c r="C723" s="272"/>
      <c r="D723" s="130" t="s">
        <v>233</v>
      </c>
      <c r="E723" s="131" t="str">
        <f>'[1]COMEDORES EMERGENTES'!$G$13</f>
        <v>Bº 20 V.V NORTE C/3</v>
      </c>
    </row>
    <row r="724" spans="2:5" x14ac:dyDescent="0.2">
      <c r="B724" s="271" t="str">
        <f>'[1]COMEDORES EMERGENTES'!$B$14</f>
        <v>VALLE VIEJO - SUMALAO</v>
      </c>
      <c r="C724" s="272"/>
      <c r="D724" s="130" t="s">
        <v>235</v>
      </c>
      <c r="E724" s="131" t="str">
        <f>'[1]COMEDORES EMERGENTES'!$G$14</f>
        <v>PADRE SEGURA S/N</v>
      </c>
    </row>
    <row r="725" spans="2:5" x14ac:dyDescent="0.2">
      <c r="B725" s="271" t="str">
        <f>'[1]COMEDORES EMERGENTES'!$B$15</f>
        <v>NUESTRO FUTURO - LAS VIAS</v>
      </c>
      <c r="C725" s="272"/>
      <c r="D725" s="130" t="s">
        <v>233</v>
      </c>
      <c r="E725" s="131" t="str">
        <f>'[1]COMEDORES EMERGENTES'!$G$15</f>
        <v>Bº LAS VIAS OESTE LOTE 42</v>
      </c>
    </row>
    <row r="726" spans="2:5" x14ac:dyDescent="0.2">
      <c r="B726" s="271" t="str">
        <f>'[1]COMEDORES EMERGENTES'!$B$16</f>
        <v>SAN JOSE OBRERO</v>
      </c>
      <c r="C726" s="272"/>
      <c r="D726" s="130" t="s">
        <v>232</v>
      </c>
      <c r="E726" s="131" t="str">
        <f>'[1]COMEDORES EMERGENTES'!$G$16</f>
        <v>Bº SAN JOSE OBRERO. PJE. SANDOVAL S/Nº</v>
      </c>
    </row>
    <row r="727" spans="2:5" x14ac:dyDescent="0.2">
      <c r="B727" s="271" t="str">
        <f>'[1]COMEDORES EMERGENTES'!$B$17</f>
        <v>VIRGEN DE LUJAN</v>
      </c>
      <c r="C727" s="272"/>
      <c r="D727" s="130" t="s">
        <v>233</v>
      </c>
      <c r="E727" s="131" t="str">
        <f>'[1]COMEDORES EMERGENTES'!$G$17</f>
        <v>Bº OJO DE AGUA C/DR.TEODULFO BARRIONUEVO S/Nº</v>
      </c>
    </row>
    <row r="728" spans="2:5" x14ac:dyDescent="0.2">
      <c r="B728" s="271" t="str">
        <f>'[1]COMEDORES EMERGENTES'!$B$18</f>
        <v>RENACER</v>
      </c>
      <c r="C728" s="272"/>
      <c r="D728" s="130" t="s">
        <v>236</v>
      </c>
      <c r="E728" s="131" t="str">
        <f>'[1]COMEDORES EMERGENTES'!$G$18</f>
        <v>Bº VIRGEN MORENITA</v>
      </c>
    </row>
    <row r="729" spans="2:5" x14ac:dyDescent="0.2">
      <c r="B729" s="271" t="str">
        <f>'[1]COMEDORES EMERGENTES'!$B$19</f>
        <v>CENTRO VECINAL MI JARDIN</v>
      </c>
      <c r="C729" s="272"/>
      <c r="D729" s="130" t="s">
        <v>237</v>
      </c>
      <c r="E729" s="131" t="str">
        <f>'[1]COMEDORES EMERGENTES'!$G$19</f>
        <v>C/ LOS TULIPANES ENTRE FLOR DE CEREZO Y HOLANDA MZA.27 Bº MI JARDIN</v>
      </c>
    </row>
    <row r="730" spans="2:5" x14ac:dyDescent="0.2">
      <c r="B730" s="271" t="str">
        <f>'[1]COMEDORES EMERGENTES'!$B$20</f>
        <v>LA VIEJA ESQUINA</v>
      </c>
      <c r="C730" s="272"/>
      <c r="D730" s="130" t="s">
        <v>238</v>
      </c>
      <c r="E730" s="131" t="str">
        <f>'[1]COMEDORES EMERGENTES'!$G$20</f>
        <v>B° CRISTO REY PJE CAPATAZ VILLAFAÑEZ Y ARMANDO CORREA</v>
      </c>
    </row>
    <row r="731" spans="2:5" x14ac:dyDescent="0.2">
      <c r="B731" s="271" t="str">
        <f>'[1]COMEDORES EMERGENTES'!$B$21</f>
        <v>GAUCHITO GIL</v>
      </c>
      <c r="C731" s="272"/>
      <c r="D731" s="130" t="s">
        <v>239</v>
      </c>
      <c r="E731" s="131" t="str">
        <f>'[1]COMEDORES EMERGENTES'!$G$21</f>
        <v>B° 26 VIVIENDAS CASA N° 3</v>
      </c>
    </row>
    <row r="732" spans="2:5" ht="13.5" thickBot="1" x14ac:dyDescent="0.25">
      <c r="B732" s="288" t="str">
        <f>'[1]COMEDORES EMERGENTES'!$B$22</f>
        <v>LOS TOLDOS</v>
      </c>
      <c r="C732" s="289"/>
      <c r="D732" s="137" t="s">
        <v>189</v>
      </c>
      <c r="E732" s="138" t="str">
        <f>'[1]COMEDORES EMERGENTES'!$G$22</f>
        <v>LOTEO PARQUE SUR CALLE S/NOMBRE S/N°</v>
      </c>
    </row>
    <row r="733" spans="2:5" x14ac:dyDescent="0.2">
      <c r="B733" s="50" t="s">
        <v>18</v>
      </c>
      <c r="C733" s="48"/>
      <c r="D733" s="94"/>
      <c r="E733" s="49"/>
    </row>
    <row r="734" spans="2:5" x14ac:dyDescent="0.2">
      <c r="B734" s="51"/>
      <c r="C734" s="287" t="s">
        <v>63</v>
      </c>
      <c r="D734" s="287"/>
      <c r="E734" s="287"/>
    </row>
    <row r="735" spans="2:5" x14ac:dyDescent="0.2">
      <c r="B735" s="50" t="s">
        <v>19</v>
      </c>
      <c r="C735" s="52"/>
      <c r="D735" s="52"/>
      <c r="E735" s="53"/>
    </row>
    <row r="736" spans="2:5" x14ac:dyDescent="0.2">
      <c r="B736" s="51"/>
      <c r="C736" s="287" t="s">
        <v>140</v>
      </c>
      <c r="D736" s="287"/>
      <c r="E736" s="287"/>
    </row>
    <row r="737" spans="2:5" x14ac:dyDescent="0.2">
      <c r="B737" s="50" t="s">
        <v>20</v>
      </c>
      <c r="C737" s="48"/>
      <c r="D737" s="94"/>
      <c r="E737" s="49"/>
    </row>
    <row r="738" spans="2:5" x14ac:dyDescent="0.2">
      <c r="B738" s="50"/>
      <c r="C738" s="286" t="s">
        <v>64</v>
      </c>
      <c r="D738" s="286"/>
      <c r="E738" s="286"/>
    </row>
    <row r="739" spans="2:5" ht="13.5" thickBot="1" x14ac:dyDescent="0.25">
      <c r="B739" s="54"/>
      <c r="C739" s="55"/>
      <c r="D739" s="95"/>
      <c r="E739" s="56"/>
    </row>
    <row r="740" spans="2:5" ht="13.5" thickBot="1" x14ac:dyDescent="0.25"/>
    <row r="741" spans="2:5" x14ac:dyDescent="0.2">
      <c r="B741" s="44" t="s">
        <v>158</v>
      </c>
      <c r="C741" s="45"/>
      <c r="D741" s="93"/>
      <c r="E741" s="46"/>
    </row>
    <row r="742" spans="2:5" x14ac:dyDescent="0.2">
      <c r="B742" s="47"/>
      <c r="C742" s="48"/>
      <c r="D742" s="94"/>
      <c r="E742" s="49"/>
    </row>
    <row r="743" spans="2:5" x14ac:dyDescent="0.2">
      <c r="B743" s="50" t="s">
        <v>16</v>
      </c>
      <c r="C743" s="48"/>
      <c r="D743" s="94"/>
      <c r="E743" s="49"/>
    </row>
    <row r="744" spans="2:5" ht="25.5" customHeight="1" x14ac:dyDescent="0.2">
      <c r="B744" s="50"/>
      <c r="C744" s="287"/>
      <c r="D744" s="287"/>
      <c r="E744" s="287"/>
    </row>
    <row r="745" spans="2:5" ht="13.5" thickBot="1" x14ac:dyDescent="0.25">
      <c r="B745" s="50" t="s">
        <v>17</v>
      </c>
      <c r="C745" s="48"/>
      <c r="D745" s="94"/>
      <c r="E745" s="49"/>
    </row>
    <row r="746" spans="2:5" ht="13.5" thickBot="1" x14ac:dyDescent="0.25">
      <c r="B746" s="273" t="s">
        <v>240</v>
      </c>
      <c r="C746" s="274"/>
      <c r="D746" s="274"/>
      <c r="E746" s="275"/>
    </row>
    <row r="747" spans="2:5" ht="13.5" thickBot="1" x14ac:dyDescent="0.25">
      <c r="B747" s="273" t="s">
        <v>138</v>
      </c>
      <c r="C747" s="275"/>
      <c r="D747" s="91" t="s">
        <v>11</v>
      </c>
      <c r="E747" s="91" t="s">
        <v>139</v>
      </c>
    </row>
    <row r="748" spans="2:5" x14ac:dyDescent="0.2">
      <c r="B748" s="280" t="str">
        <f>'[1]COMEDORES EMERGENTES'!$B$3</f>
        <v>UNA SONRISA AV. LOS COBACHO</v>
      </c>
      <c r="C748" s="281"/>
      <c r="D748" s="135" t="s">
        <v>241</v>
      </c>
      <c r="E748" s="136" t="str">
        <f>'[1]COMEDORES EMERGENTES'!$G$3</f>
        <v>Bº SAN CARLOS OESTE AV. Bonifacio cobacho 670</v>
      </c>
    </row>
    <row r="749" spans="2:5" x14ac:dyDescent="0.2">
      <c r="B749" s="271" t="str">
        <f>'[1]COMEDORES EMERGENTES'!$B$4</f>
        <v>C.I.F Nº1 - RIVERA DEL VALLE Y FLORIDA</v>
      </c>
      <c r="C749" s="272"/>
      <c r="D749" s="130" t="s">
        <v>241</v>
      </c>
      <c r="E749" s="131" t="str">
        <f>'[1]COMEDORES EMERGENTES'!$G$4</f>
        <v>AV. RIVIERA DEL VALLE ENTRE FLORIDA Y SANTA FE</v>
      </c>
    </row>
    <row r="750" spans="2:5" x14ac:dyDescent="0.2">
      <c r="B750" s="271" t="str">
        <f>'[1]COMEDORES EMERGENTES'!$B$5</f>
        <v>C.I.F - RIVERA DEL VALLE - DILORENZO</v>
      </c>
      <c r="C750" s="272"/>
      <c r="D750" s="130" t="s">
        <v>241</v>
      </c>
      <c r="E750" s="131" t="str">
        <f>'[1]COMEDORES EMERGENTES'!$G$5</f>
        <v>Bº RIVERA DEL VALLE ENTRE VILLA EUMELIA Y MONTE CRISTO</v>
      </c>
    </row>
    <row r="751" spans="2:5" x14ac:dyDescent="0.2">
      <c r="B751" s="271" t="str">
        <f>'[1]COMEDORES EMERGENTES'!$B$6</f>
        <v>ESFUERZO PROPIO- Bº ALTOS DE CHOYA</v>
      </c>
      <c r="C751" s="272"/>
      <c r="D751" s="130" t="s">
        <v>241</v>
      </c>
      <c r="E751" s="131" t="str">
        <f>'[1]COMEDORES EMERGENTES'!$G$6</f>
        <v>Bº MUNICIPAL 35VV. NORTE C/14</v>
      </c>
    </row>
    <row r="752" spans="2:5" x14ac:dyDescent="0.2">
      <c r="B752" s="271" t="str">
        <f>'[1]COMEDORES EMERGENTES'!$B$7</f>
        <v>ANGELITOS - LOTEO SUSSEX</v>
      </c>
      <c r="C752" s="272"/>
      <c r="D752" s="130" t="s">
        <v>241</v>
      </c>
      <c r="E752" s="131" t="str">
        <f>'[1]COMEDORES EMERGENTES'!$G$7</f>
        <v>Bº LOTEO SUSEX MZA.Nº 4 LOTE Nº3</v>
      </c>
    </row>
    <row r="753" spans="2:5" x14ac:dyDescent="0.2">
      <c r="B753" s="271" t="str">
        <f>'[1]COMEDORES EMERGENTES'!$B$8</f>
        <v>CLUB DEPORTIVO CHACARITA</v>
      </c>
      <c r="C753" s="272"/>
      <c r="D753" s="130" t="s">
        <v>241</v>
      </c>
      <c r="E753" s="131" t="str">
        <f>'[1]COMEDORES EMERGENTES'!$G$8</f>
        <v>CALLE DR.DERMIDIO GALINDEZ C/2660</v>
      </c>
    </row>
    <row r="754" spans="2:5" x14ac:dyDescent="0.2">
      <c r="B754" s="271" t="str">
        <f>'[1]COMEDORES EMERGENTES'!$B$9</f>
        <v>LA MORO</v>
      </c>
      <c r="C754" s="272"/>
      <c r="D754" s="130" t="s">
        <v>241</v>
      </c>
      <c r="E754" s="131" t="str">
        <f>'[1]COMEDORES EMERGENTES'!$G$9</f>
        <v>MAIPU NORTE 1º ETAPA MZA "H" Bº MI JARDIN</v>
      </c>
    </row>
    <row r="755" spans="2:5" x14ac:dyDescent="0.2">
      <c r="B755" s="271" t="str">
        <f>'[1]COMEDORES EMERGENTES'!$B$10</f>
        <v>PAPA FRANCISCO</v>
      </c>
      <c r="C755" s="272"/>
      <c r="D755" s="130" t="s">
        <v>241</v>
      </c>
      <c r="E755" s="131" t="str">
        <f>'[1]COMEDORES EMERGENTES'!$G$10</f>
        <v>ENTRE AV.TEREBINTO Y AV.SAN JUAN LOTE "2" MZA. "B"</v>
      </c>
    </row>
    <row r="756" spans="2:5" x14ac:dyDescent="0.2">
      <c r="B756" s="271" t="str">
        <f>'[1]COMEDORES EMERGENTES'!$B$11</f>
        <v>E.P.C - 100 V.V NORTE</v>
      </c>
      <c r="C756" s="272"/>
      <c r="D756" s="130" t="s">
        <v>241</v>
      </c>
      <c r="E756" s="131" t="str">
        <f>'[1]COMEDORES EMERGENTES'!$G$11</f>
        <v>Bº VV NORTE C/48 ENTRE ESPAÑA Y FRANCIA</v>
      </c>
    </row>
    <row r="757" spans="2:5" x14ac:dyDescent="0.2">
      <c r="B757" s="271" t="str">
        <f>'[1]COMEDORES EMERGENTES'!$B$12</f>
        <v>HOGAR DE CRISTO - PADRE RAUL CONTRERAS</v>
      </c>
      <c r="C757" s="272"/>
      <c r="D757" s="130" t="s">
        <v>241</v>
      </c>
      <c r="E757" s="131" t="str">
        <f>'[1]COMEDORES EMERGENTES'!$G$12</f>
        <v>Bº SANTA MARTA MZA. "S" LOTE "M" C/39</v>
      </c>
    </row>
    <row r="758" spans="2:5" x14ac:dyDescent="0.2">
      <c r="B758" s="271" t="str">
        <f>'[1]COMEDORES EMERGENTES'!$B$13</f>
        <v>LA LUCIERNAGA</v>
      </c>
      <c r="C758" s="272"/>
      <c r="D758" s="130" t="s">
        <v>241</v>
      </c>
      <c r="E758" s="131" t="str">
        <f>'[1]COMEDORES EMERGENTES'!$G$13</f>
        <v>Bº 20 V.V NORTE C/3</v>
      </c>
    </row>
    <row r="759" spans="2:5" x14ac:dyDescent="0.2">
      <c r="B759" s="271" t="str">
        <f>'[1]COMEDORES EMERGENTES'!$B$14</f>
        <v>VALLE VIEJO - SUMALAO</v>
      </c>
      <c r="C759" s="272"/>
      <c r="D759" s="130" t="s">
        <v>241</v>
      </c>
      <c r="E759" s="131" t="str">
        <f>'[1]COMEDORES EMERGENTES'!$G$14</f>
        <v>PADRE SEGURA S/N</v>
      </c>
    </row>
    <row r="760" spans="2:5" x14ac:dyDescent="0.2">
      <c r="B760" s="271" t="str">
        <f>'[1]COMEDORES EMERGENTES'!$B$15</f>
        <v>NUESTRO FUTURO - LAS VIAS</v>
      </c>
      <c r="C760" s="272"/>
      <c r="D760" s="130" t="s">
        <v>241</v>
      </c>
      <c r="E760" s="131" t="str">
        <f>'[1]COMEDORES EMERGENTES'!$G$15</f>
        <v>Bº LAS VIAS OESTE LOTE 42</v>
      </c>
    </row>
    <row r="761" spans="2:5" x14ac:dyDescent="0.2">
      <c r="B761" s="271" t="str">
        <f>'[1]COMEDORES EMERGENTES'!$B$16</f>
        <v>SAN JOSE OBRERO</v>
      </c>
      <c r="C761" s="272"/>
      <c r="D761" s="130" t="s">
        <v>241</v>
      </c>
      <c r="E761" s="131" t="str">
        <f>'[1]COMEDORES EMERGENTES'!$G$16</f>
        <v>Bº SAN JOSE OBRERO. PJE. SANDOVAL S/Nº</v>
      </c>
    </row>
    <row r="762" spans="2:5" x14ac:dyDescent="0.2">
      <c r="B762" s="271" t="str">
        <f>'[1]COMEDORES EMERGENTES'!$B$17</f>
        <v>VIRGEN DE LUJAN</v>
      </c>
      <c r="C762" s="272"/>
      <c r="D762" s="130" t="s">
        <v>241</v>
      </c>
      <c r="E762" s="131" t="str">
        <f>'[1]COMEDORES EMERGENTES'!$G$17</f>
        <v>Bº OJO DE AGUA C/DR.TEODULFO BARRIONUEVO S/Nº</v>
      </c>
    </row>
    <row r="763" spans="2:5" x14ac:dyDescent="0.2">
      <c r="B763" s="271" t="str">
        <f>'[1]COMEDORES EMERGENTES'!$B$18</f>
        <v>RENACER</v>
      </c>
      <c r="C763" s="272"/>
      <c r="D763" s="130" t="s">
        <v>241</v>
      </c>
      <c r="E763" s="131" t="str">
        <f>'[1]COMEDORES EMERGENTES'!$G$18</f>
        <v>Bº VIRGEN MORENITA</v>
      </c>
    </row>
    <row r="764" spans="2:5" x14ac:dyDescent="0.2">
      <c r="B764" s="271" t="str">
        <f>'[1]COMEDORES EMERGENTES'!$B$19</f>
        <v>CENTRO VECINAL MI JARDIN</v>
      </c>
      <c r="C764" s="272"/>
      <c r="D764" s="130" t="s">
        <v>241</v>
      </c>
      <c r="E764" s="131" t="str">
        <f>'[1]COMEDORES EMERGENTES'!$G$19</f>
        <v>C/ LOS TULIPANES ENTRE FLOR DE CEREZO Y HOLANDA MZA.27 Bº MI JARDIN</v>
      </c>
    </row>
    <row r="765" spans="2:5" x14ac:dyDescent="0.2">
      <c r="B765" s="271" t="str">
        <f>'[1]COMEDORES EMERGENTES'!$B$20</f>
        <v>LA VIEJA ESQUINA</v>
      </c>
      <c r="C765" s="272"/>
      <c r="D765" s="130" t="s">
        <v>241</v>
      </c>
      <c r="E765" s="131" t="str">
        <f>'[1]COMEDORES EMERGENTES'!$G$20</f>
        <v>B° CRISTO REY PJE CAPATAZ VILLAFAÑEZ Y ARMANDO CORREA</v>
      </c>
    </row>
    <row r="766" spans="2:5" x14ac:dyDescent="0.2">
      <c r="B766" s="271" t="str">
        <f>'[1]COMEDORES EMERGENTES'!$B$21</f>
        <v>GAUCHITO GIL</v>
      </c>
      <c r="C766" s="272"/>
      <c r="D766" s="130" t="s">
        <v>241</v>
      </c>
      <c r="E766" s="131" t="str">
        <f>'[1]COMEDORES EMERGENTES'!$G$21</f>
        <v>B° 26 VIVIENDAS CASA N° 3</v>
      </c>
    </row>
    <row r="767" spans="2:5" ht="13.5" thickBot="1" x14ac:dyDescent="0.25">
      <c r="B767" s="288" t="str">
        <f>'[1]COMEDORES EMERGENTES'!$B$22</f>
        <v>LOS TOLDOS</v>
      </c>
      <c r="C767" s="289"/>
      <c r="D767" s="137" t="s">
        <v>241</v>
      </c>
      <c r="E767" s="138" t="str">
        <f>'[1]COMEDORES EMERGENTES'!$G$22</f>
        <v>LOTEO PARQUE SUR CALLE S/NOMBRE S/N°</v>
      </c>
    </row>
    <row r="768" spans="2:5" x14ac:dyDescent="0.2">
      <c r="B768" s="50" t="s">
        <v>18</v>
      </c>
      <c r="C768" s="48"/>
      <c r="D768" s="94"/>
      <c r="E768" s="49"/>
    </row>
    <row r="769" spans="2:5" x14ac:dyDescent="0.2">
      <c r="B769" s="51"/>
      <c r="C769" s="287" t="s">
        <v>63</v>
      </c>
      <c r="D769" s="287"/>
      <c r="E769" s="287"/>
    </row>
    <row r="770" spans="2:5" x14ac:dyDescent="0.2">
      <c r="B770" s="50" t="s">
        <v>19</v>
      </c>
      <c r="C770" s="52"/>
      <c r="D770" s="52"/>
      <c r="E770" s="53"/>
    </row>
    <row r="771" spans="2:5" x14ac:dyDescent="0.2">
      <c r="B771" s="51"/>
      <c r="C771" s="287" t="s">
        <v>140</v>
      </c>
      <c r="D771" s="287"/>
      <c r="E771" s="287"/>
    </row>
    <row r="772" spans="2:5" x14ac:dyDescent="0.2">
      <c r="B772" s="50" t="s">
        <v>20</v>
      </c>
      <c r="C772" s="48"/>
      <c r="D772" s="94"/>
      <c r="E772" s="49"/>
    </row>
    <row r="773" spans="2:5" x14ac:dyDescent="0.2">
      <c r="B773" s="50"/>
      <c r="C773" s="286" t="s">
        <v>64</v>
      </c>
      <c r="D773" s="286"/>
      <c r="E773" s="286"/>
    </row>
    <row r="774" spans="2:5" ht="13.5" thickBot="1" x14ac:dyDescent="0.25">
      <c r="B774" s="54"/>
      <c r="C774" s="55"/>
      <c r="D774" s="95"/>
      <c r="E774" s="56"/>
    </row>
    <row r="775" spans="2:5" ht="13.5" thickBot="1" x14ac:dyDescent="0.25"/>
    <row r="776" spans="2:5" x14ac:dyDescent="0.2">
      <c r="B776" s="44" t="s">
        <v>159</v>
      </c>
      <c r="C776" s="45"/>
      <c r="D776" s="93"/>
      <c r="E776" s="46"/>
    </row>
    <row r="777" spans="2:5" x14ac:dyDescent="0.2">
      <c r="B777" s="47"/>
      <c r="C777" s="48"/>
      <c r="D777" s="94"/>
      <c r="E777" s="49"/>
    </row>
    <row r="778" spans="2:5" x14ac:dyDescent="0.2">
      <c r="B778" s="50" t="s">
        <v>16</v>
      </c>
      <c r="C778" s="48"/>
      <c r="D778" s="94"/>
      <c r="E778" s="49"/>
    </row>
    <row r="779" spans="2:5" ht="25.5" customHeight="1" x14ac:dyDescent="0.2">
      <c r="B779" s="50"/>
      <c r="C779" s="287"/>
      <c r="D779" s="287"/>
      <c r="E779" s="287"/>
    </row>
    <row r="780" spans="2:5" ht="13.5" thickBot="1" x14ac:dyDescent="0.25">
      <c r="B780" s="50" t="s">
        <v>17</v>
      </c>
      <c r="C780" s="48"/>
      <c r="D780" s="94"/>
      <c r="E780" s="49"/>
    </row>
    <row r="781" spans="2:5" ht="13.5" thickBot="1" x14ac:dyDescent="0.25">
      <c r="B781" s="273" t="s">
        <v>240</v>
      </c>
      <c r="C781" s="274"/>
      <c r="D781" s="274"/>
      <c r="E781" s="275"/>
    </row>
    <row r="782" spans="2:5" ht="13.5" thickBot="1" x14ac:dyDescent="0.25">
      <c r="B782" s="273" t="s">
        <v>138</v>
      </c>
      <c r="C782" s="275"/>
      <c r="D782" s="91" t="s">
        <v>11</v>
      </c>
      <c r="E782" s="91" t="s">
        <v>139</v>
      </c>
    </row>
    <row r="783" spans="2:5" x14ac:dyDescent="0.2">
      <c r="B783" s="280" t="str">
        <f>'[1]COMEDORES EMERGENTES'!$B$3</f>
        <v>UNA SONRISA AV. LOS COBACHO</v>
      </c>
      <c r="C783" s="281"/>
      <c r="D783" s="135" t="s">
        <v>241</v>
      </c>
      <c r="E783" s="136" t="str">
        <f>'[1]COMEDORES EMERGENTES'!$G$3</f>
        <v>Bº SAN CARLOS OESTE AV. Bonifacio cobacho 670</v>
      </c>
    </row>
    <row r="784" spans="2:5" x14ac:dyDescent="0.2">
      <c r="B784" s="271" t="str">
        <f>'[1]COMEDORES EMERGENTES'!$B$4</f>
        <v>C.I.F Nº1 - RIVERA DEL VALLE Y FLORIDA</v>
      </c>
      <c r="C784" s="272"/>
      <c r="D784" s="130" t="s">
        <v>241</v>
      </c>
      <c r="E784" s="131" t="str">
        <f>'[1]COMEDORES EMERGENTES'!$G$4</f>
        <v>AV. RIVIERA DEL VALLE ENTRE FLORIDA Y SANTA FE</v>
      </c>
    </row>
    <row r="785" spans="2:5" x14ac:dyDescent="0.2">
      <c r="B785" s="271" t="str">
        <f>'[1]COMEDORES EMERGENTES'!$B$5</f>
        <v>C.I.F - RIVERA DEL VALLE - DILORENZO</v>
      </c>
      <c r="C785" s="272"/>
      <c r="D785" s="130" t="s">
        <v>241</v>
      </c>
      <c r="E785" s="131" t="str">
        <f>'[1]COMEDORES EMERGENTES'!$G$5</f>
        <v>Bº RIVERA DEL VALLE ENTRE VILLA EUMELIA Y MONTE CRISTO</v>
      </c>
    </row>
    <row r="786" spans="2:5" x14ac:dyDescent="0.2">
      <c r="B786" s="271" t="str">
        <f>'[1]COMEDORES EMERGENTES'!$B$6</f>
        <v>ESFUERZO PROPIO- Bº ALTOS DE CHOYA</v>
      </c>
      <c r="C786" s="272"/>
      <c r="D786" s="130" t="s">
        <v>241</v>
      </c>
      <c r="E786" s="131" t="str">
        <f>'[1]COMEDORES EMERGENTES'!$G$6</f>
        <v>Bº MUNICIPAL 35VV. NORTE C/14</v>
      </c>
    </row>
    <row r="787" spans="2:5" x14ac:dyDescent="0.2">
      <c r="B787" s="271" t="str">
        <f>'[1]COMEDORES EMERGENTES'!$B$7</f>
        <v>ANGELITOS - LOTEO SUSSEX</v>
      </c>
      <c r="C787" s="272"/>
      <c r="D787" s="130" t="s">
        <v>241</v>
      </c>
      <c r="E787" s="131" t="str">
        <f>'[1]COMEDORES EMERGENTES'!$G$7</f>
        <v>Bº LOTEO SUSEX MZA.Nº 4 LOTE Nº3</v>
      </c>
    </row>
    <row r="788" spans="2:5" x14ac:dyDescent="0.2">
      <c r="B788" s="271" t="str">
        <f>'[1]COMEDORES EMERGENTES'!$B$8</f>
        <v>CLUB DEPORTIVO CHACARITA</v>
      </c>
      <c r="C788" s="272"/>
      <c r="D788" s="130" t="s">
        <v>241</v>
      </c>
      <c r="E788" s="131" t="str">
        <f>'[1]COMEDORES EMERGENTES'!$G$8</f>
        <v>CALLE DR.DERMIDIO GALINDEZ C/2660</v>
      </c>
    </row>
    <row r="789" spans="2:5" x14ac:dyDescent="0.2">
      <c r="B789" s="271" t="str">
        <f>'[1]COMEDORES EMERGENTES'!$B$9</f>
        <v>LA MORO</v>
      </c>
      <c r="C789" s="272"/>
      <c r="D789" s="130" t="s">
        <v>241</v>
      </c>
      <c r="E789" s="131" t="str">
        <f>'[1]COMEDORES EMERGENTES'!$G$9</f>
        <v>MAIPU NORTE 1º ETAPA MZA "H" Bº MI JARDIN</v>
      </c>
    </row>
    <row r="790" spans="2:5" x14ac:dyDescent="0.2">
      <c r="B790" s="271" t="str">
        <f>'[1]COMEDORES EMERGENTES'!$B$10</f>
        <v>PAPA FRANCISCO</v>
      </c>
      <c r="C790" s="272"/>
      <c r="D790" s="130" t="s">
        <v>241</v>
      </c>
      <c r="E790" s="131" t="str">
        <f>'[1]COMEDORES EMERGENTES'!$G$10</f>
        <v>ENTRE AV.TEREBINTO Y AV.SAN JUAN LOTE "2" MZA. "B"</v>
      </c>
    </row>
    <row r="791" spans="2:5" x14ac:dyDescent="0.2">
      <c r="B791" s="271" t="str">
        <f>'[1]COMEDORES EMERGENTES'!$B$11</f>
        <v>E.P.C - 100 V.V NORTE</v>
      </c>
      <c r="C791" s="272"/>
      <c r="D791" s="130" t="s">
        <v>241</v>
      </c>
      <c r="E791" s="131" t="str">
        <f>'[1]COMEDORES EMERGENTES'!$G$11</f>
        <v>Bº VV NORTE C/48 ENTRE ESPAÑA Y FRANCIA</v>
      </c>
    </row>
    <row r="792" spans="2:5" x14ac:dyDescent="0.2">
      <c r="B792" s="271" t="str">
        <f>'[1]COMEDORES EMERGENTES'!$B$12</f>
        <v>HOGAR DE CRISTO - PADRE RAUL CONTRERAS</v>
      </c>
      <c r="C792" s="272"/>
      <c r="D792" s="130" t="s">
        <v>241</v>
      </c>
      <c r="E792" s="131" t="str">
        <f>'[1]COMEDORES EMERGENTES'!$G$12</f>
        <v>Bº SANTA MARTA MZA. "S" LOTE "M" C/39</v>
      </c>
    </row>
    <row r="793" spans="2:5" x14ac:dyDescent="0.2">
      <c r="B793" s="271" t="str">
        <f>'[1]COMEDORES EMERGENTES'!$B$13</f>
        <v>LA LUCIERNAGA</v>
      </c>
      <c r="C793" s="272"/>
      <c r="D793" s="130" t="s">
        <v>241</v>
      </c>
      <c r="E793" s="131" t="str">
        <f>'[1]COMEDORES EMERGENTES'!$G$13</f>
        <v>Bº 20 V.V NORTE C/3</v>
      </c>
    </row>
    <row r="794" spans="2:5" x14ac:dyDescent="0.2">
      <c r="B794" s="271" t="str">
        <f>'[1]COMEDORES EMERGENTES'!$B$14</f>
        <v>VALLE VIEJO - SUMALAO</v>
      </c>
      <c r="C794" s="272"/>
      <c r="D794" s="130" t="s">
        <v>241</v>
      </c>
      <c r="E794" s="131" t="str">
        <f>'[1]COMEDORES EMERGENTES'!$G$14</f>
        <v>PADRE SEGURA S/N</v>
      </c>
    </row>
    <row r="795" spans="2:5" x14ac:dyDescent="0.2">
      <c r="B795" s="271" t="str">
        <f>'[1]COMEDORES EMERGENTES'!$B$15</f>
        <v>NUESTRO FUTURO - LAS VIAS</v>
      </c>
      <c r="C795" s="272"/>
      <c r="D795" s="130" t="s">
        <v>241</v>
      </c>
      <c r="E795" s="131" t="str">
        <f>'[1]COMEDORES EMERGENTES'!$G$15</f>
        <v>Bº LAS VIAS OESTE LOTE 42</v>
      </c>
    </row>
    <row r="796" spans="2:5" x14ac:dyDescent="0.2">
      <c r="B796" s="271" t="str">
        <f>'[1]COMEDORES EMERGENTES'!$B$16</f>
        <v>SAN JOSE OBRERO</v>
      </c>
      <c r="C796" s="272"/>
      <c r="D796" s="130" t="s">
        <v>241</v>
      </c>
      <c r="E796" s="131" t="str">
        <f>'[1]COMEDORES EMERGENTES'!$G$16</f>
        <v>Bº SAN JOSE OBRERO. PJE. SANDOVAL S/Nº</v>
      </c>
    </row>
    <row r="797" spans="2:5" x14ac:dyDescent="0.2">
      <c r="B797" s="271" t="str">
        <f>'[1]COMEDORES EMERGENTES'!$B$17</f>
        <v>VIRGEN DE LUJAN</v>
      </c>
      <c r="C797" s="272"/>
      <c r="D797" s="130" t="s">
        <v>241</v>
      </c>
      <c r="E797" s="131" t="str">
        <f>'[1]COMEDORES EMERGENTES'!$G$17</f>
        <v>Bº OJO DE AGUA C/DR.TEODULFO BARRIONUEVO S/Nº</v>
      </c>
    </row>
    <row r="798" spans="2:5" x14ac:dyDescent="0.2">
      <c r="B798" s="271" t="str">
        <f>'[1]COMEDORES EMERGENTES'!$B$18</f>
        <v>RENACER</v>
      </c>
      <c r="C798" s="272"/>
      <c r="D798" s="130" t="s">
        <v>241</v>
      </c>
      <c r="E798" s="131" t="str">
        <f>'[1]COMEDORES EMERGENTES'!$G$18</f>
        <v>Bº VIRGEN MORENITA</v>
      </c>
    </row>
    <row r="799" spans="2:5" x14ac:dyDescent="0.2">
      <c r="B799" s="271" t="str">
        <f>'[1]COMEDORES EMERGENTES'!$B$19</f>
        <v>CENTRO VECINAL MI JARDIN</v>
      </c>
      <c r="C799" s="272"/>
      <c r="D799" s="130" t="s">
        <v>241</v>
      </c>
      <c r="E799" s="131" t="str">
        <f>'[1]COMEDORES EMERGENTES'!$G$19</f>
        <v>C/ LOS TULIPANES ENTRE FLOR DE CEREZO Y HOLANDA MZA.27 Bº MI JARDIN</v>
      </c>
    </row>
    <row r="800" spans="2:5" x14ac:dyDescent="0.2">
      <c r="B800" s="271" t="str">
        <f>'[1]COMEDORES EMERGENTES'!$B$20</f>
        <v>LA VIEJA ESQUINA</v>
      </c>
      <c r="C800" s="272"/>
      <c r="D800" s="130" t="s">
        <v>241</v>
      </c>
      <c r="E800" s="131" t="str">
        <f>'[1]COMEDORES EMERGENTES'!$G$20</f>
        <v>B° CRISTO REY PJE CAPATAZ VILLAFAÑEZ Y ARMANDO CORREA</v>
      </c>
    </row>
    <row r="801" spans="2:5" x14ac:dyDescent="0.2">
      <c r="B801" s="271" t="str">
        <f>'[1]COMEDORES EMERGENTES'!$B$21</f>
        <v>GAUCHITO GIL</v>
      </c>
      <c r="C801" s="272"/>
      <c r="D801" s="130" t="s">
        <v>241</v>
      </c>
      <c r="E801" s="131" t="str">
        <f>'[1]COMEDORES EMERGENTES'!$G$21</f>
        <v>B° 26 VIVIENDAS CASA N° 3</v>
      </c>
    </row>
    <row r="802" spans="2:5" ht="13.5" thickBot="1" x14ac:dyDescent="0.25">
      <c r="B802" s="288" t="str">
        <f>'[1]COMEDORES EMERGENTES'!$B$22</f>
        <v>LOS TOLDOS</v>
      </c>
      <c r="C802" s="289"/>
      <c r="D802" s="137" t="s">
        <v>241</v>
      </c>
      <c r="E802" s="138" t="str">
        <f>'[1]COMEDORES EMERGENTES'!$G$22</f>
        <v>LOTEO PARQUE SUR CALLE S/NOMBRE S/N°</v>
      </c>
    </row>
    <row r="803" spans="2:5" x14ac:dyDescent="0.2">
      <c r="B803" s="50" t="s">
        <v>18</v>
      </c>
      <c r="C803" s="48"/>
      <c r="D803" s="94"/>
      <c r="E803" s="49"/>
    </row>
    <row r="804" spans="2:5" x14ac:dyDescent="0.2">
      <c r="B804" s="51"/>
      <c r="C804" s="287" t="s">
        <v>63</v>
      </c>
      <c r="D804" s="287"/>
      <c r="E804" s="287"/>
    </row>
    <row r="805" spans="2:5" x14ac:dyDescent="0.2">
      <c r="B805" s="50" t="s">
        <v>19</v>
      </c>
      <c r="C805" s="52"/>
      <c r="D805" s="52"/>
      <c r="E805" s="53"/>
    </row>
    <row r="806" spans="2:5" x14ac:dyDescent="0.2">
      <c r="B806" s="51"/>
      <c r="C806" s="287" t="s">
        <v>140</v>
      </c>
      <c r="D806" s="287"/>
      <c r="E806" s="287"/>
    </row>
    <row r="807" spans="2:5" x14ac:dyDescent="0.2">
      <c r="B807" s="50" t="s">
        <v>20</v>
      </c>
      <c r="C807" s="48"/>
      <c r="D807" s="94"/>
      <c r="E807" s="49"/>
    </row>
    <row r="808" spans="2:5" x14ac:dyDescent="0.2">
      <c r="B808" s="50"/>
      <c r="C808" s="286" t="s">
        <v>64</v>
      </c>
      <c r="D808" s="286"/>
      <c r="E808" s="286"/>
    </row>
    <row r="809" spans="2:5" ht="13.5" thickBot="1" x14ac:dyDescent="0.25">
      <c r="B809" s="54"/>
      <c r="C809" s="55"/>
      <c r="D809" s="95"/>
      <c r="E809" s="56"/>
    </row>
    <row r="810" spans="2:5" ht="13.5" thickBot="1" x14ac:dyDescent="0.25"/>
    <row r="811" spans="2:5" x14ac:dyDescent="0.2">
      <c r="B811" s="44" t="s">
        <v>160</v>
      </c>
      <c r="C811" s="45"/>
      <c r="D811" s="93"/>
      <c r="E811" s="46"/>
    </row>
    <row r="812" spans="2:5" x14ac:dyDescent="0.2">
      <c r="B812" s="47"/>
      <c r="C812" s="48"/>
      <c r="D812" s="94"/>
      <c r="E812" s="49"/>
    </row>
    <row r="813" spans="2:5" x14ac:dyDescent="0.2">
      <c r="B813" s="50" t="s">
        <v>16</v>
      </c>
      <c r="C813" s="48"/>
      <c r="D813" s="94"/>
      <c r="E813" s="49"/>
    </row>
    <row r="814" spans="2:5" ht="25.5" customHeight="1" x14ac:dyDescent="0.2">
      <c r="B814" s="50"/>
      <c r="C814" s="287"/>
      <c r="D814" s="287"/>
      <c r="E814" s="287"/>
    </row>
    <row r="815" spans="2:5" ht="13.5" thickBot="1" x14ac:dyDescent="0.25">
      <c r="B815" s="50" t="s">
        <v>17</v>
      </c>
      <c r="C815" s="48"/>
      <c r="D815" s="94"/>
      <c r="E815" s="49"/>
    </row>
    <row r="816" spans="2:5" ht="13.5" thickBot="1" x14ac:dyDescent="0.25">
      <c r="B816" s="273" t="s">
        <v>240</v>
      </c>
      <c r="C816" s="274"/>
      <c r="D816" s="274"/>
      <c r="E816" s="275"/>
    </row>
    <row r="817" spans="2:5" ht="13.5" thickBot="1" x14ac:dyDescent="0.25">
      <c r="B817" s="273" t="s">
        <v>138</v>
      </c>
      <c r="C817" s="275"/>
      <c r="D817" s="91" t="s">
        <v>11</v>
      </c>
      <c r="E817" s="91" t="s">
        <v>139</v>
      </c>
    </row>
    <row r="818" spans="2:5" x14ac:dyDescent="0.2">
      <c r="B818" s="280" t="str">
        <f>'[1]COMEDORES EMERGENTES'!$B$3</f>
        <v>UNA SONRISA AV. LOS COBACHO</v>
      </c>
      <c r="C818" s="281"/>
      <c r="D818" s="135" t="s">
        <v>241</v>
      </c>
      <c r="E818" s="136" t="str">
        <f>'[1]COMEDORES EMERGENTES'!$G$3</f>
        <v>Bº SAN CARLOS OESTE AV. Bonifacio cobacho 670</v>
      </c>
    </row>
    <row r="819" spans="2:5" x14ac:dyDescent="0.2">
      <c r="B819" s="271" t="str">
        <f>'[1]COMEDORES EMERGENTES'!$B$4</f>
        <v>C.I.F Nº1 - RIVERA DEL VALLE Y FLORIDA</v>
      </c>
      <c r="C819" s="272"/>
      <c r="D819" s="130" t="s">
        <v>241</v>
      </c>
      <c r="E819" s="131" t="str">
        <f>'[1]COMEDORES EMERGENTES'!$G$4</f>
        <v>AV. RIVIERA DEL VALLE ENTRE FLORIDA Y SANTA FE</v>
      </c>
    </row>
    <row r="820" spans="2:5" x14ac:dyDescent="0.2">
      <c r="B820" s="271" t="str">
        <f>'[1]COMEDORES EMERGENTES'!$B$5</f>
        <v>C.I.F - RIVERA DEL VALLE - DILORENZO</v>
      </c>
      <c r="C820" s="272"/>
      <c r="D820" s="130" t="s">
        <v>241</v>
      </c>
      <c r="E820" s="131" t="str">
        <f>'[1]COMEDORES EMERGENTES'!$G$5</f>
        <v>Bº RIVERA DEL VALLE ENTRE VILLA EUMELIA Y MONTE CRISTO</v>
      </c>
    </row>
    <row r="821" spans="2:5" x14ac:dyDescent="0.2">
      <c r="B821" s="271" t="str">
        <f>'[1]COMEDORES EMERGENTES'!$B$6</f>
        <v>ESFUERZO PROPIO- Bº ALTOS DE CHOYA</v>
      </c>
      <c r="C821" s="272"/>
      <c r="D821" s="130" t="s">
        <v>241</v>
      </c>
      <c r="E821" s="131" t="str">
        <f>'[1]COMEDORES EMERGENTES'!$G$6</f>
        <v>Bº MUNICIPAL 35VV. NORTE C/14</v>
      </c>
    </row>
    <row r="822" spans="2:5" x14ac:dyDescent="0.2">
      <c r="B822" s="271" t="str">
        <f>'[1]COMEDORES EMERGENTES'!$B$7</f>
        <v>ANGELITOS - LOTEO SUSSEX</v>
      </c>
      <c r="C822" s="272"/>
      <c r="D822" s="130" t="s">
        <v>241</v>
      </c>
      <c r="E822" s="131" t="str">
        <f>'[1]COMEDORES EMERGENTES'!$G$7</f>
        <v>Bº LOTEO SUSEX MZA.Nº 4 LOTE Nº3</v>
      </c>
    </row>
    <row r="823" spans="2:5" x14ac:dyDescent="0.2">
      <c r="B823" s="271" t="str">
        <f>'[1]COMEDORES EMERGENTES'!$B$8</f>
        <v>CLUB DEPORTIVO CHACARITA</v>
      </c>
      <c r="C823" s="272"/>
      <c r="D823" s="130" t="s">
        <v>241</v>
      </c>
      <c r="E823" s="131" t="str">
        <f>'[1]COMEDORES EMERGENTES'!$G$8</f>
        <v>CALLE DR.DERMIDIO GALINDEZ C/2660</v>
      </c>
    </row>
    <row r="824" spans="2:5" x14ac:dyDescent="0.2">
      <c r="B824" s="271" t="str">
        <f>'[1]COMEDORES EMERGENTES'!$B$9</f>
        <v>LA MORO</v>
      </c>
      <c r="C824" s="272"/>
      <c r="D824" s="130" t="s">
        <v>241</v>
      </c>
      <c r="E824" s="131" t="str">
        <f>'[1]COMEDORES EMERGENTES'!$G$9</f>
        <v>MAIPU NORTE 1º ETAPA MZA "H" Bº MI JARDIN</v>
      </c>
    </row>
    <row r="825" spans="2:5" x14ac:dyDescent="0.2">
      <c r="B825" s="271" t="str">
        <f>'[1]COMEDORES EMERGENTES'!$B$10</f>
        <v>PAPA FRANCISCO</v>
      </c>
      <c r="C825" s="272"/>
      <c r="D825" s="130" t="s">
        <v>241</v>
      </c>
      <c r="E825" s="131" t="str">
        <f>'[1]COMEDORES EMERGENTES'!$G$10</f>
        <v>ENTRE AV.TEREBINTO Y AV.SAN JUAN LOTE "2" MZA. "B"</v>
      </c>
    </row>
    <row r="826" spans="2:5" x14ac:dyDescent="0.2">
      <c r="B826" s="271" t="str">
        <f>'[1]COMEDORES EMERGENTES'!$B$11</f>
        <v>E.P.C - 100 V.V NORTE</v>
      </c>
      <c r="C826" s="272"/>
      <c r="D826" s="130" t="s">
        <v>241</v>
      </c>
      <c r="E826" s="131" t="str">
        <f>'[1]COMEDORES EMERGENTES'!$G$11</f>
        <v>Bº VV NORTE C/48 ENTRE ESPAÑA Y FRANCIA</v>
      </c>
    </row>
    <row r="827" spans="2:5" x14ac:dyDescent="0.2">
      <c r="B827" s="271" t="str">
        <f>'[1]COMEDORES EMERGENTES'!$B$12</f>
        <v>HOGAR DE CRISTO - PADRE RAUL CONTRERAS</v>
      </c>
      <c r="C827" s="272"/>
      <c r="D827" s="130" t="s">
        <v>241</v>
      </c>
      <c r="E827" s="131" t="str">
        <f>'[1]COMEDORES EMERGENTES'!$G$12</f>
        <v>Bº SANTA MARTA MZA. "S" LOTE "M" C/39</v>
      </c>
    </row>
    <row r="828" spans="2:5" x14ac:dyDescent="0.2">
      <c r="B828" s="271" t="str">
        <f>'[1]COMEDORES EMERGENTES'!$B$13</f>
        <v>LA LUCIERNAGA</v>
      </c>
      <c r="C828" s="272"/>
      <c r="D828" s="130" t="s">
        <v>241</v>
      </c>
      <c r="E828" s="131" t="str">
        <f>'[1]COMEDORES EMERGENTES'!$G$13</f>
        <v>Bº 20 V.V NORTE C/3</v>
      </c>
    </row>
    <row r="829" spans="2:5" x14ac:dyDescent="0.2">
      <c r="B829" s="271" t="str">
        <f>'[1]COMEDORES EMERGENTES'!$B$14</f>
        <v>VALLE VIEJO - SUMALAO</v>
      </c>
      <c r="C829" s="272"/>
      <c r="D829" s="130" t="s">
        <v>241</v>
      </c>
      <c r="E829" s="131" t="str">
        <f>'[1]COMEDORES EMERGENTES'!$G$14</f>
        <v>PADRE SEGURA S/N</v>
      </c>
    </row>
    <row r="830" spans="2:5" x14ac:dyDescent="0.2">
      <c r="B830" s="271" t="str">
        <f>'[1]COMEDORES EMERGENTES'!$B$15</f>
        <v>NUESTRO FUTURO - LAS VIAS</v>
      </c>
      <c r="C830" s="272"/>
      <c r="D830" s="130" t="s">
        <v>241</v>
      </c>
      <c r="E830" s="131" t="str">
        <f>'[1]COMEDORES EMERGENTES'!$G$15</f>
        <v>Bº LAS VIAS OESTE LOTE 42</v>
      </c>
    </row>
    <row r="831" spans="2:5" x14ac:dyDescent="0.2">
      <c r="B831" s="271" t="str">
        <f>'[1]COMEDORES EMERGENTES'!$B$16</f>
        <v>SAN JOSE OBRERO</v>
      </c>
      <c r="C831" s="272"/>
      <c r="D831" s="130" t="s">
        <v>241</v>
      </c>
      <c r="E831" s="131" t="str">
        <f>'[1]COMEDORES EMERGENTES'!$G$16</f>
        <v>Bº SAN JOSE OBRERO. PJE. SANDOVAL S/Nº</v>
      </c>
    </row>
    <row r="832" spans="2:5" x14ac:dyDescent="0.2">
      <c r="B832" s="271" t="str">
        <f>'[1]COMEDORES EMERGENTES'!$B$17</f>
        <v>VIRGEN DE LUJAN</v>
      </c>
      <c r="C832" s="272"/>
      <c r="D832" s="130" t="s">
        <v>241</v>
      </c>
      <c r="E832" s="131" t="str">
        <f>'[1]COMEDORES EMERGENTES'!$G$17</f>
        <v>Bº OJO DE AGUA C/DR.TEODULFO BARRIONUEVO S/Nº</v>
      </c>
    </row>
    <row r="833" spans="2:5" x14ac:dyDescent="0.2">
      <c r="B833" s="271" t="str">
        <f>'[1]COMEDORES EMERGENTES'!$B$18</f>
        <v>RENACER</v>
      </c>
      <c r="C833" s="272"/>
      <c r="D833" s="130" t="s">
        <v>241</v>
      </c>
      <c r="E833" s="131" t="str">
        <f>'[1]COMEDORES EMERGENTES'!$G$18</f>
        <v>Bº VIRGEN MORENITA</v>
      </c>
    </row>
    <row r="834" spans="2:5" x14ac:dyDescent="0.2">
      <c r="B834" s="271" t="str">
        <f>'[1]COMEDORES EMERGENTES'!$B$19</f>
        <v>CENTRO VECINAL MI JARDIN</v>
      </c>
      <c r="C834" s="272"/>
      <c r="D834" s="130" t="s">
        <v>241</v>
      </c>
      <c r="E834" s="131" t="str">
        <f>'[1]COMEDORES EMERGENTES'!$G$19</f>
        <v>C/ LOS TULIPANES ENTRE FLOR DE CEREZO Y HOLANDA MZA.27 Bº MI JARDIN</v>
      </c>
    </row>
    <row r="835" spans="2:5" x14ac:dyDescent="0.2">
      <c r="B835" s="271" t="str">
        <f>'[1]COMEDORES EMERGENTES'!$B$20</f>
        <v>LA VIEJA ESQUINA</v>
      </c>
      <c r="C835" s="272"/>
      <c r="D835" s="130" t="s">
        <v>241</v>
      </c>
      <c r="E835" s="131" t="str">
        <f>'[1]COMEDORES EMERGENTES'!$G$20</f>
        <v>B° CRISTO REY PJE CAPATAZ VILLAFAÑEZ Y ARMANDO CORREA</v>
      </c>
    </row>
    <row r="836" spans="2:5" x14ac:dyDescent="0.2">
      <c r="B836" s="271" t="str">
        <f>'[1]COMEDORES EMERGENTES'!$B$21</f>
        <v>GAUCHITO GIL</v>
      </c>
      <c r="C836" s="272"/>
      <c r="D836" s="130" t="s">
        <v>241</v>
      </c>
      <c r="E836" s="131" t="str">
        <f>'[1]COMEDORES EMERGENTES'!$G$21</f>
        <v>B° 26 VIVIENDAS CASA N° 3</v>
      </c>
    </row>
    <row r="837" spans="2:5" ht="13.5" thickBot="1" x14ac:dyDescent="0.25">
      <c r="B837" s="288" t="str">
        <f>'[1]COMEDORES EMERGENTES'!$B$22</f>
        <v>LOS TOLDOS</v>
      </c>
      <c r="C837" s="289"/>
      <c r="D837" s="137" t="s">
        <v>241</v>
      </c>
      <c r="E837" s="138" t="str">
        <f>'[1]COMEDORES EMERGENTES'!$G$22</f>
        <v>LOTEO PARQUE SUR CALLE S/NOMBRE S/N°</v>
      </c>
    </row>
    <row r="838" spans="2:5" x14ac:dyDescent="0.2">
      <c r="B838" s="50" t="s">
        <v>18</v>
      </c>
      <c r="C838" s="48"/>
      <c r="D838" s="94"/>
      <c r="E838" s="49"/>
    </row>
    <row r="839" spans="2:5" x14ac:dyDescent="0.2">
      <c r="B839" s="51"/>
      <c r="C839" s="287" t="s">
        <v>63</v>
      </c>
      <c r="D839" s="287"/>
      <c r="E839" s="287"/>
    </row>
    <row r="840" spans="2:5" x14ac:dyDescent="0.2">
      <c r="B840" s="50" t="s">
        <v>19</v>
      </c>
      <c r="C840" s="52"/>
      <c r="D840" s="52"/>
      <c r="E840" s="53"/>
    </row>
    <row r="841" spans="2:5" x14ac:dyDescent="0.2">
      <c r="B841" s="51"/>
      <c r="C841" s="287" t="s">
        <v>140</v>
      </c>
      <c r="D841" s="287"/>
      <c r="E841" s="287"/>
    </row>
    <row r="842" spans="2:5" x14ac:dyDescent="0.2">
      <c r="B842" s="50" t="s">
        <v>20</v>
      </c>
      <c r="C842" s="48"/>
      <c r="D842" s="94"/>
      <c r="E842" s="49"/>
    </row>
    <row r="843" spans="2:5" x14ac:dyDescent="0.2">
      <c r="B843" s="50"/>
      <c r="C843" s="286" t="s">
        <v>64</v>
      </c>
      <c r="D843" s="286"/>
      <c r="E843" s="286"/>
    </row>
    <row r="844" spans="2:5" ht="13.5" thickBot="1" x14ac:dyDescent="0.25">
      <c r="B844" s="54"/>
      <c r="C844" s="55"/>
      <c r="D844" s="95"/>
      <c r="E844" s="56"/>
    </row>
    <row r="845" spans="2:5" ht="13.5" thickBot="1" x14ac:dyDescent="0.25"/>
    <row r="846" spans="2:5" x14ac:dyDescent="0.2">
      <c r="B846" s="44" t="s">
        <v>161</v>
      </c>
      <c r="C846" s="45"/>
      <c r="D846" s="93"/>
      <c r="E846" s="46"/>
    </row>
    <row r="847" spans="2:5" x14ac:dyDescent="0.2">
      <c r="B847" s="47"/>
      <c r="C847" s="48"/>
      <c r="D847" s="94"/>
      <c r="E847" s="49"/>
    </row>
    <row r="848" spans="2:5" x14ac:dyDescent="0.2">
      <c r="B848" s="50" t="s">
        <v>16</v>
      </c>
      <c r="C848" s="48"/>
      <c r="D848" s="94"/>
      <c r="E848" s="49"/>
    </row>
    <row r="849" spans="2:5" ht="25.5" customHeight="1" x14ac:dyDescent="0.2">
      <c r="B849" s="50"/>
      <c r="C849" s="287"/>
      <c r="D849" s="287"/>
      <c r="E849" s="287"/>
    </row>
    <row r="850" spans="2:5" ht="13.5" thickBot="1" x14ac:dyDescent="0.25">
      <c r="B850" s="50" t="s">
        <v>17</v>
      </c>
      <c r="C850" s="48"/>
      <c r="D850" s="94"/>
      <c r="E850" s="49"/>
    </row>
    <row r="851" spans="2:5" ht="13.5" thickBot="1" x14ac:dyDescent="0.25">
      <c r="B851" s="273" t="s">
        <v>240</v>
      </c>
      <c r="C851" s="274"/>
      <c r="D851" s="274"/>
      <c r="E851" s="275"/>
    </row>
    <row r="852" spans="2:5" ht="13.5" thickBot="1" x14ac:dyDescent="0.25">
      <c r="B852" s="273" t="s">
        <v>138</v>
      </c>
      <c r="C852" s="275"/>
      <c r="D852" s="91" t="s">
        <v>11</v>
      </c>
      <c r="E852" s="91" t="s">
        <v>139</v>
      </c>
    </row>
    <row r="853" spans="2:5" x14ac:dyDescent="0.2">
      <c r="B853" s="280" t="str">
        <f>'[1]COMEDORES EMERGENTES'!$B$3</f>
        <v>UNA SONRISA AV. LOS COBACHO</v>
      </c>
      <c r="C853" s="281"/>
      <c r="D853" s="135" t="s">
        <v>241</v>
      </c>
      <c r="E853" s="136" t="str">
        <f>'[1]COMEDORES EMERGENTES'!$G$3</f>
        <v>Bº SAN CARLOS OESTE AV. Bonifacio cobacho 670</v>
      </c>
    </row>
    <row r="854" spans="2:5" x14ac:dyDescent="0.2">
      <c r="B854" s="271" t="str">
        <f>'[1]COMEDORES EMERGENTES'!$B$4</f>
        <v>C.I.F Nº1 - RIVERA DEL VALLE Y FLORIDA</v>
      </c>
      <c r="C854" s="272"/>
      <c r="D854" s="130" t="s">
        <v>241</v>
      </c>
      <c r="E854" s="131" t="str">
        <f>'[1]COMEDORES EMERGENTES'!$G$4</f>
        <v>AV. RIVIERA DEL VALLE ENTRE FLORIDA Y SANTA FE</v>
      </c>
    </row>
    <row r="855" spans="2:5" x14ac:dyDescent="0.2">
      <c r="B855" s="271" t="str">
        <f>'[1]COMEDORES EMERGENTES'!$B$5</f>
        <v>C.I.F - RIVERA DEL VALLE - DILORENZO</v>
      </c>
      <c r="C855" s="272"/>
      <c r="D855" s="130" t="s">
        <v>241</v>
      </c>
      <c r="E855" s="131" t="str">
        <f>'[1]COMEDORES EMERGENTES'!$G$5</f>
        <v>Bº RIVERA DEL VALLE ENTRE VILLA EUMELIA Y MONTE CRISTO</v>
      </c>
    </row>
    <row r="856" spans="2:5" x14ac:dyDescent="0.2">
      <c r="B856" s="271" t="str">
        <f>'[1]COMEDORES EMERGENTES'!$B$6</f>
        <v>ESFUERZO PROPIO- Bº ALTOS DE CHOYA</v>
      </c>
      <c r="C856" s="272"/>
      <c r="D856" s="130" t="s">
        <v>241</v>
      </c>
      <c r="E856" s="131" t="str">
        <f>'[1]COMEDORES EMERGENTES'!$G$6</f>
        <v>Bº MUNICIPAL 35VV. NORTE C/14</v>
      </c>
    </row>
    <row r="857" spans="2:5" x14ac:dyDescent="0.2">
      <c r="B857" s="271" t="str">
        <f>'[1]COMEDORES EMERGENTES'!$B$7</f>
        <v>ANGELITOS - LOTEO SUSSEX</v>
      </c>
      <c r="C857" s="272"/>
      <c r="D857" s="130" t="s">
        <v>241</v>
      </c>
      <c r="E857" s="131" t="str">
        <f>'[1]COMEDORES EMERGENTES'!$G$7</f>
        <v>Bº LOTEO SUSEX MZA.Nº 4 LOTE Nº3</v>
      </c>
    </row>
    <row r="858" spans="2:5" x14ac:dyDescent="0.2">
      <c r="B858" s="271" t="str">
        <f>'[1]COMEDORES EMERGENTES'!$B$8</f>
        <v>CLUB DEPORTIVO CHACARITA</v>
      </c>
      <c r="C858" s="272"/>
      <c r="D858" s="130" t="s">
        <v>241</v>
      </c>
      <c r="E858" s="131" t="str">
        <f>'[1]COMEDORES EMERGENTES'!$G$8</f>
        <v>CALLE DR.DERMIDIO GALINDEZ C/2660</v>
      </c>
    </row>
    <row r="859" spans="2:5" x14ac:dyDescent="0.2">
      <c r="B859" s="271" t="str">
        <f>'[1]COMEDORES EMERGENTES'!$B$9</f>
        <v>LA MORO</v>
      </c>
      <c r="C859" s="272"/>
      <c r="D859" s="130" t="s">
        <v>241</v>
      </c>
      <c r="E859" s="131" t="str">
        <f>'[1]COMEDORES EMERGENTES'!$G$9</f>
        <v>MAIPU NORTE 1º ETAPA MZA "H" Bº MI JARDIN</v>
      </c>
    </row>
    <row r="860" spans="2:5" x14ac:dyDescent="0.2">
      <c r="B860" s="271" t="str">
        <f>'[1]COMEDORES EMERGENTES'!$B$10</f>
        <v>PAPA FRANCISCO</v>
      </c>
      <c r="C860" s="272"/>
      <c r="D860" s="130" t="s">
        <v>241</v>
      </c>
      <c r="E860" s="131" t="str">
        <f>'[1]COMEDORES EMERGENTES'!$G$10</f>
        <v>ENTRE AV.TEREBINTO Y AV.SAN JUAN LOTE "2" MZA. "B"</v>
      </c>
    </row>
    <row r="861" spans="2:5" x14ac:dyDescent="0.2">
      <c r="B861" s="271" t="str">
        <f>'[1]COMEDORES EMERGENTES'!$B$11</f>
        <v>E.P.C - 100 V.V NORTE</v>
      </c>
      <c r="C861" s="272"/>
      <c r="D861" s="130" t="s">
        <v>241</v>
      </c>
      <c r="E861" s="131" t="str">
        <f>'[1]COMEDORES EMERGENTES'!$G$11</f>
        <v>Bº VV NORTE C/48 ENTRE ESPAÑA Y FRANCIA</v>
      </c>
    </row>
    <row r="862" spans="2:5" x14ac:dyDescent="0.2">
      <c r="B862" s="271" t="str">
        <f>'[1]COMEDORES EMERGENTES'!$B$12</f>
        <v>HOGAR DE CRISTO - PADRE RAUL CONTRERAS</v>
      </c>
      <c r="C862" s="272"/>
      <c r="D862" s="130" t="s">
        <v>241</v>
      </c>
      <c r="E862" s="131" t="str">
        <f>'[1]COMEDORES EMERGENTES'!$G$12</f>
        <v>Bº SANTA MARTA MZA. "S" LOTE "M" C/39</v>
      </c>
    </row>
    <row r="863" spans="2:5" x14ac:dyDescent="0.2">
      <c r="B863" s="271" t="str">
        <f>'[1]COMEDORES EMERGENTES'!$B$13</f>
        <v>LA LUCIERNAGA</v>
      </c>
      <c r="C863" s="272"/>
      <c r="D863" s="130" t="s">
        <v>241</v>
      </c>
      <c r="E863" s="131" t="str">
        <f>'[1]COMEDORES EMERGENTES'!$G$13</f>
        <v>Bº 20 V.V NORTE C/3</v>
      </c>
    </row>
    <row r="864" spans="2:5" x14ac:dyDescent="0.2">
      <c r="B864" s="271" t="str">
        <f>'[1]COMEDORES EMERGENTES'!$B$14</f>
        <v>VALLE VIEJO - SUMALAO</v>
      </c>
      <c r="C864" s="272"/>
      <c r="D864" s="130" t="s">
        <v>241</v>
      </c>
      <c r="E864" s="131" t="str">
        <f>'[1]COMEDORES EMERGENTES'!$G$14</f>
        <v>PADRE SEGURA S/N</v>
      </c>
    </row>
    <row r="865" spans="2:5" x14ac:dyDescent="0.2">
      <c r="B865" s="271" t="str">
        <f>'[1]COMEDORES EMERGENTES'!$B$15</f>
        <v>NUESTRO FUTURO - LAS VIAS</v>
      </c>
      <c r="C865" s="272"/>
      <c r="D865" s="130" t="s">
        <v>241</v>
      </c>
      <c r="E865" s="131" t="str">
        <f>'[1]COMEDORES EMERGENTES'!$G$15</f>
        <v>Bº LAS VIAS OESTE LOTE 42</v>
      </c>
    </row>
    <row r="866" spans="2:5" x14ac:dyDescent="0.2">
      <c r="B866" s="271" t="str">
        <f>'[1]COMEDORES EMERGENTES'!$B$16</f>
        <v>SAN JOSE OBRERO</v>
      </c>
      <c r="C866" s="272"/>
      <c r="D866" s="130" t="s">
        <v>241</v>
      </c>
      <c r="E866" s="131" t="str">
        <f>'[1]COMEDORES EMERGENTES'!$G$16</f>
        <v>Bº SAN JOSE OBRERO. PJE. SANDOVAL S/Nº</v>
      </c>
    </row>
    <row r="867" spans="2:5" x14ac:dyDescent="0.2">
      <c r="B867" s="271" t="str">
        <f>'[1]COMEDORES EMERGENTES'!$B$17</f>
        <v>VIRGEN DE LUJAN</v>
      </c>
      <c r="C867" s="272"/>
      <c r="D867" s="130" t="s">
        <v>241</v>
      </c>
      <c r="E867" s="131" t="str">
        <f>'[1]COMEDORES EMERGENTES'!$G$17</f>
        <v>Bº OJO DE AGUA C/DR.TEODULFO BARRIONUEVO S/Nº</v>
      </c>
    </row>
    <row r="868" spans="2:5" x14ac:dyDescent="0.2">
      <c r="B868" s="271" t="str">
        <f>'[1]COMEDORES EMERGENTES'!$B$18</f>
        <v>RENACER</v>
      </c>
      <c r="C868" s="272"/>
      <c r="D868" s="130" t="s">
        <v>241</v>
      </c>
      <c r="E868" s="131" t="str">
        <f>'[1]COMEDORES EMERGENTES'!$G$18</f>
        <v>Bº VIRGEN MORENITA</v>
      </c>
    </row>
    <row r="869" spans="2:5" x14ac:dyDescent="0.2">
      <c r="B869" s="271" t="str">
        <f>'[1]COMEDORES EMERGENTES'!$B$19</f>
        <v>CENTRO VECINAL MI JARDIN</v>
      </c>
      <c r="C869" s="272"/>
      <c r="D869" s="130" t="s">
        <v>241</v>
      </c>
      <c r="E869" s="131" t="str">
        <f>'[1]COMEDORES EMERGENTES'!$G$19</f>
        <v>C/ LOS TULIPANES ENTRE FLOR DE CEREZO Y HOLANDA MZA.27 Bº MI JARDIN</v>
      </c>
    </row>
    <row r="870" spans="2:5" x14ac:dyDescent="0.2">
      <c r="B870" s="271" t="str">
        <f>'[1]COMEDORES EMERGENTES'!$B$20</f>
        <v>LA VIEJA ESQUINA</v>
      </c>
      <c r="C870" s="272"/>
      <c r="D870" s="130" t="s">
        <v>241</v>
      </c>
      <c r="E870" s="131" t="str">
        <f>'[1]COMEDORES EMERGENTES'!$G$20</f>
        <v>B° CRISTO REY PJE CAPATAZ VILLAFAÑEZ Y ARMANDO CORREA</v>
      </c>
    </row>
    <row r="871" spans="2:5" x14ac:dyDescent="0.2">
      <c r="B871" s="271" t="str">
        <f>'[1]COMEDORES EMERGENTES'!$B$21</f>
        <v>GAUCHITO GIL</v>
      </c>
      <c r="C871" s="272"/>
      <c r="D871" s="130" t="s">
        <v>241</v>
      </c>
      <c r="E871" s="131" t="str">
        <f>'[1]COMEDORES EMERGENTES'!$G$21</f>
        <v>B° 26 VIVIENDAS CASA N° 3</v>
      </c>
    </row>
    <row r="872" spans="2:5" ht="13.5" thickBot="1" x14ac:dyDescent="0.25">
      <c r="B872" s="288" t="str">
        <f>'[1]COMEDORES EMERGENTES'!$B$22</f>
        <v>LOS TOLDOS</v>
      </c>
      <c r="C872" s="289"/>
      <c r="D872" s="137" t="s">
        <v>241</v>
      </c>
      <c r="E872" s="138" t="str">
        <f>'[1]COMEDORES EMERGENTES'!$G$22</f>
        <v>LOTEO PARQUE SUR CALLE S/NOMBRE S/N°</v>
      </c>
    </row>
    <row r="873" spans="2:5" x14ac:dyDescent="0.2">
      <c r="B873" s="50" t="s">
        <v>18</v>
      </c>
      <c r="C873" s="48"/>
      <c r="D873" s="94"/>
      <c r="E873" s="49"/>
    </row>
    <row r="874" spans="2:5" x14ac:dyDescent="0.2">
      <c r="B874" s="51"/>
      <c r="C874" s="287" t="s">
        <v>63</v>
      </c>
      <c r="D874" s="287"/>
      <c r="E874" s="287"/>
    </row>
    <row r="875" spans="2:5" x14ac:dyDescent="0.2">
      <c r="B875" s="50" t="s">
        <v>19</v>
      </c>
      <c r="C875" s="52"/>
      <c r="D875" s="52"/>
      <c r="E875" s="53"/>
    </row>
    <row r="876" spans="2:5" x14ac:dyDescent="0.2">
      <c r="B876" s="51"/>
      <c r="C876" s="287" t="s">
        <v>140</v>
      </c>
      <c r="D876" s="287"/>
      <c r="E876" s="287"/>
    </row>
    <row r="877" spans="2:5" x14ac:dyDescent="0.2">
      <c r="B877" s="50" t="s">
        <v>20</v>
      </c>
      <c r="C877" s="48"/>
      <c r="D877" s="94"/>
      <c r="E877" s="49"/>
    </row>
    <row r="878" spans="2:5" x14ac:dyDescent="0.2">
      <c r="B878" s="50"/>
      <c r="C878" s="286" t="s">
        <v>64</v>
      </c>
      <c r="D878" s="286"/>
      <c r="E878" s="286"/>
    </row>
    <row r="879" spans="2:5" ht="13.5" thickBot="1" x14ac:dyDescent="0.25">
      <c r="B879" s="54"/>
      <c r="C879" s="55"/>
      <c r="D879" s="95"/>
      <c r="E879" s="56"/>
    </row>
    <row r="880" spans="2:5" ht="13.5" thickBot="1" x14ac:dyDescent="0.25"/>
    <row r="881" spans="2:5" x14ac:dyDescent="0.2">
      <c r="B881" s="44" t="s">
        <v>162</v>
      </c>
      <c r="C881" s="45"/>
      <c r="D881" s="93"/>
      <c r="E881" s="46"/>
    </row>
    <row r="882" spans="2:5" x14ac:dyDescent="0.2">
      <c r="B882" s="47"/>
      <c r="C882" s="48"/>
      <c r="D882" s="94"/>
      <c r="E882" s="49"/>
    </row>
    <row r="883" spans="2:5" x14ac:dyDescent="0.2">
      <c r="B883" s="50" t="s">
        <v>16</v>
      </c>
      <c r="C883" s="48"/>
      <c r="D883" s="94"/>
      <c r="E883" s="49"/>
    </row>
    <row r="884" spans="2:5" ht="25.5" customHeight="1" x14ac:dyDescent="0.2">
      <c r="B884" s="50"/>
      <c r="C884" s="277"/>
      <c r="D884" s="277"/>
      <c r="E884" s="278"/>
    </row>
    <row r="885" spans="2:5" ht="13.5" thickBot="1" x14ac:dyDescent="0.25">
      <c r="B885" s="50" t="s">
        <v>17</v>
      </c>
      <c r="C885" s="48"/>
      <c r="D885" s="94"/>
      <c r="E885" s="49"/>
    </row>
    <row r="886" spans="2:5" ht="13.5" thickBot="1" x14ac:dyDescent="0.25">
      <c r="B886" s="273" t="s">
        <v>137</v>
      </c>
      <c r="C886" s="274"/>
      <c r="D886" s="274"/>
      <c r="E886" s="275"/>
    </row>
    <row r="887" spans="2:5" ht="13.5" thickBot="1" x14ac:dyDescent="0.25">
      <c r="B887" s="273" t="s">
        <v>138</v>
      </c>
      <c r="C887" s="275"/>
      <c r="D887" s="91" t="s">
        <v>11</v>
      </c>
      <c r="E887" s="91" t="s">
        <v>139</v>
      </c>
    </row>
    <row r="888" spans="2:5" x14ac:dyDescent="0.2">
      <c r="B888" s="280" t="str">
        <f>'[1]COMEDORES EMERGENTES'!$B$3</f>
        <v>UNA SONRISA AV. LOS COBACHO</v>
      </c>
      <c r="C888" s="281"/>
      <c r="D888" s="135">
        <v>2</v>
      </c>
      <c r="E888" s="136" t="str">
        <f>'[1]COMEDORES EMERGENTES'!$G$3</f>
        <v>Bº SAN CARLOS OESTE AV. Bonifacio cobacho 670</v>
      </c>
    </row>
    <row r="889" spans="2:5" x14ac:dyDescent="0.2">
      <c r="B889" s="271" t="str">
        <f>'[1]COMEDORES EMERGENTES'!$B$4</f>
        <v>C.I.F Nº1 - RIVERA DEL VALLE Y FLORIDA</v>
      </c>
      <c r="C889" s="272"/>
      <c r="D889" s="130">
        <v>2</v>
      </c>
      <c r="E889" s="131" t="str">
        <f>'[1]COMEDORES EMERGENTES'!$G$4</f>
        <v>AV. RIVIERA DEL VALLE ENTRE FLORIDA Y SANTA FE</v>
      </c>
    </row>
    <row r="890" spans="2:5" x14ac:dyDescent="0.2">
      <c r="B890" s="271" t="str">
        <f>'[1]COMEDORES EMERGENTES'!$B$5</f>
        <v>C.I.F - RIVERA DEL VALLE - DILORENZO</v>
      </c>
      <c r="C890" s="272"/>
      <c r="D890" s="130">
        <v>3</v>
      </c>
      <c r="E890" s="131" t="str">
        <f>'[1]COMEDORES EMERGENTES'!$G$5</f>
        <v>Bº RIVERA DEL VALLE ENTRE VILLA EUMELIA Y MONTE CRISTO</v>
      </c>
    </row>
    <row r="891" spans="2:5" x14ac:dyDescent="0.2">
      <c r="B891" s="271" t="str">
        <f>'[1]COMEDORES EMERGENTES'!$B$6</f>
        <v>ESFUERZO PROPIO- Bº ALTOS DE CHOYA</v>
      </c>
      <c r="C891" s="272"/>
      <c r="D891" s="130">
        <v>2</v>
      </c>
      <c r="E891" s="131" t="str">
        <f>'[1]COMEDORES EMERGENTES'!$G$6</f>
        <v>Bº MUNICIPAL 35VV. NORTE C/14</v>
      </c>
    </row>
    <row r="892" spans="2:5" x14ac:dyDescent="0.2">
      <c r="B892" s="271" t="str">
        <f>'[1]COMEDORES EMERGENTES'!$B$7</f>
        <v>ANGELITOS - LOTEO SUSSEX</v>
      </c>
      <c r="C892" s="272"/>
      <c r="D892" s="130">
        <v>1</v>
      </c>
      <c r="E892" s="131" t="str">
        <f>'[1]COMEDORES EMERGENTES'!$G$7</f>
        <v>Bº LOTEO SUSEX MZA.Nº 4 LOTE Nº3</v>
      </c>
    </row>
    <row r="893" spans="2:5" x14ac:dyDescent="0.2">
      <c r="B893" s="271" t="str">
        <f>'[1]COMEDORES EMERGENTES'!$B$8</f>
        <v>CLUB DEPORTIVO CHACARITA</v>
      </c>
      <c r="C893" s="272"/>
      <c r="D893" s="130">
        <v>1</v>
      </c>
      <c r="E893" s="131" t="str">
        <f>'[1]COMEDORES EMERGENTES'!$G$8</f>
        <v>CALLE DR.DERMIDIO GALINDEZ C/2660</v>
      </c>
    </row>
    <row r="894" spans="2:5" x14ac:dyDescent="0.2">
      <c r="B894" s="271" t="str">
        <f>'[1]COMEDORES EMERGENTES'!$B$9</f>
        <v>LA MORO</v>
      </c>
      <c r="C894" s="272"/>
      <c r="D894" s="130">
        <v>1</v>
      </c>
      <c r="E894" s="131" t="str">
        <f>'[1]COMEDORES EMERGENTES'!$G$9</f>
        <v>MAIPU NORTE 1º ETAPA MZA "H" Bº MI JARDIN</v>
      </c>
    </row>
    <row r="895" spans="2:5" x14ac:dyDescent="0.2">
      <c r="B895" s="271" t="str">
        <f>'[1]COMEDORES EMERGENTES'!$B$10</f>
        <v>PAPA FRANCISCO</v>
      </c>
      <c r="C895" s="272"/>
      <c r="D895" s="130">
        <v>2</v>
      </c>
      <c r="E895" s="131" t="str">
        <f>'[1]COMEDORES EMERGENTES'!$G$10</f>
        <v>ENTRE AV.TEREBINTO Y AV.SAN JUAN LOTE "2" MZA. "B"</v>
      </c>
    </row>
    <row r="896" spans="2:5" x14ac:dyDescent="0.2">
      <c r="B896" s="271" t="str">
        <f>'[1]COMEDORES EMERGENTES'!$B$11</f>
        <v>E.P.C - 100 V.V NORTE</v>
      </c>
      <c r="C896" s="272"/>
      <c r="D896" s="130">
        <v>3</v>
      </c>
      <c r="E896" s="131" t="str">
        <f>'[1]COMEDORES EMERGENTES'!$G$11</f>
        <v>Bº VV NORTE C/48 ENTRE ESPAÑA Y FRANCIA</v>
      </c>
    </row>
    <row r="897" spans="2:5" x14ac:dyDescent="0.2">
      <c r="B897" s="271" t="str">
        <f>'[1]COMEDORES EMERGENTES'!$B$12</f>
        <v>HOGAR DE CRISTO - PADRE RAUL CONTRERAS</v>
      </c>
      <c r="C897" s="272"/>
      <c r="D897" s="130">
        <v>3</v>
      </c>
      <c r="E897" s="131" t="str">
        <f>'[1]COMEDORES EMERGENTES'!$G$12</f>
        <v>Bº SANTA MARTA MZA. "S" LOTE "M" C/39</v>
      </c>
    </row>
    <row r="898" spans="2:5" x14ac:dyDescent="0.2">
      <c r="B898" s="271" t="str">
        <f>'[1]COMEDORES EMERGENTES'!$B$13</f>
        <v>LA LUCIERNAGA</v>
      </c>
      <c r="C898" s="272"/>
      <c r="D898" s="130">
        <v>2</v>
      </c>
      <c r="E898" s="131" t="str">
        <f>'[1]COMEDORES EMERGENTES'!$G$13</f>
        <v>Bº 20 V.V NORTE C/3</v>
      </c>
    </row>
    <row r="899" spans="2:5" x14ac:dyDescent="0.2">
      <c r="B899" s="271" t="str">
        <f>'[1]COMEDORES EMERGENTES'!$B$14</f>
        <v>VALLE VIEJO - SUMALAO</v>
      </c>
      <c r="C899" s="272"/>
      <c r="D899" s="130">
        <v>4</v>
      </c>
      <c r="E899" s="131" t="str">
        <f>'[1]COMEDORES EMERGENTES'!$G$14</f>
        <v>PADRE SEGURA S/N</v>
      </c>
    </row>
    <row r="900" spans="2:5" x14ac:dyDescent="0.2">
      <c r="B900" s="271" t="str">
        <f>'[1]COMEDORES EMERGENTES'!$B$15</f>
        <v>NUESTRO FUTURO - LAS VIAS</v>
      </c>
      <c r="C900" s="272"/>
      <c r="D900" s="130">
        <v>2</v>
      </c>
      <c r="E900" s="131" t="str">
        <f>'[1]COMEDORES EMERGENTES'!$G$15</f>
        <v>Bº LAS VIAS OESTE LOTE 42</v>
      </c>
    </row>
    <row r="901" spans="2:5" x14ac:dyDescent="0.2">
      <c r="B901" s="271" t="str">
        <f>'[1]COMEDORES EMERGENTES'!$B$16</f>
        <v>SAN JOSE OBRERO</v>
      </c>
      <c r="C901" s="272"/>
      <c r="D901" s="130">
        <v>1</v>
      </c>
      <c r="E901" s="131" t="str">
        <f>'[1]COMEDORES EMERGENTES'!$G$16</f>
        <v>Bº SAN JOSE OBRERO. PJE. SANDOVAL S/Nº</v>
      </c>
    </row>
    <row r="902" spans="2:5" x14ac:dyDescent="0.2">
      <c r="B902" s="271" t="str">
        <f>'[1]COMEDORES EMERGENTES'!$B$17</f>
        <v>VIRGEN DE LUJAN</v>
      </c>
      <c r="C902" s="272"/>
      <c r="D902" s="130">
        <v>2</v>
      </c>
      <c r="E902" s="131" t="str">
        <f>'[1]COMEDORES EMERGENTES'!$G$17</f>
        <v>Bº OJO DE AGUA C/DR.TEODULFO BARRIONUEVO S/Nº</v>
      </c>
    </row>
    <row r="903" spans="2:5" x14ac:dyDescent="0.2">
      <c r="B903" s="271" t="str">
        <f>'[1]COMEDORES EMERGENTES'!$B$18</f>
        <v>RENACER</v>
      </c>
      <c r="C903" s="272"/>
      <c r="D903" s="130">
        <v>3</v>
      </c>
      <c r="E903" s="131" t="str">
        <f>'[1]COMEDORES EMERGENTES'!$G$18</f>
        <v>Bº VIRGEN MORENITA</v>
      </c>
    </row>
    <row r="904" spans="2:5" x14ac:dyDescent="0.2">
      <c r="B904" s="271" t="str">
        <f>'[1]COMEDORES EMERGENTES'!$B$19</f>
        <v>CENTRO VECINAL MI JARDIN</v>
      </c>
      <c r="C904" s="272"/>
      <c r="D904" s="130">
        <v>2</v>
      </c>
      <c r="E904" s="131" t="str">
        <f>'[1]COMEDORES EMERGENTES'!$G$19</f>
        <v>C/ LOS TULIPANES ENTRE FLOR DE CEREZO Y HOLANDA MZA.27 Bº MI JARDIN</v>
      </c>
    </row>
    <row r="905" spans="2:5" x14ac:dyDescent="0.2">
      <c r="B905" s="271" t="str">
        <f>'[1]COMEDORES EMERGENTES'!$B$20</f>
        <v>LA VIEJA ESQUINA</v>
      </c>
      <c r="C905" s="272"/>
      <c r="D905" s="130">
        <v>2</v>
      </c>
      <c r="E905" s="131" t="str">
        <f>'[1]COMEDORES EMERGENTES'!$G$20</f>
        <v>B° CRISTO REY PJE CAPATAZ VILLAFAÑEZ Y ARMANDO CORREA</v>
      </c>
    </row>
    <row r="906" spans="2:5" x14ac:dyDescent="0.2">
      <c r="B906" s="271" t="str">
        <f>'[1]COMEDORES EMERGENTES'!$B$21</f>
        <v>GAUCHITO GIL</v>
      </c>
      <c r="C906" s="272"/>
      <c r="D906" s="130">
        <v>2</v>
      </c>
      <c r="E906" s="131" t="str">
        <f>'[1]COMEDORES EMERGENTES'!$G$21</f>
        <v>B° 26 VIVIENDAS CASA N° 3</v>
      </c>
    </row>
    <row r="907" spans="2:5" ht="13.5" thickBot="1" x14ac:dyDescent="0.25">
      <c r="B907" s="288" t="str">
        <f>'[1]COMEDORES EMERGENTES'!$B$22</f>
        <v>LOS TOLDOS</v>
      </c>
      <c r="C907" s="289"/>
      <c r="D907" s="137">
        <v>1</v>
      </c>
      <c r="E907" s="138" t="str">
        <f>'[1]COMEDORES EMERGENTES'!$G$22</f>
        <v>LOTEO PARQUE SUR CALLE S/NOMBRE S/N°</v>
      </c>
    </row>
    <row r="908" spans="2:5" x14ac:dyDescent="0.2">
      <c r="B908" s="50" t="s">
        <v>18</v>
      </c>
      <c r="C908" s="48"/>
      <c r="D908" s="94"/>
      <c r="E908" s="49"/>
    </row>
    <row r="909" spans="2:5" x14ac:dyDescent="0.2">
      <c r="B909" s="51"/>
      <c r="C909" s="287" t="s">
        <v>63</v>
      </c>
      <c r="D909" s="287"/>
      <c r="E909" s="287"/>
    </row>
    <row r="910" spans="2:5" x14ac:dyDescent="0.2">
      <c r="B910" s="50" t="s">
        <v>19</v>
      </c>
      <c r="C910" s="52"/>
      <c r="D910" s="52"/>
      <c r="E910" s="53"/>
    </row>
    <row r="911" spans="2:5" x14ac:dyDescent="0.2">
      <c r="B911" s="51"/>
      <c r="C911" s="287" t="s">
        <v>140</v>
      </c>
      <c r="D911" s="287"/>
      <c r="E911" s="287"/>
    </row>
    <row r="912" spans="2:5" x14ac:dyDescent="0.2">
      <c r="B912" s="50" t="s">
        <v>20</v>
      </c>
      <c r="C912" s="48"/>
      <c r="D912" s="94"/>
      <c r="E912" s="49"/>
    </row>
    <row r="913" spans="2:5" x14ac:dyDescent="0.2">
      <c r="B913" s="50"/>
      <c r="C913" s="286" t="s">
        <v>64</v>
      </c>
      <c r="D913" s="286"/>
      <c r="E913" s="286"/>
    </row>
    <row r="914" spans="2:5" ht="13.5" thickBot="1" x14ac:dyDescent="0.25">
      <c r="B914" s="54"/>
      <c r="C914" s="55"/>
      <c r="D914" s="95"/>
      <c r="E914" s="56"/>
    </row>
    <row r="915" spans="2:5" ht="13.5" thickBot="1" x14ac:dyDescent="0.25"/>
    <row r="916" spans="2:5" x14ac:dyDescent="0.2">
      <c r="B916" s="44" t="s">
        <v>163</v>
      </c>
      <c r="C916" s="45"/>
      <c r="D916" s="93"/>
      <c r="E916" s="46"/>
    </row>
    <row r="917" spans="2:5" x14ac:dyDescent="0.2">
      <c r="B917" s="47"/>
      <c r="C917" s="48"/>
      <c r="D917" s="94"/>
      <c r="E917" s="49"/>
    </row>
    <row r="918" spans="2:5" x14ac:dyDescent="0.2">
      <c r="B918" s="50" t="s">
        <v>16</v>
      </c>
      <c r="C918" s="48"/>
      <c r="D918" s="94"/>
      <c r="E918" s="49"/>
    </row>
    <row r="919" spans="2:5" ht="25.5" customHeight="1" x14ac:dyDescent="0.2">
      <c r="B919" s="50"/>
      <c r="C919" s="287"/>
      <c r="D919" s="287"/>
      <c r="E919" s="287"/>
    </row>
    <row r="920" spans="2:5" ht="13.5" thickBot="1" x14ac:dyDescent="0.25">
      <c r="B920" s="50" t="s">
        <v>17</v>
      </c>
      <c r="C920" s="48"/>
      <c r="D920" s="94"/>
      <c r="E920" s="49"/>
    </row>
    <row r="921" spans="2:5" ht="13.5" thickBot="1" x14ac:dyDescent="0.25">
      <c r="B921" s="273" t="s">
        <v>137</v>
      </c>
      <c r="C921" s="274"/>
      <c r="D921" s="274"/>
      <c r="E921" s="275"/>
    </row>
    <row r="922" spans="2:5" ht="13.5" thickBot="1" x14ac:dyDescent="0.25">
      <c r="B922" s="273" t="s">
        <v>138</v>
      </c>
      <c r="C922" s="275"/>
      <c r="D922" s="91" t="s">
        <v>11</v>
      </c>
      <c r="E922" s="91" t="s">
        <v>139</v>
      </c>
    </row>
    <row r="923" spans="2:5" x14ac:dyDescent="0.2">
      <c r="B923" s="280" t="str">
        <f>'[1]COMEDORES EMERGENTES'!$B$3</f>
        <v>UNA SONRISA AV. LOS COBACHO</v>
      </c>
      <c r="C923" s="281"/>
      <c r="D923" s="135">
        <v>1</v>
      </c>
      <c r="E923" s="136" t="str">
        <f>'[1]COMEDORES EMERGENTES'!$G$3</f>
        <v>Bº SAN CARLOS OESTE AV. Bonifacio cobacho 670</v>
      </c>
    </row>
    <row r="924" spans="2:5" x14ac:dyDescent="0.2">
      <c r="B924" s="271" t="str">
        <f>'[1]COMEDORES EMERGENTES'!$B$4</f>
        <v>C.I.F Nº1 - RIVERA DEL VALLE Y FLORIDA</v>
      </c>
      <c r="C924" s="272"/>
      <c r="D924" s="130">
        <v>1</v>
      </c>
      <c r="E924" s="131" t="str">
        <f>'[1]COMEDORES EMERGENTES'!$G$4</f>
        <v>AV. RIVIERA DEL VALLE ENTRE FLORIDA Y SANTA FE</v>
      </c>
    </row>
    <row r="925" spans="2:5" x14ac:dyDescent="0.2">
      <c r="B925" s="271" t="str">
        <f>'[1]COMEDORES EMERGENTES'!$B$5</f>
        <v>C.I.F - RIVERA DEL VALLE - DILORENZO</v>
      </c>
      <c r="C925" s="272"/>
      <c r="D925" s="130">
        <v>1</v>
      </c>
      <c r="E925" s="131" t="str">
        <f>'[1]COMEDORES EMERGENTES'!$G$5</f>
        <v>Bº RIVERA DEL VALLE ENTRE VILLA EUMELIA Y MONTE CRISTO</v>
      </c>
    </row>
    <row r="926" spans="2:5" x14ac:dyDescent="0.2">
      <c r="B926" s="271" t="str">
        <f>'[1]COMEDORES EMERGENTES'!$B$6</f>
        <v>ESFUERZO PROPIO- Bº ALTOS DE CHOYA</v>
      </c>
      <c r="C926" s="272"/>
      <c r="D926" s="130">
        <v>1</v>
      </c>
      <c r="E926" s="131" t="str">
        <f>'[1]COMEDORES EMERGENTES'!$G$6</f>
        <v>Bº MUNICIPAL 35VV. NORTE C/14</v>
      </c>
    </row>
    <row r="927" spans="2:5" x14ac:dyDescent="0.2">
      <c r="B927" s="271" t="str">
        <f>'[1]COMEDORES EMERGENTES'!$B$7</f>
        <v>ANGELITOS - LOTEO SUSSEX</v>
      </c>
      <c r="C927" s="272"/>
      <c r="D927" s="130">
        <v>1</v>
      </c>
      <c r="E927" s="131" t="str">
        <f>'[1]COMEDORES EMERGENTES'!$G$7</f>
        <v>Bº LOTEO SUSEX MZA.Nº 4 LOTE Nº3</v>
      </c>
    </row>
    <row r="928" spans="2:5" x14ac:dyDescent="0.2">
      <c r="B928" s="271" t="str">
        <f>'[1]COMEDORES EMERGENTES'!$B$8</f>
        <v>CLUB DEPORTIVO CHACARITA</v>
      </c>
      <c r="C928" s="272"/>
      <c r="D928" s="130">
        <v>1</v>
      </c>
      <c r="E928" s="131" t="str">
        <f>'[1]COMEDORES EMERGENTES'!$G$8</f>
        <v>CALLE DR.DERMIDIO GALINDEZ C/2660</v>
      </c>
    </row>
    <row r="929" spans="2:5" x14ac:dyDescent="0.2">
      <c r="B929" s="271" t="str">
        <f>'[1]COMEDORES EMERGENTES'!$B$9</f>
        <v>LA MORO</v>
      </c>
      <c r="C929" s="272"/>
      <c r="D929" s="130">
        <v>1</v>
      </c>
      <c r="E929" s="131" t="str">
        <f>'[1]COMEDORES EMERGENTES'!$G$9</f>
        <v>MAIPU NORTE 1º ETAPA MZA "H" Bº MI JARDIN</v>
      </c>
    </row>
    <row r="930" spans="2:5" x14ac:dyDescent="0.2">
      <c r="B930" s="271" t="str">
        <f>'[1]COMEDORES EMERGENTES'!$B$10</f>
        <v>PAPA FRANCISCO</v>
      </c>
      <c r="C930" s="272"/>
      <c r="D930" s="130">
        <v>1</v>
      </c>
      <c r="E930" s="131" t="str">
        <f>'[1]COMEDORES EMERGENTES'!$G$10</f>
        <v>ENTRE AV.TEREBINTO Y AV.SAN JUAN LOTE "2" MZA. "B"</v>
      </c>
    </row>
    <row r="931" spans="2:5" x14ac:dyDescent="0.2">
      <c r="B931" s="271" t="str">
        <f>'[1]COMEDORES EMERGENTES'!$B$11</f>
        <v>E.P.C - 100 V.V NORTE</v>
      </c>
      <c r="C931" s="272"/>
      <c r="D931" s="130">
        <v>2</v>
      </c>
      <c r="E931" s="131" t="str">
        <f>'[1]COMEDORES EMERGENTES'!$G$11</f>
        <v>Bº VV NORTE C/48 ENTRE ESPAÑA Y FRANCIA</v>
      </c>
    </row>
    <row r="932" spans="2:5" x14ac:dyDescent="0.2">
      <c r="B932" s="271" t="str">
        <f>'[1]COMEDORES EMERGENTES'!$B$12</f>
        <v>HOGAR DE CRISTO - PADRE RAUL CONTRERAS</v>
      </c>
      <c r="C932" s="272"/>
      <c r="D932" s="130">
        <v>2</v>
      </c>
      <c r="E932" s="131" t="str">
        <f>'[1]COMEDORES EMERGENTES'!$G$12</f>
        <v>Bº SANTA MARTA MZA. "S" LOTE "M" C/39</v>
      </c>
    </row>
    <row r="933" spans="2:5" x14ac:dyDescent="0.2">
      <c r="B933" s="271" t="str">
        <f>'[1]COMEDORES EMERGENTES'!$B$13</f>
        <v>LA LUCIERNAGA</v>
      </c>
      <c r="C933" s="272"/>
      <c r="D933" s="130">
        <v>1</v>
      </c>
      <c r="E933" s="131" t="str">
        <f>'[1]COMEDORES EMERGENTES'!$G$13</f>
        <v>Bº 20 V.V NORTE C/3</v>
      </c>
    </row>
    <row r="934" spans="2:5" x14ac:dyDescent="0.2">
      <c r="B934" s="271" t="str">
        <f>'[1]COMEDORES EMERGENTES'!$B$14</f>
        <v>VALLE VIEJO - SUMALAO</v>
      </c>
      <c r="C934" s="272"/>
      <c r="D934" s="130">
        <v>2</v>
      </c>
      <c r="E934" s="131" t="str">
        <f>'[1]COMEDORES EMERGENTES'!$G$14</f>
        <v>PADRE SEGURA S/N</v>
      </c>
    </row>
    <row r="935" spans="2:5" x14ac:dyDescent="0.2">
      <c r="B935" s="271" t="str">
        <f>'[1]COMEDORES EMERGENTES'!$B$15</f>
        <v>NUESTRO FUTURO - LAS VIAS</v>
      </c>
      <c r="C935" s="272"/>
      <c r="D935" s="130">
        <v>1</v>
      </c>
      <c r="E935" s="131" t="str">
        <f>'[1]COMEDORES EMERGENTES'!$G$15</f>
        <v>Bº LAS VIAS OESTE LOTE 42</v>
      </c>
    </row>
    <row r="936" spans="2:5" x14ac:dyDescent="0.2">
      <c r="B936" s="271" t="str">
        <f>'[1]COMEDORES EMERGENTES'!$B$16</f>
        <v>SAN JOSE OBRERO</v>
      </c>
      <c r="C936" s="272"/>
      <c r="D936" s="130">
        <v>1</v>
      </c>
      <c r="E936" s="131" t="str">
        <f>'[1]COMEDORES EMERGENTES'!$G$16</f>
        <v>Bº SAN JOSE OBRERO. PJE. SANDOVAL S/Nº</v>
      </c>
    </row>
    <row r="937" spans="2:5" x14ac:dyDescent="0.2">
      <c r="B937" s="271" t="str">
        <f>'[1]COMEDORES EMERGENTES'!$B$17</f>
        <v>VIRGEN DE LUJAN</v>
      </c>
      <c r="C937" s="272"/>
      <c r="D937" s="130">
        <v>1</v>
      </c>
      <c r="E937" s="131" t="str">
        <f>'[1]COMEDORES EMERGENTES'!$G$17</f>
        <v>Bº OJO DE AGUA C/DR.TEODULFO BARRIONUEVO S/Nº</v>
      </c>
    </row>
    <row r="938" spans="2:5" x14ac:dyDescent="0.2">
      <c r="B938" s="271" t="str">
        <f>'[1]COMEDORES EMERGENTES'!$B$18</f>
        <v>RENACER</v>
      </c>
      <c r="C938" s="272"/>
      <c r="D938" s="130">
        <v>1</v>
      </c>
      <c r="E938" s="131" t="str">
        <f>'[1]COMEDORES EMERGENTES'!$G$18</f>
        <v>Bº VIRGEN MORENITA</v>
      </c>
    </row>
    <row r="939" spans="2:5" x14ac:dyDescent="0.2">
      <c r="B939" s="271" t="str">
        <f>'[1]COMEDORES EMERGENTES'!$B$19</f>
        <v>CENTRO VECINAL MI JARDIN</v>
      </c>
      <c r="C939" s="272"/>
      <c r="D939" s="130">
        <v>1</v>
      </c>
      <c r="E939" s="131" t="str">
        <f>'[1]COMEDORES EMERGENTES'!$G$19</f>
        <v>C/ LOS TULIPANES ENTRE FLOR DE CEREZO Y HOLANDA MZA.27 Bº MI JARDIN</v>
      </c>
    </row>
    <row r="940" spans="2:5" x14ac:dyDescent="0.2">
      <c r="B940" s="271" t="str">
        <f>'[1]COMEDORES EMERGENTES'!$B$20</f>
        <v>LA VIEJA ESQUINA</v>
      </c>
      <c r="C940" s="272"/>
      <c r="D940" s="130">
        <v>1</v>
      </c>
      <c r="E940" s="131" t="str">
        <f>'[1]COMEDORES EMERGENTES'!$G$20</f>
        <v>B° CRISTO REY PJE CAPATAZ VILLAFAÑEZ Y ARMANDO CORREA</v>
      </c>
    </row>
    <row r="941" spans="2:5" x14ac:dyDescent="0.2">
      <c r="B941" s="271" t="str">
        <f>'[1]COMEDORES EMERGENTES'!$B$21</f>
        <v>GAUCHITO GIL</v>
      </c>
      <c r="C941" s="272"/>
      <c r="D941" s="130">
        <v>1</v>
      </c>
      <c r="E941" s="131" t="str">
        <f>'[1]COMEDORES EMERGENTES'!$G$21</f>
        <v>B° 26 VIVIENDAS CASA N° 3</v>
      </c>
    </row>
    <row r="942" spans="2:5" ht="13.5" thickBot="1" x14ac:dyDescent="0.25">
      <c r="B942" s="288" t="str">
        <f>'[1]COMEDORES EMERGENTES'!$B$22</f>
        <v>LOS TOLDOS</v>
      </c>
      <c r="C942" s="289"/>
      <c r="D942" s="137">
        <v>1</v>
      </c>
      <c r="E942" s="138" t="str">
        <f>'[1]COMEDORES EMERGENTES'!$G$22</f>
        <v>LOTEO PARQUE SUR CALLE S/NOMBRE S/N°</v>
      </c>
    </row>
    <row r="943" spans="2:5" x14ac:dyDescent="0.2">
      <c r="B943" s="50" t="s">
        <v>18</v>
      </c>
      <c r="C943" s="48"/>
      <c r="D943" s="94"/>
      <c r="E943" s="49"/>
    </row>
    <row r="944" spans="2:5" x14ac:dyDescent="0.2">
      <c r="B944" s="51"/>
      <c r="C944" s="287" t="s">
        <v>63</v>
      </c>
      <c r="D944" s="287"/>
      <c r="E944" s="287"/>
    </row>
    <row r="945" spans="2:5" x14ac:dyDescent="0.2">
      <c r="B945" s="50" t="s">
        <v>19</v>
      </c>
      <c r="C945" s="52"/>
      <c r="D945" s="52"/>
      <c r="E945" s="53"/>
    </row>
    <row r="946" spans="2:5" x14ac:dyDescent="0.2">
      <c r="B946" s="51"/>
      <c r="C946" s="287" t="s">
        <v>140</v>
      </c>
      <c r="D946" s="287"/>
      <c r="E946" s="287"/>
    </row>
    <row r="947" spans="2:5" x14ac:dyDescent="0.2">
      <c r="B947" s="50" t="s">
        <v>20</v>
      </c>
      <c r="C947" s="48"/>
      <c r="D947" s="94"/>
      <c r="E947" s="49"/>
    </row>
    <row r="948" spans="2:5" x14ac:dyDescent="0.2">
      <c r="B948" s="50"/>
      <c r="C948" s="286" t="s">
        <v>64</v>
      </c>
      <c r="D948" s="286"/>
      <c r="E948" s="286"/>
    </row>
    <row r="949" spans="2:5" ht="13.5" thickBot="1" x14ac:dyDescent="0.25">
      <c r="B949" s="54"/>
      <c r="C949" s="55"/>
      <c r="D949" s="95"/>
      <c r="E949" s="56"/>
    </row>
    <row r="950" spans="2:5" ht="13.5" thickBot="1" x14ac:dyDescent="0.25"/>
    <row r="951" spans="2:5" x14ac:dyDescent="0.2">
      <c r="B951" s="44" t="s">
        <v>164</v>
      </c>
      <c r="C951" s="45"/>
      <c r="D951" s="93"/>
      <c r="E951" s="46"/>
    </row>
    <row r="952" spans="2:5" x14ac:dyDescent="0.2">
      <c r="B952" s="47"/>
      <c r="C952" s="48"/>
      <c r="D952" s="94"/>
      <c r="E952" s="49"/>
    </row>
    <row r="953" spans="2:5" x14ac:dyDescent="0.2">
      <c r="B953" s="50" t="s">
        <v>16</v>
      </c>
      <c r="C953" s="48"/>
      <c r="D953" s="94"/>
      <c r="E953" s="49"/>
    </row>
    <row r="954" spans="2:5" ht="25.5" customHeight="1" x14ac:dyDescent="0.2">
      <c r="B954" s="50"/>
      <c r="C954" s="287"/>
      <c r="D954" s="287"/>
      <c r="E954" s="287"/>
    </row>
    <row r="955" spans="2:5" ht="13.5" thickBot="1" x14ac:dyDescent="0.25">
      <c r="B955" s="50" t="s">
        <v>17</v>
      </c>
      <c r="C955" s="48"/>
      <c r="D955" s="94"/>
      <c r="E955" s="49"/>
    </row>
    <row r="956" spans="2:5" ht="13.5" thickBot="1" x14ac:dyDescent="0.25">
      <c r="B956" s="273" t="s">
        <v>242</v>
      </c>
      <c r="C956" s="274"/>
      <c r="D956" s="274"/>
      <c r="E956" s="275"/>
    </row>
    <row r="957" spans="2:5" ht="13.5" thickBot="1" x14ac:dyDescent="0.25">
      <c r="B957" s="273" t="s">
        <v>138</v>
      </c>
      <c r="C957" s="275"/>
      <c r="D957" s="91" t="s">
        <v>11</v>
      </c>
      <c r="E957" s="91" t="s">
        <v>139</v>
      </c>
    </row>
    <row r="958" spans="2:5" x14ac:dyDescent="0.2">
      <c r="B958" s="280" t="str">
        <f>'[1]COMEDORES EMERGENTES'!$B$3</f>
        <v>UNA SONRISA AV. LOS COBACHO</v>
      </c>
      <c r="C958" s="281"/>
      <c r="D958" s="135">
        <v>160</v>
      </c>
      <c r="E958" s="136" t="str">
        <f>'[1]COMEDORES EMERGENTES'!$G$3</f>
        <v>Bº SAN CARLOS OESTE AV. Bonifacio cobacho 670</v>
      </c>
    </row>
    <row r="959" spans="2:5" x14ac:dyDescent="0.2">
      <c r="B959" s="271" t="str">
        <f>'[1]COMEDORES EMERGENTES'!$B$4</f>
        <v>C.I.F Nº1 - RIVERA DEL VALLE Y FLORIDA</v>
      </c>
      <c r="C959" s="272"/>
      <c r="D959" s="130">
        <v>230</v>
      </c>
      <c r="E959" s="131" t="str">
        <f>'[1]COMEDORES EMERGENTES'!$G$4</f>
        <v>AV. RIVIERA DEL VALLE ENTRE FLORIDA Y SANTA FE</v>
      </c>
    </row>
    <row r="960" spans="2:5" x14ac:dyDescent="0.2">
      <c r="B960" s="271" t="str">
        <f>'[1]COMEDORES EMERGENTES'!$B$5</f>
        <v>C.I.F - RIVERA DEL VALLE - DILORENZO</v>
      </c>
      <c r="C960" s="272"/>
      <c r="D960" s="130">
        <v>270</v>
      </c>
      <c r="E960" s="131" t="str">
        <f>'[1]COMEDORES EMERGENTES'!$G$5</f>
        <v>Bº RIVERA DEL VALLE ENTRE VILLA EUMELIA Y MONTE CRISTO</v>
      </c>
    </row>
    <row r="961" spans="2:5" x14ac:dyDescent="0.2">
      <c r="B961" s="271" t="str">
        <f>'[1]COMEDORES EMERGENTES'!$B$6</f>
        <v>ESFUERZO PROPIO- Bº ALTOS DE CHOYA</v>
      </c>
      <c r="C961" s="272"/>
      <c r="D961" s="130">
        <v>220</v>
      </c>
      <c r="E961" s="131" t="str">
        <f>'[1]COMEDORES EMERGENTES'!$G$6</f>
        <v>Bº MUNICIPAL 35VV. NORTE C/14</v>
      </c>
    </row>
    <row r="962" spans="2:5" x14ac:dyDescent="0.2">
      <c r="B962" s="271" t="str">
        <f>'[1]COMEDORES EMERGENTES'!$B$7</f>
        <v>ANGELITOS - LOTEO SUSSEX</v>
      </c>
      <c r="C962" s="272"/>
      <c r="D962" s="130">
        <v>100</v>
      </c>
      <c r="E962" s="131" t="str">
        <f>'[1]COMEDORES EMERGENTES'!$G$7</f>
        <v>Bº LOTEO SUSEX MZA.Nº 4 LOTE Nº3</v>
      </c>
    </row>
    <row r="963" spans="2:5" x14ac:dyDescent="0.2">
      <c r="B963" s="271" t="str">
        <f>'[1]COMEDORES EMERGENTES'!$B$8</f>
        <v>CLUB DEPORTIVO CHACARITA</v>
      </c>
      <c r="C963" s="272"/>
      <c r="D963" s="130">
        <v>130</v>
      </c>
      <c r="E963" s="131" t="str">
        <f>'[1]COMEDORES EMERGENTES'!$G$8</f>
        <v>CALLE DR.DERMIDIO GALINDEZ C/2660</v>
      </c>
    </row>
    <row r="964" spans="2:5" x14ac:dyDescent="0.2">
      <c r="B964" s="271" t="str">
        <f>'[1]COMEDORES EMERGENTES'!$B$9</f>
        <v>LA MORO</v>
      </c>
      <c r="C964" s="272"/>
      <c r="D964" s="130">
        <v>120</v>
      </c>
      <c r="E964" s="131" t="str">
        <f>'[1]COMEDORES EMERGENTES'!$G$9</f>
        <v>MAIPU NORTE 1º ETAPA MZA "H" Bº MI JARDIN</v>
      </c>
    </row>
    <row r="965" spans="2:5" x14ac:dyDescent="0.2">
      <c r="B965" s="271" t="str">
        <f>'[1]COMEDORES EMERGENTES'!$B$10</f>
        <v>PAPA FRANCISCO</v>
      </c>
      <c r="C965" s="272"/>
      <c r="D965" s="130">
        <v>200</v>
      </c>
      <c r="E965" s="131" t="str">
        <f>'[1]COMEDORES EMERGENTES'!$G$10</f>
        <v>ENTRE AV.TEREBINTO Y AV.SAN JUAN LOTE "2" MZA. "B"</v>
      </c>
    </row>
    <row r="966" spans="2:5" x14ac:dyDescent="0.2">
      <c r="B966" s="271" t="str">
        <f>'[1]COMEDORES EMERGENTES'!$B$11</f>
        <v>E.P.C - 100 V.V NORTE</v>
      </c>
      <c r="C966" s="272"/>
      <c r="D966" s="130">
        <v>300</v>
      </c>
      <c r="E966" s="131" t="str">
        <f>'[1]COMEDORES EMERGENTES'!$G$11</f>
        <v>Bº VV NORTE C/48 ENTRE ESPAÑA Y FRANCIA</v>
      </c>
    </row>
    <row r="967" spans="2:5" x14ac:dyDescent="0.2">
      <c r="B967" s="271" t="str">
        <f>'[1]COMEDORES EMERGENTES'!$B$12</f>
        <v>HOGAR DE CRISTO - PADRE RAUL CONTRERAS</v>
      </c>
      <c r="C967" s="272"/>
      <c r="D967" s="130">
        <v>300</v>
      </c>
      <c r="E967" s="131" t="str">
        <f>'[1]COMEDORES EMERGENTES'!$G$12</f>
        <v>Bº SANTA MARTA MZA. "S" LOTE "M" C/39</v>
      </c>
    </row>
    <row r="968" spans="2:5" x14ac:dyDescent="0.2">
      <c r="B968" s="271" t="str">
        <f>'[1]COMEDORES EMERGENTES'!$B$13</f>
        <v>LA LUCIERNAGA</v>
      </c>
      <c r="C968" s="272"/>
      <c r="D968" s="130">
        <v>200</v>
      </c>
      <c r="E968" s="131" t="str">
        <f>'[1]COMEDORES EMERGENTES'!$G$13</f>
        <v>Bº 20 V.V NORTE C/3</v>
      </c>
    </row>
    <row r="969" spans="2:5" x14ac:dyDescent="0.2">
      <c r="B969" s="271" t="str">
        <f>'[1]COMEDORES EMERGENTES'!$B$14</f>
        <v>VALLE VIEJO - SUMALAO</v>
      </c>
      <c r="C969" s="272"/>
      <c r="D969" s="130">
        <v>350</v>
      </c>
      <c r="E969" s="131" t="str">
        <f>'[1]COMEDORES EMERGENTES'!$G$14</f>
        <v>PADRE SEGURA S/N</v>
      </c>
    </row>
    <row r="970" spans="2:5" x14ac:dyDescent="0.2">
      <c r="B970" s="271" t="str">
        <f>'[1]COMEDORES EMERGENTES'!$B$15</f>
        <v>NUESTRO FUTURO - LAS VIAS</v>
      </c>
      <c r="C970" s="272"/>
      <c r="D970" s="130">
        <v>200</v>
      </c>
      <c r="E970" s="131" t="str">
        <f>'[1]COMEDORES EMERGENTES'!$G$15</f>
        <v>Bº LAS VIAS OESTE LOTE 42</v>
      </c>
    </row>
    <row r="971" spans="2:5" x14ac:dyDescent="0.2">
      <c r="B971" s="271" t="str">
        <f>'[1]COMEDORES EMERGENTES'!$B$16</f>
        <v>SAN JOSE OBRERO</v>
      </c>
      <c r="C971" s="272"/>
      <c r="D971" s="130">
        <v>130</v>
      </c>
      <c r="E971" s="131" t="str">
        <f>'[1]COMEDORES EMERGENTES'!$G$16</f>
        <v>Bº SAN JOSE OBRERO. PJE. SANDOVAL S/Nº</v>
      </c>
    </row>
    <row r="972" spans="2:5" x14ac:dyDescent="0.2">
      <c r="B972" s="271" t="str">
        <f>'[1]COMEDORES EMERGENTES'!$B$17</f>
        <v>VIRGEN DE LUJAN</v>
      </c>
      <c r="C972" s="272"/>
      <c r="D972" s="130">
        <v>200</v>
      </c>
      <c r="E972" s="131" t="str">
        <f>'[1]COMEDORES EMERGENTES'!$G$17</f>
        <v>Bº OJO DE AGUA C/DR.TEODULFO BARRIONUEVO S/Nº</v>
      </c>
    </row>
    <row r="973" spans="2:5" x14ac:dyDescent="0.2">
      <c r="B973" s="271" t="str">
        <f>'[1]COMEDORES EMERGENTES'!$B$18</f>
        <v>RENACER</v>
      </c>
      <c r="C973" s="272"/>
      <c r="D973" s="130">
        <v>250</v>
      </c>
      <c r="E973" s="131" t="str">
        <f>'[1]COMEDORES EMERGENTES'!$G$18</f>
        <v>Bº VIRGEN MORENITA</v>
      </c>
    </row>
    <row r="974" spans="2:5" x14ac:dyDescent="0.2">
      <c r="B974" s="271" t="str">
        <f>'[1]COMEDORES EMERGENTES'!$B$19</f>
        <v>CENTRO VECINAL MI JARDIN</v>
      </c>
      <c r="C974" s="272"/>
      <c r="D974" s="130">
        <v>180</v>
      </c>
      <c r="E974" s="131" t="str">
        <f>'[1]COMEDORES EMERGENTES'!$G$19</f>
        <v>C/ LOS TULIPANES ENTRE FLOR DE CEREZO Y HOLANDA MZA.27 Bº MI JARDIN</v>
      </c>
    </row>
    <row r="975" spans="2:5" x14ac:dyDescent="0.2">
      <c r="B975" s="271" t="str">
        <f>'[1]COMEDORES EMERGENTES'!$B$20</f>
        <v>LA VIEJA ESQUINA</v>
      </c>
      <c r="C975" s="272"/>
      <c r="D975" s="130">
        <v>172</v>
      </c>
      <c r="E975" s="131" t="str">
        <f>'[1]COMEDORES EMERGENTES'!$G$20</f>
        <v>B° CRISTO REY PJE CAPATAZ VILLAFAÑEZ Y ARMANDO CORREA</v>
      </c>
    </row>
    <row r="976" spans="2:5" x14ac:dyDescent="0.2">
      <c r="B976" s="271" t="str">
        <f>'[1]COMEDORES EMERGENTES'!$B$21</f>
        <v>GAUCHITO GIL</v>
      </c>
      <c r="C976" s="272"/>
      <c r="D976" s="130">
        <v>168</v>
      </c>
      <c r="E976" s="131" t="str">
        <f>'[1]COMEDORES EMERGENTES'!$G$21</f>
        <v>B° 26 VIVIENDAS CASA N° 3</v>
      </c>
    </row>
    <row r="977" spans="2:5" ht="13.5" thickBot="1" x14ac:dyDescent="0.25">
      <c r="B977" s="288" t="str">
        <f>'[1]COMEDORES EMERGENTES'!$B$22</f>
        <v>LOS TOLDOS</v>
      </c>
      <c r="C977" s="289"/>
      <c r="D977" s="137">
        <v>80</v>
      </c>
      <c r="E977" s="138" t="str">
        <f>'[1]COMEDORES EMERGENTES'!$G$22</f>
        <v>LOTEO PARQUE SUR CALLE S/NOMBRE S/N°</v>
      </c>
    </row>
    <row r="978" spans="2:5" x14ac:dyDescent="0.2">
      <c r="B978" s="50" t="s">
        <v>18</v>
      </c>
      <c r="C978" s="48"/>
      <c r="D978" s="94"/>
      <c r="E978" s="49"/>
    </row>
    <row r="979" spans="2:5" x14ac:dyDescent="0.2">
      <c r="B979" s="51"/>
      <c r="C979" s="287" t="s">
        <v>63</v>
      </c>
      <c r="D979" s="287"/>
      <c r="E979" s="287"/>
    </row>
    <row r="980" spans="2:5" x14ac:dyDescent="0.2">
      <c r="B980" s="50" t="s">
        <v>19</v>
      </c>
      <c r="C980" s="52"/>
      <c r="D980" s="52"/>
      <c r="E980" s="53"/>
    </row>
    <row r="981" spans="2:5" x14ac:dyDescent="0.2">
      <c r="B981" s="51"/>
      <c r="C981" s="287" t="s">
        <v>140</v>
      </c>
      <c r="D981" s="287"/>
      <c r="E981" s="287"/>
    </row>
    <row r="982" spans="2:5" x14ac:dyDescent="0.2">
      <c r="B982" s="50" t="s">
        <v>20</v>
      </c>
      <c r="C982" s="48"/>
      <c r="D982" s="94"/>
      <c r="E982" s="49"/>
    </row>
    <row r="983" spans="2:5" x14ac:dyDescent="0.2">
      <c r="B983" s="50"/>
      <c r="C983" s="286" t="s">
        <v>64</v>
      </c>
      <c r="D983" s="286"/>
      <c r="E983" s="286"/>
    </row>
    <row r="984" spans="2:5" ht="13.5" thickBot="1" x14ac:dyDescent="0.25">
      <c r="B984" s="54"/>
      <c r="C984" s="55"/>
      <c r="D984" s="95"/>
      <c r="E984" s="56"/>
    </row>
    <row r="985" spans="2:5" ht="13.5" thickBot="1" x14ac:dyDescent="0.25"/>
    <row r="986" spans="2:5" x14ac:dyDescent="0.2">
      <c r="B986" s="44" t="s">
        <v>165</v>
      </c>
      <c r="C986" s="45"/>
      <c r="D986" s="93"/>
      <c r="E986" s="46"/>
    </row>
    <row r="987" spans="2:5" x14ac:dyDescent="0.2">
      <c r="B987" s="47"/>
      <c r="C987" s="48"/>
      <c r="D987" s="94"/>
      <c r="E987" s="49"/>
    </row>
    <row r="988" spans="2:5" x14ac:dyDescent="0.2">
      <c r="B988" s="50" t="s">
        <v>16</v>
      </c>
      <c r="C988" s="48"/>
      <c r="D988" s="94"/>
      <c r="E988" s="49"/>
    </row>
    <row r="989" spans="2:5" ht="30" customHeight="1" x14ac:dyDescent="0.2">
      <c r="B989" s="50"/>
      <c r="C989" s="287"/>
      <c r="D989" s="287"/>
      <c r="E989" s="287"/>
    </row>
    <row r="990" spans="2:5" ht="13.5" thickBot="1" x14ac:dyDescent="0.25">
      <c r="B990" s="50" t="s">
        <v>17</v>
      </c>
      <c r="C990" s="48"/>
      <c r="D990" s="94"/>
      <c r="E990" s="49"/>
    </row>
    <row r="991" spans="2:5" ht="13.5" thickBot="1" x14ac:dyDescent="0.25">
      <c r="B991" s="273" t="s">
        <v>243</v>
      </c>
      <c r="C991" s="274"/>
      <c r="D991" s="274"/>
      <c r="E991" s="275"/>
    </row>
    <row r="992" spans="2:5" ht="13.5" thickBot="1" x14ac:dyDescent="0.25">
      <c r="B992" s="273" t="s">
        <v>138</v>
      </c>
      <c r="C992" s="275"/>
      <c r="D992" s="91" t="s">
        <v>11</v>
      </c>
      <c r="E992" s="91" t="s">
        <v>139</v>
      </c>
    </row>
    <row r="993" spans="2:5" x14ac:dyDescent="0.2">
      <c r="B993" s="280" t="str">
        <f>'[1]COMEDORES EMERGENTES'!$B$3</f>
        <v>UNA SONRISA AV. LOS COBACHO</v>
      </c>
      <c r="C993" s="281"/>
      <c r="D993" s="135">
        <v>160</v>
      </c>
      <c r="E993" s="136" t="str">
        <f>'[1]COMEDORES EMERGENTES'!$G$3</f>
        <v>Bº SAN CARLOS OESTE AV. Bonifacio cobacho 670</v>
      </c>
    </row>
    <row r="994" spans="2:5" x14ac:dyDescent="0.2">
      <c r="B994" s="271" t="str">
        <f>'[1]COMEDORES EMERGENTES'!$B$4</f>
        <v>C.I.F Nº1 - RIVERA DEL VALLE Y FLORIDA</v>
      </c>
      <c r="C994" s="272"/>
      <c r="D994" s="130">
        <v>230</v>
      </c>
      <c r="E994" s="131" t="str">
        <f>'[1]COMEDORES EMERGENTES'!$G$4</f>
        <v>AV. RIVIERA DEL VALLE ENTRE FLORIDA Y SANTA FE</v>
      </c>
    </row>
    <row r="995" spans="2:5" x14ac:dyDescent="0.2">
      <c r="B995" s="271" t="str">
        <f>'[1]COMEDORES EMERGENTES'!$B$5</f>
        <v>C.I.F - RIVERA DEL VALLE - DILORENZO</v>
      </c>
      <c r="C995" s="272"/>
      <c r="D995" s="130">
        <v>270</v>
      </c>
      <c r="E995" s="131" t="str">
        <f>'[1]COMEDORES EMERGENTES'!$G$5</f>
        <v>Bº RIVERA DEL VALLE ENTRE VILLA EUMELIA Y MONTE CRISTO</v>
      </c>
    </row>
    <row r="996" spans="2:5" x14ac:dyDescent="0.2">
      <c r="B996" s="271" t="str">
        <f>'[1]COMEDORES EMERGENTES'!$B$6</f>
        <v>ESFUERZO PROPIO- Bº ALTOS DE CHOYA</v>
      </c>
      <c r="C996" s="272"/>
      <c r="D996" s="130">
        <v>220</v>
      </c>
      <c r="E996" s="131" t="str">
        <f>'[1]COMEDORES EMERGENTES'!$G$6</f>
        <v>Bº MUNICIPAL 35VV. NORTE C/14</v>
      </c>
    </row>
    <row r="997" spans="2:5" x14ac:dyDescent="0.2">
      <c r="B997" s="271" t="str">
        <f>'[1]COMEDORES EMERGENTES'!$B$7</f>
        <v>ANGELITOS - LOTEO SUSSEX</v>
      </c>
      <c r="C997" s="272"/>
      <c r="D997" s="130">
        <v>100</v>
      </c>
      <c r="E997" s="131" t="str">
        <f>'[1]COMEDORES EMERGENTES'!$G$7</f>
        <v>Bº LOTEO SUSEX MZA.Nº 4 LOTE Nº3</v>
      </c>
    </row>
    <row r="998" spans="2:5" x14ac:dyDescent="0.2">
      <c r="B998" s="271" t="str">
        <f>'[1]COMEDORES EMERGENTES'!$B$8</f>
        <v>CLUB DEPORTIVO CHACARITA</v>
      </c>
      <c r="C998" s="272"/>
      <c r="D998" s="130">
        <v>130</v>
      </c>
      <c r="E998" s="131" t="str">
        <f>'[1]COMEDORES EMERGENTES'!$G$8</f>
        <v>CALLE DR.DERMIDIO GALINDEZ C/2660</v>
      </c>
    </row>
    <row r="999" spans="2:5" x14ac:dyDescent="0.2">
      <c r="B999" s="271" t="str">
        <f>'[1]COMEDORES EMERGENTES'!$B$9</f>
        <v>LA MORO</v>
      </c>
      <c r="C999" s="272"/>
      <c r="D999" s="130">
        <v>120</v>
      </c>
      <c r="E999" s="131" t="str">
        <f>'[1]COMEDORES EMERGENTES'!$G$9</f>
        <v>MAIPU NORTE 1º ETAPA MZA "H" Bº MI JARDIN</v>
      </c>
    </row>
    <row r="1000" spans="2:5" x14ac:dyDescent="0.2">
      <c r="B1000" s="271" t="str">
        <f>'[1]COMEDORES EMERGENTES'!$B$10</f>
        <v>PAPA FRANCISCO</v>
      </c>
      <c r="C1000" s="272"/>
      <c r="D1000" s="130">
        <v>200</v>
      </c>
      <c r="E1000" s="131" t="str">
        <f>'[1]COMEDORES EMERGENTES'!$G$10</f>
        <v>ENTRE AV.TEREBINTO Y AV.SAN JUAN LOTE "2" MZA. "B"</v>
      </c>
    </row>
    <row r="1001" spans="2:5" x14ac:dyDescent="0.2">
      <c r="B1001" s="271" t="str">
        <f>'[1]COMEDORES EMERGENTES'!$B$11</f>
        <v>E.P.C - 100 V.V NORTE</v>
      </c>
      <c r="C1001" s="272"/>
      <c r="D1001" s="130">
        <v>300</v>
      </c>
      <c r="E1001" s="131" t="str">
        <f>'[1]COMEDORES EMERGENTES'!$G$11</f>
        <v>Bº VV NORTE C/48 ENTRE ESPAÑA Y FRANCIA</v>
      </c>
    </row>
    <row r="1002" spans="2:5" x14ac:dyDescent="0.2">
      <c r="B1002" s="271" t="str">
        <f>'[1]COMEDORES EMERGENTES'!$B$12</f>
        <v>HOGAR DE CRISTO - PADRE RAUL CONTRERAS</v>
      </c>
      <c r="C1002" s="272"/>
      <c r="D1002" s="130">
        <v>300</v>
      </c>
      <c r="E1002" s="131" t="str">
        <f>'[1]COMEDORES EMERGENTES'!$G$12</f>
        <v>Bº SANTA MARTA MZA. "S" LOTE "M" C/39</v>
      </c>
    </row>
    <row r="1003" spans="2:5" x14ac:dyDescent="0.2">
      <c r="B1003" s="271" t="str">
        <f>'[1]COMEDORES EMERGENTES'!$B$13</f>
        <v>LA LUCIERNAGA</v>
      </c>
      <c r="C1003" s="272"/>
      <c r="D1003" s="130">
        <v>200</v>
      </c>
      <c r="E1003" s="131" t="str">
        <f>'[1]COMEDORES EMERGENTES'!$G$13</f>
        <v>Bº 20 V.V NORTE C/3</v>
      </c>
    </row>
    <row r="1004" spans="2:5" x14ac:dyDescent="0.2">
      <c r="B1004" s="271" t="str">
        <f>'[1]COMEDORES EMERGENTES'!$B$14</f>
        <v>VALLE VIEJO - SUMALAO</v>
      </c>
      <c r="C1004" s="272"/>
      <c r="D1004" s="130">
        <v>350</v>
      </c>
      <c r="E1004" s="131" t="str">
        <f>'[1]COMEDORES EMERGENTES'!$G$14</f>
        <v>PADRE SEGURA S/N</v>
      </c>
    </row>
    <row r="1005" spans="2:5" x14ac:dyDescent="0.2">
      <c r="B1005" s="271" t="str">
        <f>'[1]COMEDORES EMERGENTES'!$B$15</f>
        <v>NUESTRO FUTURO - LAS VIAS</v>
      </c>
      <c r="C1005" s="272"/>
      <c r="D1005" s="130">
        <v>200</v>
      </c>
      <c r="E1005" s="131" t="str">
        <f>'[1]COMEDORES EMERGENTES'!$G$15</f>
        <v>Bº LAS VIAS OESTE LOTE 42</v>
      </c>
    </row>
    <row r="1006" spans="2:5" x14ac:dyDescent="0.2">
      <c r="B1006" s="271" t="str">
        <f>'[1]COMEDORES EMERGENTES'!$B$16</f>
        <v>SAN JOSE OBRERO</v>
      </c>
      <c r="C1006" s="272"/>
      <c r="D1006" s="130">
        <v>130</v>
      </c>
      <c r="E1006" s="131" t="str">
        <f>'[1]COMEDORES EMERGENTES'!$G$16</f>
        <v>Bº SAN JOSE OBRERO. PJE. SANDOVAL S/Nº</v>
      </c>
    </row>
    <row r="1007" spans="2:5" x14ac:dyDescent="0.2">
      <c r="B1007" s="271" t="str">
        <f>'[1]COMEDORES EMERGENTES'!$B$17</f>
        <v>VIRGEN DE LUJAN</v>
      </c>
      <c r="C1007" s="272"/>
      <c r="D1007" s="130">
        <v>200</v>
      </c>
      <c r="E1007" s="131" t="str">
        <f>'[1]COMEDORES EMERGENTES'!$G$17</f>
        <v>Bº OJO DE AGUA C/DR.TEODULFO BARRIONUEVO S/Nº</v>
      </c>
    </row>
    <row r="1008" spans="2:5" x14ac:dyDescent="0.2">
      <c r="B1008" s="271" t="str">
        <f>'[1]COMEDORES EMERGENTES'!$B$18</f>
        <v>RENACER</v>
      </c>
      <c r="C1008" s="272"/>
      <c r="D1008" s="130">
        <v>250</v>
      </c>
      <c r="E1008" s="131" t="str">
        <f>'[1]COMEDORES EMERGENTES'!$G$18</f>
        <v>Bº VIRGEN MORENITA</v>
      </c>
    </row>
    <row r="1009" spans="2:5" x14ac:dyDescent="0.2">
      <c r="B1009" s="271" t="str">
        <f>'[1]COMEDORES EMERGENTES'!$B$19</f>
        <v>CENTRO VECINAL MI JARDIN</v>
      </c>
      <c r="C1009" s="272"/>
      <c r="D1009" s="130">
        <v>180</v>
      </c>
      <c r="E1009" s="131" t="str">
        <f>'[1]COMEDORES EMERGENTES'!$G$19</f>
        <v>C/ LOS TULIPANES ENTRE FLOR DE CEREZO Y HOLANDA MZA.27 Bº MI JARDIN</v>
      </c>
    </row>
    <row r="1010" spans="2:5" x14ac:dyDescent="0.2">
      <c r="B1010" s="271" t="str">
        <f>'[1]COMEDORES EMERGENTES'!$B$20</f>
        <v>LA VIEJA ESQUINA</v>
      </c>
      <c r="C1010" s="272"/>
      <c r="D1010" s="130">
        <v>172</v>
      </c>
      <c r="E1010" s="131" t="str">
        <f>'[1]COMEDORES EMERGENTES'!$G$20</f>
        <v>B° CRISTO REY PJE CAPATAZ VILLAFAÑEZ Y ARMANDO CORREA</v>
      </c>
    </row>
    <row r="1011" spans="2:5" x14ac:dyDescent="0.2">
      <c r="B1011" s="271" t="str">
        <f>'[1]COMEDORES EMERGENTES'!$B$21</f>
        <v>GAUCHITO GIL</v>
      </c>
      <c r="C1011" s="272"/>
      <c r="D1011" s="130">
        <v>168</v>
      </c>
      <c r="E1011" s="131" t="str">
        <f>'[1]COMEDORES EMERGENTES'!$G$21</f>
        <v>B° 26 VIVIENDAS CASA N° 3</v>
      </c>
    </row>
    <row r="1012" spans="2:5" ht="13.5" thickBot="1" x14ac:dyDescent="0.25">
      <c r="B1012" s="288" t="str">
        <f>'[1]COMEDORES EMERGENTES'!$B$22</f>
        <v>LOS TOLDOS</v>
      </c>
      <c r="C1012" s="289"/>
      <c r="D1012" s="137">
        <v>80</v>
      </c>
      <c r="E1012" s="138" t="str">
        <f>'[1]COMEDORES EMERGENTES'!$G$22</f>
        <v>LOTEO PARQUE SUR CALLE S/NOMBRE S/N°</v>
      </c>
    </row>
    <row r="1013" spans="2:5" x14ac:dyDescent="0.2">
      <c r="B1013" s="50" t="s">
        <v>18</v>
      </c>
      <c r="C1013" s="48"/>
      <c r="D1013" s="94"/>
      <c r="E1013" s="49"/>
    </row>
    <row r="1014" spans="2:5" x14ac:dyDescent="0.2">
      <c r="B1014" s="51"/>
      <c r="C1014" s="287" t="s">
        <v>63</v>
      </c>
      <c r="D1014" s="287"/>
      <c r="E1014" s="287"/>
    </row>
    <row r="1015" spans="2:5" x14ac:dyDescent="0.2">
      <c r="B1015" s="50" t="s">
        <v>19</v>
      </c>
      <c r="C1015" s="52"/>
      <c r="D1015" s="52"/>
      <c r="E1015" s="53"/>
    </row>
    <row r="1016" spans="2:5" x14ac:dyDescent="0.2">
      <c r="B1016" s="51"/>
      <c r="C1016" s="287" t="s">
        <v>140</v>
      </c>
      <c r="D1016" s="287"/>
      <c r="E1016" s="287"/>
    </row>
    <row r="1017" spans="2:5" x14ac:dyDescent="0.2">
      <c r="B1017" s="50" t="s">
        <v>20</v>
      </c>
      <c r="C1017" s="48"/>
      <c r="D1017" s="94"/>
      <c r="E1017" s="49"/>
    </row>
    <row r="1018" spans="2:5" x14ac:dyDescent="0.2">
      <c r="B1018" s="50"/>
      <c r="C1018" s="286" t="s">
        <v>64</v>
      </c>
      <c r="D1018" s="286"/>
      <c r="E1018" s="286"/>
    </row>
    <row r="1019" spans="2:5" ht="13.5" thickBot="1" x14ac:dyDescent="0.25">
      <c r="B1019" s="54"/>
      <c r="C1019" s="55"/>
      <c r="D1019" s="95"/>
      <c r="E1019" s="56"/>
    </row>
    <row r="1020" spans="2:5" ht="13.5" thickBot="1" x14ac:dyDescent="0.25"/>
    <row r="1021" spans="2:5" x14ac:dyDescent="0.2">
      <c r="B1021" s="44" t="s">
        <v>166</v>
      </c>
      <c r="C1021" s="45"/>
      <c r="D1021" s="93"/>
      <c r="E1021" s="46"/>
    </row>
    <row r="1022" spans="2:5" x14ac:dyDescent="0.2">
      <c r="B1022" s="47"/>
      <c r="C1022" s="48"/>
      <c r="D1022" s="94"/>
      <c r="E1022" s="49"/>
    </row>
    <row r="1023" spans="2:5" x14ac:dyDescent="0.2">
      <c r="B1023" s="50" t="s">
        <v>16</v>
      </c>
      <c r="C1023" s="48"/>
      <c r="D1023" s="94"/>
      <c r="E1023" s="49"/>
    </row>
    <row r="1024" spans="2:5" ht="25.5" customHeight="1" x14ac:dyDescent="0.2">
      <c r="B1024" s="50"/>
      <c r="C1024" s="287"/>
      <c r="D1024" s="287"/>
      <c r="E1024" s="287"/>
    </row>
    <row r="1025" spans="2:5" ht="13.5" thickBot="1" x14ac:dyDescent="0.25">
      <c r="B1025" s="50" t="s">
        <v>17</v>
      </c>
      <c r="C1025" s="48"/>
      <c r="D1025" s="94"/>
      <c r="E1025" s="49"/>
    </row>
    <row r="1026" spans="2:5" ht="13.5" thickBot="1" x14ac:dyDescent="0.25">
      <c r="B1026" s="273" t="s">
        <v>245</v>
      </c>
      <c r="C1026" s="274"/>
      <c r="D1026" s="274"/>
      <c r="E1026" s="275"/>
    </row>
    <row r="1027" spans="2:5" ht="13.5" thickBot="1" x14ac:dyDescent="0.25">
      <c r="B1027" s="273" t="s">
        <v>138</v>
      </c>
      <c r="C1027" s="275"/>
      <c r="D1027" s="91" t="s">
        <v>11</v>
      </c>
      <c r="E1027" s="91" t="s">
        <v>139</v>
      </c>
    </row>
    <row r="1028" spans="2:5" x14ac:dyDescent="0.2">
      <c r="B1028" s="280" t="str">
        <f>'[1]COMEDORES EMERGENTES'!$B$3</f>
        <v>UNA SONRISA AV. LOS COBACHO</v>
      </c>
      <c r="C1028" s="281"/>
      <c r="D1028" s="135">
        <v>160</v>
      </c>
      <c r="E1028" s="136" t="str">
        <f>'[1]COMEDORES EMERGENTES'!$G$3</f>
        <v>Bº SAN CARLOS OESTE AV. Bonifacio cobacho 670</v>
      </c>
    </row>
    <row r="1029" spans="2:5" x14ac:dyDescent="0.2">
      <c r="B1029" s="271" t="str">
        <f>'[1]COMEDORES EMERGENTES'!$B$4</f>
        <v>C.I.F Nº1 - RIVERA DEL VALLE Y FLORIDA</v>
      </c>
      <c r="C1029" s="272"/>
      <c r="D1029" s="130">
        <v>230</v>
      </c>
      <c r="E1029" s="131" t="str">
        <f>'[1]COMEDORES EMERGENTES'!$G$4</f>
        <v>AV. RIVIERA DEL VALLE ENTRE FLORIDA Y SANTA FE</v>
      </c>
    </row>
    <row r="1030" spans="2:5" x14ac:dyDescent="0.2">
      <c r="B1030" s="271" t="str">
        <f>'[1]COMEDORES EMERGENTES'!$B$5</f>
        <v>C.I.F - RIVERA DEL VALLE - DILORENZO</v>
      </c>
      <c r="C1030" s="272"/>
      <c r="D1030" s="130">
        <v>270</v>
      </c>
      <c r="E1030" s="131" t="str">
        <f>'[1]COMEDORES EMERGENTES'!$G$5</f>
        <v>Bº RIVERA DEL VALLE ENTRE VILLA EUMELIA Y MONTE CRISTO</v>
      </c>
    </row>
    <row r="1031" spans="2:5" x14ac:dyDescent="0.2">
      <c r="B1031" s="271" t="str">
        <f>'[1]COMEDORES EMERGENTES'!$B$6</f>
        <v>ESFUERZO PROPIO- Bº ALTOS DE CHOYA</v>
      </c>
      <c r="C1031" s="272"/>
      <c r="D1031" s="130">
        <v>220</v>
      </c>
      <c r="E1031" s="131" t="str">
        <f>'[1]COMEDORES EMERGENTES'!$G$6</f>
        <v>Bº MUNICIPAL 35VV. NORTE C/14</v>
      </c>
    </row>
    <row r="1032" spans="2:5" x14ac:dyDescent="0.2">
      <c r="B1032" s="271" t="str">
        <f>'[1]COMEDORES EMERGENTES'!$B$7</f>
        <v>ANGELITOS - LOTEO SUSSEX</v>
      </c>
      <c r="C1032" s="272"/>
      <c r="D1032" s="130">
        <v>100</v>
      </c>
      <c r="E1032" s="131" t="str">
        <f>'[1]COMEDORES EMERGENTES'!$G$7</f>
        <v>Bº LOTEO SUSEX MZA.Nº 4 LOTE Nº3</v>
      </c>
    </row>
    <row r="1033" spans="2:5" x14ac:dyDescent="0.2">
      <c r="B1033" s="271" t="str">
        <f>'[1]COMEDORES EMERGENTES'!$B$8</f>
        <v>CLUB DEPORTIVO CHACARITA</v>
      </c>
      <c r="C1033" s="272"/>
      <c r="D1033" s="130">
        <v>130</v>
      </c>
      <c r="E1033" s="131" t="str">
        <f>'[1]COMEDORES EMERGENTES'!$G$8</f>
        <v>CALLE DR.DERMIDIO GALINDEZ C/2660</v>
      </c>
    </row>
    <row r="1034" spans="2:5" x14ac:dyDescent="0.2">
      <c r="B1034" s="271" t="str">
        <f>'[1]COMEDORES EMERGENTES'!$B$9</f>
        <v>LA MORO</v>
      </c>
      <c r="C1034" s="272"/>
      <c r="D1034" s="130">
        <v>120</v>
      </c>
      <c r="E1034" s="131" t="str">
        <f>'[1]COMEDORES EMERGENTES'!$G$9</f>
        <v>MAIPU NORTE 1º ETAPA MZA "H" Bº MI JARDIN</v>
      </c>
    </row>
    <row r="1035" spans="2:5" x14ac:dyDescent="0.2">
      <c r="B1035" s="271" t="str">
        <f>'[1]COMEDORES EMERGENTES'!$B$10</f>
        <v>PAPA FRANCISCO</v>
      </c>
      <c r="C1035" s="272"/>
      <c r="D1035" s="130">
        <v>200</v>
      </c>
      <c r="E1035" s="131" t="str">
        <f>'[1]COMEDORES EMERGENTES'!$G$10</f>
        <v>ENTRE AV.TEREBINTO Y AV.SAN JUAN LOTE "2" MZA. "B"</v>
      </c>
    </row>
    <row r="1036" spans="2:5" x14ac:dyDescent="0.2">
      <c r="B1036" s="271" t="str">
        <f>'[1]COMEDORES EMERGENTES'!$B$11</f>
        <v>E.P.C - 100 V.V NORTE</v>
      </c>
      <c r="C1036" s="272"/>
      <c r="D1036" s="130">
        <v>300</v>
      </c>
      <c r="E1036" s="131" t="str">
        <f>'[1]COMEDORES EMERGENTES'!$G$11</f>
        <v>Bº VV NORTE C/48 ENTRE ESPAÑA Y FRANCIA</v>
      </c>
    </row>
    <row r="1037" spans="2:5" x14ac:dyDescent="0.2">
      <c r="B1037" s="271" t="str">
        <f>'[1]COMEDORES EMERGENTES'!$B$12</f>
        <v>HOGAR DE CRISTO - PADRE RAUL CONTRERAS</v>
      </c>
      <c r="C1037" s="272"/>
      <c r="D1037" s="130">
        <v>300</v>
      </c>
      <c r="E1037" s="131" t="str">
        <f>'[1]COMEDORES EMERGENTES'!$G$12</f>
        <v>Bº SANTA MARTA MZA. "S" LOTE "M" C/39</v>
      </c>
    </row>
    <row r="1038" spans="2:5" x14ac:dyDescent="0.2">
      <c r="B1038" s="271" t="str">
        <f>'[1]COMEDORES EMERGENTES'!$B$13</f>
        <v>LA LUCIERNAGA</v>
      </c>
      <c r="C1038" s="272"/>
      <c r="D1038" s="130">
        <v>200</v>
      </c>
      <c r="E1038" s="131" t="str">
        <f>'[1]COMEDORES EMERGENTES'!$G$13</f>
        <v>Bº 20 V.V NORTE C/3</v>
      </c>
    </row>
    <row r="1039" spans="2:5" x14ac:dyDescent="0.2">
      <c r="B1039" s="271" t="str">
        <f>'[1]COMEDORES EMERGENTES'!$B$14</f>
        <v>VALLE VIEJO - SUMALAO</v>
      </c>
      <c r="C1039" s="272"/>
      <c r="D1039" s="130">
        <v>350</v>
      </c>
      <c r="E1039" s="131" t="str">
        <f>'[1]COMEDORES EMERGENTES'!$G$14</f>
        <v>PADRE SEGURA S/N</v>
      </c>
    </row>
    <row r="1040" spans="2:5" x14ac:dyDescent="0.2">
      <c r="B1040" s="271" t="str">
        <f>'[1]COMEDORES EMERGENTES'!$B$15</f>
        <v>NUESTRO FUTURO - LAS VIAS</v>
      </c>
      <c r="C1040" s="272"/>
      <c r="D1040" s="130">
        <v>200</v>
      </c>
      <c r="E1040" s="131" t="str">
        <f>'[1]COMEDORES EMERGENTES'!$G$15</f>
        <v>Bº LAS VIAS OESTE LOTE 42</v>
      </c>
    </row>
    <row r="1041" spans="2:5" x14ac:dyDescent="0.2">
      <c r="B1041" s="271" t="str">
        <f>'[1]COMEDORES EMERGENTES'!$B$16</f>
        <v>SAN JOSE OBRERO</v>
      </c>
      <c r="C1041" s="272"/>
      <c r="D1041" s="130">
        <v>130</v>
      </c>
      <c r="E1041" s="131" t="str">
        <f>'[1]COMEDORES EMERGENTES'!$G$16</f>
        <v>Bº SAN JOSE OBRERO. PJE. SANDOVAL S/Nº</v>
      </c>
    </row>
    <row r="1042" spans="2:5" x14ac:dyDescent="0.2">
      <c r="B1042" s="271" t="str">
        <f>'[1]COMEDORES EMERGENTES'!$B$17</f>
        <v>VIRGEN DE LUJAN</v>
      </c>
      <c r="C1042" s="272"/>
      <c r="D1042" s="130">
        <v>200</v>
      </c>
      <c r="E1042" s="131" t="str">
        <f>'[1]COMEDORES EMERGENTES'!$G$17</f>
        <v>Bº OJO DE AGUA C/DR.TEODULFO BARRIONUEVO S/Nº</v>
      </c>
    </row>
    <row r="1043" spans="2:5" x14ac:dyDescent="0.2">
      <c r="B1043" s="271" t="str">
        <f>'[1]COMEDORES EMERGENTES'!$B$18</f>
        <v>RENACER</v>
      </c>
      <c r="C1043" s="272"/>
      <c r="D1043" s="130">
        <v>250</v>
      </c>
      <c r="E1043" s="131" t="str">
        <f>'[1]COMEDORES EMERGENTES'!$G$18</f>
        <v>Bº VIRGEN MORENITA</v>
      </c>
    </row>
    <row r="1044" spans="2:5" x14ac:dyDescent="0.2">
      <c r="B1044" s="271" t="str">
        <f>'[1]COMEDORES EMERGENTES'!$B$19</f>
        <v>CENTRO VECINAL MI JARDIN</v>
      </c>
      <c r="C1044" s="272"/>
      <c r="D1044" s="130">
        <v>180</v>
      </c>
      <c r="E1044" s="131" t="str">
        <f>'[1]COMEDORES EMERGENTES'!$G$19</f>
        <v>C/ LOS TULIPANES ENTRE FLOR DE CEREZO Y HOLANDA MZA.27 Bº MI JARDIN</v>
      </c>
    </row>
    <row r="1045" spans="2:5" x14ac:dyDescent="0.2">
      <c r="B1045" s="271" t="str">
        <f>'[1]COMEDORES EMERGENTES'!$B$20</f>
        <v>LA VIEJA ESQUINA</v>
      </c>
      <c r="C1045" s="272"/>
      <c r="D1045" s="130">
        <v>172</v>
      </c>
      <c r="E1045" s="131" t="str">
        <f>'[1]COMEDORES EMERGENTES'!$G$20</f>
        <v>B° CRISTO REY PJE CAPATAZ VILLAFAÑEZ Y ARMANDO CORREA</v>
      </c>
    </row>
    <row r="1046" spans="2:5" x14ac:dyDescent="0.2">
      <c r="B1046" s="271" t="str">
        <f>'[1]COMEDORES EMERGENTES'!$B$21</f>
        <v>GAUCHITO GIL</v>
      </c>
      <c r="C1046" s="272"/>
      <c r="D1046" s="130">
        <v>168</v>
      </c>
      <c r="E1046" s="131" t="str">
        <f>'[1]COMEDORES EMERGENTES'!$G$21</f>
        <v>B° 26 VIVIENDAS CASA N° 3</v>
      </c>
    </row>
    <row r="1047" spans="2:5" ht="13.5" thickBot="1" x14ac:dyDescent="0.25">
      <c r="B1047" s="288" t="str">
        <f>'[1]COMEDORES EMERGENTES'!$B$22</f>
        <v>LOS TOLDOS</v>
      </c>
      <c r="C1047" s="289"/>
      <c r="D1047" s="137">
        <v>80</v>
      </c>
      <c r="E1047" s="138" t="str">
        <f>'[1]COMEDORES EMERGENTES'!$G$22</f>
        <v>LOTEO PARQUE SUR CALLE S/NOMBRE S/N°</v>
      </c>
    </row>
    <row r="1048" spans="2:5" x14ac:dyDescent="0.2">
      <c r="B1048" s="50" t="s">
        <v>18</v>
      </c>
      <c r="C1048" s="48"/>
      <c r="D1048" s="94"/>
      <c r="E1048" s="49"/>
    </row>
    <row r="1049" spans="2:5" x14ac:dyDescent="0.2">
      <c r="B1049" s="51"/>
      <c r="C1049" s="287" t="s">
        <v>63</v>
      </c>
      <c r="D1049" s="287"/>
      <c r="E1049" s="287"/>
    </row>
    <row r="1050" spans="2:5" x14ac:dyDescent="0.2">
      <c r="B1050" s="50" t="s">
        <v>19</v>
      </c>
      <c r="C1050" s="52"/>
      <c r="D1050" s="52"/>
      <c r="E1050" s="53"/>
    </row>
    <row r="1051" spans="2:5" x14ac:dyDescent="0.2">
      <c r="B1051" s="51"/>
      <c r="C1051" s="287" t="s">
        <v>140</v>
      </c>
      <c r="D1051" s="287"/>
      <c r="E1051" s="287"/>
    </row>
    <row r="1052" spans="2:5" x14ac:dyDescent="0.2">
      <c r="B1052" s="50" t="s">
        <v>20</v>
      </c>
      <c r="C1052" s="48"/>
      <c r="D1052" s="94"/>
      <c r="E1052" s="49"/>
    </row>
    <row r="1053" spans="2:5" x14ac:dyDescent="0.2">
      <c r="B1053" s="50"/>
      <c r="C1053" s="286" t="s">
        <v>64</v>
      </c>
      <c r="D1053" s="286"/>
      <c r="E1053" s="286"/>
    </row>
    <row r="1054" spans="2:5" ht="13.5" thickBot="1" x14ac:dyDescent="0.25">
      <c r="B1054" s="54"/>
      <c r="C1054" s="55"/>
      <c r="D1054" s="95"/>
      <c r="E1054" s="56"/>
    </row>
    <row r="1055" spans="2:5" ht="13.5" thickBot="1" x14ac:dyDescent="0.25"/>
    <row r="1056" spans="2:5" x14ac:dyDescent="0.2">
      <c r="B1056" s="44" t="s">
        <v>167</v>
      </c>
      <c r="C1056" s="45"/>
      <c r="D1056" s="93"/>
      <c r="E1056" s="46"/>
    </row>
    <row r="1057" spans="2:5" x14ac:dyDescent="0.2">
      <c r="B1057" s="47"/>
      <c r="C1057" s="48"/>
      <c r="D1057" s="94"/>
      <c r="E1057" s="49"/>
    </row>
    <row r="1058" spans="2:5" x14ac:dyDescent="0.2">
      <c r="B1058" s="50" t="s">
        <v>16</v>
      </c>
      <c r="C1058" s="48"/>
      <c r="D1058" s="94"/>
      <c r="E1058" s="49"/>
    </row>
    <row r="1059" spans="2:5" ht="25.5" customHeight="1" x14ac:dyDescent="0.2">
      <c r="B1059" s="50"/>
      <c r="C1059" s="287"/>
      <c r="D1059" s="287"/>
      <c r="E1059" s="287"/>
    </row>
    <row r="1060" spans="2:5" ht="13.5" thickBot="1" x14ac:dyDescent="0.25">
      <c r="B1060" s="50" t="s">
        <v>17</v>
      </c>
      <c r="C1060" s="48"/>
      <c r="D1060" s="94"/>
      <c r="E1060" s="49"/>
    </row>
    <row r="1061" spans="2:5" ht="13.5" thickBot="1" x14ac:dyDescent="0.25">
      <c r="B1061" s="273" t="s">
        <v>244</v>
      </c>
      <c r="C1061" s="274"/>
      <c r="D1061" s="274"/>
      <c r="E1061" s="275"/>
    </row>
    <row r="1062" spans="2:5" ht="13.5" thickBot="1" x14ac:dyDescent="0.25">
      <c r="B1062" s="273" t="s">
        <v>138</v>
      </c>
      <c r="C1062" s="275"/>
      <c r="D1062" s="91" t="s">
        <v>11</v>
      </c>
      <c r="E1062" s="91" t="s">
        <v>139</v>
      </c>
    </row>
    <row r="1063" spans="2:5" x14ac:dyDescent="0.2">
      <c r="B1063" s="280" t="str">
        <f>'[1]COMEDORES EMERGENTES'!$B$3</f>
        <v>UNA SONRISA AV. LOS COBACHO</v>
      </c>
      <c r="C1063" s="281"/>
      <c r="D1063" s="135">
        <v>160</v>
      </c>
      <c r="E1063" s="136" t="str">
        <f>'[1]COMEDORES EMERGENTES'!$G$3</f>
        <v>Bº SAN CARLOS OESTE AV. Bonifacio cobacho 670</v>
      </c>
    </row>
    <row r="1064" spans="2:5" x14ac:dyDescent="0.2">
      <c r="B1064" s="271" t="str">
        <f>'[1]COMEDORES EMERGENTES'!$B$4</f>
        <v>C.I.F Nº1 - RIVERA DEL VALLE Y FLORIDA</v>
      </c>
      <c r="C1064" s="272"/>
      <c r="D1064" s="130">
        <v>230</v>
      </c>
      <c r="E1064" s="131" t="str">
        <f>'[1]COMEDORES EMERGENTES'!$G$4</f>
        <v>AV. RIVIERA DEL VALLE ENTRE FLORIDA Y SANTA FE</v>
      </c>
    </row>
    <row r="1065" spans="2:5" x14ac:dyDescent="0.2">
      <c r="B1065" s="271" t="str">
        <f>'[1]COMEDORES EMERGENTES'!$B$5</f>
        <v>C.I.F - RIVERA DEL VALLE - DILORENZO</v>
      </c>
      <c r="C1065" s="272"/>
      <c r="D1065" s="130">
        <v>270</v>
      </c>
      <c r="E1065" s="131" t="str">
        <f>'[1]COMEDORES EMERGENTES'!$G$5</f>
        <v>Bº RIVERA DEL VALLE ENTRE VILLA EUMELIA Y MONTE CRISTO</v>
      </c>
    </row>
    <row r="1066" spans="2:5" x14ac:dyDescent="0.2">
      <c r="B1066" s="271" t="str">
        <f>'[1]COMEDORES EMERGENTES'!$B$6</f>
        <v>ESFUERZO PROPIO- Bº ALTOS DE CHOYA</v>
      </c>
      <c r="C1066" s="272"/>
      <c r="D1066" s="130">
        <v>220</v>
      </c>
      <c r="E1066" s="131" t="str">
        <f>'[1]COMEDORES EMERGENTES'!$G$6</f>
        <v>Bº MUNICIPAL 35VV. NORTE C/14</v>
      </c>
    </row>
    <row r="1067" spans="2:5" x14ac:dyDescent="0.2">
      <c r="B1067" s="271" t="str">
        <f>'[1]COMEDORES EMERGENTES'!$B$7</f>
        <v>ANGELITOS - LOTEO SUSSEX</v>
      </c>
      <c r="C1067" s="272"/>
      <c r="D1067" s="130">
        <v>100</v>
      </c>
      <c r="E1067" s="131" t="str">
        <f>'[1]COMEDORES EMERGENTES'!$G$7</f>
        <v>Bº LOTEO SUSEX MZA.Nº 4 LOTE Nº3</v>
      </c>
    </row>
    <row r="1068" spans="2:5" x14ac:dyDescent="0.2">
      <c r="B1068" s="271" t="str">
        <f>'[1]COMEDORES EMERGENTES'!$B$8</f>
        <v>CLUB DEPORTIVO CHACARITA</v>
      </c>
      <c r="C1068" s="272"/>
      <c r="D1068" s="130">
        <v>130</v>
      </c>
      <c r="E1068" s="131" t="str">
        <f>'[1]COMEDORES EMERGENTES'!$G$8</f>
        <v>CALLE DR.DERMIDIO GALINDEZ C/2660</v>
      </c>
    </row>
    <row r="1069" spans="2:5" x14ac:dyDescent="0.2">
      <c r="B1069" s="271" t="str">
        <f>'[1]COMEDORES EMERGENTES'!$B$9</f>
        <v>LA MORO</v>
      </c>
      <c r="C1069" s="272"/>
      <c r="D1069" s="130">
        <v>120</v>
      </c>
      <c r="E1069" s="131" t="str">
        <f>'[1]COMEDORES EMERGENTES'!$G$9</f>
        <v>MAIPU NORTE 1º ETAPA MZA "H" Bº MI JARDIN</v>
      </c>
    </row>
    <row r="1070" spans="2:5" x14ac:dyDescent="0.2">
      <c r="B1070" s="271" t="str">
        <f>'[1]COMEDORES EMERGENTES'!$B$10</f>
        <v>PAPA FRANCISCO</v>
      </c>
      <c r="C1070" s="272"/>
      <c r="D1070" s="130">
        <v>200</v>
      </c>
      <c r="E1070" s="131" t="str">
        <f>'[1]COMEDORES EMERGENTES'!$G$10</f>
        <v>ENTRE AV.TEREBINTO Y AV.SAN JUAN LOTE "2" MZA. "B"</v>
      </c>
    </row>
    <row r="1071" spans="2:5" x14ac:dyDescent="0.2">
      <c r="B1071" s="271" t="str">
        <f>'[1]COMEDORES EMERGENTES'!$B$11</f>
        <v>E.P.C - 100 V.V NORTE</v>
      </c>
      <c r="C1071" s="272"/>
      <c r="D1071" s="130">
        <v>300</v>
      </c>
      <c r="E1071" s="131" t="str">
        <f>'[1]COMEDORES EMERGENTES'!$G$11</f>
        <v>Bº VV NORTE C/48 ENTRE ESPAÑA Y FRANCIA</v>
      </c>
    </row>
    <row r="1072" spans="2:5" x14ac:dyDescent="0.2">
      <c r="B1072" s="271" t="str">
        <f>'[1]COMEDORES EMERGENTES'!$B$12</f>
        <v>HOGAR DE CRISTO - PADRE RAUL CONTRERAS</v>
      </c>
      <c r="C1072" s="272"/>
      <c r="D1072" s="130">
        <v>300</v>
      </c>
      <c r="E1072" s="131" t="str">
        <f>'[1]COMEDORES EMERGENTES'!$G$12</f>
        <v>Bº SANTA MARTA MZA. "S" LOTE "M" C/39</v>
      </c>
    </row>
    <row r="1073" spans="2:5" x14ac:dyDescent="0.2">
      <c r="B1073" s="271" t="str">
        <f>'[1]COMEDORES EMERGENTES'!$B$13</f>
        <v>LA LUCIERNAGA</v>
      </c>
      <c r="C1073" s="272"/>
      <c r="D1073" s="130">
        <v>200</v>
      </c>
      <c r="E1073" s="131" t="str">
        <f>'[1]COMEDORES EMERGENTES'!$G$13</f>
        <v>Bº 20 V.V NORTE C/3</v>
      </c>
    </row>
    <row r="1074" spans="2:5" x14ac:dyDescent="0.2">
      <c r="B1074" s="271" t="str">
        <f>'[1]COMEDORES EMERGENTES'!$B$14</f>
        <v>VALLE VIEJO - SUMALAO</v>
      </c>
      <c r="C1074" s="272"/>
      <c r="D1074" s="130">
        <v>350</v>
      </c>
      <c r="E1074" s="131" t="str">
        <f>'[1]COMEDORES EMERGENTES'!$G$14</f>
        <v>PADRE SEGURA S/N</v>
      </c>
    </row>
    <row r="1075" spans="2:5" x14ac:dyDescent="0.2">
      <c r="B1075" s="271" t="str">
        <f>'[1]COMEDORES EMERGENTES'!$B$15</f>
        <v>NUESTRO FUTURO - LAS VIAS</v>
      </c>
      <c r="C1075" s="272"/>
      <c r="D1075" s="130">
        <v>200</v>
      </c>
      <c r="E1075" s="131" t="str">
        <f>'[1]COMEDORES EMERGENTES'!$G$15</f>
        <v>Bº LAS VIAS OESTE LOTE 42</v>
      </c>
    </row>
    <row r="1076" spans="2:5" x14ac:dyDescent="0.2">
      <c r="B1076" s="271" t="str">
        <f>'[1]COMEDORES EMERGENTES'!$B$16</f>
        <v>SAN JOSE OBRERO</v>
      </c>
      <c r="C1076" s="272"/>
      <c r="D1076" s="130">
        <v>130</v>
      </c>
      <c r="E1076" s="131" t="str">
        <f>'[1]COMEDORES EMERGENTES'!$G$16</f>
        <v>Bº SAN JOSE OBRERO. PJE. SANDOVAL S/Nº</v>
      </c>
    </row>
    <row r="1077" spans="2:5" x14ac:dyDescent="0.2">
      <c r="B1077" s="271" t="str">
        <f>'[1]COMEDORES EMERGENTES'!$B$17</f>
        <v>VIRGEN DE LUJAN</v>
      </c>
      <c r="C1077" s="272"/>
      <c r="D1077" s="130">
        <v>200</v>
      </c>
      <c r="E1077" s="131" t="str">
        <f>'[1]COMEDORES EMERGENTES'!$G$17</f>
        <v>Bº OJO DE AGUA C/DR.TEODULFO BARRIONUEVO S/Nº</v>
      </c>
    </row>
    <row r="1078" spans="2:5" x14ac:dyDescent="0.2">
      <c r="B1078" s="271" t="str">
        <f>'[1]COMEDORES EMERGENTES'!$B$18</f>
        <v>RENACER</v>
      </c>
      <c r="C1078" s="272"/>
      <c r="D1078" s="130">
        <v>250</v>
      </c>
      <c r="E1078" s="131" t="str">
        <f>'[1]COMEDORES EMERGENTES'!$G$18</f>
        <v>Bº VIRGEN MORENITA</v>
      </c>
    </row>
    <row r="1079" spans="2:5" x14ac:dyDescent="0.2">
      <c r="B1079" s="271" t="str">
        <f>'[1]COMEDORES EMERGENTES'!$B$19</f>
        <v>CENTRO VECINAL MI JARDIN</v>
      </c>
      <c r="C1079" s="272"/>
      <c r="D1079" s="130">
        <v>180</v>
      </c>
      <c r="E1079" s="131" t="str">
        <f>'[1]COMEDORES EMERGENTES'!$G$19</f>
        <v>C/ LOS TULIPANES ENTRE FLOR DE CEREZO Y HOLANDA MZA.27 Bº MI JARDIN</v>
      </c>
    </row>
    <row r="1080" spans="2:5" x14ac:dyDescent="0.2">
      <c r="B1080" s="271" t="str">
        <f>'[1]COMEDORES EMERGENTES'!$B$20</f>
        <v>LA VIEJA ESQUINA</v>
      </c>
      <c r="C1080" s="272"/>
      <c r="D1080" s="130">
        <v>172</v>
      </c>
      <c r="E1080" s="131" t="str">
        <f>'[1]COMEDORES EMERGENTES'!$G$20</f>
        <v>B° CRISTO REY PJE CAPATAZ VILLAFAÑEZ Y ARMANDO CORREA</v>
      </c>
    </row>
    <row r="1081" spans="2:5" x14ac:dyDescent="0.2">
      <c r="B1081" s="271" t="str">
        <f>'[1]COMEDORES EMERGENTES'!$B$21</f>
        <v>GAUCHITO GIL</v>
      </c>
      <c r="C1081" s="272"/>
      <c r="D1081" s="130">
        <v>168</v>
      </c>
      <c r="E1081" s="131" t="str">
        <f>'[1]COMEDORES EMERGENTES'!$G$21</f>
        <v>B° 26 VIVIENDAS CASA N° 3</v>
      </c>
    </row>
    <row r="1082" spans="2:5" ht="13.5" thickBot="1" x14ac:dyDescent="0.25">
      <c r="B1082" s="288" t="str">
        <f>'[1]COMEDORES EMERGENTES'!$B$22</f>
        <v>LOS TOLDOS</v>
      </c>
      <c r="C1082" s="289"/>
      <c r="D1082" s="137">
        <v>80</v>
      </c>
      <c r="E1082" s="138" t="str">
        <f>'[1]COMEDORES EMERGENTES'!$G$22</f>
        <v>LOTEO PARQUE SUR CALLE S/NOMBRE S/N°</v>
      </c>
    </row>
    <row r="1083" spans="2:5" x14ac:dyDescent="0.2">
      <c r="B1083" s="50" t="s">
        <v>18</v>
      </c>
      <c r="C1083" s="48"/>
      <c r="D1083" s="94"/>
      <c r="E1083" s="49"/>
    </row>
    <row r="1084" spans="2:5" x14ac:dyDescent="0.2">
      <c r="B1084" s="51"/>
      <c r="C1084" s="287" t="s">
        <v>63</v>
      </c>
      <c r="D1084" s="287"/>
      <c r="E1084" s="287"/>
    </row>
    <row r="1085" spans="2:5" x14ac:dyDescent="0.2">
      <c r="B1085" s="50" t="s">
        <v>19</v>
      </c>
      <c r="C1085" s="52"/>
      <c r="D1085" s="52"/>
      <c r="E1085" s="53"/>
    </row>
    <row r="1086" spans="2:5" x14ac:dyDescent="0.2">
      <c r="B1086" s="51"/>
      <c r="C1086" s="287" t="s">
        <v>140</v>
      </c>
      <c r="D1086" s="287"/>
      <c r="E1086" s="287"/>
    </row>
    <row r="1087" spans="2:5" x14ac:dyDescent="0.2">
      <c r="B1087" s="50" t="s">
        <v>20</v>
      </c>
      <c r="C1087" s="48"/>
      <c r="D1087" s="94"/>
      <c r="E1087" s="49"/>
    </row>
    <row r="1088" spans="2:5" x14ac:dyDescent="0.2">
      <c r="B1088" s="50"/>
      <c r="C1088" s="286" t="s">
        <v>64</v>
      </c>
      <c r="D1088" s="286"/>
      <c r="E1088" s="286"/>
    </row>
    <row r="1089" spans="2:5" ht="13.5" thickBot="1" x14ac:dyDescent="0.25">
      <c r="B1089" s="54"/>
      <c r="C1089" s="55"/>
      <c r="D1089" s="95"/>
      <c r="E1089" s="56"/>
    </row>
  </sheetData>
  <mergeCells count="787">
    <mergeCell ref="B122:C122"/>
    <mergeCell ref="B102:C102"/>
    <mergeCell ref="B1082:C1082"/>
    <mergeCell ref="C139:E139"/>
    <mergeCell ref="C141:E141"/>
    <mergeCell ref="B133:C133"/>
    <mergeCell ref="B134:C134"/>
    <mergeCell ref="B135:C135"/>
    <mergeCell ref="B136:C136"/>
    <mergeCell ref="C143:E143"/>
    <mergeCell ref="B977:C977"/>
    <mergeCell ref="B137:C137"/>
    <mergeCell ref="B172:C172"/>
    <mergeCell ref="B207:C207"/>
    <mergeCell ref="B242:C242"/>
    <mergeCell ref="B277:C277"/>
    <mergeCell ref="B312:C312"/>
    <mergeCell ref="B347:C347"/>
    <mergeCell ref="B382:C382"/>
    <mergeCell ref="B417:C417"/>
    <mergeCell ref="B452:C452"/>
    <mergeCell ref="B487:C487"/>
    <mergeCell ref="B522:C522"/>
    <mergeCell ref="B557:C557"/>
    <mergeCell ref="B99:C99"/>
    <mergeCell ref="B100:C100"/>
    <mergeCell ref="B101:C101"/>
    <mergeCell ref="C114:E114"/>
    <mergeCell ref="B117:C117"/>
    <mergeCell ref="B118:C118"/>
    <mergeCell ref="B119:C119"/>
    <mergeCell ref="B120:C120"/>
    <mergeCell ref="B121:C121"/>
    <mergeCell ref="B1:H1"/>
    <mergeCell ref="A3:B3"/>
    <mergeCell ref="C3:E3"/>
    <mergeCell ref="A4:B4"/>
    <mergeCell ref="C4:E4"/>
    <mergeCell ref="A5:B5"/>
    <mergeCell ref="A6:B6"/>
    <mergeCell ref="C44:E44"/>
    <mergeCell ref="B47:C47"/>
    <mergeCell ref="B48:C48"/>
    <mergeCell ref="B49:C49"/>
    <mergeCell ref="B50:C50"/>
    <mergeCell ref="B51:C51"/>
    <mergeCell ref="B52:C52"/>
    <mergeCell ref="B53:C53"/>
    <mergeCell ref="B54:C54"/>
    <mergeCell ref="B55:C55"/>
    <mergeCell ref="B56:C56"/>
    <mergeCell ref="B57:C57"/>
    <mergeCell ref="B67:C67"/>
    <mergeCell ref="B89:C89"/>
    <mergeCell ref="B90:C90"/>
    <mergeCell ref="B91:C91"/>
    <mergeCell ref="B92:C92"/>
    <mergeCell ref="B93:C93"/>
    <mergeCell ref="B46:E46"/>
    <mergeCell ref="B81:E81"/>
    <mergeCell ref="B82:C82"/>
    <mergeCell ref="B83:C83"/>
    <mergeCell ref="B84:C84"/>
    <mergeCell ref="B63:C63"/>
    <mergeCell ref="B64:C64"/>
    <mergeCell ref="B65:C65"/>
    <mergeCell ref="B66:C66"/>
    <mergeCell ref="B58:C58"/>
    <mergeCell ref="B59:C59"/>
    <mergeCell ref="B60:C60"/>
    <mergeCell ref="B61:C61"/>
    <mergeCell ref="B62:C62"/>
    <mergeCell ref="C69:E69"/>
    <mergeCell ref="C71:E71"/>
    <mergeCell ref="C73:E73"/>
    <mergeCell ref="C79:E79"/>
    <mergeCell ref="B85:C85"/>
    <mergeCell ref="B128:C128"/>
    <mergeCell ref="B129:C129"/>
    <mergeCell ref="B130:C130"/>
    <mergeCell ref="B131:C131"/>
    <mergeCell ref="B132:C132"/>
    <mergeCell ref="C104:E104"/>
    <mergeCell ref="C106:E106"/>
    <mergeCell ref="C108:E108"/>
    <mergeCell ref="B116:E116"/>
    <mergeCell ref="B123:C123"/>
    <mergeCell ref="B124:C124"/>
    <mergeCell ref="B125:C125"/>
    <mergeCell ref="B126:C126"/>
    <mergeCell ref="B127:C127"/>
    <mergeCell ref="B86:C86"/>
    <mergeCell ref="B87:C87"/>
    <mergeCell ref="B88:C88"/>
    <mergeCell ref="B94:C94"/>
    <mergeCell ref="B95:C95"/>
    <mergeCell ref="B96:C96"/>
    <mergeCell ref="B97:C97"/>
    <mergeCell ref="B98:C98"/>
    <mergeCell ref="B156:C156"/>
    <mergeCell ref="B157:C157"/>
    <mergeCell ref="B158:C158"/>
    <mergeCell ref="B159:C159"/>
    <mergeCell ref="C149:E149"/>
    <mergeCell ref="B151:E151"/>
    <mergeCell ref="B152:C152"/>
    <mergeCell ref="B153:C153"/>
    <mergeCell ref="B154:C154"/>
    <mergeCell ref="B155:C155"/>
    <mergeCell ref="B165:C165"/>
    <mergeCell ref="B166:C166"/>
    <mergeCell ref="B167:C167"/>
    <mergeCell ref="B168:C168"/>
    <mergeCell ref="B169:C169"/>
    <mergeCell ref="B160:C160"/>
    <mergeCell ref="B161:C161"/>
    <mergeCell ref="B162:C162"/>
    <mergeCell ref="B163:C163"/>
    <mergeCell ref="B164:C164"/>
    <mergeCell ref="C178:E178"/>
    <mergeCell ref="C184:E184"/>
    <mergeCell ref="B186:E186"/>
    <mergeCell ref="B187:C187"/>
    <mergeCell ref="B188:C188"/>
    <mergeCell ref="B170:C170"/>
    <mergeCell ref="B171:C171"/>
    <mergeCell ref="C174:E174"/>
    <mergeCell ref="C176:E176"/>
    <mergeCell ref="B194:C194"/>
    <mergeCell ref="B195:C195"/>
    <mergeCell ref="B196:C196"/>
    <mergeCell ref="B197:C197"/>
    <mergeCell ref="B198:C198"/>
    <mergeCell ref="B189:C189"/>
    <mergeCell ref="B190:C190"/>
    <mergeCell ref="B191:C191"/>
    <mergeCell ref="B192:C192"/>
    <mergeCell ref="B193:C193"/>
    <mergeCell ref="B204:C204"/>
    <mergeCell ref="B205:C205"/>
    <mergeCell ref="B206:C206"/>
    <mergeCell ref="C209:E209"/>
    <mergeCell ref="B199:C199"/>
    <mergeCell ref="B200:C200"/>
    <mergeCell ref="B201:C201"/>
    <mergeCell ref="B202:C202"/>
    <mergeCell ref="B203:C203"/>
    <mergeCell ref="B223:C223"/>
    <mergeCell ref="B224:C224"/>
    <mergeCell ref="B225:C225"/>
    <mergeCell ref="B226:C226"/>
    <mergeCell ref="B227:C227"/>
    <mergeCell ref="C211:E211"/>
    <mergeCell ref="C213:E213"/>
    <mergeCell ref="C219:E219"/>
    <mergeCell ref="B221:E221"/>
    <mergeCell ref="B222:C222"/>
    <mergeCell ref="B233:C233"/>
    <mergeCell ref="B234:C234"/>
    <mergeCell ref="B235:C235"/>
    <mergeCell ref="B236:C236"/>
    <mergeCell ref="B237:C237"/>
    <mergeCell ref="B228:C228"/>
    <mergeCell ref="B229:C229"/>
    <mergeCell ref="B230:C230"/>
    <mergeCell ref="B231:C231"/>
    <mergeCell ref="B232:C232"/>
    <mergeCell ref="C244:E244"/>
    <mergeCell ref="C246:E246"/>
    <mergeCell ref="C248:E248"/>
    <mergeCell ref="C254:E254"/>
    <mergeCell ref="B256:E256"/>
    <mergeCell ref="B238:C238"/>
    <mergeCell ref="B239:C239"/>
    <mergeCell ref="B240:C240"/>
    <mergeCell ref="B241:C241"/>
    <mergeCell ref="B262:C262"/>
    <mergeCell ref="B263:C263"/>
    <mergeCell ref="B264:C264"/>
    <mergeCell ref="B265:C265"/>
    <mergeCell ref="B266:C266"/>
    <mergeCell ref="B257:C257"/>
    <mergeCell ref="B258:C258"/>
    <mergeCell ref="B259:C259"/>
    <mergeCell ref="B260:C260"/>
    <mergeCell ref="B261:C261"/>
    <mergeCell ref="B272:C272"/>
    <mergeCell ref="B273:C273"/>
    <mergeCell ref="B274:C274"/>
    <mergeCell ref="B275:C275"/>
    <mergeCell ref="B276:C276"/>
    <mergeCell ref="B267:C267"/>
    <mergeCell ref="B268:C268"/>
    <mergeCell ref="B269:C269"/>
    <mergeCell ref="B270:C270"/>
    <mergeCell ref="B271:C271"/>
    <mergeCell ref="B291:E291"/>
    <mergeCell ref="B292:C292"/>
    <mergeCell ref="B293:C293"/>
    <mergeCell ref="B294:C294"/>
    <mergeCell ref="B295:C295"/>
    <mergeCell ref="C279:E279"/>
    <mergeCell ref="C281:E281"/>
    <mergeCell ref="C283:E283"/>
    <mergeCell ref="B301:C301"/>
    <mergeCell ref="B302:C302"/>
    <mergeCell ref="B303:C303"/>
    <mergeCell ref="B304:C304"/>
    <mergeCell ref="B305:C305"/>
    <mergeCell ref="B296:C296"/>
    <mergeCell ref="B297:C297"/>
    <mergeCell ref="B298:C298"/>
    <mergeCell ref="B299:C299"/>
    <mergeCell ref="B300:C300"/>
    <mergeCell ref="B311:C311"/>
    <mergeCell ref="C314:E314"/>
    <mergeCell ref="C316:E316"/>
    <mergeCell ref="C318:E318"/>
    <mergeCell ref="B306:C306"/>
    <mergeCell ref="B307:C307"/>
    <mergeCell ref="B308:C308"/>
    <mergeCell ref="B309:C309"/>
    <mergeCell ref="B310:C310"/>
    <mergeCell ref="B330:C330"/>
    <mergeCell ref="B331:C331"/>
    <mergeCell ref="B332:C332"/>
    <mergeCell ref="B333:C333"/>
    <mergeCell ref="B334:C334"/>
    <mergeCell ref="C324:E324"/>
    <mergeCell ref="B326:E326"/>
    <mergeCell ref="B327:C327"/>
    <mergeCell ref="B328:C328"/>
    <mergeCell ref="B329:C329"/>
    <mergeCell ref="B340:C340"/>
    <mergeCell ref="B341:C341"/>
    <mergeCell ref="B342:C342"/>
    <mergeCell ref="B343:C343"/>
    <mergeCell ref="B344:C344"/>
    <mergeCell ref="B335:C335"/>
    <mergeCell ref="B336:C336"/>
    <mergeCell ref="B337:C337"/>
    <mergeCell ref="B338:C338"/>
    <mergeCell ref="B339:C339"/>
    <mergeCell ref="C353:E353"/>
    <mergeCell ref="C359:E359"/>
    <mergeCell ref="B361:E361"/>
    <mergeCell ref="B362:C362"/>
    <mergeCell ref="B363:C363"/>
    <mergeCell ref="B345:C345"/>
    <mergeCell ref="B346:C346"/>
    <mergeCell ref="C349:E349"/>
    <mergeCell ref="C351:E351"/>
    <mergeCell ref="B369:C369"/>
    <mergeCell ref="B370:C370"/>
    <mergeCell ref="B371:C371"/>
    <mergeCell ref="B372:C372"/>
    <mergeCell ref="B373:C373"/>
    <mergeCell ref="B364:C364"/>
    <mergeCell ref="B365:C365"/>
    <mergeCell ref="B366:C366"/>
    <mergeCell ref="B367:C367"/>
    <mergeCell ref="B368:C368"/>
    <mergeCell ref="B379:C379"/>
    <mergeCell ref="B380:C380"/>
    <mergeCell ref="B381:C381"/>
    <mergeCell ref="C384:E384"/>
    <mergeCell ref="B374:C374"/>
    <mergeCell ref="B375:C375"/>
    <mergeCell ref="B376:C376"/>
    <mergeCell ref="B377:C377"/>
    <mergeCell ref="B378:C378"/>
    <mergeCell ref="B398:C398"/>
    <mergeCell ref="B399:C399"/>
    <mergeCell ref="B400:C400"/>
    <mergeCell ref="B401:C401"/>
    <mergeCell ref="B402:C402"/>
    <mergeCell ref="C386:E386"/>
    <mergeCell ref="C388:E388"/>
    <mergeCell ref="C394:E394"/>
    <mergeCell ref="B396:E396"/>
    <mergeCell ref="B397:C397"/>
    <mergeCell ref="B408:C408"/>
    <mergeCell ref="B409:C409"/>
    <mergeCell ref="B410:C410"/>
    <mergeCell ref="B411:C411"/>
    <mergeCell ref="B412:C412"/>
    <mergeCell ref="B403:C403"/>
    <mergeCell ref="B404:C404"/>
    <mergeCell ref="B405:C405"/>
    <mergeCell ref="B406:C406"/>
    <mergeCell ref="B407:C407"/>
    <mergeCell ref="C419:E419"/>
    <mergeCell ref="C421:E421"/>
    <mergeCell ref="C423:E423"/>
    <mergeCell ref="C429:E429"/>
    <mergeCell ref="B431:E431"/>
    <mergeCell ref="B413:C413"/>
    <mergeCell ref="B414:C414"/>
    <mergeCell ref="B415:C415"/>
    <mergeCell ref="B416:C416"/>
    <mergeCell ref="B437:C437"/>
    <mergeCell ref="B438:C438"/>
    <mergeCell ref="B439:C439"/>
    <mergeCell ref="B440:C440"/>
    <mergeCell ref="B441:C441"/>
    <mergeCell ref="B432:C432"/>
    <mergeCell ref="B433:C433"/>
    <mergeCell ref="B434:C434"/>
    <mergeCell ref="B435:C435"/>
    <mergeCell ref="B436:C436"/>
    <mergeCell ref="B447:C447"/>
    <mergeCell ref="B448:C448"/>
    <mergeCell ref="B449:C449"/>
    <mergeCell ref="B450:C450"/>
    <mergeCell ref="B451:C451"/>
    <mergeCell ref="B442:C442"/>
    <mergeCell ref="B443:C443"/>
    <mergeCell ref="B444:C444"/>
    <mergeCell ref="B445:C445"/>
    <mergeCell ref="B446:C446"/>
    <mergeCell ref="B466:E466"/>
    <mergeCell ref="B467:C467"/>
    <mergeCell ref="B468:C468"/>
    <mergeCell ref="B469:C469"/>
    <mergeCell ref="B470:C470"/>
    <mergeCell ref="C454:E454"/>
    <mergeCell ref="C456:E456"/>
    <mergeCell ref="C458:E458"/>
    <mergeCell ref="C464:E464"/>
    <mergeCell ref="B476:C476"/>
    <mergeCell ref="B477:C477"/>
    <mergeCell ref="B478:C478"/>
    <mergeCell ref="B479:C479"/>
    <mergeCell ref="B480:C480"/>
    <mergeCell ref="B471:C471"/>
    <mergeCell ref="B472:C472"/>
    <mergeCell ref="B473:C473"/>
    <mergeCell ref="B474:C474"/>
    <mergeCell ref="B475:C475"/>
    <mergeCell ref="B486:C486"/>
    <mergeCell ref="C489:E489"/>
    <mergeCell ref="C491:E491"/>
    <mergeCell ref="C493:E493"/>
    <mergeCell ref="B481:C481"/>
    <mergeCell ref="B482:C482"/>
    <mergeCell ref="B483:C483"/>
    <mergeCell ref="B484:C484"/>
    <mergeCell ref="B485:C485"/>
    <mergeCell ref="B505:C505"/>
    <mergeCell ref="B506:C506"/>
    <mergeCell ref="B507:C507"/>
    <mergeCell ref="B508:C508"/>
    <mergeCell ref="B509:C509"/>
    <mergeCell ref="C499:E499"/>
    <mergeCell ref="B501:E501"/>
    <mergeCell ref="B502:C502"/>
    <mergeCell ref="B503:C503"/>
    <mergeCell ref="B504:C504"/>
    <mergeCell ref="B515:C515"/>
    <mergeCell ref="B516:C516"/>
    <mergeCell ref="B517:C517"/>
    <mergeCell ref="B518:C518"/>
    <mergeCell ref="B519:C519"/>
    <mergeCell ref="B510:C510"/>
    <mergeCell ref="B511:C511"/>
    <mergeCell ref="B512:C512"/>
    <mergeCell ref="B513:C513"/>
    <mergeCell ref="B514:C514"/>
    <mergeCell ref="C528:E528"/>
    <mergeCell ref="C534:E534"/>
    <mergeCell ref="B536:E536"/>
    <mergeCell ref="B537:C537"/>
    <mergeCell ref="B538:C538"/>
    <mergeCell ref="B520:C520"/>
    <mergeCell ref="B521:C521"/>
    <mergeCell ref="C524:E524"/>
    <mergeCell ref="C526:E526"/>
    <mergeCell ref="B544:C544"/>
    <mergeCell ref="B545:C545"/>
    <mergeCell ref="B546:C546"/>
    <mergeCell ref="B547:C547"/>
    <mergeCell ref="B548:C548"/>
    <mergeCell ref="B539:C539"/>
    <mergeCell ref="B540:C540"/>
    <mergeCell ref="B541:C541"/>
    <mergeCell ref="B542:C542"/>
    <mergeCell ref="B543:C543"/>
    <mergeCell ref="B554:C554"/>
    <mergeCell ref="B555:C555"/>
    <mergeCell ref="B556:C556"/>
    <mergeCell ref="C559:E559"/>
    <mergeCell ref="B549:C549"/>
    <mergeCell ref="B550:C550"/>
    <mergeCell ref="B551:C551"/>
    <mergeCell ref="B552:C552"/>
    <mergeCell ref="B553:C553"/>
    <mergeCell ref="B573:C573"/>
    <mergeCell ref="B574:C574"/>
    <mergeCell ref="B575:C575"/>
    <mergeCell ref="B576:C576"/>
    <mergeCell ref="B577:C577"/>
    <mergeCell ref="C561:E561"/>
    <mergeCell ref="C563:E563"/>
    <mergeCell ref="C569:E569"/>
    <mergeCell ref="B571:E571"/>
    <mergeCell ref="B572:C572"/>
    <mergeCell ref="B583:C583"/>
    <mergeCell ref="B584:C584"/>
    <mergeCell ref="B585:C585"/>
    <mergeCell ref="B586:C586"/>
    <mergeCell ref="B587:C587"/>
    <mergeCell ref="B578:C578"/>
    <mergeCell ref="B579:C579"/>
    <mergeCell ref="B580:C580"/>
    <mergeCell ref="B581:C581"/>
    <mergeCell ref="B582:C582"/>
    <mergeCell ref="C594:E594"/>
    <mergeCell ref="C596:E596"/>
    <mergeCell ref="C598:E598"/>
    <mergeCell ref="C604:E604"/>
    <mergeCell ref="B606:E606"/>
    <mergeCell ref="B588:C588"/>
    <mergeCell ref="B589:C589"/>
    <mergeCell ref="B590:C590"/>
    <mergeCell ref="B591:C591"/>
    <mergeCell ref="B592:C592"/>
    <mergeCell ref="B612:C612"/>
    <mergeCell ref="B613:C613"/>
    <mergeCell ref="B614:C614"/>
    <mergeCell ref="B615:C615"/>
    <mergeCell ref="B616:C616"/>
    <mergeCell ref="B607:C607"/>
    <mergeCell ref="B608:C608"/>
    <mergeCell ref="B609:C609"/>
    <mergeCell ref="B610:C610"/>
    <mergeCell ref="B611:C611"/>
    <mergeCell ref="B622:C622"/>
    <mergeCell ref="B623:C623"/>
    <mergeCell ref="B624:C624"/>
    <mergeCell ref="B625:C625"/>
    <mergeCell ref="B626:C626"/>
    <mergeCell ref="B617:C617"/>
    <mergeCell ref="B618:C618"/>
    <mergeCell ref="B619:C619"/>
    <mergeCell ref="B620:C620"/>
    <mergeCell ref="B621:C621"/>
    <mergeCell ref="B627:C627"/>
    <mergeCell ref="B651:C651"/>
    <mergeCell ref="B652:C652"/>
    <mergeCell ref="B653:C653"/>
    <mergeCell ref="B654:C654"/>
    <mergeCell ref="B655:C655"/>
    <mergeCell ref="B646:C646"/>
    <mergeCell ref="B647:C647"/>
    <mergeCell ref="B648:C648"/>
    <mergeCell ref="B649:C649"/>
    <mergeCell ref="B650:C650"/>
    <mergeCell ref="B641:E641"/>
    <mergeCell ref="B642:C642"/>
    <mergeCell ref="B643:C643"/>
    <mergeCell ref="B644:C644"/>
    <mergeCell ref="B645:C645"/>
    <mergeCell ref="C629:E629"/>
    <mergeCell ref="C631:E631"/>
    <mergeCell ref="C633:E633"/>
    <mergeCell ref="C639:E639"/>
    <mergeCell ref="B661:C661"/>
    <mergeCell ref="C664:E664"/>
    <mergeCell ref="C666:E666"/>
    <mergeCell ref="C668:E668"/>
    <mergeCell ref="B656:C656"/>
    <mergeCell ref="B657:C657"/>
    <mergeCell ref="B658:C658"/>
    <mergeCell ref="B659:C659"/>
    <mergeCell ref="B660:C660"/>
    <mergeCell ref="B662:C662"/>
    <mergeCell ref="B680:C680"/>
    <mergeCell ref="B681:C681"/>
    <mergeCell ref="B682:C682"/>
    <mergeCell ref="B683:C683"/>
    <mergeCell ref="B684:C684"/>
    <mergeCell ref="C674:E674"/>
    <mergeCell ref="B676:E676"/>
    <mergeCell ref="B677:C677"/>
    <mergeCell ref="B678:C678"/>
    <mergeCell ref="B679:C679"/>
    <mergeCell ref="B690:C690"/>
    <mergeCell ref="B691:C691"/>
    <mergeCell ref="B692:C692"/>
    <mergeCell ref="B693:C693"/>
    <mergeCell ref="B694:C694"/>
    <mergeCell ref="B685:C685"/>
    <mergeCell ref="B686:C686"/>
    <mergeCell ref="B687:C687"/>
    <mergeCell ref="B688:C688"/>
    <mergeCell ref="B689:C689"/>
    <mergeCell ref="C703:E703"/>
    <mergeCell ref="C709:E709"/>
    <mergeCell ref="B711:E711"/>
    <mergeCell ref="B712:C712"/>
    <mergeCell ref="B713:C713"/>
    <mergeCell ref="B695:C695"/>
    <mergeCell ref="B696:C696"/>
    <mergeCell ref="C699:E699"/>
    <mergeCell ref="C701:E701"/>
    <mergeCell ref="B697:C697"/>
    <mergeCell ref="B719:C719"/>
    <mergeCell ref="B720:C720"/>
    <mergeCell ref="B721:C721"/>
    <mergeCell ref="B722:C722"/>
    <mergeCell ref="B723:C723"/>
    <mergeCell ref="B714:C714"/>
    <mergeCell ref="B715:C715"/>
    <mergeCell ref="B716:C716"/>
    <mergeCell ref="B717:C717"/>
    <mergeCell ref="B718:C718"/>
    <mergeCell ref="B729:C729"/>
    <mergeCell ref="B730:C730"/>
    <mergeCell ref="B731:C731"/>
    <mergeCell ref="C734:E734"/>
    <mergeCell ref="B724:C724"/>
    <mergeCell ref="B725:C725"/>
    <mergeCell ref="B726:C726"/>
    <mergeCell ref="B727:C727"/>
    <mergeCell ref="B728:C728"/>
    <mergeCell ref="B732:C732"/>
    <mergeCell ref="B748:C748"/>
    <mergeCell ref="B749:C749"/>
    <mergeCell ref="B750:C750"/>
    <mergeCell ref="B751:C751"/>
    <mergeCell ref="B752:C752"/>
    <mergeCell ref="C736:E736"/>
    <mergeCell ref="C738:E738"/>
    <mergeCell ref="C744:E744"/>
    <mergeCell ref="B746:E746"/>
    <mergeCell ref="B747:C747"/>
    <mergeCell ref="B758:C758"/>
    <mergeCell ref="B759:C759"/>
    <mergeCell ref="B760:C760"/>
    <mergeCell ref="B761:C761"/>
    <mergeCell ref="B762:C762"/>
    <mergeCell ref="B753:C753"/>
    <mergeCell ref="B754:C754"/>
    <mergeCell ref="B755:C755"/>
    <mergeCell ref="B756:C756"/>
    <mergeCell ref="B757:C757"/>
    <mergeCell ref="C769:E769"/>
    <mergeCell ref="C771:E771"/>
    <mergeCell ref="C773:E773"/>
    <mergeCell ref="C779:E779"/>
    <mergeCell ref="B781:E781"/>
    <mergeCell ref="B763:C763"/>
    <mergeCell ref="B764:C764"/>
    <mergeCell ref="B765:C765"/>
    <mergeCell ref="B766:C766"/>
    <mergeCell ref="B767:C767"/>
    <mergeCell ref="B787:C787"/>
    <mergeCell ref="B788:C788"/>
    <mergeCell ref="B789:C789"/>
    <mergeCell ref="B790:C790"/>
    <mergeCell ref="B791:C791"/>
    <mergeCell ref="B782:C782"/>
    <mergeCell ref="B783:C783"/>
    <mergeCell ref="B784:C784"/>
    <mergeCell ref="B785:C785"/>
    <mergeCell ref="B786:C786"/>
    <mergeCell ref="C808:E808"/>
    <mergeCell ref="C814:E814"/>
    <mergeCell ref="B797:C797"/>
    <mergeCell ref="B798:C798"/>
    <mergeCell ref="B799:C799"/>
    <mergeCell ref="B800:C800"/>
    <mergeCell ref="B801:C801"/>
    <mergeCell ref="B792:C792"/>
    <mergeCell ref="B793:C793"/>
    <mergeCell ref="B794:C794"/>
    <mergeCell ref="B795:C795"/>
    <mergeCell ref="B796:C796"/>
    <mergeCell ref="B831:C831"/>
    <mergeCell ref="B832:C832"/>
    <mergeCell ref="B833:C833"/>
    <mergeCell ref="B834:C834"/>
    <mergeCell ref="B835:C835"/>
    <mergeCell ref="B837:C837"/>
    <mergeCell ref="B802:C802"/>
    <mergeCell ref="B826:C826"/>
    <mergeCell ref="B827:C827"/>
    <mergeCell ref="B828:C828"/>
    <mergeCell ref="B829:C829"/>
    <mergeCell ref="B830:C830"/>
    <mergeCell ref="B821:C821"/>
    <mergeCell ref="B822:C822"/>
    <mergeCell ref="B823:C823"/>
    <mergeCell ref="B824:C824"/>
    <mergeCell ref="B825:C825"/>
    <mergeCell ref="B816:E816"/>
    <mergeCell ref="B817:C817"/>
    <mergeCell ref="B818:C818"/>
    <mergeCell ref="B819:C819"/>
    <mergeCell ref="B820:C820"/>
    <mergeCell ref="C804:E804"/>
    <mergeCell ref="C806:E806"/>
    <mergeCell ref="C849:E849"/>
    <mergeCell ref="B851:E851"/>
    <mergeCell ref="B852:C852"/>
    <mergeCell ref="B853:C853"/>
    <mergeCell ref="B854:C854"/>
    <mergeCell ref="B836:C836"/>
    <mergeCell ref="C839:E839"/>
    <mergeCell ref="C841:E841"/>
    <mergeCell ref="C843:E843"/>
    <mergeCell ref="B860:C860"/>
    <mergeCell ref="B861:C861"/>
    <mergeCell ref="B862:C862"/>
    <mergeCell ref="B863:C863"/>
    <mergeCell ref="B864:C864"/>
    <mergeCell ref="B855:C855"/>
    <mergeCell ref="B856:C856"/>
    <mergeCell ref="B857:C857"/>
    <mergeCell ref="B858:C858"/>
    <mergeCell ref="B859:C859"/>
    <mergeCell ref="B870:C870"/>
    <mergeCell ref="B871:C871"/>
    <mergeCell ref="C874:E874"/>
    <mergeCell ref="C876:E876"/>
    <mergeCell ref="B872:C872"/>
    <mergeCell ref="B865:C865"/>
    <mergeCell ref="B866:C866"/>
    <mergeCell ref="B867:C867"/>
    <mergeCell ref="B868:C868"/>
    <mergeCell ref="B869:C869"/>
    <mergeCell ref="B889:C889"/>
    <mergeCell ref="B890:C890"/>
    <mergeCell ref="B891:C891"/>
    <mergeCell ref="B892:C892"/>
    <mergeCell ref="B893:C893"/>
    <mergeCell ref="C878:E878"/>
    <mergeCell ref="C884:E884"/>
    <mergeCell ref="B886:E886"/>
    <mergeCell ref="B887:C887"/>
    <mergeCell ref="B888:C888"/>
    <mergeCell ref="B899:C899"/>
    <mergeCell ref="B900:C900"/>
    <mergeCell ref="B901:C901"/>
    <mergeCell ref="B902:C902"/>
    <mergeCell ref="B903:C903"/>
    <mergeCell ref="B907:C907"/>
    <mergeCell ref="B894:C894"/>
    <mergeCell ref="B895:C895"/>
    <mergeCell ref="B896:C896"/>
    <mergeCell ref="B897:C897"/>
    <mergeCell ref="B898:C898"/>
    <mergeCell ref="C911:E911"/>
    <mergeCell ref="C913:E913"/>
    <mergeCell ref="C919:E919"/>
    <mergeCell ref="B921:E921"/>
    <mergeCell ref="B922:C922"/>
    <mergeCell ref="B904:C904"/>
    <mergeCell ref="B905:C905"/>
    <mergeCell ref="B906:C906"/>
    <mergeCell ref="C909:E909"/>
    <mergeCell ref="B928:C928"/>
    <mergeCell ref="B929:C929"/>
    <mergeCell ref="B930:C930"/>
    <mergeCell ref="B931:C931"/>
    <mergeCell ref="B932:C932"/>
    <mergeCell ref="B923:C923"/>
    <mergeCell ref="B924:C924"/>
    <mergeCell ref="B925:C925"/>
    <mergeCell ref="B926:C926"/>
    <mergeCell ref="B927:C927"/>
    <mergeCell ref="B938:C938"/>
    <mergeCell ref="B939:C939"/>
    <mergeCell ref="B940:C940"/>
    <mergeCell ref="B941:C941"/>
    <mergeCell ref="B942:C942"/>
    <mergeCell ref="B933:C933"/>
    <mergeCell ref="B934:C934"/>
    <mergeCell ref="B935:C935"/>
    <mergeCell ref="B936:C936"/>
    <mergeCell ref="B937:C937"/>
    <mergeCell ref="B957:C957"/>
    <mergeCell ref="B958:C958"/>
    <mergeCell ref="B959:C959"/>
    <mergeCell ref="B960:C960"/>
    <mergeCell ref="B961:C961"/>
    <mergeCell ref="C944:E944"/>
    <mergeCell ref="C946:E946"/>
    <mergeCell ref="C948:E948"/>
    <mergeCell ref="C954:E954"/>
    <mergeCell ref="B956:E956"/>
    <mergeCell ref="B967:C967"/>
    <mergeCell ref="B968:C968"/>
    <mergeCell ref="B969:C969"/>
    <mergeCell ref="B970:C970"/>
    <mergeCell ref="B971:C971"/>
    <mergeCell ref="B962:C962"/>
    <mergeCell ref="B963:C963"/>
    <mergeCell ref="B964:C964"/>
    <mergeCell ref="B965:C965"/>
    <mergeCell ref="B966:C966"/>
    <mergeCell ref="C979:E979"/>
    <mergeCell ref="C981:E981"/>
    <mergeCell ref="C983:E983"/>
    <mergeCell ref="C989:E989"/>
    <mergeCell ref="B972:C972"/>
    <mergeCell ref="B973:C973"/>
    <mergeCell ref="B974:C974"/>
    <mergeCell ref="B975:C975"/>
    <mergeCell ref="B976:C976"/>
    <mergeCell ref="B996:C996"/>
    <mergeCell ref="B997:C997"/>
    <mergeCell ref="B998:C998"/>
    <mergeCell ref="B999:C999"/>
    <mergeCell ref="B1000:C1000"/>
    <mergeCell ref="B991:E991"/>
    <mergeCell ref="B992:C992"/>
    <mergeCell ref="B993:C993"/>
    <mergeCell ref="B994:C994"/>
    <mergeCell ref="B995:C995"/>
    <mergeCell ref="B1006:C1006"/>
    <mergeCell ref="B1007:C1007"/>
    <mergeCell ref="B1008:C1008"/>
    <mergeCell ref="B1009:C1009"/>
    <mergeCell ref="B1010:C1010"/>
    <mergeCell ref="B1012:C1012"/>
    <mergeCell ref="B1001:C1001"/>
    <mergeCell ref="B1002:C1002"/>
    <mergeCell ref="B1003:C1003"/>
    <mergeCell ref="B1004:C1004"/>
    <mergeCell ref="B1005:C1005"/>
    <mergeCell ref="C1024:E1024"/>
    <mergeCell ref="B1026:E1026"/>
    <mergeCell ref="B1027:C1027"/>
    <mergeCell ref="B1028:C1028"/>
    <mergeCell ref="B1029:C1029"/>
    <mergeCell ref="B1011:C1011"/>
    <mergeCell ref="C1014:E1014"/>
    <mergeCell ref="C1016:E1016"/>
    <mergeCell ref="C1018:E1018"/>
    <mergeCell ref="B1035:C1035"/>
    <mergeCell ref="B1036:C1036"/>
    <mergeCell ref="B1037:C1037"/>
    <mergeCell ref="B1038:C1038"/>
    <mergeCell ref="B1039:C1039"/>
    <mergeCell ref="B1030:C1030"/>
    <mergeCell ref="B1031:C1031"/>
    <mergeCell ref="B1032:C1032"/>
    <mergeCell ref="B1033:C1033"/>
    <mergeCell ref="B1034:C1034"/>
    <mergeCell ref="B1061:E1061"/>
    <mergeCell ref="B1062:C1062"/>
    <mergeCell ref="B1063:C1063"/>
    <mergeCell ref="B1045:C1045"/>
    <mergeCell ref="B1046:C1046"/>
    <mergeCell ref="C1049:E1049"/>
    <mergeCell ref="C1051:E1051"/>
    <mergeCell ref="B1047:C1047"/>
    <mergeCell ref="B1040:C1040"/>
    <mergeCell ref="B1041:C1041"/>
    <mergeCell ref="B1042:C1042"/>
    <mergeCell ref="B1043:C1043"/>
    <mergeCell ref="B1044:C1044"/>
    <mergeCell ref="C1086:E1086"/>
    <mergeCell ref="C1088:E1088"/>
    <mergeCell ref="C289:E289"/>
    <mergeCell ref="B1079:C1079"/>
    <mergeCell ref="B1080:C1080"/>
    <mergeCell ref="B1081:C1081"/>
    <mergeCell ref="C1084:E1084"/>
    <mergeCell ref="B1074:C1074"/>
    <mergeCell ref="B1075:C1075"/>
    <mergeCell ref="B1076:C1076"/>
    <mergeCell ref="B1077:C1077"/>
    <mergeCell ref="B1078:C1078"/>
    <mergeCell ref="B1069:C1069"/>
    <mergeCell ref="B1070:C1070"/>
    <mergeCell ref="B1071:C1071"/>
    <mergeCell ref="B1072:C1072"/>
    <mergeCell ref="B1073:C1073"/>
    <mergeCell ref="B1064:C1064"/>
    <mergeCell ref="B1065:C1065"/>
    <mergeCell ref="B1066:C1066"/>
    <mergeCell ref="B1067:C1067"/>
    <mergeCell ref="B1068:C1068"/>
    <mergeCell ref="C1053:E1053"/>
    <mergeCell ref="C1059:E1059"/>
  </mergeCells>
  <pageMargins left="0" right="0" top="0.21" bottom="0" header="0.18" footer="0.21"/>
  <pageSetup paperSize="5" scale="60" firstPageNumber="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J46"/>
  <sheetViews>
    <sheetView zoomScale="90" zoomScaleNormal="90" workbookViewId="0">
      <selection activeCell="N13" sqref="N13"/>
    </sheetView>
  </sheetViews>
  <sheetFormatPr baseColWidth="10" defaultColWidth="9.140625" defaultRowHeight="12.75" x14ac:dyDescent="0.2"/>
  <cols>
    <col min="1" max="1" width="5" style="2" customWidth="1"/>
    <col min="2" max="2" width="14.7109375" style="2" customWidth="1"/>
    <col min="3" max="3" width="14.140625" style="2" customWidth="1"/>
    <col min="4" max="4" width="26" style="2" customWidth="1"/>
    <col min="5" max="5" width="8" style="2" customWidth="1"/>
    <col min="6" max="6" width="7.85546875" style="2" customWidth="1"/>
    <col min="7" max="7" width="45" style="2" customWidth="1"/>
    <col min="8" max="8" width="9.28515625" style="2" customWidth="1"/>
    <col min="9" max="9" width="14.5703125" style="2" customWidth="1"/>
    <col min="10" max="10" width="14" style="2" customWidth="1"/>
    <col min="11" max="11" width="12.42578125" style="2" customWidth="1"/>
    <col min="12" max="12" width="14.140625" style="2" customWidth="1"/>
    <col min="13" max="14" width="5.85546875" style="2" customWidth="1"/>
    <col min="15" max="15" width="12.5703125" style="2" customWidth="1"/>
    <col min="16" max="1024" width="9.140625" style="2"/>
  </cols>
  <sheetData>
    <row r="1" spans="1:12" ht="18" customHeight="1" thickBot="1" x14ac:dyDescent="0.25">
      <c r="A1" s="296" t="s">
        <v>22</v>
      </c>
      <c r="B1" s="296"/>
      <c r="C1" s="296"/>
      <c r="D1" s="296"/>
      <c r="E1" s="296"/>
      <c r="F1" s="296"/>
      <c r="G1" s="296"/>
      <c r="H1" s="296"/>
      <c r="I1" s="296"/>
      <c r="J1" s="229" t="s">
        <v>23</v>
      </c>
      <c r="K1" s="230" t="s">
        <v>337</v>
      </c>
    </row>
    <row r="2" spans="1:12" ht="18.75" customHeight="1" thickBot="1" x14ac:dyDescent="0.25">
      <c r="A2" s="231"/>
      <c r="B2" s="231"/>
      <c r="C2" s="231"/>
      <c r="D2" s="232"/>
      <c r="E2" s="232"/>
      <c r="F2" s="232"/>
      <c r="G2" s="232"/>
      <c r="H2" s="232"/>
      <c r="I2" s="232"/>
      <c r="J2" s="232"/>
      <c r="K2" s="232"/>
    </row>
    <row r="3" spans="1:12" ht="18.75" customHeight="1" thickBot="1" x14ac:dyDescent="0.25">
      <c r="A3" s="298" t="s">
        <v>57</v>
      </c>
      <c r="B3" s="298"/>
      <c r="C3" s="298"/>
      <c r="D3" s="295" t="str">
        <f>alimento!C3</f>
        <v>45- Ministerio de Desarrollo Social y Deporte.-</v>
      </c>
      <c r="E3" s="295"/>
      <c r="F3" s="295"/>
      <c r="G3" s="295"/>
      <c r="H3" s="295"/>
      <c r="I3" s="295"/>
      <c r="J3" s="295"/>
      <c r="K3" s="295"/>
    </row>
    <row r="4" spans="1:12" ht="18.75" customHeight="1" thickBot="1" x14ac:dyDescent="0.25">
      <c r="A4" s="297" t="s">
        <v>58</v>
      </c>
      <c r="B4" s="297"/>
      <c r="C4" s="297"/>
      <c r="D4" s="295" t="str">
        <f>alimento!C4</f>
        <v>25- Direccion Provincial de Gestion Administracion y RRHH</v>
      </c>
      <c r="E4" s="295"/>
      <c r="F4" s="295"/>
      <c r="G4" s="295"/>
      <c r="H4" s="295"/>
      <c r="I4" s="295"/>
      <c r="J4" s="295"/>
      <c r="K4" s="295"/>
    </row>
    <row r="5" spans="1:12" ht="18.75" customHeight="1" thickBot="1" x14ac:dyDescent="0.25">
      <c r="A5" s="297" t="s">
        <v>36</v>
      </c>
      <c r="B5" s="297"/>
      <c r="C5" s="297"/>
      <c r="D5" s="295" t="s">
        <v>336</v>
      </c>
      <c r="E5" s="295"/>
      <c r="F5" s="295"/>
      <c r="G5" s="295"/>
      <c r="H5" s="295"/>
      <c r="I5" s="295"/>
      <c r="J5" s="295"/>
      <c r="K5" s="295"/>
    </row>
    <row r="6" spans="1:12" ht="16.5" customHeight="1" thickBot="1" x14ac:dyDescent="0.25">
      <c r="A6" s="297" t="s">
        <v>59</v>
      </c>
      <c r="B6" s="297"/>
      <c r="C6" s="297"/>
      <c r="D6" s="295" t="s">
        <v>328</v>
      </c>
      <c r="E6" s="295"/>
      <c r="F6" s="295"/>
      <c r="G6" s="295"/>
      <c r="H6" s="295"/>
      <c r="I6" s="295"/>
      <c r="J6" s="295"/>
      <c r="K6" s="295"/>
    </row>
    <row r="7" spans="1:12" ht="16.5" customHeight="1" thickBot="1" x14ac:dyDescent="0.25">
      <c r="A7" s="297" t="s">
        <v>24</v>
      </c>
      <c r="B7" s="297"/>
      <c r="C7" s="297"/>
      <c r="D7" s="295" t="str">
        <f>'ALIM-IMP'!C6&amp; "° Trimestre - Año " &amp; 'ALIM-IMP'!C5</f>
        <v>3° Trimestre - Año 2021</v>
      </c>
      <c r="E7" s="295"/>
      <c r="F7" s="295"/>
      <c r="G7" s="295"/>
      <c r="H7" s="295"/>
      <c r="I7" s="295"/>
      <c r="J7" s="295"/>
      <c r="K7" s="295"/>
    </row>
    <row r="8" spans="1:12" ht="16.5" customHeight="1" thickBot="1" x14ac:dyDescent="0.25">
      <c r="A8" s="299" t="s">
        <v>25</v>
      </c>
      <c r="B8" s="299"/>
      <c r="C8" s="299"/>
      <c r="D8" s="302" t="s">
        <v>414</v>
      </c>
      <c r="E8" s="303"/>
      <c r="F8" s="303"/>
      <c r="G8" s="303"/>
      <c r="H8" s="303"/>
      <c r="I8" s="303"/>
      <c r="J8" s="303"/>
      <c r="K8" s="304"/>
    </row>
    <row r="9" spans="1:12" ht="16.5" thickBot="1" x14ac:dyDescent="0.25">
      <c r="A9" s="6"/>
      <c r="B9" s="6"/>
      <c r="C9" s="6"/>
      <c r="D9" s="7"/>
      <c r="E9" s="7"/>
      <c r="F9" s="7"/>
      <c r="G9" s="7"/>
      <c r="H9" s="7"/>
      <c r="I9" s="7"/>
      <c r="J9" s="7"/>
      <c r="K9" s="7"/>
    </row>
    <row r="10" spans="1:12" ht="18.75" customHeight="1" thickBot="1" x14ac:dyDescent="0.25">
      <c r="A10" s="300" t="s">
        <v>26</v>
      </c>
      <c r="B10" s="301" t="s">
        <v>27</v>
      </c>
      <c r="C10" s="301" t="s">
        <v>28</v>
      </c>
      <c r="D10" s="301"/>
      <c r="E10" s="301"/>
      <c r="F10" s="301"/>
      <c r="G10" s="301"/>
      <c r="H10" s="301" t="s">
        <v>29</v>
      </c>
      <c r="I10" s="301" t="s">
        <v>30</v>
      </c>
      <c r="J10" s="301" t="s">
        <v>31</v>
      </c>
      <c r="K10" s="291" t="s">
        <v>32</v>
      </c>
      <c r="L10" s="291" t="s">
        <v>290</v>
      </c>
    </row>
    <row r="11" spans="1:12" ht="24" customHeight="1" thickBot="1" x14ac:dyDescent="0.25">
      <c r="A11" s="300"/>
      <c r="B11" s="301"/>
      <c r="C11" s="301"/>
      <c r="D11" s="301"/>
      <c r="E11" s="301"/>
      <c r="F11" s="301"/>
      <c r="G11" s="301"/>
      <c r="H11" s="301"/>
      <c r="I11" s="301"/>
      <c r="J11" s="301"/>
      <c r="K11" s="291"/>
      <c r="L11" s="291"/>
    </row>
    <row r="12" spans="1:12" ht="39.950000000000003" customHeight="1" thickBot="1" x14ac:dyDescent="0.25">
      <c r="A12" s="8">
        <v>1</v>
      </c>
      <c r="B12" s="139" t="str">
        <f>'ALIM-IMP'!B9</f>
        <v>2.1.1-2868.55</v>
      </c>
      <c r="C12" s="290" t="str">
        <f>'ALIM-IMP'!E9</f>
        <v>FIDEOS SECOS; VARIEDAD: TALLARIN, RELLENO: SIN, PRESENTACION: ENVASE X 500 GR, MATERIAL ENVASE: PLASTICO 1 (PET), ELEM. TRANSPORTE: SIN, MATERIAL ELEM. TRANSPORTE: SIN, CERTIFICADO FORESTAL (GFS): SIN, LIBRE DE GLUTEN: NO</v>
      </c>
      <c r="D12" s="290"/>
      <c r="E12" s="290"/>
      <c r="F12" s="290"/>
      <c r="G12" s="290"/>
      <c r="H12" s="140" t="s">
        <v>33</v>
      </c>
      <c r="I12" s="141" t="str">
        <f>'ALIM-IMP'!F9</f>
        <v>PAQUETE</v>
      </c>
      <c r="J12" s="142">
        <f>'ALIM-IMP'!H9</f>
        <v>53</v>
      </c>
      <c r="K12" s="143">
        <f>'ALIM-IMP'!G9</f>
        <v>15876</v>
      </c>
      <c r="L12" s="151">
        <f>J12*K12</f>
        <v>841428</v>
      </c>
    </row>
    <row r="13" spans="1:12" ht="39.950000000000003" customHeight="1" thickBot="1" x14ac:dyDescent="0.25">
      <c r="A13" s="9">
        <v>2</v>
      </c>
      <c r="B13" s="139" t="str">
        <f>'ALIM-IMP'!B10</f>
        <v>2.1.1-435.60</v>
      </c>
      <c r="C13" s="290" t="str">
        <f>'ALIM-IMP'!E10</f>
        <v>ARROZ; TIPO GRANO: LARGO-FINO, TIPO: BLANCO, PROCESO: SIN CASCARA, PRESENTACION: BOLSA X 1 Kg, MATERIAL ENVASE: PLASTICO, CERTIFICADO FORESTAL (GFS): SIN, ELEM. TRANSPORTE: SIN, MATERIAL ELEM. TRANSPORTE: SIN, LIBRE DE GLUTEN: SI</v>
      </c>
      <c r="D13" s="290"/>
      <c r="E13" s="290"/>
      <c r="F13" s="290"/>
      <c r="G13" s="290"/>
      <c r="H13" s="140" t="s">
        <v>33</v>
      </c>
      <c r="I13" s="141" t="str">
        <f>'ALIM-IMP'!F10</f>
        <v>BOLSA</v>
      </c>
      <c r="J13" s="142">
        <f>'ALIM-IMP'!H10</f>
        <v>146</v>
      </c>
      <c r="K13" s="143">
        <f>'ALIM-IMP'!G10</f>
        <v>2628</v>
      </c>
      <c r="L13" s="151">
        <f t="shared" ref="L13:L45" si="0">J13*K13</f>
        <v>383688</v>
      </c>
    </row>
    <row r="14" spans="1:12" ht="39.950000000000003" customHeight="1" thickBot="1" x14ac:dyDescent="0.25">
      <c r="A14" s="9">
        <v>3</v>
      </c>
      <c r="B14" s="139" t="str">
        <f>'ALIM-IMP'!B11</f>
        <v>2.1.1-6547.55</v>
      </c>
      <c r="C14" s="290" t="str">
        <f>'ALIM-IMP'!E11</f>
        <v>LEGUMBRES; VARIEDAD: POROTO SECO, ESTADO: SECA Y CONSERVADA, PRESENTACION: BOLSA PLASTICA, PESO: 1 Kg</v>
      </c>
      <c r="D14" s="290"/>
      <c r="E14" s="290"/>
      <c r="F14" s="290"/>
      <c r="G14" s="290"/>
      <c r="H14" s="140" t="s">
        <v>33</v>
      </c>
      <c r="I14" s="141" t="s">
        <v>347</v>
      </c>
      <c r="J14" s="142">
        <f>'ALIM-IMP'!H11</f>
        <v>486</v>
      </c>
      <c r="K14" s="143">
        <f>'ALIM-IMP'!G11</f>
        <v>3324</v>
      </c>
      <c r="L14" s="151">
        <f t="shared" si="0"/>
        <v>1615464</v>
      </c>
    </row>
    <row r="15" spans="1:12" ht="39.950000000000003" customHeight="1" thickBot="1" x14ac:dyDescent="0.25">
      <c r="A15" s="9">
        <v>4</v>
      </c>
      <c r="B15" s="139" t="str">
        <f>'ALIM-IMP'!B12</f>
        <v>2.1.1-483.33</v>
      </c>
      <c r="C15" s="290" t="str">
        <f>'ALIM-IMP'!E12</f>
        <v>HUEVO DE GALLINA; TAMAÑO: MEDIANOS, COLOR: BLANCOS, PRESENTACION: 30</v>
      </c>
      <c r="D15" s="290"/>
      <c r="E15" s="290"/>
      <c r="F15" s="290"/>
      <c r="G15" s="290"/>
      <c r="H15" s="140" t="s">
        <v>33</v>
      </c>
      <c r="I15" s="141" t="str">
        <f>'ALIM-IMP'!F12</f>
        <v>MAPLE</v>
      </c>
      <c r="J15" s="142">
        <f>'ALIM-IMP'!H12</f>
        <v>475</v>
      </c>
      <c r="K15" s="143">
        <f>'ALIM-IMP'!G12</f>
        <v>1284</v>
      </c>
      <c r="L15" s="151">
        <f t="shared" si="0"/>
        <v>609900</v>
      </c>
    </row>
    <row r="16" spans="1:12" ht="39.950000000000003" customHeight="1" thickBot="1" x14ac:dyDescent="0.25">
      <c r="A16" s="9">
        <v>5</v>
      </c>
      <c r="B16" s="139" t="str">
        <f>'ALIM-IMP'!B13</f>
        <v>2.1.1-6546.330</v>
      </c>
      <c r="C16" s="290" t="str">
        <f>'ALIM-IMP'!E13</f>
        <v>VERDURAS Y HORTALIZAS; VARIEDAD: ZAPALLO ANCO, ESTADO: NATURAL, PRESENTACION: UNIDAD, PESO: 1 Kg</v>
      </c>
      <c r="D16" s="290"/>
      <c r="E16" s="290"/>
      <c r="F16" s="290"/>
      <c r="G16" s="290"/>
      <c r="H16" s="140" t="s">
        <v>33</v>
      </c>
      <c r="I16" s="141" t="str">
        <f>'ALIM-IMP'!F13</f>
        <v>KG</v>
      </c>
      <c r="J16" s="142">
        <f>'ALIM-IMP'!H13</f>
        <v>50</v>
      </c>
      <c r="K16" s="143">
        <f>'ALIM-IMP'!G13</f>
        <v>12576</v>
      </c>
      <c r="L16" s="151">
        <f t="shared" si="0"/>
        <v>628800</v>
      </c>
    </row>
    <row r="17" spans="1:12" ht="39.950000000000003" customHeight="1" thickBot="1" x14ac:dyDescent="0.25">
      <c r="A17" s="9">
        <v>6</v>
      </c>
      <c r="B17" s="139" t="str">
        <f>'ALIM-IMP'!B14</f>
        <v>2.1.1-6546.4</v>
      </c>
      <c r="C17" s="290" t="str">
        <f>'ALIM-IMP'!E14</f>
        <v>VERDURAS Y HORTALIZAS; VARIEDAD: TOMATE PERITA, ESTADO: TRITURADO, PRESENTACION: BOTELLA, PESO: 950 GR</v>
      </c>
      <c r="D17" s="290"/>
      <c r="E17" s="290"/>
      <c r="F17" s="290"/>
      <c r="G17" s="290"/>
      <c r="H17" s="140" t="s">
        <v>33</v>
      </c>
      <c r="I17" s="141" t="str">
        <f>'ALIM-IMP'!F14</f>
        <v>BOTELLA</v>
      </c>
      <c r="J17" s="142">
        <f>'ALIM-IMP'!H14</f>
        <v>180</v>
      </c>
      <c r="K17" s="143">
        <f>'ALIM-IMP'!G14</f>
        <v>13200</v>
      </c>
      <c r="L17" s="151">
        <f t="shared" si="0"/>
        <v>2376000</v>
      </c>
    </row>
    <row r="18" spans="1:12" ht="39.950000000000003" customHeight="1" thickBot="1" x14ac:dyDescent="0.25">
      <c r="A18" s="9">
        <v>7</v>
      </c>
      <c r="B18" s="139" t="str">
        <f>'ALIM-IMP'!B15</f>
        <v>2.1.1-6547.17</v>
      </c>
      <c r="C18" s="290" t="str">
        <f>'ALIM-IMP'!E15</f>
        <v>LEGUMBRES; VARIEDAD: ARVEJA, ESTADO: REMOJADO EN CONSERVA, PRESENTACION: LATA, PESO: 350 GR</v>
      </c>
      <c r="D18" s="290"/>
      <c r="E18" s="290"/>
      <c r="F18" s="290"/>
      <c r="G18" s="290"/>
      <c r="H18" s="140" t="s">
        <v>33</v>
      </c>
      <c r="I18" s="141" t="str">
        <f>'ALIM-IMP'!F15</f>
        <v>LATA</v>
      </c>
      <c r="J18" s="142">
        <f>'ALIM-IMP'!H15</f>
        <v>56</v>
      </c>
      <c r="K18" s="143">
        <f>'ALIM-IMP'!G15</f>
        <v>9924</v>
      </c>
      <c r="L18" s="151">
        <f t="shared" si="0"/>
        <v>555744</v>
      </c>
    </row>
    <row r="19" spans="1:12" ht="39.950000000000003" customHeight="1" thickBot="1" x14ac:dyDescent="0.25">
      <c r="A19" s="9">
        <v>8</v>
      </c>
      <c r="B19" s="139" t="str">
        <f>'ALIM-IMP'!B16</f>
        <v>2.1.1-439.67</v>
      </c>
      <c r="C19" s="290" t="str">
        <f>'ALIM-IMP'!E16</f>
        <v>ACEITES COMESTIBLES; TIPO: GIRASOL, PRESENTACION: ENVASE X 900 CM3, MATERIAL ENVASE: PLASTICO 1 (PET), ELEM. TRANSPORTE: SIN, MATERIAL ELEM. TRANSPORTE : SIN, LIBRE DE GLUTEN: NO</v>
      </c>
      <c r="D19" s="290"/>
      <c r="E19" s="290"/>
      <c r="F19" s="290"/>
      <c r="G19" s="290"/>
      <c r="H19" s="140" t="s">
        <v>33</v>
      </c>
      <c r="I19" s="141" t="str">
        <f>'ALIM-IMP'!F16</f>
        <v>BOTELLA</v>
      </c>
      <c r="J19" s="142">
        <f>'ALIM-IMP'!H16</f>
        <v>241</v>
      </c>
      <c r="K19" s="143">
        <f>'ALIM-IMP'!G16</f>
        <v>4680</v>
      </c>
      <c r="L19" s="151">
        <f t="shared" si="0"/>
        <v>1127880</v>
      </c>
    </row>
    <row r="20" spans="1:12" ht="39.950000000000003" customHeight="1" thickBot="1" x14ac:dyDescent="0.25">
      <c r="A20" s="9">
        <v>9</v>
      </c>
      <c r="B20" s="139" t="str">
        <f>'ALIM-IMP'!B17</f>
        <v>2.1.1-6546.46</v>
      </c>
      <c r="C20" s="290" t="str">
        <f>'ALIM-IMP'!E17</f>
        <v>VERDURAS Y HORTALIZAS; VARIEDAD: CEBOLLA, ESTADO: NATURAL, PRESENTACION: GRANEL, PESO: SIN VALOR</v>
      </c>
      <c r="D20" s="290"/>
      <c r="E20" s="290"/>
      <c r="F20" s="290"/>
      <c r="G20" s="290"/>
      <c r="H20" s="140" t="s">
        <v>33</v>
      </c>
      <c r="I20" s="141" t="str">
        <f>'ALIM-IMP'!F17</f>
        <v>KG</v>
      </c>
      <c r="J20" s="142">
        <f>'ALIM-IMP'!H17</f>
        <v>180</v>
      </c>
      <c r="K20" s="143">
        <f>'ALIM-IMP'!G17</f>
        <v>17868</v>
      </c>
      <c r="L20" s="151">
        <f t="shared" si="0"/>
        <v>3216240</v>
      </c>
    </row>
    <row r="21" spans="1:12" ht="39.950000000000003" customHeight="1" thickBot="1" x14ac:dyDescent="0.25">
      <c r="A21" s="9">
        <v>10</v>
      </c>
      <c r="B21" s="139" t="str">
        <f>'ALIM-IMP'!B18</f>
        <v>2.1.1-6546.100</v>
      </c>
      <c r="C21" s="290" t="str">
        <f>'ALIM-IMP'!E18</f>
        <v>VERDURAS Y HORTALIZAS; ESTADO: NATURAL, PRESENTACION: GRANEL, VARIEDAD: PAPA BLANCA, PESO: SIN VALOR</v>
      </c>
      <c r="D21" s="290"/>
      <c r="E21" s="290"/>
      <c r="F21" s="290"/>
      <c r="G21" s="290"/>
      <c r="H21" s="140" t="s">
        <v>33</v>
      </c>
      <c r="I21" s="141" t="str">
        <f>'ALIM-IMP'!F18</f>
        <v>KG</v>
      </c>
      <c r="J21" s="142">
        <f>'ALIM-IMP'!H18</f>
        <v>60</v>
      </c>
      <c r="K21" s="143">
        <f>'ALIM-IMP'!G18</f>
        <v>46188</v>
      </c>
      <c r="L21" s="151">
        <f t="shared" si="0"/>
        <v>2771280</v>
      </c>
    </row>
    <row r="22" spans="1:12" ht="39.950000000000003" customHeight="1" thickBot="1" x14ac:dyDescent="0.25">
      <c r="A22" s="9">
        <v>11</v>
      </c>
      <c r="B22" s="139" t="str">
        <f>'ALIM-IMP'!B19</f>
        <v>2.1.1-6546.403</v>
      </c>
      <c r="C22" s="290" t="str">
        <f>'ALIM-IMP'!E19</f>
        <v>VERDURAS Y HORTALIZAS; VARIEDAD: ZANAHORIA, ESTADO: NATURAL, PRESENTACION: BOLSA, PESO: NO CORRESPONDE, ELEM. TRANSPORTE: SIN, MATERIAL ELEM. TRANSPORTE: SIN, LIBRE DE GLUTEN: SI, ORGANICO: NO</v>
      </c>
      <c r="D22" s="290"/>
      <c r="E22" s="290"/>
      <c r="F22" s="290"/>
      <c r="G22" s="290"/>
      <c r="H22" s="140" t="s">
        <v>33</v>
      </c>
      <c r="I22" s="141" t="str">
        <f>'ALIM-IMP'!F19</f>
        <v>BOLSA</v>
      </c>
      <c r="J22" s="142">
        <f>'ALIM-IMP'!H19</f>
        <v>50</v>
      </c>
      <c r="K22" s="143">
        <f>'ALIM-IMP'!G19</f>
        <v>8616</v>
      </c>
      <c r="L22" s="151">
        <f t="shared" si="0"/>
        <v>430800</v>
      </c>
    </row>
    <row r="23" spans="1:12" ht="39.950000000000003" customHeight="1" thickBot="1" x14ac:dyDescent="0.25">
      <c r="A23" s="9">
        <v>12</v>
      </c>
      <c r="B23" s="139" t="str">
        <f>'ALIM-IMP'!B20</f>
        <v>2.1.1-6546.95</v>
      </c>
      <c r="C23" s="290" t="str">
        <f>'ALIM-IMP'!E20</f>
        <v>VERDURAS Y HORTALIZAS; VARIEDAD: MORRON VERDE, ESTADO: NATURAL, PRESENTACION: GRANEL, PESO: SIN VALOR</v>
      </c>
      <c r="D23" s="290"/>
      <c r="E23" s="290"/>
      <c r="F23" s="290"/>
      <c r="G23" s="290"/>
      <c r="H23" s="140" t="s">
        <v>33</v>
      </c>
      <c r="I23" s="141" t="str">
        <f>'ALIM-IMP'!F20</f>
        <v>UNIDAD</v>
      </c>
      <c r="J23" s="142">
        <f>'ALIM-IMP'!H20</f>
        <v>28</v>
      </c>
      <c r="K23" s="143">
        <f>'ALIM-IMP'!G20</f>
        <v>19788</v>
      </c>
      <c r="L23" s="151">
        <f t="shared" si="0"/>
        <v>554064</v>
      </c>
    </row>
    <row r="24" spans="1:12" ht="39.950000000000003" customHeight="1" thickBot="1" x14ac:dyDescent="0.25">
      <c r="A24" s="9">
        <v>13</v>
      </c>
      <c r="B24" s="139" t="str">
        <f>'ALIM-IMP'!B21</f>
        <v>2.1.1-6546.401</v>
      </c>
      <c r="C24" s="290" t="str">
        <f>'ALIM-IMP'!E21</f>
        <v>VERDURAS Y HORTALIZAS; VARIEDAD: AJO, ESTADO: NATURAL, PRESENTACION: UNIDAD, PESO: NO CORRESPONDE, ELEM. TRANSPORTE: SIN, MATERIAL ELEM. TRANSPORTE: SIN, LIBRE DE GLUTEN: SI, ORGANICO: NO</v>
      </c>
      <c r="D24" s="290"/>
      <c r="E24" s="290"/>
      <c r="F24" s="290"/>
      <c r="G24" s="290"/>
      <c r="H24" s="140" t="s">
        <v>33</v>
      </c>
      <c r="I24" s="141" t="str">
        <f>'ALIM-IMP'!F21</f>
        <v>CABEZA</v>
      </c>
      <c r="J24" s="142">
        <f>'ALIM-IMP'!H21</f>
        <v>50</v>
      </c>
      <c r="K24" s="143">
        <f>'ALIM-IMP'!G21</f>
        <v>4680</v>
      </c>
      <c r="L24" s="151">
        <f t="shared" si="0"/>
        <v>234000</v>
      </c>
    </row>
    <row r="25" spans="1:12" ht="39.950000000000003" customHeight="1" thickBot="1" x14ac:dyDescent="0.25">
      <c r="A25" s="9">
        <v>14</v>
      </c>
      <c r="B25" s="139" t="str">
        <f>'ALIM-IMP'!B22</f>
        <v>2.1.1-6546.47</v>
      </c>
      <c r="C25" s="290" t="str">
        <f>'ALIM-IMP'!E22</f>
        <v>VERDURAS Y HORTALIZAS; VARIEDAD: CEBOLLA DE VERDEO, ESTADO: NATURAL, PRESENTACION: GRANEL, PESO: SIN VALOR</v>
      </c>
      <c r="D25" s="290"/>
      <c r="E25" s="290"/>
      <c r="F25" s="290"/>
      <c r="G25" s="290"/>
      <c r="H25" s="140" t="s">
        <v>33</v>
      </c>
      <c r="I25" s="141" t="str">
        <f>'ALIM-IMP'!F22</f>
        <v>ATADO</v>
      </c>
      <c r="J25" s="142">
        <f>'ALIM-IMP'!H22</f>
        <v>30</v>
      </c>
      <c r="K25" s="143">
        <f>'ALIM-IMP'!G22</f>
        <v>6600</v>
      </c>
      <c r="L25" s="151">
        <f t="shared" si="0"/>
        <v>198000</v>
      </c>
    </row>
    <row r="26" spans="1:12" ht="39.950000000000003" customHeight="1" thickBot="1" x14ac:dyDescent="0.25">
      <c r="A26" s="9">
        <v>15</v>
      </c>
      <c r="B26" s="139" t="str">
        <f>'ALIM-IMP'!B23</f>
        <v>2.1.1-6546.188</v>
      </c>
      <c r="C26" s="290" t="str">
        <f>'ALIM-IMP'!E23</f>
        <v>VERDURAS Y HORTALIZAS; ESTADO: NATURAL, PRESENTACION: GRANEL, PESO: SIN VALOR, VARIEDAD: ZAPALLO CRIOLLO</v>
      </c>
      <c r="D26" s="290"/>
      <c r="E26" s="290"/>
      <c r="F26" s="290"/>
      <c r="G26" s="290"/>
      <c r="H26" s="140" t="s">
        <v>33</v>
      </c>
      <c r="I26" s="141" t="str">
        <f>'ALIM-IMP'!F23</f>
        <v>KG</v>
      </c>
      <c r="J26" s="142">
        <f>'ALIM-IMP'!H23</f>
        <v>70</v>
      </c>
      <c r="K26" s="143">
        <f>'ALIM-IMP'!G23</f>
        <v>25776</v>
      </c>
      <c r="L26" s="151">
        <f t="shared" si="0"/>
        <v>1804320</v>
      </c>
    </row>
    <row r="27" spans="1:12" ht="39.950000000000003" customHeight="1" thickBot="1" x14ac:dyDescent="0.25">
      <c r="A27" s="9">
        <v>16</v>
      </c>
      <c r="B27" s="139" t="str">
        <f>'ALIM-IMP'!B24</f>
        <v>2.1.1-482.69</v>
      </c>
      <c r="C27" s="290" t="str">
        <f>'ALIM-IMP'!E24</f>
        <v>HARINAS; TIPO: MAIZ, PRESENTACION: ENVASE X 1 Kg, MATERIAL ENVASE: PAPEL, CERTICADO FORESTAL (GFS): SIN, ELEM. TRANSPORTE: SIN, MATERIAL ELEM. TRANSPORTE: SIN, LIBRE DE GLUTEN: NO</v>
      </c>
      <c r="D27" s="290"/>
      <c r="E27" s="290"/>
      <c r="F27" s="290"/>
      <c r="G27" s="290"/>
      <c r="H27" s="140" t="s">
        <v>33</v>
      </c>
      <c r="I27" s="141" t="str">
        <f>'ALIM-IMP'!F24</f>
        <v>PAQUETE</v>
      </c>
      <c r="J27" s="142">
        <f>'ALIM-IMP'!H24</f>
        <v>156</v>
      </c>
      <c r="K27" s="143">
        <f>'ALIM-IMP'!G24</f>
        <v>9924</v>
      </c>
      <c r="L27" s="151">
        <f t="shared" si="0"/>
        <v>1548144</v>
      </c>
    </row>
    <row r="28" spans="1:12" ht="39.950000000000003" customHeight="1" thickBot="1" x14ac:dyDescent="0.25">
      <c r="A28" s="9">
        <v>17</v>
      </c>
      <c r="B28" s="139" t="str">
        <f>'ALIM-IMP'!B25</f>
        <v>2.1.1-541.7</v>
      </c>
      <c r="C28" s="290" t="str">
        <f>'ALIM-IMP'!E25</f>
        <v>CARNES; ESPECIE: VACUNA, CORTE: PICADA ESPECIAL, TIPO: VACUNA</v>
      </c>
      <c r="D28" s="290"/>
      <c r="E28" s="290"/>
      <c r="F28" s="290"/>
      <c r="G28" s="290"/>
      <c r="H28" s="140" t="s">
        <v>33</v>
      </c>
      <c r="I28" s="141" t="str">
        <f>'ALIM-IMP'!F25</f>
        <v>KG</v>
      </c>
      <c r="J28" s="142">
        <f>'ALIM-IMP'!H25</f>
        <v>950</v>
      </c>
      <c r="K28" s="143">
        <f>'ALIM-IMP'!G25</f>
        <v>10584</v>
      </c>
      <c r="L28" s="151">
        <f t="shared" si="0"/>
        <v>10054800</v>
      </c>
    </row>
    <row r="29" spans="1:12" ht="39.950000000000003" customHeight="1" thickBot="1" x14ac:dyDescent="0.25">
      <c r="A29" s="9">
        <v>18</v>
      </c>
      <c r="B29" s="139" t="str">
        <f>'ALIM-IMP'!B26</f>
        <v>2.1.1-541.49</v>
      </c>
      <c r="C29" s="290" t="str">
        <f>'ALIM-IMP'!E26</f>
        <v>CARNES; ESPECIE: VACUNA, CORTE: NALGA, TIPO: VACUNA</v>
      </c>
      <c r="D29" s="290"/>
      <c r="E29" s="290"/>
      <c r="F29" s="290"/>
      <c r="G29" s="290"/>
      <c r="H29" s="140" t="s">
        <v>33</v>
      </c>
      <c r="I29" s="141" t="str">
        <f>'ALIM-IMP'!F26</f>
        <v>KG</v>
      </c>
      <c r="J29" s="142">
        <f>'ALIM-IMP'!H26</f>
        <v>1150</v>
      </c>
      <c r="K29" s="143">
        <f>'ALIM-IMP'!G26</f>
        <v>6600</v>
      </c>
      <c r="L29" s="151">
        <f t="shared" si="0"/>
        <v>7590000</v>
      </c>
    </row>
    <row r="30" spans="1:12" ht="39.950000000000003" customHeight="1" thickBot="1" x14ac:dyDescent="0.25">
      <c r="A30" s="9">
        <v>19</v>
      </c>
      <c r="B30" s="139" t="str">
        <f>'ALIM-IMP'!B27</f>
        <v>2.1.1-621.3</v>
      </c>
      <c r="C30" s="290" t="str">
        <f>'ALIM-IMP'!E27</f>
        <v>AVES; PRESENTACION: TROZADO SIN PIEL, ESPECIE: POLLO, EVISCERADO: SIN VALOR, TIPO: POLLO</v>
      </c>
      <c r="D30" s="290"/>
      <c r="E30" s="290"/>
      <c r="F30" s="290"/>
      <c r="G30" s="290"/>
      <c r="H30" s="140" t="s">
        <v>33</v>
      </c>
      <c r="I30" s="141" t="str">
        <f>'ALIM-IMP'!F27</f>
        <v>KG</v>
      </c>
      <c r="J30" s="142">
        <f>'ALIM-IMP'!H27</f>
        <v>260</v>
      </c>
      <c r="K30" s="143">
        <f>'ALIM-IMP'!G27</f>
        <v>16512</v>
      </c>
      <c r="L30" s="151">
        <f t="shared" si="0"/>
        <v>4293120</v>
      </c>
    </row>
    <row r="31" spans="1:12" ht="39.950000000000003" customHeight="1" thickBot="1" x14ac:dyDescent="0.25">
      <c r="A31" s="9">
        <v>20</v>
      </c>
      <c r="B31" s="139" t="str">
        <f>'ALIM-IMP'!B28</f>
        <v>2.1.1-669.64</v>
      </c>
      <c r="C31" s="290" t="str">
        <f>'ALIM-IMP'!E28</f>
        <v>PANES; TIPO: FRANCES, PRESENTACION: ENVASE X 1 Kg</v>
      </c>
      <c r="D31" s="290"/>
      <c r="E31" s="290"/>
      <c r="F31" s="290"/>
      <c r="G31" s="290"/>
      <c r="H31" s="140" t="s">
        <v>33</v>
      </c>
      <c r="I31" s="141" t="str">
        <f>'ALIM-IMP'!F28</f>
        <v>KG</v>
      </c>
      <c r="J31" s="142">
        <f>'ALIM-IMP'!H28</f>
        <v>150</v>
      </c>
      <c r="K31" s="143">
        <f>'ALIM-IMP'!G28</f>
        <v>39420</v>
      </c>
      <c r="L31" s="151">
        <f t="shared" si="0"/>
        <v>5913000</v>
      </c>
    </row>
    <row r="32" spans="1:12" ht="39.950000000000003" customHeight="1" thickBot="1" x14ac:dyDescent="0.25">
      <c r="A32" s="9">
        <v>21</v>
      </c>
      <c r="B32" s="139" t="str">
        <f>'ALIM-IMP'!B29</f>
        <v>2.1.1-489.132</v>
      </c>
      <c r="C32" s="290" t="str">
        <f>'ALIM-IMP'!E29</f>
        <v>ESPECIAS; TIPO: PIMIENTA BLANCA, PRESENTACION: ENVASE X 1 Kg</v>
      </c>
      <c r="D32" s="290"/>
      <c r="E32" s="290"/>
      <c r="F32" s="290"/>
      <c r="G32" s="290"/>
      <c r="H32" s="140" t="s">
        <v>33</v>
      </c>
      <c r="I32" s="141" t="str">
        <f>'ALIM-IMP'!F29</f>
        <v>BOLSA</v>
      </c>
      <c r="J32" s="142">
        <f>'ALIM-IMP'!H29</f>
        <v>3090</v>
      </c>
      <c r="K32" s="143">
        <f>'ALIM-IMP'!G29</f>
        <v>120</v>
      </c>
      <c r="L32" s="151">
        <f t="shared" si="0"/>
        <v>370800</v>
      </c>
    </row>
    <row r="33" spans="1:12" ht="39.950000000000003" customHeight="1" thickBot="1" x14ac:dyDescent="0.25">
      <c r="A33" s="9">
        <v>22</v>
      </c>
      <c r="B33" s="139" t="str">
        <f>'ALIM-IMP'!B30</f>
        <v>2.1.1-489.66</v>
      </c>
      <c r="C33" s="290" t="str">
        <f>'ALIM-IMP'!E30</f>
        <v>ESPECIAS; TIPO: OREGANO, PRESENTACION: BOLSA DE 1 Kg</v>
      </c>
      <c r="D33" s="290"/>
      <c r="E33" s="290"/>
      <c r="F33" s="290"/>
      <c r="G33" s="290"/>
      <c r="H33" s="140" t="s">
        <v>33</v>
      </c>
      <c r="I33" s="141" t="str">
        <f>'ALIM-IMP'!F30</f>
        <v>BOLSA</v>
      </c>
      <c r="J33" s="142">
        <f>'ALIM-IMP'!H30</f>
        <v>1120</v>
      </c>
      <c r="K33" s="143">
        <f>'ALIM-IMP'!G30</f>
        <v>120</v>
      </c>
      <c r="L33" s="151">
        <f t="shared" si="0"/>
        <v>134400</v>
      </c>
    </row>
    <row r="34" spans="1:12" ht="39.950000000000003" customHeight="1" thickBot="1" x14ac:dyDescent="0.25">
      <c r="A34" s="9">
        <v>23</v>
      </c>
      <c r="B34" s="139" t="str">
        <f>'ALIM-IMP'!B31</f>
        <v>2.1.1-489.67</v>
      </c>
      <c r="C34" s="290" t="str">
        <f>'ALIM-IMP'!E31</f>
        <v>ESPECIAS; TIPO: PIMENTON, PRESENTACION: BOLSA DE 1 Kg</v>
      </c>
      <c r="D34" s="290"/>
      <c r="E34" s="290"/>
      <c r="F34" s="290"/>
      <c r="G34" s="290"/>
      <c r="H34" s="140" t="s">
        <v>33</v>
      </c>
      <c r="I34" s="141" t="str">
        <f>'ALIM-IMP'!F31</f>
        <v>BOLSA</v>
      </c>
      <c r="J34" s="142">
        <f>'ALIM-IMP'!H31</f>
        <v>1080</v>
      </c>
      <c r="K34" s="143">
        <f>'ALIM-IMP'!G31</f>
        <v>120</v>
      </c>
      <c r="L34" s="151">
        <f t="shared" si="0"/>
        <v>129600</v>
      </c>
    </row>
    <row r="35" spans="1:12" ht="39.950000000000003" customHeight="1" thickBot="1" x14ac:dyDescent="0.25">
      <c r="A35" s="9">
        <v>24</v>
      </c>
      <c r="B35" s="139" t="str">
        <f>'ALIM-IMP'!B32</f>
        <v>2.1.1-489.109</v>
      </c>
      <c r="C35" s="290" t="str">
        <f>'ALIM-IMP'!E32</f>
        <v>ESPECIAS; TIPO: PROVENZAL, PRESENTACION: PAQUETE X 1 Kg</v>
      </c>
      <c r="D35" s="290"/>
      <c r="E35" s="290"/>
      <c r="F35" s="290"/>
      <c r="G35" s="290"/>
      <c r="H35" s="140" t="s">
        <v>33</v>
      </c>
      <c r="I35" s="141" t="str">
        <f>'ALIM-IMP'!F32</f>
        <v>PAQUETE</v>
      </c>
      <c r="J35" s="142">
        <f>'ALIM-IMP'!H32</f>
        <v>1190</v>
      </c>
      <c r="K35" s="143">
        <f>'ALIM-IMP'!G32</f>
        <v>120</v>
      </c>
      <c r="L35" s="151">
        <f t="shared" si="0"/>
        <v>142800</v>
      </c>
    </row>
    <row r="36" spans="1:12" ht="39.950000000000003" customHeight="1" thickBot="1" x14ac:dyDescent="0.25">
      <c r="A36" s="9">
        <v>25</v>
      </c>
      <c r="B36" s="139" t="str">
        <f>'ALIM-IMP'!B33</f>
        <v>2.1.1-514.2</v>
      </c>
      <c r="C36" s="290" t="str">
        <f>'ALIM-IMP'!E33</f>
        <v>SAL DE MESA; CONSISTENCIA: FINA, PESO: 500 GR, TIPO: SIN VALOR, ENVASE: PAQUETE</v>
      </c>
      <c r="D36" s="290"/>
      <c r="E36" s="290"/>
      <c r="F36" s="290"/>
      <c r="G36" s="290"/>
      <c r="H36" s="140" t="s">
        <v>33</v>
      </c>
      <c r="I36" s="141" t="str">
        <f>'ALIM-IMP'!F33</f>
        <v>PAQUETE</v>
      </c>
      <c r="J36" s="142">
        <f>'ALIM-IMP'!H33</f>
        <v>66</v>
      </c>
      <c r="K36" s="143">
        <f>'ALIM-IMP'!G33</f>
        <v>1284</v>
      </c>
      <c r="L36" s="151">
        <f t="shared" si="0"/>
        <v>84744</v>
      </c>
    </row>
    <row r="37" spans="1:12" ht="39.950000000000003" customHeight="1" thickBot="1" x14ac:dyDescent="0.25">
      <c r="A37" s="9">
        <v>26</v>
      </c>
      <c r="B37" s="139" t="str">
        <f>'ALIM-IMP'!B34</f>
        <v>2.1.1-514.15</v>
      </c>
      <c r="C37" s="290" t="str">
        <f>'ALIM-IMP'!E34</f>
        <v>SAL DE MESA; CONSISTENCIA: GRUESA, ENVASE: BOLSA, PESO: 1 Kg, TIPO: SIN VALOR</v>
      </c>
      <c r="D37" s="290"/>
      <c r="E37" s="290"/>
      <c r="F37" s="290"/>
      <c r="G37" s="290"/>
      <c r="H37" s="140" t="s">
        <v>33</v>
      </c>
      <c r="I37" s="141" t="str">
        <f>'ALIM-IMP'!F34</f>
        <v>BOLSA</v>
      </c>
      <c r="J37" s="142">
        <f>'ALIM-IMP'!H34</f>
        <v>77</v>
      </c>
      <c r="K37" s="143">
        <f>'ALIM-IMP'!G34</f>
        <v>732</v>
      </c>
      <c r="L37" s="151">
        <f t="shared" si="0"/>
        <v>56364</v>
      </c>
    </row>
    <row r="38" spans="1:12" ht="39.950000000000003" customHeight="1" thickBot="1" x14ac:dyDescent="0.25">
      <c r="A38" s="9">
        <v>27</v>
      </c>
      <c r="B38" s="139" t="str">
        <f>'ALIM-IMP'!B35</f>
        <v>2.1.1-6539.8</v>
      </c>
      <c r="C38" s="290" t="str">
        <f>'ALIM-IMP'!E35</f>
        <v>FRUTAS; VARIEDAD: NARANJA ESPECIAL, ESTADO: NATURAL, PRESENTACION: CAJON, PESO: SIN VALOR</v>
      </c>
      <c r="D38" s="290"/>
      <c r="E38" s="290"/>
      <c r="F38" s="290"/>
      <c r="G38" s="290"/>
      <c r="H38" s="140" t="s">
        <v>33</v>
      </c>
      <c r="I38" s="141" t="str">
        <f>'ALIM-IMP'!F35</f>
        <v>CAJON</v>
      </c>
      <c r="J38" s="142">
        <f>'ALIM-IMP'!H35</f>
        <v>1600</v>
      </c>
      <c r="K38" s="143">
        <f>'ALIM-IMP'!G35</f>
        <v>384</v>
      </c>
      <c r="L38" s="151">
        <f t="shared" si="0"/>
        <v>614400</v>
      </c>
    </row>
    <row r="39" spans="1:12" ht="39.950000000000003" customHeight="1" thickBot="1" x14ac:dyDescent="0.25">
      <c r="A39" s="9">
        <v>28</v>
      </c>
      <c r="B39" s="139" t="str">
        <f>'ALIM-IMP'!B36</f>
        <v>2.1.1-6539.19</v>
      </c>
      <c r="C39" s="290" t="str">
        <f>'ALIM-IMP'!E36</f>
        <v>FRUTAS; ESTADO: NATURAL, VARIEDAD: MANZANA RED ELEGIDA, PRESENTACION: CAJON, PESO: SIN VALOR</v>
      </c>
      <c r="D39" s="290"/>
      <c r="E39" s="290"/>
      <c r="F39" s="290"/>
      <c r="G39" s="290"/>
      <c r="H39" s="140" t="s">
        <v>33</v>
      </c>
      <c r="I39" s="141" t="str">
        <f>'ALIM-IMP'!F36</f>
        <v>CAJON</v>
      </c>
      <c r="J39" s="142">
        <f>'ALIM-IMP'!H36</f>
        <v>2500</v>
      </c>
      <c r="K39" s="143">
        <f>'ALIM-IMP'!G36</f>
        <v>366</v>
      </c>
      <c r="L39" s="151">
        <f t="shared" si="0"/>
        <v>915000</v>
      </c>
    </row>
    <row r="40" spans="1:12" ht="39.950000000000003" customHeight="1" thickBot="1" x14ac:dyDescent="0.25">
      <c r="A40" s="9">
        <v>29</v>
      </c>
      <c r="B40" s="139" t="str">
        <f>'ALIM-IMP'!B37</f>
        <v>2.1.1-6539.30</v>
      </c>
      <c r="C40" s="290" t="str">
        <f>'ALIM-IMP'!E37</f>
        <v>FRUTAS; VARIEDAD: BANANA, PRESENTACION: CAJON, ESTADO: NATURAL, PESO: SIN VALOR</v>
      </c>
      <c r="D40" s="290"/>
      <c r="E40" s="290"/>
      <c r="F40" s="290"/>
      <c r="G40" s="290"/>
      <c r="H40" s="140" t="s">
        <v>33</v>
      </c>
      <c r="I40" s="141" t="str">
        <f>'ALIM-IMP'!F37</f>
        <v>CAJON</v>
      </c>
      <c r="J40" s="142">
        <f>'ALIM-IMP'!H37</f>
        <v>2000</v>
      </c>
      <c r="K40" s="143">
        <f>'ALIM-IMP'!G37</f>
        <v>366</v>
      </c>
      <c r="L40" s="151">
        <f t="shared" si="0"/>
        <v>732000</v>
      </c>
    </row>
    <row r="41" spans="1:12" ht="39.950000000000003" customHeight="1" thickBot="1" x14ac:dyDescent="0.25">
      <c r="A41" s="9">
        <v>30</v>
      </c>
      <c r="B41" s="139" t="str">
        <f>'ALIM-IMP'!B38</f>
        <v>2.1.1-6539.32</v>
      </c>
      <c r="C41" s="290" t="str">
        <f>'ALIM-IMP'!E38</f>
        <v>FRUTAS; VARIEDAD: PERA AMARILLA, ESTADO: NATURAL, PRESENTACION: CAJON, PESO: SIN VALOR</v>
      </c>
      <c r="D41" s="290"/>
      <c r="E41" s="290"/>
      <c r="F41" s="290"/>
      <c r="G41" s="290"/>
      <c r="H41" s="140" t="s">
        <v>33</v>
      </c>
      <c r="I41" s="141" t="str">
        <f>'ALIM-IMP'!F38</f>
        <v>CAJON</v>
      </c>
      <c r="J41" s="152">
        <f>'ALIM-IMP'!H38</f>
        <v>2000</v>
      </c>
      <c r="K41" s="153">
        <f>'ALIM-IMP'!G38</f>
        <v>336</v>
      </c>
      <c r="L41" s="154">
        <f t="shared" si="0"/>
        <v>672000</v>
      </c>
    </row>
    <row r="42" spans="1:12" ht="39.950000000000003" customHeight="1" thickBot="1" x14ac:dyDescent="0.25">
      <c r="A42" s="9">
        <v>31</v>
      </c>
      <c r="B42" s="139" t="str">
        <f>'ALIM-IMP'!B39</f>
        <v>2.1.1-669.25</v>
      </c>
      <c r="C42" s="290" t="str">
        <f>'ALIM-IMP'!E39</f>
        <v>PANES; TIPO: RALLADO, PRESENTACION: BOLSA DE 1000 GR</v>
      </c>
      <c r="D42" s="290"/>
      <c r="E42" s="290"/>
      <c r="F42" s="290"/>
      <c r="G42" s="290"/>
      <c r="H42" s="140" t="s">
        <v>33</v>
      </c>
      <c r="I42" s="141" t="str">
        <f>'ALIM-IMP'!F39</f>
        <v>BOLSA</v>
      </c>
      <c r="J42" s="152">
        <f>'ALIM-IMP'!H39</f>
        <v>140</v>
      </c>
      <c r="K42" s="153">
        <f>'ALIM-IMP'!G39</f>
        <v>3324</v>
      </c>
      <c r="L42" s="154">
        <f t="shared" si="0"/>
        <v>465360</v>
      </c>
    </row>
    <row r="43" spans="1:12" ht="39.950000000000003" customHeight="1" thickBot="1" x14ac:dyDescent="0.25">
      <c r="A43" s="9">
        <v>32</v>
      </c>
      <c r="B43" s="139" t="str">
        <f>'ALIM-IMP'!B40</f>
        <v>2.1.1-2616.6</v>
      </c>
      <c r="C43" s="290" t="str">
        <f>'ALIM-IMP'!E40</f>
        <v>MAIZ; TIPO: BLANCO, PRESENTACION: PAQUETE X 1 Kg, FORMA DE PRESENTACION: PISADO</v>
      </c>
      <c r="D43" s="290"/>
      <c r="E43" s="290"/>
      <c r="F43" s="290"/>
      <c r="G43" s="290"/>
      <c r="H43" s="140" t="s">
        <v>33</v>
      </c>
      <c r="I43" s="141" t="str">
        <f>'ALIM-IMP'!F40</f>
        <v>PAQUETE</v>
      </c>
      <c r="J43" s="152">
        <f>'ALIM-IMP'!H40</f>
        <v>350</v>
      </c>
      <c r="K43" s="153">
        <f>'ALIM-IMP'!G40</f>
        <v>6600</v>
      </c>
      <c r="L43" s="154">
        <f t="shared" si="0"/>
        <v>2310000</v>
      </c>
    </row>
    <row r="44" spans="1:12" ht="39.950000000000003" customHeight="1" thickBot="1" x14ac:dyDescent="0.25">
      <c r="A44" s="9">
        <v>33</v>
      </c>
      <c r="B44" s="139" t="str">
        <f>'ALIM-IMP'!B41</f>
        <v>2.1.1-2431.13</v>
      </c>
      <c r="C44" s="290" t="str">
        <f>'ALIM-IMP'!E41</f>
        <v>CALDOS; GUSTO: VERDURA, TIPO: DESHIDRATADO, PRESENTACION: ENVASE X 12 UN</v>
      </c>
      <c r="D44" s="290"/>
      <c r="E44" s="290"/>
      <c r="F44" s="290"/>
      <c r="G44" s="290"/>
      <c r="H44" s="140" t="s">
        <v>33</v>
      </c>
      <c r="I44" s="141" t="str">
        <f>'ALIM-IMP'!F41</f>
        <v>CAJA</v>
      </c>
      <c r="J44" s="152">
        <f>'ALIM-IMP'!H41</f>
        <v>116</v>
      </c>
      <c r="K44" s="153">
        <f>'ALIM-IMP'!G41</f>
        <v>1284</v>
      </c>
      <c r="L44" s="154">
        <f t="shared" si="0"/>
        <v>148944</v>
      </c>
    </row>
    <row r="45" spans="1:12" ht="39.950000000000003" customHeight="1" thickBot="1" x14ac:dyDescent="0.25">
      <c r="A45" s="9">
        <v>34</v>
      </c>
      <c r="B45" s="139" t="str">
        <f>'ALIM-IMP'!B42</f>
        <v>2.1.1-6546.132</v>
      </c>
      <c r="C45" s="290" t="str">
        <f>'ALIM-IMP'!E42</f>
        <v>VERDURAS Y HORTALIZAS; VARIEDAD: PEREJIL, ESTADO: NATURAL, PRESENTACION: GRANEL, PESO: SIN VALOR</v>
      </c>
      <c r="D45" s="290"/>
      <c r="E45" s="290"/>
      <c r="F45" s="290"/>
      <c r="G45" s="290"/>
      <c r="H45" s="140" t="s">
        <v>33</v>
      </c>
      <c r="I45" s="141" t="str">
        <f>'ALIM-IMP'!F42</f>
        <v>ATADO</v>
      </c>
      <c r="J45" s="152">
        <f>'ALIM-IMP'!H42</f>
        <v>20</v>
      </c>
      <c r="K45" s="153">
        <f>'ALIM-IMP'!G42</f>
        <v>2628</v>
      </c>
      <c r="L45" s="154">
        <f t="shared" si="0"/>
        <v>52560</v>
      </c>
    </row>
    <row r="46" spans="1:12" ht="33" customHeight="1" thickBot="1" x14ac:dyDescent="0.25">
      <c r="A46" s="295" t="s">
        <v>418</v>
      </c>
      <c r="B46" s="295"/>
      <c r="C46" s="295"/>
      <c r="D46" s="295"/>
      <c r="E46" s="295"/>
      <c r="F46" s="295"/>
      <c r="G46" s="295"/>
      <c r="H46" s="295"/>
      <c r="I46" s="295"/>
      <c r="J46" s="292">
        <f>SUM(L12:L45)</f>
        <v>53575644</v>
      </c>
      <c r="K46" s="293"/>
      <c r="L46" s="294"/>
    </row>
  </sheetData>
  <mergeCells count="57">
    <mergeCell ref="C20:G20"/>
    <mergeCell ref="C23:G23"/>
    <mergeCell ref="C29:G29"/>
    <mergeCell ref="A8:C8"/>
    <mergeCell ref="C18:G18"/>
    <mergeCell ref="A10:A11"/>
    <mergeCell ref="B10:B11"/>
    <mergeCell ref="C10:G11"/>
    <mergeCell ref="D8:K8"/>
    <mergeCell ref="J10:J11"/>
    <mergeCell ref="K10:K11"/>
    <mergeCell ref="H10:H11"/>
    <mergeCell ref="I10:I11"/>
    <mergeCell ref="C12:G12"/>
    <mergeCell ref="C13:G13"/>
    <mergeCell ref="C14:G14"/>
    <mergeCell ref="C15:G15"/>
    <mergeCell ref="C16:G16"/>
    <mergeCell ref="C17:G17"/>
    <mergeCell ref="A1:I1"/>
    <mergeCell ref="A6:C6"/>
    <mergeCell ref="D6:K6"/>
    <mergeCell ref="A7:C7"/>
    <mergeCell ref="D7:K7"/>
    <mergeCell ref="A3:C3"/>
    <mergeCell ref="D3:K3"/>
    <mergeCell ref="A4:C4"/>
    <mergeCell ref="D4:K4"/>
    <mergeCell ref="A5:C5"/>
    <mergeCell ref="D5:K5"/>
    <mergeCell ref="J46:L46"/>
    <mergeCell ref="C36:G36"/>
    <mergeCell ref="C37:G37"/>
    <mergeCell ref="C38:G38"/>
    <mergeCell ref="C40:G40"/>
    <mergeCell ref="C41:G41"/>
    <mergeCell ref="C39:G39"/>
    <mergeCell ref="A46:I46"/>
    <mergeCell ref="C42:G42"/>
    <mergeCell ref="C43:G43"/>
    <mergeCell ref="C44:G44"/>
    <mergeCell ref="C22:G22"/>
    <mergeCell ref="C19:G19"/>
    <mergeCell ref="C21:G21"/>
    <mergeCell ref="C45:G45"/>
    <mergeCell ref="L10:L11"/>
    <mergeCell ref="C30:G30"/>
    <mergeCell ref="C31:G31"/>
    <mergeCell ref="C32:G32"/>
    <mergeCell ref="C33:G33"/>
    <mergeCell ref="C34:G34"/>
    <mergeCell ref="C24:G24"/>
    <mergeCell ref="C25:G25"/>
    <mergeCell ref="C26:G26"/>
    <mergeCell ref="C27:G27"/>
    <mergeCell ref="C28:G28"/>
    <mergeCell ref="C35:G35"/>
  </mergeCells>
  <printOptions horizontalCentered="1"/>
  <pageMargins left="0.2" right="0.19685039370078741" top="0.23622047244094491" bottom="0.27559055118110237" header="0.19685039370078741" footer="0.15748031496062992"/>
  <pageSetup paperSize="7" scale="65" firstPageNumber="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367"/>
  <sheetViews>
    <sheetView tabSelected="1" zoomScale="80" zoomScaleNormal="80" workbookViewId="0">
      <selection activeCell="E45" sqref="E45"/>
    </sheetView>
  </sheetViews>
  <sheetFormatPr baseColWidth="10" defaultColWidth="11" defaultRowHeight="12.75" x14ac:dyDescent="0.2"/>
  <cols>
    <col min="1" max="1" width="4.5703125" style="38" customWidth="1"/>
    <col min="2" max="2" width="15.5703125" style="38" customWidth="1"/>
    <col min="3" max="3" width="26" style="38" customWidth="1"/>
    <col min="4" max="4" width="10" style="96" customWidth="1"/>
    <col min="5" max="5" width="162" style="38" customWidth="1"/>
    <col min="6" max="6" width="11" style="38"/>
    <col min="7" max="7" width="13.140625" style="38" customWidth="1"/>
    <col min="8" max="8" width="13.85546875" style="38" customWidth="1"/>
    <col min="9" max="9" width="18.5703125" style="38" customWidth="1"/>
    <col min="10" max="10" width="14.5703125" style="38" bestFit="1" customWidth="1"/>
    <col min="11" max="16384" width="11" style="38"/>
  </cols>
  <sheetData>
    <row r="1" spans="1:9" ht="27" x14ac:dyDescent="0.35">
      <c r="B1" s="282" t="s">
        <v>0</v>
      </c>
      <c r="C1" s="282"/>
      <c r="D1" s="282"/>
      <c r="E1" s="282"/>
      <c r="F1" s="282"/>
      <c r="G1" s="282"/>
      <c r="H1" s="282"/>
    </row>
    <row r="2" spans="1:9" ht="6" customHeight="1" x14ac:dyDescent="0.2"/>
    <row r="3" spans="1:9" ht="16.5" customHeight="1" x14ac:dyDescent="0.25">
      <c r="A3" s="279" t="s">
        <v>1</v>
      </c>
      <c r="B3" s="279"/>
      <c r="C3" s="331" t="s">
        <v>66</v>
      </c>
      <c r="D3" s="331"/>
      <c r="E3" s="331"/>
      <c r="F3" s="39"/>
      <c r="G3" s="40"/>
      <c r="H3" s="39"/>
    </row>
    <row r="4" spans="1:9" ht="17.25" customHeight="1" x14ac:dyDescent="0.25">
      <c r="A4" s="279" t="s">
        <v>2</v>
      </c>
      <c r="B4" s="279"/>
      <c r="C4" s="331" t="s">
        <v>62</v>
      </c>
      <c r="D4" s="331"/>
      <c r="E4" s="331"/>
      <c r="F4" s="39"/>
      <c r="G4" s="40"/>
      <c r="H4" s="39"/>
    </row>
    <row r="5" spans="1:9" ht="15" customHeight="1" x14ac:dyDescent="0.25">
      <c r="A5" s="279" t="s">
        <v>3</v>
      </c>
      <c r="B5" s="279"/>
      <c r="C5" s="209">
        <v>2021</v>
      </c>
      <c r="D5" s="210"/>
      <c r="E5" s="211"/>
      <c r="F5" s="39"/>
      <c r="G5" s="40"/>
      <c r="H5" s="39"/>
    </row>
    <row r="6" spans="1:9" ht="16.5" customHeight="1" x14ac:dyDescent="0.25">
      <c r="A6" s="279" t="s">
        <v>329</v>
      </c>
      <c r="B6" s="279"/>
      <c r="C6" s="209">
        <v>3</v>
      </c>
      <c r="D6" s="210"/>
      <c r="E6" s="211"/>
      <c r="F6" s="39"/>
      <c r="G6" s="40"/>
      <c r="H6" s="39"/>
    </row>
    <row r="7" spans="1:9" ht="7.5" customHeight="1" thickBot="1" x14ac:dyDescent="0.25">
      <c r="B7" s="39"/>
      <c r="C7" s="40"/>
      <c r="D7" s="40"/>
      <c r="E7" s="39"/>
      <c r="F7" s="39"/>
      <c r="G7" s="40"/>
      <c r="H7" s="39"/>
    </row>
    <row r="8" spans="1:9" ht="39" thickBot="1" x14ac:dyDescent="0.25">
      <c r="A8" s="60" t="s">
        <v>5</v>
      </c>
      <c r="B8" s="74" t="s">
        <v>6</v>
      </c>
      <c r="C8" s="74" t="s">
        <v>7</v>
      </c>
      <c r="D8" s="65" t="s">
        <v>8</v>
      </c>
      <c r="E8" s="74" t="s">
        <v>9</v>
      </c>
      <c r="F8" s="61" t="s">
        <v>10</v>
      </c>
      <c r="G8" s="62" t="s">
        <v>11</v>
      </c>
      <c r="H8" s="62" t="s">
        <v>12</v>
      </c>
      <c r="I8" s="63" t="s">
        <v>13</v>
      </c>
    </row>
    <row r="9" spans="1:9" s="155" customFormat="1" ht="15.75" customHeight="1" x14ac:dyDescent="0.2">
      <c r="A9" s="175">
        <v>1</v>
      </c>
      <c r="B9" s="176" t="s">
        <v>291</v>
      </c>
      <c r="C9" s="233" t="s">
        <v>60</v>
      </c>
      <c r="D9" s="177" t="s">
        <v>74</v>
      </c>
      <c r="E9" s="98" t="s">
        <v>292</v>
      </c>
      <c r="F9" s="242" t="s">
        <v>354</v>
      </c>
      <c r="G9" s="266">
        <v>15876</v>
      </c>
      <c r="H9" s="178">
        <v>53</v>
      </c>
      <c r="I9" s="178">
        <f>+H9*G9</f>
        <v>841428</v>
      </c>
    </row>
    <row r="10" spans="1:9" s="155" customFormat="1" ht="15.75" customHeight="1" x14ac:dyDescent="0.2">
      <c r="A10" s="172">
        <v>2</v>
      </c>
      <c r="B10" s="173" t="s">
        <v>68</v>
      </c>
      <c r="C10" s="234" t="s">
        <v>60</v>
      </c>
      <c r="D10" s="174" t="s">
        <v>74</v>
      </c>
      <c r="E10" s="105" t="s">
        <v>76</v>
      </c>
      <c r="F10" s="107" t="s">
        <v>347</v>
      </c>
      <c r="G10" s="265">
        <v>2628</v>
      </c>
      <c r="H10" s="168">
        <v>146</v>
      </c>
      <c r="I10" s="168">
        <f t="shared" ref="I10:I42" si="0">+H10*G10</f>
        <v>383688</v>
      </c>
    </row>
    <row r="11" spans="1:9" s="155" customFormat="1" ht="15.75" customHeight="1" x14ac:dyDescent="0.2">
      <c r="A11" s="172">
        <v>3</v>
      </c>
      <c r="B11" s="236" t="s">
        <v>309</v>
      </c>
      <c r="C11" s="179" t="s">
        <v>60</v>
      </c>
      <c r="D11" s="174" t="s">
        <v>74</v>
      </c>
      <c r="E11" s="105" t="s">
        <v>310</v>
      </c>
      <c r="F11" s="107" t="s">
        <v>347</v>
      </c>
      <c r="G11" s="265">
        <v>3324</v>
      </c>
      <c r="H11" s="168">
        <v>486</v>
      </c>
      <c r="I11" s="168">
        <f t="shared" si="0"/>
        <v>1615464</v>
      </c>
    </row>
    <row r="12" spans="1:9" s="155" customFormat="1" ht="15.75" customHeight="1" x14ac:dyDescent="0.2">
      <c r="A12" s="172">
        <v>4</v>
      </c>
      <c r="B12" s="180" t="s">
        <v>293</v>
      </c>
      <c r="C12" s="235" t="s">
        <v>60</v>
      </c>
      <c r="D12" s="181" t="s">
        <v>74</v>
      </c>
      <c r="E12" s="111" t="s">
        <v>294</v>
      </c>
      <c r="F12" s="113" t="s">
        <v>348</v>
      </c>
      <c r="G12" s="265">
        <v>1284</v>
      </c>
      <c r="H12" s="168">
        <v>475</v>
      </c>
      <c r="I12" s="168">
        <f t="shared" si="0"/>
        <v>609900</v>
      </c>
    </row>
    <row r="13" spans="1:9" s="155" customFormat="1" ht="15.75" customHeight="1" x14ac:dyDescent="0.2">
      <c r="A13" s="172">
        <v>5</v>
      </c>
      <c r="B13" s="237" t="s">
        <v>338</v>
      </c>
      <c r="C13" t="s">
        <v>60</v>
      </c>
      <c r="D13" s="174" t="s">
        <v>74</v>
      </c>
      <c r="E13" s="243" t="s">
        <v>339</v>
      </c>
      <c r="F13" s="113" t="s">
        <v>117</v>
      </c>
      <c r="G13" s="265">
        <v>12576</v>
      </c>
      <c r="H13" s="168">
        <v>50</v>
      </c>
      <c r="I13" s="168">
        <f t="shared" si="0"/>
        <v>628800</v>
      </c>
    </row>
    <row r="14" spans="1:9" s="155" customFormat="1" ht="15.75" customHeight="1" x14ac:dyDescent="0.2">
      <c r="A14" s="172">
        <v>6</v>
      </c>
      <c r="B14" s="173" t="s">
        <v>70</v>
      </c>
      <c r="C14" s="234" t="s">
        <v>60</v>
      </c>
      <c r="D14" s="174" t="s">
        <v>74</v>
      </c>
      <c r="E14" s="105" t="s">
        <v>78</v>
      </c>
      <c r="F14" s="107" t="s">
        <v>349</v>
      </c>
      <c r="G14" s="265">
        <v>13200</v>
      </c>
      <c r="H14" s="168">
        <v>180</v>
      </c>
      <c r="I14" s="168">
        <f t="shared" si="0"/>
        <v>2376000</v>
      </c>
    </row>
    <row r="15" spans="1:9" s="155" customFormat="1" ht="15.75" customHeight="1" x14ac:dyDescent="0.2">
      <c r="A15" s="172">
        <v>7</v>
      </c>
      <c r="B15" s="173" t="s">
        <v>71</v>
      </c>
      <c r="C15" s="234" t="s">
        <v>60</v>
      </c>
      <c r="D15" s="174" t="s">
        <v>74</v>
      </c>
      <c r="E15" s="105" t="s">
        <v>79</v>
      </c>
      <c r="F15" s="107" t="s">
        <v>350</v>
      </c>
      <c r="G15" s="265">
        <v>9924</v>
      </c>
      <c r="H15" s="168">
        <v>56</v>
      </c>
      <c r="I15" s="168">
        <f t="shared" si="0"/>
        <v>555744</v>
      </c>
    </row>
    <row r="16" spans="1:9" s="155" customFormat="1" ht="15.75" customHeight="1" x14ac:dyDescent="0.2">
      <c r="A16" s="172">
        <v>8</v>
      </c>
      <c r="B16" s="180" t="s">
        <v>275</v>
      </c>
      <c r="C16" s="234" t="s">
        <v>60</v>
      </c>
      <c r="D16" s="174" t="s">
        <v>74</v>
      </c>
      <c r="E16" s="105" t="s">
        <v>276</v>
      </c>
      <c r="F16" s="107" t="s">
        <v>349</v>
      </c>
      <c r="G16" s="265">
        <v>4680</v>
      </c>
      <c r="H16" s="168">
        <v>241</v>
      </c>
      <c r="I16" s="168">
        <f t="shared" si="0"/>
        <v>1127880</v>
      </c>
    </row>
    <row r="17" spans="1:9" s="155" customFormat="1" ht="15.75" customHeight="1" x14ac:dyDescent="0.2">
      <c r="A17" s="172">
        <v>9</v>
      </c>
      <c r="B17" s="173" t="s">
        <v>72</v>
      </c>
      <c r="C17" s="234" t="s">
        <v>60</v>
      </c>
      <c r="D17" s="174" t="s">
        <v>74</v>
      </c>
      <c r="E17" s="105" t="s">
        <v>80</v>
      </c>
      <c r="F17" s="107" t="s">
        <v>117</v>
      </c>
      <c r="G17" s="265">
        <v>17868</v>
      </c>
      <c r="H17" s="168">
        <v>180</v>
      </c>
      <c r="I17" s="168">
        <f t="shared" si="0"/>
        <v>3216240</v>
      </c>
    </row>
    <row r="18" spans="1:9" s="155" customFormat="1" ht="15.75" customHeight="1" x14ac:dyDescent="0.2">
      <c r="A18" s="172">
        <v>10</v>
      </c>
      <c r="B18" s="173" t="s">
        <v>73</v>
      </c>
      <c r="C18" s="234" t="s">
        <v>60</v>
      </c>
      <c r="D18" s="174" t="s">
        <v>74</v>
      </c>
      <c r="E18" s="105" t="s">
        <v>81</v>
      </c>
      <c r="F18" s="107" t="s">
        <v>117</v>
      </c>
      <c r="G18" s="265">
        <v>46188</v>
      </c>
      <c r="H18" s="168">
        <v>60</v>
      </c>
      <c r="I18" s="168">
        <f t="shared" si="0"/>
        <v>2771280</v>
      </c>
    </row>
    <row r="19" spans="1:9" s="155" customFormat="1" ht="15.75" customHeight="1" x14ac:dyDescent="0.2">
      <c r="A19" s="172">
        <v>11</v>
      </c>
      <c r="B19" s="173" t="s">
        <v>82</v>
      </c>
      <c r="C19" s="234" t="s">
        <v>60</v>
      </c>
      <c r="D19" s="174" t="s">
        <v>74</v>
      </c>
      <c r="E19" s="244" t="s">
        <v>89</v>
      </c>
      <c r="F19" s="115" t="s">
        <v>347</v>
      </c>
      <c r="G19" s="267">
        <v>8616</v>
      </c>
      <c r="H19" s="168">
        <v>50</v>
      </c>
      <c r="I19" s="168">
        <f t="shared" si="0"/>
        <v>430800</v>
      </c>
    </row>
    <row r="20" spans="1:9" s="155" customFormat="1" ht="15.75" customHeight="1" x14ac:dyDescent="0.2">
      <c r="A20" s="172">
        <v>12</v>
      </c>
      <c r="B20" s="173" t="s">
        <v>83</v>
      </c>
      <c r="C20" s="234" t="s">
        <v>60</v>
      </c>
      <c r="D20" s="174" t="s">
        <v>74</v>
      </c>
      <c r="E20" s="105" t="s">
        <v>90</v>
      </c>
      <c r="F20" s="107" t="s">
        <v>14</v>
      </c>
      <c r="G20" s="265">
        <v>19788</v>
      </c>
      <c r="H20" s="168">
        <v>28</v>
      </c>
      <c r="I20" s="168">
        <f t="shared" si="0"/>
        <v>554064</v>
      </c>
    </row>
    <row r="21" spans="1:9" s="155" customFormat="1" ht="15.75" customHeight="1" x14ac:dyDescent="0.2">
      <c r="A21" s="172">
        <v>13</v>
      </c>
      <c r="B21" s="173" t="s">
        <v>84</v>
      </c>
      <c r="C21" s="234" t="s">
        <v>60</v>
      </c>
      <c r="D21" s="174" t="s">
        <v>74</v>
      </c>
      <c r="E21" s="105" t="s">
        <v>91</v>
      </c>
      <c r="F21" s="107" t="s">
        <v>352</v>
      </c>
      <c r="G21" s="265">
        <v>4680</v>
      </c>
      <c r="H21" s="168">
        <v>50</v>
      </c>
      <c r="I21" s="168">
        <f t="shared" si="0"/>
        <v>234000</v>
      </c>
    </row>
    <row r="22" spans="1:9" s="155" customFormat="1" ht="15.75" customHeight="1" x14ac:dyDescent="0.2">
      <c r="A22" s="172">
        <v>14</v>
      </c>
      <c r="B22" s="173" t="s">
        <v>85</v>
      </c>
      <c r="C22" s="234" t="s">
        <v>60</v>
      </c>
      <c r="D22" s="174" t="s">
        <v>74</v>
      </c>
      <c r="E22" s="105" t="s">
        <v>92</v>
      </c>
      <c r="F22" s="113" t="s">
        <v>353</v>
      </c>
      <c r="G22" s="265">
        <v>6600</v>
      </c>
      <c r="H22" s="168">
        <v>30</v>
      </c>
      <c r="I22" s="168">
        <f t="shared" si="0"/>
        <v>198000</v>
      </c>
    </row>
    <row r="23" spans="1:9" s="155" customFormat="1" ht="15.75" customHeight="1" x14ac:dyDescent="0.2">
      <c r="A23" s="172">
        <v>15</v>
      </c>
      <c r="B23" s="237" t="s">
        <v>342</v>
      </c>
      <c r="C23" t="s">
        <v>60</v>
      </c>
      <c r="D23" s="174" t="s">
        <v>74</v>
      </c>
      <c r="E23" s="243" t="s">
        <v>343</v>
      </c>
      <c r="F23" s="113" t="s">
        <v>117</v>
      </c>
      <c r="G23" s="265">
        <v>25776</v>
      </c>
      <c r="H23" s="168">
        <v>70</v>
      </c>
      <c r="I23" s="168">
        <f t="shared" si="0"/>
        <v>1804320</v>
      </c>
    </row>
    <row r="24" spans="1:9" s="155" customFormat="1" ht="15.75" customHeight="1" x14ac:dyDescent="0.2">
      <c r="A24" s="172">
        <v>16</v>
      </c>
      <c r="B24" s="180" t="s">
        <v>67</v>
      </c>
      <c r="C24" s="235" t="s">
        <v>60</v>
      </c>
      <c r="D24" s="181" t="s">
        <v>74</v>
      </c>
      <c r="E24" s="111" t="s">
        <v>75</v>
      </c>
      <c r="F24" s="113" t="s">
        <v>354</v>
      </c>
      <c r="G24" s="265">
        <v>9924</v>
      </c>
      <c r="H24" s="168">
        <v>156</v>
      </c>
      <c r="I24" s="168">
        <f t="shared" si="0"/>
        <v>1548144</v>
      </c>
    </row>
    <row r="25" spans="1:9" s="155" customFormat="1" ht="15.75" customHeight="1" x14ac:dyDescent="0.2">
      <c r="A25" s="172">
        <v>17</v>
      </c>
      <c r="B25" s="173" t="s">
        <v>87</v>
      </c>
      <c r="C25" s="234" t="s">
        <v>60</v>
      </c>
      <c r="D25" s="174" t="s">
        <v>74</v>
      </c>
      <c r="E25" s="105" t="s">
        <v>94</v>
      </c>
      <c r="F25" s="107" t="s">
        <v>117</v>
      </c>
      <c r="G25" s="265">
        <v>10584</v>
      </c>
      <c r="H25" s="168">
        <v>950</v>
      </c>
      <c r="I25" s="168">
        <f t="shared" si="0"/>
        <v>10054800</v>
      </c>
    </row>
    <row r="26" spans="1:9" s="155" customFormat="1" ht="15.75" customHeight="1" x14ac:dyDescent="0.2">
      <c r="A26" s="172">
        <v>18</v>
      </c>
      <c r="B26" s="173" t="s">
        <v>88</v>
      </c>
      <c r="C26" s="234" t="s">
        <v>60</v>
      </c>
      <c r="D26" s="174" t="s">
        <v>74</v>
      </c>
      <c r="E26" s="105" t="s">
        <v>95</v>
      </c>
      <c r="F26" s="107" t="s">
        <v>117</v>
      </c>
      <c r="G26" s="265">
        <v>6600</v>
      </c>
      <c r="H26" s="168">
        <v>1150</v>
      </c>
      <c r="I26" s="168">
        <f t="shared" si="0"/>
        <v>7590000</v>
      </c>
    </row>
    <row r="27" spans="1:9" s="155" customFormat="1" ht="15.75" customHeight="1" x14ac:dyDescent="0.2">
      <c r="A27" s="172">
        <v>19</v>
      </c>
      <c r="B27" s="173" t="s">
        <v>119</v>
      </c>
      <c r="C27" s="234" t="s">
        <v>60</v>
      </c>
      <c r="D27" s="174" t="s">
        <v>74</v>
      </c>
      <c r="E27" s="105" t="s">
        <v>120</v>
      </c>
      <c r="F27" s="107" t="s">
        <v>117</v>
      </c>
      <c r="G27" s="265">
        <v>16512</v>
      </c>
      <c r="H27" s="168">
        <v>260</v>
      </c>
      <c r="I27" s="168">
        <f t="shared" si="0"/>
        <v>4293120</v>
      </c>
    </row>
    <row r="28" spans="1:9" s="155" customFormat="1" ht="15.75" customHeight="1" x14ac:dyDescent="0.2">
      <c r="A28" s="172">
        <v>20</v>
      </c>
      <c r="B28" s="237" t="s">
        <v>345</v>
      </c>
      <c r="C28" t="s">
        <v>60</v>
      </c>
      <c r="D28" s="174" t="s">
        <v>74</v>
      </c>
      <c r="E28" s="243" t="s">
        <v>346</v>
      </c>
      <c r="F28" s="107" t="s">
        <v>117</v>
      </c>
      <c r="G28" s="265">
        <v>39420</v>
      </c>
      <c r="H28" s="168">
        <v>150</v>
      </c>
      <c r="I28" s="168">
        <f t="shared" si="0"/>
        <v>5913000</v>
      </c>
    </row>
    <row r="29" spans="1:9" s="155" customFormat="1" ht="15.75" customHeight="1" x14ac:dyDescent="0.2">
      <c r="A29" s="172">
        <v>21</v>
      </c>
      <c r="B29" s="173" t="s">
        <v>96</v>
      </c>
      <c r="C29" s="234" t="s">
        <v>60</v>
      </c>
      <c r="D29" s="174" t="s">
        <v>74</v>
      </c>
      <c r="E29" s="105" t="s">
        <v>101</v>
      </c>
      <c r="F29" s="107" t="s">
        <v>347</v>
      </c>
      <c r="G29" s="268">
        <v>120</v>
      </c>
      <c r="H29" s="168">
        <v>3090</v>
      </c>
      <c r="I29" s="168">
        <f t="shared" si="0"/>
        <v>370800</v>
      </c>
    </row>
    <row r="30" spans="1:9" s="155" customFormat="1" ht="15.75" customHeight="1" x14ac:dyDescent="0.2">
      <c r="A30" s="172">
        <v>22</v>
      </c>
      <c r="B30" s="173" t="s">
        <v>97</v>
      </c>
      <c r="C30" s="234" t="s">
        <v>60</v>
      </c>
      <c r="D30" s="174" t="s">
        <v>74</v>
      </c>
      <c r="E30" s="105" t="s">
        <v>102</v>
      </c>
      <c r="F30" s="107" t="s">
        <v>347</v>
      </c>
      <c r="G30" s="265">
        <v>120</v>
      </c>
      <c r="H30" s="168">
        <v>1120</v>
      </c>
      <c r="I30" s="168">
        <f t="shared" si="0"/>
        <v>134400</v>
      </c>
    </row>
    <row r="31" spans="1:9" s="155" customFormat="1" ht="15.75" customHeight="1" x14ac:dyDescent="0.2">
      <c r="A31" s="172">
        <v>23</v>
      </c>
      <c r="B31" s="173" t="s">
        <v>98</v>
      </c>
      <c r="C31" s="234" t="s">
        <v>60</v>
      </c>
      <c r="D31" s="174" t="s">
        <v>74</v>
      </c>
      <c r="E31" s="105" t="s">
        <v>103</v>
      </c>
      <c r="F31" s="107" t="s">
        <v>347</v>
      </c>
      <c r="G31" s="265">
        <v>120</v>
      </c>
      <c r="H31" s="168">
        <v>1080</v>
      </c>
      <c r="I31" s="168">
        <f t="shared" si="0"/>
        <v>129600</v>
      </c>
    </row>
    <row r="32" spans="1:9" s="155" customFormat="1" ht="15.75" customHeight="1" x14ac:dyDescent="0.2">
      <c r="A32" s="172">
        <v>24</v>
      </c>
      <c r="B32" s="173" t="s">
        <v>99</v>
      </c>
      <c r="C32" s="234" t="s">
        <v>60</v>
      </c>
      <c r="D32" s="174" t="s">
        <v>74</v>
      </c>
      <c r="E32" s="105" t="s">
        <v>104</v>
      </c>
      <c r="F32" s="107" t="s">
        <v>354</v>
      </c>
      <c r="G32" s="265">
        <v>120</v>
      </c>
      <c r="H32" s="168">
        <v>1190</v>
      </c>
      <c r="I32" s="168">
        <f t="shared" si="0"/>
        <v>142800</v>
      </c>
    </row>
    <row r="33" spans="1:10" s="155" customFormat="1" ht="15.75" customHeight="1" x14ac:dyDescent="0.2">
      <c r="A33" s="172">
        <v>25</v>
      </c>
      <c r="B33" s="180" t="s">
        <v>282</v>
      </c>
      <c r="C33" s="235" t="s">
        <v>60</v>
      </c>
      <c r="D33" s="181" t="s">
        <v>74</v>
      </c>
      <c r="E33" s="111" t="s">
        <v>281</v>
      </c>
      <c r="F33" s="113" t="s">
        <v>354</v>
      </c>
      <c r="G33" s="265">
        <v>1284</v>
      </c>
      <c r="H33" s="168">
        <v>66</v>
      </c>
      <c r="I33" s="168">
        <f t="shared" si="0"/>
        <v>84744</v>
      </c>
    </row>
    <row r="34" spans="1:10" s="155" customFormat="1" ht="15.75" customHeight="1" x14ac:dyDescent="0.2">
      <c r="A34" s="172">
        <v>26</v>
      </c>
      <c r="B34" s="173" t="s">
        <v>100</v>
      </c>
      <c r="C34" s="234" t="s">
        <v>60</v>
      </c>
      <c r="D34" s="174" t="s">
        <v>74</v>
      </c>
      <c r="E34" s="105" t="s">
        <v>105</v>
      </c>
      <c r="F34" s="245" t="s">
        <v>347</v>
      </c>
      <c r="G34" s="265">
        <v>732</v>
      </c>
      <c r="H34" s="182">
        <v>77</v>
      </c>
      <c r="I34" s="168">
        <f t="shared" si="0"/>
        <v>56364</v>
      </c>
    </row>
    <row r="35" spans="1:10" s="155" customFormat="1" ht="15.75" customHeight="1" x14ac:dyDescent="0.2">
      <c r="A35" s="172">
        <v>27</v>
      </c>
      <c r="B35" s="173" t="s">
        <v>129</v>
      </c>
      <c r="C35" s="234" t="s">
        <v>60</v>
      </c>
      <c r="D35" s="174" t="s">
        <v>74</v>
      </c>
      <c r="E35" s="105" t="s">
        <v>133</v>
      </c>
      <c r="F35" s="121" t="s">
        <v>351</v>
      </c>
      <c r="G35" s="264">
        <v>384</v>
      </c>
      <c r="H35" s="168">
        <v>1600</v>
      </c>
      <c r="I35" s="168">
        <f t="shared" si="0"/>
        <v>614400</v>
      </c>
    </row>
    <row r="36" spans="1:10" s="155" customFormat="1" ht="15.75" customHeight="1" x14ac:dyDescent="0.2">
      <c r="A36" s="172">
        <v>28</v>
      </c>
      <c r="B36" s="173" t="s">
        <v>130</v>
      </c>
      <c r="C36" s="234" t="s">
        <v>60</v>
      </c>
      <c r="D36" s="174" t="s">
        <v>74</v>
      </c>
      <c r="E36" s="105" t="s">
        <v>134</v>
      </c>
      <c r="F36" s="121" t="s">
        <v>351</v>
      </c>
      <c r="G36" s="264">
        <v>366</v>
      </c>
      <c r="H36" s="168">
        <v>2500</v>
      </c>
      <c r="I36" s="168">
        <f t="shared" si="0"/>
        <v>915000</v>
      </c>
    </row>
    <row r="37" spans="1:10" s="155" customFormat="1" ht="15.75" customHeight="1" x14ac:dyDescent="0.2">
      <c r="A37" s="172">
        <v>29</v>
      </c>
      <c r="B37" s="173" t="s">
        <v>131</v>
      </c>
      <c r="C37" s="234" t="s">
        <v>60</v>
      </c>
      <c r="D37" s="174" t="s">
        <v>74</v>
      </c>
      <c r="E37" s="105" t="s">
        <v>135</v>
      </c>
      <c r="F37" s="121" t="s">
        <v>351</v>
      </c>
      <c r="G37" s="264">
        <v>366</v>
      </c>
      <c r="H37" s="168">
        <v>2000</v>
      </c>
      <c r="I37" s="168">
        <f t="shared" si="0"/>
        <v>732000</v>
      </c>
    </row>
    <row r="38" spans="1:10" s="155" customFormat="1" ht="15.75" customHeight="1" x14ac:dyDescent="0.2">
      <c r="A38" s="183">
        <v>30</v>
      </c>
      <c r="B38" s="173" t="s">
        <v>132</v>
      </c>
      <c r="C38" s="234" t="s">
        <v>60</v>
      </c>
      <c r="D38" s="174" t="s">
        <v>74</v>
      </c>
      <c r="E38" s="173" t="s">
        <v>136</v>
      </c>
      <c r="F38" s="269" t="s">
        <v>351</v>
      </c>
      <c r="G38" s="264">
        <v>336</v>
      </c>
      <c r="H38" s="168">
        <v>2000</v>
      </c>
      <c r="I38" s="168">
        <f t="shared" si="0"/>
        <v>672000</v>
      </c>
    </row>
    <row r="39" spans="1:10" s="155" customFormat="1" ht="15.75" customHeight="1" x14ac:dyDescent="0.2">
      <c r="A39" s="183">
        <v>31</v>
      </c>
      <c r="B39" s="173" t="s">
        <v>295</v>
      </c>
      <c r="C39" s="234" t="s">
        <v>60</v>
      </c>
      <c r="D39" s="174" t="s">
        <v>74</v>
      </c>
      <c r="E39" s="105" t="s">
        <v>296</v>
      </c>
      <c r="F39" s="113" t="s">
        <v>347</v>
      </c>
      <c r="G39" s="264">
        <v>3324</v>
      </c>
      <c r="H39" s="168">
        <v>140</v>
      </c>
      <c r="I39" s="168">
        <f t="shared" si="0"/>
        <v>465360</v>
      </c>
    </row>
    <row r="40" spans="1:10" s="155" customFormat="1" ht="15.75" customHeight="1" x14ac:dyDescent="0.2">
      <c r="A40" s="183">
        <v>32</v>
      </c>
      <c r="B40" s="173" t="s">
        <v>311</v>
      </c>
      <c r="C40" s="234" t="s">
        <v>60</v>
      </c>
      <c r="D40" s="174" t="s">
        <v>74</v>
      </c>
      <c r="E40" s="105" t="s">
        <v>312</v>
      </c>
      <c r="F40" s="113" t="s">
        <v>354</v>
      </c>
      <c r="G40" s="264">
        <v>6600</v>
      </c>
      <c r="H40" s="168">
        <v>350</v>
      </c>
      <c r="I40" s="168">
        <f t="shared" si="0"/>
        <v>2310000</v>
      </c>
    </row>
    <row r="41" spans="1:10" s="155" customFormat="1" ht="15.75" customHeight="1" x14ac:dyDescent="0.2">
      <c r="A41" s="183">
        <v>33</v>
      </c>
      <c r="B41" s="173" t="s">
        <v>313</v>
      </c>
      <c r="C41" s="234" t="s">
        <v>60</v>
      </c>
      <c r="D41" s="174" t="s">
        <v>74</v>
      </c>
      <c r="E41" s="243" t="s">
        <v>314</v>
      </c>
      <c r="F41" s="113" t="s">
        <v>355</v>
      </c>
      <c r="G41" s="264">
        <v>1284</v>
      </c>
      <c r="H41" s="168">
        <v>116</v>
      </c>
      <c r="I41" s="168">
        <f t="shared" si="0"/>
        <v>148944</v>
      </c>
    </row>
    <row r="42" spans="1:10" s="241" customFormat="1" ht="15.75" customHeight="1" x14ac:dyDescent="0.2">
      <c r="A42" s="238">
        <v>34</v>
      </c>
      <c r="B42" s="105" t="s">
        <v>316</v>
      </c>
      <c r="C42" s="239" t="s">
        <v>60</v>
      </c>
      <c r="D42" s="106" t="s">
        <v>74</v>
      </c>
      <c r="E42" s="105" t="s">
        <v>315</v>
      </c>
      <c r="F42" s="113" t="s">
        <v>353</v>
      </c>
      <c r="G42" s="264">
        <v>2628</v>
      </c>
      <c r="H42" s="240">
        <v>20</v>
      </c>
      <c r="I42" s="168">
        <f t="shared" si="0"/>
        <v>52560</v>
      </c>
    </row>
    <row r="43" spans="1:10" x14ac:dyDescent="0.2">
      <c r="I43" s="167"/>
    </row>
    <row r="44" spans="1:10" x14ac:dyDescent="0.2">
      <c r="I44" s="167"/>
    </row>
    <row r="45" spans="1:10" x14ac:dyDescent="0.2">
      <c r="A45" s="155"/>
      <c r="B45" s="223" t="s">
        <v>15</v>
      </c>
      <c r="C45" s="224"/>
      <c r="D45" s="225"/>
      <c r="E45" s="226"/>
      <c r="F45" s="155"/>
      <c r="G45" s="155"/>
      <c r="H45" s="155"/>
      <c r="I45" s="155"/>
      <c r="J45" s="155"/>
    </row>
    <row r="46" spans="1:10" ht="5.25" customHeight="1" x14ac:dyDescent="0.2">
      <c r="A46" s="155"/>
      <c r="B46" s="227"/>
      <c r="C46" s="213"/>
      <c r="D46" s="250"/>
      <c r="E46" s="214"/>
      <c r="F46" s="155"/>
      <c r="G46" s="155"/>
      <c r="H46" s="155"/>
      <c r="I46" s="155"/>
      <c r="J46" s="155"/>
    </row>
    <row r="47" spans="1:10" x14ac:dyDescent="0.2">
      <c r="A47" s="155"/>
      <c r="B47" s="212" t="s">
        <v>16</v>
      </c>
      <c r="C47" s="213"/>
      <c r="D47" s="250"/>
      <c r="E47" s="214"/>
      <c r="F47" s="155"/>
      <c r="G47" s="155"/>
      <c r="H47" s="155"/>
      <c r="I47" s="155"/>
      <c r="J47" s="155"/>
    </row>
    <row r="48" spans="1:10" ht="15" customHeight="1" x14ac:dyDescent="0.2">
      <c r="A48" s="155"/>
      <c r="B48" s="212"/>
      <c r="C48" s="310" t="s">
        <v>365</v>
      </c>
      <c r="D48" s="310"/>
      <c r="E48" s="310"/>
      <c r="F48" s="155"/>
      <c r="G48" s="155"/>
      <c r="H48" s="155"/>
      <c r="I48" s="155"/>
      <c r="J48" s="155"/>
    </row>
    <row r="49" spans="1:10" ht="13.5" thickBot="1" x14ac:dyDescent="0.25">
      <c r="A49" s="155"/>
      <c r="B49" s="212" t="s">
        <v>17</v>
      </c>
      <c r="C49" s="213"/>
      <c r="D49" s="250"/>
      <c r="E49" s="214"/>
      <c r="F49" s="155"/>
      <c r="G49" s="155"/>
      <c r="H49" s="155"/>
      <c r="I49" s="155"/>
      <c r="J49" s="155"/>
    </row>
    <row r="50" spans="1:10" ht="13.5" thickBot="1" x14ac:dyDescent="0.25">
      <c r="A50" s="155"/>
      <c r="B50" s="312" t="s">
        <v>137</v>
      </c>
      <c r="C50" s="313"/>
      <c r="D50" s="313"/>
      <c r="E50" s="314"/>
      <c r="F50" s="155"/>
      <c r="G50" s="213"/>
      <c r="H50" s="213"/>
      <c r="I50" s="213"/>
      <c r="J50" s="213"/>
    </row>
    <row r="51" spans="1:10" ht="13.5" thickBot="1" x14ac:dyDescent="0.25">
      <c r="A51" s="155"/>
      <c r="B51" s="312" t="s">
        <v>138</v>
      </c>
      <c r="C51" s="314"/>
      <c r="D51" s="215" t="s">
        <v>11</v>
      </c>
      <c r="E51" s="215" t="s">
        <v>139</v>
      </c>
      <c r="F51" s="155"/>
      <c r="G51" s="213"/>
      <c r="H51" s="213"/>
      <c r="I51" s="213"/>
      <c r="J51" s="213"/>
    </row>
    <row r="52" spans="1:10" s="155" customFormat="1" x14ac:dyDescent="0.2">
      <c r="B52" s="315" t="s">
        <v>301</v>
      </c>
      <c r="C52" s="315"/>
      <c r="D52" s="249">
        <v>45</v>
      </c>
      <c r="E52" s="164" t="s">
        <v>300</v>
      </c>
      <c r="F52" s="252"/>
      <c r="G52" s="257"/>
      <c r="H52" s="213"/>
      <c r="I52" s="213"/>
      <c r="J52" s="213"/>
    </row>
    <row r="53" spans="1:10" s="155" customFormat="1" x14ac:dyDescent="0.2">
      <c r="B53" s="305" t="s">
        <v>302</v>
      </c>
      <c r="C53" s="305"/>
      <c r="D53" s="246">
        <v>102</v>
      </c>
      <c r="E53" s="165" t="s">
        <v>246</v>
      </c>
      <c r="F53" s="252"/>
      <c r="G53" s="257"/>
      <c r="H53" s="213"/>
      <c r="I53" s="213"/>
      <c r="J53" s="213"/>
    </row>
    <row r="54" spans="1:10" s="155" customFormat="1" x14ac:dyDescent="0.2">
      <c r="B54" s="305" t="s">
        <v>304</v>
      </c>
      <c r="C54" s="305"/>
      <c r="D54" s="246">
        <v>102</v>
      </c>
      <c r="E54" s="165" t="s">
        <v>247</v>
      </c>
      <c r="F54" s="252"/>
      <c r="G54" s="257"/>
      <c r="H54" s="213"/>
      <c r="I54" s="213"/>
      <c r="J54" s="213"/>
    </row>
    <row r="55" spans="1:10" s="155" customFormat="1" x14ac:dyDescent="0.2">
      <c r="B55" s="305" t="s">
        <v>303</v>
      </c>
      <c r="C55" s="305"/>
      <c r="D55" s="246">
        <v>61</v>
      </c>
      <c r="E55" s="165" t="s">
        <v>248</v>
      </c>
      <c r="F55" s="252"/>
      <c r="G55" s="257"/>
      <c r="H55" s="213"/>
      <c r="I55" s="213"/>
      <c r="J55" s="213"/>
    </row>
    <row r="56" spans="1:10" s="155" customFormat="1" x14ac:dyDescent="0.2">
      <c r="B56" s="305" t="s">
        <v>298</v>
      </c>
      <c r="C56" s="305"/>
      <c r="D56" s="246">
        <v>51</v>
      </c>
      <c r="E56" s="165" t="s">
        <v>299</v>
      </c>
      <c r="F56" s="252"/>
      <c r="G56" s="257"/>
      <c r="H56" s="213"/>
      <c r="I56" s="213"/>
      <c r="J56" s="213"/>
    </row>
    <row r="57" spans="1:10" s="155" customFormat="1" x14ac:dyDescent="0.2">
      <c r="B57" s="305" t="s">
        <v>249</v>
      </c>
      <c r="C57" s="305"/>
      <c r="D57" s="246">
        <v>45</v>
      </c>
      <c r="E57" s="165" t="s">
        <v>250</v>
      </c>
      <c r="F57" s="252"/>
      <c r="G57" s="257"/>
      <c r="H57" s="213"/>
      <c r="I57" s="213"/>
      <c r="J57" s="213"/>
    </row>
    <row r="58" spans="1:10" s="155" customFormat="1" x14ac:dyDescent="0.2">
      <c r="B58" s="305" t="s">
        <v>251</v>
      </c>
      <c r="C58" s="305"/>
      <c r="D58" s="246">
        <v>57</v>
      </c>
      <c r="E58" s="165" t="s">
        <v>252</v>
      </c>
      <c r="F58" s="252"/>
      <c r="G58" s="257"/>
      <c r="H58" s="213"/>
      <c r="I58" s="213"/>
      <c r="J58" s="213"/>
    </row>
    <row r="59" spans="1:10" s="155" customFormat="1" x14ac:dyDescent="0.2">
      <c r="B59" s="305" t="s">
        <v>253</v>
      </c>
      <c r="C59" s="305"/>
      <c r="D59" s="246">
        <v>57</v>
      </c>
      <c r="E59" s="165" t="s">
        <v>254</v>
      </c>
      <c r="F59" s="252"/>
      <c r="G59" s="257"/>
      <c r="H59" s="213"/>
      <c r="I59" s="213"/>
      <c r="J59" s="213"/>
    </row>
    <row r="60" spans="1:10" s="155" customFormat="1" x14ac:dyDescent="0.2">
      <c r="B60" s="305" t="s">
        <v>255</v>
      </c>
      <c r="C60" s="305"/>
      <c r="D60" s="246">
        <v>122</v>
      </c>
      <c r="E60" s="165" t="s">
        <v>256</v>
      </c>
      <c r="F60" s="252"/>
      <c r="G60" s="257"/>
      <c r="H60" s="213"/>
      <c r="I60" s="213"/>
      <c r="J60" s="213"/>
    </row>
    <row r="61" spans="1:10" s="155" customFormat="1" x14ac:dyDescent="0.2">
      <c r="B61" s="305" t="s">
        <v>305</v>
      </c>
      <c r="C61" s="305"/>
      <c r="D61" s="246">
        <v>81</v>
      </c>
      <c r="E61" s="165" t="s">
        <v>257</v>
      </c>
      <c r="F61" s="252"/>
      <c r="G61" s="257"/>
      <c r="H61" s="213"/>
      <c r="I61" s="213"/>
      <c r="J61" s="213"/>
    </row>
    <row r="62" spans="1:10" s="155" customFormat="1" x14ac:dyDescent="0.2">
      <c r="B62" s="305" t="s">
        <v>258</v>
      </c>
      <c r="C62" s="305"/>
      <c r="D62" s="246">
        <v>41</v>
      </c>
      <c r="E62" s="165" t="s">
        <v>259</v>
      </c>
      <c r="F62" s="252"/>
      <c r="G62" s="257"/>
      <c r="H62" s="213"/>
      <c r="I62" s="213"/>
      <c r="J62" s="213"/>
    </row>
    <row r="63" spans="1:10" s="155" customFormat="1" x14ac:dyDescent="0.2">
      <c r="B63" s="305" t="s">
        <v>260</v>
      </c>
      <c r="C63" s="305"/>
      <c r="D63" s="246">
        <v>81</v>
      </c>
      <c r="E63" s="165" t="s">
        <v>261</v>
      </c>
      <c r="F63" s="252"/>
      <c r="G63" s="257"/>
      <c r="H63" s="213"/>
      <c r="I63" s="213"/>
      <c r="J63" s="213"/>
    </row>
    <row r="64" spans="1:10" s="155" customFormat="1" x14ac:dyDescent="0.2">
      <c r="B64" s="305" t="s">
        <v>306</v>
      </c>
      <c r="C64" s="305"/>
      <c r="D64" s="246">
        <v>81</v>
      </c>
      <c r="E64" s="165" t="s">
        <v>262</v>
      </c>
      <c r="F64" s="252"/>
      <c r="G64" s="257"/>
      <c r="H64" s="213"/>
      <c r="I64" s="213"/>
      <c r="J64" s="213"/>
    </row>
    <row r="65" spans="1:10" s="155" customFormat="1" x14ac:dyDescent="0.2">
      <c r="B65" s="305" t="s">
        <v>263</v>
      </c>
      <c r="C65" s="305"/>
      <c r="D65" s="246">
        <v>51</v>
      </c>
      <c r="E65" s="165" t="s">
        <v>264</v>
      </c>
      <c r="F65" s="252"/>
      <c r="G65" s="257"/>
      <c r="H65" s="213"/>
      <c r="I65" s="213"/>
      <c r="J65" s="213"/>
    </row>
    <row r="66" spans="1:10" s="155" customFormat="1" x14ac:dyDescent="0.2">
      <c r="B66" s="305" t="s">
        <v>265</v>
      </c>
      <c r="C66" s="305"/>
      <c r="D66" s="246">
        <v>71</v>
      </c>
      <c r="E66" s="165" t="s">
        <v>266</v>
      </c>
      <c r="F66" s="252"/>
      <c r="G66" s="257"/>
      <c r="H66" s="213"/>
      <c r="I66" s="213"/>
      <c r="J66" s="213"/>
    </row>
    <row r="67" spans="1:10" s="155" customFormat="1" x14ac:dyDescent="0.2">
      <c r="B67" s="305" t="s">
        <v>267</v>
      </c>
      <c r="C67" s="305"/>
      <c r="D67" s="246">
        <v>61</v>
      </c>
      <c r="E67" s="165" t="s">
        <v>268</v>
      </c>
      <c r="F67" s="252"/>
      <c r="G67" s="257"/>
      <c r="H67" s="213"/>
      <c r="I67" s="213"/>
      <c r="J67" s="213"/>
    </row>
    <row r="68" spans="1:10" s="155" customFormat="1" x14ac:dyDescent="0.2">
      <c r="B68" s="305" t="s">
        <v>269</v>
      </c>
      <c r="C68" s="305"/>
      <c r="D68" s="246">
        <v>61</v>
      </c>
      <c r="E68" s="165" t="s">
        <v>270</v>
      </c>
      <c r="F68" s="252"/>
      <c r="G68" s="257"/>
      <c r="H68" s="213"/>
      <c r="I68" s="213"/>
      <c r="J68" s="213"/>
    </row>
    <row r="69" spans="1:10" s="155" customFormat="1" x14ac:dyDescent="0.2">
      <c r="B69" s="305" t="s">
        <v>271</v>
      </c>
      <c r="C69" s="305"/>
      <c r="D69" s="246">
        <v>51</v>
      </c>
      <c r="E69" s="165" t="s">
        <v>272</v>
      </c>
      <c r="F69" s="252"/>
      <c r="G69" s="257"/>
      <c r="H69" s="213"/>
      <c r="I69" s="213"/>
      <c r="J69" s="213"/>
    </row>
    <row r="70" spans="1:10" s="155" customFormat="1" x14ac:dyDescent="0.2">
      <c r="B70" s="305" t="s">
        <v>273</v>
      </c>
      <c r="C70" s="305"/>
      <c r="D70" s="246">
        <v>51</v>
      </c>
      <c r="E70" s="165" t="s">
        <v>274</v>
      </c>
      <c r="F70" s="252"/>
      <c r="G70" s="257"/>
      <c r="H70" s="213"/>
      <c r="I70" s="213"/>
      <c r="J70" s="213"/>
    </row>
    <row r="71" spans="1:10" s="155" customFormat="1" ht="13.5" thickBot="1" x14ac:dyDescent="0.25">
      <c r="B71" s="306" t="s">
        <v>307</v>
      </c>
      <c r="C71" s="306"/>
      <c r="D71" s="247">
        <v>51</v>
      </c>
      <c r="E71" s="166" t="s">
        <v>308</v>
      </c>
      <c r="F71" s="252"/>
      <c r="G71" s="257"/>
      <c r="H71" s="213"/>
      <c r="I71" s="213"/>
      <c r="J71" s="213"/>
    </row>
    <row r="72" spans="1:10" ht="25.5" customHeight="1" thickBot="1" x14ac:dyDescent="0.25">
      <c r="A72" s="155"/>
      <c r="B72" s="307" t="s">
        <v>387</v>
      </c>
      <c r="C72" s="308"/>
      <c r="D72" s="308"/>
      <c r="E72" s="309"/>
      <c r="F72" s="155"/>
      <c r="G72" s="258"/>
      <c r="H72" s="259"/>
      <c r="I72" s="259"/>
      <c r="J72" s="260"/>
    </row>
    <row r="73" spans="1:10" x14ac:dyDescent="0.2">
      <c r="A73" s="155"/>
      <c r="B73" s="212" t="s">
        <v>18</v>
      </c>
      <c r="C73" s="213"/>
      <c r="D73" s="250"/>
      <c r="E73" s="214"/>
      <c r="F73" s="155"/>
      <c r="G73" s="213"/>
      <c r="H73" s="213"/>
      <c r="I73" s="213"/>
      <c r="J73" s="213"/>
    </row>
    <row r="74" spans="1:10" x14ac:dyDescent="0.2">
      <c r="A74" s="155"/>
      <c r="B74" s="216"/>
      <c r="C74" s="310" t="s">
        <v>63</v>
      </c>
      <c r="D74" s="310"/>
      <c r="E74" s="310"/>
      <c r="F74" s="155"/>
      <c r="G74" s="213"/>
      <c r="H74" s="213"/>
      <c r="I74" s="213"/>
      <c r="J74" s="213"/>
    </row>
    <row r="75" spans="1:10" x14ac:dyDescent="0.2">
      <c r="A75" s="155"/>
      <c r="B75" s="212" t="s">
        <v>19</v>
      </c>
      <c r="C75" s="217"/>
      <c r="D75" s="217"/>
      <c r="E75" s="251"/>
      <c r="F75" s="155"/>
      <c r="G75" s="213"/>
      <c r="H75" s="213"/>
      <c r="I75" s="213"/>
      <c r="J75" s="213"/>
    </row>
    <row r="76" spans="1:10" x14ac:dyDescent="0.2">
      <c r="A76" s="155"/>
      <c r="B76" s="216"/>
      <c r="C76" s="310" t="s">
        <v>140</v>
      </c>
      <c r="D76" s="310"/>
      <c r="E76" s="310"/>
      <c r="F76" s="155"/>
      <c r="G76" s="213"/>
      <c r="H76" s="213"/>
      <c r="I76" s="213"/>
      <c r="J76" s="213"/>
    </row>
    <row r="77" spans="1:10" x14ac:dyDescent="0.2">
      <c r="A77" s="155"/>
      <c r="B77" s="212" t="s">
        <v>20</v>
      </c>
      <c r="C77" s="213"/>
      <c r="D77" s="250"/>
      <c r="E77" s="214"/>
      <c r="F77" s="155"/>
      <c r="G77" s="213"/>
      <c r="H77" s="213"/>
      <c r="I77" s="213"/>
      <c r="J77" s="213"/>
    </row>
    <row r="78" spans="1:10" x14ac:dyDescent="0.2">
      <c r="A78" s="155"/>
      <c r="B78" s="212"/>
      <c r="C78" s="311" t="s">
        <v>64</v>
      </c>
      <c r="D78" s="311"/>
      <c r="E78" s="311"/>
      <c r="F78" s="155"/>
      <c r="G78" s="213"/>
      <c r="H78" s="213"/>
      <c r="I78" s="213"/>
      <c r="J78" s="213"/>
    </row>
    <row r="79" spans="1:10" ht="13.5" thickBot="1" x14ac:dyDescent="0.25">
      <c r="A79" s="155"/>
      <c r="B79" s="218"/>
      <c r="C79" s="219"/>
      <c r="D79" s="220"/>
      <c r="E79" s="221"/>
      <c r="F79" s="155"/>
      <c r="G79" s="213"/>
      <c r="H79" s="213"/>
      <c r="I79" s="213"/>
      <c r="J79" s="213"/>
    </row>
    <row r="80" spans="1:10" ht="13.5" thickBot="1" x14ac:dyDescent="0.25">
      <c r="A80" s="155"/>
      <c r="B80" s="155"/>
      <c r="C80" s="155"/>
      <c r="D80" s="222"/>
      <c r="E80" s="155"/>
      <c r="F80" s="155"/>
      <c r="G80" s="213"/>
      <c r="H80" s="213"/>
      <c r="I80" s="213"/>
      <c r="J80" s="213"/>
    </row>
    <row r="81" spans="1:10" x14ac:dyDescent="0.2">
      <c r="A81" s="155"/>
      <c r="B81" s="223" t="s">
        <v>21</v>
      </c>
      <c r="C81" s="224"/>
      <c r="D81" s="225"/>
      <c r="E81" s="226"/>
      <c r="F81" s="155"/>
      <c r="G81" s="213"/>
      <c r="H81" s="213"/>
      <c r="I81" s="213"/>
      <c r="J81" s="213"/>
    </row>
    <row r="82" spans="1:10" x14ac:dyDescent="0.2">
      <c r="A82" s="155"/>
      <c r="B82" s="227"/>
      <c r="C82" s="213"/>
      <c r="D82" s="250"/>
      <c r="E82" s="214"/>
      <c r="F82" s="155"/>
      <c r="G82" s="213"/>
      <c r="H82" s="213"/>
      <c r="I82" s="213"/>
      <c r="J82" s="213"/>
    </row>
    <row r="83" spans="1:10" x14ac:dyDescent="0.2">
      <c r="A83" s="155"/>
      <c r="B83" s="212" t="s">
        <v>16</v>
      </c>
      <c r="C83" s="213"/>
      <c r="D83" s="250"/>
      <c r="E83" s="214"/>
      <c r="F83" s="155"/>
      <c r="G83" s="213"/>
      <c r="H83" s="213"/>
      <c r="I83" s="213"/>
      <c r="J83" s="213"/>
    </row>
    <row r="84" spans="1:10" x14ac:dyDescent="0.2">
      <c r="A84" s="155"/>
      <c r="B84" s="212"/>
      <c r="C84" s="310" t="s">
        <v>366</v>
      </c>
      <c r="D84" s="310"/>
      <c r="E84" s="310"/>
      <c r="F84" s="155"/>
      <c r="G84" s="213"/>
      <c r="H84" s="213"/>
      <c r="I84" s="213"/>
      <c r="J84" s="213"/>
    </row>
    <row r="85" spans="1:10" ht="13.5" thickBot="1" x14ac:dyDescent="0.25">
      <c r="A85" s="155"/>
      <c r="B85" s="212" t="s">
        <v>17</v>
      </c>
      <c r="C85" s="213"/>
      <c r="D85" s="250"/>
      <c r="E85" s="214"/>
      <c r="F85" s="155"/>
      <c r="G85" s="213"/>
      <c r="H85" s="213"/>
      <c r="I85" s="213"/>
      <c r="J85" s="213"/>
    </row>
    <row r="86" spans="1:10" ht="13.5" thickBot="1" x14ac:dyDescent="0.25">
      <c r="A86" s="155"/>
      <c r="B86" s="312" t="s">
        <v>137</v>
      </c>
      <c r="C86" s="313"/>
      <c r="D86" s="313"/>
      <c r="E86" s="314"/>
      <c r="F86" s="155"/>
      <c r="G86" s="213"/>
      <c r="H86" s="213"/>
      <c r="I86" s="213"/>
      <c r="J86" s="213"/>
    </row>
    <row r="87" spans="1:10" ht="13.5" thickBot="1" x14ac:dyDescent="0.25">
      <c r="A87" s="155"/>
      <c r="B87" s="312" t="s">
        <v>138</v>
      </c>
      <c r="C87" s="314"/>
      <c r="D87" s="215" t="s">
        <v>11</v>
      </c>
      <c r="E87" s="215" t="s">
        <v>139</v>
      </c>
      <c r="F87" s="155"/>
      <c r="G87" s="213"/>
      <c r="H87" s="213"/>
      <c r="I87" s="213"/>
      <c r="J87" s="213"/>
    </row>
    <row r="88" spans="1:10" s="155" customFormat="1" x14ac:dyDescent="0.2">
      <c r="B88" s="315" t="s">
        <v>301</v>
      </c>
      <c r="C88" s="315"/>
      <c r="D88" s="249">
        <v>8</v>
      </c>
      <c r="E88" s="164" t="s">
        <v>300</v>
      </c>
      <c r="G88" s="213"/>
      <c r="H88" s="261"/>
      <c r="I88" s="213"/>
      <c r="J88" s="213"/>
    </row>
    <row r="89" spans="1:10" s="155" customFormat="1" x14ac:dyDescent="0.2">
      <c r="B89" s="305" t="s">
        <v>302</v>
      </c>
      <c r="C89" s="305"/>
      <c r="D89" s="246">
        <v>17</v>
      </c>
      <c r="E89" s="165" t="s">
        <v>246</v>
      </c>
      <c r="G89" s="213"/>
      <c r="H89" s="261"/>
      <c r="I89" s="213"/>
      <c r="J89" s="213"/>
    </row>
    <row r="90" spans="1:10" s="155" customFormat="1" x14ac:dyDescent="0.2">
      <c r="B90" s="305" t="s">
        <v>304</v>
      </c>
      <c r="C90" s="305"/>
      <c r="D90" s="246">
        <v>17</v>
      </c>
      <c r="E90" s="165" t="s">
        <v>247</v>
      </c>
      <c r="G90" s="213"/>
      <c r="H90" s="261"/>
      <c r="I90" s="213"/>
      <c r="J90" s="213"/>
    </row>
    <row r="91" spans="1:10" s="155" customFormat="1" x14ac:dyDescent="0.2">
      <c r="B91" s="305" t="s">
        <v>303</v>
      </c>
      <c r="C91" s="305"/>
      <c r="D91" s="246">
        <v>10</v>
      </c>
      <c r="E91" s="165" t="s">
        <v>248</v>
      </c>
      <c r="G91" s="213"/>
      <c r="H91" s="261"/>
      <c r="I91" s="213"/>
      <c r="J91" s="213"/>
    </row>
    <row r="92" spans="1:10" s="155" customFormat="1" x14ac:dyDescent="0.2">
      <c r="B92" s="305" t="s">
        <v>298</v>
      </c>
      <c r="C92" s="305"/>
      <c r="D92" s="246">
        <v>8</v>
      </c>
      <c r="E92" s="165" t="s">
        <v>299</v>
      </c>
      <c r="G92" s="213"/>
      <c r="H92" s="261"/>
      <c r="I92" s="213"/>
      <c r="J92" s="213"/>
    </row>
    <row r="93" spans="1:10" s="155" customFormat="1" x14ac:dyDescent="0.2">
      <c r="B93" s="305" t="s">
        <v>249</v>
      </c>
      <c r="C93" s="305"/>
      <c r="D93" s="246">
        <v>8</v>
      </c>
      <c r="E93" s="165" t="s">
        <v>250</v>
      </c>
      <c r="G93" s="213"/>
      <c r="H93" s="261"/>
      <c r="I93" s="213"/>
      <c r="J93" s="213"/>
    </row>
    <row r="94" spans="1:10" s="155" customFormat="1" x14ac:dyDescent="0.2">
      <c r="B94" s="305" t="s">
        <v>251</v>
      </c>
      <c r="C94" s="305"/>
      <c r="D94" s="246">
        <v>9</v>
      </c>
      <c r="E94" s="165" t="s">
        <v>252</v>
      </c>
      <c r="G94" s="213"/>
      <c r="H94" s="261"/>
      <c r="I94" s="213"/>
      <c r="J94" s="213"/>
    </row>
    <row r="95" spans="1:10" s="155" customFormat="1" x14ac:dyDescent="0.2">
      <c r="B95" s="305" t="s">
        <v>253</v>
      </c>
      <c r="C95" s="305"/>
      <c r="D95" s="246">
        <v>9</v>
      </c>
      <c r="E95" s="165" t="s">
        <v>254</v>
      </c>
      <c r="G95" s="213"/>
      <c r="H95" s="261"/>
      <c r="I95" s="213"/>
      <c r="J95" s="213"/>
    </row>
    <row r="96" spans="1:10" s="155" customFormat="1" x14ac:dyDescent="0.2">
      <c r="B96" s="305" t="s">
        <v>255</v>
      </c>
      <c r="C96" s="305"/>
      <c r="D96" s="246">
        <v>20</v>
      </c>
      <c r="E96" s="165" t="s">
        <v>256</v>
      </c>
      <c r="G96" s="213"/>
      <c r="H96" s="261"/>
      <c r="I96" s="213"/>
      <c r="J96" s="213"/>
    </row>
    <row r="97" spans="1:10" s="155" customFormat="1" x14ac:dyDescent="0.2">
      <c r="B97" s="305" t="s">
        <v>305</v>
      </c>
      <c r="C97" s="305"/>
      <c r="D97" s="246">
        <v>14</v>
      </c>
      <c r="E97" s="165" t="s">
        <v>257</v>
      </c>
      <c r="G97" s="213"/>
      <c r="H97" s="261"/>
      <c r="I97" s="213"/>
      <c r="J97" s="213"/>
    </row>
    <row r="98" spans="1:10" s="155" customFormat="1" x14ac:dyDescent="0.2">
      <c r="B98" s="305" t="s">
        <v>258</v>
      </c>
      <c r="C98" s="305"/>
      <c r="D98" s="246">
        <v>7</v>
      </c>
      <c r="E98" s="165" t="s">
        <v>259</v>
      </c>
      <c r="G98" s="213"/>
      <c r="H98" s="261"/>
      <c r="I98" s="213"/>
      <c r="J98" s="213"/>
    </row>
    <row r="99" spans="1:10" s="155" customFormat="1" x14ac:dyDescent="0.2">
      <c r="B99" s="305" t="s">
        <v>260</v>
      </c>
      <c r="C99" s="305"/>
      <c r="D99" s="246">
        <v>14</v>
      </c>
      <c r="E99" s="165" t="s">
        <v>261</v>
      </c>
      <c r="G99" s="213"/>
      <c r="H99" s="261"/>
      <c r="I99" s="213"/>
      <c r="J99" s="213"/>
    </row>
    <row r="100" spans="1:10" s="155" customFormat="1" x14ac:dyDescent="0.2">
      <c r="B100" s="305" t="s">
        <v>306</v>
      </c>
      <c r="C100" s="305"/>
      <c r="D100" s="246">
        <v>14</v>
      </c>
      <c r="E100" s="165" t="s">
        <v>262</v>
      </c>
      <c r="G100" s="213"/>
      <c r="H100" s="261"/>
      <c r="I100" s="213"/>
      <c r="J100" s="213"/>
    </row>
    <row r="101" spans="1:10" s="155" customFormat="1" x14ac:dyDescent="0.2">
      <c r="B101" s="305" t="s">
        <v>263</v>
      </c>
      <c r="C101" s="305"/>
      <c r="D101" s="246">
        <v>8</v>
      </c>
      <c r="E101" s="165" t="s">
        <v>264</v>
      </c>
      <c r="G101" s="213"/>
      <c r="H101" s="261"/>
      <c r="I101" s="213"/>
      <c r="J101" s="213"/>
    </row>
    <row r="102" spans="1:10" s="155" customFormat="1" x14ac:dyDescent="0.2">
      <c r="B102" s="305" t="s">
        <v>265</v>
      </c>
      <c r="C102" s="305"/>
      <c r="D102" s="246">
        <v>12</v>
      </c>
      <c r="E102" s="165" t="s">
        <v>266</v>
      </c>
      <c r="G102" s="213"/>
      <c r="H102" s="261"/>
      <c r="I102" s="213"/>
      <c r="J102" s="213"/>
    </row>
    <row r="103" spans="1:10" s="155" customFormat="1" x14ac:dyDescent="0.2">
      <c r="B103" s="305" t="s">
        <v>267</v>
      </c>
      <c r="C103" s="305"/>
      <c r="D103" s="246">
        <v>10</v>
      </c>
      <c r="E103" s="165" t="s">
        <v>268</v>
      </c>
      <c r="G103" s="213"/>
      <c r="H103" s="261"/>
      <c r="I103" s="213"/>
      <c r="J103" s="213"/>
    </row>
    <row r="104" spans="1:10" s="155" customFormat="1" x14ac:dyDescent="0.2">
      <c r="B104" s="305" t="s">
        <v>269</v>
      </c>
      <c r="C104" s="305"/>
      <c r="D104" s="246">
        <v>10</v>
      </c>
      <c r="E104" s="165" t="s">
        <v>270</v>
      </c>
      <c r="G104" s="213"/>
      <c r="H104" s="261"/>
      <c r="I104" s="213"/>
      <c r="J104" s="213"/>
    </row>
    <row r="105" spans="1:10" s="155" customFormat="1" x14ac:dyDescent="0.2">
      <c r="B105" s="305" t="s">
        <v>271</v>
      </c>
      <c r="C105" s="305"/>
      <c r="D105" s="246">
        <v>8</v>
      </c>
      <c r="E105" s="165" t="s">
        <v>272</v>
      </c>
      <c r="G105" s="213"/>
      <c r="H105" s="261"/>
      <c r="I105" s="213"/>
      <c r="J105" s="213"/>
    </row>
    <row r="106" spans="1:10" s="155" customFormat="1" x14ac:dyDescent="0.2">
      <c r="B106" s="305" t="s">
        <v>273</v>
      </c>
      <c r="C106" s="305"/>
      <c r="D106" s="246">
        <v>8</v>
      </c>
      <c r="E106" s="165" t="s">
        <v>274</v>
      </c>
      <c r="G106" s="213"/>
      <c r="H106" s="261"/>
      <c r="I106" s="213"/>
      <c r="J106" s="213"/>
    </row>
    <row r="107" spans="1:10" s="155" customFormat="1" ht="13.5" thickBot="1" x14ac:dyDescent="0.25">
      <c r="B107" s="306" t="s">
        <v>307</v>
      </c>
      <c r="C107" s="306"/>
      <c r="D107" s="247">
        <v>8</v>
      </c>
      <c r="E107" s="166" t="s">
        <v>308</v>
      </c>
      <c r="G107" s="213"/>
      <c r="H107" s="261"/>
      <c r="I107" s="213"/>
      <c r="J107" s="213"/>
    </row>
    <row r="108" spans="1:10" ht="25.5" customHeight="1" thickBot="1" x14ac:dyDescent="0.25">
      <c r="A108" s="155"/>
      <c r="B108" s="307" t="s">
        <v>388</v>
      </c>
      <c r="C108" s="308"/>
      <c r="D108" s="308"/>
      <c r="E108" s="309"/>
      <c r="F108" s="155"/>
      <c r="G108" s="213"/>
      <c r="H108" s="261"/>
      <c r="I108" s="213"/>
      <c r="J108" s="213"/>
    </row>
    <row r="109" spans="1:10" x14ac:dyDescent="0.2">
      <c r="A109" s="155"/>
      <c r="B109" s="212" t="s">
        <v>18</v>
      </c>
      <c r="C109" s="213"/>
      <c r="D109" s="250"/>
      <c r="E109" s="214"/>
      <c r="F109" s="155"/>
      <c r="G109" s="213"/>
      <c r="H109" s="213"/>
      <c r="I109" s="213"/>
      <c r="J109" s="213"/>
    </row>
    <row r="110" spans="1:10" x14ac:dyDescent="0.2">
      <c r="A110" s="155"/>
      <c r="B110" s="216"/>
      <c r="C110" s="310" t="s">
        <v>63</v>
      </c>
      <c r="D110" s="310"/>
      <c r="E110" s="310"/>
      <c r="F110" s="155"/>
      <c r="G110" s="213"/>
      <c r="H110" s="213"/>
      <c r="I110" s="213"/>
      <c r="J110" s="213"/>
    </row>
    <row r="111" spans="1:10" x14ac:dyDescent="0.2">
      <c r="A111" s="155"/>
      <c r="B111" s="212" t="s">
        <v>19</v>
      </c>
      <c r="C111" s="217"/>
      <c r="D111" s="217"/>
      <c r="E111" s="251"/>
      <c r="F111" s="155"/>
      <c r="G111" s="213"/>
      <c r="H111" s="213"/>
      <c r="I111" s="213"/>
      <c r="J111" s="213"/>
    </row>
    <row r="112" spans="1:10" x14ac:dyDescent="0.2">
      <c r="A112" s="155"/>
      <c r="B112" s="216"/>
      <c r="C112" s="310" t="s">
        <v>140</v>
      </c>
      <c r="D112" s="310"/>
      <c r="E112" s="310"/>
      <c r="F112" s="155"/>
      <c r="G112" s="213"/>
      <c r="H112" s="213"/>
      <c r="I112" s="213"/>
      <c r="J112" s="213"/>
    </row>
    <row r="113" spans="1:10" x14ac:dyDescent="0.2">
      <c r="A113" s="155"/>
      <c r="B113" s="212" t="s">
        <v>20</v>
      </c>
      <c r="C113" s="213"/>
      <c r="D113" s="250"/>
      <c r="E113" s="214"/>
      <c r="F113" s="155"/>
      <c r="G113" s="213"/>
      <c r="H113" s="213"/>
      <c r="I113" s="213"/>
      <c r="J113" s="213"/>
    </row>
    <row r="114" spans="1:10" x14ac:dyDescent="0.2">
      <c r="A114" s="155"/>
      <c r="B114" s="212"/>
      <c r="C114" s="311" t="s">
        <v>64</v>
      </c>
      <c r="D114" s="311"/>
      <c r="E114" s="311"/>
      <c r="F114" s="155"/>
      <c r="G114" s="213"/>
      <c r="H114" s="213"/>
      <c r="I114" s="213"/>
      <c r="J114" s="213"/>
    </row>
    <row r="115" spans="1:10" ht="13.5" thickBot="1" x14ac:dyDescent="0.25">
      <c r="A115" s="155"/>
      <c r="B115" s="218"/>
      <c r="C115" s="219"/>
      <c r="D115" s="220"/>
      <c r="E115" s="221"/>
      <c r="F115" s="155"/>
      <c r="G115" s="213"/>
      <c r="H115" s="213"/>
      <c r="I115" s="213"/>
      <c r="J115" s="213"/>
    </row>
    <row r="116" spans="1:10" ht="13.5" thickBot="1" x14ac:dyDescent="0.25">
      <c r="A116" s="155"/>
      <c r="B116" s="155"/>
      <c r="C116" s="155"/>
      <c r="D116" s="222"/>
      <c r="E116" s="155"/>
      <c r="F116" s="155"/>
      <c r="G116" s="213"/>
      <c r="H116" s="213"/>
      <c r="I116" s="213"/>
      <c r="J116" s="213"/>
    </row>
    <row r="117" spans="1:10" x14ac:dyDescent="0.2">
      <c r="A117" s="155"/>
      <c r="B117" s="223" t="s">
        <v>65</v>
      </c>
      <c r="C117" s="224"/>
      <c r="D117" s="225"/>
      <c r="E117" s="226"/>
      <c r="F117" s="155"/>
      <c r="G117" s="213"/>
      <c r="H117" s="213"/>
      <c r="I117" s="213"/>
      <c r="J117" s="213"/>
    </row>
    <row r="118" spans="1:10" x14ac:dyDescent="0.2">
      <c r="A118" s="155"/>
      <c r="B118" s="227"/>
      <c r="C118" s="213"/>
      <c r="D118" s="250"/>
      <c r="E118" s="214"/>
      <c r="F118" s="155"/>
      <c r="G118" s="213"/>
      <c r="H118" s="213"/>
      <c r="I118" s="213"/>
      <c r="J118" s="213"/>
    </row>
    <row r="119" spans="1:10" x14ac:dyDescent="0.2">
      <c r="A119" s="155"/>
      <c r="B119" s="212" t="s">
        <v>16</v>
      </c>
      <c r="C119" s="213"/>
      <c r="D119" s="250"/>
      <c r="E119" s="214"/>
      <c r="F119" s="155"/>
      <c r="G119" s="213"/>
      <c r="H119" s="213"/>
      <c r="I119" s="213"/>
      <c r="J119" s="213"/>
    </row>
    <row r="120" spans="1:10" x14ac:dyDescent="0.2">
      <c r="A120" s="155"/>
      <c r="B120" s="212"/>
      <c r="C120" s="310" t="s">
        <v>367</v>
      </c>
      <c r="D120" s="310"/>
      <c r="E120" s="310"/>
      <c r="F120" s="155"/>
      <c r="G120" s="213"/>
      <c r="H120" s="213"/>
      <c r="I120" s="213"/>
      <c r="J120" s="213"/>
    </row>
    <row r="121" spans="1:10" ht="13.5" thickBot="1" x14ac:dyDescent="0.25">
      <c r="A121" s="155"/>
      <c r="B121" s="212" t="s">
        <v>17</v>
      </c>
      <c r="C121" s="213"/>
      <c r="D121" s="250"/>
      <c r="E121" s="214"/>
      <c r="F121" s="155"/>
      <c r="G121" s="213"/>
      <c r="H121" s="213"/>
      <c r="I121" s="213"/>
      <c r="J121" s="213"/>
    </row>
    <row r="122" spans="1:10" ht="13.5" thickBot="1" x14ac:dyDescent="0.25">
      <c r="A122" s="155"/>
      <c r="B122" s="312" t="s">
        <v>137</v>
      </c>
      <c r="C122" s="313"/>
      <c r="D122" s="313"/>
      <c r="E122" s="314"/>
      <c r="F122" s="155"/>
      <c r="G122" s="213"/>
      <c r="H122" s="213"/>
      <c r="I122" s="213"/>
      <c r="J122" s="213"/>
    </row>
    <row r="123" spans="1:10" ht="13.5" thickBot="1" x14ac:dyDescent="0.25">
      <c r="A123" s="155"/>
      <c r="B123" s="312" t="s">
        <v>138</v>
      </c>
      <c r="C123" s="314"/>
      <c r="D123" s="215" t="s">
        <v>11</v>
      </c>
      <c r="E123" s="215" t="s">
        <v>139</v>
      </c>
      <c r="F123" s="155"/>
      <c r="G123" s="213"/>
      <c r="H123" s="213"/>
      <c r="I123" s="213"/>
      <c r="J123" s="213"/>
    </row>
    <row r="124" spans="1:10" s="155" customFormat="1" x14ac:dyDescent="0.2">
      <c r="B124" s="315" t="s">
        <v>301</v>
      </c>
      <c r="C124" s="315"/>
      <c r="D124" s="249">
        <v>9</v>
      </c>
      <c r="E124" s="164" t="s">
        <v>300</v>
      </c>
      <c r="G124" s="250"/>
      <c r="H124" s="213"/>
      <c r="I124" s="261"/>
      <c r="J124" s="213"/>
    </row>
    <row r="125" spans="1:10" s="155" customFormat="1" x14ac:dyDescent="0.2">
      <c r="B125" s="305" t="s">
        <v>302</v>
      </c>
      <c r="C125" s="305"/>
      <c r="D125" s="246">
        <v>21</v>
      </c>
      <c r="E125" s="165" t="s">
        <v>246</v>
      </c>
      <c r="G125" s="250"/>
      <c r="H125" s="213"/>
      <c r="I125" s="261"/>
      <c r="J125" s="213"/>
    </row>
    <row r="126" spans="1:10" s="155" customFormat="1" x14ac:dyDescent="0.2">
      <c r="B126" s="305" t="s">
        <v>304</v>
      </c>
      <c r="C126" s="305"/>
      <c r="D126" s="246">
        <v>21</v>
      </c>
      <c r="E126" s="165" t="s">
        <v>247</v>
      </c>
      <c r="G126" s="250"/>
      <c r="H126" s="213"/>
      <c r="I126" s="261"/>
      <c r="J126" s="213"/>
    </row>
    <row r="127" spans="1:10" s="155" customFormat="1" x14ac:dyDescent="0.2">
      <c r="B127" s="305" t="s">
        <v>303</v>
      </c>
      <c r="C127" s="305"/>
      <c r="D127" s="246">
        <v>13</v>
      </c>
      <c r="E127" s="165" t="s">
        <v>248</v>
      </c>
      <c r="G127" s="250"/>
      <c r="H127" s="213"/>
      <c r="I127" s="261"/>
      <c r="J127" s="213"/>
    </row>
    <row r="128" spans="1:10" s="155" customFormat="1" x14ac:dyDescent="0.2">
      <c r="B128" s="305" t="s">
        <v>298</v>
      </c>
      <c r="C128" s="305"/>
      <c r="D128" s="246">
        <v>11</v>
      </c>
      <c r="E128" s="165" t="s">
        <v>299</v>
      </c>
      <c r="G128" s="250"/>
      <c r="H128" s="213"/>
      <c r="I128" s="261"/>
      <c r="J128" s="213"/>
    </row>
    <row r="129" spans="1:10" s="155" customFormat="1" x14ac:dyDescent="0.2">
      <c r="B129" s="305" t="s">
        <v>249</v>
      </c>
      <c r="C129" s="305"/>
      <c r="D129" s="246">
        <v>9</v>
      </c>
      <c r="E129" s="165" t="s">
        <v>250</v>
      </c>
      <c r="G129" s="250"/>
      <c r="H129" s="213"/>
      <c r="I129" s="261"/>
      <c r="J129" s="213"/>
    </row>
    <row r="130" spans="1:10" s="155" customFormat="1" x14ac:dyDescent="0.2">
      <c r="B130" s="305" t="s">
        <v>251</v>
      </c>
      <c r="C130" s="305"/>
      <c r="D130" s="246">
        <v>12</v>
      </c>
      <c r="E130" s="165" t="s">
        <v>252</v>
      </c>
      <c r="G130" s="250"/>
      <c r="H130" s="213"/>
      <c r="I130" s="261"/>
      <c r="J130" s="213"/>
    </row>
    <row r="131" spans="1:10" s="155" customFormat="1" x14ac:dyDescent="0.2">
      <c r="B131" s="305" t="s">
        <v>253</v>
      </c>
      <c r="C131" s="305"/>
      <c r="D131" s="246">
        <v>12</v>
      </c>
      <c r="E131" s="165" t="s">
        <v>254</v>
      </c>
      <c r="G131" s="250"/>
      <c r="H131" s="213"/>
      <c r="I131" s="261"/>
      <c r="J131" s="213"/>
    </row>
    <row r="132" spans="1:10" s="155" customFormat="1" x14ac:dyDescent="0.2">
      <c r="B132" s="305" t="s">
        <v>255</v>
      </c>
      <c r="C132" s="305"/>
      <c r="D132" s="246">
        <v>25</v>
      </c>
      <c r="E132" s="165" t="s">
        <v>256</v>
      </c>
      <c r="G132" s="250"/>
      <c r="H132" s="213"/>
      <c r="I132" s="261"/>
      <c r="J132" s="213"/>
    </row>
    <row r="133" spans="1:10" s="155" customFormat="1" x14ac:dyDescent="0.2">
      <c r="B133" s="305" t="s">
        <v>305</v>
      </c>
      <c r="C133" s="305"/>
      <c r="D133" s="246">
        <v>17</v>
      </c>
      <c r="E133" s="165" t="s">
        <v>257</v>
      </c>
      <c r="G133" s="250"/>
      <c r="H133" s="213"/>
      <c r="I133" s="261"/>
      <c r="J133" s="213"/>
    </row>
    <row r="134" spans="1:10" s="155" customFormat="1" x14ac:dyDescent="0.2">
      <c r="B134" s="305" t="s">
        <v>258</v>
      </c>
      <c r="C134" s="305"/>
      <c r="D134" s="246">
        <v>8</v>
      </c>
      <c r="E134" s="165" t="s">
        <v>259</v>
      </c>
      <c r="G134" s="250"/>
      <c r="H134" s="213"/>
      <c r="I134" s="261"/>
      <c r="J134" s="213"/>
    </row>
    <row r="135" spans="1:10" s="155" customFormat="1" x14ac:dyDescent="0.2">
      <c r="B135" s="305" t="s">
        <v>260</v>
      </c>
      <c r="C135" s="305"/>
      <c r="D135" s="246">
        <v>17</v>
      </c>
      <c r="E135" s="165" t="s">
        <v>261</v>
      </c>
      <c r="G135" s="250"/>
      <c r="H135" s="213"/>
      <c r="I135" s="261"/>
      <c r="J135" s="213"/>
    </row>
    <row r="136" spans="1:10" s="155" customFormat="1" x14ac:dyDescent="0.2">
      <c r="B136" s="305" t="s">
        <v>306</v>
      </c>
      <c r="C136" s="305"/>
      <c r="D136" s="246">
        <v>17</v>
      </c>
      <c r="E136" s="165" t="s">
        <v>262</v>
      </c>
      <c r="G136" s="250"/>
      <c r="H136" s="213"/>
      <c r="I136" s="261"/>
      <c r="J136" s="213"/>
    </row>
    <row r="137" spans="1:10" s="155" customFormat="1" x14ac:dyDescent="0.2">
      <c r="B137" s="305" t="s">
        <v>263</v>
      </c>
      <c r="C137" s="305"/>
      <c r="D137" s="246">
        <v>11</v>
      </c>
      <c r="E137" s="165" t="s">
        <v>264</v>
      </c>
      <c r="G137" s="250"/>
      <c r="H137" s="213"/>
      <c r="I137" s="261"/>
      <c r="J137" s="213"/>
    </row>
    <row r="138" spans="1:10" s="155" customFormat="1" x14ac:dyDescent="0.2">
      <c r="B138" s="305" t="s">
        <v>265</v>
      </c>
      <c r="C138" s="305"/>
      <c r="D138" s="246">
        <v>15</v>
      </c>
      <c r="E138" s="165" t="s">
        <v>266</v>
      </c>
      <c r="G138" s="250"/>
      <c r="H138" s="213"/>
      <c r="I138" s="261"/>
      <c r="J138" s="213"/>
    </row>
    <row r="139" spans="1:10" s="155" customFormat="1" x14ac:dyDescent="0.2">
      <c r="B139" s="305" t="s">
        <v>267</v>
      </c>
      <c r="C139" s="305"/>
      <c r="D139" s="246">
        <v>13</v>
      </c>
      <c r="E139" s="165" t="s">
        <v>268</v>
      </c>
      <c r="G139" s="250"/>
      <c r="H139" s="213"/>
      <c r="I139" s="261"/>
      <c r="J139" s="213"/>
    </row>
    <row r="140" spans="1:10" s="155" customFormat="1" x14ac:dyDescent="0.2">
      <c r="B140" s="305" t="s">
        <v>269</v>
      </c>
      <c r="C140" s="305"/>
      <c r="D140" s="246">
        <v>13</v>
      </c>
      <c r="E140" s="165" t="s">
        <v>270</v>
      </c>
      <c r="G140" s="250"/>
      <c r="H140" s="213"/>
      <c r="I140" s="261"/>
      <c r="J140" s="213"/>
    </row>
    <row r="141" spans="1:10" s="155" customFormat="1" x14ac:dyDescent="0.2">
      <c r="B141" s="305" t="s">
        <v>271</v>
      </c>
      <c r="C141" s="305"/>
      <c r="D141" s="246">
        <v>11</v>
      </c>
      <c r="E141" s="165" t="s">
        <v>272</v>
      </c>
      <c r="G141" s="250"/>
      <c r="H141" s="213"/>
      <c r="I141" s="261"/>
      <c r="J141" s="213"/>
    </row>
    <row r="142" spans="1:10" s="155" customFormat="1" x14ac:dyDescent="0.2">
      <c r="B142" s="305" t="s">
        <v>273</v>
      </c>
      <c r="C142" s="305"/>
      <c r="D142" s="246">
        <v>11</v>
      </c>
      <c r="E142" s="165" t="s">
        <v>274</v>
      </c>
      <c r="G142" s="250"/>
      <c r="H142" s="213"/>
      <c r="I142" s="261"/>
      <c r="J142" s="213"/>
    </row>
    <row r="143" spans="1:10" s="155" customFormat="1" ht="13.5" thickBot="1" x14ac:dyDescent="0.25">
      <c r="B143" s="305" t="s">
        <v>307</v>
      </c>
      <c r="C143" s="305"/>
      <c r="D143" s="246">
        <v>11</v>
      </c>
      <c r="E143" s="165" t="s">
        <v>308</v>
      </c>
      <c r="G143" s="250"/>
      <c r="H143" s="213"/>
      <c r="I143" s="261"/>
      <c r="J143" s="213"/>
    </row>
    <row r="144" spans="1:10" ht="26.25" customHeight="1" thickBot="1" x14ac:dyDescent="0.25">
      <c r="A144" s="155"/>
      <c r="B144" s="307" t="s">
        <v>389</v>
      </c>
      <c r="C144" s="308"/>
      <c r="D144" s="308"/>
      <c r="E144" s="309"/>
      <c r="F144" s="155"/>
      <c r="G144" s="213"/>
      <c r="H144" s="213"/>
      <c r="I144" s="261"/>
      <c r="J144" s="213"/>
    </row>
    <row r="145" spans="1:10" x14ac:dyDescent="0.2">
      <c r="A145" s="155"/>
      <c r="B145" s="212" t="s">
        <v>18</v>
      </c>
      <c r="C145" s="213"/>
      <c r="D145" s="250"/>
      <c r="E145" s="214"/>
      <c r="F145" s="155"/>
      <c r="G145" s="213"/>
      <c r="H145" s="213"/>
      <c r="I145" s="213"/>
      <c r="J145" s="213"/>
    </row>
    <row r="146" spans="1:10" x14ac:dyDescent="0.2">
      <c r="A146" s="155"/>
      <c r="B146" s="216"/>
      <c r="C146" s="310" t="s">
        <v>63</v>
      </c>
      <c r="D146" s="310"/>
      <c r="E146" s="310"/>
      <c r="F146" s="155"/>
      <c r="G146" s="213"/>
      <c r="H146" s="213"/>
      <c r="I146" s="213"/>
      <c r="J146" s="213"/>
    </row>
    <row r="147" spans="1:10" x14ac:dyDescent="0.2">
      <c r="A147" s="155"/>
      <c r="B147" s="212" t="s">
        <v>19</v>
      </c>
      <c r="C147" s="217"/>
      <c r="D147" s="217"/>
      <c r="E147" s="251"/>
      <c r="F147" s="155"/>
      <c r="G147" s="213"/>
      <c r="H147" s="213"/>
      <c r="I147" s="213"/>
      <c r="J147" s="213"/>
    </row>
    <row r="148" spans="1:10" x14ac:dyDescent="0.2">
      <c r="A148" s="155"/>
      <c r="B148" s="216"/>
      <c r="C148" s="310" t="s">
        <v>140</v>
      </c>
      <c r="D148" s="310"/>
      <c r="E148" s="310"/>
      <c r="F148" s="155"/>
      <c r="G148" s="213"/>
      <c r="H148" s="213"/>
      <c r="I148" s="213"/>
      <c r="J148" s="213"/>
    </row>
    <row r="149" spans="1:10" x14ac:dyDescent="0.2">
      <c r="A149" s="155"/>
      <c r="B149" s="212" t="s">
        <v>20</v>
      </c>
      <c r="C149" s="213"/>
      <c r="D149" s="250"/>
      <c r="E149" s="214"/>
      <c r="F149" s="155"/>
      <c r="G149" s="213"/>
      <c r="H149" s="213"/>
      <c r="I149" s="213"/>
      <c r="J149" s="213"/>
    </row>
    <row r="150" spans="1:10" x14ac:dyDescent="0.2">
      <c r="A150" s="155"/>
      <c r="B150" s="212"/>
      <c r="C150" s="311" t="s">
        <v>64</v>
      </c>
      <c r="D150" s="311"/>
      <c r="E150" s="311"/>
      <c r="F150" s="155"/>
      <c r="G150" s="213"/>
      <c r="H150" s="213"/>
      <c r="I150" s="213"/>
      <c r="J150" s="213"/>
    </row>
    <row r="151" spans="1:10" ht="13.5" thickBot="1" x14ac:dyDescent="0.25">
      <c r="A151" s="155"/>
      <c r="B151" s="218"/>
      <c r="C151" s="219"/>
      <c r="D151" s="220"/>
      <c r="E151" s="221"/>
      <c r="F151" s="155"/>
      <c r="G151" s="213"/>
      <c r="H151" s="213"/>
      <c r="I151" s="213"/>
      <c r="J151" s="213"/>
    </row>
    <row r="152" spans="1:10" ht="13.5" thickBot="1" x14ac:dyDescent="0.25">
      <c r="A152" s="155"/>
      <c r="B152" s="155"/>
      <c r="C152" s="155"/>
      <c r="D152" s="222"/>
      <c r="E152" s="155"/>
      <c r="F152" s="155"/>
      <c r="G152" s="213"/>
      <c r="H152" s="213"/>
      <c r="I152" s="213"/>
      <c r="J152" s="213"/>
    </row>
    <row r="153" spans="1:10" x14ac:dyDescent="0.2">
      <c r="A153" s="155"/>
      <c r="B153" s="223" t="s">
        <v>141</v>
      </c>
      <c r="C153" s="224"/>
      <c r="D153" s="225"/>
      <c r="E153" s="226"/>
      <c r="F153" s="155"/>
      <c r="G153" s="213"/>
      <c r="H153" s="213"/>
      <c r="I153" s="213"/>
      <c r="J153" s="213"/>
    </row>
    <row r="154" spans="1:10" x14ac:dyDescent="0.2">
      <c r="A154" s="155"/>
      <c r="B154" s="227"/>
      <c r="C154" s="213"/>
      <c r="D154" s="250"/>
      <c r="E154" s="214"/>
      <c r="F154" s="155"/>
      <c r="G154" s="213"/>
      <c r="H154" s="213"/>
      <c r="I154" s="213"/>
      <c r="J154" s="213"/>
    </row>
    <row r="155" spans="1:10" x14ac:dyDescent="0.2">
      <c r="A155" s="155"/>
      <c r="B155" s="212" t="s">
        <v>16</v>
      </c>
      <c r="C155" s="213"/>
      <c r="D155" s="250"/>
      <c r="E155" s="214"/>
      <c r="F155" s="155"/>
      <c r="G155" s="213"/>
      <c r="H155" s="213"/>
      <c r="I155" s="213"/>
      <c r="J155" s="213"/>
    </row>
    <row r="156" spans="1:10" x14ac:dyDescent="0.2">
      <c r="A156" s="155"/>
      <c r="B156" s="212"/>
      <c r="C156" s="323" t="s">
        <v>361</v>
      </c>
      <c r="D156" s="323"/>
      <c r="E156" s="324"/>
      <c r="F156" s="155"/>
      <c r="G156" s="213"/>
      <c r="H156" s="213"/>
      <c r="I156" s="213"/>
      <c r="J156" s="213"/>
    </row>
    <row r="157" spans="1:10" ht="13.5" thickBot="1" x14ac:dyDescent="0.25">
      <c r="A157" s="155"/>
      <c r="B157" s="212" t="s">
        <v>17</v>
      </c>
      <c r="C157" s="213"/>
      <c r="D157" s="250"/>
      <c r="E157" s="214"/>
      <c r="F157" s="155"/>
      <c r="G157" s="213"/>
      <c r="H157" s="213"/>
      <c r="I157" s="213"/>
      <c r="J157" s="213"/>
    </row>
    <row r="158" spans="1:10" ht="13.5" thickBot="1" x14ac:dyDescent="0.25">
      <c r="A158" s="155"/>
      <c r="B158" s="316" t="s">
        <v>137</v>
      </c>
      <c r="C158" s="328"/>
      <c r="D158" s="328"/>
      <c r="E158" s="317"/>
      <c r="F158" s="155"/>
      <c r="G158" s="213"/>
      <c r="H158" s="213"/>
      <c r="I158" s="213"/>
      <c r="J158" s="213"/>
    </row>
    <row r="159" spans="1:10" ht="13.5" thickBot="1" x14ac:dyDescent="0.25">
      <c r="A159" s="155"/>
      <c r="B159" s="329" t="s">
        <v>138</v>
      </c>
      <c r="C159" s="330"/>
      <c r="D159" s="215" t="s">
        <v>11</v>
      </c>
      <c r="E159" s="248" t="s">
        <v>139</v>
      </c>
      <c r="F159" s="155"/>
      <c r="G159" s="213"/>
      <c r="H159" s="213"/>
      <c r="I159" s="213"/>
      <c r="J159" s="213"/>
    </row>
    <row r="160" spans="1:10" s="155" customFormat="1" x14ac:dyDescent="0.2">
      <c r="B160" s="315" t="s">
        <v>301</v>
      </c>
      <c r="C160" s="315"/>
      <c r="D160" s="254">
        <v>3</v>
      </c>
      <c r="E160" s="164" t="s">
        <v>300</v>
      </c>
      <c r="G160" s="253"/>
      <c r="H160" s="213"/>
      <c r="I160" s="261"/>
      <c r="J160" s="213"/>
    </row>
    <row r="161" spans="2:10" s="155" customFormat="1" x14ac:dyDescent="0.2">
      <c r="B161" s="305" t="s">
        <v>302</v>
      </c>
      <c r="C161" s="305"/>
      <c r="D161" s="254">
        <v>8</v>
      </c>
      <c r="E161" s="165" t="s">
        <v>246</v>
      </c>
      <c r="G161" s="253"/>
      <c r="H161" s="213"/>
      <c r="I161" s="261"/>
      <c r="J161" s="213"/>
    </row>
    <row r="162" spans="2:10" s="155" customFormat="1" x14ac:dyDescent="0.2">
      <c r="B162" s="305" t="s">
        <v>304</v>
      </c>
      <c r="C162" s="305"/>
      <c r="D162" s="254">
        <v>8</v>
      </c>
      <c r="E162" s="165" t="s">
        <v>247</v>
      </c>
      <c r="G162" s="253"/>
      <c r="H162" s="213"/>
      <c r="I162" s="261"/>
      <c r="J162" s="213"/>
    </row>
    <row r="163" spans="2:10" s="155" customFormat="1" x14ac:dyDescent="0.2">
      <c r="B163" s="305" t="s">
        <v>303</v>
      </c>
      <c r="C163" s="305"/>
      <c r="D163" s="254">
        <v>5</v>
      </c>
      <c r="E163" s="165" t="s">
        <v>248</v>
      </c>
      <c r="G163" s="253"/>
      <c r="H163" s="213"/>
      <c r="I163" s="261"/>
      <c r="J163" s="213"/>
    </row>
    <row r="164" spans="2:10" s="155" customFormat="1" x14ac:dyDescent="0.2">
      <c r="B164" s="305" t="s">
        <v>298</v>
      </c>
      <c r="C164" s="305"/>
      <c r="D164" s="254">
        <v>4</v>
      </c>
      <c r="E164" s="165" t="s">
        <v>299</v>
      </c>
      <c r="G164" s="253"/>
      <c r="H164" s="213"/>
      <c r="I164" s="261"/>
      <c r="J164" s="213"/>
    </row>
    <row r="165" spans="2:10" s="155" customFormat="1" x14ac:dyDescent="0.2">
      <c r="B165" s="305" t="s">
        <v>249</v>
      </c>
      <c r="C165" s="305"/>
      <c r="D165" s="254">
        <v>3</v>
      </c>
      <c r="E165" s="165" t="s">
        <v>250</v>
      </c>
      <c r="G165" s="253"/>
      <c r="H165" s="213"/>
      <c r="I165" s="261"/>
      <c r="J165" s="213"/>
    </row>
    <row r="166" spans="2:10" s="155" customFormat="1" x14ac:dyDescent="0.2">
      <c r="B166" s="305" t="s">
        <v>251</v>
      </c>
      <c r="C166" s="305"/>
      <c r="D166" s="254">
        <v>5</v>
      </c>
      <c r="E166" s="165" t="s">
        <v>252</v>
      </c>
      <c r="G166" s="253"/>
      <c r="H166" s="213"/>
      <c r="I166" s="261"/>
      <c r="J166" s="213"/>
    </row>
    <row r="167" spans="2:10" s="155" customFormat="1" x14ac:dyDescent="0.2">
      <c r="B167" s="305" t="s">
        <v>253</v>
      </c>
      <c r="C167" s="305"/>
      <c r="D167" s="254">
        <v>5</v>
      </c>
      <c r="E167" s="165" t="s">
        <v>254</v>
      </c>
      <c r="G167" s="253"/>
      <c r="H167" s="213"/>
      <c r="I167" s="261"/>
      <c r="J167" s="213"/>
    </row>
    <row r="168" spans="2:10" s="155" customFormat="1" x14ac:dyDescent="0.2">
      <c r="B168" s="305" t="s">
        <v>255</v>
      </c>
      <c r="C168" s="305"/>
      <c r="D168" s="254">
        <v>10</v>
      </c>
      <c r="E168" s="165" t="s">
        <v>256</v>
      </c>
      <c r="G168" s="253"/>
      <c r="H168" s="213"/>
      <c r="I168" s="261"/>
      <c r="J168" s="213"/>
    </row>
    <row r="169" spans="2:10" s="155" customFormat="1" x14ac:dyDescent="0.2">
      <c r="B169" s="305" t="s">
        <v>305</v>
      </c>
      <c r="C169" s="305"/>
      <c r="D169" s="254">
        <v>7</v>
      </c>
      <c r="E169" s="165" t="s">
        <v>257</v>
      </c>
      <c r="G169" s="253"/>
      <c r="H169" s="213"/>
      <c r="I169" s="261"/>
      <c r="J169" s="213"/>
    </row>
    <row r="170" spans="2:10" s="155" customFormat="1" x14ac:dyDescent="0.2">
      <c r="B170" s="305" t="s">
        <v>258</v>
      </c>
      <c r="C170" s="305"/>
      <c r="D170" s="254">
        <v>3</v>
      </c>
      <c r="E170" s="165" t="s">
        <v>259</v>
      </c>
      <c r="G170" s="253"/>
      <c r="H170" s="213"/>
      <c r="I170" s="261"/>
      <c r="J170" s="213"/>
    </row>
    <row r="171" spans="2:10" s="155" customFormat="1" x14ac:dyDescent="0.2">
      <c r="B171" s="305" t="s">
        <v>260</v>
      </c>
      <c r="C171" s="305"/>
      <c r="D171" s="254">
        <v>7</v>
      </c>
      <c r="E171" s="165" t="s">
        <v>261</v>
      </c>
      <c r="G171" s="253"/>
      <c r="H171" s="213"/>
      <c r="I171" s="261"/>
      <c r="J171" s="213"/>
    </row>
    <row r="172" spans="2:10" s="155" customFormat="1" x14ac:dyDescent="0.2">
      <c r="B172" s="305" t="s">
        <v>306</v>
      </c>
      <c r="C172" s="305"/>
      <c r="D172" s="254">
        <v>7</v>
      </c>
      <c r="E172" s="165" t="s">
        <v>262</v>
      </c>
      <c r="G172" s="253"/>
      <c r="H172" s="213"/>
      <c r="I172" s="261"/>
      <c r="J172" s="213"/>
    </row>
    <row r="173" spans="2:10" s="155" customFormat="1" x14ac:dyDescent="0.2">
      <c r="B173" s="305" t="s">
        <v>263</v>
      </c>
      <c r="C173" s="305"/>
      <c r="D173" s="254">
        <v>4</v>
      </c>
      <c r="E173" s="165" t="s">
        <v>264</v>
      </c>
      <c r="G173" s="253"/>
      <c r="H173" s="213"/>
      <c r="I173" s="261"/>
      <c r="J173" s="213"/>
    </row>
    <row r="174" spans="2:10" s="155" customFormat="1" x14ac:dyDescent="0.2">
      <c r="B174" s="305" t="s">
        <v>265</v>
      </c>
      <c r="C174" s="305"/>
      <c r="D174" s="254">
        <v>6</v>
      </c>
      <c r="E174" s="165" t="s">
        <v>266</v>
      </c>
      <c r="G174" s="253"/>
      <c r="H174" s="213"/>
      <c r="I174" s="261"/>
      <c r="J174" s="213"/>
    </row>
    <row r="175" spans="2:10" s="155" customFormat="1" x14ac:dyDescent="0.2">
      <c r="B175" s="305" t="s">
        <v>267</v>
      </c>
      <c r="C175" s="305"/>
      <c r="D175" s="254">
        <v>5</v>
      </c>
      <c r="E175" s="165" t="s">
        <v>268</v>
      </c>
      <c r="G175" s="253"/>
      <c r="H175" s="213"/>
      <c r="I175" s="261"/>
      <c r="J175" s="213"/>
    </row>
    <row r="176" spans="2:10" s="155" customFormat="1" x14ac:dyDescent="0.2">
      <c r="B176" s="305" t="s">
        <v>269</v>
      </c>
      <c r="C176" s="305"/>
      <c r="D176" s="254">
        <v>5</v>
      </c>
      <c r="E176" s="165" t="s">
        <v>270</v>
      </c>
      <c r="G176" s="253"/>
      <c r="H176" s="213"/>
      <c r="I176" s="261"/>
      <c r="J176" s="213"/>
    </row>
    <row r="177" spans="1:10" s="155" customFormat="1" x14ac:dyDescent="0.2">
      <c r="B177" s="305" t="s">
        <v>271</v>
      </c>
      <c r="C177" s="305"/>
      <c r="D177" s="254">
        <v>4</v>
      </c>
      <c r="E177" s="165" t="s">
        <v>272</v>
      </c>
      <c r="G177" s="253"/>
      <c r="H177" s="213"/>
      <c r="I177" s="261"/>
      <c r="J177" s="213"/>
    </row>
    <row r="178" spans="1:10" s="155" customFormat="1" x14ac:dyDescent="0.2">
      <c r="B178" s="305" t="s">
        <v>273</v>
      </c>
      <c r="C178" s="305"/>
      <c r="D178" s="254">
        <v>4</v>
      </c>
      <c r="E178" s="165" t="s">
        <v>274</v>
      </c>
      <c r="G178" s="253"/>
      <c r="H178" s="213"/>
      <c r="I178" s="261"/>
      <c r="J178" s="213"/>
    </row>
    <row r="179" spans="1:10" s="155" customFormat="1" ht="13.5" thickBot="1" x14ac:dyDescent="0.25">
      <c r="B179" s="305" t="s">
        <v>307</v>
      </c>
      <c r="C179" s="305"/>
      <c r="D179" s="254">
        <v>4</v>
      </c>
      <c r="E179" s="165" t="s">
        <v>308</v>
      </c>
      <c r="G179" s="253"/>
      <c r="H179" s="213"/>
      <c r="I179" s="261"/>
      <c r="J179" s="213"/>
    </row>
    <row r="180" spans="1:10" ht="26.25" customHeight="1" thickBot="1" x14ac:dyDescent="0.25">
      <c r="A180" s="155"/>
      <c r="B180" s="307" t="s">
        <v>390</v>
      </c>
      <c r="C180" s="308"/>
      <c r="D180" s="308"/>
      <c r="E180" s="309"/>
      <c r="F180" s="155"/>
      <c r="G180" s="213"/>
      <c r="H180" s="213"/>
      <c r="I180" s="261"/>
      <c r="J180" s="213"/>
    </row>
    <row r="181" spans="1:10" x14ac:dyDescent="0.2">
      <c r="A181" s="155"/>
      <c r="B181" s="212" t="s">
        <v>18</v>
      </c>
      <c r="C181" s="213"/>
      <c r="D181" s="250"/>
      <c r="E181" s="214"/>
      <c r="F181" s="155"/>
      <c r="G181" s="213"/>
      <c r="H181" s="213"/>
      <c r="I181" s="213"/>
      <c r="J181" s="213"/>
    </row>
    <row r="182" spans="1:10" x14ac:dyDescent="0.2">
      <c r="A182" s="155"/>
      <c r="B182" s="216"/>
      <c r="C182" s="310" t="s">
        <v>63</v>
      </c>
      <c r="D182" s="310"/>
      <c r="E182" s="310"/>
      <c r="F182" s="155"/>
      <c r="G182" s="213"/>
      <c r="H182" s="213"/>
      <c r="I182" s="213"/>
      <c r="J182" s="213"/>
    </row>
    <row r="183" spans="1:10" x14ac:dyDescent="0.2">
      <c r="A183" s="155"/>
      <c r="B183" s="212" t="s">
        <v>19</v>
      </c>
      <c r="C183" s="217"/>
      <c r="D183" s="217"/>
      <c r="E183" s="251"/>
      <c r="F183" s="155"/>
      <c r="G183" s="213"/>
      <c r="H183" s="213"/>
      <c r="I183" s="213"/>
      <c r="J183" s="213"/>
    </row>
    <row r="184" spans="1:10" x14ac:dyDescent="0.2">
      <c r="A184" s="155"/>
      <c r="B184" s="216"/>
      <c r="C184" s="310" t="s">
        <v>140</v>
      </c>
      <c r="D184" s="310"/>
      <c r="E184" s="310"/>
      <c r="F184" s="155"/>
      <c r="G184" s="213"/>
      <c r="H184" s="213"/>
      <c r="I184" s="213"/>
      <c r="J184" s="213"/>
    </row>
    <row r="185" spans="1:10" x14ac:dyDescent="0.2">
      <c r="A185" s="155"/>
      <c r="B185" s="212" t="s">
        <v>20</v>
      </c>
      <c r="C185" s="213"/>
      <c r="D185" s="250"/>
      <c r="E185" s="214"/>
      <c r="F185" s="155"/>
      <c r="G185" s="213"/>
      <c r="H185" s="213"/>
      <c r="I185" s="213"/>
      <c r="J185" s="213"/>
    </row>
    <row r="186" spans="1:10" x14ac:dyDescent="0.2">
      <c r="A186" s="155"/>
      <c r="B186" s="212"/>
      <c r="C186" s="311" t="s">
        <v>64</v>
      </c>
      <c r="D186" s="311"/>
      <c r="E186" s="311"/>
      <c r="F186" s="155"/>
      <c r="G186" s="213"/>
      <c r="H186" s="213"/>
      <c r="I186" s="213"/>
      <c r="J186" s="213"/>
    </row>
    <row r="187" spans="1:10" ht="13.5" thickBot="1" x14ac:dyDescent="0.25">
      <c r="A187" s="155"/>
      <c r="B187" s="218"/>
      <c r="C187" s="219"/>
      <c r="D187" s="220"/>
      <c r="E187" s="221"/>
      <c r="F187" s="155"/>
      <c r="G187" s="213"/>
      <c r="H187" s="213"/>
      <c r="I187" s="213"/>
      <c r="J187" s="213"/>
    </row>
    <row r="188" spans="1:10" ht="13.5" thickBot="1" x14ac:dyDescent="0.25">
      <c r="A188" s="155"/>
      <c r="B188" s="155"/>
      <c r="C188" s="155"/>
      <c r="D188" s="222"/>
      <c r="E188" s="155"/>
      <c r="F188" s="155"/>
      <c r="G188" s="213"/>
      <c r="H188" s="213"/>
      <c r="I188" s="213"/>
      <c r="J188" s="213"/>
    </row>
    <row r="189" spans="1:10" x14ac:dyDescent="0.2">
      <c r="A189" s="155"/>
      <c r="B189" s="223" t="s">
        <v>142</v>
      </c>
      <c r="C189" s="224"/>
      <c r="D189" s="225"/>
      <c r="E189" s="226"/>
      <c r="F189" s="155"/>
      <c r="G189" s="213"/>
      <c r="H189" s="213"/>
      <c r="I189" s="213"/>
      <c r="J189" s="213"/>
    </row>
    <row r="190" spans="1:10" x14ac:dyDescent="0.2">
      <c r="A190" s="155"/>
      <c r="B190" s="227"/>
      <c r="C190" s="213"/>
      <c r="D190" s="250"/>
      <c r="E190" s="214"/>
      <c r="F190" s="155"/>
      <c r="G190" s="213"/>
      <c r="H190" s="213"/>
      <c r="I190" s="213"/>
      <c r="J190" s="213"/>
    </row>
    <row r="191" spans="1:10" x14ac:dyDescent="0.2">
      <c r="A191" s="155"/>
      <c r="B191" s="212" t="s">
        <v>16</v>
      </c>
      <c r="C191" s="213"/>
      <c r="D191" s="250"/>
      <c r="E191" s="214"/>
      <c r="F191" s="155"/>
      <c r="G191" s="213"/>
      <c r="H191" s="213"/>
      <c r="I191" s="213"/>
      <c r="J191" s="213"/>
    </row>
    <row r="192" spans="1:10" x14ac:dyDescent="0.2">
      <c r="A192" s="155"/>
      <c r="B192" s="212"/>
      <c r="C192" s="310" t="s">
        <v>368</v>
      </c>
      <c r="D192" s="310"/>
      <c r="E192" s="310"/>
      <c r="F192" s="155"/>
      <c r="G192" s="213"/>
      <c r="H192" s="213"/>
      <c r="I192" s="213"/>
      <c r="J192" s="213"/>
    </row>
    <row r="193" spans="1:10" ht="13.5" thickBot="1" x14ac:dyDescent="0.25">
      <c r="A193" s="155"/>
      <c r="B193" s="212" t="s">
        <v>17</v>
      </c>
      <c r="C193" s="213"/>
      <c r="D193" s="250"/>
      <c r="E193" s="214"/>
      <c r="F193" s="155"/>
      <c r="G193" s="213"/>
      <c r="H193" s="213"/>
      <c r="I193" s="213"/>
      <c r="J193" s="213"/>
    </row>
    <row r="194" spans="1:10" ht="13.5" thickBot="1" x14ac:dyDescent="0.25">
      <c r="A194" s="155"/>
      <c r="B194" s="312" t="s">
        <v>137</v>
      </c>
      <c r="C194" s="313"/>
      <c r="D194" s="313"/>
      <c r="E194" s="314"/>
      <c r="F194" s="155"/>
      <c r="G194" s="213"/>
      <c r="H194" s="213"/>
      <c r="I194" s="213"/>
      <c r="J194" s="213"/>
    </row>
    <row r="195" spans="1:10" ht="13.5" thickBot="1" x14ac:dyDescent="0.25">
      <c r="A195" s="155"/>
      <c r="B195" s="312" t="s">
        <v>138</v>
      </c>
      <c r="C195" s="314"/>
      <c r="D195" s="215" t="s">
        <v>11</v>
      </c>
      <c r="E195" s="215" t="s">
        <v>139</v>
      </c>
      <c r="F195" s="155"/>
      <c r="G195" s="213"/>
      <c r="H195" s="213"/>
      <c r="I195" s="213"/>
      <c r="J195" s="213"/>
    </row>
    <row r="196" spans="1:10" s="155" customFormat="1" x14ac:dyDescent="0.2">
      <c r="B196" s="315" t="s">
        <v>301</v>
      </c>
      <c r="C196" s="315"/>
      <c r="D196" s="249">
        <v>36</v>
      </c>
      <c r="E196" s="164" t="s">
        <v>300</v>
      </c>
      <c r="G196" s="250"/>
      <c r="H196" s="213"/>
      <c r="I196" s="261"/>
      <c r="J196" s="213"/>
    </row>
    <row r="197" spans="1:10" s="155" customFormat="1" x14ac:dyDescent="0.2">
      <c r="B197" s="305" t="s">
        <v>302</v>
      </c>
      <c r="C197" s="305"/>
      <c r="D197" s="246">
        <v>80</v>
      </c>
      <c r="E197" s="165" t="s">
        <v>246</v>
      </c>
      <c r="G197" s="250"/>
      <c r="H197" s="213"/>
      <c r="I197" s="261"/>
      <c r="J197" s="213"/>
    </row>
    <row r="198" spans="1:10" s="155" customFormat="1" x14ac:dyDescent="0.2">
      <c r="B198" s="305" t="s">
        <v>304</v>
      </c>
      <c r="C198" s="305"/>
      <c r="D198" s="246">
        <v>80</v>
      </c>
      <c r="E198" s="165" t="s">
        <v>247</v>
      </c>
      <c r="G198" s="250"/>
      <c r="H198" s="213"/>
      <c r="I198" s="261"/>
      <c r="J198" s="213"/>
    </row>
    <row r="199" spans="1:10" s="155" customFormat="1" x14ac:dyDescent="0.2">
      <c r="B199" s="305" t="s">
        <v>303</v>
      </c>
      <c r="C199" s="305"/>
      <c r="D199" s="246">
        <v>48</v>
      </c>
      <c r="E199" s="165" t="s">
        <v>248</v>
      </c>
      <c r="G199" s="250"/>
      <c r="H199" s="213"/>
      <c r="I199" s="261"/>
      <c r="J199" s="213"/>
    </row>
    <row r="200" spans="1:10" s="155" customFormat="1" x14ac:dyDescent="0.2">
      <c r="B200" s="305" t="s">
        <v>298</v>
      </c>
      <c r="C200" s="305"/>
      <c r="D200" s="246">
        <v>41</v>
      </c>
      <c r="E200" s="165" t="s">
        <v>299</v>
      </c>
      <c r="G200" s="250"/>
      <c r="H200" s="213"/>
      <c r="I200" s="261"/>
      <c r="J200" s="213"/>
    </row>
    <row r="201" spans="1:10" s="155" customFormat="1" x14ac:dyDescent="0.2">
      <c r="B201" s="305" t="s">
        <v>249</v>
      </c>
      <c r="C201" s="305"/>
      <c r="D201" s="246">
        <v>36</v>
      </c>
      <c r="E201" s="165" t="s">
        <v>250</v>
      </c>
      <c r="G201" s="250"/>
      <c r="H201" s="213"/>
      <c r="I201" s="261"/>
      <c r="J201" s="213"/>
    </row>
    <row r="202" spans="1:10" s="155" customFormat="1" x14ac:dyDescent="0.2">
      <c r="B202" s="305" t="s">
        <v>251</v>
      </c>
      <c r="C202" s="305"/>
      <c r="D202" s="246">
        <v>45</v>
      </c>
      <c r="E202" s="165" t="s">
        <v>252</v>
      </c>
      <c r="G202" s="250"/>
      <c r="H202" s="213"/>
      <c r="I202" s="261"/>
      <c r="J202" s="213"/>
    </row>
    <row r="203" spans="1:10" s="155" customFormat="1" x14ac:dyDescent="0.2">
      <c r="B203" s="305" t="s">
        <v>253</v>
      </c>
      <c r="C203" s="305"/>
      <c r="D203" s="246">
        <v>45</v>
      </c>
      <c r="E203" s="165" t="s">
        <v>254</v>
      </c>
      <c r="G203" s="250"/>
      <c r="H203" s="213"/>
      <c r="I203" s="261"/>
      <c r="J203" s="213"/>
    </row>
    <row r="204" spans="1:10" s="155" customFormat="1" x14ac:dyDescent="0.2">
      <c r="B204" s="305" t="s">
        <v>255</v>
      </c>
      <c r="C204" s="305"/>
      <c r="D204" s="246">
        <v>96</v>
      </c>
      <c r="E204" s="165" t="s">
        <v>256</v>
      </c>
      <c r="G204" s="250"/>
      <c r="H204" s="213"/>
      <c r="I204" s="261"/>
      <c r="J204" s="213"/>
    </row>
    <row r="205" spans="1:10" s="155" customFormat="1" x14ac:dyDescent="0.2">
      <c r="B205" s="305" t="s">
        <v>305</v>
      </c>
      <c r="C205" s="305"/>
      <c r="D205" s="246">
        <v>64</v>
      </c>
      <c r="E205" s="165" t="s">
        <v>257</v>
      </c>
      <c r="G205" s="250"/>
      <c r="H205" s="213"/>
      <c r="I205" s="261"/>
      <c r="J205" s="213"/>
    </row>
    <row r="206" spans="1:10" s="155" customFormat="1" x14ac:dyDescent="0.2">
      <c r="B206" s="305" t="s">
        <v>258</v>
      </c>
      <c r="C206" s="305"/>
      <c r="D206" s="246">
        <v>32</v>
      </c>
      <c r="E206" s="165" t="s">
        <v>259</v>
      </c>
      <c r="G206" s="250"/>
      <c r="H206" s="213"/>
      <c r="I206" s="261"/>
      <c r="J206" s="213"/>
    </row>
    <row r="207" spans="1:10" s="155" customFormat="1" x14ac:dyDescent="0.2">
      <c r="B207" s="305" t="s">
        <v>260</v>
      </c>
      <c r="C207" s="305"/>
      <c r="D207" s="246">
        <v>64</v>
      </c>
      <c r="E207" s="165" t="s">
        <v>261</v>
      </c>
      <c r="G207" s="250"/>
      <c r="H207" s="213"/>
      <c r="I207" s="261"/>
      <c r="J207" s="213"/>
    </row>
    <row r="208" spans="1:10" s="155" customFormat="1" x14ac:dyDescent="0.2">
      <c r="B208" s="305" t="s">
        <v>306</v>
      </c>
      <c r="C208" s="305"/>
      <c r="D208" s="246">
        <v>64</v>
      </c>
      <c r="E208" s="165" t="s">
        <v>262</v>
      </c>
      <c r="G208" s="250"/>
      <c r="H208" s="213"/>
      <c r="I208" s="261"/>
      <c r="J208" s="213"/>
    </row>
    <row r="209" spans="1:10" s="155" customFormat="1" x14ac:dyDescent="0.2">
      <c r="B209" s="305" t="s">
        <v>263</v>
      </c>
      <c r="C209" s="305"/>
      <c r="D209" s="246">
        <v>41</v>
      </c>
      <c r="E209" s="165" t="s">
        <v>264</v>
      </c>
      <c r="G209" s="250"/>
      <c r="H209" s="213"/>
      <c r="I209" s="261"/>
      <c r="J209" s="213"/>
    </row>
    <row r="210" spans="1:10" s="155" customFormat="1" x14ac:dyDescent="0.2">
      <c r="B210" s="305" t="s">
        <v>265</v>
      </c>
      <c r="C210" s="305"/>
      <c r="D210" s="246">
        <v>57</v>
      </c>
      <c r="E210" s="165" t="s">
        <v>266</v>
      </c>
      <c r="G210" s="250"/>
      <c r="H210" s="213"/>
      <c r="I210" s="261"/>
      <c r="J210" s="213"/>
    </row>
    <row r="211" spans="1:10" s="155" customFormat="1" x14ac:dyDescent="0.2">
      <c r="B211" s="305" t="s">
        <v>267</v>
      </c>
      <c r="C211" s="305"/>
      <c r="D211" s="246">
        <v>48</v>
      </c>
      <c r="E211" s="165" t="s">
        <v>268</v>
      </c>
      <c r="G211" s="250"/>
      <c r="H211" s="213"/>
      <c r="I211" s="261"/>
      <c r="J211" s="213"/>
    </row>
    <row r="212" spans="1:10" s="155" customFormat="1" x14ac:dyDescent="0.2">
      <c r="B212" s="305" t="s">
        <v>269</v>
      </c>
      <c r="C212" s="305"/>
      <c r="D212" s="246">
        <v>48</v>
      </c>
      <c r="E212" s="165" t="s">
        <v>270</v>
      </c>
      <c r="G212" s="250"/>
      <c r="H212" s="213"/>
      <c r="I212" s="261"/>
      <c r="J212" s="213"/>
    </row>
    <row r="213" spans="1:10" s="155" customFormat="1" x14ac:dyDescent="0.2">
      <c r="B213" s="305" t="s">
        <v>271</v>
      </c>
      <c r="C213" s="305"/>
      <c r="D213" s="246">
        <v>41</v>
      </c>
      <c r="E213" s="165" t="s">
        <v>272</v>
      </c>
      <c r="G213" s="250"/>
      <c r="H213" s="213"/>
      <c r="I213" s="261"/>
      <c r="J213" s="213"/>
    </row>
    <row r="214" spans="1:10" s="155" customFormat="1" x14ac:dyDescent="0.2">
      <c r="B214" s="305" t="s">
        <v>273</v>
      </c>
      <c r="C214" s="305"/>
      <c r="D214" s="246">
        <v>41</v>
      </c>
      <c r="E214" s="165" t="s">
        <v>274</v>
      </c>
      <c r="G214" s="250"/>
      <c r="H214" s="213"/>
      <c r="I214" s="261"/>
      <c r="J214" s="213"/>
    </row>
    <row r="215" spans="1:10" s="155" customFormat="1" ht="13.5" thickBot="1" x14ac:dyDescent="0.25">
      <c r="B215" s="306" t="s">
        <v>307</v>
      </c>
      <c r="C215" s="306"/>
      <c r="D215" s="247">
        <v>41</v>
      </c>
      <c r="E215" s="166" t="s">
        <v>308</v>
      </c>
      <c r="G215" s="250"/>
      <c r="H215" s="213"/>
      <c r="I215" s="261"/>
      <c r="J215" s="213"/>
    </row>
    <row r="216" spans="1:10" ht="26.25" customHeight="1" thickBot="1" x14ac:dyDescent="0.25">
      <c r="A216" s="155"/>
      <c r="B216" s="307" t="s">
        <v>391</v>
      </c>
      <c r="C216" s="308"/>
      <c r="D216" s="308"/>
      <c r="E216" s="309"/>
      <c r="F216" s="155"/>
      <c r="G216" s="213"/>
      <c r="H216" s="213"/>
      <c r="I216" s="261"/>
      <c r="J216" s="261"/>
    </row>
    <row r="217" spans="1:10" x14ac:dyDescent="0.2">
      <c r="A217" s="155"/>
      <c r="B217" s="212" t="s">
        <v>18</v>
      </c>
      <c r="C217" s="213"/>
      <c r="D217" s="250"/>
      <c r="E217" s="214"/>
      <c r="F217" s="155"/>
      <c r="G217" s="213"/>
      <c r="H217" s="213"/>
      <c r="I217" s="213"/>
      <c r="J217" s="213"/>
    </row>
    <row r="218" spans="1:10" x14ac:dyDescent="0.2">
      <c r="A218" s="155"/>
      <c r="B218" s="216"/>
      <c r="C218" s="310" t="s">
        <v>63</v>
      </c>
      <c r="D218" s="310"/>
      <c r="E218" s="310"/>
      <c r="F218" s="155"/>
      <c r="G218" s="213"/>
      <c r="H218" s="213"/>
      <c r="I218" s="213"/>
      <c r="J218" s="213"/>
    </row>
    <row r="219" spans="1:10" x14ac:dyDescent="0.2">
      <c r="A219" s="155"/>
      <c r="B219" s="212" t="s">
        <v>19</v>
      </c>
      <c r="C219" s="217"/>
      <c r="D219" s="217"/>
      <c r="E219" s="251"/>
      <c r="F219" s="155"/>
      <c r="G219" s="213"/>
      <c r="H219" s="213"/>
      <c r="I219" s="213"/>
      <c r="J219" s="213"/>
    </row>
    <row r="220" spans="1:10" x14ac:dyDescent="0.2">
      <c r="A220" s="155"/>
      <c r="B220" s="216"/>
      <c r="C220" s="310" t="s">
        <v>140</v>
      </c>
      <c r="D220" s="310"/>
      <c r="E220" s="310"/>
      <c r="F220" s="155"/>
      <c r="G220" s="213"/>
      <c r="H220" s="213"/>
      <c r="I220" s="213"/>
      <c r="J220" s="213"/>
    </row>
    <row r="221" spans="1:10" x14ac:dyDescent="0.2">
      <c r="A221" s="155"/>
      <c r="B221" s="212" t="s">
        <v>20</v>
      </c>
      <c r="C221" s="213"/>
      <c r="D221" s="250"/>
      <c r="E221" s="214"/>
      <c r="F221" s="155"/>
      <c r="G221" s="213"/>
      <c r="H221" s="213"/>
      <c r="I221" s="213"/>
      <c r="J221" s="213"/>
    </row>
    <row r="222" spans="1:10" x14ac:dyDescent="0.2">
      <c r="A222" s="155"/>
      <c r="B222" s="212"/>
      <c r="C222" s="311" t="s">
        <v>64</v>
      </c>
      <c r="D222" s="311"/>
      <c r="E222" s="311"/>
      <c r="F222" s="155"/>
      <c r="G222" s="213"/>
      <c r="H222" s="213"/>
      <c r="I222" s="213"/>
      <c r="J222" s="213"/>
    </row>
    <row r="223" spans="1:10" ht="13.5" thickBot="1" x14ac:dyDescent="0.25">
      <c r="A223" s="155"/>
      <c r="B223" s="218"/>
      <c r="C223" s="219"/>
      <c r="D223" s="220"/>
      <c r="E223" s="221"/>
      <c r="F223" s="155"/>
      <c r="G223" s="213"/>
      <c r="H223" s="213"/>
      <c r="I223" s="213"/>
      <c r="J223" s="213"/>
    </row>
    <row r="224" spans="1:10" ht="13.5" thickBot="1" x14ac:dyDescent="0.25">
      <c r="A224" s="155"/>
      <c r="B224" s="155"/>
      <c r="C224" s="155"/>
      <c r="D224" s="222"/>
      <c r="E224" s="155"/>
      <c r="F224" s="155"/>
      <c r="G224" s="213"/>
      <c r="H224" s="213"/>
      <c r="I224" s="213"/>
      <c r="J224" s="213"/>
    </row>
    <row r="225" spans="1:10" x14ac:dyDescent="0.2">
      <c r="A225" s="155"/>
      <c r="B225" s="223" t="s">
        <v>143</v>
      </c>
      <c r="C225" s="224"/>
      <c r="D225" s="225"/>
      <c r="E225" s="226"/>
      <c r="F225" s="155"/>
      <c r="G225" s="213"/>
      <c r="H225" s="213"/>
      <c r="I225" s="213"/>
      <c r="J225" s="213"/>
    </row>
    <row r="226" spans="1:10" x14ac:dyDescent="0.2">
      <c r="A226" s="155"/>
      <c r="B226" s="227"/>
      <c r="C226" s="213"/>
      <c r="D226" s="250"/>
      <c r="E226" s="214"/>
      <c r="F226" s="155"/>
      <c r="G226" s="213"/>
      <c r="H226" s="213"/>
      <c r="I226" s="213"/>
      <c r="J226" s="213"/>
    </row>
    <row r="227" spans="1:10" x14ac:dyDescent="0.2">
      <c r="A227" s="155"/>
      <c r="B227" s="212" t="s">
        <v>16</v>
      </c>
      <c r="C227" s="213"/>
      <c r="D227" s="250"/>
      <c r="E227" s="214"/>
      <c r="F227" s="155"/>
      <c r="G227" s="213"/>
      <c r="H227" s="213"/>
      <c r="I227" s="213"/>
      <c r="J227" s="213"/>
    </row>
    <row r="228" spans="1:10" x14ac:dyDescent="0.2">
      <c r="A228" s="155"/>
      <c r="B228" s="212"/>
      <c r="C228" s="310" t="s">
        <v>369</v>
      </c>
      <c r="D228" s="310"/>
      <c r="E228" s="310"/>
      <c r="F228" s="155"/>
      <c r="G228" s="213"/>
      <c r="H228" s="213"/>
      <c r="I228" s="213"/>
      <c r="J228" s="213"/>
    </row>
    <row r="229" spans="1:10" ht="13.5" thickBot="1" x14ac:dyDescent="0.25">
      <c r="A229" s="155"/>
      <c r="B229" s="212" t="s">
        <v>17</v>
      </c>
      <c r="C229" s="213"/>
      <c r="D229" s="250"/>
      <c r="E229" s="214"/>
      <c r="F229" s="155"/>
      <c r="G229" s="213"/>
      <c r="H229" s="213"/>
      <c r="I229" s="213"/>
      <c r="J229" s="213"/>
    </row>
    <row r="230" spans="1:10" ht="13.5" thickBot="1" x14ac:dyDescent="0.25">
      <c r="A230" s="155"/>
      <c r="B230" s="312" t="s">
        <v>137</v>
      </c>
      <c r="C230" s="313"/>
      <c r="D230" s="313"/>
      <c r="E230" s="314"/>
      <c r="F230" s="155"/>
      <c r="G230" s="213"/>
      <c r="H230" s="213"/>
      <c r="I230" s="213"/>
      <c r="J230" s="213"/>
    </row>
    <row r="231" spans="1:10" ht="13.5" thickBot="1" x14ac:dyDescent="0.25">
      <c r="A231" s="155"/>
      <c r="B231" s="312" t="s">
        <v>138</v>
      </c>
      <c r="C231" s="314"/>
      <c r="D231" s="215" t="s">
        <v>11</v>
      </c>
      <c r="E231" s="215" t="s">
        <v>139</v>
      </c>
      <c r="F231" s="155"/>
      <c r="G231" s="213"/>
      <c r="H231" s="213"/>
      <c r="I231" s="213"/>
      <c r="J231" s="213"/>
    </row>
    <row r="232" spans="1:10" s="155" customFormat="1" x14ac:dyDescent="0.2">
      <c r="B232" s="315" t="s">
        <v>301</v>
      </c>
      <c r="C232" s="315"/>
      <c r="D232" s="249">
        <v>37</v>
      </c>
      <c r="E232" s="164" t="s">
        <v>300</v>
      </c>
      <c r="G232" s="250"/>
      <c r="H232" s="213"/>
      <c r="I232" s="261"/>
      <c r="J232" s="213"/>
    </row>
    <row r="233" spans="1:10" s="155" customFormat="1" x14ac:dyDescent="0.2">
      <c r="B233" s="305" t="s">
        <v>302</v>
      </c>
      <c r="C233" s="305"/>
      <c r="D233" s="246">
        <v>85</v>
      </c>
      <c r="E233" s="165" t="s">
        <v>246</v>
      </c>
      <c r="G233" s="250"/>
      <c r="H233" s="213"/>
      <c r="I233" s="261"/>
      <c r="J233" s="213"/>
    </row>
    <row r="234" spans="1:10" s="155" customFormat="1" x14ac:dyDescent="0.2">
      <c r="B234" s="305" t="s">
        <v>304</v>
      </c>
      <c r="C234" s="305"/>
      <c r="D234" s="246">
        <v>85</v>
      </c>
      <c r="E234" s="165" t="s">
        <v>247</v>
      </c>
      <c r="G234" s="250"/>
      <c r="H234" s="213"/>
      <c r="I234" s="261"/>
      <c r="J234" s="213"/>
    </row>
    <row r="235" spans="1:10" s="155" customFormat="1" x14ac:dyDescent="0.2">
      <c r="B235" s="305" t="s">
        <v>303</v>
      </c>
      <c r="C235" s="305"/>
      <c r="D235" s="246">
        <v>51</v>
      </c>
      <c r="E235" s="165" t="s">
        <v>248</v>
      </c>
      <c r="G235" s="250"/>
      <c r="H235" s="213"/>
      <c r="I235" s="261"/>
      <c r="J235" s="213"/>
    </row>
    <row r="236" spans="1:10" s="155" customFormat="1" x14ac:dyDescent="0.2">
      <c r="B236" s="305" t="s">
        <v>298</v>
      </c>
      <c r="C236" s="305"/>
      <c r="D236" s="246">
        <v>42</v>
      </c>
      <c r="E236" s="165" t="s">
        <v>299</v>
      </c>
      <c r="G236" s="250"/>
      <c r="H236" s="213"/>
      <c r="I236" s="261"/>
      <c r="J236" s="213"/>
    </row>
    <row r="237" spans="1:10" s="155" customFormat="1" x14ac:dyDescent="0.2">
      <c r="B237" s="305" t="s">
        <v>249</v>
      </c>
      <c r="C237" s="305"/>
      <c r="D237" s="246">
        <v>37</v>
      </c>
      <c r="E237" s="165" t="s">
        <v>250</v>
      </c>
      <c r="G237" s="250"/>
      <c r="H237" s="213"/>
      <c r="I237" s="261"/>
      <c r="J237" s="213"/>
    </row>
    <row r="238" spans="1:10" s="155" customFormat="1" x14ac:dyDescent="0.2">
      <c r="B238" s="305" t="s">
        <v>251</v>
      </c>
      <c r="C238" s="305"/>
      <c r="D238" s="246">
        <v>47</v>
      </c>
      <c r="E238" s="165" t="s">
        <v>252</v>
      </c>
      <c r="G238" s="250"/>
      <c r="H238" s="213"/>
      <c r="I238" s="261"/>
      <c r="J238" s="213"/>
    </row>
    <row r="239" spans="1:10" s="155" customFormat="1" x14ac:dyDescent="0.2">
      <c r="B239" s="305" t="s">
        <v>253</v>
      </c>
      <c r="C239" s="305"/>
      <c r="D239" s="246">
        <v>47</v>
      </c>
      <c r="E239" s="165" t="s">
        <v>254</v>
      </c>
      <c r="G239" s="250"/>
      <c r="H239" s="213"/>
      <c r="I239" s="261"/>
      <c r="J239" s="213"/>
    </row>
    <row r="240" spans="1:10" s="155" customFormat="1" x14ac:dyDescent="0.2">
      <c r="B240" s="305" t="s">
        <v>255</v>
      </c>
      <c r="C240" s="305"/>
      <c r="D240" s="246">
        <v>102</v>
      </c>
      <c r="E240" s="165" t="s">
        <v>256</v>
      </c>
      <c r="G240" s="250"/>
      <c r="H240" s="213"/>
      <c r="I240" s="261"/>
      <c r="J240" s="213"/>
    </row>
    <row r="241" spans="1:10" s="155" customFormat="1" x14ac:dyDescent="0.2">
      <c r="B241" s="305" t="s">
        <v>305</v>
      </c>
      <c r="C241" s="305"/>
      <c r="D241" s="246">
        <v>68</v>
      </c>
      <c r="E241" s="165" t="s">
        <v>257</v>
      </c>
      <c r="G241" s="250"/>
      <c r="H241" s="213"/>
      <c r="I241" s="261"/>
      <c r="J241" s="213"/>
    </row>
    <row r="242" spans="1:10" s="155" customFormat="1" x14ac:dyDescent="0.2">
      <c r="B242" s="305" t="s">
        <v>258</v>
      </c>
      <c r="C242" s="305"/>
      <c r="D242" s="246">
        <v>34</v>
      </c>
      <c r="E242" s="165" t="s">
        <v>259</v>
      </c>
      <c r="G242" s="250"/>
      <c r="H242" s="213"/>
      <c r="I242" s="261"/>
      <c r="J242" s="213"/>
    </row>
    <row r="243" spans="1:10" s="155" customFormat="1" x14ac:dyDescent="0.2">
      <c r="B243" s="305" t="s">
        <v>260</v>
      </c>
      <c r="C243" s="305"/>
      <c r="D243" s="246">
        <v>68</v>
      </c>
      <c r="E243" s="165" t="s">
        <v>261</v>
      </c>
      <c r="G243" s="250"/>
      <c r="H243" s="213"/>
      <c r="I243" s="261"/>
      <c r="J243" s="213"/>
    </row>
    <row r="244" spans="1:10" s="155" customFormat="1" x14ac:dyDescent="0.2">
      <c r="B244" s="305" t="s">
        <v>306</v>
      </c>
      <c r="C244" s="305"/>
      <c r="D244" s="246">
        <v>68</v>
      </c>
      <c r="E244" s="165" t="s">
        <v>262</v>
      </c>
      <c r="G244" s="250"/>
      <c r="H244" s="213"/>
      <c r="I244" s="261"/>
      <c r="J244" s="213"/>
    </row>
    <row r="245" spans="1:10" s="155" customFormat="1" x14ac:dyDescent="0.2">
      <c r="B245" s="305" t="s">
        <v>263</v>
      </c>
      <c r="C245" s="305"/>
      <c r="D245" s="246">
        <v>42</v>
      </c>
      <c r="E245" s="165" t="s">
        <v>264</v>
      </c>
      <c r="G245" s="250"/>
      <c r="H245" s="213"/>
      <c r="I245" s="261"/>
      <c r="J245" s="213"/>
    </row>
    <row r="246" spans="1:10" s="155" customFormat="1" x14ac:dyDescent="0.2">
      <c r="B246" s="305" t="s">
        <v>265</v>
      </c>
      <c r="C246" s="305"/>
      <c r="D246" s="246">
        <v>59</v>
      </c>
      <c r="E246" s="165" t="s">
        <v>266</v>
      </c>
      <c r="G246" s="250"/>
      <c r="H246" s="213"/>
      <c r="I246" s="261"/>
      <c r="J246" s="213"/>
    </row>
    <row r="247" spans="1:10" s="155" customFormat="1" x14ac:dyDescent="0.2">
      <c r="B247" s="305" t="s">
        <v>267</v>
      </c>
      <c r="C247" s="305"/>
      <c r="D247" s="246">
        <v>51</v>
      </c>
      <c r="E247" s="165" t="s">
        <v>268</v>
      </c>
      <c r="G247" s="250"/>
      <c r="H247" s="213"/>
      <c r="I247" s="261"/>
      <c r="J247" s="213"/>
    </row>
    <row r="248" spans="1:10" s="155" customFormat="1" x14ac:dyDescent="0.2">
      <c r="B248" s="305" t="s">
        <v>269</v>
      </c>
      <c r="C248" s="305"/>
      <c r="D248" s="246">
        <v>51</v>
      </c>
      <c r="E248" s="165" t="s">
        <v>270</v>
      </c>
      <c r="G248" s="250"/>
      <c r="H248" s="213"/>
      <c r="I248" s="261"/>
      <c r="J248" s="213"/>
    </row>
    <row r="249" spans="1:10" s="155" customFormat="1" x14ac:dyDescent="0.2">
      <c r="B249" s="305" t="s">
        <v>271</v>
      </c>
      <c r="C249" s="305"/>
      <c r="D249" s="246">
        <v>42</v>
      </c>
      <c r="E249" s="165" t="s">
        <v>272</v>
      </c>
      <c r="G249" s="250"/>
      <c r="H249" s="213"/>
      <c r="I249" s="261"/>
      <c r="J249" s="213"/>
    </row>
    <row r="250" spans="1:10" s="155" customFormat="1" x14ac:dyDescent="0.2">
      <c r="B250" s="305" t="s">
        <v>273</v>
      </c>
      <c r="C250" s="305"/>
      <c r="D250" s="246">
        <v>42</v>
      </c>
      <c r="E250" s="165" t="s">
        <v>274</v>
      </c>
      <c r="G250" s="250"/>
      <c r="H250" s="213"/>
      <c r="I250" s="261"/>
      <c r="J250" s="213"/>
    </row>
    <row r="251" spans="1:10" s="155" customFormat="1" ht="13.5" thickBot="1" x14ac:dyDescent="0.25">
      <c r="B251" s="306" t="s">
        <v>307</v>
      </c>
      <c r="C251" s="306"/>
      <c r="D251" s="247">
        <v>42</v>
      </c>
      <c r="E251" s="166" t="s">
        <v>308</v>
      </c>
      <c r="G251" s="250"/>
      <c r="H251" s="213"/>
      <c r="I251" s="261"/>
      <c r="J251" s="213"/>
    </row>
    <row r="252" spans="1:10" ht="26.25" customHeight="1" thickBot="1" x14ac:dyDescent="0.25">
      <c r="A252" s="155"/>
      <c r="B252" s="307" t="s">
        <v>392</v>
      </c>
      <c r="C252" s="308"/>
      <c r="D252" s="308"/>
      <c r="E252" s="309"/>
      <c r="F252" s="155"/>
      <c r="G252" s="213"/>
      <c r="H252" s="213"/>
      <c r="I252" s="261"/>
      <c r="J252" s="213"/>
    </row>
    <row r="253" spans="1:10" x14ac:dyDescent="0.2">
      <c r="A253" s="155"/>
      <c r="B253" s="212" t="s">
        <v>18</v>
      </c>
      <c r="C253" s="213"/>
      <c r="D253" s="250"/>
      <c r="E253" s="214"/>
      <c r="F253" s="155"/>
      <c r="G253" s="213"/>
      <c r="H253" s="213"/>
      <c r="I253" s="213"/>
      <c r="J253" s="213"/>
    </row>
    <row r="254" spans="1:10" x14ac:dyDescent="0.2">
      <c r="A254" s="155"/>
      <c r="B254" s="216"/>
      <c r="C254" s="310" t="s">
        <v>63</v>
      </c>
      <c r="D254" s="310"/>
      <c r="E254" s="310"/>
      <c r="F254" s="155"/>
      <c r="G254" s="213"/>
      <c r="H254" s="213"/>
      <c r="I254" s="213"/>
      <c r="J254" s="213"/>
    </row>
    <row r="255" spans="1:10" x14ac:dyDescent="0.2">
      <c r="A255" s="155"/>
      <c r="B255" s="212" t="s">
        <v>19</v>
      </c>
      <c r="C255" s="217"/>
      <c r="D255" s="217"/>
      <c r="E255" s="251"/>
      <c r="F255" s="155"/>
      <c r="G255" s="213"/>
      <c r="H255" s="213"/>
      <c r="I255" s="213"/>
      <c r="J255" s="213"/>
    </row>
    <row r="256" spans="1:10" x14ac:dyDescent="0.2">
      <c r="A256" s="155"/>
      <c r="B256" s="216"/>
      <c r="C256" s="310" t="s">
        <v>140</v>
      </c>
      <c r="D256" s="310"/>
      <c r="E256" s="310"/>
      <c r="F256" s="155"/>
      <c r="G256" s="213"/>
      <c r="H256" s="213"/>
      <c r="I256" s="213"/>
      <c r="J256" s="213"/>
    </row>
    <row r="257" spans="1:10" x14ac:dyDescent="0.2">
      <c r="A257" s="155"/>
      <c r="B257" s="212" t="s">
        <v>20</v>
      </c>
      <c r="C257" s="213"/>
      <c r="D257" s="250"/>
      <c r="E257" s="214"/>
      <c r="F257" s="155"/>
      <c r="G257" s="213"/>
      <c r="H257" s="213"/>
      <c r="I257" s="213"/>
      <c r="J257" s="213"/>
    </row>
    <row r="258" spans="1:10" x14ac:dyDescent="0.2">
      <c r="A258" s="155"/>
      <c r="B258" s="212"/>
      <c r="C258" s="311" t="s">
        <v>64</v>
      </c>
      <c r="D258" s="311"/>
      <c r="E258" s="311"/>
      <c r="F258" s="155"/>
      <c r="G258" s="213"/>
      <c r="H258" s="213"/>
      <c r="I258" s="213"/>
      <c r="J258" s="213"/>
    </row>
    <row r="259" spans="1:10" ht="13.5" thickBot="1" x14ac:dyDescent="0.25">
      <c r="A259" s="155"/>
      <c r="B259" s="218"/>
      <c r="C259" s="219"/>
      <c r="D259" s="220"/>
      <c r="E259" s="221"/>
      <c r="F259" s="155"/>
      <c r="G259" s="213"/>
      <c r="H259" s="213"/>
      <c r="I259" s="213"/>
      <c r="J259" s="213"/>
    </row>
    <row r="260" spans="1:10" ht="13.5" thickBot="1" x14ac:dyDescent="0.25">
      <c r="A260" s="155"/>
      <c r="B260" s="155"/>
      <c r="C260" s="155"/>
      <c r="D260" s="222"/>
      <c r="E260" s="155"/>
      <c r="F260" s="155"/>
      <c r="G260" s="213"/>
      <c r="H260" s="213"/>
      <c r="I260" s="213"/>
      <c r="J260" s="213"/>
    </row>
    <row r="261" spans="1:10" x14ac:dyDescent="0.2">
      <c r="A261" s="155"/>
      <c r="B261" s="223" t="s">
        <v>144</v>
      </c>
      <c r="C261" s="224"/>
      <c r="D261" s="225"/>
      <c r="E261" s="226"/>
      <c r="F261" s="155"/>
      <c r="G261" s="213"/>
      <c r="H261" s="213"/>
      <c r="I261" s="213"/>
      <c r="J261" s="213"/>
    </row>
    <row r="262" spans="1:10" x14ac:dyDescent="0.2">
      <c r="A262" s="155"/>
      <c r="B262" s="227"/>
      <c r="C262" s="213"/>
      <c r="D262" s="250"/>
      <c r="E262" s="214"/>
      <c r="F262" s="155"/>
      <c r="G262" s="213"/>
      <c r="H262" s="213"/>
      <c r="I262" s="213"/>
      <c r="J262" s="213"/>
    </row>
    <row r="263" spans="1:10" x14ac:dyDescent="0.2">
      <c r="A263" s="155"/>
      <c r="B263" s="212" t="s">
        <v>16</v>
      </c>
      <c r="C263" s="213"/>
      <c r="D263" s="250"/>
      <c r="E263" s="214"/>
      <c r="F263" s="155"/>
      <c r="G263" s="213"/>
      <c r="H263" s="213"/>
      <c r="I263" s="213"/>
      <c r="J263" s="213"/>
    </row>
    <row r="264" spans="1:10" x14ac:dyDescent="0.2">
      <c r="A264" s="155"/>
      <c r="B264" s="212"/>
      <c r="C264" s="310" t="s">
        <v>370</v>
      </c>
      <c r="D264" s="310"/>
      <c r="E264" s="310"/>
      <c r="F264" s="155"/>
      <c r="G264" s="213"/>
      <c r="H264" s="213"/>
      <c r="I264" s="213"/>
      <c r="J264" s="213"/>
    </row>
    <row r="265" spans="1:10" ht="13.5" thickBot="1" x14ac:dyDescent="0.25">
      <c r="A265" s="155"/>
      <c r="B265" s="212" t="s">
        <v>17</v>
      </c>
      <c r="C265" s="213"/>
      <c r="D265" s="250"/>
      <c r="E265" s="214"/>
      <c r="F265" s="155"/>
      <c r="G265" s="213"/>
      <c r="H265" s="213"/>
      <c r="I265" s="213"/>
      <c r="J265" s="213"/>
    </row>
    <row r="266" spans="1:10" ht="13.5" thickBot="1" x14ac:dyDescent="0.25">
      <c r="A266" s="155"/>
      <c r="B266" s="312" t="s">
        <v>137</v>
      </c>
      <c r="C266" s="313"/>
      <c r="D266" s="313"/>
      <c r="E266" s="314"/>
      <c r="F266" s="155"/>
      <c r="G266" s="213"/>
      <c r="H266" s="213"/>
      <c r="I266" s="213"/>
      <c r="J266" s="213"/>
    </row>
    <row r="267" spans="1:10" x14ac:dyDescent="0.2">
      <c r="A267" s="155"/>
      <c r="B267" s="316" t="s">
        <v>138</v>
      </c>
      <c r="C267" s="317"/>
      <c r="D267" s="228" t="s">
        <v>11</v>
      </c>
      <c r="E267" s="228" t="s">
        <v>139</v>
      </c>
      <c r="F267" s="155"/>
      <c r="G267" s="213"/>
      <c r="H267" s="213"/>
      <c r="I267" s="213"/>
      <c r="J267" s="213"/>
    </row>
    <row r="268" spans="1:10" s="155" customFormat="1" x14ac:dyDescent="0.2">
      <c r="B268" s="305" t="s">
        <v>301</v>
      </c>
      <c r="C268" s="305"/>
      <c r="D268" s="246">
        <v>28</v>
      </c>
      <c r="E268" s="165" t="s">
        <v>300</v>
      </c>
      <c r="G268" s="250"/>
      <c r="H268" s="213"/>
      <c r="I268" s="261"/>
      <c r="J268" s="213"/>
    </row>
    <row r="269" spans="1:10" s="155" customFormat="1" x14ac:dyDescent="0.2">
      <c r="B269" s="305" t="s">
        <v>302</v>
      </c>
      <c r="C269" s="305"/>
      <c r="D269" s="246">
        <v>63</v>
      </c>
      <c r="E269" s="165" t="s">
        <v>246</v>
      </c>
      <c r="G269" s="250"/>
      <c r="H269" s="213"/>
      <c r="I269" s="261"/>
      <c r="J269" s="213"/>
    </row>
    <row r="270" spans="1:10" s="155" customFormat="1" x14ac:dyDescent="0.2">
      <c r="B270" s="305" t="s">
        <v>304</v>
      </c>
      <c r="C270" s="305"/>
      <c r="D270" s="246">
        <v>63</v>
      </c>
      <c r="E270" s="165" t="s">
        <v>247</v>
      </c>
      <c r="G270" s="250"/>
      <c r="H270" s="213"/>
      <c r="I270" s="261"/>
      <c r="J270" s="213"/>
    </row>
    <row r="271" spans="1:10" s="155" customFormat="1" x14ac:dyDescent="0.2">
      <c r="B271" s="305" t="s">
        <v>303</v>
      </c>
      <c r="C271" s="305"/>
      <c r="D271" s="246">
        <v>38</v>
      </c>
      <c r="E271" s="165" t="s">
        <v>248</v>
      </c>
      <c r="G271" s="250"/>
      <c r="H271" s="213"/>
      <c r="I271" s="261"/>
      <c r="J271" s="213"/>
    </row>
    <row r="272" spans="1:10" s="155" customFormat="1" x14ac:dyDescent="0.2">
      <c r="B272" s="305" t="s">
        <v>298</v>
      </c>
      <c r="C272" s="305"/>
      <c r="D272" s="246">
        <v>32</v>
      </c>
      <c r="E272" s="165" t="s">
        <v>299</v>
      </c>
      <c r="G272" s="250"/>
      <c r="H272" s="213"/>
      <c r="I272" s="261"/>
      <c r="J272" s="213"/>
    </row>
    <row r="273" spans="1:10" s="155" customFormat="1" x14ac:dyDescent="0.2">
      <c r="B273" s="305" t="s">
        <v>249</v>
      </c>
      <c r="C273" s="305"/>
      <c r="D273" s="246">
        <v>28</v>
      </c>
      <c r="E273" s="165" t="s">
        <v>250</v>
      </c>
      <c r="G273" s="250"/>
      <c r="H273" s="213"/>
      <c r="I273" s="261"/>
      <c r="J273" s="213"/>
    </row>
    <row r="274" spans="1:10" s="155" customFormat="1" x14ac:dyDescent="0.2">
      <c r="B274" s="305" t="s">
        <v>251</v>
      </c>
      <c r="C274" s="305"/>
      <c r="D274" s="246">
        <v>36</v>
      </c>
      <c r="E274" s="165" t="s">
        <v>252</v>
      </c>
      <c r="G274" s="250"/>
      <c r="H274" s="213"/>
      <c r="I274" s="261"/>
      <c r="J274" s="213"/>
    </row>
    <row r="275" spans="1:10" s="155" customFormat="1" x14ac:dyDescent="0.2">
      <c r="B275" s="305" t="s">
        <v>253</v>
      </c>
      <c r="C275" s="305"/>
      <c r="D275" s="246">
        <v>36</v>
      </c>
      <c r="E275" s="165" t="s">
        <v>254</v>
      </c>
      <c r="G275" s="250"/>
      <c r="H275" s="213"/>
      <c r="I275" s="261"/>
      <c r="J275" s="213"/>
    </row>
    <row r="276" spans="1:10" s="155" customFormat="1" x14ac:dyDescent="0.2">
      <c r="B276" s="305" t="s">
        <v>255</v>
      </c>
      <c r="C276" s="305"/>
      <c r="D276" s="246">
        <v>76</v>
      </c>
      <c r="E276" s="165" t="s">
        <v>256</v>
      </c>
      <c r="G276" s="250"/>
      <c r="H276" s="213"/>
      <c r="I276" s="261"/>
      <c r="J276" s="213"/>
    </row>
    <row r="277" spans="1:10" s="155" customFormat="1" x14ac:dyDescent="0.2">
      <c r="B277" s="305" t="s">
        <v>305</v>
      </c>
      <c r="C277" s="305"/>
      <c r="D277" s="246">
        <v>51</v>
      </c>
      <c r="E277" s="165" t="s">
        <v>257</v>
      </c>
      <c r="G277" s="250"/>
      <c r="H277" s="213"/>
      <c r="I277" s="261"/>
      <c r="J277" s="213"/>
    </row>
    <row r="278" spans="1:10" s="155" customFormat="1" x14ac:dyDescent="0.2">
      <c r="B278" s="305" t="s">
        <v>258</v>
      </c>
      <c r="C278" s="305"/>
      <c r="D278" s="246">
        <v>25</v>
      </c>
      <c r="E278" s="165" t="s">
        <v>259</v>
      </c>
      <c r="G278" s="250"/>
      <c r="H278" s="213"/>
      <c r="I278" s="261"/>
      <c r="J278" s="213"/>
    </row>
    <row r="279" spans="1:10" s="155" customFormat="1" x14ac:dyDescent="0.2">
      <c r="B279" s="305" t="s">
        <v>260</v>
      </c>
      <c r="C279" s="305"/>
      <c r="D279" s="246">
        <v>51</v>
      </c>
      <c r="E279" s="165" t="s">
        <v>261</v>
      </c>
      <c r="G279" s="250"/>
      <c r="H279" s="213"/>
      <c r="I279" s="261"/>
      <c r="J279" s="213"/>
    </row>
    <row r="280" spans="1:10" s="155" customFormat="1" x14ac:dyDescent="0.2">
      <c r="B280" s="305" t="s">
        <v>306</v>
      </c>
      <c r="C280" s="305"/>
      <c r="D280" s="246">
        <v>51</v>
      </c>
      <c r="E280" s="165" t="s">
        <v>262</v>
      </c>
      <c r="G280" s="250"/>
      <c r="H280" s="213"/>
      <c r="I280" s="261"/>
      <c r="J280" s="213"/>
    </row>
    <row r="281" spans="1:10" s="155" customFormat="1" x14ac:dyDescent="0.2">
      <c r="B281" s="305" t="s">
        <v>263</v>
      </c>
      <c r="C281" s="305"/>
      <c r="D281" s="246">
        <v>32</v>
      </c>
      <c r="E281" s="165" t="s">
        <v>264</v>
      </c>
      <c r="G281" s="250"/>
      <c r="H281" s="213"/>
      <c r="I281" s="261"/>
      <c r="J281" s="213"/>
    </row>
    <row r="282" spans="1:10" s="155" customFormat="1" x14ac:dyDescent="0.2">
      <c r="B282" s="305" t="s">
        <v>265</v>
      </c>
      <c r="C282" s="305"/>
      <c r="D282" s="246">
        <v>45</v>
      </c>
      <c r="E282" s="165" t="s">
        <v>266</v>
      </c>
      <c r="G282" s="250"/>
      <c r="H282" s="213"/>
      <c r="I282" s="261"/>
      <c r="J282" s="213"/>
    </row>
    <row r="283" spans="1:10" s="155" customFormat="1" x14ac:dyDescent="0.2">
      <c r="B283" s="305" t="s">
        <v>267</v>
      </c>
      <c r="C283" s="305"/>
      <c r="D283" s="246">
        <v>38</v>
      </c>
      <c r="E283" s="165" t="s">
        <v>268</v>
      </c>
      <c r="G283" s="250"/>
      <c r="H283" s="213"/>
      <c r="I283" s="261"/>
      <c r="J283" s="213"/>
    </row>
    <row r="284" spans="1:10" s="155" customFormat="1" x14ac:dyDescent="0.2">
      <c r="B284" s="305" t="s">
        <v>269</v>
      </c>
      <c r="C284" s="305"/>
      <c r="D284" s="246">
        <v>38</v>
      </c>
      <c r="E284" s="165" t="s">
        <v>270</v>
      </c>
      <c r="G284" s="250"/>
      <c r="H284" s="213"/>
      <c r="I284" s="261"/>
      <c r="J284" s="213"/>
    </row>
    <row r="285" spans="1:10" s="155" customFormat="1" x14ac:dyDescent="0.2">
      <c r="B285" s="305" t="s">
        <v>271</v>
      </c>
      <c r="C285" s="305"/>
      <c r="D285" s="246">
        <v>32</v>
      </c>
      <c r="E285" s="165" t="s">
        <v>272</v>
      </c>
      <c r="G285" s="250"/>
      <c r="H285" s="213"/>
      <c r="I285" s="261"/>
      <c r="J285" s="213"/>
    </row>
    <row r="286" spans="1:10" s="155" customFormat="1" x14ac:dyDescent="0.2">
      <c r="B286" s="305" t="s">
        <v>273</v>
      </c>
      <c r="C286" s="305"/>
      <c r="D286" s="246">
        <v>32</v>
      </c>
      <c r="E286" s="165" t="s">
        <v>274</v>
      </c>
      <c r="G286" s="250"/>
      <c r="H286" s="213"/>
      <c r="I286" s="261"/>
      <c r="J286" s="213"/>
    </row>
    <row r="287" spans="1:10" s="155" customFormat="1" ht="13.5" thickBot="1" x14ac:dyDescent="0.25">
      <c r="B287" s="305" t="s">
        <v>307</v>
      </c>
      <c r="C287" s="305"/>
      <c r="D287" s="246">
        <v>32</v>
      </c>
      <c r="E287" s="165" t="s">
        <v>308</v>
      </c>
      <c r="G287" s="250"/>
      <c r="H287" s="213"/>
      <c r="I287" s="261"/>
      <c r="J287" s="213"/>
    </row>
    <row r="288" spans="1:10" ht="26.25" customHeight="1" thickBot="1" x14ac:dyDescent="0.25">
      <c r="A288" s="155"/>
      <c r="B288" s="307" t="s">
        <v>393</v>
      </c>
      <c r="C288" s="308"/>
      <c r="D288" s="308"/>
      <c r="E288" s="309"/>
      <c r="F288" s="155"/>
      <c r="G288" s="213"/>
      <c r="H288" s="213"/>
      <c r="I288" s="261"/>
      <c r="J288" s="261"/>
    </row>
    <row r="289" spans="1:10" x14ac:dyDescent="0.2">
      <c r="A289" s="155"/>
      <c r="B289" s="212" t="s">
        <v>18</v>
      </c>
      <c r="C289" s="213"/>
      <c r="D289" s="250"/>
      <c r="E289" s="214"/>
      <c r="F289" s="155"/>
      <c r="G289" s="213"/>
      <c r="H289" s="213"/>
      <c r="I289" s="213"/>
      <c r="J289" s="213"/>
    </row>
    <row r="290" spans="1:10" x14ac:dyDescent="0.2">
      <c r="A290" s="155"/>
      <c r="B290" s="216"/>
      <c r="C290" s="310" t="s">
        <v>63</v>
      </c>
      <c r="D290" s="310"/>
      <c r="E290" s="310"/>
      <c r="F290" s="155"/>
      <c r="G290" s="213"/>
      <c r="H290" s="213"/>
      <c r="I290" s="213"/>
      <c r="J290" s="213"/>
    </row>
    <row r="291" spans="1:10" x14ac:dyDescent="0.2">
      <c r="A291" s="155"/>
      <c r="B291" s="212" t="s">
        <v>19</v>
      </c>
      <c r="C291" s="217"/>
      <c r="D291" s="217"/>
      <c r="E291" s="251"/>
      <c r="F291" s="155"/>
      <c r="G291" s="213"/>
      <c r="H291" s="213"/>
      <c r="I291" s="213"/>
      <c r="J291" s="213"/>
    </row>
    <row r="292" spans="1:10" x14ac:dyDescent="0.2">
      <c r="A292" s="155"/>
      <c r="B292" s="216"/>
      <c r="C292" s="310" t="s">
        <v>140</v>
      </c>
      <c r="D292" s="310"/>
      <c r="E292" s="310"/>
      <c r="F292" s="155"/>
      <c r="G292" s="213"/>
      <c r="H292" s="213"/>
      <c r="I292" s="213"/>
      <c r="J292" s="213"/>
    </row>
    <row r="293" spans="1:10" x14ac:dyDescent="0.2">
      <c r="A293" s="155"/>
      <c r="B293" s="212" t="s">
        <v>20</v>
      </c>
      <c r="C293" s="213"/>
      <c r="D293" s="250"/>
      <c r="E293" s="214"/>
      <c r="F293" s="155"/>
      <c r="G293" s="213"/>
      <c r="H293" s="213"/>
      <c r="I293" s="213"/>
      <c r="J293" s="213"/>
    </row>
    <row r="294" spans="1:10" x14ac:dyDescent="0.2">
      <c r="A294" s="155"/>
      <c r="B294" s="212"/>
      <c r="C294" s="311" t="s">
        <v>64</v>
      </c>
      <c r="D294" s="311"/>
      <c r="E294" s="311"/>
      <c r="F294" s="155"/>
      <c r="G294" s="213"/>
      <c r="H294" s="213"/>
      <c r="I294" s="213"/>
      <c r="J294" s="213"/>
    </row>
    <row r="295" spans="1:10" ht="13.5" thickBot="1" x14ac:dyDescent="0.25">
      <c r="A295" s="155"/>
      <c r="B295" s="218"/>
      <c r="C295" s="219"/>
      <c r="D295" s="220"/>
      <c r="E295" s="221"/>
      <c r="F295" s="155"/>
      <c r="G295" s="213"/>
      <c r="H295" s="213"/>
      <c r="I295" s="213"/>
      <c r="J295" s="213"/>
    </row>
    <row r="296" spans="1:10" ht="13.5" thickBot="1" x14ac:dyDescent="0.25">
      <c r="A296" s="155"/>
      <c r="B296" s="155"/>
      <c r="C296" s="155"/>
      <c r="D296" s="222"/>
      <c r="E296" s="155"/>
      <c r="F296" s="155"/>
      <c r="G296" s="213"/>
      <c r="H296" s="213"/>
      <c r="I296" s="213"/>
      <c r="J296" s="213"/>
    </row>
    <row r="297" spans="1:10" x14ac:dyDescent="0.2">
      <c r="A297" s="155"/>
      <c r="B297" s="223" t="s">
        <v>145</v>
      </c>
      <c r="C297" s="224"/>
      <c r="D297" s="225"/>
      <c r="E297" s="226"/>
      <c r="F297" s="155"/>
      <c r="G297" s="213"/>
      <c r="H297" s="213"/>
      <c r="I297" s="213"/>
      <c r="J297" s="213"/>
    </row>
    <row r="298" spans="1:10" x14ac:dyDescent="0.2">
      <c r="A298" s="155"/>
      <c r="B298" s="227"/>
      <c r="C298" s="213"/>
      <c r="D298" s="250"/>
      <c r="E298" s="214"/>
      <c r="F298" s="155"/>
      <c r="G298" s="213"/>
      <c r="H298" s="213"/>
      <c r="I298" s="213"/>
      <c r="J298" s="213"/>
    </row>
    <row r="299" spans="1:10" x14ac:dyDescent="0.2">
      <c r="A299" s="155"/>
      <c r="B299" s="212" t="s">
        <v>16</v>
      </c>
      <c r="C299" s="213"/>
      <c r="D299" s="250"/>
      <c r="E299" s="214"/>
      <c r="F299" s="155"/>
      <c r="G299" s="213"/>
      <c r="H299" s="213"/>
      <c r="I299" s="213"/>
      <c r="J299" s="213"/>
    </row>
    <row r="300" spans="1:10" x14ac:dyDescent="0.2">
      <c r="A300" s="155"/>
      <c r="B300" s="212"/>
      <c r="C300" s="323" t="s">
        <v>362</v>
      </c>
      <c r="D300" s="323"/>
      <c r="E300" s="324"/>
      <c r="F300" s="155"/>
      <c r="G300" s="213"/>
      <c r="H300" s="213"/>
      <c r="I300" s="213"/>
      <c r="J300" s="213"/>
    </row>
    <row r="301" spans="1:10" ht="13.5" thickBot="1" x14ac:dyDescent="0.25">
      <c r="A301" s="155"/>
      <c r="B301" s="212" t="s">
        <v>17</v>
      </c>
      <c r="C301" s="213"/>
      <c r="D301" s="250"/>
      <c r="E301" s="214"/>
      <c r="F301" s="155"/>
      <c r="G301" s="213"/>
      <c r="H301" s="213"/>
      <c r="I301" s="213"/>
      <c r="J301" s="213"/>
    </row>
    <row r="302" spans="1:10" ht="13.5" thickBot="1" x14ac:dyDescent="0.25">
      <c r="A302" s="155"/>
      <c r="B302" s="312" t="s">
        <v>137</v>
      </c>
      <c r="C302" s="313"/>
      <c r="D302" s="313"/>
      <c r="E302" s="314"/>
      <c r="F302" s="155"/>
      <c r="G302" s="213"/>
      <c r="H302" s="213"/>
      <c r="I302" s="213"/>
      <c r="J302" s="213"/>
    </row>
    <row r="303" spans="1:10" ht="13.5" thickBot="1" x14ac:dyDescent="0.25">
      <c r="A303" s="155"/>
      <c r="B303" s="312" t="s">
        <v>138</v>
      </c>
      <c r="C303" s="314"/>
      <c r="D303" s="215" t="s">
        <v>11</v>
      </c>
      <c r="E303" s="215" t="s">
        <v>139</v>
      </c>
      <c r="F303" s="155"/>
      <c r="G303" s="213"/>
      <c r="H303" s="213"/>
      <c r="I303" s="213"/>
      <c r="J303" s="213"/>
    </row>
    <row r="304" spans="1:10" s="155" customFormat="1" x14ac:dyDescent="0.2">
      <c r="B304" s="315" t="s">
        <v>301</v>
      </c>
      <c r="C304" s="315"/>
      <c r="D304" s="254">
        <v>13</v>
      </c>
      <c r="E304" s="164" t="s">
        <v>300</v>
      </c>
      <c r="G304" s="253"/>
      <c r="H304" s="213"/>
      <c r="I304" s="261"/>
      <c r="J304" s="213"/>
    </row>
    <row r="305" spans="2:10" s="155" customFormat="1" x14ac:dyDescent="0.2">
      <c r="B305" s="305" t="s">
        <v>302</v>
      </c>
      <c r="C305" s="305"/>
      <c r="D305" s="254">
        <v>30</v>
      </c>
      <c r="E305" s="165" t="s">
        <v>246</v>
      </c>
      <c r="G305" s="253"/>
      <c r="H305" s="213"/>
      <c r="I305" s="261"/>
      <c r="J305" s="213"/>
    </row>
    <row r="306" spans="2:10" s="155" customFormat="1" x14ac:dyDescent="0.2">
      <c r="B306" s="305" t="s">
        <v>304</v>
      </c>
      <c r="C306" s="305"/>
      <c r="D306" s="254">
        <v>30</v>
      </c>
      <c r="E306" s="165" t="s">
        <v>247</v>
      </c>
      <c r="G306" s="253"/>
      <c r="H306" s="213"/>
      <c r="I306" s="261"/>
      <c r="J306" s="213"/>
    </row>
    <row r="307" spans="2:10" s="155" customFormat="1" x14ac:dyDescent="0.2">
      <c r="B307" s="305" t="s">
        <v>303</v>
      </c>
      <c r="C307" s="305"/>
      <c r="D307" s="254">
        <v>18</v>
      </c>
      <c r="E307" s="165" t="s">
        <v>248</v>
      </c>
      <c r="G307" s="253"/>
      <c r="H307" s="213"/>
      <c r="I307" s="261"/>
      <c r="J307" s="213"/>
    </row>
    <row r="308" spans="2:10" s="155" customFormat="1" x14ac:dyDescent="0.2">
      <c r="B308" s="305" t="s">
        <v>298</v>
      </c>
      <c r="C308" s="305"/>
      <c r="D308" s="254">
        <v>15</v>
      </c>
      <c r="E308" s="165" t="s">
        <v>299</v>
      </c>
      <c r="G308" s="253"/>
      <c r="H308" s="213"/>
      <c r="I308" s="261"/>
      <c r="J308" s="213"/>
    </row>
    <row r="309" spans="2:10" s="155" customFormat="1" x14ac:dyDescent="0.2">
      <c r="B309" s="305" t="s">
        <v>249</v>
      </c>
      <c r="C309" s="305"/>
      <c r="D309" s="254">
        <v>13</v>
      </c>
      <c r="E309" s="165" t="s">
        <v>250</v>
      </c>
      <c r="G309" s="253"/>
      <c r="H309" s="213"/>
      <c r="I309" s="261"/>
      <c r="J309" s="213"/>
    </row>
    <row r="310" spans="2:10" s="155" customFormat="1" x14ac:dyDescent="0.2">
      <c r="B310" s="305" t="s">
        <v>251</v>
      </c>
      <c r="C310" s="305"/>
      <c r="D310" s="254">
        <v>17</v>
      </c>
      <c r="E310" s="165" t="s">
        <v>252</v>
      </c>
      <c r="G310" s="253"/>
      <c r="H310" s="213"/>
      <c r="I310" s="261"/>
      <c r="J310" s="213"/>
    </row>
    <row r="311" spans="2:10" s="155" customFormat="1" x14ac:dyDescent="0.2">
      <c r="B311" s="305" t="s">
        <v>253</v>
      </c>
      <c r="C311" s="305"/>
      <c r="D311" s="254">
        <v>17</v>
      </c>
      <c r="E311" s="165" t="s">
        <v>254</v>
      </c>
      <c r="G311" s="253"/>
      <c r="H311" s="213"/>
      <c r="I311" s="261"/>
      <c r="J311" s="213"/>
    </row>
    <row r="312" spans="2:10" s="155" customFormat="1" x14ac:dyDescent="0.2">
      <c r="B312" s="305" t="s">
        <v>255</v>
      </c>
      <c r="C312" s="305"/>
      <c r="D312" s="254">
        <v>36</v>
      </c>
      <c r="E312" s="165" t="s">
        <v>256</v>
      </c>
      <c r="G312" s="253"/>
      <c r="H312" s="213"/>
      <c r="I312" s="261"/>
      <c r="J312" s="213"/>
    </row>
    <row r="313" spans="2:10" s="155" customFormat="1" x14ac:dyDescent="0.2">
      <c r="B313" s="305" t="s">
        <v>305</v>
      </c>
      <c r="C313" s="305"/>
      <c r="D313" s="254">
        <v>24</v>
      </c>
      <c r="E313" s="165" t="s">
        <v>257</v>
      </c>
      <c r="G313" s="253"/>
      <c r="H313" s="213"/>
      <c r="I313" s="261"/>
      <c r="J313" s="213"/>
    </row>
    <row r="314" spans="2:10" s="155" customFormat="1" x14ac:dyDescent="0.2">
      <c r="B314" s="305" t="s">
        <v>258</v>
      </c>
      <c r="C314" s="305"/>
      <c r="D314" s="254">
        <v>12</v>
      </c>
      <c r="E314" s="165" t="s">
        <v>259</v>
      </c>
      <c r="G314" s="253"/>
      <c r="H314" s="213"/>
      <c r="I314" s="261"/>
      <c r="J314" s="213"/>
    </row>
    <row r="315" spans="2:10" s="155" customFormat="1" x14ac:dyDescent="0.2">
      <c r="B315" s="305" t="s">
        <v>260</v>
      </c>
      <c r="C315" s="305"/>
      <c r="D315" s="254">
        <v>24</v>
      </c>
      <c r="E315" s="165" t="s">
        <v>261</v>
      </c>
      <c r="G315" s="253"/>
      <c r="H315" s="213"/>
      <c r="I315" s="261"/>
      <c r="J315" s="213"/>
    </row>
    <row r="316" spans="2:10" s="155" customFormat="1" x14ac:dyDescent="0.2">
      <c r="B316" s="305" t="s">
        <v>306</v>
      </c>
      <c r="C316" s="305"/>
      <c r="D316" s="254">
        <v>24</v>
      </c>
      <c r="E316" s="165" t="s">
        <v>262</v>
      </c>
      <c r="G316" s="253"/>
      <c r="H316" s="213"/>
      <c r="I316" s="261"/>
      <c r="J316" s="213"/>
    </row>
    <row r="317" spans="2:10" s="155" customFormat="1" x14ac:dyDescent="0.2">
      <c r="B317" s="305" t="s">
        <v>263</v>
      </c>
      <c r="C317" s="305"/>
      <c r="D317" s="254">
        <v>15</v>
      </c>
      <c r="E317" s="165" t="s">
        <v>264</v>
      </c>
      <c r="G317" s="253"/>
      <c r="H317" s="213"/>
      <c r="I317" s="261"/>
      <c r="J317" s="213"/>
    </row>
    <row r="318" spans="2:10" s="155" customFormat="1" x14ac:dyDescent="0.2">
      <c r="B318" s="305" t="s">
        <v>265</v>
      </c>
      <c r="C318" s="305"/>
      <c r="D318" s="254">
        <v>21</v>
      </c>
      <c r="E318" s="165" t="s">
        <v>266</v>
      </c>
      <c r="G318" s="253"/>
      <c r="H318" s="213"/>
      <c r="I318" s="261"/>
      <c r="J318" s="213"/>
    </row>
    <row r="319" spans="2:10" s="155" customFormat="1" x14ac:dyDescent="0.2">
      <c r="B319" s="305" t="s">
        <v>267</v>
      </c>
      <c r="C319" s="305"/>
      <c r="D319" s="254">
        <v>18</v>
      </c>
      <c r="E319" s="165" t="s">
        <v>268</v>
      </c>
      <c r="G319" s="253"/>
      <c r="H319" s="213"/>
      <c r="I319" s="261"/>
      <c r="J319" s="213"/>
    </row>
    <row r="320" spans="2:10" s="155" customFormat="1" x14ac:dyDescent="0.2">
      <c r="B320" s="305" t="s">
        <v>269</v>
      </c>
      <c r="C320" s="305"/>
      <c r="D320" s="254">
        <v>18</v>
      </c>
      <c r="E320" s="165" t="s">
        <v>270</v>
      </c>
      <c r="G320" s="253"/>
      <c r="H320" s="213"/>
      <c r="I320" s="261"/>
      <c r="J320" s="213"/>
    </row>
    <row r="321" spans="1:10" s="155" customFormat="1" x14ac:dyDescent="0.2">
      <c r="B321" s="305" t="s">
        <v>271</v>
      </c>
      <c r="C321" s="305"/>
      <c r="D321" s="254">
        <v>15</v>
      </c>
      <c r="E321" s="165" t="s">
        <v>272</v>
      </c>
      <c r="G321" s="253"/>
      <c r="H321" s="213"/>
      <c r="I321" s="261"/>
      <c r="J321" s="213"/>
    </row>
    <row r="322" spans="1:10" s="155" customFormat="1" x14ac:dyDescent="0.2">
      <c r="B322" s="305" t="s">
        <v>273</v>
      </c>
      <c r="C322" s="305"/>
      <c r="D322" s="254">
        <v>15</v>
      </c>
      <c r="E322" s="165" t="s">
        <v>274</v>
      </c>
      <c r="G322" s="253"/>
      <c r="H322" s="213"/>
      <c r="I322" s="261"/>
      <c r="J322" s="213"/>
    </row>
    <row r="323" spans="1:10" s="155" customFormat="1" ht="13.5" thickBot="1" x14ac:dyDescent="0.25">
      <c r="B323" s="305" t="s">
        <v>307</v>
      </c>
      <c r="C323" s="305"/>
      <c r="D323" s="254">
        <v>15</v>
      </c>
      <c r="E323" s="165" t="s">
        <v>308</v>
      </c>
      <c r="G323" s="253"/>
      <c r="H323" s="213"/>
      <c r="I323" s="261"/>
      <c r="J323" s="213"/>
    </row>
    <row r="324" spans="1:10" ht="26.25" customHeight="1" thickBot="1" x14ac:dyDescent="0.25">
      <c r="A324" s="155"/>
      <c r="B324" s="307" t="s">
        <v>394</v>
      </c>
      <c r="C324" s="308"/>
      <c r="D324" s="308"/>
      <c r="E324" s="309"/>
      <c r="F324" s="155"/>
      <c r="G324" s="213"/>
      <c r="H324" s="213"/>
      <c r="I324" s="261"/>
      <c r="J324" s="261"/>
    </row>
    <row r="325" spans="1:10" x14ac:dyDescent="0.2">
      <c r="A325" s="155"/>
      <c r="B325" s="212" t="s">
        <v>18</v>
      </c>
      <c r="C325" s="213"/>
      <c r="D325" s="250"/>
      <c r="E325" s="214"/>
      <c r="F325" s="155"/>
      <c r="G325" s="213"/>
      <c r="H325" s="213"/>
      <c r="I325" s="213"/>
      <c r="J325" s="213"/>
    </row>
    <row r="326" spans="1:10" x14ac:dyDescent="0.2">
      <c r="A326" s="155"/>
      <c r="B326" s="216"/>
      <c r="C326" s="310" t="s">
        <v>63</v>
      </c>
      <c r="D326" s="310"/>
      <c r="E326" s="310"/>
      <c r="F326" s="155"/>
      <c r="G326" s="213"/>
      <c r="H326" s="213"/>
      <c r="I326" s="213"/>
      <c r="J326" s="213"/>
    </row>
    <row r="327" spans="1:10" x14ac:dyDescent="0.2">
      <c r="A327" s="155"/>
      <c r="B327" s="212" t="s">
        <v>19</v>
      </c>
      <c r="C327" s="217"/>
      <c r="D327" s="217"/>
      <c r="E327" s="251"/>
      <c r="F327" s="155"/>
      <c r="G327" s="213"/>
      <c r="H327" s="213"/>
      <c r="I327" s="213"/>
      <c r="J327" s="213"/>
    </row>
    <row r="328" spans="1:10" x14ac:dyDescent="0.2">
      <c r="A328" s="155"/>
      <c r="B328" s="216"/>
      <c r="C328" s="310" t="s">
        <v>140</v>
      </c>
      <c r="D328" s="310"/>
      <c r="E328" s="310"/>
      <c r="F328" s="155"/>
      <c r="G328" s="213"/>
      <c r="H328" s="213"/>
      <c r="I328" s="213"/>
      <c r="J328" s="213"/>
    </row>
    <row r="329" spans="1:10" x14ac:dyDescent="0.2">
      <c r="A329" s="155"/>
      <c r="B329" s="212" t="s">
        <v>20</v>
      </c>
      <c r="C329" s="213"/>
      <c r="D329" s="250"/>
      <c r="E329" s="214"/>
      <c r="F329" s="155"/>
      <c r="G329" s="213"/>
      <c r="H329" s="213"/>
      <c r="I329" s="213"/>
      <c r="J329" s="213"/>
    </row>
    <row r="330" spans="1:10" x14ac:dyDescent="0.2">
      <c r="A330" s="155"/>
      <c r="B330" s="212"/>
      <c r="C330" s="311" t="s">
        <v>64</v>
      </c>
      <c r="D330" s="311"/>
      <c r="E330" s="311"/>
      <c r="F330" s="155"/>
      <c r="G330" s="213"/>
      <c r="H330" s="213"/>
      <c r="I330" s="213"/>
      <c r="J330" s="213"/>
    </row>
    <row r="331" spans="1:10" ht="13.5" thickBot="1" x14ac:dyDescent="0.25">
      <c r="A331" s="155"/>
      <c r="B331" s="218"/>
      <c r="C331" s="219"/>
      <c r="D331" s="220"/>
      <c r="E331" s="221"/>
      <c r="F331" s="155"/>
      <c r="G331" s="213"/>
      <c r="H331" s="213"/>
      <c r="I331" s="213"/>
      <c r="J331" s="213"/>
    </row>
    <row r="332" spans="1:10" ht="13.5" thickBot="1" x14ac:dyDescent="0.25">
      <c r="A332" s="155"/>
      <c r="B332" s="155"/>
      <c r="C332" s="155"/>
      <c r="D332" s="222"/>
      <c r="E332" s="155"/>
      <c r="F332" s="155"/>
      <c r="G332" s="213"/>
      <c r="H332" s="213"/>
      <c r="I332" s="213"/>
      <c r="J332" s="213"/>
    </row>
    <row r="333" spans="1:10" x14ac:dyDescent="0.2">
      <c r="A333" s="155"/>
      <c r="B333" s="223" t="s">
        <v>146</v>
      </c>
      <c r="C333" s="224"/>
      <c r="D333" s="225"/>
      <c r="E333" s="226"/>
      <c r="F333" s="155"/>
      <c r="G333" s="213"/>
      <c r="H333" s="213"/>
      <c r="I333" s="213"/>
      <c r="J333" s="213"/>
    </row>
    <row r="334" spans="1:10" x14ac:dyDescent="0.2">
      <c r="A334" s="155"/>
      <c r="B334" s="227"/>
      <c r="C334" s="213"/>
      <c r="D334" s="250"/>
      <c r="E334" s="214"/>
      <c r="F334" s="155"/>
      <c r="G334" s="213"/>
      <c r="H334" s="213"/>
      <c r="I334" s="213"/>
      <c r="J334" s="213"/>
    </row>
    <row r="335" spans="1:10" x14ac:dyDescent="0.2">
      <c r="A335" s="155"/>
      <c r="B335" s="212" t="s">
        <v>16</v>
      </c>
      <c r="C335" s="213"/>
      <c r="D335" s="250"/>
      <c r="E335" s="214"/>
      <c r="F335" s="155"/>
      <c r="G335" s="213"/>
      <c r="H335" s="213"/>
      <c r="I335" s="213"/>
      <c r="J335" s="213"/>
    </row>
    <row r="336" spans="1:10" x14ac:dyDescent="0.2">
      <c r="A336" s="155"/>
      <c r="B336" s="212"/>
      <c r="C336" s="310" t="s">
        <v>340</v>
      </c>
      <c r="D336" s="310"/>
      <c r="E336" s="310"/>
      <c r="F336" s="155"/>
      <c r="G336" s="213"/>
      <c r="H336" s="213"/>
      <c r="I336" s="213"/>
      <c r="J336" s="213"/>
    </row>
    <row r="337" spans="1:10" ht="13.5" thickBot="1" x14ac:dyDescent="0.25">
      <c r="A337" s="155"/>
      <c r="B337" s="212" t="s">
        <v>17</v>
      </c>
      <c r="C337" s="213"/>
      <c r="D337" s="250"/>
      <c r="E337" s="214"/>
      <c r="F337" s="155"/>
      <c r="G337" s="213"/>
      <c r="H337" s="213"/>
      <c r="I337" s="213"/>
      <c r="J337" s="213"/>
    </row>
    <row r="338" spans="1:10" ht="13.5" thickBot="1" x14ac:dyDescent="0.25">
      <c r="A338" s="155"/>
      <c r="B338" s="312" t="s">
        <v>137</v>
      </c>
      <c r="C338" s="313"/>
      <c r="D338" s="313"/>
      <c r="E338" s="314"/>
      <c r="F338" s="155"/>
      <c r="G338" s="213"/>
      <c r="H338" s="213"/>
      <c r="I338" s="213"/>
      <c r="J338" s="213"/>
    </row>
    <row r="339" spans="1:10" x14ac:dyDescent="0.2">
      <c r="A339" s="155"/>
      <c r="B339" s="316" t="s">
        <v>138</v>
      </c>
      <c r="C339" s="317"/>
      <c r="D339" s="228" t="s">
        <v>11</v>
      </c>
      <c r="E339" s="228" t="s">
        <v>139</v>
      </c>
      <c r="F339" s="155"/>
      <c r="G339" s="213"/>
      <c r="H339" s="213"/>
      <c r="I339" s="213"/>
      <c r="J339" s="213"/>
    </row>
    <row r="340" spans="1:10" s="155" customFormat="1" x14ac:dyDescent="0.2">
      <c r="B340" s="305" t="s">
        <v>301</v>
      </c>
      <c r="C340" s="305"/>
      <c r="D340" s="246">
        <v>50</v>
      </c>
      <c r="E340" s="165" t="s">
        <v>300</v>
      </c>
      <c r="G340" s="250"/>
      <c r="H340" s="213"/>
      <c r="I340" s="261"/>
      <c r="J340" s="213"/>
    </row>
    <row r="341" spans="1:10" s="155" customFormat="1" x14ac:dyDescent="0.2">
      <c r="B341" s="305" t="s">
        <v>302</v>
      </c>
      <c r="C341" s="305"/>
      <c r="D341" s="246">
        <v>114</v>
      </c>
      <c r="E341" s="165" t="s">
        <v>246</v>
      </c>
      <c r="G341" s="250"/>
      <c r="H341" s="213"/>
      <c r="I341" s="261"/>
      <c r="J341" s="213"/>
    </row>
    <row r="342" spans="1:10" s="155" customFormat="1" x14ac:dyDescent="0.2">
      <c r="B342" s="305" t="s">
        <v>304</v>
      </c>
      <c r="C342" s="305"/>
      <c r="D342" s="246">
        <v>114</v>
      </c>
      <c r="E342" s="165" t="s">
        <v>247</v>
      </c>
      <c r="G342" s="250"/>
      <c r="H342" s="213"/>
      <c r="I342" s="261"/>
      <c r="J342" s="213"/>
    </row>
    <row r="343" spans="1:10" s="155" customFormat="1" x14ac:dyDescent="0.2">
      <c r="B343" s="305" t="s">
        <v>303</v>
      </c>
      <c r="C343" s="305"/>
      <c r="D343" s="246">
        <v>69</v>
      </c>
      <c r="E343" s="165" t="s">
        <v>248</v>
      </c>
      <c r="G343" s="250"/>
      <c r="H343" s="213"/>
      <c r="I343" s="261"/>
      <c r="J343" s="213"/>
    </row>
    <row r="344" spans="1:10" s="155" customFormat="1" x14ac:dyDescent="0.2">
      <c r="B344" s="305" t="s">
        <v>298</v>
      </c>
      <c r="C344" s="305"/>
      <c r="D344" s="246">
        <v>58</v>
      </c>
      <c r="E344" s="165" t="s">
        <v>299</v>
      </c>
      <c r="G344" s="250"/>
      <c r="H344" s="213"/>
      <c r="I344" s="261"/>
      <c r="J344" s="213"/>
    </row>
    <row r="345" spans="1:10" s="155" customFormat="1" x14ac:dyDescent="0.2">
      <c r="B345" s="305" t="s">
        <v>249</v>
      </c>
      <c r="C345" s="305"/>
      <c r="D345" s="246">
        <v>50</v>
      </c>
      <c r="E345" s="165" t="s">
        <v>250</v>
      </c>
      <c r="G345" s="250"/>
      <c r="H345" s="213"/>
      <c r="I345" s="261"/>
      <c r="J345" s="213"/>
    </row>
    <row r="346" spans="1:10" s="155" customFormat="1" x14ac:dyDescent="0.2">
      <c r="B346" s="305" t="s">
        <v>251</v>
      </c>
      <c r="C346" s="305"/>
      <c r="D346" s="246">
        <v>64</v>
      </c>
      <c r="E346" s="165" t="s">
        <v>252</v>
      </c>
      <c r="G346" s="250"/>
      <c r="H346" s="213"/>
      <c r="I346" s="261"/>
      <c r="J346" s="213"/>
    </row>
    <row r="347" spans="1:10" s="155" customFormat="1" x14ac:dyDescent="0.2">
      <c r="B347" s="305" t="s">
        <v>253</v>
      </c>
      <c r="C347" s="305"/>
      <c r="D347" s="246">
        <v>64</v>
      </c>
      <c r="E347" s="165" t="s">
        <v>254</v>
      </c>
      <c r="G347" s="250"/>
      <c r="H347" s="213"/>
      <c r="I347" s="261"/>
      <c r="J347" s="213"/>
    </row>
    <row r="348" spans="1:10" s="155" customFormat="1" x14ac:dyDescent="0.2">
      <c r="B348" s="305" t="s">
        <v>255</v>
      </c>
      <c r="C348" s="305"/>
      <c r="D348" s="246">
        <v>137</v>
      </c>
      <c r="E348" s="165" t="s">
        <v>256</v>
      </c>
      <c r="G348" s="250"/>
      <c r="H348" s="213"/>
      <c r="I348" s="261"/>
      <c r="J348" s="213"/>
    </row>
    <row r="349" spans="1:10" s="155" customFormat="1" x14ac:dyDescent="0.2">
      <c r="B349" s="305" t="s">
        <v>305</v>
      </c>
      <c r="C349" s="305"/>
      <c r="D349" s="246">
        <v>91</v>
      </c>
      <c r="E349" s="165" t="s">
        <v>257</v>
      </c>
      <c r="G349" s="250"/>
      <c r="H349" s="213"/>
      <c r="I349" s="261"/>
      <c r="J349" s="213"/>
    </row>
    <row r="350" spans="1:10" s="155" customFormat="1" x14ac:dyDescent="0.2">
      <c r="B350" s="305" t="s">
        <v>258</v>
      </c>
      <c r="C350" s="305"/>
      <c r="D350" s="246">
        <v>46</v>
      </c>
      <c r="E350" s="165" t="s">
        <v>259</v>
      </c>
      <c r="G350" s="250"/>
      <c r="H350" s="213"/>
      <c r="I350" s="261"/>
      <c r="J350" s="213"/>
    </row>
    <row r="351" spans="1:10" s="155" customFormat="1" x14ac:dyDescent="0.2">
      <c r="B351" s="305" t="s">
        <v>260</v>
      </c>
      <c r="C351" s="305"/>
      <c r="D351" s="246">
        <v>91</v>
      </c>
      <c r="E351" s="165" t="s">
        <v>261</v>
      </c>
      <c r="G351" s="250"/>
      <c r="H351" s="213"/>
      <c r="I351" s="261"/>
      <c r="J351" s="213"/>
    </row>
    <row r="352" spans="1:10" s="155" customFormat="1" x14ac:dyDescent="0.2">
      <c r="B352" s="305" t="s">
        <v>306</v>
      </c>
      <c r="C352" s="305"/>
      <c r="D352" s="246">
        <v>91</v>
      </c>
      <c r="E352" s="165" t="s">
        <v>262</v>
      </c>
      <c r="G352" s="250"/>
      <c r="H352" s="213"/>
      <c r="I352" s="261"/>
      <c r="J352" s="213"/>
    </row>
    <row r="353" spans="1:10" s="155" customFormat="1" x14ac:dyDescent="0.2">
      <c r="B353" s="305" t="s">
        <v>263</v>
      </c>
      <c r="C353" s="305"/>
      <c r="D353" s="246">
        <v>58</v>
      </c>
      <c r="E353" s="165" t="s">
        <v>264</v>
      </c>
      <c r="G353" s="250"/>
      <c r="H353" s="213"/>
      <c r="I353" s="261"/>
      <c r="J353" s="213"/>
    </row>
    <row r="354" spans="1:10" s="155" customFormat="1" x14ac:dyDescent="0.2">
      <c r="B354" s="305" t="s">
        <v>265</v>
      </c>
      <c r="C354" s="305"/>
      <c r="D354" s="246">
        <v>80</v>
      </c>
      <c r="E354" s="165" t="s">
        <v>266</v>
      </c>
      <c r="G354" s="250"/>
      <c r="H354" s="213"/>
      <c r="I354" s="261"/>
      <c r="J354" s="213"/>
    </row>
    <row r="355" spans="1:10" s="155" customFormat="1" x14ac:dyDescent="0.2">
      <c r="B355" s="305" t="s">
        <v>267</v>
      </c>
      <c r="C355" s="305"/>
      <c r="D355" s="246">
        <v>69</v>
      </c>
      <c r="E355" s="165" t="s">
        <v>268</v>
      </c>
      <c r="G355" s="250"/>
      <c r="H355" s="213"/>
      <c r="I355" s="261"/>
      <c r="J355" s="213"/>
    </row>
    <row r="356" spans="1:10" s="155" customFormat="1" x14ac:dyDescent="0.2">
      <c r="B356" s="305" t="s">
        <v>269</v>
      </c>
      <c r="C356" s="305"/>
      <c r="D356" s="246">
        <v>69</v>
      </c>
      <c r="E356" s="165" t="s">
        <v>270</v>
      </c>
      <c r="G356" s="250"/>
      <c r="H356" s="213"/>
      <c r="I356" s="261"/>
      <c r="J356" s="213"/>
    </row>
    <row r="357" spans="1:10" s="155" customFormat="1" x14ac:dyDescent="0.2">
      <c r="B357" s="305" t="s">
        <v>271</v>
      </c>
      <c r="C357" s="305"/>
      <c r="D357" s="246">
        <v>58</v>
      </c>
      <c r="E357" s="165" t="s">
        <v>272</v>
      </c>
      <c r="G357" s="250"/>
      <c r="H357" s="213"/>
      <c r="I357" s="261"/>
      <c r="J357" s="213"/>
    </row>
    <row r="358" spans="1:10" s="155" customFormat="1" x14ac:dyDescent="0.2">
      <c r="B358" s="305" t="s">
        <v>273</v>
      </c>
      <c r="C358" s="305"/>
      <c r="D358" s="246">
        <v>58</v>
      </c>
      <c r="E358" s="165" t="s">
        <v>274</v>
      </c>
      <c r="G358" s="250"/>
      <c r="H358" s="213"/>
      <c r="I358" s="261"/>
      <c r="J358" s="213"/>
    </row>
    <row r="359" spans="1:10" s="155" customFormat="1" ht="13.5" thickBot="1" x14ac:dyDescent="0.25">
      <c r="B359" s="305" t="s">
        <v>307</v>
      </c>
      <c r="C359" s="305"/>
      <c r="D359" s="246">
        <v>58</v>
      </c>
      <c r="E359" s="165" t="s">
        <v>308</v>
      </c>
      <c r="G359" s="250"/>
      <c r="H359" s="213"/>
      <c r="I359" s="261"/>
      <c r="J359" s="213"/>
    </row>
    <row r="360" spans="1:10" ht="26.25" customHeight="1" thickBot="1" x14ac:dyDescent="0.25">
      <c r="A360" s="155"/>
      <c r="B360" s="307" t="s">
        <v>395</v>
      </c>
      <c r="C360" s="308"/>
      <c r="D360" s="308"/>
      <c r="E360" s="309"/>
      <c r="F360" s="155"/>
      <c r="G360" s="213">
        <f>1489*4</f>
        <v>5956</v>
      </c>
      <c r="H360" s="213"/>
      <c r="I360" s="261"/>
      <c r="J360" s="261"/>
    </row>
    <row r="361" spans="1:10" x14ac:dyDescent="0.2">
      <c r="A361" s="155"/>
      <c r="B361" s="212" t="s">
        <v>18</v>
      </c>
      <c r="C361" s="213"/>
      <c r="D361" s="250"/>
      <c r="E361" s="214"/>
      <c r="F361" s="155"/>
      <c r="G361" s="213">
        <f>+G360*3</f>
        <v>17868</v>
      </c>
      <c r="H361" s="213"/>
      <c r="I361" s="213"/>
      <c r="J361" s="213"/>
    </row>
    <row r="362" spans="1:10" x14ac:dyDescent="0.2">
      <c r="A362" s="155"/>
      <c r="B362" s="216"/>
      <c r="C362" s="310" t="s">
        <v>63</v>
      </c>
      <c r="D362" s="310"/>
      <c r="E362" s="310"/>
      <c r="F362" s="155"/>
      <c r="G362" s="213"/>
      <c r="H362" s="213"/>
      <c r="I362" s="213"/>
      <c r="J362" s="213"/>
    </row>
    <row r="363" spans="1:10" x14ac:dyDescent="0.2">
      <c r="A363" s="155"/>
      <c r="B363" s="212" t="s">
        <v>19</v>
      </c>
      <c r="C363" s="217"/>
      <c r="D363" s="217"/>
      <c r="E363" s="251"/>
      <c r="F363" s="155"/>
      <c r="G363" s="213"/>
      <c r="H363" s="213"/>
      <c r="I363" s="213"/>
      <c r="J363" s="213"/>
    </row>
    <row r="364" spans="1:10" x14ac:dyDescent="0.2">
      <c r="A364" s="155"/>
      <c r="B364" s="216"/>
      <c r="C364" s="310" t="s">
        <v>140</v>
      </c>
      <c r="D364" s="310"/>
      <c r="E364" s="310"/>
      <c r="F364" s="155"/>
      <c r="G364" s="213"/>
      <c r="H364" s="213"/>
      <c r="I364" s="213"/>
      <c r="J364" s="213"/>
    </row>
    <row r="365" spans="1:10" x14ac:dyDescent="0.2">
      <c r="A365" s="155"/>
      <c r="B365" s="212" t="s">
        <v>20</v>
      </c>
      <c r="C365" s="213"/>
      <c r="D365" s="250"/>
      <c r="E365" s="214"/>
      <c r="F365" s="155"/>
      <c r="G365" s="213"/>
      <c r="H365" s="213"/>
      <c r="I365" s="213"/>
      <c r="J365" s="213"/>
    </row>
    <row r="366" spans="1:10" x14ac:dyDescent="0.2">
      <c r="A366" s="155"/>
      <c r="B366" s="212"/>
      <c r="C366" s="311" t="s">
        <v>64</v>
      </c>
      <c r="D366" s="311"/>
      <c r="E366" s="311"/>
      <c r="F366" s="155"/>
      <c r="G366" s="213"/>
      <c r="H366" s="213"/>
      <c r="I366" s="213"/>
      <c r="J366" s="213"/>
    </row>
    <row r="367" spans="1:10" ht="13.5" thickBot="1" x14ac:dyDescent="0.25">
      <c r="A367" s="155"/>
      <c r="B367" s="218"/>
      <c r="C367" s="219"/>
      <c r="D367" s="220"/>
      <c r="E367" s="221"/>
      <c r="F367" s="155"/>
      <c r="G367" s="213"/>
      <c r="H367" s="213"/>
      <c r="I367" s="213"/>
      <c r="J367" s="213"/>
    </row>
    <row r="368" spans="1:10" ht="13.5" thickBot="1" x14ac:dyDescent="0.25">
      <c r="A368" s="155"/>
      <c r="B368" s="155"/>
      <c r="C368" s="155"/>
      <c r="D368" s="222"/>
      <c r="E368" s="155"/>
      <c r="F368" s="155"/>
      <c r="G368" s="213"/>
      <c r="H368" s="213"/>
      <c r="I368" s="213"/>
      <c r="J368" s="213"/>
    </row>
    <row r="369" spans="1:10" x14ac:dyDescent="0.2">
      <c r="A369" s="155"/>
      <c r="B369" s="223" t="s">
        <v>147</v>
      </c>
      <c r="C369" s="224"/>
      <c r="D369" s="225"/>
      <c r="E369" s="226"/>
      <c r="F369" s="155"/>
      <c r="G369" s="213"/>
      <c r="H369" s="213"/>
      <c r="I369" s="213"/>
      <c r="J369" s="213"/>
    </row>
    <row r="370" spans="1:10" x14ac:dyDescent="0.2">
      <c r="A370" s="155"/>
      <c r="B370" s="227"/>
      <c r="C370" s="213"/>
      <c r="D370" s="250"/>
      <c r="E370" s="214"/>
      <c r="F370" s="155"/>
      <c r="G370" s="213"/>
      <c r="H370" s="213"/>
      <c r="I370" s="213"/>
      <c r="J370" s="213"/>
    </row>
    <row r="371" spans="1:10" x14ac:dyDescent="0.2">
      <c r="A371" s="155"/>
      <c r="B371" s="212" t="s">
        <v>16</v>
      </c>
      <c r="C371" s="213"/>
      <c r="D371" s="250"/>
      <c r="E371" s="214"/>
      <c r="F371" s="155"/>
      <c r="G371" s="213"/>
      <c r="H371" s="213"/>
      <c r="I371" s="213"/>
      <c r="J371" s="213"/>
    </row>
    <row r="372" spans="1:10" x14ac:dyDescent="0.2">
      <c r="A372" s="155"/>
      <c r="B372" s="212"/>
      <c r="C372" s="310" t="s">
        <v>341</v>
      </c>
      <c r="D372" s="310"/>
      <c r="E372" s="310"/>
      <c r="F372" s="155"/>
      <c r="G372" s="213"/>
      <c r="H372" s="213"/>
      <c r="I372" s="213"/>
      <c r="J372" s="213"/>
    </row>
    <row r="373" spans="1:10" ht="13.5" thickBot="1" x14ac:dyDescent="0.25">
      <c r="A373" s="155"/>
      <c r="B373" s="212" t="s">
        <v>17</v>
      </c>
      <c r="C373" s="213"/>
      <c r="D373" s="250"/>
      <c r="E373" s="214"/>
      <c r="F373" s="155"/>
      <c r="G373" s="213"/>
      <c r="H373" s="213"/>
      <c r="I373" s="213"/>
      <c r="J373" s="213"/>
    </row>
    <row r="374" spans="1:10" ht="13.5" thickBot="1" x14ac:dyDescent="0.25">
      <c r="A374" s="155"/>
      <c r="B374" s="312" t="s">
        <v>137</v>
      </c>
      <c r="C374" s="313"/>
      <c r="D374" s="313"/>
      <c r="E374" s="314"/>
      <c r="F374" s="155"/>
      <c r="G374" s="213"/>
      <c r="H374" s="213"/>
      <c r="I374" s="213"/>
      <c r="J374" s="213"/>
    </row>
    <row r="375" spans="1:10" ht="13.5" thickBot="1" x14ac:dyDescent="0.25">
      <c r="A375" s="155"/>
      <c r="B375" s="312" t="s">
        <v>138</v>
      </c>
      <c r="C375" s="314"/>
      <c r="D375" s="215" t="s">
        <v>11</v>
      </c>
      <c r="E375" s="215" t="s">
        <v>139</v>
      </c>
      <c r="F375" s="155"/>
      <c r="G375" s="213"/>
      <c r="H375" s="213"/>
      <c r="I375" s="213"/>
      <c r="J375" s="213"/>
    </row>
    <row r="376" spans="1:10" s="155" customFormat="1" x14ac:dyDescent="0.2">
      <c r="B376" s="315" t="s">
        <v>301</v>
      </c>
      <c r="C376" s="315"/>
      <c r="D376" s="249">
        <v>130</v>
      </c>
      <c r="E376" s="164" t="s">
        <v>300</v>
      </c>
      <c r="G376" s="250"/>
      <c r="H376" s="213"/>
      <c r="I376" s="261"/>
      <c r="J376" s="213"/>
    </row>
    <row r="377" spans="1:10" s="155" customFormat="1" x14ac:dyDescent="0.2">
      <c r="B377" s="305" t="s">
        <v>302</v>
      </c>
      <c r="C377" s="305"/>
      <c r="D377" s="246">
        <v>296</v>
      </c>
      <c r="E377" s="165" t="s">
        <v>246</v>
      </c>
      <c r="G377" s="250"/>
      <c r="H377" s="213"/>
      <c r="I377" s="261"/>
      <c r="J377" s="213"/>
    </row>
    <row r="378" spans="1:10" s="155" customFormat="1" x14ac:dyDescent="0.2">
      <c r="B378" s="305" t="s">
        <v>304</v>
      </c>
      <c r="C378" s="305"/>
      <c r="D378" s="246">
        <v>296</v>
      </c>
      <c r="E378" s="165" t="s">
        <v>247</v>
      </c>
      <c r="G378" s="250"/>
      <c r="H378" s="213"/>
      <c r="I378" s="261"/>
      <c r="J378" s="213"/>
    </row>
    <row r="379" spans="1:10" s="155" customFormat="1" x14ac:dyDescent="0.2">
      <c r="B379" s="305" t="s">
        <v>303</v>
      </c>
      <c r="C379" s="305"/>
      <c r="D379" s="246">
        <v>178</v>
      </c>
      <c r="E379" s="165" t="s">
        <v>248</v>
      </c>
      <c r="G379" s="250"/>
      <c r="H379" s="213"/>
      <c r="I379" s="261"/>
      <c r="J379" s="213"/>
    </row>
    <row r="380" spans="1:10" s="155" customFormat="1" x14ac:dyDescent="0.2">
      <c r="B380" s="305" t="s">
        <v>298</v>
      </c>
      <c r="C380" s="305"/>
      <c r="D380" s="246">
        <v>148</v>
      </c>
      <c r="E380" s="165" t="s">
        <v>299</v>
      </c>
      <c r="G380" s="250"/>
      <c r="H380" s="213"/>
      <c r="I380" s="261"/>
      <c r="J380" s="213"/>
    </row>
    <row r="381" spans="1:10" s="155" customFormat="1" x14ac:dyDescent="0.2">
      <c r="B381" s="305" t="s">
        <v>249</v>
      </c>
      <c r="C381" s="305"/>
      <c r="D381" s="246">
        <v>130</v>
      </c>
      <c r="E381" s="165" t="s">
        <v>250</v>
      </c>
      <c r="G381" s="250"/>
      <c r="H381" s="213"/>
      <c r="I381" s="261"/>
      <c r="J381" s="213"/>
    </row>
    <row r="382" spans="1:10" s="155" customFormat="1" x14ac:dyDescent="0.2">
      <c r="B382" s="305" t="s">
        <v>251</v>
      </c>
      <c r="C382" s="305"/>
      <c r="D382" s="246">
        <v>166</v>
      </c>
      <c r="E382" s="165" t="s">
        <v>252</v>
      </c>
      <c r="G382" s="250"/>
      <c r="H382" s="213"/>
      <c r="I382" s="261"/>
      <c r="J382" s="213"/>
    </row>
    <row r="383" spans="1:10" s="155" customFormat="1" x14ac:dyDescent="0.2">
      <c r="B383" s="305" t="s">
        <v>253</v>
      </c>
      <c r="C383" s="305"/>
      <c r="D383" s="246">
        <v>166</v>
      </c>
      <c r="E383" s="165" t="s">
        <v>254</v>
      </c>
      <c r="G383" s="250"/>
      <c r="H383" s="213"/>
      <c r="I383" s="261"/>
      <c r="J383" s="213"/>
    </row>
    <row r="384" spans="1:10" s="155" customFormat="1" x14ac:dyDescent="0.2">
      <c r="B384" s="305" t="s">
        <v>255</v>
      </c>
      <c r="C384" s="305"/>
      <c r="D384" s="246">
        <v>355</v>
      </c>
      <c r="E384" s="165" t="s">
        <v>256</v>
      </c>
      <c r="G384" s="250"/>
      <c r="H384" s="213"/>
      <c r="I384" s="261"/>
      <c r="J384" s="213"/>
    </row>
    <row r="385" spans="1:10" s="155" customFormat="1" x14ac:dyDescent="0.2">
      <c r="B385" s="305" t="s">
        <v>305</v>
      </c>
      <c r="C385" s="305"/>
      <c r="D385" s="246">
        <v>237</v>
      </c>
      <c r="E385" s="165" t="s">
        <v>257</v>
      </c>
      <c r="G385" s="250"/>
      <c r="H385" s="213"/>
      <c r="I385" s="261"/>
      <c r="J385" s="213"/>
    </row>
    <row r="386" spans="1:10" s="155" customFormat="1" x14ac:dyDescent="0.2">
      <c r="B386" s="305" t="s">
        <v>258</v>
      </c>
      <c r="C386" s="305"/>
      <c r="D386" s="246">
        <v>118</v>
      </c>
      <c r="E386" s="165" t="s">
        <v>259</v>
      </c>
      <c r="G386" s="250"/>
      <c r="H386" s="213"/>
      <c r="I386" s="261"/>
      <c r="J386" s="213"/>
    </row>
    <row r="387" spans="1:10" s="155" customFormat="1" x14ac:dyDescent="0.2">
      <c r="B387" s="305" t="s">
        <v>260</v>
      </c>
      <c r="C387" s="305"/>
      <c r="D387" s="246">
        <v>237</v>
      </c>
      <c r="E387" s="165" t="s">
        <v>261</v>
      </c>
      <c r="G387" s="250"/>
      <c r="H387" s="213"/>
      <c r="I387" s="261"/>
      <c r="J387" s="213"/>
    </row>
    <row r="388" spans="1:10" s="155" customFormat="1" x14ac:dyDescent="0.2">
      <c r="B388" s="305" t="s">
        <v>306</v>
      </c>
      <c r="C388" s="305"/>
      <c r="D388" s="246">
        <v>237</v>
      </c>
      <c r="E388" s="165" t="s">
        <v>262</v>
      </c>
      <c r="G388" s="250"/>
      <c r="H388" s="213"/>
      <c r="I388" s="261"/>
      <c r="J388" s="213"/>
    </row>
    <row r="389" spans="1:10" s="155" customFormat="1" x14ac:dyDescent="0.2">
      <c r="B389" s="305" t="s">
        <v>263</v>
      </c>
      <c r="C389" s="305"/>
      <c r="D389" s="246">
        <v>148</v>
      </c>
      <c r="E389" s="165" t="s">
        <v>264</v>
      </c>
      <c r="G389" s="250"/>
      <c r="H389" s="213"/>
      <c r="I389" s="261"/>
      <c r="J389" s="213"/>
    </row>
    <row r="390" spans="1:10" s="155" customFormat="1" x14ac:dyDescent="0.2">
      <c r="B390" s="305" t="s">
        <v>265</v>
      </c>
      <c r="C390" s="305"/>
      <c r="D390" s="246">
        <v>207</v>
      </c>
      <c r="E390" s="165" t="s">
        <v>266</v>
      </c>
      <c r="G390" s="250"/>
      <c r="H390" s="213"/>
      <c r="I390" s="261"/>
      <c r="J390" s="213"/>
    </row>
    <row r="391" spans="1:10" s="155" customFormat="1" x14ac:dyDescent="0.2">
      <c r="B391" s="305" t="s">
        <v>267</v>
      </c>
      <c r="C391" s="305"/>
      <c r="D391" s="246">
        <v>178</v>
      </c>
      <c r="E391" s="165" t="s">
        <v>268</v>
      </c>
      <c r="G391" s="250"/>
      <c r="H391" s="213"/>
      <c r="I391" s="261"/>
      <c r="J391" s="213"/>
    </row>
    <row r="392" spans="1:10" s="155" customFormat="1" x14ac:dyDescent="0.2">
      <c r="B392" s="305" t="s">
        <v>269</v>
      </c>
      <c r="C392" s="305"/>
      <c r="D392" s="246">
        <v>178</v>
      </c>
      <c r="E392" s="165" t="s">
        <v>270</v>
      </c>
      <c r="G392" s="250"/>
      <c r="H392" s="213"/>
      <c r="I392" s="261"/>
      <c r="J392" s="213"/>
    </row>
    <row r="393" spans="1:10" s="155" customFormat="1" x14ac:dyDescent="0.2">
      <c r="B393" s="305" t="s">
        <v>271</v>
      </c>
      <c r="C393" s="305"/>
      <c r="D393" s="246">
        <v>148</v>
      </c>
      <c r="E393" s="165" t="s">
        <v>272</v>
      </c>
      <c r="G393" s="250"/>
      <c r="H393" s="213"/>
      <c r="I393" s="261"/>
      <c r="J393" s="213"/>
    </row>
    <row r="394" spans="1:10" s="155" customFormat="1" x14ac:dyDescent="0.2">
      <c r="B394" s="305" t="s">
        <v>273</v>
      </c>
      <c r="C394" s="305"/>
      <c r="D394" s="246">
        <v>148</v>
      </c>
      <c r="E394" s="165" t="s">
        <v>274</v>
      </c>
      <c r="G394" s="250"/>
      <c r="H394" s="213"/>
      <c r="I394" s="261"/>
      <c r="J394" s="213"/>
    </row>
    <row r="395" spans="1:10" s="155" customFormat="1" ht="13.5" thickBot="1" x14ac:dyDescent="0.25">
      <c r="B395" s="305" t="s">
        <v>307</v>
      </c>
      <c r="C395" s="305"/>
      <c r="D395" s="246">
        <v>148</v>
      </c>
      <c r="E395" s="165" t="s">
        <v>308</v>
      </c>
      <c r="G395" s="250"/>
      <c r="H395" s="213"/>
      <c r="I395" s="261"/>
      <c r="J395" s="213"/>
    </row>
    <row r="396" spans="1:10" ht="26.25" customHeight="1" thickBot="1" x14ac:dyDescent="0.25">
      <c r="A396" s="155"/>
      <c r="B396" s="307" t="s">
        <v>396</v>
      </c>
      <c r="C396" s="308"/>
      <c r="D396" s="308"/>
      <c r="E396" s="309"/>
      <c r="F396" s="155"/>
      <c r="G396" s="213"/>
      <c r="H396" s="213"/>
      <c r="I396" s="261"/>
      <c r="J396" s="213"/>
    </row>
    <row r="397" spans="1:10" x14ac:dyDescent="0.2">
      <c r="A397" s="155"/>
      <c r="B397" s="212" t="s">
        <v>18</v>
      </c>
      <c r="C397" s="213"/>
      <c r="D397" s="250"/>
      <c r="E397" s="214"/>
      <c r="F397" s="155"/>
      <c r="G397" s="213"/>
      <c r="H397" s="213"/>
      <c r="I397" s="213"/>
      <c r="J397" s="213"/>
    </row>
    <row r="398" spans="1:10" x14ac:dyDescent="0.2">
      <c r="A398" s="155"/>
      <c r="B398" s="216"/>
      <c r="C398" s="310" t="s">
        <v>63</v>
      </c>
      <c r="D398" s="310"/>
      <c r="E398" s="310"/>
      <c r="F398" s="155"/>
      <c r="G398" s="213"/>
      <c r="H398" s="213"/>
      <c r="I398" s="213"/>
      <c r="J398" s="213"/>
    </row>
    <row r="399" spans="1:10" x14ac:dyDescent="0.2">
      <c r="A399" s="155"/>
      <c r="B399" s="212" t="s">
        <v>19</v>
      </c>
      <c r="C399" s="217"/>
      <c r="D399" s="217"/>
      <c r="E399" s="251"/>
      <c r="F399" s="155"/>
      <c r="G399" s="213"/>
      <c r="H399" s="213"/>
      <c r="I399" s="213"/>
      <c r="J399" s="213"/>
    </row>
    <row r="400" spans="1:10" x14ac:dyDescent="0.2">
      <c r="A400" s="155"/>
      <c r="B400" s="216"/>
      <c r="C400" s="310" t="s">
        <v>140</v>
      </c>
      <c r="D400" s="310"/>
      <c r="E400" s="310"/>
      <c r="F400" s="155"/>
      <c r="G400" s="213"/>
      <c r="H400" s="213"/>
      <c r="I400" s="213"/>
      <c r="J400" s="213"/>
    </row>
    <row r="401" spans="1:10" x14ac:dyDescent="0.2">
      <c r="A401" s="155"/>
      <c r="B401" s="212" t="s">
        <v>20</v>
      </c>
      <c r="C401" s="213"/>
      <c r="D401" s="250"/>
      <c r="E401" s="214"/>
      <c r="F401" s="155"/>
      <c r="G401" s="213"/>
      <c r="H401" s="213"/>
      <c r="I401" s="213"/>
      <c r="J401" s="213"/>
    </row>
    <row r="402" spans="1:10" x14ac:dyDescent="0.2">
      <c r="A402" s="155"/>
      <c r="B402" s="212"/>
      <c r="C402" s="311" t="s">
        <v>64</v>
      </c>
      <c r="D402" s="311"/>
      <c r="E402" s="311"/>
      <c r="F402" s="155"/>
      <c r="G402" s="213"/>
      <c r="H402" s="213"/>
      <c r="I402" s="213"/>
      <c r="J402" s="213"/>
    </row>
    <row r="403" spans="1:10" ht="13.5" thickBot="1" x14ac:dyDescent="0.25">
      <c r="A403" s="155"/>
      <c r="B403" s="218"/>
      <c r="C403" s="219"/>
      <c r="D403" s="220"/>
      <c r="E403" s="221"/>
      <c r="F403" s="155"/>
      <c r="G403" s="213"/>
      <c r="H403" s="213"/>
      <c r="I403" s="213"/>
      <c r="J403" s="213"/>
    </row>
    <row r="404" spans="1:10" ht="13.5" thickBot="1" x14ac:dyDescent="0.25">
      <c r="A404" s="155"/>
      <c r="B404" s="155"/>
      <c r="C404" s="155"/>
      <c r="D404" s="222"/>
      <c r="E404" s="155"/>
      <c r="F404" s="155"/>
      <c r="G404" s="213"/>
      <c r="H404" s="213"/>
      <c r="I404" s="213"/>
      <c r="J404" s="213"/>
    </row>
    <row r="405" spans="1:10" x14ac:dyDescent="0.2">
      <c r="A405" s="155"/>
      <c r="B405" s="223" t="s">
        <v>148</v>
      </c>
      <c r="C405" s="224"/>
      <c r="D405" s="225"/>
      <c r="E405" s="226"/>
      <c r="F405" s="155"/>
      <c r="G405" s="213"/>
      <c r="H405" s="213"/>
      <c r="I405" s="213"/>
      <c r="J405" s="213"/>
    </row>
    <row r="406" spans="1:10" x14ac:dyDescent="0.2">
      <c r="A406" s="155"/>
      <c r="B406" s="227"/>
      <c r="C406" s="213"/>
      <c r="D406" s="250"/>
      <c r="E406" s="214"/>
      <c r="F406" s="155"/>
      <c r="G406" s="213"/>
      <c r="H406" s="213"/>
      <c r="I406" s="213"/>
      <c r="J406" s="213"/>
    </row>
    <row r="407" spans="1:10" x14ac:dyDescent="0.2">
      <c r="A407" s="155"/>
      <c r="B407" s="212" t="s">
        <v>16</v>
      </c>
      <c r="C407" s="213"/>
      <c r="D407" s="250"/>
      <c r="E407" s="214"/>
      <c r="F407" s="155"/>
      <c r="G407" s="213"/>
      <c r="H407" s="213"/>
      <c r="I407" s="213"/>
      <c r="J407" s="213"/>
    </row>
    <row r="408" spans="1:10" x14ac:dyDescent="0.2">
      <c r="A408" s="155"/>
      <c r="B408" s="212"/>
      <c r="C408" s="310" t="s">
        <v>357</v>
      </c>
      <c r="D408" s="310"/>
      <c r="E408" s="310"/>
      <c r="F408" s="155"/>
      <c r="G408" s="213"/>
      <c r="H408" s="213"/>
      <c r="I408" s="213"/>
      <c r="J408" s="213"/>
    </row>
    <row r="409" spans="1:10" ht="13.5" thickBot="1" x14ac:dyDescent="0.25">
      <c r="A409" s="155"/>
      <c r="B409" s="212" t="s">
        <v>17</v>
      </c>
      <c r="C409" s="213"/>
      <c r="D409" s="250"/>
      <c r="E409" s="214"/>
      <c r="F409" s="155"/>
      <c r="G409" s="213"/>
      <c r="H409" s="213"/>
      <c r="I409" s="213"/>
      <c r="J409" s="213"/>
    </row>
    <row r="410" spans="1:10" ht="13.5" thickBot="1" x14ac:dyDescent="0.25">
      <c r="A410" s="155"/>
      <c r="B410" s="312" t="s">
        <v>137</v>
      </c>
      <c r="C410" s="313"/>
      <c r="D410" s="313"/>
      <c r="E410" s="314"/>
      <c r="F410" s="155"/>
      <c r="G410" s="213"/>
      <c r="H410" s="213"/>
      <c r="I410" s="213"/>
      <c r="J410" s="213"/>
    </row>
    <row r="411" spans="1:10" ht="13.5" thickBot="1" x14ac:dyDescent="0.25">
      <c r="A411" s="155"/>
      <c r="B411" s="312" t="s">
        <v>138</v>
      </c>
      <c r="C411" s="314"/>
      <c r="D411" s="215" t="s">
        <v>11</v>
      </c>
      <c r="E411" s="215" t="s">
        <v>139</v>
      </c>
      <c r="F411" s="155"/>
      <c r="G411" s="213"/>
      <c r="H411" s="213"/>
      <c r="I411" s="213"/>
      <c r="J411" s="213"/>
    </row>
    <row r="412" spans="1:10" s="155" customFormat="1" x14ac:dyDescent="0.2">
      <c r="B412" s="315" t="s">
        <v>301</v>
      </c>
      <c r="C412" s="315"/>
      <c r="D412" s="249">
        <v>25</v>
      </c>
      <c r="E412" s="164" t="s">
        <v>300</v>
      </c>
      <c r="G412" s="250"/>
      <c r="H412" s="213"/>
      <c r="I412" s="261"/>
      <c r="J412" s="213"/>
    </row>
    <row r="413" spans="1:10" s="155" customFormat="1" x14ac:dyDescent="0.2">
      <c r="B413" s="305" t="s">
        <v>302</v>
      </c>
      <c r="C413" s="305"/>
      <c r="D413" s="246">
        <v>55</v>
      </c>
      <c r="E413" s="165" t="s">
        <v>246</v>
      </c>
      <c r="G413" s="250"/>
      <c r="H413" s="213"/>
      <c r="I413" s="261"/>
      <c r="J413" s="213"/>
    </row>
    <row r="414" spans="1:10" s="155" customFormat="1" x14ac:dyDescent="0.2">
      <c r="B414" s="305" t="s">
        <v>304</v>
      </c>
      <c r="C414" s="305"/>
      <c r="D414" s="246">
        <v>55</v>
      </c>
      <c r="E414" s="165" t="s">
        <v>247</v>
      </c>
      <c r="G414" s="250"/>
      <c r="H414" s="213"/>
      <c r="I414" s="261"/>
      <c r="J414" s="213"/>
    </row>
    <row r="415" spans="1:10" s="155" customFormat="1" x14ac:dyDescent="0.2">
      <c r="B415" s="305" t="s">
        <v>303</v>
      </c>
      <c r="C415" s="305"/>
      <c r="D415" s="246">
        <v>33</v>
      </c>
      <c r="E415" s="165" t="s">
        <v>248</v>
      </c>
      <c r="G415" s="250"/>
      <c r="H415" s="213"/>
      <c r="I415" s="261"/>
      <c r="J415" s="213"/>
    </row>
    <row r="416" spans="1:10" s="155" customFormat="1" x14ac:dyDescent="0.2">
      <c r="B416" s="305" t="s">
        <v>298</v>
      </c>
      <c r="C416" s="305"/>
      <c r="D416" s="246">
        <v>28</v>
      </c>
      <c r="E416" s="165" t="s">
        <v>299</v>
      </c>
      <c r="G416" s="250"/>
      <c r="H416" s="213"/>
      <c r="I416" s="261"/>
      <c r="J416" s="213"/>
    </row>
    <row r="417" spans="1:10" s="155" customFormat="1" x14ac:dyDescent="0.2">
      <c r="B417" s="305" t="s">
        <v>249</v>
      </c>
      <c r="C417" s="305"/>
      <c r="D417" s="246">
        <v>25</v>
      </c>
      <c r="E417" s="165" t="s">
        <v>250</v>
      </c>
      <c r="G417" s="250"/>
      <c r="H417" s="213"/>
      <c r="I417" s="261"/>
      <c r="J417" s="213"/>
    </row>
    <row r="418" spans="1:10" s="155" customFormat="1" x14ac:dyDescent="0.2">
      <c r="B418" s="305" t="s">
        <v>251</v>
      </c>
      <c r="C418" s="305"/>
      <c r="D418" s="246">
        <v>30</v>
      </c>
      <c r="E418" s="165" t="s">
        <v>252</v>
      </c>
      <c r="G418" s="250"/>
      <c r="H418" s="213"/>
      <c r="I418" s="261"/>
      <c r="J418" s="213"/>
    </row>
    <row r="419" spans="1:10" s="155" customFormat="1" x14ac:dyDescent="0.2">
      <c r="B419" s="305" t="s">
        <v>253</v>
      </c>
      <c r="C419" s="305"/>
      <c r="D419" s="246">
        <v>30</v>
      </c>
      <c r="E419" s="165" t="s">
        <v>254</v>
      </c>
      <c r="G419" s="250"/>
      <c r="H419" s="213"/>
      <c r="I419" s="261"/>
      <c r="J419" s="213"/>
    </row>
    <row r="420" spans="1:10" s="155" customFormat="1" x14ac:dyDescent="0.2">
      <c r="B420" s="305" t="s">
        <v>255</v>
      </c>
      <c r="C420" s="305"/>
      <c r="D420" s="246">
        <v>66</v>
      </c>
      <c r="E420" s="165" t="s">
        <v>256</v>
      </c>
      <c r="G420" s="250"/>
      <c r="H420" s="213"/>
      <c r="I420" s="261"/>
      <c r="J420" s="213"/>
    </row>
    <row r="421" spans="1:10" s="155" customFormat="1" x14ac:dyDescent="0.2">
      <c r="B421" s="305" t="s">
        <v>305</v>
      </c>
      <c r="C421" s="305"/>
      <c r="D421" s="246">
        <v>44</v>
      </c>
      <c r="E421" s="165" t="s">
        <v>257</v>
      </c>
      <c r="G421" s="250"/>
      <c r="H421" s="213"/>
      <c r="I421" s="261"/>
      <c r="J421" s="213"/>
    </row>
    <row r="422" spans="1:10" s="155" customFormat="1" x14ac:dyDescent="0.2">
      <c r="B422" s="305" t="s">
        <v>258</v>
      </c>
      <c r="C422" s="305"/>
      <c r="D422" s="246">
        <v>22</v>
      </c>
      <c r="E422" s="165" t="s">
        <v>259</v>
      </c>
      <c r="G422" s="250"/>
      <c r="H422" s="213"/>
      <c r="I422" s="261"/>
      <c r="J422" s="213"/>
    </row>
    <row r="423" spans="1:10" s="155" customFormat="1" x14ac:dyDescent="0.2">
      <c r="B423" s="305" t="s">
        <v>260</v>
      </c>
      <c r="C423" s="305"/>
      <c r="D423" s="246">
        <v>44</v>
      </c>
      <c r="E423" s="165" t="s">
        <v>261</v>
      </c>
      <c r="G423" s="250"/>
      <c r="H423" s="213"/>
      <c r="I423" s="261"/>
      <c r="J423" s="213"/>
    </row>
    <row r="424" spans="1:10" s="155" customFormat="1" x14ac:dyDescent="0.2">
      <c r="B424" s="305" t="s">
        <v>306</v>
      </c>
      <c r="C424" s="305"/>
      <c r="D424" s="246">
        <v>44</v>
      </c>
      <c r="E424" s="165" t="s">
        <v>262</v>
      </c>
      <c r="G424" s="250"/>
      <c r="H424" s="213"/>
      <c r="I424" s="261"/>
      <c r="J424" s="213"/>
    </row>
    <row r="425" spans="1:10" s="155" customFormat="1" x14ac:dyDescent="0.2">
      <c r="B425" s="305" t="s">
        <v>263</v>
      </c>
      <c r="C425" s="305"/>
      <c r="D425" s="246">
        <v>28</v>
      </c>
      <c r="E425" s="165" t="s">
        <v>264</v>
      </c>
      <c r="G425" s="250"/>
      <c r="H425" s="213"/>
      <c r="I425" s="261"/>
      <c r="J425" s="213"/>
    </row>
    <row r="426" spans="1:10" s="155" customFormat="1" x14ac:dyDescent="0.2">
      <c r="B426" s="305" t="s">
        <v>265</v>
      </c>
      <c r="C426" s="305"/>
      <c r="D426" s="246">
        <v>39</v>
      </c>
      <c r="E426" s="165" t="s">
        <v>266</v>
      </c>
      <c r="G426" s="250"/>
      <c r="H426" s="213"/>
      <c r="I426" s="261"/>
      <c r="J426" s="213"/>
    </row>
    <row r="427" spans="1:10" s="155" customFormat="1" x14ac:dyDescent="0.2">
      <c r="B427" s="305" t="s">
        <v>267</v>
      </c>
      <c r="C427" s="305"/>
      <c r="D427" s="246">
        <v>33</v>
      </c>
      <c r="E427" s="165" t="s">
        <v>268</v>
      </c>
      <c r="G427" s="250"/>
      <c r="H427" s="213"/>
      <c r="I427" s="261"/>
      <c r="J427" s="213"/>
    </row>
    <row r="428" spans="1:10" s="155" customFormat="1" x14ac:dyDescent="0.2">
      <c r="B428" s="305" t="s">
        <v>269</v>
      </c>
      <c r="C428" s="305"/>
      <c r="D428" s="246">
        <v>33</v>
      </c>
      <c r="E428" s="165" t="s">
        <v>270</v>
      </c>
      <c r="G428" s="250"/>
      <c r="H428" s="213"/>
      <c r="I428" s="261"/>
      <c r="J428" s="213"/>
    </row>
    <row r="429" spans="1:10" s="155" customFormat="1" x14ac:dyDescent="0.2">
      <c r="B429" s="305" t="s">
        <v>271</v>
      </c>
      <c r="C429" s="305"/>
      <c r="D429" s="246">
        <v>28</v>
      </c>
      <c r="E429" s="165" t="s">
        <v>272</v>
      </c>
      <c r="G429" s="250"/>
      <c r="H429" s="213"/>
      <c r="I429" s="261"/>
      <c r="J429" s="213"/>
    </row>
    <row r="430" spans="1:10" s="155" customFormat="1" x14ac:dyDescent="0.2">
      <c r="B430" s="305" t="s">
        <v>273</v>
      </c>
      <c r="C430" s="305"/>
      <c r="D430" s="246">
        <v>28</v>
      </c>
      <c r="E430" s="165" t="s">
        <v>274</v>
      </c>
      <c r="G430" s="250"/>
      <c r="H430" s="213"/>
      <c r="I430" s="261"/>
      <c r="J430" s="213"/>
    </row>
    <row r="431" spans="1:10" s="155" customFormat="1" ht="13.5" thickBot="1" x14ac:dyDescent="0.25">
      <c r="B431" s="305" t="s">
        <v>307</v>
      </c>
      <c r="C431" s="305"/>
      <c r="D431" s="246">
        <v>28</v>
      </c>
      <c r="E431" s="165" t="s">
        <v>308</v>
      </c>
      <c r="G431" s="250"/>
      <c r="H431" s="213"/>
      <c r="I431" s="261"/>
      <c r="J431" s="213"/>
    </row>
    <row r="432" spans="1:10" ht="26.25" customHeight="1" thickBot="1" x14ac:dyDescent="0.25">
      <c r="A432" s="155"/>
      <c r="B432" s="307" t="s">
        <v>397</v>
      </c>
      <c r="C432" s="308"/>
      <c r="D432" s="308"/>
      <c r="E432" s="309"/>
      <c r="F432" s="155"/>
      <c r="G432" s="213"/>
      <c r="H432" s="213"/>
      <c r="I432" s="261"/>
      <c r="J432" s="261"/>
    </row>
    <row r="433" spans="1:10" x14ac:dyDescent="0.2">
      <c r="A433" s="155"/>
      <c r="B433" s="212" t="s">
        <v>18</v>
      </c>
      <c r="C433" s="213"/>
      <c r="D433" s="250"/>
      <c r="E433" s="214"/>
      <c r="F433" s="155"/>
      <c r="G433" s="213"/>
      <c r="H433" s="213"/>
      <c r="I433" s="213"/>
      <c r="J433" s="213"/>
    </row>
    <row r="434" spans="1:10" x14ac:dyDescent="0.2">
      <c r="A434" s="155"/>
      <c r="B434" s="216"/>
      <c r="C434" s="310" t="s">
        <v>63</v>
      </c>
      <c r="D434" s="310"/>
      <c r="E434" s="310"/>
      <c r="F434" s="155"/>
      <c r="G434" s="213"/>
      <c r="H434" s="213"/>
      <c r="I434" s="213"/>
      <c r="J434" s="213"/>
    </row>
    <row r="435" spans="1:10" x14ac:dyDescent="0.2">
      <c r="A435" s="155"/>
      <c r="B435" s="212" t="s">
        <v>19</v>
      </c>
      <c r="C435" s="217"/>
      <c r="D435" s="217"/>
      <c r="E435" s="251"/>
      <c r="F435" s="155"/>
      <c r="G435" s="213"/>
      <c r="H435" s="213"/>
      <c r="I435" s="213"/>
      <c r="J435" s="213"/>
    </row>
    <row r="436" spans="1:10" x14ac:dyDescent="0.2">
      <c r="A436" s="155"/>
      <c r="B436" s="216"/>
      <c r="C436" s="310" t="s">
        <v>140</v>
      </c>
      <c r="D436" s="310"/>
      <c r="E436" s="310"/>
      <c r="F436" s="155"/>
      <c r="G436" s="213"/>
      <c r="H436" s="213"/>
      <c r="I436" s="213"/>
      <c r="J436" s="213"/>
    </row>
    <row r="437" spans="1:10" x14ac:dyDescent="0.2">
      <c r="A437" s="155"/>
      <c r="B437" s="212" t="s">
        <v>20</v>
      </c>
      <c r="C437" s="213"/>
      <c r="D437" s="250"/>
      <c r="E437" s="214"/>
      <c r="F437" s="155"/>
      <c r="G437" s="213"/>
      <c r="H437" s="213"/>
      <c r="I437" s="213"/>
      <c r="J437" s="213"/>
    </row>
    <row r="438" spans="1:10" x14ac:dyDescent="0.2">
      <c r="A438" s="155"/>
      <c r="B438" s="212"/>
      <c r="C438" s="311" t="s">
        <v>64</v>
      </c>
      <c r="D438" s="311"/>
      <c r="E438" s="311"/>
      <c r="F438" s="155"/>
      <c r="G438" s="213"/>
      <c r="H438" s="213"/>
      <c r="I438" s="213"/>
      <c r="J438" s="213"/>
    </row>
    <row r="439" spans="1:10" ht="13.5" thickBot="1" x14ac:dyDescent="0.25">
      <c r="A439" s="155"/>
      <c r="B439" s="218"/>
      <c r="C439" s="219"/>
      <c r="D439" s="220"/>
      <c r="E439" s="221"/>
      <c r="F439" s="155"/>
      <c r="G439" s="213"/>
      <c r="H439" s="213"/>
      <c r="I439" s="213"/>
      <c r="J439" s="213"/>
    </row>
    <row r="440" spans="1:10" ht="13.5" thickBot="1" x14ac:dyDescent="0.25">
      <c r="A440" s="155"/>
      <c r="B440" s="155"/>
      <c r="C440" s="155"/>
      <c r="D440" s="222"/>
      <c r="E440" s="155"/>
      <c r="F440" s="155"/>
      <c r="G440" s="213"/>
      <c r="H440" s="213"/>
      <c r="I440" s="213"/>
      <c r="J440" s="213"/>
    </row>
    <row r="441" spans="1:10" x14ac:dyDescent="0.2">
      <c r="A441" s="155"/>
      <c r="B441" s="223" t="s">
        <v>149</v>
      </c>
      <c r="C441" s="224"/>
      <c r="D441" s="225"/>
      <c r="E441" s="226"/>
      <c r="F441" s="155"/>
      <c r="G441" s="213"/>
      <c r="H441" s="213"/>
      <c r="I441" s="213"/>
      <c r="J441" s="213"/>
    </row>
    <row r="442" spans="1:10" x14ac:dyDescent="0.2">
      <c r="A442" s="155"/>
      <c r="B442" s="227"/>
      <c r="C442" s="318"/>
      <c r="D442" s="318"/>
      <c r="E442" s="311"/>
      <c r="F442" s="155"/>
      <c r="G442" s="213"/>
      <c r="H442" s="213"/>
      <c r="I442" s="213"/>
      <c r="J442" s="213"/>
    </row>
    <row r="443" spans="1:10" x14ac:dyDescent="0.2">
      <c r="A443" s="155"/>
      <c r="B443" s="212" t="s">
        <v>16</v>
      </c>
      <c r="C443" s="213"/>
      <c r="D443" s="250"/>
      <c r="E443" s="214"/>
      <c r="F443" s="155"/>
      <c r="G443" s="213"/>
      <c r="H443" s="213"/>
      <c r="I443" s="213"/>
      <c r="J443" s="213"/>
    </row>
    <row r="444" spans="1:10" x14ac:dyDescent="0.2">
      <c r="A444" s="155"/>
      <c r="B444" s="212"/>
      <c r="C444" s="318" t="s">
        <v>356</v>
      </c>
      <c r="D444" s="318"/>
      <c r="E444" s="311"/>
      <c r="F444" s="155"/>
      <c r="G444" s="213"/>
      <c r="H444" s="213"/>
      <c r="I444" s="213"/>
      <c r="J444" s="213"/>
    </row>
    <row r="445" spans="1:10" ht="13.5" thickBot="1" x14ac:dyDescent="0.25">
      <c r="A445" s="155"/>
      <c r="B445" s="212" t="s">
        <v>17</v>
      </c>
      <c r="C445" s="213"/>
      <c r="D445" s="250"/>
      <c r="E445" s="214"/>
      <c r="F445" s="155"/>
      <c r="G445" s="213"/>
      <c r="H445" s="213"/>
      <c r="I445" s="213"/>
      <c r="J445" s="213"/>
    </row>
    <row r="446" spans="1:10" ht="13.5" thickBot="1" x14ac:dyDescent="0.25">
      <c r="A446" s="155"/>
      <c r="B446" s="312" t="s">
        <v>137</v>
      </c>
      <c r="C446" s="313"/>
      <c r="D446" s="313"/>
      <c r="E446" s="314"/>
      <c r="F446" s="155"/>
      <c r="G446" s="213"/>
      <c r="H446" s="213"/>
      <c r="I446" s="213"/>
      <c r="J446" s="213"/>
    </row>
    <row r="447" spans="1:10" ht="13.5" thickBot="1" x14ac:dyDescent="0.25">
      <c r="A447" s="155"/>
      <c r="B447" s="312" t="s">
        <v>138</v>
      </c>
      <c r="C447" s="314"/>
      <c r="D447" s="215" t="s">
        <v>11</v>
      </c>
      <c r="E447" s="215" t="s">
        <v>139</v>
      </c>
      <c r="F447" s="155"/>
      <c r="G447" s="213"/>
      <c r="H447" s="213"/>
      <c r="I447" s="213"/>
      <c r="J447" s="213"/>
    </row>
    <row r="448" spans="1:10" s="155" customFormat="1" x14ac:dyDescent="0.2">
      <c r="B448" s="315" t="s">
        <v>301</v>
      </c>
      <c r="C448" s="315"/>
      <c r="D448" s="249">
        <v>56</v>
      </c>
      <c r="E448" s="164" t="s">
        <v>300</v>
      </c>
      <c r="G448" s="250"/>
      <c r="H448" s="213"/>
      <c r="I448" s="261"/>
      <c r="J448" s="213"/>
    </row>
    <row r="449" spans="2:10" s="155" customFormat="1" x14ac:dyDescent="0.2">
      <c r="B449" s="305" t="s">
        <v>302</v>
      </c>
      <c r="C449" s="305"/>
      <c r="D449" s="246">
        <v>127</v>
      </c>
      <c r="E449" s="165" t="s">
        <v>246</v>
      </c>
      <c r="G449" s="250"/>
      <c r="H449" s="213"/>
      <c r="I449" s="261"/>
      <c r="J449" s="213"/>
    </row>
    <row r="450" spans="2:10" s="155" customFormat="1" x14ac:dyDescent="0.2">
      <c r="B450" s="305" t="s">
        <v>304</v>
      </c>
      <c r="C450" s="305"/>
      <c r="D450" s="246">
        <v>127</v>
      </c>
      <c r="E450" s="165" t="s">
        <v>247</v>
      </c>
      <c r="G450" s="250"/>
      <c r="H450" s="213"/>
      <c r="I450" s="261"/>
      <c r="J450" s="213"/>
    </row>
    <row r="451" spans="2:10" s="155" customFormat="1" x14ac:dyDescent="0.2">
      <c r="B451" s="305" t="s">
        <v>303</v>
      </c>
      <c r="C451" s="305"/>
      <c r="D451" s="246">
        <v>76</v>
      </c>
      <c r="E451" s="165" t="s">
        <v>248</v>
      </c>
      <c r="G451" s="250"/>
      <c r="H451" s="213"/>
      <c r="I451" s="261"/>
      <c r="J451" s="213"/>
    </row>
    <row r="452" spans="2:10" s="155" customFormat="1" x14ac:dyDescent="0.2">
      <c r="B452" s="305" t="s">
        <v>298</v>
      </c>
      <c r="C452" s="305"/>
      <c r="D452" s="246">
        <v>63</v>
      </c>
      <c r="E452" s="165" t="s">
        <v>299</v>
      </c>
      <c r="G452" s="250"/>
      <c r="H452" s="213"/>
      <c r="I452" s="261"/>
      <c r="J452" s="213"/>
    </row>
    <row r="453" spans="2:10" s="155" customFormat="1" x14ac:dyDescent="0.2">
      <c r="B453" s="305" t="s">
        <v>249</v>
      </c>
      <c r="C453" s="305"/>
      <c r="D453" s="246">
        <v>56</v>
      </c>
      <c r="E453" s="165" t="s">
        <v>250</v>
      </c>
      <c r="G453" s="250"/>
      <c r="H453" s="213"/>
      <c r="I453" s="261"/>
      <c r="J453" s="213"/>
    </row>
    <row r="454" spans="2:10" s="155" customFormat="1" x14ac:dyDescent="0.2">
      <c r="B454" s="305" t="s">
        <v>251</v>
      </c>
      <c r="C454" s="305"/>
      <c r="D454" s="246">
        <v>71</v>
      </c>
      <c r="E454" s="165" t="s">
        <v>252</v>
      </c>
      <c r="G454" s="250"/>
      <c r="H454" s="213"/>
      <c r="I454" s="261"/>
      <c r="J454" s="213"/>
    </row>
    <row r="455" spans="2:10" s="155" customFormat="1" x14ac:dyDescent="0.2">
      <c r="B455" s="305" t="s">
        <v>253</v>
      </c>
      <c r="C455" s="305"/>
      <c r="D455" s="246">
        <v>71</v>
      </c>
      <c r="E455" s="165" t="s">
        <v>254</v>
      </c>
      <c r="G455" s="250"/>
      <c r="H455" s="213"/>
      <c r="I455" s="261"/>
      <c r="J455" s="213"/>
    </row>
    <row r="456" spans="2:10" s="155" customFormat="1" x14ac:dyDescent="0.2">
      <c r="B456" s="305" t="s">
        <v>255</v>
      </c>
      <c r="C456" s="305"/>
      <c r="D456" s="246">
        <v>152</v>
      </c>
      <c r="E456" s="165" t="s">
        <v>256</v>
      </c>
      <c r="G456" s="250"/>
      <c r="H456" s="213"/>
      <c r="I456" s="261"/>
      <c r="J456" s="213"/>
    </row>
    <row r="457" spans="2:10" s="155" customFormat="1" x14ac:dyDescent="0.2">
      <c r="B457" s="305" t="s">
        <v>305</v>
      </c>
      <c r="C457" s="305"/>
      <c r="D457" s="246">
        <v>102</v>
      </c>
      <c r="E457" s="165" t="s">
        <v>257</v>
      </c>
      <c r="G457" s="250"/>
      <c r="H457" s="213"/>
      <c r="I457" s="261"/>
      <c r="J457" s="213"/>
    </row>
    <row r="458" spans="2:10" s="155" customFormat="1" x14ac:dyDescent="0.2">
      <c r="B458" s="305" t="s">
        <v>258</v>
      </c>
      <c r="C458" s="305"/>
      <c r="D458" s="246">
        <v>51</v>
      </c>
      <c r="E458" s="165" t="s">
        <v>259</v>
      </c>
      <c r="G458" s="250"/>
      <c r="H458" s="213"/>
      <c r="I458" s="261"/>
      <c r="J458" s="213"/>
    </row>
    <row r="459" spans="2:10" s="155" customFormat="1" x14ac:dyDescent="0.2">
      <c r="B459" s="305" t="s">
        <v>260</v>
      </c>
      <c r="C459" s="305"/>
      <c r="D459" s="246">
        <v>102</v>
      </c>
      <c r="E459" s="165" t="s">
        <v>261</v>
      </c>
      <c r="G459" s="250"/>
      <c r="H459" s="213"/>
      <c r="I459" s="261"/>
      <c r="J459" s="213"/>
    </row>
    <row r="460" spans="2:10" s="155" customFormat="1" x14ac:dyDescent="0.2">
      <c r="B460" s="305" t="s">
        <v>306</v>
      </c>
      <c r="C460" s="305"/>
      <c r="D460" s="246">
        <v>102</v>
      </c>
      <c r="E460" s="165" t="s">
        <v>262</v>
      </c>
      <c r="G460" s="250"/>
      <c r="H460" s="213"/>
      <c r="I460" s="261"/>
      <c r="J460" s="213"/>
    </row>
    <row r="461" spans="2:10" s="155" customFormat="1" x14ac:dyDescent="0.2">
      <c r="B461" s="305" t="s">
        <v>263</v>
      </c>
      <c r="C461" s="305"/>
      <c r="D461" s="246">
        <v>63</v>
      </c>
      <c r="E461" s="165" t="s">
        <v>264</v>
      </c>
      <c r="G461" s="250"/>
      <c r="H461" s="213"/>
      <c r="I461" s="261"/>
      <c r="J461" s="213"/>
    </row>
    <row r="462" spans="2:10" s="155" customFormat="1" x14ac:dyDescent="0.2">
      <c r="B462" s="305" t="s">
        <v>265</v>
      </c>
      <c r="C462" s="305"/>
      <c r="D462" s="246">
        <v>89</v>
      </c>
      <c r="E462" s="165" t="s">
        <v>266</v>
      </c>
      <c r="G462" s="250"/>
      <c r="H462" s="213"/>
      <c r="I462" s="261"/>
      <c r="J462" s="213"/>
    </row>
    <row r="463" spans="2:10" s="155" customFormat="1" x14ac:dyDescent="0.2">
      <c r="B463" s="305" t="s">
        <v>267</v>
      </c>
      <c r="C463" s="305"/>
      <c r="D463" s="246">
        <v>76</v>
      </c>
      <c r="E463" s="165" t="s">
        <v>268</v>
      </c>
      <c r="G463" s="250"/>
      <c r="H463" s="213"/>
      <c r="I463" s="261"/>
      <c r="J463" s="213"/>
    </row>
    <row r="464" spans="2:10" s="155" customFormat="1" x14ac:dyDescent="0.2">
      <c r="B464" s="305" t="s">
        <v>269</v>
      </c>
      <c r="C464" s="305"/>
      <c r="D464" s="246">
        <v>76</v>
      </c>
      <c r="E464" s="165" t="s">
        <v>270</v>
      </c>
      <c r="G464" s="250"/>
      <c r="H464" s="213"/>
      <c r="I464" s="261"/>
      <c r="J464" s="213"/>
    </row>
    <row r="465" spans="1:10" s="155" customFormat="1" x14ac:dyDescent="0.2">
      <c r="B465" s="305" t="s">
        <v>271</v>
      </c>
      <c r="C465" s="305"/>
      <c r="D465" s="246">
        <v>63</v>
      </c>
      <c r="E465" s="165" t="s">
        <v>272</v>
      </c>
      <c r="G465" s="250"/>
      <c r="H465" s="213"/>
      <c r="I465" s="261"/>
      <c r="J465" s="213"/>
    </row>
    <row r="466" spans="1:10" s="155" customFormat="1" x14ac:dyDescent="0.2">
      <c r="B466" s="305" t="s">
        <v>273</v>
      </c>
      <c r="C466" s="305"/>
      <c r="D466" s="246">
        <v>63</v>
      </c>
      <c r="E466" s="165" t="s">
        <v>274</v>
      </c>
      <c r="G466" s="250"/>
      <c r="H466" s="213"/>
      <c r="I466" s="261"/>
      <c r="J466" s="213"/>
    </row>
    <row r="467" spans="1:10" s="155" customFormat="1" ht="13.5" thickBot="1" x14ac:dyDescent="0.25">
      <c r="B467" s="305" t="s">
        <v>307</v>
      </c>
      <c r="C467" s="305"/>
      <c r="D467" s="246">
        <v>63</v>
      </c>
      <c r="E467" s="165" t="s">
        <v>308</v>
      </c>
      <c r="G467" s="250"/>
      <c r="H467" s="213"/>
      <c r="I467" s="261"/>
      <c r="J467" s="213"/>
    </row>
    <row r="468" spans="1:10" ht="26.25" customHeight="1" thickBot="1" x14ac:dyDescent="0.25">
      <c r="A468" s="155"/>
      <c r="B468" s="307" t="s">
        <v>398</v>
      </c>
      <c r="C468" s="308"/>
      <c r="D468" s="308"/>
      <c r="E468" s="309"/>
      <c r="F468" s="155"/>
      <c r="G468" s="213"/>
      <c r="H468" s="213"/>
      <c r="I468" s="261"/>
      <c r="J468" s="213"/>
    </row>
    <row r="469" spans="1:10" x14ac:dyDescent="0.2">
      <c r="A469" s="155"/>
      <c r="B469" s="212" t="s">
        <v>18</v>
      </c>
      <c r="C469" s="213"/>
      <c r="D469" s="250"/>
      <c r="E469" s="214"/>
      <c r="F469" s="155"/>
      <c r="G469" s="213"/>
      <c r="H469" s="213"/>
      <c r="I469" s="213"/>
      <c r="J469" s="213"/>
    </row>
    <row r="470" spans="1:10" x14ac:dyDescent="0.2">
      <c r="A470" s="155"/>
      <c r="B470" s="216"/>
      <c r="C470" s="310" t="s">
        <v>63</v>
      </c>
      <c r="D470" s="310"/>
      <c r="E470" s="310"/>
      <c r="F470" s="155"/>
      <c r="G470" s="213"/>
      <c r="H470" s="213"/>
      <c r="I470" s="213"/>
      <c r="J470" s="213"/>
    </row>
    <row r="471" spans="1:10" x14ac:dyDescent="0.2">
      <c r="A471" s="155"/>
      <c r="B471" s="212" t="s">
        <v>19</v>
      </c>
      <c r="C471" s="217"/>
      <c r="D471" s="217"/>
      <c r="E471" s="251"/>
      <c r="F471" s="155"/>
      <c r="G471" s="213"/>
      <c r="H471" s="213"/>
      <c r="I471" s="213"/>
      <c r="J471" s="213"/>
    </row>
    <row r="472" spans="1:10" x14ac:dyDescent="0.2">
      <c r="A472" s="155"/>
      <c r="B472" s="216"/>
      <c r="C472" s="310" t="s">
        <v>140</v>
      </c>
      <c r="D472" s="310"/>
      <c r="E472" s="310"/>
      <c r="F472" s="155"/>
      <c r="G472" s="213"/>
      <c r="H472" s="213"/>
      <c r="I472" s="213"/>
      <c r="J472" s="213"/>
    </row>
    <row r="473" spans="1:10" x14ac:dyDescent="0.2">
      <c r="A473" s="155"/>
      <c r="B473" s="212" t="s">
        <v>20</v>
      </c>
      <c r="C473" s="213"/>
      <c r="D473" s="250"/>
      <c r="E473" s="214"/>
      <c r="F473" s="155"/>
      <c r="G473" s="213"/>
      <c r="H473" s="213"/>
      <c r="I473" s="213"/>
      <c r="J473" s="213"/>
    </row>
    <row r="474" spans="1:10" x14ac:dyDescent="0.2">
      <c r="A474" s="155"/>
      <c r="B474" s="212"/>
      <c r="C474" s="311" t="s">
        <v>64</v>
      </c>
      <c r="D474" s="311"/>
      <c r="E474" s="311"/>
      <c r="F474" s="155"/>
      <c r="G474" s="213"/>
      <c r="H474" s="213"/>
      <c r="I474" s="213"/>
      <c r="J474" s="213"/>
    </row>
    <row r="475" spans="1:10" ht="13.5" thickBot="1" x14ac:dyDescent="0.25">
      <c r="A475" s="155"/>
      <c r="B475" s="218"/>
      <c r="C475" s="219"/>
      <c r="D475" s="220"/>
      <c r="E475" s="221"/>
      <c r="F475" s="155"/>
      <c r="G475" s="213"/>
      <c r="H475" s="213"/>
      <c r="I475" s="213"/>
      <c r="J475" s="213"/>
    </row>
    <row r="476" spans="1:10" ht="13.5" thickBot="1" x14ac:dyDescent="0.25">
      <c r="A476" s="155"/>
      <c r="B476" s="155"/>
      <c r="C476" s="155"/>
      <c r="D476" s="222"/>
      <c r="E476" s="155"/>
      <c r="F476" s="155"/>
      <c r="G476" s="213"/>
      <c r="H476" s="213"/>
      <c r="I476" s="213"/>
      <c r="J476" s="213"/>
    </row>
    <row r="477" spans="1:10" x14ac:dyDescent="0.2">
      <c r="A477" s="155"/>
      <c r="B477" s="223" t="s">
        <v>150</v>
      </c>
      <c r="C477" s="224"/>
      <c r="D477" s="225"/>
      <c r="E477" s="226"/>
      <c r="F477" s="155"/>
      <c r="G477" s="213"/>
      <c r="H477" s="213"/>
      <c r="I477" s="213"/>
      <c r="J477" s="213"/>
    </row>
    <row r="478" spans="1:10" x14ac:dyDescent="0.2">
      <c r="A478" s="155"/>
      <c r="B478" s="227"/>
      <c r="C478" s="213"/>
      <c r="D478" s="250"/>
      <c r="E478" s="214"/>
      <c r="F478" s="155"/>
      <c r="G478" s="213"/>
      <c r="H478" s="213"/>
      <c r="I478" s="213"/>
      <c r="J478" s="213"/>
    </row>
    <row r="479" spans="1:10" x14ac:dyDescent="0.2">
      <c r="A479" s="155"/>
      <c r="B479" s="212" t="s">
        <v>16</v>
      </c>
      <c r="C479" s="213"/>
      <c r="D479" s="250"/>
      <c r="E479" s="214"/>
      <c r="F479" s="155"/>
      <c r="G479" s="213"/>
      <c r="H479" s="213"/>
      <c r="I479" s="213"/>
      <c r="J479" s="213"/>
    </row>
    <row r="480" spans="1:10" x14ac:dyDescent="0.2">
      <c r="A480" s="155"/>
      <c r="B480" s="212"/>
      <c r="C480" s="310" t="s">
        <v>358</v>
      </c>
      <c r="D480" s="310"/>
      <c r="E480" s="310"/>
      <c r="F480" s="155"/>
      <c r="G480" s="213"/>
      <c r="H480" s="213"/>
      <c r="I480" s="213"/>
      <c r="J480" s="213"/>
    </row>
    <row r="481" spans="1:10" ht="13.5" thickBot="1" x14ac:dyDescent="0.25">
      <c r="A481" s="155"/>
      <c r="B481" s="212" t="s">
        <v>17</v>
      </c>
      <c r="C481" s="213"/>
      <c r="D481" s="250"/>
      <c r="E481" s="214"/>
      <c r="F481" s="155"/>
      <c r="G481" s="213"/>
      <c r="H481" s="213"/>
      <c r="I481" s="213"/>
      <c r="J481" s="213"/>
    </row>
    <row r="482" spans="1:10" ht="13.5" thickBot="1" x14ac:dyDescent="0.25">
      <c r="A482" s="155"/>
      <c r="B482" s="312" t="s">
        <v>137</v>
      </c>
      <c r="C482" s="313"/>
      <c r="D482" s="313"/>
      <c r="E482" s="314"/>
      <c r="F482" s="155"/>
      <c r="G482" s="213"/>
      <c r="H482" s="213"/>
      <c r="I482" s="213"/>
      <c r="J482" s="213"/>
    </row>
    <row r="483" spans="1:10" ht="13.5" thickBot="1" x14ac:dyDescent="0.25">
      <c r="A483" s="155"/>
      <c r="B483" s="312" t="s">
        <v>138</v>
      </c>
      <c r="C483" s="314"/>
      <c r="D483" s="215" t="s">
        <v>11</v>
      </c>
      <c r="E483" s="215" t="s">
        <v>139</v>
      </c>
      <c r="F483" s="155"/>
      <c r="G483" s="213"/>
      <c r="H483" s="213"/>
      <c r="I483" s="213"/>
      <c r="J483" s="213"/>
    </row>
    <row r="484" spans="1:10" s="155" customFormat="1" x14ac:dyDescent="0.2">
      <c r="B484" s="315" t="s">
        <v>301</v>
      </c>
      <c r="C484" s="315"/>
      <c r="D484" s="254">
        <v>13</v>
      </c>
      <c r="E484" s="164" t="s">
        <v>300</v>
      </c>
      <c r="G484" s="253"/>
      <c r="H484" s="213"/>
      <c r="I484" s="261"/>
      <c r="J484" s="213"/>
    </row>
    <row r="485" spans="1:10" s="155" customFormat="1" x14ac:dyDescent="0.2">
      <c r="B485" s="305" t="s">
        <v>302</v>
      </c>
      <c r="C485" s="305"/>
      <c r="D485" s="254">
        <v>30</v>
      </c>
      <c r="E485" s="165" t="s">
        <v>246</v>
      </c>
      <c r="G485" s="253"/>
      <c r="H485" s="213"/>
      <c r="I485" s="261"/>
      <c r="J485" s="213"/>
    </row>
    <row r="486" spans="1:10" s="155" customFormat="1" x14ac:dyDescent="0.2">
      <c r="B486" s="305" t="s">
        <v>304</v>
      </c>
      <c r="C486" s="305"/>
      <c r="D486" s="254">
        <v>30</v>
      </c>
      <c r="E486" s="165" t="s">
        <v>247</v>
      </c>
      <c r="G486" s="253"/>
      <c r="H486" s="213"/>
      <c r="I486" s="261"/>
      <c r="J486" s="213"/>
    </row>
    <row r="487" spans="1:10" s="155" customFormat="1" x14ac:dyDescent="0.2">
      <c r="B487" s="305" t="s">
        <v>303</v>
      </c>
      <c r="C487" s="305"/>
      <c r="D487" s="254">
        <v>18</v>
      </c>
      <c r="E487" s="165" t="s">
        <v>248</v>
      </c>
      <c r="G487" s="253"/>
      <c r="H487" s="213"/>
      <c r="I487" s="261"/>
      <c r="J487" s="213"/>
    </row>
    <row r="488" spans="1:10" s="155" customFormat="1" x14ac:dyDescent="0.2">
      <c r="B488" s="305" t="s">
        <v>298</v>
      </c>
      <c r="C488" s="305"/>
      <c r="D488" s="254">
        <v>15</v>
      </c>
      <c r="E488" s="165" t="s">
        <v>299</v>
      </c>
      <c r="G488" s="253"/>
      <c r="H488" s="213"/>
      <c r="I488" s="261"/>
      <c r="J488" s="213"/>
    </row>
    <row r="489" spans="1:10" s="155" customFormat="1" x14ac:dyDescent="0.2">
      <c r="B489" s="305" t="s">
        <v>249</v>
      </c>
      <c r="C489" s="305"/>
      <c r="D489" s="254">
        <v>13</v>
      </c>
      <c r="E489" s="165" t="s">
        <v>250</v>
      </c>
      <c r="G489" s="253"/>
      <c r="H489" s="213"/>
      <c r="I489" s="261"/>
      <c r="J489" s="213"/>
    </row>
    <row r="490" spans="1:10" s="155" customFormat="1" x14ac:dyDescent="0.2">
      <c r="B490" s="305" t="s">
        <v>251</v>
      </c>
      <c r="C490" s="305"/>
      <c r="D490" s="254">
        <v>17</v>
      </c>
      <c r="E490" s="165" t="s">
        <v>252</v>
      </c>
      <c r="G490" s="253"/>
      <c r="H490" s="213"/>
      <c r="I490" s="261"/>
      <c r="J490" s="213"/>
    </row>
    <row r="491" spans="1:10" s="155" customFormat="1" x14ac:dyDescent="0.2">
      <c r="B491" s="305" t="s">
        <v>253</v>
      </c>
      <c r="C491" s="305"/>
      <c r="D491" s="254">
        <v>17</v>
      </c>
      <c r="E491" s="165" t="s">
        <v>254</v>
      </c>
      <c r="G491" s="253"/>
      <c r="H491" s="213"/>
      <c r="I491" s="261"/>
      <c r="J491" s="213"/>
    </row>
    <row r="492" spans="1:10" s="155" customFormat="1" x14ac:dyDescent="0.2">
      <c r="B492" s="305" t="s">
        <v>255</v>
      </c>
      <c r="C492" s="305"/>
      <c r="D492" s="254">
        <v>36</v>
      </c>
      <c r="E492" s="165" t="s">
        <v>256</v>
      </c>
      <c r="G492" s="253"/>
      <c r="H492" s="213"/>
      <c r="I492" s="261"/>
      <c r="J492" s="213"/>
    </row>
    <row r="493" spans="1:10" s="155" customFormat="1" x14ac:dyDescent="0.2">
      <c r="B493" s="305" t="s">
        <v>305</v>
      </c>
      <c r="C493" s="305"/>
      <c r="D493" s="254">
        <v>24</v>
      </c>
      <c r="E493" s="165" t="s">
        <v>257</v>
      </c>
      <c r="G493" s="253"/>
      <c r="H493" s="213"/>
      <c r="I493" s="261"/>
      <c r="J493" s="213"/>
    </row>
    <row r="494" spans="1:10" s="155" customFormat="1" x14ac:dyDescent="0.2">
      <c r="B494" s="305" t="s">
        <v>258</v>
      </c>
      <c r="C494" s="305"/>
      <c r="D494" s="254">
        <v>12</v>
      </c>
      <c r="E494" s="165" t="s">
        <v>259</v>
      </c>
      <c r="G494" s="253"/>
      <c r="H494" s="213"/>
      <c r="I494" s="261"/>
      <c r="J494" s="213"/>
    </row>
    <row r="495" spans="1:10" s="155" customFormat="1" x14ac:dyDescent="0.2">
      <c r="B495" s="305" t="s">
        <v>260</v>
      </c>
      <c r="C495" s="305"/>
      <c r="D495" s="254">
        <v>24</v>
      </c>
      <c r="E495" s="165" t="s">
        <v>261</v>
      </c>
      <c r="G495" s="253"/>
      <c r="H495" s="213"/>
      <c r="I495" s="261"/>
      <c r="J495" s="213"/>
    </row>
    <row r="496" spans="1:10" s="155" customFormat="1" x14ac:dyDescent="0.2">
      <c r="B496" s="305" t="s">
        <v>306</v>
      </c>
      <c r="C496" s="305"/>
      <c r="D496" s="254">
        <v>24</v>
      </c>
      <c r="E496" s="165" t="s">
        <v>262</v>
      </c>
      <c r="G496" s="253"/>
      <c r="H496" s="213"/>
      <c r="I496" s="261"/>
      <c r="J496" s="213"/>
    </row>
    <row r="497" spans="1:10" s="155" customFormat="1" x14ac:dyDescent="0.2">
      <c r="B497" s="305" t="s">
        <v>263</v>
      </c>
      <c r="C497" s="305"/>
      <c r="D497" s="254">
        <v>15</v>
      </c>
      <c r="E497" s="165" t="s">
        <v>264</v>
      </c>
      <c r="G497" s="253"/>
      <c r="H497" s="213"/>
      <c r="I497" s="261"/>
      <c r="J497" s="213"/>
    </row>
    <row r="498" spans="1:10" s="155" customFormat="1" x14ac:dyDescent="0.2">
      <c r="B498" s="305" t="s">
        <v>265</v>
      </c>
      <c r="C498" s="305"/>
      <c r="D498" s="254">
        <v>21</v>
      </c>
      <c r="E498" s="165" t="s">
        <v>266</v>
      </c>
      <c r="G498" s="253"/>
      <c r="H498" s="213"/>
      <c r="I498" s="261"/>
      <c r="J498" s="213"/>
    </row>
    <row r="499" spans="1:10" s="155" customFormat="1" x14ac:dyDescent="0.2">
      <c r="B499" s="305" t="s">
        <v>267</v>
      </c>
      <c r="C499" s="305"/>
      <c r="D499" s="254">
        <v>18</v>
      </c>
      <c r="E499" s="165" t="s">
        <v>268</v>
      </c>
      <c r="G499" s="253"/>
      <c r="H499" s="213"/>
      <c r="I499" s="261"/>
      <c r="J499" s="213"/>
    </row>
    <row r="500" spans="1:10" s="155" customFormat="1" x14ac:dyDescent="0.2">
      <c r="B500" s="305" t="s">
        <v>269</v>
      </c>
      <c r="C500" s="305"/>
      <c r="D500" s="254">
        <v>18</v>
      </c>
      <c r="E500" s="165" t="s">
        <v>270</v>
      </c>
      <c r="G500" s="253"/>
      <c r="H500" s="213"/>
      <c r="I500" s="261"/>
      <c r="J500" s="213"/>
    </row>
    <row r="501" spans="1:10" s="155" customFormat="1" x14ac:dyDescent="0.2">
      <c r="B501" s="305" t="s">
        <v>271</v>
      </c>
      <c r="C501" s="305"/>
      <c r="D501" s="254">
        <v>15</v>
      </c>
      <c r="E501" s="165" t="s">
        <v>272</v>
      </c>
      <c r="G501" s="253"/>
      <c r="H501" s="213"/>
      <c r="I501" s="261"/>
      <c r="J501" s="213"/>
    </row>
    <row r="502" spans="1:10" s="155" customFormat="1" x14ac:dyDescent="0.2">
      <c r="B502" s="305" t="s">
        <v>273</v>
      </c>
      <c r="C502" s="305"/>
      <c r="D502" s="254">
        <v>15</v>
      </c>
      <c r="E502" s="165" t="s">
        <v>274</v>
      </c>
      <c r="G502" s="253"/>
      <c r="H502" s="213"/>
      <c r="I502" s="261"/>
      <c r="J502" s="213"/>
    </row>
    <row r="503" spans="1:10" s="155" customFormat="1" ht="13.5" thickBot="1" x14ac:dyDescent="0.25">
      <c r="B503" s="305" t="s">
        <v>307</v>
      </c>
      <c r="C503" s="305"/>
      <c r="D503" s="254">
        <v>15</v>
      </c>
      <c r="E503" s="165" t="s">
        <v>308</v>
      </c>
      <c r="G503" s="253"/>
      <c r="H503" s="213"/>
      <c r="I503" s="261"/>
      <c r="J503" s="213"/>
    </row>
    <row r="504" spans="1:10" ht="26.25" customHeight="1" thickBot="1" x14ac:dyDescent="0.25">
      <c r="A504" s="155"/>
      <c r="B504" s="307" t="s">
        <v>394</v>
      </c>
      <c r="C504" s="308"/>
      <c r="D504" s="308"/>
      <c r="E504" s="309"/>
      <c r="F504" s="155"/>
      <c r="G504" s="213"/>
      <c r="H504" s="213"/>
      <c r="I504" s="261"/>
      <c r="J504" s="261"/>
    </row>
    <row r="505" spans="1:10" x14ac:dyDescent="0.2">
      <c r="A505" s="155"/>
      <c r="B505" s="212" t="s">
        <v>18</v>
      </c>
      <c r="C505" s="213"/>
      <c r="D505" s="250"/>
      <c r="E505" s="214"/>
      <c r="F505" s="155"/>
      <c r="G505" s="213"/>
      <c r="H505" s="213"/>
      <c r="I505" s="213"/>
      <c r="J505" s="213"/>
    </row>
    <row r="506" spans="1:10" x14ac:dyDescent="0.2">
      <c r="A506" s="155"/>
      <c r="B506" s="216"/>
      <c r="C506" s="310" t="s">
        <v>63</v>
      </c>
      <c r="D506" s="310"/>
      <c r="E506" s="310"/>
      <c r="F506" s="155"/>
      <c r="G506" s="213"/>
      <c r="H506" s="213"/>
      <c r="I506" s="213"/>
      <c r="J506" s="213"/>
    </row>
    <row r="507" spans="1:10" x14ac:dyDescent="0.2">
      <c r="A507" s="155"/>
      <c r="B507" s="212" t="s">
        <v>19</v>
      </c>
      <c r="C507" s="217"/>
      <c r="D507" s="217"/>
      <c r="E507" s="251"/>
      <c r="F507" s="155"/>
      <c r="G507" s="213"/>
      <c r="H507" s="213"/>
      <c r="I507" s="213"/>
      <c r="J507" s="213"/>
    </row>
    <row r="508" spans="1:10" x14ac:dyDescent="0.2">
      <c r="A508" s="155"/>
      <c r="B508" s="216"/>
      <c r="C508" s="310" t="s">
        <v>140</v>
      </c>
      <c r="D508" s="310"/>
      <c r="E508" s="310"/>
      <c r="F508" s="155"/>
      <c r="G508" s="213"/>
      <c r="H508" s="213"/>
      <c r="I508" s="213"/>
      <c r="J508" s="213"/>
    </row>
    <row r="509" spans="1:10" x14ac:dyDescent="0.2">
      <c r="A509" s="155"/>
      <c r="B509" s="212" t="s">
        <v>20</v>
      </c>
      <c r="C509" s="213"/>
      <c r="D509" s="250"/>
      <c r="E509" s="214"/>
      <c r="F509" s="155"/>
      <c r="G509" s="213"/>
      <c r="H509" s="213"/>
      <c r="I509" s="213"/>
      <c r="J509" s="213"/>
    </row>
    <row r="510" spans="1:10" x14ac:dyDescent="0.2">
      <c r="A510" s="155"/>
      <c r="B510" s="212"/>
      <c r="C510" s="311" t="s">
        <v>64</v>
      </c>
      <c r="D510" s="311"/>
      <c r="E510" s="311"/>
      <c r="F510" s="155"/>
      <c r="G510" s="213"/>
      <c r="H510" s="213"/>
      <c r="I510" s="213"/>
      <c r="J510" s="213"/>
    </row>
    <row r="511" spans="1:10" ht="13.5" thickBot="1" x14ac:dyDescent="0.25">
      <c r="A511" s="155"/>
      <c r="B511" s="218"/>
      <c r="C511" s="219"/>
      <c r="D511" s="220"/>
      <c r="E511" s="221"/>
      <c r="F511" s="155"/>
      <c r="G511" s="213"/>
      <c r="H511" s="213"/>
      <c r="I511" s="213"/>
      <c r="J511" s="213"/>
    </row>
    <row r="512" spans="1:10" ht="13.5" thickBot="1" x14ac:dyDescent="0.25">
      <c r="A512" s="155"/>
      <c r="B512" s="155"/>
      <c r="C512" s="155"/>
      <c r="D512" s="222"/>
      <c r="E512" s="155"/>
      <c r="F512" s="155"/>
      <c r="G512" s="213"/>
      <c r="H512" s="213"/>
      <c r="I512" s="213"/>
      <c r="J512" s="213"/>
    </row>
    <row r="513" spans="1:10" x14ac:dyDescent="0.2">
      <c r="A513" s="155"/>
      <c r="B513" s="223" t="s">
        <v>151</v>
      </c>
      <c r="C513" s="224"/>
      <c r="D513" s="225"/>
      <c r="E513" s="226"/>
      <c r="F513" s="155"/>
      <c r="G513" s="213"/>
      <c r="H513" s="213"/>
      <c r="I513" s="213"/>
      <c r="J513" s="213"/>
    </row>
    <row r="514" spans="1:10" x14ac:dyDescent="0.2">
      <c r="A514" s="155"/>
      <c r="B514" s="227"/>
      <c r="C514" s="213"/>
      <c r="D514" s="250"/>
      <c r="E514" s="214"/>
      <c r="F514" s="155"/>
      <c r="G514" s="213"/>
      <c r="H514" s="213"/>
      <c r="I514" s="213"/>
      <c r="J514" s="213"/>
    </row>
    <row r="515" spans="1:10" x14ac:dyDescent="0.2">
      <c r="A515" s="155"/>
      <c r="B515" s="212" t="s">
        <v>16</v>
      </c>
      <c r="C515" s="213"/>
      <c r="D515" s="250"/>
      <c r="E515" s="214"/>
      <c r="F515" s="155"/>
      <c r="G515" s="213"/>
      <c r="H515" s="213"/>
      <c r="I515" s="213"/>
      <c r="J515" s="213"/>
    </row>
    <row r="516" spans="1:10" x14ac:dyDescent="0.2">
      <c r="A516" s="155"/>
      <c r="B516" s="212"/>
      <c r="C516" s="318" t="s">
        <v>360</v>
      </c>
      <c r="D516" s="318"/>
      <c r="E516" s="311"/>
      <c r="F516" s="155"/>
      <c r="G516" s="213"/>
      <c r="H516" s="213"/>
      <c r="I516" s="213"/>
      <c r="J516" s="213"/>
    </row>
    <row r="517" spans="1:10" ht="13.5" thickBot="1" x14ac:dyDescent="0.25">
      <c r="A517" s="155"/>
      <c r="B517" s="212" t="s">
        <v>17</v>
      </c>
      <c r="C517" s="213"/>
      <c r="D517" s="250"/>
      <c r="E517" s="214"/>
      <c r="F517" s="155"/>
      <c r="G517" s="213"/>
      <c r="H517" s="213"/>
      <c r="I517" s="213"/>
      <c r="J517" s="213"/>
    </row>
    <row r="518" spans="1:10" ht="13.5" thickBot="1" x14ac:dyDescent="0.25">
      <c r="A518" s="155"/>
      <c r="B518" s="312" t="s">
        <v>137</v>
      </c>
      <c r="C518" s="313"/>
      <c r="D518" s="313"/>
      <c r="E518" s="314"/>
      <c r="F518" s="155"/>
      <c r="G518" s="213"/>
      <c r="H518" s="213"/>
      <c r="I518" s="213"/>
      <c r="J518" s="213"/>
    </row>
    <row r="519" spans="1:10" ht="13.5" thickBot="1" x14ac:dyDescent="0.25">
      <c r="A519" s="155"/>
      <c r="B519" s="312" t="s">
        <v>138</v>
      </c>
      <c r="C519" s="314"/>
      <c r="D519" s="215" t="s">
        <v>11</v>
      </c>
      <c r="E519" s="215" t="s">
        <v>139</v>
      </c>
      <c r="F519" s="155"/>
      <c r="G519" s="213"/>
      <c r="H519" s="213"/>
      <c r="I519" s="213"/>
      <c r="J519" s="213"/>
    </row>
    <row r="520" spans="1:10" s="155" customFormat="1" x14ac:dyDescent="0.2">
      <c r="B520" s="315" t="s">
        <v>301</v>
      </c>
      <c r="C520" s="315"/>
      <c r="D520" s="249">
        <v>19</v>
      </c>
      <c r="E520" s="164" t="s">
        <v>300</v>
      </c>
      <c r="G520" s="250"/>
      <c r="H520" s="213"/>
      <c r="I520" s="261"/>
      <c r="J520" s="213"/>
    </row>
    <row r="521" spans="1:10" s="155" customFormat="1" x14ac:dyDescent="0.2">
      <c r="B521" s="305" t="s">
        <v>302</v>
      </c>
      <c r="C521" s="305"/>
      <c r="D521" s="246">
        <v>42</v>
      </c>
      <c r="E521" s="165" t="s">
        <v>246</v>
      </c>
      <c r="G521" s="250"/>
      <c r="H521" s="213"/>
      <c r="I521" s="261"/>
      <c r="J521" s="213"/>
    </row>
    <row r="522" spans="1:10" s="155" customFormat="1" x14ac:dyDescent="0.2">
      <c r="B522" s="305" t="s">
        <v>304</v>
      </c>
      <c r="C522" s="305"/>
      <c r="D522" s="246">
        <v>42</v>
      </c>
      <c r="E522" s="165" t="s">
        <v>247</v>
      </c>
      <c r="G522" s="250"/>
      <c r="H522" s="213"/>
      <c r="I522" s="261"/>
      <c r="J522" s="213"/>
    </row>
    <row r="523" spans="1:10" s="155" customFormat="1" x14ac:dyDescent="0.2">
      <c r="B523" s="305" t="s">
        <v>303</v>
      </c>
      <c r="C523" s="305"/>
      <c r="D523" s="246">
        <v>25</v>
      </c>
      <c r="E523" s="165" t="s">
        <v>248</v>
      </c>
      <c r="G523" s="250"/>
      <c r="H523" s="213"/>
      <c r="I523" s="261"/>
      <c r="J523" s="213"/>
    </row>
    <row r="524" spans="1:10" s="155" customFormat="1" x14ac:dyDescent="0.2">
      <c r="B524" s="305" t="s">
        <v>298</v>
      </c>
      <c r="C524" s="305"/>
      <c r="D524" s="246">
        <v>21</v>
      </c>
      <c r="E524" s="165" t="s">
        <v>299</v>
      </c>
      <c r="G524" s="250"/>
      <c r="H524" s="213"/>
      <c r="I524" s="261"/>
      <c r="J524" s="213"/>
    </row>
    <row r="525" spans="1:10" s="155" customFormat="1" x14ac:dyDescent="0.2">
      <c r="B525" s="305" t="s">
        <v>249</v>
      </c>
      <c r="C525" s="305"/>
      <c r="D525" s="246">
        <v>19</v>
      </c>
      <c r="E525" s="165" t="s">
        <v>250</v>
      </c>
      <c r="G525" s="250"/>
      <c r="H525" s="213"/>
      <c r="I525" s="261"/>
      <c r="J525" s="213"/>
    </row>
    <row r="526" spans="1:10" s="155" customFormat="1" x14ac:dyDescent="0.2">
      <c r="B526" s="305" t="s">
        <v>251</v>
      </c>
      <c r="C526" s="305"/>
      <c r="D526" s="246">
        <v>24</v>
      </c>
      <c r="E526" s="165" t="s">
        <v>252</v>
      </c>
      <c r="G526" s="250"/>
      <c r="H526" s="213"/>
      <c r="I526" s="261"/>
      <c r="J526" s="213"/>
    </row>
    <row r="527" spans="1:10" s="155" customFormat="1" x14ac:dyDescent="0.2">
      <c r="B527" s="305" t="s">
        <v>253</v>
      </c>
      <c r="C527" s="305"/>
      <c r="D527" s="246">
        <v>24</v>
      </c>
      <c r="E527" s="165" t="s">
        <v>254</v>
      </c>
      <c r="G527" s="250"/>
      <c r="H527" s="213"/>
      <c r="I527" s="261"/>
      <c r="J527" s="213"/>
    </row>
    <row r="528" spans="1:10" s="155" customFormat="1" x14ac:dyDescent="0.2">
      <c r="B528" s="305" t="s">
        <v>255</v>
      </c>
      <c r="C528" s="305"/>
      <c r="D528" s="246">
        <v>51</v>
      </c>
      <c r="E528" s="165" t="s">
        <v>256</v>
      </c>
      <c r="G528" s="250"/>
      <c r="H528" s="213"/>
      <c r="I528" s="261"/>
      <c r="J528" s="213"/>
    </row>
    <row r="529" spans="1:10" s="155" customFormat="1" x14ac:dyDescent="0.2">
      <c r="B529" s="305" t="s">
        <v>305</v>
      </c>
      <c r="C529" s="305"/>
      <c r="D529" s="246">
        <v>34</v>
      </c>
      <c r="E529" s="165" t="s">
        <v>257</v>
      </c>
      <c r="G529" s="250"/>
      <c r="H529" s="213"/>
      <c r="I529" s="261"/>
      <c r="J529" s="213"/>
    </row>
    <row r="530" spans="1:10" s="155" customFormat="1" x14ac:dyDescent="0.2">
      <c r="B530" s="305" t="s">
        <v>258</v>
      </c>
      <c r="C530" s="305"/>
      <c r="D530" s="246">
        <v>17</v>
      </c>
      <c r="E530" s="165" t="s">
        <v>259</v>
      </c>
      <c r="G530" s="250"/>
      <c r="H530" s="213"/>
      <c r="I530" s="261"/>
      <c r="J530" s="213"/>
    </row>
    <row r="531" spans="1:10" s="155" customFormat="1" x14ac:dyDescent="0.2">
      <c r="B531" s="305" t="s">
        <v>260</v>
      </c>
      <c r="C531" s="305"/>
      <c r="D531" s="246">
        <v>34</v>
      </c>
      <c r="E531" s="165" t="s">
        <v>261</v>
      </c>
      <c r="G531" s="250"/>
      <c r="H531" s="213"/>
      <c r="I531" s="261"/>
      <c r="J531" s="213"/>
    </row>
    <row r="532" spans="1:10" s="155" customFormat="1" x14ac:dyDescent="0.2">
      <c r="B532" s="305" t="s">
        <v>306</v>
      </c>
      <c r="C532" s="305"/>
      <c r="D532" s="246">
        <v>34</v>
      </c>
      <c r="E532" s="165" t="s">
        <v>262</v>
      </c>
      <c r="G532" s="250"/>
      <c r="H532" s="213"/>
      <c r="I532" s="261"/>
      <c r="J532" s="213"/>
    </row>
    <row r="533" spans="1:10" s="155" customFormat="1" x14ac:dyDescent="0.2">
      <c r="B533" s="305" t="s">
        <v>263</v>
      </c>
      <c r="C533" s="305"/>
      <c r="D533" s="246">
        <v>21</v>
      </c>
      <c r="E533" s="165" t="s">
        <v>264</v>
      </c>
      <c r="G533" s="250"/>
      <c r="H533" s="213"/>
      <c r="I533" s="261"/>
      <c r="J533" s="213"/>
    </row>
    <row r="534" spans="1:10" s="155" customFormat="1" x14ac:dyDescent="0.2">
      <c r="B534" s="305" t="s">
        <v>265</v>
      </c>
      <c r="C534" s="305"/>
      <c r="D534" s="246">
        <v>30</v>
      </c>
      <c r="E534" s="165" t="s">
        <v>266</v>
      </c>
      <c r="G534" s="250"/>
      <c r="H534" s="213"/>
      <c r="I534" s="261"/>
      <c r="J534" s="213"/>
    </row>
    <row r="535" spans="1:10" s="155" customFormat="1" x14ac:dyDescent="0.2">
      <c r="B535" s="305" t="s">
        <v>267</v>
      </c>
      <c r="C535" s="305"/>
      <c r="D535" s="246">
        <v>25</v>
      </c>
      <c r="E535" s="165" t="s">
        <v>268</v>
      </c>
      <c r="G535" s="250"/>
      <c r="H535" s="213"/>
      <c r="I535" s="261"/>
      <c r="J535" s="213"/>
    </row>
    <row r="536" spans="1:10" s="155" customFormat="1" x14ac:dyDescent="0.2">
      <c r="B536" s="305" t="s">
        <v>269</v>
      </c>
      <c r="C536" s="305"/>
      <c r="D536" s="246">
        <v>25</v>
      </c>
      <c r="E536" s="165" t="s">
        <v>270</v>
      </c>
      <c r="G536" s="250"/>
      <c r="H536" s="213"/>
      <c r="I536" s="261"/>
      <c r="J536" s="213"/>
    </row>
    <row r="537" spans="1:10" s="155" customFormat="1" x14ac:dyDescent="0.2">
      <c r="B537" s="305" t="s">
        <v>271</v>
      </c>
      <c r="C537" s="305"/>
      <c r="D537" s="246">
        <v>21</v>
      </c>
      <c r="E537" s="165" t="s">
        <v>272</v>
      </c>
      <c r="G537" s="250"/>
      <c r="H537" s="213"/>
      <c r="I537" s="261"/>
      <c r="J537" s="213"/>
    </row>
    <row r="538" spans="1:10" s="155" customFormat="1" x14ac:dyDescent="0.2">
      <c r="B538" s="305" t="s">
        <v>273</v>
      </c>
      <c r="C538" s="305"/>
      <c r="D538" s="246">
        <v>21</v>
      </c>
      <c r="E538" s="165" t="s">
        <v>274</v>
      </c>
      <c r="G538" s="250"/>
      <c r="H538" s="213"/>
      <c r="I538" s="261"/>
      <c r="J538" s="213"/>
    </row>
    <row r="539" spans="1:10" s="155" customFormat="1" ht="13.5" thickBot="1" x14ac:dyDescent="0.25">
      <c r="B539" s="305" t="s">
        <v>307</v>
      </c>
      <c r="C539" s="305"/>
      <c r="D539" s="246">
        <v>21</v>
      </c>
      <c r="E539" s="165" t="s">
        <v>308</v>
      </c>
      <c r="G539" s="250"/>
      <c r="H539" s="213"/>
      <c r="I539" s="261"/>
      <c r="J539" s="213"/>
    </row>
    <row r="540" spans="1:10" ht="25.5" customHeight="1" thickBot="1" x14ac:dyDescent="0.25">
      <c r="A540" s="155"/>
      <c r="B540" s="307" t="s">
        <v>400</v>
      </c>
      <c r="C540" s="308"/>
      <c r="D540" s="308"/>
      <c r="E540" s="309"/>
      <c r="F540" s="155"/>
      <c r="G540" s="213"/>
      <c r="H540" s="213"/>
      <c r="I540" s="261"/>
      <c r="J540" s="213"/>
    </row>
    <row r="541" spans="1:10" x14ac:dyDescent="0.2">
      <c r="A541" s="155"/>
      <c r="B541" s="212" t="s">
        <v>18</v>
      </c>
      <c r="C541" s="213"/>
      <c r="D541" s="250"/>
      <c r="E541" s="214"/>
      <c r="F541" s="155"/>
      <c r="G541" s="213"/>
      <c r="H541" s="213"/>
      <c r="I541" s="213"/>
      <c r="J541" s="213"/>
    </row>
    <row r="542" spans="1:10" x14ac:dyDescent="0.2">
      <c r="A542" s="155"/>
      <c r="B542" s="216"/>
      <c r="C542" s="310" t="s">
        <v>63</v>
      </c>
      <c r="D542" s="310"/>
      <c r="E542" s="310"/>
      <c r="F542" s="155"/>
      <c r="G542" s="213"/>
      <c r="H542" s="213"/>
      <c r="I542" s="213"/>
      <c r="J542" s="213"/>
    </row>
    <row r="543" spans="1:10" x14ac:dyDescent="0.2">
      <c r="A543" s="155"/>
      <c r="B543" s="212" t="s">
        <v>19</v>
      </c>
      <c r="C543" s="217"/>
      <c r="D543" s="217"/>
      <c r="E543" s="251"/>
      <c r="F543" s="155"/>
      <c r="G543" s="213"/>
      <c r="H543" s="213"/>
      <c r="I543" s="213"/>
      <c r="J543" s="213"/>
    </row>
    <row r="544" spans="1:10" x14ac:dyDescent="0.2">
      <c r="A544" s="155"/>
      <c r="B544" s="216"/>
      <c r="C544" s="310" t="s">
        <v>140</v>
      </c>
      <c r="D544" s="310"/>
      <c r="E544" s="310"/>
      <c r="F544" s="155"/>
      <c r="G544" s="213"/>
      <c r="H544" s="213"/>
      <c r="I544" s="213"/>
      <c r="J544" s="213"/>
    </row>
    <row r="545" spans="1:10" x14ac:dyDescent="0.2">
      <c r="A545" s="155"/>
      <c r="B545" s="212" t="s">
        <v>20</v>
      </c>
      <c r="C545" s="213"/>
      <c r="D545" s="250"/>
      <c r="E545" s="214"/>
      <c r="F545" s="155"/>
      <c r="G545" s="213"/>
      <c r="H545" s="213"/>
      <c r="I545" s="213"/>
      <c r="J545" s="213"/>
    </row>
    <row r="546" spans="1:10" x14ac:dyDescent="0.2">
      <c r="A546" s="155"/>
      <c r="B546" s="212"/>
      <c r="C546" s="311" t="s">
        <v>64</v>
      </c>
      <c r="D546" s="311"/>
      <c r="E546" s="311"/>
      <c r="F546" s="155"/>
      <c r="G546" s="213"/>
      <c r="H546" s="213"/>
      <c r="I546" s="213"/>
      <c r="J546" s="213"/>
    </row>
    <row r="547" spans="1:10" ht="13.5" thickBot="1" x14ac:dyDescent="0.25">
      <c r="A547" s="155"/>
      <c r="B547" s="218"/>
      <c r="C547" s="219"/>
      <c r="D547" s="220"/>
      <c r="E547" s="221"/>
      <c r="F547" s="155"/>
      <c r="G547" s="213"/>
      <c r="H547" s="213"/>
      <c r="I547" s="213"/>
      <c r="J547" s="213"/>
    </row>
    <row r="548" spans="1:10" ht="13.5" thickBot="1" x14ac:dyDescent="0.25">
      <c r="A548" s="155"/>
      <c r="B548" s="155"/>
      <c r="C548" s="155"/>
      <c r="D548" s="222"/>
      <c r="E548" s="155"/>
      <c r="F548" s="155"/>
      <c r="G548" s="213"/>
      <c r="H548" s="213"/>
      <c r="I548" s="213"/>
      <c r="J548" s="213"/>
    </row>
    <row r="549" spans="1:10" x14ac:dyDescent="0.2">
      <c r="A549" s="155"/>
      <c r="B549" s="223" t="s">
        <v>152</v>
      </c>
      <c r="C549" s="224"/>
      <c r="D549" s="225"/>
      <c r="E549" s="226"/>
      <c r="F549" s="155"/>
      <c r="G549" s="213"/>
      <c r="H549" s="213"/>
      <c r="I549" s="213"/>
      <c r="J549" s="213"/>
    </row>
    <row r="550" spans="1:10" x14ac:dyDescent="0.2">
      <c r="A550" s="155"/>
      <c r="B550" s="227"/>
      <c r="C550" s="213"/>
      <c r="D550" s="250"/>
      <c r="E550" s="214"/>
      <c r="F550" s="155"/>
      <c r="G550" s="213"/>
      <c r="H550" s="213"/>
      <c r="I550" s="213"/>
      <c r="J550" s="213"/>
    </row>
    <row r="551" spans="1:10" x14ac:dyDescent="0.2">
      <c r="A551" s="155"/>
      <c r="B551" s="212" t="s">
        <v>16</v>
      </c>
      <c r="C551" s="213"/>
      <c r="D551" s="250"/>
      <c r="E551" s="214"/>
      <c r="F551" s="155"/>
      <c r="G551" s="213"/>
      <c r="H551" s="213"/>
      <c r="I551" s="213"/>
      <c r="J551" s="213"/>
    </row>
    <row r="552" spans="1:10" x14ac:dyDescent="0.2">
      <c r="A552" s="155"/>
      <c r="B552" s="212"/>
      <c r="C552" s="310" t="s">
        <v>363</v>
      </c>
      <c r="D552" s="310"/>
      <c r="E552" s="310"/>
      <c r="F552" s="155"/>
      <c r="G552" s="213"/>
      <c r="H552" s="213"/>
      <c r="I552" s="213"/>
      <c r="J552" s="213"/>
    </row>
    <row r="553" spans="1:10" ht="13.5" thickBot="1" x14ac:dyDescent="0.25">
      <c r="A553" s="155"/>
      <c r="B553" s="212" t="s">
        <v>17</v>
      </c>
      <c r="C553" s="213"/>
      <c r="D553" s="250"/>
      <c r="E553" s="214"/>
      <c r="F553" s="155"/>
      <c r="G553" s="213"/>
      <c r="H553" s="213"/>
      <c r="I553" s="213"/>
      <c r="J553" s="213"/>
    </row>
    <row r="554" spans="1:10" ht="13.5" thickBot="1" x14ac:dyDescent="0.25">
      <c r="A554" s="155"/>
      <c r="B554" s="312" t="s">
        <v>137</v>
      </c>
      <c r="C554" s="313"/>
      <c r="D554" s="313"/>
      <c r="E554" s="314"/>
      <c r="F554" s="155"/>
      <c r="G554" s="213"/>
      <c r="H554" s="213"/>
      <c r="I554" s="213"/>
      <c r="J554" s="213"/>
    </row>
    <row r="555" spans="1:10" ht="12.75" customHeight="1" thickBot="1" x14ac:dyDescent="0.25">
      <c r="A555" s="155"/>
      <c r="B555" s="312" t="s">
        <v>138</v>
      </c>
      <c r="C555" s="314"/>
      <c r="D555" s="215" t="s">
        <v>11</v>
      </c>
      <c r="E555" s="215" t="s">
        <v>139</v>
      </c>
      <c r="F555" s="155"/>
      <c r="G555" s="213"/>
      <c r="H555" s="213"/>
      <c r="I555" s="213"/>
      <c r="J555" s="213"/>
    </row>
    <row r="556" spans="1:10" s="155" customFormat="1" x14ac:dyDescent="0.2">
      <c r="B556" s="315" t="s">
        <v>301</v>
      </c>
      <c r="C556" s="315"/>
      <c r="D556" s="249">
        <v>73</v>
      </c>
      <c r="E556" s="164" t="s">
        <v>300</v>
      </c>
      <c r="G556" s="250"/>
      <c r="H556" s="213"/>
      <c r="I556" s="261"/>
      <c r="J556" s="213"/>
    </row>
    <row r="557" spans="1:10" s="155" customFormat="1" x14ac:dyDescent="0.2">
      <c r="B557" s="305" t="s">
        <v>302</v>
      </c>
      <c r="C557" s="305"/>
      <c r="D557" s="246">
        <v>165</v>
      </c>
      <c r="E557" s="165" t="s">
        <v>246</v>
      </c>
      <c r="G557" s="250"/>
      <c r="H557" s="213"/>
      <c r="I557" s="261"/>
      <c r="J557" s="213"/>
    </row>
    <row r="558" spans="1:10" s="155" customFormat="1" x14ac:dyDescent="0.2">
      <c r="B558" s="305" t="s">
        <v>304</v>
      </c>
      <c r="C558" s="305"/>
      <c r="D558" s="246">
        <v>165</v>
      </c>
      <c r="E558" s="165" t="s">
        <v>247</v>
      </c>
      <c r="G558" s="250"/>
      <c r="H558" s="213"/>
      <c r="I558" s="261"/>
      <c r="J558" s="213"/>
    </row>
    <row r="559" spans="1:10" s="155" customFormat="1" x14ac:dyDescent="0.2">
      <c r="B559" s="305" t="s">
        <v>303</v>
      </c>
      <c r="C559" s="305"/>
      <c r="D559" s="246">
        <v>99</v>
      </c>
      <c r="E559" s="165" t="s">
        <v>248</v>
      </c>
      <c r="G559" s="250"/>
      <c r="H559" s="213"/>
      <c r="I559" s="261"/>
      <c r="J559" s="213"/>
    </row>
    <row r="560" spans="1:10" s="155" customFormat="1" x14ac:dyDescent="0.2">
      <c r="B560" s="305" t="s">
        <v>298</v>
      </c>
      <c r="C560" s="305"/>
      <c r="D560" s="246">
        <v>83</v>
      </c>
      <c r="E560" s="165" t="s">
        <v>299</v>
      </c>
      <c r="G560" s="250"/>
      <c r="H560" s="213"/>
      <c r="I560" s="261"/>
      <c r="J560" s="213"/>
    </row>
    <row r="561" spans="1:10" s="155" customFormat="1" x14ac:dyDescent="0.2">
      <c r="B561" s="305" t="s">
        <v>249</v>
      </c>
      <c r="C561" s="305"/>
      <c r="D561" s="246">
        <v>73</v>
      </c>
      <c r="E561" s="165" t="s">
        <v>250</v>
      </c>
      <c r="G561" s="250"/>
      <c r="H561" s="213"/>
      <c r="I561" s="261"/>
      <c r="J561" s="213"/>
    </row>
    <row r="562" spans="1:10" s="155" customFormat="1" x14ac:dyDescent="0.2">
      <c r="B562" s="305" t="s">
        <v>251</v>
      </c>
      <c r="C562" s="305"/>
      <c r="D562" s="246">
        <v>92</v>
      </c>
      <c r="E562" s="165" t="s">
        <v>252</v>
      </c>
      <c r="G562" s="250"/>
      <c r="H562" s="213"/>
      <c r="I562" s="261"/>
      <c r="J562" s="213"/>
    </row>
    <row r="563" spans="1:10" s="155" customFormat="1" x14ac:dyDescent="0.2">
      <c r="B563" s="305" t="s">
        <v>253</v>
      </c>
      <c r="C563" s="305"/>
      <c r="D563" s="246">
        <v>92</v>
      </c>
      <c r="E563" s="165" t="s">
        <v>254</v>
      </c>
      <c r="G563" s="250"/>
      <c r="H563" s="213"/>
      <c r="I563" s="261"/>
      <c r="J563" s="213"/>
    </row>
    <row r="564" spans="1:10" s="155" customFormat="1" x14ac:dyDescent="0.2">
      <c r="B564" s="305" t="s">
        <v>255</v>
      </c>
      <c r="C564" s="305"/>
      <c r="D564" s="246">
        <v>198</v>
      </c>
      <c r="E564" s="165" t="s">
        <v>256</v>
      </c>
      <c r="G564" s="250"/>
      <c r="H564" s="213"/>
      <c r="I564" s="261"/>
      <c r="J564" s="213"/>
    </row>
    <row r="565" spans="1:10" s="155" customFormat="1" x14ac:dyDescent="0.2">
      <c r="B565" s="305" t="s">
        <v>305</v>
      </c>
      <c r="C565" s="305"/>
      <c r="D565" s="246">
        <v>132</v>
      </c>
      <c r="E565" s="165" t="s">
        <v>257</v>
      </c>
      <c r="G565" s="250"/>
      <c r="H565" s="213"/>
      <c r="I565" s="261"/>
      <c r="J565" s="213"/>
    </row>
    <row r="566" spans="1:10" s="155" customFormat="1" x14ac:dyDescent="0.2">
      <c r="B566" s="305" t="s">
        <v>258</v>
      </c>
      <c r="C566" s="305"/>
      <c r="D566" s="246">
        <v>66</v>
      </c>
      <c r="E566" s="165" t="s">
        <v>259</v>
      </c>
      <c r="G566" s="250"/>
      <c r="H566" s="213"/>
      <c r="I566" s="261"/>
      <c r="J566" s="213"/>
    </row>
    <row r="567" spans="1:10" s="155" customFormat="1" x14ac:dyDescent="0.2">
      <c r="B567" s="305" t="s">
        <v>260</v>
      </c>
      <c r="C567" s="305"/>
      <c r="D567" s="246">
        <v>132</v>
      </c>
      <c r="E567" s="165" t="s">
        <v>261</v>
      </c>
      <c r="G567" s="250"/>
      <c r="H567" s="213"/>
      <c r="I567" s="261"/>
      <c r="J567" s="213"/>
    </row>
    <row r="568" spans="1:10" s="155" customFormat="1" x14ac:dyDescent="0.2">
      <c r="B568" s="305" t="s">
        <v>306</v>
      </c>
      <c r="C568" s="305"/>
      <c r="D568" s="246">
        <v>132</v>
      </c>
      <c r="E568" s="165" t="s">
        <v>262</v>
      </c>
      <c r="G568" s="250"/>
      <c r="H568" s="213"/>
      <c r="I568" s="261"/>
      <c r="J568" s="213"/>
    </row>
    <row r="569" spans="1:10" s="155" customFormat="1" x14ac:dyDescent="0.2">
      <c r="B569" s="305" t="s">
        <v>263</v>
      </c>
      <c r="C569" s="305"/>
      <c r="D569" s="246">
        <v>83</v>
      </c>
      <c r="E569" s="165" t="s">
        <v>264</v>
      </c>
      <c r="G569" s="250"/>
      <c r="H569" s="213"/>
      <c r="I569" s="261"/>
      <c r="J569" s="213"/>
    </row>
    <row r="570" spans="1:10" s="155" customFormat="1" x14ac:dyDescent="0.2">
      <c r="B570" s="305" t="s">
        <v>265</v>
      </c>
      <c r="C570" s="305"/>
      <c r="D570" s="246">
        <v>116</v>
      </c>
      <c r="E570" s="165" t="s">
        <v>266</v>
      </c>
      <c r="G570" s="250"/>
      <c r="H570" s="213"/>
      <c r="I570" s="261"/>
      <c r="J570" s="213"/>
    </row>
    <row r="571" spans="1:10" s="155" customFormat="1" x14ac:dyDescent="0.2">
      <c r="B571" s="305" t="s">
        <v>267</v>
      </c>
      <c r="C571" s="305"/>
      <c r="D571" s="246">
        <v>99</v>
      </c>
      <c r="E571" s="165" t="s">
        <v>268</v>
      </c>
      <c r="G571" s="250"/>
      <c r="H571" s="213"/>
      <c r="I571" s="261"/>
      <c r="J571" s="213"/>
    </row>
    <row r="572" spans="1:10" s="155" customFormat="1" x14ac:dyDescent="0.2">
      <c r="B572" s="305" t="s">
        <v>269</v>
      </c>
      <c r="C572" s="305"/>
      <c r="D572" s="246">
        <v>99</v>
      </c>
      <c r="E572" s="165" t="s">
        <v>270</v>
      </c>
      <c r="G572" s="250"/>
      <c r="H572" s="213"/>
      <c r="I572" s="261"/>
      <c r="J572" s="213"/>
    </row>
    <row r="573" spans="1:10" s="155" customFormat="1" x14ac:dyDescent="0.2">
      <c r="B573" s="305" t="s">
        <v>271</v>
      </c>
      <c r="C573" s="305"/>
      <c r="D573" s="246">
        <v>83</v>
      </c>
      <c r="E573" s="165" t="s">
        <v>272</v>
      </c>
      <c r="G573" s="250"/>
      <c r="H573" s="213"/>
      <c r="I573" s="261"/>
      <c r="J573" s="213"/>
    </row>
    <row r="574" spans="1:10" s="155" customFormat="1" x14ac:dyDescent="0.2">
      <c r="B574" s="305" t="s">
        <v>273</v>
      </c>
      <c r="C574" s="305"/>
      <c r="D574" s="246">
        <v>83</v>
      </c>
      <c r="E574" s="165" t="s">
        <v>274</v>
      </c>
      <c r="G574" s="250"/>
      <c r="H574" s="213"/>
      <c r="I574" s="261"/>
      <c r="J574" s="213"/>
    </row>
    <row r="575" spans="1:10" s="155" customFormat="1" ht="13.5" thickBot="1" x14ac:dyDescent="0.25">
      <c r="B575" s="305" t="s">
        <v>307</v>
      </c>
      <c r="C575" s="305"/>
      <c r="D575" s="246">
        <v>83</v>
      </c>
      <c r="E575" s="165" t="s">
        <v>308</v>
      </c>
      <c r="G575" s="250"/>
      <c r="H575" s="213"/>
      <c r="I575" s="261"/>
      <c r="J575" s="213"/>
    </row>
    <row r="576" spans="1:10" ht="26.25" customHeight="1" thickBot="1" x14ac:dyDescent="0.25">
      <c r="A576" s="155"/>
      <c r="B576" s="307" t="s">
        <v>399</v>
      </c>
      <c r="C576" s="308"/>
      <c r="D576" s="308"/>
      <c r="E576" s="309"/>
      <c r="F576" s="155"/>
      <c r="G576" s="213"/>
      <c r="H576" s="213"/>
      <c r="I576" s="261"/>
      <c r="J576" s="261"/>
    </row>
    <row r="577" spans="1:10" x14ac:dyDescent="0.2">
      <c r="A577" s="155"/>
      <c r="B577" s="212" t="s">
        <v>18</v>
      </c>
      <c r="C577" s="213"/>
      <c r="D577" s="250"/>
      <c r="E577" s="214"/>
      <c r="F577" s="155"/>
      <c r="G577" s="213"/>
      <c r="H577" s="213"/>
      <c r="I577" s="213"/>
      <c r="J577" s="213"/>
    </row>
    <row r="578" spans="1:10" x14ac:dyDescent="0.2">
      <c r="A578" s="155"/>
      <c r="B578" s="216"/>
      <c r="C578" s="310" t="s">
        <v>63</v>
      </c>
      <c r="D578" s="310"/>
      <c r="E578" s="310"/>
      <c r="F578" s="155"/>
      <c r="G578" s="213"/>
      <c r="H578" s="213"/>
      <c r="I578" s="213"/>
      <c r="J578" s="213"/>
    </row>
    <row r="579" spans="1:10" x14ac:dyDescent="0.2">
      <c r="A579" s="155"/>
      <c r="B579" s="212" t="s">
        <v>19</v>
      </c>
      <c r="C579" s="217"/>
      <c r="D579" s="217"/>
      <c r="E579" s="251"/>
      <c r="F579" s="155"/>
      <c r="G579" s="213"/>
      <c r="H579" s="213"/>
      <c r="I579" s="213"/>
      <c r="J579" s="213"/>
    </row>
    <row r="580" spans="1:10" x14ac:dyDescent="0.2">
      <c r="A580" s="155"/>
      <c r="B580" s="216"/>
      <c r="C580" s="310" t="s">
        <v>140</v>
      </c>
      <c r="D580" s="310"/>
      <c r="E580" s="310"/>
      <c r="F580" s="155"/>
      <c r="G580" s="213"/>
      <c r="H580" s="213"/>
      <c r="I580" s="213"/>
      <c r="J580" s="213"/>
    </row>
    <row r="581" spans="1:10" x14ac:dyDescent="0.2">
      <c r="A581" s="155"/>
      <c r="B581" s="212" t="s">
        <v>20</v>
      </c>
      <c r="C581" s="213"/>
      <c r="D581" s="250"/>
      <c r="E581" s="214"/>
      <c r="F581" s="155"/>
      <c r="G581" s="213"/>
      <c r="H581" s="213"/>
      <c r="I581" s="213"/>
      <c r="J581" s="213"/>
    </row>
    <row r="582" spans="1:10" x14ac:dyDescent="0.2">
      <c r="A582" s="155"/>
      <c r="B582" s="212"/>
      <c r="C582" s="311" t="s">
        <v>64</v>
      </c>
      <c r="D582" s="311"/>
      <c r="E582" s="311"/>
      <c r="F582" s="155"/>
      <c r="G582" s="213"/>
      <c r="H582" s="213"/>
      <c r="I582" s="213"/>
      <c r="J582" s="213"/>
    </row>
    <row r="583" spans="1:10" ht="13.5" thickBot="1" x14ac:dyDescent="0.25">
      <c r="A583" s="155"/>
      <c r="B583" s="218"/>
      <c r="C583" s="219"/>
      <c r="D583" s="220"/>
      <c r="E583" s="221"/>
      <c r="F583" s="155"/>
      <c r="G583" s="213"/>
      <c r="H583" s="213"/>
      <c r="I583" s="213"/>
      <c r="J583" s="213"/>
    </row>
    <row r="584" spans="1:10" ht="13.5" thickBot="1" x14ac:dyDescent="0.25">
      <c r="A584" s="155"/>
      <c r="B584" s="155"/>
      <c r="C584" s="155"/>
      <c r="D584" s="222"/>
      <c r="E584" s="155"/>
      <c r="F584" s="155"/>
      <c r="G584" s="213"/>
      <c r="H584" s="213"/>
      <c r="I584" s="213"/>
      <c r="J584" s="213"/>
    </row>
    <row r="585" spans="1:10" x14ac:dyDescent="0.2">
      <c r="A585" s="155"/>
      <c r="B585" s="223" t="s">
        <v>153</v>
      </c>
      <c r="C585" s="224"/>
      <c r="D585" s="225"/>
      <c r="E585" s="226"/>
      <c r="F585" s="155"/>
      <c r="G585" s="213"/>
      <c r="H585" s="213"/>
      <c r="I585" s="213"/>
      <c r="J585" s="213"/>
    </row>
    <row r="586" spans="1:10" x14ac:dyDescent="0.2">
      <c r="A586" s="155"/>
      <c r="B586" s="227"/>
      <c r="C586" s="213"/>
      <c r="D586" s="250"/>
      <c r="E586" s="214"/>
      <c r="F586" s="155"/>
      <c r="G586" s="213"/>
      <c r="H586" s="213"/>
      <c r="I586" s="213"/>
      <c r="J586" s="213"/>
    </row>
    <row r="587" spans="1:10" x14ac:dyDescent="0.2">
      <c r="A587" s="155"/>
      <c r="B587" s="212" t="s">
        <v>16</v>
      </c>
      <c r="C587" s="213"/>
      <c r="D587" s="250"/>
      <c r="E587" s="214"/>
      <c r="F587" s="155"/>
      <c r="G587" s="213"/>
      <c r="H587" s="213"/>
      <c r="I587" s="213"/>
      <c r="J587" s="213"/>
    </row>
    <row r="588" spans="1:10" x14ac:dyDescent="0.2">
      <c r="A588" s="155"/>
      <c r="B588" s="212"/>
      <c r="C588" s="310" t="s">
        <v>364</v>
      </c>
      <c r="D588" s="310"/>
      <c r="E588" s="310"/>
      <c r="F588" s="155"/>
      <c r="G588" s="213"/>
      <c r="H588" s="213"/>
      <c r="I588" s="213"/>
      <c r="J588" s="213"/>
    </row>
    <row r="589" spans="1:10" ht="13.5" thickBot="1" x14ac:dyDescent="0.25">
      <c r="A589" s="155"/>
      <c r="B589" s="212" t="s">
        <v>17</v>
      </c>
      <c r="C589" s="213"/>
      <c r="D589" s="250"/>
      <c r="E589" s="214"/>
      <c r="F589" s="155"/>
      <c r="G589" s="213"/>
      <c r="H589" s="213"/>
      <c r="I589" s="213"/>
      <c r="J589" s="213"/>
    </row>
    <row r="590" spans="1:10" ht="13.5" thickBot="1" x14ac:dyDescent="0.25">
      <c r="A590" s="155"/>
      <c r="B590" s="312" t="s">
        <v>137</v>
      </c>
      <c r="C590" s="313"/>
      <c r="D590" s="313"/>
      <c r="E590" s="314"/>
      <c r="F590" s="155"/>
      <c r="G590" s="213"/>
      <c r="H590" s="213"/>
      <c r="I590" s="213"/>
      <c r="J590" s="213"/>
    </row>
    <row r="591" spans="1:10" ht="13.5" thickBot="1" x14ac:dyDescent="0.25">
      <c r="A591" s="155"/>
      <c r="B591" s="312" t="s">
        <v>138</v>
      </c>
      <c r="C591" s="314"/>
      <c r="D591" s="215" t="s">
        <v>11</v>
      </c>
      <c r="E591" s="215" t="s">
        <v>139</v>
      </c>
      <c r="F591" s="155"/>
      <c r="G591" s="213"/>
      <c r="H591" s="213"/>
      <c r="I591" s="213"/>
      <c r="J591" s="213"/>
    </row>
    <row r="592" spans="1:10" s="155" customFormat="1" x14ac:dyDescent="0.2">
      <c r="B592" s="315" t="s">
        <v>301</v>
      </c>
      <c r="C592" s="315"/>
      <c r="D592" s="249">
        <v>28</v>
      </c>
      <c r="E592" s="164" t="s">
        <v>300</v>
      </c>
      <c r="G592" s="250"/>
      <c r="H592" s="213"/>
      <c r="I592" s="261"/>
      <c r="J592" s="213"/>
    </row>
    <row r="593" spans="2:10" s="155" customFormat="1" x14ac:dyDescent="0.2">
      <c r="B593" s="305" t="s">
        <v>302</v>
      </c>
      <c r="C593" s="305"/>
      <c r="D593" s="246">
        <v>63</v>
      </c>
      <c r="E593" s="165" t="s">
        <v>246</v>
      </c>
      <c r="G593" s="250"/>
      <c r="H593" s="213"/>
      <c r="I593" s="261"/>
      <c r="J593" s="213"/>
    </row>
    <row r="594" spans="2:10" s="155" customFormat="1" x14ac:dyDescent="0.2">
      <c r="B594" s="305" t="s">
        <v>304</v>
      </c>
      <c r="C594" s="305"/>
      <c r="D594" s="246">
        <v>63</v>
      </c>
      <c r="E594" s="165" t="s">
        <v>247</v>
      </c>
      <c r="G594" s="250"/>
      <c r="H594" s="213"/>
      <c r="I594" s="261"/>
      <c r="J594" s="213"/>
    </row>
    <row r="595" spans="2:10" s="155" customFormat="1" x14ac:dyDescent="0.2">
      <c r="B595" s="305" t="s">
        <v>303</v>
      </c>
      <c r="C595" s="305"/>
      <c r="D595" s="246">
        <v>38</v>
      </c>
      <c r="E595" s="165" t="s">
        <v>248</v>
      </c>
      <c r="G595" s="250"/>
      <c r="H595" s="213"/>
      <c r="I595" s="261"/>
      <c r="J595" s="213"/>
    </row>
    <row r="596" spans="2:10" s="155" customFormat="1" x14ac:dyDescent="0.2">
      <c r="B596" s="305" t="s">
        <v>298</v>
      </c>
      <c r="C596" s="305"/>
      <c r="D596" s="246">
        <v>32</v>
      </c>
      <c r="E596" s="165" t="s">
        <v>299</v>
      </c>
      <c r="G596" s="250"/>
      <c r="H596" s="213"/>
      <c r="I596" s="261"/>
      <c r="J596" s="213"/>
    </row>
    <row r="597" spans="2:10" s="155" customFormat="1" x14ac:dyDescent="0.2">
      <c r="B597" s="305" t="s">
        <v>249</v>
      </c>
      <c r="C597" s="305"/>
      <c r="D597" s="246">
        <v>28</v>
      </c>
      <c r="E597" s="165" t="s">
        <v>250</v>
      </c>
      <c r="G597" s="250"/>
      <c r="H597" s="213"/>
      <c r="I597" s="261"/>
      <c r="J597" s="213"/>
    </row>
    <row r="598" spans="2:10" s="155" customFormat="1" x14ac:dyDescent="0.2">
      <c r="B598" s="305" t="s">
        <v>251</v>
      </c>
      <c r="C598" s="305"/>
      <c r="D598" s="246">
        <v>36</v>
      </c>
      <c r="E598" s="165" t="s">
        <v>252</v>
      </c>
      <c r="G598" s="250"/>
      <c r="H598" s="213"/>
      <c r="I598" s="261"/>
      <c r="J598" s="213"/>
    </row>
    <row r="599" spans="2:10" s="155" customFormat="1" x14ac:dyDescent="0.2">
      <c r="B599" s="305" t="s">
        <v>253</v>
      </c>
      <c r="C599" s="305"/>
      <c r="D599" s="246">
        <v>36</v>
      </c>
      <c r="E599" s="165" t="s">
        <v>254</v>
      </c>
      <c r="G599" s="250"/>
      <c r="H599" s="213"/>
      <c r="I599" s="261"/>
      <c r="J599" s="213"/>
    </row>
    <row r="600" spans="2:10" s="155" customFormat="1" x14ac:dyDescent="0.2">
      <c r="B600" s="305" t="s">
        <v>255</v>
      </c>
      <c r="C600" s="305"/>
      <c r="D600" s="246">
        <v>76</v>
      </c>
      <c r="E600" s="165" t="s">
        <v>256</v>
      </c>
      <c r="G600" s="250"/>
      <c r="H600" s="213"/>
      <c r="I600" s="261"/>
      <c r="J600" s="213"/>
    </row>
    <row r="601" spans="2:10" s="155" customFormat="1" x14ac:dyDescent="0.2">
      <c r="B601" s="305" t="s">
        <v>305</v>
      </c>
      <c r="C601" s="305"/>
      <c r="D601" s="246">
        <v>51</v>
      </c>
      <c r="E601" s="165" t="s">
        <v>257</v>
      </c>
      <c r="G601" s="250"/>
      <c r="H601" s="213"/>
      <c r="I601" s="261"/>
      <c r="J601" s="213"/>
    </row>
    <row r="602" spans="2:10" s="155" customFormat="1" x14ac:dyDescent="0.2">
      <c r="B602" s="305" t="s">
        <v>258</v>
      </c>
      <c r="C602" s="305"/>
      <c r="D602" s="246">
        <v>25</v>
      </c>
      <c r="E602" s="165" t="s">
        <v>259</v>
      </c>
      <c r="G602" s="250"/>
      <c r="H602" s="213"/>
      <c r="I602" s="261"/>
      <c r="J602" s="213"/>
    </row>
    <row r="603" spans="2:10" s="155" customFormat="1" x14ac:dyDescent="0.2">
      <c r="B603" s="305" t="s">
        <v>260</v>
      </c>
      <c r="C603" s="305"/>
      <c r="D603" s="246">
        <v>51</v>
      </c>
      <c r="E603" s="165" t="s">
        <v>261</v>
      </c>
      <c r="G603" s="250"/>
      <c r="H603" s="213"/>
      <c r="I603" s="261"/>
      <c r="J603" s="213"/>
    </row>
    <row r="604" spans="2:10" s="155" customFormat="1" x14ac:dyDescent="0.2">
      <c r="B604" s="305" t="s">
        <v>306</v>
      </c>
      <c r="C604" s="305"/>
      <c r="D604" s="246">
        <v>51</v>
      </c>
      <c r="E604" s="165" t="s">
        <v>262</v>
      </c>
      <c r="G604" s="250"/>
      <c r="H604" s="213"/>
      <c r="I604" s="261"/>
      <c r="J604" s="213"/>
    </row>
    <row r="605" spans="2:10" s="155" customFormat="1" x14ac:dyDescent="0.2">
      <c r="B605" s="305" t="s">
        <v>263</v>
      </c>
      <c r="C605" s="305"/>
      <c r="D605" s="246">
        <v>32</v>
      </c>
      <c r="E605" s="165" t="s">
        <v>264</v>
      </c>
      <c r="G605" s="250"/>
      <c r="H605" s="213"/>
      <c r="I605" s="261"/>
      <c r="J605" s="213"/>
    </row>
    <row r="606" spans="2:10" s="155" customFormat="1" x14ac:dyDescent="0.2">
      <c r="B606" s="305" t="s">
        <v>265</v>
      </c>
      <c r="C606" s="305"/>
      <c r="D606" s="246">
        <v>45</v>
      </c>
      <c r="E606" s="165" t="s">
        <v>266</v>
      </c>
      <c r="G606" s="250"/>
      <c r="H606" s="213"/>
      <c r="I606" s="261"/>
      <c r="J606" s="213"/>
    </row>
    <row r="607" spans="2:10" s="155" customFormat="1" x14ac:dyDescent="0.2">
      <c r="B607" s="305" t="s">
        <v>267</v>
      </c>
      <c r="C607" s="305"/>
      <c r="D607" s="246">
        <v>38</v>
      </c>
      <c r="E607" s="165" t="s">
        <v>268</v>
      </c>
      <c r="G607" s="250"/>
      <c r="H607" s="213"/>
      <c r="I607" s="261"/>
      <c r="J607" s="213"/>
    </row>
    <row r="608" spans="2:10" s="155" customFormat="1" x14ac:dyDescent="0.2">
      <c r="B608" s="305" t="s">
        <v>269</v>
      </c>
      <c r="C608" s="305"/>
      <c r="D608" s="246">
        <v>38</v>
      </c>
      <c r="E608" s="165" t="s">
        <v>270</v>
      </c>
      <c r="G608" s="250"/>
      <c r="H608" s="213"/>
      <c r="I608" s="261"/>
      <c r="J608" s="213"/>
    </row>
    <row r="609" spans="1:10" s="155" customFormat="1" x14ac:dyDescent="0.2">
      <c r="B609" s="305" t="s">
        <v>271</v>
      </c>
      <c r="C609" s="305"/>
      <c r="D609" s="246">
        <v>32</v>
      </c>
      <c r="E609" s="165" t="s">
        <v>272</v>
      </c>
      <c r="G609" s="250"/>
      <c r="H609" s="213"/>
      <c r="I609" s="261"/>
      <c r="J609" s="213"/>
    </row>
    <row r="610" spans="1:10" s="155" customFormat="1" x14ac:dyDescent="0.2">
      <c r="B610" s="305" t="s">
        <v>273</v>
      </c>
      <c r="C610" s="305"/>
      <c r="D610" s="246">
        <v>32</v>
      </c>
      <c r="E610" s="165" t="s">
        <v>274</v>
      </c>
      <c r="G610" s="250"/>
      <c r="H610" s="213"/>
      <c r="I610" s="261"/>
      <c r="J610" s="213"/>
    </row>
    <row r="611" spans="1:10" s="155" customFormat="1" ht="13.5" thickBot="1" x14ac:dyDescent="0.25">
      <c r="B611" s="305" t="s">
        <v>307</v>
      </c>
      <c r="C611" s="305"/>
      <c r="D611" s="246">
        <v>32</v>
      </c>
      <c r="E611" s="165" t="s">
        <v>308</v>
      </c>
      <c r="G611" s="250"/>
      <c r="H611" s="213"/>
      <c r="I611" s="261"/>
      <c r="J611" s="213"/>
    </row>
    <row r="612" spans="1:10" ht="26.25" customHeight="1" thickBot="1" x14ac:dyDescent="0.25">
      <c r="A612" s="155"/>
      <c r="B612" s="307" t="s">
        <v>393</v>
      </c>
      <c r="C612" s="308"/>
      <c r="D612" s="308"/>
      <c r="E612" s="309"/>
      <c r="F612" s="155"/>
      <c r="G612" s="213"/>
      <c r="H612" s="213"/>
      <c r="I612" s="261"/>
      <c r="J612" s="261"/>
    </row>
    <row r="613" spans="1:10" x14ac:dyDescent="0.2">
      <c r="A613" s="155"/>
      <c r="B613" s="212" t="s">
        <v>18</v>
      </c>
      <c r="C613" s="213"/>
      <c r="D613" s="250"/>
      <c r="E613" s="214"/>
      <c r="F613" s="155"/>
      <c r="G613" s="213"/>
      <c r="H613" s="213"/>
      <c r="I613" s="213"/>
      <c r="J613" s="213"/>
    </row>
    <row r="614" spans="1:10" x14ac:dyDescent="0.2">
      <c r="A614" s="155"/>
      <c r="B614" s="216"/>
      <c r="C614" s="310" t="s">
        <v>63</v>
      </c>
      <c r="D614" s="310"/>
      <c r="E614" s="310"/>
      <c r="F614" s="155"/>
      <c r="G614" s="213"/>
      <c r="H614" s="213"/>
      <c r="I614" s="213"/>
      <c r="J614" s="213"/>
    </row>
    <row r="615" spans="1:10" x14ac:dyDescent="0.2">
      <c r="A615" s="155"/>
      <c r="B615" s="212" t="s">
        <v>19</v>
      </c>
      <c r="C615" s="217"/>
      <c r="D615" s="217"/>
      <c r="E615" s="251"/>
      <c r="F615" s="155"/>
      <c r="G615" s="213"/>
      <c r="H615" s="213"/>
      <c r="I615" s="213"/>
      <c r="J615" s="213"/>
    </row>
    <row r="616" spans="1:10" x14ac:dyDescent="0.2">
      <c r="A616" s="155"/>
      <c r="B616" s="216"/>
      <c r="C616" s="310" t="s">
        <v>140</v>
      </c>
      <c r="D616" s="310"/>
      <c r="E616" s="310"/>
      <c r="F616" s="155"/>
      <c r="G616" s="213"/>
      <c r="H616" s="213"/>
      <c r="I616" s="213"/>
      <c r="J616" s="213"/>
    </row>
    <row r="617" spans="1:10" x14ac:dyDescent="0.2">
      <c r="A617" s="155"/>
      <c r="B617" s="212" t="s">
        <v>20</v>
      </c>
      <c r="C617" s="213"/>
      <c r="D617" s="250"/>
      <c r="E617" s="214"/>
      <c r="F617" s="155"/>
      <c r="G617" s="213"/>
      <c r="H617" s="213"/>
      <c r="I617" s="213"/>
      <c r="J617" s="213"/>
    </row>
    <row r="618" spans="1:10" x14ac:dyDescent="0.2">
      <c r="A618" s="155"/>
      <c r="B618" s="212"/>
      <c r="C618" s="311" t="s">
        <v>64</v>
      </c>
      <c r="D618" s="311"/>
      <c r="E618" s="311"/>
      <c r="F618" s="155"/>
      <c r="G618" s="213"/>
      <c r="H618" s="213"/>
      <c r="I618" s="213"/>
      <c r="J618" s="213"/>
    </row>
    <row r="619" spans="1:10" ht="13.5" thickBot="1" x14ac:dyDescent="0.25">
      <c r="A619" s="155"/>
      <c r="B619" s="218"/>
      <c r="C619" s="219"/>
      <c r="D619" s="220"/>
      <c r="E619" s="221"/>
      <c r="F619" s="155"/>
      <c r="G619" s="213"/>
      <c r="H619" s="213"/>
      <c r="I619" s="213"/>
      <c r="J619" s="213"/>
    </row>
    <row r="620" spans="1:10" ht="13.5" thickBot="1" x14ac:dyDescent="0.25">
      <c r="A620" s="155"/>
      <c r="B620" s="155"/>
      <c r="C620" s="155"/>
      <c r="D620" s="222"/>
      <c r="E620" s="155"/>
      <c r="F620" s="155"/>
      <c r="G620" s="213"/>
      <c r="H620" s="213"/>
      <c r="I620" s="213"/>
      <c r="J620" s="213"/>
    </row>
    <row r="621" spans="1:10" x14ac:dyDescent="0.2">
      <c r="A621" s="155"/>
      <c r="B621" s="223" t="s">
        <v>154</v>
      </c>
      <c r="C621" s="224"/>
      <c r="D621" s="225"/>
      <c r="E621" s="226"/>
      <c r="F621" s="155"/>
      <c r="G621" s="213"/>
      <c r="H621" s="213"/>
      <c r="I621" s="213"/>
      <c r="J621" s="213"/>
    </row>
    <row r="622" spans="1:10" x14ac:dyDescent="0.2">
      <c r="A622" s="155"/>
      <c r="B622" s="227"/>
      <c r="C622" s="213"/>
      <c r="D622" s="250"/>
      <c r="E622" s="214"/>
      <c r="F622" s="155"/>
      <c r="G622" s="213"/>
      <c r="H622" s="213"/>
      <c r="I622" s="213"/>
      <c r="J622" s="213"/>
    </row>
    <row r="623" spans="1:10" x14ac:dyDescent="0.2">
      <c r="A623" s="155"/>
      <c r="B623" s="212" t="s">
        <v>16</v>
      </c>
      <c r="C623" s="213"/>
      <c r="D623" s="250"/>
      <c r="E623" s="214"/>
      <c r="F623" s="155"/>
      <c r="G623" s="213"/>
      <c r="H623" s="213"/>
      <c r="I623" s="213"/>
      <c r="J623" s="213"/>
    </row>
    <row r="624" spans="1:10" x14ac:dyDescent="0.2">
      <c r="A624" s="155"/>
      <c r="B624" s="212"/>
      <c r="C624" s="310" t="s">
        <v>371</v>
      </c>
      <c r="D624" s="310"/>
      <c r="E624" s="310"/>
      <c r="F624" s="155"/>
      <c r="G624" s="213"/>
      <c r="H624" s="213"/>
      <c r="I624" s="213"/>
      <c r="J624" s="213"/>
    </row>
    <row r="625" spans="1:10" ht="13.5" thickBot="1" x14ac:dyDescent="0.25">
      <c r="A625" s="155"/>
      <c r="B625" s="212" t="s">
        <v>17</v>
      </c>
      <c r="C625" s="213"/>
      <c r="D625" s="250"/>
      <c r="E625" s="214"/>
      <c r="F625" s="155"/>
      <c r="G625" s="213"/>
      <c r="H625" s="213"/>
      <c r="I625" s="213"/>
      <c r="J625" s="213"/>
    </row>
    <row r="626" spans="1:10" ht="13.5" thickBot="1" x14ac:dyDescent="0.25">
      <c r="A626" s="155"/>
      <c r="B626" s="312" t="s">
        <v>137</v>
      </c>
      <c r="C626" s="313"/>
      <c r="D626" s="313"/>
      <c r="E626" s="314"/>
      <c r="F626" s="155"/>
      <c r="G626" s="213"/>
      <c r="H626" s="213"/>
      <c r="I626" s="213"/>
      <c r="J626" s="213"/>
    </row>
    <row r="627" spans="1:10" ht="13.5" thickBot="1" x14ac:dyDescent="0.25">
      <c r="A627" s="155"/>
      <c r="B627" s="312" t="s">
        <v>138</v>
      </c>
      <c r="C627" s="314"/>
      <c r="D627" s="215" t="s">
        <v>11</v>
      </c>
      <c r="E627" s="215" t="s">
        <v>139</v>
      </c>
      <c r="F627" s="155"/>
      <c r="G627" s="213"/>
      <c r="H627" s="213"/>
      <c r="I627" s="213"/>
      <c r="J627" s="213"/>
    </row>
    <row r="628" spans="1:10" s="155" customFormat="1" x14ac:dyDescent="0.2">
      <c r="B628" s="315" t="s">
        <v>301</v>
      </c>
      <c r="C628" s="315"/>
      <c r="D628" s="249">
        <v>30</v>
      </c>
      <c r="E628" s="164" t="s">
        <v>300</v>
      </c>
      <c r="G628" s="250"/>
      <c r="H628" s="213"/>
      <c r="I628" s="261"/>
      <c r="J628" s="213"/>
    </row>
    <row r="629" spans="1:10" s="155" customFormat="1" x14ac:dyDescent="0.2">
      <c r="B629" s="305" t="s">
        <v>302</v>
      </c>
      <c r="C629" s="305"/>
      <c r="D629" s="246">
        <v>68</v>
      </c>
      <c r="E629" s="165" t="s">
        <v>246</v>
      </c>
      <c r="G629" s="250"/>
      <c r="H629" s="213"/>
      <c r="I629" s="261"/>
      <c r="J629" s="213"/>
    </row>
    <row r="630" spans="1:10" s="155" customFormat="1" x14ac:dyDescent="0.2">
      <c r="B630" s="305" t="s">
        <v>304</v>
      </c>
      <c r="C630" s="305"/>
      <c r="D630" s="246">
        <v>68</v>
      </c>
      <c r="E630" s="165" t="s">
        <v>247</v>
      </c>
      <c r="G630" s="250"/>
      <c r="H630" s="213"/>
      <c r="I630" s="261"/>
      <c r="J630" s="213"/>
    </row>
    <row r="631" spans="1:10" s="155" customFormat="1" x14ac:dyDescent="0.2">
      <c r="B631" s="305" t="s">
        <v>303</v>
      </c>
      <c r="C631" s="305"/>
      <c r="D631" s="246">
        <v>41</v>
      </c>
      <c r="E631" s="165" t="s">
        <v>248</v>
      </c>
      <c r="G631" s="250"/>
      <c r="H631" s="213"/>
      <c r="I631" s="261"/>
      <c r="J631" s="213"/>
    </row>
    <row r="632" spans="1:10" s="155" customFormat="1" x14ac:dyDescent="0.2">
      <c r="B632" s="305" t="s">
        <v>298</v>
      </c>
      <c r="C632" s="305"/>
      <c r="D632" s="246">
        <v>34</v>
      </c>
      <c r="E632" s="165" t="s">
        <v>299</v>
      </c>
      <c r="G632" s="250"/>
      <c r="H632" s="213"/>
      <c r="I632" s="261"/>
      <c r="J632" s="213"/>
    </row>
    <row r="633" spans="1:10" s="155" customFormat="1" x14ac:dyDescent="0.2">
      <c r="B633" s="305" t="s">
        <v>249</v>
      </c>
      <c r="C633" s="305"/>
      <c r="D633" s="246">
        <v>30</v>
      </c>
      <c r="E633" s="165" t="s">
        <v>250</v>
      </c>
      <c r="G633" s="250"/>
      <c r="H633" s="213"/>
      <c r="I633" s="261"/>
      <c r="J633" s="213"/>
    </row>
    <row r="634" spans="1:10" s="155" customFormat="1" x14ac:dyDescent="0.2">
      <c r="B634" s="305" t="s">
        <v>251</v>
      </c>
      <c r="C634" s="305"/>
      <c r="D634" s="246">
        <v>38</v>
      </c>
      <c r="E634" s="165" t="s">
        <v>252</v>
      </c>
      <c r="G634" s="250"/>
      <c r="H634" s="213"/>
      <c r="I634" s="261"/>
      <c r="J634" s="213"/>
    </row>
    <row r="635" spans="1:10" s="155" customFormat="1" x14ac:dyDescent="0.2">
      <c r="B635" s="305" t="s">
        <v>253</v>
      </c>
      <c r="C635" s="305"/>
      <c r="D635" s="246">
        <v>38</v>
      </c>
      <c r="E635" s="165" t="s">
        <v>254</v>
      </c>
      <c r="G635" s="250"/>
      <c r="H635" s="213"/>
      <c r="I635" s="261"/>
      <c r="J635" s="213"/>
    </row>
    <row r="636" spans="1:10" s="155" customFormat="1" x14ac:dyDescent="0.2">
      <c r="B636" s="305" t="s">
        <v>255</v>
      </c>
      <c r="C636" s="305"/>
      <c r="D636" s="246">
        <v>81</v>
      </c>
      <c r="E636" s="165" t="s">
        <v>256</v>
      </c>
      <c r="G636" s="250"/>
      <c r="H636" s="213"/>
      <c r="I636" s="261"/>
      <c r="J636" s="213"/>
    </row>
    <row r="637" spans="1:10" s="155" customFormat="1" x14ac:dyDescent="0.2">
      <c r="B637" s="305" t="s">
        <v>305</v>
      </c>
      <c r="C637" s="305"/>
      <c r="D637" s="246">
        <v>54</v>
      </c>
      <c r="E637" s="165" t="s">
        <v>257</v>
      </c>
      <c r="G637" s="250"/>
      <c r="H637" s="213"/>
      <c r="I637" s="261"/>
      <c r="J637" s="213"/>
    </row>
    <row r="638" spans="1:10" s="155" customFormat="1" x14ac:dyDescent="0.2">
      <c r="B638" s="305" t="s">
        <v>258</v>
      </c>
      <c r="C638" s="305"/>
      <c r="D638" s="246">
        <v>27</v>
      </c>
      <c r="E638" s="165" t="s">
        <v>259</v>
      </c>
      <c r="G638" s="250"/>
      <c r="H638" s="213"/>
      <c r="I638" s="261"/>
      <c r="J638" s="213"/>
    </row>
    <row r="639" spans="1:10" s="155" customFormat="1" x14ac:dyDescent="0.2">
      <c r="B639" s="305" t="s">
        <v>260</v>
      </c>
      <c r="C639" s="305"/>
      <c r="D639" s="246">
        <v>54</v>
      </c>
      <c r="E639" s="165" t="s">
        <v>261</v>
      </c>
      <c r="G639" s="250"/>
      <c r="H639" s="213"/>
      <c r="I639" s="261"/>
      <c r="J639" s="213"/>
    </row>
    <row r="640" spans="1:10" s="155" customFormat="1" x14ac:dyDescent="0.2">
      <c r="B640" s="305" t="s">
        <v>306</v>
      </c>
      <c r="C640" s="305"/>
      <c r="D640" s="246">
        <v>54</v>
      </c>
      <c r="E640" s="165" t="s">
        <v>262</v>
      </c>
      <c r="G640" s="250"/>
      <c r="H640" s="213"/>
      <c r="I640" s="261"/>
      <c r="J640" s="213"/>
    </row>
    <row r="641" spans="1:10" s="155" customFormat="1" x14ac:dyDescent="0.2">
      <c r="B641" s="305" t="s">
        <v>263</v>
      </c>
      <c r="C641" s="305"/>
      <c r="D641" s="246">
        <v>34</v>
      </c>
      <c r="E641" s="165" t="s">
        <v>264</v>
      </c>
      <c r="G641" s="250"/>
      <c r="H641" s="213"/>
      <c r="I641" s="261"/>
      <c r="J641" s="213"/>
    </row>
    <row r="642" spans="1:10" s="155" customFormat="1" x14ac:dyDescent="0.2">
      <c r="B642" s="305" t="s">
        <v>265</v>
      </c>
      <c r="C642" s="305"/>
      <c r="D642" s="246">
        <v>47</v>
      </c>
      <c r="E642" s="165" t="s">
        <v>266</v>
      </c>
      <c r="G642" s="250"/>
      <c r="H642" s="213"/>
      <c r="I642" s="261"/>
      <c r="J642" s="213"/>
    </row>
    <row r="643" spans="1:10" s="155" customFormat="1" x14ac:dyDescent="0.2">
      <c r="B643" s="305" t="s">
        <v>267</v>
      </c>
      <c r="C643" s="305"/>
      <c r="D643" s="246">
        <v>41</v>
      </c>
      <c r="E643" s="165" t="s">
        <v>268</v>
      </c>
      <c r="G643" s="250"/>
      <c r="H643" s="213"/>
      <c r="I643" s="261"/>
      <c r="J643" s="213"/>
    </row>
    <row r="644" spans="1:10" s="155" customFormat="1" x14ac:dyDescent="0.2">
      <c r="B644" s="305" t="s">
        <v>269</v>
      </c>
      <c r="C644" s="305"/>
      <c r="D644" s="246">
        <v>41</v>
      </c>
      <c r="E644" s="165" t="s">
        <v>270</v>
      </c>
      <c r="G644" s="250"/>
      <c r="H644" s="213"/>
      <c r="I644" s="261"/>
      <c r="J644" s="213"/>
    </row>
    <row r="645" spans="1:10" s="155" customFormat="1" x14ac:dyDescent="0.2">
      <c r="B645" s="305" t="s">
        <v>271</v>
      </c>
      <c r="C645" s="305"/>
      <c r="D645" s="246">
        <v>34</v>
      </c>
      <c r="E645" s="165" t="s">
        <v>272</v>
      </c>
      <c r="G645" s="250"/>
      <c r="H645" s="213"/>
      <c r="I645" s="261"/>
      <c r="J645" s="213"/>
    </row>
    <row r="646" spans="1:10" s="155" customFormat="1" x14ac:dyDescent="0.2">
      <c r="B646" s="305" t="s">
        <v>273</v>
      </c>
      <c r="C646" s="305"/>
      <c r="D646" s="246">
        <v>34</v>
      </c>
      <c r="E646" s="165" t="s">
        <v>274</v>
      </c>
      <c r="G646" s="250"/>
      <c r="H646" s="213"/>
      <c r="I646" s="261"/>
      <c r="J646" s="213"/>
    </row>
    <row r="647" spans="1:10" s="155" customFormat="1" ht="13.5" thickBot="1" x14ac:dyDescent="0.25">
      <c r="B647" s="305" t="s">
        <v>307</v>
      </c>
      <c r="C647" s="305"/>
      <c r="D647" s="246">
        <v>34</v>
      </c>
      <c r="E647" s="165" t="s">
        <v>308</v>
      </c>
      <c r="G647" s="250"/>
      <c r="H647" s="213"/>
      <c r="I647" s="261"/>
      <c r="J647" s="213"/>
    </row>
    <row r="648" spans="1:10" ht="26.25" customHeight="1" thickBot="1" x14ac:dyDescent="0.25">
      <c r="A648" s="155"/>
      <c r="B648" s="307" t="s">
        <v>402</v>
      </c>
      <c r="C648" s="308"/>
      <c r="D648" s="308"/>
      <c r="E648" s="309"/>
      <c r="F648" s="155"/>
      <c r="G648" s="263"/>
      <c r="H648" s="213"/>
      <c r="I648" s="261"/>
      <c r="J648" s="213"/>
    </row>
    <row r="649" spans="1:10" x14ac:dyDescent="0.2">
      <c r="A649" s="155"/>
      <c r="B649" s="212" t="s">
        <v>18</v>
      </c>
      <c r="C649" s="213"/>
      <c r="D649" s="250"/>
      <c r="E649" s="214"/>
      <c r="F649" s="155"/>
      <c r="G649" s="213"/>
      <c r="H649" s="213"/>
      <c r="I649" s="213"/>
      <c r="J649" s="213"/>
    </row>
    <row r="650" spans="1:10" x14ac:dyDescent="0.2">
      <c r="A650" s="155"/>
      <c r="B650" s="216"/>
      <c r="C650" s="310" t="s">
        <v>63</v>
      </c>
      <c r="D650" s="310"/>
      <c r="E650" s="310"/>
      <c r="F650" s="155"/>
      <c r="G650" s="213"/>
      <c r="H650" s="213"/>
      <c r="I650" s="213"/>
      <c r="J650" s="213"/>
    </row>
    <row r="651" spans="1:10" x14ac:dyDescent="0.2">
      <c r="A651" s="155"/>
      <c r="B651" s="212" t="s">
        <v>19</v>
      </c>
      <c r="C651" s="217"/>
      <c r="D651" s="217"/>
      <c r="E651" s="251"/>
      <c r="F651" s="155"/>
      <c r="G651" s="213"/>
      <c r="H651" s="213"/>
      <c r="I651" s="213"/>
      <c r="J651" s="213"/>
    </row>
    <row r="652" spans="1:10" x14ac:dyDescent="0.2">
      <c r="A652" s="155"/>
      <c r="B652" s="216"/>
      <c r="C652" s="310" t="s">
        <v>140</v>
      </c>
      <c r="D652" s="310"/>
      <c r="E652" s="310"/>
      <c r="F652" s="155"/>
      <c r="G652" s="213"/>
      <c r="H652" s="213"/>
      <c r="I652" s="213"/>
      <c r="J652" s="213"/>
    </row>
    <row r="653" spans="1:10" x14ac:dyDescent="0.2">
      <c r="A653" s="155"/>
      <c r="B653" s="212" t="s">
        <v>20</v>
      </c>
      <c r="C653" s="213"/>
      <c r="D653" s="250"/>
      <c r="E653" s="214"/>
      <c r="F653" s="155"/>
      <c r="G653" s="213"/>
      <c r="H653" s="213"/>
      <c r="I653" s="213"/>
      <c r="J653" s="213"/>
    </row>
    <row r="654" spans="1:10" x14ac:dyDescent="0.2">
      <c r="A654" s="155"/>
      <c r="B654" s="212"/>
      <c r="C654" s="311" t="s">
        <v>64</v>
      </c>
      <c r="D654" s="311"/>
      <c r="E654" s="311"/>
      <c r="F654" s="155"/>
      <c r="G654" s="213"/>
      <c r="H654" s="213"/>
      <c r="I654" s="213"/>
      <c r="J654" s="213"/>
    </row>
    <row r="655" spans="1:10" ht="13.5" thickBot="1" x14ac:dyDescent="0.25">
      <c r="A655" s="155"/>
      <c r="B655" s="218"/>
      <c r="C655" s="219"/>
      <c r="D655" s="220"/>
      <c r="E655" s="221"/>
      <c r="F655" s="155"/>
      <c r="G655" s="213"/>
      <c r="H655" s="213"/>
      <c r="I655" s="213"/>
      <c r="J655" s="213"/>
    </row>
    <row r="656" spans="1:10" ht="13.5" thickBot="1" x14ac:dyDescent="0.25">
      <c r="A656" s="155"/>
      <c r="B656" s="155"/>
      <c r="C656" s="155"/>
      <c r="D656" s="222"/>
      <c r="E656" s="155"/>
      <c r="F656" s="155"/>
      <c r="G656" s="213"/>
      <c r="H656" s="213"/>
      <c r="I656" s="213"/>
      <c r="J656" s="213"/>
    </row>
    <row r="657" spans="1:10" x14ac:dyDescent="0.2">
      <c r="A657" s="155"/>
      <c r="B657" s="223" t="s">
        <v>155</v>
      </c>
      <c r="C657" s="224"/>
      <c r="D657" s="225"/>
      <c r="E657" s="226"/>
      <c r="F657" s="155"/>
      <c r="G657" s="213"/>
      <c r="H657" s="213"/>
      <c r="I657" s="213"/>
      <c r="J657" s="213"/>
    </row>
    <row r="658" spans="1:10" x14ac:dyDescent="0.2">
      <c r="A658" s="155"/>
      <c r="B658" s="227"/>
      <c r="C658" s="213"/>
      <c r="D658" s="250"/>
      <c r="E658" s="214"/>
      <c r="F658" s="155"/>
      <c r="G658" s="213"/>
      <c r="H658" s="213"/>
      <c r="I658" s="213"/>
      <c r="J658" s="213"/>
    </row>
    <row r="659" spans="1:10" x14ac:dyDescent="0.2">
      <c r="A659" s="155"/>
      <c r="B659" s="212" t="s">
        <v>16</v>
      </c>
      <c r="C659" s="213"/>
      <c r="D659" s="250"/>
      <c r="E659" s="214"/>
      <c r="F659" s="155"/>
      <c r="G659" s="213"/>
      <c r="H659" s="213"/>
      <c r="I659" s="213"/>
      <c r="J659" s="213"/>
    </row>
    <row r="660" spans="1:10" x14ac:dyDescent="0.2">
      <c r="A660" s="155"/>
      <c r="B660" s="212"/>
      <c r="C660" s="310" t="s">
        <v>372</v>
      </c>
      <c r="D660" s="310"/>
      <c r="E660" s="310"/>
      <c r="F660" s="155"/>
      <c r="G660" s="213"/>
      <c r="H660" s="213"/>
      <c r="I660" s="213"/>
      <c r="J660" s="213"/>
    </row>
    <row r="661" spans="1:10" ht="13.5" thickBot="1" x14ac:dyDescent="0.25">
      <c r="A661" s="155"/>
      <c r="B661" s="212" t="s">
        <v>17</v>
      </c>
      <c r="C661" s="213"/>
      <c r="D661" s="250"/>
      <c r="E661" s="214"/>
      <c r="F661" s="155"/>
      <c r="G661" s="213"/>
      <c r="H661" s="213"/>
      <c r="I661" s="213"/>
      <c r="J661" s="213"/>
    </row>
    <row r="662" spans="1:10" ht="13.5" thickBot="1" x14ac:dyDescent="0.25">
      <c r="A662" s="155"/>
      <c r="B662" s="312" t="s">
        <v>137</v>
      </c>
      <c r="C662" s="313"/>
      <c r="D662" s="313"/>
      <c r="E662" s="314"/>
      <c r="F662" s="155"/>
      <c r="G662" s="213"/>
      <c r="H662" s="213"/>
      <c r="I662" s="213"/>
      <c r="J662" s="213"/>
    </row>
    <row r="663" spans="1:10" ht="13.5" thickBot="1" x14ac:dyDescent="0.25">
      <c r="A663" s="155"/>
      <c r="B663" s="312" t="s">
        <v>138</v>
      </c>
      <c r="C663" s="314"/>
      <c r="D663" s="215" t="s">
        <v>11</v>
      </c>
      <c r="E663" s="215" t="s">
        <v>139</v>
      </c>
      <c r="F663" s="155"/>
      <c r="G663" s="213"/>
      <c r="H663" s="213"/>
      <c r="I663" s="213"/>
      <c r="J663" s="213"/>
    </row>
    <row r="664" spans="1:10" s="155" customFormat="1" x14ac:dyDescent="0.2">
      <c r="B664" s="315" t="s">
        <v>301</v>
      </c>
      <c r="C664" s="315"/>
      <c r="D664" s="254">
        <v>19</v>
      </c>
      <c r="E664" s="164" t="s">
        <v>300</v>
      </c>
      <c r="G664" s="253"/>
      <c r="H664" s="213"/>
      <c r="I664" s="261"/>
      <c r="J664" s="213"/>
    </row>
    <row r="665" spans="1:10" s="155" customFormat="1" x14ac:dyDescent="0.2">
      <c r="B665" s="305" t="s">
        <v>302</v>
      </c>
      <c r="C665" s="305"/>
      <c r="D665" s="254">
        <v>42</v>
      </c>
      <c r="E665" s="165" t="s">
        <v>246</v>
      </c>
      <c r="G665" s="253"/>
      <c r="H665" s="213"/>
      <c r="I665" s="261"/>
      <c r="J665" s="213"/>
    </row>
    <row r="666" spans="1:10" s="155" customFormat="1" x14ac:dyDescent="0.2">
      <c r="B666" s="305" t="s">
        <v>304</v>
      </c>
      <c r="C666" s="305"/>
      <c r="D666" s="254">
        <v>42</v>
      </c>
      <c r="E666" s="165" t="s">
        <v>247</v>
      </c>
      <c r="G666" s="253"/>
      <c r="H666" s="213"/>
      <c r="I666" s="261"/>
      <c r="J666" s="213"/>
    </row>
    <row r="667" spans="1:10" s="155" customFormat="1" x14ac:dyDescent="0.2">
      <c r="B667" s="305" t="s">
        <v>303</v>
      </c>
      <c r="C667" s="305"/>
      <c r="D667" s="254">
        <v>25</v>
      </c>
      <c r="E667" s="165" t="s">
        <v>248</v>
      </c>
      <c r="G667" s="253"/>
      <c r="H667" s="213"/>
      <c r="I667" s="261"/>
      <c r="J667" s="213"/>
    </row>
    <row r="668" spans="1:10" s="155" customFormat="1" x14ac:dyDescent="0.2">
      <c r="B668" s="305" t="s">
        <v>298</v>
      </c>
      <c r="C668" s="305"/>
      <c r="D668" s="254">
        <v>21</v>
      </c>
      <c r="E668" s="165" t="s">
        <v>299</v>
      </c>
      <c r="G668" s="253"/>
      <c r="H668" s="213"/>
      <c r="I668" s="261"/>
      <c r="J668" s="213"/>
    </row>
    <row r="669" spans="1:10" s="155" customFormat="1" x14ac:dyDescent="0.2">
      <c r="B669" s="305" t="s">
        <v>249</v>
      </c>
      <c r="C669" s="305"/>
      <c r="D669" s="254">
        <v>19</v>
      </c>
      <c r="E669" s="165" t="s">
        <v>250</v>
      </c>
      <c r="G669" s="253"/>
      <c r="H669" s="213"/>
      <c r="I669" s="261"/>
      <c r="J669" s="213"/>
    </row>
    <row r="670" spans="1:10" s="155" customFormat="1" x14ac:dyDescent="0.2">
      <c r="B670" s="305" t="s">
        <v>251</v>
      </c>
      <c r="C670" s="305"/>
      <c r="D670" s="254">
        <v>24</v>
      </c>
      <c r="E670" s="165" t="s">
        <v>252</v>
      </c>
      <c r="G670" s="253"/>
      <c r="H670" s="213"/>
      <c r="I670" s="261"/>
      <c r="J670" s="213"/>
    </row>
    <row r="671" spans="1:10" s="155" customFormat="1" x14ac:dyDescent="0.2">
      <c r="B671" s="305" t="s">
        <v>253</v>
      </c>
      <c r="C671" s="305"/>
      <c r="D671" s="254">
        <v>24</v>
      </c>
      <c r="E671" s="165" t="s">
        <v>254</v>
      </c>
      <c r="G671" s="253"/>
      <c r="H671" s="213"/>
      <c r="I671" s="261"/>
      <c r="J671" s="213"/>
    </row>
    <row r="672" spans="1:10" s="155" customFormat="1" x14ac:dyDescent="0.2">
      <c r="B672" s="305" t="s">
        <v>255</v>
      </c>
      <c r="C672" s="305"/>
      <c r="D672" s="254">
        <v>51</v>
      </c>
      <c r="E672" s="165" t="s">
        <v>256</v>
      </c>
      <c r="G672" s="253"/>
      <c r="H672" s="213"/>
      <c r="I672" s="261"/>
      <c r="J672" s="213"/>
    </row>
    <row r="673" spans="1:10" s="155" customFormat="1" x14ac:dyDescent="0.2">
      <c r="B673" s="305" t="s">
        <v>305</v>
      </c>
      <c r="C673" s="305"/>
      <c r="D673" s="254">
        <v>34</v>
      </c>
      <c r="E673" s="165" t="s">
        <v>257</v>
      </c>
      <c r="G673" s="253"/>
      <c r="H673" s="213"/>
      <c r="I673" s="261"/>
      <c r="J673" s="213"/>
    </row>
    <row r="674" spans="1:10" s="155" customFormat="1" x14ac:dyDescent="0.2">
      <c r="B674" s="305" t="s">
        <v>258</v>
      </c>
      <c r="C674" s="305"/>
      <c r="D674" s="254">
        <v>17</v>
      </c>
      <c r="E674" s="165" t="s">
        <v>259</v>
      </c>
      <c r="G674" s="253"/>
      <c r="H674" s="213"/>
      <c r="I674" s="261"/>
      <c r="J674" s="213"/>
    </row>
    <row r="675" spans="1:10" s="155" customFormat="1" x14ac:dyDescent="0.2">
      <c r="B675" s="305" t="s">
        <v>260</v>
      </c>
      <c r="C675" s="305"/>
      <c r="D675" s="254">
        <v>34</v>
      </c>
      <c r="E675" s="165" t="s">
        <v>261</v>
      </c>
      <c r="G675" s="253"/>
      <c r="H675" s="213"/>
      <c r="I675" s="261"/>
      <c r="J675" s="213"/>
    </row>
    <row r="676" spans="1:10" s="155" customFormat="1" x14ac:dyDescent="0.2">
      <c r="B676" s="305" t="s">
        <v>306</v>
      </c>
      <c r="C676" s="305"/>
      <c r="D676" s="254">
        <v>34</v>
      </c>
      <c r="E676" s="165" t="s">
        <v>262</v>
      </c>
      <c r="G676" s="253"/>
      <c r="H676" s="213"/>
      <c r="I676" s="261"/>
      <c r="J676" s="213"/>
    </row>
    <row r="677" spans="1:10" s="155" customFormat="1" x14ac:dyDescent="0.2">
      <c r="B677" s="305" t="s">
        <v>263</v>
      </c>
      <c r="C677" s="305"/>
      <c r="D677" s="254">
        <v>21</v>
      </c>
      <c r="E677" s="165" t="s">
        <v>264</v>
      </c>
      <c r="G677" s="253"/>
      <c r="H677" s="213"/>
      <c r="I677" s="261"/>
      <c r="J677" s="213"/>
    </row>
    <row r="678" spans="1:10" s="155" customFormat="1" x14ac:dyDescent="0.2">
      <c r="B678" s="305" t="s">
        <v>265</v>
      </c>
      <c r="C678" s="305"/>
      <c r="D678" s="254">
        <v>30</v>
      </c>
      <c r="E678" s="165" t="s">
        <v>266</v>
      </c>
      <c r="G678" s="253"/>
      <c r="H678" s="213"/>
      <c r="I678" s="261"/>
      <c r="J678" s="213"/>
    </row>
    <row r="679" spans="1:10" s="155" customFormat="1" x14ac:dyDescent="0.2">
      <c r="B679" s="305" t="s">
        <v>267</v>
      </c>
      <c r="C679" s="305"/>
      <c r="D679" s="254">
        <v>25</v>
      </c>
      <c r="E679" s="165" t="s">
        <v>268</v>
      </c>
      <c r="G679" s="253"/>
      <c r="H679" s="213"/>
      <c r="I679" s="261"/>
      <c r="J679" s="213"/>
    </row>
    <row r="680" spans="1:10" s="155" customFormat="1" x14ac:dyDescent="0.2">
      <c r="B680" s="305" t="s">
        <v>269</v>
      </c>
      <c r="C680" s="305"/>
      <c r="D680" s="254">
        <v>25</v>
      </c>
      <c r="E680" s="165" t="s">
        <v>270</v>
      </c>
      <c r="G680" s="253"/>
      <c r="H680" s="213"/>
      <c r="I680" s="261"/>
      <c r="J680" s="213"/>
    </row>
    <row r="681" spans="1:10" s="155" customFormat="1" x14ac:dyDescent="0.2">
      <c r="B681" s="305" t="s">
        <v>271</v>
      </c>
      <c r="C681" s="305"/>
      <c r="D681" s="254">
        <v>21</v>
      </c>
      <c r="E681" s="165" t="s">
        <v>272</v>
      </c>
      <c r="G681" s="253"/>
      <c r="H681" s="213"/>
      <c r="I681" s="261"/>
      <c r="J681" s="213"/>
    </row>
    <row r="682" spans="1:10" s="155" customFormat="1" x14ac:dyDescent="0.2">
      <c r="B682" s="305" t="s">
        <v>273</v>
      </c>
      <c r="C682" s="305"/>
      <c r="D682" s="254">
        <v>21</v>
      </c>
      <c r="E682" s="165" t="s">
        <v>274</v>
      </c>
      <c r="G682" s="253"/>
      <c r="H682" s="213"/>
      <c r="I682" s="261"/>
      <c r="J682" s="213"/>
    </row>
    <row r="683" spans="1:10" s="155" customFormat="1" ht="13.5" thickBot="1" x14ac:dyDescent="0.25">
      <c r="B683" s="305" t="s">
        <v>307</v>
      </c>
      <c r="C683" s="305"/>
      <c r="D683" s="254">
        <v>21</v>
      </c>
      <c r="E683" s="165" t="s">
        <v>308</v>
      </c>
      <c r="G683" s="253"/>
      <c r="H683" s="213"/>
      <c r="I683" s="261"/>
      <c r="J683" s="213"/>
    </row>
    <row r="684" spans="1:10" ht="26.25" customHeight="1" thickBot="1" x14ac:dyDescent="0.25">
      <c r="A684" s="155"/>
      <c r="B684" s="307" t="s">
        <v>401</v>
      </c>
      <c r="C684" s="308"/>
      <c r="D684" s="308"/>
      <c r="E684" s="309"/>
      <c r="F684" s="155"/>
      <c r="G684" s="213"/>
      <c r="H684" s="213"/>
      <c r="I684" s="261"/>
      <c r="J684" s="213"/>
    </row>
    <row r="685" spans="1:10" x14ac:dyDescent="0.2">
      <c r="A685" s="155"/>
      <c r="B685" s="212" t="s">
        <v>18</v>
      </c>
      <c r="C685" s="213"/>
      <c r="D685" s="250"/>
      <c r="E685" s="214"/>
      <c r="F685" s="155"/>
      <c r="G685" s="213"/>
      <c r="H685" s="213"/>
      <c r="I685" s="213"/>
      <c r="J685" s="213"/>
    </row>
    <row r="686" spans="1:10" x14ac:dyDescent="0.2">
      <c r="A686" s="155"/>
      <c r="B686" s="216"/>
      <c r="C686" s="310" t="s">
        <v>63</v>
      </c>
      <c r="D686" s="310"/>
      <c r="E686" s="310"/>
      <c r="F686" s="155"/>
      <c r="G686" s="213"/>
      <c r="H686" s="213"/>
      <c r="I686" s="213"/>
      <c r="J686" s="213"/>
    </row>
    <row r="687" spans="1:10" x14ac:dyDescent="0.2">
      <c r="A687" s="155"/>
      <c r="B687" s="212" t="s">
        <v>19</v>
      </c>
      <c r="C687" s="217"/>
      <c r="D687" s="217"/>
      <c r="E687" s="251"/>
      <c r="F687" s="155"/>
      <c r="G687" s="213"/>
      <c r="H687" s="213"/>
      <c r="I687" s="213"/>
      <c r="J687" s="213"/>
    </row>
    <row r="688" spans="1:10" x14ac:dyDescent="0.2">
      <c r="A688" s="155"/>
      <c r="B688" s="216"/>
      <c r="C688" s="310" t="s">
        <v>140</v>
      </c>
      <c r="D688" s="310"/>
      <c r="E688" s="310"/>
      <c r="F688" s="155"/>
      <c r="G688" s="213"/>
      <c r="H688" s="213"/>
      <c r="I688" s="213"/>
      <c r="J688" s="213"/>
    </row>
    <row r="689" spans="1:10" x14ac:dyDescent="0.2">
      <c r="A689" s="155"/>
      <c r="B689" s="212" t="s">
        <v>20</v>
      </c>
      <c r="C689" s="213"/>
      <c r="D689" s="250"/>
      <c r="E689" s="214"/>
      <c r="F689" s="155"/>
      <c r="G689" s="213"/>
      <c r="H689" s="213"/>
      <c r="I689" s="213"/>
      <c r="J689" s="213"/>
    </row>
    <row r="690" spans="1:10" x14ac:dyDescent="0.2">
      <c r="A690" s="155"/>
      <c r="B690" s="212"/>
      <c r="C690" s="311" t="s">
        <v>64</v>
      </c>
      <c r="D690" s="311"/>
      <c r="E690" s="311"/>
      <c r="F690" s="155"/>
      <c r="G690" s="213"/>
      <c r="H690" s="213"/>
      <c r="I690" s="213"/>
      <c r="J690" s="213"/>
    </row>
    <row r="691" spans="1:10" ht="13.5" thickBot="1" x14ac:dyDescent="0.25">
      <c r="A691" s="155"/>
      <c r="B691" s="218"/>
      <c r="C691" s="219"/>
      <c r="D691" s="220"/>
      <c r="E691" s="221"/>
      <c r="F691" s="155"/>
      <c r="G691" s="213"/>
      <c r="H691" s="213"/>
      <c r="I691" s="213"/>
      <c r="J691" s="213"/>
    </row>
    <row r="692" spans="1:10" ht="13.5" thickBot="1" x14ac:dyDescent="0.25">
      <c r="A692" s="155"/>
      <c r="B692" s="155"/>
      <c r="C692" s="155"/>
      <c r="D692" s="222"/>
      <c r="E692" s="155"/>
      <c r="F692" s="155"/>
      <c r="G692" s="213"/>
      <c r="H692" s="213"/>
      <c r="I692" s="213"/>
      <c r="J692" s="213"/>
    </row>
    <row r="693" spans="1:10" x14ac:dyDescent="0.2">
      <c r="A693" s="155"/>
      <c r="B693" s="223" t="s">
        <v>156</v>
      </c>
      <c r="C693" s="224"/>
      <c r="D693" s="225"/>
      <c r="E693" s="226"/>
      <c r="F693" s="155"/>
      <c r="G693" s="213"/>
      <c r="H693" s="213"/>
      <c r="I693" s="213"/>
      <c r="J693" s="213"/>
    </row>
    <row r="694" spans="1:10" x14ac:dyDescent="0.2">
      <c r="A694" s="155"/>
      <c r="B694" s="227"/>
      <c r="C694" s="213"/>
      <c r="D694" s="250"/>
      <c r="E694" s="214"/>
      <c r="F694" s="155"/>
      <c r="G694" s="213"/>
      <c r="H694" s="213"/>
      <c r="I694" s="213"/>
      <c r="J694" s="213"/>
    </row>
    <row r="695" spans="1:10" x14ac:dyDescent="0.2">
      <c r="A695" s="155"/>
      <c r="B695" s="212" t="s">
        <v>16</v>
      </c>
      <c r="C695" s="213"/>
      <c r="D695" s="250"/>
      <c r="E695" s="214"/>
      <c r="F695" s="155"/>
      <c r="G695" s="213"/>
      <c r="H695" s="213"/>
      <c r="I695" s="213"/>
      <c r="J695" s="213"/>
    </row>
    <row r="696" spans="1:10" x14ac:dyDescent="0.2">
      <c r="A696" s="155"/>
      <c r="B696" s="212"/>
      <c r="C696" s="310" t="s">
        <v>344</v>
      </c>
      <c r="D696" s="310"/>
      <c r="E696" s="310"/>
      <c r="F696" s="155"/>
      <c r="G696" s="213"/>
      <c r="H696" s="213"/>
      <c r="I696" s="213"/>
      <c r="J696" s="213"/>
    </row>
    <row r="697" spans="1:10" ht="13.5" thickBot="1" x14ac:dyDescent="0.25">
      <c r="A697" s="155"/>
      <c r="B697" s="212" t="s">
        <v>17</v>
      </c>
      <c r="C697" s="213"/>
      <c r="D697" s="250"/>
      <c r="E697" s="214"/>
      <c r="F697" s="155"/>
      <c r="G697" s="213"/>
      <c r="H697" s="213"/>
      <c r="I697" s="213"/>
      <c r="J697" s="213"/>
    </row>
    <row r="698" spans="1:10" ht="13.5" thickBot="1" x14ac:dyDescent="0.25">
      <c r="A698" s="155"/>
      <c r="B698" s="312" t="s">
        <v>137</v>
      </c>
      <c r="C698" s="313"/>
      <c r="D698" s="313"/>
      <c r="E698" s="314"/>
      <c r="F698" s="155"/>
      <c r="G698" s="213"/>
      <c r="H698" s="213"/>
      <c r="I698" s="213"/>
      <c r="J698" s="213"/>
    </row>
    <row r="699" spans="1:10" ht="13.5" thickBot="1" x14ac:dyDescent="0.25">
      <c r="A699" s="155"/>
      <c r="B699" s="312" t="s">
        <v>138</v>
      </c>
      <c r="C699" s="314"/>
      <c r="D699" s="215" t="s">
        <v>11</v>
      </c>
      <c r="E699" s="215" t="s">
        <v>139</v>
      </c>
      <c r="F699" s="155"/>
      <c r="G699" s="213"/>
      <c r="H699" s="213"/>
      <c r="I699" s="213"/>
      <c r="J699" s="213"/>
    </row>
    <row r="700" spans="1:10" s="155" customFormat="1" x14ac:dyDescent="0.2">
      <c r="B700" s="315" t="s">
        <v>301</v>
      </c>
      <c r="C700" s="315"/>
      <c r="D700" s="249">
        <v>47</v>
      </c>
      <c r="E700" s="164" t="s">
        <v>300</v>
      </c>
      <c r="G700" s="250"/>
      <c r="H700" s="213"/>
      <c r="I700" s="261"/>
      <c r="J700" s="213"/>
    </row>
    <row r="701" spans="1:10" s="155" customFormat="1" x14ac:dyDescent="0.2">
      <c r="B701" s="305" t="s">
        <v>302</v>
      </c>
      <c r="C701" s="305"/>
      <c r="D701" s="246">
        <v>106</v>
      </c>
      <c r="E701" s="165" t="s">
        <v>246</v>
      </c>
      <c r="G701" s="250"/>
      <c r="H701" s="213"/>
      <c r="I701" s="261"/>
      <c r="J701" s="213"/>
    </row>
    <row r="702" spans="1:10" s="155" customFormat="1" x14ac:dyDescent="0.2">
      <c r="B702" s="305" t="s">
        <v>304</v>
      </c>
      <c r="C702" s="305"/>
      <c r="D702" s="246">
        <v>106</v>
      </c>
      <c r="E702" s="165" t="s">
        <v>247</v>
      </c>
      <c r="G702" s="250"/>
      <c r="H702" s="213"/>
      <c r="I702" s="261"/>
      <c r="J702" s="213"/>
    </row>
    <row r="703" spans="1:10" s="155" customFormat="1" x14ac:dyDescent="0.2">
      <c r="B703" s="305" t="s">
        <v>303</v>
      </c>
      <c r="C703" s="305"/>
      <c r="D703" s="246">
        <v>63</v>
      </c>
      <c r="E703" s="165" t="s">
        <v>248</v>
      </c>
      <c r="G703" s="250"/>
      <c r="H703" s="213"/>
      <c r="I703" s="261"/>
      <c r="J703" s="213"/>
    </row>
    <row r="704" spans="1:10" s="155" customFormat="1" x14ac:dyDescent="0.2">
      <c r="B704" s="305" t="s">
        <v>298</v>
      </c>
      <c r="C704" s="305"/>
      <c r="D704" s="246">
        <v>53</v>
      </c>
      <c r="E704" s="165" t="s">
        <v>299</v>
      </c>
      <c r="G704" s="250"/>
      <c r="H704" s="213"/>
      <c r="I704" s="261"/>
      <c r="J704" s="213"/>
    </row>
    <row r="705" spans="1:10" s="155" customFormat="1" x14ac:dyDescent="0.2">
      <c r="B705" s="305" t="s">
        <v>249</v>
      </c>
      <c r="C705" s="305"/>
      <c r="D705" s="246">
        <v>47</v>
      </c>
      <c r="E705" s="165" t="s">
        <v>250</v>
      </c>
      <c r="G705" s="250"/>
      <c r="H705" s="213"/>
      <c r="I705" s="261"/>
      <c r="J705" s="213"/>
    </row>
    <row r="706" spans="1:10" s="155" customFormat="1" x14ac:dyDescent="0.2">
      <c r="B706" s="305" t="s">
        <v>251</v>
      </c>
      <c r="C706" s="305"/>
      <c r="D706" s="246">
        <v>59</v>
      </c>
      <c r="E706" s="165" t="s">
        <v>252</v>
      </c>
      <c r="G706" s="250"/>
      <c r="H706" s="213"/>
      <c r="I706" s="261"/>
      <c r="J706" s="213"/>
    </row>
    <row r="707" spans="1:10" s="155" customFormat="1" x14ac:dyDescent="0.2">
      <c r="B707" s="305" t="s">
        <v>253</v>
      </c>
      <c r="C707" s="305"/>
      <c r="D707" s="246">
        <v>59</v>
      </c>
      <c r="E707" s="165" t="s">
        <v>254</v>
      </c>
      <c r="G707" s="250"/>
      <c r="H707" s="213"/>
      <c r="I707" s="261"/>
      <c r="J707" s="213"/>
    </row>
    <row r="708" spans="1:10" s="155" customFormat="1" x14ac:dyDescent="0.2">
      <c r="B708" s="305" t="s">
        <v>255</v>
      </c>
      <c r="C708" s="305"/>
      <c r="D708" s="246">
        <v>127</v>
      </c>
      <c r="E708" s="165" t="s">
        <v>256</v>
      </c>
      <c r="G708" s="250"/>
      <c r="H708" s="213"/>
      <c r="I708" s="261"/>
      <c r="J708" s="213"/>
    </row>
    <row r="709" spans="1:10" s="155" customFormat="1" x14ac:dyDescent="0.2">
      <c r="B709" s="305" t="s">
        <v>305</v>
      </c>
      <c r="C709" s="305"/>
      <c r="D709" s="246">
        <v>85</v>
      </c>
      <c r="E709" s="165" t="s">
        <v>257</v>
      </c>
      <c r="G709" s="250"/>
      <c r="H709" s="213"/>
      <c r="I709" s="261"/>
      <c r="J709" s="213"/>
    </row>
    <row r="710" spans="1:10" s="155" customFormat="1" x14ac:dyDescent="0.2">
      <c r="B710" s="305" t="s">
        <v>258</v>
      </c>
      <c r="C710" s="305"/>
      <c r="D710" s="246">
        <v>42</v>
      </c>
      <c r="E710" s="165" t="s">
        <v>259</v>
      </c>
      <c r="G710" s="250"/>
      <c r="H710" s="213"/>
      <c r="I710" s="261"/>
      <c r="J710" s="213"/>
    </row>
    <row r="711" spans="1:10" s="155" customFormat="1" x14ac:dyDescent="0.2">
      <c r="B711" s="305" t="s">
        <v>260</v>
      </c>
      <c r="C711" s="305"/>
      <c r="D711" s="246">
        <v>85</v>
      </c>
      <c r="E711" s="165" t="s">
        <v>261</v>
      </c>
      <c r="G711" s="250"/>
      <c r="H711" s="213"/>
      <c r="I711" s="261"/>
      <c r="J711" s="213"/>
    </row>
    <row r="712" spans="1:10" s="155" customFormat="1" x14ac:dyDescent="0.2">
      <c r="B712" s="305" t="s">
        <v>306</v>
      </c>
      <c r="C712" s="305"/>
      <c r="D712" s="246">
        <v>85</v>
      </c>
      <c r="E712" s="165" t="s">
        <v>262</v>
      </c>
      <c r="G712" s="250"/>
      <c r="H712" s="213"/>
      <c r="I712" s="261"/>
      <c r="J712" s="213"/>
    </row>
    <row r="713" spans="1:10" s="155" customFormat="1" x14ac:dyDescent="0.2">
      <c r="B713" s="305" t="s">
        <v>263</v>
      </c>
      <c r="C713" s="305"/>
      <c r="D713" s="246">
        <v>53</v>
      </c>
      <c r="E713" s="165" t="s">
        <v>264</v>
      </c>
      <c r="G713" s="250"/>
      <c r="H713" s="213"/>
      <c r="I713" s="261"/>
      <c r="J713" s="213"/>
    </row>
    <row r="714" spans="1:10" s="155" customFormat="1" x14ac:dyDescent="0.2">
      <c r="B714" s="305" t="s">
        <v>265</v>
      </c>
      <c r="C714" s="305"/>
      <c r="D714" s="246">
        <v>74</v>
      </c>
      <c r="E714" s="165" t="s">
        <v>266</v>
      </c>
      <c r="G714" s="250"/>
      <c r="H714" s="213"/>
      <c r="I714" s="261"/>
      <c r="J714" s="213"/>
    </row>
    <row r="715" spans="1:10" s="155" customFormat="1" x14ac:dyDescent="0.2">
      <c r="B715" s="305" t="s">
        <v>267</v>
      </c>
      <c r="C715" s="305"/>
      <c r="D715" s="246">
        <v>63</v>
      </c>
      <c r="E715" s="165" t="s">
        <v>268</v>
      </c>
      <c r="G715" s="250"/>
      <c r="H715" s="213"/>
      <c r="I715" s="261"/>
      <c r="J715" s="213"/>
    </row>
    <row r="716" spans="1:10" s="155" customFormat="1" x14ac:dyDescent="0.2">
      <c r="B716" s="305" t="s">
        <v>269</v>
      </c>
      <c r="C716" s="305"/>
      <c r="D716" s="246">
        <v>63</v>
      </c>
      <c r="E716" s="165" t="s">
        <v>270</v>
      </c>
      <c r="G716" s="250"/>
      <c r="H716" s="213"/>
      <c r="I716" s="261"/>
      <c r="J716" s="213"/>
    </row>
    <row r="717" spans="1:10" s="155" customFormat="1" x14ac:dyDescent="0.2">
      <c r="B717" s="305" t="s">
        <v>271</v>
      </c>
      <c r="C717" s="305"/>
      <c r="D717" s="246">
        <v>53</v>
      </c>
      <c r="E717" s="165" t="s">
        <v>272</v>
      </c>
      <c r="G717" s="250"/>
      <c r="H717" s="213"/>
      <c r="I717" s="261"/>
      <c r="J717" s="213"/>
    </row>
    <row r="718" spans="1:10" s="155" customFormat="1" x14ac:dyDescent="0.2">
      <c r="B718" s="305" t="s">
        <v>273</v>
      </c>
      <c r="C718" s="305"/>
      <c r="D718" s="246">
        <v>53</v>
      </c>
      <c r="E718" s="165" t="s">
        <v>274</v>
      </c>
      <c r="G718" s="250"/>
      <c r="H718" s="213"/>
      <c r="I718" s="261"/>
      <c r="J718" s="213"/>
    </row>
    <row r="719" spans="1:10" s="155" customFormat="1" ht="13.5" thickBot="1" x14ac:dyDescent="0.25">
      <c r="B719" s="305" t="s">
        <v>307</v>
      </c>
      <c r="C719" s="305"/>
      <c r="D719" s="246">
        <v>53</v>
      </c>
      <c r="E719" s="165" t="s">
        <v>308</v>
      </c>
      <c r="G719" s="250"/>
      <c r="H719" s="213"/>
      <c r="I719" s="261"/>
      <c r="J719" s="213"/>
    </row>
    <row r="720" spans="1:10" ht="25.5" customHeight="1" thickBot="1" x14ac:dyDescent="0.25">
      <c r="A720" s="155"/>
      <c r="B720" s="307" t="s">
        <v>403</v>
      </c>
      <c r="C720" s="308"/>
      <c r="D720" s="308"/>
      <c r="E720" s="309"/>
      <c r="F720" s="155"/>
      <c r="G720" s="213"/>
      <c r="H720" s="213"/>
      <c r="I720" s="261"/>
      <c r="J720" s="261"/>
    </row>
    <row r="721" spans="1:10" x14ac:dyDescent="0.2">
      <c r="A721" s="155"/>
      <c r="B721" s="212" t="s">
        <v>18</v>
      </c>
      <c r="C721" s="213"/>
      <c r="D721" s="250"/>
      <c r="E721" s="214"/>
      <c r="F721" s="155"/>
      <c r="G721" s="213"/>
      <c r="H721" s="213"/>
      <c r="I721" s="213"/>
      <c r="J721" s="213"/>
    </row>
    <row r="722" spans="1:10" x14ac:dyDescent="0.2">
      <c r="A722" s="155"/>
      <c r="B722" s="216"/>
      <c r="C722" s="310" t="s">
        <v>63</v>
      </c>
      <c r="D722" s="310"/>
      <c r="E722" s="310"/>
      <c r="F722" s="155"/>
      <c r="G722" s="213"/>
      <c r="H722" s="213"/>
      <c r="I722" s="213"/>
      <c r="J722" s="213"/>
    </row>
    <row r="723" spans="1:10" x14ac:dyDescent="0.2">
      <c r="A723" s="155"/>
      <c r="B723" s="212" t="s">
        <v>19</v>
      </c>
      <c r="C723" s="217"/>
      <c r="D723" s="217"/>
      <c r="E723" s="251"/>
      <c r="F723" s="155"/>
      <c r="G723" s="213"/>
      <c r="H723" s="213"/>
      <c r="I723" s="213"/>
      <c r="J723" s="213"/>
    </row>
    <row r="724" spans="1:10" x14ac:dyDescent="0.2">
      <c r="A724" s="155"/>
      <c r="B724" s="216"/>
      <c r="C724" s="310" t="s">
        <v>140</v>
      </c>
      <c r="D724" s="310"/>
      <c r="E724" s="310"/>
      <c r="F724" s="155"/>
      <c r="G724" s="213"/>
      <c r="H724" s="213"/>
      <c r="I724" s="213"/>
      <c r="J724" s="213"/>
    </row>
    <row r="725" spans="1:10" x14ac:dyDescent="0.2">
      <c r="A725" s="155"/>
      <c r="B725" s="212" t="s">
        <v>20</v>
      </c>
      <c r="C725" s="213"/>
      <c r="D725" s="250"/>
      <c r="E725" s="214"/>
      <c r="F725" s="155"/>
      <c r="G725" s="213"/>
      <c r="H725" s="213"/>
      <c r="I725" s="213"/>
      <c r="J725" s="213"/>
    </row>
    <row r="726" spans="1:10" x14ac:dyDescent="0.2">
      <c r="A726" s="155"/>
      <c r="B726" s="212"/>
      <c r="C726" s="311" t="s">
        <v>64</v>
      </c>
      <c r="D726" s="311"/>
      <c r="E726" s="311"/>
      <c r="F726" s="155"/>
      <c r="G726" s="213"/>
      <c r="H726" s="213"/>
      <c r="I726" s="213"/>
      <c r="J726" s="213"/>
    </row>
    <row r="727" spans="1:10" ht="13.5" thickBot="1" x14ac:dyDescent="0.25">
      <c r="A727" s="155"/>
      <c r="B727" s="218"/>
      <c r="C727" s="219"/>
      <c r="D727" s="220"/>
      <c r="E727" s="221"/>
      <c r="F727" s="155"/>
      <c r="G727" s="213"/>
      <c r="H727" s="213"/>
      <c r="I727" s="213"/>
      <c r="J727" s="213"/>
    </row>
    <row r="728" spans="1:10" ht="13.5" thickBot="1" x14ac:dyDescent="0.25">
      <c r="A728" s="155"/>
      <c r="B728" s="155"/>
      <c r="C728" s="155"/>
      <c r="D728" s="222"/>
      <c r="E728" s="155"/>
      <c r="F728" s="155"/>
      <c r="G728" s="213"/>
      <c r="H728" s="213"/>
      <c r="I728" s="213"/>
      <c r="J728" s="213"/>
    </row>
    <row r="729" spans="1:10" x14ac:dyDescent="0.2">
      <c r="A729" s="155"/>
      <c r="B729" s="223" t="s">
        <v>157</v>
      </c>
      <c r="C729" s="224"/>
      <c r="D729" s="225"/>
      <c r="E729" s="226"/>
      <c r="F729" s="155"/>
      <c r="G729" s="213"/>
      <c r="H729" s="213"/>
      <c r="I729" s="213"/>
      <c r="J729" s="213"/>
    </row>
    <row r="730" spans="1:10" x14ac:dyDescent="0.2">
      <c r="A730" s="155"/>
      <c r="B730" s="227"/>
      <c r="C730" s="318"/>
      <c r="D730" s="318"/>
      <c r="E730" s="311"/>
      <c r="F730" s="155"/>
      <c r="G730" s="213"/>
      <c r="H730" s="213"/>
      <c r="I730" s="213"/>
      <c r="J730" s="213"/>
    </row>
    <row r="731" spans="1:10" x14ac:dyDescent="0.2">
      <c r="A731" s="155"/>
      <c r="B731" s="212" t="s">
        <v>16</v>
      </c>
      <c r="C731" s="213"/>
      <c r="D731" s="250"/>
      <c r="E731" s="214"/>
      <c r="F731" s="155"/>
      <c r="G731" s="213"/>
      <c r="H731" s="213"/>
      <c r="I731" s="213"/>
      <c r="J731" s="213"/>
    </row>
    <row r="732" spans="1:10" x14ac:dyDescent="0.2">
      <c r="A732" s="155"/>
      <c r="B732" s="212"/>
      <c r="C732" s="318" t="s">
        <v>381</v>
      </c>
      <c r="D732" s="318"/>
      <c r="E732" s="311"/>
      <c r="F732" s="155"/>
      <c r="G732" s="213"/>
      <c r="H732" s="213"/>
      <c r="I732" s="213"/>
      <c r="J732" s="213"/>
    </row>
    <row r="733" spans="1:10" ht="13.5" thickBot="1" x14ac:dyDescent="0.25">
      <c r="A733" s="155"/>
      <c r="B733" s="212" t="s">
        <v>17</v>
      </c>
      <c r="C733" s="213"/>
      <c r="D733" s="250"/>
      <c r="E733" s="214"/>
      <c r="F733" s="155"/>
      <c r="G733" s="213"/>
      <c r="H733" s="213"/>
      <c r="I733" s="213"/>
      <c r="J733" s="213"/>
    </row>
    <row r="734" spans="1:10" ht="13.5" thickBot="1" x14ac:dyDescent="0.25">
      <c r="A734" s="155"/>
      <c r="B734" s="312" t="s">
        <v>289</v>
      </c>
      <c r="C734" s="313"/>
      <c r="D734" s="313"/>
      <c r="E734" s="314"/>
      <c r="F734" s="155"/>
      <c r="G734" s="213"/>
      <c r="H734" s="213"/>
      <c r="I734" s="213"/>
      <c r="J734" s="213"/>
    </row>
    <row r="735" spans="1:10" ht="13.5" thickBot="1" x14ac:dyDescent="0.25">
      <c r="A735" s="155"/>
      <c r="B735" s="312" t="s">
        <v>138</v>
      </c>
      <c r="C735" s="314"/>
      <c r="D735" s="215" t="s">
        <v>11</v>
      </c>
      <c r="E735" s="215" t="s">
        <v>139</v>
      </c>
      <c r="F735" s="155"/>
      <c r="G735" s="213"/>
      <c r="H735" s="213"/>
      <c r="I735" s="213"/>
      <c r="J735" s="213"/>
    </row>
    <row r="736" spans="1:10" s="155" customFormat="1" x14ac:dyDescent="0.2">
      <c r="B736" s="315" t="s">
        <v>301</v>
      </c>
      <c r="C736" s="315"/>
      <c r="D736" s="255">
        <v>22</v>
      </c>
      <c r="E736" s="164" t="s">
        <v>300</v>
      </c>
      <c r="G736" s="262"/>
      <c r="H736" s="213"/>
      <c r="I736" s="261"/>
      <c r="J736" s="213"/>
    </row>
    <row r="737" spans="2:10" s="155" customFormat="1" x14ac:dyDescent="0.2">
      <c r="B737" s="305" t="s">
        <v>302</v>
      </c>
      <c r="C737" s="305"/>
      <c r="D737" s="256">
        <v>51</v>
      </c>
      <c r="E737" s="165" t="s">
        <v>246</v>
      </c>
      <c r="G737" s="262"/>
      <c r="H737" s="213"/>
      <c r="I737" s="261"/>
      <c r="J737" s="213"/>
    </row>
    <row r="738" spans="2:10" s="155" customFormat="1" x14ac:dyDescent="0.2">
      <c r="B738" s="305" t="s">
        <v>304</v>
      </c>
      <c r="C738" s="305"/>
      <c r="D738" s="256">
        <v>51</v>
      </c>
      <c r="E738" s="165" t="s">
        <v>247</v>
      </c>
      <c r="G738" s="262"/>
      <c r="H738" s="213"/>
      <c r="I738" s="261"/>
      <c r="J738" s="213"/>
    </row>
    <row r="739" spans="2:10" s="155" customFormat="1" x14ac:dyDescent="0.2">
      <c r="B739" s="305" t="s">
        <v>303</v>
      </c>
      <c r="C739" s="305"/>
      <c r="D739" s="256">
        <v>30</v>
      </c>
      <c r="E739" s="165" t="s">
        <v>248</v>
      </c>
      <c r="G739" s="262"/>
      <c r="H739" s="213"/>
      <c r="I739" s="261"/>
      <c r="J739" s="213"/>
    </row>
    <row r="740" spans="2:10" s="155" customFormat="1" x14ac:dyDescent="0.2">
      <c r="B740" s="305" t="s">
        <v>298</v>
      </c>
      <c r="C740" s="305"/>
      <c r="D740" s="256">
        <v>25</v>
      </c>
      <c r="E740" s="165" t="s">
        <v>299</v>
      </c>
      <c r="G740" s="262"/>
      <c r="H740" s="213"/>
      <c r="I740" s="261"/>
      <c r="J740" s="213"/>
    </row>
    <row r="741" spans="2:10" s="155" customFormat="1" x14ac:dyDescent="0.2">
      <c r="B741" s="305" t="s">
        <v>249</v>
      </c>
      <c r="C741" s="305"/>
      <c r="D741" s="256">
        <v>22</v>
      </c>
      <c r="E741" s="165" t="s">
        <v>250</v>
      </c>
      <c r="G741" s="262"/>
      <c r="H741" s="213"/>
      <c r="I741" s="261"/>
      <c r="J741" s="213"/>
    </row>
    <row r="742" spans="2:10" s="155" customFormat="1" x14ac:dyDescent="0.2">
      <c r="B742" s="305" t="s">
        <v>251</v>
      </c>
      <c r="C742" s="305"/>
      <c r="D742" s="256">
        <v>28</v>
      </c>
      <c r="E742" s="165" t="s">
        <v>252</v>
      </c>
      <c r="G742" s="262"/>
      <c r="H742" s="213"/>
      <c r="I742" s="261"/>
      <c r="J742" s="213"/>
    </row>
    <row r="743" spans="2:10" s="155" customFormat="1" x14ac:dyDescent="0.2">
      <c r="B743" s="305" t="s">
        <v>253</v>
      </c>
      <c r="C743" s="305"/>
      <c r="D743" s="256">
        <v>28</v>
      </c>
      <c r="E743" s="165" t="s">
        <v>254</v>
      </c>
      <c r="G743" s="262"/>
      <c r="H743" s="213"/>
      <c r="I743" s="261"/>
      <c r="J743" s="213"/>
    </row>
    <row r="744" spans="2:10" s="155" customFormat="1" x14ac:dyDescent="0.2">
      <c r="B744" s="305" t="s">
        <v>255</v>
      </c>
      <c r="C744" s="305"/>
      <c r="D744" s="256">
        <v>61</v>
      </c>
      <c r="E744" s="165" t="s">
        <v>256</v>
      </c>
      <c r="G744" s="262"/>
      <c r="H744" s="213"/>
      <c r="I744" s="261"/>
      <c r="J744" s="213"/>
    </row>
    <row r="745" spans="2:10" s="155" customFormat="1" x14ac:dyDescent="0.2">
      <c r="B745" s="305" t="s">
        <v>305</v>
      </c>
      <c r="C745" s="305"/>
      <c r="D745" s="256">
        <v>41</v>
      </c>
      <c r="E745" s="165" t="s">
        <v>257</v>
      </c>
      <c r="G745" s="262"/>
      <c r="H745" s="213"/>
      <c r="I745" s="261"/>
      <c r="J745" s="213"/>
    </row>
    <row r="746" spans="2:10" s="155" customFormat="1" x14ac:dyDescent="0.2">
      <c r="B746" s="305" t="s">
        <v>258</v>
      </c>
      <c r="C746" s="305"/>
      <c r="D746" s="256">
        <v>20</v>
      </c>
      <c r="E746" s="165" t="s">
        <v>259</v>
      </c>
      <c r="G746" s="262"/>
      <c r="H746" s="213"/>
      <c r="I746" s="261"/>
      <c r="J746" s="213"/>
    </row>
    <row r="747" spans="2:10" s="155" customFormat="1" x14ac:dyDescent="0.2">
      <c r="B747" s="305" t="s">
        <v>260</v>
      </c>
      <c r="C747" s="305"/>
      <c r="D747" s="256">
        <v>41</v>
      </c>
      <c r="E747" s="165" t="s">
        <v>261</v>
      </c>
      <c r="G747" s="262"/>
      <c r="H747" s="213"/>
      <c r="I747" s="261"/>
      <c r="J747" s="213"/>
    </row>
    <row r="748" spans="2:10" s="155" customFormat="1" x14ac:dyDescent="0.2">
      <c r="B748" s="305" t="s">
        <v>306</v>
      </c>
      <c r="C748" s="305"/>
      <c r="D748" s="256">
        <v>41</v>
      </c>
      <c r="E748" s="165" t="s">
        <v>262</v>
      </c>
      <c r="G748" s="262"/>
      <c r="H748" s="213"/>
      <c r="I748" s="261"/>
      <c r="J748" s="213"/>
    </row>
    <row r="749" spans="2:10" s="155" customFormat="1" x14ac:dyDescent="0.2">
      <c r="B749" s="305" t="s">
        <v>263</v>
      </c>
      <c r="C749" s="305"/>
      <c r="D749" s="256">
        <v>25</v>
      </c>
      <c r="E749" s="165" t="s">
        <v>264</v>
      </c>
      <c r="G749" s="262"/>
      <c r="H749" s="213"/>
      <c r="I749" s="261"/>
      <c r="J749" s="213"/>
    </row>
    <row r="750" spans="2:10" s="155" customFormat="1" x14ac:dyDescent="0.2">
      <c r="B750" s="305" t="s">
        <v>265</v>
      </c>
      <c r="C750" s="305"/>
      <c r="D750" s="256">
        <v>36</v>
      </c>
      <c r="E750" s="165" t="s">
        <v>266</v>
      </c>
      <c r="G750" s="262"/>
      <c r="H750" s="213"/>
      <c r="I750" s="261"/>
      <c r="J750" s="213"/>
    </row>
    <row r="751" spans="2:10" s="155" customFormat="1" x14ac:dyDescent="0.2">
      <c r="B751" s="305" t="s">
        <v>267</v>
      </c>
      <c r="C751" s="305"/>
      <c r="D751" s="256">
        <v>30</v>
      </c>
      <c r="E751" s="165" t="s">
        <v>268</v>
      </c>
      <c r="G751" s="262"/>
      <c r="H751" s="213"/>
      <c r="I751" s="261"/>
      <c r="J751" s="213"/>
    </row>
    <row r="752" spans="2:10" s="155" customFormat="1" x14ac:dyDescent="0.2">
      <c r="B752" s="305" t="s">
        <v>269</v>
      </c>
      <c r="C752" s="305"/>
      <c r="D752" s="256">
        <v>30</v>
      </c>
      <c r="E752" s="165" t="s">
        <v>270</v>
      </c>
      <c r="G752" s="262"/>
      <c r="H752" s="213"/>
      <c r="I752" s="261"/>
      <c r="J752" s="213"/>
    </row>
    <row r="753" spans="1:10" s="155" customFormat="1" x14ac:dyDescent="0.2">
      <c r="B753" s="305" t="s">
        <v>271</v>
      </c>
      <c r="C753" s="305"/>
      <c r="D753" s="256">
        <v>25</v>
      </c>
      <c r="E753" s="165" t="s">
        <v>272</v>
      </c>
      <c r="G753" s="262"/>
      <c r="H753" s="213"/>
      <c r="I753" s="261"/>
      <c r="J753" s="213"/>
    </row>
    <row r="754" spans="1:10" s="155" customFormat="1" x14ac:dyDescent="0.2">
      <c r="B754" s="305" t="s">
        <v>273</v>
      </c>
      <c r="C754" s="305"/>
      <c r="D754" s="256">
        <v>25</v>
      </c>
      <c r="E754" s="165" t="s">
        <v>274</v>
      </c>
      <c r="G754" s="262"/>
      <c r="H754" s="213"/>
      <c r="I754" s="261"/>
      <c r="J754" s="213"/>
    </row>
    <row r="755" spans="1:10" s="155" customFormat="1" ht="13.5" thickBot="1" x14ac:dyDescent="0.25">
      <c r="B755" s="305" t="s">
        <v>307</v>
      </c>
      <c r="C755" s="305"/>
      <c r="D755" s="256">
        <v>25</v>
      </c>
      <c r="E755" s="165" t="s">
        <v>308</v>
      </c>
      <c r="G755" s="262"/>
      <c r="H755" s="213"/>
      <c r="I755" s="261"/>
      <c r="J755" s="213"/>
    </row>
    <row r="756" spans="1:10" ht="24" customHeight="1" thickBot="1" x14ac:dyDescent="0.25">
      <c r="A756" s="155"/>
      <c r="B756" s="307" t="s">
        <v>404</v>
      </c>
      <c r="C756" s="308"/>
      <c r="D756" s="308"/>
      <c r="E756" s="309"/>
      <c r="F756" s="155"/>
      <c r="G756" s="213"/>
      <c r="H756" s="213"/>
      <c r="I756" s="261"/>
      <c r="J756" s="213"/>
    </row>
    <row r="757" spans="1:10" x14ac:dyDescent="0.2">
      <c r="A757" s="155"/>
      <c r="B757" s="212" t="s">
        <v>18</v>
      </c>
      <c r="C757" s="213"/>
      <c r="D757" s="250"/>
      <c r="E757" s="214"/>
      <c r="F757" s="155"/>
      <c r="G757" s="213"/>
      <c r="H757" s="213"/>
      <c r="I757" s="213"/>
      <c r="J757" s="213"/>
    </row>
    <row r="758" spans="1:10" x14ac:dyDescent="0.2">
      <c r="A758" s="155"/>
      <c r="B758" s="216"/>
      <c r="C758" s="310" t="s">
        <v>63</v>
      </c>
      <c r="D758" s="310"/>
      <c r="E758" s="310"/>
      <c r="F758" s="155"/>
      <c r="G758" s="213"/>
      <c r="H758" s="213"/>
      <c r="I758" s="213"/>
      <c r="J758" s="213"/>
    </row>
    <row r="759" spans="1:10" x14ac:dyDescent="0.2">
      <c r="A759" s="155"/>
      <c r="B759" s="212" t="s">
        <v>19</v>
      </c>
      <c r="C759" s="217"/>
      <c r="D759" s="217"/>
      <c r="E759" s="251"/>
      <c r="F759" s="155"/>
      <c r="G759" s="213"/>
      <c r="H759" s="213"/>
      <c r="I759" s="213"/>
      <c r="J759" s="213"/>
    </row>
    <row r="760" spans="1:10" x14ac:dyDescent="0.2">
      <c r="A760" s="155"/>
      <c r="B760" s="216"/>
      <c r="C760" s="310" t="s">
        <v>140</v>
      </c>
      <c r="D760" s="310"/>
      <c r="E760" s="310"/>
      <c r="F760" s="155"/>
      <c r="G760" s="213"/>
      <c r="H760" s="213"/>
      <c r="I760" s="213"/>
      <c r="J760" s="213"/>
    </row>
    <row r="761" spans="1:10" x14ac:dyDescent="0.2">
      <c r="A761" s="155"/>
      <c r="B761" s="212" t="s">
        <v>20</v>
      </c>
      <c r="C761" s="213"/>
      <c r="D761" s="250"/>
      <c r="E761" s="214"/>
      <c r="F761" s="155"/>
      <c r="G761" s="213"/>
      <c r="H761" s="213"/>
      <c r="I761" s="213"/>
      <c r="J761" s="213"/>
    </row>
    <row r="762" spans="1:10" x14ac:dyDescent="0.2">
      <c r="A762" s="155"/>
      <c r="B762" s="212"/>
      <c r="C762" s="311" t="s">
        <v>64</v>
      </c>
      <c r="D762" s="311"/>
      <c r="E762" s="311"/>
      <c r="F762" s="155"/>
      <c r="G762" s="213"/>
      <c r="H762" s="213"/>
      <c r="I762" s="213"/>
      <c r="J762" s="213"/>
    </row>
    <row r="763" spans="1:10" ht="13.5" thickBot="1" x14ac:dyDescent="0.25">
      <c r="A763" s="155"/>
      <c r="B763" s="218"/>
      <c r="C763" s="219"/>
      <c r="D763" s="220"/>
      <c r="E763" s="221"/>
      <c r="F763" s="155"/>
      <c r="G763" s="213"/>
      <c r="H763" s="213"/>
      <c r="I763" s="213"/>
      <c r="J763" s="213"/>
    </row>
    <row r="764" spans="1:10" ht="13.5" thickBot="1" x14ac:dyDescent="0.25">
      <c r="A764" s="155"/>
      <c r="B764" s="155"/>
      <c r="C764" s="155"/>
      <c r="D764" s="222"/>
      <c r="E764" s="155"/>
      <c r="F764" s="155"/>
      <c r="G764" s="213"/>
      <c r="H764" s="213"/>
      <c r="I764" s="213"/>
      <c r="J764" s="213"/>
    </row>
    <row r="765" spans="1:10" x14ac:dyDescent="0.2">
      <c r="A765" s="155"/>
      <c r="B765" s="223" t="s">
        <v>158</v>
      </c>
      <c r="C765" s="224"/>
      <c r="D765" s="225"/>
      <c r="E765" s="226"/>
      <c r="F765" s="155"/>
      <c r="G765" s="213"/>
      <c r="H765" s="213"/>
      <c r="I765" s="213"/>
      <c r="J765" s="213"/>
    </row>
    <row r="766" spans="1:10" x14ac:dyDescent="0.2">
      <c r="A766" s="155"/>
      <c r="B766" s="227"/>
      <c r="C766" s="213"/>
      <c r="D766" s="250"/>
      <c r="E766" s="214"/>
      <c r="F766" s="155"/>
      <c r="G766" s="213"/>
      <c r="H766" s="213"/>
      <c r="I766" s="213"/>
      <c r="J766" s="213"/>
    </row>
    <row r="767" spans="1:10" x14ac:dyDescent="0.2">
      <c r="A767" s="155"/>
      <c r="B767" s="212" t="s">
        <v>16</v>
      </c>
      <c r="C767" s="213"/>
      <c r="D767" s="250"/>
      <c r="E767" s="214"/>
      <c r="F767" s="155"/>
      <c r="G767" s="213"/>
      <c r="H767" s="213"/>
      <c r="I767" s="213"/>
      <c r="J767" s="213"/>
    </row>
    <row r="768" spans="1:10" x14ac:dyDescent="0.2">
      <c r="A768" s="155"/>
      <c r="B768" s="212"/>
      <c r="C768" s="310" t="s">
        <v>373</v>
      </c>
      <c r="D768" s="310"/>
      <c r="E768" s="310"/>
      <c r="F768" s="155"/>
      <c r="G768" s="213"/>
      <c r="H768" s="213"/>
      <c r="I768" s="213"/>
      <c r="J768" s="213"/>
    </row>
    <row r="769" spans="1:10" ht="13.5" thickBot="1" x14ac:dyDescent="0.25">
      <c r="A769" s="155"/>
      <c r="B769" s="212" t="s">
        <v>17</v>
      </c>
      <c r="C769" s="213"/>
      <c r="D769" s="250"/>
      <c r="E769" s="214"/>
      <c r="F769" s="155"/>
      <c r="G769" s="213"/>
      <c r="H769" s="213"/>
      <c r="I769" s="213"/>
      <c r="J769" s="213"/>
    </row>
    <row r="770" spans="1:10" ht="13.5" thickBot="1" x14ac:dyDescent="0.25">
      <c r="A770" s="155"/>
      <c r="B770" s="312" t="s">
        <v>240</v>
      </c>
      <c r="C770" s="313"/>
      <c r="D770" s="313"/>
      <c r="E770" s="314"/>
      <c r="F770" s="155"/>
      <c r="G770" s="213"/>
      <c r="H770" s="213"/>
      <c r="I770" s="213"/>
      <c r="J770" s="213"/>
    </row>
    <row r="771" spans="1:10" ht="13.5" thickBot="1" x14ac:dyDescent="0.25">
      <c r="A771" s="155"/>
      <c r="B771" s="312" t="s">
        <v>138</v>
      </c>
      <c r="C771" s="314"/>
      <c r="D771" s="215" t="s">
        <v>11</v>
      </c>
      <c r="E771" s="215" t="s">
        <v>139</v>
      </c>
      <c r="F771" s="155"/>
      <c r="G771" s="213"/>
      <c r="H771" s="213"/>
      <c r="I771" s="213"/>
      <c r="J771" s="213"/>
    </row>
    <row r="772" spans="1:10" s="155" customFormat="1" x14ac:dyDescent="0.2">
      <c r="B772" s="315" t="s">
        <v>301</v>
      </c>
      <c r="C772" s="315"/>
      <c r="D772" s="249" t="s">
        <v>285</v>
      </c>
      <c r="E772" s="164" t="s">
        <v>300</v>
      </c>
      <c r="G772" s="250"/>
      <c r="H772" s="213"/>
      <c r="I772" s="261"/>
      <c r="J772" s="213"/>
    </row>
    <row r="773" spans="1:10" s="155" customFormat="1" x14ac:dyDescent="0.2">
      <c r="B773" s="305" t="s">
        <v>302</v>
      </c>
      <c r="C773" s="305"/>
      <c r="D773" s="246" t="s">
        <v>285</v>
      </c>
      <c r="E773" s="165" t="s">
        <v>246</v>
      </c>
      <c r="G773" s="250"/>
      <c r="H773" s="213"/>
      <c r="I773" s="261"/>
      <c r="J773" s="213"/>
    </row>
    <row r="774" spans="1:10" s="155" customFormat="1" x14ac:dyDescent="0.2">
      <c r="B774" s="305" t="s">
        <v>304</v>
      </c>
      <c r="C774" s="305"/>
      <c r="D774" s="246" t="s">
        <v>285</v>
      </c>
      <c r="E774" s="165" t="s">
        <v>247</v>
      </c>
      <c r="G774" s="250"/>
      <c r="H774" s="213"/>
      <c r="I774" s="261"/>
      <c r="J774" s="213"/>
    </row>
    <row r="775" spans="1:10" s="155" customFormat="1" x14ac:dyDescent="0.2">
      <c r="B775" s="305" t="s">
        <v>303</v>
      </c>
      <c r="C775" s="305"/>
      <c r="D775" s="246" t="s">
        <v>285</v>
      </c>
      <c r="E775" s="165" t="s">
        <v>248</v>
      </c>
      <c r="G775" s="250"/>
      <c r="H775" s="213"/>
      <c r="I775" s="261"/>
      <c r="J775" s="213"/>
    </row>
    <row r="776" spans="1:10" s="155" customFormat="1" x14ac:dyDescent="0.2">
      <c r="B776" s="305" t="s">
        <v>298</v>
      </c>
      <c r="C776" s="305"/>
      <c r="D776" s="246" t="s">
        <v>285</v>
      </c>
      <c r="E776" s="165" t="s">
        <v>299</v>
      </c>
      <c r="G776" s="250"/>
      <c r="H776" s="213"/>
      <c r="I776" s="261"/>
      <c r="J776" s="213"/>
    </row>
    <row r="777" spans="1:10" s="155" customFormat="1" x14ac:dyDescent="0.2">
      <c r="B777" s="305" t="s">
        <v>249</v>
      </c>
      <c r="C777" s="305"/>
      <c r="D777" s="246" t="s">
        <v>285</v>
      </c>
      <c r="E777" s="165" t="s">
        <v>250</v>
      </c>
      <c r="G777" s="250"/>
      <c r="H777" s="213"/>
      <c r="I777" s="261"/>
      <c r="J777" s="213"/>
    </row>
    <row r="778" spans="1:10" s="155" customFormat="1" x14ac:dyDescent="0.2">
      <c r="B778" s="305" t="s">
        <v>251</v>
      </c>
      <c r="C778" s="305"/>
      <c r="D778" s="246" t="s">
        <v>285</v>
      </c>
      <c r="E778" s="165" t="s">
        <v>252</v>
      </c>
      <c r="G778" s="250"/>
      <c r="H778" s="213"/>
      <c r="I778" s="261"/>
      <c r="J778" s="213"/>
    </row>
    <row r="779" spans="1:10" s="155" customFormat="1" x14ac:dyDescent="0.2">
      <c r="B779" s="305" t="s">
        <v>253</v>
      </c>
      <c r="C779" s="305"/>
      <c r="D779" s="246" t="s">
        <v>285</v>
      </c>
      <c r="E779" s="165" t="s">
        <v>254</v>
      </c>
      <c r="G779" s="250"/>
      <c r="H779" s="213"/>
      <c r="I779" s="261"/>
      <c r="J779" s="213"/>
    </row>
    <row r="780" spans="1:10" s="155" customFormat="1" x14ac:dyDescent="0.2">
      <c r="B780" s="305" t="s">
        <v>255</v>
      </c>
      <c r="C780" s="305"/>
      <c r="D780" s="246" t="s">
        <v>285</v>
      </c>
      <c r="E780" s="165" t="s">
        <v>256</v>
      </c>
      <c r="G780" s="250"/>
      <c r="H780" s="213"/>
      <c r="I780" s="261"/>
      <c r="J780" s="213"/>
    </row>
    <row r="781" spans="1:10" s="155" customFormat="1" x14ac:dyDescent="0.2">
      <c r="B781" s="305" t="s">
        <v>305</v>
      </c>
      <c r="C781" s="305"/>
      <c r="D781" s="246" t="s">
        <v>285</v>
      </c>
      <c r="E781" s="165" t="s">
        <v>257</v>
      </c>
      <c r="G781" s="250"/>
      <c r="H781" s="213"/>
      <c r="I781" s="261"/>
      <c r="J781" s="213"/>
    </row>
    <row r="782" spans="1:10" s="155" customFormat="1" x14ac:dyDescent="0.2">
      <c r="B782" s="305" t="s">
        <v>258</v>
      </c>
      <c r="C782" s="305"/>
      <c r="D782" s="246" t="s">
        <v>285</v>
      </c>
      <c r="E782" s="165" t="s">
        <v>259</v>
      </c>
      <c r="G782" s="250"/>
      <c r="H782" s="213"/>
      <c r="I782" s="261"/>
      <c r="J782" s="213"/>
    </row>
    <row r="783" spans="1:10" s="155" customFormat="1" x14ac:dyDescent="0.2">
      <c r="B783" s="305" t="s">
        <v>260</v>
      </c>
      <c r="C783" s="305"/>
      <c r="D783" s="246" t="s">
        <v>285</v>
      </c>
      <c r="E783" s="165" t="s">
        <v>261</v>
      </c>
      <c r="G783" s="250"/>
      <c r="H783" s="213"/>
      <c r="I783" s="261"/>
      <c r="J783" s="213"/>
    </row>
    <row r="784" spans="1:10" s="155" customFormat="1" x14ac:dyDescent="0.2">
      <c r="B784" s="305" t="s">
        <v>306</v>
      </c>
      <c r="C784" s="305"/>
      <c r="D784" s="246" t="s">
        <v>285</v>
      </c>
      <c r="E784" s="165" t="s">
        <v>262</v>
      </c>
      <c r="G784" s="250"/>
      <c r="H784" s="213"/>
      <c r="I784" s="261"/>
      <c r="J784" s="213"/>
    </row>
    <row r="785" spans="1:10" s="155" customFormat="1" x14ac:dyDescent="0.2">
      <c r="B785" s="305" t="s">
        <v>263</v>
      </c>
      <c r="C785" s="305"/>
      <c r="D785" s="246" t="s">
        <v>285</v>
      </c>
      <c r="E785" s="165" t="s">
        <v>264</v>
      </c>
      <c r="G785" s="250"/>
      <c r="H785" s="213"/>
      <c r="I785" s="261"/>
      <c r="J785" s="213"/>
    </row>
    <row r="786" spans="1:10" s="155" customFormat="1" x14ac:dyDescent="0.2">
      <c r="B786" s="305" t="s">
        <v>265</v>
      </c>
      <c r="C786" s="305"/>
      <c r="D786" s="246" t="s">
        <v>285</v>
      </c>
      <c r="E786" s="165" t="s">
        <v>266</v>
      </c>
      <c r="G786" s="250"/>
      <c r="H786" s="213"/>
      <c r="I786" s="261"/>
      <c r="J786" s="213"/>
    </row>
    <row r="787" spans="1:10" s="155" customFormat="1" x14ac:dyDescent="0.2">
      <c r="B787" s="305" t="s">
        <v>267</v>
      </c>
      <c r="C787" s="305"/>
      <c r="D787" s="246" t="s">
        <v>285</v>
      </c>
      <c r="E787" s="165" t="s">
        <v>268</v>
      </c>
      <c r="G787" s="250"/>
      <c r="H787" s="213"/>
      <c r="I787" s="261"/>
      <c r="J787" s="213"/>
    </row>
    <row r="788" spans="1:10" s="155" customFormat="1" x14ac:dyDescent="0.2">
      <c r="B788" s="305" t="s">
        <v>269</v>
      </c>
      <c r="C788" s="305"/>
      <c r="D788" s="246" t="s">
        <v>285</v>
      </c>
      <c r="E788" s="165" t="s">
        <v>270</v>
      </c>
      <c r="G788" s="250"/>
      <c r="H788" s="213"/>
      <c r="I788" s="261"/>
      <c r="J788" s="213"/>
    </row>
    <row r="789" spans="1:10" s="155" customFormat="1" x14ac:dyDescent="0.2">
      <c r="B789" s="305" t="s">
        <v>271</v>
      </c>
      <c r="C789" s="305"/>
      <c r="D789" s="246" t="s">
        <v>285</v>
      </c>
      <c r="E789" s="165" t="s">
        <v>272</v>
      </c>
      <c r="G789" s="250"/>
      <c r="H789" s="213"/>
      <c r="I789" s="261"/>
      <c r="J789" s="213"/>
    </row>
    <row r="790" spans="1:10" s="155" customFormat="1" x14ac:dyDescent="0.2">
      <c r="B790" s="305" t="s">
        <v>273</v>
      </c>
      <c r="C790" s="305"/>
      <c r="D790" s="246" t="s">
        <v>285</v>
      </c>
      <c r="E790" s="165" t="s">
        <v>274</v>
      </c>
      <c r="G790" s="250"/>
      <c r="H790" s="213"/>
      <c r="I790" s="261"/>
      <c r="J790" s="213"/>
    </row>
    <row r="791" spans="1:10" s="155" customFormat="1" ht="13.5" thickBot="1" x14ac:dyDescent="0.25">
      <c r="B791" s="305" t="s">
        <v>307</v>
      </c>
      <c r="C791" s="305"/>
      <c r="D791" s="246" t="s">
        <v>285</v>
      </c>
      <c r="E791" s="165" t="s">
        <v>308</v>
      </c>
      <c r="G791" s="250"/>
      <c r="H791" s="213"/>
      <c r="I791" s="261"/>
      <c r="J791" s="213"/>
    </row>
    <row r="792" spans="1:10" ht="24.75" customHeight="1" thickBot="1" x14ac:dyDescent="0.25">
      <c r="A792" s="155"/>
      <c r="B792" s="307" t="s">
        <v>405</v>
      </c>
      <c r="C792" s="308"/>
      <c r="D792" s="308"/>
      <c r="E792" s="309"/>
      <c r="F792" s="155"/>
      <c r="G792" s="213"/>
      <c r="H792" s="213"/>
      <c r="I792" s="261"/>
      <c r="J792" s="261"/>
    </row>
    <row r="793" spans="1:10" x14ac:dyDescent="0.2">
      <c r="A793" s="155"/>
      <c r="B793" s="212" t="s">
        <v>18</v>
      </c>
      <c r="C793" s="213"/>
      <c r="D793" s="250"/>
      <c r="E793" s="214"/>
      <c r="F793" s="155"/>
      <c r="G793" s="213"/>
      <c r="H793" s="213"/>
      <c r="I793" s="213"/>
      <c r="J793" s="213"/>
    </row>
    <row r="794" spans="1:10" x14ac:dyDescent="0.2">
      <c r="A794" s="155"/>
      <c r="B794" s="216"/>
      <c r="C794" s="310" t="s">
        <v>63</v>
      </c>
      <c r="D794" s="310"/>
      <c r="E794" s="310"/>
      <c r="F794" s="155"/>
      <c r="G794" s="213"/>
      <c r="H794" s="213"/>
      <c r="I794" s="213"/>
      <c r="J794" s="213"/>
    </row>
    <row r="795" spans="1:10" x14ac:dyDescent="0.2">
      <c r="A795" s="155"/>
      <c r="B795" s="212" t="s">
        <v>19</v>
      </c>
      <c r="C795" s="217"/>
      <c r="D795" s="217"/>
      <c r="E795" s="251"/>
      <c r="F795" s="155"/>
      <c r="G795" s="213"/>
      <c r="H795" s="213"/>
      <c r="I795" s="213"/>
      <c r="J795" s="213"/>
    </row>
    <row r="796" spans="1:10" x14ac:dyDescent="0.2">
      <c r="A796" s="155"/>
      <c r="B796" s="216"/>
      <c r="C796" s="310" t="s">
        <v>140</v>
      </c>
      <c r="D796" s="310"/>
      <c r="E796" s="310"/>
      <c r="F796" s="155"/>
      <c r="G796" s="213"/>
      <c r="H796" s="213"/>
      <c r="I796" s="213"/>
      <c r="J796" s="213"/>
    </row>
    <row r="797" spans="1:10" x14ac:dyDescent="0.2">
      <c r="A797" s="155"/>
      <c r="B797" s="212" t="s">
        <v>20</v>
      </c>
      <c r="C797" s="213"/>
      <c r="D797" s="250"/>
      <c r="E797" s="214"/>
      <c r="F797" s="155"/>
      <c r="G797" s="213"/>
      <c r="H797" s="213"/>
      <c r="I797" s="213"/>
      <c r="J797" s="213"/>
    </row>
    <row r="798" spans="1:10" x14ac:dyDescent="0.2">
      <c r="A798" s="155"/>
      <c r="B798" s="212"/>
      <c r="C798" s="311" t="s">
        <v>64</v>
      </c>
      <c r="D798" s="311"/>
      <c r="E798" s="311"/>
      <c r="F798" s="155"/>
      <c r="G798" s="213"/>
      <c r="H798" s="213"/>
      <c r="I798" s="213"/>
      <c r="J798" s="213"/>
    </row>
    <row r="799" spans="1:10" ht="13.5" thickBot="1" x14ac:dyDescent="0.25">
      <c r="A799" s="155"/>
      <c r="B799" s="218"/>
      <c r="C799" s="219"/>
      <c r="D799" s="220"/>
      <c r="E799" s="221"/>
      <c r="F799" s="155"/>
      <c r="G799" s="213"/>
      <c r="H799" s="213"/>
      <c r="I799" s="213"/>
      <c r="J799" s="213"/>
    </row>
    <row r="800" spans="1:10" ht="13.5" thickBot="1" x14ac:dyDescent="0.25">
      <c r="A800" s="155"/>
      <c r="B800" s="155"/>
      <c r="C800" s="155"/>
      <c r="D800" s="222"/>
      <c r="E800" s="155"/>
      <c r="F800" s="155"/>
      <c r="G800" s="213"/>
      <c r="H800" s="213"/>
      <c r="I800" s="213"/>
      <c r="J800" s="213"/>
    </row>
    <row r="801" spans="1:10" x14ac:dyDescent="0.2">
      <c r="A801" s="155"/>
      <c r="B801" s="223" t="s">
        <v>159</v>
      </c>
      <c r="C801" s="224"/>
      <c r="D801" s="225"/>
      <c r="E801" s="226"/>
      <c r="F801" s="155"/>
      <c r="G801" s="213"/>
      <c r="H801" s="213"/>
      <c r="I801" s="213"/>
      <c r="J801" s="213"/>
    </row>
    <row r="802" spans="1:10" x14ac:dyDescent="0.2">
      <c r="A802" s="155"/>
      <c r="B802" s="227"/>
      <c r="C802" s="213"/>
      <c r="D802" s="250"/>
      <c r="E802" s="214"/>
      <c r="F802" s="155"/>
      <c r="G802" s="213"/>
      <c r="H802" s="213"/>
      <c r="I802" s="213"/>
      <c r="J802" s="213"/>
    </row>
    <row r="803" spans="1:10" x14ac:dyDescent="0.2">
      <c r="A803" s="155"/>
      <c r="B803" s="212" t="s">
        <v>16</v>
      </c>
      <c r="C803" s="213"/>
      <c r="D803" s="250"/>
      <c r="E803" s="214"/>
      <c r="F803" s="155"/>
      <c r="G803" s="213"/>
      <c r="H803" s="213"/>
      <c r="I803" s="213"/>
      <c r="J803" s="213"/>
    </row>
    <row r="804" spans="1:10" x14ac:dyDescent="0.2">
      <c r="A804" s="155"/>
      <c r="B804" s="212"/>
      <c r="C804" s="310" t="s">
        <v>374</v>
      </c>
      <c r="D804" s="310"/>
      <c r="E804" s="310"/>
      <c r="F804" s="155"/>
      <c r="G804" s="213"/>
      <c r="H804" s="213"/>
      <c r="I804" s="213"/>
      <c r="J804" s="213"/>
    </row>
    <row r="805" spans="1:10" ht="13.5" thickBot="1" x14ac:dyDescent="0.25">
      <c r="A805" s="155"/>
      <c r="B805" s="212" t="s">
        <v>17</v>
      </c>
      <c r="C805" s="213"/>
      <c r="D805" s="250"/>
      <c r="E805" s="214"/>
      <c r="F805" s="155"/>
      <c r="G805" s="213"/>
      <c r="H805" s="213"/>
      <c r="I805" s="213"/>
      <c r="J805" s="213"/>
    </row>
    <row r="806" spans="1:10" ht="13.5" thickBot="1" x14ac:dyDescent="0.25">
      <c r="A806" s="155"/>
      <c r="B806" s="312" t="s">
        <v>240</v>
      </c>
      <c r="C806" s="313"/>
      <c r="D806" s="313"/>
      <c r="E806" s="314"/>
      <c r="F806" s="155"/>
      <c r="G806" s="213"/>
      <c r="H806" s="213"/>
      <c r="I806" s="213"/>
      <c r="J806" s="213"/>
    </row>
    <row r="807" spans="1:10" ht="13.5" thickBot="1" x14ac:dyDescent="0.25">
      <c r="A807" s="155"/>
      <c r="B807" s="312" t="s">
        <v>138</v>
      </c>
      <c r="C807" s="314"/>
      <c r="D807" s="215" t="s">
        <v>11</v>
      </c>
      <c r="E807" s="215" t="s">
        <v>139</v>
      </c>
      <c r="F807" s="155"/>
      <c r="G807" s="213"/>
      <c r="H807" s="213"/>
      <c r="I807" s="213"/>
      <c r="J807" s="213"/>
    </row>
    <row r="808" spans="1:10" s="155" customFormat="1" x14ac:dyDescent="0.2">
      <c r="B808" s="315" t="s">
        <v>301</v>
      </c>
      <c r="C808" s="315"/>
      <c r="D808" s="249" t="s">
        <v>285</v>
      </c>
      <c r="E808" s="164" t="s">
        <v>300</v>
      </c>
      <c r="G808" s="250"/>
      <c r="H808" s="213"/>
      <c r="I808" s="261"/>
      <c r="J808" s="213"/>
    </row>
    <row r="809" spans="1:10" s="155" customFormat="1" x14ac:dyDescent="0.2">
      <c r="B809" s="305" t="s">
        <v>302</v>
      </c>
      <c r="C809" s="305"/>
      <c r="D809" s="246" t="s">
        <v>285</v>
      </c>
      <c r="E809" s="165" t="s">
        <v>246</v>
      </c>
      <c r="G809" s="250"/>
      <c r="H809" s="213"/>
      <c r="I809" s="261"/>
      <c r="J809" s="213"/>
    </row>
    <row r="810" spans="1:10" s="155" customFormat="1" x14ac:dyDescent="0.2">
      <c r="B810" s="305" t="s">
        <v>304</v>
      </c>
      <c r="C810" s="305"/>
      <c r="D810" s="246" t="s">
        <v>285</v>
      </c>
      <c r="E810" s="165" t="s">
        <v>247</v>
      </c>
      <c r="G810" s="250"/>
      <c r="H810" s="213"/>
      <c r="I810" s="261"/>
      <c r="J810" s="213"/>
    </row>
    <row r="811" spans="1:10" s="155" customFormat="1" x14ac:dyDescent="0.2">
      <c r="B811" s="305" t="s">
        <v>303</v>
      </c>
      <c r="C811" s="305"/>
      <c r="D811" s="246" t="s">
        <v>285</v>
      </c>
      <c r="E811" s="165" t="s">
        <v>248</v>
      </c>
      <c r="G811" s="250"/>
      <c r="H811" s="213"/>
      <c r="I811" s="261"/>
      <c r="J811" s="213"/>
    </row>
    <row r="812" spans="1:10" s="155" customFormat="1" x14ac:dyDescent="0.2">
      <c r="B812" s="305" t="s">
        <v>298</v>
      </c>
      <c r="C812" s="305"/>
      <c r="D812" s="246" t="s">
        <v>285</v>
      </c>
      <c r="E812" s="165" t="s">
        <v>299</v>
      </c>
      <c r="G812" s="250"/>
      <c r="H812" s="213"/>
      <c r="I812" s="261"/>
      <c r="J812" s="213"/>
    </row>
    <row r="813" spans="1:10" s="155" customFormat="1" x14ac:dyDescent="0.2">
      <c r="B813" s="305" t="s">
        <v>249</v>
      </c>
      <c r="C813" s="305"/>
      <c r="D813" s="246" t="s">
        <v>285</v>
      </c>
      <c r="E813" s="165" t="s">
        <v>250</v>
      </c>
      <c r="G813" s="250"/>
      <c r="H813" s="213"/>
      <c r="I813" s="261"/>
      <c r="J813" s="213"/>
    </row>
    <row r="814" spans="1:10" s="155" customFormat="1" x14ac:dyDescent="0.2">
      <c r="B814" s="305" t="s">
        <v>251</v>
      </c>
      <c r="C814" s="305"/>
      <c r="D814" s="246" t="s">
        <v>285</v>
      </c>
      <c r="E814" s="165" t="s">
        <v>252</v>
      </c>
      <c r="G814" s="250"/>
      <c r="H814" s="213"/>
      <c r="I814" s="261"/>
      <c r="J814" s="213"/>
    </row>
    <row r="815" spans="1:10" s="155" customFormat="1" x14ac:dyDescent="0.2">
      <c r="B815" s="305" t="s">
        <v>253</v>
      </c>
      <c r="C815" s="305"/>
      <c r="D815" s="246" t="s">
        <v>285</v>
      </c>
      <c r="E815" s="165" t="s">
        <v>254</v>
      </c>
      <c r="G815" s="250"/>
      <c r="H815" s="213"/>
      <c r="I815" s="261"/>
      <c r="J815" s="213"/>
    </row>
    <row r="816" spans="1:10" s="155" customFormat="1" x14ac:dyDescent="0.2">
      <c r="B816" s="305" t="s">
        <v>255</v>
      </c>
      <c r="C816" s="305"/>
      <c r="D816" s="246" t="s">
        <v>285</v>
      </c>
      <c r="E816" s="165" t="s">
        <v>256</v>
      </c>
      <c r="G816" s="250"/>
      <c r="H816" s="213"/>
      <c r="I816" s="261"/>
      <c r="J816" s="213"/>
    </row>
    <row r="817" spans="1:10" s="155" customFormat="1" x14ac:dyDescent="0.2">
      <c r="B817" s="305" t="s">
        <v>305</v>
      </c>
      <c r="C817" s="305"/>
      <c r="D817" s="246" t="s">
        <v>285</v>
      </c>
      <c r="E817" s="165" t="s">
        <v>257</v>
      </c>
      <c r="G817" s="250"/>
      <c r="H817" s="213"/>
      <c r="I817" s="261"/>
      <c r="J817" s="213"/>
    </row>
    <row r="818" spans="1:10" s="155" customFormat="1" x14ac:dyDescent="0.2">
      <c r="B818" s="305" t="s">
        <v>258</v>
      </c>
      <c r="C818" s="305"/>
      <c r="D818" s="246" t="s">
        <v>285</v>
      </c>
      <c r="E818" s="165" t="s">
        <v>259</v>
      </c>
      <c r="G818" s="250"/>
      <c r="H818" s="213"/>
      <c r="I818" s="261"/>
      <c r="J818" s="213"/>
    </row>
    <row r="819" spans="1:10" s="155" customFormat="1" x14ac:dyDescent="0.2">
      <c r="B819" s="305" t="s">
        <v>260</v>
      </c>
      <c r="C819" s="305"/>
      <c r="D819" s="246" t="s">
        <v>285</v>
      </c>
      <c r="E819" s="165" t="s">
        <v>261</v>
      </c>
      <c r="G819" s="250"/>
      <c r="H819" s="213"/>
      <c r="I819" s="261"/>
      <c r="J819" s="213"/>
    </row>
    <row r="820" spans="1:10" s="155" customFormat="1" x14ac:dyDescent="0.2">
      <c r="B820" s="305" t="s">
        <v>306</v>
      </c>
      <c r="C820" s="305"/>
      <c r="D820" s="246" t="s">
        <v>285</v>
      </c>
      <c r="E820" s="165" t="s">
        <v>262</v>
      </c>
      <c r="G820" s="250"/>
      <c r="H820" s="213"/>
      <c r="I820" s="261"/>
      <c r="J820" s="213"/>
    </row>
    <row r="821" spans="1:10" s="155" customFormat="1" x14ac:dyDescent="0.2">
      <c r="B821" s="305" t="s">
        <v>263</v>
      </c>
      <c r="C821" s="305"/>
      <c r="D821" s="246" t="s">
        <v>285</v>
      </c>
      <c r="E821" s="165" t="s">
        <v>264</v>
      </c>
      <c r="G821" s="250"/>
      <c r="H821" s="213"/>
      <c r="I821" s="261"/>
      <c r="J821" s="213"/>
    </row>
    <row r="822" spans="1:10" s="155" customFormat="1" x14ac:dyDescent="0.2">
      <c r="B822" s="305" t="s">
        <v>265</v>
      </c>
      <c r="C822" s="305"/>
      <c r="D822" s="246" t="s">
        <v>285</v>
      </c>
      <c r="E822" s="165" t="s">
        <v>266</v>
      </c>
      <c r="G822" s="250"/>
      <c r="H822" s="213"/>
      <c r="I822" s="261"/>
      <c r="J822" s="213"/>
    </row>
    <row r="823" spans="1:10" s="155" customFormat="1" x14ac:dyDescent="0.2">
      <c r="B823" s="305" t="s">
        <v>267</v>
      </c>
      <c r="C823" s="305"/>
      <c r="D823" s="246" t="s">
        <v>285</v>
      </c>
      <c r="E823" s="165" t="s">
        <v>268</v>
      </c>
      <c r="G823" s="250"/>
      <c r="H823" s="213"/>
      <c r="I823" s="261"/>
      <c r="J823" s="213"/>
    </row>
    <row r="824" spans="1:10" s="155" customFormat="1" x14ac:dyDescent="0.2">
      <c r="B824" s="305" t="s">
        <v>269</v>
      </c>
      <c r="C824" s="305"/>
      <c r="D824" s="246" t="s">
        <v>285</v>
      </c>
      <c r="E824" s="165" t="s">
        <v>270</v>
      </c>
      <c r="G824" s="250"/>
      <c r="H824" s="213"/>
      <c r="I824" s="261"/>
      <c r="J824" s="213"/>
    </row>
    <row r="825" spans="1:10" s="155" customFormat="1" x14ac:dyDescent="0.2">
      <c r="B825" s="305" t="s">
        <v>271</v>
      </c>
      <c r="C825" s="305"/>
      <c r="D825" s="246" t="s">
        <v>285</v>
      </c>
      <c r="E825" s="165" t="s">
        <v>272</v>
      </c>
      <c r="G825" s="250"/>
      <c r="H825" s="213"/>
      <c r="I825" s="261"/>
      <c r="J825" s="213"/>
    </row>
    <row r="826" spans="1:10" s="155" customFormat="1" x14ac:dyDescent="0.2">
      <c r="B826" s="305" t="s">
        <v>273</v>
      </c>
      <c r="C826" s="305"/>
      <c r="D826" s="246" t="s">
        <v>285</v>
      </c>
      <c r="E826" s="165" t="s">
        <v>274</v>
      </c>
      <c r="G826" s="250"/>
      <c r="H826" s="213"/>
      <c r="I826" s="261"/>
      <c r="J826" s="213"/>
    </row>
    <row r="827" spans="1:10" s="155" customFormat="1" ht="13.5" thickBot="1" x14ac:dyDescent="0.25">
      <c r="B827" s="305" t="s">
        <v>307</v>
      </c>
      <c r="C827" s="305"/>
      <c r="D827" s="246" t="s">
        <v>285</v>
      </c>
      <c r="E827" s="165" t="s">
        <v>308</v>
      </c>
      <c r="G827" s="250"/>
      <c r="H827" s="213"/>
      <c r="I827" s="261"/>
      <c r="J827" s="213"/>
    </row>
    <row r="828" spans="1:10" ht="25.5" customHeight="1" thickBot="1" x14ac:dyDescent="0.25">
      <c r="A828" s="155"/>
      <c r="B828" s="307" t="s">
        <v>405</v>
      </c>
      <c r="C828" s="308"/>
      <c r="D828" s="308"/>
      <c r="E828" s="309"/>
      <c r="F828" s="155"/>
      <c r="G828" s="213"/>
      <c r="H828" s="213"/>
      <c r="I828" s="261"/>
      <c r="J828" s="213"/>
    </row>
    <row r="829" spans="1:10" x14ac:dyDescent="0.2">
      <c r="A829" s="155"/>
      <c r="B829" s="212" t="s">
        <v>18</v>
      </c>
      <c r="C829" s="213"/>
      <c r="D829" s="250"/>
      <c r="E829" s="214"/>
      <c r="F829" s="155"/>
      <c r="G829" s="213"/>
      <c r="H829" s="213"/>
      <c r="I829" s="213"/>
      <c r="J829" s="213"/>
    </row>
    <row r="830" spans="1:10" x14ac:dyDescent="0.2">
      <c r="A830" s="155"/>
      <c r="B830" s="216"/>
      <c r="C830" s="310" t="s">
        <v>63</v>
      </c>
      <c r="D830" s="310"/>
      <c r="E830" s="310"/>
      <c r="F830" s="155"/>
      <c r="G830" s="213"/>
      <c r="H830" s="213"/>
      <c r="I830" s="213"/>
      <c r="J830" s="213"/>
    </row>
    <row r="831" spans="1:10" x14ac:dyDescent="0.2">
      <c r="A831" s="155"/>
      <c r="B831" s="212" t="s">
        <v>19</v>
      </c>
      <c r="C831" s="217"/>
      <c r="D831" s="217"/>
      <c r="E831" s="251"/>
      <c r="F831" s="155"/>
      <c r="G831" s="213"/>
      <c r="H831" s="213"/>
      <c r="I831" s="213"/>
      <c r="J831" s="213"/>
    </row>
    <row r="832" spans="1:10" x14ac:dyDescent="0.2">
      <c r="A832" s="155"/>
      <c r="B832" s="216"/>
      <c r="C832" s="310" t="s">
        <v>140</v>
      </c>
      <c r="D832" s="310"/>
      <c r="E832" s="310"/>
      <c r="F832" s="155"/>
      <c r="G832" s="213"/>
      <c r="H832" s="213"/>
      <c r="I832" s="213"/>
      <c r="J832" s="213"/>
    </row>
    <row r="833" spans="1:10" x14ac:dyDescent="0.2">
      <c r="A833" s="155"/>
      <c r="B833" s="212" t="s">
        <v>20</v>
      </c>
      <c r="C833" s="213"/>
      <c r="D833" s="250"/>
      <c r="E833" s="214"/>
      <c r="F833" s="155"/>
      <c r="G833" s="213"/>
      <c r="H833" s="213"/>
      <c r="I833" s="213"/>
      <c r="J833" s="213"/>
    </row>
    <row r="834" spans="1:10" x14ac:dyDescent="0.2">
      <c r="A834" s="155"/>
      <c r="B834" s="212"/>
      <c r="C834" s="311" t="s">
        <v>64</v>
      </c>
      <c r="D834" s="311"/>
      <c r="E834" s="311"/>
      <c r="F834" s="155"/>
      <c r="G834" s="213"/>
      <c r="H834" s="213"/>
      <c r="I834" s="213"/>
      <c r="J834" s="213"/>
    </row>
    <row r="835" spans="1:10" ht="13.5" thickBot="1" x14ac:dyDescent="0.25">
      <c r="A835" s="155"/>
      <c r="B835" s="218"/>
      <c r="C835" s="219"/>
      <c r="D835" s="220"/>
      <c r="E835" s="221"/>
      <c r="F835" s="155"/>
      <c r="G835" s="213"/>
      <c r="H835" s="213"/>
      <c r="I835" s="213"/>
      <c r="J835" s="213"/>
    </row>
    <row r="836" spans="1:10" ht="13.5" thickBot="1" x14ac:dyDescent="0.25">
      <c r="A836" s="155"/>
      <c r="B836" s="155"/>
      <c r="C836" s="155"/>
      <c r="D836" s="222"/>
      <c r="E836" s="155"/>
      <c r="F836" s="155"/>
      <c r="G836" s="213"/>
      <c r="H836" s="213"/>
      <c r="I836" s="213"/>
      <c r="J836" s="213"/>
    </row>
    <row r="837" spans="1:10" x14ac:dyDescent="0.2">
      <c r="A837" s="155"/>
      <c r="B837" s="223" t="s">
        <v>160</v>
      </c>
      <c r="C837" s="224"/>
      <c r="D837" s="225"/>
      <c r="E837" s="226"/>
      <c r="F837" s="155"/>
      <c r="G837" s="213"/>
      <c r="H837" s="213"/>
      <c r="I837" s="213"/>
      <c r="J837" s="213"/>
    </row>
    <row r="838" spans="1:10" x14ac:dyDescent="0.2">
      <c r="A838" s="155"/>
      <c r="B838" s="227"/>
      <c r="C838" s="213"/>
      <c r="D838" s="250"/>
      <c r="E838" s="214"/>
      <c r="F838" s="155"/>
      <c r="G838" s="213"/>
      <c r="H838" s="213"/>
      <c r="I838" s="213"/>
      <c r="J838" s="213"/>
    </row>
    <row r="839" spans="1:10" x14ac:dyDescent="0.2">
      <c r="A839" s="155"/>
      <c r="B839" s="212" t="s">
        <v>16</v>
      </c>
      <c r="C839" s="213"/>
      <c r="D839" s="250"/>
      <c r="E839" s="214"/>
      <c r="F839" s="155"/>
      <c r="G839" s="213"/>
      <c r="H839" s="213"/>
      <c r="I839" s="213"/>
      <c r="J839" s="213"/>
    </row>
    <row r="840" spans="1:10" x14ac:dyDescent="0.2">
      <c r="A840" s="155"/>
      <c r="B840" s="212"/>
      <c r="C840" s="310" t="s">
        <v>375</v>
      </c>
      <c r="D840" s="310"/>
      <c r="E840" s="310"/>
      <c r="F840" s="155"/>
      <c r="G840" s="213"/>
      <c r="H840" s="213"/>
      <c r="I840" s="213"/>
      <c r="J840" s="213"/>
    </row>
    <row r="841" spans="1:10" ht="13.5" thickBot="1" x14ac:dyDescent="0.25">
      <c r="A841" s="155"/>
      <c r="B841" s="212" t="s">
        <v>17</v>
      </c>
      <c r="C841" s="213"/>
      <c r="D841" s="250"/>
      <c r="E841" s="214"/>
      <c r="F841" s="155"/>
      <c r="G841" s="213"/>
      <c r="H841" s="213"/>
      <c r="I841" s="213"/>
      <c r="J841" s="213"/>
    </row>
    <row r="842" spans="1:10" ht="13.5" thickBot="1" x14ac:dyDescent="0.25">
      <c r="A842" s="155"/>
      <c r="B842" s="312" t="s">
        <v>240</v>
      </c>
      <c r="C842" s="313"/>
      <c r="D842" s="313"/>
      <c r="E842" s="314"/>
      <c r="F842" s="155"/>
      <c r="G842" s="213"/>
      <c r="H842" s="213"/>
      <c r="I842" s="213"/>
      <c r="J842" s="213"/>
    </row>
    <row r="843" spans="1:10" ht="13.5" thickBot="1" x14ac:dyDescent="0.25">
      <c r="A843" s="155"/>
      <c r="B843" s="312" t="s">
        <v>138</v>
      </c>
      <c r="C843" s="314"/>
      <c r="D843" s="215" t="s">
        <v>11</v>
      </c>
      <c r="E843" s="215" t="s">
        <v>139</v>
      </c>
      <c r="F843" s="155"/>
      <c r="G843" s="213"/>
      <c r="H843" s="213"/>
      <c r="I843" s="213"/>
      <c r="J843" s="213"/>
    </row>
    <row r="844" spans="1:10" s="155" customFormat="1" x14ac:dyDescent="0.2">
      <c r="B844" s="315" t="s">
        <v>301</v>
      </c>
      <c r="C844" s="315"/>
      <c r="D844" s="249" t="s">
        <v>285</v>
      </c>
      <c r="E844" s="164" t="s">
        <v>300</v>
      </c>
      <c r="G844" s="250"/>
      <c r="H844" s="213"/>
      <c r="I844" s="213"/>
      <c r="J844" s="213"/>
    </row>
    <row r="845" spans="1:10" s="155" customFormat="1" x14ac:dyDescent="0.2">
      <c r="B845" s="305" t="s">
        <v>302</v>
      </c>
      <c r="C845" s="305"/>
      <c r="D845" s="246" t="s">
        <v>285</v>
      </c>
      <c r="E845" s="165" t="s">
        <v>246</v>
      </c>
      <c r="G845" s="250"/>
      <c r="H845" s="213"/>
      <c r="I845" s="213"/>
      <c r="J845" s="213"/>
    </row>
    <row r="846" spans="1:10" s="155" customFormat="1" x14ac:dyDescent="0.2">
      <c r="B846" s="305" t="s">
        <v>304</v>
      </c>
      <c r="C846" s="305"/>
      <c r="D846" s="246" t="s">
        <v>285</v>
      </c>
      <c r="E846" s="165" t="s">
        <v>247</v>
      </c>
      <c r="G846" s="250"/>
      <c r="H846" s="213"/>
      <c r="I846" s="213"/>
      <c r="J846" s="213"/>
    </row>
    <row r="847" spans="1:10" s="155" customFormat="1" x14ac:dyDescent="0.2">
      <c r="B847" s="305" t="s">
        <v>303</v>
      </c>
      <c r="C847" s="305"/>
      <c r="D847" s="246" t="s">
        <v>285</v>
      </c>
      <c r="E847" s="165" t="s">
        <v>248</v>
      </c>
      <c r="G847" s="250"/>
      <c r="H847" s="213"/>
      <c r="I847" s="213"/>
      <c r="J847" s="213"/>
    </row>
    <row r="848" spans="1:10" s="155" customFormat="1" x14ac:dyDescent="0.2">
      <c r="B848" s="305" t="s">
        <v>298</v>
      </c>
      <c r="C848" s="305"/>
      <c r="D848" s="246" t="s">
        <v>285</v>
      </c>
      <c r="E848" s="165" t="s">
        <v>299</v>
      </c>
      <c r="G848" s="250"/>
      <c r="H848" s="213"/>
      <c r="I848" s="213"/>
      <c r="J848" s="213"/>
    </row>
    <row r="849" spans="1:10" s="155" customFormat="1" x14ac:dyDescent="0.2">
      <c r="B849" s="305" t="s">
        <v>249</v>
      </c>
      <c r="C849" s="305"/>
      <c r="D849" s="246" t="s">
        <v>285</v>
      </c>
      <c r="E849" s="165" t="s">
        <v>250</v>
      </c>
      <c r="G849" s="250"/>
      <c r="H849" s="213"/>
      <c r="I849" s="213"/>
      <c r="J849" s="213"/>
    </row>
    <row r="850" spans="1:10" s="155" customFormat="1" x14ac:dyDescent="0.2">
      <c r="B850" s="305" t="s">
        <v>251</v>
      </c>
      <c r="C850" s="305"/>
      <c r="D850" s="246" t="s">
        <v>285</v>
      </c>
      <c r="E850" s="165" t="s">
        <v>252</v>
      </c>
      <c r="G850" s="250"/>
      <c r="H850" s="213"/>
      <c r="I850" s="213"/>
      <c r="J850" s="213"/>
    </row>
    <row r="851" spans="1:10" s="155" customFormat="1" x14ac:dyDescent="0.2">
      <c r="B851" s="305" t="s">
        <v>253</v>
      </c>
      <c r="C851" s="305"/>
      <c r="D851" s="246" t="s">
        <v>285</v>
      </c>
      <c r="E851" s="165" t="s">
        <v>254</v>
      </c>
      <c r="G851" s="250"/>
      <c r="H851" s="213"/>
      <c r="I851" s="213"/>
      <c r="J851" s="213"/>
    </row>
    <row r="852" spans="1:10" s="155" customFormat="1" x14ac:dyDescent="0.2">
      <c r="B852" s="305" t="s">
        <v>255</v>
      </c>
      <c r="C852" s="305"/>
      <c r="D852" s="246" t="s">
        <v>285</v>
      </c>
      <c r="E852" s="165" t="s">
        <v>256</v>
      </c>
      <c r="G852" s="250"/>
      <c r="H852" s="213"/>
      <c r="I852" s="213"/>
      <c r="J852" s="213"/>
    </row>
    <row r="853" spans="1:10" s="155" customFormat="1" x14ac:dyDescent="0.2">
      <c r="B853" s="305" t="s">
        <v>305</v>
      </c>
      <c r="C853" s="305"/>
      <c r="D853" s="246" t="s">
        <v>285</v>
      </c>
      <c r="E853" s="165" t="s">
        <v>257</v>
      </c>
      <c r="G853" s="250"/>
      <c r="H853" s="213"/>
      <c r="I853" s="213"/>
      <c r="J853" s="213"/>
    </row>
    <row r="854" spans="1:10" s="155" customFormat="1" x14ac:dyDescent="0.2">
      <c r="B854" s="305" t="s">
        <v>258</v>
      </c>
      <c r="C854" s="305"/>
      <c r="D854" s="246" t="s">
        <v>285</v>
      </c>
      <c r="E854" s="165" t="s">
        <v>259</v>
      </c>
      <c r="G854" s="250"/>
      <c r="H854" s="213"/>
      <c r="I854" s="213"/>
      <c r="J854" s="213"/>
    </row>
    <row r="855" spans="1:10" s="155" customFormat="1" x14ac:dyDescent="0.2">
      <c r="B855" s="305" t="s">
        <v>260</v>
      </c>
      <c r="C855" s="305"/>
      <c r="D855" s="246" t="s">
        <v>285</v>
      </c>
      <c r="E855" s="165" t="s">
        <v>261</v>
      </c>
      <c r="G855" s="250"/>
      <c r="H855" s="213"/>
      <c r="I855" s="213"/>
      <c r="J855" s="213"/>
    </row>
    <row r="856" spans="1:10" s="155" customFormat="1" x14ac:dyDescent="0.2">
      <c r="B856" s="305" t="s">
        <v>306</v>
      </c>
      <c r="C856" s="305"/>
      <c r="D856" s="246" t="s">
        <v>285</v>
      </c>
      <c r="E856" s="165" t="s">
        <v>262</v>
      </c>
      <c r="G856" s="250"/>
      <c r="H856" s="213"/>
      <c r="I856" s="213"/>
      <c r="J856" s="213"/>
    </row>
    <row r="857" spans="1:10" s="155" customFormat="1" x14ac:dyDescent="0.2">
      <c r="B857" s="305" t="s">
        <v>263</v>
      </c>
      <c r="C857" s="305"/>
      <c r="D857" s="246" t="s">
        <v>285</v>
      </c>
      <c r="E857" s="165" t="s">
        <v>264</v>
      </c>
      <c r="G857" s="250"/>
      <c r="H857" s="213"/>
      <c r="I857" s="213"/>
      <c r="J857" s="213"/>
    </row>
    <row r="858" spans="1:10" s="155" customFormat="1" x14ac:dyDescent="0.2">
      <c r="B858" s="305" t="s">
        <v>265</v>
      </c>
      <c r="C858" s="305"/>
      <c r="D858" s="246" t="s">
        <v>285</v>
      </c>
      <c r="E858" s="165" t="s">
        <v>266</v>
      </c>
      <c r="G858" s="250"/>
      <c r="H858" s="213"/>
      <c r="I858" s="213"/>
      <c r="J858" s="213"/>
    </row>
    <row r="859" spans="1:10" s="155" customFormat="1" x14ac:dyDescent="0.2">
      <c r="B859" s="305" t="s">
        <v>267</v>
      </c>
      <c r="C859" s="305"/>
      <c r="D859" s="246" t="s">
        <v>285</v>
      </c>
      <c r="E859" s="165" t="s">
        <v>268</v>
      </c>
      <c r="G859" s="250"/>
      <c r="H859" s="213"/>
      <c r="I859" s="213"/>
      <c r="J859" s="213"/>
    </row>
    <row r="860" spans="1:10" s="155" customFormat="1" x14ac:dyDescent="0.2">
      <c r="B860" s="305" t="s">
        <v>269</v>
      </c>
      <c r="C860" s="305"/>
      <c r="D860" s="246" t="s">
        <v>285</v>
      </c>
      <c r="E860" s="165" t="s">
        <v>270</v>
      </c>
      <c r="G860" s="250"/>
      <c r="H860" s="213"/>
      <c r="I860" s="213"/>
      <c r="J860" s="213"/>
    </row>
    <row r="861" spans="1:10" s="155" customFormat="1" x14ac:dyDescent="0.2">
      <c r="B861" s="305" t="s">
        <v>271</v>
      </c>
      <c r="C861" s="305"/>
      <c r="D861" s="246" t="s">
        <v>285</v>
      </c>
      <c r="E861" s="165" t="s">
        <v>272</v>
      </c>
      <c r="G861" s="250"/>
      <c r="H861" s="213"/>
      <c r="I861" s="213"/>
      <c r="J861" s="213"/>
    </row>
    <row r="862" spans="1:10" s="155" customFormat="1" x14ac:dyDescent="0.2">
      <c r="B862" s="305" t="s">
        <v>273</v>
      </c>
      <c r="C862" s="305"/>
      <c r="D862" s="246" t="s">
        <v>285</v>
      </c>
      <c r="E862" s="165" t="s">
        <v>274</v>
      </c>
      <c r="G862" s="250"/>
      <c r="H862" s="213"/>
      <c r="I862" s="213"/>
      <c r="J862" s="213"/>
    </row>
    <row r="863" spans="1:10" s="155" customFormat="1" ht="13.5" thickBot="1" x14ac:dyDescent="0.25">
      <c r="B863" s="305" t="s">
        <v>307</v>
      </c>
      <c r="C863" s="305"/>
      <c r="D863" s="246" t="s">
        <v>285</v>
      </c>
      <c r="E863" s="165" t="s">
        <v>308</v>
      </c>
      <c r="G863" s="250"/>
      <c r="H863" s="213"/>
      <c r="I863" s="213"/>
      <c r="J863" s="213"/>
    </row>
    <row r="864" spans="1:10" ht="25.5" customHeight="1" thickBot="1" x14ac:dyDescent="0.25">
      <c r="A864" s="155"/>
      <c r="B864" s="307" t="s">
        <v>405</v>
      </c>
      <c r="C864" s="308"/>
      <c r="D864" s="308"/>
      <c r="E864" s="309"/>
      <c r="F864" s="155"/>
      <c r="G864" s="213"/>
      <c r="H864" s="213"/>
      <c r="I864" s="213"/>
      <c r="J864" s="213"/>
    </row>
    <row r="865" spans="1:10" x14ac:dyDescent="0.2">
      <c r="A865" s="155"/>
      <c r="B865" s="212" t="s">
        <v>18</v>
      </c>
      <c r="C865" s="213"/>
      <c r="D865" s="250"/>
      <c r="E865" s="214"/>
      <c r="F865" s="155"/>
      <c r="G865" s="213"/>
      <c r="H865" s="213"/>
      <c r="I865" s="213"/>
      <c r="J865" s="213"/>
    </row>
    <row r="866" spans="1:10" x14ac:dyDescent="0.2">
      <c r="A866" s="155"/>
      <c r="B866" s="216"/>
      <c r="C866" s="310" t="s">
        <v>63</v>
      </c>
      <c r="D866" s="310"/>
      <c r="E866" s="310"/>
      <c r="F866" s="155"/>
      <c r="G866" s="213"/>
      <c r="H866" s="213"/>
      <c r="I866" s="213"/>
      <c r="J866" s="213"/>
    </row>
    <row r="867" spans="1:10" x14ac:dyDescent="0.2">
      <c r="A867" s="155"/>
      <c r="B867" s="212" t="s">
        <v>19</v>
      </c>
      <c r="C867" s="217"/>
      <c r="D867" s="217"/>
      <c r="E867" s="251"/>
      <c r="F867" s="155"/>
      <c r="G867" s="213"/>
      <c r="H867" s="213"/>
      <c r="I867" s="213"/>
      <c r="J867" s="213"/>
    </row>
    <row r="868" spans="1:10" x14ac:dyDescent="0.2">
      <c r="A868" s="155"/>
      <c r="B868" s="216"/>
      <c r="C868" s="310" t="s">
        <v>140</v>
      </c>
      <c r="D868" s="310"/>
      <c r="E868" s="310"/>
      <c r="F868" s="155"/>
      <c r="G868" s="213"/>
      <c r="H868" s="213"/>
      <c r="I868" s="213"/>
      <c r="J868" s="213"/>
    </row>
    <row r="869" spans="1:10" x14ac:dyDescent="0.2">
      <c r="A869" s="155"/>
      <c r="B869" s="212" t="s">
        <v>20</v>
      </c>
      <c r="C869" s="213"/>
      <c r="D869" s="250"/>
      <c r="E869" s="214"/>
      <c r="F869" s="155"/>
      <c r="G869" s="213"/>
      <c r="H869" s="213"/>
      <c r="I869" s="213"/>
      <c r="J869" s="213"/>
    </row>
    <row r="870" spans="1:10" x14ac:dyDescent="0.2">
      <c r="A870" s="155"/>
      <c r="B870" s="212"/>
      <c r="C870" s="311" t="s">
        <v>64</v>
      </c>
      <c r="D870" s="311"/>
      <c r="E870" s="311"/>
      <c r="F870" s="155"/>
      <c r="G870" s="213"/>
      <c r="H870" s="213"/>
      <c r="I870" s="213"/>
      <c r="J870" s="213"/>
    </row>
    <row r="871" spans="1:10" ht="13.5" thickBot="1" x14ac:dyDescent="0.25">
      <c r="A871" s="155"/>
      <c r="B871" s="218"/>
      <c r="C871" s="219"/>
      <c r="D871" s="220"/>
      <c r="E871" s="221"/>
      <c r="F871" s="155"/>
      <c r="G871" s="213"/>
      <c r="H871" s="213"/>
      <c r="I871" s="213"/>
      <c r="J871" s="213"/>
    </row>
    <row r="872" spans="1:10" ht="13.5" thickBot="1" x14ac:dyDescent="0.25">
      <c r="A872" s="155"/>
      <c r="B872" s="155"/>
      <c r="C872" s="155"/>
      <c r="D872" s="222"/>
      <c r="E872" s="155"/>
      <c r="F872" s="155"/>
      <c r="G872" s="213"/>
      <c r="H872" s="213"/>
      <c r="I872" s="213"/>
      <c r="J872" s="213"/>
    </row>
    <row r="873" spans="1:10" x14ac:dyDescent="0.2">
      <c r="A873" s="155"/>
      <c r="B873" s="223" t="s">
        <v>161</v>
      </c>
      <c r="C873" s="224"/>
      <c r="D873" s="225"/>
      <c r="E873" s="226"/>
      <c r="F873" s="155"/>
      <c r="G873" s="213"/>
      <c r="H873" s="213"/>
      <c r="I873" s="213"/>
      <c r="J873" s="213"/>
    </row>
    <row r="874" spans="1:10" x14ac:dyDescent="0.2">
      <c r="A874" s="155"/>
      <c r="B874" s="227"/>
      <c r="C874" s="213"/>
      <c r="D874" s="250"/>
      <c r="E874" s="214"/>
      <c r="F874" s="155"/>
      <c r="G874" s="213"/>
      <c r="H874" s="213"/>
      <c r="I874" s="213"/>
      <c r="J874" s="213"/>
    </row>
    <row r="875" spans="1:10" x14ac:dyDescent="0.2">
      <c r="A875" s="155"/>
      <c r="B875" s="212" t="s">
        <v>16</v>
      </c>
      <c r="C875" s="213"/>
      <c r="D875" s="250"/>
      <c r="E875" s="214"/>
      <c r="F875" s="155"/>
      <c r="G875" s="213"/>
      <c r="H875" s="213"/>
      <c r="I875" s="213"/>
      <c r="J875" s="213"/>
    </row>
    <row r="876" spans="1:10" x14ac:dyDescent="0.2">
      <c r="A876" s="155"/>
      <c r="B876" s="212"/>
      <c r="C876" s="310" t="s">
        <v>376</v>
      </c>
      <c r="D876" s="310"/>
      <c r="E876" s="310"/>
      <c r="F876" s="155"/>
      <c r="G876" s="213"/>
      <c r="H876" s="213"/>
      <c r="I876" s="213"/>
      <c r="J876" s="213"/>
    </row>
    <row r="877" spans="1:10" ht="13.5" thickBot="1" x14ac:dyDescent="0.25">
      <c r="A877" s="155"/>
      <c r="B877" s="212" t="s">
        <v>17</v>
      </c>
      <c r="C877" s="213"/>
      <c r="D877" s="250"/>
      <c r="E877" s="214"/>
      <c r="F877" s="155"/>
      <c r="G877" s="213"/>
      <c r="H877" s="213"/>
      <c r="I877" s="213"/>
      <c r="J877" s="213"/>
    </row>
    <row r="878" spans="1:10" ht="13.5" thickBot="1" x14ac:dyDescent="0.25">
      <c r="A878" s="155"/>
      <c r="B878" s="312" t="s">
        <v>240</v>
      </c>
      <c r="C878" s="313"/>
      <c r="D878" s="313"/>
      <c r="E878" s="314"/>
      <c r="F878" s="155"/>
      <c r="G878" s="213"/>
      <c r="H878" s="213"/>
      <c r="I878" s="213"/>
      <c r="J878" s="213"/>
    </row>
    <row r="879" spans="1:10" ht="13.5" thickBot="1" x14ac:dyDescent="0.25">
      <c r="A879" s="155"/>
      <c r="B879" s="312" t="s">
        <v>138</v>
      </c>
      <c r="C879" s="314"/>
      <c r="D879" s="215" t="s">
        <v>11</v>
      </c>
      <c r="E879" s="215" t="s">
        <v>139</v>
      </c>
      <c r="F879" s="155"/>
      <c r="G879" s="213"/>
      <c r="H879" s="213"/>
      <c r="I879" s="213"/>
      <c r="J879" s="213"/>
    </row>
    <row r="880" spans="1:10" s="155" customFormat="1" x14ac:dyDescent="0.2">
      <c r="B880" s="315" t="s">
        <v>301</v>
      </c>
      <c r="C880" s="315"/>
      <c r="D880" s="249" t="s">
        <v>285</v>
      </c>
      <c r="E880" s="164" t="s">
        <v>300</v>
      </c>
      <c r="G880" s="250"/>
      <c r="H880" s="213"/>
      <c r="I880" s="213"/>
      <c r="J880" s="213"/>
    </row>
    <row r="881" spans="2:10" s="155" customFormat="1" x14ac:dyDescent="0.2">
      <c r="B881" s="305" t="s">
        <v>302</v>
      </c>
      <c r="C881" s="305"/>
      <c r="D881" s="246" t="s">
        <v>285</v>
      </c>
      <c r="E881" s="165" t="s">
        <v>246</v>
      </c>
      <c r="G881" s="250"/>
      <c r="H881" s="213"/>
      <c r="I881" s="213"/>
      <c r="J881" s="213"/>
    </row>
    <row r="882" spans="2:10" s="155" customFormat="1" x14ac:dyDescent="0.2">
      <c r="B882" s="305" t="s">
        <v>304</v>
      </c>
      <c r="C882" s="305"/>
      <c r="D882" s="246" t="s">
        <v>285</v>
      </c>
      <c r="E882" s="165" t="s">
        <v>247</v>
      </c>
      <c r="G882" s="250"/>
      <c r="H882" s="213"/>
      <c r="I882" s="213"/>
      <c r="J882" s="213"/>
    </row>
    <row r="883" spans="2:10" s="155" customFormat="1" x14ac:dyDescent="0.2">
      <c r="B883" s="305" t="s">
        <v>303</v>
      </c>
      <c r="C883" s="305"/>
      <c r="D883" s="246" t="s">
        <v>285</v>
      </c>
      <c r="E883" s="165" t="s">
        <v>248</v>
      </c>
      <c r="G883" s="250"/>
      <c r="H883" s="213"/>
      <c r="I883" s="213"/>
      <c r="J883" s="213"/>
    </row>
    <row r="884" spans="2:10" s="155" customFormat="1" x14ac:dyDescent="0.2">
      <c r="B884" s="305" t="s">
        <v>298</v>
      </c>
      <c r="C884" s="305"/>
      <c r="D884" s="246" t="s">
        <v>285</v>
      </c>
      <c r="E884" s="165" t="s">
        <v>299</v>
      </c>
      <c r="G884" s="250"/>
      <c r="H884" s="213"/>
      <c r="I884" s="213"/>
      <c r="J884" s="213"/>
    </row>
    <row r="885" spans="2:10" s="155" customFormat="1" x14ac:dyDescent="0.2">
      <c r="B885" s="305" t="s">
        <v>249</v>
      </c>
      <c r="C885" s="305"/>
      <c r="D885" s="246" t="s">
        <v>285</v>
      </c>
      <c r="E885" s="165" t="s">
        <v>250</v>
      </c>
      <c r="G885" s="250"/>
      <c r="H885" s="213"/>
      <c r="I885" s="213"/>
      <c r="J885" s="213"/>
    </row>
    <row r="886" spans="2:10" s="155" customFormat="1" x14ac:dyDescent="0.2">
      <c r="B886" s="305" t="s">
        <v>251</v>
      </c>
      <c r="C886" s="305"/>
      <c r="D886" s="246" t="s">
        <v>285</v>
      </c>
      <c r="E886" s="165" t="s">
        <v>252</v>
      </c>
      <c r="G886" s="250"/>
      <c r="H886" s="213"/>
      <c r="I886" s="213"/>
      <c r="J886" s="213"/>
    </row>
    <row r="887" spans="2:10" s="155" customFormat="1" x14ac:dyDescent="0.2">
      <c r="B887" s="305" t="s">
        <v>253</v>
      </c>
      <c r="C887" s="305"/>
      <c r="D887" s="246" t="s">
        <v>285</v>
      </c>
      <c r="E887" s="165" t="s">
        <v>254</v>
      </c>
      <c r="G887" s="250"/>
      <c r="H887" s="213"/>
      <c r="I887" s="213"/>
      <c r="J887" s="213"/>
    </row>
    <row r="888" spans="2:10" s="155" customFormat="1" x14ac:dyDescent="0.2">
      <c r="B888" s="305" t="s">
        <v>255</v>
      </c>
      <c r="C888" s="305"/>
      <c r="D888" s="246" t="s">
        <v>285</v>
      </c>
      <c r="E888" s="165" t="s">
        <v>256</v>
      </c>
      <c r="G888" s="250"/>
      <c r="H888" s="213"/>
      <c r="I888" s="213"/>
      <c r="J888" s="213"/>
    </row>
    <row r="889" spans="2:10" s="155" customFormat="1" x14ac:dyDescent="0.2">
      <c r="B889" s="305" t="s">
        <v>305</v>
      </c>
      <c r="C889" s="305"/>
      <c r="D889" s="246" t="s">
        <v>285</v>
      </c>
      <c r="E889" s="165" t="s">
        <v>257</v>
      </c>
      <c r="G889" s="250"/>
      <c r="H889" s="213"/>
      <c r="I889" s="213"/>
      <c r="J889" s="213"/>
    </row>
    <row r="890" spans="2:10" s="155" customFormat="1" x14ac:dyDescent="0.2">
      <c r="B890" s="305" t="s">
        <v>258</v>
      </c>
      <c r="C890" s="305"/>
      <c r="D890" s="246" t="s">
        <v>285</v>
      </c>
      <c r="E890" s="165" t="s">
        <v>259</v>
      </c>
      <c r="G890" s="250"/>
      <c r="H890" s="213"/>
      <c r="I890" s="213"/>
      <c r="J890" s="213"/>
    </row>
    <row r="891" spans="2:10" s="155" customFormat="1" x14ac:dyDescent="0.2">
      <c r="B891" s="305" t="s">
        <v>260</v>
      </c>
      <c r="C891" s="305"/>
      <c r="D891" s="246" t="s">
        <v>285</v>
      </c>
      <c r="E891" s="165" t="s">
        <v>261</v>
      </c>
      <c r="G891" s="250"/>
      <c r="H891" s="213"/>
      <c r="I891" s="213"/>
      <c r="J891" s="213"/>
    </row>
    <row r="892" spans="2:10" s="155" customFormat="1" x14ac:dyDescent="0.2">
      <c r="B892" s="305" t="s">
        <v>306</v>
      </c>
      <c r="C892" s="305"/>
      <c r="D892" s="246" t="s">
        <v>285</v>
      </c>
      <c r="E892" s="165" t="s">
        <v>262</v>
      </c>
      <c r="G892" s="250"/>
      <c r="H892" s="213"/>
      <c r="I892" s="213"/>
      <c r="J892" s="213"/>
    </row>
    <row r="893" spans="2:10" s="155" customFormat="1" x14ac:dyDescent="0.2">
      <c r="B893" s="305" t="s">
        <v>263</v>
      </c>
      <c r="C893" s="305"/>
      <c r="D893" s="246" t="s">
        <v>285</v>
      </c>
      <c r="E893" s="165" t="s">
        <v>264</v>
      </c>
      <c r="G893" s="250"/>
      <c r="H893" s="213"/>
      <c r="I893" s="213"/>
      <c r="J893" s="213"/>
    </row>
    <row r="894" spans="2:10" s="155" customFormat="1" x14ac:dyDescent="0.2">
      <c r="B894" s="305" t="s">
        <v>265</v>
      </c>
      <c r="C894" s="305"/>
      <c r="D894" s="246" t="s">
        <v>285</v>
      </c>
      <c r="E894" s="165" t="s">
        <v>266</v>
      </c>
      <c r="G894" s="250"/>
      <c r="H894" s="213"/>
      <c r="I894" s="213"/>
      <c r="J894" s="213"/>
    </row>
    <row r="895" spans="2:10" s="155" customFormat="1" x14ac:dyDescent="0.2">
      <c r="B895" s="305" t="s">
        <v>267</v>
      </c>
      <c r="C895" s="305"/>
      <c r="D895" s="246" t="s">
        <v>285</v>
      </c>
      <c r="E895" s="165" t="s">
        <v>268</v>
      </c>
      <c r="G895" s="250"/>
      <c r="H895" s="213"/>
      <c r="I895" s="213"/>
      <c r="J895" s="213"/>
    </row>
    <row r="896" spans="2:10" s="155" customFormat="1" x14ac:dyDescent="0.2">
      <c r="B896" s="305" t="s">
        <v>269</v>
      </c>
      <c r="C896" s="305"/>
      <c r="D896" s="246" t="s">
        <v>285</v>
      </c>
      <c r="E896" s="165" t="s">
        <v>270</v>
      </c>
      <c r="G896" s="250"/>
      <c r="H896" s="213"/>
      <c r="I896" s="213"/>
      <c r="J896" s="213"/>
    </row>
    <row r="897" spans="1:10" s="155" customFormat="1" x14ac:dyDescent="0.2">
      <c r="B897" s="305" t="s">
        <v>271</v>
      </c>
      <c r="C897" s="305"/>
      <c r="D897" s="246" t="s">
        <v>285</v>
      </c>
      <c r="E897" s="165" t="s">
        <v>272</v>
      </c>
      <c r="G897" s="250"/>
      <c r="H897" s="213"/>
      <c r="I897" s="213"/>
      <c r="J897" s="213"/>
    </row>
    <row r="898" spans="1:10" s="155" customFormat="1" x14ac:dyDescent="0.2">
      <c r="B898" s="305" t="s">
        <v>273</v>
      </c>
      <c r="C898" s="305"/>
      <c r="D898" s="246" t="s">
        <v>285</v>
      </c>
      <c r="E898" s="165" t="s">
        <v>274</v>
      </c>
      <c r="G898" s="250"/>
      <c r="H898" s="213"/>
      <c r="I898" s="213"/>
      <c r="J898" s="213"/>
    </row>
    <row r="899" spans="1:10" s="155" customFormat="1" ht="13.5" thickBot="1" x14ac:dyDescent="0.25">
      <c r="B899" s="305" t="s">
        <v>307</v>
      </c>
      <c r="C899" s="305"/>
      <c r="D899" s="246" t="s">
        <v>285</v>
      </c>
      <c r="E899" s="165" t="s">
        <v>308</v>
      </c>
      <c r="G899" s="250"/>
      <c r="H899" s="213"/>
      <c r="I899" s="213"/>
      <c r="J899" s="213"/>
    </row>
    <row r="900" spans="1:10" ht="25.5" customHeight="1" thickBot="1" x14ac:dyDescent="0.25">
      <c r="A900" s="155"/>
      <c r="B900" s="307" t="s">
        <v>405</v>
      </c>
      <c r="C900" s="308"/>
      <c r="D900" s="308"/>
      <c r="E900" s="309"/>
      <c r="F900" s="155"/>
      <c r="G900" s="213"/>
      <c r="H900" s="213"/>
      <c r="I900" s="213"/>
      <c r="J900" s="213"/>
    </row>
    <row r="901" spans="1:10" x14ac:dyDescent="0.2">
      <c r="A901" s="155"/>
      <c r="B901" s="212" t="s">
        <v>18</v>
      </c>
      <c r="C901" s="213"/>
      <c r="D901" s="250"/>
      <c r="E901" s="214"/>
      <c r="F901" s="155"/>
      <c r="G901" s="213"/>
      <c r="H901" s="213"/>
      <c r="I901" s="213"/>
      <c r="J901" s="213"/>
    </row>
    <row r="902" spans="1:10" x14ac:dyDescent="0.2">
      <c r="A902" s="155"/>
      <c r="B902" s="216"/>
      <c r="C902" s="327" t="s">
        <v>63</v>
      </c>
      <c r="D902" s="327"/>
      <c r="E902" s="310"/>
      <c r="F902" s="155"/>
      <c r="G902" s="213"/>
      <c r="H902" s="213"/>
      <c r="I902" s="213"/>
      <c r="J902" s="213"/>
    </row>
    <row r="903" spans="1:10" x14ac:dyDescent="0.2">
      <c r="A903" s="155"/>
      <c r="B903" s="212" t="s">
        <v>19</v>
      </c>
      <c r="C903" s="217"/>
      <c r="D903" s="217"/>
      <c r="E903" s="251"/>
      <c r="F903" s="155"/>
      <c r="G903" s="213"/>
      <c r="H903" s="213"/>
      <c r="I903" s="213"/>
      <c r="J903" s="213"/>
    </row>
    <row r="904" spans="1:10" x14ac:dyDescent="0.2">
      <c r="A904" s="155"/>
      <c r="B904" s="216"/>
      <c r="C904" s="327" t="s">
        <v>140</v>
      </c>
      <c r="D904" s="327"/>
      <c r="E904" s="310"/>
      <c r="F904" s="155"/>
      <c r="G904" s="213"/>
      <c r="H904" s="213"/>
      <c r="I904" s="213"/>
      <c r="J904" s="213"/>
    </row>
    <row r="905" spans="1:10" x14ac:dyDescent="0.2">
      <c r="A905" s="155"/>
      <c r="B905" s="212" t="s">
        <v>20</v>
      </c>
      <c r="C905" s="213"/>
      <c r="D905" s="250"/>
      <c r="E905" s="214"/>
      <c r="F905" s="155"/>
      <c r="G905" s="213"/>
      <c r="H905" s="213"/>
      <c r="I905" s="213"/>
      <c r="J905" s="213"/>
    </row>
    <row r="906" spans="1:10" x14ac:dyDescent="0.2">
      <c r="A906" s="155"/>
      <c r="B906" s="212"/>
      <c r="C906" s="318" t="s">
        <v>64</v>
      </c>
      <c r="D906" s="318"/>
      <c r="E906" s="311"/>
      <c r="F906" s="155"/>
      <c r="G906" s="213"/>
      <c r="H906" s="213"/>
      <c r="I906" s="213"/>
      <c r="J906" s="213"/>
    </row>
    <row r="907" spans="1:10" ht="13.5" thickBot="1" x14ac:dyDescent="0.25">
      <c r="A907" s="155"/>
      <c r="B907" s="218"/>
      <c r="C907" s="219"/>
      <c r="D907" s="220"/>
      <c r="E907" s="221"/>
      <c r="F907" s="155"/>
      <c r="G907" s="213"/>
      <c r="H907" s="213"/>
      <c r="I907" s="213"/>
      <c r="J907" s="213"/>
    </row>
    <row r="908" spans="1:10" ht="13.5" thickBot="1" x14ac:dyDescent="0.25">
      <c r="A908" s="155"/>
      <c r="B908" s="155"/>
      <c r="C908" s="155"/>
      <c r="D908" s="222"/>
      <c r="E908" s="155"/>
      <c r="F908" s="155"/>
      <c r="G908" s="213"/>
      <c r="H908" s="213"/>
      <c r="I908" s="213"/>
      <c r="J908" s="213"/>
    </row>
    <row r="909" spans="1:10" x14ac:dyDescent="0.2">
      <c r="A909" s="155"/>
      <c r="B909" s="223" t="s">
        <v>162</v>
      </c>
      <c r="C909" s="224"/>
      <c r="D909" s="225"/>
      <c r="E909" s="226"/>
      <c r="F909" s="155"/>
      <c r="G909" s="213"/>
      <c r="H909" s="213"/>
      <c r="I909" s="213"/>
      <c r="J909" s="213"/>
    </row>
    <row r="910" spans="1:10" x14ac:dyDescent="0.2">
      <c r="A910" s="155"/>
      <c r="B910" s="227"/>
      <c r="C910" s="213"/>
      <c r="D910" s="250"/>
      <c r="E910" s="214"/>
      <c r="F910" s="155"/>
      <c r="G910" s="213"/>
      <c r="H910" s="213"/>
      <c r="I910" s="213"/>
      <c r="J910" s="213"/>
    </row>
    <row r="911" spans="1:10" x14ac:dyDescent="0.2">
      <c r="A911" s="155"/>
      <c r="B911" s="212" t="s">
        <v>16</v>
      </c>
      <c r="C911" s="213"/>
      <c r="D911" s="250"/>
      <c r="E911" s="214"/>
      <c r="F911" s="155"/>
      <c r="G911" s="213"/>
      <c r="H911" s="213"/>
      <c r="I911" s="213"/>
      <c r="J911" s="213"/>
    </row>
    <row r="912" spans="1:10" x14ac:dyDescent="0.2">
      <c r="A912" s="155"/>
      <c r="B912" s="212"/>
      <c r="C912" s="323" t="s">
        <v>377</v>
      </c>
      <c r="D912" s="323"/>
      <c r="E912" s="324"/>
      <c r="F912" s="155"/>
      <c r="G912" s="213"/>
      <c r="H912" s="213"/>
      <c r="I912" s="213"/>
      <c r="J912" s="213"/>
    </row>
    <row r="913" spans="1:10" ht="13.5" thickBot="1" x14ac:dyDescent="0.25">
      <c r="A913" s="155"/>
      <c r="B913" s="212" t="s">
        <v>17</v>
      </c>
      <c r="C913" s="213"/>
      <c r="D913" s="250"/>
      <c r="E913" s="214"/>
      <c r="F913" s="155"/>
      <c r="G913" s="213"/>
      <c r="H913" s="213"/>
      <c r="I913" s="213"/>
      <c r="J913" s="213"/>
    </row>
    <row r="914" spans="1:10" ht="13.5" thickBot="1" x14ac:dyDescent="0.25">
      <c r="A914" s="155"/>
      <c r="B914" s="312" t="s">
        <v>137</v>
      </c>
      <c r="C914" s="313"/>
      <c r="D914" s="313"/>
      <c r="E914" s="314"/>
      <c r="F914" s="155"/>
      <c r="G914" s="213"/>
      <c r="H914" s="213"/>
      <c r="I914" s="213"/>
      <c r="J914" s="213"/>
    </row>
    <row r="915" spans="1:10" ht="13.5" thickBot="1" x14ac:dyDescent="0.25">
      <c r="A915" s="155"/>
      <c r="B915" s="312" t="s">
        <v>138</v>
      </c>
      <c r="C915" s="314"/>
      <c r="D915" s="215" t="s">
        <v>11</v>
      </c>
      <c r="E915" s="215" t="s">
        <v>139</v>
      </c>
      <c r="F915" s="155"/>
      <c r="G915" s="213"/>
      <c r="H915" s="213"/>
      <c r="I915" s="213"/>
      <c r="J915" s="213"/>
    </row>
    <row r="916" spans="1:10" s="155" customFormat="1" x14ac:dyDescent="0.2">
      <c r="B916" s="325" t="s">
        <v>301</v>
      </c>
      <c r="C916" s="326"/>
      <c r="D916" s="249">
        <v>3</v>
      </c>
      <c r="E916" s="164" t="s">
        <v>300</v>
      </c>
      <c r="G916" s="250"/>
      <c r="H916" s="213"/>
      <c r="I916" s="261"/>
      <c r="J916" s="213"/>
    </row>
    <row r="917" spans="1:10" s="155" customFormat="1" x14ac:dyDescent="0.2">
      <c r="B917" s="319" t="s">
        <v>302</v>
      </c>
      <c r="C917" s="320"/>
      <c r="D917" s="246">
        <v>8</v>
      </c>
      <c r="E917" s="165" t="s">
        <v>246</v>
      </c>
      <c r="G917" s="250"/>
      <c r="H917" s="213"/>
      <c r="I917" s="261"/>
      <c r="J917" s="213"/>
    </row>
    <row r="918" spans="1:10" s="155" customFormat="1" x14ac:dyDescent="0.2">
      <c r="B918" s="319" t="s">
        <v>304</v>
      </c>
      <c r="C918" s="320"/>
      <c r="D918" s="246">
        <v>8</v>
      </c>
      <c r="E918" s="165" t="s">
        <v>247</v>
      </c>
      <c r="G918" s="250"/>
      <c r="H918" s="213"/>
      <c r="I918" s="261"/>
      <c r="J918" s="213"/>
    </row>
    <row r="919" spans="1:10" s="155" customFormat="1" x14ac:dyDescent="0.2">
      <c r="B919" s="319" t="s">
        <v>303</v>
      </c>
      <c r="C919" s="320"/>
      <c r="D919" s="246">
        <v>5</v>
      </c>
      <c r="E919" s="165" t="s">
        <v>248</v>
      </c>
      <c r="G919" s="250"/>
      <c r="H919" s="213"/>
      <c r="I919" s="261"/>
      <c r="J919" s="213"/>
    </row>
    <row r="920" spans="1:10" s="155" customFormat="1" x14ac:dyDescent="0.2">
      <c r="B920" s="319" t="s">
        <v>298</v>
      </c>
      <c r="C920" s="320"/>
      <c r="D920" s="246">
        <v>4</v>
      </c>
      <c r="E920" s="165" t="s">
        <v>299</v>
      </c>
      <c r="G920" s="250"/>
      <c r="H920" s="213"/>
      <c r="I920" s="261"/>
      <c r="J920" s="213"/>
    </row>
    <row r="921" spans="1:10" s="155" customFormat="1" x14ac:dyDescent="0.2">
      <c r="B921" s="319" t="s">
        <v>249</v>
      </c>
      <c r="C921" s="320"/>
      <c r="D921" s="246">
        <v>3</v>
      </c>
      <c r="E921" s="165" t="s">
        <v>250</v>
      </c>
      <c r="G921" s="250"/>
      <c r="H921" s="213"/>
      <c r="I921" s="261"/>
      <c r="J921" s="213"/>
    </row>
    <row r="922" spans="1:10" s="155" customFormat="1" x14ac:dyDescent="0.2">
      <c r="B922" s="319" t="s">
        <v>251</v>
      </c>
      <c r="C922" s="320"/>
      <c r="D922" s="246">
        <v>5</v>
      </c>
      <c r="E922" s="165" t="s">
        <v>252</v>
      </c>
      <c r="G922" s="250"/>
      <c r="H922" s="213"/>
      <c r="I922" s="261"/>
      <c r="J922" s="213"/>
    </row>
    <row r="923" spans="1:10" s="155" customFormat="1" x14ac:dyDescent="0.2">
      <c r="B923" s="319" t="s">
        <v>253</v>
      </c>
      <c r="C923" s="320"/>
      <c r="D923" s="246">
        <v>5</v>
      </c>
      <c r="E923" s="165" t="s">
        <v>254</v>
      </c>
      <c r="G923" s="250"/>
      <c r="H923" s="213"/>
      <c r="I923" s="261"/>
      <c r="J923" s="213"/>
    </row>
    <row r="924" spans="1:10" s="155" customFormat="1" x14ac:dyDescent="0.2">
      <c r="B924" s="319" t="s">
        <v>255</v>
      </c>
      <c r="C924" s="320"/>
      <c r="D924" s="246">
        <v>10</v>
      </c>
      <c r="E924" s="165" t="s">
        <v>256</v>
      </c>
      <c r="G924" s="250"/>
      <c r="H924" s="213"/>
      <c r="I924" s="261"/>
      <c r="J924" s="213"/>
    </row>
    <row r="925" spans="1:10" s="155" customFormat="1" x14ac:dyDescent="0.2">
      <c r="B925" s="319" t="s">
        <v>305</v>
      </c>
      <c r="C925" s="320"/>
      <c r="D925" s="246">
        <v>7</v>
      </c>
      <c r="E925" s="165" t="s">
        <v>257</v>
      </c>
      <c r="G925" s="250"/>
      <c r="H925" s="213"/>
      <c r="I925" s="261"/>
      <c r="J925" s="213"/>
    </row>
    <row r="926" spans="1:10" s="155" customFormat="1" x14ac:dyDescent="0.2">
      <c r="B926" s="319" t="s">
        <v>258</v>
      </c>
      <c r="C926" s="320"/>
      <c r="D926" s="246">
        <v>3</v>
      </c>
      <c r="E926" s="165" t="s">
        <v>259</v>
      </c>
      <c r="G926" s="250"/>
      <c r="H926" s="213"/>
      <c r="I926" s="261"/>
      <c r="J926" s="213"/>
    </row>
    <row r="927" spans="1:10" s="155" customFormat="1" x14ac:dyDescent="0.2">
      <c r="B927" s="319" t="s">
        <v>260</v>
      </c>
      <c r="C927" s="320"/>
      <c r="D927" s="246">
        <v>7</v>
      </c>
      <c r="E927" s="165" t="s">
        <v>261</v>
      </c>
      <c r="G927" s="250"/>
      <c r="H927" s="213"/>
      <c r="I927" s="261"/>
      <c r="J927" s="213"/>
    </row>
    <row r="928" spans="1:10" s="155" customFormat="1" x14ac:dyDescent="0.2">
      <c r="B928" s="319" t="s">
        <v>306</v>
      </c>
      <c r="C928" s="320"/>
      <c r="D928" s="246">
        <v>7</v>
      </c>
      <c r="E928" s="165" t="s">
        <v>262</v>
      </c>
      <c r="G928" s="250"/>
      <c r="H928" s="213"/>
      <c r="I928" s="261"/>
      <c r="J928" s="213"/>
    </row>
    <row r="929" spans="1:10" s="155" customFormat="1" x14ac:dyDescent="0.2">
      <c r="B929" s="319" t="s">
        <v>263</v>
      </c>
      <c r="C929" s="320"/>
      <c r="D929" s="246">
        <v>4</v>
      </c>
      <c r="E929" s="165" t="s">
        <v>264</v>
      </c>
      <c r="G929" s="250"/>
      <c r="H929" s="213"/>
      <c r="I929" s="261"/>
      <c r="J929" s="213"/>
    </row>
    <row r="930" spans="1:10" s="155" customFormat="1" x14ac:dyDescent="0.2">
      <c r="B930" s="319" t="s">
        <v>265</v>
      </c>
      <c r="C930" s="320"/>
      <c r="D930" s="246">
        <v>6</v>
      </c>
      <c r="E930" s="165" t="s">
        <v>266</v>
      </c>
      <c r="G930" s="250"/>
      <c r="H930" s="213"/>
      <c r="I930" s="261"/>
      <c r="J930" s="213"/>
    </row>
    <row r="931" spans="1:10" s="155" customFormat="1" x14ac:dyDescent="0.2">
      <c r="B931" s="319" t="s">
        <v>267</v>
      </c>
      <c r="C931" s="320"/>
      <c r="D931" s="246">
        <v>5</v>
      </c>
      <c r="E931" s="165" t="s">
        <v>268</v>
      </c>
      <c r="G931" s="250"/>
      <c r="H931" s="213"/>
      <c r="I931" s="261"/>
      <c r="J931" s="213"/>
    </row>
    <row r="932" spans="1:10" s="155" customFormat="1" x14ac:dyDescent="0.2">
      <c r="B932" s="319" t="s">
        <v>269</v>
      </c>
      <c r="C932" s="320"/>
      <c r="D932" s="246">
        <v>5</v>
      </c>
      <c r="E932" s="165" t="s">
        <v>270</v>
      </c>
      <c r="G932" s="250"/>
      <c r="H932" s="213"/>
      <c r="I932" s="261"/>
      <c r="J932" s="213"/>
    </row>
    <row r="933" spans="1:10" s="155" customFormat="1" x14ac:dyDescent="0.2">
      <c r="B933" s="319" t="s">
        <v>271</v>
      </c>
      <c r="C933" s="320"/>
      <c r="D933" s="246">
        <v>4</v>
      </c>
      <c r="E933" s="165" t="s">
        <v>272</v>
      </c>
      <c r="G933" s="250"/>
      <c r="H933" s="213"/>
      <c r="I933" s="261"/>
      <c r="J933" s="213"/>
    </row>
    <row r="934" spans="1:10" s="155" customFormat="1" x14ac:dyDescent="0.2">
      <c r="B934" s="319" t="s">
        <v>273</v>
      </c>
      <c r="C934" s="320"/>
      <c r="D934" s="246">
        <v>4</v>
      </c>
      <c r="E934" s="165" t="s">
        <v>274</v>
      </c>
      <c r="G934" s="250"/>
      <c r="H934" s="213"/>
      <c r="I934" s="261"/>
      <c r="J934" s="213"/>
    </row>
    <row r="935" spans="1:10" s="155" customFormat="1" ht="13.5" thickBot="1" x14ac:dyDescent="0.25">
      <c r="B935" s="321" t="s">
        <v>307</v>
      </c>
      <c r="C935" s="322"/>
      <c r="D935" s="246">
        <v>4</v>
      </c>
      <c r="E935" s="165" t="s">
        <v>308</v>
      </c>
      <c r="G935" s="250"/>
      <c r="H935" s="213"/>
      <c r="I935" s="261"/>
      <c r="J935" s="213"/>
    </row>
    <row r="936" spans="1:10" ht="25.5" customHeight="1" thickBot="1" x14ac:dyDescent="0.25">
      <c r="A936" s="155"/>
      <c r="B936" s="307" t="s">
        <v>390</v>
      </c>
      <c r="C936" s="308"/>
      <c r="D936" s="308"/>
      <c r="E936" s="309"/>
      <c r="F936" s="155"/>
      <c r="G936" s="213"/>
      <c r="H936" s="213"/>
      <c r="I936" s="261"/>
      <c r="J936" s="213"/>
    </row>
    <row r="937" spans="1:10" x14ac:dyDescent="0.2">
      <c r="A937" s="155"/>
      <c r="B937" s="212" t="s">
        <v>18</v>
      </c>
      <c r="C937" s="213"/>
      <c r="D937" s="250"/>
      <c r="E937" s="214"/>
      <c r="F937" s="155"/>
      <c r="G937" s="213"/>
      <c r="H937" s="213"/>
      <c r="I937" s="213"/>
      <c r="J937" s="213"/>
    </row>
    <row r="938" spans="1:10" x14ac:dyDescent="0.2">
      <c r="A938" s="155"/>
      <c r="B938" s="216"/>
      <c r="C938" s="310" t="s">
        <v>63</v>
      </c>
      <c r="D938" s="310"/>
      <c r="E938" s="310"/>
      <c r="F938" s="155"/>
      <c r="G938" s="213"/>
      <c r="H938" s="213"/>
      <c r="I938" s="213"/>
      <c r="J938" s="213"/>
    </row>
    <row r="939" spans="1:10" x14ac:dyDescent="0.2">
      <c r="A939" s="155"/>
      <c r="B939" s="212" t="s">
        <v>19</v>
      </c>
      <c r="C939" s="217"/>
      <c r="D939" s="217"/>
      <c r="E939" s="251"/>
      <c r="F939" s="155"/>
      <c r="G939" s="213"/>
      <c r="H939" s="213"/>
      <c r="I939" s="213"/>
      <c r="J939" s="213"/>
    </row>
    <row r="940" spans="1:10" x14ac:dyDescent="0.2">
      <c r="A940" s="155"/>
      <c r="B940" s="216"/>
      <c r="C940" s="310" t="s">
        <v>140</v>
      </c>
      <c r="D940" s="310"/>
      <c r="E940" s="310"/>
      <c r="F940" s="155"/>
      <c r="G940" s="213"/>
      <c r="H940" s="213"/>
      <c r="I940" s="213"/>
      <c r="J940" s="213"/>
    </row>
    <row r="941" spans="1:10" x14ac:dyDescent="0.2">
      <c r="A941" s="155"/>
      <c r="B941" s="212" t="s">
        <v>20</v>
      </c>
      <c r="C941" s="213"/>
      <c r="D941" s="250"/>
      <c r="E941" s="214"/>
      <c r="F941" s="155"/>
      <c r="G941" s="213"/>
      <c r="H941" s="213"/>
      <c r="I941" s="213"/>
      <c r="J941" s="213"/>
    </row>
    <row r="942" spans="1:10" x14ac:dyDescent="0.2">
      <c r="A942" s="155"/>
      <c r="B942" s="212"/>
      <c r="C942" s="311" t="s">
        <v>64</v>
      </c>
      <c r="D942" s="311"/>
      <c r="E942" s="311"/>
      <c r="F942" s="155"/>
      <c r="G942" s="213"/>
      <c r="H942" s="213"/>
      <c r="I942" s="213"/>
      <c r="J942" s="213"/>
    </row>
    <row r="943" spans="1:10" ht="13.5" thickBot="1" x14ac:dyDescent="0.25">
      <c r="A943" s="155"/>
      <c r="B943" s="218"/>
      <c r="C943" s="219"/>
      <c r="D943" s="220"/>
      <c r="E943" s="221"/>
      <c r="F943" s="155"/>
      <c r="G943" s="213"/>
      <c r="H943" s="213"/>
      <c r="I943" s="213"/>
      <c r="J943" s="213"/>
    </row>
    <row r="944" spans="1:10" ht="13.5" thickBot="1" x14ac:dyDescent="0.25">
      <c r="A944" s="155"/>
      <c r="B944" s="155"/>
      <c r="C944" s="155"/>
      <c r="D944" s="222"/>
      <c r="E944" s="155"/>
      <c r="F944" s="155"/>
      <c r="G944" s="213"/>
      <c r="H944" s="213"/>
      <c r="I944" s="213"/>
      <c r="J944" s="213"/>
    </row>
    <row r="945" spans="1:10" x14ac:dyDescent="0.2">
      <c r="A945" s="155"/>
      <c r="B945" s="223" t="s">
        <v>163</v>
      </c>
      <c r="C945" s="224"/>
      <c r="D945" s="225"/>
      <c r="E945" s="226"/>
      <c r="F945" s="155"/>
      <c r="G945" s="213"/>
      <c r="H945" s="213"/>
      <c r="I945" s="213"/>
      <c r="J945" s="213"/>
    </row>
    <row r="946" spans="1:10" x14ac:dyDescent="0.2">
      <c r="A946" s="155"/>
      <c r="B946" s="227"/>
      <c r="C946" s="213"/>
      <c r="D946" s="250"/>
      <c r="E946" s="214"/>
      <c r="F946" s="155"/>
      <c r="G946" s="213"/>
      <c r="H946" s="213"/>
      <c r="I946" s="213"/>
      <c r="J946" s="213"/>
    </row>
    <row r="947" spans="1:10" x14ac:dyDescent="0.2">
      <c r="A947" s="155"/>
      <c r="B947" s="212" t="s">
        <v>16</v>
      </c>
      <c r="C947" s="213"/>
      <c r="D947" s="250"/>
      <c r="E947" s="214"/>
      <c r="F947" s="155"/>
      <c r="G947" s="213"/>
      <c r="H947" s="213"/>
      <c r="I947" s="213"/>
      <c r="J947" s="213"/>
    </row>
    <row r="948" spans="1:10" x14ac:dyDescent="0.2">
      <c r="A948" s="155"/>
      <c r="B948" s="212"/>
      <c r="C948" s="310" t="s">
        <v>378</v>
      </c>
      <c r="D948" s="310"/>
      <c r="E948" s="310"/>
      <c r="F948" s="155"/>
      <c r="G948" s="213"/>
      <c r="H948" s="213"/>
      <c r="I948" s="213"/>
      <c r="J948" s="213"/>
    </row>
    <row r="949" spans="1:10" ht="13.5" thickBot="1" x14ac:dyDescent="0.25">
      <c r="A949" s="155"/>
      <c r="B949" s="212" t="s">
        <v>17</v>
      </c>
      <c r="C949" s="213"/>
      <c r="D949" s="250"/>
      <c r="E949" s="214"/>
      <c r="F949" s="155"/>
      <c r="G949" s="213"/>
      <c r="H949" s="213"/>
      <c r="I949" s="213"/>
      <c r="J949" s="213"/>
    </row>
    <row r="950" spans="1:10" ht="13.5" thickBot="1" x14ac:dyDescent="0.25">
      <c r="A950" s="155"/>
      <c r="B950" s="312" t="s">
        <v>137</v>
      </c>
      <c r="C950" s="313"/>
      <c r="D950" s="313"/>
      <c r="E950" s="314"/>
      <c r="F950" s="155"/>
      <c r="G950" s="213"/>
      <c r="H950" s="213"/>
      <c r="I950" s="213"/>
      <c r="J950" s="213"/>
    </row>
    <row r="951" spans="1:10" ht="13.5" thickBot="1" x14ac:dyDescent="0.25">
      <c r="A951" s="155"/>
      <c r="B951" s="312" t="s">
        <v>138</v>
      </c>
      <c r="C951" s="314"/>
      <c r="D951" s="215" t="s">
        <v>11</v>
      </c>
      <c r="E951" s="215" t="s">
        <v>139</v>
      </c>
      <c r="F951" s="155"/>
      <c r="G951" s="213"/>
      <c r="H951" s="213"/>
      <c r="I951" s="213"/>
      <c r="J951" s="213"/>
    </row>
    <row r="952" spans="1:10" s="155" customFormat="1" x14ac:dyDescent="0.2">
      <c r="B952" s="315" t="s">
        <v>301</v>
      </c>
      <c r="C952" s="315"/>
      <c r="D952" s="254">
        <v>2</v>
      </c>
      <c r="E952" s="164" t="s">
        <v>300</v>
      </c>
      <c r="G952" s="253"/>
      <c r="H952" s="213"/>
      <c r="I952" s="261"/>
      <c r="J952" s="213"/>
    </row>
    <row r="953" spans="1:10" s="155" customFormat="1" x14ac:dyDescent="0.2">
      <c r="B953" s="305" t="s">
        <v>302</v>
      </c>
      <c r="C953" s="305"/>
      <c r="D953" s="254">
        <v>4</v>
      </c>
      <c r="E953" s="165" t="s">
        <v>246</v>
      </c>
      <c r="G953" s="253"/>
      <c r="H953" s="213"/>
      <c r="I953" s="261"/>
      <c r="J953" s="213"/>
    </row>
    <row r="954" spans="1:10" s="155" customFormat="1" x14ac:dyDescent="0.2">
      <c r="B954" s="305" t="s">
        <v>304</v>
      </c>
      <c r="C954" s="305"/>
      <c r="D954" s="254">
        <v>4</v>
      </c>
      <c r="E954" s="165" t="s">
        <v>247</v>
      </c>
      <c r="G954" s="253"/>
      <c r="H954" s="213"/>
      <c r="I954" s="261"/>
      <c r="J954" s="213"/>
    </row>
    <row r="955" spans="1:10" s="155" customFormat="1" x14ac:dyDescent="0.2">
      <c r="B955" s="305" t="s">
        <v>303</v>
      </c>
      <c r="C955" s="305"/>
      <c r="D955" s="254">
        <v>3</v>
      </c>
      <c r="E955" s="165" t="s">
        <v>248</v>
      </c>
      <c r="G955" s="253"/>
      <c r="H955" s="213"/>
      <c r="I955" s="261"/>
      <c r="J955" s="213"/>
    </row>
    <row r="956" spans="1:10" s="155" customFormat="1" x14ac:dyDescent="0.2">
      <c r="B956" s="305" t="s">
        <v>298</v>
      </c>
      <c r="C956" s="305"/>
      <c r="D956" s="254">
        <v>3</v>
      </c>
      <c r="E956" s="165" t="s">
        <v>299</v>
      </c>
      <c r="G956" s="253"/>
      <c r="H956" s="213"/>
      <c r="I956" s="261"/>
      <c r="J956" s="213"/>
    </row>
    <row r="957" spans="1:10" s="155" customFormat="1" x14ac:dyDescent="0.2">
      <c r="B957" s="305" t="s">
        <v>249</v>
      </c>
      <c r="C957" s="305"/>
      <c r="D957" s="254">
        <v>2</v>
      </c>
      <c r="E957" s="165" t="s">
        <v>250</v>
      </c>
      <c r="G957" s="253"/>
      <c r="H957" s="213"/>
      <c r="I957" s="261"/>
      <c r="J957" s="213"/>
    </row>
    <row r="958" spans="1:10" s="155" customFormat="1" x14ac:dyDescent="0.2">
      <c r="B958" s="305" t="s">
        <v>251</v>
      </c>
      <c r="C958" s="305"/>
      <c r="D958" s="254">
        <v>3</v>
      </c>
      <c r="E958" s="165" t="s">
        <v>252</v>
      </c>
      <c r="G958" s="253"/>
      <c r="H958" s="213"/>
      <c r="I958" s="261"/>
      <c r="J958" s="213"/>
    </row>
    <row r="959" spans="1:10" s="155" customFormat="1" x14ac:dyDescent="0.2">
      <c r="B959" s="305" t="s">
        <v>253</v>
      </c>
      <c r="C959" s="305"/>
      <c r="D959" s="254">
        <v>3</v>
      </c>
      <c r="E959" s="165" t="s">
        <v>254</v>
      </c>
      <c r="G959" s="253"/>
      <c r="H959" s="213"/>
      <c r="I959" s="261"/>
      <c r="J959" s="213"/>
    </row>
    <row r="960" spans="1:10" s="155" customFormat="1" x14ac:dyDescent="0.2">
      <c r="B960" s="305" t="s">
        <v>255</v>
      </c>
      <c r="C960" s="305"/>
      <c r="D960" s="254">
        <v>5</v>
      </c>
      <c r="E960" s="165" t="s">
        <v>256</v>
      </c>
      <c r="G960" s="253"/>
      <c r="H960" s="213"/>
      <c r="I960" s="261"/>
      <c r="J960" s="213"/>
    </row>
    <row r="961" spans="1:10" s="155" customFormat="1" x14ac:dyDescent="0.2">
      <c r="B961" s="305" t="s">
        <v>305</v>
      </c>
      <c r="C961" s="305"/>
      <c r="D961" s="254">
        <v>3</v>
      </c>
      <c r="E961" s="165" t="s">
        <v>257</v>
      </c>
      <c r="G961" s="253"/>
      <c r="H961" s="213"/>
      <c r="I961" s="261"/>
      <c r="J961" s="213"/>
    </row>
    <row r="962" spans="1:10" s="155" customFormat="1" x14ac:dyDescent="0.2">
      <c r="B962" s="305" t="s">
        <v>258</v>
      </c>
      <c r="C962" s="305"/>
      <c r="D962" s="254">
        <v>2</v>
      </c>
      <c r="E962" s="165" t="s">
        <v>259</v>
      </c>
      <c r="G962" s="253"/>
      <c r="H962" s="213"/>
      <c r="I962" s="261"/>
      <c r="J962" s="213"/>
    </row>
    <row r="963" spans="1:10" s="155" customFormat="1" x14ac:dyDescent="0.2">
      <c r="B963" s="305" t="s">
        <v>260</v>
      </c>
      <c r="C963" s="305"/>
      <c r="D963" s="254">
        <v>3</v>
      </c>
      <c r="E963" s="165" t="s">
        <v>261</v>
      </c>
      <c r="G963" s="253"/>
      <c r="H963" s="213"/>
      <c r="I963" s="261"/>
      <c r="J963" s="213"/>
    </row>
    <row r="964" spans="1:10" s="155" customFormat="1" x14ac:dyDescent="0.2">
      <c r="B964" s="305" t="s">
        <v>306</v>
      </c>
      <c r="C964" s="305"/>
      <c r="D964" s="254">
        <v>3</v>
      </c>
      <c r="E964" s="165" t="s">
        <v>262</v>
      </c>
      <c r="G964" s="253"/>
      <c r="H964" s="213"/>
      <c r="I964" s="261"/>
      <c r="J964" s="213"/>
    </row>
    <row r="965" spans="1:10" s="155" customFormat="1" x14ac:dyDescent="0.2">
      <c r="B965" s="305" t="s">
        <v>263</v>
      </c>
      <c r="C965" s="305"/>
      <c r="D965" s="254">
        <v>3</v>
      </c>
      <c r="E965" s="165" t="s">
        <v>264</v>
      </c>
      <c r="G965" s="253"/>
      <c r="H965" s="213"/>
      <c r="I965" s="261"/>
      <c r="J965" s="213"/>
    </row>
    <row r="966" spans="1:10" s="155" customFormat="1" x14ac:dyDescent="0.2">
      <c r="B966" s="305" t="s">
        <v>265</v>
      </c>
      <c r="C966" s="305"/>
      <c r="D966" s="254">
        <v>3</v>
      </c>
      <c r="E966" s="165" t="s">
        <v>266</v>
      </c>
      <c r="G966" s="253"/>
      <c r="H966" s="213"/>
      <c r="I966" s="261"/>
      <c r="J966" s="213"/>
    </row>
    <row r="967" spans="1:10" s="155" customFormat="1" x14ac:dyDescent="0.2">
      <c r="B967" s="305" t="s">
        <v>267</v>
      </c>
      <c r="C967" s="305"/>
      <c r="D967" s="254">
        <v>3</v>
      </c>
      <c r="E967" s="165" t="s">
        <v>268</v>
      </c>
      <c r="G967" s="253"/>
      <c r="H967" s="213"/>
      <c r="I967" s="261"/>
      <c r="J967" s="213"/>
    </row>
    <row r="968" spans="1:10" s="155" customFormat="1" x14ac:dyDescent="0.2">
      <c r="B968" s="305" t="s">
        <v>269</v>
      </c>
      <c r="C968" s="305"/>
      <c r="D968" s="254">
        <v>3</v>
      </c>
      <c r="E968" s="165" t="s">
        <v>270</v>
      </c>
      <c r="G968" s="253"/>
      <c r="H968" s="213"/>
      <c r="I968" s="261"/>
      <c r="J968" s="213"/>
    </row>
    <row r="969" spans="1:10" s="155" customFormat="1" x14ac:dyDescent="0.2">
      <c r="B969" s="305" t="s">
        <v>271</v>
      </c>
      <c r="C969" s="305"/>
      <c r="D969" s="254">
        <v>3</v>
      </c>
      <c r="E969" s="165" t="s">
        <v>272</v>
      </c>
      <c r="G969" s="253"/>
      <c r="H969" s="213"/>
      <c r="I969" s="261"/>
      <c r="J969" s="213"/>
    </row>
    <row r="970" spans="1:10" s="155" customFormat="1" x14ac:dyDescent="0.2">
      <c r="B970" s="305" t="s">
        <v>273</v>
      </c>
      <c r="C970" s="305"/>
      <c r="D970" s="254">
        <v>3</v>
      </c>
      <c r="E970" s="165" t="s">
        <v>274</v>
      </c>
      <c r="G970" s="253"/>
      <c r="H970" s="213"/>
      <c r="I970" s="261"/>
      <c r="J970" s="213"/>
    </row>
    <row r="971" spans="1:10" s="155" customFormat="1" ht="13.5" thickBot="1" x14ac:dyDescent="0.25">
      <c r="B971" s="305" t="s">
        <v>307</v>
      </c>
      <c r="C971" s="305"/>
      <c r="D971" s="254">
        <v>3</v>
      </c>
      <c r="E971" s="165" t="s">
        <v>308</v>
      </c>
      <c r="G971" s="253"/>
      <c r="H971" s="213"/>
      <c r="I971" s="261"/>
      <c r="J971" s="213"/>
    </row>
    <row r="972" spans="1:10" ht="25.5" customHeight="1" thickBot="1" x14ac:dyDescent="0.25">
      <c r="A972" s="155"/>
      <c r="B972" s="307" t="s">
        <v>406</v>
      </c>
      <c r="C972" s="308"/>
      <c r="D972" s="308"/>
      <c r="E972" s="309"/>
      <c r="F972" s="155"/>
      <c r="G972" s="213"/>
      <c r="H972" s="213"/>
      <c r="I972" s="261"/>
      <c r="J972" s="261"/>
    </row>
    <row r="973" spans="1:10" x14ac:dyDescent="0.2">
      <c r="A973" s="155"/>
      <c r="B973" s="212" t="s">
        <v>18</v>
      </c>
      <c r="C973" s="213"/>
      <c r="D973" s="250"/>
      <c r="E973" s="214"/>
      <c r="F973" s="155"/>
      <c r="G973" s="213"/>
      <c r="H973" s="213"/>
      <c r="I973" s="213"/>
      <c r="J973" s="213"/>
    </row>
    <row r="974" spans="1:10" x14ac:dyDescent="0.2">
      <c r="A974" s="155"/>
      <c r="B974" s="216"/>
      <c r="C974" s="310" t="s">
        <v>63</v>
      </c>
      <c r="D974" s="310"/>
      <c r="E974" s="310"/>
      <c r="F974" s="155"/>
      <c r="G974" s="213"/>
      <c r="H974" s="213"/>
      <c r="I974" s="213"/>
      <c r="J974" s="213"/>
    </row>
    <row r="975" spans="1:10" x14ac:dyDescent="0.2">
      <c r="A975" s="155"/>
      <c r="B975" s="212" t="s">
        <v>19</v>
      </c>
      <c r="C975" s="217"/>
      <c r="D975" s="217"/>
      <c r="E975" s="251"/>
      <c r="F975" s="155"/>
      <c r="G975" s="213"/>
      <c r="H975" s="213"/>
      <c r="I975" s="213"/>
      <c r="J975" s="213"/>
    </row>
    <row r="976" spans="1:10" x14ac:dyDescent="0.2">
      <c r="A976" s="155"/>
      <c r="B976" s="216"/>
      <c r="C976" s="310" t="s">
        <v>140</v>
      </c>
      <c r="D976" s="310"/>
      <c r="E976" s="310"/>
      <c r="F976" s="155"/>
      <c r="G976" s="213"/>
      <c r="H976" s="213"/>
      <c r="I976" s="213"/>
      <c r="J976" s="213"/>
    </row>
    <row r="977" spans="1:10" x14ac:dyDescent="0.2">
      <c r="A977" s="155"/>
      <c r="B977" s="212" t="s">
        <v>20</v>
      </c>
      <c r="C977" s="213"/>
      <c r="D977" s="250"/>
      <c r="E977" s="214"/>
      <c r="F977" s="155"/>
      <c r="G977" s="213"/>
      <c r="H977" s="213"/>
      <c r="I977" s="213"/>
      <c r="J977" s="213"/>
    </row>
    <row r="978" spans="1:10" x14ac:dyDescent="0.2">
      <c r="A978" s="155"/>
      <c r="B978" s="212"/>
      <c r="C978" s="311" t="s">
        <v>64</v>
      </c>
      <c r="D978" s="311"/>
      <c r="E978" s="311"/>
      <c r="F978" s="155"/>
      <c r="G978" s="213"/>
      <c r="H978" s="213"/>
      <c r="I978" s="213"/>
      <c r="J978" s="213"/>
    </row>
    <row r="979" spans="1:10" ht="13.5" thickBot="1" x14ac:dyDescent="0.25">
      <c r="A979" s="155"/>
      <c r="B979" s="218"/>
      <c r="C979" s="219"/>
      <c r="D979" s="220"/>
      <c r="E979" s="221"/>
      <c r="F979" s="155"/>
      <c r="G979" s="213"/>
      <c r="H979" s="213"/>
      <c r="I979" s="213"/>
      <c r="J979" s="213"/>
    </row>
    <row r="980" spans="1:10" ht="13.5" thickBot="1" x14ac:dyDescent="0.25">
      <c r="A980" s="155"/>
      <c r="B980" s="155"/>
      <c r="C980" s="155"/>
      <c r="D980" s="222"/>
      <c r="E980" s="155"/>
      <c r="F980" s="155"/>
      <c r="G980" s="213"/>
      <c r="H980" s="213"/>
      <c r="I980" s="213"/>
      <c r="J980" s="213"/>
    </row>
    <row r="981" spans="1:10" x14ac:dyDescent="0.2">
      <c r="A981" s="155"/>
      <c r="B981" s="223" t="s">
        <v>164</v>
      </c>
      <c r="C981" s="224"/>
      <c r="D981" s="225"/>
      <c r="E981" s="226"/>
      <c r="F981" s="155"/>
      <c r="G981" s="213"/>
      <c r="H981" s="213"/>
      <c r="I981" s="213"/>
      <c r="J981" s="213"/>
    </row>
    <row r="982" spans="1:10" x14ac:dyDescent="0.2">
      <c r="A982" s="155"/>
      <c r="B982" s="227"/>
      <c r="C982" s="318" t="s">
        <v>382</v>
      </c>
      <c r="D982" s="318"/>
      <c r="E982" s="311"/>
      <c r="F982" s="155"/>
      <c r="G982" s="213"/>
      <c r="H982" s="213"/>
      <c r="I982" s="213"/>
      <c r="J982" s="213"/>
    </row>
    <row r="983" spans="1:10" x14ac:dyDescent="0.2">
      <c r="A983" s="155"/>
      <c r="B983" s="212" t="s">
        <v>16</v>
      </c>
      <c r="C983" s="213"/>
      <c r="D983" s="250"/>
      <c r="E983" s="214"/>
      <c r="F983" s="155"/>
      <c r="G983" s="213"/>
      <c r="H983" s="213"/>
      <c r="I983" s="213"/>
      <c r="J983" s="213"/>
    </row>
    <row r="984" spans="1:10" x14ac:dyDescent="0.2">
      <c r="A984" s="155"/>
      <c r="B984" s="212"/>
      <c r="C984" s="310"/>
      <c r="D984" s="310"/>
      <c r="E984" s="310"/>
      <c r="F984" s="155"/>
      <c r="G984" s="213"/>
      <c r="H984" s="213"/>
      <c r="I984" s="213"/>
      <c r="J984" s="213"/>
    </row>
    <row r="985" spans="1:10" ht="13.5" thickBot="1" x14ac:dyDescent="0.25">
      <c r="A985" s="155"/>
      <c r="B985" s="212" t="s">
        <v>17</v>
      </c>
      <c r="C985" s="213"/>
      <c r="D985" s="250"/>
      <c r="E985" s="214"/>
      <c r="F985" s="155"/>
      <c r="G985" s="213"/>
      <c r="H985" s="213"/>
      <c r="I985" s="213"/>
      <c r="J985" s="213"/>
    </row>
    <row r="986" spans="1:10" ht="13.5" thickBot="1" x14ac:dyDescent="0.25">
      <c r="A986" s="155"/>
      <c r="B986" s="312" t="s">
        <v>287</v>
      </c>
      <c r="C986" s="313"/>
      <c r="D986" s="313"/>
      <c r="E986" s="314"/>
      <c r="F986" s="155"/>
      <c r="G986" s="213"/>
      <c r="H986" s="213"/>
      <c r="I986" s="213"/>
      <c r="J986" s="213"/>
    </row>
    <row r="987" spans="1:10" x14ac:dyDescent="0.2">
      <c r="A987" s="155"/>
      <c r="B987" s="316" t="s">
        <v>138</v>
      </c>
      <c r="C987" s="317"/>
      <c r="D987" s="228" t="s">
        <v>11</v>
      </c>
      <c r="E987" s="228" t="s">
        <v>139</v>
      </c>
      <c r="F987" s="155"/>
      <c r="G987" s="213"/>
      <c r="H987" s="213"/>
      <c r="I987" s="213"/>
      <c r="J987" s="213"/>
    </row>
    <row r="988" spans="1:10" s="155" customFormat="1" x14ac:dyDescent="0.2">
      <c r="B988" s="305" t="s">
        <v>301</v>
      </c>
      <c r="C988" s="305"/>
      <c r="D988" s="246">
        <v>2</v>
      </c>
      <c r="E988" s="165" t="s">
        <v>300</v>
      </c>
      <c r="G988" s="250"/>
      <c r="H988" s="213"/>
      <c r="I988" s="261"/>
      <c r="J988" s="213"/>
    </row>
    <row r="989" spans="1:10" s="155" customFormat="1" x14ac:dyDescent="0.2">
      <c r="B989" s="305" t="s">
        <v>302</v>
      </c>
      <c r="C989" s="305"/>
      <c r="D989" s="246">
        <v>5</v>
      </c>
      <c r="E989" s="165" t="s">
        <v>246</v>
      </c>
      <c r="G989" s="250"/>
      <c r="H989" s="213"/>
      <c r="I989" s="261"/>
      <c r="J989" s="213"/>
    </row>
    <row r="990" spans="1:10" s="155" customFormat="1" x14ac:dyDescent="0.2">
      <c r="B990" s="305" t="s">
        <v>304</v>
      </c>
      <c r="C990" s="305"/>
      <c r="D990" s="246">
        <v>5</v>
      </c>
      <c r="E990" s="165" t="s">
        <v>247</v>
      </c>
      <c r="G990" s="250"/>
      <c r="H990" s="213"/>
      <c r="I990" s="261"/>
      <c r="J990" s="213"/>
    </row>
    <row r="991" spans="1:10" s="155" customFormat="1" x14ac:dyDescent="0.2">
      <c r="B991" s="305" t="s">
        <v>303</v>
      </c>
      <c r="C991" s="305"/>
      <c r="D991" s="246">
        <v>3</v>
      </c>
      <c r="E991" s="165" t="s">
        <v>248</v>
      </c>
      <c r="G991" s="250"/>
      <c r="H991" s="213"/>
      <c r="I991" s="261"/>
      <c r="J991" s="213"/>
    </row>
    <row r="992" spans="1:10" s="155" customFormat="1" x14ac:dyDescent="0.2">
      <c r="B992" s="305" t="s">
        <v>298</v>
      </c>
      <c r="C992" s="305"/>
      <c r="D992" s="246">
        <v>3</v>
      </c>
      <c r="E992" s="165" t="s">
        <v>299</v>
      </c>
      <c r="G992" s="250"/>
      <c r="H992" s="213"/>
      <c r="I992" s="261"/>
      <c r="J992" s="213"/>
    </row>
    <row r="993" spans="1:10" s="155" customFormat="1" x14ac:dyDescent="0.2">
      <c r="B993" s="305" t="s">
        <v>249</v>
      </c>
      <c r="C993" s="305"/>
      <c r="D993" s="246">
        <v>2</v>
      </c>
      <c r="E993" s="165" t="s">
        <v>250</v>
      </c>
      <c r="G993" s="250"/>
      <c r="H993" s="213"/>
      <c r="I993" s="261"/>
      <c r="J993" s="213"/>
    </row>
    <row r="994" spans="1:10" s="155" customFormat="1" x14ac:dyDescent="0.2">
      <c r="B994" s="305" t="s">
        <v>251</v>
      </c>
      <c r="C994" s="305"/>
      <c r="D994" s="246">
        <v>3</v>
      </c>
      <c r="E994" s="165" t="s">
        <v>252</v>
      </c>
      <c r="G994" s="250"/>
      <c r="H994" s="213"/>
      <c r="I994" s="261"/>
      <c r="J994" s="213"/>
    </row>
    <row r="995" spans="1:10" s="155" customFormat="1" x14ac:dyDescent="0.2">
      <c r="B995" s="305" t="s">
        <v>253</v>
      </c>
      <c r="C995" s="305"/>
      <c r="D995" s="246">
        <v>3</v>
      </c>
      <c r="E995" s="165" t="s">
        <v>254</v>
      </c>
      <c r="G995" s="250"/>
      <c r="H995" s="213"/>
      <c r="I995" s="261"/>
      <c r="J995" s="213"/>
    </row>
    <row r="996" spans="1:10" s="155" customFormat="1" x14ac:dyDescent="0.2">
      <c r="B996" s="305" t="s">
        <v>255</v>
      </c>
      <c r="C996" s="305"/>
      <c r="D996" s="246">
        <v>6</v>
      </c>
      <c r="E996" s="165" t="s">
        <v>256</v>
      </c>
      <c r="G996" s="250"/>
      <c r="H996" s="213"/>
      <c r="I996" s="261"/>
      <c r="J996" s="213"/>
    </row>
    <row r="997" spans="1:10" s="155" customFormat="1" x14ac:dyDescent="0.2">
      <c r="B997" s="305" t="s">
        <v>305</v>
      </c>
      <c r="C997" s="305"/>
      <c r="D997" s="246">
        <v>3</v>
      </c>
      <c r="E997" s="165" t="s">
        <v>257</v>
      </c>
      <c r="G997" s="250"/>
      <c r="H997" s="213"/>
      <c r="I997" s="261"/>
      <c r="J997" s="213"/>
    </row>
    <row r="998" spans="1:10" s="155" customFormat="1" x14ac:dyDescent="0.2">
      <c r="B998" s="305" t="s">
        <v>258</v>
      </c>
      <c r="C998" s="305"/>
      <c r="D998" s="246">
        <v>2</v>
      </c>
      <c r="E998" s="165" t="s">
        <v>259</v>
      </c>
      <c r="G998" s="250"/>
      <c r="H998" s="213"/>
      <c r="I998" s="261"/>
      <c r="J998" s="213"/>
    </row>
    <row r="999" spans="1:10" s="155" customFormat="1" x14ac:dyDescent="0.2">
      <c r="B999" s="305" t="s">
        <v>260</v>
      </c>
      <c r="C999" s="305"/>
      <c r="D999" s="246">
        <v>3</v>
      </c>
      <c r="E999" s="165" t="s">
        <v>261</v>
      </c>
      <c r="G999" s="250"/>
      <c r="H999" s="213"/>
      <c r="I999" s="261"/>
      <c r="J999" s="213"/>
    </row>
    <row r="1000" spans="1:10" s="155" customFormat="1" x14ac:dyDescent="0.2">
      <c r="B1000" s="305" t="s">
        <v>306</v>
      </c>
      <c r="C1000" s="305"/>
      <c r="D1000" s="246">
        <v>3</v>
      </c>
      <c r="E1000" s="165" t="s">
        <v>262</v>
      </c>
      <c r="G1000" s="250"/>
      <c r="H1000" s="213"/>
      <c r="I1000" s="261"/>
      <c r="J1000" s="213"/>
    </row>
    <row r="1001" spans="1:10" s="155" customFormat="1" x14ac:dyDescent="0.2">
      <c r="B1001" s="305" t="s">
        <v>263</v>
      </c>
      <c r="C1001" s="305"/>
      <c r="D1001" s="246">
        <v>3</v>
      </c>
      <c r="E1001" s="165" t="s">
        <v>264</v>
      </c>
      <c r="G1001" s="250"/>
      <c r="H1001" s="213"/>
      <c r="I1001" s="261"/>
      <c r="J1001" s="213"/>
    </row>
    <row r="1002" spans="1:10" s="155" customFormat="1" x14ac:dyDescent="0.2">
      <c r="B1002" s="305" t="s">
        <v>265</v>
      </c>
      <c r="C1002" s="305"/>
      <c r="D1002" s="246">
        <v>3</v>
      </c>
      <c r="E1002" s="165" t="s">
        <v>266</v>
      </c>
      <c r="G1002" s="250"/>
      <c r="H1002" s="213"/>
      <c r="I1002" s="261"/>
      <c r="J1002" s="213"/>
    </row>
    <row r="1003" spans="1:10" s="155" customFormat="1" x14ac:dyDescent="0.2">
      <c r="B1003" s="305" t="s">
        <v>267</v>
      </c>
      <c r="C1003" s="305"/>
      <c r="D1003" s="246">
        <v>3</v>
      </c>
      <c r="E1003" s="165" t="s">
        <v>268</v>
      </c>
      <c r="G1003" s="250"/>
      <c r="H1003" s="213"/>
      <c r="I1003" s="261"/>
      <c r="J1003" s="213"/>
    </row>
    <row r="1004" spans="1:10" s="155" customFormat="1" x14ac:dyDescent="0.2">
      <c r="B1004" s="305" t="s">
        <v>269</v>
      </c>
      <c r="C1004" s="305"/>
      <c r="D1004" s="246">
        <v>3</v>
      </c>
      <c r="E1004" s="165" t="s">
        <v>270</v>
      </c>
      <c r="G1004" s="250"/>
      <c r="H1004" s="213"/>
      <c r="I1004" s="261"/>
      <c r="J1004" s="213"/>
    </row>
    <row r="1005" spans="1:10" s="155" customFormat="1" x14ac:dyDescent="0.2">
      <c r="B1005" s="305" t="s">
        <v>271</v>
      </c>
      <c r="C1005" s="305"/>
      <c r="D1005" s="246">
        <v>3</v>
      </c>
      <c r="E1005" s="165" t="s">
        <v>272</v>
      </c>
      <c r="G1005" s="250"/>
      <c r="H1005" s="213"/>
      <c r="I1005" s="261"/>
      <c r="J1005" s="213"/>
    </row>
    <row r="1006" spans="1:10" s="155" customFormat="1" x14ac:dyDescent="0.2">
      <c r="B1006" s="305" t="s">
        <v>273</v>
      </c>
      <c r="C1006" s="305"/>
      <c r="D1006" s="246">
        <v>3</v>
      </c>
      <c r="E1006" s="165" t="s">
        <v>274</v>
      </c>
      <c r="G1006" s="250"/>
      <c r="H1006" s="213"/>
      <c r="I1006" s="261"/>
      <c r="J1006" s="213"/>
    </row>
    <row r="1007" spans="1:10" s="155" customFormat="1" ht="13.5" thickBot="1" x14ac:dyDescent="0.25">
      <c r="B1007" s="305" t="s">
        <v>307</v>
      </c>
      <c r="C1007" s="305"/>
      <c r="D1007" s="246">
        <v>3</v>
      </c>
      <c r="E1007" s="165" t="s">
        <v>308</v>
      </c>
      <c r="G1007" s="250"/>
      <c r="H1007" s="213"/>
      <c r="I1007" s="261"/>
      <c r="J1007" s="213"/>
    </row>
    <row r="1008" spans="1:10" ht="27" customHeight="1" thickBot="1" x14ac:dyDescent="0.25">
      <c r="A1008" s="155"/>
      <c r="B1008" s="307" t="s">
        <v>407</v>
      </c>
      <c r="C1008" s="308"/>
      <c r="D1008" s="308"/>
      <c r="E1008" s="309"/>
      <c r="F1008" s="155"/>
      <c r="G1008" s="213"/>
      <c r="H1008" s="213"/>
      <c r="I1008" s="261"/>
      <c r="J1008" s="261"/>
    </row>
    <row r="1009" spans="1:10" x14ac:dyDescent="0.2">
      <c r="A1009" s="155"/>
      <c r="B1009" s="212" t="s">
        <v>18</v>
      </c>
      <c r="C1009" s="213"/>
      <c r="D1009" s="250"/>
      <c r="E1009" s="214"/>
      <c r="F1009" s="155"/>
      <c r="G1009" s="213"/>
      <c r="H1009" s="213"/>
      <c r="I1009" s="213"/>
      <c r="J1009" s="213"/>
    </row>
    <row r="1010" spans="1:10" x14ac:dyDescent="0.2">
      <c r="A1010" s="155"/>
      <c r="B1010" s="216"/>
      <c r="C1010" s="310" t="s">
        <v>63</v>
      </c>
      <c r="D1010" s="310"/>
      <c r="E1010" s="310"/>
      <c r="F1010" s="155"/>
      <c r="G1010" s="213"/>
      <c r="H1010" s="213"/>
      <c r="I1010" s="213"/>
      <c r="J1010" s="213"/>
    </row>
    <row r="1011" spans="1:10" x14ac:dyDescent="0.2">
      <c r="A1011" s="155"/>
      <c r="B1011" s="212" t="s">
        <v>19</v>
      </c>
      <c r="C1011" s="217"/>
      <c r="D1011" s="217"/>
      <c r="E1011" s="251"/>
      <c r="F1011" s="155"/>
      <c r="G1011" s="213"/>
      <c r="H1011" s="213"/>
      <c r="I1011" s="213"/>
      <c r="J1011" s="213"/>
    </row>
    <row r="1012" spans="1:10" x14ac:dyDescent="0.2">
      <c r="A1012" s="155"/>
      <c r="B1012" s="216"/>
      <c r="C1012" s="310" t="s">
        <v>140</v>
      </c>
      <c r="D1012" s="310"/>
      <c r="E1012" s="310"/>
      <c r="F1012" s="155"/>
      <c r="G1012" s="213"/>
      <c r="H1012" s="213"/>
      <c r="I1012" s="213"/>
      <c r="J1012" s="213"/>
    </row>
    <row r="1013" spans="1:10" x14ac:dyDescent="0.2">
      <c r="A1013" s="155"/>
      <c r="B1013" s="212" t="s">
        <v>20</v>
      </c>
      <c r="C1013" s="213"/>
      <c r="D1013" s="250"/>
      <c r="E1013" s="214"/>
      <c r="F1013" s="155"/>
      <c r="G1013" s="213"/>
      <c r="H1013" s="213"/>
      <c r="I1013" s="213"/>
      <c r="J1013" s="213"/>
    </row>
    <row r="1014" spans="1:10" x14ac:dyDescent="0.2">
      <c r="A1014" s="155"/>
      <c r="B1014" s="212"/>
      <c r="C1014" s="311" t="s">
        <v>64</v>
      </c>
      <c r="D1014" s="311"/>
      <c r="E1014" s="311"/>
      <c r="F1014" s="155"/>
      <c r="G1014" s="213"/>
      <c r="H1014" s="213"/>
      <c r="I1014" s="213"/>
      <c r="J1014" s="213"/>
    </row>
    <row r="1015" spans="1:10" ht="13.5" thickBot="1" x14ac:dyDescent="0.25">
      <c r="A1015" s="155"/>
      <c r="B1015" s="218"/>
      <c r="C1015" s="219"/>
      <c r="D1015" s="220"/>
      <c r="E1015" s="221"/>
      <c r="F1015" s="155"/>
      <c r="G1015" s="213"/>
      <c r="H1015" s="213"/>
      <c r="I1015" s="213"/>
      <c r="J1015" s="213"/>
    </row>
    <row r="1016" spans="1:10" ht="13.5" thickBot="1" x14ac:dyDescent="0.25">
      <c r="A1016" s="155"/>
      <c r="B1016" s="155"/>
      <c r="C1016" s="155"/>
      <c r="D1016" s="222"/>
      <c r="E1016" s="155"/>
      <c r="F1016" s="155"/>
      <c r="G1016" s="213"/>
      <c r="H1016" s="213"/>
      <c r="I1016" s="213"/>
      <c r="J1016" s="213"/>
    </row>
    <row r="1017" spans="1:10" x14ac:dyDescent="0.2">
      <c r="A1017" s="155"/>
      <c r="B1017" s="223" t="s">
        <v>165</v>
      </c>
      <c r="C1017" s="224"/>
      <c r="D1017" s="225"/>
      <c r="E1017" s="226"/>
      <c r="F1017" s="155"/>
      <c r="G1017" s="213"/>
      <c r="H1017" s="213"/>
      <c r="I1017" s="213"/>
      <c r="J1017" s="213"/>
    </row>
    <row r="1018" spans="1:10" x14ac:dyDescent="0.2">
      <c r="A1018" s="155"/>
      <c r="B1018" s="227"/>
      <c r="C1018" s="318" t="s">
        <v>383</v>
      </c>
      <c r="D1018" s="318"/>
      <c r="E1018" s="311"/>
      <c r="F1018" s="155"/>
      <c r="G1018" s="213"/>
      <c r="H1018" s="213"/>
      <c r="I1018" s="213"/>
      <c r="J1018" s="213"/>
    </row>
    <row r="1019" spans="1:10" x14ac:dyDescent="0.2">
      <c r="A1019" s="155"/>
      <c r="B1019" s="212" t="s">
        <v>16</v>
      </c>
      <c r="C1019" s="213"/>
      <c r="D1019" s="250"/>
      <c r="E1019" s="214"/>
      <c r="F1019" s="155"/>
      <c r="G1019" s="213"/>
      <c r="H1019" s="213"/>
      <c r="I1019" s="213"/>
      <c r="J1019" s="213"/>
    </row>
    <row r="1020" spans="1:10" x14ac:dyDescent="0.2">
      <c r="A1020" s="155"/>
      <c r="B1020" s="212"/>
      <c r="C1020" s="310"/>
      <c r="D1020" s="310"/>
      <c r="E1020" s="310"/>
      <c r="F1020" s="155"/>
      <c r="G1020" s="213"/>
      <c r="H1020" s="213"/>
      <c r="I1020" s="213"/>
      <c r="J1020" s="213"/>
    </row>
    <row r="1021" spans="1:10" ht="13.5" thickBot="1" x14ac:dyDescent="0.25">
      <c r="A1021" s="155"/>
      <c r="B1021" s="212" t="s">
        <v>17</v>
      </c>
      <c r="C1021" s="213"/>
      <c r="D1021" s="250"/>
      <c r="E1021" s="214"/>
      <c r="F1021" s="155"/>
      <c r="G1021" s="213"/>
      <c r="H1021" s="213"/>
      <c r="I1021" s="213"/>
      <c r="J1021" s="213"/>
    </row>
    <row r="1022" spans="1:10" ht="13.5" thickBot="1" x14ac:dyDescent="0.25">
      <c r="A1022" s="155"/>
      <c r="B1022" s="312" t="s">
        <v>288</v>
      </c>
      <c r="C1022" s="313"/>
      <c r="D1022" s="313"/>
      <c r="E1022" s="314"/>
      <c r="F1022" s="155"/>
      <c r="G1022" s="213"/>
      <c r="H1022" s="213"/>
      <c r="I1022" s="213"/>
      <c r="J1022" s="213"/>
    </row>
    <row r="1023" spans="1:10" x14ac:dyDescent="0.2">
      <c r="A1023" s="155"/>
      <c r="B1023" s="316" t="s">
        <v>138</v>
      </c>
      <c r="C1023" s="317"/>
      <c r="D1023" s="228" t="s">
        <v>11</v>
      </c>
      <c r="E1023" s="228" t="s">
        <v>139</v>
      </c>
      <c r="F1023" s="155"/>
      <c r="G1023" s="213"/>
      <c r="H1023" s="213"/>
      <c r="I1023" s="213"/>
      <c r="J1023" s="213"/>
    </row>
    <row r="1024" spans="1:10" s="155" customFormat="1" x14ac:dyDescent="0.2">
      <c r="B1024" s="305" t="s">
        <v>301</v>
      </c>
      <c r="C1024" s="305"/>
      <c r="D1024" s="246">
        <v>2</v>
      </c>
      <c r="E1024" s="165" t="s">
        <v>300</v>
      </c>
      <c r="G1024" s="250"/>
      <c r="H1024" s="213"/>
      <c r="I1024" s="261"/>
      <c r="J1024" s="261"/>
    </row>
    <row r="1025" spans="2:10" s="155" customFormat="1" x14ac:dyDescent="0.2">
      <c r="B1025" s="305" t="s">
        <v>302</v>
      </c>
      <c r="C1025" s="305"/>
      <c r="D1025" s="246">
        <v>4</v>
      </c>
      <c r="E1025" s="165" t="s">
        <v>246</v>
      </c>
      <c r="G1025" s="250"/>
      <c r="H1025" s="213"/>
      <c r="I1025" s="261"/>
      <c r="J1025" s="261"/>
    </row>
    <row r="1026" spans="2:10" s="155" customFormat="1" x14ac:dyDescent="0.2">
      <c r="B1026" s="305" t="s">
        <v>304</v>
      </c>
      <c r="C1026" s="305"/>
      <c r="D1026" s="246">
        <v>4</v>
      </c>
      <c r="E1026" s="165" t="s">
        <v>247</v>
      </c>
      <c r="G1026" s="250"/>
      <c r="H1026" s="213"/>
      <c r="I1026" s="261"/>
      <c r="J1026" s="261"/>
    </row>
    <row r="1027" spans="2:10" s="155" customFormat="1" x14ac:dyDescent="0.2">
      <c r="B1027" s="305" t="s">
        <v>303</v>
      </c>
      <c r="C1027" s="305"/>
      <c r="D1027" s="246">
        <v>3</v>
      </c>
      <c r="E1027" s="165" t="s">
        <v>248</v>
      </c>
      <c r="G1027" s="250"/>
      <c r="H1027" s="213"/>
      <c r="I1027" s="261"/>
      <c r="J1027" s="261"/>
    </row>
    <row r="1028" spans="2:10" s="155" customFormat="1" x14ac:dyDescent="0.2">
      <c r="B1028" s="305" t="s">
        <v>298</v>
      </c>
      <c r="C1028" s="305"/>
      <c r="D1028" s="246">
        <v>3</v>
      </c>
      <c r="E1028" s="165" t="s">
        <v>299</v>
      </c>
      <c r="G1028" s="250"/>
      <c r="H1028" s="213"/>
      <c r="I1028" s="261"/>
      <c r="J1028" s="261"/>
    </row>
    <row r="1029" spans="2:10" s="155" customFormat="1" x14ac:dyDescent="0.2">
      <c r="B1029" s="305" t="s">
        <v>249</v>
      </c>
      <c r="C1029" s="305"/>
      <c r="D1029" s="246">
        <v>2</v>
      </c>
      <c r="E1029" s="165" t="s">
        <v>250</v>
      </c>
      <c r="G1029" s="250"/>
      <c r="H1029" s="213"/>
      <c r="I1029" s="261"/>
      <c r="J1029" s="261"/>
    </row>
    <row r="1030" spans="2:10" s="155" customFormat="1" x14ac:dyDescent="0.2">
      <c r="B1030" s="305" t="s">
        <v>251</v>
      </c>
      <c r="C1030" s="305"/>
      <c r="D1030" s="246">
        <v>3</v>
      </c>
      <c r="E1030" s="165" t="s">
        <v>252</v>
      </c>
      <c r="G1030" s="250"/>
      <c r="H1030" s="213"/>
      <c r="I1030" s="261"/>
      <c r="J1030" s="261"/>
    </row>
    <row r="1031" spans="2:10" s="155" customFormat="1" x14ac:dyDescent="0.2">
      <c r="B1031" s="305" t="s">
        <v>253</v>
      </c>
      <c r="C1031" s="305"/>
      <c r="D1031" s="246">
        <v>3</v>
      </c>
      <c r="E1031" s="165" t="s">
        <v>254</v>
      </c>
      <c r="G1031" s="250"/>
      <c r="H1031" s="213"/>
      <c r="I1031" s="261"/>
      <c r="J1031" s="261"/>
    </row>
    <row r="1032" spans="2:10" s="155" customFormat="1" x14ac:dyDescent="0.2">
      <c r="B1032" s="305" t="s">
        <v>255</v>
      </c>
      <c r="C1032" s="305"/>
      <c r="D1032" s="246">
        <v>5</v>
      </c>
      <c r="E1032" s="165" t="s">
        <v>256</v>
      </c>
      <c r="G1032" s="250"/>
      <c r="H1032" s="213"/>
      <c r="I1032" s="261"/>
      <c r="J1032" s="261"/>
    </row>
    <row r="1033" spans="2:10" s="155" customFormat="1" x14ac:dyDescent="0.2">
      <c r="B1033" s="305" t="s">
        <v>305</v>
      </c>
      <c r="C1033" s="305"/>
      <c r="D1033" s="246">
        <v>3</v>
      </c>
      <c r="E1033" s="165" t="s">
        <v>257</v>
      </c>
      <c r="G1033" s="250"/>
      <c r="H1033" s="213"/>
      <c r="I1033" s="261"/>
      <c r="J1033" s="261"/>
    </row>
    <row r="1034" spans="2:10" s="155" customFormat="1" x14ac:dyDescent="0.2">
      <c r="B1034" s="305" t="s">
        <v>258</v>
      </c>
      <c r="C1034" s="305"/>
      <c r="D1034" s="246">
        <v>2</v>
      </c>
      <c r="E1034" s="165" t="s">
        <v>259</v>
      </c>
      <c r="G1034" s="250"/>
      <c r="H1034" s="213"/>
      <c r="I1034" s="261"/>
      <c r="J1034" s="261"/>
    </row>
    <row r="1035" spans="2:10" s="155" customFormat="1" x14ac:dyDescent="0.2">
      <c r="B1035" s="305" t="s">
        <v>260</v>
      </c>
      <c r="C1035" s="305"/>
      <c r="D1035" s="246">
        <v>3</v>
      </c>
      <c r="E1035" s="165" t="s">
        <v>261</v>
      </c>
      <c r="G1035" s="250"/>
      <c r="H1035" s="213"/>
      <c r="I1035" s="261"/>
      <c r="J1035" s="261"/>
    </row>
    <row r="1036" spans="2:10" s="155" customFormat="1" x14ac:dyDescent="0.2">
      <c r="B1036" s="305" t="s">
        <v>306</v>
      </c>
      <c r="C1036" s="305"/>
      <c r="D1036" s="246">
        <v>3</v>
      </c>
      <c r="E1036" s="165" t="s">
        <v>262</v>
      </c>
      <c r="G1036" s="250"/>
      <c r="H1036" s="213"/>
      <c r="I1036" s="261"/>
      <c r="J1036" s="261"/>
    </row>
    <row r="1037" spans="2:10" s="155" customFormat="1" x14ac:dyDescent="0.2">
      <c r="B1037" s="305" t="s">
        <v>263</v>
      </c>
      <c r="C1037" s="305"/>
      <c r="D1037" s="246">
        <v>3</v>
      </c>
      <c r="E1037" s="165" t="s">
        <v>264</v>
      </c>
      <c r="G1037" s="250"/>
      <c r="H1037" s="213"/>
      <c r="I1037" s="261"/>
      <c r="J1037" s="261"/>
    </row>
    <row r="1038" spans="2:10" s="155" customFormat="1" x14ac:dyDescent="0.2">
      <c r="B1038" s="305" t="s">
        <v>265</v>
      </c>
      <c r="C1038" s="305"/>
      <c r="D1038" s="246">
        <v>3</v>
      </c>
      <c r="E1038" s="165" t="s">
        <v>266</v>
      </c>
      <c r="G1038" s="250"/>
      <c r="H1038" s="213"/>
      <c r="I1038" s="261"/>
      <c r="J1038" s="261"/>
    </row>
    <row r="1039" spans="2:10" s="155" customFormat="1" x14ac:dyDescent="0.2">
      <c r="B1039" s="305" t="s">
        <v>267</v>
      </c>
      <c r="C1039" s="305"/>
      <c r="D1039" s="246">
        <v>3</v>
      </c>
      <c r="E1039" s="165" t="s">
        <v>268</v>
      </c>
      <c r="G1039" s="250"/>
      <c r="H1039" s="213"/>
      <c r="I1039" s="261"/>
      <c r="J1039" s="261"/>
    </row>
    <row r="1040" spans="2:10" s="155" customFormat="1" x14ac:dyDescent="0.2">
      <c r="B1040" s="305" t="s">
        <v>269</v>
      </c>
      <c r="C1040" s="305"/>
      <c r="D1040" s="246">
        <v>3</v>
      </c>
      <c r="E1040" s="165" t="s">
        <v>270</v>
      </c>
      <c r="G1040" s="250"/>
      <c r="H1040" s="213"/>
      <c r="I1040" s="261"/>
      <c r="J1040" s="261"/>
    </row>
    <row r="1041" spans="1:10" s="155" customFormat="1" x14ac:dyDescent="0.2">
      <c r="B1041" s="305" t="s">
        <v>271</v>
      </c>
      <c r="C1041" s="305"/>
      <c r="D1041" s="246">
        <v>3</v>
      </c>
      <c r="E1041" s="165" t="s">
        <v>272</v>
      </c>
      <c r="G1041" s="250"/>
      <c r="H1041" s="213"/>
      <c r="I1041" s="261"/>
      <c r="J1041" s="261"/>
    </row>
    <row r="1042" spans="1:10" s="155" customFormat="1" x14ac:dyDescent="0.2">
      <c r="B1042" s="305" t="s">
        <v>273</v>
      </c>
      <c r="C1042" s="305"/>
      <c r="D1042" s="246">
        <v>3</v>
      </c>
      <c r="E1042" s="165" t="s">
        <v>274</v>
      </c>
      <c r="G1042" s="250"/>
      <c r="H1042" s="213"/>
      <c r="I1042" s="261"/>
      <c r="J1042" s="261"/>
    </row>
    <row r="1043" spans="1:10" s="155" customFormat="1" ht="13.5" thickBot="1" x14ac:dyDescent="0.25">
      <c r="B1043" s="305" t="s">
        <v>307</v>
      </c>
      <c r="C1043" s="305"/>
      <c r="D1043" s="246">
        <v>3</v>
      </c>
      <c r="E1043" s="165" t="s">
        <v>308</v>
      </c>
      <c r="G1043" s="250"/>
      <c r="H1043" s="213"/>
      <c r="I1043" s="261"/>
      <c r="J1043" s="261"/>
    </row>
    <row r="1044" spans="1:10" ht="24.75" customHeight="1" thickBot="1" x14ac:dyDescent="0.25">
      <c r="A1044" s="155"/>
      <c r="B1044" s="307" t="s">
        <v>408</v>
      </c>
      <c r="C1044" s="308"/>
      <c r="D1044" s="308"/>
      <c r="E1044" s="309"/>
      <c r="F1044" s="155"/>
      <c r="G1044" s="213"/>
      <c r="H1044" s="213"/>
      <c r="I1044" s="261"/>
      <c r="J1044" s="261"/>
    </row>
    <row r="1045" spans="1:10" x14ac:dyDescent="0.2">
      <c r="A1045" s="155"/>
      <c r="B1045" s="212" t="s">
        <v>18</v>
      </c>
      <c r="C1045" s="213"/>
      <c r="D1045" s="250"/>
      <c r="E1045" s="214"/>
      <c r="F1045" s="155"/>
      <c r="G1045" s="213"/>
      <c r="H1045" s="213"/>
      <c r="I1045" s="213"/>
      <c r="J1045" s="213"/>
    </row>
    <row r="1046" spans="1:10" x14ac:dyDescent="0.2">
      <c r="A1046" s="155"/>
      <c r="B1046" s="216"/>
      <c r="C1046" s="310" t="s">
        <v>63</v>
      </c>
      <c r="D1046" s="310"/>
      <c r="E1046" s="310"/>
      <c r="F1046" s="155"/>
      <c r="G1046" s="213"/>
      <c r="H1046" s="213"/>
      <c r="I1046" s="213"/>
      <c r="J1046" s="213"/>
    </row>
    <row r="1047" spans="1:10" x14ac:dyDescent="0.2">
      <c r="A1047" s="155"/>
      <c r="B1047" s="212" t="s">
        <v>19</v>
      </c>
      <c r="C1047" s="217"/>
      <c r="D1047" s="217"/>
      <c r="E1047" s="251"/>
      <c r="F1047" s="155"/>
      <c r="G1047" s="213"/>
      <c r="H1047" s="213"/>
      <c r="I1047" s="213"/>
      <c r="J1047" s="213"/>
    </row>
    <row r="1048" spans="1:10" x14ac:dyDescent="0.2">
      <c r="A1048" s="155"/>
      <c r="B1048" s="216"/>
      <c r="C1048" s="310" t="s">
        <v>140</v>
      </c>
      <c r="D1048" s="310"/>
      <c r="E1048" s="310"/>
      <c r="F1048" s="155"/>
      <c r="G1048" s="213"/>
      <c r="H1048" s="213"/>
      <c r="I1048" s="213"/>
      <c r="J1048" s="213"/>
    </row>
    <row r="1049" spans="1:10" x14ac:dyDescent="0.2">
      <c r="A1049" s="155"/>
      <c r="B1049" s="212" t="s">
        <v>20</v>
      </c>
      <c r="C1049" s="213"/>
      <c r="D1049" s="250"/>
      <c r="E1049" s="214"/>
      <c r="F1049" s="155"/>
      <c r="G1049" s="213"/>
      <c r="H1049" s="213"/>
      <c r="I1049" s="213"/>
      <c r="J1049" s="213"/>
    </row>
    <row r="1050" spans="1:10" x14ac:dyDescent="0.2">
      <c r="A1050" s="155"/>
      <c r="B1050" s="212"/>
      <c r="C1050" s="311" t="s">
        <v>64</v>
      </c>
      <c r="D1050" s="311"/>
      <c r="E1050" s="311"/>
      <c r="F1050" s="155"/>
      <c r="G1050" s="213"/>
      <c r="H1050" s="213"/>
      <c r="I1050" s="213"/>
      <c r="J1050" s="213"/>
    </row>
    <row r="1051" spans="1:10" ht="13.5" thickBot="1" x14ac:dyDescent="0.25">
      <c r="A1051" s="155"/>
      <c r="B1051" s="218"/>
      <c r="C1051" s="219"/>
      <c r="D1051" s="220"/>
      <c r="E1051" s="221"/>
      <c r="F1051" s="155"/>
      <c r="G1051" s="213"/>
      <c r="H1051" s="213"/>
      <c r="I1051" s="213"/>
      <c r="J1051" s="213"/>
    </row>
    <row r="1052" spans="1:10" ht="13.5" thickBot="1" x14ac:dyDescent="0.25">
      <c r="A1052" s="155"/>
      <c r="B1052" s="155"/>
      <c r="C1052" s="155"/>
      <c r="D1052" s="222"/>
      <c r="E1052" s="155"/>
      <c r="F1052" s="155"/>
      <c r="G1052" s="213"/>
      <c r="H1052" s="213"/>
      <c r="I1052" s="213"/>
      <c r="J1052" s="213"/>
    </row>
    <row r="1053" spans="1:10" x14ac:dyDescent="0.2">
      <c r="A1053" s="155"/>
      <c r="B1053" s="223" t="s">
        <v>166</v>
      </c>
      <c r="C1053" s="224"/>
      <c r="D1053" s="225"/>
      <c r="E1053" s="226"/>
      <c r="F1053" s="155"/>
      <c r="G1053" s="213"/>
      <c r="H1053" s="213"/>
      <c r="I1053" s="213"/>
      <c r="J1053" s="213"/>
    </row>
    <row r="1054" spans="1:10" x14ac:dyDescent="0.2">
      <c r="A1054" s="155"/>
      <c r="B1054" s="227"/>
      <c r="C1054" s="318" t="s">
        <v>384</v>
      </c>
      <c r="D1054" s="318"/>
      <c r="E1054" s="311"/>
      <c r="F1054" s="155"/>
      <c r="G1054" s="213"/>
      <c r="H1054" s="213"/>
      <c r="I1054" s="213"/>
      <c r="J1054" s="213"/>
    </row>
    <row r="1055" spans="1:10" x14ac:dyDescent="0.2">
      <c r="A1055" s="155"/>
      <c r="B1055" s="212" t="s">
        <v>16</v>
      </c>
      <c r="C1055" s="213"/>
      <c r="D1055" s="250"/>
      <c r="E1055" s="214"/>
      <c r="F1055" s="155"/>
      <c r="G1055" s="213"/>
      <c r="H1055" s="213"/>
      <c r="I1055" s="213"/>
      <c r="J1055" s="213"/>
    </row>
    <row r="1056" spans="1:10" x14ac:dyDescent="0.2">
      <c r="A1056" s="155"/>
      <c r="B1056" s="212"/>
      <c r="C1056" s="310"/>
      <c r="D1056" s="310"/>
      <c r="E1056" s="310"/>
      <c r="F1056" s="155"/>
      <c r="G1056" s="213"/>
      <c r="H1056" s="213"/>
      <c r="I1056" s="213"/>
      <c r="J1056" s="213"/>
    </row>
    <row r="1057" spans="1:10" ht="13.5" thickBot="1" x14ac:dyDescent="0.25">
      <c r="A1057" s="155"/>
      <c r="B1057" s="212" t="s">
        <v>17</v>
      </c>
      <c r="C1057" s="213"/>
      <c r="D1057" s="250"/>
      <c r="E1057" s="214"/>
      <c r="F1057" s="155"/>
      <c r="G1057" s="213"/>
      <c r="H1057" s="213"/>
      <c r="I1057" s="213"/>
      <c r="J1057" s="213"/>
    </row>
    <row r="1058" spans="1:10" ht="13.5" thickBot="1" x14ac:dyDescent="0.25">
      <c r="A1058" s="155"/>
      <c r="B1058" s="312" t="s">
        <v>287</v>
      </c>
      <c r="C1058" s="313"/>
      <c r="D1058" s="313"/>
      <c r="E1058" s="314"/>
      <c r="F1058" s="155"/>
      <c r="G1058" s="213"/>
      <c r="H1058" s="213"/>
      <c r="I1058" s="213"/>
      <c r="J1058" s="213"/>
    </row>
    <row r="1059" spans="1:10" x14ac:dyDescent="0.2">
      <c r="A1059" s="155"/>
      <c r="B1059" s="316" t="s">
        <v>138</v>
      </c>
      <c r="C1059" s="317"/>
      <c r="D1059" s="228" t="s">
        <v>11</v>
      </c>
      <c r="E1059" s="228" t="s">
        <v>139</v>
      </c>
      <c r="F1059" s="155"/>
      <c r="G1059" s="213"/>
      <c r="H1059" s="213"/>
      <c r="I1059" s="213"/>
      <c r="J1059" s="213"/>
    </row>
    <row r="1060" spans="1:10" s="155" customFormat="1" x14ac:dyDescent="0.2">
      <c r="B1060" s="305" t="s">
        <v>301</v>
      </c>
      <c r="C1060" s="305"/>
      <c r="D1060" s="246">
        <v>2</v>
      </c>
      <c r="E1060" s="165" t="s">
        <v>300</v>
      </c>
      <c r="G1060" s="250"/>
      <c r="H1060" s="213"/>
      <c r="I1060" s="261"/>
      <c r="J1060" s="261"/>
    </row>
    <row r="1061" spans="1:10" s="155" customFormat="1" x14ac:dyDescent="0.2">
      <c r="B1061" s="305" t="s">
        <v>302</v>
      </c>
      <c r="C1061" s="305"/>
      <c r="D1061" s="246">
        <v>4</v>
      </c>
      <c r="E1061" s="165" t="s">
        <v>246</v>
      </c>
      <c r="G1061" s="250"/>
      <c r="H1061" s="213"/>
      <c r="I1061" s="261"/>
      <c r="J1061" s="261"/>
    </row>
    <row r="1062" spans="1:10" s="155" customFormat="1" x14ac:dyDescent="0.2">
      <c r="B1062" s="305" t="s">
        <v>304</v>
      </c>
      <c r="C1062" s="305"/>
      <c r="D1062" s="246">
        <v>4</v>
      </c>
      <c r="E1062" s="165" t="s">
        <v>247</v>
      </c>
      <c r="G1062" s="250"/>
      <c r="H1062" s="213"/>
      <c r="I1062" s="261"/>
      <c r="J1062" s="261"/>
    </row>
    <row r="1063" spans="1:10" s="155" customFormat="1" x14ac:dyDescent="0.2">
      <c r="B1063" s="305" t="s">
        <v>303</v>
      </c>
      <c r="C1063" s="305"/>
      <c r="D1063" s="246">
        <v>3</v>
      </c>
      <c r="E1063" s="165" t="s">
        <v>248</v>
      </c>
      <c r="G1063" s="250"/>
      <c r="H1063" s="213"/>
      <c r="I1063" s="261"/>
      <c r="J1063" s="261"/>
    </row>
    <row r="1064" spans="1:10" s="155" customFormat="1" x14ac:dyDescent="0.2">
      <c r="B1064" s="305" t="s">
        <v>298</v>
      </c>
      <c r="C1064" s="305"/>
      <c r="D1064" s="246">
        <v>3</v>
      </c>
      <c r="E1064" s="165" t="s">
        <v>299</v>
      </c>
      <c r="G1064" s="250"/>
      <c r="H1064" s="213"/>
      <c r="I1064" s="261"/>
      <c r="J1064" s="261"/>
    </row>
    <row r="1065" spans="1:10" s="155" customFormat="1" x14ac:dyDescent="0.2">
      <c r="B1065" s="305" t="s">
        <v>249</v>
      </c>
      <c r="C1065" s="305"/>
      <c r="D1065" s="246">
        <v>2</v>
      </c>
      <c r="E1065" s="165" t="s">
        <v>250</v>
      </c>
      <c r="G1065" s="250"/>
      <c r="H1065" s="213"/>
      <c r="I1065" s="261"/>
      <c r="J1065" s="261"/>
    </row>
    <row r="1066" spans="1:10" s="155" customFormat="1" x14ac:dyDescent="0.2">
      <c r="B1066" s="305" t="s">
        <v>251</v>
      </c>
      <c r="C1066" s="305"/>
      <c r="D1066" s="246">
        <v>3</v>
      </c>
      <c r="E1066" s="165" t="s">
        <v>252</v>
      </c>
      <c r="G1066" s="250"/>
      <c r="H1066" s="213"/>
      <c r="I1066" s="261"/>
      <c r="J1066" s="261"/>
    </row>
    <row r="1067" spans="1:10" s="155" customFormat="1" x14ac:dyDescent="0.2">
      <c r="B1067" s="305" t="s">
        <v>253</v>
      </c>
      <c r="C1067" s="305"/>
      <c r="D1067" s="246">
        <v>3</v>
      </c>
      <c r="E1067" s="165" t="s">
        <v>254</v>
      </c>
      <c r="G1067" s="250"/>
      <c r="H1067" s="213"/>
      <c r="I1067" s="261"/>
      <c r="J1067" s="261"/>
    </row>
    <row r="1068" spans="1:10" s="155" customFormat="1" x14ac:dyDescent="0.2">
      <c r="B1068" s="305" t="s">
        <v>255</v>
      </c>
      <c r="C1068" s="305"/>
      <c r="D1068" s="246">
        <v>5</v>
      </c>
      <c r="E1068" s="165" t="s">
        <v>256</v>
      </c>
      <c r="G1068" s="250"/>
      <c r="H1068" s="213"/>
      <c r="I1068" s="261"/>
      <c r="J1068" s="261"/>
    </row>
    <row r="1069" spans="1:10" s="155" customFormat="1" x14ac:dyDescent="0.2">
      <c r="B1069" s="305" t="s">
        <v>305</v>
      </c>
      <c r="C1069" s="305"/>
      <c r="D1069" s="246">
        <v>3</v>
      </c>
      <c r="E1069" s="165" t="s">
        <v>257</v>
      </c>
      <c r="G1069" s="250"/>
      <c r="H1069" s="213"/>
      <c r="I1069" s="261"/>
      <c r="J1069" s="261"/>
    </row>
    <row r="1070" spans="1:10" s="155" customFormat="1" x14ac:dyDescent="0.2">
      <c r="B1070" s="305" t="s">
        <v>258</v>
      </c>
      <c r="C1070" s="305"/>
      <c r="D1070" s="246">
        <v>2</v>
      </c>
      <c r="E1070" s="165" t="s">
        <v>259</v>
      </c>
      <c r="G1070" s="250"/>
      <c r="H1070" s="213"/>
      <c r="I1070" s="261"/>
      <c r="J1070" s="261"/>
    </row>
    <row r="1071" spans="1:10" s="155" customFormat="1" x14ac:dyDescent="0.2">
      <c r="B1071" s="305" t="s">
        <v>260</v>
      </c>
      <c r="C1071" s="305"/>
      <c r="D1071" s="246">
        <v>3</v>
      </c>
      <c r="E1071" s="165" t="s">
        <v>261</v>
      </c>
      <c r="G1071" s="250"/>
      <c r="H1071" s="213"/>
      <c r="I1071" s="261"/>
      <c r="J1071" s="261"/>
    </row>
    <row r="1072" spans="1:10" s="155" customFormat="1" x14ac:dyDescent="0.2">
      <c r="B1072" s="305" t="s">
        <v>306</v>
      </c>
      <c r="C1072" s="305"/>
      <c r="D1072" s="246">
        <v>3</v>
      </c>
      <c r="E1072" s="165" t="s">
        <v>262</v>
      </c>
      <c r="G1072" s="250"/>
      <c r="H1072" s="213"/>
      <c r="I1072" s="261"/>
      <c r="J1072" s="261"/>
    </row>
    <row r="1073" spans="1:10" s="155" customFormat="1" x14ac:dyDescent="0.2">
      <c r="B1073" s="305" t="s">
        <v>263</v>
      </c>
      <c r="C1073" s="305"/>
      <c r="D1073" s="246">
        <v>3</v>
      </c>
      <c r="E1073" s="165" t="s">
        <v>264</v>
      </c>
      <c r="G1073" s="250"/>
      <c r="H1073" s="213"/>
      <c r="I1073" s="261"/>
      <c r="J1073" s="261"/>
    </row>
    <row r="1074" spans="1:10" s="155" customFormat="1" x14ac:dyDescent="0.2">
      <c r="B1074" s="305" t="s">
        <v>265</v>
      </c>
      <c r="C1074" s="305"/>
      <c r="D1074" s="246">
        <v>3</v>
      </c>
      <c r="E1074" s="165" t="s">
        <v>266</v>
      </c>
      <c r="G1074" s="250"/>
      <c r="H1074" s="213"/>
      <c r="I1074" s="261"/>
      <c r="J1074" s="261"/>
    </row>
    <row r="1075" spans="1:10" s="155" customFormat="1" x14ac:dyDescent="0.2">
      <c r="B1075" s="305" t="s">
        <v>267</v>
      </c>
      <c r="C1075" s="305"/>
      <c r="D1075" s="246">
        <v>3</v>
      </c>
      <c r="E1075" s="165" t="s">
        <v>268</v>
      </c>
      <c r="G1075" s="250"/>
      <c r="H1075" s="213"/>
      <c r="I1075" s="261"/>
      <c r="J1075" s="261"/>
    </row>
    <row r="1076" spans="1:10" s="155" customFormat="1" x14ac:dyDescent="0.2">
      <c r="B1076" s="305" t="s">
        <v>269</v>
      </c>
      <c r="C1076" s="305"/>
      <c r="D1076" s="246">
        <v>3</v>
      </c>
      <c r="E1076" s="165" t="s">
        <v>270</v>
      </c>
      <c r="G1076" s="250"/>
      <c r="H1076" s="213"/>
      <c r="I1076" s="261"/>
      <c r="J1076" s="261"/>
    </row>
    <row r="1077" spans="1:10" s="155" customFormat="1" x14ac:dyDescent="0.2">
      <c r="B1077" s="305" t="s">
        <v>271</v>
      </c>
      <c r="C1077" s="305"/>
      <c r="D1077" s="246">
        <v>3</v>
      </c>
      <c r="E1077" s="165" t="s">
        <v>272</v>
      </c>
      <c r="G1077" s="250"/>
      <c r="H1077" s="213"/>
      <c r="I1077" s="261"/>
      <c r="J1077" s="261"/>
    </row>
    <row r="1078" spans="1:10" s="155" customFormat="1" x14ac:dyDescent="0.2">
      <c r="B1078" s="305" t="s">
        <v>273</v>
      </c>
      <c r="C1078" s="305"/>
      <c r="D1078" s="246">
        <v>3</v>
      </c>
      <c r="E1078" s="165" t="s">
        <v>274</v>
      </c>
      <c r="G1078" s="250"/>
      <c r="H1078" s="213"/>
      <c r="I1078" s="261"/>
      <c r="J1078" s="261"/>
    </row>
    <row r="1079" spans="1:10" s="155" customFormat="1" ht="13.5" thickBot="1" x14ac:dyDescent="0.25">
      <c r="B1079" s="305" t="s">
        <v>307</v>
      </c>
      <c r="C1079" s="305"/>
      <c r="D1079" s="246">
        <v>3</v>
      </c>
      <c r="E1079" s="165" t="s">
        <v>308</v>
      </c>
      <c r="G1079" s="250"/>
      <c r="H1079" s="213"/>
      <c r="I1079" s="261"/>
      <c r="J1079" s="261"/>
    </row>
    <row r="1080" spans="1:10" ht="25.5" customHeight="1" thickBot="1" x14ac:dyDescent="0.25">
      <c r="A1080" s="155"/>
      <c r="B1080" s="307" t="s">
        <v>409</v>
      </c>
      <c r="C1080" s="308"/>
      <c r="D1080" s="308"/>
      <c r="E1080" s="309"/>
      <c r="F1080" s="155"/>
      <c r="G1080" s="213"/>
      <c r="H1080" s="213"/>
      <c r="I1080" s="261"/>
      <c r="J1080" s="261"/>
    </row>
    <row r="1081" spans="1:10" x14ac:dyDescent="0.2">
      <c r="A1081" s="155"/>
      <c r="B1081" s="212" t="s">
        <v>18</v>
      </c>
      <c r="C1081" s="213"/>
      <c r="D1081" s="250"/>
      <c r="E1081" s="214"/>
      <c r="F1081" s="155"/>
      <c r="G1081" s="213"/>
      <c r="H1081" s="213"/>
      <c r="I1081" s="213"/>
      <c r="J1081" s="213"/>
    </row>
    <row r="1082" spans="1:10" x14ac:dyDescent="0.2">
      <c r="A1082" s="155"/>
      <c r="B1082" s="216"/>
      <c r="C1082" s="310" t="s">
        <v>63</v>
      </c>
      <c r="D1082" s="310"/>
      <c r="E1082" s="310"/>
      <c r="F1082" s="155"/>
      <c r="G1082" s="213"/>
      <c r="H1082" s="213"/>
      <c r="I1082" s="213"/>
      <c r="J1082" s="213"/>
    </row>
    <row r="1083" spans="1:10" x14ac:dyDescent="0.2">
      <c r="A1083" s="155"/>
      <c r="B1083" s="212" t="s">
        <v>19</v>
      </c>
      <c r="C1083" s="217"/>
      <c r="D1083" s="217"/>
      <c r="E1083" s="251"/>
      <c r="F1083" s="155"/>
      <c r="G1083" s="213"/>
      <c r="H1083" s="213"/>
      <c r="I1083" s="213"/>
      <c r="J1083" s="213"/>
    </row>
    <row r="1084" spans="1:10" x14ac:dyDescent="0.2">
      <c r="A1084" s="155"/>
      <c r="B1084" s="216"/>
      <c r="C1084" s="310" t="s">
        <v>140</v>
      </c>
      <c r="D1084" s="310"/>
      <c r="E1084" s="310"/>
      <c r="F1084" s="155"/>
      <c r="G1084" s="213"/>
      <c r="H1084" s="213"/>
      <c r="I1084" s="213"/>
      <c r="J1084" s="213"/>
    </row>
    <row r="1085" spans="1:10" x14ac:dyDescent="0.2">
      <c r="A1085" s="155"/>
      <c r="B1085" s="212" t="s">
        <v>20</v>
      </c>
      <c r="C1085" s="213"/>
      <c r="D1085" s="250"/>
      <c r="E1085" s="214"/>
      <c r="F1085" s="155"/>
      <c r="G1085" s="213"/>
      <c r="H1085" s="213"/>
      <c r="I1085" s="213"/>
      <c r="J1085" s="213"/>
    </row>
    <row r="1086" spans="1:10" x14ac:dyDescent="0.2">
      <c r="A1086" s="155"/>
      <c r="B1086" s="212"/>
      <c r="C1086" s="311" t="s">
        <v>64</v>
      </c>
      <c r="D1086" s="311"/>
      <c r="E1086" s="311"/>
      <c r="F1086" s="155"/>
      <c r="G1086" s="213"/>
      <c r="H1086" s="213"/>
      <c r="I1086" s="213"/>
      <c r="J1086" s="213"/>
    </row>
    <row r="1087" spans="1:10" ht="13.5" thickBot="1" x14ac:dyDescent="0.25">
      <c r="A1087" s="155"/>
      <c r="B1087" s="218"/>
      <c r="C1087" s="219"/>
      <c r="D1087" s="220"/>
      <c r="E1087" s="221"/>
      <c r="F1087" s="155"/>
      <c r="G1087" s="213"/>
      <c r="H1087" s="213"/>
      <c r="I1087" s="213"/>
      <c r="J1087" s="213"/>
    </row>
    <row r="1088" spans="1:10" ht="13.5" thickBot="1" x14ac:dyDescent="0.25">
      <c r="A1088" s="155"/>
      <c r="B1088" s="155"/>
      <c r="C1088" s="155"/>
      <c r="D1088" s="222"/>
      <c r="E1088" s="155"/>
      <c r="F1088" s="155"/>
      <c r="G1088" s="213"/>
      <c r="H1088" s="213"/>
      <c r="I1088" s="213"/>
      <c r="J1088" s="213"/>
    </row>
    <row r="1089" spans="1:10" x14ac:dyDescent="0.2">
      <c r="A1089" s="155"/>
      <c r="B1089" s="223" t="s">
        <v>167</v>
      </c>
      <c r="C1089" s="224"/>
      <c r="D1089" s="225"/>
      <c r="E1089" s="226"/>
      <c r="F1089" s="155"/>
      <c r="G1089" s="213"/>
      <c r="H1089" s="213"/>
      <c r="I1089" s="213"/>
      <c r="J1089" s="213"/>
    </row>
    <row r="1090" spans="1:10" x14ac:dyDescent="0.2">
      <c r="A1090" s="155"/>
      <c r="B1090" s="227"/>
      <c r="C1090" s="318"/>
      <c r="D1090" s="318"/>
      <c r="E1090" s="311"/>
      <c r="F1090" s="155"/>
      <c r="G1090" s="213"/>
      <c r="H1090" s="213"/>
      <c r="I1090" s="213"/>
      <c r="J1090" s="213"/>
    </row>
    <row r="1091" spans="1:10" x14ac:dyDescent="0.2">
      <c r="A1091" s="155"/>
      <c r="B1091" s="212" t="s">
        <v>16</v>
      </c>
      <c r="C1091" s="213"/>
      <c r="D1091" s="250"/>
      <c r="E1091" s="214"/>
      <c r="F1091" s="155"/>
      <c r="G1091" s="213"/>
      <c r="H1091" s="213"/>
      <c r="I1091" s="213"/>
      <c r="J1091" s="213"/>
    </row>
    <row r="1092" spans="1:10" x14ac:dyDescent="0.2">
      <c r="A1092" s="155"/>
      <c r="B1092" s="212"/>
      <c r="C1092" s="318" t="s">
        <v>385</v>
      </c>
      <c r="D1092" s="318"/>
      <c r="E1092" s="311"/>
      <c r="F1092" s="155"/>
      <c r="G1092" s="213"/>
      <c r="H1092" s="213"/>
      <c r="I1092" s="213"/>
      <c r="J1092" s="213"/>
    </row>
    <row r="1093" spans="1:10" ht="13.5" thickBot="1" x14ac:dyDescent="0.25">
      <c r="A1093" s="155"/>
      <c r="B1093" s="212" t="s">
        <v>17</v>
      </c>
      <c r="C1093" s="213"/>
      <c r="D1093" s="250"/>
      <c r="E1093" s="214"/>
      <c r="F1093" s="155"/>
      <c r="G1093" s="213"/>
      <c r="H1093" s="213"/>
      <c r="I1093" s="213"/>
      <c r="J1093" s="213"/>
    </row>
    <row r="1094" spans="1:10" ht="13.5" thickBot="1" x14ac:dyDescent="0.25">
      <c r="A1094" s="155"/>
      <c r="B1094" s="312" t="s">
        <v>288</v>
      </c>
      <c r="C1094" s="313"/>
      <c r="D1094" s="313"/>
      <c r="E1094" s="314"/>
      <c r="F1094" s="155"/>
      <c r="G1094" s="213"/>
      <c r="H1094" s="213"/>
      <c r="I1094" s="213"/>
      <c r="J1094" s="213"/>
    </row>
    <row r="1095" spans="1:10" x14ac:dyDescent="0.2">
      <c r="A1095" s="155"/>
      <c r="B1095" s="316" t="s">
        <v>138</v>
      </c>
      <c r="C1095" s="317"/>
      <c r="D1095" s="228" t="s">
        <v>11</v>
      </c>
      <c r="E1095" s="228" t="s">
        <v>139</v>
      </c>
      <c r="F1095" s="155"/>
      <c r="G1095" s="213"/>
      <c r="H1095" s="213"/>
      <c r="I1095" s="213"/>
      <c r="J1095" s="213"/>
    </row>
    <row r="1096" spans="1:10" s="155" customFormat="1" x14ac:dyDescent="0.2">
      <c r="B1096" s="305" t="s">
        <v>301</v>
      </c>
      <c r="C1096" s="305"/>
      <c r="D1096" s="256">
        <v>2</v>
      </c>
      <c r="E1096" s="165" t="s">
        <v>300</v>
      </c>
      <c r="G1096" s="250"/>
      <c r="H1096" s="213"/>
      <c r="I1096" s="261"/>
      <c r="J1096" s="261"/>
    </row>
    <row r="1097" spans="1:10" s="155" customFormat="1" x14ac:dyDescent="0.2">
      <c r="B1097" s="305" t="s">
        <v>302</v>
      </c>
      <c r="C1097" s="305"/>
      <c r="D1097" s="256">
        <v>4</v>
      </c>
      <c r="E1097" s="165" t="s">
        <v>246</v>
      </c>
      <c r="G1097" s="250"/>
      <c r="H1097" s="213"/>
      <c r="I1097" s="261"/>
      <c r="J1097" s="261"/>
    </row>
    <row r="1098" spans="1:10" s="155" customFormat="1" x14ac:dyDescent="0.2">
      <c r="B1098" s="305" t="s">
        <v>304</v>
      </c>
      <c r="C1098" s="305"/>
      <c r="D1098" s="256">
        <v>4</v>
      </c>
      <c r="E1098" s="165" t="s">
        <v>247</v>
      </c>
      <c r="G1098" s="250"/>
      <c r="H1098" s="213"/>
      <c r="I1098" s="261"/>
      <c r="J1098" s="261"/>
    </row>
    <row r="1099" spans="1:10" s="155" customFormat="1" x14ac:dyDescent="0.2">
      <c r="B1099" s="305" t="s">
        <v>303</v>
      </c>
      <c r="C1099" s="305"/>
      <c r="D1099" s="256">
        <v>3</v>
      </c>
      <c r="E1099" s="165" t="s">
        <v>248</v>
      </c>
      <c r="G1099" s="250"/>
      <c r="H1099" s="213"/>
      <c r="I1099" s="261"/>
      <c r="J1099" s="261"/>
    </row>
    <row r="1100" spans="1:10" s="155" customFormat="1" x14ac:dyDescent="0.2">
      <c r="B1100" s="305" t="s">
        <v>298</v>
      </c>
      <c r="C1100" s="305"/>
      <c r="D1100" s="256">
        <v>2</v>
      </c>
      <c r="E1100" s="165" t="s">
        <v>299</v>
      </c>
      <c r="G1100" s="250"/>
      <c r="H1100" s="213"/>
      <c r="I1100" s="261"/>
      <c r="J1100" s="261"/>
    </row>
    <row r="1101" spans="1:10" s="155" customFormat="1" x14ac:dyDescent="0.2">
      <c r="B1101" s="305" t="s">
        <v>249</v>
      </c>
      <c r="C1101" s="305"/>
      <c r="D1101" s="256">
        <v>2</v>
      </c>
      <c r="E1101" s="165" t="s">
        <v>250</v>
      </c>
      <c r="G1101" s="250"/>
      <c r="H1101" s="213"/>
      <c r="I1101" s="261"/>
      <c r="J1101" s="261"/>
    </row>
    <row r="1102" spans="1:10" s="155" customFormat="1" x14ac:dyDescent="0.2">
      <c r="B1102" s="305" t="s">
        <v>251</v>
      </c>
      <c r="C1102" s="305"/>
      <c r="D1102" s="256">
        <v>3</v>
      </c>
      <c r="E1102" s="165" t="s">
        <v>252</v>
      </c>
      <c r="G1102" s="250"/>
      <c r="H1102" s="213"/>
      <c r="I1102" s="261"/>
      <c r="J1102" s="261"/>
    </row>
    <row r="1103" spans="1:10" s="155" customFormat="1" x14ac:dyDescent="0.2">
      <c r="B1103" s="305" t="s">
        <v>253</v>
      </c>
      <c r="C1103" s="305"/>
      <c r="D1103" s="256">
        <v>3</v>
      </c>
      <c r="E1103" s="165" t="s">
        <v>254</v>
      </c>
      <c r="G1103" s="250"/>
      <c r="H1103" s="213"/>
      <c r="I1103" s="261"/>
      <c r="J1103" s="261"/>
    </row>
    <row r="1104" spans="1:10" s="155" customFormat="1" x14ac:dyDescent="0.2">
      <c r="B1104" s="305" t="s">
        <v>255</v>
      </c>
      <c r="C1104" s="305"/>
      <c r="D1104" s="256">
        <v>5</v>
      </c>
      <c r="E1104" s="165" t="s">
        <v>256</v>
      </c>
      <c r="G1104" s="250"/>
      <c r="H1104" s="213"/>
      <c r="I1104" s="261"/>
      <c r="J1104" s="261"/>
    </row>
    <row r="1105" spans="1:10" s="155" customFormat="1" x14ac:dyDescent="0.2">
      <c r="B1105" s="305" t="s">
        <v>305</v>
      </c>
      <c r="C1105" s="305"/>
      <c r="D1105" s="256">
        <v>3</v>
      </c>
      <c r="E1105" s="165" t="s">
        <v>257</v>
      </c>
      <c r="G1105" s="250"/>
      <c r="H1105" s="213"/>
      <c r="I1105" s="261"/>
      <c r="J1105" s="261"/>
    </row>
    <row r="1106" spans="1:10" s="155" customFormat="1" x14ac:dyDescent="0.2">
      <c r="B1106" s="305" t="s">
        <v>258</v>
      </c>
      <c r="C1106" s="305"/>
      <c r="D1106" s="256">
        <v>2</v>
      </c>
      <c r="E1106" s="165" t="s">
        <v>259</v>
      </c>
      <c r="G1106" s="250"/>
      <c r="H1106" s="213"/>
      <c r="I1106" s="261"/>
      <c r="J1106" s="261"/>
    </row>
    <row r="1107" spans="1:10" s="155" customFormat="1" x14ac:dyDescent="0.2">
      <c r="B1107" s="305" t="s">
        <v>260</v>
      </c>
      <c r="C1107" s="305"/>
      <c r="D1107" s="256">
        <v>3</v>
      </c>
      <c r="E1107" s="165" t="s">
        <v>261</v>
      </c>
      <c r="G1107" s="250"/>
      <c r="H1107" s="213"/>
      <c r="I1107" s="261"/>
      <c r="J1107" s="261"/>
    </row>
    <row r="1108" spans="1:10" s="155" customFormat="1" x14ac:dyDescent="0.2">
      <c r="B1108" s="305" t="s">
        <v>306</v>
      </c>
      <c r="C1108" s="305"/>
      <c r="D1108" s="256">
        <v>3</v>
      </c>
      <c r="E1108" s="165" t="s">
        <v>262</v>
      </c>
      <c r="G1108" s="250"/>
      <c r="H1108" s="213"/>
      <c r="I1108" s="261"/>
      <c r="J1108" s="261"/>
    </row>
    <row r="1109" spans="1:10" s="155" customFormat="1" x14ac:dyDescent="0.2">
      <c r="B1109" s="305" t="s">
        <v>263</v>
      </c>
      <c r="C1109" s="305"/>
      <c r="D1109" s="256">
        <v>2</v>
      </c>
      <c r="E1109" s="165" t="s">
        <v>264</v>
      </c>
      <c r="G1109" s="250"/>
      <c r="H1109" s="213"/>
      <c r="I1109" s="261"/>
      <c r="J1109" s="261"/>
    </row>
    <row r="1110" spans="1:10" s="155" customFormat="1" x14ac:dyDescent="0.2">
      <c r="B1110" s="305" t="s">
        <v>265</v>
      </c>
      <c r="C1110" s="305"/>
      <c r="D1110" s="256">
        <v>3</v>
      </c>
      <c r="E1110" s="165" t="s">
        <v>266</v>
      </c>
      <c r="G1110" s="250"/>
      <c r="H1110" s="213"/>
      <c r="I1110" s="261"/>
      <c r="J1110" s="261"/>
    </row>
    <row r="1111" spans="1:10" s="155" customFormat="1" x14ac:dyDescent="0.2">
      <c r="B1111" s="305" t="s">
        <v>267</v>
      </c>
      <c r="C1111" s="305"/>
      <c r="D1111" s="256">
        <v>3</v>
      </c>
      <c r="E1111" s="165" t="s">
        <v>268</v>
      </c>
      <c r="G1111" s="250"/>
      <c r="H1111" s="213"/>
      <c r="I1111" s="261"/>
      <c r="J1111" s="261"/>
    </row>
    <row r="1112" spans="1:10" s="155" customFormat="1" x14ac:dyDescent="0.2">
      <c r="B1112" s="305" t="s">
        <v>269</v>
      </c>
      <c r="C1112" s="305"/>
      <c r="D1112" s="256">
        <v>3</v>
      </c>
      <c r="E1112" s="165" t="s">
        <v>270</v>
      </c>
      <c r="G1112" s="250"/>
      <c r="H1112" s="213"/>
      <c r="I1112" s="261"/>
      <c r="J1112" s="261"/>
    </row>
    <row r="1113" spans="1:10" s="155" customFormat="1" x14ac:dyDescent="0.2">
      <c r="B1113" s="305" t="s">
        <v>271</v>
      </c>
      <c r="C1113" s="305"/>
      <c r="D1113" s="256">
        <v>2</v>
      </c>
      <c r="E1113" s="165" t="s">
        <v>272</v>
      </c>
      <c r="G1113" s="250"/>
      <c r="H1113" s="213"/>
      <c r="I1113" s="261"/>
      <c r="J1113" s="261"/>
    </row>
    <row r="1114" spans="1:10" s="155" customFormat="1" x14ac:dyDescent="0.2">
      <c r="B1114" s="305" t="s">
        <v>273</v>
      </c>
      <c r="C1114" s="305"/>
      <c r="D1114" s="256">
        <v>2</v>
      </c>
      <c r="E1114" s="165" t="s">
        <v>274</v>
      </c>
      <c r="G1114" s="250"/>
      <c r="H1114" s="213"/>
      <c r="I1114" s="261"/>
      <c r="J1114" s="261"/>
    </row>
    <row r="1115" spans="1:10" s="155" customFormat="1" ht="13.5" thickBot="1" x14ac:dyDescent="0.25">
      <c r="B1115" s="305" t="s">
        <v>307</v>
      </c>
      <c r="C1115" s="305"/>
      <c r="D1115" s="256">
        <v>2</v>
      </c>
      <c r="E1115" s="165" t="s">
        <v>308</v>
      </c>
      <c r="G1115" s="250"/>
      <c r="H1115" s="213"/>
      <c r="I1115" s="261"/>
      <c r="J1115" s="261"/>
    </row>
    <row r="1116" spans="1:10" ht="24.75" customHeight="1" thickBot="1" x14ac:dyDescent="0.25">
      <c r="A1116" s="155"/>
      <c r="B1116" s="307" t="s">
        <v>416</v>
      </c>
      <c r="C1116" s="308"/>
      <c r="D1116" s="308"/>
      <c r="E1116" s="309"/>
      <c r="F1116" s="155"/>
      <c r="G1116" s="213"/>
      <c r="H1116" s="213"/>
      <c r="I1116" s="261"/>
      <c r="J1116" s="261"/>
    </row>
    <row r="1117" spans="1:10" x14ac:dyDescent="0.2">
      <c r="A1117" s="155"/>
      <c r="B1117" s="212" t="s">
        <v>18</v>
      </c>
      <c r="C1117" s="213"/>
      <c r="D1117" s="250"/>
      <c r="E1117" s="214"/>
      <c r="F1117" s="155"/>
      <c r="G1117" s="213"/>
      <c r="H1117" s="213"/>
      <c r="I1117" s="213"/>
      <c r="J1117" s="213"/>
    </row>
    <row r="1118" spans="1:10" x14ac:dyDescent="0.2">
      <c r="A1118" s="155"/>
      <c r="B1118" s="216"/>
      <c r="C1118" s="310" t="s">
        <v>63</v>
      </c>
      <c r="D1118" s="310"/>
      <c r="E1118" s="310"/>
      <c r="F1118" s="155"/>
      <c r="G1118" s="213"/>
      <c r="H1118" s="213"/>
      <c r="I1118" s="213"/>
      <c r="J1118" s="213"/>
    </row>
    <row r="1119" spans="1:10" x14ac:dyDescent="0.2">
      <c r="A1119" s="155"/>
      <c r="B1119" s="212" t="s">
        <v>19</v>
      </c>
      <c r="C1119" s="217"/>
      <c r="D1119" s="217"/>
      <c r="E1119" s="251"/>
      <c r="F1119" s="155"/>
      <c r="G1119" s="213"/>
      <c r="H1119" s="213"/>
      <c r="I1119" s="213"/>
      <c r="J1119" s="213"/>
    </row>
    <row r="1120" spans="1:10" x14ac:dyDescent="0.2">
      <c r="A1120" s="155"/>
      <c r="B1120" s="216"/>
      <c r="C1120" s="310">
        <f>SUM(F52)</f>
        <v>0</v>
      </c>
      <c r="D1120" s="310"/>
      <c r="E1120" s="310"/>
      <c r="F1120" s="155"/>
      <c r="G1120" s="213"/>
      <c r="H1120" s="213"/>
      <c r="I1120" s="213"/>
      <c r="J1120" s="213"/>
    </row>
    <row r="1121" spans="1:10" x14ac:dyDescent="0.2">
      <c r="A1121" s="155"/>
      <c r="B1121" s="212" t="s">
        <v>20</v>
      </c>
      <c r="C1121" s="213"/>
      <c r="D1121" s="250"/>
      <c r="E1121" s="214"/>
      <c r="F1121" s="155"/>
      <c r="G1121" s="213"/>
      <c r="H1121" s="213"/>
      <c r="I1121" s="213"/>
      <c r="J1121" s="213"/>
    </row>
    <row r="1122" spans="1:10" x14ac:dyDescent="0.2">
      <c r="A1122" s="155"/>
      <c r="B1122" s="212"/>
      <c r="C1122" s="311" t="s">
        <v>64</v>
      </c>
      <c r="D1122" s="311"/>
      <c r="E1122" s="311"/>
      <c r="F1122" s="155"/>
      <c r="G1122" s="213"/>
      <c r="H1122" s="213"/>
      <c r="I1122" s="213"/>
      <c r="J1122" s="213"/>
    </row>
    <row r="1123" spans="1:10" ht="13.5" thickBot="1" x14ac:dyDescent="0.25">
      <c r="A1123" s="155"/>
      <c r="B1123" s="218"/>
      <c r="C1123" s="219"/>
      <c r="D1123" s="220"/>
      <c r="E1123" s="221"/>
      <c r="F1123" s="155"/>
      <c r="G1123" s="213"/>
      <c r="H1123" s="213"/>
      <c r="I1123" s="213"/>
      <c r="J1123" s="213"/>
    </row>
    <row r="1124" spans="1:10" ht="13.5" thickBot="1" x14ac:dyDescent="0.25">
      <c r="A1124" s="155"/>
      <c r="B1124" s="155"/>
      <c r="C1124" s="155"/>
      <c r="D1124" s="222"/>
      <c r="E1124" s="155"/>
      <c r="F1124" s="155"/>
      <c r="G1124" s="213"/>
      <c r="H1124" s="213"/>
      <c r="I1124" s="213"/>
      <c r="J1124" s="213"/>
    </row>
    <row r="1125" spans="1:10" x14ac:dyDescent="0.2">
      <c r="A1125" s="155"/>
      <c r="B1125" s="223" t="s">
        <v>297</v>
      </c>
      <c r="C1125" s="224"/>
      <c r="D1125" s="225"/>
      <c r="E1125" s="226"/>
      <c r="F1125" s="155"/>
      <c r="G1125" s="213"/>
      <c r="H1125" s="213"/>
      <c r="I1125" s="213"/>
      <c r="J1125" s="213"/>
    </row>
    <row r="1126" spans="1:10" ht="5.25" customHeight="1" x14ac:dyDescent="0.2">
      <c r="A1126" s="155"/>
      <c r="B1126" s="227"/>
      <c r="C1126" s="213"/>
      <c r="D1126" s="250"/>
      <c r="E1126" s="214"/>
      <c r="F1126" s="155"/>
      <c r="G1126" s="213"/>
      <c r="H1126" s="213"/>
      <c r="I1126" s="213"/>
      <c r="J1126" s="213"/>
    </row>
    <row r="1127" spans="1:10" x14ac:dyDescent="0.2">
      <c r="A1127" s="155"/>
      <c r="B1127" s="212" t="s">
        <v>16</v>
      </c>
      <c r="C1127" s="213"/>
      <c r="D1127" s="250"/>
      <c r="E1127" s="214"/>
      <c r="F1127" s="155"/>
      <c r="G1127" s="213"/>
      <c r="H1127" s="213"/>
      <c r="I1127" s="213"/>
      <c r="J1127" s="213"/>
    </row>
    <row r="1128" spans="1:10" ht="15.75" customHeight="1" x14ac:dyDescent="0.2">
      <c r="A1128" s="155"/>
      <c r="B1128" s="212"/>
      <c r="C1128" s="310" t="s">
        <v>379</v>
      </c>
      <c r="D1128" s="310"/>
      <c r="E1128" s="310"/>
      <c r="F1128" s="155"/>
      <c r="G1128" s="213"/>
      <c r="H1128" s="213"/>
      <c r="I1128" s="213"/>
      <c r="J1128" s="213"/>
    </row>
    <row r="1129" spans="1:10" ht="13.5" thickBot="1" x14ac:dyDescent="0.25">
      <c r="A1129" s="155"/>
      <c r="B1129" s="212" t="s">
        <v>17</v>
      </c>
      <c r="C1129" s="213"/>
      <c r="D1129" s="250"/>
      <c r="E1129" s="214"/>
      <c r="F1129" s="155"/>
      <c r="G1129" s="213"/>
      <c r="H1129" s="213"/>
      <c r="I1129" s="213"/>
      <c r="J1129" s="213"/>
    </row>
    <row r="1130" spans="1:10" ht="13.5" thickBot="1" x14ac:dyDescent="0.25">
      <c r="A1130" s="155"/>
      <c r="B1130" s="312" t="s">
        <v>137</v>
      </c>
      <c r="C1130" s="313"/>
      <c r="D1130" s="313"/>
      <c r="E1130" s="314"/>
      <c r="F1130" s="155"/>
      <c r="G1130" s="213"/>
      <c r="H1130" s="213"/>
      <c r="I1130" s="213"/>
      <c r="J1130" s="213"/>
    </row>
    <row r="1131" spans="1:10" ht="13.5" thickBot="1" x14ac:dyDescent="0.25">
      <c r="A1131" s="155"/>
      <c r="B1131" s="312" t="s">
        <v>138</v>
      </c>
      <c r="C1131" s="314"/>
      <c r="D1131" s="215" t="s">
        <v>11</v>
      </c>
      <c r="E1131" s="215" t="s">
        <v>139</v>
      </c>
      <c r="F1131" s="155"/>
      <c r="G1131" s="213"/>
      <c r="H1131" s="213"/>
      <c r="I1131" s="213"/>
      <c r="J1131" s="213"/>
    </row>
    <row r="1132" spans="1:10" s="155" customFormat="1" x14ac:dyDescent="0.2">
      <c r="B1132" s="315" t="s">
        <v>301</v>
      </c>
      <c r="C1132" s="315"/>
      <c r="D1132" s="249">
        <v>9</v>
      </c>
      <c r="E1132" s="164" t="s">
        <v>300</v>
      </c>
      <c r="G1132" s="250"/>
      <c r="H1132" s="213"/>
      <c r="I1132" s="261"/>
      <c r="J1132" s="261"/>
    </row>
    <row r="1133" spans="1:10" s="155" customFormat="1" x14ac:dyDescent="0.2">
      <c r="B1133" s="305" t="s">
        <v>302</v>
      </c>
      <c r="C1133" s="305"/>
      <c r="D1133" s="246">
        <v>21</v>
      </c>
      <c r="E1133" s="165" t="s">
        <v>246</v>
      </c>
      <c r="G1133" s="250"/>
      <c r="H1133" s="213"/>
      <c r="I1133" s="261"/>
      <c r="J1133" s="261"/>
    </row>
    <row r="1134" spans="1:10" s="155" customFormat="1" x14ac:dyDescent="0.2">
      <c r="B1134" s="305" t="s">
        <v>304</v>
      </c>
      <c r="C1134" s="305"/>
      <c r="D1134" s="246">
        <v>21</v>
      </c>
      <c r="E1134" s="165" t="s">
        <v>247</v>
      </c>
      <c r="G1134" s="250"/>
      <c r="H1134" s="213"/>
      <c r="I1134" s="261"/>
      <c r="J1134" s="261"/>
    </row>
    <row r="1135" spans="1:10" s="155" customFormat="1" x14ac:dyDescent="0.2">
      <c r="B1135" s="305" t="s">
        <v>303</v>
      </c>
      <c r="C1135" s="305"/>
      <c r="D1135" s="246">
        <v>13</v>
      </c>
      <c r="E1135" s="165" t="s">
        <v>248</v>
      </c>
      <c r="G1135" s="250"/>
      <c r="H1135" s="213"/>
      <c r="I1135" s="261"/>
      <c r="J1135" s="261"/>
    </row>
    <row r="1136" spans="1:10" s="155" customFormat="1" x14ac:dyDescent="0.2">
      <c r="B1136" s="305" t="s">
        <v>298</v>
      </c>
      <c r="C1136" s="305"/>
      <c r="D1136" s="246">
        <v>11</v>
      </c>
      <c r="E1136" s="165" t="s">
        <v>299</v>
      </c>
      <c r="G1136" s="250"/>
      <c r="H1136" s="213"/>
      <c r="I1136" s="261"/>
      <c r="J1136" s="261"/>
    </row>
    <row r="1137" spans="1:10" s="155" customFormat="1" x14ac:dyDescent="0.2">
      <c r="B1137" s="305" t="s">
        <v>249</v>
      </c>
      <c r="C1137" s="305"/>
      <c r="D1137" s="246">
        <v>9</v>
      </c>
      <c r="E1137" s="165" t="s">
        <v>250</v>
      </c>
      <c r="G1137" s="250"/>
      <c r="H1137" s="213"/>
      <c r="I1137" s="261"/>
      <c r="J1137" s="261"/>
    </row>
    <row r="1138" spans="1:10" s="155" customFormat="1" x14ac:dyDescent="0.2">
      <c r="B1138" s="305" t="s">
        <v>251</v>
      </c>
      <c r="C1138" s="305"/>
      <c r="D1138" s="246">
        <v>12</v>
      </c>
      <c r="E1138" s="165" t="s">
        <v>252</v>
      </c>
      <c r="G1138" s="250"/>
      <c r="H1138" s="213"/>
      <c r="I1138" s="261"/>
      <c r="J1138" s="261"/>
    </row>
    <row r="1139" spans="1:10" s="155" customFormat="1" x14ac:dyDescent="0.2">
      <c r="B1139" s="305" t="s">
        <v>253</v>
      </c>
      <c r="C1139" s="305"/>
      <c r="D1139" s="246">
        <v>12</v>
      </c>
      <c r="E1139" s="165" t="s">
        <v>254</v>
      </c>
      <c r="G1139" s="250"/>
      <c r="H1139" s="213"/>
      <c r="I1139" s="261"/>
      <c r="J1139" s="261"/>
    </row>
    <row r="1140" spans="1:10" s="155" customFormat="1" x14ac:dyDescent="0.2">
      <c r="B1140" s="305" t="s">
        <v>255</v>
      </c>
      <c r="C1140" s="305"/>
      <c r="D1140" s="246">
        <v>25</v>
      </c>
      <c r="E1140" s="165" t="s">
        <v>256</v>
      </c>
      <c r="G1140" s="250"/>
      <c r="H1140" s="213"/>
      <c r="I1140" s="261"/>
      <c r="J1140" s="261"/>
    </row>
    <row r="1141" spans="1:10" s="155" customFormat="1" x14ac:dyDescent="0.2">
      <c r="B1141" s="305" t="s">
        <v>305</v>
      </c>
      <c r="C1141" s="305"/>
      <c r="D1141" s="246">
        <v>17</v>
      </c>
      <c r="E1141" s="165" t="s">
        <v>257</v>
      </c>
      <c r="G1141" s="250"/>
      <c r="H1141" s="213"/>
      <c r="I1141" s="261"/>
      <c r="J1141" s="261"/>
    </row>
    <row r="1142" spans="1:10" s="155" customFormat="1" x14ac:dyDescent="0.2">
      <c r="B1142" s="305" t="s">
        <v>258</v>
      </c>
      <c r="C1142" s="305"/>
      <c r="D1142" s="246">
        <v>8</v>
      </c>
      <c r="E1142" s="165" t="s">
        <v>259</v>
      </c>
      <c r="G1142" s="250"/>
      <c r="H1142" s="213"/>
      <c r="I1142" s="261"/>
      <c r="J1142" s="261"/>
    </row>
    <row r="1143" spans="1:10" s="155" customFormat="1" x14ac:dyDescent="0.2">
      <c r="B1143" s="305" t="s">
        <v>260</v>
      </c>
      <c r="C1143" s="305"/>
      <c r="D1143" s="246">
        <v>17</v>
      </c>
      <c r="E1143" s="165" t="s">
        <v>261</v>
      </c>
      <c r="G1143" s="250"/>
      <c r="H1143" s="213"/>
      <c r="I1143" s="261"/>
      <c r="J1143" s="261"/>
    </row>
    <row r="1144" spans="1:10" s="155" customFormat="1" x14ac:dyDescent="0.2">
      <c r="B1144" s="305" t="s">
        <v>306</v>
      </c>
      <c r="C1144" s="305"/>
      <c r="D1144" s="246">
        <v>17</v>
      </c>
      <c r="E1144" s="165" t="s">
        <v>262</v>
      </c>
      <c r="G1144" s="250"/>
      <c r="H1144" s="213"/>
      <c r="I1144" s="261"/>
      <c r="J1144" s="261"/>
    </row>
    <row r="1145" spans="1:10" s="155" customFormat="1" x14ac:dyDescent="0.2">
      <c r="B1145" s="305" t="s">
        <v>263</v>
      </c>
      <c r="C1145" s="305"/>
      <c r="D1145" s="246">
        <v>11</v>
      </c>
      <c r="E1145" s="165" t="s">
        <v>264</v>
      </c>
      <c r="G1145" s="250"/>
      <c r="H1145" s="213"/>
      <c r="I1145" s="261"/>
      <c r="J1145" s="261"/>
    </row>
    <row r="1146" spans="1:10" s="155" customFormat="1" x14ac:dyDescent="0.2">
      <c r="B1146" s="305" t="s">
        <v>265</v>
      </c>
      <c r="C1146" s="305"/>
      <c r="D1146" s="246">
        <v>15</v>
      </c>
      <c r="E1146" s="165" t="s">
        <v>266</v>
      </c>
      <c r="G1146" s="250"/>
      <c r="H1146" s="213"/>
      <c r="I1146" s="261"/>
      <c r="J1146" s="261"/>
    </row>
    <row r="1147" spans="1:10" s="155" customFormat="1" x14ac:dyDescent="0.2">
      <c r="B1147" s="305" t="s">
        <v>267</v>
      </c>
      <c r="C1147" s="305"/>
      <c r="D1147" s="246">
        <v>13</v>
      </c>
      <c r="E1147" s="165" t="s">
        <v>268</v>
      </c>
      <c r="G1147" s="250"/>
      <c r="H1147" s="213"/>
      <c r="I1147" s="261"/>
      <c r="J1147" s="261"/>
    </row>
    <row r="1148" spans="1:10" s="155" customFormat="1" x14ac:dyDescent="0.2">
      <c r="B1148" s="305" t="s">
        <v>269</v>
      </c>
      <c r="C1148" s="305"/>
      <c r="D1148" s="246">
        <v>13</v>
      </c>
      <c r="E1148" s="165" t="s">
        <v>270</v>
      </c>
      <c r="G1148" s="250"/>
      <c r="H1148" s="213"/>
      <c r="I1148" s="261"/>
      <c r="J1148" s="261"/>
    </row>
    <row r="1149" spans="1:10" s="155" customFormat="1" x14ac:dyDescent="0.2">
      <c r="B1149" s="305" t="s">
        <v>271</v>
      </c>
      <c r="C1149" s="305"/>
      <c r="D1149" s="246">
        <v>11</v>
      </c>
      <c r="E1149" s="165" t="s">
        <v>272</v>
      </c>
      <c r="G1149" s="250"/>
      <c r="H1149" s="213"/>
      <c r="I1149" s="261"/>
      <c r="J1149" s="261"/>
    </row>
    <row r="1150" spans="1:10" s="155" customFormat="1" x14ac:dyDescent="0.2">
      <c r="B1150" s="305" t="s">
        <v>273</v>
      </c>
      <c r="C1150" s="305"/>
      <c r="D1150" s="246">
        <v>11</v>
      </c>
      <c r="E1150" s="165" t="s">
        <v>274</v>
      </c>
      <c r="G1150" s="250"/>
      <c r="H1150" s="213"/>
      <c r="I1150" s="261"/>
      <c r="J1150" s="261"/>
    </row>
    <row r="1151" spans="1:10" s="155" customFormat="1" ht="13.5" thickBot="1" x14ac:dyDescent="0.25">
      <c r="B1151" s="306" t="s">
        <v>307</v>
      </c>
      <c r="C1151" s="306"/>
      <c r="D1151" s="247">
        <v>11</v>
      </c>
      <c r="E1151" s="166" t="s">
        <v>308</v>
      </c>
      <c r="G1151" s="250"/>
      <c r="H1151" s="213"/>
      <c r="I1151" s="261"/>
      <c r="J1151" s="261"/>
    </row>
    <row r="1152" spans="1:10" ht="25.5" customHeight="1" thickBot="1" x14ac:dyDescent="0.25">
      <c r="A1152" s="155"/>
      <c r="B1152" s="307" t="s">
        <v>410</v>
      </c>
      <c r="C1152" s="308"/>
      <c r="D1152" s="308"/>
      <c r="E1152" s="309"/>
      <c r="F1152" s="155"/>
      <c r="G1152" s="213"/>
      <c r="H1152" s="213"/>
      <c r="I1152" s="261"/>
      <c r="J1152" s="261"/>
    </row>
    <row r="1153" spans="1:10" x14ac:dyDescent="0.2">
      <c r="A1153" s="155"/>
      <c r="B1153" s="212" t="s">
        <v>18</v>
      </c>
      <c r="C1153" s="213"/>
      <c r="D1153" s="250"/>
      <c r="E1153" s="214"/>
      <c r="F1153" s="155"/>
      <c r="G1153" s="213"/>
      <c r="H1153" s="213"/>
      <c r="I1153" s="261"/>
      <c r="J1153" s="261"/>
    </row>
    <row r="1154" spans="1:10" x14ac:dyDescent="0.2">
      <c r="A1154" s="155"/>
      <c r="B1154" s="216"/>
      <c r="C1154" s="310" t="s">
        <v>63</v>
      </c>
      <c r="D1154" s="310"/>
      <c r="E1154" s="310"/>
      <c r="F1154" s="155"/>
      <c r="G1154" s="213"/>
      <c r="H1154" s="213"/>
      <c r="I1154" s="213"/>
      <c r="J1154" s="213"/>
    </row>
    <row r="1155" spans="1:10" x14ac:dyDescent="0.2">
      <c r="A1155" s="155"/>
      <c r="B1155" s="212" t="s">
        <v>19</v>
      </c>
      <c r="C1155" s="217"/>
      <c r="D1155" s="217"/>
      <c r="E1155" s="251"/>
      <c r="F1155" s="155"/>
      <c r="G1155" s="213"/>
      <c r="H1155" s="213"/>
      <c r="I1155" s="213"/>
      <c r="J1155" s="213"/>
    </row>
    <row r="1156" spans="1:10" x14ac:dyDescent="0.2">
      <c r="A1156" s="155"/>
      <c r="B1156" s="216"/>
      <c r="C1156" s="310" t="s">
        <v>140</v>
      </c>
      <c r="D1156" s="310"/>
      <c r="E1156" s="310"/>
      <c r="F1156" s="155"/>
      <c r="G1156" s="213"/>
      <c r="H1156" s="213"/>
      <c r="I1156" s="213"/>
      <c r="J1156" s="213"/>
    </row>
    <row r="1157" spans="1:10" x14ac:dyDescent="0.2">
      <c r="A1157" s="155"/>
      <c r="B1157" s="212" t="s">
        <v>20</v>
      </c>
      <c r="C1157" s="213"/>
      <c r="D1157" s="250"/>
      <c r="E1157" s="214"/>
      <c r="F1157" s="155"/>
      <c r="G1157" s="213"/>
      <c r="H1157" s="213"/>
      <c r="I1157" s="213"/>
      <c r="J1157" s="213"/>
    </row>
    <row r="1158" spans="1:10" x14ac:dyDescent="0.2">
      <c r="A1158" s="155"/>
      <c r="B1158" s="212"/>
      <c r="C1158" s="311" t="s">
        <v>64</v>
      </c>
      <c r="D1158" s="311"/>
      <c r="E1158" s="311"/>
      <c r="F1158" s="155"/>
      <c r="G1158" s="213"/>
      <c r="H1158" s="213"/>
      <c r="I1158" s="213"/>
      <c r="J1158" s="213"/>
    </row>
    <row r="1159" spans="1:10" ht="13.5" thickBot="1" x14ac:dyDescent="0.25">
      <c r="A1159" s="155"/>
      <c r="B1159" s="218"/>
      <c r="C1159" s="219"/>
      <c r="D1159" s="220"/>
      <c r="E1159" s="221"/>
      <c r="F1159" s="155"/>
      <c r="G1159" s="213"/>
      <c r="H1159" s="213"/>
      <c r="I1159" s="213"/>
      <c r="J1159" s="213"/>
    </row>
    <row r="1160" spans="1:10" ht="13.5" thickBot="1" x14ac:dyDescent="0.25">
      <c r="A1160" s="155"/>
      <c r="B1160" s="155"/>
      <c r="C1160" s="155"/>
      <c r="D1160" s="222"/>
      <c r="E1160" s="155"/>
      <c r="F1160" s="155"/>
      <c r="G1160" s="213"/>
      <c r="H1160" s="213"/>
      <c r="I1160" s="213"/>
      <c r="J1160" s="213"/>
    </row>
    <row r="1161" spans="1:10" x14ac:dyDescent="0.2">
      <c r="A1161" s="155"/>
      <c r="B1161" s="223" t="s">
        <v>317</v>
      </c>
      <c r="C1161" s="224"/>
      <c r="D1161" s="225"/>
      <c r="E1161" s="226"/>
      <c r="F1161" s="155"/>
      <c r="G1161" s="213"/>
      <c r="H1161" s="213"/>
      <c r="I1161" s="213"/>
      <c r="J1161" s="213"/>
    </row>
    <row r="1162" spans="1:10" x14ac:dyDescent="0.2">
      <c r="A1162" s="155"/>
      <c r="B1162" s="227"/>
      <c r="C1162" s="213"/>
      <c r="D1162" s="250"/>
      <c r="E1162" s="214"/>
      <c r="F1162" s="155"/>
      <c r="G1162" s="213"/>
      <c r="H1162" s="213"/>
      <c r="I1162" s="213"/>
      <c r="J1162" s="213"/>
    </row>
    <row r="1163" spans="1:10" x14ac:dyDescent="0.2">
      <c r="A1163" s="155"/>
      <c r="B1163" s="212" t="s">
        <v>16</v>
      </c>
      <c r="C1163" s="213"/>
      <c r="D1163" s="250"/>
      <c r="E1163" s="214"/>
      <c r="F1163" s="155"/>
      <c r="G1163" s="213"/>
      <c r="H1163" s="213"/>
      <c r="I1163" s="213"/>
      <c r="J1163" s="213"/>
    </row>
    <row r="1164" spans="1:10" x14ac:dyDescent="0.2">
      <c r="A1164" s="155"/>
      <c r="B1164" s="212"/>
      <c r="C1164" s="310" t="s">
        <v>386</v>
      </c>
      <c r="D1164" s="310"/>
      <c r="E1164" s="310"/>
      <c r="F1164" s="155"/>
      <c r="G1164" s="213"/>
      <c r="H1164" s="213"/>
      <c r="I1164" s="213"/>
      <c r="J1164" s="213"/>
    </row>
    <row r="1165" spans="1:10" ht="13.5" thickBot="1" x14ac:dyDescent="0.25">
      <c r="A1165" s="155"/>
      <c r="B1165" s="212" t="s">
        <v>17</v>
      </c>
      <c r="C1165" s="213"/>
      <c r="D1165" s="250"/>
      <c r="E1165" s="214"/>
      <c r="F1165" s="155"/>
      <c r="G1165" s="213"/>
      <c r="H1165" s="213"/>
      <c r="I1165" s="213"/>
      <c r="J1165" s="213"/>
    </row>
    <row r="1166" spans="1:10" ht="13.5" thickBot="1" x14ac:dyDescent="0.25">
      <c r="A1166" s="155"/>
      <c r="B1166" s="312" t="s">
        <v>137</v>
      </c>
      <c r="C1166" s="313"/>
      <c r="D1166" s="313"/>
      <c r="E1166" s="314"/>
      <c r="F1166" s="155"/>
      <c r="G1166" s="213"/>
      <c r="H1166" s="213"/>
      <c r="I1166" s="213"/>
      <c r="J1166" s="213"/>
    </row>
    <row r="1167" spans="1:10" ht="13.5" thickBot="1" x14ac:dyDescent="0.25">
      <c r="A1167" s="155"/>
      <c r="B1167" s="312" t="s">
        <v>138</v>
      </c>
      <c r="C1167" s="314"/>
      <c r="D1167" s="215" t="s">
        <v>11</v>
      </c>
      <c r="E1167" s="215" t="s">
        <v>139</v>
      </c>
      <c r="F1167" s="155"/>
      <c r="G1167" s="213"/>
      <c r="H1167" s="213"/>
      <c r="I1167" s="213"/>
      <c r="J1167" s="213"/>
    </row>
    <row r="1168" spans="1:10" x14ac:dyDescent="0.2">
      <c r="A1168" s="155"/>
      <c r="B1168" s="315" t="s">
        <v>301</v>
      </c>
      <c r="C1168" s="315"/>
      <c r="D1168" s="249">
        <v>19</v>
      </c>
      <c r="E1168" s="164" t="s">
        <v>300</v>
      </c>
      <c r="F1168" s="155"/>
      <c r="G1168" s="250"/>
      <c r="H1168" s="213"/>
      <c r="I1168" s="261"/>
      <c r="J1168" s="261"/>
    </row>
    <row r="1169" spans="1:10" x14ac:dyDescent="0.2">
      <c r="A1169" s="155"/>
      <c r="B1169" s="305" t="s">
        <v>302</v>
      </c>
      <c r="C1169" s="305"/>
      <c r="D1169" s="246">
        <v>42</v>
      </c>
      <c r="E1169" s="165" t="s">
        <v>246</v>
      </c>
      <c r="F1169" s="155"/>
      <c r="G1169" s="250"/>
      <c r="H1169" s="213"/>
      <c r="I1169" s="261"/>
      <c r="J1169" s="261"/>
    </row>
    <row r="1170" spans="1:10" x14ac:dyDescent="0.2">
      <c r="A1170" s="155"/>
      <c r="B1170" s="305" t="s">
        <v>304</v>
      </c>
      <c r="C1170" s="305"/>
      <c r="D1170" s="246">
        <v>42</v>
      </c>
      <c r="E1170" s="165" t="s">
        <v>247</v>
      </c>
      <c r="F1170" s="155"/>
      <c r="G1170" s="250"/>
      <c r="H1170" s="213"/>
      <c r="I1170" s="261"/>
      <c r="J1170" s="261"/>
    </row>
    <row r="1171" spans="1:10" x14ac:dyDescent="0.2">
      <c r="A1171" s="155"/>
      <c r="B1171" s="305" t="s">
        <v>303</v>
      </c>
      <c r="C1171" s="305"/>
      <c r="D1171" s="246">
        <v>25</v>
      </c>
      <c r="E1171" s="165" t="s">
        <v>248</v>
      </c>
      <c r="F1171" s="155"/>
      <c r="G1171" s="250"/>
      <c r="H1171" s="213"/>
      <c r="I1171" s="261"/>
      <c r="J1171" s="261"/>
    </row>
    <row r="1172" spans="1:10" x14ac:dyDescent="0.2">
      <c r="A1172" s="155"/>
      <c r="B1172" s="305" t="s">
        <v>298</v>
      </c>
      <c r="C1172" s="305"/>
      <c r="D1172" s="246">
        <v>21</v>
      </c>
      <c r="E1172" s="165" t="s">
        <v>299</v>
      </c>
      <c r="F1172" s="155"/>
      <c r="G1172" s="250"/>
      <c r="H1172" s="213"/>
      <c r="I1172" s="261"/>
      <c r="J1172" s="261"/>
    </row>
    <row r="1173" spans="1:10" x14ac:dyDescent="0.2">
      <c r="A1173" s="155"/>
      <c r="B1173" s="305" t="s">
        <v>249</v>
      </c>
      <c r="C1173" s="305"/>
      <c r="D1173" s="246">
        <v>19</v>
      </c>
      <c r="E1173" s="165" t="s">
        <v>250</v>
      </c>
      <c r="F1173" s="155"/>
      <c r="G1173" s="250"/>
      <c r="H1173" s="213"/>
      <c r="I1173" s="261"/>
      <c r="J1173" s="261"/>
    </row>
    <row r="1174" spans="1:10" x14ac:dyDescent="0.2">
      <c r="A1174" s="155"/>
      <c r="B1174" s="305" t="s">
        <v>251</v>
      </c>
      <c r="C1174" s="305"/>
      <c r="D1174" s="246">
        <v>24</v>
      </c>
      <c r="E1174" s="165" t="s">
        <v>252</v>
      </c>
      <c r="F1174" s="155"/>
      <c r="G1174" s="250"/>
      <c r="H1174" s="213"/>
      <c r="I1174" s="261"/>
      <c r="J1174" s="261"/>
    </row>
    <row r="1175" spans="1:10" x14ac:dyDescent="0.2">
      <c r="A1175" s="155"/>
      <c r="B1175" s="305" t="s">
        <v>253</v>
      </c>
      <c r="C1175" s="305"/>
      <c r="D1175" s="246">
        <v>24</v>
      </c>
      <c r="E1175" s="165" t="s">
        <v>254</v>
      </c>
      <c r="F1175" s="155"/>
      <c r="G1175" s="250"/>
      <c r="H1175" s="213"/>
      <c r="I1175" s="261"/>
      <c r="J1175" s="261"/>
    </row>
    <row r="1176" spans="1:10" x14ac:dyDescent="0.2">
      <c r="A1176" s="155"/>
      <c r="B1176" s="305" t="s">
        <v>255</v>
      </c>
      <c r="C1176" s="305"/>
      <c r="D1176" s="246">
        <v>51</v>
      </c>
      <c r="E1176" s="165" t="s">
        <v>256</v>
      </c>
      <c r="F1176" s="155"/>
      <c r="G1176" s="250"/>
      <c r="H1176" s="213"/>
      <c r="I1176" s="261"/>
      <c r="J1176" s="261"/>
    </row>
    <row r="1177" spans="1:10" x14ac:dyDescent="0.2">
      <c r="A1177" s="155"/>
      <c r="B1177" s="305" t="s">
        <v>305</v>
      </c>
      <c r="C1177" s="305"/>
      <c r="D1177" s="246">
        <v>34</v>
      </c>
      <c r="E1177" s="165" t="s">
        <v>257</v>
      </c>
      <c r="F1177" s="155"/>
      <c r="G1177" s="250"/>
      <c r="H1177" s="213"/>
      <c r="I1177" s="261"/>
      <c r="J1177" s="261"/>
    </row>
    <row r="1178" spans="1:10" x14ac:dyDescent="0.2">
      <c r="A1178" s="155"/>
      <c r="B1178" s="305" t="s">
        <v>258</v>
      </c>
      <c r="C1178" s="305"/>
      <c r="D1178" s="246">
        <v>17</v>
      </c>
      <c r="E1178" s="165" t="s">
        <v>259</v>
      </c>
      <c r="F1178" s="155"/>
      <c r="G1178" s="250"/>
      <c r="H1178" s="213"/>
      <c r="I1178" s="261"/>
      <c r="J1178" s="261"/>
    </row>
    <row r="1179" spans="1:10" x14ac:dyDescent="0.2">
      <c r="A1179" s="155"/>
      <c r="B1179" s="305" t="s">
        <v>260</v>
      </c>
      <c r="C1179" s="305"/>
      <c r="D1179" s="246">
        <v>34</v>
      </c>
      <c r="E1179" s="165" t="s">
        <v>261</v>
      </c>
      <c r="F1179" s="155"/>
      <c r="G1179" s="250"/>
      <c r="H1179" s="213"/>
      <c r="I1179" s="261"/>
      <c r="J1179" s="261"/>
    </row>
    <row r="1180" spans="1:10" x14ac:dyDescent="0.2">
      <c r="A1180" s="155"/>
      <c r="B1180" s="305" t="s">
        <v>306</v>
      </c>
      <c r="C1180" s="305"/>
      <c r="D1180" s="246">
        <v>34</v>
      </c>
      <c r="E1180" s="165" t="s">
        <v>262</v>
      </c>
      <c r="F1180" s="155"/>
      <c r="G1180" s="250"/>
      <c r="H1180" s="213"/>
      <c r="I1180" s="261"/>
      <c r="J1180" s="261"/>
    </row>
    <row r="1181" spans="1:10" x14ac:dyDescent="0.2">
      <c r="A1181" s="155"/>
      <c r="B1181" s="305" t="s">
        <v>263</v>
      </c>
      <c r="C1181" s="305"/>
      <c r="D1181" s="246">
        <v>21</v>
      </c>
      <c r="E1181" s="165" t="s">
        <v>264</v>
      </c>
      <c r="F1181" s="155"/>
      <c r="G1181" s="250"/>
      <c r="H1181" s="213"/>
      <c r="I1181" s="261"/>
      <c r="J1181" s="261"/>
    </row>
    <row r="1182" spans="1:10" x14ac:dyDescent="0.2">
      <c r="A1182" s="155"/>
      <c r="B1182" s="305" t="s">
        <v>265</v>
      </c>
      <c r="C1182" s="305"/>
      <c r="D1182" s="246">
        <v>30</v>
      </c>
      <c r="E1182" s="165" t="s">
        <v>266</v>
      </c>
      <c r="F1182" s="155"/>
      <c r="G1182" s="250"/>
      <c r="H1182" s="213"/>
      <c r="I1182" s="261"/>
      <c r="J1182" s="261"/>
    </row>
    <row r="1183" spans="1:10" x14ac:dyDescent="0.2">
      <c r="A1183" s="155"/>
      <c r="B1183" s="305" t="s">
        <v>267</v>
      </c>
      <c r="C1183" s="305"/>
      <c r="D1183" s="246">
        <v>25</v>
      </c>
      <c r="E1183" s="165" t="s">
        <v>268</v>
      </c>
      <c r="F1183" s="155"/>
      <c r="G1183" s="250"/>
      <c r="H1183" s="213"/>
      <c r="I1183" s="261"/>
      <c r="J1183" s="261"/>
    </row>
    <row r="1184" spans="1:10" x14ac:dyDescent="0.2">
      <c r="A1184" s="155"/>
      <c r="B1184" s="305" t="s">
        <v>269</v>
      </c>
      <c r="C1184" s="305"/>
      <c r="D1184" s="246">
        <v>25</v>
      </c>
      <c r="E1184" s="165" t="s">
        <v>270</v>
      </c>
      <c r="F1184" s="155"/>
      <c r="G1184" s="250"/>
      <c r="H1184" s="213"/>
      <c r="I1184" s="261"/>
      <c r="J1184" s="261"/>
    </row>
    <row r="1185" spans="1:10" x14ac:dyDescent="0.2">
      <c r="A1185" s="155"/>
      <c r="B1185" s="305" t="s">
        <v>271</v>
      </c>
      <c r="C1185" s="305"/>
      <c r="D1185" s="246">
        <v>21</v>
      </c>
      <c r="E1185" s="165" t="s">
        <v>272</v>
      </c>
      <c r="F1185" s="155"/>
      <c r="G1185" s="250"/>
      <c r="H1185" s="213"/>
      <c r="I1185" s="261"/>
      <c r="J1185" s="261"/>
    </row>
    <row r="1186" spans="1:10" x14ac:dyDescent="0.2">
      <c r="A1186" s="155"/>
      <c r="B1186" s="305" t="s">
        <v>273</v>
      </c>
      <c r="C1186" s="305"/>
      <c r="D1186" s="246">
        <v>21</v>
      </c>
      <c r="E1186" s="165" t="s">
        <v>274</v>
      </c>
      <c r="F1186" s="155"/>
      <c r="G1186" s="250"/>
      <c r="H1186" s="213"/>
      <c r="I1186" s="261"/>
      <c r="J1186" s="261"/>
    </row>
    <row r="1187" spans="1:10" ht="13.5" thickBot="1" x14ac:dyDescent="0.25">
      <c r="A1187" s="155"/>
      <c r="B1187" s="306" t="s">
        <v>307</v>
      </c>
      <c r="C1187" s="306"/>
      <c r="D1187" s="247">
        <v>21</v>
      </c>
      <c r="E1187" s="166" t="s">
        <v>308</v>
      </c>
      <c r="F1187" s="155"/>
      <c r="G1187" s="250"/>
      <c r="H1187" s="213"/>
      <c r="I1187" s="261"/>
      <c r="J1187" s="261"/>
    </row>
    <row r="1188" spans="1:10" ht="27" customHeight="1" thickBot="1" x14ac:dyDescent="0.25">
      <c r="A1188" s="155"/>
      <c r="B1188" s="307" t="s">
        <v>411</v>
      </c>
      <c r="C1188" s="308"/>
      <c r="D1188" s="308"/>
      <c r="E1188" s="309"/>
      <c r="F1188" s="155"/>
      <c r="G1188" s="213"/>
      <c r="H1188" s="213"/>
      <c r="I1188" s="261"/>
      <c r="J1188" s="261"/>
    </row>
    <row r="1189" spans="1:10" x14ac:dyDescent="0.2">
      <c r="A1189" s="155"/>
      <c r="B1189" s="212" t="s">
        <v>18</v>
      </c>
      <c r="C1189" s="213"/>
      <c r="D1189" s="250"/>
      <c r="E1189" s="214"/>
      <c r="F1189" s="155"/>
      <c r="G1189" s="213"/>
      <c r="H1189" s="213"/>
      <c r="I1189" s="213"/>
      <c r="J1189" s="213"/>
    </row>
    <row r="1190" spans="1:10" x14ac:dyDescent="0.2">
      <c r="A1190" s="155"/>
      <c r="B1190" s="216"/>
      <c r="C1190" s="310" t="s">
        <v>63</v>
      </c>
      <c r="D1190" s="310"/>
      <c r="E1190" s="310"/>
      <c r="F1190" s="155"/>
      <c r="G1190" s="213"/>
      <c r="H1190" s="213"/>
      <c r="I1190" s="213"/>
      <c r="J1190" s="213"/>
    </row>
    <row r="1191" spans="1:10" x14ac:dyDescent="0.2">
      <c r="A1191" s="155"/>
      <c r="B1191" s="212" t="s">
        <v>19</v>
      </c>
      <c r="C1191" s="217"/>
      <c r="D1191" s="217"/>
      <c r="E1191" s="251"/>
      <c r="F1191" s="155"/>
      <c r="G1191" s="213"/>
      <c r="H1191" s="213"/>
      <c r="I1191" s="213"/>
      <c r="J1191" s="213"/>
    </row>
    <row r="1192" spans="1:10" x14ac:dyDescent="0.2">
      <c r="A1192" s="155"/>
      <c r="B1192" s="216"/>
      <c r="C1192" s="310" t="s">
        <v>140</v>
      </c>
      <c r="D1192" s="310"/>
      <c r="E1192" s="310"/>
      <c r="F1192" s="155"/>
      <c r="G1192" s="213"/>
      <c r="H1192" s="213"/>
      <c r="I1192" s="213"/>
      <c r="J1192" s="213"/>
    </row>
    <row r="1193" spans="1:10" x14ac:dyDescent="0.2">
      <c r="A1193" s="155"/>
      <c r="B1193" s="212" t="s">
        <v>20</v>
      </c>
      <c r="C1193" s="213"/>
      <c r="D1193" s="250"/>
      <c r="E1193" s="214"/>
      <c r="F1193" s="155"/>
      <c r="G1193" s="213"/>
      <c r="H1193" s="213"/>
      <c r="I1193" s="213"/>
      <c r="J1193" s="213"/>
    </row>
    <row r="1194" spans="1:10" x14ac:dyDescent="0.2">
      <c r="A1194" s="155"/>
      <c r="B1194" s="212"/>
      <c r="C1194" s="311" t="s">
        <v>64</v>
      </c>
      <c r="D1194" s="311"/>
      <c r="E1194" s="311"/>
      <c r="F1194" s="155"/>
      <c r="G1194" s="213"/>
      <c r="H1194" s="213"/>
      <c r="I1194" s="213"/>
      <c r="J1194" s="213"/>
    </row>
    <row r="1195" spans="1:10" ht="13.5" thickBot="1" x14ac:dyDescent="0.25">
      <c r="A1195" s="155"/>
      <c r="B1195" s="218"/>
      <c r="C1195" s="219"/>
      <c r="D1195" s="220"/>
      <c r="E1195" s="221"/>
      <c r="F1195" s="155"/>
      <c r="G1195" s="213"/>
      <c r="H1195" s="213"/>
      <c r="I1195" s="213"/>
      <c r="J1195" s="213"/>
    </row>
    <row r="1196" spans="1:10" ht="13.5" thickBot="1" x14ac:dyDescent="0.25">
      <c r="A1196" s="155"/>
      <c r="B1196" s="155"/>
      <c r="C1196" s="155"/>
      <c r="D1196" s="222"/>
      <c r="E1196" s="155"/>
      <c r="F1196" s="155"/>
      <c r="G1196" s="213"/>
      <c r="H1196" s="213"/>
      <c r="I1196" s="213"/>
      <c r="J1196" s="213"/>
    </row>
    <row r="1197" spans="1:10" x14ac:dyDescent="0.2">
      <c r="A1197" s="155"/>
      <c r="B1197" s="223" t="s">
        <v>318</v>
      </c>
      <c r="C1197" s="224"/>
      <c r="D1197" s="225"/>
      <c r="E1197" s="226"/>
      <c r="F1197" s="155"/>
      <c r="G1197" s="213"/>
      <c r="H1197" s="213"/>
      <c r="I1197" s="213"/>
      <c r="J1197" s="213"/>
    </row>
    <row r="1198" spans="1:10" x14ac:dyDescent="0.2">
      <c r="A1198" s="155"/>
      <c r="B1198" s="227"/>
      <c r="C1198" s="213"/>
      <c r="D1198" s="250"/>
      <c r="E1198" s="214"/>
      <c r="F1198" s="155"/>
      <c r="G1198" s="213"/>
      <c r="H1198" s="213"/>
      <c r="I1198" s="213"/>
      <c r="J1198" s="213"/>
    </row>
    <row r="1199" spans="1:10" x14ac:dyDescent="0.2">
      <c r="A1199" s="155"/>
      <c r="B1199" s="212" t="s">
        <v>16</v>
      </c>
      <c r="C1199" s="213"/>
      <c r="D1199" s="250"/>
      <c r="E1199" s="214"/>
      <c r="F1199" s="155"/>
      <c r="G1199" s="213"/>
      <c r="H1199" s="213"/>
      <c r="I1199" s="213"/>
      <c r="J1199" s="213"/>
    </row>
    <row r="1200" spans="1:10" x14ac:dyDescent="0.2">
      <c r="A1200" s="155"/>
      <c r="B1200" s="212"/>
      <c r="C1200" s="310" t="s">
        <v>380</v>
      </c>
      <c r="D1200" s="310"/>
      <c r="E1200" s="310"/>
      <c r="F1200" s="155"/>
      <c r="G1200" s="213"/>
      <c r="H1200" s="213"/>
      <c r="I1200" s="213"/>
      <c r="J1200" s="213"/>
    </row>
    <row r="1201" spans="1:10" ht="13.5" thickBot="1" x14ac:dyDescent="0.25">
      <c r="A1201" s="155"/>
      <c r="B1201" s="212" t="s">
        <v>17</v>
      </c>
      <c r="C1201" s="213"/>
      <c r="D1201" s="250"/>
      <c r="E1201" s="214"/>
      <c r="F1201" s="155"/>
      <c r="G1201" s="213"/>
      <c r="H1201" s="213"/>
      <c r="I1201" s="213"/>
      <c r="J1201" s="213"/>
    </row>
    <row r="1202" spans="1:10" ht="13.5" thickBot="1" x14ac:dyDescent="0.25">
      <c r="A1202" s="155"/>
      <c r="B1202" s="312" t="s">
        <v>137</v>
      </c>
      <c r="C1202" s="313"/>
      <c r="D1202" s="313"/>
      <c r="E1202" s="314"/>
      <c r="F1202" s="155"/>
      <c r="G1202" s="213"/>
      <c r="H1202" s="213"/>
      <c r="I1202" s="213"/>
      <c r="J1202" s="213"/>
    </row>
    <row r="1203" spans="1:10" ht="13.5" thickBot="1" x14ac:dyDescent="0.25">
      <c r="A1203" s="155"/>
      <c r="B1203" s="312" t="s">
        <v>138</v>
      </c>
      <c r="C1203" s="314"/>
      <c r="D1203" s="215" t="s">
        <v>11</v>
      </c>
      <c r="E1203" s="215" t="s">
        <v>139</v>
      </c>
      <c r="F1203" s="155"/>
      <c r="G1203" s="213"/>
      <c r="H1203" s="213"/>
      <c r="I1203" s="213"/>
      <c r="J1203" s="213"/>
    </row>
    <row r="1204" spans="1:10" x14ac:dyDescent="0.2">
      <c r="A1204" s="155"/>
      <c r="B1204" s="315" t="s">
        <v>301</v>
      </c>
      <c r="C1204" s="315"/>
      <c r="D1204" s="249">
        <v>3</v>
      </c>
      <c r="E1204" s="164" t="s">
        <v>300</v>
      </c>
      <c r="F1204" s="155"/>
      <c r="G1204" s="250"/>
      <c r="H1204" s="213"/>
      <c r="I1204" s="261"/>
      <c r="J1204" s="261"/>
    </row>
    <row r="1205" spans="1:10" x14ac:dyDescent="0.2">
      <c r="A1205" s="155"/>
      <c r="B1205" s="305" t="s">
        <v>302</v>
      </c>
      <c r="C1205" s="305"/>
      <c r="D1205" s="246">
        <v>8</v>
      </c>
      <c r="E1205" s="165" t="s">
        <v>246</v>
      </c>
      <c r="F1205" s="155"/>
      <c r="G1205" s="250"/>
      <c r="H1205" s="213"/>
      <c r="I1205" s="261"/>
      <c r="J1205" s="261"/>
    </row>
    <row r="1206" spans="1:10" x14ac:dyDescent="0.2">
      <c r="A1206" s="155"/>
      <c r="B1206" s="305" t="s">
        <v>304</v>
      </c>
      <c r="C1206" s="305"/>
      <c r="D1206" s="246">
        <v>8</v>
      </c>
      <c r="E1206" s="165" t="s">
        <v>247</v>
      </c>
      <c r="F1206" s="155"/>
      <c r="G1206" s="250"/>
      <c r="H1206" s="213"/>
      <c r="I1206" s="261"/>
      <c r="J1206" s="261"/>
    </row>
    <row r="1207" spans="1:10" x14ac:dyDescent="0.2">
      <c r="A1207" s="155"/>
      <c r="B1207" s="305" t="s">
        <v>303</v>
      </c>
      <c r="C1207" s="305"/>
      <c r="D1207" s="246">
        <v>5</v>
      </c>
      <c r="E1207" s="165" t="s">
        <v>248</v>
      </c>
      <c r="F1207" s="155"/>
      <c r="G1207" s="250"/>
      <c r="H1207" s="213"/>
      <c r="I1207" s="261"/>
      <c r="J1207" s="261"/>
    </row>
    <row r="1208" spans="1:10" x14ac:dyDescent="0.2">
      <c r="A1208" s="155"/>
      <c r="B1208" s="305" t="s">
        <v>298</v>
      </c>
      <c r="C1208" s="305"/>
      <c r="D1208" s="246">
        <v>4</v>
      </c>
      <c r="E1208" s="165" t="s">
        <v>299</v>
      </c>
      <c r="F1208" s="155"/>
      <c r="G1208" s="250"/>
      <c r="H1208" s="213"/>
      <c r="I1208" s="261"/>
      <c r="J1208" s="261"/>
    </row>
    <row r="1209" spans="1:10" x14ac:dyDescent="0.2">
      <c r="A1209" s="155"/>
      <c r="B1209" s="305" t="s">
        <v>249</v>
      </c>
      <c r="C1209" s="305"/>
      <c r="D1209" s="246">
        <v>3</v>
      </c>
      <c r="E1209" s="165" t="s">
        <v>250</v>
      </c>
      <c r="F1209" s="155"/>
      <c r="G1209" s="250"/>
      <c r="H1209" s="213"/>
      <c r="I1209" s="261"/>
      <c r="J1209" s="261"/>
    </row>
    <row r="1210" spans="1:10" x14ac:dyDescent="0.2">
      <c r="A1210" s="155"/>
      <c r="B1210" s="305" t="s">
        <v>251</v>
      </c>
      <c r="C1210" s="305"/>
      <c r="D1210" s="246">
        <v>5</v>
      </c>
      <c r="E1210" s="165" t="s">
        <v>252</v>
      </c>
      <c r="F1210" s="155"/>
      <c r="G1210" s="250"/>
      <c r="H1210" s="213"/>
      <c r="I1210" s="261"/>
      <c r="J1210" s="261"/>
    </row>
    <row r="1211" spans="1:10" x14ac:dyDescent="0.2">
      <c r="A1211" s="155"/>
      <c r="B1211" s="305" t="s">
        <v>253</v>
      </c>
      <c r="C1211" s="305"/>
      <c r="D1211" s="246">
        <v>5</v>
      </c>
      <c r="E1211" s="165" t="s">
        <v>254</v>
      </c>
      <c r="F1211" s="155"/>
      <c r="G1211" s="250"/>
      <c r="H1211" s="213"/>
      <c r="I1211" s="261"/>
      <c r="J1211" s="261"/>
    </row>
    <row r="1212" spans="1:10" x14ac:dyDescent="0.2">
      <c r="A1212" s="155"/>
      <c r="B1212" s="305" t="s">
        <v>255</v>
      </c>
      <c r="C1212" s="305"/>
      <c r="D1212" s="246">
        <v>10</v>
      </c>
      <c r="E1212" s="165" t="s">
        <v>256</v>
      </c>
      <c r="F1212" s="155"/>
      <c r="G1212" s="250"/>
      <c r="H1212" s="213"/>
      <c r="I1212" s="261"/>
      <c r="J1212" s="261"/>
    </row>
    <row r="1213" spans="1:10" x14ac:dyDescent="0.2">
      <c r="A1213" s="155"/>
      <c r="B1213" s="305" t="s">
        <v>305</v>
      </c>
      <c r="C1213" s="305"/>
      <c r="D1213" s="246">
        <v>7</v>
      </c>
      <c r="E1213" s="165" t="s">
        <v>257</v>
      </c>
      <c r="F1213" s="155"/>
      <c r="G1213" s="250"/>
      <c r="H1213" s="213"/>
      <c r="I1213" s="261"/>
      <c r="J1213" s="261"/>
    </row>
    <row r="1214" spans="1:10" x14ac:dyDescent="0.2">
      <c r="A1214" s="155"/>
      <c r="B1214" s="305" t="s">
        <v>258</v>
      </c>
      <c r="C1214" s="305"/>
      <c r="D1214" s="246">
        <v>3</v>
      </c>
      <c r="E1214" s="165" t="s">
        <v>259</v>
      </c>
      <c r="F1214" s="155"/>
      <c r="G1214" s="250"/>
      <c r="H1214" s="213"/>
      <c r="I1214" s="261"/>
      <c r="J1214" s="261"/>
    </row>
    <row r="1215" spans="1:10" x14ac:dyDescent="0.2">
      <c r="A1215" s="155"/>
      <c r="B1215" s="305" t="s">
        <v>260</v>
      </c>
      <c r="C1215" s="305"/>
      <c r="D1215" s="246">
        <v>7</v>
      </c>
      <c r="E1215" s="165" t="s">
        <v>261</v>
      </c>
      <c r="F1215" s="155"/>
      <c r="G1215" s="250"/>
      <c r="H1215" s="213"/>
      <c r="I1215" s="261"/>
      <c r="J1215" s="261"/>
    </row>
    <row r="1216" spans="1:10" x14ac:dyDescent="0.2">
      <c r="A1216" s="155"/>
      <c r="B1216" s="305" t="s">
        <v>306</v>
      </c>
      <c r="C1216" s="305"/>
      <c r="D1216" s="246">
        <v>7</v>
      </c>
      <c r="E1216" s="165" t="s">
        <v>262</v>
      </c>
      <c r="F1216" s="155"/>
      <c r="G1216" s="250"/>
      <c r="H1216" s="213"/>
      <c r="I1216" s="261"/>
      <c r="J1216" s="261"/>
    </row>
    <row r="1217" spans="1:10" x14ac:dyDescent="0.2">
      <c r="A1217" s="155"/>
      <c r="B1217" s="305" t="s">
        <v>263</v>
      </c>
      <c r="C1217" s="305"/>
      <c r="D1217" s="246">
        <v>4</v>
      </c>
      <c r="E1217" s="165" t="s">
        <v>264</v>
      </c>
      <c r="F1217" s="155"/>
      <c r="G1217" s="250"/>
      <c r="H1217" s="213"/>
      <c r="I1217" s="261"/>
      <c r="J1217" s="261"/>
    </row>
    <row r="1218" spans="1:10" x14ac:dyDescent="0.2">
      <c r="A1218" s="155"/>
      <c r="B1218" s="305" t="s">
        <v>265</v>
      </c>
      <c r="C1218" s="305"/>
      <c r="D1218" s="246">
        <v>6</v>
      </c>
      <c r="E1218" s="165" t="s">
        <v>266</v>
      </c>
      <c r="F1218" s="155"/>
      <c r="G1218" s="250"/>
      <c r="H1218" s="213"/>
      <c r="I1218" s="261"/>
      <c r="J1218" s="261"/>
    </row>
    <row r="1219" spans="1:10" x14ac:dyDescent="0.2">
      <c r="A1219" s="155"/>
      <c r="B1219" s="305" t="s">
        <v>267</v>
      </c>
      <c r="C1219" s="305"/>
      <c r="D1219" s="246">
        <v>5</v>
      </c>
      <c r="E1219" s="165" t="s">
        <v>268</v>
      </c>
      <c r="F1219" s="155"/>
      <c r="G1219" s="250"/>
      <c r="H1219" s="213"/>
      <c r="I1219" s="261"/>
      <c r="J1219" s="261"/>
    </row>
    <row r="1220" spans="1:10" x14ac:dyDescent="0.2">
      <c r="A1220" s="155"/>
      <c r="B1220" s="305" t="s">
        <v>269</v>
      </c>
      <c r="C1220" s="305"/>
      <c r="D1220" s="246">
        <v>5</v>
      </c>
      <c r="E1220" s="165" t="s">
        <v>270</v>
      </c>
      <c r="F1220" s="155"/>
      <c r="G1220" s="250"/>
      <c r="H1220" s="213"/>
      <c r="I1220" s="261"/>
      <c r="J1220" s="261"/>
    </row>
    <row r="1221" spans="1:10" x14ac:dyDescent="0.2">
      <c r="A1221" s="155"/>
      <c r="B1221" s="305" t="s">
        <v>271</v>
      </c>
      <c r="C1221" s="305"/>
      <c r="D1221" s="246">
        <v>4</v>
      </c>
      <c r="E1221" s="165" t="s">
        <v>272</v>
      </c>
      <c r="F1221" s="155"/>
      <c r="G1221" s="250"/>
      <c r="H1221" s="213"/>
      <c r="I1221" s="261"/>
      <c r="J1221" s="261"/>
    </row>
    <row r="1222" spans="1:10" x14ac:dyDescent="0.2">
      <c r="A1222" s="155"/>
      <c r="B1222" s="305" t="s">
        <v>273</v>
      </c>
      <c r="C1222" s="305"/>
      <c r="D1222" s="246">
        <v>4</v>
      </c>
      <c r="E1222" s="165" t="s">
        <v>274</v>
      </c>
      <c r="F1222" s="155"/>
      <c r="G1222" s="250"/>
      <c r="H1222" s="213"/>
      <c r="I1222" s="261"/>
      <c r="J1222" s="261"/>
    </row>
    <row r="1223" spans="1:10" ht="13.5" thickBot="1" x14ac:dyDescent="0.25">
      <c r="A1223" s="155"/>
      <c r="B1223" s="306" t="s">
        <v>307</v>
      </c>
      <c r="C1223" s="306"/>
      <c r="D1223" s="247">
        <v>4</v>
      </c>
      <c r="E1223" s="166" t="s">
        <v>308</v>
      </c>
      <c r="F1223" s="155"/>
      <c r="G1223" s="250"/>
      <c r="H1223" s="213"/>
      <c r="I1223" s="261"/>
      <c r="J1223" s="261"/>
    </row>
    <row r="1224" spans="1:10" ht="27" customHeight="1" thickBot="1" x14ac:dyDescent="0.25">
      <c r="A1224" s="155"/>
      <c r="B1224" s="307" t="s">
        <v>412</v>
      </c>
      <c r="C1224" s="308"/>
      <c r="D1224" s="308"/>
      <c r="E1224" s="309"/>
      <c r="F1224" s="155"/>
      <c r="G1224" s="213"/>
      <c r="H1224" s="213"/>
      <c r="I1224" s="261"/>
      <c r="J1224" s="261"/>
    </row>
    <row r="1225" spans="1:10" x14ac:dyDescent="0.2">
      <c r="A1225" s="155"/>
      <c r="B1225" s="212" t="s">
        <v>18</v>
      </c>
      <c r="C1225" s="213"/>
      <c r="D1225" s="250"/>
      <c r="E1225" s="214"/>
      <c r="F1225" s="155"/>
      <c r="G1225" s="213"/>
      <c r="H1225" s="213"/>
      <c r="I1225" s="213"/>
      <c r="J1225" s="213"/>
    </row>
    <row r="1226" spans="1:10" x14ac:dyDescent="0.2">
      <c r="A1226" s="155"/>
      <c r="B1226" s="216"/>
      <c r="C1226" s="310" t="s">
        <v>63</v>
      </c>
      <c r="D1226" s="310"/>
      <c r="E1226" s="310"/>
      <c r="F1226" s="155"/>
      <c r="G1226" s="213"/>
      <c r="H1226" s="213"/>
      <c r="I1226" s="213"/>
      <c r="J1226" s="213"/>
    </row>
    <row r="1227" spans="1:10" x14ac:dyDescent="0.2">
      <c r="A1227" s="155"/>
      <c r="B1227" s="212" t="s">
        <v>19</v>
      </c>
      <c r="C1227" s="217"/>
      <c r="D1227" s="217"/>
      <c r="E1227" s="251"/>
      <c r="F1227" s="155"/>
      <c r="G1227" s="213"/>
      <c r="H1227" s="213"/>
      <c r="I1227" s="213"/>
      <c r="J1227" s="213"/>
    </row>
    <row r="1228" spans="1:10" x14ac:dyDescent="0.2">
      <c r="A1228" s="155"/>
      <c r="B1228" s="216"/>
      <c r="C1228" s="310" t="s">
        <v>140</v>
      </c>
      <c r="D1228" s="310"/>
      <c r="E1228" s="310"/>
      <c r="F1228" s="155"/>
      <c r="G1228" s="213"/>
      <c r="H1228" s="213"/>
      <c r="I1228" s="213"/>
      <c r="J1228" s="213"/>
    </row>
    <row r="1229" spans="1:10" x14ac:dyDescent="0.2">
      <c r="A1229" s="155"/>
      <c r="B1229" s="212" t="s">
        <v>20</v>
      </c>
      <c r="C1229" s="213"/>
      <c r="D1229" s="250"/>
      <c r="E1229" s="214"/>
      <c r="F1229" s="155"/>
      <c r="G1229" s="213"/>
      <c r="H1229" s="213"/>
      <c r="I1229" s="213"/>
      <c r="J1229" s="213"/>
    </row>
    <row r="1230" spans="1:10" x14ac:dyDescent="0.2">
      <c r="A1230" s="155"/>
      <c r="B1230" s="212"/>
      <c r="C1230" s="311" t="s">
        <v>64</v>
      </c>
      <c r="D1230" s="311"/>
      <c r="E1230" s="311"/>
      <c r="F1230" s="155"/>
      <c r="G1230" s="213"/>
      <c r="H1230" s="213"/>
      <c r="I1230" s="213"/>
      <c r="J1230" s="213"/>
    </row>
    <row r="1231" spans="1:10" ht="13.5" thickBot="1" x14ac:dyDescent="0.25">
      <c r="A1231" s="155"/>
      <c r="B1231" s="218"/>
      <c r="C1231" s="219"/>
      <c r="D1231" s="220"/>
      <c r="E1231" s="221"/>
      <c r="F1231" s="155"/>
      <c r="G1231" s="213"/>
      <c r="H1231" s="213"/>
      <c r="I1231" s="213"/>
      <c r="J1231" s="213"/>
    </row>
    <row r="1232" spans="1:10" ht="13.5" thickBot="1" x14ac:dyDescent="0.25">
      <c r="A1232" s="155"/>
      <c r="B1232" s="155"/>
      <c r="C1232" s="155"/>
      <c r="D1232" s="222"/>
      <c r="E1232" s="155"/>
      <c r="F1232" s="155"/>
      <c r="G1232" s="213"/>
      <c r="H1232" s="213"/>
      <c r="I1232" s="213"/>
      <c r="J1232" s="213"/>
    </row>
    <row r="1233" spans="1:10" x14ac:dyDescent="0.2">
      <c r="A1233" s="155"/>
      <c r="B1233" s="223" t="s">
        <v>319</v>
      </c>
      <c r="C1233" s="224"/>
      <c r="D1233" s="225"/>
      <c r="E1233" s="226"/>
      <c r="F1233" s="155"/>
      <c r="G1233" s="213"/>
      <c r="H1233" s="213"/>
      <c r="I1233" s="213"/>
      <c r="J1233" s="213"/>
    </row>
    <row r="1234" spans="1:10" x14ac:dyDescent="0.2">
      <c r="A1234" s="155"/>
      <c r="B1234" s="227"/>
      <c r="C1234" s="213"/>
      <c r="D1234" s="250"/>
      <c r="E1234" s="214"/>
      <c r="F1234" s="155"/>
      <c r="G1234" s="213"/>
      <c r="H1234" s="213"/>
      <c r="I1234" s="213"/>
      <c r="J1234" s="213"/>
    </row>
    <row r="1235" spans="1:10" x14ac:dyDescent="0.2">
      <c r="A1235" s="155"/>
      <c r="B1235" s="212" t="s">
        <v>16</v>
      </c>
      <c r="C1235" s="213"/>
      <c r="D1235" s="250"/>
      <c r="E1235" s="214"/>
      <c r="F1235" s="155"/>
      <c r="G1235" s="213"/>
      <c r="H1235" s="213"/>
      <c r="I1235" s="213"/>
      <c r="J1235" s="213"/>
    </row>
    <row r="1236" spans="1:10" x14ac:dyDescent="0.2">
      <c r="A1236" s="155"/>
      <c r="B1236" s="212"/>
      <c r="C1236" s="310" t="s">
        <v>359</v>
      </c>
      <c r="D1236" s="310"/>
      <c r="E1236" s="310"/>
      <c r="F1236" s="155"/>
      <c r="G1236" s="213"/>
      <c r="H1236" s="213"/>
      <c r="I1236" s="213"/>
      <c r="J1236" s="213"/>
    </row>
    <row r="1237" spans="1:10" ht="13.5" thickBot="1" x14ac:dyDescent="0.25">
      <c r="A1237" s="155"/>
      <c r="B1237" s="212" t="s">
        <v>17</v>
      </c>
      <c r="C1237" s="213"/>
      <c r="D1237" s="250"/>
      <c r="E1237" s="214"/>
      <c r="F1237" s="155"/>
      <c r="G1237" s="213"/>
      <c r="H1237" s="213"/>
      <c r="I1237" s="213"/>
      <c r="J1237" s="213"/>
    </row>
    <row r="1238" spans="1:10" ht="13.5" thickBot="1" x14ac:dyDescent="0.25">
      <c r="A1238" s="155"/>
      <c r="B1238" s="312" t="s">
        <v>137</v>
      </c>
      <c r="C1238" s="313"/>
      <c r="D1238" s="313"/>
      <c r="E1238" s="314"/>
      <c r="F1238" s="155"/>
      <c r="G1238" s="213"/>
      <c r="H1238" s="213"/>
      <c r="I1238" s="213"/>
      <c r="J1238" s="213"/>
    </row>
    <row r="1239" spans="1:10" ht="13.5" thickBot="1" x14ac:dyDescent="0.25">
      <c r="A1239" s="155"/>
      <c r="B1239" s="312" t="s">
        <v>138</v>
      </c>
      <c r="C1239" s="314"/>
      <c r="D1239" s="215" t="s">
        <v>11</v>
      </c>
      <c r="E1239" s="215" t="s">
        <v>139</v>
      </c>
      <c r="F1239" s="155"/>
      <c r="G1239" s="213"/>
      <c r="H1239" s="213"/>
      <c r="I1239" s="213"/>
      <c r="J1239" s="213"/>
    </row>
    <row r="1240" spans="1:10" x14ac:dyDescent="0.2">
      <c r="A1240" s="155"/>
      <c r="B1240" s="315" t="s">
        <v>301</v>
      </c>
      <c r="C1240" s="315"/>
      <c r="D1240" s="249">
        <v>8</v>
      </c>
      <c r="E1240" s="164" t="s">
        <v>300</v>
      </c>
      <c r="F1240" s="155"/>
      <c r="G1240" s="250"/>
      <c r="H1240" s="213"/>
      <c r="I1240" s="261"/>
      <c r="J1240" s="261"/>
    </row>
    <row r="1241" spans="1:10" x14ac:dyDescent="0.2">
      <c r="A1241" s="155"/>
      <c r="B1241" s="305" t="s">
        <v>302</v>
      </c>
      <c r="C1241" s="305"/>
      <c r="D1241" s="246">
        <v>17</v>
      </c>
      <c r="E1241" s="165" t="s">
        <v>246</v>
      </c>
      <c r="F1241" s="155"/>
      <c r="G1241" s="250"/>
      <c r="H1241" s="213"/>
      <c r="I1241" s="261"/>
      <c r="J1241" s="261"/>
    </row>
    <row r="1242" spans="1:10" x14ac:dyDescent="0.2">
      <c r="A1242" s="155"/>
      <c r="B1242" s="305" t="s">
        <v>304</v>
      </c>
      <c r="C1242" s="305"/>
      <c r="D1242" s="246">
        <v>17</v>
      </c>
      <c r="E1242" s="165" t="s">
        <v>247</v>
      </c>
      <c r="F1242" s="155"/>
      <c r="G1242" s="250"/>
      <c r="H1242" s="213"/>
      <c r="I1242" s="261"/>
      <c r="J1242" s="261"/>
    </row>
    <row r="1243" spans="1:10" x14ac:dyDescent="0.2">
      <c r="A1243" s="155"/>
      <c r="B1243" s="305" t="s">
        <v>303</v>
      </c>
      <c r="C1243" s="305"/>
      <c r="D1243" s="246">
        <v>10</v>
      </c>
      <c r="E1243" s="165" t="s">
        <v>248</v>
      </c>
      <c r="F1243" s="155"/>
      <c r="G1243" s="250"/>
      <c r="H1243" s="213"/>
      <c r="I1243" s="261"/>
      <c r="J1243" s="261"/>
    </row>
    <row r="1244" spans="1:10" x14ac:dyDescent="0.2">
      <c r="A1244" s="155"/>
      <c r="B1244" s="305" t="s">
        <v>298</v>
      </c>
      <c r="C1244" s="305"/>
      <c r="D1244" s="246">
        <v>8</v>
      </c>
      <c r="E1244" s="165" t="s">
        <v>299</v>
      </c>
      <c r="F1244" s="155"/>
      <c r="G1244" s="250"/>
      <c r="H1244" s="213"/>
      <c r="I1244" s="261"/>
      <c r="J1244" s="261"/>
    </row>
    <row r="1245" spans="1:10" x14ac:dyDescent="0.2">
      <c r="A1245" s="155"/>
      <c r="B1245" s="305" t="s">
        <v>249</v>
      </c>
      <c r="C1245" s="305"/>
      <c r="D1245" s="246">
        <v>8</v>
      </c>
      <c r="E1245" s="165" t="s">
        <v>250</v>
      </c>
      <c r="F1245" s="155"/>
      <c r="G1245" s="250"/>
      <c r="H1245" s="213"/>
      <c r="I1245" s="261"/>
      <c r="J1245" s="261"/>
    </row>
    <row r="1246" spans="1:10" x14ac:dyDescent="0.2">
      <c r="A1246" s="155"/>
      <c r="B1246" s="305" t="s">
        <v>251</v>
      </c>
      <c r="C1246" s="305"/>
      <c r="D1246" s="246">
        <v>9</v>
      </c>
      <c r="E1246" s="165" t="s">
        <v>252</v>
      </c>
      <c r="F1246" s="155"/>
      <c r="G1246" s="250"/>
      <c r="H1246" s="213"/>
      <c r="I1246" s="261"/>
      <c r="J1246" s="261"/>
    </row>
    <row r="1247" spans="1:10" x14ac:dyDescent="0.2">
      <c r="A1247" s="155"/>
      <c r="B1247" s="305" t="s">
        <v>253</v>
      </c>
      <c r="C1247" s="305"/>
      <c r="D1247" s="246">
        <v>9</v>
      </c>
      <c r="E1247" s="165" t="s">
        <v>254</v>
      </c>
      <c r="F1247" s="155"/>
      <c r="G1247" s="250"/>
      <c r="H1247" s="213"/>
      <c r="I1247" s="261"/>
      <c r="J1247" s="261"/>
    </row>
    <row r="1248" spans="1:10" x14ac:dyDescent="0.2">
      <c r="A1248" s="155"/>
      <c r="B1248" s="305" t="s">
        <v>255</v>
      </c>
      <c r="C1248" s="305"/>
      <c r="D1248" s="246">
        <v>20</v>
      </c>
      <c r="E1248" s="165" t="s">
        <v>256</v>
      </c>
      <c r="F1248" s="155"/>
      <c r="G1248" s="250"/>
      <c r="H1248" s="213"/>
      <c r="I1248" s="261"/>
      <c r="J1248" s="261"/>
    </row>
    <row r="1249" spans="1:10" x14ac:dyDescent="0.2">
      <c r="A1249" s="155"/>
      <c r="B1249" s="305" t="s">
        <v>305</v>
      </c>
      <c r="C1249" s="305"/>
      <c r="D1249" s="246">
        <v>14</v>
      </c>
      <c r="E1249" s="165" t="s">
        <v>257</v>
      </c>
      <c r="F1249" s="155"/>
      <c r="G1249" s="250"/>
      <c r="H1249" s="213"/>
      <c r="I1249" s="261"/>
      <c r="J1249" s="261"/>
    </row>
    <row r="1250" spans="1:10" x14ac:dyDescent="0.2">
      <c r="A1250" s="155"/>
      <c r="B1250" s="305" t="s">
        <v>258</v>
      </c>
      <c r="C1250" s="305"/>
      <c r="D1250" s="246">
        <v>7</v>
      </c>
      <c r="E1250" s="165" t="s">
        <v>259</v>
      </c>
      <c r="F1250" s="155"/>
      <c r="G1250" s="250"/>
      <c r="H1250" s="213"/>
      <c r="I1250" s="261"/>
      <c r="J1250" s="261"/>
    </row>
    <row r="1251" spans="1:10" x14ac:dyDescent="0.2">
      <c r="A1251" s="155"/>
      <c r="B1251" s="305" t="s">
        <v>260</v>
      </c>
      <c r="C1251" s="305"/>
      <c r="D1251" s="246">
        <v>14</v>
      </c>
      <c r="E1251" s="165" t="s">
        <v>261</v>
      </c>
      <c r="F1251" s="155"/>
      <c r="G1251" s="250"/>
      <c r="H1251" s="213"/>
      <c r="I1251" s="261"/>
      <c r="J1251" s="261"/>
    </row>
    <row r="1252" spans="1:10" x14ac:dyDescent="0.2">
      <c r="A1252" s="155"/>
      <c r="B1252" s="305" t="s">
        <v>306</v>
      </c>
      <c r="C1252" s="305"/>
      <c r="D1252" s="246">
        <v>14</v>
      </c>
      <c r="E1252" s="165" t="s">
        <v>262</v>
      </c>
      <c r="F1252" s="155"/>
      <c r="G1252" s="250"/>
      <c r="H1252" s="213"/>
      <c r="I1252" s="261"/>
      <c r="J1252" s="261"/>
    </row>
    <row r="1253" spans="1:10" x14ac:dyDescent="0.2">
      <c r="A1253" s="155"/>
      <c r="B1253" s="305" t="s">
        <v>263</v>
      </c>
      <c r="C1253" s="305"/>
      <c r="D1253" s="246">
        <v>8</v>
      </c>
      <c r="E1253" s="165" t="s">
        <v>264</v>
      </c>
      <c r="F1253" s="155"/>
      <c r="G1253" s="250"/>
      <c r="H1253" s="213"/>
      <c r="I1253" s="261"/>
      <c r="J1253" s="261"/>
    </row>
    <row r="1254" spans="1:10" x14ac:dyDescent="0.2">
      <c r="A1254" s="155"/>
      <c r="B1254" s="305" t="s">
        <v>265</v>
      </c>
      <c r="C1254" s="305"/>
      <c r="D1254" s="246">
        <v>12</v>
      </c>
      <c r="E1254" s="165" t="s">
        <v>266</v>
      </c>
      <c r="F1254" s="155"/>
      <c r="G1254" s="250"/>
      <c r="H1254" s="213"/>
      <c r="I1254" s="261"/>
      <c r="J1254" s="261"/>
    </row>
    <row r="1255" spans="1:10" x14ac:dyDescent="0.2">
      <c r="A1255" s="155"/>
      <c r="B1255" s="305" t="s">
        <v>267</v>
      </c>
      <c r="C1255" s="305"/>
      <c r="D1255" s="246">
        <v>10</v>
      </c>
      <c r="E1255" s="165" t="s">
        <v>268</v>
      </c>
      <c r="F1255" s="155"/>
      <c r="G1255" s="250"/>
      <c r="H1255" s="213"/>
      <c r="I1255" s="261"/>
      <c r="J1255" s="261"/>
    </row>
    <row r="1256" spans="1:10" x14ac:dyDescent="0.2">
      <c r="A1256" s="155"/>
      <c r="B1256" s="305" t="s">
        <v>269</v>
      </c>
      <c r="C1256" s="305"/>
      <c r="D1256" s="246">
        <v>10</v>
      </c>
      <c r="E1256" s="165" t="s">
        <v>270</v>
      </c>
      <c r="F1256" s="155"/>
      <c r="G1256" s="250"/>
      <c r="H1256" s="213"/>
      <c r="I1256" s="261"/>
      <c r="J1256" s="261"/>
    </row>
    <row r="1257" spans="1:10" x14ac:dyDescent="0.2">
      <c r="A1257" s="155"/>
      <c r="B1257" s="305" t="s">
        <v>271</v>
      </c>
      <c r="C1257" s="305"/>
      <c r="D1257" s="246">
        <v>8</v>
      </c>
      <c r="E1257" s="165" t="s">
        <v>272</v>
      </c>
      <c r="F1257" s="155"/>
      <c r="G1257" s="250"/>
      <c r="H1257" s="213"/>
      <c r="I1257" s="261"/>
      <c r="J1257" s="261"/>
    </row>
    <row r="1258" spans="1:10" x14ac:dyDescent="0.2">
      <c r="A1258" s="155"/>
      <c r="B1258" s="305" t="s">
        <v>273</v>
      </c>
      <c r="C1258" s="305"/>
      <c r="D1258" s="246">
        <v>8</v>
      </c>
      <c r="E1258" s="165" t="s">
        <v>274</v>
      </c>
      <c r="F1258" s="155"/>
      <c r="G1258" s="250"/>
      <c r="H1258" s="213"/>
      <c r="I1258" s="261"/>
      <c r="J1258" s="261"/>
    </row>
    <row r="1259" spans="1:10" ht="13.5" thickBot="1" x14ac:dyDescent="0.25">
      <c r="A1259" s="155"/>
      <c r="B1259" s="306" t="s">
        <v>307</v>
      </c>
      <c r="C1259" s="306"/>
      <c r="D1259" s="247">
        <v>8</v>
      </c>
      <c r="E1259" s="166" t="s">
        <v>308</v>
      </c>
      <c r="F1259" s="155"/>
      <c r="G1259" s="250"/>
      <c r="H1259" s="213"/>
      <c r="I1259" s="261"/>
      <c r="J1259" s="261"/>
    </row>
    <row r="1260" spans="1:10" ht="27" customHeight="1" thickBot="1" x14ac:dyDescent="0.25">
      <c r="A1260" s="155"/>
      <c r="B1260" s="307" t="s">
        <v>413</v>
      </c>
      <c r="C1260" s="308"/>
      <c r="D1260" s="308"/>
      <c r="E1260" s="309"/>
      <c r="F1260" s="155"/>
      <c r="G1260" s="213"/>
      <c r="H1260" s="213"/>
      <c r="I1260" s="261"/>
      <c r="J1260" s="261"/>
    </row>
    <row r="1261" spans="1:10" x14ac:dyDescent="0.2">
      <c r="A1261" s="155"/>
      <c r="B1261" s="212" t="s">
        <v>18</v>
      </c>
      <c r="C1261" s="213"/>
      <c r="D1261" s="250"/>
      <c r="E1261" s="214"/>
      <c r="F1261" s="155"/>
      <c r="G1261" s="213"/>
      <c r="H1261" s="213"/>
      <c r="I1261" s="213"/>
      <c r="J1261" s="213"/>
    </row>
    <row r="1262" spans="1:10" x14ac:dyDescent="0.2">
      <c r="A1262" s="155"/>
      <c r="B1262" s="216"/>
      <c r="C1262" s="310" t="s">
        <v>63</v>
      </c>
      <c r="D1262" s="310"/>
      <c r="E1262" s="310"/>
      <c r="G1262" s="48"/>
      <c r="H1262" s="48"/>
      <c r="I1262" s="48"/>
      <c r="J1262" s="48"/>
    </row>
    <row r="1263" spans="1:10" x14ac:dyDescent="0.2">
      <c r="A1263" s="155"/>
      <c r="B1263" s="212" t="s">
        <v>19</v>
      </c>
      <c r="C1263" s="217"/>
      <c r="D1263" s="217"/>
      <c r="E1263" s="251"/>
      <c r="G1263" s="48"/>
      <c r="H1263" s="48"/>
      <c r="I1263" s="48"/>
      <c r="J1263" s="48"/>
    </row>
    <row r="1264" spans="1:10" x14ac:dyDescent="0.2">
      <c r="A1264" s="155"/>
      <c r="B1264" s="216"/>
      <c r="C1264" s="310" t="s">
        <v>140</v>
      </c>
      <c r="D1264" s="310"/>
      <c r="E1264" s="310"/>
      <c r="G1264" s="48"/>
      <c r="H1264" s="48"/>
      <c r="I1264" s="48"/>
      <c r="J1264" s="48"/>
    </row>
    <row r="1265" spans="1:10" x14ac:dyDescent="0.2">
      <c r="A1265" s="155"/>
      <c r="B1265" s="212" t="s">
        <v>20</v>
      </c>
      <c r="C1265" s="213"/>
      <c r="D1265" s="250"/>
      <c r="E1265" s="214"/>
      <c r="G1265" s="48"/>
      <c r="H1265" s="48"/>
      <c r="I1265" s="48"/>
      <c r="J1265" s="48"/>
    </row>
    <row r="1266" spans="1:10" x14ac:dyDescent="0.2">
      <c r="A1266" s="155"/>
      <c r="B1266" s="212"/>
      <c r="C1266" s="311" t="s">
        <v>64</v>
      </c>
      <c r="D1266" s="311"/>
      <c r="E1266" s="311"/>
      <c r="G1266" s="48"/>
      <c r="H1266" s="48"/>
      <c r="I1266" s="48"/>
      <c r="J1266" s="48"/>
    </row>
    <row r="1267" spans="1:10" ht="13.5" thickBot="1" x14ac:dyDescent="0.25">
      <c r="A1267" s="155"/>
      <c r="B1267" s="218"/>
      <c r="C1267" s="219"/>
      <c r="D1267" s="220"/>
      <c r="E1267" s="221"/>
      <c r="G1267" s="48"/>
      <c r="H1267" s="48"/>
      <c r="I1267" s="48"/>
      <c r="J1267" s="48"/>
    </row>
    <row r="1268" spans="1:10" x14ac:dyDescent="0.2">
      <c r="G1268" s="48"/>
      <c r="H1268" s="48"/>
      <c r="I1268" s="48"/>
      <c r="J1268" s="48"/>
    </row>
    <row r="1269" spans="1:10" x14ac:dyDescent="0.2">
      <c r="G1269" s="48"/>
      <c r="H1269" s="48"/>
      <c r="I1269" s="48"/>
      <c r="J1269" s="48"/>
    </row>
    <row r="1270" spans="1:10" x14ac:dyDescent="0.2">
      <c r="G1270" s="48"/>
      <c r="H1270" s="48"/>
      <c r="I1270" s="48"/>
      <c r="J1270" s="48"/>
    </row>
    <row r="1271" spans="1:10" x14ac:dyDescent="0.2">
      <c r="G1271" s="48"/>
      <c r="H1271" s="48"/>
      <c r="I1271" s="48"/>
      <c r="J1271" s="48"/>
    </row>
    <row r="1272" spans="1:10" x14ac:dyDescent="0.2">
      <c r="G1272" s="48"/>
      <c r="H1272" s="48"/>
      <c r="I1272" s="48"/>
      <c r="J1272" s="48"/>
    </row>
    <row r="1273" spans="1:10" x14ac:dyDescent="0.2">
      <c r="G1273" s="48"/>
      <c r="H1273" s="48"/>
      <c r="I1273" s="48"/>
      <c r="J1273" s="48"/>
    </row>
    <row r="1274" spans="1:10" x14ac:dyDescent="0.2">
      <c r="G1274" s="48"/>
      <c r="H1274" s="48"/>
      <c r="I1274" s="48"/>
      <c r="J1274" s="48"/>
    </row>
    <row r="1275" spans="1:10" x14ac:dyDescent="0.2">
      <c r="G1275" s="48"/>
      <c r="H1275" s="48"/>
      <c r="I1275" s="48"/>
      <c r="J1275" s="48"/>
    </row>
    <row r="1276" spans="1:10" x14ac:dyDescent="0.2">
      <c r="G1276" s="48"/>
      <c r="H1276" s="48"/>
      <c r="I1276" s="48"/>
      <c r="J1276" s="48"/>
    </row>
    <row r="1277" spans="1:10" x14ac:dyDescent="0.2">
      <c r="G1277" s="48"/>
      <c r="H1277" s="48"/>
      <c r="I1277" s="48"/>
      <c r="J1277" s="48"/>
    </row>
    <row r="1278" spans="1:10" x14ac:dyDescent="0.2">
      <c r="G1278" s="48"/>
      <c r="H1278" s="48"/>
      <c r="I1278" s="48"/>
      <c r="J1278" s="48"/>
    </row>
    <row r="1279" spans="1:10" x14ac:dyDescent="0.2">
      <c r="G1279" s="48"/>
      <c r="H1279" s="48"/>
      <c r="I1279" s="48"/>
      <c r="J1279" s="48"/>
    </row>
    <row r="1280" spans="1:10" x14ac:dyDescent="0.2">
      <c r="G1280" s="48"/>
      <c r="H1280" s="48"/>
      <c r="I1280" s="48"/>
      <c r="J1280" s="48"/>
    </row>
    <row r="1281" spans="7:10" x14ac:dyDescent="0.2">
      <c r="G1281" s="48"/>
      <c r="H1281" s="48"/>
      <c r="I1281" s="48"/>
      <c r="J1281" s="48"/>
    </row>
    <row r="1282" spans="7:10" x14ac:dyDescent="0.2">
      <c r="G1282" s="48"/>
      <c r="H1282" s="48"/>
      <c r="I1282" s="48"/>
      <c r="J1282" s="48"/>
    </row>
    <row r="1283" spans="7:10" x14ac:dyDescent="0.2">
      <c r="G1283" s="48"/>
      <c r="H1283" s="48"/>
      <c r="I1283" s="48"/>
      <c r="J1283" s="48"/>
    </row>
    <row r="1284" spans="7:10" x14ac:dyDescent="0.2">
      <c r="G1284" s="48"/>
      <c r="H1284" s="48"/>
      <c r="I1284" s="48"/>
      <c r="J1284" s="48"/>
    </row>
    <row r="1285" spans="7:10" x14ac:dyDescent="0.2">
      <c r="G1285" s="48"/>
      <c r="H1285" s="48"/>
      <c r="I1285" s="48"/>
      <c r="J1285" s="48"/>
    </row>
    <row r="1286" spans="7:10" x14ac:dyDescent="0.2">
      <c r="G1286" s="48"/>
      <c r="H1286" s="48"/>
      <c r="I1286" s="48"/>
      <c r="J1286" s="48"/>
    </row>
    <row r="1287" spans="7:10" x14ac:dyDescent="0.2">
      <c r="G1287" s="48"/>
      <c r="H1287" s="48"/>
      <c r="I1287" s="48"/>
      <c r="J1287" s="48"/>
    </row>
    <row r="1288" spans="7:10" x14ac:dyDescent="0.2">
      <c r="G1288" s="48"/>
      <c r="H1288" s="48"/>
      <c r="I1288" s="48"/>
      <c r="J1288" s="48"/>
    </row>
    <row r="1289" spans="7:10" x14ac:dyDescent="0.2">
      <c r="G1289" s="48"/>
      <c r="H1289" s="48"/>
      <c r="I1289" s="48"/>
      <c r="J1289" s="48"/>
    </row>
    <row r="1290" spans="7:10" x14ac:dyDescent="0.2">
      <c r="G1290" s="48"/>
      <c r="H1290" s="48"/>
      <c r="I1290" s="48"/>
      <c r="J1290" s="48"/>
    </row>
    <row r="1291" spans="7:10" x14ac:dyDescent="0.2">
      <c r="G1291" s="48"/>
      <c r="H1291" s="48"/>
      <c r="I1291" s="48"/>
      <c r="J1291" s="48"/>
    </row>
    <row r="1292" spans="7:10" x14ac:dyDescent="0.2">
      <c r="G1292" s="48"/>
      <c r="H1292" s="48"/>
      <c r="I1292" s="48"/>
      <c r="J1292" s="48"/>
    </row>
    <row r="1293" spans="7:10" x14ac:dyDescent="0.2">
      <c r="G1293" s="48"/>
      <c r="H1293" s="48"/>
      <c r="I1293" s="48"/>
      <c r="J1293" s="48"/>
    </row>
    <row r="1294" spans="7:10" x14ac:dyDescent="0.2">
      <c r="G1294" s="48"/>
      <c r="H1294" s="48"/>
      <c r="I1294" s="48"/>
      <c r="J1294" s="48"/>
    </row>
    <row r="1295" spans="7:10" x14ac:dyDescent="0.2">
      <c r="G1295" s="48"/>
      <c r="H1295" s="48"/>
      <c r="I1295" s="48"/>
      <c r="J1295" s="48"/>
    </row>
    <row r="1296" spans="7:10" x14ac:dyDescent="0.2">
      <c r="G1296" s="48"/>
      <c r="H1296" s="48"/>
      <c r="I1296" s="48"/>
      <c r="J1296" s="48"/>
    </row>
    <row r="1297" spans="7:10" x14ac:dyDescent="0.2">
      <c r="G1297" s="48"/>
      <c r="H1297" s="48"/>
      <c r="I1297" s="48"/>
      <c r="J1297" s="48"/>
    </row>
    <row r="1298" spans="7:10" x14ac:dyDescent="0.2">
      <c r="G1298" s="48"/>
      <c r="H1298" s="48"/>
      <c r="I1298" s="48"/>
      <c r="J1298" s="48"/>
    </row>
    <row r="1299" spans="7:10" x14ac:dyDescent="0.2">
      <c r="G1299" s="48"/>
      <c r="H1299" s="48"/>
      <c r="I1299" s="48"/>
      <c r="J1299" s="48"/>
    </row>
    <row r="1300" spans="7:10" x14ac:dyDescent="0.2">
      <c r="G1300" s="48"/>
      <c r="H1300" s="48"/>
      <c r="I1300" s="48"/>
      <c r="J1300" s="48"/>
    </row>
    <row r="1301" spans="7:10" x14ac:dyDescent="0.2">
      <c r="G1301" s="48"/>
      <c r="H1301" s="48"/>
      <c r="I1301" s="48"/>
      <c r="J1301" s="48"/>
    </row>
    <row r="1302" spans="7:10" x14ac:dyDescent="0.2">
      <c r="G1302" s="48"/>
      <c r="H1302" s="48"/>
      <c r="I1302" s="48"/>
      <c r="J1302" s="48"/>
    </row>
    <row r="1303" spans="7:10" x14ac:dyDescent="0.2">
      <c r="G1303" s="48"/>
      <c r="H1303" s="48"/>
      <c r="I1303" s="48"/>
      <c r="J1303" s="48"/>
    </row>
    <row r="1304" spans="7:10" x14ac:dyDescent="0.2">
      <c r="G1304" s="48"/>
      <c r="H1304" s="48"/>
      <c r="I1304" s="48"/>
      <c r="J1304" s="48"/>
    </row>
    <row r="1305" spans="7:10" x14ac:dyDescent="0.2">
      <c r="G1305" s="48"/>
      <c r="H1305" s="48"/>
      <c r="I1305" s="48"/>
      <c r="J1305" s="48"/>
    </row>
    <row r="1306" spans="7:10" x14ac:dyDescent="0.2">
      <c r="G1306" s="48"/>
      <c r="H1306" s="48"/>
      <c r="I1306" s="48"/>
      <c r="J1306" s="48"/>
    </row>
    <row r="1307" spans="7:10" x14ac:dyDescent="0.2">
      <c r="G1307" s="48"/>
      <c r="H1307" s="48"/>
      <c r="I1307" s="48"/>
      <c r="J1307" s="48"/>
    </row>
    <row r="1308" spans="7:10" x14ac:dyDescent="0.2">
      <c r="G1308" s="48"/>
      <c r="H1308" s="48"/>
      <c r="I1308" s="48"/>
      <c r="J1308" s="48"/>
    </row>
    <row r="1309" spans="7:10" x14ac:dyDescent="0.2">
      <c r="G1309" s="48"/>
      <c r="H1309" s="48"/>
      <c r="I1309" s="48"/>
      <c r="J1309" s="48"/>
    </row>
    <row r="1310" spans="7:10" x14ac:dyDescent="0.2">
      <c r="G1310" s="48"/>
      <c r="H1310" s="48"/>
      <c r="I1310" s="48"/>
      <c r="J1310" s="48"/>
    </row>
    <row r="1311" spans="7:10" x14ac:dyDescent="0.2">
      <c r="G1311" s="48"/>
      <c r="H1311" s="48"/>
      <c r="I1311" s="48"/>
      <c r="J1311" s="48"/>
    </row>
    <row r="1312" spans="7:10" x14ac:dyDescent="0.2">
      <c r="G1312" s="48"/>
      <c r="H1312" s="48"/>
      <c r="I1312" s="48"/>
      <c r="J1312" s="48"/>
    </row>
    <row r="1313" spans="7:10" x14ac:dyDescent="0.2">
      <c r="G1313" s="48"/>
      <c r="H1313" s="48"/>
      <c r="I1313" s="48"/>
      <c r="J1313" s="48"/>
    </row>
    <row r="1314" spans="7:10" x14ac:dyDescent="0.2">
      <c r="G1314" s="48"/>
      <c r="H1314" s="48"/>
      <c r="I1314" s="48"/>
      <c r="J1314" s="48"/>
    </row>
    <row r="1315" spans="7:10" x14ac:dyDescent="0.2">
      <c r="G1315" s="48"/>
      <c r="H1315" s="48"/>
      <c r="I1315" s="48"/>
      <c r="J1315" s="48"/>
    </row>
    <row r="1316" spans="7:10" x14ac:dyDescent="0.2">
      <c r="G1316" s="48"/>
      <c r="H1316" s="48"/>
      <c r="I1316" s="48"/>
      <c r="J1316" s="48"/>
    </row>
    <row r="1317" spans="7:10" x14ac:dyDescent="0.2">
      <c r="G1317" s="48"/>
      <c r="H1317" s="48"/>
      <c r="I1317" s="48"/>
      <c r="J1317" s="48"/>
    </row>
    <row r="1318" spans="7:10" x14ac:dyDescent="0.2">
      <c r="G1318" s="48"/>
      <c r="H1318" s="48"/>
      <c r="I1318" s="48"/>
      <c r="J1318" s="48"/>
    </row>
    <row r="1319" spans="7:10" x14ac:dyDescent="0.2">
      <c r="G1319" s="48"/>
      <c r="H1319" s="48"/>
      <c r="I1319" s="48"/>
      <c r="J1319" s="48"/>
    </row>
    <row r="1320" spans="7:10" x14ac:dyDescent="0.2">
      <c r="G1320" s="48"/>
      <c r="H1320" s="48"/>
      <c r="I1320" s="48"/>
      <c r="J1320" s="48"/>
    </row>
    <row r="1321" spans="7:10" x14ac:dyDescent="0.2">
      <c r="G1321" s="48"/>
      <c r="H1321" s="48"/>
      <c r="I1321" s="48"/>
      <c r="J1321" s="48"/>
    </row>
    <row r="1322" spans="7:10" x14ac:dyDescent="0.2">
      <c r="G1322" s="48"/>
      <c r="H1322" s="48"/>
      <c r="I1322" s="48"/>
      <c r="J1322" s="48"/>
    </row>
    <row r="1323" spans="7:10" x14ac:dyDescent="0.2">
      <c r="G1323" s="48"/>
      <c r="H1323" s="48"/>
      <c r="I1323" s="48"/>
      <c r="J1323" s="48"/>
    </row>
    <row r="1324" spans="7:10" x14ac:dyDescent="0.2">
      <c r="G1324" s="48"/>
      <c r="H1324" s="48"/>
      <c r="I1324" s="48"/>
      <c r="J1324" s="48"/>
    </row>
    <row r="1325" spans="7:10" x14ac:dyDescent="0.2">
      <c r="G1325" s="48"/>
      <c r="H1325" s="48"/>
      <c r="I1325" s="48"/>
      <c r="J1325" s="48"/>
    </row>
    <row r="1326" spans="7:10" x14ac:dyDescent="0.2">
      <c r="G1326" s="48"/>
      <c r="H1326" s="48"/>
      <c r="I1326" s="48"/>
      <c r="J1326" s="48"/>
    </row>
    <row r="1327" spans="7:10" x14ac:dyDescent="0.2">
      <c r="G1327" s="48"/>
      <c r="H1327" s="48"/>
      <c r="I1327" s="48"/>
      <c r="J1327" s="48"/>
    </row>
    <row r="1328" spans="7:10" x14ac:dyDescent="0.2">
      <c r="G1328" s="48"/>
      <c r="H1328" s="48"/>
      <c r="I1328" s="48"/>
      <c r="J1328" s="48"/>
    </row>
    <row r="1329" spans="7:10" x14ac:dyDescent="0.2">
      <c r="G1329" s="48"/>
      <c r="H1329" s="48"/>
      <c r="I1329" s="48"/>
      <c r="J1329" s="48"/>
    </row>
    <row r="1330" spans="7:10" x14ac:dyDescent="0.2">
      <c r="G1330" s="48"/>
      <c r="H1330" s="48"/>
      <c r="I1330" s="48"/>
      <c r="J1330" s="48"/>
    </row>
    <row r="1331" spans="7:10" x14ac:dyDescent="0.2">
      <c r="G1331" s="48"/>
      <c r="H1331" s="48"/>
      <c r="I1331" s="48"/>
      <c r="J1331" s="48"/>
    </row>
    <row r="1332" spans="7:10" x14ac:dyDescent="0.2">
      <c r="G1332" s="48"/>
      <c r="H1332" s="48"/>
      <c r="I1332" s="48"/>
      <c r="J1332" s="48"/>
    </row>
    <row r="1333" spans="7:10" x14ac:dyDescent="0.2">
      <c r="G1333" s="48"/>
      <c r="H1333" s="48"/>
      <c r="I1333" s="48"/>
      <c r="J1333" s="48"/>
    </row>
    <row r="1334" spans="7:10" x14ac:dyDescent="0.2">
      <c r="G1334" s="48"/>
      <c r="H1334" s="48"/>
      <c r="I1334" s="48"/>
      <c r="J1334" s="48"/>
    </row>
    <row r="1335" spans="7:10" x14ac:dyDescent="0.2">
      <c r="G1335" s="48"/>
      <c r="H1335" s="48"/>
      <c r="I1335" s="48"/>
      <c r="J1335" s="48"/>
    </row>
    <row r="1336" spans="7:10" x14ac:dyDescent="0.2">
      <c r="G1336" s="48"/>
      <c r="H1336" s="48"/>
      <c r="I1336" s="48"/>
      <c r="J1336" s="48"/>
    </row>
    <row r="1337" spans="7:10" x14ac:dyDescent="0.2">
      <c r="G1337" s="48"/>
      <c r="H1337" s="48"/>
      <c r="I1337" s="48"/>
      <c r="J1337" s="48"/>
    </row>
    <row r="1338" spans="7:10" x14ac:dyDescent="0.2">
      <c r="G1338" s="48"/>
      <c r="H1338" s="48"/>
      <c r="I1338" s="48"/>
      <c r="J1338" s="48"/>
    </row>
    <row r="1339" spans="7:10" x14ac:dyDescent="0.2">
      <c r="G1339" s="48"/>
      <c r="H1339" s="48"/>
      <c r="I1339" s="48"/>
      <c r="J1339" s="48"/>
    </row>
    <row r="1340" spans="7:10" x14ac:dyDescent="0.2">
      <c r="G1340" s="48"/>
      <c r="H1340" s="48"/>
      <c r="I1340" s="48"/>
      <c r="J1340" s="48"/>
    </row>
    <row r="1341" spans="7:10" x14ac:dyDescent="0.2">
      <c r="G1341" s="48"/>
      <c r="H1341" s="48"/>
      <c r="I1341" s="48"/>
      <c r="J1341" s="48"/>
    </row>
    <row r="1342" spans="7:10" x14ac:dyDescent="0.2">
      <c r="G1342" s="48"/>
      <c r="H1342" s="48"/>
      <c r="I1342" s="48"/>
      <c r="J1342" s="48"/>
    </row>
    <row r="1343" spans="7:10" x14ac:dyDescent="0.2">
      <c r="G1343" s="48"/>
      <c r="H1343" s="48"/>
      <c r="I1343" s="48"/>
      <c r="J1343" s="48"/>
    </row>
    <row r="1344" spans="7:10" x14ac:dyDescent="0.2">
      <c r="G1344" s="48"/>
      <c r="H1344" s="48"/>
      <c r="I1344" s="48"/>
      <c r="J1344" s="48"/>
    </row>
    <row r="1345" spans="7:10" x14ac:dyDescent="0.2">
      <c r="G1345" s="48"/>
      <c r="H1345" s="48"/>
      <c r="I1345" s="48"/>
      <c r="J1345" s="48"/>
    </row>
    <row r="1346" spans="7:10" x14ac:dyDescent="0.2">
      <c r="G1346" s="48"/>
      <c r="H1346" s="48"/>
      <c r="I1346" s="48"/>
      <c r="J1346" s="48"/>
    </row>
    <row r="1347" spans="7:10" x14ac:dyDescent="0.2">
      <c r="G1347" s="48"/>
      <c r="H1347" s="48"/>
      <c r="I1347" s="48"/>
      <c r="J1347" s="48"/>
    </row>
    <row r="1348" spans="7:10" x14ac:dyDescent="0.2">
      <c r="G1348" s="48"/>
      <c r="H1348" s="48"/>
      <c r="I1348" s="48"/>
      <c r="J1348" s="48"/>
    </row>
    <row r="1349" spans="7:10" x14ac:dyDescent="0.2">
      <c r="G1349" s="48"/>
      <c r="H1349" s="48"/>
      <c r="I1349" s="48"/>
      <c r="J1349" s="48"/>
    </row>
    <row r="1350" spans="7:10" x14ac:dyDescent="0.2">
      <c r="G1350" s="48"/>
      <c r="H1350" s="48"/>
      <c r="I1350" s="48"/>
      <c r="J1350" s="48"/>
    </row>
    <row r="1351" spans="7:10" x14ac:dyDescent="0.2">
      <c r="G1351" s="48"/>
      <c r="H1351" s="48"/>
      <c r="I1351" s="48"/>
      <c r="J1351" s="48"/>
    </row>
    <row r="1352" spans="7:10" x14ac:dyDescent="0.2">
      <c r="G1352" s="48"/>
      <c r="H1352" s="48"/>
      <c r="I1352" s="48"/>
      <c r="J1352" s="48"/>
    </row>
    <row r="1353" spans="7:10" x14ac:dyDescent="0.2">
      <c r="G1353" s="48"/>
      <c r="H1353" s="48"/>
      <c r="I1353" s="48"/>
      <c r="J1353" s="48"/>
    </row>
    <row r="1354" spans="7:10" x14ac:dyDescent="0.2">
      <c r="G1354" s="48"/>
      <c r="H1354" s="48"/>
      <c r="I1354" s="48"/>
      <c r="J1354" s="48"/>
    </row>
    <row r="1355" spans="7:10" x14ac:dyDescent="0.2">
      <c r="G1355" s="48"/>
      <c r="H1355" s="48"/>
      <c r="I1355" s="48"/>
      <c r="J1355" s="48"/>
    </row>
    <row r="1356" spans="7:10" x14ac:dyDescent="0.2">
      <c r="G1356" s="48"/>
      <c r="H1356" s="48"/>
      <c r="I1356" s="48"/>
      <c r="J1356" s="48"/>
    </row>
    <row r="1357" spans="7:10" x14ac:dyDescent="0.2">
      <c r="G1357" s="48"/>
      <c r="H1357" s="48"/>
      <c r="I1357" s="48"/>
      <c r="J1357" s="48"/>
    </row>
    <row r="1358" spans="7:10" x14ac:dyDescent="0.2">
      <c r="G1358" s="48"/>
      <c r="H1358" s="48"/>
      <c r="I1358" s="48"/>
      <c r="J1358" s="48"/>
    </row>
    <row r="1359" spans="7:10" x14ac:dyDescent="0.2">
      <c r="G1359" s="48"/>
      <c r="H1359" s="48"/>
      <c r="I1359" s="48"/>
      <c r="J1359" s="48"/>
    </row>
    <row r="1360" spans="7:10" x14ac:dyDescent="0.2">
      <c r="G1360" s="48"/>
      <c r="H1360" s="48"/>
      <c r="I1360" s="48"/>
      <c r="J1360" s="48"/>
    </row>
    <row r="1361" spans="7:10" x14ac:dyDescent="0.2">
      <c r="G1361" s="48"/>
      <c r="H1361" s="48"/>
      <c r="I1361" s="48"/>
      <c r="J1361" s="48"/>
    </row>
    <row r="1362" spans="7:10" x14ac:dyDescent="0.2">
      <c r="G1362" s="48"/>
      <c r="H1362" s="48"/>
      <c r="I1362" s="48"/>
      <c r="J1362" s="48"/>
    </row>
    <row r="1363" spans="7:10" x14ac:dyDescent="0.2">
      <c r="G1363" s="48"/>
      <c r="H1363" s="48"/>
      <c r="I1363" s="48"/>
      <c r="J1363" s="48"/>
    </row>
    <row r="1364" spans="7:10" x14ac:dyDescent="0.2">
      <c r="G1364" s="48"/>
      <c r="H1364" s="48"/>
      <c r="I1364" s="48"/>
      <c r="J1364" s="48"/>
    </row>
    <row r="1365" spans="7:10" x14ac:dyDescent="0.2">
      <c r="G1365" s="48"/>
      <c r="H1365" s="48"/>
      <c r="I1365" s="48"/>
      <c r="J1365" s="48"/>
    </row>
    <row r="1366" spans="7:10" x14ac:dyDescent="0.2">
      <c r="G1366" s="48"/>
      <c r="H1366" s="48"/>
      <c r="I1366" s="48"/>
      <c r="J1366" s="48"/>
    </row>
    <row r="1367" spans="7:10" x14ac:dyDescent="0.2">
      <c r="G1367" s="48"/>
      <c r="H1367" s="48"/>
      <c r="I1367" s="48"/>
      <c r="J1367" s="48"/>
    </row>
  </sheetData>
  <mergeCells count="931">
    <mergeCell ref="B936:E936"/>
    <mergeCell ref="B972:E972"/>
    <mergeCell ref="B60:C60"/>
    <mergeCell ref="B61:C61"/>
    <mergeCell ref="B62:C62"/>
    <mergeCell ref="B63:C63"/>
    <mergeCell ref="C1128:E1128"/>
    <mergeCell ref="B1130:E1130"/>
    <mergeCell ref="B1131:C1131"/>
    <mergeCell ref="B64:C64"/>
    <mergeCell ref="B65:C65"/>
    <mergeCell ref="B86:E86"/>
    <mergeCell ref="B87:C87"/>
    <mergeCell ref="B94:C94"/>
    <mergeCell ref="B95:C95"/>
    <mergeCell ref="B96:C96"/>
    <mergeCell ref="B88:C88"/>
    <mergeCell ref="B89:C89"/>
    <mergeCell ref="B90:C90"/>
    <mergeCell ref="B91:C91"/>
    <mergeCell ref="B92:C92"/>
    <mergeCell ref="B93:C93"/>
    <mergeCell ref="B100:C100"/>
    <mergeCell ref="B101:C101"/>
    <mergeCell ref="B1132:C1132"/>
    <mergeCell ref="B1133:C1133"/>
    <mergeCell ref="B1134:C1134"/>
    <mergeCell ref="B1135:C1135"/>
    <mergeCell ref="B1136:C1136"/>
    <mergeCell ref="B1137:C1137"/>
    <mergeCell ref="C1156:E1156"/>
    <mergeCell ref="C1158:E1158"/>
    <mergeCell ref="B1138:C1138"/>
    <mergeCell ref="B1139:C1139"/>
    <mergeCell ref="B1140:C1140"/>
    <mergeCell ref="B1141:C1141"/>
    <mergeCell ref="B1142:C1142"/>
    <mergeCell ref="B1143:C1143"/>
    <mergeCell ref="B1144:C1144"/>
    <mergeCell ref="B1145:C1145"/>
    <mergeCell ref="B1146:C1146"/>
    <mergeCell ref="B1147:C1147"/>
    <mergeCell ref="B1148:C1148"/>
    <mergeCell ref="B1149:C1149"/>
    <mergeCell ref="B1150:C1150"/>
    <mergeCell ref="B1151:C1151"/>
    <mergeCell ref="B1152:E1152"/>
    <mergeCell ref="C1154:E1154"/>
    <mergeCell ref="B57:C57"/>
    <mergeCell ref="B58:C58"/>
    <mergeCell ref="B59:C59"/>
    <mergeCell ref="C74:E74"/>
    <mergeCell ref="C76:E76"/>
    <mergeCell ref="C78:E78"/>
    <mergeCell ref="C84:E84"/>
    <mergeCell ref="B66:C66"/>
    <mergeCell ref="B67:C67"/>
    <mergeCell ref="B68:C68"/>
    <mergeCell ref="B69:C69"/>
    <mergeCell ref="B70:C70"/>
    <mergeCell ref="B71:C71"/>
    <mergeCell ref="B1:H1"/>
    <mergeCell ref="A3:B3"/>
    <mergeCell ref="C3:E3"/>
    <mergeCell ref="A4:B4"/>
    <mergeCell ref="C4:E4"/>
    <mergeCell ref="A5:B5"/>
    <mergeCell ref="B54:C54"/>
    <mergeCell ref="B55:C55"/>
    <mergeCell ref="B56:C56"/>
    <mergeCell ref="A6:B6"/>
    <mergeCell ref="C48:E48"/>
    <mergeCell ref="B50:E50"/>
    <mergeCell ref="B51:C51"/>
    <mergeCell ref="B52:C52"/>
    <mergeCell ref="B53:C53"/>
    <mergeCell ref="B102:C102"/>
    <mergeCell ref="B103:C103"/>
    <mergeCell ref="B104:C104"/>
    <mergeCell ref="B105:C105"/>
    <mergeCell ref="B97:C97"/>
    <mergeCell ref="B98:C98"/>
    <mergeCell ref="B99:C99"/>
    <mergeCell ref="B122:E122"/>
    <mergeCell ref="B123:C123"/>
    <mergeCell ref="B124:C124"/>
    <mergeCell ref="B125:C125"/>
    <mergeCell ref="B126:C126"/>
    <mergeCell ref="B127:C127"/>
    <mergeCell ref="B106:C106"/>
    <mergeCell ref="B107:C107"/>
    <mergeCell ref="C110:E110"/>
    <mergeCell ref="C112:E112"/>
    <mergeCell ref="C114:E114"/>
    <mergeCell ref="C120:E120"/>
    <mergeCell ref="B134:C134"/>
    <mergeCell ref="B135:C135"/>
    <mergeCell ref="B136:C136"/>
    <mergeCell ref="B137:C137"/>
    <mergeCell ref="B138:C138"/>
    <mergeCell ref="B139:C139"/>
    <mergeCell ref="B128:C128"/>
    <mergeCell ref="B129:C129"/>
    <mergeCell ref="B130:C130"/>
    <mergeCell ref="B131:C131"/>
    <mergeCell ref="B132:C132"/>
    <mergeCell ref="B133:C133"/>
    <mergeCell ref="C150:E150"/>
    <mergeCell ref="C156:E156"/>
    <mergeCell ref="B158:E158"/>
    <mergeCell ref="B159:C159"/>
    <mergeCell ref="B160:C160"/>
    <mergeCell ref="B161:C161"/>
    <mergeCell ref="B140:C140"/>
    <mergeCell ref="B141:C141"/>
    <mergeCell ref="B142:C142"/>
    <mergeCell ref="B143:C143"/>
    <mergeCell ref="C146:E146"/>
    <mergeCell ref="C148:E148"/>
    <mergeCell ref="B168:C168"/>
    <mergeCell ref="B169:C169"/>
    <mergeCell ref="B170:C170"/>
    <mergeCell ref="B171:C171"/>
    <mergeCell ref="B172:C172"/>
    <mergeCell ref="B173:C173"/>
    <mergeCell ref="B162:C162"/>
    <mergeCell ref="B163:C163"/>
    <mergeCell ref="B164:C164"/>
    <mergeCell ref="B165:C165"/>
    <mergeCell ref="B166:C166"/>
    <mergeCell ref="B167:C167"/>
    <mergeCell ref="C182:E182"/>
    <mergeCell ref="C184:E184"/>
    <mergeCell ref="C186:E186"/>
    <mergeCell ref="C192:E192"/>
    <mergeCell ref="B194:E194"/>
    <mergeCell ref="B195:C195"/>
    <mergeCell ref="B174:C174"/>
    <mergeCell ref="B175:C175"/>
    <mergeCell ref="B176:C176"/>
    <mergeCell ref="B177:C177"/>
    <mergeCell ref="B178:C178"/>
    <mergeCell ref="B179:C179"/>
    <mergeCell ref="B202:C202"/>
    <mergeCell ref="B203:C203"/>
    <mergeCell ref="B204:C204"/>
    <mergeCell ref="B205:C205"/>
    <mergeCell ref="B206:C206"/>
    <mergeCell ref="B207:C207"/>
    <mergeCell ref="B196:C196"/>
    <mergeCell ref="B197:C197"/>
    <mergeCell ref="B198:C198"/>
    <mergeCell ref="B199:C199"/>
    <mergeCell ref="B200:C200"/>
    <mergeCell ref="B201:C201"/>
    <mergeCell ref="B214:C214"/>
    <mergeCell ref="B215:C215"/>
    <mergeCell ref="C218:E218"/>
    <mergeCell ref="C220:E220"/>
    <mergeCell ref="C222:E222"/>
    <mergeCell ref="C228:E228"/>
    <mergeCell ref="B208:C208"/>
    <mergeCell ref="B209:C209"/>
    <mergeCell ref="B210:C210"/>
    <mergeCell ref="B211:C211"/>
    <mergeCell ref="B212:C212"/>
    <mergeCell ref="B213:C213"/>
    <mergeCell ref="B236:C236"/>
    <mergeCell ref="B237:C237"/>
    <mergeCell ref="B238:C238"/>
    <mergeCell ref="B239:C239"/>
    <mergeCell ref="B240:C240"/>
    <mergeCell ref="B241:C241"/>
    <mergeCell ref="B230:E230"/>
    <mergeCell ref="B231:C231"/>
    <mergeCell ref="B232:C232"/>
    <mergeCell ref="B233:C233"/>
    <mergeCell ref="B234:C234"/>
    <mergeCell ref="B235:C235"/>
    <mergeCell ref="B248:C248"/>
    <mergeCell ref="B249:C249"/>
    <mergeCell ref="B250:C250"/>
    <mergeCell ref="B251:C251"/>
    <mergeCell ref="C254:E254"/>
    <mergeCell ref="C256:E256"/>
    <mergeCell ref="B242:C242"/>
    <mergeCell ref="B243:C243"/>
    <mergeCell ref="B244:C244"/>
    <mergeCell ref="B245:C245"/>
    <mergeCell ref="B246:C246"/>
    <mergeCell ref="B247:C247"/>
    <mergeCell ref="B270:C270"/>
    <mergeCell ref="B271:C271"/>
    <mergeCell ref="B272:C272"/>
    <mergeCell ref="B273:C273"/>
    <mergeCell ref="B274:C274"/>
    <mergeCell ref="B275:C275"/>
    <mergeCell ref="C258:E258"/>
    <mergeCell ref="C264:E264"/>
    <mergeCell ref="B266:E266"/>
    <mergeCell ref="B267:C267"/>
    <mergeCell ref="B268:C268"/>
    <mergeCell ref="B269:C269"/>
    <mergeCell ref="B282:C282"/>
    <mergeCell ref="B283:C283"/>
    <mergeCell ref="B284:C284"/>
    <mergeCell ref="B285:C285"/>
    <mergeCell ref="B286:C286"/>
    <mergeCell ref="B287:C287"/>
    <mergeCell ref="B276:C276"/>
    <mergeCell ref="B277:C277"/>
    <mergeCell ref="B278:C278"/>
    <mergeCell ref="B279:C279"/>
    <mergeCell ref="B280:C280"/>
    <mergeCell ref="B281:C281"/>
    <mergeCell ref="B304:C304"/>
    <mergeCell ref="B305:C305"/>
    <mergeCell ref="B306:C306"/>
    <mergeCell ref="B307:C307"/>
    <mergeCell ref="B308:C308"/>
    <mergeCell ref="B309:C309"/>
    <mergeCell ref="C290:E290"/>
    <mergeCell ref="C292:E292"/>
    <mergeCell ref="C294:E294"/>
    <mergeCell ref="C300:E300"/>
    <mergeCell ref="B302:E302"/>
    <mergeCell ref="B303:C303"/>
    <mergeCell ref="B316:C316"/>
    <mergeCell ref="B317:C317"/>
    <mergeCell ref="B318:C318"/>
    <mergeCell ref="B319:C319"/>
    <mergeCell ref="B320:C320"/>
    <mergeCell ref="B321:C321"/>
    <mergeCell ref="B310:C310"/>
    <mergeCell ref="B311:C311"/>
    <mergeCell ref="B312:C312"/>
    <mergeCell ref="B313:C313"/>
    <mergeCell ref="B314:C314"/>
    <mergeCell ref="B315:C315"/>
    <mergeCell ref="B338:E338"/>
    <mergeCell ref="B339:C339"/>
    <mergeCell ref="B340:C340"/>
    <mergeCell ref="B341:C341"/>
    <mergeCell ref="B342:C342"/>
    <mergeCell ref="B343:C343"/>
    <mergeCell ref="B322:C322"/>
    <mergeCell ref="B323:C323"/>
    <mergeCell ref="C326:E326"/>
    <mergeCell ref="C328:E328"/>
    <mergeCell ref="C330:E330"/>
    <mergeCell ref="C336:E336"/>
    <mergeCell ref="B350:C350"/>
    <mergeCell ref="B351:C351"/>
    <mergeCell ref="B352:C352"/>
    <mergeCell ref="B353:C353"/>
    <mergeCell ref="B354:C354"/>
    <mergeCell ref="B355:C355"/>
    <mergeCell ref="B344:C344"/>
    <mergeCell ref="B345:C345"/>
    <mergeCell ref="B346:C346"/>
    <mergeCell ref="B347:C347"/>
    <mergeCell ref="B348:C348"/>
    <mergeCell ref="B349:C349"/>
    <mergeCell ref="C366:E366"/>
    <mergeCell ref="C372:E372"/>
    <mergeCell ref="B374:E374"/>
    <mergeCell ref="B375:C375"/>
    <mergeCell ref="B376:C376"/>
    <mergeCell ref="B377:C377"/>
    <mergeCell ref="B356:C356"/>
    <mergeCell ref="B357:C357"/>
    <mergeCell ref="B358:C358"/>
    <mergeCell ref="B359:C359"/>
    <mergeCell ref="C362:E362"/>
    <mergeCell ref="C364:E364"/>
    <mergeCell ref="B384:C384"/>
    <mergeCell ref="B385:C385"/>
    <mergeCell ref="B386:C386"/>
    <mergeCell ref="B387:C387"/>
    <mergeCell ref="B388:C388"/>
    <mergeCell ref="B389:C389"/>
    <mergeCell ref="B378:C378"/>
    <mergeCell ref="B379:C379"/>
    <mergeCell ref="B380:C380"/>
    <mergeCell ref="B381:C381"/>
    <mergeCell ref="B382:C382"/>
    <mergeCell ref="B383:C383"/>
    <mergeCell ref="C398:E398"/>
    <mergeCell ref="C400:E400"/>
    <mergeCell ref="C402:E402"/>
    <mergeCell ref="C408:E408"/>
    <mergeCell ref="B410:E410"/>
    <mergeCell ref="B411:C411"/>
    <mergeCell ref="B390:C390"/>
    <mergeCell ref="B391:C391"/>
    <mergeCell ref="B392:C392"/>
    <mergeCell ref="B393:C393"/>
    <mergeCell ref="B394:C394"/>
    <mergeCell ref="B395:C395"/>
    <mergeCell ref="B396:E396"/>
    <mergeCell ref="B418:C418"/>
    <mergeCell ref="B419:C419"/>
    <mergeCell ref="B420:C420"/>
    <mergeCell ref="B421:C421"/>
    <mergeCell ref="B422:C422"/>
    <mergeCell ref="B423:C423"/>
    <mergeCell ref="B412:C412"/>
    <mergeCell ref="B413:C413"/>
    <mergeCell ref="B414:C414"/>
    <mergeCell ref="B415:C415"/>
    <mergeCell ref="B416:C416"/>
    <mergeCell ref="B417:C417"/>
    <mergeCell ref="B430:C430"/>
    <mergeCell ref="B431:C431"/>
    <mergeCell ref="C434:E434"/>
    <mergeCell ref="C436:E436"/>
    <mergeCell ref="C438:E438"/>
    <mergeCell ref="C444:E444"/>
    <mergeCell ref="B424:C424"/>
    <mergeCell ref="B425:C425"/>
    <mergeCell ref="B426:C426"/>
    <mergeCell ref="B427:C427"/>
    <mergeCell ref="B428:C428"/>
    <mergeCell ref="B429:C429"/>
    <mergeCell ref="B432:E432"/>
    <mergeCell ref="C442:E442"/>
    <mergeCell ref="B452:C452"/>
    <mergeCell ref="B453:C453"/>
    <mergeCell ref="B454:C454"/>
    <mergeCell ref="B455:C455"/>
    <mergeCell ref="B456:C456"/>
    <mergeCell ref="B457:C457"/>
    <mergeCell ref="B446:E446"/>
    <mergeCell ref="B447:C447"/>
    <mergeCell ref="B448:C448"/>
    <mergeCell ref="B449:C449"/>
    <mergeCell ref="B450:C450"/>
    <mergeCell ref="B451:C451"/>
    <mergeCell ref="B464:C464"/>
    <mergeCell ref="B465:C465"/>
    <mergeCell ref="B466:C466"/>
    <mergeCell ref="B467:C467"/>
    <mergeCell ref="C470:E470"/>
    <mergeCell ref="C472:E472"/>
    <mergeCell ref="B458:C458"/>
    <mergeCell ref="B459:C459"/>
    <mergeCell ref="B460:C460"/>
    <mergeCell ref="B461:C461"/>
    <mergeCell ref="B462:C462"/>
    <mergeCell ref="B463:C463"/>
    <mergeCell ref="B468:E468"/>
    <mergeCell ref="B486:C486"/>
    <mergeCell ref="B487:C487"/>
    <mergeCell ref="B488:C488"/>
    <mergeCell ref="B489:C489"/>
    <mergeCell ref="B490:C490"/>
    <mergeCell ref="B491:C491"/>
    <mergeCell ref="C474:E474"/>
    <mergeCell ref="C480:E480"/>
    <mergeCell ref="B482:E482"/>
    <mergeCell ref="B483:C483"/>
    <mergeCell ref="B484:C484"/>
    <mergeCell ref="B485:C485"/>
    <mergeCell ref="B498:C498"/>
    <mergeCell ref="B499:C499"/>
    <mergeCell ref="B500:C500"/>
    <mergeCell ref="B501:C501"/>
    <mergeCell ref="B502:C502"/>
    <mergeCell ref="B503:C503"/>
    <mergeCell ref="B504:E504"/>
    <mergeCell ref="B492:C492"/>
    <mergeCell ref="B493:C493"/>
    <mergeCell ref="B494:C494"/>
    <mergeCell ref="B495:C495"/>
    <mergeCell ref="B496:C496"/>
    <mergeCell ref="B497:C497"/>
    <mergeCell ref="B520:C520"/>
    <mergeCell ref="B521:C521"/>
    <mergeCell ref="B522:C522"/>
    <mergeCell ref="B523:C523"/>
    <mergeCell ref="B524:C524"/>
    <mergeCell ref="B525:C525"/>
    <mergeCell ref="C506:E506"/>
    <mergeCell ref="C508:E508"/>
    <mergeCell ref="C510:E510"/>
    <mergeCell ref="C516:E516"/>
    <mergeCell ref="B518:E518"/>
    <mergeCell ref="B519:C519"/>
    <mergeCell ref="B532:C532"/>
    <mergeCell ref="B533:C533"/>
    <mergeCell ref="B534:C534"/>
    <mergeCell ref="B535:C535"/>
    <mergeCell ref="B536:C536"/>
    <mergeCell ref="B537:C537"/>
    <mergeCell ref="B540:E540"/>
    <mergeCell ref="B526:C526"/>
    <mergeCell ref="B527:C527"/>
    <mergeCell ref="B528:C528"/>
    <mergeCell ref="B529:C529"/>
    <mergeCell ref="B530:C530"/>
    <mergeCell ref="B531:C531"/>
    <mergeCell ref="B554:E554"/>
    <mergeCell ref="B555:C555"/>
    <mergeCell ref="B556:C556"/>
    <mergeCell ref="B557:C557"/>
    <mergeCell ref="B558:C558"/>
    <mergeCell ref="B559:C559"/>
    <mergeCell ref="B538:C538"/>
    <mergeCell ref="B539:C539"/>
    <mergeCell ref="C542:E542"/>
    <mergeCell ref="C544:E544"/>
    <mergeCell ref="C546:E546"/>
    <mergeCell ref="C552:E552"/>
    <mergeCell ref="B566:C566"/>
    <mergeCell ref="B567:C567"/>
    <mergeCell ref="B568:C568"/>
    <mergeCell ref="B569:C569"/>
    <mergeCell ref="B570:C570"/>
    <mergeCell ref="B571:C571"/>
    <mergeCell ref="B576:E576"/>
    <mergeCell ref="B560:C560"/>
    <mergeCell ref="B561:C561"/>
    <mergeCell ref="B562:C562"/>
    <mergeCell ref="B563:C563"/>
    <mergeCell ref="B564:C564"/>
    <mergeCell ref="B565:C565"/>
    <mergeCell ref="C582:E582"/>
    <mergeCell ref="C588:E588"/>
    <mergeCell ref="B590:E590"/>
    <mergeCell ref="B591:C591"/>
    <mergeCell ref="B592:C592"/>
    <mergeCell ref="B593:C593"/>
    <mergeCell ref="B572:C572"/>
    <mergeCell ref="B573:C573"/>
    <mergeCell ref="B574:C574"/>
    <mergeCell ref="B575:C575"/>
    <mergeCell ref="C578:E578"/>
    <mergeCell ref="C580:E580"/>
    <mergeCell ref="B600:C600"/>
    <mergeCell ref="B601:C601"/>
    <mergeCell ref="B602:C602"/>
    <mergeCell ref="B603:C603"/>
    <mergeCell ref="B604:C604"/>
    <mergeCell ref="B605:C605"/>
    <mergeCell ref="B594:C594"/>
    <mergeCell ref="B595:C595"/>
    <mergeCell ref="B596:C596"/>
    <mergeCell ref="B597:C597"/>
    <mergeCell ref="B598:C598"/>
    <mergeCell ref="B599:C599"/>
    <mergeCell ref="C614:E614"/>
    <mergeCell ref="C616:E616"/>
    <mergeCell ref="C618:E618"/>
    <mergeCell ref="C624:E624"/>
    <mergeCell ref="B626:E626"/>
    <mergeCell ref="B627:C627"/>
    <mergeCell ref="B606:C606"/>
    <mergeCell ref="B607:C607"/>
    <mergeCell ref="B608:C608"/>
    <mergeCell ref="B609:C609"/>
    <mergeCell ref="B610:C610"/>
    <mergeCell ref="B611:C611"/>
    <mergeCell ref="B612:E612"/>
    <mergeCell ref="B634:C634"/>
    <mergeCell ref="B635:C635"/>
    <mergeCell ref="B636:C636"/>
    <mergeCell ref="B637:C637"/>
    <mergeCell ref="B638:C638"/>
    <mergeCell ref="B639:C639"/>
    <mergeCell ref="B628:C628"/>
    <mergeCell ref="B629:C629"/>
    <mergeCell ref="B630:C630"/>
    <mergeCell ref="B631:C631"/>
    <mergeCell ref="B632:C632"/>
    <mergeCell ref="B633:C633"/>
    <mergeCell ref="B646:C646"/>
    <mergeCell ref="B647:C647"/>
    <mergeCell ref="C650:E650"/>
    <mergeCell ref="C652:E652"/>
    <mergeCell ref="C654:E654"/>
    <mergeCell ref="C660:E660"/>
    <mergeCell ref="B640:C640"/>
    <mergeCell ref="B641:C641"/>
    <mergeCell ref="B642:C642"/>
    <mergeCell ref="B643:C643"/>
    <mergeCell ref="B644:C644"/>
    <mergeCell ref="B645:C645"/>
    <mergeCell ref="B648:E648"/>
    <mergeCell ref="B668:C668"/>
    <mergeCell ref="B669:C669"/>
    <mergeCell ref="B670:C670"/>
    <mergeCell ref="B671:C671"/>
    <mergeCell ref="B672:C672"/>
    <mergeCell ref="B673:C673"/>
    <mergeCell ref="B662:E662"/>
    <mergeCell ref="B663:C663"/>
    <mergeCell ref="B664:C664"/>
    <mergeCell ref="B665:C665"/>
    <mergeCell ref="B666:C666"/>
    <mergeCell ref="B667:C667"/>
    <mergeCell ref="B680:C680"/>
    <mergeCell ref="B681:C681"/>
    <mergeCell ref="B682:C682"/>
    <mergeCell ref="B683:C683"/>
    <mergeCell ref="C686:E686"/>
    <mergeCell ref="C688:E688"/>
    <mergeCell ref="B674:C674"/>
    <mergeCell ref="B675:C675"/>
    <mergeCell ref="B676:C676"/>
    <mergeCell ref="B677:C677"/>
    <mergeCell ref="B678:C678"/>
    <mergeCell ref="B679:C679"/>
    <mergeCell ref="B684:E684"/>
    <mergeCell ref="B702:C702"/>
    <mergeCell ref="B703:C703"/>
    <mergeCell ref="B704:C704"/>
    <mergeCell ref="B705:C705"/>
    <mergeCell ref="B706:C706"/>
    <mergeCell ref="B707:C707"/>
    <mergeCell ref="C690:E690"/>
    <mergeCell ref="C696:E696"/>
    <mergeCell ref="B698:E698"/>
    <mergeCell ref="B699:C699"/>
    <mergeCell ref="B700:C700"/>
    <mergeCell ref="B701:C701"/>
    <mergeCell ref="B714:C714"/>
    <mergeCell ref="B715:C715"/>
    <mergeCell ref="B716:C716"/>
    <mergeCell ref="B717:C717"/>
    <mergeCell ref="B718:C718"/>
    <mergeCell ref="B719:C719"/>
    <mergeCell ref="B708:C708"/>
    <mergeCell ref="B709:C709"/>
    <mergeCell ref="B710:C710"/>
    <mergeCell ref="B711:C711"/>
    <mergeCell ref="B712:C712"/>
    <mergeCell ref="B713:C713"/>
    <mergeCell ref="B737:C737"/>
    <mergeCell ref="B738:C738"/>
    <mergeCell ref="B739:C739"/>
    <mergeCell ref="B740:C740"/>
    <mergeCell ref="B741:C741"/>
    <mergeCell ref="C722:E722"/>
    <mergeCell ref="C724:E724"/>
    <mergeCell ref="C726:E726"/>
    <mergeCell ref="C732:E732"/>
    <mergeCell ref="B734:E734"/>
    <mergeCell ref="B735:C735"/>
    <mergeCell ref="C730:E730"/>
    <mergeCell ref="B770:E770"/>
    <mergeCell ref="B771:C771"/>
    <mergeCell ref="B772:C772"/>
    <mergeCell ref="B773:C773"/>
    <mergeCell ref="B774:C774"/>
    <mergeCell ref="B775:C775"/>
    <mergeCell ref="B754:C754"/>
    <mergeCell ref="B755:C755"/>
    <mergeCell ref="C758:E758"/>
    <mergeCell ref="C760:E760"/>
    <mergeCell ref="C762:E762"/>
    <mergeCell ref="C768:E768"/>
    <mergeCell ref="B782:C782"/>
    <mergeCell ref="B783:C783"/>
    <mergeCell ref="B784:C784"/>
    <mergeCell ref="B785:C785"/>
    <mergeCell ref="B786:C786"/>
    <mergeCell ref="B787:C787"/>
    <mergeCell ref="B776:C776"/>
    <mergeCell ref="B777:C777"/>
    <mergeCell ref="B778:C778"/>
    <mergeCell ref="B779:C779"/>
    <mergeCell ref="B780:C780"/>
    <mergeCell ref="B781:C781"/>
    <mergeCell ref="C798:E798"/>
    <mergeCell ref="C804:E804"/>
    <mergeCell ref="B806:E806"/>
    <mergeCell ref="B807:C807"/>
    <mergeCell ref="B808:C808"/>
    <mergeCell ref="B809:C809"/>
    <mergeCell ref="B788:C788"/>
    <mergeCell ref="B789:C789"/>
    <mergeCell ref="B790:C790"/>
    <mergeCell ref="B791:C791"/>
    <mergeCell ref="C794:E794"/>
    <mergeCell ref="C796:E796"/>
    <mergeCell ref="B792:E792"/>
    <mergeCell ref="B816:C816"/>
    <mergeCell ref="B817:C817"/>
    <mergeCell ref="B818:C818"/>
    <mergeCell ref="B819:C819"/>
    <mergeCell ref="B820:C820"/>
    <mergeCell ref="B821:C821"/>
    <mergeCell ref="B810:C810"/>
    <mergeCell ref="B811:C811"/>
    <mergeCell ref="B812:C812"/>
    <mergeCell ref="B813:C813"/>
    <mergeCell ref="B814:C814"/>
    <mergeCell ref="B815:C815"/>
    <mergeCell ref="C830:E830"/>
    <mergeCell ref="C832:E832"/>
    <mergeCell ref="C834:E834"/>
    <mergeCell ref="C840:E840"/>
    <mergeCell ref="B842:E842"/>
    <mergeCell ref="B843:C843"/>
    <mergeCell ref="B822:C822"/>
    <mergeCell ref="B823:C823"/>
    <mergeCell ref="B824:C824"/>
    <mergeCell ref="B825:C825"/>
    <mergeCell ref="B826:C826"/>
    <mergeCell ref="B827:C827"/>
    <mergeCell ref="B828:E828"/>
    <mergeCell ref="B850:C850"/>
    <mergeCell ref="B851:C851"/>
    <mergeCell ref="B852:C852"/>
    <mergeCell ref="B853:C853"/>
    <mergeCell ref="B854:C854"/>
    <mergeCell ref="B855:C855"/>
    <mergeCell ref="B844:C844"/>
    <mergeCell ref="B845:C845"/>
    <mergeCell ref="B846:C846"/>
    <mergeCell ref="B847:C847"/>
    <mergeCell ref="B848:C848"/>
    <mergeCell ref="B849:C849"/>
    <mergeCell ref="B862:C862"/>
    <mergeCell ref="B863:C863"/>
    <mergeCell ref="C866:E866"/>
    <mergeCell ref="C868:E868"/>
    <mergeCell ref="C870:E870"/>
    <mergeCell ref="C876:E876"/>
    <mergeCell ref="B856:C856"/>
    <mergeCell ref="B857:C857"/>
    <mergeCell ref="B858:C858"/>
    <mergeCell ref="B859:C859"/>
    <mergeCell ref="B860:C860"/>
    <mergeCell ref="B861:C861"/>
    <mergeCell ref="B864:E864"/>
    <mergeCell ref="B884:C884"/>
    <mergeCell ref="B885:C885"/>
    <mergeCell ref="B886:C886"/>
    <mergeCell ref="B887:C887"/>
    <mergeCell ref="B888:C888"/>
    <mergeCell ref="B889:C889"/>
    <mergeCell ref="B878:E878"/>
    <mergeCell ref="B879:C879"/>
    <mergeCell ref="B880:C880"/>
    <mergeCell ref="B881:C881"/>
    <mergeCell ref="B882:C882"/>
    <mergeCell ref="B883:C883"/>
    <mergeCell ref="B896:C896"/>
    <mergeCell ref="B897:C897"/>
    <mergeCell ref="B898:C898"/>
    <mergeCell ref="B899:C899"/>
    <mergeCell ref="C902:E902"/>
    <mergeCell ref="C904:E904"/>
    <mergeCell ref="B890:C890"/>
    <mergeCell ref="B891:C891"/>
    <mergeCell ref="B892:C892"/>
    <mergeCell ref="B893:C893"/>
    <mergeCell ref="B894:C894"/>
    <mergeCell ref="B895:C895"/>
    <mergeCell ref="B900:E900"/>
    <mergeCell ref="B918:C918"/>
    <mergeCell ref="B919:C919"/>
    <mergeCell ref="B920:C920"/>
    <mergeCell ref="B921:C921"/>
    <mergeCell ref="B922:C922"/>
    <mergeCell ref="B923:C923"/>
    <mergeCell ref="C906:E906"/>
    <mergeCell ref="C912:E912"/>
    <mergeCell ref="B914:E914"/>
    <mergeCell ref="B915:C915"/>
    <mergeCell ref="B916:C916"/>
    <mergeCell ref="B917:C917"/>
    <mergeCell ref="B930:C930"/>
    <mergeCell ref="B931:C931"/>
    <mergeCell ref="B932:C932"/>
    <mergeCell ref="B933:C933"/>
    <mergeCell ref="B934:C934"/>
    <mergeCell ref="B935:C935"/>
    <mergeCell ref="B924:C924"/>
    <mergeCell ref="B925:C925"/>
    <mergeCell ref="B926:C926"/>
    <mergeCell ref="B927:C927"/>
    <mergeCell ref="B928:C928"/>
    <mergeCell ref="B929:C929"/>
    <mergeCell ref="B952:C952"/>
    <mergeCell ref="B953:C953"/>
    <mergeCell ref="B954:C954"/>
    <mergeCell ref="B955:C955"/>
    <mergeCell ref="B956:C956"/>
    <mergeCell ref="B957:C957"/>
    <mergeCell ref="C938:E938"/>
    <mergeCell ref="C940:E940"/>
    <mergeCell ref="C942:E942"/>
    <mergeCell ref="C948:E948"/>
    <mergeCell ref="B950:E950"/>
    <mergeCell ref="B951:C951"/>
    <mergeCell ref="B964:C964"/>
    <mergeCell ref="B965:C965"/>
    <mergeCell ref="B966:C966"/>
    <mergeCell ref="B967:C967"/>
    <mergeCell ref="B968:C968"/>
    <mergeCell ref="B969:C969"/>
    <mergeCell ref="B958:C958"/>
    <mergeCell ref="B959:C959"/>
    <mergeCell ref="B960:C960"/>
    <mergeCell ref="B961:C961"/>
    <mergeCell ref="B962:C962"/>
    <mergeCell ref="B963:C963"/>
    <mergeCell ref="B986:E986"/>
    <mergeCell ref="B987:C987"/>
    <mergeCell ref="B988:C988"/>
    <mergeCell ref="B989:C989"/>
    <mergeCell ref="B990:C990"/>
    <mergeCell ref="B991:C991"/>
    <mergeCell ref="B970:C970"/>
    <mergeCell ref="B971:C971"/>
    <mergeCell ref="C974:E974"/>
    <mergeCell ref="C976:E976"/>
    <mergeCell ref="C978:E978"/>
    <mergeCell ref="C984:E984"/>
    <mergeCell ref="C982:E982"/>
    <mergeCell ref="B998:C998"/>
    <mergeCell ref="B999:C999"/>
    <mergeCell ref="B1000:C1000"/>
    <mergeCell ref="B1001:C1001"/>
    <mergeCell ref="B1002:C1002"/>
    <mergeCell ref="B1003:C1003"/>
    <mergeCell ref="B992:C992"/>
    <mergeCell ref="B993:C993"/>
    <mergeCell ref="B994:C994"/>
    <mergeCell ref="B995:C995"/>
    <mergeCell ref="B996:C996"/>
    <mergeCell ref="B997:C997"/>
    <mergeCell ref="C1014:E1014"/>
    <mergeCell ref="C1020:E1020"/>
    <mergeCell ref="B1022:E1022"/>
    <mergeCell ref="B1023:C1023"/>
    <mergeCell ref="B1024:C1024"/>
    <mergeCell ref="B1025:C1025"/>
    <mergeCell ref="B1004:C1004"/>
    <mergeCell ref="B1005:C1005"/>
    <mergeCell ref="B1006:C1006"/>
    <mergeCell ref="B1007:C1007"/>
    <mergeCell ref="C1010:E1010"/>
    <mergeCell ref="C1012:E1012"/>
    <mergeCell ref="B1008:E1008"/>
    <mergeCell ref="C1018:E1018"/>
    <mergeCell ref="B1032:C1032"/>
    <mergeCell ref="B1033:C1033"/>
    <mergeCell ref="B1034:C1034"/>
    <mergeCell ref="B1035:C1035"/>
    <mergeCell ref="B1036:C1036"/>
    <mergeCell ref="B1037:C1037"/>
    <mergeCell ref="B1026:C1026"/>
    <mergeCell ref="B1027:C1027"/>
    <mergeCell ref="B1028:C1028"/>
    <mergeCell ref="B1029:C1029"/>
    <mergeCell ref="B1030:C1030"/>
    <mergeCell ref="B1031:C1031"/>
    <mergeCell ref="C1046:E1046"/>
    <mergeCell ref="C1048:E1048"/>
    <mergeCell ref="C1050:E1050"/>
    <mergeCell ref="C1056:E1056"/>
    <mergeCell ref="B1058:E1058"/>
    <mergeCell ref="B1059:C1059"/>
    <mergeCell ref="B1038:C1038"/>
    <mergeCell ref="B1039:C1039"/>
    <mergeCell ref="B1040:C1040"/>
    <mergeCell ref="B1041:C1041"/>
    <mergeCell ref="B1042:C1042"/>
    <mergeCell ref="B1043:C1043"/>
    <mergeCell ref="B1044:E1044"/>
    <mergeCell ref="C1054:E1054"/>
    <mergeCell ref="B1066:C1066"/>
    <mergeCell ref="B1067:C1067"/>
    <mergeCell ref="B1068:C1068"/>
    <mergeCell ref="B1069:C1069"/>
    <mergeCell ref="B1070:C1070"/>
    <mergeCell ref="B1071:C1071"/>
    <mergeCell ref="B1060:C1060"/>
    <mergeCell ref="B1061:C1061"/>
    <mergeCell ref="B1062:C1062"/>
    <mergeCell ref="B1063:C1063"/>
    <mergeCell ref="B1064:C1064"/>
    <mergeCell ref="B1065:C1065"/>
    <mergeCell ref="B1078:C1078"/>
    <mergeCell ref="B1079:C1079"/>
    <mergeCell ref="C1082:E1082"/>
    <mergeCell ref="C1084:E1084"/>
    <mergeCell ref="C1086:E1086"/>
    <mergeCell ref="C1092:E1092"/>
    <mergeCell ref="B1072:C1072"/>
    <mergeCell ref="B1073:C1073"/>
    <mergeCell ref="B1074:C1074"/>
    <mergeCell ref="B1075:C1075"/>
    <mergeCell ref="B1076:C1076"/>
    <mergeCell ref="B1077:C1077"/>
    <mergeCell ref="B1080:E1080"/>
    <mergeCell ref="C1090:E1090"/>
    <mergeCell ref="B1100:C1100"/>
    <mergeCell ref="B1101:C1101"/>
    <mergeCell ref="B1102:C1102"/>
    <mergeCell ref="B1103:C1103"/>
    <mergeCell ref="B1104:C1104"/>
    <mergeCell ref="B1105:C1105"/>
    <mergeCell ref="B1094:E1094"/>
    <mergeCell ref="B1095:C1095"/>
    <mergeCell ref="B1096:C1096"/>
    <mergeCell ref="B1097:C1097"/>
    <mergeCell ref="B1098:C1098"/>
    <mergeCell ref="B1099:C1099"/>
    <mergeCell ref="C1122:E1122"/>
    <mergeCell ref="B1112:C1112"/>
    <mergeCell ref="B1113:C1113"/>
    <mergeCell ref="B1114:C1114"/>
    <mergeCell ref="B1115:C1115"/>
    <mergeCell ref="C1118:E1118"/>
    <mergeCell ref="C1120:E1120"/>
    <mergeCell ref="B1106:C1106"/>
    <mergeCell ref="B1107:C1107"/>
    <mergeCell ref="B1108:C1108"/>
    <mergeCell ref="B1109:C1109"/>
    <mergeCell ref="B1110:C1110"/>
    <mergeCell ref="B1111:C1111"/>
    <mergeCell ref="B1116:E1116"/>
    <mergeCell ref="B720:E720"/>
    <mergeCell ref="B756:E756"/>
    <mergeCell ref="B72:E72"/>
    <mergeCell ref="B108:E108"/>
    <mergeCell ref="B144:E144"/>
    <mergeCell ref="B180:E180"/>
    <mergeCell ref="B216:E216"/>
    <mergeCell ref="B252:E252"/>
    <mergeCell ref="B288:E288"/>
    <mergeCell ref="B324:E324"/>
    <mergeCell ref="B360:E360"/>
    <mergeCell ref="B748:C748"/>
    <mergeCell ref="B749:C749"/>
    <mergeCell ref="B750:C750"/>
    <mergeCell ref="B751:C751"/>
    <mergeCell ref="B752:C752"/>
    <mergeCell ref="B753:C753"/>
    <mergeCell ref="B742:C742"/>
    <mergeCell ref="B743:C743"/>
    <mergeCell ref="B744:C744"/>
    <mergeCell ref="B745:C745"/>
    <mergeCell ref="B746:C746"/>
    <mergeCell ref="B747:C747"/>
    <mergeCell ref="B736:C736"/>
    <mergeCell ref="C1164:E1164"/>
    <mergeCell ref="B1166:E1166"/>
    <mergeCell ref="B1167:C1167"/>
    <mergeCell ref="B1168:C1168"/>
    <mergeCell ref="B1169:C1169"/>
    <mergeCell ref="B1170:C1170"/>
    <mergeCell ref="B1171:C1171"/>
    <mergeCell ref="B1172:C1172"/>
    <mergeCell ref="B1173:C1173"/>
    <mergeCell ref="B1174:C1174"/>
    <mergeCell ref="B1175:C1175"/>
    <mergeCell ref="B1176:C1176"/>
    <mergeCell ref="B1177:C1177"/>
    <mergeCell ref="B1178:C1178"/>
    <mergeCell ref="B1179:C1179"/>
    <mergeCell ref="B1180:C1180"/>
    <mergeCell ref="B1181:C1181"/>
    <mergeCell ref="B1182:C1182"/>
    <mergeCell ref="B1183:C1183"/>
    <mergeCell ref="B1184:C1184"/>
    <mergeCell ref="B1185:C1185"/>
    <mergeCell ref="B1186:C1186"/>
    <mergeCell ref="B1187:C1187"/>
    <mergeCell ref="B1188:E1188"/>
    <mergeCell ref="C1190:E1190"/>
    <mergeCell ref="C1192:E1192"/>
    <mergeCell ref="C1194:E1194"/>
    <mergeCell ref="C1200:E1200"/>
    <mergeCell ref="B1202:E1202"/>
    <mergeCell ref="B1203:C1203"/>
    <mergeCell ref="B1204:C1204"/>
    <mergeCell ref="B1205:C1205"/>
    <mergeCell ref="B1206:C1206"/>
    <mergeCell ref="B1207:C1207"/>
    <mergeCell ref="B1208:C1208"/>
    <mergeCell ref="B1209:C1209"/>
    <mergeCell ref="B1210:C1210"/>
    <mergeCell ref="B1211:C1211"/>
    <mergeCell ref="B1212:C1212"/>
    <mergeCell ref="B1213:C1213"/>
    <mergeCell ref="B1214:C1214"/>
    <mergeCell ref="B1215:C1215"/>
    <mergeCell ref="B1216:C1216"/>
    <mergeCell ref="B1217:C1217"/>
    <mergeCell ref="B1218:C1218"/>
    <mergeCell ref="B1219:C1219"/>
    <mergeCell ref="B1220:C1220"/>
    <mergeCell ref="B1221:C1221"/>
    <mergeCell ref="B1222:C1222"/>
    <mergeCell ref="B1223:C1223"/>
    <mergeCell ref="B1224:E1224"/>
    <mergeCell ref="C1226:E1226"/>
    <mergeCell ref="C1228:E1228"/>
    <mergeCell ref="C1230:E1230"/>
    <mergeCell ref="C1236:E1236"/>
    <mergeCell ref="B1238:E1238"/>
    <mergeCell ref="B1239:C1239"/>
    <mergeCell ref="B1240:C1240"/>
    <mergeCell ref="B1241:C1241"/>
    <mergeCell ref="B1242:C1242"/>
    <mergeCell ref="B1243:C1243"/>
    <mergeCell ref="B1244:C1244"/>
    <mergeCell ref="B1245:C1245"/>
    <mergeCell ref="B1246:C1246"/>
    <mergeCell ref="B1247:C1247"/>
    <mergeCell ref="B1248:C1248"/>
    <mergeCell ref="B1249:C1249"/>
    <mergeCell ref="B1250:C1250"/>
    <mergeCell ref="B1251:C1251"/>
    <mergeCell ref="B1252:C1252"/>
    <mergeCell ref="B1253:C1253"/>
    <mergeCell ref="B1254:C1254"/>
    <mergeCell ref="B1255:C1255"/>
    <mergeCell ref="B1256:C1256"/>
    <mergeCell ref="B1257:C1257"/>
    <mergeCell ref="B1258:C1258"/>
    <mergeCell ref="B1259:C1259"/>
    <mergeCell ref="B1260:E1260"/>
    <mergeCell ref="C1262:E1262"/>
    <mergeCell ref="C1264:E1264"/>
    <mergeCell ref="C1266:E1266"/>
  </mergeCells>
  <pageMargins left="0.25" right="0.25" top="0.75" bottom="0.75" header="0.3" footer="0.3"/>
  <pageSetup paperSize="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26"/>
  <sheetViews>
    <sheetView topLeftCell="A12" zoomScale="130" zoomScaleNormal="130" workbookViewId="0">
      <selection activeCell="A20" sqref="A20:P20"/>
    </sheetView>
  </sheetViews>
  <sheetFormatPr baseColWidth="10" defaultColWidth="11" defaultRowHeight="12.75" x14ac:dyDescent="0.2"/>
  <cols>
    <col min="1" max="5" width="4.42578125" customWidth="1"/>
    <col min="6" max="6" width="5" bestFit="1" customWidth="1"/>
    <col min="7" max="7" width="4.42578125" style="10" customWidth="1"/>
    <col min="8" max="14" width="4.42578125" customWidth="1"/>
    <col min="15" max="16" width="14.85546875" customWidth="1"/>
    <col min="17" max="17" width="16.5703125" bestFit="1" customWidth="1"/>
  </cols>
  <sheetData>
    <row r="1" spans="1:17" ht="15.75" customHeight="1" x14ac:dyDescent="0.25">
      <c r="A1" s="332" t="s">
        <v>3</v>
      </c>
      <c r="B1" s="332"/>
      <c r="C1" s="332"/>
      <c r="D1" s="333">
        <f>'ALIM-IMP'!C5</f>
        <v>2021</v>
      </c>
      <c r="E1" s="333"/>
      <c r="F1" s="11"/>
      <c r="G1" s="11"/>
      <c r="H1" s="12"/>
      <c r="I1" s="12"/>
      <c r="J1" s="12"/>
      <c r="K1" s="12"/>
      <c r="L1" s="12"/>
      <c r="M1" s="12"/>
      <c r="N1" s="12"/>
      <c r="P1" s="334" t="s">
        <v>34</v>
      </c>
      <c r="Q1" s="334"/>
    </row>
    <row r="2" spans="1:17" ht="15.75" customHeight="1" x14ac:dyDescent="0.2">
      <c r="H2" s="12"/>
      <c r="I2" s="12"/>
      <c r="J2" s="12"/>
      <c r="K2" s="12"/>
      <c r="L2" s="12"/>
      <c r="M2" s="12"/>
      <c r="N2" s="12"/>
      <c r="P2" s="334"/>
      <c r="Q2" s="334"/>
    </row>
    <row r="4" spans="1:17" s="13" customFormat="1" ht="18" customHeight="1" thickBot="1" x14ac:dyDescent="0.25">
      <c r="A4" s="335" t="s">
        <v>35</v>
      </c>
      <c r="B4" s="335"/>
      <c r="C4" s="335"/>
      <c r="D4" s="335"/>
      <c r="E4" s="335"/>
      <c r="F4" s="335"/>
      <c r="G4" s="336" t="str">
        <f>' NotaPedido'!D3</f>
        <v>45- Ministerio de Desarrollo Social y Deporte.-</v>
      </c>
      <c r="H4" s="336"/>
      <c r="I4" s="336"/>
      <c r="J4" s="336"/>
      <c r="K4" s="336"/>
      <c r="L4" s="336"/>
      <c r="M4" s="336"/>
      <c r="N4" s="336"/>
      <c r="O4" s="336"/>
      <c r="P4" s="336"/>
      <c r="Q4" s="336"/>
    </row>
    <row r="5" spans="1:17" s="13" customFormat="1" ht="18" customHeight="1" thickBot="1" x14ac:dyDescent="0.25">
      <c r="A5" s="337" t="s">
        <v>58</v>
      </c>
      <c r="B5" s="338"/>
      <c r="C5" s="338"/>
      <c r="D5" s="338"/>
      <c r="E5" s="338"/>
      <c r="F5" s="339"/>
      <c r="G5" s="336" t="str">
        <f>' NotaPedido'!D4</f>
        <v>25- Direccion Provincial de Gestion Administracion y RRHH</v>
      </c>
      <c r="H5" s="336"/>
      <c r="I5" s="336"/>
      <c r="J5" s="336"/>
      <c r="K5" s="336"/>
      <c r="L5" s="336"/>
      <c r="M5" s="336"/>
      <c r="N5" s="336"/>
      <c r="O5" s="336"/>
      <c r="P5" s="336"/>
      <c r="Q5" s="336"/>
    </row>
    <row r="6" spans="1:17" s="13" customFormat="1" ht="18" customHeight="1" thickBot="1" x14ac:dyDescent="0.25">
      <c r="A6" s="337" t="s">
        <v>36</v>
      </c>
      <c r="B6" s="338"/>
      <c r="C6" s="338"/>
      <c r="D6" s="338"/>
      <c r="E6" s="338"/>
      <c r="F6" s="339"/>
      <c r="G6" s="336" t="s">
        <v>335</v>
      </c>
      <c r="H6" s="336"/>
      <c r="I6" s="336"/>
      <c r="J6" s="336"/>
      <c r="K6" s="336"/>
      <c r="L6" s="336"/>
      <c r="M6" s="336"/>
      <c r="N6" s="336"/>
      <c r="O6" s="336"/>
      <c r="P6" s="336"/>
      <c r="Q6" s="336"/>
    </row>
    <row r="7" spans="1:17" s="13" customFormat="1" ht="18" customHeight="1" thickBot="1" x14ac:dyDescent="0.25">
      <c r="A7" s="337" t="s">
        <v>59</v>
      </c>
      <c r="B7" s="338"/>
      <c r="C7" s="338"/>
      <c r="D7" s="338"/>
      <c r="E7" s="338"/>
      <c r="F7" s="339"/>
      <c r="G7" s="336" t="s">
        <v>328</v>
      </c>
      <c r="H7" s="336"/>
      <c r="I7" s="336"/>
      <c r="J7" s="336"/>
      <c r="K7" s="336"/>
      <c r="L7" s="336"/>
      <c r="M7" s="336"/>
      <c r="N7" s="336"/>
      <c r="O7" s="336"/>
      <c r="P7" s="336"/>
      <c r="Q7" s="336"/>
    </row>
    <row r="8" spans="1:17" ht="18" customHeight="1" thickBot="1" x14ac:dyDescent="0.25">
      <c r="A8" s="340" t="s">
        <v>37</v>
      </c>
      <c r="B8" s="340"/>
      <c r="C8" s="340"/>
      <c r="D8" s="340"/>
      <c r="E8" s="340"/>
      <c r="F8" s="340"/>
      <c r="G8" s="340"/>
      <c r="H8" s="340"/>
      <c r="I8" s="340"/>
      <c r="J8" s="340"/>
      <c r="K8" s="340"/>
      <c r="L8" s="340"/>
      <c r="M8" s="340"/>
      <c r="N8" s="340"/>
      <c r="O8" s="340"/>
      <c r="P8" s="340"/>
      <c r="Q8" s="340"/>
    </row>
    <row r="9" spans="1:17" ht="18" customHeight="1" x14ac:dyDescent="0.2">
      <c r="A9" s="345" t="s">
        <v>38</v>
      </c>
      <c r="B9" s="345"/>
      <c r="C9" s="345"/>
      <c r="D9" s="345"/>
      <c r="E9" s="345"/>
      <c r="F9" s="345"/>
      <c r="G9" s="345"/>
      <c r="H9" s="345"/>
      <c r="I9" s="345"/>
      <c r="J9" s="345"/>
      <c r="K9" s="345"/>
      <c r="L9" s="345"/>
      <c r="M9" s="345"/>
      <c r="N9" s="345"/>
      <c r="O9" s="1"/>
      <c r="P9" s="1"/>
      <c r="Q9" s="14"/>
    </row>
    <row r="10" spans="1:17" ht="54.75" customHeight="1" x14ac:dyDescent="0.2">
      <c r="A10" s="346" t="str">
        <f>"Autorizo la realización de los  trámites correspondientes, a fin de proveer a  este Organismo los bienes y/o servicios que se detallan en Nota  de Pedido N° " &amp; '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686/2021,  afectando la erogación resultante a los créditos presupuestarios aprobados a favor de esta Unidad Ejecutora, conforme al siguiente detalle:</v>
      </c>
      <c r="B10" s="346"/>
      <c r="C10" s="346"/>
      <c r="D10" s="346"/>
      <c r="E10" s="346"/>
      <c r="F10" s="346"/>
      <c r="G10" s="346"/>
      <c r="H10" s="346"/>
      <c r="I10" s="346"/>
      <c r="J10" s="346"/>
      <c r="K10" s="346"/>
      <c r="L10" s="346"/>
      <c r="M10" s="346"/>
      <c r="N10" s="346"/>
      <c r="O10" s="346"/>
      <c r="P10" s="346"/>
      <c r="Q10" s="346"/>
    </row>
    <row r="11" spans="1:17" ht="9" customHeight="1" x14ac:dyDescent="0.2">
      <c r="A11" s="15"/>
      <c r="B11" s="16"/>
      <c r="C11" s="16"/>
      <c r="D11" s="16"/>
      <c r="E11" s="16"/>
      <c r="F11" s="16"/>
      <c r="G11" s="17"/>
      <c r="H11" s="16"/>
      <c r="I11" s="16"/>
      <c r="J11" s="16"/>
      <c r="K11" s="16"/>
      <c r="L11" s="16"/>
      <c r="M11" s="16"/>
      <c r="N11" s="16"/>
      <c r="O11" s="16"/>
      <c r="P11" s="16"/>
      <c r="Q11" s="18"/>
    </row>
    <row r="12" spans="1:17" ht="15.75" customHeight="1" x14ac:dyDescent="0.2">
      <c r="A12" s="347" t="s">
        <v>39</v>
      </c>
      <c r="B12" s="347"/>
      <c r="C12" s="347"/>
      <c r="D12" s="347"/>
      <c r="E12" s="347"/>
      <c r="F12" s="347"/>
      <c r="G12" s="347"/>
      <c r="H12" s="347"/>
      <c r="I12" s="347"/>
      <c r="J12" s="347"/>
      <c r="K12" s="347"/>
      <c r="L12" s="347"/>
      <c r="M12" s="347"/>
      <c r="N12" s="347"/>
      <c r="O12" s="347"/>
      <c r="P12" s="347"/>
      <c r="Q12" s="347"/>
    </row>
    <row r="13" spans="1:17" ht="15.75" customHeight="1" x14ac:dyDescent="0.2">
      <c r="A13" s="348" t="s">
        <v>40</v>
      </c>
      <c r="B13" s="348"/>
      <c r="C13" s="348"/>
      <c r="D13" s="348"/>
      <c r="E13" s="348"/>
      <c r="F13" s="348"/>
      <c r="G13" s="348"/>
      <c r="H13" s="348"/>
      <c r="I13" s="348"/>
      <c r="J13" s="348"/>
      <c r="K13" s="348"/>
      <c r="L13" s="348"/>
      <c r="M13" s="348"/>
      <c r="N13" s="348"/>
      <c r="O13" s="349" t="s">
        <v>41</v>
      </c>
      <c r="P13" s="349"/>
      <c r="Q13" s="350" t="s">
        <v>42</v>
      </c>
    </row>
    <row r="14" spans="1:17" ht="15.75" customHeight="1" x14ac:dyDescent="0.2">
      <c r="A14" s="19" t="s">
        <v>43</v>
      </c>
      <c r="B14" s="20" t="s">
        <v>44</v>
      </c>
      <c r="C14" s="20" t="s">
        <v>45</v>
      </c>
      <c r="D14" s="20" t="s">
        <v>46</v>
      </c>
      <c r="E14" s="20" t="s">
        <v>47</v>
      </c>
      <c r="F14" s="20" t="s">
        <v>48</v>
      </c>
      <c r="G14" s="21" t="s">
        <v>49</v>
      </c>
      <c r="H14" s="20" t="s">
        <v>50</v>
      </c>
      <c r="I14" s="20" t="s">
        <v>51</v>
      </c>
      <c r="J14" s="20" t="s">
        <v>52</v>
      </c>
      <c r="K14" s="20" t="s">
        <v>52</v>
      </c>
      <c r="L14" s="20" t="s">
        <v>53</v>
      </c>
      <c r="M14" s="22" t="s">
        <v>54</v>
      </c>
      <c r="N14" s="23" t="s">
        <v>55</v>
      </c>
      <c r="O14" s="349"/>
      <c r="P14" s="349"/>
      <c r="Q14" s="350"/>
    </row>
    <row r="15" spans="1:17" ht="17.25" customHeight="1" x14ac:dyDescent="0.2">
      <c r="A15" s="188">
        <v>20</v>
      </c>
      <c r="B15" s="189"/>
      <c r="C15" s="189"/>
      <c r="D15" s="189">
        <v>1</v>
      </c>
      <c r="E15" s="189"/>
      <c r="F15" s="189">
        <v>4901</v>
      </c>
      <c r="G15" s="270">
        <v>3</v>
      </c>
      <c r="H15" s="270">
        <v>2</v>
      </c>
      <c r="I15" s="189" t="str">
        <f>LEFT('[2]Necesidades Trimestrales'!D10,1)</f>
        <v>2</v>
      </c>
      <c r="J15" s="189">
        <v>1</v>
      </c>
      <c r="K15" s="189">
        <v>1</v>
      </c>
      <c r="L15" s="189"/>
      <c r="M15" s="190">
        <v>1</v>
      </c>
      <c r="N15" s="189">
        <v>1.1000000000000001</v>
      </c>
      <c r="O15" s="341" t="s">
        <v>61</v>
      </c>
      <c r="P15" s="342"/>
      <c r="Q15" s="191">
        <f>SUM('ALIM-IMP'!I9:I42)</f>
        <v>53575644</v>
      </c>
    </row>
    <row r="16" spans="1:17" ht="17.25" customHeight="1" x14ac:dyDescent="0.2">
      <c r="A16" s="192"/>
      <c r="B16" s="193"/>
      <c r="C16" s="193"/>
      <c r="D16" s="193"/>
      <c r="E16" s="193"/>
      <c r="F16" s="193"/>
      <c r="G16" s="193"/>
      <c r="H16" s="193"/>
      <c r="I16" s="193"/>
      <c r="J16" s="193"/>
      <c r="K16" s="193"/>
      <c r="L16" s="193"/>
      <c r="M16" s="194"/>
      <c r="N16" s="193"/>
      <c r="O16" s="343"/>
      <c r="P16" s="343"/>
      <c r="Q16" s="195"/>
    </row>
    <row r="17" spans="1:18" ht="17.25" customHeight="1" x14ac:dyDescent="0.2">
      <c r="A17" s="192"/>
      <c r="B17" s="193"/>
      <c r="C17" s="193"/>
      <c r="D17" s="193"/>
      <c r="E17" s="193"/>
      <c r="F17" s="196"/>
      <c r="G17" s="193"/>
      <c r="H17" s="193"/>
      <c r="I17" s="193"/>
      <c r="J17" s="193"/>
      <c r="K17" s="193"/>
      <c r="L17" s="193"/>
      <c r="M17" s="194"/>
      <c r="N17" s="196"/>
      <c r="O17" s="344"/>
      <c r="P17" s="344"/>
      <c r="Q17" s="197"/>
    </row>
    <row r="18" spans="1:18" ht="17.25" customHeight="1" x14ac:dyDescent="0.2">
      <c r="A18" s="198"/>
      <c r="B18" s="199"/>
      <c r="C18" s="199"/>
      <c r="D18" s="199"/>
      <c r="E18" s="199"/>
      <c r="F18" s="200"/>
      <c r="G18" s="199"/>
      <c r="H18" s="199"/>
      <c r="I18" s="199"/>
      <c r="J18" s="199"/>
      <c r="K18" s="199"/>
      <c r="L18" s="199"/>
      <c r="M18" s="201"/>
      <c r="N18" s="202"/>
      <c r="O18" s="356"/>
      <c r="P18" s="356"/>
      <c r="Q18" s="197"/>
      <c r="R18" s="1"/>
    </row>
    <row r="19" spans="1:18" ht="17.25" customHeight="1" x14ac:dyDescent="0.2">
      <c r="A19" s="203"/>
      <c r="B19" s="204"/>
      <c r="C19" s="204"/>
      <c r="D19" s="204"/>
      <c r="E19" s="204"/>
      <c r="F19" s="204"/>
      <c r="G19" s="204"/>
      <c r="H19" s="204"/>
      <c r="I19" s="204"/>
      <c r="J19" s="204"/>
      <c r="K19" s="204"/>
      <c r="L19" s="204"/>
      <c r="M19" s="205"/>
      <c r="N19" s="204"/>
      <c r="O19" s="357"/>
      <c r="P19" s="357"/>
      <c r="Q19" s="206"/>
    </row>
    <row r="20" spans="1:18" ht="33.75" customHeight="1" x14ac:dyDescent="0.2">
      <c r="A20" s="358" t="s">
        <v>417</v>
      </c>
      <c r="B20" s="359"/>
      <c r="C20" s="359"/>
      <c r="D20" s="359"/>
      <c r="E20" s="359"/>
      <c r="F20" s="359"/>
      <c r="G20" s="359"/>
      <c r="H20" s="359"/>
      <c r="I20" s="359"/>
      <c r="J20" s="359"/>
      <c r="K20" s="359"/>
      <c r="L20" s="359"/>
      <c r="M20" s="359"/>
      <c r="N20" s="359"/>
      <c r="O20" s="359"/>
      <c r="P20" s="359"/>
      <c r="Q20" s="207">
        <f>SUM(Q15:Q19)</f>
        <v>53575644</v>
      </c>
    </row>
    <row r="21" spans="1:18" ht="18" customHeight="1" thickBot="1" x14ac:dyDescent="0.25">
      <c r="A21" s="360"/>
      <c r="B21" s="360"/>
      <c r="C21" s="360"/>
      <c r="D21" s="360"/>
      <c r="E21" s="360"/>
      <c r="F21" s="360"/>
      <c r="G21" s="360"/>
      <c r="H21" s="360"/>
      <c r="I21" s="360"/>
      <c r="J21" s="360"/>
      <c r="K21" s="360"/>
      <c r="L21" s="360"/>
      <c r="M21" s="360"/>
      <c r="N21" s="360"/>
      <c r="O21" s="360"/>
      <c r="P21" s="360"/>
      <c r="Q21" s="360"/>
    </row>
    <row r="22" spans="1:18" ht="17.25" customHeight="1" thickBot="1" x14ac:dyDescent="0.25">
      <c r="A22" s="351" t="s">
        <v>56</v>
      </c>
      <c r="B22" s="352"/>
      <c r="C22" s="352"/>
      <c r="D22" s="352"/>
      <c r="E22" s="352"/>
      <c r="F22" s="353"/>
      <c r="G22" s="354"/>
      <c r="H22" s="354"/>
      <c r="I22" s="354"/>
      <c r="J22" s="354"/>
      <c r="K22" s="354"/>
      <c r="L22" s="354"/>
      <c r="M22" s="354"/>
      <c r="N22" s="354"/>
      <c r="O22" s="354"/>
      <c r="P22" s="354"/>
      <c r="Q22" s="354"/>
    </row>
    <row r="23" spans="1:18" ht="18" customHeight="1" thickBot="1" x14ac:dyDescent="0.25">
      <c r="A23" s="355" t="s">
        <v>415</v>
      </c>
      <c r="B23" s="355"/>
      <c r="C23" s="355"/>
      <c r="D23" s="355"/>
      <c r="E23" s="355"/>
      <c r="F23" s="355"/>
      <c r="G23" s="355"/>
      <c r="H23" s="355"/>
      <c r="I23" s="355"/>
      <c r="J23" s="355"/>
      <c r="K23" s="355"/>
      <c r="L23" s="355"/>
      <c r="M23" s="355"/>
      <c r="N23" s="355"/>
      <c r="O23" s="355"/>
      <c r="P23" s="355"/>
      <c r="Q23" s="355"/>
    </row>
    <row r="24" spans="1:18" ht="15" customHeight="1" x14ac:dyDescent="0.2">
      <c r="A24" s="355"/>
      <c r="B24" s="355"/>
      <c r="C24" s="355"/>
      <c r="D24" s="355"/>
      <c r="E24" s="355"/>
      <c r="F24" s="355"/>
      <c r="G24" s="355"/>
      <c r="H24" s="355"/>
      <c r="I24" s="355"/>
      <c r="J24" s="355"/>
      <c r="K24" s="355"/>
      <c r="L24" s="355"/>
      <c r="M24" s="355"/>
      <c r="N24" s="355"/>
      <c r="O24" s="355"/>
      <c r="P24" s="355"/>
      <c r="Q24" s="355"/>
    </row>
    <row r="25" spans="1:18" x14ac:dyDescent="0.2">
      <c r="A25" s="179"/>
      <c r="B25" s="179"/>
      <c r="C25" s="179"/>
      <c r="D25" s="179"/>
      <c r="E25" s="179"/>
      <c r="F25" s="179"/>
      <c r="G25" s="208"/>
      <c r="H25" s="179"/>
      <c r="I25" s="179"/>
      <c r="J25" s="179"/>
      <c r="K25" s="179"/>
      <c r="L25" s="179"/>
      <c r="M25" s="179"/>
      <c r="N25" s="179"/>
      <c r="O25" s="179"/>
      <c r="P25" s="179"/>
      <c r="Q25" s="179"/>
    </row>
    <row r="26" spans="1:18" x14ac:dyDescent="0.2">
      <c r="A26" s="179"/>
      <c r="B26" s="179"/>
      <c r="C26" s="179"/>
      <c r="D26" s="179"/>
      <c r="E26" s="179"/>
      <c r="F26" s="179"/>
      <c r="G26" s="208"/>
      <c r="H26" s="179"/>
      <c r="I26" s="179"/>
      <c r="J26" s="179"/>
      <c r="K26" s="179"/>
      <c r="L26" s="179"/>
      <c r="M26" s="179"/>
      <c r="N26" s="179"/>
      <c r="O26" s="179"/>
      <c r="P26" s="179"/>
      <c r="Q26" s="179"/>
    </row>
  </sheetData>
  <mergeCells count="28">
    <mergeCell ref="A22:F22"/>
    <mergeCell ref="G22:Q22"/>
    <mergeCell ref="A23:Q24"/>
    <mergeCell ref="O18:P18"/>
    <mergeCell ref="O19:P19"/>
    <mergeCell ref="A20:P20"/>
    <mergeCell ref="A21:Q21"/>
    <mergeCell ref="O15:P15"/>
    <mergeCell ref="O16:P16"/>
    <mergeCell ref="O17:P17"/>
    <mergeCell ref="A9:N9"/>
    <mergeCell ref="A10:Q10"/>
    <mergeCell ref="A12:Q12"/>
    <mergeCell ref="A13:N13"/>
    <mergeCell ref="O13:P14"/>
    <mergeCell ref="Q13:Q14"/>
    <mergeCell ref="A5:F5"/>
    <mergeCell ref="G5:Q5"/>
    <mergeCell ref="A8:Q8"/>
    <mergeCell ref="A6:F6"/>
    <mergeCell ref="G6:Q6"/>
    <mergeCell ref="A7:F7"/>
    <mergeCell ref="G7:Q7"/>
    <mergeCell ref="A1:C1"/>
    <mergeCell ref="D1:E1"/>
    <mergeCell ref="P1:Q2"/>
    <mergeCell ref="A4:F4"/>
    <mergeCell ref="G4:Q4"/>
  </mergeCells>
  <printOptions horizontalCentered="1"/>
  <pageMargins left="0.39374999999999999" right="0.39374999999999999" top="0.98402777777777795" bottom="0.98402777777777795" header="0.51180555555555496" footer="0.51180555555555496"/>
  <pageSetup paperSize="9" scale="90" firstPageNumber="0" orientation="portrait" horizontalDpi="300" verticalDpi="3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J14"/>
  <sheetViews>
    <sheetView zoomScale="110" zoomScaleNormal="110" workbookViewId="0">
      <selection activeCell="G18" sqref="G18"/>
    </sheetView>
  </sheetViews>
  <sheetFormatPr baseColWidth="10" defaultColWidth="9.140625" defaultRowHeight="12.75" x14ac:dyDescent="0.2"/>
  <cols>
    <col min="1" max="1" width="5" style="2" customWidth="1"/>
    <col min="2" max="2" width="14.7109375" style="2" customWidth="1"/>
    <col min="3" max="3" width="14.140625" style="2" customWidth="1"/>
    <col min="4" max="4" width="26" style="2" customWidth="1"/>
    <col min="5" max="5" width="8" style="2" customWidth="1"/>
    <col min="6" max="6" width="7.85546875" style="2" customWidth="1"/>
    <col min="7" max="7" width="45" style="2" customWidth="1"/>
    <col min="8" max="8" width="9.28515625" style="2" customWidth="1"/>
    <col min="9" max="9" width="14.5703125" style="2" customWidth="1"/>
    <col min="10" max="10" width="14" style="2" customWidth="1"/>
    <col min="11" max="11" width="12.42578125" style="2" customWidth="1"/>
    <col min="12" max="12" width="14.140625" style="2" customWidth="1"/>
    <col min="13" max="14" width="5.85546875" style="2" customWidth="1"/>
    <col min="15" max="15" width="12.5703125" style="2" customWidth="1"/>
    <col min="16" max="1024" width="9.140625" style="2"/>
  </cols>
  <sheetData>
    <row r="1" spans="1:12" ht="18" customHeight="1" thickBot="1" x14ac:dyDescent="0.25">
      <c r="A1" s="374" t="s">
        <v>22</v>
      </c>
      <c r="B1" s="374"/>
      <c r="C1" s="374"/>
      <c r="D1" s="374"/>
      <c r="E1" s="374"/>
      <c r="F1" s="374"/>
      <c r="G1" s="374"/>
      <c r="H1" s="374"/>
      <c r="I1" s="374"/>
      <c r="J1" s="3" t="s">
        <v>23</v>
      </c>
      <c r="K1" s="163" t="s">
        <v>323</v>
      </c>
    </row>
    <row r="2" spans="1:12" ht="18.75" customHeight="1" thickBot="1" x14ac:dyDescent="0.25">
      <c r="A2" s="4"/>
      <c r="B2" s="4"/>
      <c r="C2" s="4"/>
      <c r="D2" s="5"/>
      <c r="E2" s="5"/>
      <c r="F2" s="5"/>
      <c r="G2" s="5"/>
      <c r="H2" s="5"/>
      <c r="I2" s="5"/>
      <c r="J2" s="5"/>
      <c r="K2" s="5"/>
    </row>
    <row r="3" spans="1:12" ht="18.75" customHeight="1" thickBot="1" x14ac:dyDescent="0.25">
      <c r="A3" s="375" t="s">
        <v>57</v>
      </c>
      <c r="B3" s="375"/>
      <c r="C3" s="375"/>
      <c r="D3" s="361" t="str">
        <f>alimento!C3</f>
        <v>45- Ministerio de Desarrollo Social y Deporte.-</v>
      </c>
      <c r="E3" s="361"/>
      <c r="F3" s="361"/>
      <c r="G3" s="361"/>
      <c r="H3" s="361"/>
      <c r="I3" s="361"/>
      <c r="J3" s="361"/>
      <c r="K3" s="361"/>
    </row>
    <row r="4" spans="1:12" ht="18.75" customHeight="1" thickBot="1" x14ac:dyDescent="0.25">
      <c r="A4" s="370" t="s">
        <v>58</v>
      </c>
      <c r="B4" s="370"/>
      <c r="C4" s="370"/>
      <c r="D4" s="361" t="str">
        <f>alimento!C4</f>
        <v>25- Direccion Provincial de Gestion Administracion y RRHH</v>
      </c>
      <c r="E4" s="361"/>
      <c r="F4" s="361"/>
      <c r="G4" s="361"/>
      <c r="H4" s="361"/>
      <c r="I4" s="361"/>
      <c r="J4" s="361"/>
      <c r="K4" s="361"/>
    </row>
    <row r="5" spans="1:12" ht="18.75" customHeight="1" thickBot="1" x14ac:dyDescent="0.25">
      <c r="A5" s="373" t="s">
        <v>36</v>
      </c>
      <c r="B5" s="373"/>
      <c r="C5" s="373"/>
      <c r="D5" s="369" t="s">
        <v>327</v>
      </c>
      <c r="E5" s="369"/>
      <c r="F5" s="369"/>
      <c r="G5" s="369"/>
      <c r="H5" s="369"/>
      <c r="I5" s="369"/>
      <c r="J5" s="369"/>
      <c r="K5" s="369"/>
    </row>
    <row r="6" spans="1:12" ht="16.5" customHeight="1" thickBot="1" x14ac:dyDescent="0.25">
      <c r="A6" s="368" t="s">
        <v>59</v>
      </c>
      <c r="B6" s="368"/>
      <c r="C6" s="368"/>
      <c r="D6" s="369" t="s">
        <v>328</v>
      </c>
      <c r="E6" s="369"/>
      <c r="F6" s="369"/>
      <c r="G6" s="369"/>
      <c r="H6" s="369"/>
      <c r="I6" s="369"/>
      <c r="J6" s="369"/>
      <c r="K6" s="369"/>
    </row>
    <row r="7" spans="1:12" ht="16.5" customHeight="1" thickBot="1" x14ac:dyDescent="0.25">
      <c r="A7" s="370" t="s">
        <v>24</v>
      </c>
      <c r="B7" s="370"/>
      <c r="C7" s="370"/>
      <c r="D7" s="361" t="str">
        <f>'ALIM-IMP'!C6&amp; "° Trimestre - Año " &amp; 'ALIM-IMP'!C5</f>
        <v>3° Trimestre - Año 2021</v>
      </c>
      <c r="E7" s="361"/>
      <c r="F7" s="361"/>
      <c r="G7" s="361"/>
      <c r="H7" s="361"/>
      <c r="I7" s="361"/>
      <c r="J7" s="361"/>
      <c r="K7" s="361"/>
    </row>
    <row r="8" spans="1:12" ht="16.5" customHeight="1" thickBot="1" x14ac:dyDescent="0.25">
      <c r="A8" s="371" t="s">
        <v>25</v>
      </c>
      <c r="B8" s="371"/>
      <c r="C8" s="371"/>
      <c r="D8" s="372" t="s">
        <v>326</v>
      </c>
      <c r="E8" s="372"/>
      <c r="F8" s="372"/>
      <c r="G8" s="372"/>
      <c r="H8" s="372"/>
      <c r="I8" s="372"/>
      <c r="J8" s="372"/>
      <c r="K8" s="372"/>
    </row>
    <row r="9" spans="1:12" ht="16.5" thickBot="1" x14ac:dyDescent="0.25">
      <c r="A9" s="6"/>
      <c r="B9" s="6"/>
      <c r="C9" s="6"/>
      <c r="D9" s="7"/>
      <c r="E9" s="7"/>
      <c r="F9" s="7"/>
      <c r="G9" s="7"/>
      <c r="H9" s="7"/>
      <c r="I9" s="7"/>
      <c r="J9" s="7"/>
      <c r="K9" s="7"/>
    </row>
    <row r="10" spans="1:12" ht="18.75" customHeight="1" thickBot="1" x14ac:dyDescent="0.25">
      <c r="A10" s="300" t="s">
        <v>26</v>
      </c>
      <c r="B10" s="301" t="s">
        <v>27</v>
      </c>
      <c r="C10" s="301" t="s">
        <v>28</v>
      </c>
      <c r="D10" s="301"/>
      <c r="E10" s="301"/>
      <c r="F10" s="301"/>
      <c r="G10" s="301"/>
      <c r="H10" s="301" t="s">
        <v>29</v>
      </c>
      <c r="I10" s="301" t="s">
        <v>30</v>
      </c>
      <c r="J10" s="301" t="s">
        <v>31</v>
      </c>
      <c r="K10" s="291" t="s">
        <v>32</v>
      </c>
      <c r="L10" s="291" t="s">
        <v>290</v>
      </c>
    </row>
    <row r="11" spans="1:12" ht="24" customHeight="1" thickBot="1" x14ac:dyDescent="0.25">
      <c r="A11" s="300"/>
      <c r="B11" s="301"/>
      <c r="C11" s="301"/>
      <c r="D11" s="301"/>
      <c r="E11" s="301"/>
      <c r="F11" s="301"/>
      <c r="G11" s="301"/>
      <c r="H11" s="301"/>
      <c r="I11" s="301"/>
      <c r="J11" s="301"/>
      <c r="K11" s="291"/>
      <c r="L11" s="291"/>
    </row>
    <row r="12" spans="1:12" ht="39.950000000000003" customHeight="1" thickBot="1" x14ac:dyDescent="0.25">
      <c r="A12" s="8">
        <v>1</v>
      </c>
      <c r="B12" s="139" t="str">
        <f>'GAS-IMP'!B10</f>
        <v>2.5.6-798.8</v>
      </c>
      <c r="C12" s="365" t="str">
        <f>'GAS-IMP'!E10</f>
        <v>GAS EN GARRAFA; CAPACIDAD: 10 Kg</v>
      </c>
      <c r="D12" s="366"/>
      <c r="E12" s="366"/>
      <c r="F12" s="366"/>
      <c r="G12" s="367"/>
      <c r="H12" s="140" t="s">
        <v>33</v>
      </c>
      <c r="I12" s="141" t="str">
        <f>'GAS-IMP'!F10</f>
        <v>UNIDAD</v>
      </c>
      <c r="J12" s="142">
        <f>'GAS-IMP'!H10</f>
        <v>800</v>
      </c>
      <c r="K12" s="143">
        <f>'GAS-IMP'!G10</f>
        <v>816</v>
      </c>
      <c r="L12" s="151">
        <f>J12*K12</f>
        <v>652800</v>
      </c>
    </row>
    <row r="13" spans="1:12" ht="39.950000000000003" customHeight="1" thickBot="1" x14ac:dyDescent="0.25">
      <c r="A13" s="9">
        <v>2</v>
      </c>
      <c r="B13" s="139" t="str">
        <f>'GAS-IMP'!B11</f>
        <v>2.5.6-798.7</v>
      </c>
      <c r="C13" s="290" t="str">
        <f>'GAS-IMP'!E11</f>
        <v>GAS EN GARRAFA; CAPACIDAD: 45 Kg</v>
      </c>
      <c r="D13" s="290"/>
      <c r="E13" s="290"/>
      <c r="F13" s="290"/>
      <c r="G13" s="290"/>
      <c r="H13" s="140" t="s">
        <v>33</v>
      </c>
      <c r="I13" s="141" t="str">
        <f>'GAS-IMP'!F11</f>
        <v>UNIDAD</v>
      </c>
      <c r="J13" s="142">
        <f>'GAS-IMP'!H11</f>
        <v>8200</v>
      </c>
      <c r="K13" s="143">
        <f>'GAS-IMP'!G11</f>
        <v>27</v>
      </c>
      <c r="L13" s="151">
        <f t="shared" ref="L13" si="0">J13*K13</f>
        <v>221400</v>
      </c>
    </row>
    <row r="14" spans="1:12" s="2" customFormat="1" ht="30" customHeight="1" thickBot="1" x14ac:dyDescent="0.25">
      <c r="A14" s="361" t="s">
        <v>331</v>
      </c>
      <c r="B14" s="361"/>
      <c r="C14" s="361"/>
      <c r="D14" s="361"/>
      <c r="E14" s="361"/>
      <c r="F14" s="361"/>
      <c r="G14" s="361"/>
      <c r="H14" s="361"/>
      <c r="I14" s="361"/>
      <c r="J14" s="362">
        <f>SUM(L12:L13)</f>
        <v>874200</v>
      </c>
      <c r="K14" s="363"/>
      <c r="L14" s="364"/>
    </row>
  </sheetData>
  <mergeCells count="25">
    <mergeCell ref="A5:C5"/>
    <mergeCell ref="D5:K5"/>
    <mergeCell ref="A1:I1"/>
    <mergeCell ref="A3:C3"/>
    <mergeCell ref="D3:K3"/>
    <mergeCell ref="A4:C4"/>
    <mergeCell ref="D4:K4"/>
    <mergeCell ref="A6:C6"/>
    <mergeCell ref="D6:K6"/>
    <mergeCell ref="A7:C7"/>
    <mergeCell ref="D7:K7"/>
    <mergeCell ref="A8:C8"/>
    <mergeCell ref="D8:K8"/>
    <mergeCell ref="A14:I14"/>
    <mergeCell ref="J14:L14"/>
    <mergeCell ref="K10:K11"/>
    <mergeCell ref="L10:L11"/>
    <mergeCell ref="C12:G12"/>
    <mergeCell ref="C13:G13"/>
    <mergeCell ref="A10:A11"/>
    <mergeCell ref="B10:B11"/>
    <mergeCell ref="C10:G11"/>
    <mergeCell ref="H10:H11"/>
    <mergeCell ref="I10:I11"/>
    <mergeCell ref="J10:J11"/>
  </mergeCells>
  <printOptions horizontalCentered="1"/>
  <pageMargins left="0.2" right="0.19685039370078741" top="0.23622047244094491" bottom="0.27559055118110237" header="0.19685039370078741" footer="0.15748031496062992"/>
  <pageSetup paperSize="7" scale="65" firstPageNumber="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I56"/>
  <sheetViews>
    <sheetView topLeftCell="B7" workbookViewId="0">
      <selection activeCell="C10" sqref="C10"/>
    </sheetView>
  </sheetViews>
  <sheetFormatPr baseColWidth="10" defaultColWidth="11" defaultRowHeight="12.75" x14ac:dyDescent="0.2"/>
  <cols>
    <col min="1" max="1" width="4.5703125" style="38" customWidth="1"/>
    <col min="2" max="2" width="19.85546875" style="38" customWidth="1"/>
    <col min="3" max="3" width="32.42578125" style="38" customWidth="1"/>
    <col min="4" max="4" width="10.42578125" style="38" customWidth="1"/>
    <col min="5" max="5" width="68.85546875" style="38" customWidth="1"/>
    <col min="6" max="6" width="11" style="38"/>
    <col min="7" max="7" width="12.7109375" style="38" customWidth="1"/>
    <col min="8" max="8" width="13.85546875" style="38" customWidth="1"/>
    <col min="9" max="9" width="18.5703125" style="38" customWidth="1"/>
    <col min="10" max="16384" width="11" style="38"/>
  </cols>
  <sheetData>
    <row r="2" spans="1:9" ht="27" x14ac:dyDescent="0.35">
      <c r="B2" s="282" t="s">
        <v>0</v>
      </c>
      <c r="C2" s="282"/>
      <c r="D2" s="282"/>
      <c r="E2" s="282"/>
      <c r="F2" s="282"/>
      <c r="G2" s="282"/>
      <c r="H2" s="282"/>
    </row>
    <row r="4" spans="1:9" ht="18" customHeight="1" x14ac:dyDescent="0.25">
      <c r="A4" s="279" t="s">
        <v>1</v>
      </c>
      <c r="B4" s="279"/>
      <c r="C4" s="283" t="s">
        <v>66</v>
      </c>
      <c r="D4" s="283"/>
      <c r="E4" s="283"/>
      <c r="F4" s="39"/>
      <c r="G4" s="40"/>
      <c r="H4" s="39"/>
    </row>
    <row r="5" spans="1:9" ht="18" customHeight="1" x14ac:dyDescent="0.25">
      <c r="A5" s="279" t="s">
        <v>2</v>
      </c>
      <c r="B5" s="279"/>
      <c r="C5" s="283" t="s">
        <v>62</v>
      </c>
      <c r="D5" s="283"/>
      <c r="E5" s="283"/>
      <c r="F5" s="39"/>
      <c r="G5" s="40"/>
      <c r="H5" s="39"/>
    </row>
    <row r="6" spans="1:9" ht="16.5" customHeight="1" x14ac:dyDescent="0.25">
      <c r="A6" s="279" t="s">
        <v>3</v>
      </c>
      <c r="B6" s="279"/>
      <c r="C6" s="57">
        <v>2021</v>
      </c>
      <c r="D6" s="58"/>
      <c r="E6" s="58"/>
      <c r="F6" s="39"/>
      <c r="G6" s="40"/>
      <c r="H6" s="39"/>
    </row>
    <row r="7" spans="1:9" ht="16.5" customHeight="1" x14ac:dyDescent="0.25">
      <c r="A7" s="279" t="s">
        <v>4</v>
      </c>
      <c r="B7" s="279"/>
      <c r="C7" s="57">
        <v>3</v>
      </c>
      <c r="D7" s="58"/>
      <c r="E7" s="58"/>
      <c r="F7" s="39"/>
      <c r="G7" s="40"/>
      <c r="H7" s="39"/>
    </row>
    <row r="8" spans="1:9" ht="13.5" thickBot="1" x14ac:dyDescent="0.25">
      <c r="B8" s="39"/>
      <c r="C8" s="40"/>
      <c r="D8" s="39"/>
      <c r="E8" s="39"/>
      <c r="F8" s="39"/>
      <c r="G8" s="40"/>
      <c r="H8" s="39"/>
    </row>
    <row r="9" spans="1:9" ht="39" thickBot="1" x14ac:dyDescent="0.25">
      <c r="A9" s="60" t="s">
        <v>5</v>
      </c>
      <c r="B9" s="74" t="s">
        <v>6</v>
      </c>
      <c r="C9" s="74" t="s">
        <v>7</v>
      </c>
      <c r="D9" s="65" t="s">
        <v>8</v>
      </c>
      <c r="E9" s="74" t="s">
        <v>9</v>
      </c>
      <c r="F9" s="61" t="s">
        <v>10</v>
      </c>
      <c r="G9" s="62" t="s">
        <v>11</v>
      </c>
      <c r="H9" s="62" t="s">
        <v>12</v>
      </c>
      <c r="I9" s="63" t="s">
        <v>13</v>
      </c>
    </row>
    <row r="10" spans="1:9" ht="13.5" thickBot="1" x14ac:dyDescent="0.25">
      <c r="A10" s="75">
        <v>1</v>
      </c>
      <c r="B10" s="76" t="s">
        <v>106</v>
      </c>
      <c r="C10" s="77" t="s">
        <v>107</v>
      </c>
      <c r="D10" s="78" t="s">
        <v>108</v>
      </c>
      <c r="E10" s="77" t="s">
        <v>109</v>
      </c>
      <c r="F10" s="79" t="s">
        <v>14</v>
      </c>
      <c r="G10" s="187">
        <v>816</v>
      </c>
      <c r="H10" s="186">
        <v>800</v>
      </c>
      <c r="I10" s="162">
        <f>G10*H10</f>
        <v>652800</v>
      </c>
    </row>
    <row r="11" spans="1:9" ht="13.5" thickBot="1" x14ac:dyDescent="0.25">
      <c r="A11" s="75">
        <v>2</v>
      </c>
      <c r="B11" s="170" t="s">
        <v>320</v>
      </c>
      <c r="C11" s="77" t="s">
        <v>107</v>
      </c>
      <c r="D11" s="78" t="s">
        <v>108</v>
      </c>
      <c r="E11" s="171" t="s">
        <v>321</v>
      </c>
      <c r="F11" s="79" t="s">
        <v>14</v>
      </c>
      <c r="G11" s="79">
        <v>27</v>
      </c>
      <c r="H11" s="186">
        <v>8200</v>
      </c>
      <c r="I11" s="162">
        <f>G11*H11</f>
        <v>221400</v>
      </c>
    </row>
    <row r="12" spans="1:9" ht="13.5" thickBot="1" x14ac:dyDescent="0.25">
      <c r="I12" s="167">
        <f>SUM(I10:I11)</f>
        <v>874200</v>
      </c>
    </row>
    <row r="13" spans="1:9" x14ac:dyDescent="0.2">
      <c r="B13" s="44" t="s">
        <v>15</v>
      </c>
      <c r="C13" s="45"/>
      <c r="D13" s="45"/>
      <c r="E13" s="46"/>
    </row>
    <row r="14" spans="1:9" ht="5.25" customHeight="1" x14ac:dyDescent="0.2">
      <c r="B14" s="47"/>
      <c r="C14" s="48"/>
      <c r="D14" s="48"/>
      <c r="E14" s="49"/>
    </row>
    <row r="15" spans="1:9" x14ac:dyDescent="0.2">
      <c r="B15" s="50" t="s">
        <v>16</v>
      </c>
      <c r="C15" s="48"/>
      <c r="D15" s="48"/>
      <c r="E15" s="49"/>
    </row>
    <row r="16" spans="1:9" ht="25.5" customHeight="1" x14ac:dyDescent="0.2">
      <c r="B16" s="276" t="s">
        <v>121</v>
      </c>
      <c r="C16" s="277"/>
      <c r="D16" s="277"/>
      <c r="E16" s="278"/>
    </row>
    <row r="17" spans="2:5" ht="13.5" thickBot="1" x14ac:dyDescent="0.25">
      <c r="B17" s="50" t="s">
        <v>17</v>
      </c>
      <c r="C17" s="48"/>
      <c r="D17" s="48"/>
      <c r="E17" s="49"/>
    </row>
    <row r="18" spans="2:5" ht="13.5" thickBot="1" x14ac:dyDescent="0.25">
      <c r="B18" s="273" t="s">
        <v>137</v>
      </c>
      <c r="C18" s="274"/>
      <c r="D18" s="274"/>
      <c r="E18" s="275"/>
    </row>
    <row r="19" spans="2:5" x14ac:dyDescent="0.2">
      <c r="B19" s="380" t="s">
        <v>138</v>
      </c>
      <c r="C19" s="381"/>
      <c r="D19" s="144" t="s">
        <v>11</v>
      </c>
      <c r="E19" s="144" t="s">
        <v>139</v>
      </c>
    </row>
    <row r="20" spans="2:5" x14ac:dyDescent="0.2">
      <c r="B20" s="376" t="s">
        <v>301</v>
      </c>
      <c r="C20" s="376"/>
      <c r="D20" s="145">
        <v>2</v>
      </c>
      <c r="E20" s="146" t="s">
        <v>300</v>
      </c>
    </row>
    <row r="21" spans="2:5" x14ac:dyDescent="0.2">
      <c r="B21" s="376" t="s">
        <v>302</v>
      </c>
      <c r="C21" s="376"/>
      <c r="D21" s="145">
        <v>2</v>
      </c>
      <c r="E21" s="146" t="s">
        <v>246</v>
      </c>
    </row>
    <row r="22" spans="2:5" x14ac:dyDescent="0.2">
      <c r="B22" s="376" t="s">
        <v>304</v>
      </c>
      <c r="C22" s="376"/>
      <c r="D22" s="145">
        <v>2</v>
      </c>
      <c r="E22" s="146" t="s">
        <v>247</v>
      </c>
    </row>
    <row r="23" spans="2:5" x14ac:dyDescent="0.2">
      <c r="B23" s="376" t="s">
        <v>303</v>
      </c>
      <c r="C23" s="376"/>
      <c r="D23" s="145">
        <v>2</v>
      </c>
      <c r="E23" s="146" t="s">
        <v>248</v>
      </c>
    </row>
    <row r="24" spans="2:5" x14ac:dyDescent="0.2">
      <c r="B24" s="376" t="s">
        <v>298</v>
      </c>
      <c r="C24" s="376"/>
      <c r="D24" s="145">
        <v>2</v>
      </c>
      <c r="E24" s="146" t="s">
        <v>299</v>
      </c>
    </row>
    <row r="25" spans="2:5" x14ac:dyDescent="0.2">
      <c r="B25" s="376" t="s">
        <v>249</v>
      </c>
      <c r="C25" s="376"/>
      <c r="D25" s="145">
        <v>2</v>
      </c>
      <c r="E25" s="146" t="s">
        <v>250</v>
      </c>
    </row>
    <row r="26" spans="2:5" x14ac:dyDescent="0.2">
      <c r="B26" s="376" t="s">
        <v>253</v>
      </c>
      <c r="C26" s="376"/>
      <c r="D26" s="145">
        <v>2</v>
      </c>
      <c r="E26" s="146" t="s">
        <v>254</v>
      </c>
    </row>
    <row r="27" spans="2:5" x14ac:dyDescent="0.2">
      <c r="B27" s="376" t="s">
        <v>255</v>
      </c>
      <c r="C27" s="376"/>
      <c r="D27" s="145">
        <v>2</v>
      </c>
      <c r="E27" s="146" t="s">
        <v>256</v>
      </c>
    </row>
    <row r="28" spans="2:5" x14ac:dyDescent="0.2">
      <c r="B28" s="376" t="s">
        <v>305</v>
      </c>
      <c r="C28" s="376"/>
      <c r="D28" s="145">
        <v>2</v>
      </c>
      <c r="E28" s="146" t="s">
        <v>257</v>
      </c>
    </row>
    <row r="29" spans="2:5" x14ac:dyDescent="0.2">
      <c r="B29" s="376" t="s">
        <v>260</v>
      </c>
      <c r="C29" s="376"/>
      <c r="D29" s="145">
        <v>2</v>
      </c>
      <c r="E29" s="146" t="s">
        <v>261</v>
      </c>
    </row>
    <row r="30" spans="2:5" x14ac:dyDescent="0.2">
      <c r="B30" s="376" t="s">
        <v>306</v>
      </c>
      <c r="C30" s="376"/>
      <c r="D30" s="145">
        <v>2</v>
      </c>
      <c r="E30" s="146" t="s">
        <v>262</v>
      </c>
    </row>
    <row r="31" spans="2:5" x14ac:dyDescent="0.2">
      <c r="B31" s="376" t="s">
        <v>263</v>
      </c>
      <c r="C31" s="376"/>
      <c r="D31" s="145">
        <v>2</v>
      </c>
      <c r="E31" s="146" t="s">
        <v>264</v>
      </c>
    </row>
    <row r="32" spans="2:5" x14ac:dyDescent="0.2">
      <c r="B32" s="376" t="s">
        <v>265</v>
      </c>
      <c r="C32" s="376"/>
      <c r="D32" s="145">
        <v>2</v>
      </c>
      <c r="E32" s="146" t="s">
        <v>266</v>
      </c>
    </row>
    <row r="33" spans="2:5" x14ac:dyDescent="0.2">
      <c r="B33" s="376" t="s">
        <v>267</v>
      </c>
      <c r="C33" s="376"/>
      <c r="D33" s="145">
        <v>2</v>
      </c>
      <c r="E33" s="146" t="s">
        <v>268</v>
      </c>
    </row>
    <row r="34" spans="2:5" x14ac:dyDescent="0.2">
      <c r="B34" s="376" t="s">
        <v>269</v>
      </c>
      <c r="C34" s="376"/>
      <c r="D34" s="145">
        <v>2</v>
      </c>
      <c r="E34" s="146" t="s">
        <v>270</v>
      </c>
    </row>
    <row r="35" spans="2:5" x14ac:dyDescent="0.2">
      <c r="B35" s="376" t="s">
        <v>271</v>
      </c>
      <c r="C35" s="376"/>
      <c r="D35" s="145">
        <v>2</v>
      </c>
      <c r="E35" s="146" t="s">
        <v>272</v>
      </c>
    </row>
    <row r="36" spans="2:5" ht="13.5" thickBot="1" x14ac:dyDescent="0.25">
      <c r="B36" s="376" t="s">
        <v>307</v>
      </c>
      <c r="C36" s="376"/>
      <c r="D36" s="145">
        <v>2</v>
      </c>
      <c r="E36" s="146" t="s">
        <v>308</v>
      </c>
    </row>
    <row r="37" spans="2:5" ht="24.75" customHeight="1" thickBot="1" x14ac:dyDescent="0.25">
      <c r="B37" s="377" t="s">
        <v>330</v>
      </c>
      <c r="C37" s="378"/>
      <c r="D37" s="378"/>
      <c r="E37" s="379"/>
    </row>
    <row r="38" spans="2:5" x14ac:dyDescent="0.2">
      <c r="B38" s="50" t="s">
        <v>20</v>
      </c>
      <c r="C38" s="48"/>
      <c r="D38" s="48"/>
      <c r="E38" s="49"/>
    </row>
    <row r="39" spans="2:5" x14ac:dyDescent="0.2">
      <c r="B39" s="284" t="s">
        <v>64</v>
      </c>
      <c r="C39" s="285"/>
      <c r="D39" s="285"/>
      <c r="E39" s="286"/>
    </row>
    <row r="40" spans="2:5" ht="13.5" thickBot="1" x14ac:dyDescent="0.25">
      <c r="B40" s="54"/>
      <c r="C40" s="55"/>
      <c r="D40" s="55"/>
      <c r="E40" s="56"/>
    </row>
    <row r="42" spans="2:5" ht="13.5" thickBot="1" x14ac:dyDescent="0.25"/>
    <row r="43" spans="2:5" x14ac:dyDescent="0.2">
      <c r="B43" s="44" t="s">
        <v>21</v>
      </c>
      <c r="C43" s="45"/>
      <c r="D43" s="45"/>
      <c r="E43" s="46"/>
    </row>
    <row r="44" spans="2:5" x14ac:dyDescent="0.2">
      <c r="B44" s="47"/>
      <c r="C44" s="48"/>
      <c r="D44" s="48"/>
      <c r="E44" s="49"/>
    </row>
    <row r="45" spans="2:5" x14ac:dyDescent="0.2">
      <c r="B45" s="50" t="s">
        <v>16</v>
      </c>
      <c r="C45" s="48"/>
      <c r="D45" s="48"/>
      <c r="E45" s="49"/>
    </row>
    <row r="46" spans="2:5" x14ac:dyDescent="0.2">
      <c r="B46" s="276" t="s">
        <v>322</v>
      </c>
      <c r="C46" s="277"/>
      <c r="D46" s="277"/>
      <c r="E46" s="278"/>
    </row>
    <row r="47" spans="2:5" ht="13.5" thickBot="1" x14ac:dyDescent="0.25">
      <c r="B47" s="50" t="s">
        <v>17</v>
      </c>
      <c r="C47" s="48"/>
      <c r="D47" s="48"/>
      <c r="E47" s="49"/>
    </row>
    <row r="48" spans="2:5" ht="13.5" thickBot="1" x14ac:dyDescent="0.25">
      <c r="B48" s="273" t="s">
        <v>324</v>
      </c>
      <c r="C48" s="274"/>
      <c r="D48" s="274"/>
      <c r="E48" s="275"/>
    </row>
    <row r="49" spans="2:5" x14ac:dyDescent="0.2">
      <c r="B49" s="380" t="s">
        <v>138</v>
      </c>
      <c r="C49" s="381"/>
      <c r="D49" s="144" t="s">
        <v>11</v>
      </c>
      <c r="E49" s="144" t="s">
        <v>139</v>
      </c>
    </row>
    <row r="50" spans="2:5" x14ac:dyDescent="0.2">
      <c r="B50" s="376" t="s">
        <v>251</v>
      </c>
      <c r="C50" s="376"/>
      <c r="D50" s="169">
        <v>1</v>
      </c>
      <c r="E50" s="146" t="s">
        <v>252</v>
      </c>
    </row>
    <row r="51" spans="2:5" x14ac:dyDescent="0.2">
      <c r="B51" s="376" t="s">
        <v>258</v>
      </c>
      <c r="C51" s="376"/>
      <c r="D51" s="169">
        <v>1</v>
      </c>
      <c r="E51" s="146" t="s">
        <v>259</v>
      </c>
    </row>
    <row r="52" spans="2:5" ht="13.5" thickBot="1" x14ac:dyDescent="0.25">
      <c r="B52" s="376" t="s">
        <v>273</v>
      </c>
      <c r="C52" s="376"/>
      <c r="D52" s="169">
        <v>1</v>
      </c>
      <c r="E52" s="146" t="s">
        <v>274</v>
      </c>
    </row>
    <row r="53" spans="2:5" ht="26.25" customHeight="1" thickBot="1" x14ac:dyDescent="0.25">
      <c r="B53" s="377" t="s">
        <v>325</v>
      </c>
      <c r="C53" s="378"/>
      <c r="D53" s="378"/>
      <c r="E53" s="379"/>
    </row>
    <row r="54" spans="2:5" x14ac:dyDescent="0.2">
      <c r="B54" s="50" t="s">
        <v>20</v>
      </c>
      <c r="C54" s="48"/>
      <c r="D54" s="48"/>
      <c r="E54" s="49"/>
    </row>
    <row r="55" spans="2:5" x14ac:dyDescent="0.2">
      <c r="B55" s="284" t="s">
        <v>64</v>
      </c>
      <c r="C55" s="285"/>
      <c r="D55" s="285"/>
      <c r="E55" s="286"/>
    </row>
    <row r="56" spans="2:5" ht="13.5" thickBot="1" x14ac:dyDescent="0.25">
      <c r="B56" s="54"/>
      <c r="C56" s="55"/>
      <c r="D56" s="55"/>
      <c r="E56" s="56"/>
    </row>
  </sheetData>
  <mergeCells count="37">
    <mergeCell ref="B21:C21"/>
    <mergeCell ref="B2:H2"/>
    <mergeCell ref="A4:B4"/>
    <mergeCell ref="C4:E4"/>
    <mergeCell ref="A5:B5"/>
    <mergeCell ref="C5:E5"/>
    <mergeCell ref="A6:B6"/>
    <mergeCell ref="A7:B7"/>
    <mergeCell ref="B16:E16"/>
    <mergeCell ref="B18:E18"/>
    <mergeCell ref="B19:C19"/>
    <mergeCell ref="B20:C20"/>
    <mergeCell ref="B31:C31"/>
    <mergeCell ref="B22:C22"/>
    <mergeCell ref="B23:C23"/>
    <mergeCell ref="B24:C24"/>
    <mergeCell ref="B25:C25"/>
    <mergeCell ref="B26:C26"/>
    <mergeCell ref="B27:C27"/>
    <mergeCell ref="B28:C28"/>
    <mergeCell ref="B29:C29"/>
    <mergeCell ref="B30:C30"/>
    <mergeCell ref="B46:E46"/>
    <mergeCell ref="B48:E48"/>
    <mergeCell ref="B49:C49"/>
    <mergeCell ref="B39:E39"/>
    <mergeCell ref="B32:C32"/>
    <mergeCell ref="B33:C33"/>
    <mergeCell ref="B34:C34"/>
    <mergeCell ref="B35:C35"/>
    <mergeCell ref="B36:C36"/>
    <mergeCell ref="B37:E37"/>
    <mergeCell ref="B52:C52"/>
    <mergeCell ref="B53:E53"/>
    <mergeCell ref="B55:E55"/>
    <mergeCell ref="B51:C51"/>
    <mergeCell ref="B50:C50"/>
  </mergeCells>
  <pageMargins left="0.70866141732283472" right="0.70866141732283472" top="0.33" bottom="0.35" header="0.31496062992125984" footer="0.31496062992125984"/>
  <pageSetup paperSize="5" scale="85"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27"/>
  <sheetViews>
    <sheetView topLeftCell="A4" zoomScale="130" zoomScaleNormal="130" workbookViewId="0">
      <selection activeCell="O16" sqref="O16:P16"/>
    </sheetView>
  </sheetViews>
  <sheetFormatPr baseColWidth="10" defaultColWidth="11" defaultRowHeight="12.75" x14ac:dyDescent="0.2"/>
  <cols>
    <col min="1" max="5" width="4.42578125" customWidth="1"/>
    <col min="6" max="6" width="5" bestFit="1" customWidth="1"/>
    <col min="7" max="7" width="4.42578125" style="10" customWidth="1"/>
    <col min="8" max="14" width="4.42578125" customWidth="1"/>
    <col min="15" max="16" width="14.85546875" customWidth="1"/>
    <col min="17" max="17" width="16.5703125" bestFit="1" customWidth="1"/>
  </cols>
  <sheetData>
    <row r="1" spans="1:17" ht="15.75" customHeight="1" thickBot="1" x14ac:dyDescent="0.3">
      <c r="A1" s="332" t="s">
        <v>3</v>
      </c>
      <c r="B1" s="332"/>
      <c r="C1" s="332"/>
      <c r="D1" s="333">
        <f>'ALIM-IMP'!C5</f>
        <v>2021</v>
      </c>
      <c r="E1" s="333"/>
      <c r="F1" s="11"/>
      <c r="G1" s="11"/>
      <c r="H1" s="12"/>
      <c r="I1" s="12"/>
      <c r="J1" s="12"/>
      <c r="K1" s="12"/>
      <c r="L1" s="12"/>
      <c r="M1" s="12"/>
      <c r="N1" s="12"/>
      <c r="P1" s="334" t="s">
        <v>34</v>
      </c>
      <c r="Q1" s="334"/>
    </row>
    <row r="2" spans="1:17" ht="15.75" customHeight="1" thickBot="1" x14ac:dyDescent="0.25">
      <c r="H2" s="12"/>
      <c r="I2" s="12"/>
      <c r="J2" s="12"/>
      <c r="K2" s="12"/>
      <c r="L2" s="12"/>
      <c r="M2" s="12"/>
      <c r="N2" s="12"/>
      <c r="P2" s="334"/>
      <c r="Q2" s="334"/>
    </row>
    <row r="4" spans="1:17" s="13" customFormat="1" ht="18" customHeight="1" thickBot="1" x14ac:dyDescent="0.25">
      <c r="A4" s="335" t="s">
        <v>35</v>
      </c>
      <c r="B4" s="335"/>
      <c r="C4" s="335"/>
      <c r="D4" s="335"/>
      <c r="E4" s="335"/>
      <c r="F4" s="335"/>
      <c r="G4" s="336" t="str">
        <f>' NotaPedido'!D3</f>
        <v>45- Ministerio de Desarrollo Social y Deporte.-</v>
      </c>
      <c r="H4" s="336"/>
      <c r="I4" s="336"/>
      <c r="J4" s="336"/>
      <c r="K4" s="336"/>
      <c r="L4" s="336"/>
      <c r="M4" s="336"/>
      <c r="N4" s="336"/>
      <c r="O4" s="336"/>
      <c r="P4" s="336"/>
      <c r="Q4" s="336"/>
    </row>
    <row r="5" spans="1:17" s="13" customFormat="1" ht="18" customHeight="1" thickBot="1" x14ac:dyDescent="0.25">
      <c r="A5" s="337" t="s">
        <v>58</v>
      </c>
      <c r="B5" s="338"/>
      <c r="C5" s="338"/>
      <c r="D5" s="338"/>
      <c r="E5" s="338"/>
      <c r="F5" s="339"/>
      <c r="G5" s="336" t="str">
        <f>' NotaPedido'!D4</f>
        <v>25- Direccion Provincial de Gestion Administracion y RRHH</v>
      </c>
      <c r="H5" s="336"/>
      <c r="I5" s="336"/>
      <c r="J5" s="336"/>
      <c r="K5" s="336"/>
      <c r="L5" s="336"/>
      <c r="M5" s="336"/>
      <c r="N5" s="336"/>
      <c r="O5" s="336"/>
      <c r="P5" s="336"/>
      <c r="Q5" s="336"/>
    </row>
    <row r="6" spans="1:17" s="13" customFormat="1" ht="18" customHeight="1" thickBot="1" x14ac:dyDescent="0.25">
      <c r="A6" s="337" t="s">
        <v>36</v>
      </c>
      <c r="B6" s="338"/>
      <c r="C6" s="338"/>
      <c r="D6" s="338"/>
      <c r="E6" s="338"/>
      <c r="F6" s="339"/>
      <c r="G6" s="336" t="s">
        <v>327</v>
      </c>
      <c r="H6" s="336"/>
      <c r="I6" s="336"/>
      <c r="J6" s="336"/>
      <c r="K6" s="336"/>
      <c r="L6" s="336"/>
      <c r="M6" s="336"/>
      <c r="N6" s="336"/>
      <c r="O6" s="336"/>
      <c r="P6" s="336"/>
      <c r="Q6" s="336"/>
    </row>
    <row r="7" spans="1:17" s="13" customFormat="1" ht="18" customHeight="1" thickBot="1" x14ac:dyDescent="0.25">
      <c r="A7" s="337" t="s">
        <v>59</v>
      </c>
      <c r="B7" s="338"/>
      <c r="C7" s="338"/>
      <c r="D7" s="338"/>
      <c r="E7" s="338"/>
      <c r="F7" s="339"/>
      <c r="G7" s="336" t="s">
        <v>328</v>
      </c>
      <c r="H7" s="336"/>
      <c r="I7" s="336"/>
      <c r="J7" s="336"/>
      <c r="K7" s="336"/>
      <c r="L7" s="336"/>
      <c r="M7" s="336"/>
      <c r="N7" s="336"/>
      <c r="O7" s="336"/>
      <c r="P7" s="336"/>
      <c r="Q7" s="336"/>
    </row>
    <row r="8" spans="1:17" ht="18" customHeight="1" thickBot="1" x14ac:dyDescent="0.25">
      <c r="A8" s="340" t="s">
        <v>37</v>
      </c>
      <c r="B8" s="340"/>
      <c r="C8" s="340"/>
      <c r="D8" s="340"/>
      <c r="E8" s="340"/>
      <c r="F8" s="340"/>
      <c r="G8" s="340"/>
      <c r="H8" s="340"/>
      <c r="I8" s="340"/>
      <c r="J8" s="340"/>
      <c r="K8" s="340"/>
      <c r="L8" s="340"/>
      <c r="M8" s="340"/>
      <c r="N8" s="340"/>
      <c r="O8" s="340"/>
      <c r="P8" s="340"/>
      <c r="Q8" s="340"/>
    </row>
    <row r="9" spans="1:17" ht="18" customHeight="1" x14ac:dyDescent="0.2">
      <c r="A9" s="345" t="s">
        <v>38</v>
      </c>
      <c r="B9" s="345"/>
      <c r="C9" s="345"/>
      <c r="D9" s="345"/>
      <c r="E9" s="345"/>
      <c r="F9" s="345"/>
      <c r="G9" s="345"/>
      <c r="H9" s="345"/>
      <c r="I9" s="345"/>
      <c r="J9" s="345"/>
      <c r="K9" s="345"/>
      <c r="L9" s="345"/>
      <c r="M9" s="345"/>
      <c r="N9" s="345"/>
      <c r="O9" s="1"/>
      <c r="P9" s="1"/>
      <c r="Q9" s="14"/>
    </row>
    <row r="10" spans="1:17" ht="54.75" customHeight="1" x14ac:dyDescent="0.2">
      <c r="A10" s="346" t="str">
        <f>"Autorizo la realización de los  trámites correspondientes, a fin de proveer a  este Organismo los bienes y/o servicios que se detallan en Nota  de Pedido N° " &amp; '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686/2021,  afectando la erogación resultante a los créditos presupuestarios aprobados a favor de esta Unidad Ejecutora, conforme al siguiente detalle:</v>
      </c>
      <c r="B10" s="346"/>
      <c r="C10" s="346"/>
      <c r="D10" s="346"/>
      <c r="E10" s="346"/>
      <c r="F10" s="346"/>
      <c r="G10" s="346"/>
      <c r="H10" s="346"/>
      <c r="I10" s="346"/>
      <c r="J10" s="346"/>
      <c r="K10" s="346"/>
      <c r="L10" s="346"/>
      <c r="M10" s="346"/>
      <c r="N10" s="346"/>
      <c r="O10" s="346"/>
      <c r="P10" s="346"/>
      <c r="Q10" s="346"/>
    </row>
    <row r="11" spans="1:17" ht="9" customHeight="1" thickBot="1" x14ac:dyDescent="0.25">
      <c r="A11" s="15"/>
      <c r="B11" s="16"/>
      <c r="C11" s="16"/>
      <c r="D11" s="16"/>
      <c r="E11" s="16"/>
      <c r="F11" s="16"/>
      <c r="G11" s="17"/>
      <c r="H11" s="16"/>
      <c r="I11" s="16"/>
      <c r="J11" s="16"/>
      <c r="K11" s="16"/>
      <c r="L11" s="16"/>
      <c r="M11" s="16"/>
      <c r="N11" s="16"/>
      <c r="O11" s="16"/>
      <c r="P11" s="16"/>
      <c r="Q11" s="18"/>
    </row>
    <row r="12" spans="1:17" ht="15.75" customHeight="1" thickBot="1" x14ac:dyDescent="0.25">
      <c r="A12" s="347" t="s">
        <v>39</v>
      </c>
      <c r="B12" s="347"/>
      <c r="C12" s="347"/>
      <c r="D12" s="347"/>
      <c r="E12" s="347"/>
      <c r="F12" s="347"/>
      <c r="G12" s="347"/>
      <c r="H12" s="347"/>
      <c r="I12" s="347"/>
      <c r="J12" s="347"/>
      <c r="K12" s="347"/>
      <c r="L12" s="347"/>
      <c r="M12" s="347"/>
      <c r="N12" s="347"/>
      <c r="O12" s="347"/>
      <c r="P12" s="347"/>
      <c r="Q12" s="347"/>
    </row>
    <row r="13" spans="1:17" ht="15.75" customHeight="1" thickBot="1" x14ac:dyDescent="0.25">
      <c r="A13" s="348" t="s">
        <v>40</v>
      </c>
      <c r="B13" s="348"/>
      <c r="C13" s="348"/>
      <c r="D13" s="348"/>
      <c r="E13" s="348"/>
      <c r="F13" s="348"/>
      <c r="G13" s="348"/>
      <c r="H13" s="348"/>
      <c r="I13" s="348"/>
      <c r="J13" s="348"/>
      <c r="K13" s="348"/>
      <c r="L13" s="348"/>
      <c r="M13" s="348"/>
      <c r="N13" s="348"/>
      <c r="O13" s="349" t="s">
        <v>41</v>
      </c>
      <c r="P13" s="349"/>
      <c r="Q13" s="350" t="s">
        <v>42</v>
      </c>
    </row>
    <row r="14" spans="1:17" ht="15.75" customHeight="1" thickBot="1" x14ac:dyDescent="0.25">
      <c r="A14" s="19" t="s">
        <v>43</v>
      </c>
      <c r="B14" s="20" t="s">
        <v>44</v>
      </c>
      <c r="C14" s="20" t="s">
        <v>45</v>
      </c>
      <c r="D14" s="20" t="s">
        <v>46</v>
      </c>
      <c r="E14" s="20" t="s">
        <v>47</v>
      </c>
      <c r="F14" s="20" t="s">
        <v>48</v>
      </c>
      <c r="G14" s="21" t="s">
        <v>49</v>
      </c>
      <c r="H14" s="20" t="s">
        <v>50</v>
      </c>
      <c r="I14" s="20" t="s">
        <v>51</v>
      </c>
      <c r="J14" s="20" t="s">
        <v>52</v>
      </c>
      <c r="K14" s="20" t="s">
        <v>52</v>
      </c>
      <c r="L14" s="20" t="s">
        <v>53</v>
      </c>
      <c r="M14" s="22" t="s">
        <v>54</v>
      </c>
      <c r="N14" s="23" t="s">
        <v>55</v>
      </c>
      <c r="O14" s="349"/>
      <c r="P14" s="349"/>
      <c r="Q14" s="350"/>
    </row>
    <row r="15" spans="1:17" ht="17.25" customHeight="1" x14ac:dyDescent="0.2">
      <c r="A15" s="67">
        <v>1</v>
      </c>
      <c r="B15" s="68"/>
      <c r="C15" s="68"/>
      <c r="D15" s="68">
        <v>1</v>
      </c>
      <c r="E15" s="68"/>
      <c r="F15" s="68">
        <v>4901</v>
      </c>
      <c r="G15" s="68">
        <v>1</v>
      </c>
      <c r="H15" s="68">
        <v>4</v>
      </c>
      <c r="I15" s="69" t="str">
        <f>LEFT('[2]Necesidades Trimestrales'!D10,1)</f>
        <v>2</v>
      </c>
      <c r="J15" s="69">
        <v>5</v>
      </c>
      <c r="K15" s="69">
        <v>6</v>
      </c>
      <c r="L15" s="68"/>
      <c r="M15" s="70">
        <v>1</v>
      </c>
      <c r="N15" s="68">
        <v>1.1000000000000001</v>
      </c>
      <c r="O15" s="394" t="s">
        <v>334</v>
      </c>
      <c r="P15" s="395"/>
      <c r="Q15" s="184">
        <v>874200</v>
      </c>
    </row>
    <row r="16" spans="1:17" ht="17.25" customHeight="1" x14ac:dyDescent="0.2">
      <c r="A16" s="24"/>
      <c r="B16" s="25"/>
      <c r="C16" s="25"/>
      <c r="D16" s="25"/>
      <c r="E16" s="25"/>
      <c r="F16" s="25"/>
      <c r="G16" s="25"/>
      <c r="H16" s="25"/>
      <c r="I16" s="25"/>
      <c r="J16" s="25"/>
      <c r="K16" s="25"/>
      <c r="L16" s="25"/>
      <c r="M16" s="26"/>
      <c r="N16" s="25"/>
      <c r="O16" s="383"/>
      <c r="P16" s="383"/>
      <c r="Q16" s="66"/>
    </row>
    <row r="17" spans="1:18" ht="17.25" customHeight="1" x14ac:dyDescent="0.2">
      <c r="A17" s="24"/>
      <c r="B17" s="25"/>
      <c r="C17" s="25"/>
      <c r="D17" s="25"/>
      <c r="E17" s="25"/>
      <c r="F17" s="27"/>
      <c r="G17" s="25"/>
      <c r="H17" s="25"/>
      <c r="I17" s="25"/>
      <c r="J17" s="25"/>
      <c r="K17" s="25"/>
      <c r="L17" s="25"/>
      <c r="M17" s="26"/>
      <c r="N17" s="27"/>
      <c r="O17" s="384"/>
      <c r="P17" s="384"/>
      <c r="Q17" s="28"/>
    </row>
    <row r="18" spans="1:18" ht="17.25" customHeight="1" x14ac:dyDescent="0.2">
      <c r="A18" s="24"/>
      <c r="B18" s="25"/>
      <c r="C18" s="25"/>
      <c r="D18" s="25"/>
      <c r="E18" s="25"/>
      <c r="F18" s="25"/>
      <c r="G18" s="25"/>
      <c r="H18" s="25"/>
      <c r="I18" s="25"/>
      <c r="J18" s="25"/>
      <c r="K18" s="25"/>
      <c r="L18" s="25"/>
      <c r="M18" s="26"/>
      <c r="N18" s="27"/>
      <c r="O18" s="384"/>
      <c r="P18" s="384"/>
      <c r="Q18" s="28"/>
    </row>
    <row r="19" spans="1:18" ht="17.25" customHeight="1" x14ac:dyDescent="0.2">
      <c r="A19" s="24"/>
      <c r="B19" s="25"/>
      <c r="C19" s="25"/>
      <c r="D19" s="25"/>
      <c r="E19" s="25"/>
      <c r="F19" s="27"/>
      <c r="G19" s="25"/>
      <c r="H19" s="25"/>
      <c r="I19" s="25"/>
      <c r="J19" s="25"/>
      <c r="K19" s="25"/>
      <c r="L19" s="25"/>
      <c r="M19" s="26"/>
      <c r="N19" s="27"/>
      <c r="O19" s="384"/>
      <c r="P19" s="384"/>
      <c r="Q19" s="28"/>
    </row>
    <row r="20" spans="1:18" ht="17.25" customHeight="1" x14ac:dyDescent="0.2">
      <c r="A20" s="24"/>
      <c r="B20" s="25"/>
      <c r="C20" s="25"/>
      <c r="D20" s="25"/>
      <c r="E20" s="25"/>
      <c r="F20" s="27"/>
      <c r="G20" s="25"/>
      <c r="H20" s="25"/>
      <c r="I20" s="25"/>
      <c r="J20" s="25"/>
      <c r="K20" s="25"/>
      <c r="L20" s="25"/>
      <c r="M20" s="26"/>
      <c r="N20" s="27"/>
      <c r="O20" s="384"/>
      <c r="P20" s="384"/>
      <c r="Q20" s="28"/>
    </row>
    <row r="21" spans="1:18" ht="17.25" customHeight="1" x14ac:dyDescent="0.2">
      <c r="A21" s="29"/>
      <c r="B21" s="30"/>
      <c r="C21" s="30"/>
      <c r="D21" s="30"/>
      <c r="E21" s="30"/>
      <c r="F21" s="31"/>
      <c r="G21" s="30"/>
      <c r="H21" s="30"/>
      <c r="I21" s="30"/>
      <c r="J21" s="30"/>
      <c r="K21" s="30"/>
      <c r="L21" s="30"/>
      <c r="M21" s="32"/>
      <c r="N21" s="33"/>
      <c r="O21" s="385"/>
      <c r="P21" s="385"/>
      <c r="Q21" s="28"/>
      <c r="R21" s="1"/>
    </row>
    <row r="22" spans="1:18" ht="17.25" customHeight="1" thickBot="1" x14ac:dyDescent="0.25">
      <c r="A22" s="34"/>
      <c r="B22" s="35"/>
      <c r="C22" s="35"/>
      <c r="D22" s="35"/>
      <c r="E22" s="35"/>
      <c r="F22" s="35"/>
      <c r="G22" s="35"/>
      <c r="H22" s="35"/>
      <c r="I22" s="35"/>
      <c r="J22" s="35"/>
      <c r="K22" s="35"/>
      <c r="L22" s="35"/>
      <c r="M22" s="36"/>
      <c r="N22" s="35"/>
      <c r="O22" s="386"/>
      <c r="P22" s="386"/>
      <c r="Q22" s="37"/>
    </row>
    <row r="23" spans="1:18" ht="33.75" customHeight="1" thickBot="1" x14ac:dyDescent="0.25">
      <c r="A23" s="387" t="s">
        <v>332</v>
      </c>
      <c r="B23" s="388"/>
      <c r="C23" s="388"/>
      <c r="D23" s="388"/>
      <c r="E23" s="388"/>
      <c r="F23" s="388"/>
      <c r="G23" s="388"/>
      <c r="H23" s="388"/>
      <c r="I23" s="388"/>
      <c r="J23" s="388"/>
      <c r="K23" s="388"/>
      <c r="L23" s="388"/>
      <c r="M23" s="388"/>
      <c r="N23" s="388"/>
      <c r="O23" s="388"/>
      <c r="P23" s="388"/>
      <c r="Q23" s="185">
        <f>SUM(Q15:Q22)</f>
        <v>874200</v>
      </c>
    </row>
    <row r="24" spans="1:18" ht="18" customHeight="1" thickBot="1" x14ac:dyDescent="0.25">
      <c r="A24" s="389"/>
      <c r="B24" s="389"/>
      <c r="C24" s="389"/>
      <c r="D24" s="389"/>
      <c r="E24" s="389"/>
      <c r="F24" s="389"/>
      <c r="G24" s="389"/>
      <c r="H24" s="389"/>
      <c r="I24" s="389"/>
      <c r="J24" s="389"/>
      <c r="K24" s="389"/>
      <c r="L24" s="389"/>
      <c r="M24" s="389"/>
      <c r="N24" s="389"/>
      <c r="O24" s="389"/>
      <c r="P24" s="389"/>
      <c r="Q24" s="389"/>
    </row>
    <row r="25" spans="1:18" ht="17.25" customHeight="1" thickBot="1" x14ac:dyDescent="0.25">
      <c r="A25" s="390" t="s">
        <v>56</v>
      </c>
      <c r="B25" s="391"/>
      <c r="C25" s="391"/>
      <c r="D25" s="391"/>
      <c r="E25" s="391"/>
      <c r="F25" s="392"/>
      <c r="G25" s="393"/>
      <c r="H25" s="393"/>
      <c r="I25" s="393"/>
      <c r="J25" s="393"/>
      <c r="K25" s="393"/>
      <c r="L25" s="393"/>
      <c r="M25" s="393"/>
      <c r="N25" s="393"/>
      <c r="O25" s="393"/>
      <c r="P25" s="393"/>
      <c r="Q25" s="393"/>
    </row>
    <row r="26" spans="1:18" ht="18" customHeight="1" thickBot="1" x14ac:dyDescent="0.25">
      <c r="A26" s="382" t="s">
        <v>333</v>
      </c>
      <c r="B26" s="382"/>
      <c r="C26" s="382"/>
      <c r="D26" s="382"/>
      <c r="E26" s="382"/>
      <c r="F26" s="382"/>
      <c r="G26" s="382"/>
      <c r="H26" s="382"/>
      <c r="I26" s="382"/>
      <c r="J26" s="382"/>
      <c r="K26" s="382"/>
      <c r="L26" s="382"/>
      <c r="M26" s="382"/>
      <c r="N26" s="382"/>
      <c r="O26" s="382"/>
      <c r="P26" s="382"/>
      <c r="Q26" s="382"/>
    </row>
    <row r="27" spans="1:18" ht="15" customHeight="1" thickBot="1" x14ac:dyDescent="0.25">
      <c r="A27" s="382"/>
      <c r="B27" s="382"/>
      <c r="C27" s="382"/>
      <c r="D27" s="382"/>
      <c r="E27" s="382"/>
      <c r="F27" s="382"/>
      <c r="G27" s="382"/>
      <c r="H27" s="382"/>
      <c r="I27" s="382"/>
      <c r="J27" s="382"/>
      <c r="K27" s="382"/>
      <c r="L27" s="382"/>
      <c r="M27" s="382"/>
      <c r="N27" s="382"/>
      <c r="O27" s="382"/>
      <c r="P27" s="382"/>
      <c r="Q27" s="382"/>
    </row>
  </sheetData>
  <mergeCells count="31">
    <mergeCell ref="A5:F5"/>
    <mergeCell ref="G5:Q5"/>
    <mergeCell ref="A1:C1"/>
    <mergeCell ref="D1:E1"/>
    <mergeCell ref="P1:Q2"/>
    <mergeCell ref="A4:F4"/>
    <mergeCell ref="G4:Q4"/>
    <mergeCell ref="O15:P15"/>
    <mergeCell ref="A6:F6"/>
    <mergeCell ref="G6:Q6"/>
    <mergeCell ref="A7:F7"/>
    <mergeCell ref="G7:Q7"/>
    <mergeCell ref="A8:Q8"/>
    <mergeCell ref="A9:N9"/>
    <mergeCell ref="A10:Q10"/>
    <mergeCell ref="A12:Q12"/>
    <mergeCell ref="A13:N13"/>
    <mergeCell ref="O13:P14"/>
    <mergeCell ref="Q13:Q14"/>
    <mergeCell ref="A26:Q27"/>
    <mergeCell ref="O16:P16"/>
    <mergeCell ref="O17:P17"/>
    <mergeCell ref="O18:P18"/>
    <mergeCell ref="O19:P19"/>
    <mergeCell ref="O20:P20"/>
    <mergeCell ref="O21:P21"/>
    <mergeCell ref="O22:P22"/>
    <mergeCell ref="A23:P23"/>
    <mergeCell ref="A24:Q24"/>
    <mergeCell ref="A25:F25"/>
    <mergeCell ref="G25:Q25"/>
  </mergeCells>
  <printOptions horizontalCentered="1"/>
  <pageMargins left="0.39374999999999999" right="0.39374999999999999" top="0.98402777777777795" bottom="0.98402777777777795" header="0.51180555555555496" footer="0.51180555555555496"/>
  <pageSetup paperSize="9" scale="90" firstPageNumber="0" orientation="portrait" horizontalDpi="300" verticalDpi="3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20"/>
  <sheetViews>
    <sheetView topLeftCell="A76" workbookViewId="0">
      <selection activeCell="H28" sqref="H28"/>
    </sheetView>
  </sheetViews>
  <sheetFormatPr baseColWidth="10" defaultColWidth="11" defaultRowHeight="12.75" x14ac:dyDescent="0.2"/>
  <cols>
    <col min="1" max="1" width="3.5703125" style="38" customWidth="1"/>
    <col min="2" max="2" width="19.28515625" style="38" customWidth="1"/>
    <col min="3" max="3" width="29.28515625" style="38" customWidth="1"/>
    <col min="4" max="4" width="8.85546875" style="38" customWidth="1"/>
    <col min="5" max="5" width="110.140625" style="38" customWidth="1"/>
    <col min="6" max="6" width="11" style="38"/>
    <col min="7" max="7" width="12.7109375" style="38" customWidth="1"/>
    <col min="8" max="8" width="13.85546875" style="38" customWidth="1"/>
    <col min="9" max="9" width="18.5703125" style="38" customWidth="1"/>
    <col min="10" max="16384" width="11" style="38"/>
  </cols>
  <sheetData>
    <row r="1" spans="1:9" ht="27" x14ac:dyDescent="0.35">
      <c r="B1" s="282" t="s">
        <v>0</v>
      </c>
      <c r="C1" s="282"/>
      <c r="D1" s="282"/>
      <c r="E1" s="282"/>
      <c r="F1" s="282"/>
      <c r="G1" s="282"/>
      <c r="H1" s="282"/>
    </row>
    <row r="2" spans="1:9" ht="8.25" customHeight="1" x14ac:dyDescent="0.2"/>
    <row r="3" spans="1:9" ht="18" customHeight="1" x14ac:dyDescent="0.25">
      <c r="A3" s="279" t="s">
        <v>1</v>
      </c>
      <c r="B3" s="279"/>
      <c r="C3" s="283" t="s">
        <v>66</v>
      </c>
      <c r="D3" s="283"/>
      <c r="E3" s="283"/>
      <c r="F3" s="39"/>
      <c r="G3" s="40"/>
      <c r="H3" s="39"/>
    </row>
    <row r="4" spans="1:9" ht="18" customHeight="1" x14ac:dyDescent="0.25">
      <c r="A4" s="279" t="s">
        <v>2</v>
      </c>
      <c r="B4" s="279"/>
      <c r="C4" s="283" t="s">
        <v>62</v>
      </c>
      <c r="D4" s="283"/>
      <c r="E4" s="283"/>
      <c r="F4" s="39"/>
      <c r="G4" s="40"/>
      <c r="H4" s="39"/>
    </row>
    <row r="5" spans="1:9" ht="16.5" customHeight="1" x14ac:dyDescent="0.25">
      <c r="A5" s="279" t="s">
        <v>3</v>
      </c>
      <c r="B5" s="279"/>
      <c r="C5" s="57">
        <v>2020</v>
      </c>
      <c r="D5" s="58"/>
      <c r="E5" s="58"/>
      <c r="F5" s="39"/>
      <c r="G5" s="40"/>
      <c r="H5" s="39"/>
    </row>
    <row r="6" spans="1:9" ht="16.5" customHeight="1" x14ac:dyDescent="0.25">
      <c r="A6" s="279" t="s">
        <v>4</v>
      </c>
      <c r="B6" s="279"/>
      <c r="C6" s="57">
        <v>4</v>
      </c>
      <c r="D6" s="58"/>
      <c r="E6" s="58"/>
      <c r="F6" s="39"/>
      <c r="G6" s="40"/>
      <c r="H6" s="39"/>
    </row>
    <row r="7" spans="1:9" ht="9" customHeight="1" thickBot="1" x14ac:dyDescent="0.25">
      <c r="B7" s="39"/>
      <c r="C7" s="40"/>
      <c r="D7" s="39"/>
      <c r="E7" s="39"/>
      <c r="F7" s="39"/>
      <c r="G7" s="40"/>
      <c r="H7" s="39"/>
    </row>
    <row r="8" spans="1:9" ht="39" thickBot="1" x14ac:dyDescent="0.25">
      <c r="A8" s="60" t="s">
        <v>5</v>
      </c>
      <c r="B8" s="74" t="s">
        <v>6</v>
      </c>
      <c r="C8" s="60" t="s">
        <v>7</v>
      </c>
      <c r="D8" s="60" t="s">
        <v>8</v>
      </c>
      <c r="E8" s="74" t="s">
        <v>9</v>
      </c>
      <c r="F8" s="61" t="s">
        <v>10</v>
      </c>
      <c r="G8" s="62" t="s">
        <v>11</v>
      </c>
      <c r="H8" s="62" t="s">
        <v>12</v>
      </c>
      <c r="I8" s="63" t="s">
        <v>13</v>
      </c>
    </row>
    <row r="9" spans="1:9" x14ac:dyDescent="0.2">
      <c r="A9" s="41">
        <v>1</v>
      </c>
      <c r="B9" s="71" t="s">
        <v>122</v>
      </c>
      <c r="C9" s="85" t="s">
        <v>110</v>
      </c>
      <c r="D9" s="88" t="s">
        <v>111</v>
      </c>
      <c r="E9" s="71" t="s">
        <v>125</v>
      </c>
      <c r="F9" s="81" t="s">
        <v>118</v>
      </c>
      <c r="G9" s="82">
        <v>240</v>
      </c>
      <c r="H9" s="156"/>
      <c r="I9" s="159">
        <f>G9*H9</f>
        <v>0</v>
      </c>
    </row>
    <row r="10" spans="1:9" x14ac:dyDescent="0.2">
      <c r="A10" s="42">
        <v>2</v>
      </c>
      <c r="B10" s="59" t="s">
        <v>123</v>
      </c>
      <c r="C10" s="86" t="s">
        <v>110</v>
      </c>
      <c r="D10" s="89" t="s">
        <v>111</v>
      </c>
      <c r="E10" s="59" t="s">
        <v>126</v>
      </c>
      <c r="F10" s="72" t="s">
        <v>118</v>
      </c>
      <c r="G10" s="73">
        <v>240</v>
      </c>
      <c r="H10" s="157"/>
      <c r="I10" s="160">
        <f>G10*H10</f>
        <v>0</v>
      </c>
    </row>
    <row r="11" spans="1:9" ht="13.5" thickBot="1" x14ac:dyDescent="0.25">
      <c r="A11" s="43">
        <v>3</v>
      </c>
      <c r="B11" s="64" t="s">
        <v>124</v>
      </c>
      <c r="C11" s="87" t="s">
        <v>110</v>
      </c>
      <c r="D11" s="90" t="s">
        <v>111</v>
      </c>
      <c r="E11" s="64" t="s">
        <v>127</v>
      </c>
      <c r="F11" s="83" t="s">
        <v>118</v>
      </c>
      <c r="G11" s="84">
        <v>240</v>
      </c>
      <c r="H11" s="158"/>
      <c r="I11" s="161">
        <f>G11*H11</f>
        <v>0</v>
      </c>
    </row>
    <row r="14" spans="1:9" x14ac:dyDescent="0.2">
      <c r="B14" s="44" t="s">
        <v>15</v>
      </c>
      <c r="C14" s="45"/>
      <c r="D14" s="45"/>
      <c r="E14" s="46"/>
    </row>
    <row r="15" spans="1:9" ht="5.25" customHeight="1" x14ac:dyDescent="0.2">
      <c r="B15" s="47"/>
      <c r="C15" s="48"/>
      <c r="D15" s="48"/>
      <c r="E15" s="49"/>
    </row>
    <row r="16" spans="1:9" x14ac:dyDescent="0.2">
      <c r="B16" s="50" t="s">
        <v>16</v>
      </c>
      <c r="C16" s="48"/>
      <c r="D16" s="48"/>
      <c r="E16" s="49"/>
    </row>
    <row r="17" spans="2:5" x14ac:dyDescent="0.2">
      <c r="B17" s="50"/>
      <c r="C17" s="277" t="s">
        <v>128</v>
      </c>
      <c r="D17" s="277"/>
      <c r="E17" s="278"/>
    </row>
    <row r="18" spans="2:5" ht="13.5" thickBot="1" x14ac:dyDescent="0.25">
      <c r="B18" s="50" t="s">
        <v>17</v>
      </c>
      <c r="C18" s="48"/>
      <c r="D18" s="48"/>
      <c r="E18" s="49"/>
    </row>
    <row r="19" spans="2:5" ht="13.5" thickBot="1" x14ac:dyDescent="0.25">
      <c r="B19" s="273" t="s">
        <v>137</v>
      </c>
      <c r="C19" s="274"/>
      <c r="D19" s="274"/>
      <c r="E19" s="275"/>
    </row>
    <row r="20" spans="2:5" ht="13.5" thickBot="1" x14ac:dyDescent="0.25">
      <c r="B20" s="273" t="s">
        <v>138</v>
      </c>
      <c r="C20" s="275"/>
      <c r="D20" s="91" t="s">
        <v>11</v>
      </c>
      <c r="E20" s="91" t="s">
        <v>139</v>
      </c>
    </row>
    <row r="21" spans="2:5" x14ac:dyDescent="0.2">
      <c r="B21" s="397" t="s">
        <v>301</v>
      </c>
      <c r="C21" s="397"/>
      <c r="D21" s="149">
        <v>1</v>
      </c>
      <c r="E21" s="150" t="s">
        <v>300</v>
      </c>
    </row>
    <row r="22" spans="2:5" x14ac:dyDescent="0.2">
      <c r="B22" s="376" t="s">
        <v>302</v>
      </c>
      <c r="C22" s="376"/>
      <c r="D22" s="145">
        <v>1</v>
      </c>
      <c r="E22" s="146" t="s">
        <v>246</v>
      </c>
    </row>
    <row r="23" spans="2:5" x14ac:dyDescent="0.2">
      <c r="B23" s="376" t="s">
        <v>304</v>
      </c>
      <c r="C23" s="376"/>
      <c r="D23" s="145">
        <v>1</v>
      </c>
      <c r="E23" s="146" t="s">
        <v>247</v>
      </c>
    </row>
    <row r="24" spans="2:5" x14ac:dyDescent="0.2">
      <c r="B24" s="376" t="s">
        <v>303</v>
      </c>
      <c r="C24" s="376"/>
      <c r="D24" s="145">
        <v>1</v>
      </c>
      <c r="E24" s="146" t="s">
        <v>248</v>
      </c>
    </row>
    <row r="25" spans="2:5" x14ac:dyDescent="0.2">
      <c r="B25" s="376" t="s">
        <v>298</v>
      </c>
      <c r="C25" s="376"/>
      <c r="D25" s="145">
        <v>1</v>
      </c>
      <c r="E25" s="146" t="s">
        <v>299</v>
      </c>
    </row>
    <row r="26" spans="2:5" x14ac:dyDescent="0.2">
      <c r="B26" s="376" t="s">
        <v>249</v>
      </c>
      <c r="C26" s="376"/>
      <c r="D26" s="145">
        <v>1</v>
      </c>
      <c r="E26" s="146" t="s">
        <v>250</v>
      </c>
    </row>
    <row r="27" spans="2:5" x14ac:dyDescent="0.2">
      <c r="B27" s="376" t="s">
        <v>251</v>
      </c>
      <c r="C27" s="376"/>
      <c r="D27" s="145">
        <v>1</v>
      </c>
      <c r="E27" s="146" t="s">
        <v>252</v>
      </c>
    </row>
    <row r="28" spans="2:5" x14ac:dyDescent="0.2">
      <c r="B28" s="376" t="s">
        <v>253</v>
      </c>
      <c r="C28" s="376"/>
      <c r="D28" s="145">
        <v>1</v>
      </c>
      <c r="E28" s="146" t="s">
        <v>254</v>
      </c>
    </row>
    <row r="29" spans="2:5" x14ac:dyDescent="0.2">
      <c r="B29" s="376" t="s">
        <v>255</v>
      </c>
      <c r="C29" s="376"/>
      <c r="D29" s="145">
        <v>1</v>
      </c>
      <c r="E29" s="146" t="s">
        <v>256</v>
      </c>
    </row>
    <row r="30" spans="2:5" x14ac:dyDescent="0.2">
      <c r="B30" s="376" t="s">
        <v>305</v>
      </c>
      <c r="C30" s="376"/>
      <c r="D30" s="145">
        <v>1</v>
      </c>
      <c r="E30" s="146" t="s">
        <v>257</v>
      </c>
    </row>
    <row r="31" spans="2:5" x14ac:dyDescent="0.2">
      <c r="B31" s="376" t="s">
        <v>258</v>
      </c>
      <c r="C31" s="376"/>
      <c r="D31" s="145">
        <v>1</v>
      </c>
      <c r="E31" s="146" t="s">
        <v>259</v>
      </c>
    </row>
    <row r="32" spans="2:5" x14ac:dyDescent="0.2">
      <c r="B32" s="376" t="s">
        <v>260</v>
      </c>
      <c r="C32" s="376"/>
      <c r="D32" s="145">
        <v>1</v>
      </c>
      <c r="E32" s="146" t="s">
        <v>261</v>
      </c>
    </row>
    <row r="33" spans="2:5" x14ac:dyDescent="0.2">
      <c r="B33" s="376" t="s">
        <v>306</v>
      </c>
      <c r="C33" s="376"/>
      <c r="D33" s="145">
        <v>1</v>
      </c>
      <c r="E33" s="146" t="s">
        <v>262</v>
      </c>
    </row>
    <row r="34" spans="2:5" x14ac:dyDescent="0.2">
      <c r="B34" s="376" t="s">
        <v>263</v>
      </c>
      <c r="C34" s="376"/>
      <c r="D34" s="145">
        <v>1</v>
      </c>
      <c r="E34" s="146" t="s">
        <v>264</v>
      </c>
    </row>
    <row r="35" spans="2:5" x14ac:dyDescent="0.2">
      <c r="B35" s="376" t="s">
        <v>265</v>
      </c>
      <c r="C35" s="376"/>
      <c r="D35" s="145">
        <v>1</v>
      </c>
      <c r="E35" s="146" t="s">
        <v>266</v>
      </c>
    </row>
    <row r="36" spans="2:5" x14ac:dyDescent="0.2">
      <c r="B36" s="376" t="s">
        <v>267</v>
      </c>
      <c r="C36" s="376"/>
      <c r="D36" s="145">
        <v>1</v>
      </c>
      <c r="E36" s="146" t="s">
        <v>268</v>
      </c>
    </row>
    <row r="37" spans="2:5" x14ac:dyDescent="0.2">
      <c r="B37" s="376" t="s">
        <v>269</v>
      </c>
      <c r="C37" s="376"/>
      <c r="D37" s="145">
        <v>1</v>
      </c>
      <c r="E37" s="146" t="s">
        <v>270</v>
      </c>
    </row>
    <row r="38" spans="2:5" x14ac:dyDescent="0.2">
      <c r="B38" s="376" t="s">
        <v>271</v>
      </c>
      <c r="C38" s="376"/>
      <c r="D38" s="145">
        <v>1</v>
      </c>
      <c r="E38" s="146" t="s">
        <v>272</v>
      </c>
    </row>
    <row r="39" spans="2:5" x14ac:dyDescent="0.2">
      <c r="B39" s="376" t="s">
        <v>273</v>
      </c>
      <c r="C39" s="376"/>
      <c r="D39" s="145">
        <v>1</v>
      </c>
      <c r="E39" s="146" t="s">
        <v>274</v>
      </c>
    </row>
    <row r="40" spans="2:5" ht="13.5" thickBot="1" x14ac:dyDescent="0.25">
      <c r="B40" s="396" t="s">
        <v>307</v>
      </c>
      <c r="C40" s="396"/>
      <c r="D40" s="147">
        <v>1</v>
      </c>
      <c r="E40" s="148" t="s">
        <v>308</v>
      </c>
    </row>
    <row r="41" spans="2:5" ht="24.75" customHeight="1" thickBot="1" x14ac:dyDescent="0.25">
      <c r="B41" s="377" t="s">
        <v>286</v>
      </c>
      <c r="C41" s="378"/>
      <c r="D41" s="378"/>
      <c r="E41" s="379"/>
    </row>
    <row r="42" spans="2:5" x14ac:dyDescent="0.2">
      <c r="B42" s="50" t="s">
        <v>18</v>
      </c>
      <c r="C42" s="48"/>
      <c r="D42" s="48"/>
      <c r="E42" s="49"/>
    </row>
    <row r="43" spans="2:5" x14ac:dyDescent="0.2">
      <c r="B43" s="51"/>
      <c r="C43" s="287" t="s">
        <v>63</v>
      </c>
      <c r="D43" s="287"/>
      <c r="E43" s="287"/>
    </row>
    <row r="44" spans="2:5" x14ac:dyDescent="0.2">
      <c r="B44" s="50" t="s">
        <v>19</v>
      </c>
      <c r="C44" s="52"/>
      <c r="D44" s="52"/>
      <c r="E44" s="53"/>
    </row>
    <row r="45" spans="2:5" x14ac:dyDescent="0.2">
      <c r="B45" s="51"/>
      <c r="C45" s="287" t="s">
        <v>140</v>
      </c>
      <c r="D45" s="287"/>
      <c r="E45" s="287"/>
    </row>
    <row r="46" spans="2:5" x14ac:dyDescent="0.2">
      <c r="B46" s="50" t="s">
        <v>20</v>
      </c>
      <c r="C46" s="48"/>
      <c r="D46" s="48"/>
      <c r="E46" s="49"/>
    </row>
    <row r="47" spans="2:5" x14ac:dyDescent="0.2">
      <c r="B47" s="50"/>
      <c r="C47" s="286" t="s">
        <v>64</v>
      </c>
      <c r="D47" s="286"/>
      <c r="E47" s="286"/>
    </row>
    <row r="48" spans="2:5" ht="13.5" thickBot="1" x14ac:dyDescent="0.25">
      <c r="B48" s="54"/>
      <c r="C48" s="55"/>
      <c r="D48" s="55"/>
      <c r="E48" s="56"/>
    </row>
    <row r="50" spans="2:5" x14ac:dyDescent="0.2">
      <c r="B50" s="44" t="s">
        <v>21</v>
      </c>
      <c r="C50" s="45"/>
      <c r="D50" s="45"/>
      <c r="E50" s="46"/>
    </row>
    <row r="51" spans="2:5" x14ac:dyDescent="0.2">
      <c r="B51" s="47"/>
      <c r="C51" s="48"/>
      <c r="D51" s="48"/>
      <c r="E51" s="49"/>
    </row>
    <row r="52" spans="2:5" x14ac:dyDescent="0.2">
      <c r="B52" s="50" t="s">
        <v>16</v>
      </c>
      <c r="C52" s="48"/>
      <c r="D52" s="48"/>
      <c r="E52" s="49"/>
    </row>
    <row r="53" spans="2:5" x14ac:dyDescent="0.2">
      <c r="B53" s="50"/>
      <c r="C53" s="277" t="s">
        <v>128</v>
      </c>
      <c r="D53" s="277"/>
      <c r="E53" s="278"/>
    </row>
    <row r="54" spans="2:5" ht="13.5" thickBot="1" x14ac:dyDescent="0.25">
      <c r="B54" s="50" t="s">
        <v>17</v>
      </c>
      <c r="C54" s="48"/>
      <c r="D54" s="48"/>
      <c r="E54" s="49"/>
    </row>
    <row r="55" spans="2:5" ht="13.5" thickBot="1" x14ac:dyDescent="0.25">
      <c r="B55" s="273" t="s">
        <v>137</v>
      </c>
      <c r="C55" s="274"/>
      <c r="D55" s="274"/>
      <c r="E55" s="275"/>
    </row>
    <row r="56" spans="2:5" ht="13.5" thickBot="1" x14ac:dyDescent="0.25">
      <c r="B56" s="273" t="s">
        <v>138</v>
      </c>
      <c r="C56" s="275"/>
      <c r="D56" s="91" t="s">
        <v>11</v>
      </c>
      <c r="E56" s="91" t="s">
        <v>139</v>
      </c>
    </row>
    <row r="57" spans="2:5" x14ac:dyDescent="0.2">
      <c r="B57" s="397" t="s">
        <v>301</v>
      </c>
      <c r="C57" s="397"/>
      <c r="D57" s="149">
        <v>1</v>
      </c>
      <c r="E57" s="150" t="s">
        <v>300</v>
      </c>
    </row>
    <row r="58" spans="2:5" x14ac:dyDescent="0.2">
      <c r="B58" s="376" t="s">
        <v>302</v>
      </c>
      <c r="C58" s="376"/>
      <c r="D58" s="145">
        <v>1</v>
      </c>
      <c r="E58" s="146" t="s">
        <v>246</v>
      </c>
    </row>
    <row r="59" spans="2:5" x14ac:dyDescent="0.2">
      <c r="B59" s="376" t="s">
        <v>304</v>
      </c>
      <c r="C59" s="376"/>
      <c r="D59" s="145">
        <v>1</v>
      </c>
      <c r="E59" s="146" t="s">
        <v>247</v>
      </c>
    </row>
    <row r="60" spans="2:5" x14ac:dyDescent="0.2">
      <c r="B60" s="376" t="s">
        <v>303</v>
      </c>
      <c r="C60" s="376"/>
      <c r="D60" s="145">
        <v>1</v>
      </c>
      <c r="E60" s="146" t="s">
        <v>248</v>
      </c>
    </row>
    <row r="61" spans="2:5" x14ac:dyDescent="0.2">
      <c r="B61" s="376" t="s">
        <v>298</v>
      </c>
      <c r="C61" s="376"/>
      <c r="D61" s="145">
        <v>1</v>
      </c>
      <c r="E61" s="146" t="s">
        <v>299</v>
      </c>
    </row>
    <row r="62" spans="2:5" x14ac:dyDescent="0.2">
      <c r="B62" s="376" t="s">
        <v>249</v>
      </c>
      <c r="C62" s="376"/>
      <c r="D62" s="145">
        <v>1</v>
      </c>
      <c r="E62" s="146" t="s">
        <v>250</v>
      </c>
    </row>
    <row r="63" spans="2:5" x14ac:dyDescent="0.2">
      <c r="B63" s="376" t="s">
        <v>251</v>
      </c>
      <c r="C63" s="376"/>
      <c r="D63" s="145">
        <v>1</v>
      </c>
      <c r="E63" s="146" t="s">
        <v>252</v>
      </c>
    </row>
    <row r="64" spans="2:5" x14ac:dyDescent="0.2">
      <c r="B64" s="376" t="s">
        <v>253</v>
      </c>
      <c r="C64" s="376"/>
      <c r="D64" s="145">
        <v>1</v>
      </c>
      <c r="E64" s="146" t="s">
        <v>254</v>
      </c>
    </row>
    <row r="65" spans="2:5" x14ac:dyDescent="0.2">
      <c r="B65" s="376" t="s">
        <v>255</v>
      </c>
      <c r="C65" s="376"/>
      <c r="D65" s="145">
        <v>1</v>
      </c>
      <c r="E65" s="146" t="s">
        <v>256</v>
      </c>
    </row>
    <row r="66" spans="2:5" x14ac:dyDescent="0.2">
      <c r="B66" s="376" t="s">
        <v>305</v>
      </c>
      <c r="C66" s="376"/>
      <c r="D66" s="145">
        <v>1</v>
      </c>
      <c r="E66" s="146" t="s">
        <v>257</v>
      </c>
    </row>
    <row r="67" spans="2:5" x14ac:dyDescent="0.2">
      <c r="B67" s="376" t="s">
        <v>258</v>
      </c>
      <c r="C67" s="376"/>
      <c r="D67" s="145">
        <v>1</v>
      </c>
      <c r="E67" s="146" t="s">
        <v>259</v>
      </c>
    </row>
    <row r="68" spans="2:5" x14ac:dyDescent="0.2">
      <c r="B68" s="376" t="s">
        <v>260</v>
      </c>
      <c r="C68" s="376"/>
      <c r="D68" s="145">
        <v>1</v>
      </c>
      <c r="E68" s="146" t="s">
        <v>261</v>
      </c>
    </row>
    <row r="69" spans="2:5" x14ac:dyDescent="0.2">
      <c r="B69" s="376" t="s">
        <v>306</v>
      </c>
      <c r="C69" s="376"/>
      <c r="D69" s="145">
        <v>1</v>
      </c>
      <c r="E69" s="146" t="s">
        <v>262</v>
      </c>
    </row>
    <row r="70" spans="2:5" x14ac:dyDescent="0.2">
      <c r="B70" s="376" t="s">
        <v>263</v>
      </c>
      <c r="C70" s="376"/>
      <c r="D70" s="145">
        <v>1</v>
      </c>
      <c r="E70" s="146" t="s">
        <v>264</v>
      </c>
    </row>
    <row r="71" spans="2:5" x14ac:dyDescent="0.2">
      <c r="B71" s="376" t="s">
        <v>265</v>
      </c>
      <c r="C71" s="376"/>
      <c r="D71" s="145">
        <v>1</v>
      </c>
      <c r="E71" s="146" t="s">
        <v>266</v>
      </c>
    </row>
    <row r="72" spans="2:5" x14ac:dyDescent="0.2">
      <c r="B72" s="376" t="s">
        <v>267</v>
      </c>
      <c r="C72" s="376"/>
      <c r="D72" s="145">
        <v>1</v>
      </c>
      <c r="E72" s="146" t="s">
        <v>268</v>
      </c>
    </row>
    <row r="73" spans="2:5" x14ac:dyDescent="0.2">
      <c r="B73" s="376" t="s">
        <v>269</v>
      </c>
      <c r="C73" s="376"/>
      <c r="D73" s="145">
        <v>1</v>
      </c>
      <c r="E73" s="146" t="s">
        <v>270</v>
      </c>
    </row>
    <row r="74" spans="2:5" x14ac:dyDescent="0.2">
      <c r="B74" s="376" t="s">
        <v>271</v>
      </c>
      <c r="C74" s="376"/>
      <c r="D74" s="145">
        <v>1</v>
      </c>
      <c r="E74" s="146" t="s">
        <v>272</v>
      </c>
    </row>
    <row r="75" spans="2:5" x14ac:dyDescent="0.2">
      <c r="B75" s="376" t="s">
        <v>273</v>
      </c>
      <c r="C75" s="376"/>
      <c r="D75" s="145">
        <v>1</v>
      </c>
      <c r="E75" s="146" t="s">
        <v>274</v>
      </c>
    </row>
    <row r="76" spans="2:5" ht="13.5" thickBot="1" x14ac:dyDescent="0.25">
      <c r="B76" s="376" t="s">
        <v>307</v>
      </c>
      <c r="C76" s="376"/>
      <c r="D76" s="145">
        <v>1</v>
      </c>
      <c r="E76" s="146" t="s">
        <v>308</v>
      </c>
    </row>
    <row r="77" spans="2:5" ht="24.75" customHeight="1" thickBot="1" x14ac:dyDescent="0.25">
      <c r="B77" s="377" t="s">
        <v>286</v>
      </c>
      <c r="C77" s="378"/>
      <c r="D77" s="378"/>
      <c r="E77" s="379"/>
    </row>
    <row r="78" spans="2:5" x14ac:dyDescent="0.2">
      <c r="B78" s="50" t="s">
        <v>18</v>
      </c>
      <c r="C78" s="48"/>
      <c r="D78" s="48"/>
      <c r="E78" s="49"/>
    </row>
    <row r="79" spans="2:5" x14ac:dyDescent="0.2">
      <c r="B79" s="51"/>
      <c r="C79" s="287" t="s">
        <v>63</v>
      </c>
      <c r="D79" s="287"/>
      <c r="E79" s="287"/>
    </row>
    <row r="80" spans="2:5" x14ac:dyDescent="0.2">
      <c r="B80" s="50" t="s">
        <v>19</v>
      </c>
      <c r="C80" s="52"/>
      <c r="D80" s="52"/>
      <c r="E80" s="53"/>
    </row>
    <row r="81" spans="2:5" x14ac:dyDescent="0.2">
      <c r="B81" s="51"/>
      <c r="C81" s="287" t="s">
        <v>140</v>
      </c>
      <c r="D81" s="287"/>
      <c r="E81" s="287"/>
    </row>
    <row r="82" spans="2:5" x14ac:dyDescent="0.2">
      <c r="B82" s="50" t="s">
        <v>20</v>
      </c>
      <c r="C82" s="48"/>
      <c r="D82" s="48"/>
      <c r="E82" s="49"/>
    </row>
    <row r="83" spans="2:5" x14ac:dyDescent="0.2">
      <c r="B83" s="50"/>
      <c r="C83" s="286" t="s">
        <v>64</v>
      </c>
      <c r="D83" s="286"/>
      <c r="E83" s="286"/>
    </row>
    <row r="84" spans="2:5" ht="13.5" thickBot="1" x14ac:dyDescent="0.25">
      <c r="B84" s="54"/>
      <c r="C84" s="55"/>
      <c r="D84" s="55"/>
      <c r="E84" s="56"/>
    </row>
    <row r="85" spans="2:5" ht="13.5" thickBot="1" x14ac:dyDescent="0.25"/>
    <row r="86" spans="2:5" x14ac:dyDescent="0.2">
      <c r="B86" s="44" t="s">
        <v>65</v>
      </c>
      <c r="C86" s="45"/>
      <c r="D86" s="45"/>
      <c r="E86" s="46"/>
    </row>
    <row r="87" spans="2:5" x14ac:dyDescent="0.2">
      <c r="B87" s="47"/>
      <c r="C87" s="48"/>
      <c r="D87" s="48"/>
      <c r="E87" s="49"/>
    </row>
    <row r="88" spans="2:5" x14ac:dyDescent="0.2">
      <c r="B88" s="50" t="s">
        <v>16</v>
      </c>
      <c r="C88" s="48"/>
      <c r="D88" s="48"/>
      <c r="E88" s="49"/>
    </row>
    <row r="89" spans="2:5" x14ac:dyDescent="0.2">
      <c r="B89" s="50"/>
      <c r="C89" s="277" t="s">
        <v>128</v>
      </c>
      <c r="D89" s="277"/>
      <c r="E89" s="278"/>
    </row>
    <row r="90" spans="2:5" ht="13.5" thickBot="1" x14ac:dyDescent="0.25">
      <c r="B90" s="50" t="s">
        <v>17</v>
      </c>
      <c r="C90" s="48"/>
      <c r="D90" s="48"/>
      <c r="E90" s="49"/>
    </row>
    <row r="91" spans="2:5" ht="13.5" thickBot="1" x14ac:dyDescent="0.25">
      <c r="B91" s="273" t="s">
        <v>137</v>
      </c>
      <c r="C91" s="274"/>
      <c r="D91" s="274"/>
      <c r="E91" s="275"/>
    </row>
    <row r="92" spans="2:5" ht="13.5" thickBot="1" x14ac:dyDescent="0.25">
      <c r="B92" s="273" t="s">
        <v>138</v>
      </c>
      <c r="C92" s="275"/>
      <c r="D92" s="91" t="s">
        <v>11</v>
      </c>
      <c r="E92" s="91" t="s">
        <v>139</v>
      </c>
    </row>
    <row r="93" spans="2:5" x14ac:dyDescent="0.2">
      <c r="B93" s="397" t="s">
        <v>301</v>
      </c>
      <c r="C93" s="397"/>
      <c r="D93" s="149">
        <v>1</v>
      </c>
      <c r="E93" s="150" t="s">
        <v>300</v>
      </c>
    </row>
    <row r="94" spans="2:5" x14ac:dyDescent="0.2">
      <c r="B94" s="376" t="s">
        <v>302</v>
      </c>
      <c r="C94" s="376"/>
      <c r="D94" s="145">
        <v>1</v>
      </c>
      <c r="E94" s="146" t="s">
        <v>246</v>
      </c>
    </row>
    <row r="95" spans="2:5" x14ac:dyDescent="0.2">
      <c r="B95" s="376" t="s">
        <v>304</v>
      </c>
      <c r="C95" s="376"/>
      <c r="D95" s="145">
        <v>1</v>
      </c>
      <c r="E95" s="146" t="s">
        <v>247</v>
      </c>
    </row>
    <row r="96" spans="2:5" x14ac:dyDescent="0.2">
      <c r="B96" s="376" t="s">
        <v>303</v>
      </c>
      <c r="C96" s="376"/>
      <c r="D96" s="145">
        <v>1</v>
      </c>
      <c r="E96" s="146" t="s">
        <v>248</v>
      </c>
    </row>
    <row r="97" spans="2:5" x14ac:dyDescent="0.2">
      <c r="B97" s="376" t="s">
        <v>298</v>
      </c>
      <c r="C97" s="376"/>
      <c r="D97" s="145">
        <v>1</v>
      </c>
      <c r="E97" s="146" t="s">
        <v>299</v>
      </c>
    </row>
    <row r="98" spans="2:5" x14ac:dyDescent="0.2">
      <c r="B98" s="376" t="s">
        <v>249</v>
      </c>
      <c r="C98" s="376"/>
      <c r="D98" s="145">
        <v>1</v>
      </c>
      <c r="E98" s="146" t="s">
        <v>250</v>
      </c>
    </row>
    <row r="99" spans="2:5" x14ac:dyDescent="0.2">
      <c r="B99" s="376" t="s">
        <v>251</v>
      </c>
      <c r="C99" s="376"/>
      <c r="D99" s="145">
        <v>1</v>
      </c>
      <c r="E99" s="146" t="s">
        <v>252</v>
      </c>
    </row>
    <row r="100" spans="2:5" x14ac:dyDescent="0.2">
      <c r="B100" s="376" t="s">
        <v>253</v>
      </c>
      <c r="C100" s="376"/>
      <c r="D100" s="145">
        <v>1</v>
      </c>
      <c r="E100" s="146" t="s">
        <v>254</v>
      </c>
    </row>
    <row r="101" spans="2:5" x14ac:dyDescent="0.2">
      <c r="B101" s="376" t="s">
        <v>255</v>
      </c>
      <c r="C101" s="376"/>
      <c r="D101" s="145">
        <v>1</v>
      </c>
      <c r="E101" s="146" t="s">
        <v>256</v>
      </c>
    </row>
    <row r="102" spans="2:5" x14ac:dyDescent="0.2">
      <c r="B102" s="376" t="s">
        <v>305</v>
      </c>
      <c r="C102" s="376"/>
      <c r="D102" s="145">
        <v>1</v>
      </c>
      <c r="E102" s="146" t="s">
        <v>257</v>
      </c>
    </row>
    <row r="103" spans="2:5" x14ac:dyDescent="0.2">
      <c r="B103" s="376" t="s">
        <v>258</v>
      </c>
      <c r="C103" s="376"/>
      <c r="D103" s="145">
        <v>1</v>
      </c>
      <c r="E103" s="146" t="s">
        <v>259</v>
      </c>
    </row>
    <row r="104" spans="2:5" x14ac:dyDescent="0.2">
      <c r="B104" s="376" t="s">
        <v>260</v>
      </c>
      <c r="C104" s="376"/>
      <c r="D104" s="145">
        <v>1</v>
      </c>
      <c r="E104" s="146" t="s">
        <v>261</v>
      </c>
    </row>
    <row r="105" spans="2:5" x14ac:dyDescent="0.2">
      <c r="B105" s="376" t="s">
        <v>306</v>
      </c>
      <c r="C105" s="376"/>
      <c r="D105" s="145">
        <v>1</v>
      </c>
      <c r="E105" s="146" t="s">
        <v>262</v>
      </c>
    </row>
    <row r="106" spans="2:5" x14ac:dyDescent="0.2">
      <c r="B106" s="376" t="s">
        <v>263</v>
      </c>
      <c r="C106" s="376"/>
      <c r="D106" s="145">
        <v>1</v>
      </c>
      <c r="E106" s="146" t="s">
        <v>264</v>
      </c>
    </row>
    <row r="107" spans="2:5" x14ac:dyDescent="0.2">
      <c r="B107" s="376" t="s">
        <v>265</v>
      </c>
      <c r="C107" s="376"/>
      <c r="D107" s="145">
        <v>1</v>
      </c>
      <c r="E107" s="146" t="s">
        <v>266</v>
      </c>
    </row>
    <row r="108" spans="2:5" x14ac:dyDescent="0.2">
      <c r="B108" s="376" t="s">
        <v>267</v>
      </c>
      <c r="C108" s="376"/>
      <c r="D108" s="145">
        <v>1</v>
      </c>
      <c r="E108" s="146" t="s">
        <v>268</v>
      </c>
    </row>
    <row r="109" spans="2:5" x14ac:dyDescent="0.2">
      <c r="B109" s="376" t="s">
        <v>269</v>
      </c>
      <c r="C109" s="376"/>
      <c r="D109" s="145">
        <v>1</v>
      </c>
      <c r="E109" s="146" t="s">
        <v>270</v>
      </c>
    </row>
    <row r="110" spans="2:5" x14ac:dyDescent="0.2">
      <c r="B110" s="376" t="s">
        <v>271</v>
      </c>
      <c r="C110" s="376"/>
      <c r="D110" s="145">
        <v>1</v>
      </c>
      <c r="E110" s="146" t="s">
        <v>272</v>
      </c>
    </row>
    <row r="111" spans="2:5" x14ac:dyDescent="0.2">
      <c r="B111" s="376" t="s">
        <v>273</v>
      </c>
      <c r="C111" s="376"/>
      <c r="D111" s="145">
        <v>1</v>
      </c>
      <c r="E111" s="146" t="s">
        <v>274</v>
      </c>
    </row>
    <row r="112" spans="2:5" ht="13.5" thickBot="1" x14ac:dyDescent="0.25">
      <c r="B112" s="396" t="s">
        <v>307</v>
      </c>
      <c r="C112" s="396"/>
      <c r="D112" s="147">
        <v>1</v>
      </c>
      <c r="E112" s="148" t="s">
        <v>308</v>
      </c>
    </row>
    <row r="113" spans="2:5" ht="24.75" customHeight="1" thickBot="1" x14ac:dyDescent="0.25">
      <c r="B113" s="377" t="s">
        <v>286</v>
      </c>
      <c r="C113" s="378"/>
      <c r="D113" s="378"/>
      <c r="E113" s="379"/>
    </row>
    <row r="114" spans="2:5" x14ac:dyDescent="0.2">
      <c r="B114" s="50" t="s">
        <v>18</v>
      </c>
      <c r="C114" s="48"/>
      <c r="D114" s="48"/>
      <c r="E114" s="49"/>
    </row>
    <row r="115" spans="2:5" x14ac:dyDescent="0.2">
      <c r="B115" s="51"/>
      <c r="C115" s="287" t="s">
        <v>63</v>
      </c>
      <c r="D115" s="287"/>
      <c r="E115" s="287"/>
    </row>
    <row r="116" spans="2:5" x14ac:dyDescent="0.2">
      <c r="B116" s="50" t="s">
        <v>19</v>
      </c>
      <c r="C116" s="52"/>
      <c r="D116" s="52"/>
      <c r="E116" s="53"/>
    </row>
    <row r="117" spans="2:5" x14ac:dyDescent="0.2">
      <c r="B117" s="51"/>
      <c r="C117" s="287" t="s">
        <v>140</v>
      </c>
      <c r="D117" s="287"/>
      <c r="E117" s="287"/>
    </row>
    <row r="118" spans="2:5" x14ac:dyDescent="0.2">
      <c r="B118" s="50" t="s">
        <v>20</v>
      </c>
      <c r="C118" s="48"/>
      <c r="D118" s="48"/>
      <c r="E118" s="49"/>
    </row>
    <row r="119" spans="2:5" x14ac:dyDescent="0.2">
      <c r="B119" s="50"/>
      <c r="C119" s="286" t="s">
        <v>64</v>
      </c>
      <c r="D119" s="286"/>
      <c r="E119" s="286"/>
    </row>
    <row r="120" spans="2:5" ht="13.5" thickBot="1" x14ac:dyDescent="0.25">
      <c r="B120" s="54"/>
      <c r="C120" s="55"/>
      <c r="D120" s="55"/>
      <c r="E120" s="56"/>
    </row>
  </sheetData>
  <mergeCells count="88">
    <mergeCell ref="A5:B5"/>
    <mergeCell ref="B1:H1"/>
    <mergeCell ref="A3:B3"/>
    <mergeCell ref="C3:E3"/>
    <mergeCell ref="A4:B4"/>
    <mergeCell ref="C4:E4"/>
    <mergeCell ref="B28:C28"/>
    <mergeCell ref="A6:B6"/>
    <mergeCell ref="C17:E17"/>
    <mergeCell ref="B19:E19"/>
    <mergeCell ref="B20:C20"/>
    <mergeCell ref="B21:C21"/>
    <mergeCell ref="B22:C22"/>
    <mergeCell ref="B23:C23"/>
    <mergeCell ref="B24:C24"/>
    <mergeCell ref="B25:C25"/>
    <mergeCell ref="B26:C26"/>
    <mergeCell ref="B27:C27"/>
    <mergeCell ref="B40:C40"/>
    <mergeCell ref="B29:C29"/>
    <mergeCell ref="B30:C30"/>
    <mergeCell ref="B31:C31"/>
    <mergeCell ref="B32:C32"/>
    <mergeCell ref="B33:C33"/>
    <mergeCell ref="B34:C34"/>
    <mergeCell ref="B35:C35"/>
    <mergeCell ref="B36:C36"/>
    <mergeCell ref="B37:C37"/>
    <mergeCell ref="B38:C38"/>
    <mergeCell ref="B39:C39"/>
    <mergeCell ref="B62:C62"/>
    <mergeCell ref="C43:E43"/>
    <mergeCell ref="C45:E45"/>
    <mergeCell ref="C47:E47"/>
    <mergeCell ref="C53:E53"/>
    <mergeCell ref="B55:E55"/>
    <mergeCell ref="B56:C56"/>
    <mergeCell ref="B57:C57"/>
    <mergeCell ref="B58:C58"/>
    <mergeCell ref="B59:C59"/>
    <mergeCell ref="B60:C60"/>
    <mergeCell ref="B61:C61"/>
    <mergeCell ref="B104:C104"/>
    <mergeCell ref="B74:C74"/>
    <mergeCell ref="B63:C63"/>
    <mergeCell ref="B64:C64"/>
    <mergeCell ref="B65:C65"/>
    <mergeCell ref="B66:C66"/>
    <mergeCell ref="B67:C67"/>
    <mergeCell ref="B68:C68"/>
    <mergeCell ref="B69:C69"/>
    <mergeCell ref="B70:C70"/>
    <mergeCell ref="B71:C71"/>
    <mergeCell ref="B72:C72"/>
    <mergeCell ref="B73:C73"/>
    <mergeCell ref="B93:C93"/>
    <mergeCell ref="B94:C94"/>
    <mergeCell ref="B95:C95"/>
    <mergeCell ref="B102:C102"/>
    <mergeCell ref="B103:C103"/>
    <mergeCell ref="C81:E81"/>
    <mergeCell ref="C83:E83"/>
    <mergeCell ref="C89:E89"/>
    <mergeCell ref="B91:E91"/>
    <mergeCell ref="B92:C92"/>
    <mergeCell ref="B105:C105"/>
    <mergeCell ref="B106:C106"/>
    <mergeCell ref="B41:E41"/>
    <mergeCell ref="B113:E113"/>
    <mergeCell ref="B77:E77"/>
    <mergeCell ref="B108:C108"/>
    <mergeCell ref="B97:C97"/>
    <mergeCell ref="B98:C98"/>
    <mergeCell ref="B99:C99"/>
    <mergeCell ref="B100:C100"/>
    <mergeCell ref="B101:C101"/>
    <mergeCell ref="B107:C107"/>
    <mergeCell ref="B96:C96"/>
    <mergeCell ref="B75:C75"/>
    <mergeCell ref="B76:C76"/>
    <mergeCell ref="C79:E79"/>
    <mergeCell ref="C119:E119"/>
    <mergeCell ref="B109:C109"/>
    <mergeCell ref="B110:C110"/>
    <mergeCell ref="B111:C111"/>
    <mergeCell ref="B112:C112"/>
    <mergeCell ref="C115:E115"/>
    <mergeCell ref="C117:E117"/>
  </mergeCells>
  <pageMargins left="0.41" right="0.44" top="0.33" bottom="0.33" header="0.31496062992125984" footer="0.31496062992125984"/>
  <pageSetup paperSize="5" scale="75" orientation="landscape" r:id="rId1"/>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8</vt:i4>
      </vt:variant>
    </vt:vector>
  </HeadingPairs>
  <TitlesOfParts>
    <vt:vector size="18" baseType="lpstr">
      <vt:lpstr>gas</vt:lpstr>
      <vt:lpstr>limpieza</vt:lpstr>
      <vt:lpstr>alimento</vt:lpstr>
      <vt:lpstr> NotaPedido</vt:lpstr>
      <vt:lpstr>ALIM-IMP</vt:lpstr>
      <vt:lpstr>Autor Gastar</vt:lpstr>
      <vt:lpstr> NotaPedido (2)</vt:lpstr>
      <vt:lpstr>GAS-IMP</vt:lpstr>
      <vt:lpstr>Autor Gastar (2)</vt:lpstr>
      <vt:lpstr>LIM-IMP</vt:lpstr>
      <vt:lpstr>' NotaPedido'!Área_de_impresión</vt:lpstr>
      <vt:lpstr>' NotaPedido (2)'!Área_de_impresión</vt:lpstr>
      <vt:lpstr>'ALIM-IMP'!Área_de_impresión</vt:lpstr>
      <vt:lpstr>'Autor Gastar'!Área_de_impresión</vt:lpstr>
      <vt:lpstr>'Autor Gastar (2)'!Área_de_impresión</vt:lpstr>
      <vt:lpstr>limpieza!Área_de_impresión</vt:lpstr>
      <vt:lpstr>' NotaPedido'!Títulos_a_imprimir</vt:lpstr>
      <vt:lpstr>' NotaPedido (2)'!Títulos_a_imprimir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JOHANA AYBAR</cp:lastModifiedBy>
  <cp:revision>2</cp:revision>
  <cp:lastPrinted>2021-08-17T22:54:05Z</cp:lastPrinted>
  <dcterms:created xsi:type="dcterms:W3CDTF">2020-07-17T23:44:49Z</dcterms:created>
  <dcterms:modified xsi:type="dcterms:W3CDTF">2021-08-18T15:48:33Z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