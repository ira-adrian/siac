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  <definedName name="_xlnm.Print_Area" localSheetId="0">'Necesidades Trimestrales'!$E$9:$E$10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I15" i="3"/>
  <c r="Q23" i="3" l="1"/>
  <c r="J13" i="2"/>
  <c r="K15" i="3"/>
</calcChain>
</file>

<file path=xl/sharedStrings.xml><?xml version="1.0" encoding="utf-8"?>
<sst xmlns="http://schemas.openxmlformats.org/spreadsheetml/2006/main" count="80" uniqueCount="74">
  <si>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</si>
  <si>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</si>
  <si>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</si>
  <si>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</si>
  <si>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</si>
  <si>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</si>
  <si>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</si>
  <si>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</si>
  <si>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</si>
  <si>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</si>
  <si>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</si>
  <si>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</si>
  <si>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</si>
  <si>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</si>
  <si>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</si>
  <si>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</si>
  <si>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</si>
  <si>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</si>
  <si>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</si>
  <si>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</si>
  <si>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</si>
  <si>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</si>
  <si>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</si>
  <si>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</si>
  <si>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</si>
  <si>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</si>
  <si>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</si>
  <si>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</si>
  <si>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</si>
  <si>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</si>
  <si>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</si>
  <si>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</si>
  <si>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</si>
  <si>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</si>
  <si>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</si>
  <si>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</si>
  <si>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</si>
  <si>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</si>
  <si>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</si>
  <si>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</si>
  <si>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</si>
  <si>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</si>
  <si>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</si>
  <si>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</si>
  <si>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</si>
  <si>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</si>
  <si>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</si>
  <si>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</si>
  <si>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</si>
  <si>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</si>
  <si>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</si>
  <si>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</si>
  <si>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</si>
  <si>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</si>
  <si>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</si>
  <si>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</si>
  <si>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</si>
  <si>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3.3.5-3902.1</t>
  </si>
  <si>
    <t>MANT. REPARACION Y LIMPIEZA</t>
  </si>
  <si>
    <t>SERV. LIMPIEZA HOSPITALARIA; DESCRIPCION: SERV. LIMPIEZA HOSPITALARIA</t>
  </si>
  <si>
    <t>MENSUAL</t>
  </si>
  <si>
    <t>Especificidades Item N° 1:</t>
  </si>
  <si>
    <t>Mantenimiento de Oferta</t>
  </si>
  <si>
    <t xml:space="preserve">Treinta (30) dias. </t>
  </si>
  <si>
    <t>El servicio se realizara todos los dias (de Lunes a Lunes) en las distintas areas del Hospital Interzonal de Niños Eva Peron en tres turnos de ocho (8) hs cada uno, con la siguiente dotacion de peronal: Turno Mañana ocho (8) personas, Turno Tarde siete (7) personas y Turno Noche una (1) persona.</t>
  </si>
  <si>
    <t>Adquisición del Servicio de Limpieza Hospitalaria</t>
  </si>
  <si>
    <t>Direccion de Mantemiento</t>
  </si>
  <si>
    <t>Costo total estimado: Dos Millones Quinientos Noventa y Dos Mil con 00/100.</t>
  </si>
  <si>
    <t>Limpieza Aseo y Fumigacion</t>
  </si>
  <si>
    <t>TOTAL DE PESOS: DOS MILLONES QUINIENTOS NOVENTA Y DOS MIL CON 00/100.</t>
  </si>
  <si>
    <t>Para la adquisición del servicio de Limpieza Hospitalaria del Hospital Interzonal de Niños Eva Peron, para el normal funcionamiento del organismo.</t>
  </si>
  <si>
    <t>545/2020</t>
  </si>
  <si>
    <t>Forma de Pago</t>
  </si>
  <si>
    <t>Mensual.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</si>
</sst>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1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21" fillId="0" borderId="8" xfId="0" applyFont="1" applyBorder="1" applyAlignment="1">
      <alignment horizontal="left" indent="3"/>
    </xf>
    <xf numFmtId="0" fontId="15" fillId="0" borderId="8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0" fontId="19" fillId="0" borderId="49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/>
    </xf>
    <xf numFmtId="0" fontId="4" fillId="4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 wrapText="1"/>
    </xf>
    <xf numFmtId="166" fontId="4" fillId="3" borderId="50" xfId="1" applyNumberFormat="1" applyFont="1" applyFill="1" applyBorder="1" applyAlignment="1" applyProtection="1">
      <alignment horizontal="right" vertical="center" wrapText="1"/>
    </xf>
    <xf numFmtId="3" fontId="4" fillId="3" borderId="50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53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0" fillId="0" borderId="3" xfId="0" applyBorder="1"/>
    <xf numFmtId="0" fontId="15" fillId="0" borderId="0" xfId="0" applyFont="1" applyFill="1" applyBorder="1"/>
    <xf numFmtId="0" fontId="15" fillId="0" borderId="9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9" xfId="0" applyFont="1" applyFill="1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left" wrapText="1"/>
    </xf>
    <xf numFmtId="0" fontId="15" fillId="0" borderId="9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/>
    </xf>
    <xf numFmtId="0" fontId="15" fillId="0" borderId="9" xfId="0" applyFont="1" applyFill="1" applyBorder="1" applyAlignment="1">
      <alignment horizontal="left"/>
    </xf>
    <xf numFmtId="0" fontId="15" fillId="0" borderId="9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0" fillId="0" borderId="54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5"/>
  <sheetViews>
    <sheetView tabSelected="1" zoomScale="73" zoomScaleNormal="73" workbookViewId="0">
      <selection activeCell="E29" sqref="E29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5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6384" width="11" style="32"/>
  </cols>
  <sheetData>
    <row r="2" spans="1:11" ht="27" x14ac:dyDescent="0.35">
      <c r="B2" s="88" t="s">
        <v>0</v>
      </c>
      <c r="C2" s="88"/>
      <c r="D2" s="88"/>
      <c r="E2" s="88"/>
      <c r="F2" s="88"/>
      <c r="G2" s="88"/>
      <c r="H2" s="88"/>
    </row>
    <row r="3" spans="1:11" ht="12" customHeight="1" x14ac:dyDescent="0.2"/>
    <row r="4" spans="1:11" ht="18" customHeight="1" x14ac:dyDescent="0.25">
      <c r="A4" s="89" t="s">
        <v>1</v>
      </c>
      <c r="B4" s="89"/>
      <c r="C4" s="90" t="s">
        <v>54</v>
      </c>
      <c r="D4" s="90"/>
      <c r="E4" s="90"/>
      <c r="F4" s="33"/>
      <c r="G4" s="34"/>
      <c r="H4" s="33"/>
    </row>
    <row r="5" spans="1:11" ht="18" customHeight="1" x14ac:dyDescent="0.25">
      <c r="A5" s="89" t="s">
        <v>2</v>
      </c>
      <c r="B5" s="89"/>
      <c r="C5" s="90" t="s">
        <v>53</v>
      </c>
      <c r="D5" s="90"/>
      <c r="E5" s="90"/>
      <c r="F5" s="33"/>
      <c r="G5" s="34"/>
      <c r="H5" s="33"/>
    </row>
    <row r="6" spans="1:11" ht="16.5" customHeight="1" x14ac:dyDescent="0.25">
      <c r="A6" s="89" t="s">
        <v>3</v>
      </c>
      <c r="B6" s="89"/>
      <c r="C6" s="63">
        <v>2021</v>
      </c>
      <c r="D6" s="64"/>
      <c r="E6" s="64"/>
      <c r="F6" s="33"/>
      <c r="G6" s="34"/>
      <c r="H6" s="33"/>
    </row>
    <row r="7" spans="1:11" ht="16.5" customHeight="1" x14ac:dyDescent="0.25">
      <c r="A7" s="89" t="s">
        <v>4</v>
      </c>
      <c r="B7" s="89"/>
      <c r="C7" s="63">
        <v>1</v>
      </c>
      <c r="D7" s="64"/>
      <c r="E7" s="64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35" t="s">
        <v>5</v>
      </c>
      <c r="B9" s="35" t="s">
        <v>6</v>
      </c>
      <c r="C9" s="35" t="s">
        <v>7</v>
      </c>
      <c r="D9" s="81" t="s">
        <v>8</v>
      </c>
      <c r="E9" s="82" t="s">
        <v>9</v>
      </c>
      <c r="F9" s="48" t="s">
        <v>10</v>
      </c>
      <c r="G9" s="35" t="s">
        <v>11</v>
      </c>
      <c r="H9" s="35" t="s">
        <v>12</v>
      </c>
      <c r="I9" s="35" t="s">
        <v>13</v>
      </c>
    </row>
    <row r="10" spans="1:11" x14ac:dyDescent="0.2">
      <c r="A10" s="70">
        <v>1</v>
      </c>
      <c r="B10" s="83" t="s">
        <v>57</v>
      </c>
      <c r="C10" s="83" t="s">
        <v>58</v>
      </c>
      <c r="D10" s="71">
        <v>335</v>
      </c>
      <c r="E10" s="83" t="s">
        <v>59</v>
      </c>
      <c r="F10" s="72" t="s">
        <v>60</v>
      </c>
      <c r="G10" s="72">
        <v>3</v>
      </c>
      <c r="H10" s="65">
        <v>864000</v>
      </c>
      <c r="I10" s="66">
        <f>H10*G10</f>
        <v>2592000</v>
      </c>
      <c r="K10" s="47"/>
    </row>
    <row r="11" spans="1:11" x14ac:dyDescent="0.2">
      <c r="I11" s="47"/>
    </row>
    <row r="13" spans="1:11" ht="13.5" thickBot="1" x14ac:dyDescent="0.25"/>
    <row r="14" spans="1:11" x14ac:dyDescent="0.2">
      <c r="B14" s="36" t="s">
        <v>61</v>
      </c>
      <c r="C14" s="37"/>
      <c r="D14" s="37"/>
      <c r="E14" s="38"/>
    </row>
    <row r="15" spans="1:11" x14ac:dyDescent="0.2">
      <c r="B15" s="39"/>
      <c r="C15" s="40"/>
      <c r="D15" s="40"/>
      <c r="E15" s="41"/>
    </row>
    <row r="16" spans="1:11" x14ac:dyDescent="0.2">
      <c r="B16" s="42" t="s">
        <v>14</v>
      </c>
      <c r="C16" s="40"/>
      <c r="D16" s="40"/>
      <c r="E16" s="41"/>
    </row>
    <row r="17" spans="2:5" x14ac:dyDescent="0.2">
      <c r="B17" s="42"/>
      <c r="C17" s="95"/>
      <c r="D17" s="95"/>
      <c r="E17" s="95"/>
    </row>
    <row r="18" spans="2:5" x14ac:dyDescent="0.2">
      <c r="B18" s="42" t="s">
        <v>15</v>
      </c>
      <c r="C18" s="84"/>
      <c r="D18" s="84"/>
      <c r="E18" s="85"/>
    </row>
    <row r="19" spans="2:5" ht="31.5" customHeight="1" x14ac:dyDescent="0.2">
      <c r="B19" s="43"/>
      <c r="C19" s="91" t="s">
        <v>64</v>
      </c>
      <c r="D19" s="91"/>
      <c r="E19" s="92"/>
    </row>
    <row r="20" spans="2:5" x14ac:dyDescent="0.2">
      <c r="B20" s="43"/>
      <c r="C20" s="91"/>
      <c r="D20" s="91"/>
      <c r="E20" s="92"/>
    </row>
    <row r="21" spans="2:5" x14ac:dyDescent="0.2">
      <c r="B21" s="42" t="s">
        <v>62</v>
      </c>
      <c r="C21" s="86"/>
      <c r="D21" s="86"/>
      <c r="E21" s="87"/>
    </row>
    <row r="22" spans="2:5" x14ac:dyDescent="0.2">
      <c r="B22" s="43"/>
      <c r="C22" s="91" t="s">
        <v>63</v>
      </c>
      <c r="D22" s="91"/>
      <c r="E22" s="92"/>
    </row>
    <row r="23" spans="2:5" x14ac:dyDescent="0.2">
      <c r="B23" s="42" t="s">
        <v>72</v>
      </c>
      <c r="C23" s="84"/>
      <c r="D23" s="84"/>
      <c r="E23" s="85"/>
    </row>
    <row r="24" spans="2:5" x14ac:dyDescent="0.2">
      <c r="B24" s="42"/>
      <c r="C24" s="93" t="s">
        <v>73</v>
      </c>
      <c r="D24" s="93"/>
      <c r="E24" s="94"/>
    </row>
    <row r="25" spans="2:5" ht="13.5" thickBot="1" x14ac:dyDescent="0.25">
      <c r="B25" s="44"/>
      <c r="C25" s="45"/>
      <c r="D25" s="45"/>
      <c r="E25" s="46"/>
    </row>
  </sheetData>
  <mergeCells count="11">
    <mergeCell ref="A6:B6"/>
    <mergeCell ref="A7:B7"/>
    <mergeCell ref="C22:E22"/>
    <mergeCell ref="C24:E24"/>
    <mergeCell ref="C17:E17"/>
    <mergeCell ref="C19:E20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topLeftCell="A10" zoomScale="110" zoomScaleNormal="110" workbookViewId="0">
      <selection activeCell="A12" sqref="A12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8.5703125" style="51" customWidth="1"/>
    <col min="8" max="8" width="9.28515625" style="51" customWidth="1"/>
    <col min="9" max="9" width="15.5703125" style="51" customWidth="1"/>
    <col min="10" max="10" width="14.7109375" style="51" customWidth="1"/>
    <col min="11" max="11" width="15.5703125" style="51" customWidth="1"/>
    <col min="12" max="14" width="5.85546875" style="51" customWidth="1"/>
    <col min="15" max="15" width="12.5703125" style="51" customWidth="1"/>
    <col min="16" max="1024" width="9.140625" style="51"/>
    <col min="1025" max="16384" width="9.140625" style="52"/>
  </cols>
  <sheetData>
    <row r="1" spans="1:11" ht="18" customHeight="1" x14ac:dyDescent="0.2">
      <c r="A1" s="96" t="s">
        <v>16</v>
      </c>
      <c r="B1" s="96"/>
      <c r="C1" s="96"/>
      <c r="D1" s="96"/>
      <c r="E1" s="96"/>
      <c r="F1" s="96"/>
      <c r="G1" s="96"/>
      <c r="H1" s="96"/>
      <c r="I1" s="96"/>
      <c r="J1" s="49" t="s">
        <v>17</v>
      </c>
      <c r="K1" s="50" t="s">
        <v>71</v>
      </c>
    </row>
    <row r="2" spans="1:11" ht="18.75" customHeight="1" thickBot="1" x14ac:dyDescent="0.25">
      <c r="A2" s="53"/>
      <c r="B2" s="53"/>
      <c r="C2" s="53"/>
      <c r="D2" s="54"/>
      <c r="E2" s="54"/>
      <c r="F2" s="54"/>
      <c r="G2" s="54"/>
      <c r="H2" s="54"/>
      <c r="I2" s="54"/>
      <c r="J2" s="54"/>
      <c r="K2" s="54"/>
    </row>
    <row r="3" spans="1:11" ht="18.75" customHeight="1" thickBot="1" x14ac:dyDescent="0.25">
      <c r="A3" s="97" t="s">
        <v>50</v>
      </c>
      <c r="B3" s="97"/>
      <c r="C3" s="97"/>
      <c r="D3" s="98" t="str">
        <f>'Necesidades Trimestrales'!C4</f>
        <v>040 - Ministerio de Salud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25">
      <c r="A4" s="99" t="s">
        <v>51</v>
      </c>
      <c r="B4" s="99"/>
      <c r="C4" s="99"/>
      <c r="D4" s="98" t="str">
        <f>'Necesidades Trimestrales'!C5</f>
        <v>024 - Hospital Interzonal de Niños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25">
      <c r="A5" s="99" t="s">
        <v>29</v>
      </c>
      <c r="B5" s="99"/>
      <c r="C5" s="99"/>
      <c r="D5" s="98" t="s">
        <v>53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25">
      <c r="A6" s="97" t="s">
        <v>52</v>
      </c>
      <c r="B6" s="97"/>
      <c r="C6" s="97"/>
      <c r="D6" s="98" t="s">
        <v>66</v>
      </c>
      <c r="E6" s="98"/>
      <c r="F6" s="98"/>
      <c r="G6" s="98"/>
      <c r="H6" s="98"/>
      <c r="I6" s="98"/>
      <c r="J6" s="98"/>
      <c r="K6" s="98"/>
    </row>
    <row r="7" spans="1:11" ht="16.5" customHeight="1" x14ac:dyDescent="0.2">
      <c r="A7" s="99" t="s">
        <v>18</v>
      </c>
      <c r="B7" s="99"/>
      <c r="C7" s="99"/>
      <c r="D7" s="98" t="str">
        <f>'Necesidades Trimestrales'!C7 &amp; "° Trimestre - Año " &amp; 'Necesidades Trimestrales'!C6</f>
        <v>1° Trimestre - Año 2021</v>
      </c>
      <c r="E7" s="98"/>
      <c r="F7" s="98"/>
      <c r="G7" s="98"/>
      <c r="H7" s="98"/>
      <c r="I7" s="98"/>
      <c r="J7" s="98"/>
      <c r="K7" s="98"/>
    </row>
    <row r="8" spans="1:11" ht="16.5" customHeight="1" x14ac:dyDescent="0.2">
      <c r="A8" s="102" t="s">
        <v>19</v>
      </c>
      <c r="B8" s="102"/>
      <c r="C8" s="102"/>
      <c r="D8" s="103" t="s">
        <v>65</v>
      </c>
      <c r="E8" s="103"/>
      <c r="F8" s="103"/>
      <c r="G8" s="103"/>
      <c r="H8" s="103"/>
      <c r="I8" s="103"/>
      <c r="J8" s="103"/>
      <c r="K8" s="103"/>
    </row>
    <row r="9" spans="1:11" ht="15.75" x14ac:dyDescent="0.2">
      <c r="A9" s="55"/>
      <c r="B9" s="55"/>
      <c r="C9" s="55"/>
      <c r="D9" s="56"/>
      <c r="E9" s="56"/>
      <c r="F9" s="56"/>
      <c r="G9" s="56"/>
      <c r="H9" s="56"/>
      <c r="I9" s="56"/>
      <c r="J9" s="56"/>
      <c r="K9" s="56"/>
    </row>
    <row r="10" spans="1:11" ht="18.75" customHeight="1" x14ac:dyDescent="0.2">
      <c r="A10" s="104" t="s">
        <v>20</v>
      </c>
      <c r="B10" s="105" t="s">
        <v>21</v>
      </c>
      <c r="C10" s="105" t="s">
        <v>22</v>
      </c>
      <c r="D10" s="105"/>
      <c r="E10" s="105"/>
      <c r="F10" s="105"/>
      <c r="G10" s="105"/>
      <c r="H10" s="105" t="s">
        <v>23</v>
      </c>
      <c r="I10" s="105" t="s">
        <v>24</v>
      </c>
      <c r="J10" s="105" t="s">
        <v>25</v>
      </c>
      <c r="K10" s="106" t="s">
        <v>26</v>
      </c>
    </row>
    <row r="11" spans="1:11" ht="24" customHeight="1" x14ac:dyDescent="0.2">
      <c r="A11" s="104"/>
      <c r="B11" s="105"/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1" ht="27.75" customHeight="1" thickBot="1" x14ac:dyDescent="0.25">
      <c r="A12" s="57">
        <v>1</v>
      </c>
      <c r="B12" s="58" t="str">
        <f>'Necesidades Trimestrales'!B10</f>
        <v>3.3.5-3902.1</v>
      </c>
      <c r="C12" s="101" t="str">
        <f>'Necesidades Trimestrales'!E10</f>
        <v>SERV. LIMPIEZA HOSPITALARIA; DESCRIPCION: SERV. LIMPIEZA HOSPITALARIA</v>
      </c>
      <c r="D12" s="101"/>
      <c r="E12" s="101"/>
      <c r="F12" s="101"/>
      <c r="G12" s="101"/>
      <c r="H12" s="59" t="s">
        <v>56</v>
      </c>
      <c r="I12" s="60" t="str">
        <f>'Necesidades Trimestrales'!F10</f>
        <v>MENSUAL</v>
      </c>
      <c r="J12" s="61">
        <f>'Necesidades Trimestrales'!H10</f>
        <v>864000</v>
      </c>
      <c r="K12" s="62">
        <f>'Necesidades Trimestrales'!G10</f>
        <v>3</v>
      </c>
    </row>
    <row r="13" spans="1:11" ht="20.25" customHeight="1" thickBot="1" x14ac:dyDescent="0.25">
      <c r="A13" s="98" t="s">
        <v>67</v>
      </c>
      <c r="B13" s="98"/>
      <c r="C13" s="98"/>
      <c r="D13" s="98"/>
      <c r="E13" s="98"/>
      <c r="F13" s="98"/>
      <c r="G13" s="98"/>
      <c r="H13" s="98"/>
      <c r="I13" s="98"/>
      <c r="J13" s="100">
        <f>SUMPRODUCT(J12:J12,K12:K12)</f>
        <v>2592000</v>
      </c>
      <c r="K13" s="100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28" sqref="A2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7" t="s">
        <v>3</v>
      </c>
      <c r="B1" s="107"/>
      <c r="C1" s="107"/>
      <c r="D1" s="108">
        <f>'Necesidades Trimestrales'!C6</f>
        <v>2021</v>
      </c>
      <c r="E1" s="108"/>
      <c r="F1" s="3"/>
      <c r="G1" s="3"/>
      <c r="H1" s="4"/>
      <c r="I1" s="4"/>
      <c r="J1" s="4"/>
      <c r="K1" s="4"/>
      <c r="L1" s="4"/>
      <c r="M1" s="4"/>
      <c r="N1" s="4"/>
      <c r="P1" s="109" t="s">
        <v>27</v>
      </c>
      <c r="Q1" s="10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09"/>
      <c r="Q2" s="109"/>
    </row>
    <row r="4" spans="1:17" s="5" customFormat="1" ht="18" customHeight="1" thickBot="1" x14ac:dyDescent="0.25">
      <c r="A4" s="110" t="s">
        <v>28</v>
      </c>
      <c r="B4" s="110"/>
      <c r="C4" s="110"/>
      <c r="D4" s="110"/>
      <c r="E4" s="110"/>
      <c r="F4" s="110"/>
      <c r="G4" s="111" t="str">
        <f>' NotaPedido'!D3</f>
        <v>040 - Ministerio de Salud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</row>
    <row r="5" spans="1:17" s="5" customFormat="1" ht="18" customHeight="1" thickBot="1" x14ac:dyDescent="0.25">
      <c r="A5" s="112" t="s">
        <v>51</v>
      </c>
      <c r="B5" s="113"/>
      <c r="C5" s="113"/>
      <c r="D5" s="113"/>
      <c r="E5" s="113"/>
      <c r="F5" s="114"/>
      <c r="G5" s="111" t="str">
        <f>' NotaPedido'!D4</f>
        <v>024 - Hospital Interzonal de Niños</v>
      </c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spans="1:17" s="5" customFormat="1" ht="18" customHeight="1" thickBot="1" x14ac:dyDescent="0.25">
      <c r="A6" s="112" t="s">
        <v>29</v>
      </c>
      <c r="B6" s="113"/>
      <c r="C6" s="113"/>
      <c r="D6" s="113"/>
      <c r="E6" s="113"/>
      <c r="F6" s="114"/>
      <c r="G6" s="111" t="str">
        <f>' NotaPedido'!D5</f>
        <v>024 - Hospital Interzonal de Niños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</row>
    <row r="7" spans="1:17" s="5" customFormat="1" ht="18" customHeight="1" thickBot="1" x14ac:dyDescent="0.25">
      <c r="A7" s="112" t="s">
        <v>52</v>
      </c>
      <c r="B7" s="113"/>
      <c r="C7" s="113"/>
      <c r="D7" s="113"/>
      <c r="E7" s="113"/>
      <c r="F7" s="114"/>
      <c r="G7" s="111" t="str">
        <f>' NotaPedido'!D6</f>
        <v>Direccion de Mantemiento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1:17" ht="18" customHeight="1" thickBot="1" x14ac:dyDescent="0.25">
      <c r="A8" s="115" t="s">
        <v>30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</row>
    <row r="9" spans="1:17" ht="18" customHeight="1" x14ac:dyDescent="0.2">
      <c r="A9" s="116" t="s">
        <v>31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"/>
      <c r="P9" s="1"/>
      <c r="Q9" s="6"/>
    </row>
    <row r="10" spans="1:17" ht="54.75" customHeight="1" x14ac:dyDescent="0.2">
      <c r="A10" s="11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545/2020,  afectando la erogación resultante a los créditos presupuestarios aprobados a favor de esta Unidad Ejecutora, conforme al siguiente detalle: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18" t="s">
        <v>32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7" ht="15.75" customHeight="1" x14ac:dyDescent="0.2">
      <c r="A13" s="119" t="s">
        <v>33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20" t="s">
        <v>34</v>
      </c>
      <c r="P13" s="120"/>
      <c r="Q13" s="121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20"/>
      <c r="P14" s="120"/>
      <c r="Q14" s="121"/>
    </row>
    <row r="15" spans="1:17" ht="17.25" customHeight="1" x14ac:dyDescent="0.2">
      <c r="A15" s="67">
        <v>36</v>
      </c>
      <c r="B15" s="78"/>
      <c r="C15" s="78"/>
      <c r="D15" s="78">
        <v>1</v>
      </c>
      <c r="E15" s="78"/>
      <c r="F15" s="78">
        <v>4901</v>
      </c>
      <c r="G15" s="78">
        <v>3</v>
      </c>
      <c r="H15" s="78">
        <v>310</v>
      </c>
      <c r="I15" s="80" t="str">
        <f>LEFT('Necesidades Trimestrales'!D10,1)</f>
        <v>3</v>
      </c>
      <c r="J15" s="80">
        <v>3</v>
      </c>
      <c r="K15" s="80" t="str">
        <f>RIGHT('Necesidades Trimestrales'!D10,1)</f>
        <v>5</v>
      </c>
      <c r="L15" s="78"/>
      <c r="M15" s="68">
        <v>1</v>
      </c>
      <c r="N15" s="69" t="s">
        <v>55</v>
      </c>
      <c r="O15" s="122" t="s">
        <v>68</v>
      </c>
      <c r="P15" s="123"/>
      <c r="Q15" s="16">
        <v>2592000</v>
      </c>
    </row>
    <row r="16" spans="1:17" ht="17.25" customHeight="1" x14ac:dyDescent="0.2">
      <c r="A16" s="73"/>
      <c r="B16" s="77"/>
      <c r="C16" s="77"/>
      <c r="D16" s="77"/>
      <c r="E16" s="77"/>
      <c r="F16" s="77"/>
      <c r="G16" s="77"/>
      <c r="H16" s="77"/>
      <c r="I16" s="79"/>
      <c r="J16" s="79"/>
      <c r="K16" s="79"/>
      <c r="L16" s="77"/>
      <c r="M16" s="74"/>
      <c r="N16" s="75"/>
      <c r="O16" s="124"/>
      <c r="P16" s="124"/>
      <c r="Q16" s="21"/>
    </row>
    <row r="17" spans="1:18" ht="23.25" customHeight="1" x14ac:dyDescent="0.2">
      <c r="A17" s="73"/>
      <c r="B17" s="74"/>
      <c r="C17" s="74"/>
      <c r="D17" s="74"/>
      <c r="E17" s="74"/>
      <c r="F17" s="74"/>
      <c r="G17" s="74"/>
      <c r="H17" s="74"/>
      <c r="I17" s="76"/>
      <c r="J17" s="76"/>
      <c r="K17" s="76"/>
      <c r="L17" s="74"/>
      <c r="M17" s="74"/>
      <c r="N17" s="75"/>
      <c r="O17" s="125"/>
      <c r="P17" s="126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4"/>
      <c r="P18" s="12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4"/>
      <c r="P19" s="12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4"/>
      <c r="P20" s="12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2"/>
      <c r="P21" s="132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3"/>
      <c r="P22" s="133"/>
      <c r="Q22" s="30"/>
    </row>
    <row r="23" spans="1:18" ht="29.25" customHeight="1" x14ac:dyDescent="0.2">
      <c r="A23" s="134" t="s">
        <v>69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31">
        <f>SUM(Q15:Q22)</f>
        <v>2592000</v>
      </c>
    </row>
    <row r="24" spans="1:18" ht="18" customHeight="1" thickBot="1" x14ac:dyDescent="0.25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8" ht="17.25" customHeight="1" thickBot="1" x14ac:dyDescent="0.25">
      <c r="A25" s="127" t="s">
        <v>49</v>
      </c>
      <c r="B25" s="128"/>
      <c r="C25" s="128"/>
      <c r="D25" s="128"/>
      <c r="E25" s="128"/>
      <c r="F25" s="129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r="26" spans="1:18" ht="18" customHeight="1" thickBot="1" x14ac:dyDescent="0.25">
      <c r="A26" s="131" t="s">
        <v>70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  <row r="27" spans="1:18" ht="15" customHeight="1" x14ac:dyDescent="0.2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2020-12-10T16:18:55Z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