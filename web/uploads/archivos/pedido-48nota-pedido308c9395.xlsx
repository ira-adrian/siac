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defaultThemeVersion="166925"/>
  <mc:AlternateContent xmlns:mc="http://schemas.openxmlformats.org/markup-compatibility/2006">
    <mc:Choice Requires="x15">
      <x15ac:absPath xmlns:x15ac="http://schemas.microsoft.com/office/spreadsheetml/2010/11/ac" url="C:\Users\COMPRAS\Downloads\"/>
    </mc:Choice>
  </mc:AlternateContent>
  <xr:revisionPtr revIDLastSave="0" documentId="8_{1D00C558-D02D-4422-8421-614385F1C9A5}"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NDP" sheetId="2" r:id="rId2"/>
    <sheet name="APG" sheetId="3" r:id="rId3"/>
  </sheets>
  <definedNames>
    <definedName name="_xlnm._FilterDatabase" localSheetId="0" hidden="1">'Necesidades Trimestrales'!$A$8:$I$28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 i="1" l="1"/>
  <c r="H11" i="2"/>
  <c r="H12" i="2"/>
  <c r="H13" i="2"/>
  <c r="H14" i="2"/>
  <c r="H15" i="2"/>
  <c r="H16" i="2"/>
  <c r="H17" i="2"/>
  <c r="H18" i="2"/>
  <c r="H19" i="2"/>
  <c r="H20" i="2"/>
  <c r="H21" i="2"/>
  <c r="H22" i="2"/>
  <c r="H23" i="2"/>
  <c r="H24" i="2"/>
  <c r="H25" i="2"/>
  <c r="H26" i="2"/>
  <c r="H27" i="2"/>
  <c r="H28" i="2"/>
  <c r="H29" i="2"/>
  <c r="H10" i="2"/>
  <c r="I27" i="1" l="1"/>
  <c r="Q21" i="3"/>
  <c r="I10" i="1"/>
  <c r="I11" i="1"/>
  <c r="I12" i="1"/>
  <c r="I13" i="1"/>
  <c r="I14" i="1"/>
  <c r="I15" i="1"/>
  <c r="I16" i="1"/>
  <c r="I17" i="1"/>
  <c r="I18" i="1"/>
  <c r="I19" i="1"/>
  <c r="I20" i="1"/>
  <c r="I21" i="1"/>
  <c r="I22" i="1"/>
  <c r="I23" i="1"/>
  <c r="I24" i="1"/>
  <c r="I25" i="1"/>
  <c r="I26" i="1"/>
  <c r="I28" i="1"/>
  <c r="D21" i="1"/>
  <c r="D14" i="1"/>
</calcChain>
</file>

<file path=xl/sharedStrings.xml><?xml version="1.0" encoding="utf-8"?>
<sst xmlns="http://schemas.openxmlformats.org/spreadsheetml/2006/main" count="315" uniqueCount="128">
  <si>
    <t>JURISDICCION:</t>
  </si>
  <si>
    <t xml:space="preserve">SAF N°: </t>
  </si>
  <si>
    <t>EJERCICIO:</t>
  </si>
  <si>
    <t>TRIMESTRE:</t>
  </si>
  <si>
    <t>ID</t>
  </si>
  <si>
    <t>Pedido de Necesidades Trimestrales</t>
  </si>
  <si>
    <t>CODIGO ITEM</t>
  </si>
  <si>
    <t>2.3.1-6587.298</t>
  </si>
  <si>
    <t>2.9.2-848.11</t>
  </si>
  <si>
    <t>2.9.2-696.18</t>
  </si>
  <si>
    <t>2.9.2-3283.1</t>
  </si>
  <si>
    <t>2.3.1-6563.931</t>
  </si>
  <si>
    <t>2.3.1-6563.911</t>
  </si>
  <si>
    <t>2.9.2-262.55</t>
  </si>
  <si>
    <t>2.9.2-2413.1</t>
  </si>
  <si>
    <t>2.9.2-674.8</t>
  </si>
  <si>
    <t>2.9.2-368.15</t>
  </si>
  <si>
    <t>2.9.2-3283.10</t>
  </si>
  <si>
    <t>2.9.2-867.11</t>
  </si>
  <si>
    <t>2.9.2-317.31</t>
  </si>
  <si>
    <t>2.9.2-323.3</t>
  </si>
  <si>
    <t>2.9.2-1354.21</t>
  </si>
  <si>
    <t>2.3.1-9896.34</t>
  </si>
  <si>
    <t>2.9.2-1789.2</t>
  </si>
  <si>
    <t>2.9.2-758.18</t>
  </si>
  <si>
    <t>Plazos y lugares de entrega</t>
  </si>
  <si>
    <t>Calidad Minima esperada</t>
  </si>
  <si>
    <r>
      <t>Mantenimiento:</t>
    </r>
    <r>
      <rPr>
        <sz val="10"/>
        <rFont val="Times New Roman"/>
        <family val="1"/>
      </rPr>
      <t xml:space="preserve"> 30 días corridos</t>
    </r>
  </si>
  <si>
    <t>Garantia</t>
  </si>
  <si>
    <t>50 - MINISTERIO DE EDUCACIÓN</t>
  </si>
  <si>
    <t>26 - DIRECCIÓN PROVINCIAL DE ADMINISTRACIÓN</t>
  </si>
  <si>
    <t>RUBRO DE COMPRA</t>
  </si>
  <si>
    <t>LIBRERIA,PAP. Y UTILES OFICINA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</si>
  <si>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</si>
  <si>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</si>
  <si>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2.9.2</t>
  </si>
  <si>
    <t>DESCRIPCION</t>
  </si>
  <si>
    <t>PAPELES ENCUADERNADOS; CANT. DE HOJAS: 100, TAMAÑO: 21 X 16 Cm, TIPO: CUADERNO, CERTIFICADO FORESTAL (GFS): CON, PORC. FIBRAS RECICLADAS: 0 %, CERT. FIBRA ALTERNATIVA (FCA): SIN</t>
  </si>
  <si>
    <t>LAPIZ; TIPO: HB, COLOR: NEGRO</t>
  </si>
  <si>
    <t xml:space="preserve">SACAPUNTAS; MATERIAL: PLASTICO, FIJACION: SIN, NUMERO: UNIVERSAL, CANTIDAD DE BOCAS: 1, TIPO: ESCOLAR </t>
  </si>
  <si>
    <t>JUEGO DE LAPICES; TIPO: HB, COLOR: COLORES, PRESENTACION: POR 12 UN</t>
  </si>
  <si>
    <t>PAPELES EN HOJA; TIPO DE PAPEL: ACUARELA, DIMENSION: 32,5 X 23,5 Cm, GRAMAJE: 115 GR/M2, PRESENTACION: ENVASE X 8 HOJAS, CERTIFICADO FORESTAL (GFS): SIN, PORC. FIBRAS RECICLADAS: 0 %, CERT. FIBRA ALTERNATIVA (FCA): SIN</t>
  </si>
  <si>
    <t>PAPELES EN HOJA; TIPO DE PAPEL: GLACE, DIMENSION: 10 X 10 Cm, GRAMAJE: 150 GR/M2, PRESENTACION: SOBRE X 8 UN, CERTIFICADO FORESTAL (GFS): SIN, PORC. FIBRAS RECICLADAS: 0 %, CERT. FIBRA ALTERNATIVA (FCA): SIN</t>
  </si>
  <si>
    <t>ADHESIVOS P/PAPEL; PRESENTACION: ENVASE X 30 mL, TIPO: COLA VINILICA LAVABLE</t>
  </si>
  <si>
    <t>TRANSPORTADORES; MATERIAL: PLASTICO, TIPO: 180 °C</t>
  </si>
  <si>
    <t>REGLAS GRADUADAS; LONG.DE CUERPO: 20 Cm, TIPO: PLANA, MATERIAL: PLASTICO</t>
  </si>
  <si>
    <t>ESCUADRAS; MODELO: 45°-20 Cm, MATERIAL: PLASTICO, ANGULO: 45°-20 Cm</t>
  </si>
  <si>
    <t>JUEGO DE LAPICES; TIPO: CRAYONES, PRESENTACION: CAJA X 6 UN</t>
  </si>
  <si>
    <t>COMPAS; ACCESORIO: 1, JUEGO: UN ELEMENTO, MATERIAL DEL CUERPO: DE PLASTICO, CUERPO: DE PLASTICO, MATERIAL: DE PLASTICO</t>
  </si>
  <si>
    <t>BOLIGRAFOS; TRAZO: MEDIO</t>
  </si>
  <si>
    <t>CORRECTORES DE ESCRITURA; ENVASE: LAPIZ (PUNTA METAL), PRESENTACION: LAPIZ (PUNTA METAL) X 10 mL, CAPACIDAD: 10 mL</t>
  </si>
  <si>
    <t>RESALTADORES; PUNTA: BISELADA, ACCESORIO: SIN, COLOR: SIN VALOR, TIPO PUNTA: BISELADA</t>
  </si>
  <si>
    <t>ANILLOS P/CARPETAS; DIAMETRO: 51 mm, MATERIAL: ACERO INOXIDABLE</t>
  </si>
  <si>
    <t>TIJERAS P/CORTAR PAPELES; LONG.DE CUERPO: 17 Cm, MATERIAL: ACERO INOXIDABLE, CUCHILLA: REDONDEADAS, MANGO: PLASTICO</t>
  </si>
  <si>
    <t>UNIDAD DE MEDIDA</t>
  </si>
  <si>
    <t>Unidad</t>
  </si>
  <si>
    <t>Caja</t>
  </si>
  <si>
    <t>CANTIDAD</t>
  </si>
  <si>
    <t>PRECIO UNITARIO ESTIMADO</t>
  </si>
  <si>
    <t xml:space="preserve">IMPORTE TOTAL ESTIMADO </t>
  </si>
  <si>
    <t>2.3.1</t>
  </si>
  <si>
    <t>2.9.2-661.58</t>
  </si>
  <si>
    <t>GOMAS DE BORRAR; USO: LAPIZ Y TINTA, DIMENSION: 40 X 18 X 12 mm, MATERIAL: CAUCHO, PRESENTACION: UNIDAD</t>
  </si>
  <si>
    <t>NOTA DE PEDIDO</t>
  </si>
  <si>
    <t xml:space="preserve">JURISDICCIÓN: </t>
  </si>
  <si>
    <t>MINISTERIO DE EDUCACIÓN</t>
  </si>
  <si>
    <t>SAF:</t>
  </si>
  <si>
    <t>UNIDAD EJECUTORA:</t>
  </si>
  <si>
    <t xml:space="preserve">DEPENDENCIA SOLICITANTE: </t>
  </si>
  <si>
    <t>PERIODO UTILIZACIÓN:</t>
  </si>
  <si>
    <t>12 (DOCE) MESES</t>
  </si>
  <si>
    <t>OBJETO:</t>
  </si>
  <si>
    <t>ADQUISICIÓN DE KITS ESCOLARES</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</si>
  <si>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</si>
  <si>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</si>
  <si>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</si>
  <si>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</si>
  <si>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</si>
  <si>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</si>
  <si>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</si>
  <si>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</si>
  <si>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</si>
  <si>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</si>
  <si>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</si>
  <si>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</si>
  <si>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</si>
  <si>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</si>
  <si>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</si>
  <si>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</si>
  <si>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</si>
  <si>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</si>
  <si>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</si>
  <si>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</si>
  <si>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</si>
  <si>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</si>
  <si>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</si>
  <si>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PAPEL DE ESCRITORIO Y CARTON</t>
  </si>
  <si>
    <t>ÚTILES DE ESC., OFICINA Y ENSEÑANZA</t>
  </si>
  <si>
    <t>JUSTIFICACIÓN:</t>
  </si>
  <si>
    <t xml:space="preserve">   ADQUISICIÓN PARCIAL DE KITS ESCOLARES CON DESTINO A ESTUDIANTES DE NIVEL PRIMARIO Y SECUNDARIO DE TODA LA PROVINCIA.-</t>
  </si>
  <si>
    <t>PAPELES OBRA; GRAMAJE: 70 GR/M2, TAMAÑO: 19 X 24 Cm, BLANCURA: EXTRA BLANCO (MAYOR A 92%), CERTIFICACION SUSTENTABLE: SIN, NORMA: IRAM 3100/3123</t>
  </si>
  <si>
    <t>SI</t>
  </si>
  <si>
    <t xml:space="preserve">Costo total estimado:  PESOS DIECINUEVE MILLONES TRESCIENTOS NOVENTA Y SEIS MIL QUINIENTOS CON 00/100 </t>
  </si>
  <si>
    <t>TOTAL DE PESOS: DIECINUEVE MILLONES TRESCIENTOS NOVENTA Y SEIS MIL QUINIENTOS CON 00/100</t>
  </si>
  <si>
    <t>N° 07-2022</t>
  </si>
  <si>
    <t>Autorizo la realización de los  trámites correspondientes, a fin de proveer a  este Organismo los bienes que se detallan en Nota  de Pedido N°07/2022, afectando la erogación resultante a los créditos presupuestarios aprobados a favor de esta Unidad Ejecutora, conforme al siguiente detalle:</t>
  </si>
  <si>
    <t>sobre</t>
  </si>
  <si>
    <t>resma</t>
  </si>
  <si>
    <t>Especificidades Items N° 1</t>
  </si>
  <si>
    <t>Descripción técnica: Tapa dura , hojas rayadas.</t>
  </si>
  <si>
    <t>Especificidades Items N° 05:</t>
  </si>
  <si>
    <t>Especificidades Items N° 13:</t>
  </si>
  <si>
    <t>Especificidades Items N° 07:</t>
  </si>
  <si>
    <t>Especificidades Items N° 15:</t>
  </si>
  <si>
    <t>Especificidades Items N° 17:</t>
  </si>
  <si>
    <t>Especificidades Items N° 18:</t>
  </si>
  <si>
    <t xml:space="preserve">Especificidades Items N° 08: </t>
  </si>
  <si>
    <r>
      <t xml:space="preserve">   Descripción técnica: </t>
    </r>
    <r>
      <rPr>
        <sz val="10"/>
        <rFont val="Times New Roman"/>
        <family val="1"/>
      </rPr>
      <t>3000 unid color celeste, 3000 unid color amarillo fluor, 3000 unid color celeste, 4000 unid color naranajado fluor.</t>
    </r>
  </si>
  <si>
    <t xml:space="preserve">Descripción técnica:  </t>
  </si>
  <si>
    <t>Especificidades Items N° 02-03-04-06-09-10-11-12-14-16-19-20</t>
  </si>
  <si>
    <r>
      <t>Descripción técnica</t>
    </r>
    <r>
      <rPr>
        <sz val="10"/>
        <rFont val="Times New Roman"/>
        <family val="1"/>
      </rPr>
      <t>: Largo</t>
    </r>
  </si>
  <si>
    <r>
      <t>Descripción técnica:</t>
    </r>
    <r>
      <rPr>
        <sz val="10"/>
        <rFont val="Times New Roman"/>
        <family val="1"/>
      </rPr>
      <t xml:space="preserve"> Corto</t>
    </r>
  </si>
  <si>
    <r>
      <t>Descripción técnica:</t>
    </r>
    <r>
      <rPr>
        <sz val="10"/>
        <rFont val="Times New Roman"/>
        <family val="1"/>
      </rPr>
      <t xml:space="preserve"> Papel glase comun.</t>
    </r>
  </si>
  <si>
    <r>
      <t>Descripción técnica</t>
    </r>
    <r>
      <rPr>
        <sz val="10"/>
        <rFont val="Times New Roman"/>
        <family val="1"/>
      </rPr>
      <t>: Color Azul</t>
    </r>
  </si>
  <si>
    <r>
      <t xml:space="preserve">Descripción técnica: </t>
    </r>
    <r>
      <rPr>
        <sz val="10"/>
        <rFont val="Times New Roman"/>
        <family val="1"/>
      </rPr>
      <t xml:space="preserve"> x 96 hojas cuadriculadas.</t>
    </r>
  </si>
  <si>
    <t>PORTA UTILES; MATERIAL: LONETA, DIMENSION: 15 X 20 Cm, CIERRE: CORDON, PRESENTACION: UNIDAD</t>
  </si>
  <si>
    <t>2.9.2-2034.26</t>
  </si>
  <si>
    <r>
      <t>Descripción técnica:</t>
    </r>
    <r>
      <rPr>
        <sz val="10"/>
        <rFont val="Times New Roman"/>
        <family val="1"/>
      </rPr>
      <t xml:space="preserve">  Cartuchera de loneta con cierre. Medidas aproximadas 15 X 20 Cm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</si>
</sst>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2C0A]\ #,##0.00;[$$-2C0A]&quot; -&quot;#,##0.00"/>
    <numFmt numFmtId="165" formatCode="dd\-mm\-yy;@"/>
    <numFmt numFmtId="166" formatCode="_(\$* #,##0.00_);_(\$* \(#,##0.00\);_(\$* \-??_);_(@_)"/>
    <numFmt numFmtId="167" formatCode="[$$-2C0A]\ #,##0.00"/>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11"/>
      <name val="Arial"/>
      <family val="2"/>
    </font>
    <font>
      <sz val="11"/>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1"/>
      <color theme="1"/>
      <name val="Arial"/>
      <family val="2"/>
    </font>
  </fonts>
  <fills count="6">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C000"/>
        <bgColor rgb="FFFFFF00"/>
      </patternFill>
    </fill>
    <fill>
      <patternFill patternType="solid">
        <fgColor rgb="FFFFC000"/>
        <bgColor indexed="64"/>
      </patternFill>
    </fill>
  </fills>
  <borders count="62">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ck">
        <color auto="1"/>
      </left>
      <right style="thick">
        <color auto="1"/>
      </right>
      <top/>
      <bottom style="thick">
        <color auto="1"/>
      </bottom>
      <diagonal/>
    </border>
  </borders>
  <cellStyleXfs count="3">
    <xf numFmtId="0" fontId="0" fillId="0" borderId="0"/>
    <xf numFmtId="44" fontId="1" fillId="0" borderId="0" applyFont="0" applyFill="0" applyBorder="0" applyAlignment="0" applyProtection="0"/>
    <xf numFmtId="166" fontId="23" fillId="0" borderId="0" applyBorder="0" applyProtection="0"/>
  </cellStyleXfs>
  <cellXfs count="165">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9" fillId="0" borderId="4" xfId="0" applyFont="1" applyBorder="1" applyAlignment="1">
      <alignment horizontal="center" vertical="center" wrapText="1"/>
    </xf>
    <xf numFmtId="0" fontId="10" fillId="2" borderId="0" xfId="0" applyFont="1" applyFill="1" applyAlignment="1">
      <alignment horizontal="center" vertical="center" wrapText="1"/>
    </xf>
    <xf numFmtId="0" fontId="11" fillId="0" borderId="6" xfId="0" applyFont="1" applyBorder="1"/>
    <xf numFmtId="0" fontId="3" fillId="0" borderId="7" xfId="0" applyFont="1" applyBorder="1"/>
    <xf numFmtId="0" fontId="11" fillId="0" borderId="7" xfId="0" applyFont="1" applyBorder="1" applyAlignment="1">
      <alignment horizontal="left" indent="3"/>
    </xf>
    <xf numFmtId="0" fontId="3" fillId="0" borderId="7" xfId="0" applyFont="1" applyBorder="1" applyAlignment="1">
      <alignment horizontal="left" indent="3"/>
    </xf>
    <xf numFmtId="0" fontId="3" fillId="0" borderId="8" xfId="0" applyFont="1" applyBorder="1" applyAlignment="1">
      <alignment horizontal="left" indent="3"/>
    </xf>
    <xf numFmtId="0" fontId="12" fillId="2" borderId="0" xfId="0" applyFont="1" applyFill="1" applyAlignment="1">
      <alignment horizontal="left" wrapText="1" indent="1"/>
    </xf>
    <xf numFmtId="0" fontId="7" fillId="0" borderId="0" xfId="0" applyFont="1" applyAlignment="1">
      <alignment horizont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0" fillId="0" borderId="0" xfId="0" applyAlignment="1">
      <alignment horizontal="center" vertical="center" wrapText="1"/>
    </xf>
    <xf numFmtId="0" fontId="3" fillId="0" borderId="5" xfId="0" applyFont="1" applyBorder="1"/>
    <xf numFmtId="0" fontId="3" fillId="0" borderId="0" xfId="0" applyFont="1" applyAlignment="1">
      <alignment horizontal="center" wrapText="1"/>
    </xf>
    <xf numFmtId="0" fontId="3" fillId="0" borderId="9" xfId="0" applyFont="1" applyBorder="1"/>
    <xf numFmtId="0" fontId="14" fillId="3" borderId="0" xfId="0" applyFont="1" applyFill="1" applyAlignment="1">
      <alignment horizontal="left" wrapText="1"/>
    </xf>
    <xf numFmtId="0" fontId="9" fillId="0" borderId="3" xfId="0" applyFont="1" applyBorder="1" applyAlignment="1">
      <alignment horizontal="center" vertical="center" wrapText="1"/>
    </xf>
    <xf numFmtId="0" fontId="13" fillId="0" borderId="3" xfId="0" applyFont="1" applyBorder="1" applyAlignment="1">
      <alignment wrapText="1"/>
    </xf>
    <xf numFmtId="0" fontId="13" fillId="0" borderId="4" xfId="0" applyFont="1" applyBorder="1" applyAlignment="1">
      <alignment wrapText="1"/>
    </xf>
    <xf numFmtId="0" fontId="3" fillId="0" borderId="0" xfId="0" applyFont="1" applyAlignment="1">
      <alignment wrapText="1"/>
    </xf>
    <xf numFmtId="0" fontId="0" fillId="0" borderId="0" xfId="0" applyAlignment="1">
      <alignment horizontal="left" vertical="center"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3" fillId="0" borderId="12" xfId="0" applyFont="1" applyBorder="1"/>
    <xf numFmtId="0" fontId="10" fillId="2" borderId="3" xfId="0" applyFont="1" applyFill="1" applyBorder="1" applyAlignment="1">
      <alignment horizontal="center" vertical="center" wrapText="1"/>
    </xf>
    <xf numFmtId="0" fontId="10" fillId="2" borderId="13" xfId="0" applyFont="1" applyFill="1" applyBorder="1" applyAlignment="1">
      <alignment horizontal="center" vertical="center" wrapText="1"/>
    </xf>
    <xf numFmtId="164" fontId="5" fillId="2" borderId="0" xfId="1" applyNumberFormat="1" applyFont="1" applyFill="1" applyBorder="1" applyAlignment="1" applyProtection="1">
      <alignment horizontal="right" vertical="center" wrapText="1"/>
    </xf>
    <xf numFmtId="0" fontId="9" fillId="0" borderId="4" xfId="0" applyFont="1" applyFill="1" applyBorder="1" applyAlignment="1">
      <alignment horizontal="center" vertical="center" wrapText="1"/>
    </xf>
    <xf numFmtId="0" fontId="13" fillId="0" borderId="4" xfId="0" applyFont="1" applyFill="1" applyBorder="1" applyAlignment="1">
      <alignment wrapText="1"/>
    </xf>
    <xf numFmtId="0" fontId="13" fillId="0" borderId="4" xfId="0" applyFont="1" applyFill="1" applyBorder="1" applyAlignment="1">
      <alignment horizontal="center" vertical="center" wrapText="1"/>
    </xf>
    <xf numFmtId="0" fontId="16" fillId="0" borderId="16" xfId="0" applyFont="1" applyBorder="1" applyAlignment="1">
      <alignment vertical="center"/>
    </xf>
    <xf numFmtId="0" fontId="16" fillId="0" borderId="17" xfId="0" applyFont="1" applyBorder="1" applyAlignment="1">
      <alignment vertical="center"/>
    </xf>
    <xf numFmtId="0" fontId="16" fillId="0" borderId="11" xfId="0" applyFont="1" applyBorder="1" applyAlignment="1">
      <alignment vertical="center"/>
    </xf>
    <xf numFmtId="0" fontId="19" fillId="0" borderId="4" xfId="0" applyFont="1" applyBorder="1" applyAlignment="1">
      <alignment horizontal="center" vertical="center"/>
    </xf>
    <xf numFmtId="0" fontId="13" fillId="0" borderId="19" xfId="0" applyFont="1" applyBorder="1" applyAlignment="1">
      <alignment horizontal="center" vertical="center" wrapText="1"/>
    </xf>
    <xf numFmtId="164" fontId="5" fillId="2" borderId="3" xfId="1" applyNumberFormat="1" applyFont="1" applyFill="1" applyBorder="1" applyAlignment="1" applyProtection="1">
      <alignment horizontal="center" vertical="center" wrapText="1"/>
    </xf>
    <xf numFmtId="164" fontId="5" fillId="2" borderId="13" xfId="1" applyNumberFormat="1" applyFont="1" applyFill="1" applyBorder="1" applyAlignment="1" applyProtection="1">
      <alignment horizontal="center" vertical="center"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0" fillId="0" borderId="0" xfId="0" applyAlignment="1">
      <alignment horizontal="center" vertical="center"/>
    </xf>
    <xf numFmtId="0" fontId="8" fillId="0" borderId="4" xfId="0" applyFont="1" applyFill="1" applyBorder="1" applyAlignment="1">
      <alignment horizontal="center" vertical="center"/>
    </xf>
    <xf numFmtId="0" fontId="9" fillId="0" borderId="25"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0" xfId="0" applyFont="1" applyFill="1" applyBorder="1" applyAlignment="1">
      <alignment horizontal="center" vertical="center" wrapText="1"/>
    </xf>
    <xf numFmtId="0" fontId="13" fillId="0" borderId="26" xfId="0" applyFont="1" applyBorder="1" applyAlignment="1">
      <alignment horizontal="center" vertical="center" wrapText="1"/>
    </xf>
    <xf numFmtId="0" fontId="10" fillId="2" borderId="0" xfId="0" applyFont="1" applyFill="1" applyBorder="1" applyAlignment="1">
      <alignment horizontal="center"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3" fillId="0" borderId="0" xfId="0" applyFont="1" applyAlignment="1">
      <alignment horizontal="left" vertical="center" wrapText="1"/>
    </xf>
    <xf numFmtId="0" fontId="13" fillId="0" borderId="4" xfId="0" applyFont="1" applyFill="1" applyBorder="1" applyAlignment="1">
      <alignment horizontal="left" vertical="center" wrapText="1"/>
    </xf>
    <xf numFmtId="0" fontId="13" fillId="0" borderId="27" xfId="0" applyFont="1" applyBorder="1" applyAlignment="1">
      <alignment horizontal="left" vertical="center" wrapText="1"/>
    </xf>
    <xf numFmtId="164" fontId="5" fillId="2" borderId="14" xfId="1" applyNumberFormat="1" applyFont="1" applyFill="1" applyBorder="1" applyAlignment="1" applyProtection="1">
      <alignment horizontal="center" vertical="center" wrapText="1"/>
    </xf>
    <xf numFmtId="3" fontId="20" fillId="0" borderId="5" xfId="0" applyNumberFormat="1" applyFont="1" applyBorder="1"/>
    <xf numFmtId="165" fontId="13" fillId="0" borderId="5" xfId="0" applyNumberFormat="1" applyFont="1" applyBorder="1" applyAlignment="1">
      <alignment horizontal="left"/>
    </xf>
    <xf numFmtId="0" fontId="13" fillId="0" borderId="5" xfId="0" applyFont="1" applyBorder="1"/>
    <xf numFmtId="0" fontId="13" fillId="0" borderId="7" xfId="0" applyFont="1" applyBorder="1"/>
    <xf numFmtId="0" fontId="13" fillId="0" borderId="0" xfId="0" applyFont="1"/>
    <xf numFmtId="0" fontId="13" fillId="0" borderId="0" xfId="0" applyFont="1" applyAlignment="1">
      <alignment horizontal="left"/>
    </xf>
    <xf numFmtId="165" fontId="13" fillId="0" borderId="0" xfId="0" applyNumberFormat="1" applyFont="1" applyAlignment="1">
      <alignment horizontal="left"/>
    </xf>
    <xf numFmtId="0" fontId="13" fillId="0" borderId="11" xfId="0" applyFont="1" applyBorder="1"/>
    <xf numFmtId="0" fontId="13" fillId="0" borderId="16" xfId="0" applyFont="1" applyBorder="1"/>
    <xf numFmtId="0" fontId="13" fillId="0" borderId="17" xfId="0" applyFont="1" applyBorder="1"/>
    <xf numFmtId="0" fontId="13" fillId="0" borderId="17" xfId="0" applyFont="1" applyBorder="1" applyAlignment="1">
      <alignment horizontal="left"/>
    </xf>
    <xf numFmtId="0" fontId="13" fillId="0" borderId="35" xfId="0" applyFont="1" applyBorder="1"/>
    <xf numFmtId="0" fontId="22" fillId="0" borderId="38" xfId="0" applyFont="1" applyBorder="1" applyAlignment="1">
      <alignment horizontal="center" vertical="center"/>
    </xf>
    <xf numFmtId="0" fontId="22" fillId="0" borderId="39" xfId="0" applyFont="1" applyBorder="1" applyAlignment="1">
      <alignment horizontal="center" vertical="center"/>
    </xf>
    <xf numFmtId="0" fontId="22" fillId="0" borderId="39" xfId="0" applyFont="1" applyBorder="1" applyAlignment="1">
      <alignment horizontal="left" vertical="center"/>
    </xf>
    <xf numFmtId="0" fontId="22" fillId="0" borderId="40" xfId="0" applyFont="1" applyBorder="1" applyAlignment="1">
      <alignment horizontal="center" vertical="center"/>
    </xf>
    <xf numFmtId="0" fontId="22" fillId="0" borderId="41" xfId="0" applyFont="1" applyBorder="1" applyAlignment="1">
      <alignment horizontal="center" vertical="center"/>
    </xf>
    <xf numFmtId="0" fontId="5" fillId="0" borderId="42" xfId="0" applyFont="1" applyBorder="1" applyAlignment="1">
      <alignment horizontal="center" vertical="center"/>
    </xf>
    <xf numFmtId="0" fontId="5" fillId="0" borderId="43" xfId="0" applyFont="1" applyBorder="1" applyAlignment="1">
      <alignment horizontal="center" vertical="center"/>
    </xf>
    <xf numFmtId="0" fontId="5" fillId="0" borderId="44" xfId="0" applyFont="1" applyBorder="1" applyAlignment="1">
      <alignment horizontal="center" vertical="center"/>
    </xf>
    <xf numFmtId="164" fontId="5" fillId="0" borderId="45" xfId="2" applyNumberFormat="1" applyFont="1" applyBorder="1" applyAlignment="1" applyProtection="1">
      <alignment horizontal="center" vertical="center"/>
    </xf>
    <xf numFmtId="0" fontId="5" fillId="0" borderId="46" xfId="0" applyFont="1" applyBorder="1" applyAlignment="1">
      <alignment horizontal="center" vertical="center"/>
    </xf>
    <xf numFmtId="0" fontId="5" fillId="0" borderId="47" xfId="0" applyFont="1" applyBorder="1" applyAlignment="1">
      <alignment horizontal="center" vertical="center"/>
    </xf>
    <xf numFmtId="0" fontId="5" fillId="0" borderId="48" xfId="0" applyFont="1" applyBorder="1" applyAlignment="1">
      <alignment horizontal="center" vertical="center"/>
    </xf>
    <xf numFmtId="0" fontId="5" fillId="0" borderId="49" xfId="0" applyFont="1" applyBorder="1" applyAlignment="1">
      <alignment horizontal="center" vertical="center"/>
    </xf>
    <xf numFmtId="164" fontId="5" fillId="0" borderId="52" xfId="2" applyNumberFormat="1" applyFont="1" applyBorder="1" applyAlignment="1" applyProtection="1">
      <alignment horizontal="center" vertical="center"/>
    </xf>
    <xf numFmtId="0" fontId="13" fillId="0" borderId="46" xfId="0" applyFont="1" applyBorder="1" applyAlignment="1">
      <alignment horizontal="center" vertical="center"/>
    </xf>
    <xf numFmtId="0" fontId="13" fillId="0" borderId="47" xfId="0" applyFont="1" applyBorder="1" applyAlignment="1">
      <alignment horizontal="center" vertical="center"/>
    </xf>
    <xf numFmtId="0" fontId="13" fillId="0" borderId="48" xfId="0" applyFont="1" applyBorder="1" applyAlignment="1">
      <alignment horizontal="center" vertical="center"/>
    </xf>
    <xf numFmtId="0" fontId="13" fillId="0" borderId="49" xfId="0" applyFont="1" applyBorder="1" applyAlignment="1">
      <alignment horizontal="center" vertical="center"/>
    </xf>
    <xf numFmtId="164" fontId="13" fillId="0" borderId="52" xfId="2" applyNumberFormat="1" applyFont="1" applyBorder="1" applyAlignment="1" applyProtection="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164" fontId="13" fillId="0" borderId="56" xfId="2" applyNumberFormat="1" applyFont="1" applyBorder="1" applyAlignment="1" applyProtection="1">
      <alignment horizontal="center" vertical="center"/>
    </xf>
    <xf numFmtId="164" fontId="22" fillId="0" borderId="58" xfId="0" applyNumberFormat="1" applyFont="1" applyBorder="1" applyAlignment="1">
      <alignment horizontal="center" vertical="center"/>
    </xf>
    <xf numFmtId="164" fontId="5" fillId="2" borderId="4" xfId="1" applyNumberFormat="1" applyFont="1" applyFill="1" applyBorder="1" applyAlignment="1" applyProtection="1">
      <alignment horizontal="right" vertical="center" wrapText="1"/>
    </xf>
    <xf numFmtId="0" fontId="4" fillId="0" borderId="61" xfId="0" applyFont="1" applyBorder="1" applyAlignment="1">
      <alignment horizontal="center" vertical="center" wrapText="1"/>
    </xf>
    <xf numFmtId="0" fontId="17" fillId="0" borderId="59" xfId="0" applyFont="1" applyBorder="1" applyAlignment="1">
      <alignment horizontal="center" vertical="center" wrapText="1"/>
    </xf>
    <xf numFmtId="0" fontId="16" fillId="0" borderId="0" xfId="0" applyFont="1" applyBorder="1" applyAlignment="1">
      <alignment vertical="center"/>
    </xf>
    <xf numFmtId="4" fontId="0" fillId="0" borderId="0" xfId="0" applyNumberFormat="1"/>
    <xf numFmtId="164" fontId="5" fillId="4" borderId="13" xfId="1" applyNumberFormat="1" applyFont="1" applyFill="1" applyBorder="1" applyAlignment="1" applyProtection="1">
      <alignment horizontal="center" vertical="center" wrapText="1"/>
    </xf>
    <xf numFmtId="164" fontId="5" fillId="5" borderId="13" xfId="1" applyNumberFormat="1" applyFont="1" applyFill="1" applyBorder="1" applyAlignment="1" applyProtection="1">
      <alignment horizontal="center" vertical="center" wrapText="1"/>
    </xf>
    <xf numFmtId="164" fontId="5" fillId="0" borderId="14" xfId="1" applyNumberFormat="1" applyFont="1" applyFill="1" applyBorder="1" applyAlignment="1" applyProtection="1">
      <alignment horizontal="center" vertical="center" wrapText="1"/>
    </xf>
    <xf numFmtId="167" fontId="0" fillId="0" borderId="0" xfId="0" applyNumberFormat="1"/>
    <xf numFmtId="0" fontId="16" fillId="0" borderId="19" xfId="0" applyFont="1" applyFill="1" applyBorder="1" applyAlignment="1">
      <alignment horizontal="left" vertical="center"/>
    </xf>
    <xf numFmtId="0" fontId="24" fillId="0" borderId="0" xfId="0" applyFont="1"/>
    <xf numFmtId="0" fontId="3" fillId="0" borderId="0" xfId="0" applyFont="1" applyBorder="1"/>
    <xf numFmtId="0" fontId="11" fillId="0" borderId="0" xfId="0" applyFont="1" applyBorder="1" applyAlignment="1">
      <alignment horizontal="left" indent="3"/>
    </xf>
    <xf numFmtId="0" fontId="3" fillId="0" borderId="0" xfId="0" applyFont="1" applyBorder="1" applyAlignment="1">
      <alignment horizontal="left" indent="3"/>
    </xf>
    <xf numFmtId="0" fontId="3" fillId="0" borderId="0" xfId="0" applyFont="1" applyBorder="1" applyAlignment="1">
      <alignment horizontal="center" wrapText="1"/>
    </xf>
    <xf numFmtId="0" fontId="13" fillId="2" borderId="0" xfId="0" applyFont="1" applyFill="1" applyBorder="1" applyAlignment="1">
      <alignment horizontal="left" wrapText="1"/>
    </xf>
    <xf numFmtId="0" fontId="13" fillId="2" borderId="11" xfId="0" applyFont="1" applyFill="1" applyBorder="1" applyAlignment="1">
      <alignment horizontal="left" wrapText="1"/>
    </xf>
    <xf numFmtId="0" fontId="3" fillId="2" borderId="0" xfId="0" applyFont="1" applyFill="1" applyBorder="1" applyAlignment="1">
      <alignment horizontal="left" wrapText="1"/>
    </xf>
    <xf numFmtId="0" fontId="3" fillId="2" borderId="11" xfId="0" applyFont="1" applyFill="1" applyBorder="1" applyAlignment="1">
      <alignment horizontal="left" wrapText="1"/>
    </xf>
    <xf numFmtId="0" fontId="13" fillId="2" borderId="0" xfId="0" applyFont="1" applyFill="1" applyBorder="1" applyAlignment="1">
      <alignment horizontal="left" wrapText="1"/>
    </xf>
    <xf numFmtId="0" fontId="13" fillId="2" borderId="11" xfId="0" applyFont="1" applyFill="1" applyBorder="1" applyAlignment="1">
      <alignment horizontal="left" wrapText="1"/>
    </xf>
    <xf numFmtId="0" fontId="3" fillId="2" borderId="0" xfId="0" applyFont="1" applyFill="1" applyBorder="1" applyAlignment="1">
      <alignment horizontal="left"/>
    </xf>
    <xf numFmtId="0" fontId="3" fillId="2" borderId="11" xfId="0" applyFont="1" applyFill="1" applyBorder="1" applyAlignment="1">
      <alignment horizontal="left"/>
    </xf>
    <xf numFmtId="0" fontId="3" fillId="2" borderId="0" xfId="0" applyFont="1" applyFill="1" applyAlignment="1">
      <alignment horizontal="left" wrapText="1"/>
    </xf>
    <xf numFmtId="0" fontId="13" fillId="2" borderId="0" xfId="0" applyFont="1" applyFill="1" applyAlignment="1">
      <alignment horizontal="left" wrapText="1"/>
    </xf>
    <xf numFmtId="0" fontId="3" fillId="2" borderId="0" xfId="0" applyFont="1" applyFill="1" applyAlignment="1">
      <alignment horizontal="left"/>
    </xf>
    <xf numFmtId="0" fontId="6" fillId="0" borderId="0" xfId="0" applyFont="1" applyAlignment="1">
      <alignment horizontal="center"/>
    </xf>
    <xf numFmtId="0" fontId="4" fillId="0" borderId="0" xfId="0" applyFont="1" applyAlignment="1">
      <alignment horizontal="left" vertical="center" wrapText="1"/>
    </xf>
    <xf numFmtId="0" fontId="12" fillId="2" borderId="0" xfId="0" applyFont="1" applyFill="1" applyAlignment="1">
      <alignment horizontal="left" wrapText="1" indent="1"/>
    </xf>
    <xf numFmtId="0" fontId="11" fillId="0" borderId="7" xfId="0" applyFont="1" applyBorder="1" applyAlignment="1">
      <alignment horizontal="left"/>
    </xf>
    <xf numFmtId="0" fontId="0" fillId="0" borderId="0" xfId="0" applyAlignment="1">
      <alignment horizontal="left"/>
    </xf>
    <xf numFmtId="0" fontId="2" fillId="0" borderId="4" xfId="0" applyFont="1" applyBorder="1" applyAlignment="1">
      <alignment horizontal="left" vertical="top" wrapText="1"/>
    </xf>
    <xf numFmtId="0" fontId="15" fillId="0" borderId="6" xfId="0" applyFont="1" applyBorder="1" applyAlignment="1">
      <alignment horizontal="center" vertical="center" wrapText="1"/>
    </xf>
    <xf numFmtId="0" fontId="15" fillId="0" borderId="5" xfId="0" applyFont="1" applyBorder="1" applyAlignment="1">
      <alignment horizontal="center" vertical="center" wrapText="1"/>
    </xf>
    <xf numFmtId="0" fontId="18" fillId="0" borderId="18" xfId="0" applyFont="1" applyBorder="1" applyAlignment="1">
      <alignment horizontal="left" vertical="center"/>
    </xf>
    <xf numFmtId="0" fontId="18" fillId="0" borderId="21" xfId="0" applyFont="1" applyBorder="1" applyAlignment="1">
      <alignment horizontal="left" vertical="center"/>
    </xf>
    <xf numFmtId="0" fontId="18" fillId="0" borderId="22" xfId="0" applyFont="1" applyBorder="1" applyAlignment="1">
      <alignment horizontal="left" vertical="center"/>
    </xf>
    <xf numFmtId="0" fontId="17" fillId="0" borderId="19" xfId="0" applyFont="1" applyBorder="1" applyAlignment="1">
      <alignment horizontal="left" vertical="center" wrapText="1"/>
    </xf>
    <xf numFmtId="0" fontId="18" fillId="0" borderId="20" xfId="0" applyFont="1" applyBorder="1" applyAlignment="1">
      <alignment horizontal="left" vertical="center" wrapText="1"/>
    </xf>
    <xf numFmtId="0" fontId="17" fillId="0" borderId="19" xfId="0" applyFont="1" applyBorder="1" applyAlignment="1">
      <alignment vertical="center" wrapText="1"/>
    </xf>
    <xf numFmtId="0" fontId="18" fillId="0" borderId="23" xfId="0" applyFont="1" applyBorder="1" applyAlignment="1">
      <alignment horizontal="left" vertical="center"/>
    </xf>
    <xf numFmtId="0" fontId="17" fillId="0" borderId="24" xfId="0" applyFont="1" applyBorder="1" applyAlignment="1">
      <alignment vertical="center" wrapText="1"/>
    </xf>
    <xf numFmtId="0" fontId="18" fillId="0" borderId="18" xfId="0" applyFont="1" applyBorder="1" applyAlignment="1">
      <alignment horizontal="left" vertical="center" wrapText="1"/>
    </xf>
    <xf numFmtId="0" fontId="17" fillId="0" borderId="28" xfId="0" applyFont="1" applyBorder="1" applyAlignment="1">
      <alignment horizontal="left" vertical="center" wrapText="1"/>
    </xf>
    <xf numFmtId="0" fontId="17" fillId="0" borderId="60" xfId="0" applyFont="1" applyBorder="1" applyAlignment="1">
      <alignment horizontal="left" vertical="center" wrapText="1"/>
    </xf>
    <xf numFmtId="0" fontId="17" fillId="0" borderId="29" xfId="0" applyFont="1" applyBorder="1" applyAlignment="1">
      <alignment horizontal="left" vertical="center" wrapText="1"/>
    </xf>
    <xf numFmtId="0" fontId="13" fillId="0" borderId="30" xfId="0" applyFont="1" applyBorder="1" applyAlignment="1">
      <alignment horizontal="left" vertical="center" wrapText="1"/>
    </xf>
    <xf numFmtId="0" fontId="13" fillId="0" borderId="31" xfId="0" applyFont="1" applyBorder="1" applyAlignment="1">
      <alignment horizontal="left" indent="1"/>
    </xf>
    <xf numFmtId="0" fontId="13" fillId="0" borderId="28" xfId="0" applyFont="1" applyBorder="1" applyAlignment="1">
      <alignment horizontal="center"/>
    </xf>
    <xf numFmtId="0" fontId="20" fillId="0" borderId="29" xfId="0" applyFont="1" applyBorder="1" applyAlignment="1">
      <alignment horizontal="center"/>
    </xf>
    <xf numFmtId="0" fontId="20" fillId="0" borderId="15" xfId="0" applyFont="1" applyBorder="1" applyAlignment="1">
      <alignment horizontal="center" vertical="center" wrapText="1"/>
    </xf>
    <xf numFmtId="0" fontId="13" fillId="0" borderId="30" xfId="0" applyFont="1" applyBorder="1"/>
    <xf numFmtId="0" fontId="5" fillId="0" borderId="43" xfId="0" applyFont="1" applyBorder="1" applyAlignment="1">
      <alignment horizontal="left" vertical="center" wrapText="1"/>
    </xf>
    <xf numFmtId="0" fontId="21" fillId="0" borderId="32" xfId="0" applyFont="1" applyBorder="1" applyAlignment="1">
      <alignment horizontal="left"/>
    </xf>
    <xf numFmtId="0" fontId="13" fillId="0" borderId="33" xfId="0" applyFont="1" applyBorder="1" applyAlignment="1">
      <alignment horizontal="left"/>
    </xf>
    <xf numFmtId="49" fontId="13" fillId="0" borderId="34" xfId="0" applyNumberFormat="1" applyFont="1" applyBorder="1" applyAlignment="1">
      <alignment horizontal="justify" vertical="center" wrapText="1"/>
    </xf>
    <xf numFmtId="0" fontId="22" fillId="0" borderId="33" xfId="0" applyFont="1" applyBorder="1" applyAlignment="1">
      <alignment horizontal="center" vertical="center"/>
    </xf>
    <xf numFmtId="0" fontId="22" fillId="0" borderId="30" xfId="0" applyFont="1" applyBorder="1" applyAlignment="1">
      <alignment horizontal="center" vertical="center"/>
    </xf>
    <xf numFmtId="0" fontId="22" fillId="0" borderId="36" xfId="0" applyFont="1" applyBorder="1" applyAlignment="1">
      <alignment horizontal="center" vertical="center" wrapText="1"/>
    </xf>
    <xf numFmtId="0" fontId="22" fillId="0" borderId="37" xfId="0" applyFont="1" applyBorder="1" applyAlignment="1">
      <alignment horizontal="center" vertical="center"/>
    </xf>
    <xf numFmtId="0" fontId="5" fillId="0" borderId="33" xfId="0" applyFont="1" applyBorder="1"/>
    <xf numFmtId="0" fontId="22" fillId="0" borderId="19" xfId="0" applyFont="1" applyBorder="1" applyAlignment="1">
      <alignment vertical="center" wrapText="1"/>
    </xf>
    <xf numFmtId="0" fontId="5" fillId="0" borderId="37" xfId="0" applyFont="1" applyBorder="1" applyAlignment="1">
      <alignment vertical="center" wrapText="1"/>
    </xf>
    <xf numFmtId="0" fontId="5" fillId="0" borderId="59" xfId="0" applyFont="1" applyBorder="1" applyAlignment="1">
      <alignment horizontal="left" vertical="center" wrapText="1" indent="1"/>
    </xf>
    <xf numFmtId="0" fontId="5" fillId="0" borderId="50" xfId="0" applyFont="1" applyBorder="1" applyAlignment="1">
      <alignment horizontal="left" vertical="center" wrapText="1"/>
    </xf>
    <xf numFmtId="0" fontId="5" fillId="0" borderId="51" xfId="0" applyFont="1" applyBorder="1" applyAlignment="1">
      <alignment horizontal="left" vertical="center" wrapText="1"/>
    </xf>
    <xf numFmtId="0" fontId="13" fillId="0" borderId="49" xfId="0" applyFont="1" applyBorder="1" applyAlignment="1">
      <alignment horizontal="center"/>
    </xf>
    <xf numFmtId="0" fontId="13" fillId="0" borderId="49" xfId="0" applyFont="1" applyBorder="1" applyAlignment="1">
      <alignment horizontal="center" vertical="center"/>
    </xf>
    <xf numFmtId="0" fontId="13" fillId="0" borderId="54" xfId="0" applyFont="1" applyBorder="1" applyAlignment="1">
      <alignment horizontal="left" vertical="center"/>
    </xf>
    <xf numFmtId="0" fontId="22" fillId="0" borderId="57" xfId="0" applyFont="1" applyBorder="1" applyAlignment="1">
      <alignment horizontal="left" vertical="center" wrapText="1"/>
    </xf>
  </cellXfs>
  <cellStyles count="3">
    <cellStyle name="Moneda" xfId="1" builtinId="4"/>
    <cellStyle name="Moneda_AUTORIZACION Y NOTA DE PEDIDO"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6"/>
  <sheetViews>
    <sheetView tabSelected="1" workbookViewId="0">
      <selection activeCell="H160" sqref="H160"/>
    </sheetView>
  </sheetViews>
  <sheetFormatPr baseColWidth="10" defaultRowHeight="15" x14ac:dyDescent="0.25"/>
  <cols>
    <col min="1" max="1" width="4.5703125" customWidth="1"/>
    <col min="2" max="2" width="15" customWidth="1"/>
    <col min="3" max="3" width="23" customWidth="1"/>
    <col min="4" max="4" width="8.42578125" customWidth="1"/>
    <col min="5" max="5" width="64.7109375" customWidth="1"/>
    <col min="6" max="6" width="11"/>
    <col min="7" max="7" width="12.7109375" customWidth="1"/>
    <col min="8" max="8" width="13.85546875" customWidth="1"/>
    <col min="9" max="9" width="17.5703125" customWidth="1"/>
    <col min="13" max="13" width="16.28515625" customWidth="1"/>
    <col min="16" max="16" width="15.5703125" customWidth="1"/>
  </cols>
  <sheetData>
    <row r="1" spans="1:16" ht="27" x14ac:dyDescent="0.35">
      <c r="A1" s="1"/>
      <c r="B1" s="121" t="s">
        <v>5</v>
      </c>
      <c r="C1" s="121"/>
      <c r="D1" s="121"/>
      <c r="E1" s="121"/>
      <c r="F1" s="121"/>
      <c r="G1" s="121"/>
      <c r="H1" s="121"/>
      <c r="I1" s="1"/>
    </row>
    <row r="2" spans="1:16" x14ac:dyDescent="0.25">
      <c r="A2" s="1"/>
      <c r="B2" s="1"/>
      <c r="C2" s="1"/>
      <c r="D2" s="1"/>
      <c r="E2" s="1"/>
      <c r="F2" s="1"/>
      <c r="G2" s="1"/>
      <c r="H2" s="1"/>
      <c r="I2" s="1"/>
    </row>
    <row r="3" spans="1:16" ht="15.75" x14ac:dyDescent="0.25">
      <c r="A3" s="122" t="s">
        <v>0</v>
      </c>
      <c r="B3" s="122"/>
      <c r="C3" s="123" t="s">
        <v>29</v>
      </c>
      <c r="D3" s="123"/>
      <c r="E3" s="123"/>
      <c r="F3" s="5"/>
      <c r="G3" s="14"/>
      <c r="H3" s="5"/>
      <c r="I3" s="1"/>
    </row>
    <row r="4" spans="1:16" ht="15.75" x14ac:dyDescent="0.25">
      <c r="A4" s="122" t="s">
        <v>1</v>
      </c>
      <c r="B4" s="122"/>
      <c r="C4" s="123" t="s">
        <v>30</v>
      </c>
      <c r="D4" s="123"/>
      <c r="E4" s="123"/>
      <c r="F4" s="5"/>
      <c r="G4" s="14"/>
      <c r="H4" s="5"/>
      <c r="I4" s="1"/>
    </row>
    <row r="5" spans="1:16" ht="15.75" x14ac:dyDescent="0.25">
      <c r="A5" s="122" t="s">
        <v>2</v>
      </c>
      <c r="B5" s="122"/>
      <c r="C5" s="13">
        <v>2022</v>
      </c>
      <c r="D5" s="21"/>
      <c r="E5" s="21"/>
      <c r="F5" s="5"/>
      <c r="G5" s="14"/>
      <c r="H5" s="5"/>
      <c r="I5" s="1"/>
    </row>
    <row r="6" spans="1:16" ht="15.75" x14ac:dyDescent="0.25">
      <c r="A6" s="122" t="s">
        <v>3</v>
      </c>
      <c r="B6" s="122"/>
      <c r="C6" s="13">
        <v>1</v>
      </c>
      <c r="D6" s="21"/>
      <c r="E6" s="21"/>
      <c r="F6" s="5"/>
      <c r="G6" s="14"/>
      <c r="H6" s="5"/>
      <c r="I6" s="1"/>
    </row>
    <row r="7" spans="1:16" ht="15.75" thickBot="1" x14ac:dyDescent="0.3">
      <c r="A7" s="1"/>
      <c r="B7" s="5"/>
      <c r="C7" s="14"/>
      <c r="D7" s="5"/>
      <c r="E7" s="5"/>
      <c r="F7" s="5"/>
      <c r="G7" s="14"/>
      <c r="H7" s="5"/>
      <c r="I7" s="1"/>
    </row>
    <row r="8" spans="1:16" ht="44.25" thickTop="1" thickBot="1" x14ac:dyDescent="0.3">
      <c r="A8" s="2" t="s">
        <v>4</v>
      </c>
      <c r="B8" s="2" t="s">
        <v>6</v>
      </c>
      <c r="C8" s="2" t="s">
        <v>31</v>
      </c>
      <c r="D8" s="2" t="s">
        <v>34</v>
      </c>
      <c r="E8" s="2" t="s">
        <v>36</v>
      </c>
      <c r="F8" s="2" t="s">
        <v>54</v>
      </c>
      <c r="G8" s="2" t="s">
        <v>57</v>
      </c>
      <c r="H8" s="2" t="s">
        <v>58</v>
      </c>
      <c r="I8" s="2" t="s">
        <v>59</v>
      </c>
    </row>
    <row r="9" spans="1:16" ht="61.5" thickTop="1" thickBot="1" x14ac:dyDescent="0.3">
      <c r="A9" s="3">
        <v>1</v>
      </c>
      <c r="B9" s="44" t="s">
        <v>7</v>
      </c>
      <c r="C9" s="15" t="s">
        <v>32</v>
      </c>
      <c r="D9" s="22" t="s">
        <v>60</v>
      </c>
      <c r="E9" s="53" t="s">
        <v>37</v>
      </c>
      <c r="F9" s="31" t="s">
        <v>55</v>
      </c>
      <c r="G9" s="31">
        <v>7000</v>
      </c>
      <c r="H9" s="42">
        <v>334.2</v>
      </c>
      <c r="I9" s="102">
        <f>G9*H9</f>
        <v>2339400</v>
      </c>
    </row>
    <row r="10" spans="1:16" ht="30.75" thickBot="1" x14ac:dyDescent="0.3">
      <c r="A10" s="3">
        <v>2</v>
      </c>
      <c r="B10" s="46" t="s">
        <v>8</v>
      </c>
      <c r="C10" s="16" t="s">
        <v>32</v>
      </c>
      <c r="D10" s="6" t="s">
        <v>35</v>
      </c>
      <c r="E10" s="55" t="s">
        <v>38</v>
      </c>
      <c r="F10" s="32" t="s">
        <v>55</v>
      </c>
      <c r="G10" s="32">
        <v>27000</v>
      </c>
      <c r="H10" s="43">
        <v>19.7</v>
      </c>
      <c r="I10" s="102">
        <f t="shared" ref="I10:I28" si="0">G10*H10</f>
        <v>531900</v>
      </c>
    </row>
    <row r="11" spans="1:16" ht="30.75" thickBot="1" x14ac:dyDescent="0.3">
      <c r="A11" s="3">
        <v>3</v>
      </c>
      <c r="B11" s="45" t="s">
        <v>61</v>
      </c>
      <c r="C11" s="16" t="s">
        <v>32</v>
      </c>
      <c r="D11" s="6" t="s">
        <v>35</v>
      </c>
      <c r="E11" s="56" t="s">
        <v>62</v>
      </c>
      <c r="F11" s="32" t="s">
        <v>55</v>
      </c>
      <c r="G11" s="32">
        <v>27000</v>
      </c>
      <c r="H11" s="43">
        <v>24.7</v>
      </c>
      <c r="I11" s="102">
        <f t="shared" si="0"/>
        <v>666900</v>
      </c>
      <c r="P11" s="79"/>
    </row>
    <row r="12" spans="1:16" ht="45.75" thickBot="1" x14ac:dyDescent="0.3">
      <c r="A12" s="3">
        <v>4</v>
      </c>
      <c r="B12" s="45" t="s">
        <v>9</v>
      </c>
      <c r="C12" s="16" t="s">
        <v>32</v>
      </c>
      <c r="D12" s="6" t="s">
        <v>35</v>
      </c>
      <c r="E12" s="54" t="s">
        <v>39</v>
      </c>
      <c r="F12" s="32" t="s">
        <v>55</v>
      </c>
      <c r="G12" s="32">
        <v>7000</v>
      </c>
      <c r="H12" s="43">
        <v>19</v>
      </c>
      <c r="I12" s="102">
        <f t="shared" si="0"/>
        <v>133000</v>
      </c>
    </row>
    <row r="13" spans="1:16" ht="30.75" thickBot="1" x14ac:dyDescent="0.3">
      <c r="A13" s="3">
        <v>5</v>
      </c>
      <c r="B13" s="45" t="s">
        <v>10</v>
      </c>
      <c r="C13" s="16" t="s">
        <v>32</v>
      </c>
      <c r="D13" s="6" t="s">
        <v>35</v>
      </c>
      <c r="E13" s="54" t="s">
        <v>40</v>
      </c>
      <c r="F13" s="32" t="s">
        <v>56</v>
      </c>
      <c r="G13" s="32">
        <v>7000</v>
      </c>
      <c r="H13" s="43">
        <v>215.4</v>
      </c>
      <c r="I13" s="102">
        <f t="shared" si="0"/>
        <v>1507800</v>
      </c>
    </row>
    <row r="14" spans="1:16" ht="60.75" thickBot="1" x14ac:dyDescent="0.3">
      <c r="A14" s="3">
        <v>6</v>
      </c>
      <c r="B14" s="45" t="s">
        <v>11</v>
      </c>
      <c r="C14" s="16" t="s">
        <v>32</v>
      </c>
      <c r="D14" s="6" t="str">
        <f>LEFT(B14,5)</f>
        <v>2.3.1</v>
      </c>
      <c r="E14" s="54" t="s">
        <v>41</v>
      </c>
      <c r="F14" s="32" t="s">
        <v>55</v>
      </c>
      <c r="G14" s="32">
        <v>14000</v>
      </c>
      <c r="H14" s="100">
        <v>73</v>
      </c>
      <c r="I14" s="102">
        <f t="shared" si="0"/>
        <v>1022000</v>
      </c>
      <c r="P14" s="84"/>
    </row>
    <row r="15" spans="1:16" ht="30.75" thickBot="1" x14ac:dyDescent="0.3">
      <c r="A15" s="3">
        <v>7</v>
      </c>
      <c r="B15" s="45" t="s">
        <v>126</v>
      </c>
      <c r="C15" s="16" t="s">
        <v>32</v>
      </c>
      <c r="D15" s="6" t="s">
        <v>35</v>
      </c>
      <c r="E15" s="24" t="s">
        <v>125</v>
      </c>
      <c r="F15" s="32" t="s">
        <v>55</v>
      </c>
      <c r="G15" s="32">
        <v>7000</v>
      </c>
      <c r="H15" s="100">
        <v>290</v>
      </c>
      <c r="I15" s="102">
        <f t="shared" si="0"/>
        <v>2030000</v>
      </c>
    </row>
    <row r="16" spans="1:16" ht="60.75" thickBot="1" x14ac:dyDescent="0.3">
      <c r="A16" s="3">
        <v>8</v>
      </c>
      <c r="B16" s="45" t="s">
        <v>12</v>
      </c>
      <c r="C16" s="16" t="s">
        <v>32</v>
      </c>
      <c r="D16" s="6" t="s">
        <v>60</v>
      </c>
      <c r="E16" s="54" t="s">
        <v>42</v>
      </c>
      <c r="F16" s="32" t="s">
        <v>106</v>
      </c>
      <c r="G16" s="32">
        <v>875</v>
      </c>
      <c r="H16" s="101">
        <v>100</v>
      </c>
      <c r="I16" s="102">
        <f t="shared" si="0"/>
        <v>87500</v>
      </c>
    </row>
    <row r="17" spans="1:13" ht="30.75" thickBot="1" x14ac:dyDescent="0.3">
      <c r="A17" s="3">
        <v>9</v>
      </c>
      <c r="B17" s="45" t="s">
        <v>13</v>
      </c>
      <c r="C17" s="16" t="s">
        <v>32</v>
      </c>
      <c r="D17" s="6" t="s">
        <v>35</v>
      </c>
      <c r="E17" s="54" t="s">
        <v>43</v>
      </c>
      <c r="F17" s="32" t="s">
        <v>55</v>
      </c>
      <c r="G17" s="32">
        <v>14000</v>
      </c>
      <c r="H17" s="100">
        <v>43</v>
      </c>
      <c r="I17" s="102">
        <f t="shared" si="0"/>
        <v>602000</v>
      </c>
    </row>
    <row r="18" spans="1:13" ht="30.75" thickBot="1" x14ac:dyDescent="0.3">
      <c r="A18" s="3">
        <v>10</v>
      </c>
      <c r="B18" s="45" t="s">
        <v>14</v>
      </c>
      <c r="C18" s="16" t="s">
        <v>32</v>
      </c>
      <c r="D18" s="6" t="s">
        <v>35</v>
      </c>
      <c r="E18" s="54" t="s">
        <v>44</v>
      </c>
      <c r="F18" s="32" t="s">
        <v>55</v>
      </c>
      <c r="G18" s="32">
        <v>20000</v>
      </c>
      <c r="H18" s="100">
        <v>40</v>
      </c>
      <c r="I18" s="102">
        <f t="shared" si="0"/>
        <v>800000</v>
      </c>
    </row>
    <row r="19" spans="1:13" ht="30.75" thickBot="1" x14ac:dyDescent="0.3">
      <c r="A19" s="3">
        <v>11</v>
      </c>
      <c r="B19" s="45" t="s">
        <v>15</v>
      </c>
      <c r="C19" s="16" t="s">
        <v>32</v>
      </c>
      <c r="D19" s="6" t="s">
        <v>35</v>
      </c>
      <c r="E19" s="54" t="s">
        <v>45</v>
      </c>
      <c r="F19" s="32" t="s">
        <v>55</v>
      </c>
      <c r="G19" s="32">
        <v>27000</v>
      </c>
      <c r="H19" s="100">
        <v>45</v>
      </c>
      <c r="I19" s="102">
        <f t="shared" si="0"/>
        <v>1215000</v>
      </c>
    </row>
    <row r="20" spans="1:13" ht="30.75" thickBot="1" x14ac:dyDescent="0.3">
      <c r="A20" s="3">
        <v>12</v>
      </c>
      <c r="B20" s="45" t="s">
        <v>16</v>
      </c>
      <c r="C20" s="16" t="s">
        <v>32</v>
      </c>
      <c r="D20" s="6" t="s">
        <v>35</v>
      </c>
      <c r="E20" s="54" t="s">
        <v>46</v>
      </c>
      <c r="F20" s="32" t="s">
        <v>55</v>
      </c>
      <c r="G20" s="32">
        <v>7000</v>
      </c>
      <c r="H20" s="100">
        <v>65</v>
      </c>
      <c r="I20" s="102">
        <f t="shared" si="0"/>
        <v>455000</v>
      </c>
    </row>
    <row r="21" spans="1:13" ht="30.75" thickBot="1" x14ac:dyDescent="0.3">
      <c r="A21" s="3">
        <v>13</v>
      </c>
      <c r="B21" s="45" t="s">
        <v>17</v>
      </c>
      <c r="C21" s="16" t="s">
        <v>32</v>
      </c>
      <c r="D21" s="6" t="str">
        <f>LEFT(B21,5)</f>
        <v>2.9.2</v>
      </c>
      <c r="E21" s="54" t="s">
        <v>47</v>
      </c>
      <c r="F21" s="32" t="s">
        <v>56</v>
      </c>
      <c r="G21" s="32">
        <v>7000</v>
      </c>
      <c r="H21" s="100">
        <v>50</v>
      </c>
      <c r="I21" s="102">
        <f t="shared" si="0"/>
        <v>350000</v>
      </c>
    </row>
    <row r="22" spans="1:13" ht="45.75" thickBot="1" x14ac:dyDescent="0.3">
      <c r="A22" s="3">
        <v>14</v>
      </c>
      <c r="B22" s="45" t="s">
        <v>18</v>
      </c>
      <c r="C22" s="16" t="s">
        <v>32</v>
      </c>
      <c r="D22" s="6" t="s">
        <v>35</v>
      </c>
      <c r="E22" s="54" t="s">
        <v>48</v>
      </c>
      <c r="F22" s="32" t="s">
        <v>55</v>
      </c>
      <c r="G22" s="32">
        <v>7000</v>
      </c>
      <c r="H22" s="100">
        <v>120</v>
      </c>
      <c r="I22" s="102">
        <f t="shared" si="0"/>
        <v>840000</v>
      </c>
    </row>
    <row r="23" spans="1:13" ht="30.75" thickBot="1" x14ac:dyDescent="0.3">
      <c r="A23" s="3">
        <v>15</v>
      </c>
      <c r="B23" s="45" t="s">
        <v>19</v>
      </c>
      <c r="C23" s="16" t="s">
        <v>32</v>
      </c>
      <c r="D23" s="6" t="s">
        <v>35</v>
      </c>
      <c r="E23" s="54" t="s">
        <v>49</v>
      </c>
      <c r="F23" s="32" t="s">
        <v>55</v>
      </c>
      <c r="G23" s="32">
        <v>20000</v>
      </c>
      <c r="H23" s="100">
        <v>49</v>
      </c>
      <c r="I23" s="102">
        <f t="shared" si="0"/>
        <v>980000</v>
      </c>
    </row>
    <row r="24" spans="1:13" ht="45.75" thickBot="1" x14ac:dyDescent="0.3">
      <c r="A24" s="3">
        <v>16</v>
      </c>
      <c r="B24" s="45" t="s">
        <v>20</v>
      </c>
      <c r="C24" s="16" t="s">
        <v>32</v>
      </c>
      <c r="D24" s="6" t="s">
        <v>35</v>
      </c>
      <c r="E24" s="54" t="s">
        <v>50</v>
      </c>
      <c r="F24" s="32" t="s">
        <v>55</v>
      </c>
      <c r="G24" s="32">
        <v>20000</v>
      </c>
      <c r="H24" s="100">
        <v>65</v>
      </c>
      <c r="I24" s="102">
        <f t="shared" si="0"/>
        <v>1300000</v>
      </c>
    </row>
    <row r="25" spans="1:13" ht="30.75" thickBot="1" x14ac:dyDescent="0.3">
      <c r="A25" s="3">
        <v>17</v>
      </c>
      <c r="B25" s="45" t="s">
        <v>21</v>
      </c>
      <c r="C25" s="16" t="s">
        <v>32</v>
      </c>
      <c r="D25" s="6" t="s">
        <v>35</v>
      </c>
      <c r="E25" s="54" t="s">
        <v>51</v>
      </c>
      <c r="F25" s="32" t="s">
        <v>55</v>
      </c>
      <c r="G25" s="32">
        <v>13000</v>
      </c>
      <c r="H25" s="100">
        <v>72</v>
      </c>
      <c r="I25" s="102">
        <f t="shared" si="0"/>
        <v>936000</v>
      </c>
    </row>
    <row r="26" spans="1:13" ht="45.75" thickBot="1" x14ac:dyDescent="0.3">
      <c r="A26" s="3">
        <v>18</v>
      </c>
      <c r="B26" s="47" t="s">
        <v>22</v>
      </c>
      <c r="C26" s="36" t="s">
        <v>32</v>
      </c>
      <c r="D26" s="34" t="s">
        <v>60</v>
      </c>
      <c r="E26" s="54" t="s">
        <v>100</v>
      </c>
      <c r="F26" s="32" t="s">
        <v>107</v>
      </c>
      <c r="G26" s="32">
        <v>13000</v>
      </c>
      <c r="H26" s="100">
        <v>155</v>
      </c>
      <c r="I26" s="102">
        <f t="shared" si="0"/>
        <v>2015000</v>
      </c>
    </row>
    <row r="27" spans="1:13" ht="30.75" thickBot="1" x14ac:dyDescent="0.3">
      <c r="A27" s="3">
        <v>19</v>
      </c>
      <c r="B27" s="45" t="s">
        <v>23</v>
      </c>
      <c r="C27" s="16" t="s">
        <v>32</v>
      </c>
      <c r="D27" s="48" t="s">
        <v>35</v>
      </c>
      <c r="E27" s="54" t="s">
        <v>52</v>
      </c>
      <c r="F27" s="32" t="s">
        <v>55</v>
      </c>
      <c r="G27" s="32">
        <v>40000</v>
      </c>
      <c r="H27" s="101">
        <v>36</v>
      </c>
      <c r="I27" s="102">
        <f>G27*H27</f>
        <v>1440000</v>
      </c>
      <c r="M27" s="99"/>
    </row>
    <row r="28" spans="1:13" ht="45" x14ac:dyDescent="0.25">
      <c r="A28" s="3">
        <v>20</v>
      </c>
      <c r="B28" s="45" t="s">
        <v>24</v>
      </c>
      <c r="C28" s="51" t="s">
        <v>32</v>
      </c>
      <c r="D28" s="6" t="s">
        <v>35</v>
      </c>
      <c r="E28" s="57" t="s">
        <v>53</v>
      </c>
      <c r="F28" s="32" t="s">
        <v>55</v>
      </c>
      <c r="G28" s="32">
        <v>1000</v>
      </c>
      <c r="H28" s="100">
        <v>145</v>
      </c>
      <c r="I28" s="58">
        <f t="shared" si="0"/>
        <v>145000</v>
      </c>
    </row>
    <row r="29" spans="1:13" ht="15.75" thickBot="1" x14ac:dyDescent="0.3">
      <c r="A29" s="4"/>
      <c r="B29" s="52"/>
      <c r="C29" s="17"/>
      <c r="D29" s="50"/>
      <c r="E29" s="26"/>
      <c r="F29" s="7"/>
      <c r="G29" s="7"/>
      <c r="H29" s="33"/>
      <c r="I29" s="33"/>
    </row>
    <row r="30" spans="1:13" x14ac:dyDescent="0.25">
      <c r="A30" s="1"/>
      <c r="B30" s="8" t="s">
        <v>108</v>
      </c>
      <c r="C30" s="18"/>
      <c r="D30" s="18"/>
      <c r="E30" s="27"/>
      <c r="F30" s="1"/>
      <c r="G30" s="1"/>
      <c r="H30" s="1"/>
      <c r="I30" s="1"/>
    </row>
    <row r="31" spans="1:13" x14ac:dyDescent="0.25">
      <c r="A31" s="1"/>
      <c r="B31" s="9"/>
      <c r="C31" s="1"/>
      <c r="D31" s="1"/>
      <c r="E31" s="28"/>
      <c r="F31" s="1"/>
      <c r="G31" s="1"/>
      <c r="H31" s="1"/>
      <c r="I31" s="1"/>
    </row>
    <row r="32" spans="1:13" x14ac:dyDescent="0.25">
      <c r="A32" s="1"/>
      <c r="B32" s="10" t="s">
        <v>109</v>
      </c>
      <c r="C32" s="1"/>
      <c r="D32" s="1"/>
      <c r="E32" s="28"/>
      <c r="F32" s="1"/>
      <c r="G32" s="1"/>
      <c r="H32" s="1"/>
      <c r="I32" s="1"/>
    </row>
    <row r="33" spans="1:9" x14ac:dyDescent="0.25">
      <c r="A33" s="1"/>
      <c r="B33" s="10"/>
      <c r="C33" s="118"/>
      <c r="D33" s="118"/>
      <c r="E33" s="113"/>
      <c r="F33" s="1"/>
      <c r="G33" s="1"/>
      <c r="H33" s="1"/>
      <c r="I33" s="1"/>
    </row>
    <row r="34" spans="1:9" x14ac:dyDescent="0.25">
      <c r="A34" s="1"/>
      <c r="B34" s="10" t="s">
        <v>25</v>
      </c>
      <c r="C34" s="1"/>
      <c r="D34" s="1"/>
      <c r="E34" s="28"/>
      <c r="F34" s="1"/>
      <c r="G34" s="1"/>
      <c r="H34" s="1"/>
      <c r="I34" s="1"/>
    </row>
    <row r="35" spans="1:9" ht="15" customHeight="1" x14ac:dyDescent="0.25">
      <c r="A35" s="1"/>
      <c r="B35" s="11"/>
      <c r="C35" s="119" t="s">
        <v>33</v>
      </c>
      <c r="D35" s="119"/>
      <c r="E35" s="115"/>
      <c r="F35" s="1"/>
      <c r="G35" s="1"/>
      <c r="H35" s="1"/>
      <c r="I35" s="1"/>
    </row>
    <row r="36" spans="1:9" ht="63" customHeight="1" x14ac:dyDescent="0.25">
      <c r="A36" s="1"/>
      <c r="B36" s="11"/>
      <c r="C36" s="119"/>
      <c r="D36" s="119"/>
      <c r="E36" s="115"/>
      <c r="F36" s="1"/>
      <c r="G36" s="1"/>
      <c r="H36" s="1"/>
      <c r="I36" s="1"/>
    </row>
    <row r="37" spans="1:9" x14ac:dyDescent="0.25">
      <c r="A37" s="1"/>
      <c r="B37" s="10" t="s">
        <v>26</v>
      </c>
      <c r="C37" s="1"/>
      <c r="D37" s="1"/>
      <c r="E37" s="28"/>
      <c r="F37" s="1"/>
      <c r="G37" s="1"/>
      <c r="H37" s="1"/>
      <c r="I37" s="1"/>
    </row>
    <row r="38" spans="1:9" x14ac:dyDescent="0.25">
      <c r="A38" s="1"/>
      <c r="B38" s="11"/>
      <c r="C38" s="118"/>
      <c r="D38" s="118"/>
      <c r="E38" s="113"/>
      <c r="F38" s="1"/>
      <c r="G38" s="1"/>
      <c r="H38" s="1"/>
      <c r="I38" s="1"/>
    </row>
    <row r="39" spans="1:9" x14ac:dyDescent="0.25">
      <c r="A39" s="1"/>
      <c r="B39" s="10" t="s">
        <v>27</v>
      </c>
      <c r="C39" s="19"/>
      <c r="D39" s="19"/>
      <c r="E39" s="29"/>
      <c r="F39" s="1"/>
      <c r="G39" s="1"/>
      <c r="H39" s="1"/>
      <c r="I39" s="1"/>
    </row>
    <row r="40" spans="1:9" x14ac:dyDescent="0.25">
      <c r="A40" s="1"/>
      <c r="B40" s="11"/>
      <c r="C40" s="118"/>
      <c r="D40" s="118"/>
      <c r="E40" s="113"/>
      <c r="F40" s="1"/>
      <c r="G40" s="1"/>
      <c r="H40" s="1"/>
      <c r="I40" s="1"/>
    </row>
    <row r="41" spans="1:9" x14ac:dyDescent="0.25">
      <c r="A41" s="1"/>
      <c r="B41" s="10" t="s">
        <v>28</v>
      </c>
      <c r="C41" s="1"/>
      <c r="D41" s="1"/>
      <c r="E41" s="28"/>
      <c r="F41" s="1"/>
      <c r="G41" s="1"/>
      <c r="I41" s="1"/>
    </row>
    <row r="42" spans="1:9" x14ac:dyDescent="0.25">
      <c r="A42" s="1"/>
      <c r="B42" s="10"/>
      <c r="C42" s="118"/>
      <c r="D42" s="118"/>
      <c r="E42" s="113"/>
      <c r="F42" s="1"/>
      <c r="G42" s="1"/>
      <c r="H42" s="1"/>
      <c r="I42" s="1"/>
    </row>
    <row r="43" spans="1:9" ht="15.75" thickBot="1" x14ac:dyDescent="0.3">
      <c r="A43" s="1"/>
      <c r="B43" s="12"/>
      <c r="C43" s="20"/>
      <c r="D43" s="20"/>
      <c r="E43" s="30"/>
      <c r="F43" s="1"/>
      <c r="G43" s="1"/>
      <c r="H43" s="1"/>
      <c r="I43" s="1"/>
    </row>
    <row r="44" spans="1:9" ht="15.75" thickBot="1" x14ac:dyDescent="0.3">
      <c r="A44" s="4"/>
      <c r="B44" s="52"/>
      <c r="C44" s="17"/>
      <c r="D44" s="49"/>
      <c r="E44" s="26"/>
      <c r="F44" s="7"/>
      <c r="G44" s="7"/>
      <c r="H44" s="33"/>
      <c r="I44" s="33"/>
    </row>
    <row r="45" spans="1:9" x14ac:dyDescent="0.25">
      <c r="A45" s="1"/>
      <c r="B45" s="8" t="s">
        <v>110</v>
      </c>
      <c r="C45" s="18"/>
      <c r="D45" s="18"/>
      <c r="E45" s="27"/>
      <c r="F45" s="1"/>
      <c r="G45" s="1"/>
      <c r="H45" s="1"/>
      <c r="I45" s="1"/>
    </row>
    <row r="46" spans="1:9" x14ac:dyDescent="0.25">
      <c r="A46" s="1"/>
      <c r="B46" s="9"/>
      <c r="C46" s="1"/>
      <c r="D46" s="1"/>
      <c r="E46" s="28"/>
      <c r="F46" s="1"/>
      <c r="G46" s="1"/>
      <c r="H46" s="1"/>
      <c r="I46" s="1"/>
    </row>
    <row r="47" spans="1:9" x14ac:dyDescent="0.25">
      <c r="A47" s="1"/>
      <c r="B47" s="10" t="s">
        <v>120</v>
      </c>
      <c r="C47" s="1"/>
      <c r="D47" s="1"/>
      <c r="E47" s="28"/>
      <c r="F47" s="1"/>
      <c r="G47" s="1"/>
      <c r="H47" s="1"/>
      <c r="I47" s="1"/>
    </row>
    <row r="48" spans="1:9" x14ac:dyDescent="0.25">
      <c r="A48" s="1"/>
      <c r="B48" s="10"/>
      <c r="C48" s="118"/>
      <c r="D48" s="118"/>
      <c r="E48" s="113"/>
      <c r="F48" s="1"/>
      <c r="G48" s="1"/>
      <c r="H48" s="1"/>
      <c r="I48" s="1"/>
    </row>
    <row r="49" spans="1:9" x14ac:dyDescent="0.25">
      <c r="A49" s="1"/>
      <c r="B49" s="10" t="s">
        <v>25</v>
      </c>
      <c r="C49" s="1"/>
      <c r="D49" s="1"/>
      <c r="E49" s="28"/>
      <c r="F49" s="1"/>
      <c r="G49" s="1"/>
      <c r="H49" s="1"/>
      <c r="I49" s="1"/>
    </row>
    <row r="50" spans="1:9" x14ac:dyDescent="0.25">
      <c r="A50" s="1"/>
      <c r="B50" s="11"/>
      <c r="C50" s="119" t="s">
        <v>33</v>
      </c>
      <c r="D50" s="119"/>
      <c r="E50" s="115"/>
      <c r="F50" s="1"/>
      <c r="G50" s="1"/>
      <c r="H50" s="1"/>
      <c r="I50" s="1"/>
    </row>
    <row r="51" spans="1:9" ht="63" customHeight="1" x14ac:dyDescent="0.25">
      <c r="A51" s="1"/>
      <c r="B51" s="11"/>
      <c r="C51" s="119"/>
      <c r="D51" s="119"/>
      <c r="E51" s="115"/>
      <c r="F51" s="1"/>
    </row>
    <row r="52" spans="1:9" x14ac:dyDescent="0.25">
      <c r="A52" s="1"/>
      <c r="B52" s="10" t="s">
        <v>26</v>
      </c>
      <c r="C52" s="1"/>
      <c r="D52" s="1"/>
      <c r="E52" s="28"/>
      <c r="F52" s="1"/>
      <c r="G52" s="1"/>
      <c r="H52" s="1"/>
      <c r="I52" s="1"/>
    </row>
    <row r="53" spans="1:9" x14ac:dyDescent="0.25">
      <c r="A53" s="1"/>
      <c r="B53" s="11"/>
      <c r="C53" s="118"/>
      <c r="D53" s="118"/>
      <c r="E53" s="113"/>
      <c r="F53" s="1"/>
      <c r="G53" s="1"/>
      <c r="H53" s="1"/>
      <c r="I53" s="1"/>
    </row>
    <row r="54" spans="1:9" x14ac:dyDescent="0.25">
      <c r="A54" s="1"/>
      <c r="B54" s="10" t="s">
        <v>27</v>
      </c>
      <c r="C54" s="19"/>
      <c r="D54" s="19"/>
      <c r="E54" s="29"/>
      <c r="F54" s="1"/>
      <c r="G54" s="1"/>
      <c r="H54" s="1"/>
      <c r="I54" s="1"/>
    </row>
    <row r="55" spans="1:9" x14ac:dyDescent="0.25">
      <c r="A55" s="1"/>
      <c r="B55" s="11"/>
      <c r="C55" s="118"/>
      <c r="D55" s="118"/>
      <c r="E55" s="113"/>
      <c r="F55" s="1"/>
      <c r="G55" s="1"/>
      <c r="H55" s="1"/>
      <c r="I55" s="1"/>
    </row>
    <row r="56" spans="1:9" x14ac:dyDescent="0.25">
      <c r="A56" s="1"/>
      <c r="B56" s="10" t="s">
        <v>28</v>
      </c>
      <c r="C56" s="1"/>
      <c r="D56" s="1"/>
      <c r="E56" s="28"/>
      <c r="F56" s="1"/>
      <c r="G56" s="1"/>
      <c r="H56" s="1"/>
      <c r="I56" s="1"/>
    </row>
    <row r="57" spans="1:9" x14ac:dyDescent="0.25">
      <c r="A57" s="1"/>
      <c r="B57" s="10"/>
      <c r="C57" s="118"/>
      <c r="D57" s="120"/>
      <c r="E57" s="117"/>
      <c r="F57" s="1"/>
      <c r="G57" s="1"/>
      <c r="H57" s="1"/>
      <c r="I57" s="1"/>
    </row>
    <row r="58" spans="1:9" ht="15.75" thickBot="1" x14ac:dyDescent="0.3">
      <c r="A58" s="1"/>
      <c r="B58" s="12"/>
      <c r="C58" s="20"/>
      <c r="D58" s="20"/>
      <c r="E58" s="30"/>
      <c r="F58" s="1"/>
      <c r="G58" s="1"/>
      <c r="H58" s="1"/>
      <c r="I58" s="1"/>
    </row>
    <row r="59" spans="1:9" x14ac:dyDescent="0.25">
      <c r="A59" s="1"/>
      <c r="B59" s="8" t="s">
        <v>112</v>
      </c>
      <c r="C59" s="18"/>
      <c r="D59" s="18"/>
      <c r="E59" s="27"/>
      <c r="F59" s="1"/>
      <c r="G59" s="1"/>
      <c r="H59" s="1"/>
      <c r="I59" s="1"/>
    </row>
    <row r="60" spans="1:9" x14ac:dyDescent="0.25">
      <c r="B60" s="9"/>
      <c r="C60" s="106"/>
      <c r="D60" s="106"/>
      <c r="E60" s="28"/>
    </row>
    <row r="61" spans="1:9" x14ac:dyDescent="0.25">
      <c r="B61" s="10" t="s">
        <v>127</v>
      </c>
      <c r="C61" s="106"/>
      <c r="D61" s="106"/>
      <c r="E61" s="28"/>
      <c r="G61" s="105"/>
    </row>
    <row r="62" spans="1:9" x14ac:dyDescent="0.25">
      <c r="B62" s="10"/>
      <c r="C62" s="112"/>
      <c r="D62" s="112"/>
      <c r="E62" s="113"/>
    </row>
    <row r="63" spans="1:9" x14ac:dyDescent="0.25">
      <c r="B63" s="10" t="s">
        <v>25</v>
      </c>
      <c r="C63" s="106"/>
      <c r="D63" s="106"/>
      <c r="E63" s="28"/>
    </row>
    <row r="64" spans="1:9" x14ac:dyDescent="0.25">
      <c r="B64" s="11"/>
      <c r="C64" s="114" t="s">
        <v>33</v>
      </c>
      <c r="D64" s="114"/>
      <c r="E64" s="115"/>
    </row>
    <row r="65" spans="2:5" ht="72" customHeight="1" x14ac:dyDescent="0.25">
      <c r="B65" s="11"/>
      <c r="C65" s="114"/>
      <c r="D65" s="114"/>
      <c r="E65" s="115"/>
    </row>
    <row r="66" spans="2:5" ht="15" customHeight="1" x14ac:dyDescent="0.25">
      <c r="B66" s="11"/>
      <c r="C66" s="110"/>
      <c r="D66" s="110"/>
      <c r="E66" s="111"/>
    </row>
    <row r="67" spans="2:5" ht="15" customHeight="1" x14ac:dyDescent="0.25">
      <c r="B67" s="11"/>
      <c r="C67" s="110"/>
      <c r="D67" s="110"/>
      <c r="E67" s="111"/>
    </row>
    <row r="68" spans="2:5" x14ac:dyDescent="0.25">
      <c r="B68" s="10" t="s">
        <v>26</v>
      </c>
      <c r="C68" s="106"/>
      <c r="D68" s="106"/>
      <c r="E68" s="28"/>
    </row>
    <row r="69" spans="2:5" x14ac:dyDescent="0.25">
      <c r="B69" s="11"/>
      <c r="C69" s="112"/>
      <c r="D69" s="112"/>
      <c r="E69" s="113"/>
    </row>
    <row r="70" spans="2:5" x14ac:dyDescent="0.25">
      <c r="B70" s="10" t="s">
        <v>27</v>
      </c>
      <c r="C70" s="109"/>
      <c r="D70" s="109"/>
      <c r="E70" s="29"/>
    </row>
    <row r="71" spans="2:5" x14ac:dyDescent="0.25">
      <c r="B71" s="11"/>
      <c r="C71" s="112"/>
      <c r="D71" s="112"/>
      <c r="E71" s="113"/>
    </row>
    <row r="72" spans="2:5" x14ac:dyDescent="0.25">
      <c r="B72" s="10" t="s">
        <v>28</v>
      </c>
      <c r="C72" s="106"/>
      <c r="D72" s="106"/>
      <c r="E72" s="28"/>
    </row>
    <row r="73" spans="2:5" x14ac:dyDescent="0.25">
      <c r="B73" s="10"/>
      <c r="C73" s="112"/>
      <c r="D73" s="116"/>
      <c r="E73" s="117"/>
    </row>
    <row r="74" spans="2:5" ht="15.75" thickBot="1" x14ac:dyDescent="0.3">
      <c r="B74" s="12"/>
      <c r="C74" s="20"/>
      <c r="D74" s="20"/>
      <c r="E74" s="30"/>
    </row>
    <row r="75" spans="2:5" ht="15.75" thickBot="1" x14ac:dyDescent="0.3">
      <c r="B75" s="108"/>
      <c r="C75" s="106"/>
      <c r="D75" s="106"/>
      <c r="E75" s="106"/>
    </row>
    <row r="76" spans="2:5" x14ac:dyDescent="0.25">
      <c r="B76" s="8" t="s">
        <v>116</v>
      </c>
      <c r="C76" s="18"/>
      <c r="D76" s="18"/>
      <c r="E76" s="27"/>
    </row>
    <row r="77" spans="2:5" x14ac:dyDescent="0.25">
      <c r="B77" s="9"/>
      <c r="C77" s="106"/>
      <c r="D77" s="106"/>
      <c r="E77" s="28"/>
    </row>
    <row r="78" spans="2:5" x14ac:dyDescent="0.25">
      <c r="B78" s="10" t="s">
        <v>122</v>
      </c>
      <c r="C78" s="106"/>
      <c r="D78" s="106"/>
      <c r="E78" s="28"/>
    </row>
    <row r="79" spans="2:5" x14ac:dyDescent="0.25">
      <c r="B79" s="10"/>
      <c r="C79" s="112"/>
      <c r="D79" s="112"/>
      <c r="E79" s="113"/>
    </row>
    <row r="80" spans="2:5" x14ac:dyDescent="0.25">
      <c r="B80" s="10" t="s">
        <v>25</v>
      </c>
      <c r="C80" s="106"/>
      <c r="D80" s="106"/>
      <c r="E80" s="28"/>
    </row>
    <row r="81" spans="2:5" x14ac:dyDescent="0.25">
      <c r="B81" s="11"/>
      <c r="C81" s="114" t="s">
        <v>33</v>
      </c>
      <c r="D81" s="114"/>
      <c r="E81" s="115"/>
    </row>
    <row r="82" spans="2:5" ht="44.25" customHeight="1" x14ac:dyDescent="0.25">
      <c r="B82" s="11"/>
      <c r="C82" s="114"/>
      <c r="D82" s="114"/>
      <c r="E82" s="115"/>
    </row>
    <row r="83" spans="2:5" x14ac:dyDescent="0.25">
      <c r="B83" s="10" t="s">
        <v>26</v>
      </c>
      <c r="C83" s="106"/>
      <c r="D83" s="106"/>
      <c r="E83" s="28"/>
    </row>
    <row r="84" spans="2:5" x14ac:dyDescent="0.25">
      <c r="B84" s="11"/>
      <c r="C84" s="112"/>
      <c r="D84" s="112"/>
      <c r="E84" s="113"/>
    </row>
    <row r="85" spans="2:5" x14ac:dyDescent="0.25">
      <c r="B85" s="10" t="s">
        <v>27</v>
      </c>
      <c r="C85" s="109"/>
      <c r="D85" s="109"/>
      <c r="E85" s="29"/>
    </row>
    <row r="86" spans="2:5" x14ac:dyDescent="0.25">
      <c r="B86" s="11"/>
      <c r="C86" s="112"/>
      <c r="D86" s="112"/>
      <c r="E86" s="113"/>
    </row>
    <row r="87" spans="2:5" x14ac:dyDescent="0.25">
      <c r="B87" s="10" t="s">
        <v>28</v>
      </c>
      <c r="C87" s="106"/>
      <c r="D87" s="106"/>
      <c r="E87" s="28"/>
    </row>
    <row r="88" spans="2:5" x14ac:dyDescent="0.25">
      <c r="B88" s="10"/>
      <c r="C88" s="112"/>
      <c r="D88" s="116"/>
      <c r="E88" s="117"/>
    </row>
    <row r="89" spans="2:5" ht="15.75" thickBot="1" x14ac:dyDescent="0.3">
      <c r="B89" s="12"/>
      <c r="C89" s="20"/>
      <c r="D89" s="20"/>
      <c r="E89" s="30"/>
    </row>
    <row r="90" spans="2:5" x14ac:dyDescent="0.25">
      <c r="B90" s="108"/>
      <c r="C90" s="106"/>
      <c r="D90" s="106"/>
      <c r="E90" s="106"/>
    </row>
    <row r="91" spans="2:5" ht="15.75" thickBot="1" x14ac:dyDescent="0.3">
      <c r="B91" s="108"/>
      <c r="C91" s="106"/>
      <c r="D91" s="106"/>
      <c r="E91" s="106"/>
    </row>
    <row r="92" spans="2:5" x14ac:dyDescent="0.25">
      <c r="B92" s="8" t="s">
        <v>111</v>
      </c>
      <c r="C92" s="18"/>
      <c r="D92" s="18"/>
      <c r="E92" s="27"/>
    </row>
    <row r="93" spans="2:5" x14ac:dyDescent="0.25">
      <c r="B93" s="9"/>
      <c r="C93" s="106"/>
      <c r="D93" s="106"/>
      <c r="E93" s="28"/>
    </row>
    <row r="94" spans="2:5" x14ac:dyDescent="0.25">
      <c r="B94" s="10" t="s">
        <v>121</v>
      </c>
      <c r="C94" s="106"/>
      <c r="D94" s="106"/>
      <c r="E94" s="28"/>
    </row>
    <row r="95" spans="2:5" x14ac:dyDescent="0.25">
      <c r="B95" s="10"/>
      <c r="C95" s="112"/>
      <c r="D95" s="112"/>
      <c r="E95" s="113"/>
    </row>
    <row r="96" spans="2:5" x14ac:dyDescent="0.25">
      <c r="B96" s="10" t="s">
        <v>25</v>
      </c>
      <c r="C96" s="106"/>
      <c r="D96" s="106"/>
      <c r="E96" s="28"/>
    </row>
    <row r="97" spans="2:5" x14ac:dyDescent="0.25">
      <c r="B97" s="11"/>
      <c r="C97" s="114" t="s">
        <v>33</v>
      </c>
      <c r="D97" s="114"/>
      <c r="E97" s="115"/>
    </row>
    <row r="98" spans="2:5" ht="60.75" customHeight="1" x14ac:dyDescent="0.25">
      <c r="B98" s="11"/>
      <c r="C98" s="114"/>
      <c r="D98" s="114"/>
      <c r="E98" s="115"/>
    </row>
    <row r="99" spans="2:5" x14ac:dyDescent="0.25">
      <c r="B99" s="10" t="s">
        <v>26</v>
      </c>
      <c r="C99" s="106"/>
      <c r="D99" s="106"/>
      <c r="E99" s="28"/>
    </row>
    <row r="100" spans="2:5" ht="15" customHeight="1" x14ac:dyDescent="0.25">
      <c r="B100" s="11"/>
      <c r="C100" s="112"/>
      <c r="D100" s="112"/>
      <c r="E100" s="113"/>
    </row>
    <row r="101" spans="2:5" x14ac:dyDescent="0.25">
      <c r="B101" s="10" t="s">
        <v>27</v>
      </c>
      <c r="C101" s="109"/>
      <c r="D101" s="109"/>
      <c r="E101" s="29"/>
    </row>
    <row r="102" spans="2:5" x14ac:dyDescent="0.25">
      <c r="B102" s="11"/>
      <c r="C102" s="112"/>
      <c r="D102" s="112"/>
      <c r="E102" s="113"/>
    </row>
    <row r="103" spans="2:5" x14ac:dyDescent="0.25">
      <c r="B103" s="10" t="s">
        <v>28</v>
      </c>
      <c r="C103" s="106"/>
      <c r="D103" s="106"/>
      <c r="E103" s="28"/>
    </row>
    <row r="104" spans="2:5" x14ac:dyDescent="0.25">
      <c r="B104" s="10"/>
      <c r="C104" s="112"/>
      <c r="D104" s="116"/>
      <c r="E104" s="117"/>
    </row>
    <row r="105" spans="2:5" ht="15.75" thickBot="1" x14ac:dyDescent="0.3">
      <c r="B105" s="12"/>
      <c r="C105" s="20"/>
      <c r="D105" s="20"/>
      <c r="E105" s="30"/>
    </row>
    <row r="106" spans="2:5" x14ac:dyDescent="0.25">
      <c r="B106" s="107"/>
      <c r="C106" s="106"/>
      <c r="D106" s="106"/>
      <c r="E106" s="106"/>
    </row>
    <row r="107" spans="2:5" ht="15.75" thickBot="1" x14ac:dyDescent="0.3">
      <c r="B107" s="107"/>
      <c r="C107" s="112"/>
      <c r="D107" s="116"/>
      <c r="E107" s="116"/>
    </row>
    <row r="108" spans="2:5" x14ac:dyDescent="0.25">
      <c r="B108" s="8" t="s">
        <v>113</v>
      </c>
      <c r="C108" s="18"/>
      <c r="D108" s="18"/>
      <c r="E108" s="27"/>
    </row>
    <row r="109" spans="2:5" x14ac:dyDescent="0.25">
      <c r="B109" s="9"/>
      <c r="C109" s="106"/>
      <c r="D109" s="106"/>
      <c r="E109" s="28"/>
    </row>
    <row r="110" spans="2:5" x14ac:dyDescent="0.25">
      <c r="B110" s="10" t="s">
        <v>123</v>
      </c>
      <c r="C110" s="106"/>
      <c r="D110" s="106"/>
      <c r="E110" s="28"/>
    </row>
    <row r="111" spans="2:5" x14ac:dyDescent="0.25">
      <c r="B111" s="10"/>
      <c r="C111" s="112"/>
      <c r="D111" s="112"/>
      <c r="E111" s="113"/>
    </row>
    <row r="112" spans="2:5" x14ac:dyDescent="0.25">
      <c r="B112" s="10" t="s">
        <v>25</v>
      </c>
      <c r="C112" s="106"/>
      <c r="D112" s="106"/>
      <c r="E112" s="28"/>
    </row>
    <row r="113" spans="2:6" x14ac:dyDescent="0.25">
      <c r="B113" s="11"/>
      <c r="C113" s="114" t="s">
        <v>33</v>
      </c>
      <c r="D113" s="114"/>
      <c r="E113" s="115"/>
    </row>
    <row r="114" spans="2:6" ht="60.75" customHeight="1" x14ac:dyDescent="0.25">
      <c r="B114" s="11"/>
      <c r="C114" s="114"/>
      <c r="D114" s="114"/>
      <c r="E114" s="115"/>
    </row>
    <row r="115" spans="2:6" x14ac:dyDescent="0.25">
      <c r="B115" s="10" t="s">
        <v>26</v>
      </c>
      <c r="C115" s="106"/>
      <c r="D115" s="106"/>
      <c r="E115" s="28"/>
    </row>
    <row r="116" spans="2:6" x14ac:dyDescent="0.25">
      <c r="B116" s="11"/>
      <c r="C116" s="112"/>
      <c r="D116" s="112"/>
      <c r="E116" s="113"/>
    </row>
    <row r="117" spans="2:6" x14ac:dyDescent="0.25">
      <c r="B117" s="10" t="s">
        <v>27</v>
      </c>
      <c r="C117" s="109"/>
      <c r="D117" s="109"/>
      <c r="E117" s="29"/>
    </row>
    <row r="118" spans="2:6" x14ac:dyDescent="0.25">
      <c r="B118" s="11"/>
      <c r="C118" s="112"/>
      <c r="D118" s="112"/>
      <c r="E118" s="113"/>
    </row>
    <row r="119" spans="2:6" x14ac:dyDescent="0.25">
      <c r="B119" s="10" t="s">
        <v>28</v>
      </c>
      <c r="C119" s="106"/>
      <c r="D119" s="106"/>
      <c r="E119" s="28"/>
    </row>
    <row r="120" spans="2:6" x14ac:dyDescent="0.25">
      <c r="B120" s="10"/>
      <c r="C120" s="112"/>
      <c r="D120" s="116"/>
      <c r="E120" s="117"/>
    </row>
    <row r="121" spans="2:6" ht="15.75" thickBot="1" x14ac:dyDescent="0.3">
      <c r="B121" s="12"/>
      <c r="C121" s="20"/>
      <c r="D121" s="20"/>
      <c r="E121" s="30"/>
    </row>
    <row r="122" spans="2:6" ht="15.75" thickBot="1" x14ac:dyDescent="0.3"/>
    <row r="123" spans="2:6" x14ac:dyDescent="0.25">
      <c r="B123" s="8" t="s">
        <v>114</v>
      </c>
      <c r="C123" s="18"/>
      <c r="D123" s="18"/>
      <c r="E123" s="27"/>
    </row>
    <row r="124" spans="2:6" x14ac:dyDescent="0.25">
      <c r="B124" s="9"/>
      <c r="C124" s="106"/>
      <c r="D124" s="106"/>
      <c r="E124" s="28"/>
    </row>
    <row r="125" spans="2:6" x14ac:dyDescent="0.25">
      <c r="B125" s="124" t="s">
        <v>117</v>
      </c>
      <c r="C125" s="125"/>
      <c r="D125" s="125"/>
      <c r="E125" s="125"/>
      <c r="F125" s="125"/>
    </row>
    <row r="126" spans="2:6" x14ac:dyDescent="0.25">
      <c r="B126" s="10"/>
      <c r="C126" s="112"/>
      <c r="D126" s="112"/>
      <c r="E126" s="113"/>
    </row>
    <row r="127" spans="2:6" x14ac:dyDescent="0.25">
      <c r="B127" s="10" t="s">
        <v>25</v>
      </c>
      <c r="C127" s="106"/>
      <c r="D127" s="106"/>
      <c r="E127" s="28"/>
    </row>
    <row r="128" spans="2:6" x14ac:dyDescent="0.25">
      <c r="B128" s="11"/>
      <c r="C128" s="114" t="s">
        <v>33</v>
      </c>
      <c r="D128" s="114"/>
      <c r="E128" s="115"/>
    </row>
    <row r="129" spans="2:5" ht="58.5" customHeight="1" x14ac:dyDescent="0.25">
      <c r="B129" s="11"/>
      <c r="C129" s="114"/>
      <c r="D129" s="114"/>
      <c r="E129" s="115"/>
    </row>
    <row r="130" spans="2:5" x14ac:dyDescent="0.25">
      <c r="B130" s="10" t="s">
        <v>26</v>
      </c>
      <c r="C130" s="106"/>
      <c r="D130" s="106"/>
      <c r="E130" s="28"/>
    </row>
    <row r="131" spans="2:5" x14ac:dyDescent="0.25">
      <c r="B131" s="11"/>
      <c r="C131" s="112"/>
      <c r="D131" s="112"/>
      <c r="E131" s="113"/>
    </row>
    <row r="132" spans="2:5" x14ac:dyDescent="0.25">
      <c r="B132" s="10" t="s">
        <v>27</v>
      </c>
      <c r="C132" s="109"/>
      <c r="D132" s="109"/>
      <c r="E132" s="29"/>
    </row>
    <row r="133" spans="2:5" x14ac:dyDescent="0.25">
      <c r="B133" s="11"/>
      <c r="C133" s="112"/>
      <c r="D133" s="112"/>
      <c r="E133" s="113"/>
    </row>
    <row r="134" spans="2:5" x14ac:dyDescent="0.25">
      <c r="B134" s="10" t="s">
        <v>28</v>
      </c>
      <c r="C134" s="106"/>
      <c r="D134" s="106"/>
      <c r="E134" s="28"/>
    </row>
    <row r="135" spans="2:5" x14ac:dyDescent="0.25">
      <c r="B135" s="10"/>
      <c r="C135" s="112"/>
      <c r="D135" s="116"/>
      <c r="E135" s="117"/>
    </row>
    <row r="136" spans="2:5" ht="15.75" thickBot="1" x14ac:dyDescent="0.3">
      <c r="B136" s="12"/>
      <c r="C136" s="20"/>
      <c r="D136" s="20"/>
      <c r="E136" s="30"/>
    </row>
    <row r="137" spans="2:5" ht="15.75" thickBot="1" x14ac:dyDescent="0.3"/>
    <row r="138" spans="2:5" x14ac:dyDescent="0.25">
      <c r="B138" s="8" t="s">
        <v>115</v>
      </c>
      <c r="C138" s="18"/>
      <c r="D138" s="18"/>
      <c r="E138" s="27"/>
    </row>
    <row r="139" spans="2:5" x14ac:dyDescent="0.25">
      <c r="B139" s="9"/>
      <c r="C139" s="106"/>
      <c r="D139" s="106"/>
      <c r="E139" s="28"/>
    </row>
    <row r="140" spans="2:5" x14ac:dyDescent="0.25">
      <c r="B140" s="10" t="s">
        <v>124</v>
      </c>
      <c r="C140" s="106"/>
      <c r="D140" s="106"/>
      <c r="E140" s="28"/>
    </row>
    <row r="141" spans="2:5" x14ac:dyDescent="0.25">
      <c r="B141" s="10"/>
      <c r="C141" s="112"/>
      <c r="D141" s="112"/>
      <c r="E141" s="113"/>
    </row>
    <row r="142" spans="2:5" x14ac:dyDescent="0.25">
      <c r="B142" s="10" t="s">
        <v>25</v>
      </c>
      <c r="C142" s="106"/>
      <c r="D142" s="106"/>
      <c r="E142" s="28"/>
    </row>
    <row r="143" spans="2:5" x14ac:dyDescent="0.25">
      <c r="B143" s="11"/>
      <c r="C143" s="114" t="s">
        <v>33</v>
      </c>
      <c r="D143" s="114"/>
      <c r="E143" s="115"/>
    </row>
    <row r="144" spans="2:5" ht="58.5" customHeight="1" x14ac:dyDescent="0.25">
      <c r="B144" s="11"/>
      <c r="C144" s="114"/>
      <c r="D144" s="114"/>
      <c r="E144" s="115"/>
    </row>
    <row r="145" spans="2:5" x14ac:dyDescent="0.25">
      <c r="B145" s="10" t="s">
        <v>26</v>
      </c>
      <c r="C145" s="106"/>
      <c r="D145" s="106"/>
      <c r="E145" s="28"/>
    </row>
    <row r="146" spans="2:5" x14ac:dyDescent="0.25">
      <c r="B146" s="11"/>
      <c r="C146" s="112"/>
      <c r="D146" s="112"/>
      <c r="E146" s="113"/>
    </row>
    <row r="147" spans="2:5" x14ac:dyDescent="0.25">
      <c r="B147" s="10" t="s">
        <v>27</v>
      </c>
      <c r="C147" s="109"/>
      <c r="D147" s="109"/>
      <c r="E147" s="29"/>
    </row>
    <row r="148" spans="2:5" x14ac:dyDescent="0.25">
      <c r="B148" s="11"/>
      <c r="C148" s="112"/>
      <c r="D148" s="112"/>
      <c r="E148" s="113"/>
    </row>
    <row r="149" spans="2:5" x14ac:dyDescent="0.25">
      <c r="B149" s="10" t="s">
        <v>28</v>
      </c>
      <c r="C149" s="106"/>
      <c r="D149" s="106"/>
      <c r="E149" s="28"/>
    </row>
    <row r="150" spans="2:5" x14ac:dyDescent="0.25">
      <c r="B150" s="10"/>
      <c r="C150" s="112"/>
      <c r="D150" s="116"/>
      <c r="E150" s="117"/>
    </row>
    <row r="151" spans="2:5" ht="15.75" thickBot="1" x14ac:dyDescent="0.3">
      <c r="B151" s="12"/>
      <c r="C151" s="20"/>
      <c r="D151" s="20"/>
      <c r="E151" s="30"/>
    </row>
    <row r="152" spans="2:5" ht="15.75" thickBot="1" x14ac:dyDescent="0.3"/>
    <row r="153" spans="2:5" x14ac:dyDescent="0.25">
      <c r="B153" s="8" t="s">
        <v>119</v>
      </c>
      <c r="C153" s="18"/>
      <c r="D153" s="18"/>
      <c r="E153" s="27"/>
    </row>
    <row r="154" spans="2:5" x14ac:dyDescent="0.25">
      <c r="B154" s="9"/>
      <c r="C154" s="106"/>
      <c r="D154" s="106"/>
      <c r="E154" s="28"/>
    </row>
    <row r="155" spans="2:5" x14ac:dyDescent="0.25">
      <c r="B155" s="10" t="s">
        <v>118</v>
      </c>
      <c r="C155" s="106"/>
      <c r="D155" s="106"/>
      <c r="E155" s="28"/>
    </row>
    <row r="156" spans="2:5" x14ac:dyDescent="0.25">
      <c r="B156" s="10"/>
      <c r="C156" s="112"/>
      <c r="D156" s="112"/>
      <c r="E156" s="113"/>
    </row>
    <row r="157" spans="2:5" x14ac:dyDescent="0.25">
      <c r="B157" s="10" t="s">
        <v>25</v>
      </c>
      <c r="C157" s="106"/>
      <c r="D157" s="106"/>
      <c r="E157" s="28"/>
    </row>
    <row r="158" spans="2:5" x14ac:dyDescent="0.25">
      <c r="B158" s="11"/>
      <c r="C158" s="114" t="s">
        <v>33</v>
      </c>
      <c r="D158" s="114"/>
      <c r="E158" s="115"/>
    </row>
    <row r="159" spans="2:5" ht="48" customHeight="1" x14ac:dyDescent="0.25">
      <c r="B159" s="11"/>
      <c r="C159" s="114"/>
      <c r="D159" s="114"/>
      <c r="E159" s="115"/>
    </row>
    <row r="160" spans="2:5" x14ac:dyDescent="0.25">
      <c r="B160" s="10" t="s">
        <v>26</v>
      </c>
      <c r="C160" s="106"/>
      <c r="D160" s="106"/>
      <c r="E160" s="28"/>
    </row>
    <row r="161" spans="2:5" x14ac:dyDescent="0.25">
      <c r="B161" s="11"/>
      <c r="C161" s="112"/>
      <c r="D161" s="112"/>
      <c r="E161" s="113"/>
    </row>
    <row r="162" spans="2:5" x14ac:dyDescent="0.25">
      <c r="B162" s="10" t="s">
        <v>27</v>
      </c>
      <c r="C162" s="109"/>
      <c r="D162" s="109"/>
      <c r="E162" s="29"/>
    </row>
    <row r="163" spans="2:5" x14ac:dyDescent="0.25">
      <c r="B163" s="11"/>
      <c r="C163" s="112"/>
      <c r="D163" s="112"/>
      <c r="E163" s="113"/>
    </row>
    <row r="164" spans="2:5" x14ac:dyDescent="0.25">
      <c r="B164" s="10" t="s">
        <v>28</v>
      </c>
      <c r="C164" s="106"/>
      <c r="D164" s="106"/>
      <c r="E164" s="28"/>
    </row>
    <row r="165" spans="2:5" x14ac:dyDescent="0.25">
      <c r="B165" s="10"/>
      <c r="C165" s="112"/>
      <c r="D165" s="116"/>
      <c r="E165" s="117"/>
    </row>
    <row r="166" spans="2:5" ht="15.75" thickBot="1" x14ac:dyDescent="0.3">
      <c r="B166" s="12"/>
      <c r="C166" s="20"/>
      <c r="D166" s="20"/>
      <c r="E166" s="30"/>
    </row>
  </sheetData>
  <autoFilter ref="A8:I28" xr:uid="{00000000-0009-0000-0000-000000000000}"/>
  <mergeCells count="54">
    <mergeCell ref="C135:E135"/>
    <mergeCell ref="C111:E111"/>
    <mergeCell ref="C113:E114"/>
    <mergeCell ref="C116:E116"/>
    <mergeCell ref="C118:E118"/>
    <mergeCell ref="C120:E120"/>
    <mergeCell ref="B125:F125"/>
    <mergeCell ref="C126:E126"/>
    <mergeCell ref="C128:E129"/>
    <mergeCell ref="C131:E131"/>
    <mergeCell ref="C133:E133"/>
    <mergeCell ref="C40:E40"/>
    <mergeCell ref="C42:E42"/>
    <mergeCell ref="B1:H1"/>
    <mergeCell ref="A3:B3"/>
    <mergeCell ref="C3:E3"/>
    <mergeCell ref="A4:B4"/>
    <mergeCell ref="C4:E4"/>
    <mergeCell ref="A5:B5"/>
    <mergeCell ref="A6:B6"/>
    <mergeCell ref="C33:E33"/>
    <mergeCell ref="C35:E36"/>
    <mergeCell ref="C38:E38"/>
    <mergeCell ref="C107:E107"/>
    <mergeCell ref="C48:E48"/>
    <mergeCell ref="C50:E51"/>
    <mergeCell ref="C53:E53"/>
    <mergeCell ref="C55:E55"/>
    <mergeCell ref="C57:E57"/>
    <mergeCell ref="C79:E79"/>
    <mergeCell ref="C81:E82"/>
    <mergeCell ref="C84:E84"/>
    <mergeCell ref="C86:E86"/>
    <mergeCell ref="C88:E88"/>
    <mergeCell ref="C62:E62"/>
    <mergeCell ref="C64:E65"/>
    <mergeCell ref="C69:E69"/>
    <mergeCell ref="C71:E71"/>
    <mergeCell ref="C73:E73"/>
    <mergeCell ref="C95:E95"/>
    <mergeCell ref="C97:E98"/>
    <mergeCell ref="C100:E100"/>
    <mergeCell ref="C102:E102"/>
    <mergeCell ref="C104:E104"/>
    <mergeCell ref="C141:E141"/>
    <mergeCell ref="C143:E144"/>
    <mergeCell ref="C146:E146"/>
    <mergeCell ref="C148:E148"/>
    <mergeCell ref="C150:E150"/>
    <mergeCell ref="C156:E156"/>
    <mergeCell ref="C158:E159"/>
    <mergeCell ref="C161:E161"/>
    <mergeCell ref="C163:E163"/>
    <mergeCell ref="C165:E16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opLeftCell="A21" workbookViewId="0">
      <selection activeCell="A30" sqref="A30:F30"/>
    </sheetView>
  </sheetViews>
  <sheetFormatPr baseColWidth="10" defaultRowHeight="15" x14ac:dyDescent="0.25"/>
  <cols>
    <col min="1" max="1" width="4.5703125" customWidth="1"/>
    <col min="2" max="2" width="15" customWidth="1"/>
    <col min="3" max="3" width="59.140625" customWidth="1"/>
    <col min="4" max="4" width="15.5703125" customWidth="1"/>
    <col min="5" max="5" width="17.7109375" customWidth="1"/>
    <col min="6" max="6" width="13.85546875" customWidth="1"/>
    <col min="7" max="7" width="12.7109375" customWidth="1"/>
    <col min="8" max="8" width="13.140625" bestFit="1" customWidth="1"/>
  </cols>
  <sheetData>
    <row r="1" spans="1:8" ht="16.5" thickBot="1" x14ac:dyDescent="0.3">
      <c r="A1" s="127" t="s">
        <v>63</v>
      </c>
      <c r="B1" s="128"/>
      <c r="C1" s="128"/>
      <c r="D1" s="128"/>
      <c r="E1" s="128"/>
      <c r="F1" s="128"/>
      <c r="G1" s="104" t="s">
        <v>104</v>
      </c>
    </row>
    <row r="2" spans="1:8" ht="15.75" thickBot="1" x14ac:dyDescent="0.3">
      <c r="A2" s="37"/>
      <c r="B2" s="38"/>
      <c r="C2" s="38"/>
      <c r="D2" s="98"/>
      <c r="E2" s="98"/>
      <c r="F2" s="98"/>
      <c r="G2" s="39"/>
    </row>
    <row r="3" spans="1:8" ht="15.75" thickBot="1" x14ac:dyDescent="0.3">
      <c r="A3" s="137" t="s">
        <v>64</v>
      </c>
      <c r="B3" s="137"/>
      <c r="C3" s="137"/>
      <c r="D3" s="134" t="s">
        <v>65</v>
      </c>
      <c r="E3" s="134"/>
      <c r="F3" s="134"/>
      <c r="G3" s="134"/>
    </row>
    <row r="4" spans="1:8" ht="15.75" thickBot="1" x14ac:dyDescent="0.3">
      <c r="A4" s="133" t="s">
        <v>66</v>
      </c>
      <c r="B4" s="133"/>
      <c r="C4" s="133"/>
      <c r="D4" s="132">
        <v>26</v>
      </c>
      <c r="E4" s="132"/>
      <c r="F4" s="132"/>
      <c r="G4" s="132"/>
    </row>
    <row r="5" spans="1:8" ht="15.75" customHeight="1" thickBot="1" x14ac:dyDescent="0.3">
      <c r="A5" s="133" t="s">
        <v>67</v>
      </c>
      <c r="B5" s="133"/>
      <c r="C5" s="133"/>
      <c r="D5" s="138" t="s">
        <v>65</v>
      </c>
      <c r="E5" s="139"/>
      <c r="F5" s="139"/>
      <c r="G5" s="140"/>
    </row>
    <row r="6" spans="1:8" ht="15.75" thickBot="1" x14ac:dyDescent="0.3">
      <c r="A6" s="129" t="s">
        <v>68</v>
      </c>
      <c r="B6" s="130"/>
      <c r="C6" s="131"/>
      <c r="D6" s="132" t="s">
        <v>65</v>
      </c>
      <c r="E6" s="132"/>
      <c r="F6" s="132"/>
      <c r="G6" s="132"/>
    </row>
    <row r="7" spans="1:8" ht="15.75" thickBot="1" x14ac:dyDescent="0.3">
      <c r="A7" s="133" t="s">
        <v>69</v>
      </c>
      <c r="B7" s="133"/>
      <c r="C7" s="133"/>
      <c r="D7" s="134" t="s">
        <v>70</v>
      </c>
      <c r="E7" s="134"/>
      <c r="F7" s="134"/>
      <c r="G7" s="134"/>
    </row>
    <row r="8" spans="1:8" ht="15.75" thickBot="1" x14ac:dyDescent="0.3">
      <c r="A8" s="135" t="s">
        <v>71</v>
      </c>
      <c r="B8" s="135"/>
      <c r="C8" s="135"/>
      <c r="D8" s="136" t="s">
        <v>72</v>
      </c>
      <c r="E8" s="136"/>
      <c r="F8" s="136"/>
      <c r="G8" s="136"/>
    </row>
    <row r="9" spans="1:8" ht="76.5" customHeight="1" thickBot="1" x14ac:dyDescent="0.3">
      <c r="A9" s="96" t="s">
        <v>4</v>
      </c>
      <c r="B9" s="96" t="s">
        <v>6</v>
      </c>
      <c r="C9" s="96" t="s">
        <v>36</v>
      </c>
      <c r="D9" s="97" t="s">
        <v>73</v>
      </c>
      <c r="E9" s="96" t="s">
        <v>54</v>
      </c>
      <c r="F9" s="96" t="s">
        <v>58</v>
      </c>
      <c r="G9" s="96" t="s">
        <v>57</v>
      </c>
    </row>
    <row r="10" spans="1:8" ht="61.5" thickTop="1" thickBot="1" x14ac:dyDescent="0.3">
      <c r="A10" s="3">
        <v>1</v>
      </c>
      <c r="B10" s="44" t="s">
        <v>7</v>
      </c>
      <c r="C10" s="23" t="s">
        <v>37</v>
      </c>
      <c r="D10" s="41" t="s">
        <v>101</v>
      </c>
      <c r="E10" s="31" t="s">
        <v>55</v>
      </c>
      <c r="F10" s="42">
        <v>334.2</v>
      </c>
      <c r="G10" s="31">
        <v>7000</v>
      </c>
      <c r="H10" s="103">
        <f>F10*G10</f>
        <v>2339400</v>
      </c>
    </row>
    <row r="11" spans="1:8" ht="15.75" thickBot="1" x14ac:dyDescent="0.3">
      <c r="A11" s="3">
        <v>2</v>
      </c>
      <c r="B11" s="46" t="s">
        <v>8</v>
      </c>
      <c r="C11" s="25" t="s">
        <v>38</v>
      </c>
      <c r="D11" s="40" t="s">
        <v>101</v>
      </c>
      <c r="E11" s="32" t="s">
        <v>55</v>
      </c>
      <c r="F11" s="43">
        <v>19.7</v>
      </c>
      <c r="G11" s="32">
        <v>27000</v>
      </c>
      <c r="H11" s="103">
        <f t="shared" ref="H11:H29" si="0">F11*G11</f>
        <v>531900</v>
      </c>
    </row>
    <row r="12" spans="1:8" ht="45.75" thickBot="1" x14ac:dyDescent="0.3">
      <c r="A12" s="3">
        <v>3</v>
      </c>
      <c r="B12" s="45" t="s">
        <v>61</v>
      </c>
      <c r="C12" s="35" t="s">
        <v>62</v>
      </c>
      <c r="D12" s="40" t="s">
        <v>101</v>
      </c>
      <c r="E12" s="32" t="s">
        <v>55</v>
      </c>
      <c r="F12" s="43">
        <v>24.7</v>
      </c>
      <c r="G12" s="32">
        <v>27000</v>
      </c>
      <c r="H12" s="103">
        <f t="shared" si="0"/>
        <v>666900</v>
      </c>
    </row>
    <row r="13" spans="1:8" ht="45.75" thickBot="1" x14ac:dyDescent="0.3">
      <c r="A13" s="3">
        <v>4</v>
      </c>
      <c r="B13" s="45" t="s">
        <v>9</v>
      </c>
      <c r="C13" s="24" t="s">
        <v>39</v>
      </c>
      <c r="D13" s="40" t="s">
        <v>101</v>
      </c>
      <c r="E13" s="32" t="s">
        <v>55</v>
      </c>
      <c r="F13" s="43">
        <v>19</v>
      </c>
      <c r="G13" s="32">
        <v>7000</v>
      </c>
      <c r="H13" s="103">
        <f t="shared" si="0"/>
        <v>133000</v>
      </c>
    </row>
    <row r="14" spans="1:8" ht="30.75" thickBot="1" x14ac:dyDescent="0.3">
      <c r="A14" s="3">
        <v>5</v>
      </c>
      <c r="B14" s="45" t="s">
        <v>10</v>
      </c>
      <c r="C14" s="24" t="s">
        <v>40</v>
      </c>
      <c r="D14" s="40" t="s">
        <v>101</v>
      </c>
      <c r="E14" s="32" t="s">
        <v>56</v>
      </c>
      <c r="F14" s="43">
        <v>215.4</v>
      </c>
      <c r="G14" s="32">
        <v>7000</v>
      </c>
      <c r="H14" s="103">
        <f t="shared" si="0"/>
        <v>1507800</v>
      </c>
    </row>
    <row r="15" spans="1:8" ht="75.75" thickBot="1" x14ac:dyDescent="0.3">
      <c r="A15" s="3">
        <v>6</v>
      </c>
      <c r="B15" s="45" t="s">
        <v>11</v>
      </c>
      <c r="C15" s="24" t="s">
        <v>41</v>
      </c>
      <c r="D15" s="40" t="s">
        <v>101</v>
      </c>
      <c r="E15" s="32" t="s">
        <v>55</v>
      </c>
      <c r="F15" s="101">
        <v>73</v>
      </c>
      <c r="G15" s="32">
        <v>14000</v>
      </c>
      <c r="H15" s="103">
        <f t="shared" si="0"/>
        <v>1022000</v>
      </c>
    </row>
    <row r="16" spans="1:8" ht="36.75" customHeight="1" thickBot="1" x14ac:dyDescent="0.3">
      <c r="A16" s="3">
        <v>7</v>
      </c>
      <c r="B16" s="45" t="s">
        <v>126</v>
      </c>
      <c r="C16" s="24" t="s">
        <v>125</v>
      </c>
      <c r="D16" s="40" t="s">
        <v>101</v>
      </c>
      <c r="E16" s="32" t="s">
        <v>55</v>
      </c>
      <c r="F16" s="101">
        <v>290</v>
      </c>
      <c r="G16" s="32">
        <v>7000</v>
      </c>
      <c r="H16" s="103">
        <f t="shared" si="0"/>
        <v>2030000</v>
      </c>
    </row>
    <row r="17" spans="1:8" ht="75.75" thickBot="1" x14ac:dyDescent="0.3">
      <c r="A17" s="3">
        <v>8</v>
      </c>
      <c r="B17" s="45" t="s">
        <v>12</v>
      </c>
      <c r="C17" s="24" t="s">
        <v>42</v>
      </c>
      <c r="D17" s="40" t="s">
        <v>101</v>
      </c>
      <c r="E17" s="32" t="s">
        <v>55</v>
      </c>
      <c r="F17" s="101">
        <v>100</v>
      </c>
      <c r="G17" s="32">
        <v>875</v>
      </c>
      <c r="H17" s="103">
        <f t="shared" si="0"/>
        <v>87500</v>
      </c>
    </row>
    <row r="18" spans="1:8" ht="30.75" thickBot="1" x14ac:dyDescent="0.3">
      <c r="A18" s="3">
        <v>9</v>
      </c>
      <c r="B18" s="45" t="s">
        <v>13</v>
      </c>
      <c r="C18" s="24" t="s">
        <v>43</v>
      </c>
      <c r="D18" s="40" t="s">
        <v>101</v>
      </c>
      <c r="E18" s="32" t="s">
        <v>55</v>
      </c>
      <c r="F18" s="101">
        <v>43</v>
      </c>
      <c r="G18" s="32">
        <v>14000</v>
      </c>
      <c r="H18" s="103">
        <f t="shared" si="0"/>
        <v>602000</v>
      </c>
    </row>
    <row r="19" spans="1:8" ht="30.75" thickBot="1" x14ac:dyDescent="0.3">
      <c r="A19" s="3">
        <v>10</v>
      </c>
      <c r="B19" s="45" t="s">
        <v>14</v>
      </c>
      <c r="C19" s="24" t="s">
        <v>44</v>
      </c>
      <c r="D19" s="40" t="s">
        <v>101</v>
      </c>
      <c r="E19" s="32" t="s">
        <v>55</v>
      </c>
      <c r="F19" s="101">
        <v>40</v>
      </c>
      <c r="G19" s="32">
        <v>20000</v>
      </c>
      <c r="H19" s="103">
        <f t="shared" si="0"/>
        <v>800000</v>
      </c>
    </row>
    <row r="20" spans="1:8" ht="30.75" thickBot="1" x14ac:dyDescent="0.3">
      <c r="A20" s="3">
        <v>11</v>
      </c>
      <c r="B20" s="45" t="s">
        <v>15</v>
      </c>
      <c r="C20" s="24" t="s">
        <v>45</v>
      </c>
      <c r="D20" s="40" t="s">
        <v>101</v>
      </c>
      <c r="E20" s="32" t="s">
        <v>55</v>
      </c>
      <c r="F20" s="101">
        <v>45</v>
      </c>
      <c r="G20" s="32">
        <v>27000</v>
      </c>
      <c r="H20" s="103">
        <f t="shared" si="0"/>
        <v>1215000</v>
      </c>
    </row>
    <row r="21" spans="1:8" ht="30.75" thickBot="1" x14ac:dyDescent="0.3">
      <c r="A21" s="3">
        <v>12</v>
      </c>
      <c r="B21" s="45" t="s">
        <v>16</v>
      </c>
      <c r="C21" s="24" t="s">
        <v>46</v>
      </c>
      <c r="D21" s="40" t="s">
        <v>101</v>
      </c>
      <c r="E21" s="32" t="s">
        <v>55</v>
      </c>
      <c r="F21" s="101">
        <v>65</v>
      </c>
      <c r="G21" s="32">
        <v>7000</v>
      </c>
      <c r="H21" s="103">
        <f t="shared" si="0"/>
        <v>455000</v>
      </c>
    </row>
    <row r="22" spans="1:8" ht="30.75" thickBot="1" x14ac:dyDescent="0.3">
      <c r="A22" s="3">
        <v>13</v>
      </c>
      <c r="B22" s="45" t="s">
        <v>17</v>
      </c>
      <c r="C22" s="24" t="s">
        <v>47</v>
      </c>
      <c r="D22" s="40" t="s">
        <v>101</v>
      </c>
      <c r="E22" s="32" t="s">
        <v>56</v>
      </c>
      <c r="F22" s="101">
        <v>50</v>
      </c>
      <c r="G22" s="32">
        <v>7000</v>
      </c>
      <c r="H22" s="103">
        <f t="shared" si="0"/>
        <v>350000</v>
      </c>
    </row>
    <row r="23" spans="1:8" ht="45.75" thickBot="1" x14ac:dyDescent="0.3">
      <c r="A23" s="3">
        <v>14</v>
      </c>
      <c r="B23" s="45" t="s">
        <v>18</v>
      </c>
      <c r="C23" s="24" t="s">
        <v>48</v>
      </c>
      <c r="D23" s="40" t="s">
        <v>101</v>
      </c>
      <c r="E23" s="32" t="s">
        <v>55</v>
      </c>
      <c r="F23" s="101">
        <v>120</v>
      </c>
      <c r="G23" s="32">
        <v>7000</v>
      </c>
      <c r="H23" s="103">
        <f t="shared" si="0"/>
        <v>840000</v>
      </c>
    </row>
    <row r="24" spans="1:8" ht="15.75" thickBot="1" x14ac:dyDescent="0.3">
      <c r="A24" s="3">
        <v>15</v>
      </c>
      <c r="B24" s="45" t="s">
        <v>19</v>
      </c>
      <c r="C24" s="24" t="s">
        <v>49</v>
      </c>
      <c r="D24" s="40" t="s">
        <v>101</v>
      </c>
      <c r="E24" s="32" t="s">
        <v>55</v>
      </c>
      <c r="F24" s="101">
        <v>49</v>
      </c>
      <c r="G24" s="32">
        <v>20000</v>
      </c>
      <c r="H24" s="103">
        <f t="shared" si="0"/>
        <v>980000</v>
      </c>
    </row>
    <row r="25" spans="1:8" ht="45.75" thickBot="1" x14ac:dyDescent="0.3">
      <c r="A25" s="3">
        <v>16</v>
      </c>
      <c r="B25" s="45" t="s">
        <v>20</v>
      </c>
      <c r="C25" s="24" t="s">
        <v>50</v>
      </c>
      <c r="D25" s="40" t="s">
        <v>101</v>
      </c>
      <c r="E25" s="32" t="s">
        <v>55</v>
      </c>
      <c r="F25" s="101">
        <v>65</v>
      </c>
      <c r="G25" s="32">
        <v>20000</v>
      </c>
      <c r="H25" s="103">
        <f t="shared" si="0"/>
        <v>1300000</v>
      </c>
    </row>
    <row r="26" spans="1:8" ht="30.75" thickBot="1" x14ac:dyDescent="0.3">
      <c r="A26" s="3">
        <v>17</v>
      </c>
      <c r="B26" s="45" t="s">
        <v>21</v>
      </c>
      <c r="C26" s="24" t="s">
        <v>51</v>
      </c>
      <c r="D26" s="40" t="s">
        <v>101</v>
      </c>
      <c r="E26" s="32" t="s">
        <v>55</v>
      </c>
      <c r="F26" s="101">
        <v>72</v>
      </c>
      <c r="G26" s="32">
        <v>13000</v>
      </c>
      <c r="H26" s="103">
        <f t="shared" si="0"/>
        <v>936000</v>
      </c>
    </row>
    <row r="27" spans="1:8" ht="60.75" thickBot="1" x14ac:dyDescent="0.3">
      <c r="A27" s="3">
        <v>18</v>
      </c>
      <c r="B27" s="47" t="s">
        <v>22</v>
      </c>
      <c r="C27" s="24" t="s">
        <v>100</v>
      </c>
      <c r="D27" s="40" t="s">
        <v>101</v>
      </c>
      <c r="E27" s="32" t="s">
        <v>55</v>
      </c>
      <c r="F27" s="101">
        <v>155</v>
      </c>
      <c r="G27" s="32">
        <v>13000</v>
      </c>
      <c r="H27" s="103">
        <f t="shared" si="0"/>
        <v>2015000</v>
      </c>
    </row>
    <row r="28" spans="1:8" ht="30.75" thickBot="1" x14ac:dyDescent="0.3">
      <c r="A28" s="3">
        <v>19</v>
      </c>
      <c r="B28" s="45" t="s">
        <v>23</v>
      </c>
      <c r="C28" s="24" t="s">
        <v>52</v>
      </c>
      <c r="D28" s="40" t="s">
        <v>101</v>
      </c>
      <c r="E28" s="32" t="s">
        <v>55</v>
      </c>
      <c r="F28" s="101">
        <v>36</v>
      </c>
      <c r="G28" s="32">
        <v>40000</v>
      </c>
      <c r="H28" s="103">
        <f t="shared" si="0"/>
        <v>1440000</v>
      </c>
    </row>
    <row r="29" spans="1:8" ht="45" x14ac:dyDescent="0.25">
      <c r="A29" s="3">
        <v>20</v>
      </c>
      <c r="B29" s="45" t="s">
        <v>24</v>
      </c>
      <c r="C29" s="24" t="s">
        <v>53</v>
      </c>
      <c r="D29" s="40" t="s">
        <v>101</v>
      </c>
      <c r="E29" s="32" t="s">
        <v>55</v>
      </c>
      <c r="F29" s="101">
        <v>145</v>
      </c>
      <c r="G29" s="32">
        <v>1000</v>
      </c>
      <c r="H29" s="103">
        <f t="shared" si="0"/>
        <v>145000</v>
      </c>
    </row>
    <row r="30" spans="1:8" ht="15.75" customHeight="1" x14ac:dyDescent="0.25">
      <c r="A30" s="126" t="s">
        <v>102</v>
      </c>
      <c r="B30" s="126"/>
      <c r="C30" s="126"/>
      <c r="D30" s="126"/>
      <c r="E30" s="126"/>
      <c r="F30" s="126"/>
      <c r="G30" s="95">
        <v>19396500</v>
      </c>
    </row>
  </sheetData>
  <mergeCells count="14">
    <mergeCell ref="A30:F30"/>
    <mergeCell ref="A1:F1"/>
    <mergeCell ref="A6:C6"/>
    <mergeCell ref="D6:G6"/>
    <mergeCell ref="A7:C7"/>
    <mergeCell ref="D7:G7"/>
    <mergeCell ref="A8:C8"/>
    <mergeCell ref="D8:G8"/>
    <mergeCell ref="A3:C3"/>
    <mergeCell ref="D3:G3"/>
    <mergeCell ref="A4:C4"/>
    <mergeCell ref="D4:G4"/>
    <mergeCell ref="A5:C5"/>
    <mergeCell ref="D5:G5"/>
  </mergeCells>
  <pageMargins left="0.7" right="0.7" top="0.75" bottom="0.75" header="0.3" footer="0.3"/>
  <pageSetup paperSize="5"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workbookViewId="0">
      <selection activeCell="Q15" sqref="Q15"/>
    </sheetView>
  </sheetViews>
  <sheetFormatPr baseColWidth="10" defaultRowHeight="15" x14ac:dyDescent="0.25"/>
  <cols>
    <col min="1" max="1" width="3.140625" customWidth="1"/>
    <col min="2" max="2" width="3.42578125" customWidth="1"/>
    <col min="3" max="4" width="3.5703125" customWidth="1"/>
    <col min="5" max="5" width="3.42578125" customWidth="1"/>
    <col min="6" max="6" width="5.140625" customWidth="1"/>
    <col min="7" max="7" width="3.7109375" customWidth="1"/>
    <col min="8" max="8" width="3.5703125" customWidth="1"/>
    <col min="9" max="9" width="3.85546875" customWidth="1"/>
    <col min="10" max="10" width="3.28515625" customWidth="1"/>
    <col min="11" max="11" width="3.5703125" customWidth="1"/>
    <col min="12" max="12" width="3.28515625" customWidth="1"/>
    <col min="13" max="13" width="3" customWidth="1"/>
    <col min="14" max="14" width="4.42578125" customWidth="1"/>
    <col min="15" max="15" width="20.28515625" customWidth="1"/>
    <col min="16" max="16" width="4" customWidth="1"/>
    <col min="17" max="17" width="15.7109375" customWidth="1"/>
  </cols>
  <sheetData>
    <row r="1" spans="1:17" ht="15.75" thickBot="1" x14ac:dyDescent="0.3">
      <c r="A1" s="143" t="s">
        <v>2</v>
      </c>
      <c r="B1" s="143"/>
      <c r="C1" s="143"/>
      <c r="D1" s="144">
        <v>2022</v>
      </c>
      <c r="E1" s="144"/>
      <c r="F1" s="59"/>
      <c r="G1" s="59"/>
      <c r="H1" s="60"/>
      <c r="I1" s="60"/>
      <c r="J1" s="60"/>
      <c r="K1" s="60"/>
      <c r="L1" s="60"/>
      <c r="M1" s="60"/>
      <c r="N1" s="60"/>
      <c r="O1" s="61"/>
      <c r="P1" s="145" t="s">
        <v>74</v>
      </c>
      <c r="Q1" s="145"/>
    </row>
    <row r="2" spans="1:17" ht="15.75" thickBot="1" x14ac:dyDescent="0.3">
      <c r="A2" s="62"/>
      <c r="B2" s="63"/>
      <c r="C2" s="63"/>
      <c r="D2" s="63"/>
      <c r="E2" s="63"/>
      <c r="F2" s="63"/>
      <c r="G2" s="64"/>
      <c r="H2" s="65"/>
      <c r="I2" s="65"/>
      <c r="J2" s="65"/>
      <c r="K2" s="65"/>
      <c r="L2" s="65"/>
      <c r="M2" s="65"/>
      <c r="N2" s="65"/>
      <c r="O2" s="63"/>
      <c r="P2" s="145"/>
      <c r="Q2" s="145"/>
    </row>
    <row r="3" spans="1:17" ht="15.75" thickBot="1" x14ac:dyDescent="0.3">
      <c r="A3" s="62"/>
      <c r="B3" s="63"/>
      <c r="C3" s="63"/>
      <c r="D3" s="63"/>
      <c r="E3" s="63"/>
      <c r="F3" s="63"/>
      <c r="G3" s="64"/>
      <c r="H3" s="63"/>
      <c r="I3" s="63"/>
      <c r="J3" s="63"/>
      <c r="K3" s="63"/>
      <c r="L3" s="63"/>
      <c r="M3" s="63"/>
      <c r="N3" s="63"/>
      <c r="O3" s="63"/>
      <c r="P3" s="63"/>
      <c r="Q3" s="66"/>
    </row>
    <row r="4" spans="1:17" ht="15.75" thickBot="1" x14ac:dyDescent="0.3">
      <c r="A4" s="146" t="s">
        <v>75</v>
      </c>
      <c r="B4" s="146"/>
      <c r="C4" s="146"/>
      <c r="D4" s="146"/>
      <c r="E4" s="146"/>
      <c r="F4" s="146"/>
      <c r="G4" s="142" t="s">
        <v>65</v>
      </c>
      <c r="H4" s="142"/>
      <c r="I4" s="142"/>
      <c r="J4" s="142"/>
      <c r="K4" s="142"/>
      <c r="L4" s="142"/>
      <c r="M4" s="142"/>
      <c r="N4" s="142"/>
      <c r="O4" s="142"/>
      <c r="P4" s="142"/>
      <c r="Q4" s="142"/>
    </row>
    <row r="5" spans="1:17" ht="15.75" thickBot="1" x14ac:dyDescent="0.3">
      <c r="A5" s="141" t="s">
        <v>66</v>
      </c>
      <c r="B5" s="141"/>
      <c r="C5" s="141"/>
      <c r="D5" s="141"/>
      <c r="E5" s="141"/>
      <c r="F5" s="141"/>
      <c r="G5" s="142">
        <v>26</v>
      </c>
      <c r="H5" s="142"/>
      <c r="I5" s="142"/>
      <c r="J5" s="142"/>
      <c r="K5" s="142"/>
      <c r="L5" s="142"/>
      <c r="M5" s="142"/>
      <c r="N5" s="142"/>
      <c r="O5" s="142"/>
      <c r="P5" s="142"/>
      <c r="Q5" s="142"/>
    </row>
    <row r="6" spans="1:17" ht="15.75" thickBot="1" x14ac:dyDescent="0.3">
      <c r="A6" s="141" t="s">
        <v>67</v>
      </c>
      <c r="B6" s="141"/>
      <c r="C6" s="141"/>
      <c r="D6" s="141"/>
      <c r="E6" s="141"/>
      <c r="F6" s="141"/>
      <c r="G6" s="142" t="s">
        <v>65</v>
      </c>
      <c r="H6" s="142"/>
      <c r="I6" s="142"/>
      <c r="J6" s="142"/>
      <c r="K6" s="142"/>
      <c r="L6" s="142"/>
      <c r="M6" s="142"/>
      <c r="N6" s="142"/>
      <c r="O6" s="142"/>
      <c r="P6" s="142"/>
      <c r="Q6" s="142"/>
    </row>
    <row r="7" spans="1:17" ht="15.75" thickBot="1" x14ac:dyDescent="0.3">
      <c r="A7" s="141" t="s">
        <v>68</v>
      </c>
      <c r="B7" s="141"/>
      <c r="C7" s="141"/>
      <c r="D7" s="141"/>
      <c r="E7" s="141"/>
      <c r="F7" s="141"/>
      <c r="G7" s="142" t="s">
        <v>65</v>
      </c>
      <c r="H7" s="142"/>
      <c r="I7" s="142"/>
      <c r="J7" s="142"/>
      <c r="K7" s="142"/>
      <c r="L7" s="142"/>
      <c r="M7" s="142"/>
      <c r="N7" s="142"/>
      <c r="O7" s="142"/>
      <c r="P7" s="142"/>
      <c r="Q7" s="142"/>
    </row>
    <row r="8" spans="1:17" ht="15.75" thickBot="1" x14ac:dyDescent="0.3">
      <c r="A8" s="148" t="s">
        <v>76</v>
      </c>
      <c r="B8" s="148"/>
      <c r="C8" s="148"/>
      <c r="D8" s="148"/>
      <c r="E8" s="148"/>
      <c r="F8" s="148"/>
      <c r="G8" s="148"/>
      <c r="H8" s="148"/>
      <c r="I8" s="148"/>
      <c r="J8" s="148"/>
      <c r="K8" s="148"/>
      <c r="L8" s="148"/>
      <c r="M8" s="148"/>
      <c r="N8" s="148"/>
      <c r="O8" s="148"/>
      <c r="P8" s="148"/>
      <c r="Q8" s="148"/>
    </row>
    <row r="9" spans="1:17" ht="27.75" customHeight="1" x14ac:dyDescent="0.25">
      <c r="A9" s="149" t="s">
        <v>77</v>
      </c>
      <c r="B9" s="149"/>
      <c r="C9" s="149"/>
      <c r="D9" s="149"/>
      <c r="E9" s="149"/>
      <c r="F9" s="149"/>
      <c r="G9" s="149"/>
      <c r="H9" s="149"/>
      <c r="I9" s="149"/>
      <c r="J9" s="149"/>
      <c r="K9" s="149"/>
      <c r="L9" s="149"/>
      <c r="M9" s="149"/>
      <c r="N9" s="149"/>
      <c r="O9" s="149"/>
      <c r="P9" s="149"/>
      <c r="Q9" s="149"/>
    </row>
    <row r="10" spans="1:17" ht="73.5" customHeight="1" x14ac:dyDescent="0.25">
      <c r="A10" s="150" t="s">
        <v>105</v>
      </c>
      <c r="B10" s="150"/>
      <c r="C10" s="150"/>
      <c r="D10" s="150"/>
      <c r="E10" s="150"/>
      <c r="F10" s="150"/>
      <c r="G10" s="150"/>
      <c r="H10" s="150"/>
      <c r="I10" s="150"/>
      <c r="J10" s="150"/>
      <c r="K10" s="150"/>
      <c r="L10" s="150"/>
      <c r="M10" s="150"/>
      <c r="N10" s="150"/>
      <c r="O10" s="150"/>
      <c r="P10" s="150"/>
      <c r="Q10" s="150"/>
    </row>
    <row r="11" spans="1:17" ht="5.25" customHeight="1" thickBot="1" x14ac:dyDescent="0.3">
      <c r="A11" s="67"/>
      <c r="B11" s="68"/>
      <c r="C11" s="68"/>
      <c r="D11" s="68"/>
      <c r="E11" s="68"/>
      <c r="F11" s="68"/>
      <c r="G11" s="69"/>
      <c r="H11" s="68"/>
      <c r="I11" s="68"/>
      <c r="J11" s="68"/>
      <c r="K11" s="68"/>
      <c r="L11" s="68"/>
      <c r="M11" s="68"/>
      <c r="N11" s="68"/>
      <c r="O11" s="68"/>
      <c r="P11" s="68"/>
      <c r="Q11" s="70"/>
    </row>
    <row r="12" spans="1:17" ht="15.75" thickBot="1" x14ac:dyDescent="0.3">
      <c r="A12" s="151" t="s">
        <v>78</v>
      </c>
      <c r="B12" s="151"/>
      <c r="C12" s="151"/>
      <c r="D12" s="151"/>
      <c r="E12" s="151"/>
      <c r="F12" s="151"/>
      <c r="G12" s="151"/>
      <c r="H12" s="151"/>
      <c r="I12" s="151"/>
      <c r="J12" s="151"/>
      <c r="K12" s="151"/>
      <c r="L12" s="151"/>
      <c r="M12" s="151"/>
      <c r="N12" s="151"/>
      <c r="O12" s="151"/>
      <c r="P12" s="151"/>
      <c r="Q12" s="151"/>
    </row>
    <row r="13" spans="1:17" ht="15.75" thickBot="1" x14ac:dyDescent="0.3">
      <c r="A13" s="152" t="s">
        <v>79</v>
      </c>
      <c r="B13" s="152"/>
      <c r="C13" s="152"/>
      <c r="D13" s="152"/>
      <c r="E13" s="152"/>
      <c r="F13" s="152"/>
      <c r="G13" s="152"/>
      <c r="H13" s="152"/>
      <c r="I13" s="152"/>
      <c r="J13" s="152"/>
      <c r="K13" s="152"/>
      <c r="L13" s="152"/>
      <c r="M13" s="152"/>
      <c r="N13" s="152"/>
      <c r="O13" s="153" t="s">
        <v>80</v>
      </c>
      <c r="P13" s="153"/>
      <c r="Q13" s="154" t="s">
        <v>81</v>
      </c>
    </row>
    <row r="14" spans="1:17" ht="15.75" thickBot="1" x14ac:dyDescent="0.3">
      <c r="A14" s="71" t="s">
        <v>82</v>
      </c>
      <c r="B14" s="72" t="s">
        <v>83</v>
      </c>
      <c r="C14" s="72" t="s">
        <v>84</v>
      </c>
      <c r="D14" s="72" t="s">
        <v>85</v>
      </c>
      <c r="E14" s="72" t="s">
        <v>86</v>
      </c>
      <c r="F14" s="72" t="s">
        <v>87</v>
      </c>
      <c r="G14" s="73" t="s">
        <v>88</v>
      </c>
      <c r="H14" s="72" t="s">
        <v>89</v>
      </c>
      <c r="I14" s="72" t="s">
        <v>90</v>
      </c>
      <c r="J14" s="72" t="s">
        <v>91</v>
      </c>
      <c r="K14" s="72" t="s">
        <v>91</v>
      </c>
      <c r="L14" s="72" t="s">
        <v>92</v>
      </c>
      <c r="M14" s="74" t="s">
        <v>93</v>
      </c>
      <c r="N14" s="75" t="s">
        <v>94</v>
      </c>
      <c r="O14" s="153"/>
      <c r="P14" s="153"/>
      <c r="Q14" s="154"/>
    </row>
    <row r="15" spans="1:17" ht="33.75" customHeight="1" thickBot="1" x14ac:dyDescent="0.3">
      <c r="A15" s="76">
        <v>1</v>
      </c>
      <c r="B15" s="77">
        <v>0</v>
      </c>
      <c r="C15" s="77">
        <v>0</v>
      </c>
      <c r="D15" s="77">
        <v>1</v>
      </c>
      <c r="E15" s="77">
        <v>0</v>
      </c>
      <c r="F15" s="77">
        <v>4901</v>
      </c>
      <c r="G15" s="77">
        <v>3</v>
      </c>
      <c r="H15" s="77">
        <v>4</v>
      </c>
      <c r="I15" s="77">
        <v>2</v>
      </c>
      <c r="J15" s="77">
        <v>3</v>
      </c>
      <c r="K15" s="77">
        <v>1</v>
      </c>
      <c r="L15" s="77">
        <v>0</v>
      </c>
      <c r="M15" s="78">
        <v>1</v>
      </c>
      <c r="N15" s="77" t="s">
        <v>95</v>
      </c>
      <c r="O15" s="147" t="s">
        <v>96</v>
      </c>
      <c r="P15" s="147"/>
      <c r="Q15" s="79">
        <v>5463900</v>
      </c>
    </row>
    <row r="16" spans="1:17" ht="29.25" customHeight="1" x14ac:dyDescent="0.25">
      <c r="A16" s="80">
        <v>1</v>
      </c>
      <c r="B16" s="81">
        <v>0</v>
      </c>
      <c r="C16" s="81">
        <v>0</v>
      </c>
      <c r="D16" s="81">
        <v>1</v>
      </c>
      <c r="E16" s="81">
        <v>0</v>
      </c>
      <c r="F16" s="77">
        <v>4901</v>
      </c>
      <c r="G16" s="81">
        <v>3</v>
      </c>
      <c r="H16" s="81">
        <v>4</v>
      </c>
      <c r="I16" s="81">
        <v>2</v>
      </c>
      <c r="J16" s="81">
        <v>9</v>
      </c>
      <c r="K16" s="81">
        <v>2</v>
      </c>
      <c r="L16" s="81">
        <v>0</v>
      </c>
      <c r="M16" s="82">
        <v>1</v>
      </c>
      <c r="N16" s="83" t="s">
        <v>95</v>
      </c>
      <c r="O16" s="159" t="s">
        <v>97</v>
      </c>
      <c r="P16" s="160"/>
      <c r="Q16" s="84">
        <v>13932600</v>
      </c>
    </row>
    <row r="17" spans="1:17" x14ac:dyDescent="0.25">
      <c r="A17" s="85"/>
      <c r="B17" s="86"/>
      <c r="C17" s="86"/>
      <c r="D17" s="86"/>
      <c r="E17" s="86"/>
      <c r="F17" s="86"/>
      <c r="G17" s="86"/>
      <c r="H17" s="86"/>
      <c r="I17" s="86"/>
      <c r="J17" s="86"/>
      <c r="K17" s="86"/>
      <c r="L17" s="86"/>
      <c r="M17" s="87"/>
      <c r="N17" s="88"/>
      <c r="O17" s="161"/>
      <c r="P17" s="161"/>
      <c r="Q17" s="89"/>
    </row>
    <row r="18" spans="1:17" x14ac:dyDescent="0.25">
      <c r="A18" s="85"/>
      <c r="B18" s="86"/>
      <c r="C18" s="86"/>
      <c r="D18" s="86"/>
      <c r="E18" s="86"/>
      <c r="F18" s="86"/>
      <c r="G18" s="86"/>
      <c r="H18" s="86"/>
      <c r="I18" s="86"/>
      <c r="J18" s="86"/>
      <c r="K18" s="86"/>
      <c r="L18" s="86"/>
      <c r="M18" s="87"/>
      <c r="N18" s="88"/>
      <c r="O18" s="162"/>
      <c r="P18" s="162"/>
      <c r="Q18" s="89"/>
    </row>
    <row r="19" spans="1:17" x14ac:dyDescent="0.25">
      <c r="A19" s="85"/>
      <c r="B19" s="86"/>
      <c r="C19" s="86"/>
      <c r="D19" s="86"/>
      <c r="E19" s="86"/>
      <c r="F19" s="86"/>
      <c r="G19" s="86"/>
      <c r="H19" s="86"/>
      <c r="I19" s="86"/>
      <c r="J19" s="86"/>
      <c r="K19" s="86"/>
      <c r="L19" s="86"/>
      <c r="M19" s="87"/>
      <c r="N19" s="88"/>
      <c r="O19" s="162"/>
      <c r="P19" s="162"/>
      <c r="Q19" s="89"/>
    </row>
    <row r="20" spans="1:17" ht="15.75" thickBot="1" x14ac:dyDescent="0.3">
      <c r="A20" s="90"/>
      <c r="B20" s="91"/>
      <c r="C20" s="91"/>
      <c r="D20" s="91"/>
      <c r="E20" s="91"/>
      <c r="F20" s="91"/>
      <c r="G20" s="91"/>
      <c r="H20" s="91"/>
      <c r="I20" s="91"/>
      <c r="J20" s="91"/>
      <c r="K20" s="91"/>
      <c r="L20" s="91"/>
      <c r="M20" s="92"/>
      <c r="N20" s="91"/>
      <c r="O20" s="163"/>
      <c r="P20" s="163"/>
      <c r="Q20" s="93"/>
    </row>
    <row r="21" spans="1:17" ht="27.75" customHeight="1" thickBot="1" x14ac:dyDescent="0.3">
      <c r="A21" s="164" t="s">
        <v>103</v>
      </c>
      <c r="B21" s="164"/>
      <c r="C21" s="164"/>
      <c r="D21" s="164"/>
      <c r="E21" s="164"/>
      <c r="F21" s="164"/>
      <c r="G21" s="164"/>
      <c r="H21" s="164"/>
      <c r="I21" s="164"/>
      <c r="J21" s="164"/>
      <c r="K21" s="164"/>
      <c r="L21" s="164"/>
      <c r="M21" s="164"/>
      <c r="N21" s="164"/>
      <c r="O21" s="164"/>
      <c r="P21" s="164"/>
      <c r="Q21" s="94">
        <f>SUM(Q15:Q20)</f>
        <v>19396500</v>
      </c>
    </row>
    <row r="22" spans="1:17" ht="15.75" thickBot="1" x14ac:dyDescent="0.3">
      <c r="A22" s="155"/>
      <c r="B22" s="155"/>
      <c r="C22" s="155"/>
      <c r="D22" s="155"/>
      <c r="E22" s="155"/>
      <c r="F22" s="155"/>
      <c r="G22" s="155"/>
      <c r="H22" s="155"/>
      <c r="I22" s="155"/>
      <c r="J22" s="155"/>
      <c r="K22" s="155"/>
      <c r="L22" s="155"/>
      <c r="M22" s="155"/>
      <c r="N22" s="155"/>
      <c r="O22" s="155"/>
      <c r="P22" s="155"/>
      <c r="Q22" s="155"/>
    </row>
    <row r="23" spans="1:17" ht="15.75" thickBot="1" x14ac:dyDescent="0.3">
      <c r="A23" s="156" t="s">
        <v>98</v>
      </c>
      <c r="B23" s="156"/>
      <c r="C23" s="156"/>
      <c r="D23" s="156"/>
      <c r="E23" s="156"/>
      <c r="F23" s="156"/>
      <c r="G23" s="157"/>
      <c r="H23" s="157"/>
      <c r="I23" s="157"/>
      <c r="J23" s="157"/>
      <c r="K23" s="157"/>
      <c r="L23" s="157"/>
      <c r="M23" s="157"/>
      <c r="N23" s="157"/>
      <c r="O23" s="157"/>
      <c r="P23" s="157"/>
      <c r="Q23" s="157"/>
    </row>
    <row r="24" spans="1:17" ht="15.75" thickBot="1" x14ac:dyDescent="0.3">
      <c r="A24" s="158" t="s">
        <v>99</v>
      </c>
      <c r="B24" s="158"/>
      <c r="C24" s="158"/>
      <c r="D24" s="158"/>
      <c r="E24" s="158"/>
      <c r="F24" s="158"/>
      <c r="G24" s="158"/>
      <c r="H24" s="158"/>
      <c r="I24" s="158"/>
      <c r="J24" s="158"/>
      <c r="K24" s="158"/>
      <c r="L24" s="158"/>
      <c r="M24" s="158"/>
      <c r="N24" s="158"/>
      <c r="O24" s="158"/>
      <c r="P24" s="158"/>
      <c r="Q24" s="158"/>
    </row>
    <row r="25" spans="1:17" ht="15.75" thickBot="1" x14ac:dyDescent="0.3">
      <c r="A25" s="158"/>
      <c r="B25" s="158"/>
      <c r="C25" s="158"/>
      <c r="D25" s="158"/>
      <c r="E25" s="158"/>
      <c r="F25" s="158"/>
      <c r="G25" s="158"/>
      <c r="H25" s="158"/>
      <c r="I25" s="158"/>
      <c r="J25" s="158"/>
      <c r="K25" s="158"/>
      <c r="L25" s="158"/>
      <c r="M25" s="158"/>
      <c r="N25" s="158"/>
      <c r="O25" s="158"/>
      <c r="P25" s="158"/>
      <c r="Q25" s="158"/>
    </row>
  </sheetData>
  <mergeCells count="29">
    <mergeCell ref="A22:Q22"/>
    <mergeCell ref="A23:F23"/>
    <mergeCell ref="G23:Q23"/>
    <mergeCell ref="A24:Q25"/>
    <mergeCell ref="O16:P16"/>
    <mergeCell ref="O17:P17"/>
    <mergeCell ref="O18:P18"/>
    <mergeCell ref="O19:P19"/>
    <mergeCell ref="O20:P20"/>
    <mergeCell ref="A21:P21"/>
    <mergeCell ref="O15:P15"/>
    <mergeCell ref="A6:F6"/>
    <mergeCell ref="G6:Q6"/>
    <mergeCell ref="A7:F7"/>
    <mergeCell ref="G7:Q7"/>
    <mergeCell ref="A8:Q8"/>
    <mergeCell ref="A9:Q9"/>
    <mergeCell ref="A10:Q10"/>
    <mergeCell ref="A12:Q12"/>
    <mergeCell ref="A13:N13"/>
    <mergeCell ref="O13:P14"/>
    <mergeCell ref="Q13:Q14"/>
    <mergeCell ref="A5:F5"/>
    <mergeCell ref="G5:Q5"/>
    <mergeCell ref="A1:C1"/>
    <mergeCell ref="D1:E1"/>
    <mergeCell ref="P1:Q2"/>
    <mergeCell ref="A4:F4"/>
    <mergeCell ref="G4:Q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COMPRAS</cp:lastModifiedBy>
  <cp:lastPrinted>2022-02-01T14:25:49Z</cp:lastPrinted>
  <dcterms:created xsi:type="dcterms:W3CDTF">2021-02-08T12:06:32Z</dcterms:created>
  <dcterms:modified xsi:type="dcterms:W3CDTF">2022-02-08T12:39:08Z</dcterms:modified>
</cp:coreProperties>
</file>