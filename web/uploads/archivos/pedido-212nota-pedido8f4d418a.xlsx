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EL\Desktop\ARIEL_MATERNIDAD\Mis Documentos\Secretaria de compras\PAC 2022\2° trimestre 2022\Articulos de Libreria y papeleria\"/>
    </mc:Choice>
  </mc:AlternateContent>
  <bookViews>
    <workbookView xWindow="0" yWindow="0" windowWidth="28800" windowHeight="12435" tabRatio="500" activeTab="2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Trimestrales'!$A$9:$I$52</definedName>
    <definedName name="_xlnm.Print_Area" localSheetId="2">'Autor Gastar'!$A$1:$Q$26</definedName>
    <definedName name="_xlnm.Print_Area" localSheetId="1">NotaPedido!$A$1:$K$55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4" i="2" l="1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C54" i="2" l="1"/>
  <c r="C53" i="2"/>
  <c r="I52" i="1"/>
  <c r="D52" i="1"/>
  <c r="Q22" i="3" l="1"/>
  <c r="C50" i="2"/>
  <c r="C51" i="2"/>
  <c r="C52" i="2"/>
  <c r="I53" i="2"/>
  <c r="I54" i="2" s="1"/>
  <c r="I52" i="2"/>
  <c r="I51" i="2"/>
  <c r="I51" i="1"/>
  <c r="I50" i="1"/>
  <c r="I49" i="1"/>
  <c r="D49" i="1"/>
  <c r="D50" i="1"/>
  <c r="D51" i="1"/>
  <c r="A49" i="2" l="1"/>
  <c r="I49" i="2"/>
  <c r="C49" i="2"/>
  <c r="I47" i="1"/>
  <c r="D47" i="1"/>
  <c r="A13" i="2" l="1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50" i="2"/>
  <c r="C13" i="2" l="1"/>
  <c r="J55" i="2" l="1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50" i="2"/>
  <c r="C12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A12" i="2"/>
  <c r="I48" i="1" l="1"/>
  <c r="I27" i="1" l="1"/>
  <c r="D27" i="1"/>
  <c r="I26" i="1"/>
  <c r="D26" i="1"/>
  <c r="I25" i="1"/>
  <c r="D25" i="1"/>
  <c r="I24" i="1"/>
  <c r="D24" i="1"/>
  <c r="I23" i="1"/>
  <c r="D23" i="1"/>
  <c r="I22" i="1"/>
  <c r="D22" i="1"/>
  <c r="I21" i="1"/>
  <c r="D21" i="1"/>
  <c r="I20" i="1"/>
  <c r="D20" i="1"/>
  <c r="I19" i="1"/>
  <c r="D19" i="1"/>
  <c r="I18" i="1"/>
  <c r="D18" i="1"/>
  <c r="I17" i="1"/>
  <c r="D17" i="1"/>
  <c r="I16" i="1"/>
  <c r="D16" i="1"/>
  <c r="I15" i="1"/>
  <c r="D15" i="1"/>
  <c r="I14" i="1"/>
  <c r="D14" i="1"/>
  <c r="I13" i="1"/>
  <c r="D13" i="1"/>
  <c r="I12" i="1"/>
  <c r="D12" i="1"/>
  <c r="I11" i="1"/>
  <c r="D11" i="1"/>
  <c r="I10" i="1"/>
  <c r="D10" i="1"/>
  <c r="I34" i="1" l="1"/>
  <c r="D34" i="1"/>
  <c r="I33" i="1"/>
  <c r="D33" i="1"/>
  <c r="I32" i="1"/>
  <c r="D32" i="1"/>
  <c r="I31" i="1"/>
  <c r="D31" i="1"/>
  <c r="I30" i="1"/>
  <c r="D30" i="1"/>
  <c r="I29" i="1"/>
  <c r="D29" i="1"/>
  <c r="I28" i="1"/>
  <c r="D28" i="1"/>
  <c r="I41" i="1"/>
  <c r="D41" i="1"/>
  <c r="I40" i="1"/>
  <c r="D40" i="1"/>
  <c r="I39" i="1"/>
  <c r="D39" i="1"/>
  <c r="I38" i="1"/>
  <c r="D38" i="1"/>
  <c r="I37" i="1"/>
  <c r="D37" i="1"/>
  <c r="I36" i="1"/>
  <c r="D36" i="1"/>
  <c r="I35" i="1"/>
  <c r="D35" i="1"/>
  <c r="D48" i="1"/>
  <c r="I46" i="1"/>
  <c r="D46" i="1"/>
  <c r="I45" i="1"/>
  <c r="D45" i="1"/>
  <c r="I44" i="1"/>
  <c r="D44" i="1"/>
  <c r="I43" i="1"/>
  <c r="D43" i="1"/>
  <c r="I42" i="1"/>
  <c r="D42" i="1"/>
  <c r="A25" i="3" l="1"/>
  <c r="A10" i="3"/>
  <c r="G6" i="3" l="1"/>
  <c r="G7" i="3"/>
  <c r="D7" i="2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<sst xmlns="http://schemas.openxmlformats.org/spreadsheetml/2006/main" count="389" uniqueCount="192">
  <si>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</si>
  <si>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</si>
  <si>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</si>
  <si>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</si>
  <si>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</si>
  <si>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</si>
  <si>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</si>
  <si>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</si>
  <si>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</si>
  <si>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</si>
  <si>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</si>
  <si>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</si>
  <si>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</si>
  <si>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</si>
  <si>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</si>
  <si>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</si>
  <si>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</si>
  <si>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</si>
  <si>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</si>
  <si>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</si>
  <si>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</si>
  <si>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</si>
  <si>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</si>
  <si>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</si>
  <si>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</si>
  <si>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</si>
  <si>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</si>
  <si>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</si>
  <si>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</si>
  <si>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</si>
  <si>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</si>
  <si>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</si>
  <si>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</si>
  <si>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</si>
  <si>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</si>
  <si>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</si>
  <si>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</si>
  <si>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</si>
  <si>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</si>
  <si>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</si>
  <si>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</si>
  <si>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</si>
  <si>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</si>
  <si>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</si>
  <si>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</si>
  <si>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</si>
  <si>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</si>
  <si>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</si>
  <si>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</si>
  <si>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</si>
  <si>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</si>
  <si>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</si>
  <si>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</si>
  <si>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1.1</t>
  </si>
  <si>
    <t>28 - MATERNIDAD PROVINCIAL 25 DE MAYO</t>
  </si>
  <si>
    <t>unidad</t>
  </si>
  <si>
    <t>caja</t>
  </si>
  <si>
    <t>2.9.2-262.40</t>
  </si>
  <si>
    <t>2.9.2-317.1</t>
  </si>
  <si>
    <t>2.9.2-317.5</t>
  </si>
  <si>
    <t>2.9.2-317.17</t>
  </si>
  <si>
    <t>2.9.2-317.32</t>
  </si>
  <si>
    <t>2.9.2-700.2</t>
  </si>
  <si>
    <t>2.9.2-700.56</t>
  </si>
  <si>
    <t>2.9.2-6873.6</t>
  </si>
  <si>
    <t>2.9.2-1153.19</t>
  </si>
  <si>
    <t>2.9.2-1153.166</t>
  </si>
  <si>
    <t>2.9.2-660.7</t>
  </si>
  <si>
    <t>2.9.2-660.31</t>
  </si>
  <si>
    <t>2.9.2-323.4</t>
  </si>
  <si>
    <t>2.9.2-790.13</t>
  </si>
  <si>
    <t>2.9.2-1611.22</t>
  </si>
  <si>
    <t>2.9.2-1611.23</t>
  </si>
  <si>
    <t>2.9.2-848.20</t>
  </si>
  <si>
    <t>2.9.2-1616.83</t>
  </si>
  <si>
    <t>2.9.2-1616.85</t>
  </si>
  <si>
    <t>2.9.2-1616.118</t>
  </si>
  <si>
    <t>2.9.2-1616.122</t>
  </si>
  <si>
    <t>2.3.1-6563.129</t>
  </si>
  <si>
    <t>2.3.1-6563.131</t>
  </si>
  <si>
    <t>2.3.1-6563.882</t>
  </si>
  <si>
    <t>2.3.1-6563.938</t>
  </si>
  <si>
    <t>2.3.1-6587.139</t>
  </si>
  <si>
    <t>2.3.1-6587.346</t>
  </si>
  <si>
    <t>2.9.2-674.9</t>
  </si>
  <si>
    <t>2.9.2-1354.18</t>
  </si>
  <si>
    <t>2.9.2-1354.28</t>
  </si>
  <si>
    <t>2.9.2-1354.29</t>
  </si>
  <si>
    <t>2.3.1-6590.476</t>
  </si>
  <si>
    <t>2.3.1-6590.539</t>
  </si>
  <si>
    <t>2.3.1-6590.558</t>
  </si>
  <si>
    <t>LIBRERIA,PAP. Y UTILES OFICINA</t>
  </si>
  <si>
    <t>ADHESIVOS P/PAPEL; PRESENTACION: 50 mL, TIPO: SINTETICO TRANSPARENTE</t>
  </si>
  <si>
    <t xml:space="preserve">BOLIGRAFOS; COLOR TINTA: AZUL, TRAZO: 0,7 mm </t>
  </si>
  <si>
    <t>BOLIGRAFOS; TRAZO 1,0mm</t>
  </si>
  <si>
    <t>BOLIGRAFOS; TRAZO: GRUESO, COLOR TINTA: NEGRO</t>
  </si>
  <si>
    <t>BOLIGRAFOS; TRAZO: 0,8 mm</t>
  </si>
  <si>
    <t>BROCHES P/ABROCHADORA; NUMERO: 21/6, PRESENTACION: CAJA X 1000 UNIDADES</t>
  </si>
  <si>
    <t>BROCHES P/ABROCHADORA; NUMERO: 10/50, PRESENTACION: CAJA X 2000 UN</t>
  </si>
  <si>
    <t>BROCHES PLASTICOS; TIPO: NEPACO, TAMAÑO: Nº 2, PRESENTACION: CAJA X 50 UN</t>
  </si>
  <si>
    <t>CINTAS ADHESIVAS; TIPO: DE ENMASCARAR, ANCHO: 24 mm, LARGO ROLLO: 50 M, ACCESORIO: SIN, MATERIAL: PAPEL, LARGO: 50 M</t>
  </si>
  <si>
    <t>CINTAS ADHESIVAS; TIPO: P/EMBALAR, ANCHO: 48 mm, LARGO: 40 M, MATERIAL: TRANSPARENTE, ACCESORIO: SIN</t>
  </si>
  <si>
    <t>CLIPS P/PAPEL; NUMERO: 5, MATERIAL: METAL, CANT. X CAJA: 50, PRESENTACION: CAJA X 50</t>
  </si>
  <si>
    <t>CLIPS P/PAPEL; NUMERO: 8, MATERIAL: METAL, CANT. X CAJA: 100 UN, PRESENTACION: CAJA X 100 UN</t>
  </si>
  <si>
    <t>CORRECTORES DE ESCRITURA; CAPACIDAD: 7 mL, ENVASE: LAPIZ (PUNTA METAL), PRESENTACION: LAPIZ (PUNTA METAL) X 7 mL</t>
  </si>
  <si>
    <t>CUTER; TIPO HOJA: MOVIL SECCIONABLE, MATERIAL MANGO: PLASTICO, ANCHO HOJA: 18 mm, TIPO DE HOJA: MOVIL SECCIONABLE, ANCHO DE HOJA: 18 mm</t>
  </si>
  <si>
    <t>FOLIOS TRANSPARENTES; TAMAÑO: OFICIO, PERFORACIONES: 11, MATERIAL: POLIPROPILENO</t>
  </si>
  <si>
    <t>FOLIOS TRANSPARENTES; TAMAÑO: A4, PERFORACIONES: 11, MATERIAL: POLIPROPILENO</t>
  </si>
  <si>
    <t>LAPIZ; TIPO: 2HB, COLOR: NEGRO</t>
  </si>
  <si>
    <t>MARCADORES; TIPO: INDELEBLE, PUNTA: FINA, COLOR: ROJO, RECARGABLE: SI, TRAZO: 0,5 mm</t>
  </si>
  <si>
    <t>MARCADORES; TIPO: INDELEBLE, TRAZO: MEDIO, COLOR: NEGRO, RECARGABLE: SI, PUNTA: REDONDA</t>
  </si>
  <si>
    <t>MARCADORES; TIPO: INDELEBLE, TRAZO: FINO, PUNTA: REDONDA, COLOR: NEGRO, RECARGABLE: NO</t>
  </si>
  <si>
    <t>MARCADORES; TIPO: AL AGUA, TRAZO: MEDIO, PUNTA: REDONDA, COLOR: NEGRO, RECARGABLE: NO</t>
  </si>
  <si>
    <t>PAPELES EN HOJA; TIPO PAPEL: PAPEL OBRA, DIMENSION: 21 X 29,7 Cm, GRAMAJE: 80 GR/M, PRESENTACION: RESMA X 500 HOJAS, TIPO DE PAPEL: PAPEL OBRA</t>
  </si>
  <si>
    <t>PAPELES EN HOJA; TIPO PAPEL: PAPEL OBRA, DIMENSION: 21,59 X 35,56 Cm, GRAMAJE: 80 GR/M2, PRESENTACION: RESMA X 500 HOJAS, TIPO DE PAPEL: PAPEL OBRA</t>
  </si>
  <si>
    <t>PAPELES EN HOJA; TIPO DE PAPEL: CARTULINA, DIMENSION: 45 X 63 Cm, GRAMAJE: 115/125 GR/M2, PRESENTACION: UNIDAD, CERTIFICADO FORESTAL (GFS): SIN, PORC. FIBRAS RECICLADAS: SIN, CERT. FIBRA ALTERNATIVA (FCA): SIN</t>
  </si>
  <si>
    <t>PAPELES EN HOJA; TIPO DE PAPEL: P/FORRAR, DIMENSION: 48 X 80 Cm, GRAMAJE: NO CORRESPONDE, PRESENTACION: UNIDAD, CERTIFICADO FORESTAL (GFS): SIN, PORC. FIBRAS RECICLADAS: 0 %, CERT. FIBRA ALTERNATIVA (FCA): SIN</t>
  </si>
  <si>
    <t>PAPELES ENCUADERNADOS; CANT. DE HOJAS: 100, TAMAÑO: 23 X 35 Cm, TIPO: LIBRO DE ACTAS</t>
  </si>
  <si>
    <t>PAPELES ENCUADERNADOS; CANT. DE HOJAS: 100, TAMAÑO: A4, TIPO: CUADERNO ESPIRALADO TAPA DURA, CERTIFICADO FORESTAL (GFS): SIN, PORC. FIBRAS RECICLADAS: 0 %, CERT. FIBRA ALTERNATIVA (FCA): SIN</t>
  </si>
  <si>
    <t>REGLAS GRADUADAS; TIPO: PLANA, MATERIAL: PLASTICO, LONG.DE CUERPO: 30 Cm</t>
  </si>
  <si>
    <t>RESALTADORES; PUNTA: FINA, ACCESORIO: SIN VALOR, COLOR: AZUL, TIPO PUNTA: FINA</t>
  </si>
  <si>
    <t>RESALTADORES; PUNTA: FINA, ACCESORIO: SIN, COLOR: AMARILLO, TIPO PUNTA: FINA</t>
  </si>
  <si>
    <t>RESALTADORES; PUNTA: FINA, ACCESORIO: SIN, COLOR: VERDE, TIPO PUNTA: FINA</t>
  </si>
  <si>
    <t>SOBRES DE PAPEL; TIPO: MANILA, TAMAÑO: 30 X 40 Cm, GRAMAJE: 80 GR/M2, PRESENTACION: ENVASE X 250 UN, CERTIFICADO FORESTAL (GFS): SIN, PORC. FIBRAS RECICLADAS: SIN VALOR</t>
  </si>
  <si>
    <t>SOBRES DE PAPEL; TIPO: MANILA, TAMAÑO: 24 X 30 Cm, GRAMAJE: 80 GR/CM2, PRESENTACION: ENVSE X 250, CERTIFICADO FORESTAL (GFS): SIN, PORC. FIBRAS RECICLADAS: 0 %, CERT. FIBRA ALTERNATIVA (FCA): SIN</t>
  </si>
  <si>
    <t>SOBRES DE PAPEL; TIPO: BLANCO, TAMAÑO: 12,5 X 19 Cm, GRAMAJE: 80 GR/M2, PRESENTACION: UNIDAD, CERTIFICADO FORESTAL (GFS): SIN, PORC. FIBRAS RECICLADAS: 0 %, CERT. FIBRA ALTERNATIVA (FCA): SIN</t>
  </si>
  <si>
    <t>Papel de Escritorio y Cartón</t>
  </si>
  <si>
    <t>Utiles de Escritorio, Oficina y Enseñanza</t>
  </si>
  <si>
    <t>FICHAS P/ARCHIVOS; MATERIAL: CARTULINA, IMPRESION: RAYADA, DIMENSION: 14,8 X 21 Cm, PAQUETE: X 100 HOJAS, FONDO: BLANCO</t>
  </si>
  <si>
    <t>Descripción técnica</t>
  </si>
  <si>
    <t>BOLIGRAFOS; TRAZO 1,0mm TINTA COLOR AZUL. TIPO BIG</t>
  </si>
  <si>
    <t>MATERNIDAD PROVINCIAL 25 DE MAYO , HERNADO DE PEDRAZA 1650-SECTOR ECONOMATO</t>
  </si>
  <si>
    <t>Calidad Minima esperada</t>
  </si>
  <si>
    <t>Mantenimiento</t>
  </si>
  <si>
    <t>Garantia</t>
  </si>
  <si>
    <t>BOLIGRAFOS; TRAZO: 0,8 mm TINTA COLOR NEGRA . TIPO BIG</t>
  </si>
  <si>
    <t>Especificidades Item N° 3:</t>
  </si>
  <si>
    <t>2.9.2-1428.14</t>
  </si>
  <si>
    <t>BANDAS ELASTICAS; DIAMETRO: 5 Cm, PRESENTACION: CAJA DE 50 GR, ESPESOR: 2 mm</t>
  </si>
  <si>
    <t>2.9.2-674.8</t>
  </si>
  <si>
    <t>REGLAS GRADUADAS; LONG.DE CUERPO: 20 Cm, TIPO: PLANA, MATERIAL: PLASTICO</t>
  </si>
  <si>
    <t>2.9.2-696.15</t>
  </si>
  <si>
    <t>SACAPUNTAS; MATERIAL: METALICO, FIJACION: SIN VALOR, N° CARACTERISTICO: SIN VALOR, N° BOCAS: 1, TIPO: ESCOLAR, NUMERO: SIN VALOR, CANTIDAD DE BOCAS: 1</t>
  </si>
  <si>
    <t>Nº 25</t>
  </si>
  <si>
    <t>si</t>
  </si>
  <si>
    <t>Plazos de entrega</t>
  </si>
  <si>
    <t>10 Dias habiles desde la firma del instrumento contractual</t>
  </si>
  <si>
    <t>Lugar de Entrega :</t>
  </si>
  <si>
    <t>Hora de entrega:</t>
  </si>
  <si>
    <t>8 a 12 Hs</t>
  </si>
  <si>
    <t>Lugar de entrega:</t>
  </si>
  <si>
    <t>Especificidades Item N°  4</t>
  </si>
  <si>
    <t>Especificidades Item N° 6:</t>
  </si>
  <si>
    <t>Plazos  de entrega:</t>
  </si>
  <si>
    <t>Lugar de entrega</t>
  </si>
  <si>
    <t>Especificidades Item N° 26:</t>
  </si>
  <si>
    <t>ROLLO</t>
  </si>
  <si>
    <t>10 Dias Habiles desde la firma del instrumento contractual</t>
  </si>
  <si>
    <t>Hora de Entrega:</t>
  </si>
  <si>
    <t>8 hs a 11 hs, previa coordinacion con los encargados del servicio.</t>
  </si>
  <si>
    <t>Especificidades Item N° 38:</t>
  </si>
  <si>
    <t xml:space="preserve">Productos de material plastico </t>
  </si>
  <si>
    <t>2.9.2-758.31</t>
  </si>
  <si>
    <t>TIJERAS P/CORTAR PAPELES; LONG.DE CUERPO: 17 Cm, MATERIAL: METAL, CUCHILLA: PUNTIAGUDA, MANGO: PLASTICO</t>
  </si>
  <si>
    <t>2.9.2-758.25</t>
  </si>
  <si>
    <t>TIJERAS P/CORTAR PAPELES; LONG.DE CUERPO: 22 Cm, MATERIAL: ACERO INOXIDABLE, CUCHILLA: REDONDEADAS, MANGO: ERGONOMETRICO DE PLASTICO</t>
  </si>
  <si>
    <t xml:space="preserve">CARTULINA COLOR AMARILLO </t>
  </si>
  <si>
    <t>PAPEL DE FORRAR COLOR BLANCO</t>
  </si>
  <si>
    <t>PAQUETE</t>
  </si>
  <si>
    <t>2.3.1-860.19</t>
  </si>
  <si>
    <t>SI</t>
  </si>
  <si>
    <t>ECONOMATO - MATERNIDAD PROVINCIAL 25 DE MAYO , HERNADO DE PEDRAZA 1650-SECTOR ECONOMATO</t>
  </si>
  <si>
    <t>30 dias habiles</t>
  </si>
  <si>
    <t>30 dias  habiles</t>
  </si>
  <si>
    <t>Especificidades Item N° 42:</t>
  </si>
  <si>
    <t>31/2022</t>
  </si>
  <si>
    <t xml:space="preserve">171-Direccion de Administración </t>
  </si>
  <si>
    <t xml:space="preserve">Economato y nutrición </t>
  </si>
  <si>
    <t xml:space="preserve">Adquisición de Artículos de librería y papelería </t>
  </si>
  <si>
    <t>2.9.2-1358.353</t>
  </si>
  <si>
    <t>CARPETAS; MATERIAL PLASTICO - TAMAÑO A4.</t>
  </si>
  <si>
    <t>2.9.2-1358.354</t>
  </si>
  <si>
    <t>CARPETAS; MATERIAL PLASTICO - TAMAÑO OFICIO.</t>
  </si>
  <si>
    <t>Especificidades Item N° 1 al 43</t>
  </si>
  <si>
    <t>Especificidades Item N° 43:</t>
  </si>
  <si>
    <t>2.5.8-5590.58</t>
  </si>
  <si>
    <t>FILMS DE POLIETILENO; ESPESOR: 30 Mn, ANCHO: 38 Cm,
PRESENTACION: ENVASE X 150 M, USO: ALIMENTARIO</t>
  </si>
  <si>
    <t>CARPETA TAPA TRANSPARENTE  - COLOR AZUL - TAMAÑO: A4</t>
  </si>
  <si>
    <t>CARPETA TAPA TRANSPARENTE  - COLOR AZUL - TAMAÑO: OFICIO</t>
  </si>
  <si>
    <t>Papel Film recistente a tratamiento termico para temperatura entre 180° a 220°</t>
  </si>
  <si>
    <t>Costo total estimado:  DOS MILLONES CUATROCIENTOS SEIS MIL NOVECIENTOS CUARENTA Y CINCO CON 00/100.</t>
  </si>
  <si>
    <t>TOTAL DE PESOS: DOS MILLONES CUATROCIENTOS SEIS MIL NOVECIENTOS CUARENTA Y CINCO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</si>
</sst>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43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1"/>
      <color theme="1"/>
      <name val="Calibri"/>
      <family val="2"/>
      <scheme val="minor"/>
    </font>
    <font>
      <u/>
      <sz val="10"/>
      <name val="Times New Roman"/>
      <family val="1"/>
    </font>
    <font>
      <sz val="9"/>
      <name val="Arial"/>
      <family val="2"/>
    </font>
    <font>
      <sz val="11"/>
      <name val="Calibri"/>
      <family val="2"/>
      <scheme val="minor"/>
    </font>
    <font>
      <sz val="18"/>
      <name val="Times New Roman"/>
      <family val="1"/>
      <charset val="1"/>
    </font>
    <font>
      <sz val="11"/>
      <color rgb="FF00610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9C0006"/>
      <name val="Calibri"/>
      <family val="2"/>
      <scheme val="minor"/>
    </font>
    <font>
      <sz val="8"/>
      <name val="Arial"/>
      <family val="2"/>
    </font>
    <font>
      <b/>
      <sz val="12"/>
      <color theme="1"/>
      <name val="Times New Roman"/>
      <family val="1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6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D3D3D"/>
      </left>
      <right style="medium">
        <color rgb="FF3D3D3D"/>
      </right>
      <top/>
      <bottom/>
      <diagonal/>
    </border>
  </borders>
  <cellStyleXfs count="12">
    <xf numFmtId="0" fontId="0" fillId="0" borderId="0"/>
    <xf numFmtId="165" fontId="22" fillId="0" borderId="0" applyBorder="0" applyProtection="0"/>
    <xf numFmtId="0" fontId="9" fillId="0" borderId="1" applyProtection="0"/>
    <xf numFmtId="164" fontId="10" fillId="0" borderId="0" applyBorder="0" applyProtection="0"/>
    <xf numFmtId="0" fontId="11" fillId="2" borderId="0" applyBorder="0" applyProtection="0"/>
    <xf numFmtId="0" fontId="8" fillId="5" borderId="0" applyNumberFormat="0" applyBorder="0" applyAlignment="0" applyProtection="0"/>
    <xf numFmtId="0" fontId="32" fillId="0" borderId="50" applyNumberFormat="0" applyFill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5" fillId="0" borderId="0"/>
    <xf numFmtId="0" fontId="37" fillId="8" borderId="0" applyNumberFormat="0" applyBorder="0" applyAlignment="0" applyProtection="0"/>
    <xf numFmtId="0" fontId="40" fillId="9" borderId="0" applyNumberFormat="0" applyBorder="0" applyAlignment="0" applyProtection="0"/>
  </cellStyleXfs>
  <cellXfs count="245">
    <xf numFmtId="0" fontId="0" fillId="0" borderId="0" xfId="0"/>
    <xf numFmtId="0" fontId="0" fillId="0" borderId="0" xfId="0" applyBorder="1"/>
    <xf numFmtId="0" fontId="10" fillId="0" borderId="0" xfId="0" applyFont="1" applyBorder="1" applyAlignment="1">
      <alignment vertical="center"/>
    </xf>
    <xf numFmtId="0" fontId="13" fillId="0" borderId="5" xfId="0" applyFont="1" applyBorder="1" applyAlignment="1">
      <alignment horizontal="right" vertical="center"/>
    </xf>
    <xf numFmtId="0" fontId="13" fillId="0" borderId="7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5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 wrapText="1" indent="1"/>
    </xf>
    <xf numFmtId="0" fontId="12" fillId="0" borderId="14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7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10" fillId="0" borderId="0" xfId="0" applyFont="1"/>
    <xf numFmtId="0" fontId="0" fillId="0" borderId="5" xfId="0" applyBorder="1"/>
    <xf numFmtId="0" fontId="0" fillId="0" borderId="20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1" xfId="0" applyBorder="1"/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4" xfId="0" applyFont="1" applyBorder="1" applyAlignment="1">
      <alignment horizontal="left" vertical="center"/>
    </xf>
    <xf numFmtId="0" fontId="21" fillId="0" borderId="25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166" fontId="0" fillId="0" borderId="30" xfId="3" applyNumberFormat="1" applyFont="1" applyBorder="1" applyAlignment="1" applyProtection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23" fillId="0" borderId="0" xfId="0" applyFont="1"/>
    <xf numFmtId="0" fontId="26" fillId="0" borderId="0" xfId="0" applyFont="1" applyAlignment="1">
      <alignment horizontal="left" wrapText="1"/>
    </xf>
    <xf numFmtId="0" fontId="26" fillId="0" borderId="0" xfId="0" applyFont="1" applyAlignment="1">
      <alignment horizontal="center" wrapText="1"/>
    </xf>
    <xf numFmtId="0" fontId="23" fillId="0" borderId="0" xfId="0" applyFont="1" applyBorder="1"/>
    <xf numFmtId="0" fontId="27" fillId="0" borderId="9" xfId="0" applyFont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 wrapText="1"/>
    </xf>
    <xf numFmtId="166" fontId="0" fillId="0" borderId="0" xfId="0" applyNumberFormat="1"/>
    <xf numFmtId="0" fontId="27" fillId="0" borderId="40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30" fillId="0" borderId="46" xfId="0" applyFont="1" applyBorder="1" applyAlignment="1">
      <alignment horizontal="center" vertical="center" wrapText="1"/>
    </xf>
    <xf numFmtId="0" fontId="30" fillId="0" borderId="45" xfId="0" applyFont="1" applyBorder="1" applyAlignment="1">
      <alignment horizontal="center" vertical="center" wrapText="1"/>
    </xf>
    <xf numFmtId="166" fontId="31" fillId="3" borderId="14" xfId="1" applyNumberFormat="1" applyFont="1" applyFill="1" applyBorder="1" applyAlignment="1" applyProtection="1">
      <alignment horizontal="center" vertical="center" wrapText="1"/>
    </xf>
    <xf numFmtId="0" fontId="30" fillId="0" borderId="44" xfId="0" applyFont="1" applyBorder="1" applyAlignment="1">
      <alignment horizontal="center" vertical="center" wrapText="1"/>
    </xf>
    <xf numFmtId="166" fontId="31" fillId="3" borderId="44" xfId="1" applyNumberFormat="1" applyFont="1" applyFill="1" applyBorder="1" applyAlignment="1" applyProtection="1">
      <alignment horizontal="center" vertical="center" wrapText="1"/>
    </xf>
    <xf numFmtId="0" fontId="27" fillId="0" borderId="47" xfId="0" applyFont="1" applyBorder="1" applyAlignment="1">
      <alignment horizontal="center" vertical="center" wrapText="1"/>
    </xf>
    <xf numFmtId="0" fontId="30" fillId="0" borderId="48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left" indent="3"/>
    </xf>
    <xf numFmtId="0" fontId="28" fillId="3" borderId="0" xfId="0" applyFont="1" applyFill="1" applyAlignment="1">
      <alignment horizontal="left" wrapText="1" indent="1"/>
    </xf>
    <xf numFmtId="0" fontId="27" fillId="4" borderId="0" xfId="0" applyFont="1" applyFill="1" applyAlignment="1">
      <alignment horizontal="left" wrapText="1"/>
    </xf>
    <xf numFmtId="167" fontId="0" fillId="0" borderId="0" xfId="0" applyNumberFormat="1"/>
    <xf numFmtId="0" fontId="0" fillId="0" borderId="39" xfId="0" applyBorder="1" applyAlignment="1">
      <alignment horizontal="center" vertical="center"/>
    </xf>
    <xf numFmtId="0" fontId="8" fillId="4" borderId="39" xfId="5" applyFill="1" applyBorder="1" applyAlignment="1">
      <alignment horizontal="center" vertical="center" wrapText="1"/>
    </xf>
    <xf numFmtId="0" fontId="8" fillId="4" borderId="39" xfId="5" applyFill="1" applyBorder="1" applyAlignment="1">
      <alignment horizontal="center" vertical="center"/>
    </xf>
    <xf numFmtId="0" fontId="7" fillId="4" borderId="39" xfId="7" applyFill="1" applyBorder="1" applyAlignment="1">
      <alignment horizontal="center" vertical="center" wrapText="1"/>
    </xf>
    <xf numFmtId="0" fontId="7" fillId="4" borderId="39" xfId="7" applyFill="1" applyBorder="1" applyAlignment="1">
      <alignment horizontal="center" vertical="center"/>
    </xf>
    <xf numFmtId="0" fontId="7" fillId="4" borderId="49" xfId="7" applyFill="1" applyBorder="1" applyAlignment="1">
      <alignment horizontal="center" vertical="center"/>
    </xf>
    <xf numFmtId="0" fontId="7" fillId="4" borderId="39" xfId="6" applyFont="1" applyFill="1" applyBorder="1" applyAlignment="1">
      <alignment horizontal="center" vertical="center"/>
    </xf>
    <xf numFmtId="0" fontId="7" fillId="4" borderId="51" xfId="7" applyFill="1" applyBorder="1" applyAlignment="1">
      <alignment horizontal="center" vertical="center"/>
    </xf>
    <xf numFmtId="0" fontId="7" fillId="4" borderId="43" xfId="7" applyFill="1" applyBorder="1" applyAlignment="1">
      <alignment horizontal="center" vertical="center"/>
    </xf>
    <xf numFmtId="0" fontId="6" fillId="4" borderId="39" xfId="8" applyFont="1" applyFill="1" applyBorder="1" applyAlignment="1">
      <alignment horizontal="center" vertical="center" wrapText="1"/>
    </xf>
    <xf numFmtId="0" fontId="33" fillId="0" borderId="2" xfId="0" applyFont="1" applyBorder="1"/>
    <xf numFmtId="0" fontId="23" fillId="0" borderId="3" xfId="0" applyFont="1" applyBorder="1"/>
    <xf numFmtId="0" fontId="23" fillId="0" borderId="4" xfId="0" applyFont="1" applyBorder="1"/>
    <xf numFmtId="0" fontId="23" fillId="0" borderId="52" xfId="0" applyFont="1" applyBorder="1"/>
    <xf numFmtId="0" fontId="23" fillId="0" borderId="53" xfId="0" applyFont="1" applyBorder="1"/>
    <xf numFmtId="0" fontId="33" fillId="0" borderId="52" xfId="0" applyFont="1" applyBorder="1" applyAlignment="1">
      <alignment horizontal="left" indent="3"/>
    </xf>
    <xf numFmtId="0" fontId="23" fillId="0" borderId="0" xfId="0" applyFont="1" applyFill="1" applyBorder="1"/>
    <xf numFmtId="0" fontId="23" fillId="0" borderId="53" xfId="0" applyFont="1" applyFill="1" applyBorder="1"/>
    <xf numFmtId="0" fontId="23" fillId="0" borderId="52" xfId="0" applyFont="1" applyBorder="1" applyAlignment="1">
      <alignment horizontal="left" indent="3"/>
    </xf>
    <xf numFmtId="0" fontId="23" fillId="0" borderId="0" xfId="0" applyFont="1" applyFill="1" applyBorder="1" applyAlignment="1">
      <alignment horizontal="center" wrapText="1"/>
    </xf>
    <xf numFmtId="0" fontId="23" fillId="0" borderId="53" xfId="0" applyFont="1" applyFill="1" applyBorder="1" applyAlignment="1">
      <alignment horizontal="center" wrapText="1"/>
    </xf>
    <xf numFmtId="0" fontId="23" fillId="0" borderId="54" xfId="0" applyFont="1" applyBorder="1" applyAlignment="1">
      <alignment horizontal="left" indent="3"/>
    </xf>
    <xf numFmtId="0" fontId="23" fillId="0" borderId="55" xfId="0" applyFont="1" applyBorder="1"/>
    <xf numFmtId="0" fontId="23" fillId="0" borderId="56" xfId="0" applyFont="1" applyBorder="1"/>
    <xf numFmtId="0" fontId="23" fillId="0" borderId="0" xfId="0" applyFont="1" applyFill="1" applyBorder="1" applyAlignment="1">
      <alignment horizontal="center" wrapText="1"/>
    </xf>
    <xf numFmtId="0" fontId="23" fillId="0" borderId="53" xfId="0" applyFont="1" applyFill="1" applyBorder="1" applyAlignment="1">
      <alignment horizontal="center" wrapText="1"/>
    </xf>
    <xf numFmtId="0" fontId="0" fillId="4" borderId="0" xfId="0" applyFill="1"/>
    <xf numFmtId="0" fontId="22" fillId="4" borderId="57" xfId="0" applyFont="1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34" fillId="4" borderId="39" xfId="0" applyFont="1" applyFill="1" applyBorder="1" applyAlignment="1">
      <alignment horizontal="left"/>
    </xf>
    <xf numFmtId="0" fontId="35" fillId="4" borderId="39" xfId="0" applyFont="1" applyFill="1" applyBorder="1"/>
    <xf numFmtId="0" fontId="0" fillId="4" borderId="0" xfId="0" applyFill="1" applyAlignment="1">
      <alignment wrapText="1"/>
    </xf>
    <xf numFmtId="0" fontId="35" fillId="4" borderId="39" xfId="0" applyFont="1" applyFill="1" applyBorder="1" applyAlignment="1">
      <alignment wrapText="1"/>
    </xf>
    <xf numFmtId="0" fontId="36" fillId="3" borderId="14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wrapText="1"/>
    </xf>
    <xf numFmtId="0" fontId="31" fillId="0" borderId="53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23" fillId="0" borderId="53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wrapText="1"/>
    </xf>
    <xf numFmtId="0" fontId="23" fillId="0" borderId="53" xfId="0" applyFont="1" applyFill="1" applyBorder="1" applyAlignment="1">
      <alignment horizontal="center" wrapText="1"/>
    </xf>
    <xf numFmtId="0" fontId="30" fillId="0" borderId="0" xfId="0" applyFont="1" applyBorder="1" applyAlignment="1">
      <alignment horizontal="center" vertical="center" wrapText="1"/>
    </xf>
    <xf numFmtId="0" fontId="8" fillId="4" borderId="0" xfId="5" applyFill="1" applyBorder="1" applyAlignment="1">
      <alignment horizontal="center" vertical="center" wrapText="1"/>
    </xf>
    <xf numFmtId="0" fontId="6" fillId="4" borderId="0" xfId="8" applyFont="1" applyFill="1" applyBorder="1" applyAlignment="1">
      <alignment horizontal="center" vertical="center" wrapText="1"/>
    </xf>
    <xf numFmtId="166" fontId="31" fillId="3" borderId="0" xfId="1" applyNumberFormat="1" applyFont="1" applyFill="1" applyBorder="1" applyAlignment="1" applyProtection="1">
      <alignment horizontal="center" vertical="center" wrapText="1"/>
    </xf>
    <xf numFmtId="0" fontId="23" fillId="0" borderId="52" xfId="0" applyFont="1" applyBorder="1" applyAlignment="1"/>
    <xf numFmtId="0" fontId="33" fillId="0" borderId="52" xfId="0" applyFont="1" applyBorder="1" applyAlignment="1"/>
    <xf numFmtId="0" fontId="23" fillId="0" borderId="52" xfId="0" applyFont="1" applyBorder="1" applyAlignment="1">
      <alignment horizontal="left"/>
    </xf>
    <xf numFmtId="0" fontId="23" fillId="0" borderId="0" xfId="0" applyFont="1" applyBorder="1" applyAlignment="1">
      <alignment horizontal="left"/>
    </xf>
    <xf numFmtId="0" fontId="33" fillId="0" borderId="52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33" fillId="0" borderId="2" xfId="0" applyFont="1" applyFill="1" applyBorder="1"/>
    <xf numFmtId="0" fontId="23" fillId="0" borderId="3" xfId="0" applyFont="1" applyFill="1" applyBorder="1" applyAlignment="1">
      <alignment horizontal="left" vertical="center"/>
    </xf>
    <xf numFmtId="0" fontId="23" fillId="0" borderId="3" xfId="0" applyFont="1" applyFill="1" applyBorder="1" applyAlignment="1">
      <alignment horizontal="left"/>
    </xf>
    <xf numFmtId="0" fontId="23" fillId="0" borderId="4" xfId="0" applyFont="1" applyFill="1" applyBorder="1" applyAlignment="1">
      <alignment horizontal="left" vertical="center" wrapText="1"/>
    </xf>
    <xf numFmtId="0" fontId="33" fillId="0" borderId="52" xfId="0" applyFont="1" applyFill="1" applyBorder="1"/>
    <xf numFmtId="0" fontId="23" fillId="0" borderId="0" xfId="0" applyFont="1" applyFill="1" applyBorder="1" applyAlignment="1">
      <alignment horizontal="left" vertical="center"/>
    </xf>
    <xf numFmtId="0" fontId="23" fillId="0" borderId="0" xfId="0" applyFont="1" applyFill="1" applyBorder="1" applyAlignment="1">
      <alignment horizontal="left"/>
    </xf>
    <xf numFmtId="0" fontId="23" fillId="0" borderId="53" xfId="0" applyFont="1" applyFill="1" applyBorder="1" applyAlignment="1">
      <alignment horizontal="left" vertical="center" wrapText="1"/>
    </xf>
    <xf numFmtId="0" fontId="0" fillId="0" borderId="52" xfId="0" applyFill="1" applyBorder="1"/>
    <xf numFmtId="0" fontId="23" fillId="0" borderId="0" xfId="0" applyFont="1" applyFill="1" applyBorder="1" applyAlignment="1">
      <alignment horizontal="left" wrapText="1"/>
    </xf>
    <xf numFmtId="0" fontId="23" fillId="0" borderId="0" xfId="0" applyFont="1" applyBorder="1" applyAlignment="1">
      <alignment vertical="center"/>
    </xf>
    <xf numFmtId="0" fontId="23" fillId="0" borderId="53" xfId="0" applyFont="1" applyFill="1" applyBorder="1" applyAlignment="1">
      <alignment vertical="center" wrapText="1"/>
    </xf>
    <xf numFmtId="0" fontId="33" fillId="0" borderId="52" xfId="0" applyFont="1" applyFill="1" applyBorder="1" applyAlignment="1">
      <alignment horizontal="left" indent="3"/>
    </xf>
    <xf numFmtId="0" fontId="23" fillId="0" borderId="52" xfId="0" applyFont="1" applyFill="1" applyBorder="1" applyAlignment="1">
      <alignment horizontal="left" indent="3"/>
    </xf>
    <xf numFmtId="0" fontId="23" fillId="0" borderId="0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wrapText="1"/>
    </xf>
    <xf numFmtId="0" fontId="23" fillId="0" borderId="0" xfId="0" applyFont="1" applyFill="1" applyBorder="1" applyAlignment="1">
      <alignment vertical="center"/>
    </xf>
    <xf numFmtId="0" fontId="33" fillId="0" borderId="54" xfId="0" applyFont="1" applyFill="1" applyBorder="1" applyAlignment="1">
      <alignment horizontal="left" indent="3"/>
    </xf>
    <xf numFmtId="0" fontId="5" fillId="0" borderId="58" xfId="9" applyFill="1" applyBorder="1"/>
    <xf numFmtId="0" fontId="33" fillId="0" borderId="58" xfId="0" applyFont="1" applyFill="1" applyBorder="1" applyAlignment="1"/>
    <xf numFmtId="0" fontId="33" fillId="0" borderId="58" xfId="0" applyFont="1" applyFill="1" applyBorder="1" applyAlignment="1">
      <alignment horizontal="left" indent="3"/>
    </xf>
    <xf numFmtId="0" fontId="23" fillId="0" borderId="58" xfId="0" applyFont="1" applyFill="1" applyBorder="1" applyAlignment="1">
      <alignment vertical="top" wrapText="1"/>
    </xf>
    <xf numFmtId="0" fontId="0" fillId="4" borderId="0" xfId="0" applyFill="1" applyAlignment="1">
      <alignment horizontal="center" vertical="center"/>
    </xf>
    <xf numFmtId="0" fontId="0" fillId="4" borderId="39" xfId="0" applyFill="1" applyBorder="1" applyAlignment="1">
      <alignment horizontal="center" vertical="center" wrapText="1"/>
    </xf>
    <xf numFmtId="0" fontId="0" fillId="4" borderId="44" xfId="0" applyFill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166" fontId="21" fillId="0" borderId="35" xfId="0" applyNumberFormat="1" applyFont="1" applyBorder="1" applyAlignment="1">
      <alignment horizontal="center" vertical="center"/>
    </xf>
    <xf numFmtId="166" fontId="23" fillId="0" borderId="0" xfId="0" applyNumberFormat="1" applyFont="1"/>
    <xf numFmtId="0" fontId="4" fillId="4" borderId="39" xfId="7" applyFont="1" applyFill="1" applyBorder="1" applyAlignment="1">
      <alignment horizontal="center" vertical="center"/>
    </xf>
    <xf numFmtId="0" fontId="23" fillId="0" borderId="53" xfId="0" applyFont="1" applyFill="1" applyBorder="1" applyAlignment="1">
      <alignment horizontal="left" wrapText="1"/>
    </xf>
    <xf numFmtId="0" fontId="3" fillId="4" borderId="39" xfId="5" applyFont="1" applyFill="1" applyBorder="1" applyAlignment="1">
      <alignment horizontal="center" vertical="center" wrapText="1"/>
    </xf>
    <xf numFmtId="0" fontId="38" fillId="0" borderId="0" xfId="0" applyFont="1" applyFill="1" applyAlignment="1">
      <alignment horizontal="left" wrapText="1"/>
    </xf>
    <xf numFmtId="0" fontId="39" fillId="0" borderId="2" xfId="0" applyFont="1" applyFill="1" applyBorder="1" applyAlignment="1">
      <alignment horizontal="center" vertical="center" wrapText="1"/>
    </xf>
    <xf numFmtId="167" fontId="3" fillId="0" borderId="39" xfId="10" applyNumberFormat="1" applyFont="1" applyFill="1" applyBorder="1" applyAlignment="1">
      <alignment horizontal="center" vertical="center"/>
    </xf>
    <xf numFmtId="167" fontId="38" fillId="0" borderId="39" xfId="0" applyNumberFormat="1" applyFont="1" applyFill="1" applyBorder="1" applyAlignment="1">
      <alignment horizontal="center" vertical="center"/>
    </xf>
    <xf numFmtId="167" fontId="3" fillId="0" borderId="49" xfId="10" applyNumberFormat="1" applyFont="1" applyFill="1" applyBorder="1" applyAlignment="1">
      <alignment horizontal="center" vertical="center"/>
    </xf>
    <xf numFmtId="167" fontId="3" fillId="0" borderId="51" xfId="10" applyNumberFormat="1" applyFont="1" applyFill="1" applyBorder="1" applyAlignment="1">
      <alignment horizontal="center" vertical="center"/>
    </xf>
    <xf numFmtId="167" fontId="38" fillId="0" borderId="0" xfId="0" applyNumberFormat="1" applyFont="1" applyFill="1" applyBorder="1" applyAlignment="1">
      <alignment horizontal="center" vertical="center"/>
    </xf>
    <xf numFmtId="0" fontId="38" fillId="0" borderId="0" xfId="0" applyFont="1" applyFill="1"/>
    <xf numFmtId="0" fontId="30" fillId="0" borderId="61" xfId="0" applyFont="1" applyBorder="1" applyAlignment="1">
      <alignment horizontal="center" vertical="center" wrapText="1"/>
    </xf>
    <xf numFmtId="0" fontId="30" fillId="0" borderId="62" xfId="0" applyFont="1" applyBorder="1" applyAlignment="1">
      <alignment horizontal="center" vertical="center" wrapText="1"/>
    </xf>
    <xf numFmtId="0" fontId="12" fillId="3" borderId="40" xfId="0" applyFont="1" applyFill="1" applyBorder="1" applyAlignment="1">
      <alignment horizontal="center" vertical="center"/>
    </xf>
    <xf numFmtId="0" fontId="2" fillId="4" borderId="44" xfId="10" applyFont="1" applyFill="1" applyBorder="1" applyAlignment="1">
      <alignment horizontal="center" vertical="center" wrapText="1"/>
    </xf>
    <xf numFmtId="0" fontId="2" fillId="4" borderId="45" xfId="10" applyFont="1" applyFill="1" applyBorder="1" applyAlignment="1">
      <alignment horizontal="center" vertical="center" wrapText="1"/>
    </xf>
    <xf numFmtId="0" fontId="2" fillId="4" borderId="46" xfId="10" applyFont="1" applyFill="1" applyBorder="1" applyAlignment="1">
      <alignment horizontal="center" vertical="center" wrapText="1"/>
    </xf>
    <xf numFmtId="0" fontId="2" fillId="4" borderId="39" xfId="10" applyFont="1" applyFill="1" applyBorder="1" applyAlignment="1">
      <alignment horizontal="center" vertical="center" wrapText="1"/>
    </xf>
    <xf numFmtId="0" fontId="2" fillId="4" borderId="49" xfId="10" applyFont="1" applyFill="1" applyBorder="1" applyAlignment="1">
      <alignment horizontal="center" vertical="center"/>
    </xf>
    <xf numFmtId="167" fontId="2" fillId="4" borderId="39" xfId="11" applyNumberFormat="1" applyFont="1" applyFill="1" applyBorder="1" applyAlignment="1">
      <alignment horizontal="center" vertical="center"/>
    </xf>
    <xf numFmtId="166" fontId="2" fillId="4" borderId="44" xfId="10" applyNumberFormat="1" applyFont="1" applyFill="1" applyBorder="1" applyAlignment="1" applyProtection="1">
      <alignment horizontal="center" vertical="center" wrapText="1"/>
    </xf>
    <xf numFmtId="0" fontId="23" fillId="0" borderId="53" xfId="0" applyFont="1" applyFill="1" applyBorder="1" applyAlignment="1">
      <alignment horizontal="center" vertical="center" wrapText="1"/>
    </xf>
    <xf numFmtId="167" fontId="3" fillId="4" borderId="39" xfId="10" applyNumberFormat="1" applyFont="1" applyFill="1" applyBorder="1" applyAlignment="1">
      <alignment horizontal="center" vertical="center"/>
    </xf>
    <xf numFmtId="49" fontId="42" fillId="4" borderId="6" xfId="0" applyNumberFormat="1" applyFont="1" applyFill="1" applyBorder="1" applyAlignment="1">
      <alignment horizontal="center" vertical="center"/>
    </xf>
    <xf numFmtId="0" fontId="30" fillId="0" borderId="39" xfId="0" applyFont="1" applyBorder="1" applyAlignment="1">
      <alignment horizontal="center" vertical="center" wrapText="1"/>
    </xf>
    <xf numFmtId="0" fontId="0" fillId="0" borderId="39" xfId="0" applyBorder="1"/>
    <xf numFmtId="166" fontId="31" fillId="3" borderId="39" xfId="1" applyNumberFormat="1" applyFont="1" applyFill="1" applyBorder="1" applyAlignment="1" applyProtection="1">
      <alignment horizontal="center" vertical="center" wrapText="1"/>
    </xf>
    <xf numFmtId="0" fontId="23" fillId="0" borderId="53" xfId="0" applyFont="1" applyFill="1" applyBorder="1" applyAlignment="1">
      <alignment horizontal="center" vertical="center" wrapText="1"/>
    </xf>
    <xf numFmtId="166" fontId="0" fillId="0" borderId="63" xfId="3" applyNumberFormat="1" applyFont="1" applyBorder="1" applyAlignment="1" applyProtection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6" fontId="0" fillId="0" borderId="66" xfId="3" applyNumberFormat="1" applyFont="1" applyBorder="1" applyAlignment="1" applyProtection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23" fillId="0" borderId="53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 wrapText="1"/>
    </xf>
    <xf numFmtId="0" fontId="23" fillId="0" borderId="56" xfId="0" applyFont="1" applyFill="1" applyBorder="1" applyAlignment="1">
      <alignment horizontal="center"/>
    </xf>
    <xf numFmtId="0" fontId="23" fillId="0" borderId="0" xfId="0" applyFont="1" applyBorder="1" applyAlignment="1">
      <alignment horizontal="center" vertical="center"/>
    </xf>
    <xf numFmtId="0" fontId="23" fillId="0" borderId="53" xfId="0" applyFont="1" applyBorder="1" applyAlignment="1">
      <alignment horizontal="center" vertical="center"/>
    </xf>
    <xf numFmtId="0" fontId="23" fillId="0" borderId="0" xfId="0" applyFont="1" applyFill="1" applyBorder="1" applyAlignment="1">
      <alignment horizontal="center"/>
    </xf>
    <xf numFmtId="0" fontId="23" fillId="0" borderId="53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0" fontId="23" fillId="0" borderId="53" xfId="0" applyFont="1" applyFill="1" applyBorder="1" applyAlignment="1">
      <alignment horizontal="center" vertical="center" wrapText="1"/>
    </xf>
    <xf numFmtId="0" fontId="23" fillId="0" borderId="52" xfId="0" applyFont="1" applyBorder="1" applyAlignment="1">
      <alignment horizontal="left"/>
    </xf>
    <xf numFmtId="0" fontId="23" fillId="0" borderId="0" xfId="0" applyFont="1" applyBorder="1" applyAlignment="1">
      <alignment horizontal="left"/>
    </xf>
    <xf numFmtId="0" fontId="33" fillId="0" borderId="52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31" fillId="0" borderId="0" xfId="0" applyFont="1" applyFill="1" applyBorder="1" applyAlignment="1">
      <alignment horizontal="center" wrapText="1"/>
    </xf>
    <xf numFmtId="0" fontId="31" fillId="0" borderId="53" xfId="0" applyFont="1" applyFill="1" applyBorder="1" applyAlignment="1">
      <alignment horizontal="center" wrapText="1"/>
    </xf>
    <xf numFmtId="0" fontId="25" fillId="0" borderId="0" xfId="0" applyFont="1" applyBorder="1" applyAlignment="1">
      <alignment horizontal="left" vertical="center" wrapText="1"/>
    </xf>
    <xf numFmtId="0" fontId="24" fillId="0" borderId="0" xfId="0" applyFont="1" applyBorder="1" applyAlignment="1">
      <alignment horizontal="center"/>
    </xf>
    <xf numFmtId="0" fontId="28" fillId="3" borderId="0" xfId="0" applyFont="1" applyFill="1" applyBorder="1" applyAlignment="1">
      <alignment horizontal="left" wrapText="1" indent="1"/>
    </xf>
    <xf numFmtId="0" fontId="31" fillId="0" borderId="0" xfId="0" applyFont="1" applyFill="1" applyBorder="1" applyAlignment="1">
      <alignment horizontal="center" vertical="center" wrapText="1"/>
    </xf>
    <xf numFmtId="0" fontId="31" fillId="0" borderId="53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left" vertical="center" wrapText="1"/>
    </xf>
    <xf numFmtId="0" fontId="14" fillId="4" borderId="9" xfId="0" applyFont="1" applyFill="1" applyBorder="1" applyAlignment="1">
      <alignment horizontal="left" vertical="center" wrapText="1" indent="1"/>
    </xf>
    <xf numFmtId="167" fontId="29" fillId="4" borderId="9" xfId="0" applyNumberFormat="1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left" vertical="center" wrapText="1"/>
    </xf>
    <xf numFmtId="0" fontId="12" fillId="4" borderId="47" xfId="0" applyFont="1" applyFill="1" applyBorder="1" applyAlignment="1">
      <alignment horizontal="left" vertical="center" wrapText="1"/>
    </xf>
    <xf numFmtId="0" fontId="12" fillId="4" borderId="16" xfId="0" applyFont="1" applyFill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/>
    </xf>
    <xf numFmtId="0" fontId="14" fillId="3" borderId="12" xfId="0" applyFont="1" applyFill="1" applyBorder="1" applyAlignment="1">
      <alignment horizontal="left" vertical="center" wrapText="1" indent="1"/>
    </xf>
    <xf numFmtId="0" fontId="16" fillId="0" borderId="11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5" fillId="0" borderId="8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17" fillId="0" borderId="15" xfId="0" applyFont="1" applyBorder="1" applyAlignment="1">
      <alignment vertical="center" wrapText="1"/>
    </xf>
    <xf numFmtId="0" fontId="17" fillId="0" borderId="36" xfId="0" applyFont="1" applyBorder="1" applyAlignment="1">
      <alignment vertical="center" wrapText="1"/>
    </xf>
    <xf numFmtId="0" fontId="17" fillId="0" borderId="12" xfId="0" applyFont="1" applyBorder="1" applyAlignment="1">
      <alignment vertical="center" wrapText="1"/>
    </xf>
    <xf numFmtId="0" fontId="19" fillId="0" borderId="22" xfId="0" applyFont="1" applyBorder="1" applyAlignment="1">
      <alignment vertical="center" wrapText="1"/>
    </xf>
    <xf numFmtId="0" fontId="19" fillId="3" borderId="35" xfId="0" applyFont="1" applyFill="1" applyBorder="1" applyAlignment="1">
      <alignment horizontal="left" vertical="center" wrapText="1" indent="1"/>
    </xf>
    <xf numFmtId="0" fontId="0" fillId="0" borderId="29" xfId="0" applyFont="1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21" fillId="0" borderId="35" xfId="0" applyFont="1" applyBorder="1" applyAlignment="1">
      <alignment horizontal="left" vertical="center" wrapText="1"/>
    </xf>
    <xf numFmtId="0" fontId="0" fillId="0" borderId="17" xfId="0" applyBorder="1"/>
    <xf numFmtId="0" fontId="0" fillId="0" borderId="39" xfId="0" applyFont="1" applyBorder="1" applyAlignment="1">
      <alignment horizontal="left" vertical="center"/>
    </xf>
    <xf numFmtId="0" fontId="22" fillId="0" borderId="24" xfId="0" applyFont="1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22" fillId="0" borderId="39" xfId="0" applyFont="1" applyBorder="1" applyAlignment="1">
      <alignment horizontal="center" vertical="center" wrapText="1"/>
    </xf>
    <xf numFmtId="0" fontId="0" fillId="0" borderId="27" xfId="0" applyFont="1" applyBorder="1" applyAlignment="1">
      <alignment horizontal="left" vertical="center"/>
    </xf>
    <xf numFmtId="0" fontId="19" fillId="0" borderId="18" xfId="0" applyFont="1" applyBorder="1"/>
    <xf numFmtId="0" fontId="19" fillId="0" borderId="19" xfId="0" applyFont="1" applyFill="1" applyBorder="1" applyAlignment="1">
      <alignment horizontal="left" vertical="center" wrapText="1" indent="1"/>
    </xf>
    <xf numFmtId="0" fontId="21" fillId="0" borderId="17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0" fontId="12" fillId="0" borderId="37" xfId="0" applyFont="1" applyBorder="1" applyAlignment="1">
      <alignment horizontal="left" vertical="center" wrapText="1"/>
    </xf>
    <xf numFmtId="0" fontId="12" fillId="0" borderId="38" xfId="0" applyFont="1" applyBorder="1" applyAlignment="1">
      <alignment horizontal="left" vertical="center" wrapText="1"/>
    </xf>
    <xf numFmtId="0" fontId="19" fillId="4" borderId="6" xfId="0" applyFont="1" applyFill="1" applyBorder="1" applyAlignment="1">
      <alignment horizontal="left" indent="1"/>
    </xf>
    <xf numFmtId="0" fontId="20" fillId="0" borderId="6" xfId="0" applyFont="1" applyBorder="1" applyAlignment="1">
      <alignment horizontal="left"/>
    </xf>
    <xf numFmtId="0" fontId="0" fillId="0" borderId="15" xfId="0" applyFont="1" applyBorder="1" applyAlignment="1">
      <alignment horizontal="center"/>
    </xf>
    <xf numFmtId="1" fontId="17" fillId="0" borderId="16" xfId="0" applyNumberFormat="1" applyFont="1" applyBorder="1" applyAlignment="1">
      <alignment horizontal="center"/>
    </xf>
    <xf numFmtId="0" fontId="18" fillId="0" borderId="6" xfId="0" applyFont="1" applyBorder="1" applyAlignment="1">
      <alignment horizontal="center" vertical="center" wrapText="1"/>
    </xf>
    <xf numFmtId="0" fontId="10" fillId="0" borderId="6" xfId="0" applyFont="1" applyBorder="1"/>
    <xf numFmtId="0" fontId="1" fillId="4" borderId="39" xfId="5" applyFont="1" applyFill="1" applyBorder="1" applyAlignment="1">
      <alignment horizontal="center" vertical="center" wrapText="1"/>
    </xf>
    <xf numFmtId="0" fontId="1" fillId="4" borderId="45" xfId="10" applyFont="1" applyFill="1" applyBorder="1" applyAlignment="1">
      <alignment horizontal="center" vertical="center" wrapText="1"/>
    </xf>
    <xf numFmtId="0" fontId="1" fillId="4" borderId="39" xfId="10" applyFont="1" applyFill="1" applyBorder="1" applyAlignment="1">
      <alignment horizontal="center" vertical="center" wrapText="1"/>
    </xf>
  </cellXfs>
  <cellStyles count="12">
    <cellStyle name="20% - Énfasis4" xfId="5" builtinId="42"/>
    <cellStyle name="20% - Énfasis5" xfId="7" builtinId="46"/>
    <cellStyle name="20% - Énfasis6" xfId="8" builtinId="50"/>
    <cellStyle name="Buena" xfId="10" builtinId="26"/>
    <cellStyle name="Encabezado 1" xfId="2"/>
    <cellStyle name="Incorrecto" xfId="11" builtinId="27"/>
    <cellStyle name="Moneda" xfId="1" builtinId="4"/>
    <cellStyle name="Moneda_AUTORIZACION Y NOTA DE PEDIDO" xfId="3"/>
    <cellStyle name="Neutral 1" xfId="4"/>
    <cellStyle name="Normal" xfId="0" builtinId="0"/>
    <cellStyle name="Normal 2" xfId="9"/>
    <cellStyle name="Total" xfId="6" builtinId="2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05"/>
  <sheetViews>
    <sheetView zoomScale="80" zoomScaleNormal="80" workbookViewId="0">
      <selection activeCell="I11" sqref="I10:I52"/>
    </sheetView>
  </sheetViews>
  <sheetFormatPr baseColWidth="10" defaultColWidth="11" defaultRowHeight="12.75" x14ac:dyDescent="0.2"/>
  <cols>
    <col min="1" max="1" width="4.5703125" style="37" customWidth="1"/>
    <col min="2" max="2" width="14" style="37" customWidth="1"/>
    <col min="3" max="3" width="21.7109375" style="37" customWidth="1"/>
    <col min="4" max="4" width="8.42578125" style="37" customWidth="1"/>
    <col min="5" max="5" width="79" style="37" customWidth="1"/>
    <col min="6" max="6" width="11" style="37"/>
    <col min="7" max="7" width="12.7109375" style="37" customWidth="1"/>
    <col min="8" max="8" width="13.85546875" style="151" customWidth="1"/>
    <col min="9" max="9" width="18.5703125" style="37" customWidth="1"/>
    <col min="10" max="10" width="12.42578125" style="37" bestFit="1" customWidth="1"/>
    <col min="11" max="16384" width="11" style="37"/>
  </cols>
  <sheetData>
    <row r="2" spans="1:9" ht="27" x14ac:dyDescent="0.35">
      <c r="B2" s="194" t="s">
        <v>0</v>
      </c>
      <c r="C2" s="194"/>
      <c r="D2" s="194"/>
      <c r="E2" s="194"/>
      <c r="F2" s="194"/>
      <c r="G2" s="194"/>
      <c r="H2" s="194"/>
    </row>
    <row r="4" spans="1:9" ht="18" customHeight="1" x14ac:dyDescent="0.25">
      <c r="A4" s="193" t="s">
        <v>1</v>
      </c>
      <c r="B4" s="193"/>
      <c r="C4" s="195" t="s">
        <v>52</v>
      </c>
      <c r="D4" s="195"/>
      <c r="E4" s="195"/>
      <c r="F4" s="38"/>
      <c r="G4" s="39"/>
      <c r="H4" s="144"/>
    </row>
    <row r="5" spans="1:9" ht="18" customHeight="1" x14ac:dyDescent="0.25">
      <c r="A5" s="193" t="s">
        <v>2</v>
      </c>
      <c r="B5" s="193"/>
      <c r="C5" s="195" t="s">
        <v>54</v>
      </c>
      <c r="D5" s="195"/>
      <c r="E5" s="195"/>
      <c r="F5" s="38"/>
      <c r="G5" s="39"/>
      <c r="H5" s="144"/>
    </row>
    <row r="6" spans="1:9" ht="16.5" customHeight="1" x14ac:dyDescent="0.25">
      <c r="A6" s="193" t="s">
        <v>3</v>
      </c>
      <c r="B6" s="193"/>
      <c r="C6" s="59">
        <v>2022</v>
      </c>
      <c r="D6" s="60"/>
      <c r="E6" s="60"/>
      <c r="F6" s="38"/>
      <c r="G6" s="39"/>
      <c r="H6" s="144"/>
    </row>
    <row r="7" spans="1:9" ht="16.5" customHeight="1" x14ac:dyDescent="0.25">
      <c r="A7" s="193" t="s">
        <v>4</v>
      </c>
      <c r="B7" s="193"/>
      <c r="C7" s="59">
        <v>2</v>
      </c>
      <c r="D7" s="60"/>
      <c r="E7" s="60"/>
      <c r="F7" s="38"/>
      <c r="G7" s="39"/>
      <c r="H7" s="144"/>
    </row>
    <row r="8" spans="1:9" ht="13.5" thickBot="1" x14ac:dyDescent="0.25">
      <c r="B8" s="38"/>
      <c r="C8" s="39"/>
      <c r="D8" s="38"/>
      <c r="E8" s="38"/>
      <c r="F8" s="38"/>
      <c r="G8" s="39"/>
      <c r="H8" s="144"/>
    </row>
    <row r="9" spans="1:9" ht="39" thickBot="1" x14ac:dyDescent="0.25">
      <c r="A9" s="41" t="s">
        <v>5</v>
      </c>
      <c r="B9" s="56" t="s">
        <v>6</v>
      </c>
      <c r="C9" s="41" t="s">
        <v>7</v>
      </c>
      <c r="D9" s="47" t="s">
        <v>8</v>
      </c>
      <c r="E9" s="45" t="s">
        <v>9</v>
      </c>
      <c r="F9" s="46" t="s">
        <v>10</v>
      </c>
      <c r="G9" s="45" t="s">
        <v>11</v>
      </c>
      <c r="H9" s="145" t="s">
        <v>12</v>
      </c>
      <c r="I9" s="45" t="s">
        <v>13</v>
      </c>
    </row>
    <row r="10" spans="1:9" ht="31.9" customHeight="1" x14ac:dyDescent="0.2">
      <c r="A10" s="54">
        <v>1</v>
      </c>
      <c r="B10" s="52" t="s">
        <v>57</v>
      </c>
      <c r="C10" s="51" t="s">
        <v>91</v>
      </c>
      <c r="D10" s="52" t="str">
        <f t="shared" ref="D10:D27" si="0">LEFT(B10,5)</f>
        <v>2.9.2</v>
      </c>
      <c r="E10" s="242" t="s">
        <v>92</v>
      </c>
      <c r="F10" s="65" t="s">
        <v>55</v>
      </c>
      <c r="G10" s="64">
        <v>250</v>
      </c>
      <c r="H10" s="163">
        <v>85</v>
      </c>
      <c r="I10" s="55">
        <f t="shared" ref="I10:I27" si="1">G10*H10</f>
        <v>21250</v>
      </c>
    </row>
    <row r="11" spans="1:9" ht="31.9" customHeight="1" x14ac:dyDescent="0.2">
      <c r="A11" s="54">
        <v>2</v>
      </c>
      <c r="B11" s="52" t="s">
        <v>137</v>
      </c>
      <c r="C11" s="51" t="s">
        <v>91</v>
      </c>
      <c r="D11" s="52" t="str">
        <f t="shared" si="0"/>
        <v>2.9.2</v>
      </c>
      <c r="E11" s="91" t="s">
        <v>138</v>
      </c>
      <c r="F11" s="89" t="s">
        <v>56</v>
      </c>
      <c r="G11" s="90">
        <v>150</v>
      </c>
      <c r="H11" s="146">
        <v>138</v>
      </c>
      <c r="I11" s="55">
        <f t="shared" si="1"/>
        <v>20700</v>
      </c>
    </row>
    <row r="12" spans="1:9" ht="31.9" customHeight="1" x14ac:dyDescent="0.2">
      <c r="A12" s="54">
        <v>3</v>
      </c>
      <c r="B12" s="52" t="s">
        <v>58</v>
      </c>
      <c r="C12" s="51" t="s">
        <v>91</v>
      </c>
      <c r="D12" s="52" t="str">
        <f t="shared" si="0"/>
        <v>2.9.2</v>
      </c>
      <c r="E12" s="242" t="s">
        <v>93</v>
      </c>
      <c r="F12" s="65" t="s">
        <v>55</v>
      </c>
      <c r="G12" s="63">
        <v>300</v>
      </c>
      <c r="H12" s="147">
        <v>87.5</v>
      </c>
      <c r="I12" s="55">
        <f t="shared" si="1"/>
        <v>26250</v>
      </c>
    </row>
    <row r="13" spans="1:9" ht="31.9" customHeight="1" thickBot="1" x14ac:dyDescent="0.25">
      <c r="A13" s="54">
        <v>4</v>
      </c>
      <c r="B13" s="52" t="s">
        <v>59</v>
      </c>
      <c r="C13" s="51" t="s">
        <v>91</v>
      </c>
      <c r="D13" s="52" t="str">
        <f t="shared" si="0"/>
        <v>2.9.2</v>
      </c>
      <c r="E13" s="63" t="s">
        <v>94</v>
      </c>
      <c r="F13" s="65" t="s">
        <v>55</v>
      </c>
      <c r="G13" s="63">
        <v>300</v>
      </c>
      <c r="H13" s="147">
        <v>32</v>
      </c>
      <c r="I13" s="55">
        <f t="shared" si="1"/>
        <v>9600</v>
      </c>
    </row>
    <row r="14" spans="1:9" ht="45.75" customHeight="1" x14ac:dyDescent="0.2">
      <c r="A14" s="54">
        <v>5</v>
      </c>
      <c r="B14" s="57" t="s">
        <v>60</v>
      </c>
      <c r="C14" s="51" t="s">
        <v>91</v>
      </c>
      <c r="D14" s="52" t="str">
        <f t="shared" si="0"/>
        <v>2.9.2</v>
      </c>
      <c r="E14" s="63" t="s">
        <v>95</v>
      </c>
      <c r="F14" s="65" t="s">
        <v>55</v>
      </c>
      <c r="G14" s="63">
        <v>300</v>
      </c>
      <c r="H14" s="146">
        <v>32</v>
      </c>
      <c r="I14" s="53">
        <f t="shared" si="1"/>
        <v>9600</v>
      </c>
    </row>
    <row r="15" spans="1:9" ht="31.9" customHeight="1" x14ac:dyDescent="0.2">
      <c r="A15" s="54">
        <v>6</v>
      </c>
      <c r="B15" s="52" t="s">
        <v>61</v>
      </c>
      <c r="C15" s="51" t="s">
        <v>91</v>
      </c>
      <c r="D15" s="52" t="str">
        <f t="shared" si="0"/>
        <v>2.9.2</v>
      </c>
      <c r="E15" s="242" t="s">
        <v>96</v>
      </c>
      <c r="F15" s="65" t="s">
        <v>55</v>
      </c>
      <c r="G15" s="63">
        <v>300</v>
      </c>
      <c r="H15" s="147">
        <v>87.5</v>
      </c>
      <c r="I15" s="55">
        <f t="shared" si="1"/>
        <v>26250</v>
      </c>
    </row>
    <row r="16" spans="1:9" ht="31.9" customHeight="1" x14ac:dyDescent="0.2">
      <c r="A16" s="54">
        <v>7</v>
      </c>
      <c r="B16" s="52" t="s">
        <v>62</v>
      </c>
      <c r="C16" s="51" t="s">
        <v>91</v>
      </c>
      <c r="D16" s="52" t="str">
        <f t="shared" si="0"/>
        <v>2.9.2</v>
      </c>
      <c r="E16" s="63" t="s">
        <v>97</v>
      </c>
      <c r="F16" s="65" t="s">
        <v>56</v>
      </c>
      <c r="G16" s="63">
        <v>200</v>
      </c>
      <c r="H16" s="146">
        <v>180</v>
      </c>
      <c r="I16" s="55">
        <f t="shared" si="1"/>
        <v>36000</v>
      </c>
    </row>
    <row r="17" spans="1:10" ht="31.9" customHeight="1" x14ac:dyDescent="0.2">
      <c r="A17" s="54">
        <v>8</v>
      </c>
      <c r="B17" s="52" t="s">
        <v>63</v>
      </c>
      <c r="C17" s="51" t="s">
        <v>91</v>
      </c>
      <c r="D17" s="52" t="str">
        <f t="shared" si="0"/>
        <v>2.9.2</v>
      </c>
      <c r="E17" s="242" t="s">
        <v>98</v>
      </c>
      <c r="F17" s="65" t="s">
        <v>56</v>
      </c>
      <c r="G17" s="63">
        <v>200</v>
      </c>
      <c r="H17" s="146">
        <v>129</v>
      </c>
      <c r="I17" s="55">
        <f t="shared" si="1"/>
        <v>25800</v>
      </c>
    </row>
    <row r="18" spans="1:10" ht="31.9" customHeight="1" thickBot="1" x14ac:dyDescent="0.25">
      <c r="A18" s="54">
        <v>9</v>
      </c>
      <c r="B18" s="52" t="s">
        <v>64</v>
      </c>
      <c r="C18" s="51" t="s">
        <v>91</v>
      </c>
      <c r="D18" s="52" t="str">
        <f t="shared" si="0"/>
        <v>2.9.2</v>
      </c>
      <c r="E18" s="63" t="s">
        <v>99</v>
      </c>
      <c r="F18" s="65" t="s">
        <v>56</v>
      </c>
      <c r="G18" s="63">
        <v>300</v>
      </c>
      <c r="H18" s="146">
        <v>402</v>
      </c>
      <c r="I18" s="55">
        <f t="shared" si="1"/>
        <v>120600</v>
      </c>
    </row>
    <row r="19" spans="1:10" ht="45.75" customHeight="1" x14ac:dyDescent="0.2">
      <c r="A19" s="54">
        <v>10</v>
      </c>
      <c r="B19" s="57" t="s">
        <v>65</v>
      </c>
      <c r="C19" s="51" t="s">
        <v>91</v>
      </c>
      <c r="D19" s="52" t="str">
        <f t="shared" si="0"/>
        <v>2.9.2</v>
      </c>
      <c r="E19" s="242" t="s">
        <v>100</v>
      </c>
      <c r="F19" s="65" t="s">
        <v>55</v>
      </c>
      <c r="G19" s="63">
        <v>550</v>
      </c>
      <c r="H19" s="146">
        <v>365.5</v>
      </c>
      <c r="I19" s="53">
        <f t="shared" si="1"/>
        <v>201025</v>
      </c>
    </row>
    <row r="20" spans="1:10" ht="31.9" customHeight="1" x14ac:dyDescent="0.2">
      <c r="A20" s="54">
        <v>11</v>
      </c>
      <c r="B20" s="52" t="s">
        <v>66</v>
      </c>
      <c r="C20" s="51" t="s">
        <v>91</v>
      </c>
      <c r="D20" s="52" t="str">
        <f t="shared" si="0"/>
        <v>2.9.2</v>
      </c>
      <c r="E20" s="63" t="s">
        <v>101</v>
      </c>
      <c r="F20" s="65" t="s">
        <v>55</v>
      </c>
      <c r="G20" s="63">
        <v>150</v>
      </c>
      <c r="H20" s="146">
        <v>161</v>
      </c>
      <c r="I20" s="55">
        <f t="shared" si="1"/>
        <v>24150</v>
      </c>
    </row>
    <row r="21" spans="1:10" ht="31.9" customHeight="1" x14ac:dyDescent="0.2">
      <c r="A21" s="54">
        <v>12</v>
      </c>
      <c r="B21" s="52" t="s">
        <v>67</v>
      </c>
      <c r="C21" s="51" t="s">
        <v>91</v>
      </c>
      <c r="D21" s="52" t="str">
        <f t="shared" si="0"/>
        <v>2.9.2</v>
      </c>
      <c r="E21" s="63" t="s">
        <v>102</v>
      </c>
      <c r="F21" s="65" t="s">
        <v>56</v>
      </c>
      <c r="G21" s="63">
        <v>100</v>
      </c>
      <c r="H21" s="147">
        <v>129.5</v>
      </c>
      <c r="I21" s="55">
        <f t="shared" si="1"/>
        <v>12950</v>
      </c>
    </row>
    <row r="22" spans="1:10" ht="31.9" customHeight="1" x14ac:dyDescent="0.2">
      <c r="A22" s="54">
        <v>13</v>
      </c>
      <c r="B22" s="52" t="s">
        <v>68</v>
      </c>
      <c r="C22" s="51" t="s">
        <v>91</v>
      </c>
      <c r="D22" s="52" t="str">
        <f t="shared" si="0"/>
        <v>2.9.2</v>
      </c>
      <c r="E22" s="242" t="s">
        <v>103</v>
      </c>
      <c r="F22" s="65" t="s">
        <v>56</v>
      </c>
      <c r="G22" s="63">
        <v>80</v>
      </c>
      <c r="H22" s="146">
        <v>414</v>
      </c>
      <c r="I22" s="55">
        <f t="shared" si="1"/>
        <v>33120</v>
      </c>
    </row>
    <row r="23" spans="1:10" ht="31.9" customHeight="1" x14ac:dyDescent="0.2">
      <c r="A23" s="54">
        <v>14</v>
      </c>
      <c r="B23" s="52" t="s">
        <v>69</v>
      </c>
      <c r="C23" s="51" t="s">
        <v>91</v>
      </c>
      <c r="D23" s="52" t="str">
        <f t="shared" si="0"/>
        <v>2.9.2</v>
      </c>
      <c r="E23" s="63" t="s">
        <v>104</v>
      </c>
      <c r="F23" s="65" t="s">
        <v>55</v>
      </c>
      <c r="G23" s="63">
        <v>200</v>
      </c>
      <c r="H23" s="146">
        <v>106</v>
      </c>
      <c r="I23" s="55">
        <f t="shared" si="1"/>
        <v>21200</v>
      </c>
    </row>
    <row r="24" spans="1:10" ht="31.9" customHeight="1" x14ac:dyDescent="0.2">
      <c r="A24" s="54">
        <v>15</v>
      </c>
      <c r="B24" s="52" t="s">
        <v>70</v>
      </c>
      <c r="C24" s="51" t="s">
        <v>91</v>
      </c>
      <c r="D24" s="52" t="str">
        <f t="shared" si="0"/>
        <v>2.9.2</v>
      </c>
      <c r="E24" s="242" t="s">
        <v>105</v>
      </c>
      <c r="F24" s="65" t="s">
        <v>55</v>
      </c>
      <c r="G24" s="63">
        <v>50</v>
      </c>
      <c r="H24" s="146">
        <v>202.5</v>
      </c>
      <c r="I24" s="55">
        <f t="shared" si="1"/>
        <v>10125</v>
      </c>
    </row>
    <row r="25" spans="1:10" ht="31.9" customHeight="1" thickBot="1" x14ac:dyDescent="0.25">
      <c r="A25" s="54">
        <v>16</v>
      </c>
      <c r="B25" s="52" t="s">
        <v>71</v>
      </c>
      <c r="C25" s="51" t="s">
        <v>91</v>
      </c>
      <c r="D25" s="52" t="str">
        <f t="shared" si="0"/>
        <v>2.9.2</v>
      </c>
      <c r="E25" s="63" t="s">
        <v>106</v>
      </c>
      <c r="F25" s="65" t="s">
        <v>55</v>
      </c>
      <c r="G25" s="63">
        <v>500</v>
      </c>
      <c r="H25" s="147">
        <v>10.5</v>
      </c>
      <c r="I25" s="55">
        <f t="shared" si="1"/>
        <v>5250</v>
      </c>
    </row>
    <row r="26" spans="1:10" ht="31.9" customHeight="1" x14ac:dyDescent="0.2">
      <c r="A26" s="54">
        <v>17</v>
      </c>
      <c r="B26" s="57" t="s">
        <v>72</v>
      </c>
      <c r="C26" s="51" t="s">
        <v>91</v>
      </c>
      <c r="D26" s="52" t="str">
        <f t="shared" si="0"/>
        <v>2.9.2</v>
      </c>
      <c r="E26" s="63" t="s">
        <v>107</v>
      </c>
      <c r="F26" s="65" t="s">
        <v>55</v>
      </c>
      <c r="G26" s="63">
        <v>300</v>
      </c>
      <c r="H26" s="147">
        <v>9.6</v>
      </c>
      <c r="I26" s="53">
        <f t="shared" si="1"/>
        <v>2880</v>
      </c>
    </row>
    <row r="27" spans="1:10" ht="30.75" thickBot="1" x14ac:dyDescent="0.25">
      <c r="A27" s="54">
        <v>18</v>
      </c>
      <c r="B27" s="52" t="s">
        <v>73</v>
      </c>
      <c r="C27" s="51" t="s">
        <v>91</v>
      </c>
      <c r="D27" s="52" t="str">
        <f t="shared" si="0"/>
        <v>2.9.2</v>
      </c>
      <c r="E27" s="64" t="s">
        <v>108</v>
      </c>
      <c r="F27" s="65" t="s">
        <v>55</v>
      </c>
      <c r="G27" s="64">
        <v>100</v>
      </c>
      <c r="H27" s="146">
        <v>48</v>
      </c>
      <c r="I27" s="55">
        <f t="shared" si="1"/>
        <v>4800</v>
      </c>
    </row>
    <row r="28" spans="1:10" ht="30" x14ac:dyDescent="0.2">
      <c r="A28" s="54">
        <v>19</v>
      </c>
      <c r="B28" s="57" t="s">
        <v>74</v>
      </c>
      <c r="C28" s="51" t="s">
        <v>91</v>
      </c>
      <c r="D28" s="52" t="str">
        <f t="shared" ref="D28:D34" si="2">LEFT(B28,5)</f>
        <v>2.9.2</v>
      </c>
      <c r="E28" s="63" t="s">
        <v>109</v>
      </c>
      <c r="F28" s="65" t="s">
        <v>55</v>
      </c>
      <c r="G28" s="63">
        <v>50</v>
      </c>
      <c r="H28" s="146">
        <v>133</v>
      </c>
      <c r="I28" s="53">
        <f t="shared" ref="I28:I34" si="3">G28*H28</f>
        <v>6650</v>
      </c>
    </row>
    <row r="29" spans="1:10" ht="30" x14ac:dyDescent="0.2">
      <c r="A29" s="54">
        <v>20</v>
      </c>
      <c r="B29" s="52" t="s">
        <v>75</v>
      </c>
      <c r="C29" s="51" t="s">
        <v>91</v>
      </c>
      <c r="D29" s="52" t="str">
        <f t="shared" si="2"/>
        <v>2.9.2</v>
      </c>
      <c r="E29" s="63" t="s">
        <v>110</v>
      </c>
      <c r="F29" s="65" t="s">
        <v>55</v>
      </c>
      <c r="G29" s="63">
        <v>100</v>
      </c>
      <c r="H29" s="146">
        <v>141</v>
      </c>
      <c r="I29" s="55">
        <f t="shared" si="3"/>
        <v>14100</v>
      </c>
    </row>
    <row r="30" spans="1:10" ht="30" x14ac:dyDescent="0.2">
      <c r="A30" s="54">
        <v>21</v>
      </c>
      <c r="B30" s="52" t="s">
        <v>76</v>
      </c>
      <c r="C30" s="51" t="s">
        <v>91</v>
      </c>
      <c r="D30" s="52" t="str">
        <f t="shared" si="2"/>
        <v>2.9.2</v>
      </c>
      <c r="E30" s="63" t="s">
        <v>111</v>
      </c>
      <c r="F30" s="65" t="s">
        <v>55</v>
      </c>
      <c r="G30" s="64">
        <v>200</v>
      </c>
      <c r="H30" s="146">
        <v>133</v>
      </c>
      <c r="I30" s="55">
        <f t="shared" si="3"/>
        <v>26600</v>
      </c>
    </row>
    <row r="31" spans="1:10" ht="30" x14ac:dyDescent="0.2">
      <c r="A31" s="54">
        <v>22</v>
      </c>
      <c r="B31" s="52" t="s">
        <v>77</v>
      </c>
      <c r="C31" s="51" t="s">
        <v>91</v>
      </c>
      <c r="D31" s="52" t="str">
        <f t="shared" si="2"/>
        <v>2.9.2</v>
      </c>
      <c r="E31" s="63" t="s">
        <v>112</v>
      </c>
      <c r="F31" s="66" t="s">
        <v>55</v>
      </c>
      <c r="G31" s="63">
        <v>150</v>
      </c>
      <c r="H31" s="146">
        <v>118</v>
      </c>
      <c r="I31" s="55">
        <f t="shared" si="3"/>
        <v>17700</v>
      </c>
      <c r="J31" s="140"/>
    </row>
    <row r="32" spans="1:10" ht="30" x14ac:dyDescent="0.2">
      <c r="A32" s="54">
        <v>23</v>
      </c>
      <c r="B32" s="52" t="s">
        <v>78</v>
      </c>
      <c r="C32" s="51" t="s">
        <v>91</v>
      </c>
      <c r="D32" s="52" t="str">
        <f t="shared" si="2"/>
        <v>2.3.1</v>
      </c>
      <c r="E32" s="63" t="s">
        <v>113</v>
      </c>
      <c r="F32" s="66" t="s">
        <v>55</v>
      </c>
      <c r="G32" s="63">
        <v>400</v>
      </c>
      <c r="H32" s="146">
        <v>1017</v>
      </c>
      <c r="I32" s="55">
        <f t="shared" si="3"/>
        <v>406800</v>
      </c>
    </row>
    <row r="33" spans="1:10" ht="30" x14ac:dyDescent="0.2">
      <c r="A33" s="54">
        <v>24</v>
      </c>
      <c r="B33" s="52" t="s">
        <v>79</v>
      </c>
      <c r="C33" s="51" t="s">
        <v>91</v>
      </c>
      <c r="D33" s="52" t="str">
        <f t="shared" si="2"/>
        <v>2.3.1</v>
      </c>
      <c r="E33" s="242" t="s">
        <v>114</v>
      </c>
      <c r="F33" s="66" t="s">
        <v>55</v>
      </c>
      <c r="G33" s="63">
        <v>400</v>
      </c>
      <c r="H33" s="146">
        <v>1260</v>
      </c>
      <c r="I33" s="55">
        <f t="shared" si="3"/>
        <v>504000</v>
      </c>
    </row>
    <row r="34" spans="1:10" ht="56.25" customHeight="1" thickBot="1" x14ac:dyDescent="0.25">
      <c r="A34" s="54">
        <v>25</v>
      </c>
      <c r="B34" s="52" t="s">
        <v>80</v>
      </c>
      <c r="C34" s="51" t="s">
        <v>91</v>
      </c>
      <c r="D34" s="52" t="str">
        <f t="shared" si="2"/>
        <v>2.3.1</v>
      </c>
      <c r="E34" s="63" t="s">
        <v>115</v>
      </c>
      <c r="F34" s="66" t="s">
        <v>55</v>
      </c>
      <c r="G34" s="63">
        <v>5000</v>
      </c>
      <c r="H34" s="146">
        <v>47</v>
      </c>
      <c r="I34" s="55">
        <f t="shared" si="3"/>
        <v>235000</v>
      </c>
    </row>
    <row r="35" spans="1:10" ht="45" x14ac:dyDescent="0.2">
      <c r="A35" s="54">
        <v>26</v>
      </c>
      <c r="B35" s="57" t="s">
        <v>81</v>
      </c>
      <c r="C35" s="51" t="s">
        <v>91</v>
      </c>
      <c r="D35" s="52" t="str">
        <f t="shared" ref="D35:D41" si="4">LEFT(B35,5)</f>
        <v>2.3.1</v>
      </c>
      <c r="E35" s="63" t="s">
        <v>116</v>
      </c>
      <c r="F35" s="66" t="s">
        <v>55</v>
      </c>
      <c r="G35" s="63">
        <v>100</v>
      </c>
      <c r="H35" s="146">
        <v>80</v>
      </c>
      <c r="I35" s="53">
        <f t="shared" ref="I35:I41" si="5">G35*H35</f>
        <v>8000</v>
      </c>
    </row>
    <row r="36" spans="1:10" ht="30" x14ac:dyDescent="0.2">
      <c r="A36" s="54">
        <v>27</v>
      </c>
      <c r="B36" s="52" t="s">
        <v>82</v>
      </c>
      <c r="C36" s="51" t="s">
        <v>91</v>
      </c>
      <c r="D36" s="52" t="str">
        <f t="shared" si="4"/>
        <v>2.3.1</v>
      </c>
      <c r="E36" s="63" t="s">
        <v>117</v>
      </c>
      <c r="F36" s="66" t="s">
        <v>55</v>
      </c>
      <c r="G36" s="63">
        <v>200</v>
      </c>
      <c r="H36" s="146">
        <v>861</v>
      </c>
      <c r="I36" s="55">
        <f t="shared" si="5"/>
        <v>172200</v>
      </c>
      <c r="J36" s="140"/>
    </row>
    <row r="37" spans="1:10" ht="45" x14ac:dyDescent="0.2">
      <c r="A37" s="54">
        <v>28</v>
      </c>
      <c r="B37" s="52" t="s">
        <v>83</v>
      </c>
      <c r="C37" s="51" t="s">
        <v>91</v>
      </c>
      <c r="D37" s="52" t="str">
        <f t="shared" si="4"/>
        <v>2.3.1</v>
      </c>
      <c r="E37" s="63" t="s">
        <v>118</v>
      </c>
      <c r="F37" s="66" t="s">
        <v>55</v>
      </c>
      <c r="G37" s="63">
        <v>200</v>
      </c>
      <c r="H37" s="146">
        <v>937</v>
      </c>
      <c r="I37" s="55">
        <f t="shared" si="5"/>
        <v>187400</v>
      </c>
    </row>
    <row r="38" spans="1:10" ht="30" x14ac:dyDescent="0.25">
      <c r="A38" s="54">
        <v>29</v>
      </c>
      <c r="B38" s="88" t="s">
        <v>139</v>
      </c>
      <c r="C38" s="51" t="s">
        <v>91</v>
      </c>
      <c r="D38" s="52" t="str">
        <f t="shared" si="4"/>
        <v>2.9.2</v>
      </c>
      <c r="E38" s="92" t="s">
        <v>140</v>
      </c>
      <c r="F38" s="66" t="s">
        <v>55</v>
      </c>
      <c r="G38" s="63">
        <v>50</v>
      </c>
      <c r="H38" s="147">
        <v>48.5</v>
      </c>
      <c r="I38" s="55">
        <f t="shared" si="5"/>
        <v>2425</v>
      </c>
    </row>
    <row r="39" spans="1:10" ht="30" x14ac:dyDescent="0.2">
      <c r="A39" s="54">
        <v>30</v>
      </c>
      <c r="B39" s="52" t="s">
        <v>84</v>
      </c>
      <c r="C39" s="51" t="s">
        <v>91</v>
      </c>
      <c r="D39" s="52" t="str">
        <f t="shared" si="4"/>
        <v>2.9.2</v>
      </c>
      <c r="E39" s="63" t="s">
        <v>119</v>
      </c>
      <c r="F39" s="67" t="s">
        <v>55</v>
      </c>
      <c r="G39" s="63">
        <v>50</v>
      </c>
      <c r="H39" s="148">
        <v>64</v>
      </c>
      <c r="I39" s="55">
        <f t="shared" si="5"/>
        <v>3200</v>
      </c>
    </row>
    <row r="40" spans="1:10" ht="30" x14ac:dyDescent="0.2">
      <c r="A40" s="54">
        <v>31</v>
      </c>
      <c r="B40" s="52" t="s">
        <v>85</v>
      </c>
      <c r="C40" s="51" t="s">
        <v>91</v>
      </c>
      <c r="D40" s="52" t="str">
        <f t="shared" si="4"/>
        <v>2.9.2</v>
      </c>
      <c r="E40" s="63" t="s">
        <v>120</v>
      </c>
      <c r="F40" s="68" t="s">
        <v>55</v>
      </c>
      <c r="G40" s="63">
        <v>30</v>
      </c>
      <c r="H40" s="146">
        <v>65.5</v>
      </c>
      <c r="I40" s="55">
        <f t="shared" si="5"/>
        <v>1965</v>
      </c>
    </row>
    <row r="41" spans="1:10" ht="30.75" thickBot="1" x14ac:dyDescent="0.25">
      <c r="A41" s="54">
        <v>32</v>
      </c>
      <c r="B41" s="52" t="s">
        <v>86</v>
      </c>
      <c r="C41" s="51" t="s">
        <v>91</v>
      </c>
      <c r="D41" s="52" t="str">
        <f t="shared" si="4"/>
        <v>2.9.2</v>
      </c>
      <c r="E41" s="63" t="s">
        <v>121</v>
      </c>
      <c r="F41" s="69" t="s">
        <v>55</v>
      </c>
      <c r="G41" s="63">
        <v>150</v>
      </c>
      <c r="H41" s="149">
        <v>65.5</v>
      </c>
      <c r="I41" s="55">
        <f t="shared" si="5"/>
        <v>9825</v>
      </c>
    </row>
    <row r="42" spans="1:10" ht="30" x14ac:dyDescent="0.2">
      <c r="A42" s="54">
        <v>33</v>
      </c>
      <c r="B42" s="57" t="s">
        <v>87</v>
      </c>
      <c r="C42" s="51" t="s">
        <v>91</v>
      </c>
      <c r="D42" s="52" t="str">
        <f t="shared" ref="D42:D48" si="6">LEFT(B42,5)</f>
        <v>2.9.2</v>
      </c>
      <c r="E42" s="63" t="s">
        <v>122</v>
      </c>
      <c r="F42" s="66" t="s">
        <v>55</v>
      </c>
      <c r="G42" s="63">
        <v>80</v>
      </c>
      <c r="H42" s="146">
        <v>65.5</v>
      </c>
      <c r="I42" s="53">
        <f t="shared" ref="I42:I51" si="7">G42*H42</f>
        <v>5240</v>
      </c>
    </row>
    <row r="43" spans="1:10" ht="30" x14ac:dyDescent="0.25">
      <c r="A43" s="54">
        <v>34</v>
      </c>
      <c r="B43" s="93" t="s">
        <v>141</v>
      </c>
      <c r="C43" s="51" t="s">
        <v>91</v>
      </c>
      <c r="D43" s="52" t="str">
        <f t="shared" si="6"/>
        <v>2.9.2</v>
      </c>
      <c r="E43" s="94" t="s">
        <v>142</v>
      </c>
      <c r="F43" s="66" t="s">
        <v>55</v>
      </c>
      <c r="G43" s="63">
        <v>50</v>
      </c>
      <c r="H43" s="147">
        <v>41</v>
      </c>
      <c r="I43" s="55">
        <f t="shared" si="7"/>
        <v>2050</v>
      </c>
      <c r="J43" s="140"/>
    </row>
    <row r="44" spans="1:10" ht="45" x14ac:dyDescent="0.2">
      <c r="A44" s="54">
        <v>35</v>
      </c>
      <c r="B44" s="52" t="s">
        <v>88</v>
      </c>
      <c r="C44" s="51" t="s">
        <v>91</v>
      </c>
      <c r="D44" s="52" t="str">
        <f t="shared" si="6"/>
        <v>2.3.1</v>
      </c>
      <c r="E44" s="63" t="s">
        <v>123</v>
      </c>
      <c r="F44" s="141" t="s">
        <v>168</v>
      </c>
      <c r="G44" s="63">
        <v>2</v>
      </c>
      <c r="H44" s="146">
        <v>5750</v>
      </c>
      <c r="I44" s="55">
        <f t="shared" si="7"/>
        <v>11500</v>
      </c>
    </row>
    <row r="45" spans="1:10" ht="45" x14ac:dyDescent="0.2">
      <c r="A45" s="54">
        <v>36</v>
      </c>
      <c r="B45" s="52" t="s">
        <v>89</v>
      </c>
      <c r="C45" s="51" t="s">
        <v>91</v>
      </c>
      <c r="D45" s="52" t="str">
        <f t="shared" si="6"/>
        <v>2.3.1</v>
      </c>
      <c r="E45" s="63" t="s">
        <v>124</v>
      </c>
      <c r="F45" s="141" t="s">
        <v>168</v>
      </c>
      <c r="G45" s="63">
        <v>4</v>
      </c>
      <c r="H45" s="146">
        <v>3625</v>
      </c>
      <c r="I45" s="55">
        <f t="shared" si="7"/>
        <v>14500</v>
      </c>
    </row>
    <row r="46" spans="1:10" ht="45.75" thickBot="1" x14ac:dyDescent="0.25">
      <c r="A46" s="54">
        <v>37</v>
      </c>
      <c r="B46" s="52" t="s">
        <v>90</v>
      </c>
      <c r="C46" s="51" t="s">
        <v>91</v>
      </c>
      <c r="D46" s="52" t="str">
        <f t="shared" si="6"/>
        <v>2.3.1</v>
      </c>
      <c r="E46" s="63" t="s">
        <v>125</v>
      </c>
      <c r="F46" s="70" t="s">
        <v>55</v>
      </c>
      <c r="G46" s="63">
        <v>50</v>
      </c>
      <c r="H46" s="146">
        <v>13</v>
      </c>
      <c r="I46" s="55">
        <f t="shared" si="7"/>
        <v>650</v>
      </c>
      <c r="J46" s="140"/>
    </row>
    <row r="47" spans="1:10" ht="30" x14ac:dyDescent="0.2">
      <c r="A47" s="155">
        <v>38</v>
      </c>
      <c r="B47" s="243" t="s">
        <v>185</v>
      </c>
      <c r="C47" s="157" t="s">
        <v>91</v>
      </c>
      <c r="D47" s="156" t="str">
        <f t="shared" si="6"/>
        <v>2.5.8</v>
      </c>
      <c r="E47" s="244" t="s">
        <v>186</v>
      </c>
      <c r="F47" s="159" t="s">
        <v>156</v>
      </c>
      <c r="G47" s="158">
        <v>54</v>
      </c>
      <c r="H47" s="160">
        <v>1275</v>
      </c>
      <c r="I47" s="161">
        <f t="shared" si="7"/>
        <v>68850</v>
      </c>
    </row>
    <row r="48" spans="1:10" ht="30" x14ac:dyDescent="0.2">
      <c r="A48" s="152">
        <v>39</v>
      </c>
      <c r="B48" s="62" t="s">
        <v>169</v>
      </c>
      <c r="C48" s="153" t="s">
        <v>91</v>
      </c>
      <c r="D48" s="52" t="str">
        <f t="shared" si="6"/>
        <v>2.3.1</v>
      </c>
      <c r="E48" s="143" t="s">
        <v>128</v>
      </c>
      <c r="F48" s="71" t="s">
        <v>55</v>
      </c>
      <c r="G48" s="63">
        <v>50</v>
      </c>
      <c r="H48" s="146">
        <v>390</v>
      </c>
      <c r="I48" s="55">
        <f t="shared" si="7"/>
        <v>19500</v>
      </c>
    </row>
    <row r="49" spans="1:10" ht="30" x14ac:dyDescent="0.2">
      <c r="A49" s="54">
        <v>40</v>
      </c>
      <c r="B49" s="134" t="s">
        <v>162</v>
      </c>
      <c r="C49" s="51" t="s">
        <v>91</v>
      </c>
      <c r="D49" s="52" t="str">
        <f t="shared" ref="D49:D51" si="8">LEFT(B49,5)</f>
        <v>2.9.2</v>
      </c>
      <c r="E49" s="135" t="s">
        <v>163</v>
      </c>
      <c r="F49" s="71" t="s">
        <v>55</v>
      </c>
      <c r="G49" s="63">
        <v>30</v>
      </c>
      <c r="H49" s="147">
        <v>403</v>
      </c>
      <c r="I49" s="55">
        <f t="shared" si="7"/>
        <v>12090</v>
      </c>
      <c r="J49" s="140"/>
    </row>
    <row r="50" spans="1:10" ht="30" x14ac:dyDescent="0.2">
      <c r="A50" s="54">
        <v>41</v>
      </c>
      <c r="B50" s="136" t="s">
        <v>164</v>
      </c>
      <c r="C50" s="51" t="s">
        <v>91</v>
      </c>
      <c r="D50" s="52" t="str">
        <f t="shared" si="8"/>
        <v>2.9.2</v>
      </c>
      <c r="E50" s="135" t="s">
        <v>165</v>
      </c>
      <c r="F50" s="71" t="s">
        <v>55</v>
      </c>
      <c r="G50" s="63">
        <v>50</v>
      </c>
      <c r="H50" s="147">
        <v>563</v>
      </c>
      <c r="I50" s="55">
        <f t="shared" si="7"/>
        <v>28150</v>
      </c>
    </row>
    <row r="51" spans="1:10" ht="30" x14ac:dyDescent="0.2">
      <c r="A51" s="165">
        <v>42</v>
      </c>
      <c r="B51" s="166" t="s">
        <v>179</v>
      </c>
      <c r="C51" s="165" t="s">
        <v>91</v>
      </c>
      <c r="D51" s="165" t="str">
        <f t="shared" si="8"/>
        <v>2.9.2</v>
      </c>
      <c r="E51" s="166" t="s">
        <v>180</v>
      </c>
      <c r="F51" s="71" t="s">
        <v>55</v>
      </c>
      <c r="G51" s="63">
        <v>200</v>
      </c>
      <c r="H51" s="147">
        <v>85</v>
      </c>
      <c r="I51" s="167">
        <f t="shared" si="7"/>
        <v>17000</v>
      </c>
    </row>
    <row r="52" spans="1:10" ht="30" x14ac:dyDescent="0.2">
      <c r="A52" s="165">
        <v>43</v>
      </c>
      <c r="B52" s="166" t="s">
        <v>181</v>
      </c>
      <c r="C52" s="165" t="s">
        <v>91</v>
      </c>
      <c r="D52" s="165" t="str">
        <f t="shared" ref="D52" si="9">LEFT(B52,5)</f>
        <v>2.9.2</v>
      </c>
      <c r="E52" s="166" t="s">
        <v>182</v>
      </c>
      <c r="F52" s="71" t="s">
        <v>55</v>
      </c>
      <c r="G52" s="63">
        <v>200</v>
      </c>
      <c r="H52" s="147">
        <v>100</v>
      </c>
      <c r="I52" s="167">
        <f t="shared" ref="I52" si="10">G52*H52</f>
        <v>20000</v>
      </c>
    </row>
    <row r="53" spans="1:10" ht="15" x14ac:dyDescent="0.2">
      <c r="A53" s="102"/>
      <c r="B53" s="102"/>
      <c r="C53" s="102"/>
      <c r="D53" s="102"/>
      <c r="E53" s="103"/>
      <c r="F53" s="104"/>
      <c r="G53" s="103"/>
      <c r="H53" s="150"/>
      <c r="I53" s="105"/>
    </row>
    <row r="54" spans="1:10" ht="15.75" thickBot="1" x14ac:dyDescent="0.25">
      <c r="A54" s="102"/>
      <c r="B54" s="102"/>
      <c r="C54" s="102"/>
      <c r="D54" s="102"/>
      <c r="E54" s="103"/>
      <c r="F54" s="104"/>
      <c r="G54" s="103"/>
      <c r="H54" s="150"/>
      <c r="I54" s="105"/>
    </row>
    <row r="55" spans="1:10" ht="15" x14ac:dyDescent="0.2">
      <c r="A55" s="102"/>
      <c r="B55" s="72" t="s">
        <v>183</v>
      </c>
      <c r="C55" s="73"/>
      <c r="D55" s="73"/>
      <c r="E55" s="74"/>
      <c r="F55" s="104"/>
      <c r="G55" s="103"/>
      <c r="H55" s="150"/>
      <c r="I55" s="105"/>
    </row>
    <row r="56" spans="1:10" ht="15" x14ac:dyDescent="0.2">
      <c r="A56" s="102"/>
      <c r="B56" s="75"/>
      <c r="C56" s="40"/>
      <c r="D56" s="40"/>
      <c r="E56" s="76"/>
      <c r="F56" s="104"/>
      <c r="G56" s="103"/>
      <c r="H56" s="150"/>
      <c r="I56" s="105"/>
    </row>
    <row r="57" spans="1:10" ht="15" x14ac:dyDescent="0.2">
      <c r="A57" s="102"/>
      <c r="B57" s="77" t="s">
        <v>129</v>
      </c>
      <c r="C57" s="40"/>
      <c r="D57" s="40"/>
      <c r="E57" s="76"/>
      <c r="F57" s="104"/>
      <c r="G57" s="103"/>
      <c r="H57" s="150"/>
      <c r="I57" s="105"/>
    </row>
    <row r="58" spans="1:10" ht="15" x14ac:dyDescent="0.25">
      <c r="A58" s="102"/>
      <c r="B58" s="77"/>
      <c r="C58" s="191"/>
      <c r="D58" s="191"/>
      <c r="E58" s="192"/>
      <c r="F58" s="104"/>
      <c r="G58" s="103"/>
      <c r="H58" s="150"/>
      <c r="I58" s="105"/>
    </row>
    <row r="59" spans="1:10" ht="15" x14ac:dyDescent="0.2">
      <c r="A59" s="102"/>
      <c r="B59" s="107" t="s">
        <v>145</v>
      </c>
      <c r="C59" s="78"/>
      <c r="D59" s="183" t="s">
        <v>146</v>
      </c>
      <c r="E59" s="184"/>
      <c r="F59" s="104"/>
      <c r="G59" s="103"/>
      <c r="H59" s="150"/>
      <c r="I59" s="105"/>
    </row>
    <row r="60" spans="1:10" ht="15" x14ac:dyDescent="0.2">
      <c r="A60" s="102"/>
      <c r="B60" s="77"/>
      <c r="C60" s="78"/>
      <c r="D60" s="98"/>
      <c r="E60" s="99"/>
      <c r="F60" s="104"/>
      <c r="G60" s="103"/>
      <c r="H60" s="150"/>
      <c r="I60" s="105"/>
    </row>
    <row r="61" spans="1:10" ht="15" x14ac:dyDescent="0.2">
      <c r="A61" s="102"/>
      <c r="B61" s="106" t="s">
        <v>147</v>
      </c>
      <c r="C61" s="183" t="s">
        <v>131</v>
      </c>
      <c r="D61" s="183"/>
      <c r="E61" s="184"/>
      <c r="F61" s="104"/>
      <c r="G61" s="103"/>
      <c r="H61" s="150"/>
      <c r="I61" s="105"/>
    </row>
    <row r="62" spans="1:10" ht="15" x14ac:dyDescent="0.2">
      <c r="A62" s="102"/>
      <c r="B62" s="80"/>
      <c r="C62" s="183"/>
      <c r="D62" s="183"/>
      <c r="E62" s="184"/>
      <c r="F62" s="104"/>
      <c r="G62" s="103"/>
      <c r="H62" s="150"/>
      <c r="I62" s="105"/>
    </row>
    <row r="63" spans="1:10" ht="15" x14ac:dyDescent="0.2">
      <c r="A63" s="102"/>
      <c r="B63" s="187" t="s">
        <v>148</v>
      </c>
      <c r="C63" s="188"/>
      <c r="D63" s="183" t="s">
        <v>149</v>
      </c>
      <c r="E63" s="184"/>
      <c r="F63" s="104"/>
      <c r="G63" s="103"/>
      <c r="H63" s="150"/>
      <c r="I63" s="105"/>
    </row>
    <row r="64" spans="1:10" ht="15" x14ac:dyDescent="0.2">
      <c r="A64" s="102"/>
      <c r="B64" s="108"/>
      <c r="C64" s="109"/>
      <c r="D64" s="98"/>
      <c r="E64" s="99"/>
      <c r="F64" s="104"/>
      <c r="G64" s="103"/>
      <c r="H64" s="150"/>
      <c r="I64" s="105"/>
    </row>
    <row r="65" spans="1:9" ht="15" x14ac:dyDescent="0.2">
      <c r="A65" s="102"/>
      <c r="B65" s="77" t="s">
        <v>132</v>
      </c>
      <c r="C65" s="78"/>
      <c r="D65" s="78"/>
      <c r="E65" s="79"/>
      <c r="F65" s="104"/>
      <c r="G65" s="103"/>
      <c r="H65" s="150"/>
      <c r="I65" s="105"/>
    </row>
    <row r="66" spans="1:9" ht="15" x14ac:dyDescent="0.2">
      <c r="A66" s="102"/>
      <c r="B66" s="80"/>
      <c r="C66" s="179"/>
      <c r="D66" s="179"/>
      <c r="E66" s="178"/>
      <c r="F66" s="104"/>
      <c r="G66" s="103"/>
      <c r="H66" s="150"/>
      <c r="I66" s="105"/>
    </row>
    <row r="67" spans="1:9" ht="15" x14ac:dyDescent="0.2">
      <c r="A67" s="102"/>
      <c r="B67" s="77" t="s">
        <v>133</v>
      </c>
      <c r="C67" s="100"/>
      <c r="D67" s="100"/>
      <c r="E67" s="101"/>
      <c r="F67" s="104"/>
      <c r="G67" s="103"/>
      <c r="H67" s="150"/>
      <c r="I67" s="105"/>
    </row>
    <row r="68" spans="1:9" ht="15" x14ac:dyDescent="0.2">
      <c r="A68" s="102"/>
      <c r="B68" s="80"/>
      <c r="C68" s="179" t="s">
        <v>172</v>
      </c>
      <c r="D68" s="179"/>
      <c r="E68" s="178"/>
      <c r="F68" s="104"/>
      <c r="G68" s="103"/>
      <c r="H68" s="150"/>
      <c r="I68" s="105"/>
    </row>
    <row r="69" spans="1:9" ht="15" x14ac:dyDescent="0.2">
      <c r="A69" s="102"/>
      <c r="B69" s="77" t="s">
        <v>134</v>
      </c>
      <c r="C69" s="78"/>
      <c r="D69" s="78"/>
      <c r="E69" s="79"/>
      <c r="F69" s="104"/>
      <c r="G69" s="103"/>
      <c r="H69" s="150"/>
      <c r="I69" s="105"/>
    </row>
    <row r="70" spans="1:9" ht="15" x14ac:dyDescent="0.2">
      <c r="A70" s="102"/>
      <c r="B70" s="77"/>
      <c r="C70" s="183"/>
      <c r="D70" s="183"/>
      <c r="E70" s="184"/>
      <c r="F70" s="104"/>
      <c r="G70" s="103"/>
      <c r="H70" s="150"/>
      <c r="I70" s="105"/>
    </row>
    <row r="71" spans="1:9" ht="15.75" thickBot="1" x14ac:dyDescent="0.25">
      <c r="A71" s="102"/>
      <c r="B71" s="83"/>
      <c r="C71" s="84"/>
      <c r="D71" s="84"/>
      <c r="E71" s="85"/>
      <c r="F71" s="104"/>
      <c r="G71" s="103"/>
      <c r="H71" s="150"/>
      <c r="I71" s="105"/>
    </row>
    <row r="72" spans="1:9" ht="15" x14ac:dyDescent="0.2">
      <c r="A72" s="102"/>
      <c r="B72" s="102"/>
      <c r="C72" s="102"/>
      <c r="D72" s="102"/>
      <c r="E72" s="103"/>
      <c r="F72" s="104"/>
      <c r="G72" s="103"/>
      <c r="H72" s="150"/>
      <c r="I72" s="105"/>
    </row>
    <row r="73" spans="1:9" ht="15" x14ac:dyDescent="0.2">
      <c r="A73" s="102"/>
      <c r="B73" s="102"/>
      <c r="C73" s="102"/>
      <c r="D73" s="102"/>
      <c r="E73" s="103"/>
      <c r="F73" s="104"/>
      <c r="G73" s="103"/>
      <c r="H73" s="150"/>
      <c r="I73" s="105"/>
    </row>
    <row r="74" spans="1:9" ht="13.5" thickBot="1" x14ac:dyDescent="0.25">
      <c r="B74" s="58"/>
      <c r="C74" s="40"/>
      <c r="D74" s="40"/>
      <c r="E74" s="40"/>
    </row>
    <row r="75" spans="1:9" x14ac:dyDescent="0.2">
      <c r="B75" s="72" t="s">
        <v>151</v>
      </c>
      <c r="C75" s="73"/>
      <c r="D75" s="73"/>
      <c r="E75" s="74"/>
    </row>
    <row r="76" spans="1:9" ht="5.25" customHeight="1" x14ac:dyDescent="0.2">
      <c r="B76" s="75"/>
      <c r="C76" s="40"/>
      <c r="D76" s="40"/>
      <c r="E76" s="76"/>
    </row>
    <row r="77" spans="1:9" x14ac:dyDescent="0.2">
      <c r="B77" s="77" t="s">
        <v>129</v>
      </c>
      <c r="C77" s="40"/>
      <c r="D77" s="40"/>
      <c r="E77" s="76"/>
    </row>
    <row r="78" spans="1:9" ht="41.25" customHeight="1" x14ac:dyDescent="0.25">
      <c r="B78" s="77"/>
      <c r="C78" s="191" t="s">
        <v>130</v>
      </c>
      <c r="D78" s="191"/>
      <c r="E78" s="192"/>
    </row>
    <row r="79" spans="1:9" ht="41.25" customHeight="1" x14ac:dyDescent="0.25">
      <c r="B79" s="77"/>
      <c r="C79" s="96"/>
      <c r="D79" s="96"/>
      <c r="E79" s="97"/>
    </row>
    <row r="80" spans="1:9" x14ac:dyDescent="0.2">
      <c r="B80" s="107" t="s">
        <v>145</v>
      </c>
      <c r="C80" s="183" t="s">
        <v>146</v>
      </c>
      <c r="D80" s="183"/>
      <c r="E80" s="184"/>
    </row>
    <row r="81" spans="2:5" x14ac:dyDescent="0.2">
      <c r="B81" s="107"/>
      <c r="C81" s="98"/>
      <c r="D81" s="98"/>
      <c r="E81" s="99"/>
    </row>
    <row r="82" spans="2:5" x14ac:dyDescent="0.2">
      <c r="B82" s="107" t="s">
        <v>150</v>
      </c>
      <c r="C82" s="183" t="s">
        <v>131</v>
      </c>
      <c r="D82" s="183"/>
      <c r="E82" s="184"/>
    </row>
    <row r="83" spans="2:5" x14ac:dyDescent="0.2">
      <c r="B83" s="80"/>
      <c r="C83" s="183"/>
      <c r="D83" s="183"/>
      <c r="E83" s="184"/>
    </row>
    <row r="84" spans="2:5" x14ac:dyDescent="0.2">
      <c r="B84" s="189" t="s">
        <v>148</v>
      </c>
      <c r="C84" s="190"/>
      <c r="D84" s="183" t="s">
        <v>149</v>
      </c>
      <c r="E84" s="184"/>
    </row>
    <row r="85" spans="2:5" x14ac:dyDescent="0.2">
      <c r="B85" s="110"/>
      <c r="C85" s="111"/>
      <c r="D85" s="98"/>
      <c r="E85" s="99"/>
    </row>
    <row r="86" spans="2:5" x14ac:dyDescent="0.2">
      <c r="B86" s="77" t="s">
        <v>132</v>
      </c>
      <c r="C86" s="78"/>
      <c r="D86" s="78"/>
      <c r="E86" s="79"/>
    </row>
    <row r="87" spans="2:5" ht="26.25" customHeight="1" x14ac:dyDescent="0.2">
      <c r="B87" s="80"/>
      <c r="C87" s="179"/>
      <c r="D87" s="179"/>
      <c r="E87" s="178"/>
    </row>
    <row r="88" spans="2:5" x14ac:dyDescent="0.2">
      <c r="B88" s="77" t="s">
        <v>133</v>
      </c>
      <c r="C88" s="81"/>
      <c r="D88" s="81"/>
      <c r="E88" s="82"/>
    </row>
    <row r="89" spans="2:5" ht="26.25" customHeight="1" x14ac:dyDescent="0.2">
      <c r="B89" s="80"/>
      <c r="C89" s="179" t="s">
        <v>172</v>
      </c>
      <c r="D89" s="179"/>
      <c r="E89" s="178"/>
    </row>
    <row r="90" spans="2:5" x14ac:dyDescent="0.2">
      <c r="B90" s="77" t="s">
        <v>134</v>
      </c>
      <c r="C90" s="78"/>
      <c r="D90" s="78"/>
      <c r="E90" s="79"/>
    </row>
    <row r="91" spans="2:5" ht="23.25" customHeight="1" x14ac:dyDescent="0.2">
      <c r="B91" s="77"/>
      <c r="C91" s="183"/>
      <c r="D91" s="183"/>
      <c r="E91" s="184"/>
    </row>
    <row r="92" spans="2:5" ht="13.5" thickBot="1" x14ac:dyDescent="0.25">
      <c r="B92" s="83"/>
      <c r="C92" s="84"/>
      <c r="D92" s="84"/>
      <c r="E92" s="85"/>
    </row>
    <row r="93" spans="2:5" ht="13.5" thickBot="1" x14ac:dyDescent="0.25"/>
    <row r="94" spans="2:5" x14ac:dyDescent="0.2">
      <c r="B94" s="72" t="s">
        <v>152</v>
      </c>
      <c r="C94" s="73"/>
      <c r="D94" s="73"/>
      <c r="E94" s="74"/>
    </row>
    <row r="95" spans="2:5" ht="7.5" customHeight="1" x14ac:dyDescent="0.2">
      <c r="B95" s="75"/>
      <c r="C95" s="40"/>
      <c r="D95" s="40"/>
      <c r="E95" s="76"/>
    </row>
    <row r="96" spans="2:5" x14ac:dyDescent="0.2">
      <c r="B96" s="77" t="s">
        <v>129</v>
      </c>
      <c r="C96" s="40"/>
      <c r="D96" s="40"/>
      <c r="E96" s="76"/>
    </row>
    <row r="97" spans="2:5" ht="39" customHeight="1" x14ac:dyDescent="0.25">
      <c r="B97" s="77"/>
      <c r="C97" s="191" t="s">
        <v>135</v>
      </c>
      <c r="D97" s="191"/>
      <c r="E97" s="192"/>
    </row>
    <row r="98" spans="2:5" ht="15" customHeight="1" x14ac:dyDescent="0.25">
      <c r="B98" s="77"/>
      <c r="C98" s="96"/>
      <c r="D98" s="96"/>
      <c r="E98" s="97"/>
    </row>
    <row r="99" spans="2:5" x14ac:dyDescent="0.2">
      <c r="B99" s="107" t="s">
        <v>153</v>
      </c>
      <c r="C99" s="78"/>
      <c r="D99" s="183" t="s">
        <v>146</v>
      </c>
      <c r="E99" s="184"/>
    </row>
    <row r="100" spans="2:5" x14ac:dyDescent="0.2">
      <c r="B100" s="107"/>
      <c r="C100" s="183"/>
      <c r="D100" s="183"/>
      <c r="E100" s="184"/>
    </row>
    <row r="101" spans="2:5" x14ac:dyDescent="0.2">
      <c r="B101" s="107" t="s">
        <v>154</v>
      </c>
      <c r="C101" s="183" t="s">
        <v>131</v>
      </c>
      <c r="D101" s="183"/>
      <c r="E101" s="184"/>
    </row>
    <row r="102" spans="2:5" x14ac:dyDescent="0.2">
      <c r="B102" s="107"/>
      <c r="C102" s="98"/>
      <c r="D102" s="98"/>
      <c r="E102" s="99"/>
    </row>
    <row r="103" spans="2:5" x14ac:dyDescent="0.2">
      <c r="B103" s="107" t="s">
        <v>148</v>
      </c>
      <c r="C103" s="183" t="s">
        <v>149</v>
      </c>
      <c r="D103" s="183"/>
      <c r="E103" s="184"/>
    </row>
    <row r="104" spans="2:5" x14ac:dyDescent="0.2">
      <c r="B104" s="107"/>
      <c r="C104" s="98"/>
      <c r="D104" s="98"/>
      <c r="E104" s="99"/>
    </row>
    <row r="105" spans="2:5" x14ac:dyDescent="0.2">
      <c r="B105" s="77" t="s">
        <v>132</v>
      </c>
      <c r="C105" s="78"/>
      <c r="D105" s="78"/>
      <c r="E105" s="79"/>
    </row>
    <row r="106" spans="2:5" x14ac:dyDescent="0.2">
      <c r="B106" s="80"/>
      <c r="C106" s="179"/>
      <c r="D106" s="179"/>
      <c r="E106" s="178"/>
    </row>
    <row r="107" spans="2:5" x14ac:dyDescent="0.2">
      <c r="B107" s="77" t="s">
        <v>133</v>
      </c>
      <c r="C107" s="81"/>
      <c r="D107" s="81"/>
      <c r="E107" s="82"/>
    </row>
    <row r="108" spans="2:5" x14ac:dyDescent="0.2">
      <c r="B108" s="80"/>
      <c r="C108" s="179" t="s">
        <v>172</v>
      </c>
      <c r="D108" s="179"/>
      <c r="E108" s="178"/>
    </row>
    <row r="109" spans="2:5" x14ac:dyDescent="0.2">
      <c r="B109" s="77" t="s">
        <v>134</v>
      </c>
      <c r="C109" s="78"/>
      <c r="D109" s="78"/>
      <c r="E109" s="79"/>
    </row>
    <row r="110" spans="2:5" x14ac:dyDescent="0.2">
      <c r="B110" s="77"/>
      <c r="C110" s="183"/>
      <c r="D110" s="183"/>
      <c r="E110" s="184"/>
    </row>
    <row r="111" spans="2:5" ht="13.5" thickBot="1" x14ac:dyDescent="0.25">
      <c r="B111" s="83"/>
      <c r="C111" s="84"/>
      <c r="D111" s="84"/>
      <c r="E111" s="85"/>
    </row>
    <row r="112" spans="2:5" ht="13.5" thickBot="1" x14ac:dyDescent="0.25"/>
    <row r="113" spans="2:5" x14ac:dyDescent="0.2">
      <c r="B113" s="72" t="s">
        <v>136</v>
      </c>
      <c r="C113" s="73" t="s">
        <v>143</v>
      </c>
      <c r="D113" s="73"/>
      <c r="E113" s="74"/>
    </row>
    <row r="114" spans="2:5" ht="5.25" customHeight="1" x14ac:dyDescent="0.2">
      <c r="B114" s="75"/>
      <c r="C114" s="40"/>
      <c r="D114" s="40"/>
      <c r="E114" s="76"/>
    </row>
    <row r="115" spans="2:5" x14ac:dyDescent="0.2">
      <c r="B115" s="77" t="s">
        <v>129</v>
      </c>
      <c r="C115" s="40"/>
      <c r="D115" s="40"/>
      <c r="E115" s="76"/>
    </row>
    <row r="116" spans="2:5" ht="59.25" customHeight="1" x14ac:dyDescent="0.25">
      <c r="B116" s="77"/>
      <c r="C116" s="191" t="s">
        <v>166</v>
      </c>
      <c r="D116" s="191"/>
      <c r="E116" s="192"/>
    </row>
    <row r="117" spans="2:5" x14ac:dyDescent="0.2">
      <c r="B117" s="107" t="s">
        <v>153</v>
      </c>
      <c r="C117" s="183" t="s">
        <v>146</v>
      </c>
      <c r="D117" s="183"/>
      <c r="E117" s="184"/>
    </row>
    <row r="118" spans="2:5" x14ac:dyDescent="0.2">
      <c r="B118" s="80"/>
      <c r="C118" s="183"/>
      <c r="D118" s="183"/>
      <c r="E118" s="184"/>
    </row>
    <row r="119" spans="2:5" x14ac:dyDescent="0.2">
      <c r="B119" s="107" t="s">
        <v>154</v>
      </c>
      <c r="C119" s="183" t="s">
        <v>131</v>
      </c>
      <c r="D119" s="183"/>
      <c r="E119" s="184"/>
    </row>
    <row r="120" spans="2:5" x14ac:dyDescent="0.2">
      <c r="B120" s="107"/>
      <c r="C120" s="98"/>
      <c r="D120" s="98"/>
      <c r="E120" s="99"/>
    </row>
    <row r="121" spans="2:5" x14ac:dyDescent="0.2">
      <c r="B121" s="107" t="s">
        <v>148</v>
      </c>
      <c r="C121" s="183" t="s">
        <v>149</v>
      </c>
      <c r="D121" s="183"/>
      <c r="E121" s="184"/>
    </row>
    <row r="122" spans="2:5" x14ac:dyDescent="0.2">
      <c r="B122" s="107"/>
      <c r="C122" s="98"/>
      <c r="D122" s="98"/>
      <c r="E122" s="99"/>
    </row>
    <row r="123" spans="2:5" x14ac:dyDescent="0.2">
      <c r="B123" s="77" t="s">
        <v>132</v>
      </c>
      <c r="C123" s="78"/>
      <c r="D123" s="78"/>
      <c r="E123" s="79"/>
    </row>
    <row r="124" spans="2:5" ht="26.25" customHeight="1" x14ac:dyDescent="0.2">
      <c r="B124" s="80"/>
      <c r="C124" s="179"/>
      <c r="D124" s="179"/>
      <c r="E124" s="178"/>
    </row>
    <row r="125" spans="2:5" x14ac:dyDescent="0.2">
      <c r="B125" s="77" t="s">
        <v>133</v>
      </c>
      <c r="C125" s="81"/>
      <c r="D125" s="81"/>
      <c r="E125" s="82"/>
    </row>
    <row r="126" spans="2:5" ht="26.25" customHeight="1" x14ac:dyDescent="0.2">
      <c r="B126" s="80"/>
      <c r="C126" s="179" t="s">
        <v>172</v>
      </c>
      <c r="D126" s="179"/>
      <c r="E126" s="178"/>
    </row>
    <row r="127" spans="2:5" x14ac:dyDescent="0.2">
      <c r="B127" s="77" t="s">
        <v>134</v>
      </c>
      <c r="C127" s="78"/>
      <c r="D127" s="78"/>
      <c r="E127" s="79"/>
    </row>
    <row r="128" spans="2:5" ht="23.25" customHeight="1" x14ac:dyDescent="0.2">
      <c r="B128" s="77"/>
      <c r="C128" s="183"/>
      <c r="D128" s="183"/>
      <c r="E128" s="184"/>
    </row>
    <row r="129" spans="2:5" ht="13.5" thickBot="1" x14ac:dyDescent="0.25">
      <c r="B129" s="83"/>
      <c r="C129" s="84"/>
      <c r="D129" s="84"/>
      <c r="E129" s="85"/>
    </row>
    <row r="131" spans="2:5" ht="13.5" thickBot="1" x14ac:dyDescent="0.25"/>
    <row r="132" spans="2:5" x14ac:dyDescent="0.2">
      <c r="B132" s="72" t="s">
        <v>155</v>
      </c>
      <c r="C132" s="73"/>
      <c r="D132" s="73"/>
      <c r="E132" s="74"/>
    </row>
    <row r="133" spans="2:5" x14ac:dyDescent="0.2">
      <c r="B133" s="75"/>
      <c r="C133" s="40"/>
      <c r="D133" s="40"/>
      <c r="E133" s="76"/>
    </row>
    <row r="134" spans="2:5" x14ac:dyDescent="0.2">
      <c r="B134" s="77" t="s">
        <v>129</v>
      </c>
      <c r="C134" s="40"/>
      <c r="D134" s="40"/>
      <c r="E134" s="76"/>
    </row>
    <row r="135" spans="2:5" ht="12.75" customHeight="1" x14ac:dyDescent="0.2">
      <c r="B135" s="77"/>
      <c r="C135" s="196" t="s">
        <v>167</v>
      </c>
      <c r="D135" s="196"/>
      <c r="E135" s="197"/>
    </row>
    <row r="136" spans="2:5" ht="12.75" customHeight="1" x14ac:dyDescent="0.2">
      <c r="B136" s="77"/>
      <c r="C136" s="196"/>
      <c r="D136" s="196"/>
      <c r="E136" s="197"/>
    </row>
    <row r="137" spans="2:5" ht="37.5" customHeight="1" x14ac:dyDescent="0.2">
      <c r="B137" s="77"/>
      <c r="C137" s="196"/>
      <c r="D137" s="196"/>
      <c r="E137" s="197"/>
    </row>
    <row r="138" spans="2:5" x14ac:dyDescent="0.2">
      <c r="B138" s="107" t="s">
        <v>153</v>
      </c>
      <c r="C138" s="183" t="s">
        <v>146</v>
      </c>
      <c r="D138" s="183"/>
      <c r="E138" s="184"/>
    </row>
    <row r="139" spans="2:5" x14ac:dyDescent="0.2">
      <c r="B139" s="107"/>
      <c r="C139" s="98"/>
      <c r="D139" s="98"/>
      <c r="E139" s="99"/>
    </row>
    <row r="140" spans="2:5" x14ac:dyDescent="0.2">
      <c r="B140" s="107" t="s">
        <v>154</v>
      </c>
      <c r="C140" s="183" t="s">
        <v>131</v>
      </c>
      <c r="D140" s="183"/>
      <c r="E140" s="184"/>
    </row>
    <row r="141" spans="2:5" x14ac:dyDescent="0.2">
      <c r="B141" s="107"/>
      <c r="C141" s="98"/>
      <c r="D141" s="98"/>
      <c r="E141" s="99"/>
    </row>
    <row r="142" spans="2:5" x14ac:dyDescent="0.2">
      <c r="B142" s="107" t="s">
        <v>148</v>
      </c>
      <c r="C142" s="183" t="s">
        <v>149</v>
      </c>
      <c r="D142" s="183"/>
      <c r="E142" s="184"/>
    </row>
    <row r="143" spans="2:5" x14ac:dyDescent="0.2">
      <c r="B143" s="107"/>
      <c r="C143" s="98"/>
      <c r="D143" s="98"/>
      <c r="E143" s="99"/>
    </row>
    <row r="144" spans="2:5" x14ac:dyDescent="0.2">
      <c r="B144" s="77" t="s">
        <v>132</v>
      </c>
      <c r="C144" s="78"/>
      <c r="D144" s="78"/>
      <c r="E144" s="79"/>
    </row>
    <row r="145" spans="2:5" x14ac:dyDescent="0.2">
      <c r="B145" s="80"/>
      <c r="C145" s="179"/>
      <c r="D145" s="179"/>
      <c r="E145" s="178"/>
    </row>
    <row r="146" spans="2:5" x14ac:dyDescent="0.2">
      <c r="B146" s="77" t="s">
        <v>133</v>
      </c>
      <c r="C146" s="86"/>
      <c r="D146" s="86"/>
      <c r="E146" s="87"/>
    </row>
    <row r="147" spans="2:5" x14ac:dyDescent="0.2">
      <c r="B147" s="80"/>
      <c r="C147" s="179" t="s">
        <v>173</v>
      </c>
      <c r="D147" s="179"/>
      <c r="E147" s="178"/>
    </row>
    <row r="148" spans="2:5" x14ac:dyDescent="0.2">
      <c r="B148" s="77" t="s">
        <v>134</v>
      </c>
      <c r="C148" s="78"/>
      <c r="D148" s="78"/>
      <c r="E148" s="79"/>
    </row>
    <row r="149" spans="2:5" x14ac:dyDescent="0.2">
      <c r="B149" s="77"/>
      <c r="C149" s="183"/>
      <c r="D149" s="183"/>
      <c r="E149" s="184"/>
    </row>
    <row r="150" spans="2:5" ht="13.5" thickBot="1" x14ac:dyDescent="0.25">
      <c r="B150" s="83"/>
      <c r="C150" s="84"/>
      <c r="D150" s="84"/>
      <c r="E150" s="85"/>
    </row>
    <row r="151" spans="2:5" ht="13.5" thickBot="1" x14ac:dyDescent="0.25"/>
    <row r="152" spans="2:5" x14ac:dyDescent="0.2">
      <c r="B152" s="112" t="s">
        <v>160</v>
      </c>
      <c r="C152" s="113"/>
      <c r="D152" s="114"/>
      <c r="E152" s="115"/>
    </row>
    <row r="153" spans="2:5" x14ac:dyDescent="0.2">
      <c r="B153" s="116"/>
      <c r="C153" s="117"/>
      <c r="D153" s="118"/>
      <c r="E153" s="119"/>
    </row>
    <row r="154" spans="2:5" x14ac:dyDescent="0.2">
      <c r="B154" s="116" t="s">
        <v>129</v>
      </c>
      <c r="C154" s="117"/>
      <c r="D154" s="118"/>
      <c r="E154" s="119"/>
    </row>
    <row r="155" spans="2:5" x14ac:dyDescent="0.2">
      <c r="B155" s="120"/>
      <c r="C155" s="179" t="s">
        <v>189</v>
      </c>
      <c r="D155" s="179"/>
      <c r="E155" s="178"/>
    </row>
    <row r="156" spans="2:5" ht="15" x14ac:dyDescent="0.25">
      <c r="B156" s="130"/>
      <c r="C156" s="121"/>
      <c r="D156" s="121"/>
      <c r="E156" s="142"/>
    </row>
    <row r="157" spans="2:5" ht="12.75" customHeight="1" x14ac:dyDescent="0.25">
      <c r="B157" s="130"/>
      <c r="C157" s="121"/>
      <c r="D157" s="121"/>
      <c r="E157" s="142"/>
    </row>
    <row r="158" spans="2:5" x14ac:dyDescent="0.2">
      <c r="B158" s="131" t="s">
        <v>145</v>
      </c>
      <c r="C158" s="181" t="s">
        <v>157</v>
      </c>
      <c r="D158" s="181"/>
      <c r="E158" s="182"/>
    </row>
    <row r="159" spans="2:5" x14ac:dyDescent="0.2">
      <c r="B159" s="132"/>
      <c r="C159" s="122"/>
      <c r="D159" s="40"/>
      <c r="E159" s="123"/>
    </row>
    <row r="160" spans="2:5" x14ac:dyDescent="0.2">
      <c r="B160" s="131" t="s">
        <v>147</v>
      </c>
      <c r="C160" s="183" t="s">
        <v>171</v>
      </c>
      <c r="D160" s="183"/>
      <c r="E160" s="184"/>
    </row>
    <row r="161" spans="2:5" x14ac:dyDescent="0.2">
      <c r="B161" s="133"/>
      <c r="C161" s="179"/>
      <c r="D161" s="179"/>
      <c r="E161" s="178"/>
    </row>
    <row r="162" spans="2:5" x14ac:dyDescent="0.2">
      <c r="B162" s="133" t="s">
        <v>158</v>
      </c>
      <c r="C162" s="185" t="s">
        <v>159</v>
      </c>
      <c r="D162" s="185"/>
      <c r="E162" s="186"/>
    </row>
    <row r="163" spans="2:5" x14ac:dyDescent="0.2">
      <c r="B163" s="124" t="s">
        <v>132</v>
      </c>
      <c r="C163" s="122"/>
      <c r="D163" s="40"/>
      <c r="E163" s="123"/>
    </row>
    <row r="164" spans="2:5" ht="12.75" customHeight="1" x14ac:dyDescent="0.2">
      <c r="B164" s="125"/>
      <c r="C164" s="179"/>
      <c r="D164" s="179"/>
      <c r="E164" s="178"/>
    </row>
    <row r="165" spans="2:5" x14ac:dyDescent="0.2">
      <c r="B165" s="124" t="s">
        <v>133</v>
      </c>
      <c r="C165" s="126"/>
      <c r="D165" s="127"/>
      <c r="E165" s="168"/>
    </row>
    <row r="166" spans="2:5" x14ac:dyDescent="0.2">
      <c r="B166" s="125"/>
      <c r="C166" s="179" t="s">
        <v>172</v>
      </c>
      <c r="D166" s="179"/>
      <c r="E166" s="178"/>
    </row>
    <row r="167" spans="2:5" x14ac:dyDescent="0.2">
      <c r="B167" s="124" t="s">
        <v>134</v>
      </c>
      <c r="C167" s="128"/>
      <c r="D167" s="78"/>
      <c r="E167" s="123"/>
    </row>
    <row r="168" spans="2:5" ht="13.5" thickBot="1" x14ac:dyDescent="0.25">
      <c r="B168" s="129"/>
      <c r="C168" s="180"/>
      <c r="D168" s="180"/>
      <c r="E168" s="180"/>
    </row>
    <row r="170" spans="2:5" ht="13.5" thickBot="1" x14ac:dyDescent="0.25"/>
    <row r="171" spans="2:5" x14ac:dyDescent="0.2">
      <c r="B171" s="112" t="s">
        <v>174</v>
      </c>
      <c r="C171" s="113"/>
      <c r="D171" s="114"/>
      <c r="E171" s="115"/>
    </row>
    <row r="172" spans="2:5" x14ac:dyDescent="0.2">
      <c r="B172" s="116"/>
      <c r="C172" s="117"/>
      <c r="D172" s="118"/>
      <c r="E172" s="119"/>
    </row>
    <row r="173" spans="2:5" x14ac:dyDescent="0.2">
      <c r="B173" s="116" t="s">
        <v>129</v>
      </c>
      <c r="C173" s="117"/>
      <c r="D173" s="118"/>
      <c r="E173" s="119"/>
    </row>
    <row r="174" spans="2:5" x14ac:dyDescent="0.2">
      <c r="B174" s="120"/>
      <c r="C174" s="179" t="s">
        <v>187</v>
      </c>
      <c r="D174" s="179"/>
      <c r="E174" s="178"/>
    </row>
    <row r="175" spans="2:5" ht="15" x14ac:dyDescent="0.25">
      <c r="B175" s="130"/>
      <c r="C175" s="121"/>
      <c r="D175" s="121"/>
      <c r="E175" s="142"/>
    </row>
    <row r="176" spans="2:5" ht="15" x14ac:dyDescent="0.25">
      <c r="B176" s="130"/>
      <c r="C176" s="121"/>
      <c r="D176" s="121"/>
      <c r="E176" s="142"/>
    </row>
    <row r="177" spans="2:5" x14ac:dyDescent="0.2">
      <c r="B177" s="131" t="s">
        <v>145</v>
      </c>
      <c r="C177" s="181" t="s">
        <v>157</v>
      </c>
      <c r="D177" s="181"/>
      <c r="E177" s="182"/>
    </row>
    <row r="178" spans="2:5" x14ac:dyDescent="0.2">
      <c r="B178" s="132"/>
      <c r="C178" s="122"/>
      <c r="D178" s="40"/>
      <c r="E178" s="123"/>
    </row>
    <row r="179" spans="2:5" x14ac:dyDescent="0.2">
      <c r="B179" s="131" t="s">
        <v>147</v>
      </c>
      <c r="C179" s="183" t="s">
        <v>171</v>
      </c>
      <c r="D179" s="183"/>
      <c r="E179" s="184"/>
    </row>
    <row r="180" spans="2:5" x14ac:dyDescent="0.2">
      <c r="B180" s="133"/>
      <c r="C180" s="179"/>
      <c r="D180" s="179"/>
      <c r="E180" s="178"/>
    </row>
    <row r="181" spans="2:5" x14ac:dyDescent="0.2">
      <c r="B181" s="133" t="s">
        <v>158</v>
      </c>
      <c r="C181" s="185" t="s">
        <v>159</v>
      </c>
      <c r="D181" s="185"/>
      <c r="E181" s="186"/>
    </row>
    <row r="182" spans="2:5" x14ac:dyDescent="0.2">
      <c r="B182" s="124" t="s">
        <v>132</v>
      </c>
      <c r="C182" s="122"/>
      <c r="D182" s="40"/>
      <c r="E182" s="123"/>
    </row>
    <row r="183" spans="2:5" x14ac:dyDescent="0.2">
      <c r="B183" s="125"/>
      <c r="C183" s="179"/>
      <c r="D183" s="179"/>
      <c r="E183" s="178"/>
    </row>
    <row r="184" spans="2:5" x14ac:dyDescent="0.2">
      <c r="B184" s="124" t="s">
        <v>133</v>
      </c>
      <c r="C184" s="126"/>
      <c r="D184" s="127"/>
      <c r="E184" s="168"/>
    </row>
    <row r="185" spans="2:5" x14ac:dyDescent="0.2">
      <c r="B185" s="125"/>
      <c r="C185" s="179" t="s">
        <v>172</v>
      </c>
      <c r="D185" s="179"/>
      <c r="E185" s="178"/>
    </row>
    <row r="186" spans="2:5" x14ac:dyDescent="0.2">
      <c r="B186" s="124" t="s">
        <v>134</v>
      </c>
      <c r="C186" s="128"/>
      <c r="D186" s="78"/>
      <c r="E186" s="123"/>
    </row>
    <row r="187" spans="2:5" ht="13.5" thickBot="1" x14ac:dyDescent="0.25">
      <c r="B187" s="129"/>
      <c r="C187" s="180"/>
      <c r="D187" s="180"/>
      <c r="E187" s="180"/>
    </row>
    <row r="188" spans="2:5" ht="13.5" thickBot="1" x14ac:dyDescent="0.25"/>
    <row r="189" spans="2:5" x14ac:dyDescent="0.2">
      <c r="B189" s="112" t="s">
        <v>184</v>
      </c>
      <c r="C189" s="113"/>
      <c r="D189" s="114"/>
      <c r="E189" s="115"/>
    </row>
    <row r="190" spans="2:5" x14ac:dyDescent="0.2">
      <c r="B190" s="116"/>
      <c r="C190" s="117"/>
      <c r="D190" s="118"/>
      <c r="E190" s="119"/>
    </row>
    <row r="191" spans="2:5" x14ac:dyDescent="0.2">
      <c r="B191" s="116" t="s">
        <v>129</v>
      </c>
      <c r="C191" s="117"/>
      <c r="D191" s="118"/>
      <c r="E191" s="119"/>
    </row>
    <row r="192" spans="2:5" x14ac:dyDescent="0.2">
      <c r="B192" s="120"/>
      <c r="C192" s="178" t="s">
        <v>188</v>
      </c>
      <c r="D192" s="178"/>
      <c r="E192" s="178"/>
    </row>
    <row r="193" spans="2:5" ht="15" x14ac:dyDescent="0.25">
      <c r="B193" s="130"/>
      <c r="C193" s="121"/>
      <c r="D193" s="121"/>
      <c r="E193" s="142"/>
    </row>
    <row r="194" spans="2:5" ht="15" x14ac:dyDescent="0.25">
      <c r="B194" s="130"/>
      <c r="C194" s="121"/>
      <c r="D194" s="121"/>
      <c r="E194" s="142"/>
    </row>
    <row r="195" spans="2:5" x14ac:dyDescent="0.2">
      <c r="B195" s="131" t="s">
        <v>145</v>
      </c>
      <c r="C195" s="181" t="s">
        <v>157</v>
      </c>
      <c r="D195" s="181"/>
      <c r="E195" s="182"/>
    </row>
    <row r="196" spans="2:5" x14ac:dyDescent="0.2">
      <c r="B196" s="132"/>
      <c r="C196" s="122"/>
      <c r="D196" s="40"/>
      <c r="E196" s="123"/>
    </row>
    <row r="197" spans="2:5" x14ac:dyDescent="0.2">
      <c r="B197" s="131" t="s">
        <v>147</v>
      </c>
      <c r="C197" s="183" t="s">
        <v>171</v>
      </c>
      <c r="D197" s="183"/>
      <c r="E197" s="184"/>
    </row>
    <row r="198" spans="2:5" x14ac:dyDescent="0.2">
      <c r="B198" s="133"/>
      <c r="C198" s="179"/>
      <c r="D198" s="179"/>
      <c r="E198" s="178"/>
    </row>
    <row r="199" spans="2:5" x14ac:dyDescent="0.2">
      <c r="B199" s="133" t="s">
        <v>158</v>
      </c>
      <c r="C199" s="185" t="s">
        <v>159</v>
      </c>
      <c r="D199" s="185"/>
      <c r="E199" s="186"/>
    </row>
    <row r="200" spans="2:5" x14ac:dyDescent="0.2">
      <c r="B200" s="124" t="s">
        <v>132</v>
      </c>
      <c r="C200" s="122"/>
      <c r="D200" s="40"/>
      <c r="E200" s="123"/>
    </row>
    <row r="201" spans="2:5" x14ac:dyDescent="0.2">
      <c r="B201" s="125"/>
      <c r="C201" s="178"/>
      <c r="D201" s="178"/>
      <c r="E201" s="178"/>
    </row>
    <row r="202" spans="2:5" x14ac:dyDescent="0.2">
      <c r="B202" s="124" t="s">
        <v>133</v>
      </c>
      <c r="C202" s="126"/>
      <c r="D202" s="127"/>
      <c r="E202" s="162"/>
    </row>
    <row r="203" spans="2:5" x14ac:dyDescent="0.2">
      <c r="B203" s="125"/>
      <c r="C203" s="179" t="s">
        <v>172</v>
      </c>
      <c r="D203" s="179"/>
      <c r="E203" s="178"/>
    </row>
    <row r="204" spans="2:5" x14ac:dyDescent="0.2">
      <c r="B204" s="124" t="s">
        <v>134</v>
      </c>
      <c r="C204" s="128"/>
      <c r="D204" s="78"/>
      <c r="E204" s="123"/>
    </row>
    <row r="205" spans="2:5" ht="13.5" thickBot="1" x14ac:dyDescent="0.25">
      <c r="B205" s="129"/>
      <c r="C205" s="180"/>
      <c r="D205" s="180"/>
      <c r="E205" s="180"/>
    </row>
  </sheetData>
  <mergeCells count="72">
    <mergeCell ref="C183:E183"/>
    <mergeCell ref="C185:E185"/>
    <mergeCell ref="C187:E187"/>
    <mergeCell ref="C174:E174"/>
    <mergeCell ref="C177:E177"/>
    <mergeCell ref="C179:E179"/>
    <mergeCell ref="C180:E180"/>
    <mergeCell ref="C181:E181"/>
    <mergeCell ref="C164:E164"/>
    <mergeCell ref="C166:E166"/>
    <mergeCell ref="C168:E168"/>
    <mergeCell ref="C155:E155"/>
    <mergeCell ref="C158:E158"/>
    <mergeCell ref="C160:E160"/>
    <mergeCell ref="C161:E161"/>
    <mergeCell ref="C162:E162"/>
    <mergeCell ref="C149:E149"/>
    <mergeCell ref="C135:E137"/>
    <mergeCell ref="C140:E140"/>
    <mergeCell ref="C142:E142"/>
    <mergeCell ref="C145:E145"/>
    <mergeCell ref="C147:E147"/>
    <mergeCell ref="C138:E138"/>
    <mergeCell ref="C126:E126"/>
    <mergeCell ref="C128:E128"/>
    <mergeCell ref="C108:E108"/>
    <mergeCell ref="C110:E110"/>
    <mergeCell ref="C116:E116"/>
    <mergeCell ref="C118:E118"/>
    <mergeCell ref="C119:E119"/>
    <mergeCell ref="C117:E117"/>
    <mergeCell ref="C121:E121"/>
    <mergeCell ref="C101:E101"/>
    <mergeCell ref="C106:E106"/>
    <mergeCell ref="D99:E99"/>
    <mergeCell ref="C103:E103"/>
    <mergeCell ref="C124:E124"/>
    <mergeCell ref="C87:E87"/>
    <mergeCell ref="C89:E89"/>
    <mergeCell ref="C91:E91"/>
    <mergeCell ref="C97:E97"/>
    <mergeCell ref="C100:E100"/>
    <mergeCell ref="A6:B6"/>
    <mergeCell ref="A7:B7"/>
    <mergeCell ref="B2:H2"/>
    <mergeCell ref="A4:B4"/>
    <mergeCell ref="C4:E4"/>
    <mergeCell ref="A5:B5"/>
    <mergeCell ref="C5:E5"/>
    <mergeCell ref="C58:E58"/>
    <mergeCell ref="C61:E61"/>
    <mergeCell ref="C62:E62"/>
    <mergeCell ref="C66:E66"/>
    <mergeCell ref="C68:E68"/>
    <mergeCell ref="C70:E70"/>
    <mergeCell ref="D59:E59"/>
    <mergeCell ref="B63:C63"/>
    <mergeCell ref="D63:E63"/>
    <mergeCell ref="B84:C84"/>
    <mergeCell ref="D84:E84"/>
    <mergeCell ref="C80:E80"/>
    <mergeCell ref="C78:E78"/>
    <mergeCell ref="C82:E82"/>
    <mergeCell ref="C83:E83"/>
    <mergeCell ref="C201:E201"/>
    <mergeCell ref="C203:E203"/>
    <mergeCell ref="C205:E205"/>
    <mergeCell ref="C192:E192"/>
    <mergeCell ref="C195:E195"/>
    <mergeCell ref="C197:E197"/>
    <mergeCell ref="C198:E198"/>
    <mergeCell ref="C199:E199"/>
  </mergeCells>
  <phoneticPr fontId="41" type="noConversion"/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55"/>
  <sheetViews>
    <sheetView topLeftCell="A43" zoomScale="80" zoomScaleNormal="80" workbookViewId="0">
      <selection activeCell="A55" sqref="A55:I55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024" ht="18" customHeight="1" x14ac:dyDescent="0.2">
      <c r="A1" s="209" t="s">
        <v>14</v>
      </c>
      <c r="B1" s="209"/>
      <c r="C1" s="209"/>
      <c r="D1" s="209"/>
      <c r="E1" s="209"/>
      <c r="F1" s="209"/>
      <c r="G1" s="209"/>
      <c r="H1" s="209"/>
      <c r="I1" s="209"/>
      <c r="J1" s="3" t="s">
        <v>15</v>
      </c>
      <c r="K1" s="164" t="s">
        <v>175</v>
      </c>
    </row>
    <row r="2" spans="1:1024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024" ht="18.75" customHeight="1" thickBot="1" x14ac:dyDescent="0.25">
      <c r="A3" s="210" t="s">
        <v>48</v>
      </c>
      <c r="B3" s="210"/>
      <c r="C3" s="210"/>
      <c r="D3" s="199" t="str">
        <f>'Necesidades Trimestrales'!C4</f>
        <v>40 - Ministerio de Salud</v>
      </c>
      <c r="E3" s="199"/>
      <c r="F3" s="199"/>
      <c r="G3" s="199"/>
      <c r="H3" s="199"/>
      <c r="I3" s="199"/>
      <c r="J3" s="199"/>
      <c r="K3" s="199"/>
    </row>
    <row r="4" spans="1:1024" ht="18.75" customHeight="1" thickBot="1" x14ac:dyDescent="0.25">
      <c r="A4" s="211" t="s">
        <v>49</v>
      </c>
      <c r="B4" s="211"/>
      <c r="C4" s="211"/>
      <c r="D4" s="199" t="str">
        <f>'Necesidades Trimestrales'!C5</f>
        <v>28 - MATERNIDAD PROVINCIAL 25 DE MAYO</v>
      </c>
      <c r="E4" s="199"/>
      <c r="F4" s="199"/>
      <c r="G4" s="199"/>
      <c r="H4" s="199"/>
      <c r="I4" s="199"/>
      <c r="J4" s="199"/>
      <c r="K4" s="199"/>
    </row>
    <row r="5" spans="1:1024" ht="18.75" customHeight="1" thickBot="1" x14ac:dyDescent="0.25">
      <c r="A5" s="211" t="s">
        <v>27</v>
      </c>
      <c r="B5" s="211"/>
      <c r="C5" s="211"/>
      <c r="D5" s="199" t="s">
        <v>176</v>
      </c>
      <c r="E5" s="199"/>
      <c r="F5" s="199"/>
      <c r="G5" s="199"/>
      <c r="H5" s="199"/>
      <c r="I5" s="199"/>
      <c r="J5" s="199"/>
      <c r="K5" s="199"/>
    </row>
    <row r="6" spans="1:1024" ht="16.5" customHeight="1" thickBot="1" x14ac:dyDescent="0.25">
      <c r="A6" s="210" t="s">
        <v>50</v>
      </c>
      <c r="B6" s="210"/>
      <c r="C6" s="210"/>
      <c r="D6" s="199" t="s">
        <v>177</v>
      </c>
      <c r="E6" s="199"/>
      <c r="F6" s="199"/>
      <c r="G6" s="199"/>
      <c r="H6" s="199"/>
      <c r="I6" s="199"/>
      <c r="J6" s="199"/>
      <c r="K6" s="199"/>
    </row>
    <row r="7" spans="1:1024" ht="16.5" customHeight="1" x14ac:dyDescent="0.2">
      <c r="A7" s="211" t="s">
        <v>16</v>
      </c>
      <c r="B7" s="211"/>
      <c r="C7" s="211"/>
      <c r="D7" s="199" t="str">
        <f>'Necesidades Trimestrales'!C7 &amp; "° Trimestre - Año " &amp; 'Necesidades Trimestrales'!C6</f>
        <v>2° Trimestre - Año 2022</v>
      </c>
      <c r="E7" s="199"/>
      <c r="F7" s="199"/>
      <c r="G7" s="199"/>
      <c r="H7" s="199"/>
      <c r="I7" s="199"/>
      <c r="J7" s="199"/>
      <c r="K7" s="199"/>
    </row>
    <row r="8" spans="1:1024" ht="16.5" customHeight="1" x14ac:dyDescent="0.2">
      <c r="A8" s="204" t="s">
        <v>17</v>
      </c>
      <c r="B8" s="204"/>
      <c r="C8" s="204"/>
      <c r="D8" s="205" t="s">
        <v>178</v>
      </c>
      <c r="E8" s="205"/>
      <c r="F8" s="205"/>
      <c r="G8" s="205"/>
      <c r="H8" s="205"/>
      <c r="I8" s="205"/>
      <c r="J8" s="205"/>
      <c r="K8" s="205"/>
    </row>
    <row r="9" spans="1:1024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024" ht="18.75" customHeight="1" x14ac:dyDescent="0.2">
      <c r="A10" s="206" t="s">
        <v>18</v>
      </c>
      <c r="B10" s="207" t="s">
        <v>19</v>
      </c>
      <c r="C10" s="207" t="s">
        <v>20</v>
      </c>
      <c r="D10" s="207"/>
      <c r="E10" s="207"/>
      <c r="F10" s="207"/>
      <c r="G10" s="207"/>
      <c r="H10" s="207" t="s">
        <v>21</v>
      </c>
      <c r="I10" s="207" t="s">
        <v>22</v>
      </c>
      <c r="J10" s="207" t="s">
        <v>23</v>
      </c>
      <c r="K10" s="208" t="s">
        <v>24</v>
      </c>
    </row>
    <row r="11" spans="1:1024" ht="24" customHeight="1" thickBot="1" x14ac:dyDescent="0.25">
      <c r="A11" s="206"/>
      <c r="B11" s="207"/>
      <c r="C11" s="207"/>
      <c r="D11" s="207"/>
      <c r="E11" s="207"/>
      <c r="F11" s="207"/>
      <c r="G11" s="207"/>
      <c r="H11" s="207"/>
      <c r="I11" s="207"/>
      <c r="J11" s="207"/>
      <c r="K11" s="208"/>
    </row>
    <row r="12" spans="1:1024" ht="30" customHeight="1" thickBot="1" x14ac:dyDescent="0.25">
      <c r="A12" s="8">
        <f>'Necesidades Trimestrales'!A10</f>
        <v>1</v>
      </c>
      <c r="B12" s="48" t="str">
        <f>'Necesidades Trimestrales'!B10</f>
        <v>2.9.2-262.40</v>
      </c>
      <c r="C12" s="198" t="str">
        <f>'Necesidades Trimestrales'!E10</f>
        <v>ADHESIVOS P/PAPEL; PRESENTACION: 50 mL, TIPO: SINTETICO TRANSPARENTE</v>
      </c>
      <c r="D12" s="198"/>
      <c r="E12" s="198"/>
      <c r="F12" s="198"/>
      <c r="G12" s="198"/>
      <c r="H12" s="42" t="s">
        <v>51</v>
      </c>
      <c r="I12" s="43" t="str">
        <f>'Necesidades Trimestrales'!F10</f>
        <v>unidad</v>
      </c>
      <c r="J12" s="163">
        <f>'Necesidades Trimestrales'!H10</f>
        <v>85</v>
      </c>
      <c r="K12" s="64">
        <f>'Necesidades Trimestrales'!G10</f>
        <v>250</v>
      </c>
    </row>
    <row r="13" spans="1:1024" ht="30" customHeight="1" thickBot="1" x14ac:dyDescent="0.25">
      <c r="A13" s="8">
        <f>'Necesidades Trimestrales'!A11</f>
        <v>2</v>
      </c>
      <c r="B13" s="48" t="str">
        <f>'Necesidades Trimestrales'!B11</f>
        <v>2.9.2-1428.14</v>
      </c>
      <c r="C13" s="198" t="str">
        <f>'Necesidades Trimestrales'!E11</f>
        <v>BANDAS ELASTICAS; DIAMETRO: 5 Cm, PRESENTACION: CAJA DE 50 GR, ESPESOR: 2 mm</v>
      </c>
      <c r="D13" s="198"/>
      <c r="E13" s="198"/>
      <c r="F13" s="198"/>
      <c r="G13" s="198"/>
      <c r="H13" s="42" t="s">
        <v>51</v>
      </c>
      <c r="I13" s="43" t="str">
        <f>'Necesidades Trimestrales'!F11</f>
        <v>caja</v>
      </c>
      <c r="J13" s="163">
        <f>'Necesidades Trimestrales'!H11</f>
        <v>138</v>
      </c>
      <c r="K13" s="64">
        <f>'Necesidades Trimestrales'!G11</f>
        <v>150</v>
      </c>
    </row>
    <row r="14" spans="1:1024" ht="30" customHeight="1" thickBot="1" x14ac:dyDescent="0.25">
      <c r="A14" s="8">
        <f>'Necesidades Trimestrales'!A12</f>
        <v>3</v>
      </c>
      <c r="B14" s="48" t="str">
        <f>'Necesidades Trimestrales'!B12</f>
        <v>2.9.2-317.1</v>
      </c>
      <c r="C14" s="198" t="str">
        <f>'Necesidades Trimestrales'!E12</f>
        <v xml:space="preserve">BOLIGRAFOS; COLOR TINTA: AZUL, TRAZO: 0,7 mm </v>
      </c>
      <c r="D14" s="198"/>
      <c r="E14" s="198"/>
      <c r="F14" s="198"/>
      <c r="G14" s="198"/>
      <c r="H14" s="42" t="s">
        <v>51</v>
      </c>
      <c r="I14" s="43" t="str">
        <f>'Necesidades Trimestrales'!F12</f>
        <v>unidad</v>
      </c>
      <c r="J14" s="163">
        <f>'Necesidades Trimestrales'!H12</f>
        <v>87.5</v>
      </c>
      <c r="K14" s="64">
        <f>'Necesidades Trimestrales'!G12</f>
        <v>300</v>
      </c>
    </row>
    <row r="15" spans="1:1024" ht="30" customHeight="1" thickBot="1" x14ac:dyDescent="0.25">
      <c r="A15" s="8">
        <f>'Necesidades Trimestrales'!A13</f>
        <v>4</v>
      </c>
      <c r="B15" s="48" t="str">
        <f>'Necesidades Trimestrales'!B13</f>
        <v>2.9.2-317.5</v>
      </c>
      <c r="C15" s="198" t="str">
        <f>'Necesidades Trimestrales'!E13</f>
        <v>BOLIGRAFOS; TRAZO 1,0mm</v>
      </c>
      <c r="D15" s="198"/>
      <c r="E15" s="198"/>
      <c r="F15" s="198"/>
      <c r="G15" s="198"/>
      <c r="H15" s="95" t="s">
        <v>144</v>
      </c>
      <c r="I15" s="43" t="str">
        <f>'Necesidades Trimestrales'!F13</f>
        <v>unidad</v>
      </c>
      <c r="J15" s="163">
        <f>'Necesidades Trimestrales'!H13</f>
        <v>32</v>
      </c>
      <c r="K15" s="64">
        <f>'Necesidades Trimestrales'!G13</f>
        <v>300</v>
      </c>
    </row>
    <row r="16" spans="1:1024" ht="30" customHeight="1" thickBot="1" x14ac:dyDescent="0.25">
      <c r="A16" s="8">
        <f>'Necesidades Trimestrales'!A14</f>
        <v>5</v>
      </c>
      <c r="B16" s="48" t="str">
        <f>'Necesidades Trimestrales'!B14</f>
        <v>2.9.2-317.17</v>
      </c>
      <c r="C16" s="198" t="str">
        <f>'Necesidades Trimestrales'!E14</f>
        <v>BOLIGRAFOS; TRAZO: GRUESO, COLOR TINTA: NEGRO</v>
      </c>
      <c r="D16" s="198"/>
      <c r="E16" s="198"/>
      <c r="F16" s="198"/>
      <c r="G16" s="198"/>
      <c r="H16" s="42" t="s">
        <v>51</v>
      </c>
      <c r="I16" s="43" t="str">
        <f>'Necesidades Trimestrales'!F14</f>
        <v>unidad</v>
      </c>
      <c r="J16" s="163">
        <f>'Necesidades Trimestrales'!H14</f>
        <v>32</v>
      </c>
      <c r="K16" s="64">
        <f>'Necesidades Trimestrales'!G14</f>
        <v>300</v>
      </c>
      <c r="L16"/>
      <c r="M16"/>
      <c r="N16"/>
      <c r="P16"/>
      <c r="Q16"/>
      <c r="R16"/>
      <c r="S16"/>
      <c r="T16" s="61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</row>
    <row r="17" spans="1:11" ht="30" customHeight="1" thickBot="1" x14ac:dyDescent="0.25">
      <c r="A17" s="8">
        <f>'Necesidades Trimestrales'!A15</f>
        <v>6</v>
      </c>
      <c r="B17" s="48" t="str">
        <f>'Necesidades Trimestrales'!B15</f>
        <v>2.9.2-317.32</v>
      </c>
      <c r="C17" s="198" t="str">
        <f>'Necesidades Trimestrales'!E15</f>
        <v>BOLIGRAFOS; TRAZO: 0,8 mm</v>
      </c>
      <c r="D17" s="198"/>
      <c r="E17" s="198"/>
      <c r="F17" s="198"/>
      <c r="G17" s="198"/>
      <c r="H17" s="95" t="s">
        <v>144</v>
      </c>
      <c r="I17" s="43" t="str">
        <f>'Necesidades Trimestrales'!F15</f>
        <v>unidad</v>
      </c>
      <c r="J17" s="163">
        <f>'Necesidades Trimestrales'!H15</f>
        <v>87.5</v>
      </c>
      <c r="K17" s="64">
        <f>'Necesidades Trimestrales'!G15</f>
        <v>300</v>
      </c>
    </row>
    <row r="18" spans="1:11" ht="30" customHeight="1" thickBot="1" x14ac:dyDescent="0.25">
      <c r="A18" s="8">
        <f>'Necesidades Trimestrales'!A16</f>
        <v>7</v>
      </c>
      <c r="B18" s="48" t="str">
        <f>'Necesidades Trimestrales'!B16</f>
        <v>2.9.2-700.2</v>
      </c>
      <c r="C18" s="198" t="str">
        <f>'Necesidades Trimestrales'!E16</f>
        <v>BROCHES P/ABROCHADORA; NUMERO: 21/6, PRESENTACION: CAJA X 1000 UNIDADES</v>
      </c>
      <c r="D18" s="198"/>
      <c r="E18" s="198"/>
      <c r="F18" s="198"/>
      <c r="G18" s="198"/>
      <c r="H18" s="42" t="s">
        <v>51</v>
      </c>
      <c r="I18" s="43" t="str">
        <f>'Necesidades Trimestrales'!F16</f>
        <v>caja</v>
      </c>
      <c r="J18" s="163">
        <f>'Necesidades Trimestrales'!H16</f>
        <v>180</v>
      </c>
      <c r="K18" s="64">
        <f>'Necesidades Trimestrales'!G16</f>
        <v>200</v>
      </c>
    </row>
    <row r="19" spans="1:11" ht="30" customHeight="1" thickBot="1" x14ac:dyDescent="0.25">
      <c r="A19" s="8">
        <f>'Necesidades Trimestrales'!A17</f>
        <v>8</v>
      </c>
      <c r="B19" s="48" t="str">
        <f>'Necesidades Trimestrales'!B17</f>
        <v>2.9.2-700.56</v>
      </c>
      <c r="C19" s="198" t="str">
        <f>'Necesidades Trimestrales'!E17</f>
        <v>BROCHES P/ABROCHADORA; NUMERO: 10/50, PRESENTACION: CAJA X 2000 UN</v>
      </c>
      <c r="D19" s="198"/>
      <c r="E19" s="198"/>
      <c r="F19" s="198"/>
      <c r="G19" s="198"/>
      <c r="H19" s="42" t="s">
        <v>51</v>
      </c>
      <c r="I19" s="43" t="str">
        <f>'Necesidades Trimestrales'!F17</f>
        <v>caja</v>
      </c>
      <c r="J19" s="163">
        <f>'Necesidades Trimestrales'!H17</f>
        <v>129</v>
      </c>
      <c r="K19" s="64">
        <f>'Necesidades Trimestrales'!G17</f>
        <v>200</v>
      </c>
    </row>
    <row r="20" spans="1:11" ht="30" customHeight="1" thickBot="1" x14ac:dyDescent="0.25">
      <c r="A20" s="8">
        <f>'Necesidades Trimestrales'!A18</f>
        <v>9</v>
      </c>
      <c r="B20" s="48" t="str">
        <f>'Necesidades Trimestrales'!B18</f>
        <v>2.9.2-6873.6</v>
      </c>
      <c r="C20" s="198" t="str">
        <f>'Necesidades Trimestrales'!E18</f>
        <v>BROCHES PLASTICOS; TIPO: NEPACO, TAMAÑO: Nº 2, PRESENTACION: CAJA X 50 UN</v>
      </c>
      <c r="D20" s="198"/>
      <c r="E20" s="198"/>
      <c r="F20" s="198"/>
      <c r="G20" s="198"/>
      <c r="H20" s="42" t="s">
        <v>51</v>
      </c>
      <c r="I20" s="43" t="str">
        <f>'Necesidades Trimestrales'!F18</f>
        <v>caja</v>
      </c>
      <c r="J20" s="163">
        <f>'Necesidades Trimestrales'!H18</f>
        <v>402</v>
      </c>
      <c r="K20" s="64">
        <f>'Necesidades Trimestrales'!G18</f>
        <v>300</v>
      </c>
    </row>
    <row r="21" spans="1:11" ht="30" customHeight="1" thickBot="1" x14ac:dyDescent="0.25">
      <c r="A21" s="8">
        <f>'Necesidades Trimestrales'!A19</f>
        <v>10</v>
      </c>
      <c r="B21" s="48" t="str">
        <f>'Necesidades Trimestrales'!B19</f>
        <v>2.9.2-1153.19</v>
      </c>
      <c r="C21" s="198" t="str">
        <f>'Necesidades Trimestrales'!E19</f>
        <v>CINTAS ADHESIVAS; TIPO: DE ENMASCARAR, ANCHO: 24 mm, LARGO ROLLO: 50 M, ACCESORIO: SIN, MATERIAL: PAPEL, LARGO: 50 M</v>
      </c>
      <c r="D21" s="198"/>
      <c r="E21" s="198"/>
      <c r="F21" s="198"/>
      <c r="G21" s="198"/>
      <c r="H21" s="42" t="s">
        <v>51</v>
      </c>
      <c r="I21" s="43" t="str">
        <f>'Necesidades Trimestrales'!F19</f>
        <v>unidad</v>
      </c>
      <c r="J21" s="163">
        <f>'Necesidades Trimestrales'!H19</f>
        <v>365.5</v>
      </c>
      <c r="K21" s="64">
        <f>'Necesidades Trimestrales'!G19</f>
        <v>550</v>
      </c>
    </row>
    <row r="22" spans="1:11" ht="30" customHeight="1" thickBot="1" x14ac:dyDescent="0.25">
      <c r="A22" s="8">
        <f>'Necesidades Trimestrales'!A20</f>
        <v>11</v>
      </c>
      <c r="B22" s="48" t="str">
        <f>'Necesidades Trimestrales'!B20</f>
        <v>2.9.2-1153.166</v>
      </c>
      <c r="C22" s="198" t="str">
        <f>'Necesidades Trimestrales'!E20</f>
        <v>CINTAS ADHESIVAS; TIPO: P/EMBALAR, ANCHO: 48 mm, LARGO: 40 M, MATERIAL: TRANSPARENTE, ACCESORIO: SIN</v>
      </c>
      <c r="D22" s="198"/>
      <c r="E22" s="198"/>
      <c r="F22" s="198"/>
      <c r="G22" s="198"/>
      <c r="H22" s="42" t="s">
        <v>51</v>
      </c>
      <c r="I22" s="43" t="str">
        <f>'Necesidades Trimestrales'!F20</f>
        <v>unidad</v>
      </c>
      <c r="J22" s="163">
        <f>'Necesidades Trimestrales'!H20</f>
        <v>161</v>
      </c>
      <c r="K22" s="64">
        <f>'Necesidades Trimestrales'!G20</f>
        <v>150</v>
      </c>
    </row>
    <row r="23" spans="1:11" ht="30" customHeight="1" thickBot="1" x14ac:dyDescent="0.25">
      <c r="A23" s="8">
        <f>'Necesidades Trimestrales'!A21</f>
        <v>12</v>
      </c>
      <c r="B23" s="48" t="str">
        <f>'Necesidades Trimestrales'!B21</f>
        <v>2.9.2-660.7</v>
      </c>
      <c r="C23" s="198" t="str">
        <f>'Necesidades Trimestrales'!E21</f>
        <v>CLIPS P/PAPEL; NUMERO: 5, MATERIAL: METAL, CANT. X CAJA: 50, PRESENTACION: CAJA X 50</v>
      </c>
      <c r="D23" s="198"/>
      <c r="E23" s="198"/>
      <c r="F23" s="198"/>
      <c r="G23" s="198"/>
      <c r="H23" s="42" t="s">
        <v>51</v>
      </c>
      <c r="I23" s="43" t="str">
        <f>'Necesidades Trimestrales'!F21</f>
        <v>caja</v>
      </c>
      <c r="J23" s="163">
        <f>'Necesidades Trimestrales'!H21</f>
        <v>129.5</v>
      </c>
      <c r="K23" s="64">
        <f>'Necesidades Trimestrales'!G21</f>
        <v>100</v>
      </c>
    </row>
    <row r="24" spans="1:11" ht="30" customHeight="1" thickBot="1" x14ac:dyDescent="0.25">
      <c r="A24" s="8">
        <f>'Necesidades Trimestrales'!A22</f>
        <v>13</v>
      </c>
      <c r="B24" s="48" t="str">
        <f>'Necesidades Trimestrales'!B22</f>
        <v>2.9.2-660.31</v>
      </c>
      <c r="C24" s="198" t="str">
        <f>'Necesidades Trimestrales'!E22</f>
        <v>CLIPS P/PAPEL; NUMERO: 8, MATERIAL: METAL, CANT. X CAJA: 100 UN, PRESENTACION: CAJA X 100 UN</v>
      </c>
      <c r="D24" s="198"/>
      <c r="E24" s="198"/>
      <c r="F24" s="198"/>
      <c r="G24" s="198"/>
      <c r="H24" s="42" t="s">
        <v>51</v>
      </c>
      <c r="I24" s="43" t="str">
        <f>'Necesidades Trimestrales'!F22</f>
        <v>caja</v>
      </c>
      <c r="J24" s="163">
        <f>'Necesidades Trimestrales'!H22</f>
        <v>414</v>
      </c>
      <c r="K24" s="64">
        <f>'Necesidades Trimestrales'!G22</f>
        <v>80</v>
      </c>
    </row>
    <row r="25" spans="1:11" ht="44.25" customHeight="1" thickBot="1" x14ac:dyDescent="0.25">
      <c r="A25" s="8">
        <f>'Necesidades Trimestrales'!A23</f>
        <v>14</v>
      </c>
      <c r="B25" s="48" t="str">
        <f>'Necesidades Trimestrales'!B23</f>
        <v>2.9.2-323.4</v>
      </c>
      <c r="C25" s="198" t="str">
        <f>'Necesidades Trimestrales'!E23</f>
        <v>CORRECTORES DE ESCRITURA; CAPACIDAD: 7 mL, ENVASE: LAPIZ (PUNTA METAL), PRESENTACION: LAPIZ (PUNTA METAL) X 7 mL</v>
      </c>
      <c r="D25" s="198"/>
      <c r="E25" s="198"/>
      <c r="F25" s="198"/>
      <c r="G25" s="198"/>
      <c r="H25" s="42" t="s">
        <v>51</v>
      </c>
      <c r="I25" s="43" t="str">
        <f>'Necesidades Trimestrales'!F23</f>
        <v>unidad</v>
      </c>
      <c r="J25" s="163">
        <f>'Necesidades Trimestrales'!H23</f>
        <v>106</v>
      </c>
      <c r="K25" s="64">
        <f>'Necesidades Trimestrales'!G23</f>
        <v>200</v>
      </c>
    </row>
    <row r="26" spans="1:11" ht="53.25" customHeight="1" thickBot="1" x14ac:dyDescent="0.25">
      <c r="A26" s="8">
        <f>'Necesidades Trimestrales'!A24</f>
        <v>15</v>
      </c>
      <c r="B26" s="48" t="str">
        <f>'Necesidades Trimestrales'!B24</f>
        <v>2.9.2-790.13</v>
      </c>
      <c r="C26" s="198" t="str">
        <f>'Necesidades Trimestrales'!E24</f>
        <v>CUTER; TIPO HOJA: MOVIL SECCIONABLE, MATERIAL MANGO: PLASTICO, ANCHO HOJA: 18 mm, TIPO DE HOJA: MOVIL SECCIONABLE, ANCHO DE HOJA: 18 mm</v>
      </c>
      <c r="D26" s="198"/>
      <c r="E26" s="198"/>
      <c r="F26" s="198"/>
      <c r="G26" s="198"/>
      <c r="H26" s="42" t="s">
        <v>51</v>
      </c>
      <c r="I26" s="43" t="str">
        <f>'Necesidades Trimestrales'!F24</f>
        <v>unidad</v>
      </c>
      <c r="J26" s="163">
        <f>'Necesidades Trimestrales'!H24</f>
        <v>202.5</v>
      </c>
      <c r="K26" s="64">
        <f>'Necesidades Trimestrales'!G24</f>
        <v>50</v>
      </c>
    </row>
    <row r="27" spans="1:11" ht="30" customHeight="1" thickBot="1" x14ac:dyDescent="0.25">
      <c r="A27" s="8">
        <f>'Necesidades Trimestrales'!A25</f>
        <v>16</v>
      </c>
      <c r="B27" s="48" t="str">
        <f>'Necesidades Trimestrales'!B25</f>
        <v>2.9.2-1611.22</v>
      </c>
      <c r="C27" s="198" t="str">
        <f>'Necesidades Trimestrales'!E25</f>
        <v>FOLIOS TRANSPARENTES; TAMAÑO: OFICIO, PERFORACIONES: 11, MATERIAL: POLIPROPILENO</v>
      </c>
      <c r="D27" s="198"/>
      <c r="E27" s="198"/>
      <c r="F27" s="198"/>
      <c r="G27" s="198"/>
      <c r="H27" s="42" t="s">
        <v>51</v>
      </c>
      <c r="I27" s="43" t="str">
        <f>'Necesidades Trimestrales'!F25</f>
        <v>unidad</v>
      </c>
      <c r="J27" s="163">
        <f>'Necesidades Trimestrales'!H25</f>
        <v>10.5</v>
      </c>
      <c r="K27" s="64">
        <f>'Necesidades Trimestrales'!G25</f>
        <v>500</v>
      </c>
    </row>
    <row r="28" spans="1:11" ht="30" customHeight="1" thickBot="1" x14ac:dyDescent="0.25">
      <c r="A28" s="8">
        <f>'Necesidades Trimestrales'!A26</f>
        <v>17</v>
      </c>
      <c r="B28" s="48" t="str">
        <f>'Necesidades Trimestrales'!B26</f>
        <v>2.9.2-1611.23</v>
      </c>
      <c r="C28" s="198" t="str">
        <f>'Necesidades Trimestrales'!E26</f>
        <v>FOLIOS TRANSPARENTES; TAMAÑO: A4, PERFORACIONES: 11, MATERIAL: POLIPROPILENO</v>
      </c>
      <c r="D28" s="198"/>
      <c r="E28" s="198"/>
      <c r="F28" s="198"/>
      <c r="G28" s="198"/>
      <c r="H28" s="42" t="s">
        <v>51</v>
      </c>
      <c r="I28" s="43" t="str">
        <f>'Necesidades Trimestrales'!F26</f>
        <v>unidad</v>
      </c>
      <c r="J28" s="163">
        <f>'Necesidades Trimestrales'!H26</f>
        <v>9.6</v>
      </c>
      <c r="K28" s="64">
        <f>'Necesidades Trimestrales'!G26</f>
        <v>300</v>
      </c>
    </row>
    <row r="29" spans="1:11" ht="30" customHeight="1" thickBot="1" x14ac:dyDescent="0.25">
      <c r="A29" s="8">
        <f>'Necesidades Trimestrales'!A27</f>
        <v>18</v>
      </c>
      <c r="B29" s="48" t="str">
        <f>'Necesidades Trimestrales'!B27</f>
        <v>2.9.2-848.20</v>
      </c>
      <c r="C29" s="198" t="str">
        <f>'Necesidades Trimestrales'!E27</f>
        <v>LAPIZ; TIPO: 2HB, COLOR: NEGRO</v>
      </c>
      <c r="D29" s="198"/>
      <c r="E29" s="198"/>
      <c r="F29" s="198"/>
      <c r="G29" s="198"/>
      <c r="H29" s="42" t="s">
        <v>51</v>
      </c>
      <c r="I29" s="43" t="str">
        <f>'Necesidades Trimestrales'!F27</f>
        <v>unidad</v>
      </c>
      <c r="J29" s="163">
        <f>'Necesidades Trimestrales'!H27</f>
        <v>48</v>
      </c>
      <c r="K29" s="64">
        <f>'Necesidades Trimestrales'!G27</f>
        <v>100</v>
      </c>
    </row>
    <row r="30" spans="1:11" ht="30" customHeight="1" thickBot="1" x14ac:dyDescent="0.25">
      <c r="A30" s="8">
        <f>'Necesidades Trimestrales'!A28</f>
        <v>19</v>
      </c>
      <c r="B30" s="48" t="str">
        <f>'Necesidades Trimestrales'!B28</f>
        <v>2.9.2-1616.83</v>
      </c>
      <c r="C30" s="198" t="str">
        <f>'Necesidades Trimestrales'!E28</f>
        <v>MARCADORES; TIPO: INDELEBLE, PUNTA: FINA, COLOR: ROJO, RECARGABLE: SI, TRAZO: 0,5 mm</v>
      </c>
      <c r="D30" s="198"/>
      <c r="E30" s="198"/>
      <c r="F30" s="198"/>
      <c r="G30" s="198"/>
      <c r="H30" s="42" t="s">
        <v>51</v>
      </c>
      <c r="I30" s="43" t="str">
        <f>'Necesidades Trimestrales'!F28</f>
        <v>unidad</v>
      </c>
      <c r="J30" s="163">
        <f>'Necesidades Trimestrales'!H28</f>
        <v>133</v>
      </c>
      <c r="K30" s="64">
        <f>'Necesidades Trimestrales'!G28</f>
        <v>50</v>
      </c>
    </row>
    <row r="31" spans="1:11" ht="30" customHeight="1" thickBot="1" x14ac:dyDescent="0.25">
      <c r="A31" s="8">
        <f>'Necesidades Trimestrales'!A29</f>
        <v>20</v>
      </c>
      <c r="B31" s="48" t="str">
        <f>'Necesidades Trimestrales'!B29</f>
        <v>2.9.2-1616.85</v>
      </c>
      <c r="C31" s="198" t="str">
        <f>'Necesidades Trimestrales'!E29</f>
        <v>MARCADORES; TIPO: INDELEBLE, TRAZO: MEDIO, COLOR: NEGRO, RECARGABLE: SI, PUNTA: REDONDA</v>
      </c>
      <c r="D31" s="198"/>
      <c r="E31" s="198"/>
      <c r="F31" s="198"/>
      <c r="G31" s="198"/>
      <c r="H31" s="42" t="s">
        <v>51</v>
      </c>
      <c r="I31" s="43" t="str">
        <f>'Necesidades Trimestrales'!F29</f>
        <v>unidad</v>
      </c>
      <c r="J31" s="163">
        <f>'Necesidades Trimestrales'!H29</f>
        <v>141</v>
      </c>
      <c r="K31" s="64">
        <f>'Necesidades Trimestrales'!G29</f>
        <v>100</v>
      </c>
    </row>
    <row r="32" spans="1:11" ht="30" customHeight="1" thickBot="1" x14ac:dyDescent="0.25">
      <c r="A32" s="8">
        <f>'Necesidades Trimestrales'!A30</f>
        <v>21</v>
      </c>
      <c r="B32" s="48" t="str">
        <f>'Necesidades Trimestrales'!B30</f>
        <v>2.9.2-1616.118</v>
      </c>
      <c r="C32" s="198" t="str">
        <f>'Necesidades Trimestrales'!E30</f>
        <v>MARCADORES; TIPO: INDELEBLE, TRAZO: FINO, PUNTA: REDONDA, COLOR: NEGRO, RECARGABLE: NO</v>
      </c>
      <c r="D32" s="198"/>
      <c r="E32" s="198"/>
      <c r="F32" s="198"/>
      <c r="G32" s="198"/>
      <c r="H32" s="42" t="s">
        <v>51</v>
      </c>
      <c r="I32" s="43" t="str">
        <f>'Necesidades Trimestrales'!F30</f>
        <v>unidad</v>
      </c>
      <c r="J32" s="163">
        <f>'Necesidades Trimestrales'!H30</f>
        <v>133</v>
      </c>
      <c r="K32" s="64">
        <f>'Necesidades Trimestrales'!G30</f>
        <v>200</v>
      </c>
    </row>
    <row r="33" spans="1:11" ht="30" customHeight="1" thickBot="1" x14ac:dyDescent="0.25">
      <c r="A33" s="8">
        <f>'Necesidades Trimestrales'!A31</f>
        <v>22</v>
      </c>
      <c r="B33" s="48" t="str">
        <f>'Necesidades Trimestrales'!B31</f>
        <v>2.9.2-1616.122</v>
      </c>
      <c r="C33" s="198" t="str">
        <f>'Necesidades Trimestrales'!E31</f>
        <v>MARCADORES; TIPO: AL AGUA, TRAZO: MEDIO, PUNTA: REDONDA, COLOR: NEGRO, RECARGABLE: NO</v>
      </c>
      <c r="D33" s="198"/>
      <c r="E33" s="198"/>
      <c r="F33" s="198"/>
      <c r="G33" s="198"/>
      <c r="H33" s="42" t="s">
        <v>51</v>
      </c>
      <c r="I33" s="43" t="str">
        <f>'Necesidades Trimestrales'!F31</f>
        <v>unidad</v>
      </c>
      <c r="J33" s="163">
        <f>'Necesidades Trimestrales'!H31</f>
        <v>118</v>
      </c>
      <c r="K33" s="64">
        <f>'Necesidades Trimestrales'!G31</f>
        <v>150</v>
      </c>
    </row>
    <row r="34" spans="1:11" ht="36" customHeight="1" thickBot="1" x14ac:dyDescent="0.25">
      <c r="A34" s="8">
        <f>'Necesidades Trimestrales'!A32</f>
        <v>23</v>
      </c>
      <c r="B34" s="48" t="str">
        <f>'Necesidades Trimestrales'!B32</f>
        <v>2.3.1-6563.129</v>
      </c>
      <c r="C34" s="198" t="str">
        <f>'Necesidades Trimestrales'!E32</f>
        <v>PAPELES EN HOJA; TIPO PAPEL: PAPEL OBRA, DIMENSION: 21 X 29,7 Cm, GRAMAJE: 80 GR/M, PRESENTACION: RESMA X 500 HOJAS, TIPO DE PAPEL: PAPEL OBRA</v>
      </c>
      <c r="D34" s="198"/>
      <c r="E34" s="198"/>
      <c r="F34" s="198"/>
      <c r="G34" s="198"/>
      <c r="H34" s="42" t="s">
        <v>51</v>
      </c>
      <c r="I34" s="43" t="str">
        <f>'Necesidades Trimestrales'!F32</f>
        <v>unidad</v>
      </c>
      <c r="J34" s="163">
        <f>'Necesidades Trimestrales'!H32</f>
        <v>1017</v>
      </c>
      <c r="K34" s="64">
        <f>'Necesidades Trimestrales'!G32</f>
        <v>400</v>
      </c>
    </row>
    <row r="35" spans="1:11" ht="53.25" customHeight="1" thickBot="1" x14ac:dyDescent="0.25">
      <c r="A35" s="8">
        <f>'Necesidades Trimestrales'!A33</f>
        <v>24</v>
      </c>
      <c r="B35" s="48" t="str">
        <f>'Necesidades Trimestrales'!B33</f>
        <v>2.3.1-6563.131</v>
      </c>
      <c r="C35" s="198" t="str">
        <f>'Necesidades Trimestrales'!E33</f>
        <v>PAPELES EN HOJA; TIPO PAPEL: PAPEL OBRA, DIMENSION: 21,59 X 35,56 Cm, GRAMAJE: 80 GR/M2, PRESENTACION: RESMA X 500 HOJAS, TIPO DE PAPEL: PAPEL OBRA</v>
      </c>
      <c r="D35" s="198"/>
      <c r="E35" s="198"/>
      <c r="F35" s="198"/>
      <c r="G35" s="198"/>
      <c r="H35" s="42" t="s">
        <v>51</v>
      </c>
      <c r="I35" s="43" t="str">
        <f>'Necesidades Trimestrales'!F33</f>
        <v>unidad</v>
      </c>
      <c r="J35" s="163">
        <f>'Necesidades Trimestrales'!H33</f>
        <v>1260</v>
      </c>
      <c r="K35" s="64">
        <f>'Necesidades Trimestrales'!G33</f>
        <v>400</v>
      </c>
    </row>
    <row r="36" spans="1:11" ht="60" customHeight="1" thickBot="1" x14ac:dyDescent="0.25">
      <c r="A36" s="8">
        <f>'Necesidades Trimestrales'!A34</f>
        <v>25</v>
      </c>
      <c r="B36" s="48" t="str">
        <f>'Necesidades Trimestrales'!B34</f>
        <v>2.3.1-6563.882</v>
      </c>
      <c r="C36" s="198" t="str">
        <f>'Necesidades Trimestrales'!E34</f>
        <v>PAPELES EN HOJA; TIPO DE PAPEL: CARTULINA, DIMENSION: 45 X 63 Cm, GRAMAJE: 115/125 GR/M2, PRESENTACION: UNIDAD, CERTIFICADO FORESTAL (GFS): SIN, PORC. FIBRAS RECICLADAS: SIN, CERT. FIBRA ALTERNATIVA (FCA): SIN</v>
      </c>
      <c r="D36" s="198"/>
      <c r="E36" s="198"/>
      <c r="F36" s="198"/>
      <c r="G36" s="198"/>
      <c r="H36" s="95" t="s">
        <v>144</v>
      </c>
      <c r="I36" s="43" t="str">
        <f>'Necesidades Trimestrales'!F34</f>
        <v>unidad</v>
      </c>
      <c r="J36" s="163">
        <f>'Necesidades Trimestrales'!H34</f>
        <v>47</v>
      </c>
      <c r="K36" s="64">
        <f>'Necesidades Trimestrales'!G34</f>
        <v>5000</v>
      </c>
    </row>
    <row r="37" spans="1:11" ht="46.5" customHeight="1" thickBot="1" x14ac:dyDescent="0.25">
      <c r="A37" s="8">
        <f>'Necesidades Trimestrales'!A35</f>
        <v>26</v>
      </c>
      <c r="B37" s="48" t="str">
        <f>'Necesidades Trimestrales'!B35</f>
        <v>2.3.1-6563.938</v>
      </c>
      <c r="C37" s="198" t="str">
        <f>'Necesidades Trimestrales'!E35</f>
        <v>PAPELES EN HOJA; TIPO DE PAPEL: P/FORRAR, DIMENSION: 48 X 80 Cm, GRAMAJE: NO CORRESPONDE, PRESENTACION: UNIDAD, CERTIFICADO FORESTAL (GFS): SIN, PORC. FIBRAS RECICLADAS: 0 %, CERT. FIBRA ALTERNATIVA (FCA): SIN</v>
      </c>
      <c r="D37" s="198"/>
      <c r="E37" s="198"/>
      <c r="F37" s="198"/>
      <c r="G37" s="198"/>
      <c r="H37" s="95" t="s">
        <v>144</v>
      </c>
      <c r="I37" s="43" t="str">
        <f>'Necesidades Trimestrales'!F35</f>
        <v>unidad</v>
      </c>
      <c r="J37" s="163">
        <f>'Necesidades Trimestrales'!H35</f>
        <v>80</v>
      </c>
      <c r="K37" s="64">
        <f>'Necesidades Trimestrales'!G35</f>
        <v>100</v>
      </c>
    </row>
    <row r="38" spans="1:11" ht="30" customHeight="1" thickBot="1" x14ac:dyDescent="0.25">
      <c r="A38" s="8">
        <f>'Necesidades Trimestrales'!A36</f>
        <v>27</v>
      </c>
      <c r="B38" s="48" t="str">
        <f>'Necesidades Trimestrales'!B36</f>
        <v>2.3.1-6587.139</v>
      </c>
      <c r="C38" s="198" t="str">
        <f>'Necesidades Trimestrales'!E36</f>
        <v>PAPELES ENCUADERNADOS; CANT. DE HOJAS: 100, TAMAÑO: 23 X 35 Cm, TIPO: LIBRO DE ACTAS</v>
      </c>
      <c r="D38" s="198"/>
      <c r="E38" s="198"/>
      <c r="F38" s="198"/>
      <c r="G38" s="198"/>
      <c r="H38" s="42" t="s">
        <v>51</v>
      </c>
      <c r="I38" s="43" t="str">
        <f>'Necesidades Trimestrales'!F36</f>
        <v>unidad</v>
      </c>
      <c r="J38" s="163">
        <f>'Necesidades Trimestrales'!H36</f>
        <v>861</v>
      </c>
      <c r="K38" s="64">
        <f>'Necesidades Trimestrales'!G36</f>
        <v>200</v>
      </c>
    </row>
    <row r="39" spans="1:11" ht="42" customHeight="1" thickBot="1" x14ac:dyDescent="0.25">
      <c r="A39" s="8">
        <f>'Necesidades Trimestrales'!A37</f>
        <v>28</v>
      </c>
      <c r="B39" s="48" t="str">
        <f>'Necesidades Trimestrales'!B37</f>
        <v>2.3.1-6587.346</v>
      </c>
      <c r="C39" s="198" t="str">
        <f>'Necesidades Trimestrales'!E37</f>
        <v>PAPELES ENCUADERNADOS; CANT. DE HOJAS: 100, TAMAÑO: A4, TIPO: CUADERNO ESPIRALADO TAPA DURA, CERTIFICADO FORESTAL (GFS): SIN, PORC. FIBRAS RECICLADAS: 0 %, CERT. FIBRA ALTERNATIVA (FCA): SIN</v>
      </c>
      <c r="D39" s="198"/>
      <c r="E39" s="198"/>
      <c r="F39" s="198"/>
      <c r="G39" s="198"/>
      <c r="H39" s="42" t="s">
        <v>51</v>
      </c>
      <c r="I39" s="43" t="str">
        <f>'Necesidades Trimestrales'!F37</f>
        <v>unidad</v>
      </c>
      <c r="J39" s="163">
        <f>'Necesidades Trimestrales'!H37</f>
        <v>937</v>
      </c>
      <c r="K39" s="64">
        <f>'Necesidades Trimestrales'!G37</f>
        <v>200</v>
      </c>
    </row>
    <row r="40" spans="1:11" ht="30" customHeight="1" thickBot="1" x14ac:dyDescent="0.25">
      <c r="A40" s="8">
        <f>'Necesidades Trimestrales'!A38</f>
        <v>29</v>
      </c>
      <c r="B40" s="48" t="str">
        <f>'Necesidades Trimestrales'!B38</f>
        <v>2.9.2-674.8</v>
      </c>
      <c r="C40" s="198" t="str">
        <f>'Necesidades Trimestrales'!E38</f>
        <v>REGLAS GRADUADAS; LONG.DE CUERPO: 20 Cm, TIPO: PLANA, MATERIAL: PLASTICO</v>
      </c>
      <c r="D40" s="198"/>
      <c r="E40" s="198"/>
      <c r="F40" s="198"/>
      <c r="G40" s="198"/>
      <c r="H40" s="42" t="s">
        <v>51</v>
      </c>
      <c r="I40" s="43" t="str">
        <f>'Necesidades Trimestrales'!F38</f>
        <v>unidad</v>
      </c>
      <c r="J40" s="163">
        <f>'Necesidades Trimestrales'!H38</f>
        <v>48.5</v>
      </c>
      <c r="K40" s="64">
        <f>'Necesidades Trimestrales'!G38</f>
        <v>50</v>
      </c>
    </row>
    <row r="41" spans="1:11" ht="30" customHeight="1" thickBot="1" x14ac:dyDescent="0.25">
      <c r="A41" s="8">
        <f>'Necesidades Trimestrales'!A39</f>
        <v>30</v>
      </c>
      <c r="B41" s="48" t="str">
        <f>'Necesidades Trimestrales'!B39</f>
        <v>2.9.2-674.9</v>
      </c>
      <c r="C41" s="198" t="str">
        <f>'Necesidades Trimestrales'!E39</f>
        <v>REGLAS GRADUADAS; TIPO: PLANA, MATERIAL: PLASTICO, LONG.DE CUERPO: 30 Cm</v>
      </c>
      <c r="D41" s="198"/>
      <c r="E41" s="198"/>
      <c r="F41" s="198"/>
      <c r="G41" s="198"/>
      <c r="H41" s="42" t="s">
        <v>51</v>
      </c>
      <c r="I41" s="43" t="str">
        <f>'Necesidades Trimestrales'!F39</f>
        <v>unidad</v>
      </c>
      <c r="J41" s="163">
        <f>'Necesidades Trimestrales'!H39</f>
        <v>64</v>
      </c>
      <c r="K41" s="64">
        <f>'Necesidades Trimestrales'!G39</f>
        <v>50</v>
      </c>
    </row>
    <row r="42" spans="1:11" ht="30" customHeight="1" thickBot="1" x14ac:dyDescent="0.25">
      <c r="A42" s="8">
        <f>'Necesidades Trimestrales'!A40</f>
        <v>31</v>
      </c>
      <c r="B42" s="48" t="str">
        <f>'Necesidades Trimestrales'!B40</f>
        <v>2.9.2-1354.18</v>
      </c>
      <c r="C42" s="198" t="str">
        <f>'Necesidades Trimestrales'!E40</f>
        <v>RESALTADORES; PUNTA: FINA, ACCESORIO: SIN VALOR, COLOR: AZUL, TIPO PUNTA: FINA</v>
      </c>
      <c r="D42" s="198"/>
      <c r="E42" s="198"/>
      <c r="F42" s="198"/>
      <c r="G42" s="198"/>
      <c r="H42" s="42" t="s">
        <v>51</v>
      </c>
      <c r="I42" s="43" t="str">
        <f>'Necesidades Trimestrales'!F40</f>
        <v>unidad</v>
      </c>
      <c r="J42" s="163">
        <f>'Necesidades Trimestrales'!H40</f>
        <v>65.5</v>
      </c>
      <c r="K42" s="64">
        <f>'Necesidades Trimestrales'!G40</f>
        <v>30</v>
      </c>
    </row>
    <row r="43" spans="1:11" ht="30" customHeight="1" thickBot="1" x14ac:dyDescent="0.25">
      <c r="A43" s="8">
        <f>'Necesidades Trimestrales'!A41</f>
        <v>32</v>
      </c>
      <c r="B43" s="48" t="str">
        <f>'Necesidades Trimestrales'!B41</f>
        <v>2.9.2-1354.28</v>
      </c>
      <c r="C43" s="198" t="str">
        <f>'Necesidades Trimestrales'!E41</f>
        <v>RESALTADORES; PUNTA: FINA, ACCESORIO: SIN, COLOR: AMARILLO, TIPO PUNTA: FINA</v>
      </c>
      <c r="D43" s="198"/>
      <c r="E43" s="198"/>
      <c r="F43" s="198"/>
      <c r="G43" s="198"/>
      <c r="H43" s="42" t="s">
        <v>51</v>
      </c>
      <c r="I43" s="43" t="str">
        <f>'Necesidades Trimestrales'!F41</f>
        <v>unidad</v>
      </c>
      <c r="J43" s="163">
        <f>'Necesidades Trimestrales'!H41</f>
        <v>65.5</v>
      </c>
      <c r="K43" s="64">
        <f>'Necesidades Trimestrales'!G41</f>
        <v>150</v>
      </c>
    </row>
    <row r="44" spans="1:11" ht="30" customHeight="1" thickBot="1" x14ac:dyDescent="0.25">
      <c r="A44" s="8">
        <f>'Necesidades Trimestrales'!A42</f>
        <v>33</v>
      </c>
      <c r="B44" s="48" t="str">
        <f>'Necesidades Trimestrales'!B42</f>
        <v>2.9.2-1354.29</v>
      </c>
      <c r="C44" s="198" t="str">
        <f>'Necesidades Trimestrales'!E42</f>
        <v>RESALTADORES; PUNTA: FINA, ACCESORIO: SIN, COLOR: VERDE, TIPO PUNTA: FINA</v>
      </c>
      <c r="D44" s="198"/>
      <c r="E44" s="198"/>
      <c r="F44" s="198"/>
      <c r="G44" s="198"/>
      <c r="H44" s="42" t="s">
        <v>51</v>
      </c>
      <c r="I44" s="43" t="str">
        <f>'Necesidades Trimestrales'!F42</f>
        <v>unidad</v>
      </c>
      <c r="J44" s="163">
        <f>'Necesidades Trimestrales'!H42</f>
        <v>65.5</v>
      </c>
      <c r="K44" s="64">
        <f>'Necesidades Trimestrales'!G42</f>
        <v>80</v>
      </c>
    </row>
    <row r="45" spans="1:11" ht="36.75" customHeight="1" thickBot="1" x14ac:dyDescent="0.25">
      <c r="A45" s="8">
        <f>'Necesidades Trimestrales'!A43</f>
        <v>34</v>
      </c>
      <c r="B45" s="48" t="str">
        <f>'Necesidades Trimestrales'!B43</f>
        <v>2.9.2-696.15</v>
      </c>
      <c r="C45" s="198" t="str">
        <f>'Necesidades Trimestrales'!E43</f>
        <v>SACAPUNTAS; MATERIAL: METALICO, FIJACION: SIN VALOR, N° CARACTERISTICO: SIN VALOR, N° BOCAS: 1, TIPO: ESCOLAR, NUMERO: SIN VALOR, CANTIDAD DE BOCAS: 1</v>
      </c>
      <c r="D45" s="198"/>
      <c r="E45" s="198"/>
      <c r="F45" s="198"/>
      <c r="G45" s="198"/>
      <c r="H45" s="42" t="s">
        <v>51</v>
      </c>
      <c r="I45" s="43" t="str">
        <f>'Necesidades Trimestrales'!F43</f>
        <v>unidad</v>
      </c>
      <c r="J45" s="163">
        <f>'Necesidades Trimestrales'!H43</f>
        <v>41</v>
      </c>
      <c r="K45" s="64">
        <f>'Necesidades Trimestrales'!G43</f>
        <v>50</v>
      </c>
    </row>
    <row r="46" spans="1:11" ht="65.25" customHeight="1" thickBot="1" x14ac:dyDescent="0.25">
      <c r="A46" s="8">
        <f>'Necesidades Trimestrales'!A44</f>
        <v>35</v>
      </c>
      <c r="B46" s="48" t="str">
        <f>'Necesidades Trimestrales'!B44</f>
        <v>2.3.1-6590.476</v>
      </c>
      <c r="C46" s="198" t="str">
        <f>'Necesidades Trimestrales'!E44</f>
        <v>SOBRES DE PAPEL; TIPO: MANILA, TAMAÑO: 30 X 40 Cm, GRAMAJE: 80 GR/M2, PRESENTACION: ENVASE X 250 UN, CERTIFICADO FORESTAL (GFS): SIN, PORC. FIBRAS RECICLADAS: SIN VALOR</v>
      </c>
      <c r="D46" s="198"/>
      <c r="E46" s="198"/>
      <c r="F46" s="198"/>
      <c r="G46" s="198"/>
      <c r="H46" s="42" t="s">
        <v>51</v>
      </c>
      <c r="I46" s="43" t="str">
        <f>'Necesidades Trimestrales'!F44</f>
        <v>PAQUETE</v>
      </c>
      <c r="J46" s="163">
        <f>'Necesidades Trimestrales'!H44</f>
        <v>5750</v>
      </c>
      <c r="K46" s="64">
        <f>'Necesidades Trimestrales'!G44</f>
        <v>2</v>
      </c>
    </row>
    <row r="47" spans="1:11" ht="55.5" customHeight="1" thickBot="1" x14ac:dyDescent="0.25">
      <c r="A47" s="8">
        <f>'Necesidades Trimestrales'!A45</f>
        <v>36</v>
      </c>
      <c r="B47" s="48" t="str">
        <f>'Necesidades Trimestrales'!B45</f>
        <v>2.3.1-6590.539</v>
      </c>
      <c r="C47" s="198" t="str">
        <f>'Necesidades Trimestrales'!E45</f>
        <v>SOBRES DE PAPEL; TIPO: MANILA, TAMAÑO: 24 X 30 Cm, GRAMAJE: 80 GR/CM2, PRESENTACION: ENVSE X 250, CERTIFICADO FORESTAL (GFS): SIN, PORC. FIBRAS RECICLADAS: 0 %, CERT. FIBRA ALTERNATIVA (FCA): SIN</v>
      </c>
      <c r="D47" s="198"/>
      <c r="E47" s="198"/>
      <c r="F47" s="198"/>
      <c r="G47" s="198"/>
      <c r="H47" s="42" t="s">
        <v>51</v>
      </c>
      <c r="I47" s="43" t="str">
        <f>'Necesidades Trimestrales'!F45</f>
        <v>PAQUETE</v>
      </c>
      <c r="J47" s="163">
        <f>'Necesidades Trimestrales'!H45</f>
        <v>3625</v>
      </c>
      <c r="K47" s="64">
        <f>'Necesidades Trimestrales'!G45</f>
        <v>4</v>
      </c>
    </row>
    <row r="48" spans="1:11" ht="58.5" customHeight="1" thickBot="1" x14ac:dyDescent="0.25">
      <c r="A48" s="8">
        <f>'Necesidades Trimestrales'!A46</f>
        <v>37</v>
      </c>
      <c r="B48" s="48" t="str">
        <f>'Necesidades Trimestrales'!B46</f>
        <v>2.3.1-6590.558</v>
      </c>
      <c r="C48" s="198" t="str">
        <f>'Necesidades Trimestrales'!E46</f>
        <v>SOBRES DE PAPEL; TIPO: BLANCO, TAMAÑO: 12,5 X 19 Cm, GRAMAJE: 80 GR/M2, PRESENTACION: UNIDAD, CERTIFICADO FORESTAL (GFS): SIN, PORC. FIBRAS RECICLADAS: 0 %, CERT. FIBRA ALTERNATIVA (FCA): SIN</v>
      </c>
      <c r="D48" s="198"/>
      <c r="E48" s="198"/>
      <c r="F48" s="198"/>
      <c r="G48" s="198"/>
      <c r="H48" s="42" t="s">
        <v>51</v>
      </c>
      <c r="I48" s="43" t="str">
        <f>'Necesidades Trimestrales'!F46</f>
        <v>unidad</v>
      </c>
      <c r="J48" s="163">
        <f>'Necesidades Trimestrales'!H46</f>
        <v>13</v>
      </c>
      <c r="K48" s="64">
        <f>'Necesidades Trimestrales'!G46</f>
        <v>50</v>
      </c>
    </row>
    <row r="49" spans="1:11" ht="37.5" customHeight="1" thickBot="1" x14ac:dyDescent="0.25">
      <c r="A49" s="8">
        <f>'Necesidades Trimestrales'!A47</f>
        <v>38</v>
      </c>
      <c r="B49" s="48" t="str">
        <f>'Necesidades Trimestrales'!B47</f>
        <v>2.5.8-5590.58</v>
      </c>
      <c r="C49" s="198" t="str">
        <f>'Necesidades Trimestrales'!E47</f>
        <v>FILMS DE POLIETILENO; ESPESOR: 30 Mn, ANCHO: 38 Cm,
PRESENTACION: ENVASE X 150 M, USO: ALIMENTARIO</v>
      </c>
      <c r="D49" s="198"/>
      <c r="E49" s="198"/>
      <c r="F49" s="198"/>
      <c r="G49" s="198"/>
      <c r="H49" s="42" t="s">
        <v>170</v>
      </c>
      <c r="I49" s="43" t="str">
        <f>'Necesidades Trimestrales'!F47</f>
        <v>ROLLO</v>
      </c>
      <c r="J49" s="163">
        <f>'Necesidades Trimestrales'!H47</f>
        <v>1275</v>
      </c>
      <c r="K49" s="64">
        <f>'Necesidades Trimestrales'!G47</f>
        <v>54</v>
      </c>
    </row>
    <row r="50" spans="1:11" ht="30" customHeight="1" thickBot="1" x14ac:dyDescent="0.25">
      <c r="A50" s="8">
        <f>'Necesidades Trimestrales'!A48</f>
        <v>39</v>
      </c>
      <c r="B50" s="48" t="str">
        <f>'Necesidades Trimestrales'!B48</f>
        <v>2.3.1-860.19</v>
      </c>
      <c r="C50" s="198" t="str">
        <f>'Necesidades Trimestrales'!E48</f>
        <v>FICHAS P/ARCHIVOS; MATERIAL: CARTULINA, IMPRESION: RAYADA, DIMENSION: 14,8 X 21 Cm, PAQUETE: X 100 HOJAS, FONDO: BLANCO</v>
      </c>
      <c r="D50" s="198"/>
      <c r="E50" s="198"/>
      <c r="F50" s="198"/>
      <c r="G50" s="198"/>
      <c r="H50" s="42" t="s">
        <v>51</v>
      </c>
      <c r="I50" s="43" t="str">
        <f>'Necesidades Trimestrales'!F48</f>
        <v>unidad</v>
      </c>
      <c r="J50" s="163">
        <f>'Necesidades Trimestrales'!H48</f>
        <v>390</v>
      </c>
      <c r="K50" s="64">
        <f>'Necesidades Trimestrales'!G48</f>
        <v>50</v>
      </c>
    </row>
    <row r="51" spans="1:11" ht="42.75" customHeight="1" thickBot="1" x14ac:dyDescent="0.25">
      <c r="A51" s="137">
        <v>40</v>
      </c>
      <c r="B51" s="48" t="str">
        <f>'Necesidades Trimestrales'!B49</f>
        <v>2.9.2-758.31</v>
      </c>
      <c r="C51" s="198" t="str">
        <f>'Necesidades Trimestrales'!E49</f>
        <v>TIJERAS P/CORTAR PAPELES; LONG.DE CUERPO: 17 Cm, MATERIAL: METAL, CUCHILLA: PUNTIAGUDA, MANGO: PLASTICO</v>
      </c>
      <c r="D51" s="198"/>
      <c r="E51" s="198"/>
      <c r="F51" s="198"/>
      <c r="G51" s="198"/>
      <c r="H51" s="42" t="s">
        <v>51</v>
      </c>
      <c r="I51" s="43" t="str">
        <f>'Necesidades Trimestrales'!F49</f>
        <v>unidad</v>
      </c>
      <c r="J51" s="163">
        <f>'Necesidades Trimestrales'!H49</f>
        <v>403</v>
      </c>
      <c r="K51" s="64">
        <f>'Necesidades Trimestrales'!G49</f>
        <v>30</v>
      </c>
    </row>
    <row r="52" spans="1:11" ht="33.75" customHeight="1" thickBot="1" x14ac:dyDescent="0.25">
      <c r="A52" s="138">
        <v>41</v>
      </c>
      <c r="B52" s="48" t="str">
        <f>'Necesidades Trimestrales'!B50</f>
        <v>2.9.2-758.25</v>
      </c>
      <c r="C52" s="198" t="str">
        <f>'Necesidades Trimestrales'!E50</f>
        <v>TIJERAS P/CORTAR PAPELES; LONG.DE CUERPO: 22 Cm, MATERIAL: ACERO INOXIDABLE, CUCHILLA: REDONDEADAS, MANGO: ERGONOMETRICO DE PLASTICO</v>
      </c>
      <c r="D52" s="198"/>
      <c r="E52" s="198"/>
      <c r="F52" s="198"/>
      <c r="G52" s="198"/>
      <c r="H52" s="42" t="s">
        <v>51</v>
      </c>
      <c r="I52" s="43" t="str">
        <f>'Necesidades Trimestrales'!F50</f>
        <v>unidad</v>
      </c>
      <c r="J52" s="163">
        <f>'Necesidades Trimestrales'!H50</f>
        <v>563</v>
      </c>
      <c r="K52" s="64">
        <f>'Necesidades Trimestrales'!G50</f>
        <v>50</v>
      </c>
    </row>
    <row r="53" spans="1:11" ht="26.25" customHeight="1" thickBot="1" x14ac:dyDescent="0.25">
      <c r="A53" s="138">
        <v>42</v>
      </c>
      <c r="B53" s="48" t="str">
        <f>'Necesidades Trimestrales'!B51</f>
        <v>2.9.2-1358.353</v>
      </c>
      <c r="C53" s="201" t="str">
        <f>'Necesidades Trimestrales'!E51</f>
        <v>CARPETAS; MATERIAL PLASTICO - TAMAÑO A4.</v>
      </c>
      <c r="D53" s="202"/>
      <c r="E53" s="202"/>
      <c r="F53" s="202"/>
      <c r="G53" s="203"/>
      <c r="H53" s="42" t="s">
        <v>170</v>
      </c>
      <c r="I53" s="43" t="str">
        <f>'Necesidades Trimestrales'!F51</f>
        <v>unidad</v>
      </c>
      <c r="J53" s="163">
        <f>'Necesidades Trimestrales'!H51</f>
        <v>85</v>
      </c>
      <c r="K53" s="64">
        <f>'Necesidades Trimestrales'!G51</f>
        <v>200</v>
      </c>
    </row>
    <row r="54" spans="1:11" ht="26.25" customHeight="1" thickBot="1" x14ac:dyDescent="0.25">
      <c r="A54" s="138">
        <v>43</v>
      </c>
      <c r="B54" s="48" t="str">
        <f>'Necesidades Trimestrales'!B52</f>
        <v>2.9.2-1358.354</v>
      </c>
      <c r="C54" s="201" t="str">
        <f>+'Necesidades Trimestrales'!E52</f>
        <v>CARPETAS; MATERIAL PLASTICO - TAMAÑO OFICIO.</v>
      </c>
      <c r="D54" s="202"/>
      <c r="E54" s="202"/>
      <c r="F54" s="202"/>
      <c r="G54" s="203"/>
      <c r="H54" s="154" t="s">
        <v>170</v>
      </c>
      <c r="I54" s="43" t="str">
        <f>+I53</f>
        <v>unidad</v>
      </c>
      <c r="J54" s="163">
        <f>'Necesidades Trimestrales'!H52</f>
        <v>100</v>
      </c>
      <c r="K54" s="64">
        <f>'Necesidades Trimestrales'!G52</f>
        <v>200</v>
      </c>
    </row>
    <row r="55" spans="1:11" ht="16.5" thickBot="1" x14ac:dyDescent="0.25">
      <c r="A55" s="199" t="s">
        <v>190</v>
      </c>
      <c r="B55" s="199"/>
      <c r="C55" s="199"/>
      <c r="D55" s="199"/>
      <c r="E55" s="199"/>
      <c r="F55" s="199"/>
      <c r="G55" s="199"/>
      <c r="H55" s="199"/>
      <c r="I55" s="199"/>
      <c r="J55" s="200">
        <f>SUMPRODUCT(J12:J54,K12:K54)</f>
        <v>2406945</v>
      </c>
      <c r="K55" s="200"/>
    </row>
  </sheetData>
  <mergeCells count="65">
    <mergeCell ref="C29:G29"/>
    <mergeCell ref="C23:G23"/>
    <mergeCell ref="C24:G24"/>
    <mergeCell ref="C25:G25"/>
    <mergeCell ref="C26:G26"/>
    <mergeCell ref="C27:G27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55:I55"/>
    <mergeCell ref="J55:K55"/>
    <mergeCell ref="C48:G48"/>
    <mergeCell ref="C50:G50"/>
    <mergeCell ref="C46:G46"/>
    <mergeCell ref="C47:G47"/>
    <mergeCell ref="C49:G49"/>
    <mergeCell ref="C51:G51"/>
    <mergeCell ref="C52:G52"/>
    <mergeCell ref="C53:G53"/>
    <mergeCell ref="C54:G54"/>
    <mergeCell ref="C34:G34"/>
    <mergeCell ref="C35:G35"/>
    <mergeCell ref="C36:G36"/>
    <mergeCell ref="C42:G42"/>
    <mergeCell ref="C43:G43"/>
    <mergeCell ref="C44:G44"/>
    <mergeCell ref="C45:G45"/>
    <mergeCell ref="C37:G37"/>
    <mergeCell ref="C38:G38"/>
    <mergeCell ref="C39:G39"/>
    <mergeCell ref="C40:G40"/>
    <mergeCell ref="C41:G41"/>
    <mergeCell ref="C30:G30"/>
    <mergeCell ref="C31:G31"/>
    <mergeCell ref="C32:G32"/>
    <mergeCell ref="C33:G33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8:G28"/>
  </mergeCells>
  <phoneticPr fontId="41" type="noConversion"/>
  <printOptions horizontalCentered="1"/>
  <pageMargins left="0.196527777777778" right="0.196527777777778" top="0.98402777777777795" bottom="0.98402777777777795" header="0.51180555555555496" footer="0.51180555555555496"/>
  <pageSetup paperSize="9" scale="84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abSelected="1" zoomScale="90" zoomScaleNormal="90" workbookViewId="0">
      <selection activeCell="Q17" sqref="Q17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57031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9" ht="15.75" customHeight="1" x14ac:dyDescent="0.25">
      <c r="A1" s="238" t="s">
        <v>3</v>
      </c>
      <c r="B1" s="238"/>
      <c r="C1" s="238"/>
      <c r="D1" s="239">
        <f>'Necesidades Trimestrales'!C6</f>
        <v>2022</v>
      </c>
      <c r="E1" s="239"/>
      <c r="F1" s="10"/>
      <c r="G1" s="10"/>
      <c r="H1" s="11"/>
      <c r="I1" s="11"/>
      <c r="J1" s="11"/>
      <c r="K1" s="11"/>
      <c r="L1" s="11"/>
      <c r="M1" s="11"/>
      <c r="N1" s="11"/>
      <c r="P1" s="240" t="s">
        <v>25</v>
      </c>
      <c r="Q1" s="240"/>
    </row>
    <row r="2" spans="1:19" ht="15.75" customHeight="1" x14ac:dyDescent="0.2">
      <c r="H2" s="11"/>
      <c r="I2" s="11"/>
      <c r="J2" s="11"/>
      <c r="K2" s="11"/>
      <c r="L2" s="11"/>
      <c r="M2" s="11"/>
      <c r="N2" s="11"/>
      <c r="P2" s="240"/>
      <c r="Q2" s="240"/>
    </row>
    <row r="4" spans="1:19" s="12" customFormat="1" ht="18" customHeight="1" thickBot="1" x14ac:dyDescent="0.25">
      <c r="A4" s="241" t="s">
        <v>26</v>
      </c>
      <c r="B4" s="241"/>
      <c r="C4" s="241"/>
      <c r="D4" s="241"/>
      <c r="E4" s="241"/>
      <c r="F4" s="241"/>
      <c r="G4" s="236" t="str">
        <f>NotaPedido!D3</f>
        <v>40 - Ministerio de Salud</v>
      </c>
      <c r="H4" s="236"/>
      <c r="I4" s="236"/>
      <c r="J4" s="236"/>
      <c r="K4" s="236"/>
      <c r="L4" s="236"/>
      <c r="M4" s="236"/>
      <c r="N4" s="236"/>
      <c r="O4" s="236"/>
      <c r="P4" s="236"/>
      <c r="Q4" s="236"/>
    </row>
    <row r="5" spans="1:19" s="12" customFormat="1" ht="18" customHeight="1" thickBot="1" x14ac:dyDescent="0.25">
      <c r="A5" s="233" t="s">
        <v>49</v>
      </c>
      <c r="B5" s="234"/>
      <c r="C5" s="234"/>
      <c r="D5" s="234"/>
      <c r="E5" s="234"/>
      <c r="F5" s="235"/>
      <c r="G5" s="236" t="str">
        <f>NotaPedido!D4</f>
        <v>28 - MATERNIDAD PROVINCIAL 25 DE MAYO</v>
      </c>
      <c r="H5" s="236"/>
      <c r="I5" s="236"/>
      <c r="J5" s="236"/>
      <c r="K5" s="236"/>
      <c r="L5" s="236"/>
      <c r="M5" s="236"/>
      <c r="N5" s="236"/>
      <c r="O5" s="236"/>
      <c r="P5" s="236"/>
      <c r="Q5" s="236"/>
    </row>
    <row r="6" spans="1:19" s="12" customFormat="1" ht="18" customHeight="1" thickBot="1" x14ac:dyDescent="0.25">
      <c r="A6" s="233" t="s">
        <v>27</v>
      </c>
      <c r="B6" s="234"/>
      <c r="C6" s="234"/>
      <c r="D6" s="234"/>
      <c r="E6" s="234"/>
      <c r="F6" s="235"/>
      <c r="G6" s="236" t="str">
        <f>NotaPedido!D5</f>
        <v xml:space="preserve">171-Direccion de Administración </v>
      </c>
      <c r="H6" s="236"/>
      <c r="I6" s="236"/>
      <c r="J6" s="236"/>
      <c r="K6" s="236"/>
      <c r="L6" s="236"/>
      <c r="M6" s="236"/>
      <c r="N6" s="236"/>
      <c r="O6" s="236"/>
      <c r="P6" s="236"/>
      <c r="Q6" s="236"/>
    </row>
    <row r="7" spans="1:19" s="12" customFormat="1" ht="22.5" customHeight="1" thickBot="1" x14ac:dyDescent="0.25">
      <c r="A7" s="233" t="s">
        <v>50</v>
      </c>
      <c r="B7" s="234"/>
      <c r="C7" s="234"/>
      <c r="D7" s="234"/>
      <c r="E7" s="234"/>
      <c r="F7" s="235"/>
      <c r="G7" s="236" t="str">
        <f>NotaPedido!D6</f>
        <v xml:space="preserve">Economato y nutrición </v>
      </c>
      <c r="H7" s="236"/>
      <c r="I7" s="236"/>
      <c r="J7" s="236"/>
      <c r="K7" s="236"/>
      <c r="L7" s="236"/>
      <c r="M7" s="236"/>
      <c r="N7" s="236"/>
      <c r="O7" s="236"/>
      <c r="P7" s="236"/>
      <c r="Q7" s="236"/>
    </row>
    <row r="8" spans="1:19" ht="18" customHeight="1" thickBot="1" x14ac:dyDescent="0.25">
      <c r="A8" s="237" t="s">
        <v>28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</row>
    <row r="9" spans="1:19" ht="18" customHeight="1" x14ac:dyDescent="0.2">
      <c r="A9" s="227" t="s">
        <v>29</v>
      </c>
      <c r="B9" s="227"/>
      <c r="C9" s="227"/>
      <c r="D9" s="227"/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1"/>
      <c r="P9" s="1"/>
      <c r="Q9" s="13"/>
    </row>
    <row r="10" spans="1:19" ht="54.75" customHeight="1" x14ac:dyDescent="0.2">
      <c r="A10" s="228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31/2022,  afectando la erogación resultante a los créditos presupuestarios aprobados a favor de esta Unidad Ejecutora, conforme al siguiente detalle:</v>
      </c>
      <c r="B10" s="228"/>
      <c r="C10" s="228"/>
      <c r="D10" s="228"/>
      <c r="E10" s="228"/>
      <c r="F10" s="228"/>
      <c r="G10" s="228"/>
      <c r="H10" s="228"/>
      <c r="I10" s="228"/>
      <c r="J10" s="228"/>
      <c r="K10" s="228"/>
      <c r="L10" s="228"/>
      <c r="M10" s="228"/>
      <c r="N10" s="228"/>
      <c r="O10" s="228"/>
      <c r="P10" s="228"/>
      <c r="Q10" s="228"/>
    </row>
    <row r="11" spans="1:19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9" ht="15.75" customHeight="1" x14ac:dyDescent="0.2">
      <c r="A12" s="229" t="s">
        <v>30</v>
      </c>
      <c r="B12" s="229"/>
      <c r="C12" s="229"/>
      <c r="D12" s="229"/>
      <c r="E12" s="229"/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</row>
    <row r="13" spans="1:19" ht="15.75" customHeight="1" x14ac:dyDescent="0.2">
      <c r="A13" s="230" t="s">
        <v>31</v>
      </c>
      <c r="B13" s="230"/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1" t="s">
        <v>32</v>
      </c>
      <c r="P13" s="231"/>
      <c r="Q13" s="232" t="s">
        <v>33</v>
      </c>
    </row>
    <row r="14" spans="1:19" ht="15.75" customHeight="1" x14ac:dyDescent="0.2">
      <c r="A14" s="18" t="s">
        <v>34</v>
      </c>
      <c r="B14" s="19" t="s">
        <v>35</v>
      </c>
      <c r="C14" s="19" t="s">
        <v>36</v>
      </c>
      <c r="D14" s="19" t="s">
        <v>37</v>
      </c>
      <c r="E14" s="19" t="s">
        <v>38</v>
      </c>
      <c r="F14" s="19" t="s">
        <v>39</v>
      </c>
      <c r="G14" s="20" t="s">
        <v>40</v>
      </c>
      <c r="H14" s="19" t="s">
        <v>41</v>
      </c>
      <c r="I14" s="19" t="s">
        <v>42</v>
      </c>
      <c r="J14" s="19" t="s">
        <v>43</v>
      </c>
      <c r="K14" s="19" t="s">
        <v>43</v>
      </c>
      <c r="L14" s="19" t="s">
        <v>44</v>
      </c>
      <c r="M14" s="21" t="s">
        <v>45</v>
      </c>
      <c r="N14" s="22" t="s">
        <v>46</v>
      </c>
      <c r="O14" s="231"/>
      <c r="P14" s="231"/>
      <c r="Q14" s="232"/>
    </row>
    <row r="15" spans="1:19" ht="29.25" customHeight="1" x14ac:dyDescent="0.2">
      <c r="A15" s="62">
        <v>42</v>
      </c>
      <c r="B15" s="62"/>
      <c r="C15" s="62"/>
      <c r="D15" s="62">
        <v>3</v>
      </c>
      <c r="E15" s="62"/>
      <c r="F15" s="62">
        <v>4901</v>
      </c>
      <c r="G15" s="62">
        <v>1</v>
      </c>
      <c r="H15" s="62">
        <v>6</v>
      </c>
      <c r="I15" s="177">
        <v>2</v>
      </c>
      <c r="J15" s="177">
        <v>3</v>
      </c>
      <c r="K15" s="177">
        <v>1</v>
      </c>
      <c r="L15" s="177"/>
      <c r="M15" s="62">
        <v>1</v>
      </c>
      <c r="N15" s="177" t="s">
        <v>53</v>
      </c>
      <c r="O15" s="222" t="s">
        <v>126</v>
      </c>
      <c r="P15" s="222"/>
      <c r="Q15" s="170">
        <v>1559550</v>
      </c>
    </row>
    <row r="16" spans="1:19" ht="36" customHeight="1" thickBot="1" x14ac:dyDescent="0.25">
      <c r="A16" s="171">
        <v>42</v>
      </c>
      <c r="B16" s="172"/>
      <c r="C16" s="172"/>
      <c r="D16" s="172">
        <v>3</v>
      </c>
      <c r="E16" s="172"/>
      <c r="F16" s="172">
        <v>4901</v>
      </c>
      <c r="G16" s="172">
        <v>1</v>
      </c>
      <c r="H16" s="173">
        <v>6</v>
      </c>
      <c r="I16" s="174">
        <v>2</v>
      </c>
      <c r="J16" s="174">
        <v>5</v>
      </c>
      <c r="K16" s="174">
        <v>8</v>
      </c>
      <c r="L16" s="174"/>
      <c r="M16" s="175">
        <v>1</v>
      </c>
      <c r="N16" s="174" t="s">
        <v>53</v>
      </c>
      <c r="O16" s="223" t="s">
        <v>161</v>
      </c>
      <c r="P16" s="224"/>
      <c r="Q16" s="176">
        <v>68850</v>
      </c>
      <c r="S16" s="44"/>
    </row>
    <row r="17" spans="1:18" ht="22.5" customHeight="1" x14ac:dyDescent="0.2">
      <c r="A17" s="49">
        <v>42</v>
      </c>
      <c r="B17" s="50"/>
      <c r="C17" s="50"/>
      <c r="D17" s="50">
        <v>3</v>
      </c>
      <c r="E17" s="50"/>
      <c r="F17" s="50">
        <v>4901</v>
      </c>
      <c r="G17" s="50">
        <v>1</v>
      </c>
      <c r="H17" s="62">
        <v>6</v>
      </c>
      <c r="I17" s="62">
        <v>2</v>
      </c>
      <c r="J17" s="62">
        <v>9</v>
      </c>
      <c r="K17" s="62">
        <v>2</v>
      </c>
      <c r="L17" s="62"/>
      <c r="M17" s="62">
        <v>1</v>
      </c>
      <c r="N17" s="62" t="s">
        <v>53</v>
      </c>
      <c r="O17" s="225" t="s">
        <v>127</v>
      </c>
      <c r="P17" s="225"/>
      <c r="Q17" s="170">
        <v>778545</v>
      </c>
    </row>
    <row r="18" spans="1:18" ht="17.25" customHeight="1" x14ac:dyDescent="0.2">
      <c r="A18" s="23"/>
      <c r="B18" s="24"/>
      <c r="C18" s="24"/>
      <c r="D18" s="24"/>
      <c r="E18" s="24"/>
      <c r="F18" s="26"/>
      <c r="G18" s="24"/>
      <c r="H18" s="24"/>
      <c r="I18" s="24"/>
      <c r="J18" s="24"/>
      <c r="K18" s="24"/>
      <c r="L18" s="24"/>
      <c r="M18" s="25"/>
      <c r="N18" s="24"/>
      <c r="O18" s="226"/>
      <c r="P18" s="226"/>
      <c r="Q18" s="169"/>
    </row>
    <row r="19" spans="1:18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217"/>
      <c r="P19" s="217"/>
      <c r="Q19" s="27"/>
    </row>
    <row r="20" spans="1:18" ht="17.25" customHeight="1" x14ac:dyDescent="0.2">
      <c r="A20" s="28"/>
      <c r="B20" s="29"/>
      <c r="C20" s="29"/>
      <c r="D20" s="29"/>
      <c r="E20" s="29"/>
      <c r="F20" s="30"/>
      <c r="G20" s="29"/>
      <c r="H20" s="29"/>
      <c r="I20" s="29"/>
      <c r="J20" s="29"/>
      <c r="K20" s="29"/>
      <c r="L20" s="29"/>
      <c r="M20" s="31"/>
      <c r="N20" s="32"/>
      <c r="O20" s="218"/>
      <c r="P20" s="218"/>
      <c r="Q20" s="27"/>
      <c r="R20" s="1"/>
    </row>
    <row r="21" spans="1:18" ht="17.25" customHeight="1" thickBot="1" x14ac:dyDescent="0.25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5"/>
      <c r="N21" s="34"/>
      <c r="O21" s="219"/>
      <c r="P21" s="219"/>
      <c r="Q21" s="36"/>
    </row>
    <row r="22" spans="1:18" ht="34.5" customHeight="1" thickBot="1" x14ac:dyDescent="0.25">
      <c r="A22" s="220" t="s">
        <v>191</v>
      </c>
      <c r="B22" s="220"/>
      <c r="C22" s="220"/>
      <c r="D22" s="220"/>
      <c r="E22" s="220"/>
      <c r="F22" s="220"/>
      <c r="G22" s="220"/>
      <c r="H22" s="220"/>
      <c r="I22" s="220"/>
      <c r="J22" s="220"/>
      <c r="K22" s="220"/>
      <c r="L22" s="220"/>
      <c r="M22" s="220"/>
      <c r="N22" s="220"/>
      <c r="O22" s="220"/>
      <c r="P22" s="220"/>
      <c r="Q22" s="139">
        <f>SUM(Q15:Q21)</f>
        <v>2406945</v>
      </c>
    </row>
    <row r="23" spans="1:18" ht="18" customHeight="1" thickBot="1" x14ac:dyDescent="0.25">
      <c r="A23" s="221"/>
      <c r="B23" s="221"/>
      <c r="C23" s="221"/>
      <c r="D23" s="221"/>
      <c r="E23" s="221"/>
      <c r="F23" s="221"/>
      <c r="G23" s="221"/>
      <c r="H23" s="221"/>
      <c r="I23" s="221"/>
      <c r="J23" s="221"/>
      <c r="K23" s="221"/>
      <c r="L23" s="221"/>
      <c r="M23" s="221"/>
      <c r="N23" s="221"/>
      <c r="O23" s="221"/>
      <c r="P23" s="221"/>
      <c r="Q23" s="221"/>
    </row>
    <row r="24" spans="1:18" ht="17.25" customHeight="1" thickBot="1" x14ac:dyDescent="0.25">
      <c r="A24" s="212" t="s">
        <v>47</v>
      </c>
      <c r="B24" s="213"/>
      <c r="C24" s="213"/>
      <c r="D24" s="213"/>
      <c r="E24" s="213"/>
      <c r="F24" s="214"/>
      <c r="G24" s="215"/>
      <c r="H24" s="215"/>
      <c r="I24" s="215"/>
      <c r="J24" s="215"/>
      <c r="K24" s="215"/>
      <c r="L24" s="215"/>
      <c r="M24" s="215"/>
      <c r="N24" s="215"/>
      <c r="O24" s="215"/>
      <c r="P24" s="215"/>
      <c r="Q24" s="215"/>
    </row>
    <row r="25" spans="1:18" ht="18" customHeight="1" thickBot="1" x14ac:dyDescent="0.25">
      <c r="A25" s="216" t="str">
        <f>"Para la "&amp; NotaPedido!D8 &amp;" para ser destinados a " &amp; NotaPedido!D6 &amp;"  de la Maternidad Provincial 25 de Mayo del Ministerio de Salud."</f>
        <v>Para la Adquisición de Artículos de librería y papelería  para ser destinados a Economato y nutrición   de la Maternidad Provincial 25 de Mayo del Ministerio de Salud.</v>
      </c>
      <c r="B25" s="216"/>
      <c r="C25" s="216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</row>
    <row r="26" spans="1:18" ht="15" customHeight="1" x14ac:dyDescent="0.2">
      <c r="A26" s="216"/>
      <c r="B26" s="216"/>
      <c r="C26" s="216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ARIEL</cp:lastModifiedBy>
  <cp:revision>2</cp:revision>
  <cp:lastPrinted>2022-02-23T14:40:24Z</cp:lastPrinted>
  <dcterms:created xsi:type="dcterms:W3CDTF">2020-07-17T23:44:49Z</dcterms:created>
  <dcterms:modified xsi:type="dcterms:W3CDTF">2022-04-18T14:45:19Z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