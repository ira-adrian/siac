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OC\AÑO 2021\Adq.Maquinarias\Adjuntos\"/>
    </mc:Choice>
  </mc:AlternateContent>
  <xr:revisionPtr revIDLastSave="0" documentId="13_ncr:1_{8D64D309-8D0E-4BB7-8287-EEAA411CD9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81029"/>
</workbook>
</file>

<file path=xl/calcChain.xml><?xml version="1.0" encoding="utf-8"?>
<calcChain xmlns="http://schemas.openxmlformats.org/spreadsheetml/2006/main">
  <c r="O7" i="1" l="1"/>
  <c r="O11" i="1" s="1"/>
  <c r="O13" i="1" s="1"/>
  <c r="O10" i="1"/>
  <c r="O9" i="1"/>
  <c r="O8" i="1"/>
  <c r="O6" i="1"/>
  <c r="O5" i="1"/>
</calcChain>
</file>

<file path=xl/sharedStrings.xml><?xml version="1.0" encoding="utf-8"?>
<sst xmlns="http://schemas.openxmlformats.org/spreadsheetml/2006/main" count="70" uniqueCount="57">
  <si>
    <r>
      <rPr>
        <b/>
        <sz val="22"/>
        <rFont val="Calibri"/>
        <family val="2"/>
      </rPr>
      <t>Pedido de Necesidades Trimestrales</t>
    </r>
  </si>
  <si>
    <r>
      <rPr>
        <b/>
        <vertAlign val="superscript"/>
        <sz val="11"/>
        <rFont val="Calibri"/>
        <family val="2"/>
      </rPr>
      <t xml:space="preserve">JURISDICCION:            </t>
    </r>
    <r>
      <rPr>
        <b/>
        <sz val="12"/>
        <rFont val="Calibri"/>
        <family val="2"/>
      </rPr>
      <t xml:space="preserve">25 - Ministerio de Infraestructura y Obras Civiles
</t>
    </r>
    <r>
      <rPr>
        <b/>
        <vertAlign val="superscript"/>
        <sz val="11"/>
        <rFont val="Calibri"/>
        <family val="2"/>
      </rPr>
      <t xml:space="preserve">SAF N°:                         </t>
    </r>
    <r>
      <rPr>
        <b/>
        <sz val="12"/>
        <rFont val="Calibri"/>
        <family val="2"/>
      </rPr>
      <t>10 - Dirección Provincial de Servicios de Administración y Recursos Humanos del MIOC</t>
    </r>
  </si>
  <si>
    <r>
      <rPr>
        <b/>
        <sz val="11"/>
        <rFont val="Calibri"/>
        <family val="2"/>
      </rPr>
      <t xml:space="preserve">EJERCICIO:
</t>
    </r>
    <r>
      <rPr>
        <b/>
        <sz val="11"/>
        <rFont val="Calibri"/>
        <family val="2"/>
      </rPr>
      <t>TRIMESTRE:</t>
    </r>
  </si>
  <si>
    <r>
      <rPr>
        <b/>
        <sz val="12"/>
        <rFont val="Calibri"/>
        <family val="2"/>
      </rPr>
      <t xml:space="preserve">2021
</t>
    </r>
    <r>
      <rPr>
        <b/>
        <sz val="12"/>
        <rFont val="Calibri"/>
        <family val="2"/>
      </rPr>
      <t>3</t>
    </r>
  </si>
  <si>
    <r>
      <rPr>
        <b/>
        <sz val="10"/>
        <rFont val="Calibri"/>
        <family val="2"/>
      </rPr>
      <t>ID</t>
    </r>
  </si>
  <si>
    <r>
      <rPr>
        <b/>
        <sz val="10"/>
        <rFont val="Calibri"/>
        <family val="2"/>
      </rPr>
      <t>CODIGO ITEM</t>
    </r>
  </si>
  <si>
    <r>
      <rPr>
        <b/>
        <sz val="10"/>
        <rFont val="Calibri"/>
        <family val="2"/>
      </rPr>
      <t>RUBRO DE COMPRA</t>
    </r>
  </si>
  <si>
    <r>
      <rPr>
        <b/>
        <sz val="10"/>
        <rFont val="Calibri"/>
        <family val="2"/>
      </rPr>
      <t>I.P.P.</t>
    </r>
  </si>
  <si>
    <r>
      <rPr>
        <b/>
        <sz val="10"/>
        <rFont val="Calibri"/>
        <family val="2"/>
      </rPr>
      <t>DESCRIPCION</t>
    </r>
  </si>
  <si>
    <r>
      <rPr>
        <b/>
        <sz val="10"/>
        <rFont val="Calibri"/>
        <family val="2"/>
      </rPr>
      <t>UNIDAD DE MEDIDA</t>
    </r>
  </si>
  <si>
    <r>
      <rPr>
        <b/>
        <sz val="10"/>
        <rFont val="Calibri"/>
        <family val="2"/>
      </rPr>
      <t>CANT.</t>
    </r>
  </si>
  <si>
    <r>
      <rPr>
        <b/>
        <sz val="10"/>
        <rFont val="Calibri"/>
        <family val="2"/>
      </rPr>
      <t>PRECIO UNITARIO ESTIMADO</t>
    </r>
  </si>
  <si>
    <r>
      <rPr>
        <b/>
        <sz val="10"/>
        <rFont val="Times New Roman"/>
        <family val="1"/>
      </rPr>
      <t xml:space="preserve">IMPORTE TOTAL
</t>
    </r>
    <r>
      <rPr>
        <b/>
        <sz val="10"/>
        <rFont val="Times New Roman"/>
        <family val="1"/>
      </rPr>
      <t>ESTIMADO</t>
    </r>
  </si>
  <si>
    <r>
      <rPr>
        <sz val="10"/>
        <rFont val="Calibri"/>
        <family val="2"/>
      </rPr>
      <t>A incorporar</t>
    </r>
  </si>
  <si>
    <r>
      <rPr>
        <sz val="9"/>
        <rFont val="Calibri"/>
        <family val="2"/>
      </rPr>
      <t>EQUIPOS</t>
    </r>
  </si>
  <si>
    <r>
      <rPr>
        <sz val="9"/>
        <rFont val="Calibri"/>
        <family val="2"/>
      </rPr>
      <t>EXCAVADORA MECANICA , PESO OPERATIVO 22500 KG., POTENCIA NOMINAL 135/2050 KW/RPM, CAPACIDAD DE BALDE 1,5 M3 BUCKET</t>
    </r>
  </si>
  <si>
    <r>
      <rPr>
        <sz val="9"/>
        <rFont val="Calibri"/>
        <family val="2"/>
      </rPr>
      <t>UNIDAD</t>
    </r>
  </si>
  <si>
    <r>
      <rPr>
        <sz val="10"/>
        <rFont val="Calibri"/>
        <family val="2"/>
      </rPr>
      <t>4.3.1-8158.5</t>
    </r>
  </si>
  <si>
    <r>
      <rPr>
        <sz val="9"/>
        <rFont val="Calibri"/>
        <family val="2"/>
      </rPr>
      <t>RETROEXCAVADORAS;  CAPACIDAD  CARGADOR:  1  M3,  CAPACIDAD  EXCAVADOR: 0,24 M3, POTENCIA: 92 HP, PESO: 7000 Kg</t>
    </r>
  </si>
  <si>
    <r>
      <rPr>
        <sz val="9"/>
        <rFont val="Calibri"/>
        <family val="2"/>
      </rPr>
      <t>RODILLOS  VIBR.  AUTOPROPULSADOS;  ANCHO  RODILLO:  2300  mm,  POTENCIA: 120 HP, FRECUENCIA DE VIBRACION 30/35 Hz, ROTACION 220 R/min.</t>
    </r>
  </si>
  <si>
    <r>
      <rPr>
        <sz val="9"/>
        <rFont val="Calibri"/>
        <family val="2"/>
      </rPr>
      <t>PALAS  CARGADORAS;  MOTOR  DIESEL:  1,  CARGA  NOM:  5  t.,  LARGO   8110  mm, CAPACIDAD DE BALDE 3 m3; ALTURA DE  DESCARGA 4110 mm</t>
    </r>
  </si>
  <si>
    <r>
      <rPr>
        <sz val="10"/>
        <rFont val="Calibri"/>
        <family val="2"/>
      </rPr>
      <t>4.3.1-4548.1</t>
    </r>
  </si>
  <si>
    <r>
      <rPr>
        <sz val="9"/>
        <rFont val="Calibri"/>
        <family val="2"/>
      </rPr>
      <t>MOTONIVELADORAS; MOTOR: DIESEL, POTENCIA: 195 HP, ACCIONAMIENTO: HIDRAULICO</t>
    </r>
  </si>
  <si>
    <r>
      <rPr>
        <sz val="10"/>
        <rFont val="Calibri"/>
        <family val="2"/>
      </rPr>
      <t>4.3.1-4674.1</t>
    </r>
  </si>
  <si>
    <r>
      <rPr>
        <sz val="9"/>
        <rFont val="Calibri"/>
        <family val="2"/>
      </rPr>
      <t>TOPADORAS SOBRE ORUGAS; MOTOR: DIESEL TURBO, POTENCIA: 320 HP</t>
    </r>
  </si>
  <si>
    <r>
      <rPr>
        <u/>
        <sz val="10"/>
        <rFont val="Calibri"/>
        <family val="2"/>
      </rPr>
      <t>Especificidades Item N° 2:</t>
    </r>
  </si>
  <si>
    <r>
      <rPr>
        <sz val="11"/>
        <rFont val="Times New Roman"/>
        <family val="1"/>
      </rPr>
      <t>IF-2021-01007550-CAT-MIOC</t>
    </r>
  </si>
  <si>
    <r>
      <rPr>
        <sz val="11"/>
        <rFont val="Times New Roman"/>
        <family val="1"/>
      </rPr>
      <t>Página 1 de 3</t>
    </r>
  </si>
  <si>
    <r>
      <rPr>
        <u/>
        <sz val="10"/>
        <rFont val="Calibri"/>
        <family val="2"/>
      </rPr>
      <t>Descripción técnica: SEGÚN ANEXO II</t>
    </r>
  </si>
  <si>
    <r>
      <rPr>
        <u/>
        <sz val="10"/>
        <rFont val="Calibri"/>
        <family val="2"/>
      </rPr>
      <t xml:space="preserve">Especificidades Item N° 3:
</t>
    </r>
    <r>
      <rPr>
        <u/>
        <sz val="10"/>
        <rFont val="Calibri"/>
        <family val="2"/>
      </rPr>
      <t>Descripción técnica: SEGÚN ANEXO III</t>
    </r>
  </si>
  <si>
    <r>
      <rPr>
        <u/>
        <sz val="10"/>
        <rFont val="Calibri"/>
        <family val="2"/>
      </rPr>
      <t xml:space="preserve">Especificidades Item N° 4:
</t>
    </r>
    <r>
      <rPr>
        <u/>
        <sz val="10"/>
        <rFont val="Calibri"/>
        <family val="2"/>
      </rPr>
      <t>Descripción técnica: SEGÚN ANEXO IV</t>
    </r>
  </si>
  <si>
    <r>
      <rPr>
        <u/>
        <sz val="10"/>
        <rFont val="Calibri"/>
        <family val="2"/>
      </rPr>
      <t xml:space="preserve">Especificidades Item N° 5:
</t>
    </r>
    <r>
      <rPr>
        <u/>
        <sz val="10"/>
        <rFont val="Calibri"/>
        <family val="2"/>
      </rPr>
      <t>Descripción técnica: SEGÚN ANEXO V</t>
    </r>
  </si>
  <si>
    <r>
      <rPr>
        <u/>
        <sz val="10"/>
        <rFont val="Calibri"/>
        <family val="2"/>
      </rPr>
      <t xml:space="preserve">Especificidades Item N° 6:
</t>
    </r>
    <r>
      <rPr>
        <u/>
        <sz val="10"/>
        <rFont val="Calibri"/>
        <family val="2"/>
      </rPr>
      <t>Descripción técnica: SEGÚN ANEXO VI</t>
    </r>
  </si>
  <si>
    <r>
      <rPr>
        <u/>
        <sz val="10"/>
        <rFont val="Calibri"/>
        <family val="2"/>
      </rPr>
      <t xml:space="preserve">Plazos y lugares de entrega
</t>
    </r>
    <r>
      <rPr>
        <sz val="10"/>
        <rFont val="Calibri"/>
        <family val="2"/>
      </rPr>
      <t xml:space="preserve">Plazo de Entrega: Dentro de los 30 dias de notificada la Orden de Compra.-
</t>
    </r>
    <r>
      <rPr>
        <sz val="10"/>
        <rFont val="Calibri"/>
        <family val="2"/>
      </rPr>
      <t xml:space="preserve">Lugar  y  Forma  de  Entrega:La  entrega  deberá  efectuarse  en  el  Parque  Automotor  del  Ministerio  de  Infraestructura  y  Obras Civiles, sita en Avda. Venezuela S/N -CAPE-Pab. -San Fernando del Valle de Catamarca (CP 4700) , corriendo los gastos de flete, acarreo, carga,descarga y seguro por cuenta del adjudicatario.-
</t>
    </r>
    <r>
      <rPr>
        <u/>
        <sz val="10"/>
        <rFont val="Calibri"/>
        <family val="2"/>
      </rPr>
      <t xml:space="preserve">Calidad Minima esperada
</t>
    </r>
    <r>
      <rPr>
        <u/>
        <sz val="10"/>
        <rFont val="Calibri"/>
        <family val="2"/>
      </rPr>
      <t xml:space="preserve">Mantenimiento
</t>
    </r>
    <r>
      <rPr>
        <sz val="10"/>
        <rFont val="Calibri"/>
        <family val="2"/>
      </rPr>
      <t xml:space="preserve">Plazo de Mantenimiento de la Oferta: 45 dias
</t>
    </r>
    <r>
      <rPr>
        <u/>
        <sz val="10"/>
        <rFont val="Calibri"/>
        <family val="2"/>
      </rPr>
      <t>Garantia</t>
    </r>
    <r>
      <rPr>
        <sz val="10"/>
        <rFont val="Calibri"/>
        <family val="2"/>
      </rPr>
      <t xml:space="preserve">     En castellano, escrita de fábrica con un plazo mínimo de un  año  o 1500 horas , lo que fuese primero</t>
    </r>
  </si>
  <si>
    <r>
      <rPr>
        <sz val="11"/>
        <rFont val="Times New Roman"/>
        <family val="1"/>
      </rPr>
      <t>Página 2 de 3</t>
    </r>
  </si>
  <si>
    <r>
      <rPr>
        <sz val="11"/>
        <rFont val="Times New Roman"/>
        <family val="1"/>
      </rPr>
      <t>Página 3 de 3</t>
    </r>
  </si>
  <si>
    <r>
      <rPr>
        <sz val="11"/>
        <rFont val="Times New Roman"/>
        <family val="1"/>
      </rPr>
      <t>Gobierno de Catamarca 2021</t>
    </r>
  </si>
  <si>
    <r>
      <rPr>
        <b/>
        <sz val="11"/>
        <rFont val="Times New Roman"/>
        <family val="1"/>
      </rPr>
      <t>Hoja Adicional de Firmas Informe Gráfico</t>
    </r>
  </si>
  <si>
    <r>
      <rPr>
        <b/>
        <sz val="11"/>
        <rFont val="Times New Roman"/>
        <family val="1"/>
      </rPr>
      <t xml:space="preserve">Número:  </t>
    </r>
    <r>
      <rPr>
        <vertAlign val="superscript"/>
        <sz val="11"/>
        <rFont val="Times New Roman"/>
        <family val="1"/>
      </rPr>
      <t>IF-2021-01007550-CAT-MIOC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</si>
  <si>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Jueves 26 de Agosto de 2021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</si>
  <si>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Necesidades Trimestrales Maquinarias</t>
    </r>
  </si>
  <si>
    <r>
      <rPr>
        <sz val="12"/>
        <rFont val="Times New Roman"/>
        <family val="1"/>
      </rPr>
      <t>El documento fue importado por el sistema GEDO con un total de 3 pagina/s.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</si>
  <si>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2021.08.26 10:42:22 -03'00'
</t>
    </r>
    <r>
      <rPr>
        <sz val="8"/>
        <rFont val="Times New Roman"/>
        <family val="1"/>
      </rPr>
      <t xml:space="preserve">Eduardo Alejandro Niederle Ministro
</t>
    </r>
    <r>
      <rPr>
        <sz val="8"/>
        <rFont val="Times New Roman"/>
        <family val="1"/>
      </rPr>
      <t>Ministerio de Infraestructura y Obras Civiles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</si>
  <si>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2021.08.26 10:42:23 -03'00'</t>
    </r>
  </si>
  <si>
    <r>
      <rPr>
        <u/>
        <sz val="10"/>
        <rFont val="Calibri"/>
        <family val="2"/>
      </rPr>
      <t>Especificidades Item N° 1:
Descripción técnica: SEGÚN </t>
    </r>
    <r>
      <rPr>
        <b/>
        <u/>
        <sz val="10"/>
        <color rgb="FFFF0000"/>
        <rFont val="Calibri"/>
        <family val="2"/>
      </rPr>
      <t>ANEXO I</t>
    </r>
  </si>
  <si>
    <t>ANEXO I</t>
  </si>
  <si>
    <t>ANEXO II</t>
  </si>
  <si>
    <t>ANEXO III</t>
  </si>
  <si>
    <t>ANEXO IV</t>
  </si>
  <si>
    <t>ANEXO V</t>
  </si>
  <si>
    <t>ANEXO VI</t>
  </si>
  <si>
    <t>SMP N° 103 (Inc. Presupuestario)</t>
  </si>
  <si>
    <t>Faltante crédito</t>
  </si>
  <si>
    <t>Cantidades s/Autorización del crédito</t>
  </si>
  <si>
    <t>UNIDAD</t>
  </si>
  <si>
    <t>Valor Módulo</t>
  </si>
  <si>
    <t xml:space="preserve">Sist.carga- Capac.del cucharón: 1m3, Cucharón de excavación: 0,2m3, Potencia: 98,5HP, Peso: 7.600 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</si>
</sst>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\ #,##0.00"/>
  </numFmts>
  <fonts count="35" x14ac:knownFonts="1">
    <font>
      <sz val="10"/>
      <color rgb="FF000000"/>
      <name val="Times New Roman"/>
      <charset val="204"/>
    </font>
    <font>
      <b/>
      <sz val="22"/>
      <name val="Calibri"/>
    </font>
    <font>
      <b/>
      <sz val="10"/>
      <name val="Calibri"/>
    </font>
    <font>
      <sz val="9"/>
      <color rgb="FF000000"/>
      <name val="Calibri"/>
      <family val="2"/>
    </font>
    <font>
      <sz val="10"/>
      <name val="Calibri"/>
    </font>
    <font>
      <sz val="9"/>
      <name val="Calibri"/>
    </font>
    <font>
      <sz val="9"/>
      <color rgb="FF000000"/>
      <name val="Times New Roman"/>
      <family val="2"/>
    </font>
    <font>
      <sz val="11"/>
      <name val="Times New Roman"/>
    </font>
    <font>
      <b/>
      <sz val="11"/>
      <name val="Times New Roman"/>
    </font>
    <font>
      <sz val="12"/>
      <name val="Times New Roman"/>
    </font>
    <font>
      <b/>
      <sz val="22"/>
      <name val="Calibri"/>
      <family val="2"/>
    </font>
    <font>
      <b/>
      <vertAlign val="superscript"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10"/>
      <name val="Calibri"/>
      <family val="2"/>
    </font>
    <font>
      <sz val="9"/>
      <name val="Calibri"/>
      <family val="2"/>
    </font>
    <font>
      <u/>
      <sz val="1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vertAlign val="superscript"/>
      <sz val="11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u/>
      <sz val="10"/>
      <color rgb="FFFF0000"/>
      <name val="Calibri"/>
      <family val="2"/>
    </font>
    <font>
      <u/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b/>
      <sz val="9"/>
      <color rgb="FF000000"/>
      <name val="Times New Roman"/>
      <family val="1"/>
    </font>
    <font>
      <sz val="9"/>
      <color rgb="FFFF0000"/>
      <name val="Calibri"/>
      <family val="2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6" fillId="0" borderId="0" applyFont="0" applyFill="0" applyBorder="0" applyAlignment="0" applyProtection="0"/>
  </cellStyleXfs>
  <cellXfs count="67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 indent="6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2"/>
    </xf>
    <xf numFmtId="164" fontId="6" fillId="0" borderId="1" xfId="0" applyNumberFormat="1" applyFont="1" applyFill="1" applyBorder="1" applyAlignment="1">
      <alignment horizontal="right" vertical="center" shrinkToFi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6" fillId="0" borderId="1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44" fontId="27" fillId="2" borderId="11" xfId="0" applyNumberFormat="1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 shrinkToFit="1"/>
    </xf>
    <xf numFmtId="0" fontId="31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left" vertical="top"/>
    </xf>
    <xf numFmtId="44" fontId="27" fillId="3" borderId="0" xfId="1" applyFont="1" applyFill="1" applyBorder="1" applyAlignment="1">
      <alignment horizontal="center" vertical="center"/>
    </xf>
    <xf numFmtId="44" fontId="27" fillId="0" borderId="0" xfId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shrinkToFit="1"/>
    </xf>
    <xf numFmtId="0" fontId="33" fillId="0" borderId="1" xfId="0" applyFont="1" applyFill="1" applyBorder="1" applyAlignment="1">
      <alignment horizontal="center" vertical="center" wrapText="1"/>
    </xf>
    <xf numFmtId="1" fontId="33" fillId="0" borderId="1" xfId="0" applyNumberFormat="1" applyFont="1" applyFill="1" applyBorder="1" applyAlignment="1">
      <alignment horizontal="center" vertical="center" shrinkToFit="1"/>
    </xf>
    <xf numFmtId="44" fontId="0" fillId="4" borderId="0" xfId="1" applyFont="1" applyFill="1" applyBorder="1" applyAlignment="1">
      <alignment horizontal="center" vertical="center"/>
    </xf>
    <xf numFmtId="0" fontId="30" fillId="4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3"/>
    </xf>
    <xf numFmtId="0" fontId="0" fillId="0" borderId="4" xfId="0" applyFill="1" applyBorder="1" applyAlignment="1">
      <alignment horizontal="left" vertical="top" wrapText="1" indent="3"/>
    </xf>
    <xf numFmtId="0" fontId="0" fillId="0" borderId="3" xfId="0" applyFill="1" applyBorder="1" applyAlignment="1">
      <alignment horizontal="left" vertical="top" wrapText="1" indent="3"/>
    </xf>
    <xf numFmtId="0" fontId="7" fillId="0" borderId="0" xfId="0" applyFont="1" applyFill="1" applyBorder="1" applyAlignment="1">
      <alignment horizontal="right" vertical="top" wrapText="1" indent="5"/>
    </xf>
    <xf numFmtId="0" fontId="7" fillId="0" borderId="0" xfId="0" applyFont="1" applyFill="1" applyBorder="1" applyAlignment="1">
      <alignment horizontal="right" vertical="top" wrapText="1" indent="16"/>
    </xf>
    <xf numFmtId="0" fontId="0" fillId="0" borderId="2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29" fillId="0" borderId="2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center" wrapText="1" indent="3"/>
    </xf>
    <xf numFmtId="0" fontId="4" fillId="0" borderId="9" xfId="0" applyFont="1" applyFill="1" applyBorder="1" applyAlignment="1">
      <alignment horizontal="left" vertical="center" wrapText="1" indent="3"/>
    </xf>
    <xf numFmtId="0" fontId="4" fillId="0" borderId="10" xfId="0" applyFont="1" applyFill="1" applyBorder="1" applyAlignment="1">
      <alignment horizontal="left" vertical="center" wrapText="1" indent="3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35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topLeftCell="G2" workbookViewId="0">
      <selection activeCell="R7" sqref="R7"/>
    </sheetView>
  </sheetViews>
  <sheetFormatPr baseColWidth="10" defaultColWidth="9.33203125" defaultRowHeight="12.75" x14ac:dyDescent="0.2"/>
  <cols>
    <col min="1" max="1" width="5.83203125" customWidth="1"/>
    <col min="2" max="2" width="14" customWidth="1"/>
    <col min="3" max="3" width="2.1640625" customWidth="1"/>
    <col min="4" max="4" width="40.6640625" customWidth="1"/>
    <col min="5" max="5" width="10.5" customWidth="1"/>
    <col min="6" max="6" width="47.83203125" customWidth="1"/>
    <col min="7" max="7" width="17.33203125" customWidth="1"/>
    <col min="8" max="8" width="5.83203125" customWidth="1"/>
    <col min="9" max="9" width="14" customWidth="1"/>
    <col min="10" max="10" width="11.5" customWidth="1"/>
    <col min="11" max="11" width="19.83203125" customWidth="1"/>
    <col min="12" max="12" width="20.83203125" customWidth="1"/>
    <col min="13" max="13" width="3.33203125" customWidth="1"/>
    <col min="14" max="14" width="11" bestFit="1" customWidth="1"/>
    <col min="15" max="15" width="18.6640625" bestFit="1" customWidth="1"/>
    <col min="17" max="17" width="18.6640625" bestFit="1" customWidth="1"/>
    <col min="18" max="18" width="47.1640625" customWidth="1"/>
  </cols>
  <sheetData>
    <row r="1" spans="1:18" ht="32.25" customHeight="1" x14ac:dyDescent="0.2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8" ht="36" customHeight="1" x14ac:dyDescent="0.2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8" ht="36" customHeight="1" x14ac:dyDescent="0.2">
      <c r="A3" s="28" t="s">
        <v>2</v>
      </c>
      <c r="B3" s="28"/>
      <c r="C3" s="62" t="s">
        <v>3</v>
      </c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1:18" ht="39.950000000000003" customHeight="1" x14ac:dyDescent="0.2">
      <c r="A4" s="1" t="s">
        <v>4</v>
      </c>
      <c r="B4" s="63" t="s">
        <v>5</v>
      </c>
      <c r="C4" s="64"/>
      <c r="D4" s="2" t="s">
        <v>6</v>
      </c>
      <c r="E4" s="1" t="s">
        <v>7</v>
      </c>
      <c r="F4" s="63" t="s">
        <v>8</v>
      </c>
      <c r="G4" s="65"/>
      <c r="H4" s="64"/>
      <c r="I4" s="3" t="s">
        <v>9</v>
      </c>
      <c r="J4" s="1" t="s">
        <v>10</v>
      </c>
      <c r="K4" s="4" t="s">
        <v>11</v>
      </c>
      <c r="L4" s="5" t="s">
        <v>12</v>
      </c>
      <c r="Q4" s="18" t="s">
        <v>53</v>
      </c>
    </row>
    <row r="5" spans="1:18" ht="45.2" customHeight="1" x14ac:dyDescent="0.2">
      <c r="A5" s="7">
        <v>1</v>
      </c>
      <c r="B5" s="51" t="s">
        <v>13</v>
      </c>
      <c r="C5" s="52"/>
      <c r="D5" s="21" t="s">
        <v>14</v>
      </c>
      <c r="E5" s="7">
        <v>431</v>
      </c>
      <c r="F5" s="53" t="s">
        <v>15</v>
      </c>
      <c r="G5" s="54"/>
      <c r="H5" s="55"/>
      <c r="I5" s="21" t="s">
        <v>16</v>
      </c>
      <c r="J5" s="7">
        <v>11</v>
      </c>
      <c r="K5" s="22">
        <v>14479584</v>
      </c>
      <c r="L5" s="6">
        <v>159275424</v>
      </c>
      <c r="N5" s="13" t="s">
        <v>45</v>
      </c>
      <c r="O5" s="10">
        <f>J5*K5</f>
        <v>159275424</v>
      </c>
      <c r="Q5" s="9">
        <v>11</v>
      </c>
    </row>
    <row r="6" spans="1:18" ht="37.700000000000003" customHeight="1" x14ac:dyDescent="0.2">
      <c r="A6" s="7">
        <v>2</v>
      </c>
      <c r="B6" s="56" t="s">
        <v>17</v>
      </c>
      <c r="C6" s="57"/>
      <c r="D6" s="19" t="s">
        <v>14</v>
      </c>
      <c r="E6" s="12">
        <v>431</v>
      </c>
      <c r="F6" s="58" t="s">
        <v>18</v>
      </c>
      <c r="G6" s="59"/>
      <c r="H6" s="60"/>
      <c r="I6" s="19" t="s">
        <v>16</v>
      </c>
      <c r="J6" s="12">
        <v>3</v>
      </c>
      <c r="K6" s="20">
        <v>7649040</v>
      </c>
      <c r="L6" s="6">
        <v>22947120</v>
      </c>
      <c r="N6" s="13" t="s">
        <v>46</v>
      </c>
      <c r="O6" s="10">
        <f t="shared" ref="O6:O10" si="0">J6*K6</f>
        <v>22947120</v>
      </c>
      <c r="Q6" s="9">
        <v>3</v>
      </c>
      <c r="R6" s="66" t="s">
        <v>56</v>
      </c>
    </row>
    <row r="7" spans="1:18" ht="54.2" customHeight="1" x14ac:dyDescent="0.2">
      <c r="A7" s="7">
        <v>3</v>
      </c>
      <c r="B7" s="51" t="s">
        <v>13</v>
      </c>
      <c r="C7" s="52"/>
      <c r="D7" s="21" t="s">
        <v>14</v>
      </c>
      <c r="E7" s="7">
        <v>431</v>
      </c>
      <c r="F7" s="53" t="s">
        <v>19</v>
      </c>
      <c r="G7" s="54"/>
      <c r="H7" s="55"/>
      <c r="I7" s="23" t="s">
        <v>54</v>
      </c>
      <c r="J7" s="24">
        <v>9</v>
      </c>
      <c r="K7" s="22">
        <v>9061920</v>
      </c>
      <c r="L7" s="6">
        <v>81557280</v>
      </c>
      <c r="N7" s="13" t="s">
        <v>47</v>
      </c>
      <c r="O7" s="25">
        <f>5*K7</f>
        <v>45309600</v>
      </c>
      <c r="Q7" s="9">
        <v>5</v>
      </c>
    </row>
    <row r="8" spans="1:18" ht="45.2" customHeight="1" x14ac:dyDescent="0.2">
      <c r="A8" s="7">
        <v>4</v>
      </c>
      <c r="B8" s="51" t="s">
        <v>13</v>
      </c>
      <c r="C8" s="52"/>
      <c r="D8" s="21" t="s">
        <v>14</v>
      </c>
      <c r="E8" s="7">
        <v>431</v>
      </c>
      <c r="F8" s="53" t="s">
        <v>20</v>
      </c>
      <c r="G8" s="54"/>
      <c r="H8" s="55"/>
      <c r="I8" s="21" t="s">
        <v>16</v>
      </c>
      <c r="J8" s="7">
        <v>9</v>
      </c>
      <c r="K8" s="22">
        <v>9149616</v>
      </c>
      <c r="L8" s="6">
        <v>82346544</v>
      </c>
      <c r="N8" s="13" t="s">
        <v>48</v>
      </c>
      <c r="O8" s="10">
        <f t="shared" si="0"/>
        <v>82346544</v>
      </c>
      <c r="Q8" s="9">
        <v>9</v>
      </c>
    </row>
    <row r="9" spans="1:18" ht="27.75" customHeight="1" x14ac:dyDescent="0.2">
      <c r="A9" s="7">
        <v>5</v>
      </c>
      <c r="B9" s="56" t="s">
        <v>21</v>
      </c>
      <c r="C9" s="57"/>
      <c r="D9" s="19" t="s">
        <v>14</v>
      </c>
      <c r="E9" s="12">
        <v>431</v>
      </c>
      <c r="F9" s="58" t="s">
        <v>22</v>
      </c>
      <c r="G9" s="59"/>
      <c r="H9" s="60"/>
      <c r="I9" s="19" t="s">
        <v>16</v>
      </c>
      <c r="J9" s="12">
        <v>9</v>
      </c>
      <c r="K9" s="20">
        <v>13816992</v>
      </c>
      <c r="L9" s="8">
        <v>124352928</v>
      </c>
      <c r="N9" s="13" t="s">
        <v>49</v>
      </c>
      <c r="O9" s="10">
        <f t="shared" si="0"/>
        <v>124352928</v>
      </c>
      <c r="Q9" s="9">
        <v>9</v>
      </c>
    </row>
    <row r="10" spans="1:18" ht="27.6" customHeight="1" thickBot="1" x14ac:dyDescent="0.25">
      <c r="A10" s="7">
        <v>6</v>
      </c>
      <c r="B10" s="56" t="s">
        <v>23</v>
      </c>
      <c r="C10" s="57"/>
      <c r="D10" s="19" t="s">
        <v>14</v>
      </c>
      <c r="E10" s="12">
        <v>431</v>
      </c>
      <c r="F10" s="58" t="s">
        <v>24</v>
      </c>
      <c r="G10" s="59"/>
      <c r="H10" s="60"/>
      <c r="I10" s="19" t="s">
        <v>16</v>
      </c>
      <c r="J10" s="12">
        <v>7</v>
      </c>
      <c r="K10" s="20">
        <v>34104000</v>
      </c>
      <c r="L10" s="8">
        <v>238728000</v>
      </c>
      <c r="N10" s="13" t="s">
        <v>50</v>
      </c>
      <c r="O10" s="10">
        <f t="shared" si="0"/>
        <v>238728000</v>
      </c>
      <c r="Q10" s="9">
        <v>7</v>
      </c>
    </row>
    <row r="11" spans="1:18" ht="45.75" customHeight="1" thickBot="1" x14ac:dyDescent="0.25">
      <c r="A11" s="44" t="s">
        <v>44</v>
      </c>
      <c r="B11" s="42"/>
      <c r="C11" s="42"/>
      <c r="D11" s="42"/>
      <c r="E11" s="42"/>
      <c r="F11" s="42"/>
      <c r="G11" s="43"/>
      <c r="K11" s="25">
        <v>9018</v>
      </c>
      <c r="L11" s="26" t="s">
        <v>55</v>
      </c>
      <c r="O11" s="11">
        <f>SUM(O5:O10)</f>
        <v>672959616</v>
      </c>
      <c r="Q11" s="16">
        <v>672959616</v>
      </c>
      <c r="R11" s="17" t="s">
        <v>51</v>
      </c>
    </row>
    <row r="12" spans="1:18" ht="19.7" customHeight="1" x14ac:dyDescent="0.2">
      <c r="A12" s="45" t="s">
        <v>25</v>
      </c>
      <c r="B12" s="46"/>
      <c r="C12" s="46"/>
      <c r="D12" s="46"/>
      <c r="E12" s="46"/>
      <c r="F12" s="46"/>
      <c r="G12" s="47"/>
    </row>
    <row r="13" spans="1:18" ht="15.75" customHeight="1" x14ac:dyDescent="0.2">
      <c r="A13" s="36" t="s">
        <v>26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O13" s="15">
        <f>+O11-Q11</f>
        <v>0</v>
      </c>
      <c r="P13" s="14" t="s">
        <v>52</v>
      </c>
    </row>
    <row r="14" spans="1:18" ht="15.75" customHeight="1" x14ac:dyDescent="0.2">
      <c r="A14" s="37" t="s">
        <v>27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5" spans="1:18" ht="30.95" customHeight="1" x14ac:dyDescent="0.2">
      <c r="A15" s="48" t="s">
        <v>28</v>
      </c>
      <c r="B15" s="49"/>
      <c r="C15" s="49"/>
      <c r="D15" s="49"/>
      <c r="E15" s="49"/>
      <c r="F15" s="49"/>
      <c r="G15" s="50"/>
    </row>
    <row r="16" spans="1:18" ht="12.2" customHeight="1" x14ac:dyDescent="0.2">
      <c r="A16" s="38"/>
      <c r="B16" s="39"/>
      <c r="C16" s="39"/>
      <c r="D16" s="39"/>
      <c r="E16" s="39"/>
      <c r="F16" s="39"/>
      <c r="G16" s="40"/>
    </row>
    <row r="17" spans="1:13" ht="55.7" customHeight="1" x14ac:dyDescent="0.2">
      <c r="A17" s="41" t="s">
        <v>29</v>
      </c>
      <c r="B17" s="42"/>
      <c r="C17" s="42"/>
      <c r="D17" s="42"/>
      <c r="E17" s="42"/>
      <c r="F17" s="42"/>
      <c r="G17" s="43"/>
    </row>
    <row r="18" spans="1:13" ht="54.2" customHeight="1" x14ac:dyDescent="0.2">
      <c r="A18" s="41" t="s">
        <v>30</v>
      </c>
      <c r="B18" s="42"/>
      <c r="C18" s="42"/>
      <c r="D18" s="42"/>
      <c r="E18" s="42"/>
      <c r="F18" s="42"/>
      <c r="G18" s="43"/>
    </row>
    <row r="19" spans="1:13" ht="53.85" customHeight="1" x14ac:dyDescent="0.2">
      <c r="A19" s="41" t="s">
        <v>31</v>
      </c>
      <c r="B19" s="42"/>
      <c r="C19" s="42"/>
      <c r="D19" s="42"/>
      <c r="E19" s="42"/>
      <c r="F19" s="42"/>
      <c r="G19" s="43"/>
    </row>
    <row r="20" spans="1:13" ht="50.85" customHeight="1" x14ac:dyDescent="0.2">
      <c r="A20" s="41" t="s">
        <v>32</v>
      </c>
      <c r="B20" s="42"/>
      <c r="C20" s="42"/>
      <c r="D20" s="42"/>
      <c r="E20" s="42"/>
      <c r="F20" s="42"/>
      <c r="G20" s="43"/>
    </row>
    <row r="21" spans="1:13" ht="213" customHeight="1" x14ac:dyDescent="0.2">
      <c r="A21" s="33" t="s">
        <v>33</v>
      </c>
      <c r="B21" s="34"/>
      <c r="C21" s="34"/>
      <c r="D21" s="34"/>
      <c r="E21" s="34"/>
      <c r="F21" s="34"/>
      <c r="G21" s="35"/>
    </row>
    <row r="22" spans="1:13" ht="15.75" customHeight="1" x14ac:dyDescent="0.2">
      <c r="A22" s="36" t="s">
        <v>26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</row>
    <row r="23" spans="1:13" ht="15.75" customHeight="1" x14ac:dyDescent="0.2">
      <c r="A23" s="37" t="s">
        <v>34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</row>
    <row r="24" spans="1:13" ht="15.75" customHeight="1" x14ac:dyDescent="0.2">
      <c r="A24" s="36" t="s">
        <v>26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spans="1:13" ht="15.75" customHeight="1" x14ac:dyDescent="0.2">
      <c r="A25" s="37" t="s">
        <v>35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</row>
    <row r="26" spans="1:13" ht="27.75" customHeight="1" x14ac:dyDescent="0.2">
      <c r="A26" s="30" t="s">
        <v>36</v>
      </c>
      <c r="B26" s="30"/>
      <c r="C26" s="30"/>
      <c r="D26" s="30"/>
      <c r="E26" s="30"/>
      <c r="F26" s="30"/>
    </row>
    <row r="27" spans="1:13" ht="27.75" customHeight="1" x14ac:dyDescent="0.2">
      <c r="A27" s="31" t="s">
        <v>37</v>
      </c>
      <c r="B27" s="31"/>
      <c r="C27" s="31"/>
      <c r="D27" s="31"/>
      <c r="E27" s="31"/>
      <c r="F27" s="31"/>
    </row>
    <row r="28" spans="1:13" ht="15.75" customHeight="1" x14ac:dyDescent="0.2">
      <c r="A28" s="32" t="s">
        <v>38</v>
      </c>
      <c r="B28" s="32"/>
      <c r="C28" s="32"/>
      <c r="D28" s="32"/>
      <c r="E28" s="32"/>
      <c r="F28" s="32"/>
    </row>
    <row r="29" spans="1:13" ht="31.5" customHeight="1" x14ac:dyDescent="0.2">
      <c r="A29" s="29" t="s">
        <v>39</v>
      </c>
      <c r="B29" s="29"/>
      <c r="C29" s="29"/>
      <c r="D29" s="29"/>
      <c r="E29" s="29"/>
      <c r="F29" s="29"/>
    </row>
    <row r="30" spans="1:13" ht="15.75" customHeight="1" x14ac:dyDescent="0.2">
      <c r="A30" s="32" t="s">
        <v>40</v>
      </c>
      <c r="B30" s="32"/>
      <c r="C30" s="32"/>
      <c r="D30" s="32"/>
      <c r="E30" s="32"/>
      <c r="F30" s="32"/>
    </row>
    <row r="31" spans="1:13" ht="17.25" customHeight="1" x14ac:dyDescent="0.2">
      <c r="A31" s="27" t="s">
        <v>41</v>
      </c>
      <c r="B31" s="27"/>
      <c r="C31" s="27"/>
      <c r="D31" s="27"/>
      <c r="E31" s="27"/>
      <c r="F31" s="27"/>
    </row>
    <row r="32" spans="1:13" ht="60" customHeight="1" x14ac:dyDescent="0.2">
      <c r="A32" s="28" t="s">
        <v>42</v>
      </c>
      <c r="B32" s="28"/>
      <c r="C32" s="28"/>
      <c r="D32" s="28"/>
      <c r="E32" s="28"/>
      <c r="F32" s="28"/>
    </row>
    <row r="33" spans="1:6" ht="29.45" customHeight="1" x14ac:dyDescent="0.2">
      <c r="A33" s="29" t="s">
        <v>43</v>
      </c>
      <c r="B33" s="29"/>
      <c r="C33" s="29"/>
      <c r="D33" s="29"/>
      <c r="E33" s="29"/>
      <c r="F33" s="29"/>
    </row>
  </sheetData>
  <mergeCells count="41">
    <mergeCell ref="A1:M1"/>
    <mergeCell ref="A2:M2"/>
    <mergeCell ref="A3:B3"/>
    <mergeCell ref="C3:M3"/>
    <mergeCell ref="B4:C4"/>
    <mergeCell ref="F4:H4"/>
    <mergeCell ref="B5:C5"/>
    <mergeCell ref="F5:H5"/>
    <mergeCell ref="B6:C6"/>
    <mergeCell ref="F6:H6"/>
    <mergeCell ref="B7:C7"/>
    <mergeCell ref="F7:H7"/>
    <mergeCell ref="B8:C8"/>
    <mergeCell ref="F8:H8"/>
    <mergeCell ref="B9:C9"/>
    <mergeCell ref="F9:H9"/>
    <mergeCell ref="B10:C10"/>
    <mergeCell ref="F10:H10"/>
    <mergeCell ref="A11:G11"/>
    <mergeCell ref="A12:G12"/>
    <mergeCell ref="A13:M13"/>
    <mergeCell ref="A14:M14"/>
    <mergeCell ref="A15:G15"/>
    <mergeCell ref="A16:G16"/>
    <mergeCell ref="A17:G17"/>
    <mergeCell ref="A18:G18"/>
    <mergeCell ref="A19:G19"/>
    <mergeCell ref="A20:G20"/>
    <mergeCell ref="A21:G21"/>
    <mergeCell ref="A22:M22"/>
    <mergeCell ref="A23:M23"/>
    <mergeCell ref="A24:M24"/>
    <mergeCell ref="A25:M25"/>
    <mergeCell ref="A31:F31"/>
    <mergeCell ref="A32:F32"/>
    <mergeCell ref="A33:F33"/>
    <mergeCell ref="A26:F26"/>
    <mergeCell ref="A27:F27"/>
    <mergeCell ref="A28:F28"/>
    <mergeCell ref="A29:F29"/>
    <mergeCell ref="A30:F30"/>
  </mergeCells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2021-08-27T15:25:11Z</dcterms:created>
  <dcterms:modified xsi:type="dcterms:W3CDTF">2021-08-27T16:20:42Z</dcterms:modified>
</cp:coreProperties>
</file>