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cartables 1er Trim.2022\Antiseptico y Desinfectante consolidado\"/>
    </mc:Choice>
  </mc:AlternateContent>
  <xr:revisionPtr revIDLastSave="0" documentId="13_ncr:1_{990F04A0-0368-4D37-9284-9CF63FC43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FARMACIA" sheetId="2" r:id="rId2"/>
    <sheet name="NP LABORATORIO" sheetId="4" r:id="rId3"/>
    <sheet name="NP BANCO DE SANGRE" sheetId="6" r:id="rId4"/>
    <sheet name="APG FARMACIA" sheetId="3" r:id="rId5"/>
    <sheet name="NP ODONTOLOGIA" sheetId="8" r:id="rId6"/>
    <sheet name="APG ODONTOLOGIA" sheetId="9" r:id="rId7"/>
    <sheet name="NP SAME" sheetId="10" r:id="rId8"/>
    <sheet name="APG SAME" sheetId="11" r:id="rId9"/>
  </sheets>
  <externalReferences>
    <externalReference r:id="rId10"/>
  </externalReferences>
  <definedNames>
    <definedName name="_xlnm._FilterDatabase" localSheetId="0" hidden="1">'SAF 011'!$A$9:$J$22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1" l="1"/>
  <c r="L18" i="1"/>
  <c r="L19" i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10" i="1"/>
  <c r="T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10" i="1"/>
  <c r="R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10" i="1"/>
  <c r="P10" i="1" s="1"/>
  <c r="N11" i="1" l="1"/>
  <c r="N12" i="1"/>
  <c r="N13" i="1"/>
  <c r="N14" i="1"/>
  <c r="N15" i="1"/>
  <c r="N16" i="1"/>
  <c r="N17" i="1"/>
  <c r="N18" i="1"/>
  <c r="N19" i="1"/>
  <c r="N20" i="1"/>
  <c r="N21" i="1"/>
  <c r="N10" i="1"/>
  <c r="K13" i="10" l="1"/>
  <c r="J13" i="10"/>
  <c r="I13" i="10"/>
  <c r="C13" i="10"/>
  <c r="B13" i="10"/>
  <c r="B12" i="10"/>
  <c r="B12" i="8"/>
  <c r="M12" i="8" s="1"/>
  <c r="B13" i="8"/>
  <c r="M13" i="8" s="1"/>
  <c r="C12" i="8"/>
  <c r="O12" i="8" s="1"/>
  <c r="C13" i="8"/>
  <c r="O13" i="8" s="1"/>
  <c r="I12" i="8"/>
  <c r="I13" i="8"/>
  <c r="J12" i="8"/>
  <c r="J13" i="8"/>
  <c r="K12" i="8"/>
  <c r="K13" i="8"/>
  <c r="B13" i="6"/>
  <c r="M13" i="6" s="1"/>
  <c r="B12" i="6"/>
  <c r="M12" i="6" s="1"/>
  <c r="B12" i="4"/>
  <c r="M12" i="4" s="1"/>
  <c r="K13" i="2"/>
  <c r="K14" i="2"/>
  <c r="K15" i="2"/>
  <c r="K16" i="2"/>
  <c r="K17" i="2"/>
  <c r="K18" i="2"/>
  <c r="J13" i="2"/>
  <c r="J14" i="2"/>
  <c r="J15" i="2"/>
  <c r="J16" i="2"/>
  <c r="J17" i="2"/>
  <c r="J18" i="2"/>
  <c r="I13" i="2"/>
  <c r="I14" i="2"/>
  <c r="I15" i="2"/>
  <c r="I16" i="2"/>
  <c r="I17" i="2"/>
  <c r="I18" i="2"/>
  <c r="C13" i="2"/>
  <c r="O13" i="2" s="1"/>
  <c r="C14" i="2"/>
  <c r="O14" i="2" s="1"/>
  <c r="C15" i="2"/>
  <c r="O15" i="2" s="1"/>
  <c r="C16" i="2"/>
  <c r="O16" i="2" s="1"/>
  <c r="C17" i="2"/>
  <c r="O17" i="2" s="1"/>
  <c r="C18" i="2"/>
  <c r="O18" i="2" s="1"/>
  <c r="B13" i="2"/>
  <c r="M13" i="2" s="1"/>
  <c r="B14" i="2"/>
  <c r="M14" i="2" s="1"/>
  <c r="B15" i="2"/>
  <c r="M15" i="2" s="1"/>
  <c r="B16" i="2"/>
  <c r="M16" i="2" s="1"/>
  <c r="B17" i="2"/>
  <c r="M17" i="2" s="1"/>
  <c r="B18" i="2"/>
  <c r="M18" i="2" s="1"/>
  <c r="B12" i="2"/>
  <c r="M12" i="2" s="1"/>
  <c r="K18" i="8" l="1"/>
  <c r="L23" i="2"/>
  <c r="K19" i="8"/>
  <c r="N14" i="2"/>
  <c r="N17" i="2"/>
  <c r="N13" i="2"/>
  <c r="N13" i="8"/>
  <c r="Q15" i="9" s="1"/>
  <c r="N12" i="8"/>
  <c r="Q16" i="9" s="1"/>
  <c r="N16" i="2"/>
  <c r="N18" i="2"/>
  <c r="N15" i="2"/>
  <c r="M23" i="2" l="1"/>
  <c r="Q15" i="3"/>
  <c r="K12" i="10"/>
  <c r="J12" i="10"/>
  <c r="I12" i="10"/>
  <c r="C12" i="10"/>
  <c r="K12" i="6" l="1"/>
  <c r="K13" i="6"/>
  <c r="K12" i="4"/>
  <c r="A40" i="11"/>
  <c r="G7" i="11"/>
  <c r="G6" i="11"/>
  <c r="M13" i="10"/>
  <c r="M12" i="10"/>
  <c r="D4" i="10"/>
  <c r="G5" i="11" s="1"/>
  <c r="D3" i="10"/>
  <c r="G4" i="11" s="1"/>
  <c r="A41" i="9"/>
  <c r="G7" i="9"/>
  <c r="G6" i="9"/>
  <c r="D4" i="8"/>
  <c r="G5" i="9" s="1"/>
  <c r="D3" i="8"/>
  <c r="G4" i="9" s="1"/>
  <c r="J13" i="6"/>
  <c r="I13" i="6"/>
  <c r="C13" i="6"/>
  <c r="O13" i="6" s="1"/>
  <c r="J12" i="6"/>
  <c r="I12" i="6"/>
  <c r="C12" i="6"/>
  <c r="O12" i="6" s="1"/>
  <c r="D4" i="6"/>
  <c r="D3" i="6"/>
  <c r="J12" i="4"/>
  <c r="I12" i="4"/>
  <c r="C12" i="4"/>
  <c r="O12" i="4" s="1"/>
  <c r="D4" i="4"/>
  <c r="D3" i="4"/>
  <c r="A41" i="3"/>
  <c r="K12" i="2"/>
  <c r="J12" i="2"/>
  <c r="I12" i="2"/>
  <c r="C12" i="2"/>
  <c r="O12" i="2" s="1"/>
  <c r="N13" i="6" l="1"/>
  <c r="K16" i="4"/>
  <c r="L22" i="2"/>
  <c r="J17" i="6"/>
  <c r="N12" i="6"/>
  <c r="N12" i="2"/>
  <c r="Q38" i="9"/>
  <c r="M15" i="10"/>
  <c r="N15" i="8"/>
  <c r="J15" i="8" s="1"/>
  <c r="N12" i="4"/>
  <c r="N14" i="4" s="1"/>
  <c r="G6" i="3"/>
  <c r="G7" i="3"/>
  <c r="D4" i="2"/>
  <c r="G5" i="3" s="1"/>
  <c r="D3" i="2"/>
  <c r="G4" i="3" s="1"/>
  <c r="M22" i="2" l="1"/>
  <c r="M24" i="2" s="1"/>
  <c r="M25" i="2" s="1"/>
  <c r="Q16" i="3"/>
  <c r="J14" i="4"/>
  <c r="N20" i="2"/>
  <c r="N22" i="2" s="1"/>
  <c r="J15" i="10"/>
  <c r="Q15" i="11"/>
  <c r="Q37" i="11" s="1"/>
  <c r="N15" i="6"/>
  <c r="J15" i="6" s="1"/>
  <c r="I10" i="1" l="1"/>
  <c r="U10" i="1" s="1"/>
  <c r="I12" i="1"/>
  <c r="U12" i="1" s="1"/>
  <c r="I19" i="1"/>
  <c r="U19" i="1" s="1"/>
  <c r="I15" i="1"/>
  <c r="U15" i="1" s="1"/>
  <c r="I16" i="1"/>
  <c r="U16" i="1" s="1"/>
  <c r="I18" i="1"/>
  <c r="U18" i="1" s="1"/>
  <c r="I13" i="1"/>
  <c r="U13" i="1" s="1"/>
  <c r="I11" i="1"/>
  <c r="U11" i="1" s="1"/>
  <c r="I21" i="1"/>
  <c r="U21" i="1" s="1"/>
  <c r="I20" i="1"/>
  <c r="U20" i="1" s="1"/>
  <c r="I14" i="1"/>
  <c r="U14" i="1" s="1"/>
  <c r="I17" i="1"/>
  <c r="U17" i="1" s="1"/>
  <c r="J20" i="2"/>
  <c r="I22" i="1" l="1"/>
  <c r="Q38" i="3"/>
</calcChain>
</file>

<file path=xl/sharedStrings.xml><?xml version="1.0" encoding="utf-8"?>
<sst xmlns="http://schemas.openxmlformats.org/spreadsheetml/2006/main" count="318" uniqueCount="134">
  <si>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</si>
  <si>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</si>
  <si>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</si>
  <si>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</si>
  <si>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</si>
  <si>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</si>
  <si>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</si>
  <si>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</si>
  <si>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</si>
  <si>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</si>
  <si>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</si>
  <si>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</si>
  <si>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</si>
  <si>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</si>
  <si>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</si>
  <si>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</si>
  <si>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</si>
  <si>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</si>
  <si>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</si>
  <si>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</si>
  <si>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BIDON</t>
  </si>
  <si>
    <t>BOTELLA</t>
  </si>
  <si>
    <t>BAG IN BOX</t>
  </si>
  <si>
    <t>TOTAL RUBRO ANTISEPTICOS Y DESINFECTANTES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</si>
  <si>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</si>
  <si>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</si>
  <si>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</si>
  <si>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</si>
  <si>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</si>
  <si>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</si>
  <si>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</si>
  <si>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</si>
  <si>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</si>
  <si>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</si>
  <si>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</si>
  <si>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</si>
  <si>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</si>
  <si>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</si>
  <si>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</si>
  <si>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</si>
  <si>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</si>
  <si>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</si>
  <si>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</si>
  <si>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</si>
  <si>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</si>
  <si>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</si>
  <si>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</si>
  <si>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</si>
  <si>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</si>
  <si>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</si>
  <si>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</si>
  <si>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</si>
  <si>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</si>
  <si>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</si>
  <si>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</si>
  <si>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</si>
  <si>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</si>
  <si>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</si>
  <si>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</si>
  <si>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</si>
  <si>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</si>
  <si>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</si>
  <si>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</si>
  <si>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</si>
  <si>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</si>
  <si>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</si>
  <si>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</si>
  <si>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</si>
  <si>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</si>
  <si>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</si>
  <si>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</si>
  <si>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>ADQUISICION DEL RUBRO ANTISEPTICOS Y DESINFECTANTES</t>
  </si>
  <si>
    <t xml:space="preserve"> 12/2022</t>
  </si>
  <si>
    <t>SI</t>
  </si>
  <si>
    <t>COMPUESTOS QUIMICOS</t>
  </si>
  <si>
    <t>Costo total estimado: OCHENTA MIL CUATROCIENTOS CON 00/100.-</t>
  </si>
  <si>
    <t xml:space="preserve"> 02/2022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</si>
  <si>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</si>
  <si>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DIRECCION PROVINCIAL DE LABORATORIO</t>
  </si>
  <si>
    <t xml:space="preserve"> 03/2022</t>
  </si>
  <si>
    <t>DIRECCION PROVINCIAL BANCO DE SANGRE</t>
  </si>
  <si>
    <t>Costo total estimado: CINCUENTA Y UN MIL TRESCIENTOS SESENTA CON 00/100.-</t>
  </si>
  <si>
    <t>Autorizo la realización de los  trámites correspondientes, a fin de proveer a  este Organismo los bienes que se detallan en Nota  de Pedido N° 03/2022 afectando la erogación resultante a los créditos presupuestarios aprobados a favor de esta Unidad Ejecutora, conforme al siguiente detalle:</t>
  </si>
  <si>
    <t>DIRECCION PROVINCIAL DE ODONTOLOGIA</t>
  </si>
  <si>
    <t>Costo total estimado: QUINIENTOS OCHO MIL NOVECIENTOS SESENTA CON 00/100.-</t>
  </si>
  <si>
    <t>TOTAL DE PESOS: QUINIENTOS OCHO MIL NOVECIENTOS SESENTA CON 00/100.-</t>
  </si>
  <si>
    <t>DIRECCION PROVINCIAL SISTEMA DE ATENCION MEDICA DE EMERGENCIA</t>
  </si>
  <si>
    <t>Costo total estimado: DOCE MIL CUATROCIENTOS CINCUENTA Y DOS CON 70/100.-</t>
  </si>
  <si>
    <t>TOTAL DE PESOS: DOCE MIL CUATROCIENTOS CINCUENTA Y DOS CON 70/100.-</t>
  </si>
  <si>
    <t>Costo total estimado: SEISCIENTOS OCHENTA Y UN MIL SEISCIENTOS DIEZ CON 00/100.-</t>
  </si>
  <si>
    <t>Autorizo la realización de los  trámites correspondientes, a fin de proveer a  este Organismo los bienes que se detallan en Nota  de Pedido N° D.P.F.e I. 12/2022 - D.P.L. 02/2022 - D.P.B.S. 03/2022 afectando la erogación resultante a los créditos presupuestarios aprobados a favor de esta Unidad Ejecutora, conforme al siguiente detalle:</t>
  </si>
  <si>
    <t>veinte (20) dias habiles</t>
  </si>
  <si>
    <t>2.5.2-710.4</t>
  </si>
  <si>
    <t>PROD. MEDICO/FARMACEUTICOS/LAB</t>
  </si>
  <si>
    <t>AGUA OXIGENADA; CAPACIDAD: 1000 CM3, VOLUMEN: 10, PRESENTACION: ENVASE X 1000 CM3</t>
  </si>
  <si>
    <t>2.5.2-711.1</t>
  </si>
  <si>
    <t>ALCOHOL USO MEDICINAL; PUREZA: 96 %, PRESENTACION: ENVASE X 500 CM3, CAPACIDAD: 500 CM3</t>
  </si>
  <si>
    <t>2.5.2-711.32</t>
  </si>
  <si>
    <t>ALCOHOL USO MEDICINAL; PUREZA: 96 %, PRESENTACION: ENVASE X 1000 CM3</t>
  </si>
  <si>
    <t>2.5.1-9065.27</t>
  </si>
  <si>
    <t>QUIMICOS</t>
  </si>
  <si>
    <t>DESINFECTANTES Y DETERGENTES; PRINCIPIO ACTIVO: AMONIO CUATERNARIO, CALIDAD: COMERCIAL, CONCENTRACION/PUREZA: 99 %, PRESENTACION: ENVASE X 5 L</t>
  </si>
  <si>
    <t>2.5.2-711.41</t>
  </si>
  <si>
    <t>ALCOHOL USO MEDICINAL; PUREZA: 70 %, PRESENTACION: GEL ENVASE X 250 CM3</t>
  </si>
  <si>
    <t>2.5.2-1726.492</t>
  </si>
  <si>
    <t>SOLUCIONES P/MEDICINA; TIPO: FORMOL AL 40 %, PRESENTACION: ENVASE X 1 L</t>
  </si>
  <si>
    <t>2.5.2-1723.173</t>
  </si>
  <si>
    <t>ANTISEPTICOS LOCALES P/PERSONA; TIPO: MONODROGA, DROGA GENERICA: IODOFORMADA AL 10% , FORMA FARMACEUTICA: GASA, PRESENTACION: DE 10X10, 15 UNIDADES POR PACK</t>
  </si>
  <si>
    <t>2.5.1-9065.53</t>
  </si>
  <si>
    <t>DESINFECTANTES Y DETERGENTES; PRINCIPIO ACTIVO: GLUTARALDEHIDO CON SULFACTANTE, CALIDAD: BIOLOGIA MOLECULAR, CONCENTRACION/PUREZA: 2 %, PRESENTACION: ENVASE X 4 L</t>
  </si>
  <si>
    <t>2.5.2-1723.30</t>
  </si>
  <si>
    <t>ANTISEPTICOS LOCALES P/PERSONA; TIPO: MONODROGA, DROGA GENERICA: IODOPOVIDONA, FORMA FARMACEUTICA: SOLUCION, PRESENTACION: BIDON X 5 L</t>
  </si>
  <si>
    <t>2.5.2-1723.50</t>
  </si>
  <si>
    <t>ANTISEPTICOS LOCALES P/PERSONA; DROGA GENERICA: IODOPOVIDONA 10%, FORMA FARMACEUTICA: SOLUCION, PRESENTACION: ENVASE X 1 L, TIPO: MONODROGA</t>
  </si>
  <si>
    <t>2.9.1-6956.122</t>
  </si>
  <si>
    <t>ELEMENTOS DE LIMPIEZA</t>
  </si>
  <si>
    <t>ARTICULOS DE TOCADOR; TIPO: JABON LIQUIDO HIPOALERGENICO, PRESENTACION: ENVASE X 800 ML BAG IN BOX</t>
  </si>
  <si>
    <t>2.5.2-1723.35</t>
  </si>
  <si>
    <t>ANTISEPTICOS LOCALES P/PERSONA; TIPO: MONODROGA, DROGA GENERICA: NITROFURAZONA, FORMA FARMACEUTICA: SOLUCION, PRESENTACION: FRASCO X 1 L</t>
  </si>
  <si>
    <t>TOTAL DE PESOS: OCHOCIENTOS TRECE MIL TRESCIENTOS SETENTA CON 00/100.-</t>
  </si>
  <si>
    <t>IPP</t>
  </si>
  <si>
    <t>ESPECIFICACION TECNICA PROGRAMACION</t>
  </si>
  <si>
    <t>UTILES MENORES MEDICOS, QUIRURGICOS Y DE LABORATORIO</t>
  </si>
  <si>
    <t>con valvula atomizadora</t>
  </si>
  <si>
    <t xml:space="preserve">Jabón Líquido hipoalergenico. Ph Dérmico. No contiene cloruro de sodio, ni parabenos. Envase BAG IN BOX por 800 ml.Tipo JL4  ADOX. </t>
  </si>
  <si>
    <t>USO HOSPITALARIO. Limpiador para areas criticas en base a amonios cuaternarios de 4TA Generacion.Dilucion 2,5 ml/ litro .Aprobacion ANMAT</t>
  </si>
  <si>
    <t>DETALLE TECNICO Y ESPECIFICACIONES ITEMS 1 AL 12</t>
  </si>
  <si>
    <r>
      <t xml:space="preserve">Descripción técnica: </t>
    </r>
    <r>
      <rPr>
        <sz val="11"/>
        <color theme="1"/>
        <rFont val="Calibri"/>
        <family val="2"/>
        <scheme val="minor"/>
      </rPr>
      <t>con valvula atomizadora</t>
    </r>
  </si>
  <si>
    <r>
      <t>Descripción técnica:</t>
    </r>
    <r>
      <rPr>
        <sz val="11"/>
        <color theme="1"/>
        <rFont val="Calibri"/>
        <family val="2"/>
        <scheme val="minor"/>
      </rPr>
      <t xml:space="preserve"> Jabón Líquido hipoalergenico. Ph Dérmico. No contiene cloruro de sodio, ni parabenos. Envase BAG IN BOX por 800 ml.Tipo JL4  ADOX. </t>
    </r>
  </si>
  <si>
    <t>Especificidades Item N° 5:</t>
  </si>
  <si>
    <t>Especificidades Item N° 10:</t>
  </si>
  <si>
    <t>Especificidades Item N° 9:</t>
  </si>
  <si>
    <r>
      <t xml:space="preserve">Descripción técnica: </t>
    </r>
    <r>
      <rPr>
        <sz val="11"/>
        <color theme="1"/>
        <rFont val="Calibri"/>
        <family val="2"/>
        <scheme val="minor"/>
      </rPr>
      <t>USO HOSPITALARIO. Limpiador para areas criticas en base a amonios cuaternarios de 4TA Generacion.Dilucion 2,5 ml/ litro .Aprobacion ANMAT</t>
    </r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</si>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</sst>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Times New Roman"/>
      <family val="1"/>
      <charset val="1"/>
    </font>
    <font>
      <b/>
      <u/>
      <sz val="12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2"/>
      <color theme="0"/>
      <name val="Times New Roman"/>
      <family val="1"/>
      <charset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8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8" applyProtection="0"/>
    <xf numFmtId="0" fontId="25" fillId="0" borderId="58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2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7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0" fillId="0" borderId="0" xfId="0" applyBorder="1"/>
    <xf numFmtId="0" fontId="27" fillId="0" borderId="8" xfId="5" applyFont="1" applyFill="1" applyBorder="1" applyAlignment="1">
      <alignment horizontal="center" vertical="center" wrapText="1"/>
    </xf>
    <xf numFmtId="0" fontId="27" fillId="0" borderId="19" xfId="5" applyFont="1" applyFill="1" applyBorder="1" applyAlignment="1">
      <alignment horizontal="center" vertical="center" wrapText="1"/>
    </xf>
    <xf numFmtId="0" fontId="27" fillId="0" borderId="19" xfId="5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165" fontId="28" fillId="0" borderId="0" xfId="0" applyNumberFormat="1" applyFont="1"/>
    <xf numFmtId="0" fontId="7" fillId="0" borderId="0" xfId="0" applyFont="1"/>
    <xf numFmtId="0" fontId="2" fillId="0" borderId="0" xfId="0" applyFont="1"/>
    <xf numFmtId="165" fontId="30" fillId="0" borderId="0" xfId="0" applyNumberFormat="1" applyFont="1"/>
    <xf numFmtId="0" fontId="33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8" fillId="0" borderId="0" xfId="0" applyFont="1" applyBorder="1"/>
    <xf numFmtId="0" fontId="7" fillId="0" borderId="0" xfId="0" applyFont="1" applyBorder="1"/>
    <xf numFmtId="0" fontId="10" fillId="0" borderId="0" xfId="0" applyFont="1" applyBorder="1"/>
    <xf numFmtId="0" fontId="33" fillId="0" borderId="0" xfId="0" applyFont="1" applyBorder="1"/>
    <xf numFmtId="0" fontId="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 indent="1"/>
    </xf>
    <xf numFmtId="0" fontId="0" fillId="0" borderId="0" xfId="0" applyFill="1"/>
    <xf numFmtId="165" fontId="0" fillId="0" borderId="0" xfId="0" applyNumberFormat="1" applyFill="1"/>
    <xf numFmtId="0" fontId="0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170" fontId="0" fillId="0" borderId="51" xfId="7" applyNumberFormat="1" applyFont="1" applyFill="1" applyBorder="1" applyAlignment="1" applyProtection="1">
      <alignment horizontal="center" vertical="center"/>
    </xf>
    <xf numFmtId="0" fontId="0" fillId="0" borderId="11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36" xfId="0" applyFill="1" applyBorder="1"/>
    <xf numFmtId="0" fontId="24" fillId="0" borderId="39" xfId="0" applyFont="1" applyFill="1" applyBorder="1" applyAlignment="1">
      <alignment horizontal="center" vertical="center"/>
    </xf>
    <xf numFmtId="0" fontId="24" fillId="0" borderId="40" xfId="0" applyFont="1" applyFill="1" applyBorder="1" applyAlignment="1">
      <alignment horizontal="center" vertical="center"/>
    </xf>
    <xf numFmtId="0" fontId="24" fillId="0" borderId="40" xfId="0" applyFont="1" applyFill="1" applyBorder="1" applyAlignment="1">
      <alignment horizontal="left" vertical="center"/>
    </xf>
    <xf numFmtId="0" fontId="24" fillId="0" borderId="41" xfId="0" applyFont="1" applyFill="1" applyBorder="1" applyAlignment="1">
      <alignment horizontal="center" vertical="center"/>
    </xf>
    <xf numFmtId="0" fontId="24" fillId="0" borderId="42" xfId="0" applyFont="1" applyFill="1" applyBorder="1" applyAlignment="1">
      <alignment horizontal="center" vertical="center"/>
    </xf>
    <xf numFmtId="170" fontId="0" fillId="0" borderId="46" xfId="7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84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3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5" fontId="5" fillId="0" borderId="6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165" fontId="8" fillId="0" borderId="79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5" fontId="7" fillId="0" borderId="1" xfId="0" applyNumberFormat="1" applyFont="1" applyFill="1" applyBorder="1" applyAlignment="1">
      <alignment horizontal="center" vertical="center"/>
    </xf>
    <xf numFmtId="165" fontId="7" fillId="0" borderId="79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165" fontId="8" fillId="0" borderId="84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center" vertical="center"/>
    </xf>
    <xf numFmtId="165" fontId="34" fillId="0" borderId="6" xfId="0" applyNumberFormat="1" applyFont="1" applyFill="1" applyBorder="1" applyAlignment="1">
      <alignment horizontal="center" vertical="center"/>
    </xf>
    <xf numFmtId="3" fontId="34" fillId="0" borderId="6" xfId="2" applyNumberFormat="1" applyFont="1" applyFill="1" applyBorder="1" applyAlignment="1">
      <alignment horizontal="center" vertical="center" wrapText="1"/>
    </xf>
    <xf numFmtId="165" fontId="34" fillId="0" borderId="85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13" xfId="0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center" vertical="center"/>
    </xf>
    <xf numFmtId="0" fontId="28" fillId="0" borderId="0" xfId="0" applyFont="1"/>
    <xf numFmtId="0" fontId="36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left" vertical="center" wrapText="1" indent="1"/>
    </xf>
    <xf numFmtId="0" fontId="37" fillId="0" borderId="0" xfId="0" applyFont="1" applyFill="1" applyBorder="1" applyAlignment="1">
      <alignment horizontal="center" vertical="center" wrapText="1"/>
    </xf>
    <xf numFmtId="3" fontId="28" fillId="0" borderId="0" xfId="0" applyNumberFormat="1" applyFont="1" applyFill="1" applyBorder="1" applyAlignment="1">
      <alignment horizontal="center" vertical="center"/>
    </xf>
    <xf numFmtId="3" fontId="38" fillId="0" borderId="0" xfId="0" applyNumberFormat="1" applyFont="1" applyFill="1" applyBorder="1" applyAlignment="1">
      <alignment horizontal="center" vertical="center"/>
    </xf>
    <xf numFmtId="166" fontId="35" fillId="0" borderId="0" xfId="0" applyNumberFormat="1" applyFont="1" applyFill="1" applyBorder="1" applyAlignment="1">
      <alignment horizontal="center" vertical="center"/>
    </xf>
    <xf numFmtId="0" fontId="30" fillId="0" borderId="0" xfId="0" applyFont="1"/>
    <xf numFmtId="165" fontId="28" fillId="0" borderId="0" xfId="0" applyNumberFormat="1" applyFont="1" applyFill="1" applyBorder="1" applyAlignment="1">
      <alignment horizontal="center"/>
    </xf>
    <xf numFmtId="165" fontId="28" fillId="0" borderId="0" xfId="0" applyNumberFormat="1" applyFont="1" applyFill="1"/>
    <xf numFmtId="0" fontId="28" fillId="0" borderId="0" xfId="0" applyFont="1" applyFill="1"/>
    <xf numFmtId="165" fontId="12" fillId="0" borderId="9" xfId="0" applyNumberFormat="1" applyFont="1" applyFill="1" applyBorder="1" applyAlignment="1">
      <alignment horizontal="right" vertical="center"/>
    </xf>
    <xf numFmtId="0" fontId="13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65" fontId="12" fillId="0" borderId="0" xfId="0" applyNumberFormat="1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14" fillId="0" borderId="19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165" fontId="13" fillId="0" borderId="0" xfId="0" applyNumberFormat="1" applyFont="1" applyFill="1" applyBorder="1" applyAlignment="1">
      <alignment horizontal="left" vertical="center" wrapText="1" indent="1"/>
    </xf>
    <xf numFmtId="0" fontId="13" fillId="0" borderId="13" xfId="0" applyFont="1" applyFill="1" applyBorder="1" applyAlignment="1">
      <alignment horizontal="left" vertical="center" wrapText="1" indent="1"/>
    </xf>
    <xf numFmtId="0" fontId="29" fillId="0" borderId="78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165" fontId="29" fillId="0" borderId="3" xfId="0" applyNumberFormat="1" applyFont="1" applyFill="1" applyBorder="1" applyAlignment="1">
      <alignment horizontal="center" vertical="center" wrapText="1"/>
    </xf>
    <xf numFmtId="3" fontId="29" fillId="0" borderId="82" xfId="0" applyNumberFormat="1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3" fontId="17" fillId="0" borderId="66" xfId="0" applyNumberFormat="1" applyFont="1" applyFill="1" applyBorder="1" applyAlignment="1">
      <alignment horizontal="center" vertical="center"/>
    </xf>
    <xf numFmtId="0" fontId="33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8" fillId="0" borderId="1" xfId="0" applyFont="1" applyFill="1" applyBorder="1"/>
    <xf numFmtId="0" fontId="10" fillId="0" borderId="0" xfId="0" applyFont="1" applyFill="1" applyBorder="1"/>
    <xf numFmtId="0" fontId="10" fillId="0" borderId="86" xfId="0" applyFont="1" applyFill="1" applyBorder="1"/>
    <xf numFmtId="0" fontId="10" fillId="0" borderId="0" xfId="0" applyFont="1" applyFill="1"/>
    <xf numFmtId="0" fontId="12" fillId="0" borderId="1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 wrapText="1"/>
    </xf>
    <xf numFmtId="165" fontId="29" fillId="0" borderId="7" xfId="0" applyNumberFormat="1" applyFont="1" applyFill="1" applyBorder="1" applyAlignment="1">
      <alignment horizontal="center" vertical="center" wrapText="1"/>
    </xf>
    <xf numFmtId="3" fontId="29" fillId="0" borderId="24" xfId="0" applyNumberFormat="1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65" fontId="29" fillId="0" borderId="1" xfId="0" applyNumberFormat="1" applyFont="1" applyFill="1" applyBorder="1" applyAlignment="1">
      <alignment horizontal="center" vertical="center" wrapText="1"/>
    </xf>
    <xf numFmtId="3" fontId="29" fillId="0" borderId="26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6" fontId="39" fillId="0" borderId="0" xfId="0" applyNumberFormat="1" applyFont="1" applyFill="1" applyBorder="1" applyAlignment="1">
      <alignment horizontal="center" vertical="center"/>
    </xf>
    <xf numFmtId="165" fontId="28" fillId="0" borderId="0" xfId="0" applyNumberFormat="1" applyFont="1" applyFill="1" applyAlignment="1">
      <alignment horizontal="center"/>
    </xf>
    <xf numFmtId="165" fontId="0" fillId="0" borderId="0" xfId="0" applyNumberFormat="1" applyFill="1" applyAlignment="1"/>
    <xf numFmtId="165" fontId="28" fillId="0" borderId="0" xfId="0" applyNumberFormat="1" applyFont="1" applyFill="1" applyAlignment="1"/>
    <xf numFmtId="3" fontId="19" fillId="0" borderId="30" xfId="0" applyNumberFormat="1" applyFont="1" applyFill="1" applyBorder="1" applyAlignment="1"/>
    <xf numFmtId="168" fontId="0" fillId="0" borderId="30" xfId="0" applyNumberFormat="1" applyFill="1" applyBorder="1" applyAlignment="1">
      <alignment horizontal="left"/>
    </xf>
    <xf numFmtId="0" fontId="0" fillId="0" borderId="30" xfId="0" applyFill="1" applyBorder="1"/>
    <xf numFmtId="0" fontId="0" fillId="0" borderId="19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0" fontId="0" fillId="0" borderId="13" xfId="0" applyFill="1" applyBorder="1"/>
    <xf numFmtId="0" fontId="22" fillId="0" borderId="47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50" xfId="0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170" fontId="0" fillId="0" borderId="55" xfId="7" applyNumberFormat="1" applyFont="1" applyFill="1" applyBorder="1" applyAlignment="1" applyProtection="1">
      <alignment horizontal="center" vertical="center"/>
    </xf>
    <xf numFmtId="170" fontId="24" fillId="0" borderId="57" xfId="0" applyNumberFormat="1" applyFont="1" applyFill="1" applyBorder="1" applyAlignment="1">
      <alignment horizontal="center" vertical="center"/>
    </xf>
    <xf numFmtId="165" fontId="0" fillId="0" borderId="13" xfId="0" applyNumberFormat="1" applyFill="1" applyBorder="1"/>
    <xf numFmtId="165" fontId="0" fillId="0" borderId="36" xfId="0" applyNumberFormat="1" applyFill="1" applyBorder="1"/>
    <xf numFmtId="165" fontId="0" fillId="0" borderId="46" xfId="7" applyNumberFormat="1" applyFont="1" applyFill="1" applyBorder="1" applyAlignment="1" applyProtection="1">
      <alignment horizontal="center" vertical="center"/>
    </xf>
    <xf numFmtId="165" fontId="0" fillId="0" borderId="51" xfId="7" applyNumberFormat="1" applyFont="1" applyFill="1" applyBorder="1" applyAlignment="1" applyProtection="1">
      <alignment horizontal="center" vertical="center"/>
    </xf>
    <xf numFmtId="165" fontId="0" fillId="0" borderId="55" xfId="7" applyNumberFormat="1" applyFont="1" applyFill="1" applyBorder="1" applyAlignment="1" applyProtection="1">
      <alignment horizontal="center" vertical="center"/>
    </xf>
    <xf numFmtId="165" fontId="24" fillId="0" borderId="57" xfId="0" applyNumberFormat="1" applyFont="1" applyFill="1" applyBorder="1" applyAlignment="1">
      <alignment horizontal="center" vertical="center"/>
    </xf>
    <xf numFmtId="0" fontId="24" fillId="0" borderId="72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left" vertical="center"/>
    </xf>
    <xf numFmtId="0" fontId="24" fillId="0" borderId="74" xfId="0" applyFont="1" applyFill="1" applyBorder="1" applyAlignment="1">
      <alignment horizontal="center" vertical="center"/>
    </xf>
    <xf numFmtId="0" fontId="24" fillId="0" borderId="75" xfId="0" applyFont="1" applyFill="1" applyBorder="1" applyAlignment="1">
      <alignment horizontal="center" vertical="center"/>
    </xf>
    <xf numFmtId="170" fontId="0" fillId="0" borderId="70" xfId="7" applyNumberFormat="1" applyFont="1" applyFill="1" applyBorder="1" applyAlignment="1" applyProtection="1">
      <alignment horizontal="center" vertical="center"/>
    </xf>
    <xf numFmtId="0" fontId="40" fillId="0" borderId="8" xfId="21" applyFont="1" applyBorder="1"/>
    <xf numFmtId="0" fontId="1" fillId="0" borderId="30" xfId="21" applyBorder="1"/>
    <xf numFmtId="0" fontId="1" fillId="0" borderId="61" xfId="21" applyBorder="1"/>
    <xf numFmtId="0" fontId="2" fillId="0" borderId="19" xfId="21" applyFont="1" applyBorder="1"/>
    <xf numFmtId="0" fontId="1" fillId="0" borderId="13" xfId="21" applyBorder="1"/>
    <xf numFmtId="0" fontId="2" fillId="0" borderId="59" xfId="21" applyFont="1" applyBorder="1"/>
    <xf numFmtId="0" fontId="1" fillId="0" borderId="60" xfId="21" applyBorder="1" applyAlignment="1">
      <alignment wrapText="1"/>
    </xf>
    <xf numFmtId="0" fontId="1" fillId="0" borderId="62" xfId="21" applyBorder="1" applyAlignment="1">
      <alignment wrapText="1"/>
    </xf>
    <xf numFmtId="0" fontId="1" fillId="0" borderId="13" xfId="21" applyBorder="1" applyAlignment="1">
      <alignment wrapText="1"/>
    </xf>
    <xf numFmtId="0" fontId="1" fillId="0" borderId="0" xfId="21" applyBorder="1"/>
    <xf numFmtId="0" fontId="2" fillId="0" borderId="0" xfId="21" applyFont="1" applyBorder="1"/>
    <xf numFmtId="0" fontId="1" fillId="0" borderId="0" xfId="21" applyBorder="1" applyAlignment="1">
      <alignment wrapText="1"/>
    </xf>
    <xf numFmtId="0" fontId="2" fillId="0" borderId="0" xfId="21" applyFont="1" applyBorder="1" applyAlignment="1">
      <alignment vertical="center" wrapText="1"/>
    </xf>
    <xf numFmtId="0" fontId="2" fillId="0" borderId="0" xfId="21" applyFont="1" applyBorder="1" applyAlignment="1">
      <alignment vertical="center"/>
    </xf>
    <xf numFmtId="0" fontId="2" fillId="0" borderId="19" xfId="21" applyFont="1" applyBorder="1" applyAlignment="1">
      <alignment vertical="center"/>
    </xf>
    <xf numFmtId="0" fontId="2" fillId="0" borderId="13" xfId="21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3" fillId="0" borderId="30" xfId="5" applyFont="1" applyFill="1" applyBorder="1" applyAlignment="1">
      <alignment horizontal="left" vertical="center" wrapText="1"/>
    </xf>
    <xf numFmtId="0" fontId="3" fillId="0" borderId="61" xfId="5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 indent="1"/>
    </xf>
    <xf numFmtId="0" fontId="11" fillId="0" borderId="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 wrapText="1" indent="1"/>
    </xf>
    <xf numFmtId="0" fontId="15" fillId="0" borderId="22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left" vertical="center" wrapText="1"/>
    </xf>
    <xf numFmtId="0" fontId="15" fillId="0" borderId="21" xfId="0" applyFont="1" applyFill="1" applyBorder="1" applyAlignment="1">
      <alignment horizontal="center" vertical="center" wrapText="1"/>
    </xf>
    <xf numFmtId="165" fontId="15" fillId="0" borderId="21" xfId="0" applyNumberFormat="1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/>
    </xf>
    <xf numFmtId="0" fontId="29" fillId="0" borderId="63" xfId="0" applyFont="1" applyFill="1" applyBorder="1" applyAlignment="1">
      <alignment horizontal="left" vertical="center" wrapText="1"/>
    </xf>
    <xf numFmtId="0" fontId="29" fillId="0" borderId="64" xfId="0" applyFont="1" applyFill="1" applyBorder="1" applyAlignment="1">
      <alignment horizontal="left" vertical="center" wrapText="1"/>
    </xf>
    <xf numFmtId="0" fontId="29" fillId="0" borderId="4" xfId="0" applyFont="1" applyFill="1" applyBorder="1" applyAlignment="1">
      <alignment horizontal="left" vertical="center" wrapText="1"/>
    </xf>
    <xf numFmtId="165" fontId="0" fillId="0" borderId="30" xfId="0" applyNumberFormat="1" applyFill="1" applyBorder="1" applyAlignment="1">
      <alignment horizontal="center"/>
    </xf>
    <xf numFmtId="0" fontId="18" fillId="0" borderId="15" xfId="0" applyFont="1" applyFill="1" applyBorder="1" applyAlignment="1">
      <alignment horizontal="left" vertical="center" wrapText="1" indent="1"/>
    </xf>
    <xf numFmtId="166" fontId="13" fillId="0" borderId="15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9" fillId="0" borderId="79" xfId="0" applyFont="1" applyFill="1" applyBorder="1" applyAlignment="1">
      <alignment horizontal="left" vertical="center" wrapText="1"/>
    </xf>
    <xf numFmtId="0" fontId="29" fillId="0" borderId="80" xfId="0" applyFont="1" applyFill="1" applyBorder="1" applyAlignment="1">
      <alignment horizontal="left" vertical="center" wrapText="1"/>
    </xf>
    <xf numFmtId="0" fontId="29" fillId="0" borderId="81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 wrapText="1"/>
    </xf>
    <xf numFmtId="165" fontId="15" fillId="0" borderId="83" xfId="0" applyNumberFormat="1" applyFont="1" applyFill="1" applyBorder="1" applyAlignment="1">
      <alignment horizontal="center" vertical="center" wrapText="1"/>
    </xf>
    <xf numFmtId="166" fontId="14" fillId="0" borderId="15" xfId="0" applyNumberFormat="1" applyFont="1" applyFill="1" applyBorder="1" applyAlignment="1">
      <alignment horizontal="center" vertical="center"/>
    </xf>
    <xf numFmtId="0" fontId="22" fillId="0" borderId="34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center"/>
    </xf>
    <xf numFmtId="3" fontId="19" fillId="0" borderId="29" xfId="0" applyNumberFormat="1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 wrapText="1"/>
    </xf>
    <xf numFmtId="0" fontId="21" fillId="0" borderId="31" xfId="0" applyFont="1" applyFill="1" applyBorder="1"/>
    <xf numFmtId="0" fontId="22" fillId="0" borderId="32" xfId="0" applyFont="1" applyFill="1" applyBorder="1" applyAlignment="1">
      <alignment horizontal="left" indent="1"/>
    </xf>
    <xf numFmtId="0" fontId="17" fillId="0" borderId="31" xfId="0" applyFont="1" applyFill="1" applyBorder="1" applyAlignment="1">
      <alignment horizontal="left" vertical="center" wrapText="1"/>
    </xf>
    <xf numFmtId="0" fontId="23" fillId="0" borderId="33" xfId="0" applyFont="1" applyFill="1" applyBorder="1" applyAlignment="1">
      <alignment horizontal="left"/>
    </xf>
    <xf numFmtId="0" fontId="0" fillId="0" borderId="50" xfId="0" applyFont="1" applyFill="1" applyBorder="1" applyAlignment="1">
      <alignment horizontal="center" vertical="center"/>
    </xf>
    <xf numFmtId="49" fontId="22" fillId="0" borderId="35" xfId="0" applyNumberFormat="1" applyFont="1" applyFill="1" applyBorder="1" applyAlignment="1">
      <alignment horizontal="justify" vertical="center" wrapText="1"/>
    </xf>
    <xf numFmtId="0" fontId="24" fillId="0" borderId="34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7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left" vertical="center" wrapText="1"/>
    </xf>
    <xf numFmtId="0" fontId="0" fillId="0" borderId="67" xfId="0" applyFont="1" applyFill="1" applyBorder="1" applyAlignment="1">
      <alignment horizontal="left" vertical="center" wrapText="1"/>
    </xf>
    <xf numFmtId="0" fontId="0" fillId="0" borderId="68" xfId="0" applyFont="1" applyFill="1" applyBorder="1" applyAlignment="1">
      <alignment horizontal="left" vertical="center" wrapText="1"/>
    </xf>
    <xf numFmtId="0" fontId="0" fillId="0" borderId="67" xfId="0" applyFill="1" applyBorder="1" applyAlignment="1">
      <alignment horizontal="left"/>
    </xf>
    <xf numFmtId="0" fontId="0" fillId="0" borderId="68" xfId="0" applyFill="1" applyBorder="1" applyAlignment="1">
      <alignment horizontal="left"/>
    </xf>
    <xf numFmtId="0" fontId="0" fillId="0" borderId="50" xfId="0" applyFont="1" applyFill="1" applyBorder="1" applyAlignment="1">
      <alignment horizontal="left" vertical="center"/>
    </xf>
    <xf numFmtId="0" fontId="19" fillId="0" borderId="15" xfId="0" applyFont="1" applyFill="1" applyBorder="1" applyAlignment="1">
      <alignment vertical="center" wrapText="1"/>
    </xf>
    <xf numFmtId="0" fontId="22" fillId="0" borderId="38" xfId="0" applyFont="1" applyFill="1" applyBorder="1" applyAlignment="1">
      <alignment vertical="center" wrapText="1"/>
    </xf>
    <xf numFmtId="0" fontId="22" fillId="0" borderId="27" xfId="0" applyFont="1" applyFill="1" applyBorder="1" applyAlignment="1">
      <alignment horizontal="left" vertical="center" wrapText="1" indent="1"/>
    </xf>
    <xf numFmtId="0" fontId="0" fillId="0" borderId="50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9" fillId="0" borderId="56" xfId="0" applyFont="1" applyFill="1" applyBorder="1" applyAlignment="1">
      <alignment horizontal="left" vertical="center" wrapText="1"/>
    </xf>
    <xf numFmtId="0" fontId="0" fillId="0" borderId="34" xfId="0" applyFill="1" applyBorder="1"/>
    <xf numFmtId="165" fontId="0" fillId="0" borderId="0" xfId="0" applyNumberFormat="1" applyFill="1" applyAlignment="1">
      <alignment horizontal="center"/>
    </xf>
    <xf numFmtId="165" fontId="24" fillId="0" borderId="38" xfId="0" applyNumberFormat="1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24" fillId="0" borderId="71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4" fillId="0" borderId="77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left" vertical="center" wrapText="1"/>
    </xf>
    <xf numFmtId="0" fontId="0" fillId="0" borderId="69" xfId="0" applyFont="1" applyFill="1" applyBorder="1" applyAlignment="1">
      <alignment horizontal="left" vertical="center" wrapText="1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%20unidad\COMPARTIDA\DIRECCION%20DE%20PLANIFICACION\DOCUMENTACION\Mario\Pases%20a%20Compras%20Consolidados\Descartables\1er%20Trimestre%202022\ANTISEPTICOS%20m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10">
          <cell r="H10" t="str">
            <v>ACIDOS; COMPUESTO QUIMICO: AC. ACETICO; ESTADO SOLIDO; CALIDAD: FARMACEUTICA; CONCENTRACION/PUREZA 25/30%; PRESENTACION: 5KG</v>
          </cell>
          <cell r="I10">
            <v>251</v>
          </cell>
          <cell r="K10" t="str">
            <v>BIDON</v>
          </cell>
          <cell r="M10">
            <v>3300</v>
          </cell>
        </row>
        <row r="11">
          <cell r="H11" t="str">
            <v>DESINFECTANTES Y DETERGENTES; PRINCIPIO ACTIVO: AC. PERACETICO, CALIDAD: COMERCIAL, CONCENTRACION/PUREZA: 3 %, PRESENTACION: ENVASE X 5 L</v>
          </cell>
          <cell r="I11">
            <v>251</v>
          </cell>
          <cell r="J11" t="str">
            <v>Para desinfeccion de alto poder/Esterilizacion en frio del material quirurgico,material de endoscopia, mat termosensible y dispositivos medicos.Ausencia de vapor.formulado sin acido acetico, PH Neutro, espectro completo en 5 min.Tipo ANIOXIDE 1000</v>
          </cell>
          <cell r="K11" t="str">
            <v>BIDON</v>
          </cell>
          <cell r="M11">
            <v>9100</v>
          </cell>
        </row>
        <row r="12">
          <cell r="H12" t="str">
            <v>ACIDOS; COMPUESTO QUIMICO: AC. CITRICO, ESTADO: SOLIDO, CALIDAD: BIOLOGIA MOLECULAR, CONCENTRACION/PUREZA: 99,99 %, PRESENTACION: ENVASE X 1 Kg</v>
          </cell>
          <cell r="I12">
            <v>251</v>
          </cell>
          <cell r="K12" t="str">
            <v>UNIDAD</v>
          </cell>
          <cell r="M12">
            <v>1560</v>
          </cell>
        </row>
        <row r="13">
          <cell r="H13" t="str">
            <v>AGUA OXIGENADA; CAPACIDAD: 1000 CM3, VOLUMEN: 10, PRESENTACION: ENVASE X 1000 CM3</v>
          </cell>
          <cell r="I13">
            <v>252</v>
          </cell>
          <cell r="K13" t="str">
            <v>BOTELLA</v>
          </cell>
          <cell r="M13">
            <v>128.59</v>
          </cell>
        </row>
        <row r="14">
          <cell r="H14" t="str">
            <v>ALCOHOL USO MEDICINAL; PUREZA: 70 %, PRESENTACION: ENVASE X 1 L</v>
          </cell>
          <cell r="I14">
            <v>252</v>
          </cell>
          <cell r="K14" t="str">
            <v>BOTELLA</v>
          </cell>
          <cell r="M14">
            <v>189</v>
          </cell>
        </row>
        <row r="15">
          <cell r="H15" t="str">
            <v>ALCOHOL USO MEDICINAL; PUREZA: 70 %, PRESENTACION: ENVASE X 500 mL</v>
          </cell>
          <cell r="I15">
            <v>252</v>
          </cell>
          <cell r="K15" t="str">
            <v>BOTELLA</v>
          </cell>
          <cell r="M15">
            <v>109</v>
          </cell>
        </row>
        <row r="16">
          <cell r="H16" t="str">
            <v>ALCOHOL USO MEDICINAL; PUREZA: 96 %, PRESENTACION: ENVASE X 500 CM3, CAPACIDAD: 500 CM3</v>
          </cell>
          <cell r="I16">
            <v>252</v>
          </cell>
          <cell r="K16" t="str">
            <v>BOTELLA</v>
          </cell>
          <cell r="M16">
            <v>108</v>
          </cell>
        </row>
        <row r="17">
          <cell r="H17" t="str">
            <v>ALCOHOL USO MEDICINAL; PUREZA: 96 %, PRESENTACION: ENVASE X 1000 CM3</v>
          </cell>
          <cell r="I17">
            <v>252</v>
          </cell>
          <cell r="K17" t="str">
            <v>BOTELLA</v>
          </cell>
          <cell r="M17">
            <v>201</v>
          </cell>
        </row>
        <row r="18">
          <cell r="H18" t="str">
            <v>ALCOHOL USO MEDICINAL; PUREZA: 70 %, PRESENTACION: GEL ENVASE X 250 CM3</v>
          </cell>
          <cell r="I18">
            <v>252</v>
          </cell>
          <cell r="K18" t="str">
            <v>UNIDAD</v>
          </cell>
          <cell r="M18">
            <v>158</v>
          </cell>
        </row>
        <row r="19">
          <cell r="H19" t="str">
            <v>ALCOHOL USO MEDICINAL; PUREZA: 70 %, PRESENTACION: GEL ENVASE X 500</v>
          </cell>
          <cell r="I19">
            <v>252</v>
          </cell>
          <cell r="K19" t="str">
            <v>UNIDAD</v>
          </cell>
          <cell r="M19">
            <v>298</v>
          </cell>
        </row>
        <row r="20">
          <cell r="H20" t="str">
            <v>ANTISEPTICOS LOCALES P/PERSONA; TIPO: DESINFECTANTE, DROGA GENERICA: ALCOHOL YODADO, FORMA FARMACEUTICA: SOLUCION, PRESENTACION: ENVASE X 1000 mL</v>
          </cell>
          <cell r="I20">
            <v>252</v>
          </cell>
          <cell r="J20" t="str">
            <v>concentracion ALCOHOL IODADO 2%</v>
          </cell>
          <cell r="K20" t="str">
            <v>BOTELLA</v>
          </cell>
          <cell r="M20">
            <v>1200</v>
          </cell>
        </row>
        <row r="21">
          <cell r="H21" t="str">
            <v>DESINFECTANTES Y DETERGENTES; PRINCIPIO ACTIVO: AMONIO CUATERNARIO, CALIDAD: COMERCIAL, CONCENTRACION/PUREZA: 99 %, PRESENTACION: ENVASE X 5 L</v>
          </cell>
          <cell r="I21">
            <v>251</v>
          </cell>
          <cell r="J21" t="str">
            <v>USO HOSPITALARIO. Limpiador para areas criticas en base a amonios cuaternarios de 4TA Generacion.Dilucion 2,5 ml/ litro .Aprobacion ANMAT</v>
          </cell>
          <cell r="K21" t="str">
            <v>BIDON</v>
          </cell>
          <cell r="M21">
            <v>9229.2000000000007</v>
          </cell>
        </row>
        <row r="22">
          <cell r="H22" t="str">
            <v>ANTISEPTICOS LOCALES P/PERSONA; TIPO: ASOCIACION, DROGA GENERICA: 2% CLORHEXIDINA+ALCOHOL, FORMA FARMACEUTICA: SOLUCION, PRESENTACION: ENVASE X 250 ML</v>
          </cell>
          <cell r="I22">
            <v>252</v>
          </cell>
          <cell r="K22" t="str">
            <v>FRASCO</v>
          </cell>
          <cell r="M22">
            <v>870</v>
          </cell>
        </row>
        <row r="23">
          <cell r="H23" t="str">
            <v>ANTISEPTICOS LOCALES P/PERSONA; TIPO: MONODROGA, DROGA GENERICA: CLORHEXIDINA AL 2%, FORMA FARMACEUTICA: SOLUCION ACUOSA, PRESENTACION: ENVASE X 250 ML</v>
          </cell>
          <cell r="I23">
            <v>252</v>
          </cell>
          <cell r="K23" t="str">
            <v>FRASCO</v>
          </cell>
          <cell r="M23">
            <v>630</v>
          </cell>
        </row>
        <row r="24">
          <cell r="H24" t="str">
            <v>ANTISEPTICOS LOCALES P/PERSONA; TIPO: MONODROGA, DROGA GENERICA: CLORHEXIDINA AL 4%, FORMA FARMACEUTICA: JABON MEDICINAL, PRESENTACION: ENVASE X 500 mL</v>
          </cell>
          <cell r="I24">
            <v>252</v>
          </cell>
          <cell r="K24" t="str">
            <v>FRASCO</v>
          </cell>
          <cell r="M24">
            <v>570</v>
          </cell>
        </row>
        <row r="25">
          <cell r="H25" t="str">
            <v>ANTISEPTICOS LOCALES P/PERSONA; TIPO: MONODROGA, DROGA GENERICA: CLOROXILENOL, FORMA FARMACEUTICA: SOLUCION, PRESENTACION: ENVASE X 5 L</v>
          </cell>
          <cell r="I25">
            <v>252</v>
          </cell>
          <cell r="K25" t="str">
            <v>BIDON</v>
          </cell>
          <cell r="M25">
            <v>4500</v>
          </cell>
        </row>
        <row r="26">
          <cell r="H26" t="str">
            <v>DESINFECTANTES Y DETERGENTES; PRINCIPIO ACTIVO: AMILASA, PROTEASA, LIPASA, CALIDAD: COMERCIAL, CONCENTRACION/PUREZA: 100 %, PRESENTACION: ENVASE X 5 L</v>
          </cell>
          <cell r="I26">
            <v>251</v>
          </cell>
          <cell r="J26" t="str">
            <v xml:space="preserve">Detergente trienzimatico (proteada, lipasa y amilasa). Concentración: 3 a 5 ml/litro. Libre de fenoles, Atoxico. Aprobación ANMAT. Proveer 1 válvula dosificadora cada 5 unidades. </v>
          </cell>
          <cell r="K26" t="str">
            <v>BIDON</v>
          </cell>
          <cell r="M26">
            <v>4900.5</v>
          </cell>
        </row>
        <row r="27">
          <cell r="H27" t="str">
            <v>SOLUCIONES P/MEDICINA; TIPO: FORMOL AL 40 %, PRESENTACION: ENVASE X 1 L</v>
          </cell>
          <cell r="I27">
            <v>251</v>
          </cell>
          <cell r="K27" t="str">
            <v>BOTELLA</v>
          </cell>
          <cell r="M27">
            <v>661</v>
          </cell>
        </row>
        <row r="28">
          <cell r="H28" t="str">
            <v>ANTISEPTICOS LOCALES P/PERSONA; TIPO: MONODROGA, DROGA GENERICA: IODOFORMADA AL 10% , FORMA FARMACEUTICA: GASA, PRESENTACION: DE 10X10, 15 UNIDADES POR PACK</v>
          </cell>
          <cell r="I28">
            <v>295</v>
          </cell>
          <cell r="K28" t="str">
            <v>CAJA</v>
          </cell>
          <cell r="M28">
            <v>950</v>
          </cell>
        </row>
        <row r="29">
          <cell r="H29" t="str">
            <v>DESINFECTANTES Y DETERGENTES; PRINCIPIO ACTIVO: GLUTARALDEHIDO CON SULFACTANTE, CALIDAD: BIOLOGIA MOLECULAR, CONCENTRACION/PUREZA: 2 %, PRESENTACION: ENVASE X 4 L</v>
          </cell>
          <cell r="I29">
            <v>251</v>
          </cell>
          <cell r="K29" t="str">
            <v>BIDON</v>
          </cell>
          <cell r="M29">
            <v>1680</v>
          </cell>
        </row>
        <row r="30">
          <cell r="H30" t="str">
            <v>ANTISEPTICOS LOCALES P/PERSONA; TIPO: MONODROGA, DROGA GENERICA: GLUTARALDEHIDO AL 2%, FORMA FARMACEUTICA: SOLUCION, PRESENTACION: ENVASE X 4 L</v>
          </cell>
          <cell r="I30">
            <v>251</v>
          </cell>
          <cell r="K30" t="str">
            <v>BIDON</v>
          </cell>
          <cell r="M30">
            <v>2600</v>
          </cell>
        </row>
        <row r="31">
          <cell r="H31" t="str">
            <v>ANTISEPTICOS LOCALES P/PERSONA; TIPO: MONODROGA, DROGA GENERICA: IODOPOVIDONA, FORMA FARMACEUTICA: SOLUCION, PRESENTACION: BIDON X 5 L</v>
          </cell>
          <cell r="I31">
            <v>252</v>
          </cell>
          <cell r="K31" t="str">
            <v>BIDON</v>
          </cell>
          <cell r="M31">
            <v>2250</v>
          </cell>
        </row>
        <row r="32">
          <cell r="H32" t="str">
            <v>ANTISEPTICOS LOCALES P/PERSONA; DROGA GENERICA: IODOPOVIDONA 10%, FORMA FARMACEUTICA: SOLUCION, PRESENTACION: ENVASE X 1 L, TIPO: MONODROGA</v>
          </cell>
          <cell r="I32">
            <v>252</v>
          </cell>
          <cell r="J32" t="str">
            <v>con valvula atomizadora</v>
          </cell>
          <cell r="K32" t="str">
            <v>BOTELLA</v>
          </cell>
          <cell r="M32">
            <v>573</v>
          </cell>
        </row>
        <row r="33">
          <cell r="H33" t="str">
            <v>ANTISEPTICOS LOCALES P/PERSONA; TIPO: MONODROGA, DROGA GENERICA: IODOPOVIDONA 5 %, FORMA FARMACEUTICA: JABON LIQUIDO, PRESENTACION: ENVASE X 1 L</v>
          </cell>
          <cell r="I33">
            <v>252</v>
          </cell>
          <cell r="J33" t="str">
            <v>con valvula atomizadora</v>
          </cell>
          <cell r="K33" t="str">
            <v>BOTELLA</v>
          </cell>
          <cell r="M33">
            <v>450</v>
          </cell>
        </row>
        <row r="34">
          <cell r="H34" t="str">
            <v>ANTISEPTICOS LOCALES P/PERSONA; TIPO: MONODROGA, DROGA GENERICA: IODOPOVIDONA 5 %, FORMA FARMACEUTICA: JABON LIQUIDO, PRESENTACION: ENVASE X 5 L</v>
          </cell>
          <cell r="I34">
            <v>252</v>
          </cell>
          <cell r="K34" t="str">
            <v>BIDON</v>
          </cell>
          <cell r="M34">
            <v>1520</v>
          </cell>
        </row>
        <row r="35">
          <cell r="H35" t="str">
            <v>ANTISEPTICOS LOCALES P/PERSONA; TIPO: ANTIBACTERIANO, DROGA GENERICA: CLORHEXIDINA, FORMA FARMACEUTICA: JABON LIQUIDO, PRESENTACION: ENVASE X 800 ML BAG IN BOX</v>
          </cell>
          <cell r="I35">
            <v>252</v>
          </cell>
          <cell r="J35" t="str">
            <v>Jabón Liquido Bactericida con clorhexidina. Ph Dérmico. Envase BAG IN BOX por 800 ml. Tipo JL9  ADOX.</v>
          </cell>
          <cell r="K35" t="str">
            <v>BAG IN BOX</v>
          </cell>
          <cell r="M35">
            <v>1420</v>
          </cell>
        </row>
        <row r="36">
          <cell r="H36" t="str">
            <v>ARTICULOS DE TOCADOR; TIPO: JABON LIQUIDO HIPOALERGENICO, PRESENTACION: ENVASE X 800 ML BAG IN BOX</v>
          </cell>
          <cell r="I36">
            <v>252</v>
          </cell>
          <cell r="J36" t="str">
            <v xml:space="preserve">Jabón Líquido hipoalergenico. Ph Dérmico. No contiene cloruro de sodio, ni parabenos. Envase BAG IN BOX por 800 ml.Tipo JL4  ADOX. </v>
          </cell>
          <cell r="K36" t="str">
            <v>BAG IN BOX</v>
          </cell>
          <cell r="M36">
            <v>1150</v>
          </cell>
        </row>
        <row r="37">
          <cell r="H37" t="str">
            <v>ANTISEPTICOS LOCALES P/PERSONA; TIPO: ANTIBACTERIANO, DROGA GENERICA: CLORHEXIDINA, FORMA FARMACEUTICA: LOCION ALCOHOLICA BACTERICIDA, PRESENTACION: ENVASE X 800 ML BAG IN BOX</v>
          </cell>
          <cell r="I37">
            <v>252</v>
          </cell>
          <cell r="J37" t="str">
            <v>Loción alcohólica bactericida con clorhexidina + emolientes y suavizantes. Envase BAG IN BOX por 800 ml. Tipo L 9 ADOX.</v>
          </cell>
          <cell r="K37" t="str">
            <v>BAG IN BOX</v>
          </cell>
          <cell r="M37">
            <v>1270.5</v>
          </cell>
        </row>
        <row r="38">
          <cell r="H38" t="str">
            <v>ARTICULOS DE TOCADOR; TIPO:LOCION ALCOHOLICA 70% BACTERICIDA, PRESENTACION: ENVASE X 800 ML BAG IN BOX</v>
          </cell>
          <cell r="I38">
            <v>252</v>
          </cell>
          <cell r="J38" t="str">
            <v xml:space="preserve">Loción alcohólica bactericida con emolientes y suavizantes. Envase BAG IN BOX por 800 ml. Tipo L 7 ADOX. </v>
          </cell>
          <cell r="K38" t="str">
            <v>BAG IN BOX</v>
          </cell>
          <cell r="M38">
            <v>955.9</v>
          </cell>
        </row>
        <row r="39">
          <cell r="H39" t="str">
            <v>DESINFECTANTES; PRINCIPIO ACTIVO: MONOPERSUFATO DE POTASIO, CONTROL: BACTERIAS, HONGOS, VIRUS, PRESENTACION: ENVASE X 20 G</v>
          </cell>
          <cell r="I39">
            <v>251</v>
          </cell>
          <cell r="K39" t="str">
            <v>SOBRE</v>
          </cell>
          <cell r="M39">
            <v>199.65</v>
          </cell>
        </row>
        <row r="40">
          <cell r="H40" t="str">
            <v>ANTISEPTICOS LOCALES P/PERSONA; TIPO: MONODROGA, DROGA GENERICA: NITROFURAZONA, FORMA FARMACEUTICA: SOLUCION, PRESENTACION: FRASCO X 1 L</v>
          </cell>
          <cell r="I40">
            <v>252</v>
          </cell>
          <cell r="K40" t="str">
            <v>BOTELLA</v>
          </cell>
          <cell r="M40">
            <v>859</v>
          </cell>
        </row>
        <row r="41">
          <cell r="H41" t="str">
            <v>ANTISEPTICOS LOCALES P/PERSONA; TIPO: MONODROGA, DROGA GENERICA: ORTOFTALDEHIDO, FORMA FARMACEUTICA: SOLUCION, PRESENTACION: ENVASE X 5 L</v>
          </cell>
          <cell r="I41">
            <v>251</v>
          </cell>
          <cell r="K41" t="str">
            <v>BIDON</v>
          </cell>
          <cell r="M41">
            <v>8900</v>
          </cell>
        </row>
        <row r="42">
          <cell r="H42" t="str">
            <v>ANTISEPTICOS P/MATERIALES; TIPO: ASOCIACION, DROGA GENERICA: PEROXIDO DE HIDROGENO+ ACIDO PERACETICO, FORMA FARMACEUTICA: SOLUCION, PRESENTACION: ENVASE X 5LT, USO: EQUIPO</v>
          </cell>
          <cell r="I42">
            <v>251</v>
          </cell>
          <cell r="K42" t="str">
            <v>BIDON</v>
          </cell>
          <cell r="M42">
            <v>1880</v>
          </cell>
        </row>
        <row r="43">
          <cell r="H43" t="str">
            <v>ANTISEPTICOS LOCALES P/PERSONA; TIPO: MONODROGA, DROGA GENERICA: TINTURA DE IODO FUERTE, FORMA FARMACEUTICA: SOLUCION, PRESENTACION: ENVASE X 1 L</v>
          </cell>
          <cell r="I43">
            <v>252</v>
          </cell>
          <cell r="K43" t="str">
            <v>BOTELLA</v>
          </cell>
          <cell r="M43">
            <v>989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C42"/>
  <sheetViews>
    <sheetView tabSelected="1" topLeftCell="D1" zoomScaleNormal="100" workbookViewId="0">
      <selection activeCell="J14" sqref="J14"/>
    </sheetView>
  </sheetViews>
  <sheetFormatPr baseColWidth="10" defaultRowHeight="15" x14ac:dyDescent="0.25"/>
  <cols>
    <col min="1" max="1" width="7.42578125" style="95" bestFit="1" customWidth="1"/>
    <col min="2" max="2" width="17.5703125" style="95" bestFit="1" customWidth="1"/>
    <col min="3" max="3" width="36" style="95" customWidth="1"/>
    <col min="4" max="4" width="10.140625" style="95" bestFit="1" customWidth="1"/>
    <col min="5" max="5" width="90" style="96" bestFit="1" customWidth="1"/>
    <col min="6" max="6" width="15.140625" style="95" bestFit="1" customWidth="1"/>
    <col min="7" max="7" width="15" style="97" bestFit="1" customWidth="1"/>
    <col min="8" max="8" width="15" style="98" bestFit="1" customWidth="1"/>
    <col min="9" max="9" width="20.85546875" style="98" bestFit="1" customWidth="1"/>
    <col min="10" max="10" width="53.7109375" style="45" bestFit="1" customWidth="1"/>
    <col min="11" max="11" width="3.85546875" style="4" customWidth="1"/>
    <col min="12" max="12" width="61.140625" style="25" bestFit="1" customWidth="1"/>
    <col min="13" max="13" width="166.85546875" style="25" bestFit="1" customWidth="1"/>
    <col min="14" max="14" width="10.28515625" style="25" bestFit="1" customWidth="1"/>
    <col min="15" max="15" width="4" style="25" bestFit="1" customWidth="1"/>
    <col min="16" max="16" width="10.28515625" style="25" bestFit="1" customWidth="1"/>
    <col min="17" max="17" width="10.5703125" style="25" bestFit="1" customWidth="1"/>
    <col min="18" max="18" width="10.28515625" style="25" bestFit="1" customWidth="1"/>
    <col min="19" max="19" width="10.42578125" style="25" bestFit="1" customWidth="1"/>
    <col min="20" max="20" width="10.28515625" style="25" bestFit="1" customWidth="1"/>
    <col min="21" max="21" width="6.140625" style="25" bestFit="1" customWidth="1"/>
  </cols>
  <sheetData>
    <row r="1" spans="1:21" x14ac:dyDescent="0.25">
      <c r="A1" s="52">
        <v>2022</v>
      </c>
      <c r="B1" s="53"/>
      <c r="C1" s="54"/>
      <c r="D1" s="54"/>
      <c r="E1" s="55"/>
      <c r="F1" s="54"/>
      <c r="G1" s="56"/>
      <c r="H1" s="58"/>
      <c r="I1" s="57"/>
    </row>
    <row r="2" spans="1:21" s="16" customFormat="1" ht="18.75" x14ac:dyDescent="0.3">
      <c r="A2" s="59"/>
      <c r="B2" s="215" t="s">
        <v>0</v>
      </c>
      <c r="C2" s="215"/>
      <c r="D2" s="215"/>
      <c r="E2" s="215"/>
      <c r="F2" s="215"/>
      <c r="G2" s="215"/>
      <c r="H2" s="215"/>
      <c r="I2" s="60"/>
      <c r="J2" s="46"/>
      <c r="K2" s="21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1:21" x14ac:dyDescent="0.25">
      <c r="A3" s="54"/>
      <c r="B3" s="53"/>
      <c r="C3" s="54"/>
      <c r="D3" s="54"/>
      <c r="E3" s="55"/>
      <c r="F3" s="54"/>
      <c r="G3" s="56"/>
      <c r="H3" s="58"/>
      <c r="I3" s="57"/>
    </row>
    <row r="4" spans="1:21" x14ac:dyDescent="0.25">
      <c r="A4" s="214" t="s">
        <v>1</v>
      </c>
      <c r="B4" s="214"/>
      <c r="C4" s="8" t="s">
        <v>2</v>
      </c>
      <c r="D4" s="8"/>
      <c r="E4" s="8"/>
      <c r="F4" s="61"/>
      <c r="G4" s="62"/>
      <c r="H4" s="58"/>
      <c r="I4" s="57"/>
    </row>
    <row r="5" spans="1:21" ht="15" customHeight="1" x14ac:dyDescent="0.25">
      <c r="A5" s="214" t="s">
        <v>3</v>
      </c>
      <c r="B5" s="214"/>
      <c r="C5" s="8" t="s">
        <v>4</v>
      </c>
      <c r="D5" s="8"/>
      <c r="E5" s="8"/>
      <c r="F5" s="61"/>
      <c r="G5" s="62"/>
      <c r="H5" s="58"/>
      <c r="I5" s="57"/>
    </row>
    <row r="6" spans="1:21" x14ac:dyDescent="0.25">
      <c r="A6" s="214" t="s">
        <v>5</v>
      </c>
      <c r="B6" s="214"/>
      <c r="C6" s="9">
        <v>2022</v>
      </c>
      <c r="D6" s="10"/>
      <c r="E6" s="9"/>
      <c r="F6" s="61"/>
      <c r="G6" s="62"/>
      <c r="H6" s="58"/>
      <c r="I6" s="57"/>
    </row>
    <row r="7" spans="1:21" x14ac:dyDescent="0.25">
      <c r="A7" s="214" t="s">
        <v>6</v>
      </c>
      <c r="B7" s="214"/>
      <c r="C7" s="9" t="s">
        <v>7</v>
      </c>
      <c r="D7" s="10"/>
      <c r="E7" s="9"/>
      <c r="F7" s="61"/>
      <c r="G7" s="62"/>
      <c r="H7" s="58"/>
      <c r="I7" s="57"/>
    </row>
    <row r="8" spans="1:21" x14ac:dyDescent="0.25">
      <c r="A8" s="54"/>
      <c r="B8" s="61"/>
      <c r="C8" s="61"/>
      <c r="D8" s="61"/>
      <c r="E8" s="63"/>
      <c r="F8" s="61"/>
      <c r="G8" s="62"/>
      <c r="H8" s="58"/>
      <c r="I8" s="57"/>
    </row>
    <row r="9" spans="1:21" ht="38.25" x14ac:dyDescent="0.25">
      <c r="A9" s="64" t="s">
        <v>8</v>
      </c>
      <c r="B9" s="64" t="s">
        <v>9</v>
      </c>
      <c r="C9" s="65" t="s">
        <v>10</v>
      </c>
      <c r="D9" s="64" t="s">
        <v>11</v>
      </c>
      <c r="E9" s="66" t="s">
        <v>12</v>
      </c>
      <c r="F9" s="65" t="s">
        <v>13</v>
      </c>
      <c r="G9" s="67" t="s">
        <v>14</v>
      </c>
      <c r="H9" s="68" t="s">
        <v>15</v>
      </c>
      <c r="I9" s="69" t="s">
        <v>16</v>
      </c>
      <c r="J9" s="1" t="s">
        <v>17</v>
      </c>
      <c r="K9" s="22"/>
      <c r="L9" s="134" t="s">
        <v>121</v>
      </c>
      <c r="M9" s="65" t="s">
        <v>12</v>
      </c>
      <c r="N9" s="135"/>
      <c r="O9" s="65" t="s">
        <v>120</v>
      </c>
      <c r="P9" s="135"/>
      <c r="Q9" s="65" t="s">
        <v>13</v>
      </c>
      <c r="R9" s="135"/>
      <c r="S9" s="68" t="s">
        <v>15</v>
      </c>
      <c r="T9" s="135"/>
      <c r="U9" s="135"/>
    </row>
    <row r="10" spans="1:21" s="2" customFormat="1" ht="25.5" customHeight="1" x14ac:dyDescent="0.25">
      <c r="A10" s="70">
        <v>1</v>
      </c>
      <c r="B10" s="70" t="s">
        <v>92</v>
      </c>
      <c r="C10" s="71" t="s">
        <v>93</v>
      </c>
      <c r="D10" s="70">
        <v>252</v>
      </c>
      <c r="E10" s="72" t="s">
        <v>94</v>
      </c>
      <c r="F10" s="70" t="s">
        <v>21</v>
      </c>
      <c r="G10" s="74">
        <v>1030</v>
      </c>
      <c r="H10" s="73">
        <v>128.59</v>
      </c>
      <c r="I10" s="75">
        <f t="shared" ref="I10" si="0">+G10*H10</f>
        <v>132447.70000000001</v>
      </c>
      <c r="J10" s="47"/>
      <c r="K10" s="18"/>
      <c r="L10" s="136"/>
      <c r="M10" s="137" t="s">
        <v>94</v>
      </c>
      <c r="N10" s="71" t="b">
        <f>E10=M10</f>
        <v>1</v>
      </c>
      <c r="O10" s="71">
        <f>+VLOOKUP(E10,'[1]Necesidades Trimestrales'!$H$10:$I$43,2,0)</f>
        <v>252</v>
      </c>
      <c r="P10" s="71" t="b">
        <f>O10=D10</f>
        <v>1</v>
      </c>
      <c r="Q10" s="71" t="str">
        <f>+VLOOKUP(E10,'[1]Necesidades Trimestrales'!$H$10:$K$43,4,0)</f>
        <v>BOTELLA</v>
      </c>
      <c r="R10" s="71" t="b">
        <f>Q10=F10</f>
        <v>1</v>
      </c>
      <c r="S10" s="76">
        <f>+VLOOKUP(E10,'[1]Necesidades Trimestrales'!$H$10:$M$43,6,0)</f>
        <v>128.59</v>
      </c>
      <c r="T10" s="71" t="b">
        <f>S10=H10</f>
        <v>1</v>
      </c>
      <c r="U10" s="76">
        <f>+G10*H10-I10</f>
        <v>0</v>
      </c>
    </row>
    <row r="11" spans="1:21" s="2" customFormat="1" x14ac:dyDescent="0.25">
      <c r="A11" s="70">
        <v>2</v>
      </c>
      <c r="B11" s="71" t="s">
        <v>102</v>
      </c>
      <c r="C11" s="71" t="s">
        <v>93</v>
      </c>
      <c r="D11" s="71">
        <v>252</v>
      </c>
      <c r="E11" s="51" t="s">
        <v>103</v>
      </c>
      <c r="F11" s="71" t="s">
        <v>18</v>
      </c>
      <c r="G11" s="77">
        <v>120</v>
      </c>
      <c r="H11" s="76">
        <v>158</v>
      </c>
      <c r="I11" s="75">
        <f t="shared" ref="I11:I21" si="1">+G11*H11</f>
        <v>18960</v>
      </c>
      <c r="J11" s="47"/>
      <c r="K11" s="18"/>
      <c r="L11" s="136"/>
      <c r="M11" s="137" t="s">
        <v>103</v>
      </c>
      <c r="N11" s="71" t="b">
        <f>E11=M11</f>
        <v>1</v>
      </c>
      <c r="O11" s="71">
        <f>+VLOOKUP(E11,'[1]Necesidades Trimestrales'!$H$10:$I$43,2,0)</f>
        <v>252</v>
      </c>
      <c r="P11" s="71" t="b">
        <f>O11=D11</f>
        <v>1</v>
      </c>
      <c r="Q11" s="71" t="str">
        <f>+VLOOKUP(E11,'[1]Necesidades Trimestrales'!$H$10:$K$43,4,0)</f>
        <v>UNIDAD</v>
      </c>
      <c r="R11" s="71" t="b">
        <f>Q11=F11</f>
        <v>1</v>
      </c>
      <c r="S11" s="76">
        <f>+VLOOKUP(E11,'[1]Necesidades Trimestrales'!$H$10:$M$43,6,0)</f>
        <v>158</v>
      </c>
      <c r="T11" s="71" t="b">
        <f t="shared" ref="T11:T21" si="2">S11=H11</f>
        <v>1</v>
      </c>
      <c r="U11" s="76">
        <f t="shared" ref="U11:U21" si="3">+G11*H11-I11</f>
        <v>0</v>
      </c>
    </row>
    <row r="12" spans="1:21" s="2" customFormat="1" x14ac:dyDescent="0.25">
      <c r="A12" s="70">
        <v>3</v>
      </c>
      <c r="B12" s="71" t="s">
        <v>97</v>
      </c>
      <c r="C12" s="71" t="s">
        <v>93</v>
      </c>
      <c r="D12" s="71">
        <v>252</v>
      </c>
      <c r="E12" s="51" t="s">
        <v>98</v>
      </c>
      <c r="F12" s="71" t="s">
        <v>21</v>
      </c>
      <c r="G12" s="77">
        <v>400</v>
      </c>
      <c r="H12" s="76">
        <v>201</v>
      </c>
      <c r="I12" s="75">
        <f t="shared" si="1"/>
        <v>80400</v>
      </c>
      <c r="J12" s="47"/>
      <c r="K12" s="18"/>
      <c r="L12" s="136"/>
      <c r="M12" s="137" t="s">
        <v>98</v>
      </c>
      <c r="N12" s="71" t="b">
        <f>E12=M12</f>
        <v>1</v>
      </c>
      <c r="O12" s="71">
        <f>+VLOOKUP(E12,'[1]Necesidades Trimestrales'!$H$10:$I$43,2,0)</f>
        <v>252</v>
      </c>
      <c r="P12" s="71" t="b">
        <f>O12=D12</f>
        <v>1</v>
      </c>
      <c r="Q12" s="71" t="str">
        <f>+VLOOKUP(E12,'[1]Necesidades Trimestrales'!$H$10:$K$43,4,0)</f>
        <v>BOTELLA</v>
      </c>
      <c r="R12" s="71" t="b">
        <f>Q12=F12</f>
        <v>1</v>
      </c>
      <c r="S12" s="76">
        <f>+VLOOKUP(E12,'[1]Necesidades Trimestrales'!$H$10:$M$43,6,0)</f>
        <v>201</v>
      </c>
      <c r="T12" s="71" t="b">
        <f t="shared" si="2"/>
        <v>1</v>
      </c>
      <c r="U12" s="76">
        <f t="shared" si="3"/>
        <v>0</v>
      </c>
    </row>
    <row r="13" spans="1:21" s="2" customFormat="1" x14ac:dyDescent="0.25">
      <c r="A13" s="70">
        <v>4</v>
      </c>
      <c r="B13" s="71" t="s">
        <v>95</v>
      </c>
      <c r="C13" s="71" t="s">
        <v>93</v>
      </c>
      <c r="D13" s="71">
        <v>252</v>
      </c>
      <c r="E13" s="51" t="s">
        <v>96</v>
      </c>
      <c r="F13" s="71" t="s">
        <v>21</v>
      </c>
      <c r="G13" s="77">
        <v>300</v>
      </c>
      <c r="H13" s="76">
        <v>108</v>
      </c>
      <c r="I13" s="75">
        <f t="shared" si="1"/>
        <v>32400</v>
      </c>
      <c r="J13" s="47"/>
      <c r="K13" s="18"/>
      <c r="L13" s="136"/>
      <c r="M13" s="137" t="s">
        <v>96</v>
      </c>
      <c r="N13" s="71" t="b">
        <f>E13=M13</f>
        <v>1</v>
      </c>
      <c r="O13" s="71">
        <f>+VLOOKUP(E13,'[1]Necesidades Trimestrales'!$H$10:$I$43,2,0)</f>
        <v>252</v>
      </c>
      <c r="P13" s="71" t="b">
        <f>O13=D13</f>
        <v>1</v>
      </c>
      <c r="Q13" s="71" t="str">
        <f>+VLOOKUP(E13,'[1]Necesidades Trimestrales'!$H$10:$K$43,4,0)</f>
        <v>BOTELLA</v>
      </c>
      <c r="R13" s="71" t="b">
        <f>Q13=F13</f>
        <v>1</v>
      </c>
      <c r="S13" s="76">
        <f>+VLOOKUP(E13,'[1]Necesidades Trimestrales'!$H$10:$M$43,6,0)</f>
        <v>108</v>
      </c>
      <c r="T13" s="71" t="b">
        <f t="shared" si="2"/>
        <v>1</v>
      </c>
      <c r="U13" s="76">
        <f t="shared" si="3"/>
        <v>0</v>
      </c>
    </row>
    <row r="14" spans="1:21" s="2" customFormat="1" ht="25.5" x14ac:dyDescent="0.25">
      <c r="A14" s="70">
        <v>5</v>
      </c>
      <c r="B14" s="71" t="s">
        <v>112</v>
      </c>
      <c r="C14" s="71" t="s">
        <v>93</v>
      </c>
      <c r="D14" s="71">
        <v>252</v>
      </c>
      <c r="E14" s="51" t="s">
        <v>113</v>
      </c>
      <c r="F14" s="71" t="s">
        <v>21</v>
      </c>
      <c r="G14" s="77">
        <v>365</v>
      </c>
      <c r="H14" s="76">
        <v>573</v>
      </c>
      <c r="I14" s="75">
        <f t="shared" si="1"/>
        <v>209145</v>
      </c>
      <c r="J14" s="47" t="s">
        <v>123</v>
      </c>
      <c r="K14" s="18"/>
      <c r="L14" s="136" t="str">
        <f>+VLOOKUP(E14,'[1]Necesidades Trimestrales'!$H$10:$J$43,3,0)</f>
        <v>con valvula atomizadora</v>
      </c>
      <c r="M14" s="137" t="s">
        <v>113</v>
      </c>
      <c r="N14" s="71" t="b">
        <f>E14=M14</f>
        <v>1</v>
      </c>
      <c r="O14" s="71">
        <f>+VLOOKUP(E14,'[1]Necesidades Trimestrales'!$H$10:$I$43,2,0)</f>
        <v>252</v>
      </c>
      <c r="P14" s="71" t="b">
        <f>O14=D14</f>
        <v>1</v>
      </c>
      <c r="Q14" s="71" t="str">
        <f>+VLOOKUP(E14,'[1]Necesidades Trimestrales'!$H$10:$K$43,4,0)</f>
        <v>BOTELLA</v>
      </c>
      <c r="R14" s="71" t="b">
        <f>Q14=F14</f>
        <v>1</v>
      </c>
      <c r="S14" s="76">
        <f>+VLOOKUP(E14,'[1]Necesidades Trimestrales'!$H$10:$M$43,6,0)</f>
        <v>573</v>
      </c>
      <c r="T14" s="71" t="b">
        <f t="shared" si="2"/>
        <v>1</v>
      </c>
      <c r="U14" s="76">
        <f t="shared" si="3"/>
        <v>0</v>
      </c>
    </row>
    <row r="15" spans="1:21" s="2" customFormat="1" ht="25.5" x14ac:dyDescent="0.25">
      <c r="A15" s="70">
        <v>6</v>
      </c>
      <c r="B15" s="78" t="s">
        <v>106</v>
      </c>
      <c r="C15" s="78" t="s">
        <v>93</v>
      </c>
      <c r="D15" s="78">
        <v>295</v>
      </c>
      <c r="E15" s="79" t="s">
        <v>107</v>
      </c>
      <c r="F15" s="78" t="s">
        <v>19</v>
      </c>
      <c r="G15" s="77">
        <v>50</v>
      </c>
      <c r="H15" s="80">
        <v>950</v>
      </c>
      <c r="I15" s="81">
        <f t="shared" si="1"/>
        <v>47500</v>
      </c>
      <c r="J15" s="48"/>
      <c r="K15" s="19"/>
      <c r="L15" s="136"/>
      <c r="M15" s="137" t="s">
        <v>107</v>
      </c>
      <c r="N15" s="71" t="b">
        <f>E15=M15</f>
        <v>1</v>
      </c>
      <c r="O15" s="71">
        <f>+VLOOKUP(E15,'[1]Necesidades Trimestrales'!$H$10:$I$43,2,0)</f>
        <v>295</v>
      </c>
      <c r="P15" s="71" t="b">
        <f>O15=D15</f>
        <v>1</v>
      </c>
      <c r="Q15" s="71" t="str">
        <f>+VLOOKUP(E15,'[1]Necesidades Trimestrales'!$H$10:$K$43,4,0)</f>
        <v>CAJA</v>
      </c>
      <c r="R15" s="71" t="b">
        <f>Q15=F15</f>
        <v>1</v>
      </c>
      <c r="S15" s="76">
        <f>+VLOOKUP(E15,'[1]Necesidades Trimestrales'!$H$10:$M$43,6,0)</f>
        <v>950</v>
      </c>
      <c r="T15" s="71" t="b">
        <f t="shared" si="2"/>
        <v>1</v>
      </c>
      <c r="U15" s="76">
        <f t="shared" si="3"/>
        <v>0</v>
      </c>
    </row>
    <row r="16" spans="1:21" s="13" customFormat="1" ht="25.5" x14ac:dyDescent="0.25">
      <c r="A16" s="82">
        <v>7</v>
      </c>
      <c r="B16" s="71" t="s">
        <v>110</v>
      </c>
      <c r="C16" s="71" t="s">
        <v>93</v>
      </c>
      <c r="D16" s="71">
        <v>252</v>
      </c>
      <c r="E16" s="51" t="s">
        <v>111</v>
      </c>
      <c r="F16" s="71" t="s">
        <v>20</v>
      </c>
      <c r="G16" s="77">
        <v>50</v>
      </c>
      <c r="H16" s="76">
        <v>2250</v>
      </c>
      <c r="I16" s="75">
        <f t="shared" si="1"/>
        <v>112500</v>
      </c>
      <c r="J16" s="47"/>
      <c r="K16" s="18"/>
      <c r="L16" s="136"/>
      <c r="M16" s="137" t="s">
        <v>111</v>
      </c>
      <c r="N16" s="71" t="b">
        <f>E16=M16</f>
        <v>1</v>
      </c>
      <c r="O16" s="71">
        <f>+VLOOKUP(E16,'[1]Necesidades Trimestrales'!$H$10:$I$43,2,0)</f>
        <v>252</v>
      </c>
      <c r="P16" s="71" t="b">
        <f>O16=D16</f>
        <v>1</v>
      </c>
      <c r="Q16" s="71" t="str">
        <f>+VLOOKUP(E16,'[1]Necesidades Trimestrales'!$H$10:$K$43,4,0)</f>
        <v>BIDON</v>
      </c>
      <c r="R16" s="71" t="b">
        <f>Q16=F16</f>
        <v>1</v>
      </c>
      <c r="S16" s="76">
        <f>+VLOOKUP(E16,'[1]Necesidades Trimestrales'!$H$10:$M$43,6,0)</f>
        <v>2250</v>
      </c>
      <c r="T16" s="71" t="b">
        <f t="shared" si="2"/>
        <v>1</v>
      </c>
      <c r="U16" s="76">
        <f t="shared" si="3"/>
        <v>0</v>
      </c>
    </row>
    <row r="17" spans="1:21" s="2" customFormat="1" ht="25.5" x14ac:dyDescent="0.25">
      <c r="A17" s="70">
        <v>8</v>
      </c>
      <c r="B17" s="71" t="s">
        <v>117</v>
      </c>
      <c r="C17" s="71" t="s">
        <v>93</v>
      </c>
      <c r="D17" s="71">
        <v>252</v>
      </c>
      <c r="E17" s="51" t="s">
        <v>118</v>
      </c>
      <c r="F17" s="71" t="s">
        <v>21</v>
      </c>
      <c r="G17" s="77">
        <v>40</v>
      </c>
      <c r="H17" s="76">
        <v>859</v>
      </c>
      <c r="I17" s="75">
        <f t="shared" si="1"/>
        <v>34360</v>
      </c>
      <c r="J17" s="47"/>
      <c r="K17" s="18"/>
      <c r="L17" s="136"/>
      <c r="M17" s="137" t="s">
        <v>118</v>
      </c>
      <c r="N17" s="71" t="b">
        <f>E17=M17</f>
        <v>1</v>
      </c>
      <c r="O17" s="71">
        <f>+VLOOKUP(E17,'[1]Necesidades Trimestrales'!$H$10:$I$43,2,0)</f>
        <v>252</v>
      </c>
      <c r="P17" s="71" t="b">
        <f>O17=D17</f>
        <v>1</v>
      </c>
      <c r="Q17" s="71" t="str">
        <f>+VLOOKUP(E17,'[1]Necesidades Trimestrales'!$H$10:$K$43,4,0)</f>
        <v>BOTELLA</v>
      </c>
      <c r="R17" s="71" t="b">
        <f>Q17=F17</f>
        <v>1</v>
      </c>
      <c r="S17" s="76">
        <f>+VLOOKUP(E17,'[1]Necesidades Trimestrales'!$H$10:$M$43,6,0)</f>
        <v>859</v>
      </c>
      <c r="T17" s="71" t="b">
        <f t="shared" si="2"/>
        <v>1</v>
      </c>
      <c r="U17" s="76">
        <f t="shared" si="3"/>
        <v>0</v>
      </c>
    </row>
    <row r="18" spans="1:21" s="2" customFormat="1" ht="38.25" x14ac:dyDescent="0.2">
      <c r="A18" s="70">
        <v>9</v>
      </c>
      <c r="B18" s="71" t="s">
        <v>114</v>
      </c>
      <c r="C18" s="71" t="s">
        <v>115</v>
      </c>
      <c r="D18" s="71">
        <v>252</v>
      </c>
      <c r="E18" s="51" t="s">
        <v>116</v>
      </c>
      <c r="F18" s="71" t="s">
        <v>22</v>
      </c>
      <c r="G18" s="77">
        <v>100</v>
      </c>
      <c r="H18" s="76">
        <v>1150</v>
      </c>
      <c r="I18" s="75">
        <f t="shared" si="1"/>
        <v>115000</v>
      </c>
      <c r="J18" s="49" t="s">
        <v>124</v>
      </c>
      <c r="K18" s="18"/>
      <c r="L18" s="51" t="str">
        <f>+VLOOKUP(E18,'[1]Necesidades Trimestrales'!$H$10:$J$43,3,0)</f>
        <v xml:space="preserve">Jabón Líquido hipoalergenico. Ph Dérmico. No contiene cloruro de sodio, ni parabenos. Envase BAG IN BOX por 800 ml.Tipo JL4  ADOX. </v>
      </c>
      <c r="M18" s="138" t="s">
        <v>116</v>
      </c>
      <c r="N18" s="71" t="b">
        <f>E18=M18</f>
        <v>1</v>
      </c>
      <c r="O18" s="71">
        <f>+VLOOKUP(E18,'[1]Necesidades Trimestrales'!$H$10:$I$43,2,0)</f>
        <v>252</v>
      </c>
      <c r="P18" s="71" t="b">
        <f>O18=D18</f>
        <v>1</v>
      </c>
      <c r="Q18" s="71" t="str">
        <f>+VLOOKUP(E18,'[1]Necesidades Trimestrales'!$H$10:$K$43,4,0)</f>
        <v>BAG IN BOX</v>
      </c>
      <c r="R18" s="71" t="b">
        <f>Q18=F18</f>
        <v>1</v>
      </c>
      <c r="S18" s="76">
        <f>+VLOOKUP(E18,'[1]Necesidades Trimestrales'!$H$10:$M$43,6,0)</f>
        <v>1150</v>
      </c>
      <c r="T18" s="71" t="b">
        <f t="shared" si="2"/>
        <v>1</v>
      </c>
      <c r="U18" s="76">
        <f t="shared" si="3"/>
        <v>0</v>
      </c>
    </row>
    <row r="19" spans="1:21" s="2" customFormat="1" ht="38.25" x14ac:dyDescent="0.25">
      <c r="A19" s="70">
        <v>10</v>
      </c>
      <c r="B19" s="71" t="s">
        <v>99</v>
      </c>
      <c r="C19" s="71" t="s">
        <v>100</v>
      </c>
      <c r="D19" s="71">
        <v>251</v>
      </c>
      <c r="E19" s="51" t="s">
        <v>101</v>
      </c>
      <c r="F19" s="71" t="s">
        <v>20</v>
      </c>
      <c r="G19" s="77">
        <v>50</v>
      </c>
      <c r="H19" s="76">
        <v>9229.2000000000007</v>
      </c>
      <c r="I19" s="75">
        <f t="shared" si="1"/>
        <v>461460.00000000006</v>
      </c>
      <c r="J19" s="51" t="s">
        <v>125</v>
      </c>
      <c r="K19" s="18"/>
      <c r="L19" s="51" t="str">
        <f>+VLOOKUP(E19,'[1]Necesidades Trimestrales'!$H$10:$J$43,3,0)</f>
        <v>USO HOSPITALARIO. Limpiador para areas criticas en base a amonios cuaternarios de 4TA Generacion.Dilucion 2,5 ml/ litro .Aprobacion ANMAT</v>
      </c>
      <c r="M19" s="137" t="s">
        <v>101</v>
      </c>
      <c r="N19" s="71" t="b">
        <f>E19=M19</f>
        <v>1</v>
      </c>
      <c r="O19" s="71">
        <f>+VLOOKUP(E19,'[1]Necesidades Trimestrales'!$H$10:$I$43,2,0)</f>
        <v>251</v>
      </c>
      <c r="P19" s="71" t="b">
        <f>O19=D19</f>
        <v>1</v>
      </c>
      <c r="Q19" s="71" t="str">
        <f>+VLOOKUP(E19,'[1]Necesidades Trimestrales'!$H$10:$K$43,4,0)</f>
        <v>BIDON</v>
      </c>
      <c r="R19" s="71" t="b">
        <f>Q19=F19</f>
        <v>1</v>
      </c>
      <c r="S19" s="76">
        <f>+VLOOKUP(E19,'[1]Necesidades Trimestrales'!$H$10:$M$43,6,0)</f>
        <v>9229.2000000000007</v>
      </c>
      <c r="T19" s="71" t="b">
        <f t="shared" si="2"/>
        <v>1</v>
      </c>
      <c r="U19" s="76">
        <f t="shared" si="3"/>
        <v>0</v>
      </c>
    </row>
    <row r="20" spans="1:21" s="2" customFormat="1" ht="25.5" x14ac:dyDescent="0.2">
      <c r="A20" s="70">
        <v>11</v>
      </c>
      <c r="B20" s="71" t="s">
        <v>108</v>
      </c>
      <c r="C20" s="71" t="s">
        <v>100</v>
      </c>
      <c r="D20" s="71">
        <v>251</v>
      </c>
      <c r="E20" s="51" t="s">
        <v>109</v>
      </c>
      <c r="F20" s="71" t="s">
        <v>20</v>
      </c>
      <c r="G20" s="77">
        <v>50</v>
      </c>
      <c r="H20" s="76">
        <v>1680</v>
      </c>
      <c r="I20" s="75">
        <f t="shared" si="1"/>
        <v>84000</v>
      </c>
      <c r="J20" s="47"/>
      <c r="K20" s="18"/>
      <c r="L20" s="136"/>
      <c r="M20" s="138" t="s">
        <v>109</v>
      </c>
      <c r="N20" s="71" t="b">
        <f>E20=M20</f>
        <v>1</v>
      </c>
      <c r="O20" s="71">
        <f>+VLOOKUP(E20,'[1]Necesidades Trimestrales'!$H$10:$I$43,2,0)</f>
        <v>251</v>
      </c>
      <c r="P20" s="71" t="b">
        <f>O20=D20</f>
        <v>1</v>
      </c>
      <c r="Q20" s="71" t="str">
        <f>+VLOOKUP(E20,'[1]Necesidades Trimestrales'!$H$10:$K$43,4,0)</f>
        <v>BIDON</v>
      </c>
      <c r="R20" s="71" t="b">
        <f>Q20=F20</f>
        <v>1</v>
      </c>
      <c r="S20" s="76">
        <f>+VLOOKUP(E20,'[1]Necesidades Trimestrales'!$H$10:$M$43,6,0)</f>
        <v>1680</v>
      </c>
      <c r="T20" s="71" t="b">
        <f t="shared" si="2"/>
        <v>1</v>
      </c>
      <c r="U20" s="76">
        <f t="shared" si="3"/>
        <v>0</v>
      </c>
    </row>
    <row r="21" spans="1:21" s="2" customFormat="1" ht="13.5" thickBot="1" x14ac:dyDescent="0.25">
      <c r="A21" s="70">
        <v>12</v>
      </c>
      <c r="B21" s="83" t="s">
        <v>104</v>
      </c>
      <c r="C21" s="83" t="s">
        <v>93</v>
      </c>
      <c r="D21" s="83">
        <v>251</v>
      </c>
      <c r="E21" s="84" t="s">
        <v>105</v>
      </c>
      <c r="F21" s="83" t="s">
        <v>21</v>
      </c>
      <c r="G21" s="86">
        <v>10</v>
      </c>
      <c r="H21" s="85">
        <v>661</v>
      </c>
      <c r="I21" s="87">
        <f t="shared" si="1"/>
        <v>6610</v>
      </c>
      <c r="J21" s="47"/>
      <c r="K21" s="18"/>
      <c r="L21" s="136"/>
      <c r="M21" s="138" t="s">
        <v>105</v>
      </c>
      <c r="N21" s="71" t="b">
        <f>E21=M21</f>
        <v>1</v>
      </c>
      <c r="O21" s="71">
        <f>+VLOOKUP(E21,'[1]Necesidades Trimestrales'!$H$10:$I$43,2,0)</f>
        <v>251</v>
      </c>
      <c r="P21" s="71" t="b">
        <f>O21=D21</f>
        <v>1</v>
      </c>
      <c r="Q21" s="71" t="str">
        <f>+VLOOKUP(E21,'[1]Necesidades Trimestrales'!$H$10:$K$43,4,0)</f>
        <v>BOTELLA</v>
      </c>
      <c r="R21" s="71" t="b">
        <f>Q21=F21</f>
        <v>1</v>
      </c>
      <c r="S21" s="76">
        <f>+VLOOKUP(E21,'[1]Necesidades Trimestrales'!$H$10:$M$43,6,0)</f>
        <v>661</v>
      </c>
      <c r="T21" s="71" t="b">
        <f t="shared" si="2"/>
        <v>1</v>
      </c>
      <c r="U21" s="76">
        <f t="shared" si="3"/>
        <v>0</v>
      </c>
    </row>
    <row r="22" spans="1:21" s="3" customFormat="1" ht="13.5" thickBot="1" x14ac:dyDescent="0.25">
      <c r="A22" s="88"/>
      <c r="B22" s="89"/>
      <c r="C22" s="89"/>
      <c r="D22" s="89"/>
      <c r="E22" s="90" t="s">
        <v>23</v>
      </c>
      <c r="F22" s="91"/>
      <c r="G22" s="93"/>
      <c r="H22" s="92"/>
      <c r="I22" s="94">
        <f>SUM(I10:I21)</f>
        <v>1334782.7</v>
      </c>
      <c r="J22" s="50"/>
      <c r="K22" s="20"/>
      <c r="L22" s="139"/>
      <c r="M22" s="140"/>
      <c r="N22" s="141"/>
      <c r="O22" s="141"/>
      <c r="P22" s="141"/>
      <c r="Q22" s="141"/>
      <c r="R22" s="141"/>
      <c r="S22" s="141"/>
      <c r="T22" s="141"/>
      <c r="U22" s="141"/>
    </row>
    <row r="23" spans="1:21" ht="15.75" thickBot="1" x14ac:dyDescent="0.3"/>
    <row r="24" spans="1:21" ht="150.75" customHeight="1" x14ac:dyDescent="0.25">
      <c r="C24" s="5" t="s">
        <v>126</v>
      </c>
      <c r="D24" s="216" t="s">
        <v>61</v>
      </c>
      <c r="E24" s="217"/>
    </row>
    <row r="25" spans="1:21" x14ac:dyDescent="0.25">
      <c r="C25" s="6"/>
      <c r="D25" s="17"/>
      <c r="E25" s="99"/>
    </row>
    <row r="26" spans="1:21" x14ac:dyDescent="0.25">
      <c r="C26" s="7" t="s">
        <v>62</v>
      </c>
      <c r="D26" s="212" t="s">
        <v>91</v>
      </c>
      <c r="E26" s="213"/>
    </row>
    <row r="27" spans="1:21" x14ac:dyDescent="0.25">
      <c r="C27" s="7"/>
      <c r="D27" s="17"/>
      <c r="E27" s="99"/>
    </row>
    <row r="28" spans="1:21" ht="27" customHeight="1" x14ac:dyDescent="0.25">
      <c r="C28" s="7" t="s">
        <v>63</v>
      </c>
      <c r="D28" s="212" t="s">
        <v>64</v>
      </c>
      <c r="E28" s="213"/>
    </row>
    <row r="29" spans="1:21" x14ac:dyDescent="0.25">
      <c r="C29" s="7"/>
      <c r="D29" s="17"/>
      <c r="E29" s="99"/>
    </row>
    <row r="30" spans="1:21" x14ac:dyDescent="0.25">
      <c r="C30" s="7" t="s">
        <v>65</v>
      </c>
      <c r="D30" s="17"/>
      <c r="E30" s="99"/>
    </row>
    <row r="31" spans="1:21" x14ac:dyDescent="0.25">
      <c r="C31" s="7"/>
      <c r="D31" s="17"/>
      <c r="E31" s="99"/>
    </row>
    <row r="32" spans="1:21" ht="15.75" thickBot="1" x14ac:dyDescent="0.3">
      <c r="C32" s="7" t="s">
        <v>66</v>
      </c>
      <c r="D32" s="212" t="s">
        <v>67</v>
      </c>
      <c r="E32" s="213"/>
    </row>
    <row r="33" spans="3:7" x14ac:dyDescent="0.25">
      <c r="C33" s="190" t="s">
        <v>129</v>
      </c>
      <c r="D33" s="191"/>
      <c r="E33" s="192"/>
      <c r="F33" s="199"/>
    </row>
    <row r="34" spans="3:7" x14ac:dyDescent="0.25">
      <c r="C34" s="193" t="s">
        <v>127</v>
      </c>
      <c r="D34" s="199"/>
      <c r="E34" s="194"/>
      <c r="F34" s="199"/>
    </row>
    <row r="35" spans="3:7" ht="15.75" thickBot="1" x14ac:dyDescent="0.3">
      <c r="C35" s="195"/>
      <c r="D35" s="196"/>
      <c r="E35" s="197"/>
      <c r="F35" s="201"/>
    </row>
    <row r="36" spans="3:7" x14ac:dyDescent="0.25">
      <c r="C36" s="190" t="s">
        <v>131</v>
      </c>
      <c r="D36" s="191"/>
      <c r="E36" s="192"/>
      <c r="F36" s="199"/>
    </row>
    <row r="37" spans="3:7" ht="15" customHeight="1" x14ac:dyDescent="0.25">
      <c r="C37" s="204" t="s">
        <v>128</v>
      </c>
      <c r="D37" s="203"/>
      <c r="E37" s="205"/>
      <c r="F37" s="202"/>
    </row>
    <row r="38" spans="3:7" ht="15.75" thickBot="1" x14ac:dyDescent="0.3">
      <c r="C38" s="193"/>
      <c r="D38" s="201"/>
      <c r="E38" s="198"/>
      <c r="F38" s="201"/>
    </row>
    <row r="39" spans="3:7" x14ac:dyDescent="0.25">
      <c r="C39" s="190" t="s">
        <v>130</v>
      </c>
      <c r="D39" s="191"/>
      <c r="E39" s="192"/>
      <c r="F39" s="199"/>
      <c r="G39" s="210"/>
    </row>
    <row r="40" spans="3:7" ht="15" customHeight="1" x14ac:dyDescent="0.25">
      <c r="C40" s="204" t="s">
        <v>132</v>
      </c>
      <c r="D40" s="211"/>
      <c r="E40" s="206"/>
      <c r="F40" s="211"/>
      <c r="G40" s="210"/>
    </row>
    <row r="41" spans="3:7" ht="15.75" thickBot="1" x14ac:dyDescent="0.3">
      <c r="C41" s="207"/>
      <c r="D41" s="208"/>
      <c r="E41" s="209"/>
      <c r="F41" s="211"/>
      <c r="G41" s="210"/>
    </row>
    <row r="42" spans="3:7" x14ac:dyDescent="0.25">
      <c r="C42" s="200"/>
      <c r="D42" s="201"/>
      <c r="E42" s="201"/>
      <c r="F42" s="201"/>
    </row>
  </sheetData>
  <autoFilter ref="A9:J22" xr:uid="{00000000-0009-0000-0000-000000000000}"/>
  <sortState xmlns:xlrd2="http://schemas.microsoft.com/office/spreadsheetml/2017/richdata2" ref="B11:J21">
    <sortCondition ref="E11:E21"/>
  </sortState>
  <mergeCells count="9">
    <mergeCell ref="D28:E28"/>
    <mergeCell ref="D32:E32"/>
    <mergeCell ref="A7:B7"/>
    <mergeCell ref="A6:B6"/>
    <mergeCell ref="B2:H2"/>
    <mergeCell ref="A4:B4"/>
    <mergeCell ref="A5:B5"/>
    <mergeCell ref="D24:E24"/>
    <mergeCell ref="D26:E26"/>
  </mergeCells>
  <conditionalFormatting sqref="B1:B9 E1:E9">
    <cfRule type="duplicateValues" dxfId="19" priority="104"/>
  </conditionalFormatting>
  <conditionalFormatting sqref="E1:E9 B1:B9">
    <cfRule type="duplicateValues" dxfId="18" priority="105"/>
  </conditionalFormatting>
  <conditionalFormatting sqref="B1:B9">
    <cfRule type="duplicateValues" dxfId="17" priority="148"/>
  </conditionalFormatting>
  <conditionalFormatting sqref="E1:E9">
    <cfRule type="duplicateValues" dxfId="16" priority="149"/>
  </conditionalFormatting>
  <conditionalFormatting sqref="E1:E9">
    <cfRule type="duplicateValues" dxfId="15" priority="150"/>
    <cfRule type="duplicateValues" dxfId="14" priority="151"/>
  </conditionalFormatting>
  <conditionalFormatting sqref="C26:C32">
    <cfRule type="duplicateValues" dxfId="13" priority="11"/>
  </conditionalFormatting>
  <conditionalFormatting sqref="C26:C32">
    <cfRule type="duplicateValues" dxfId="12" priority="12"/>
  </conditionalFormatting>
  <conditionalFormatting sqref="C26:C32">
    <cfRule type="duplicateValues" dxfId="11" priority="13"/>
  </conditionalFormatting>
  <conditionalFormatting sqref="C26:C32">
    <cfRule type="duplicateValues" dxfId="10" priority="14"/>
  </conditionalFormatting>
  <conditionalFormatting sqref="M9">
    <cfRule type="duplicateValues" dxfId="9" priority="6"/>
  </conditionalFormatting>
  <conditionalFormatting sqref="M9">
    <cfRule type="duplicateValues" dxfId="8" priority="7"/>
  </conditionalFormatting>
  <conditionalFormatting sqref="M9">
    <cfRule type="duplicateValues" dxfId="7" priority="8"/>
  </conditionalFormatting>
  <conditionalFormatting sqref="M9">
    <cfRule type="duplicateValues" dxfId="6" priority="9"/>
    <cfRule type="duplicateValues" dxfId="5" priority="10"/>
  </conditionalFormatting>
  <conditionalFormatting sqref="O9">
    <cfRule type="duplicateValues" dxfId="4" priority="1"/>
  </conditionalFormatting>
  <conditionalFormatting sqref="O9">
    <cfRule type="duplicateValues" dxfId="3" priority="2"/>
  </conditionalFormatting>
  <conditionalFormatting sqref="O9">
    <cfRule type="duplicateValues" dxfId="2" priority="3"/>
  </conditionalFormatting>
  <conditionalFormatting sqref="O9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25"/>
  <sheetViews>
    <sheetView workbookViewId="0">
      <selection activeCell="D7" sqref="D7:K7"/>
    </sheetView>
  </sheetViews>
  <sheetFormatPr baseColWidth="10" defaultRowHeight="15" x14ac:dyDescent="0.25"/>
  <cols>
    <col min="1" max="1" width="5.5703125" style="25" customWidth="1"/>
    <col min="2" max="2" width="15.140625" style="15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91.42578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11" customWidth="1"/>
    <col min="13" max="13" width="13" style="101" bestFit="1" customWidth="1"/>
    <col min="14" max="14" width="13" style="12" bestFit="1" customWidth="1"/>
    <col min="15" max="15" width="11.85546875" style="101" bestFit="1" customWidth="1"/>
    <col min="16" max="16" width="11.42578125" style="101"/>
  </cols>
  <sheetData>
    <row r="1" spans="1:16" ht="30.75" thickBot="1" x14ac:dyDescent="0.3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112" t="s">
        <v>25</v>
      </c>
      <c r="K1" s="113" t="s">
        <v>72</v>
      </c>
      <c r="L1" s="100"/>
    </row>
    <row r="2" spans="1:16" ht="16.5" thickBot="1" x14ac:dyDescent="0.3">
      <c r="A2" s="114"/>
      <c r="B2" s="142"/>
      <c r="C2" s="115"/>
      <c r="D2" s="23"/>
      <c r="E2" s="23"/>
      <c r="F2" s="23"/>
      <c r="G2" s="23"/>
      <c r="H2" s="23"/>
      <c r="I2" s="23"/>
      <c r="J2" s="116"/>
      <c r="K2" s="117"/>
      <c r="L2" s="102"/>
    </row>
    <row r="3" spans="1:16" ht="16.5" thickBot="1" x14ac:dyDescent="0.3">
      <c r="A3" s="221" t="s">
        <v>26</v>
      </c>
      <c r="B3" s="221"/>
      <c r="C3" s="221"/>
      <c r="D3" s="219" t="str">
        <f>'SAF 011'!C4</f>
        <v>040 - MINISTERIO DE SALUD</v>
      </c>
      <c r="E3" s="219"/>
      <c r="F3" s="219"/>
      <c r="G3" s="219"/>
      <c r="H3" s="219"/>
      <c r="I3" s="219"/>
      <c r="J3" s="219"/>
      <c r="K3" s="219"/>
      <c r="L3" s="103"/>
    </row>
    <row r="4" spans="1:16" ht="16.5" thickBot="1" x14ac:dyDescent="0.3">
      <c r="A4" s="218" t="s">
        <v>27</v>
      </c>
      <c r="B4" s="218"/>
      <c r="C4" s="218"/>
      <c r="D4" s="219" t="str">
        <f>'SAF 011'!C5</f>
        <v>011 - DIRECCION PROVINCIAL DE ADMINISTRACION - MINISTERIO DE SALUD</v>
      </c>
      <c r="E4" s="219"/>
      <c r="F4" s="219"/>
      <c r="G4" s="219"/>
      <c r="H4" s="219"/>
      <c r="I4" s="219"/>
      <c r="J4" s="219"/>
      <c r="K4" s="219"/>
      <c r="L4" s="103"/>
    </row>
    <row r="5" spans="1:16" ht="16.5" thickBot="1" x14ac:dyDescent="0.3">
      <c r="A5" s="218" t="s">
        <v>28</v>
      </c>
      <c r="B5" s="218"/>
      <c r="C5" s="218"/>
      <c r="D5" s="219" t="s">
        <v>68</v>
      </c>
      <c r="E5" s="219"/>
      <c r="F5" s="219"/>
      <c r="G5" s="219"/>
      <c r="H5" s="219"/>
      <c r="I5" s="219"/>
      <c r="J5" s="219"/>
      <c r="K5" s="219"/>
      <c r="L5" s="103"/>
    </row>
    <row r="6" spans="1:16" ht="16.5" thickBot="1" x14ac:dyDescent="0.3">
      <c r="A6" s="221" t="s">
        <v>29</v>
      </c>
      <c r="B6" s="221"/>
      <c r="C6" s="221"/>
      <c r="D6" s="219" t="s">
        <v>68</v>
      </c>
      <c r="E6" s="219"/>
      <c r="F6" s="219"/>
      <c r="G6" s="219"/>
      <c r="H6" s="219"/>
      <c r="I6" s="219"/>
      <c r="J6" s="219"/>
      <c r="K6" s="219"/>
      <c r="L6" s="103"/>
    </row>
    <row r="7" spans="1:16" ht="16.5" thickBot="1" x14ac:dyDescent="0.3">
      <c r="A7" s="218" t="s">
        <v>30</v>
      </c>
      <c r="B7" s="218"/>
      <c r="C7" s="218"/>
      <c r="D7" s="219" t="s">
        <v>133</v>
      </c>
      <c r="E7" s="219"/>
      <c r="F7" s="219"/>
      <c r="G7" s="219"/>
      <c r="H7" s="219"/>
      <c r="I7" s="219"/>
      <c r="J7" s="219"/>
      <c r="K7" s="219"/>
      <c r="L7" s="103"/>
    </row>
    <row r="8" spans="1:16" ht="16.5" thickBot="1" x14ac:dyDescent="0.3">
      <c r="A8" s="222" t="s">
        <v>31</v>
      </c>
      <c r="B8" s="222"/>
      <c r="C8" s="222"/>
      <c r="D8" s="223" t="s">
        <v>71</v>
      </c>
      <c r="E8" s="223"/>
      <c r="F8" s="223"/>
      <c r="G8" s="223"/>
      <c r="H8" s="223"/>
      <c r="I8" s="223"/>
      <c r="J8" s="223"/>
      <c r="K8" s="223"/>
      <c r="L8" s="103"/>
    </row>
    <row r="9" spans="1:16" ht="16.5" thickBot="1" x14ac:dyDescent="0.3">
      <c r="A9" s="118"/>
      <c r="B9" s="143"/>
      <c r="C9" s="119"/>
      <c r="D9" s="24"/>
      <c r="E9" s="24"/>
      <c r="F9" s="24"/>
      <c r="G9" s="24"/>
      <c r="H9" s="24"/>
      <c r="I9" s="24"/>
      <c r="J9" s="120"/>
      <c r="K9" s="121"/>
      <c r="L9" s="103"/>
    </row>
    <row r="10" spans="1:16" ht="15.75" thickBot="1" x14ac:dyDescent="0.3">
      <c r="A10" s="228" t="s">
        <v>32</v>
      </c>
      <c r="B10" s="226" t="s">
        <v>33</v>
      </c>
      <c r="C10" s="226" t="s">
        <v>34</v>
      </c>
      <c r="D10" s="226"/>
      <c r="E10" s="226"/>
      <c r="F10" s="226"/>
      <c r="G10" s="226"/>
      <c r="H10" s="226" t="s">
        <v>35</v>
      </c>
      <c r="I10" s="226" t="s">
        <v>36</v>
      </c>
      <c r="J10" s="227" t="s">
        <v>37</v>
      </c>
      <c r="K10" s="224" t="s">
        <v>38</v>
      </c>
      <c r="L10" s="104"/>
    </row>
    <row r="11" spans="1:16" ht="23.25" customHeight="1" thickBot="1" x14ac:dyDescent="0.3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  <c r="L11" s="104"/>
    </row>
    <row r="12" spans="1:16" s="11" customFormat="1" ht="33.75" customHeight="1" x14ac:dyDescent="0.25">
      <c r="A12" s="144">
        <v>1</v>
      </c>
      <c r="B12" s="145" t="str">
        <f>'SAF 011'!B10</f>
        <v>2.5.2-710.4</v>
      </c>
      <c r="C12" s="225" t="str">
        <f>'SAF 011'!E10</f>
        <v>AGUA OXIGENADA; CAPACIDAD: 1000 CM3, VOLUMEN: 10, PRESENTACION: ENVASE X 1000 CM3</v>
      </c>
      <c r="D12" s="225"/>
      <c r="E12" s="225"/>
      <c r="F12" s="225"/>
      <c r="G12" s="225"/>
      <c r="H12" s="145" t="s">
        <v>73</v>
      </c>
      <c r="I12" s="146" t="str">
        <f>'SAF 011'!F10</f>
        <v>BOTELLA</v>
      </c>
      <c r="J12" s="147">
        <f>'SAF 011'!H10</f>
        <v>128.59</v>
      </c>
      <c r="K12" s="148" t="e">
        <f>'SAF 011'!#REF!</f>
        <v>#REF!</v>
      </c>
      <c r="L12" s="105">
        <v>252</v>
      </c>
      <c r="M12" s="101" t="b">
        <f>B12='SAF 011'!B10</f>
        <v>1</v>
      </c>
      <c r="N12" s="12" t="e">
        <f>+J12*K12</f>
        <v>#REF!</v>
      </c>
      <c r="O12" s="101" t="b">
        <f>C12='SAF 011'!E10</f>
        <v>1</v>
      </c>
      <c r="P12" s="101"/>
    </row>
    <row r="13" spans="1:16" s="11" customFormat="1" ht="33.75" customHeight="1" x14ac:dyDescent="0.25">
      <c r="A13" s="149">
        <v>2</v>
      </c>
      <c r="B13" s="150" t="str">
        <f>'SAF 011'!B14</f>
        <v>2.5.2-1723.50</v>
      </c>
      <c r="C13" s="229" t="str">
        <f>'SAF 011'!E14</f>
        <v>ANTISEPTICOS LOCALES P/PERSONA; DROGA GENERICA: IODOPOVIDONA 10%, FORMA FARMACEUTICA: SOLUCION, PRESENTACION: ENVASE X 1 L, TIPO: MONODROGA</v>
      </c>
      <c r="D13" s="230"/>
      <c r="E13" s="230"/>
      <c r="F13" s="230"/>
      <c r="G13" s="231"/>
      <c r="H13" s="150" t="s">
        <v>73</v>
      </c>
      <c r="I13" s="151" t="str">
        <f>'SAF 011'!F14</f>
        <v>BOTELLA</v>
      </c>
      <c r="J13" s="152">
        <f>'SAF 011'!H14</f>
        <v>573</v>
      </c>
      <c r="K13" s="153" t="e">
        <f>'SAF 011'!#REF!</f>
        <v>#REF!</v>
      </c>
      <c r="L13" s="105">
        <v>252</v>
      </c>
      <c r="M13" s="101" t="b">
        <f>B13='SAF 011'!B14</f>
        <v>1</v>
      </c>
      <c r="N13" s="12" t="e">
        <f t="shared" ref="N13:N18" si="0">+J13*K13</f>
        <v>#REF!</v>
      </c>
      <c r="O13" s="101" t="b">
        <f>C13='SAF 011'!E14</f>
        <v>1</v>
      </c>
      <c r="P13" s="101"/>
    </row>
    <row r="14" spans="1:16" s="11" customFormat="1" ht="33.75" customHeight="1" x14ac:dyDescent="0.25">
      <c r="A14" s="149">
        <v>3</v>
      </c>
      <c r="B14" s="150" t="str">
        <f>'SAF 011'!B16</f>
        <v>2.5.2-1723.30</v>
      </c>
      <c r="C14" s="229" t="str">
        <f>'SAF 011'!E16</f>
        <v>ANTISEPTICOS LOCALES P/PERSONA; TIPO: MONODROGA, DROGA GENERICA: IODOPOVIDONA, FORMA FARMACEUTICA: SOLUCION, PRESENTACION: BIDON X 5 L</v>
      </c>
      <c r="D14" s="230"/>
      <c r="E14" s="230"/>
      <c r="F14" s="230"/>
      <c r="G14" s="231"/>
      <c r="H14" s="150" t="s">
        <v>73</v>
      </c>
      <c r="I14" s="151" t="str">
        <f>'SAF 011'!F16</f>
        <v>BIDON</v>
      </c>
      <c r="J14" s="152">
        <f>'SAF 011'!H16</f>
        <v>2250</v>
      </c>
      <c r="K14" s="153" t="e">
        <f>'SAF 011'!#REF!</f>
        <v>#REF!</v>
      </c>
      <c r="L14" s="105">
        <v>252</v>
      </c>
      <c r="M14" s="101" t="b">
        <f>B14='SAF 011'!B16</f>
        <v>1</v>
      </c>
      <c r="N14" s="12" t="e">
        <f t="shared" si="0"/>
        <v>#REF!</v>
      </c>
      <c r="O14" s="101" t="b">
        <f>C14='SAF 011'!E16</f>
        <v>1</v>
      </c>
      <c r="P14" s="101"/>
    </row>
    <row r="15" spans="1:16" s="11" customFormat="1" ht="33.75" customHeight="1" x14ac:dyDescent="0.25">
      <c r="A15" s="149">
        <v>4</v>
      </c>
      <c r="B15" s="150" t="str">
        <f>'SAF 011'!B17</f>
        <v>2.5.2-1723.35</v>
      </c>
      <c r="C15" s="229" t="str">
        <f>'SAF 011'!E17</f>
        <v>ANTISEPTICOS LOCALES P/PERSONA; TIPO: MONODROGA, DROGA GENERICA: NITROFURAZONA, FORMA FARMACEUTICA: SOLUCION, PRESENTACION: FRASCO X 1 L</v>
      </c>
      <c r="D15" s="230"/>
      <c r="E15" s="230"/>
      <c r="F15" s="230"/>
      <c r="G15" s="231"/>
      <c r="H15" s="150" t="s">
        <v>73</v>
      </c>
      <c r="I15" s="151" t="str">
        <f>'SAF 011'!F17</f>
        <v>BOTELLA</v>
      </c>
      <c r="J15" s="152">
        <f>'SAF 011'!H17</f>
        <v>859</v>
      </c>
      <c r="K15" s="153" t="e">
        <f>'SAF 011'!#REF!</f>
        <v>#REF!</v>
      </c>
      <c r="L15" s="105">
        <v>252</v>
      </c>
      <c r="M15" s="101" t="b">
        <f>B15='SAF 011'!B17</f>
        <v>1</v>
      </c>
      <c r="N15" s="12" t="e">
        <f t="shared" si="0"/>
        <v>#REF!</v>
      </c>
      <c r="O15" s="101" t="b">
        <f>C15='SAF 011'!E17</f>
        <v>1</v>
      </c>
      <c r="P15" s="101"/>
    </row>
    <row r="16" spans="1:16" s="11" customFormat="1" ht="33.75" customHeight="1" x14ac:dyDescent="0.25">
      <c r="A16" s="149">
        <v>5</v>
      </c>
      <c r="B16" s="150" t="str">
        <f>'SAF 011'!B18</f>
        <v>2.9.1-6956.122</v>
      </c>
      <c r="C16" s="229" t="str">
        <f>'SAF 011'!E18</f>
        <v>ARTICULOS DE TOCADOR; TIPO: JABON LIQUIDO HIPOALERGENICO, PRESENTACION: ENVASE X 800 ML BAG IN BOX</v>
      </c>
      <c r="D16" s="230"/>
      <c r="E16" s="230"/>
      <c r="F16" s="230"/>
      <c r="G16" s="231"/>
      <c r="H16" s="150" t="s">
        <v>73</v>
      </c>
      <c r="I16" s="151" t="str">
        <f>'SAF 011'!F18</f>
        <v>BAG IN BOX</v>
      </c>
      <c r="J16" s="152">
        <f>'SAF 011'!H18</f>
        <v>1150</v>
      </c>
      <c r="K16" s="153" t="e">
        <f>'SAF 011'!#REF!</f>
        <v>#REF!</v>
      </c>
      <c r="L16" s="105">
        <v>252</v>
      </c>
      <c r="M16" s="101" t="b">
        <f>B16='SAF 011'!B18</f>
        <v>1</v>
      </c>
      <c r="N16" s="12" t="e">
        <f t="shared" si="0"/>
        <v>#REF!</v>
      </c>
      <c r="O16" s="101" t="b">
        <f>C16='SAF 011'!E18</f>
        <v>1</v>
      </c>
      <c r="P16" s="101"/>
    </row>
    <row r="17" spans="1:16" s="11" customFormat="1" ht="33.75" customHeight="1" x14ac:dyDescent="0.25">
      <c r="A17" s="149">
        <v>6</v>
      </c>
      <c r="B17" s="150" t="str">
        <f>'SAF 011'!B20</f>
        <v>2.5.1-9065.53</v>
      </c>
      <c r="C17" s="229" t="str">
        <f>'SAF 011'!E20</f>
        <v>DESINFECTANTES Y DETERGENTES; PRINCIPIO ACTIVO: GLUTARALDEHIDO CON SULFACTANTE, CALIDAD: BIOLOGIA MOLECULAR, CONCENTRACION/PUREZA: 2 %, PRESENTACION: ENVASE X 4 L</v>
      </c>
      <c r="D17" s="230"/>
      <c r="E17" s="230"/>
      <c r="F17" s="230"/>
      <c r="G17" s="231"/>
      <c r="H17" s="150" t="s">
        <v>73</v>
      </c>
      <c r="I17" s="151" t="str">
        <f>'SAF 011'!F20</f>
        <v>BIDON</v>
      </c>
      <c r="J17" s="152">
        <f>'SAF 011'!H20</f>
        <v>1680</v>
      </c>
      <c r="K17" s="153" t="e">
        <f>'SAF 011'!#REF!</f>
        <v>#REF!</v>
      </c>
      <c r="L17" s="105">
        <v>251</v>
      </c>
      <c r="M17" s="101" t="b">
        <f>B17='SAF 011'!B20</f>
        <v>1</v>
      </c>
      <c r="N17" s="12" t="e">
        <f t="shared" si="0"/>
        <v>#REF!</v>
      </c>
      <c r="O17" s="101" t="b">
        <f>C17='SAF 011'!E20</f>
        <v>1</v>
      </c>
      <c r="P17" s="101"/>
    </row>
    <row r="18" spans="1:16" s="11" customFormat="1" ht="33.75" customHeight="1" x14ac:dyDescent="0.25">
      <c r="A18" s="149">
        <v>7</v>
      </c>
      <c r="B18" s="150" t="str">
        <f>'SAF 011'!B21</f>
        <v>2.5.2-1726.492</v>
      </c>
      <c r="C18" s="229" t="str">
        <f>'SAF 011'!E21</f>
        <v>SOLUCIONES P/MEDICINA; TIPO: FORMOL AL 40 %, PRESENTACION: ENVASE X 1 L</v>
      </c>
      <c r="D18" s="230"/>
      <c r="E18" s="230"/>
      <c r="F18" s="230"/>
      <c r="G18" s="231"/>
      <c r="H18" s="150" t="s">
        <v>73</v>
      </c>
      <c r="I18" s="151" t="str">
        <f>'SAF 011'!F21</f>
        <v>BOTELLA</v>
      </c>
      <c r="J18" s="152">
        <f>'SAF 011'!H21</f>
        <v>661</v>
      </c>
      <c r="K18" s="153" t="e">
        <f>'SAF 011'!#REF!</f>
        <v>#REF!</v>
      </c>
      <c r="L18" s="105">
        <v>251</v>
      </c>
      <c r="M18" s="101" t="b">
        <f>B18='SAF 011'!B21</f>
        <v>1</v>
      </c>
      <c r="N18" s="12" t="e">
        <f t="shared" si="0"/>
        <v>#REF!</v>
      </c>
      <c r="O18" s="101" t="b">
        <f>C18='SAF 011'!E21</f>
        <v>1</v>
      </c>
      <c r="P18" s="101"/>
    </row>
    <row r="19" spans="1:16" ht="16.5" thickBot="1" x14ac:dyDescent="0.3">
      <c r="A19" s="127"/>
      <c r="B19" s="154"/>
      <c r="C19" s="235"/>
      <c r="D19" s="235"/>
      <c r="E19" s="235"/>
      <c r="F19" s="235"/>
      <c r="G19" s="235"/>
      <c r="H19" s="129"/>
      <c r="I19" s="130"/>
      <c r="J19" s="131"/>
      <c r="K19" s="132"/>
      <c r="L19" s="106"/>
    </row>
    <row r="20" spans="1:16" s="14" customFormat="1" ht="19.5" thickBot="1" x14ac:dyDescent="0.3">
      <c r="A20" s="233" t="s">
        <v>89</v>
      </c>
      <c r="B20" s="233"/>
      <c r="C20" s="233"/>
      <c r="D20" s="233"/>
      <c r="E20" s="233"/>
      <c r="F20" s="233"/>
      <c r="G20" s="233"/>
      <c r="H20" s="233"/>
      <c r="I20" s="233"/>
      <c r="J20" s="234" t="e">
        <f>+N20</f>
        <v>#REF!</v>
      </c>
      <c r="K20" s="234"/>
      <c r="L20" s="107"/>
      <c r="M20" s="108"/>
      <c r="N20" s="15" t="e">
        <f>SUM(N12:N19)</f>
        <v>#REF!</v>
      </c>
      <c r="O20" s="108"/>
      <c r="P20" s="108"/>
    </row>
    <row r="21" spans="1:16" x14ac:dyDescent="0.25">
      <c r="J21" s="232"/>
      <c r="K21" s="232"/>
      <c r="L21" s="109"/>
    </row>
    <row r="22" spans="1:16" x14ac:dyDescent="0.25">
      <c r="K22" s="111">
        <v>252</v>
      </c>
      <c r="L22" s="110" t="e">
        <f>+J12*K12+J13*K13+J14*K14+J15*K15+J16*K16</f>
        <v>#REF!</v>
      </c>
      <c r="M22" s="12" t="e">
        <f>+L22+80400+51360</f>
        <v>#REF!</v>
      </c>
      <c r="N22" s="12" t="e">
        <f>+N20-N16-N17</f>
        <v>#REF!</v>
      </c>
    </row>
    <row r="23" spans="1:16" x14ac:dyDescent="0.25">
      <c r="K23" s="111">
        <v>251</v>
      </c>
      <c r="L23" s="110" t="e">
        <f>+J17*K17+J18*K18</f>
        <v>#REF!</v>
      </c>
      <c r="M23" s="12" t="e">
        <f>+L23</f>
        <v>#REF!</v>
      </c>
    </row>
    <row r="24" spans="1:16" x14ac:dyDescent="0.25">
      <c r="K24" s="111"/>
      <c r="M24" s="12" t="e">
        <f>+M22+M23</f>
        <v>#REF!</v>
      </c>
    </row>
    <row r="25" spans="1:16" x14ac:dyDescent="0.25">
      <c r="M25" s="12" t="e">
        <f>+M24-681610-80400-51360</f>
        <v>#REF!</v>
      </c>
    </row>
  </sheetData>
  <mergeCells count="31">
    <mergeCell ref="J21:K21"/>
    <mergeCell ref="A20:I20"/>
    <mergeCell ref="J20:K20"/>
    <mergeCell ref="C18:G18"/>
    <mergeCell ref="C19:G19"/>
    <mergeCell ref="C13:G13"/>
    <mergeCell ref="C14:G14"/>
    <mergeCell ref="C15:G15"/>
    <mergeCell ref="C16:G16"/>
    <mergeCell ref="C17:G17"/>
    <mergeCell ref="K10:K11"/>
    <mergeCell ref="C12:G12"/>
    <mergeCell ref="I10:I11"/>
    <mergeCell ref="J10:J11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16"/>
  <sheetViews>
    <sheetView workbookViewId="0">
      <selection activeCell="D7" sqref="D7:K7"/>
    </sheetView>
  </sheetViews>
  <sheetFormatPr baseColWidth="10" defaultRowHeight="15" x14ac:dyDescent="0.25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28.5703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11" customWidth="1"/>
    <col min="13" max="13" width="11.85546875" style="101" bestFit="1" customWidth="1"/>
    <col min="14" max="14" width="13" style="12" bestFit="1" customWidth="1"/>
    <col min="15" max="15" width="11.85546875" style="101" bestFit="1" customWidth="1"/>
  </cols>
  <sheetData>
    <row r="1" spans="1:15" ht="30.75" thickBot="1" x14ac:dyDescent="0.3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112" t="s">
        <v>25</v>
      </c>
      <c r="K1" s="113" t="s">
        <v>76</v>
      </c>
      <c r="L1" s="100"/>
    </row>
    <row r="2" spans="1:15" ht="16.5" thickBot="1" x14ac:dyDescent="0.3">
      <c r="A2" s="114"/>
      <c r="B2" s="115"/>
      <c r="C2" s="115"/>
      <c r="D2" s="23"/>
      <c r="E2" s="23"/>
      <c r="F2" s="23"/>
      <c r="G2" s="23"/>
      <c r="H2" s="23"/>
      <c r="I2" s="23"/>
      <c r="J2" s="116"/>
      <c r="K2" s="117"/>
      <c r="L2" s="102"/>
    </row>
    <row r="3" spans="1:15" ht="16.5" thickBot="1" x14ac:dyDescent="0.3">
      <c r="A3" s="221" t="s">
        <v>26</v>
      </c>
      <c r="B3" s="221"/>
      <c r="C3" s="221"/>
      <c r="D3" s="219" t="str">
        <f>'SAF 011'!C4</f>
        <v>040 - MINISTERIO DE SALUD</v>
      </c>
      <c r="E3" s="219"/>
      <c r="F3" s="219"/>
      <c r="G3" s="219"/>
      <c r="H3" s="219"/>
      <c r="I3" s="219"/>
      <c r="J3" s="219"/>
      <c r="K3" s="219"/>
      <c r="L3" s="103"/>
    </row>
    <row r="4" spans="1:15" ht="16.5" thickBot="1" x14ac:dyDescent="0.3">
      <c r="A4" s="218" t="s">
        <v>27</v>
      </c>
      <c r="B4" s="218"/>
      <c r="C4" s="218"/>
      <c r="D4" s="219" t="str">
        <f>'SAF 011'!C5</f>
        <v>011 - DIRECCION PROVINCIAL DE ADMINISTRACION - MINISTERIO DE SALUD</v>
      </c>
      <c r="E4" s="219"/>
      <c r="F4" s="219"/>
      <c r="G4" s="219"/>
      <c r="H4" s="219"/>
      <c r="I4" s="219"/>
      <c r="J4" s="219"/>
      <c r="K4" s="219"/>
      <c r="L4" s="103"/>
    </row>
    <row r="5" spans="1:15" ht="16.5" thickBot="1" x14ac:dyDescent="0.3">
      <c r="A5" s="218" t="s">
        <v>28</v>
      </c>
      <c r="B5" s="218"/>
      <c r="C5" s="218"/>
      <c r="D5" s="219" t="s">
        <v>78</v>
      </c>
      <c r="E5" s="219"/>
      <c r="F5" s="219"/>
      <c r="G5" s="219"/>
      <c r="H5" s="219"/>
      <c r="I5" s="219"/>
      <c r="J5" s="219"/>
      <c r="K5" s="219"/>
      <c r="L5" s="103"/>
    </row>
    <row r="6" spans="1:15" ht="16.5" thickBot="1" x14ac:dyDescent="0.3">
      <c r="A6" s="221" t="s">
        <v>29</v>
      </c>
      <c r="B6" s="221"/>
      <c r="C6" s="221"/>
      <c r="D6" s="219" t="s">
        <v>78</v>
      </c>
      <c r="E6" s="219"/>
      <c r="F6" s="219"/>
      <c r="G6" s="219"/>
      <c r="H6" s="219"/>
      <c r="I6" s="219"/>
      <c r="J6" s="219"/>
      <c r="K6" s="219"/>
      <c r="L6" s="103"/>
    </row>
    <row r="7" spans="1:15" ht="16.5" thickBot="1" x14ac:dyDescent="0.3">
      <c r="A7" s="218" t="s">
        <v>30</v>
      </c>
      <c r="B7" s="218"/>
      <c r="C7" s="218"/>
      <c r="D7" s="219" t="s">
        <v>133</v>
      </c>
      <c r="E7" s="219"/>
      <c r="F7" s="219"/>
      <c r="G7" s="219"/>
      <c r="H7" s="219"/>
      <c r="I7" s="219"/>
      <c r="J7" s="219"/>
      <c r="K7" s="219"/>
      <c r="L7" s="103"/>
    </row>
    <row r="8" spans="1:15" ht="16.5" thickBot="1" x14ac:dyDescent="0.3">
      <c r="A8" s="222" t="s">
        <v>31</v>
      </c>
      <c r="B8" s="222"/>
      <c r="C8" s="222"/>
      <c r="D8" s="223" t="s">
        <v>71</v>
      </c>
      <c r="E8" s="223"/>
      <c r="F8" s="223"/>
      <c r="G8" s="223"/>
      <c r="H8" s="223"/>
      <c r="I8" s="223"/>
      <c r="J8" s="223"/>
      <c r="K8" s="223"/>
      <c r="L8" s="103"/>
    </row>
    <row r="9" spans="1:15" ht="16.5" thickBot="1" x14ac:dyDescent="0.3">
      <c r="A9" s="118"/>
      <c r="B9" s="119"/>
      <c r="C9" s="119"/>
      <c r="D9" s="24"/>
      <c r="E9" s="24"/>
      <c r="F9" s="24"/>
      <c r="G9" s="24"/>
      <c r="H9" s="24"/>
      <c r="I9" s="24"/>
      <c r="J9" s="120"/>
      <c r="K9" s="121"/>
      <c r="L9" s="103"/>
    </row>
    <row r="10" spans="1:15" ht="15.75" thickBot="1" x14ac:dyDescent="0.3">
      <c r="A10" s="228" t="s">
        <v>32</v>
      </c>
      <c r="B10" s="226" t="s">
        <v>33</v>
      </c>
      <c r="C10" s="226" t="s">
        <v>34</v>
      </c>
      <c r="D10" s="226"/>
      <c r="E10" s="226"/>
      <c r="F10" s="226"/>
      <c r="G10" s="226"/>
      <c r="H10" s="226" t="s">
        <v>35</v>
      </c>
      <c r="I10" s="226" t="s">
        <v>36</v>
      </c>
      <c r="J10" s="227" t="s">
        <v>37</v>
      </c>
      <c r="K10" s="224" t="s">
        <v>38</v>
      </c>
      <c r="L10" s="104"/>
    </row>
    <row r="11" spans="1:15" ht="23.25" customHeight="1" thickBot="1" x14ac:dyDescent="0.3">
      <c r="A11" s="240"/>
      <c r="B11" s="241"/>
      <c r="C11" s="241"/>
      <c r="D11" s="241"/>
      <c r="E11" s="241"/>
      <c r="F11" s="241"/>
      <c r="G11" s="241"/>
      <c r="H11" s="241"/>
      <c r="I11" s="241"/>
      <c r="J11" s="242"/>
      <c r="K11" s="236"/>
      <c r="L11" s="104"/>
    </row>
    <row r="12" spans="1:15" s="11" customFormat="1" ht="16.5" customHeight="1" x14ac:dyDescent="0.25">
      <c r="A12" s="122">
        <v>1</v>
      </c>
      <c r="B12" s="123" t="str">
        <f>'SAF 011'!B12</f>
        <v>2.5.2-711.32</v>
      </c>
      <c r="C12" s="237" t="str">
        <f>'SAF 011'!E12</f>
        <v>ALCOHOL USO MEDICINAL; PUREZA: 96 %, PRESENTACION: ENVASE X 1000 CM3</v>
      </c>
      <c r="D12" s="238"/>
      <c r="E12" s="238"/>
      <c r="F12" s="238"/>
      <c r="G12" s="239"/>
      <c r="H12" s="123" t="s">
        <v>73</v>
      </c>
      <c r="I12" s="124" t="str">
        <f>'SAF 011'!F12</f>
        <v>BOTELLA</v>
      </c>
      <c r="J12" s="125">
        <f>'SAF 011'!H12</f>
        <v>201</v>
      </c>
      <c r="K12" s="126" t="e">
        <f>'SAF 011'!#REF!</f>
        <v>#REF!</v>
      </c>
      <c r="L12" s="105">
        <v>252</v>
      </c>
      <c r="M12" s="101" t="b">
        <f>B12='SAF 011'!B12</f>
        <v>1</v>
      </c>
      <c r="N12" s="12" t="e">
        <f t="shared" ref="N12" si="0">+J12*K12</f>
        <v>#REF!</v>
      </c>
      <c r="O12" s="101" t="b">
        <f>C12='SAF 011'!E12</f>
        <v>1</v>
      </c>
    </row>
    <row r="13" spans="1:15" ht="16.5" thickBot="1" x14ac:dyDescent="0.3">
      <c r="A13" s="127"/>
      <c r="B13" s="128"/>
      <c r="C13" s="235"/>
      <c r="D13" s="235"/>
      <c r="E13" s="235"/>
      <c r="F13" s="235"/>
      <c r="G13" s="235"/>
      <c r="H13" s="129"/>
      <c r="I13" s="130"/>
      <c r="J13" s="131"/>
      <c r="K13" s="132"/>
      <c r="L13" s="106"/>
    </row>
    <row r="14" spans="1:15" s="14" customFormat="1" ht="19.5" thickBot="1" x14ac:dyDescent="0.3">
      <c r="A14" s="233" t="s">
        <v>75</v>
      </c>
      <c r="B14" s="233"/>
      <c r="C14" s="233"/>
      <c r="D14" s="233"/>
      <c r="E14" s="233"/>
      <c r="F14" s="233"/>
      <c r="G14" s="233"/>
      <c r="H14" s="233"/>
      <c r="I14" s="233"/>
      <c r="J14" s="234" t="e">
        <f>+N14</f>
        <v>#REF!</v>
      </c>
      <c r="K14" s="234"/>
      <c r="L14" s="107"/>
      <c r="M14" s="108"/>
      <c r="N14" s="15" t="e">
        <f>SUM(N12:N13)</f>
        <v>#REF!</v>
      </c>
      <c r="O14" s="108"/>
    </row>
    <row r="16" spans="1:15" x14ac:dyDescent="0.25">
      <c r="K16" s="111" t="e">
        <f>+J12*K12</f>
        <v>#REF!</v>
      </c>
    </row>
  </sheetData>
  <mergeCells count="24">
    <mergeCell ref="C13:G13"/>
    <mergeCell ref="A14:I14"/>
    <mergeCell ref="J14:K14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17"/>
  <sheetViews>
    <sheetView workbookViewId="0">
      <selection activeCell="G22" sqref="G22"/>
    </sheetView>
  </sheetViews>
  <sheetFormatPr baseColWidth="10" defaultRowHeight="15" x14ac:dyDescent="0.25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8.8554687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11" customWidth="1"/>
    <col min="13" max="13" width="11.85546875" style="101" bestFit="1" customWidth="1"/>
    <col min="14" max="14" width="13" style="12" bestFit="1" customWidth="1"/>
    <col min="15" max="15" width="11.85546875" style="101" bestFit="1" customWidth="1"/>
  </cols>
  <sheetData>
    <row r="1" spans="1:15" ht="30.75" thickBot="1" x14ac:dyDescent="0.3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112" t="s">
        <v>25</v>
      </c>
      <c r="K1" s="113" t="s">
        <v>79</v>
      </c>
      <c r="L1" s="100"/>
    </row>
    <row r="2" spans="1:15" ht="16.5" thickBot="1" x14ac:dyDescent="0.3">
      <c r="A2" s="114"/>
      <c r="B2" s="115"/>
      <c r="C2" s="115"/>
      <c r="D2" s="23"/>
      <c r="E2" s="23"/>
      <c r="F2" s="23"/>
      <c r="G2" s="23"/>
      <c r="H2" s="23"/>
      <c r="I2" s="23"/>
      <c r="J2" s="116"/>
      <c r="K2" s="117"/>
      <c r="L2" s="102"/>
    </row>
    <row r="3" spans="1:15" ht="16.5" thickBot="1" x14ac:dyDescent="0.3">
      <c r="A3" s="221" t="s">
        <v>26</v>
      </c>
      <c r="B3" s="221"/>
      <c r="C3" s="221"/>
      <c r="D3" s="219" t="str">
        <f>'SAF 011'!C4</f>
        <v>040 - MINISTERIO DE SALUD</v>
      </c>
      <c r="E3" s="219"/>
      <c r="F3" s="219"/>
      <c r="G3" s="219"/>
      <c r="H3" s="219"/>
      <c r="I3" s="219"/>
      <c r="J3" s="219"/>
      <c r="K3" s="219"/>
      <c r="L3" s="103"/>
    </row>
    <row r="4" spans="1:15" ht="16.5" thickBot="1" x14ac:dyDescent="0.3">
      <c r="A4" s="218" t="s">
        <v>27</v>
      </c>
      <c r="B4" s="218"/>
      <c r="C4" s="218"/>
      <c r="D4" s="219" t="str">
        <f>'SAF 011'!C5</f>
        <v>011 - DIRECCION PROVINCIAL DE ADMINISTRACION - MINISTERIO DE SALUD</v>
      </c>
      <c r="E4" s="219"/>
      <c r="F4" s="219"/>
      <c r="G4" s="219"/>
      <c r="H4" s="219"/>
      <c r="I4" s="219"/>
      <c r="J4" s="219"/>
      <c r="K4" s="219"/>
      <c r="L4" s="103"/>
    </row>
    <row r="5" spans="1:15" ht="16.5" thickBot="1" x14ac:dyDescent="0.3">
      <c r="A5" s="218" t="s">
        <v>28</v>
      </c>
      <c r="B5" s="218"/>
      <c r="C5" s="218"/>
      <c r="D5" s="219" t="s">
        <v>80</v>
      </c>
      <c r="E5" s="219"/>
      <c r="F5" s="219"/>
      <c r="G5" s="219"/>
      <c r="H5" s="219"/>
      <c r="I5" s="219"/>
      <c r="J5" s="219"/>
      <c r="K5" s="219"/>
      <c r="L5" s="103"/>
    </row>
    <row r="6" spans="1:15" ht="16.5" thickBot="1" x14ac:dyDescent="0.3">
      <c r="A6" s="221" t="s">
        <v>29</v>
      </c>
      <c r="B6" s="221"/>
      <c r="C6" s="221"/>
      <c r="D6" s="219" t="s">
        <v>80</v>
      </c>
      <c r="E6" s="219"/>
      <c r="F6" s="219"/>
      <c r="G6" s="219"/>
      <c r="H6" s="219"/>
      <c r="I6" s="219"/>
      <c r="J6" s="219"/>
      <c r="K6" s="219"/>
      <c r="L6" s="103"/>
    </row>
    <row r="7" spans="1:15" ht="16.5" thickBot="1" x14ac:dyDescent="0.3">
      <c r="A7" s="218" t="s">
        <v>30</v>
      </c>
      <c r="B7" s="218"/>
      <c r="C7" s="218"/>
      <c r="D7" s="219" t="s">
        <v>133</v>
      </c>
      <c r="E7" s="219"/>
      <c r="F7" s="219"/>
      <c r="G7" s="219"/>
      <c r="H7" s="219"/>
      <c r="I7" s="219"/>
      <c r="J7" s="219"/>
      <c r="K7" s="219"/>
      <c r="L7" s="103"/>
    </row>
    <row r="8" spans="1:15" ht="16.5" thickBot="1" x14ac:dyDescent="0.3">
      <c r="A8" s="222" t="s">
        <v>31</v>
      </c>
      <c r="B8" s="222"/>
      <c r="C8" s="222"/>
      <c r="D8" s="223" t="s">
        <v>71</v>
      </c>
      <c r="E8" s="223"/>
      <c r="F8" s="223"/>
      <c r="G8" s="223"/>
      <c r="H8" s="223"/>
      <c r="I8" s="223"/>
      <c r="J8" s="223"/>
      <c r="K8" s="223"/>
      <c r="L8" s="103"/>
    </row>
    <row r="9" spans="1:15" ht="16.5" thickBot="1" x14ac:dyDescent="0.3">
      <c r="A9" s="118"/>
      <c r="B9" s="119"/>
      <c r="C9" s="119"/>
      <c r="D9" s="24"/>
      <c r="E9" s="24"/>
      <c r="F9" s="24"/>
      <c r="G9" s="24"/>
      <c r="H9" s="24"/>
      <c r="I9" s="24"/>
      <c r="J9" s="120"/>
      <c r="K9" s="121"/>
      <c r="L9" s="103"/>
    </row>
    <row r="10" spans="1:15" ht="15.75" thickBot="1" x14ac:dyDescent="0.3">
      <c r="A10" s="228" t="s">
        <v>32</v>
      </c>
      <c r="B10" s="226" t="s">
        <v>33</v>
      </c>
      <c r="C10" s="226" t="s">
        <v>34</v>
      </c>
      <c r="D10" s="226"/>
      <c r="E10" s="226"/>
      <c r="F10" s="226"/>
      <c r="G10" s="226"/>
      <c r="H10" s="226" t="s">
        <v>35</v>
      </c>
      <c r="I10" s="226" t="s">
        <v>36</v>
      </c>
      <c r="J10" s="227" t="s">
        <v>37</v>
      </c>
      <c r="K10" s="224" t="s">
        <v>38</v>
      </c>
      <c r="L10" s="104"/>
    </row>
    <row r="11" spans="1:15" ht="23.25" customHeight="1" thickBot="1" x14ac:dyDescent="0.3">
      <c r="A11" s="240"/>
      <c r="B11" s="241"/>
      <c r="C11" s="241"/>
      <c r="D11" s="241"/>
      <c r="E11" s="241"/>
      <c r="F11" s="241"/>
      <c r="G11" s="241"/>
      <c r="H11" s="241"/>
      <c r="I11" s="241"/>
      <c r="J11" s="242"/>
      <c r="K11" s="236"/>
      <c r="L11" s="104"/>
    </row>
    <row r="12" spans="1:15" s="11" customFormat="1" ht="21.75" customHeight="1" x14ac:dyDescent="0.25">
      <c r="A12" s="122">
        <v>1</v>
      </c>
      <c r="B12" s="123" t="str">
        <f>'SAF 011'!B11</f>
        <v>2.5.2-711.41</v>
      </c>
      <c r="C12" s="237" t="str">
        <f>'SAF 011'!E11</f>
        <v>ALCOHOL USO MEDICINAL; PUREZA: 70 %, PRESENTACION: GEL ENVASE X 250 CM3</v>
      </c>
      <c r="D12" s="238"/>
      <c r="E12" s="238"/>
      <c r="F12" s="238"/>
      <c r="G12" s="239"/>
      <c r="H12" s="123" t="s">
        <v>73</v>
      </c>
      <c r="I12" s="124" t="str">
        <f>'SAF 011'!F11</f>
        <v>UNIDAD</v>
      </c>
      <c r="J12" s="125">
        <f>'SAF 011'!H11</f>
        <v>158</v>
      </c>
      <c r="K12" s="126" t="e">
        <f>'SAF 011'!#REF!</f>
        <v>#REF!</v>
      </c>
      <c r="L12" s="105">
        <v>252</v>
      </c>
      <c r="M12" s="101" t="b">
        <f>'SAF 011'!B11=B12</f>
        <v>1</v>
      </c>
      <c r="N12" s="12" t="e">
        <f>+J12*K12</f>
        <v>#REF!</v>
      </c>
      <c r="O12" s="101" t="b">
        <f>C12='SAF 011'!E11</f>
        <v>1</v>
      </c>
    </row>
    <row r="13" spans="1:15" s="11" customFormat="1" ht="33" customHeight="1" x14ac:dyDescent="0.25">
      <c r="A13" s="149">
        <v>2</v>
      </c>
      <c r="B13" s="150" t="str">
        <f>'SAF 011'!B13</f>
        <v>2.5.2-711.1</v>
      </c>
      <c r="C13" s="229" t="str">
        <f>'SAF 011'!E13</f>
        <v>ALCOHOL USO MEDICINAL; PUREZA: 96 %, PRESENTACION: ENVASE X 500 CM3, CAPACIDAD: 500 CM3</v>
      </c>
      <c r="D13" s="230"/>
      <c r="E13" s="230"/>
      <c r="F13" s="230"/>
      <c r="G13" s="231"/>
      <c r="H13" s="150" t="s">
        <v>73</v>
      </c>
      <c r="I13" s="151" t="str">
        <f>'SAF 011'!F13</f>
        <v>BOTELLA</v>
      </c>
      <c r="J13" s="152">
        <f>'SAF 011'!H13</f>
        <v>108</v>
      </c>
      <c r="K13" s="153" t="e">
        <f>'SAF 011'!#REF!</f>
        <v>#REF!</v>
      </c>
      <c r="L13" s="105">
        <v>252</v>
      </c>
      <c r="M13" s="101" t="b">
        <f>B13='SAF 011'!B13</f>
        <v>1</v>
      </c>
      <c r="N13" s="12" t="e">
        <f>+J13*K13</f>
        <v>#REF!</v>
      </c>
      <c r="O13" s="101" t="b">
        <f>'SAF 011'!E13=C13</f>
        <v>1</v>
      </c>
    </row>
    <row r="14" spans="1:15" ht="16.5" thickBot="1" x14ac:dyDescent="0.3">
      <c r="A14" s="127"/>
      <c r="B14" s="128"/>
      <c r="C14" s="235"/>
      <c r="D14" s="235"/>
      <c r="E14" s="235"/>
      <c r="F14" s="235"/>
      <c r="G14" s="235"/>
      <c r="H14" s="129"/>
      <c r="I14" s="130"/>
      <c r="J14" s="131"/>
      <c r="K14" s="132"/>
      <c r="L14" s="106"/>
    </row>
    <row r="15" spans="1:15" ht="19.5" thickBot="1" x14ac:dyDescent="0.3">
      <c r="A15" s="233" t="s">
        <v>81</v>
      </c>
      <c r="B15" s="233"/>
      <c r="C15" s="233"/>
      <c r="D15" s="233"/>
      <c r="E15" s="233"/>
      <c r="F15" s="233"/>
      <c r="G15" s="233"/>
      <c r="H15" s="233"/>
      <c r="I15" s="233"/>
      <c r="J15" s="243" t="e">
        <f>+N15</f>
        <v>#REF!</v>
      </c>
      <c r="K15" s="243"/>
      <c r="L15" s="156"/>
      <c r="N15" s="12" t="e">
        <f>SUM(N12:N14)</f>
        <v>#REF!</v>
      </c>
    </row>
    <row r="17" spans="10:12" x14ac:dyDescent="0.25">
      <c r="J17" s="159" t="e">
        <f>+J12*K12+J13*K13</f>
        <v>#REF!</v>
      </c>
      <c r="K17" s="158"/>
      <c r="L17" s="157"/>
    </row>
  </sheetData>
  <mergeCells count="25">
    <mergeCell ref="C14:G14"/>
    <mergeCell ref="A15:I15"/>
    <mergeCell ref="J15:K15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Q42"/>
  <sheetViews>
    <sheetView topLeftCell="A13" workbookViewId="0">
      <selection activeCell="V34" sqref="V34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6" width="14.85546875" style="25" customWidth="1"/>
    <col min="17" max="17" width="14.7109375" style="25" customWidth="1"/>
  </cols>
  <sheetData>
    <row r="1" spans="1:17" ht="15.75" thickBot="1" x14ac:dyDescent="0.3">
      <c r="A1" s="245" t="s">
        <v>5</v>
      </c>
      <c r="B1" s="245"/>
      <c r="C1" s="245"/>
      <c r="D1" s="246">
        <v>2022</v>
      </c>
      <c r="E1" s="246"/>
      <c r="F1" s="160"/>
      <c r="G1" s="160"/>
      <c r="H1" s="161"/>
      <c r="I1" s="161"/>
      <c r="J1" s="161"/>
      <c r="K1" s="161"/>
      <c r="L1" s="161"/>
      <c r="M1" s="161"/>
      <c r="N1" s="161"/>
      <c r="O1" s="162"/>
      <c r="P1" s="247" t="s">
        <v>39</v>
      </c>
      <c r="Q1" s="247"/>
    </row>
    <row r="2" spans="1:17" ht="15.75" thickBot="1" x14ac:dyDescent="0.3">
      <c r="A2" s="163"/>
      <c r="B2" s="164"/>
      <c r="C2" s="164"/>
      <c r="D2" s="164"/>
      <c r="E2" s="164"/>
      <c r="F2" s="164"/>
      <c r="G2" s="165"/>
      <c r="H2" s="166"/>
      <c r="I2" s="166"/>
      <c r="J2" s="166"/>
      <c r="K2" s="166"/>
      <c r="L2" s="166"/>
      <c r="M2" s="166"/>
      <c r="N2" s="166"/>
      <c r="O2" s="164"/>
      <c r="P2" s="247"/>
      <c r="Q2" s="247"/>
    </row>
    <row r="3" spans="1:17" thickBot="1" x14ac:dyDescent="0.35">
      <c r="A3" s="163"/>
      <c r="B3" s="164"/>
      <c r="C3" s="164"/>
      <c r="D3" s="164"/>
      <c r="E3" s="164"/>
      <c r="F3" s="164"/>
      <c r="G3" s="165"/>
      <c r="H3" s="164"/>
      <c r="I3" s="164"/>
      <c r="J3" s="164"/>
      <c r="K3" s="164"/>
      <c r="L3" s="164"/>
      <c r="M3" s="164"/>
      <c r="N3" s="164"/>
      <c r="O3" s="164"/>
      <c r="P3" s="164"/>
      <c r="Q3" s="167"/>
    </row>
    <row r="4" spans="1:17" s="25" customFormat="1" ht="15.75" thickBot="1" x14ac:dyDescent="0.3">
      <c r="A4" s="248" t="s">
        <v>40</v>
      </c>
      <c r="B4" s="248"/>
      <c r="C4" s="248"/>
      <c r="D4" s="248"/>
      <c r="E4" s="248"/>
      <c r="F4" s="248"/>
      <c r="G4" s="249" t="str">
        <f>'NP FARMACIA'!D3</f>
        <v>040 - MINISTERIO DE SALUD</v>
      </c>
      <c r="H4" s="249"/>
      <c r="I4" s="249"/>
      <c r="J4" s="249"/>
      <c r="K4" s="249"/>
      <c r="L4" s="249"/>
      <c r="M4" s="249"/>
      <c r="N4" s="249"/>
      <c r="O4" s="249"/>
      <c r="P4" s="249"/>
      <c r="Q4" s="249"/>
    </row>
    <row r="5" spans="1:17" s="25" customFormat="1" thickBot="1" x14ac:dyDescent="0.35">
      <c r="A5" s="250" t="s">
        <v>27</v>
      </c>
      <c r="B5" s="250"/>
      <c r="C5" s="250"/>
      <c r="D5" s="250"/>
      <c r="E5" s="250"/>
      <c r="F5" s="250"/>
      <c r="G5" s="249" t="str">
        <f>'NP FARMACIA'!D4</f>
        <v>011 - DIRECCION PROVINCIAL DE ADMINISTRACION - MINISTERIO DE SALUD</v>
      </c>
      <c r="H5" s="249"/>
      <c r="I5" s="249"/>
      <c r="J5" s="249"/>
      <c r="K5" s="249"/>
      <c r="L5" s="249"/>
      <c r="M5" s="249"/>
      <c r="N5" s="249"/>
      <c r="O5" s="249"/>
      <c r="P5" s="249"/>
      <c r="Q5" s="249"/>
    </row>
    <row r="6" spans="1:17" s="25" customFormat="1" thickBot="1" x14ac:dyDescent="0.35">
      <c r="A6" s="250" t="s">
        <v>28</v>
      </c>
      <c r="B6" s="250"/>
      <c r="C6" s="250"/>
      <c r="D6" s="250"/>
      <c r="E6" s="250"/>
      <c r="F6" s="250"/>
      <c r="G6" s="249" t="str">
        <f>'NP FARMACIA'!D5</f>
        <v>DIRECCION PROVINCIAL DE FARMACIA E INSUMOS</v>
      </c>
      <c r="H6" s="249"/>
      <c r="I6" s="249"/>
      <c r="J6" s="249"/>
      <c r="K6" s="249"/>
      <c r="L6" s="249"/>
      <c r="M6" s="249"/>
      <c r="N6" s="249"/>
      <c r="O6" s="249"/>
      <c r="P6" s="249"/>
      <c r="Q6" s="249"/>
    </row>
    <row r="7" spans="1:17" s="25" customFormat="1" thickBot="1" x14ac:dyDescent="0.35">
      <c r="A7" s="250" t="s">
        <v>29</v>
      </c>
      <c r="B7" s="250"/>
      <c r="C7" s="250"/>
      <c r="D7" s="250"/>
      <c r="E7" s="250"/>
      <c r="F7" s="250"/>
      <c r="G7" s="249" t="str">
        <f>'NP FARMACIA'!D6</f>
        <v>DIRECCION PROVINCIAL DE FARMACIA E INSUMOS</v>
      </c>
      <c r="H7" s="249"/>
      <c r="I7" s="249"/>
      <c r="J7" s="249"/>
      <c r="K7" s="249"/>
      <c r="L7" s="249"/>
      <c r="M7" s="249"/>
      <c r="N7" s="249"/>
      <c r="O7" s="249"/>
      <c r="P7" s="249"/>
      <c r="Q7" s="249"/>
    </row>
    <row r="8" spans="1:17" s="25" customFormat="1" ht="15.75" thickBot="1" x14ac:dyDescent="0.3">
      <c r="A8" s="251" t="s">
        <v>41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</row>
    <row r="9" spans="1:17" s="25" customFormat="1" ht="20.25" customHeight="1" x14ac:dyDescent="0.25">
      <c r="A9" s="244" t="s">
        <v>42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</row>
    <row r="10" spans="1:17" s="25" customFormat="1" ht="69" customHeight="1" x14ac:dyDescent="0.25">
      <c r="A10" s="253" t="s">
        <v>90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</row>
    <row r="11" spans="1:17" s="25" customFormat="1" thickBot="1" x14ac:dyDescent="0.35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38"/>
    </row>
    <row r="12" spans="1:17" s="25" customFormat="1" ht="15.75" thickBot="1" x14ac:dyDescent="0.3">
      <c r="A12" s="254" t="s">
        <v>43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</row>
    <row r="13" spans="1:17" s="25" customFormat="1" ht="15.75" thickBot="1" x14ac:dyDescent="0.3">
      <c r="A13" s="255" t="s">
        <v>44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6" t="s">
        <v>45</v>
      </c>
      <c r="P13" s="256"/>
      <c r="Q13" s="257" t="s">
        <v>46</v>
      </c>
    </row>
    <row r="14" spans="1:17" s="25" customFormat="1" ht="15.75" thickBot="1" x14ac:dyDescent="0.3">
      <c r="A14" s="39" t="s">
        <v>47</v>
      </c>
      <c r="B14" s="40" t="s">
        <v>48</v>
      </c>
      <c r="C14" s="40" t="s">
        <v>49</v>
      </c>
      <c r="D14" s="40" t="s">
        <v>50</v>
      </c>
      <c r="E14" s="40" t="s">
        <v>51</v>
      </c>
      <c r="F14" s="40" t="s">
        <v>52</v>
      </c>
      <c r="G14" s="41" t="s">
        <v>53</v>
      </c>
      <c r="H14" s="40" t="s">
        <v>54</v>
      </c>
      <c r="I14" s="40" t="s">
        <v>55</v>
      </c>
      <c r="J14" s="40" t="s">
        <v>56</v>
      </c>
      <c r="K14" s="40" t="s">
        <v>56</v>
      </c>
      <c r="L14" s="40" t="s">
        <v>57</v>
      </c>
      <c r="M14" s="42" t="s">
        <v>58</v>
      </c>
      <c r="N14" s="43" t="s">
        <v>59</v>
      </c>
      <c r="O14" s="256"/>
      <c r="P14" s="256"/>
      <c r="Q14" s="257"/>
    </row>
    <row r="15" spans="1:17" s="25" customFormat="1" ht="33.75" customHeight="1" x14ac:dyDescent="0.3">
      <c r="A15" s="27">
        <v>30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1</v>
      </c>
      <c r="L15" s="28"/>
      <c r="M15" s="29">
        <v>1</v>
      </c>
      <c r="N15" s="28" t="s">
        <v>69</v>
      </c>
      <c r="O15" s="258" t="s">
        <v>74</v>
      </c>
      <c r="P15" s="258"/>
      <c r="Q15" s="44" t="e">
        <f>+'NP FARMACIA'!L23</f>
        <v>#REF!</v>
      </c>
    </row>
    <row r="16" spans="1:17" s="25" customFormat="1" ht="30" customHeight="1" x14ac:dyDescent="0.25">
      <c r="A16" s="30">
        <v>30</v>
      </c>
      <c r="B16" s="31"/>
      <c r="C16" s="31"/>
      <c r="D16" s="31">
        <v>1</v>
      </c>
      <c r="E16" s="31"/>
      <c r="F16" s="31">
        <v>4901</v>
      </c>
      <c r="G16" s="31">
        <v>3</v>
      </c>
      <c r="H16" s="31">
        <v>1</v>
      </c>
      <c r="I16" s="31">
        <v>2</v>
      </c>
      <c r="J16" s="31">
        <v>5</v>
      </c>
      <c r="K16" s="31">
        <v>2</v>
      </c>
      <c r="L16" s="31"/>
      <c r="M16" s="32">
        <v>1</v>
      </c>
      <c r="N16" s="33" t="s">
        <v>69</v>
      </c>
      <c r="O16" s="259" t="s">
        <v>70</v>
      </c>
      <c r="P16" s="260"/>
      <c r="Q16" s="34" t="e">
        <f>+'NP FARMACIA'!L22+'NP LABORATORIO'!K16+'NP BANCO DE SANGRE'!J17</f>
        <v>#REF!</v>
      </c>
    </row>
    <row r="17" spans="1:17" s="25" customFormat="1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261"/>
      <c r="P17" s="262"/>
      <c r="Q17" s="34"/>
    </row>
    <row r="18" spans="1:1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52"/>
      <c r="P18" s="252"/>
      <c r="Q18" s="34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52"/>
      <c r="P19" s="252"/>
      <c r="Q19" s="34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52"/>
      <c r="P20" s="252"/>
      <c r="Q20" s="34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52"/>
      <c r="P21" s="252"/>
      <c r="Q21" s="34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52"/>
      <c r="P22" s="252"/>
      <c r="Q22" s="34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52"/>
      <c r="P23" s="252"/>
      <c r="Q23" s="34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52"/>
      <c r="P24" s="252"/>
      <c r="Q24" s="34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52"/>
      <c r="P25" s="252"/>
      <c r="Q25" s="34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52"/>
      <c r="P26" s="252"/>
      <c r="Q26" s="34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52"/>
      <c r="P27" s="252"/>
      <c r="Q27" s="34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52"/>
      <c r="P28" s="252"/>
      <c r="Q28" s="34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52"/>
      <c r="P29" s="252"/>
      <c r="Q29" s="34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52"/>
      <c r="P30" s="252"/>
      <c r="Q30" s="34"/>
    </row>
    <row r="31" spans="1:17" ht="14.45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252"/>
      <c r="P31" s="252"/>
      <c r="Q31" s="34"/>
    </row>
    <row r="32" spans="1:17" ht="14.45" x14ac:dyDescent="0.3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263"/>
      <c r="P32" s="263"/>
      <c r="Q32" s="34"/>
    </row>
    <row r="33" spans="1:17" ht="14.45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263"/>
      <c r="P33" s="263"/>
      <c r="Q33" s="34"/>
    </row>
    <row r="34" spans="1:17" ht="14.45" x14ac:dyDescent="0.3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63"/>
      <c r="P34" s="263"/>
      <c r="Q34" s="34"/>
    </row>
    <row r="35" spans="1:17" ht="14.45" x14ac:dyDescent="0.3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263"/>
      <c r="P35" s="263"/>
      <c r="Q35" s="34"/>
    </row>
    <row r="36" spans="1:17" ht="14.45" x14ac:dyDescent="0.3">
      <c r="A36" s="168"/>
      <c r="B36" s="169"/>
      <c r="C36" s="169"/>
      <c r="D36" s="169"/>
      <c r="E36" s="169"/>
      <c r="F36" s="170"/>
      <c r="G36" s="169"/>
      <c r="H36" s="169"/>
      <c r="I36" s="169"/>
      <c r="J36" s="169"/>
      <c r="K36" s="169"/>
      <c r="L36" s="169"/>
      <c r="M36" s="171"/>
      <c r="N36" s="172"/>
      <c r="O36" s="267"/>
      <c r="P36" s="267"/>
      <c r="Q36" s="34"/>
    </row>
    <row r="37" spans="1:17" thickBot="1" x14ac:dyDescent="0.35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5"/>
      <c r="N37" s="174"/>
      <c r="O37" s="268"/>
      <c r="P37" s="268"/>
      <c r="Q37" s="176"/>
    </row>
    <row r="38" spans="1:17" ht="15.75" thickBot="1" x14ac:dyDescent="0.3">
      <c r="A38" s="269" t="s">
        <v>119</v>
      </c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177" t="e">
        <f>SUM(Q15:Q37)</f>
        <v>#REF!</v>
      </c>
    </row>
    <row r="39" spans="1:17" thickBot="1" x14ac:dyDescent="0.35">
      <c r="A39" s="270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</row>
    <row r="40" spans="1:17" ht="15.75" thickBot="1" x14ac:dyDescent="0.3">
      <c r="A40" s="264" t="s">
        <v>60</v>
      </c>
      <c r="B40" s="264"/>
      <c r="C40" s="264"/>
      <c r="D40" s="264"/>
      <c r="E40" s="264"/>
      <c r="F40" s="264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</row>
    <row r="41" spans="1:17" ht="15.75" thickBot="1" x14ac:dyDescent="0.3">
      <c r="A41" s="266" t="str">
        <f>'NP FARMACIA'!D8</f>
        <v>ADQUISICION DEL RUBRO ANTISEPTICOS Y DESINFECTANTES</v>
      </c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</row>
    <row r="42" spans="1:17" ht="15.75" thickBot="1" x14ac:dyDescent="0.3">
      <c r="A42" s="266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O19"/>
  <sheetViews>
    <sheetView workbookViewId="0">
      <selection activeCell="J13" sqref="J13"/>
    </sheetView>
  </sheetViews>
  <sheetFormatPr baseColWidth="10" defaultRowHeight="15" x14ac:dyDescent="0.25"/>
  <cols>
    <col min="1" max="1" width="5.5703125" style="25" customWidth="1"/>
    <col min="2" max="2" width="15.140625" style="15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69.5703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11" customWidth="1"/>
    <col min="13" max="13" width="11.85546875" style="101" bestFit="1" customWidth="1"/>
    <col min="14" max="14" width="13" style="12" bestFit="1" customWidth="1"/>
    <col min="15" max="15" width="11.85546875" style="101" bestFit="1" customWidth="1"/>
  </cols>
  <sheetData>
    <row r="1" spans="1:15" ht="30.75" thickBot="1" x14ac:dyDescent="0.3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112" t="s">
        <v>25</v>
      </c>
      <c r="K1" s="113" t="s">
        <v>76</v>
      </c>
      <c r="L1" s="100"/>
    </row>
    <row r="2" spans="1:15" ht="16.5" thickBot="1" x14ac:dyDescent="0.3">
      <c r="A2" s="114"/>
      <c r="B2" s="142"/>
      <c r="C2" s="115"/>
      <c r="D2" s="23"/>
      <c r="E2" s="23"/>
      <c r="F2" s="23"/>
      <c r="G2" s="23"/>
      <c r="H2" s="23"/>
      <c r="I2" s="23"/>
      <c r="J2" s="116"/>
      <c r="K2" s="117"/>
      <c r="L2" s="102"/>
    </row>
    <row r="3" spans="1:15" ht="16.5" thickBot="1" x14ac:dyDescent="0.3">
      <c r="A3" s="221" t="s">
        <v>26</v>
      </c>
      <c r="B3" s="221"/>
      <c r="C3" s="221"/>
      <c r="D3" s="219" t="str">
        <f>'SAF 011'!C4</f>
        <v>040 - MINISTERIO DE SALUD</v>
      </c>
      <c r="E3" s="219"/>
      <c r="F3" s="219"/>
      <c r="G3" s="219"/>
      <c r="H3" s="219"/>
      <c r="I3" s="219"/>
      <c r="J3" s="219"/>
      <c r="K3" s="219"/>
      <c r="L3" s="103"/>
    </row>
    <row r="4" spans="1:15" ht="16.5" thickBot="1" x14ac:dyDescent="0.3">
      <c r="A4" s="218" t="s">
        <v>27</v>
      </c>
      <c r="B4" s="218"/>
      <c r="C4" s="218"/>
      <c r="D4" s="219" t="str">
        <f>'SAF 011'!C5</f>
        <v>011 - DIRECCION PROVINCIAL DE ADMINISTRACION - MINISTERIO DE SALUD</v>
      </c>
      <c r="E4" s="219"/>
      <c r="F4" s="219"/>
      <c r="G4" s="219"/>
      <c r="H4" s="219"/>
      <c r="I4" s="219"/>
      <c r="J4" s="219"/>
      <c r="K4" s="219"/>
      <c r="L4" s="103"/>
    </row>
    <row r="5" spans="1:15" ht="16.5" thickBot="1" x14ac:dyDescent="0.3">
      <c r="A5" s="218" t="s">
        <v>28</v>
      </c>
      <c r="B5" s="218"/>
      <c r="C5" s="218"/>
      <c r="D5" s="219" t="s">
        <v>83</v>
      </c>
      <c r="E5" s="219"/>
      <c r="F5" s="219"/>
      <c r="G5" s="219"/>
      <c r="H5" s="219"/>
      <c r="I5" s="219"/>
      <c r="J5" s="219"/>
      <c r="K5" s="219"/>
      <c r="L5" s="103"/>
    </row>
    <row r="6" spans="1:15" ht="16.5" thickBot="1" x14ac:dyDescent="0.3">
      <c r="A6" s="221" t="s">
        <v>29</v>
      </c>
      <c r="B6" s="221"/>
      <c r="C6" s="221"/>
      <c r="D6" s="219" t="s">
        <v>83</v>
      </c>
      <c r="E6" s="219"/>
      <c r="F6" s="219"/>
      <c r="G6" s="219"/>
      <c r="H6" s="219"/>
      <c r="I6" s="219"/>
      <c r="J6" s="219"/>
      <c r="K6" s="219"/>
      <c r="L6" s="103"/>
    </row>
    <row r="7" spans="1:15" ht="16.5" thickBot="1" x14ac:dyDescent="0.3">
      <c r="A7" s="218" t="s">
        <v>30</v>
      </c>
      <c r="B7" s="218"/>
      <c r="C7" s="218"/>
      <c r="D7" s="219" t="s">
        <v>133</v>
      </c>
      <c r="E7" s="219"/>
      <c r="F7" s="219"/>
      <c r="G7" s="219"/>
      <c r="H7" s="219"/>
      <c r="I7" s="219"/>
      <c r="J7" s="219"/>
      <c r="K7" s="219"/>
      <c r="L7" s="103"/>
    </row>
    <row r="8" spans="1:15" ht="16.5" thickBot="1" x14ac:dyDescent="0.3">
      <c r="A8" s="222" t="s">
        <v>31</v>
      </c>
      <c r="B8" s="222"/>
      <c r="C8" s="222"/>
      <c r="D8" s="223" t="s">
        <v>71</v>
      </c>
      <c r="E8" s="223"/>
      <c r="F8" s="223"/>
      <c r="G8" s="223"/>
      <c r="H8" s="223"/>
      <c r="I8" s="223"/>
      <c r="J8" s="223"/>
      <c r="K8" s="223"/>
      <c r="L8" s="103"/>
    </row>
    <row r="9" spans="1:15" ht="16.5" thickBot="1" x14ac:dyDescent="0.3">
      <c r="A9" s="118"/>
      <c r="B9" s="143"/>
      <c r="C9" s="119"/>
      <c r="D9" s="24"/>
      <c r="E9" s="24"/>
      <c r="F9" s="24"/>
      <c r="G9" s="24"/>
      <c r="H9" s="24"/>
      <c r="I9" s="24"/>
      <c r="J9" s="120"/>
      <c r="K9" s="121"/>
      <c r="L9" s="103"/>
    </row>
    <row r="10" spans="1:15" ht="15.75" thickBot="1" x14ac:dyDescent="0.3">
      <c r="A10" s="228" t="s">
        <v>32</v>
      </c>
      <c r="B10" s="226" t="s">
        <v>33</v>
      </c>
      <c r="C10" s="226" t="s">
        <v>34</v>
      </c>
      <c r="D10" s="226"/>
      <c r="E10" s="226"/>
      <c r="F10" s="226"/>
      <c r="G10" s="226"/>
      <c r="H10" s="226" t="s">
        <v>35</v>
      </c>
      <c r="I10" s="226" t="s">
        <v>36</v>
      </c>
      <c r="J10" s="227" t="s">
        <v>37</v>
      </c>
      <c r="K10" s="224" t="s">
        <v>38</v>
      </c>
      <c r="L10" s="104"/>
    </row>
    <row r="11" spans="1:15" ht="27" customHeight="1" thickBot="1" x14ac:dyDescent="0.3">
      <c r="A11" s="240"/>
      <c r="B11" s="241"/>
      <c r="C11" s="241"/>
      <c r="D11" s="241"/>
      <c r="E11" s="241"/>
      <c r="F11" s="241"/>
      <c r="G11" s="241"/>
      <c r="H11" s="241"/>
      <c r="I11" s="241"/>
      <c r="J11" s="242"/>
      <c r="K11" s="236"/>
      <c r="L11" s="104"/>
    </row>
    <row r="12" spans="1:15" s="11" customFormat="1" ht="26.25" customHeight="1" x14ac:dyDescent="0.25">
      <c r="A12" s="149">
        <v>1</v>
      </c>
      <c r="B12" s="123" t="str">
        <f>'SAF 011'!B15</f>
        <v>2.5.2-1723.173</v>
      </c>
      <c r="C12" s="237" t="str">
        <f>'SAF 011'!E15</f>
        <v>ANTISEPTICOS LOCALES P/PERSONA; TIPO: MONODROGA, DROGA GENERICA: IODOFORMADA AL 10% , FORMA FARMACEUTICA: GASA, PRESENTACION: DE 10X10, 15 UNIDADES POR PACK</v>
      </c>
      <c r="D12" s="238"/>
      <c r="E12" s="238"/>
      <c r="F12" s="238"/>
      <c r="G12" s="239"/>
      <c r="H12" s="123" t="s">
        <v>73</v>
      </c>
      <c r="I12" s="124" t="str">
        <f>'SAF 011'!F15</f>
        <v>CAJA</v>
      </c>
      <c r="J12" s="125">
        <f>'SAF 011'!H15</f>
        <v>950</v>
      </c>
      <c r="K12" s="126" t="e">
        <f>'SAF 011'!#REF!</f>
        <v>#REF!</v>
      </c>
      <c r="L12" s="105">
        <v>295</v>
      </c>
      <c r="M12" s="101" t="b">
        <f>B12='SAF 011'!B15</f>
        <v>1</v>
      </c>
      <c r="N12" s="12" t="e">
        <f t="shared" ref="N12:N13" si="0">+J12*K12</f>
        <v>#REF!</v>
      </c>
      <c r="O12" s="101" t="b">
        <f>'SAF 011'!E15=C12</f>
        <v>1</v>
      </c>
    </row>
    <row r="13" spans="1:15" s="11" customFormat="1" ht="26.25" customHeight="1" x14ac:dyDescent="0.25">
      <c r="A13" s="149">
        <v>2</v>
      </c>
      <c r="B13" s="123" t="str">
        <f>'SAF 011'!B19</f>
        <v>2.5.1-9065.27</v>
      </c>
      <c r="C13" s="237" t="str">
        <f>'SAF 011'!E19</f>
        <v>DESINFECTANTES Y DETERGENTES; PRINCIPIO ACTIVO: AMONIO CUATERNARIO, CALIDAD: COMERCIAL, CONCENTRACION/PUREZA: 99 %, PRESENTACION: ENVASE X 5 L</v>
      </c>
      <c r="D13" s="238"/>
      <c r="E13" s="238"/>
      <c r="F13" s="238"/>
      <c r="G13" s="239"/>
      <c r="H13" s="123" t="s">
        <v>73</v>
      </c>
      <c r="I13" s="124" t="str">
        <f>'SAF 011'!F19</f>
        <v>BIDON</v>
      </c>
      <c r="J13" s="125">
        <f>'SAF 011'!H19</f>
        <v>9229.2000000000007</v>
      </c>
      <c r="K13" s="126" t="e">
        <f>'SAF 011'!#REF!</f>
        <v>#REF!</v>
      </c>
      <c r="L13" s="105">
        <v>251</v>
      </c>
      <c r="M13" s="101" t="b">
        <f>'SAF 011'!B19=B13</f>
        <v>1</v>
      </c>
      <c r="N13" s="12" t="e">
        <f t="shared" si="0"/>
        <v>#REF!</v>
      </c>
      <c r="O13" s="101" t="b">
        <f>C13='SAF 011'!E19</f>
        <v>1</v>
      </c>
    </row>
    <row r="14" spans="1:15" ht="16.5" thickBot="1" x14ac:dyDescent="0.3">
      <c r="A14" s="127"/>
      <c r="B14" s="154"/>
      <c r="C14" s="235"/>
      <c r="D14" s="235"/>
      <c r="E14" s="235"/>
      <c r="F14" s="235"/>
      <c r="G14" s="235"/>
      <c r="H14" s="129"/>
      <c r="I14" s="130"/>
      <c r="J14" s="131"/>
      <c r="K14" s="132"/>
      <c r="L14" s="106"/>
    </row>
    <row r="15" spans="1:15" ht="19.5" thickBot="1" x14ac:dyDescent="0.3">
      <c r="A15" s="233" t="s">
        <v>84</v>
      </c>
      <c r="B15" s="233"/>
      <c r="C15" s="233"/>
      <c r="D15" s="233"/>
      <c r="E15" s="233"/>
      <c r="F15" s="233"/>
      <c r="G15" s="233"/>
      <c r="H15" s="233"/>
      <c r="I15" s="233"/>
      <c r="J15" s="243" t="e">
        <f>+N15</f>
        <v>#REF!</v>
      </c>
      <c r="K15" s="243"/>
      <c r="L15" s="156"/>
      <c r="N15" s="12" t="e">
        <f>SUM(N12:N14)</f>
        <v>#REF!</v>
      </c>
    </row>
    <row r="17" spans="10:12" x14ac:dyDescent="0.25">
      <c r="J17" s="271"/>
      <c r="K17" s="271"/>
      <c r="L17" s="157"/>
    </row>
    <row r="18" spans="10:12" x14ac:dyDescent="0.25">
      <c r="K18" s="110" t="e">
        <f>+K12*J12</f>
        <v>#REF!</v>
      </c>
    </row>
    <row r="19" spans="10:12" x14ac:dyDescent="0.25">
      <c r="K19" s="110" t="e">
        <f>+J13*K13</f>
        <v>#REF!</v>
      </c>
    </row>
  </sheetData>
  <mergeCells count="26">
    <mergeCell ref="J17:K17"/>
    <mergeCell ref="C14:G14"/>
    <mergeCell ref="A15:I15"/>
    <mergeCell ref="J15:K15"/>
    <mergeCell ref="C12:G12"/>
    <mergeCell ref="C13:G13"/>
    <mergeCell ref="K10:K11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Q42"/>
  <sheetViews>
    <sheetView workbookViewId="0">
      <selection activeCell="A10" sqref="A10:Q10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5" width="14.85546875" style="25" customWidth="1"/>
    <col min="16" max="16" width="16.7109375" style="25" customWidth="1"/>
    <col min="17" max="17" width="14.7109375" style="26" customWidth="1"/>
  </cols>
  <sheetData>
    <row r="1" spans="1:17" ht="15.75" thickBot="1" x14ac:dyDescent="0.3">
      <c r="A1" s="245" t="s">
        <v>5</v>
      </c>
      <c r="B1" s="245"/>
      <c r="C1" s="245"/>
      <c r="D1" s="246">
        <v>2022</v>
      </c>
      <c r="E1" s="246"/>
      <c r="F1" s="160"/>
      <c r="G1" s="160"/>
      <c r="H1" s="161"/>
      <c r="I1" s="161"/>
      <c r="J1" s="161"/>
      <c r="K1" s="161"/>
      <c r="L1" s="161"/>
      <c r="M1" s="161"/>
      <c r="N1" s="161"/>
      <c r="O1" s="162"/>
      <c r="P1" s="247" t="s">
        <v>39</v>
      </c>
      <c r="Q1" s="247"/>
    </row>
    <row r="2" spans="1:17" ht="15.75" thickBot="1" x14ac:dyDescent="0.3">
      <c r="A2" s="163"/>
      <c r="B2" s="164"/>
      <c r="C2" s="164"/>
      <c r="D2" s="164"/>
      <c r="E2" s="164"/>
      <c r="F2" s="164"/>
      <c r="G2" s="165"/>
      <c r="H2" s="166"/>
      <c r="I2" s="166"/>
      <c r="J2" s="166"/>
      <c r="K2" s="166"/>
      <c r="L2" s="166"/>
      <c r="M2" s="166"/>
      <c r="N2" s="166"/>
      <c r="O2" s="164"/>
      <c r="P2" s="247"/>
      <c r="Q2" s="247"/>
    </row>
    <row r="3" spans="1:17" thickBot="1" x14ac:dyDescent="0.35">
      <c r="A3" s="163"/>
      <c r="B3" s="164"/>
      <c r="C3" s="164"/>
      <c r="D3" s="164"/>
      <c r="E3" s="164"/>
      <c r="F3" s="164"/>
      <c r="G3" s="165"/>
      <c r="H3" s="164"/>
      <c r="I3" s="164"/>
      <c r="J3" s="164"/>
      <c r="K3" s="164"/>
      <c r="L3" s="164"/>
      <c r="M3" s="164"/>
      <c r="N3" s="164"/>
      <c r="O3" s="164"/>
      <c r="P3" s="164"/>
      <c r="Q3" s="178"/>
    </row>
    <row r="4" spans="1:17" ht="15.75" thickBot="1" x14ac:dyDescent="0.3">
      <c r="A4" s="248" t="s">
        <v>40</v>
      </c>
      <c r="B4" s="248"/>
      <c r="C4" s="248"/>
      <c r="D4" s="248"/>
      <c r="E4" s="248"/>
      <c r="F4" s="248"/>
      <c r="G4" s="249" t="str">
        <f>'NP ODONTOLOGIA'!D3</f>
        <v>040 - MINISTERIO DE SALUD</v>
      </c>
      <c r="H4" s="249"/>
      <c r="I4" s="249"/>
      <c r="J4" s="249"/>
      <c r="K4" s="249"/>
      <c r="L4" s="249"/>
      <c r="M4" s="249"/>
      <c r="N4" s="249"/>
      <c r="O4" s="249"/>
      <c r="P4" s="249"/>
      <c r="Q4" s="249"/>
    </row>
    <row r="5" spans="1:17" thickBot="1" x14ac:dyDescent="0.35">
      <c r="A5" s="250" t="s">
        <v>27</v>
      </c>
      <c r="B5" s="250"/>
      <c r="C5" s="250"/>
      <c r="D5" s="250"/>
      <c r="E5" s="250"/>
      <c r="F5" s="250"/>
      <c r="G5" s="249" t="str">
        <f>'NP ODONTOLOGIA'!D4</f>
        <v>011 - DIRECCION PROVINCIAL DE ADMINISTRACION - MINISTERIO DE SALUD</v>
      </c>
      <c r="H5" s="249"/>
      <c r="I5" s="249"/>
      <c r="J5" s="249"/>
      <c r="K5" s="249"/>
      <c r="L5" s="249"/>
      <c r="M5" s="249"/>
      <c r="N5" s="249"/>
      <c r="O5" s="249"/>
      <c r="P5" s="249"/>
      <c r="Q5" s="249"/>
    </row>
    <row r="6" spans="1:17" thickBot="1" x14ac:dyDescent="0.35">
      <c r="A6" s="250" t="s">
        <v>28</v>
      </c>
      <c r="B6" s="250"/>
      <c r="C6" s="250"/>
      <c r="D6" s="250"/>
      <c r="E6" s="250"/>
      <c r="F6" s="250"/>
      <c r="G6" s="249" t="str">
        <f>'NP ODONTOLOGIA'!D5</f>
        <v>DIRECCION PROVINCIAL DE ODONTOLOGIA</v>
      </c>
      <c r="H6" s="249"/>
      <c r="I6" s="249"/>
      <c r="J6" s="249"/>
      <c r="K6" s="249"/>
      <c r="L6" s="249"/>
      <c r="M6" s="249"/>
      <c r="N6" s="249"/>
      <c r="O6" s="249"/>
      <c r="P6" s="249"/>
      <c r="Q6" s="249"/>
    </row>
    <row r="7" spans="1:17" thickBot="1" x14ac:dyDescent="0.35">
      <c r="A7" s="250" t="s">
        <v>29</v>
      </c>
      <c r="B7" s="250"/>
      <c r="C7" s="250"/>
      <c r="D7" s="250"/>
      <c r="E7" s="250"/>
      <c r="F7" s="250"/>
      <c r="G7" s="249" t="str">
        <f>'NP ODONTOLOGIA'!D6</f>
        <v>DIRECCION PROVINCIAL DE ODONTOLOGIA</v>
      </c>
      <c r="H7" s="249"/>
      <c r="I7" s="249"/>
      <c r="J7" s="249"/>
      <c r="K7" s="249"/>
      <c r="L7" s="249"/>
      <c r="M7" s="249"/>
      <c r="N7" s="249"/>
      <c r="O7" s="249"/>
      <c r="P7" s="249"/>
      <c r="Q7" s="249"/>
    </row>
    <row r="8" spans="1:17" ht="15.75" thickBot="1" x14ac:dyDescent="0.3">
      <c r="A8" s="251" t="s">
        <v>41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</row>
    <row r="9" spans="1:17" ht="20.25" customHeight="1" x14ac:dyDescent="0.25">
      <c r="A9" s="244" t="s">
        <v>42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</row>
    <row r="10" spans="1:17" ht="69" customHeight="1" x14ac:dyDescent="0.25">
      <c r="A10" s="253" t="s">
        <v>77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</row>
    <row r="11" spans="1:17" thickBot="1" x14ac:dyDescent="0.35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179"/>
    </row>
    <row r="12" spans="1:17" ht="15.75" thickBot="1" x14ac:dyDescent="0.3">
      <c r="A12" s="254" t="s">
        <v>43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</row>
    <row r="13" spans="1:17" ht="15.75" thickBot="1" x14ac:dyDescent="0.3">
      <c r="A13" s="255" t="s">
        <v>44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6" t="s">
        <v>45</v>
      </c>
      <c r="P13" s="256"/>
      <c r="Q13" s="272" t="s">
        <v>46</v>
      </c>
    </row>
    <row r="14" spans="1:17" ht="15.75" thickBot="1" x14ac:dyDescent="0.3">
      <c r="A14" s="39" t="s">
        <v>47</v>
      </c>
      <c r="B14" s="40" t="s">
        <v>48</v>
      </c>
      <c r="C14" s="40" t="s">
        <v>49</v>
      </c>
      <c r="D14" s="40" t="s">
        <v>50</v>
      </c>
      <c r="E14" s="40" t="s">
        <v>51</v>
      </c>
      <c r="F14" s="40" t="s">
        <v>52</v>
      </c>
      <c r="G14" s="41" t="s">
        <v>53</v>
      </c>
      <c r="H14" s="40" t="s">
        <v>54</v>
      </c>
      <c r="I14" s="40" t="s">
        <v>55</v>
      </c>
      <c r="J14" s="40" t="s">
        <v>56</v>
      </c>
      <c r="K14" s="40" t="s">
        <v>56</v>
      </c>
      <c r="L14" s="40" t="s">
        <v>57</v>
      </c>
      <c r="M14" s="42" t="s">
        <v>58</v>
      </c>
      <c r="N14" s="43" t="s">
        <v>59</v>
      </c>
      <c r="O14" s="256"/>
      <c r="P14" s="256"/>
      <c r="Q14" s="272"/>
    </row>
    <row r="15" spans="1:17" ht="33.75" customHeight="1" x14ac:dyDescent="0.3">
      <c r="A15" s="27">
        <v>29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1</v>
      </c>
      <c r="L15" s="28"/>
      <c r="M15" s="29">
        <v>1</v>
      </c>
      <c r="N15" s="28" t="s">
        <v>69</v>
      </c>
      <c r="O15" s="258" t="s">
        <v>74</v>
      </c>
      <c r="P15" s="258"/>
      <c r="Q15" s="180" t="e">
        <f>'NP ODONTOLOGIA'!N13</f>
        <v>#REF!</v>
      </c>
    </row>
    <row r="16" spans="1:17" ht="30" customHeight="1" x14ac:dyDescent="0.25">
      <c r="A16" s="30">
        <v>29</v>
      </c>
      <c r="B16" s="31"/>
      <c r="C16" s="31"/>
      <c r="D16" s="31">
        <v>1</v>
      </c>
      <c r="E16" s="31"/>
      <c r="F16" s="31">
        <v>4901</v>
      </c>
      <c r="G16" s="31">
        <v>3</v>
      </c>
      <c r="H16" s="31">
        <v>1</v>
      </c>
      <c r="I16" s="31">
        <v>2</v>
      </c>
      <c r="J16" s="31">
        <v>9</v>
      </c>
      <c r="K16" s="31">
        <v>5</v>
      </c>
      <c r="L16" s="31"/>
      <c r="M16" s="32">
        <v>1</v>
      </c>
      <c r="N16" s="33" t="s">
        <v>69</v>
      </c>
      <c r="O16" s="259" t="s">
        <v>122</v>
      </c>
      <c r="P16" s="260"/>
      <c r="Q16" s="181" t="e">
        <f>'NP ODONTOLOGIA'!N12</f>
        <v>#REF!</v>
      </c>
    </row>
    <row r="17" spans="1:17" ht="14.45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273"/>
      <c r="P17" s="273"/>
      <c r="Q17" s="181"/>
    </row>
    <row r="18" spans="1:17" ht="14.45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52"/>
      <c r="P18" s="252"/>
      <c r="Q18" s="181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52"/>
      <c r="P19" s="252"/>
      <c r="Q19" s="181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52"/>
      <c r="P20" s="252"/>
      <c r="Q20" s="181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52"/>
      <c r="P21" s="252"/>
      <c r="Q21" s="181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52"/>
      <c r="P22" s="252"/>
      <c r="Q22" s="181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52"/>
      <c r="P23" s="252"/>
      <c r="Q23" s="181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52"/>
      <c r="P24" s="252"/>
      <c r="Q24" s="181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52"/>
      <c r="P25" s="252"/>
      <c r="Q25" s="181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52"/>
      <c r="P26" s="252"/>
      <c r="Q26" s="181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52"/>
      <c r="P27" s="252"/>
      <c r="Q27" s="181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52"/>
      <c r="P28" s="252"/>
      <c r="Q28" s="181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52"/>
      <c r="P29" s="252"/>
      <c r="Q29" s="181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52"/>
      <c r="P30" s="252"/>
      <c r="Q30" s="181"/>
    </row>
    <row r="31" spans="1:17" ht="14.45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252"/>
      <c r="P31" s="252"/>
      <c r="Q31" s="181"/>
    </row>
    <row r="32" spans="1:17" ht="14.45" x14ac:dyDescent="0.3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263"/>
      <c r="P32" s="263"/>
      <c r="Q32" s="181"/>
    </row>
    <row r="33" spans="1:17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263"/>
      <c r="P33" s="263"/>
      <c r="Q33" s="181"/>
    </row>
    <row r="34" spans="1:17" x14ac:dyDescent="0.25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63"/>
      <c r="P34" s="263"/>
      <c r="Q34" s="181"/>
    </row>
    <row r="35" spans="1:17" x14ac:dyDescent="0.25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263"/>
      <c r="P35" s="263"/>
      <c r="Q35" s="181"/>
    </row>
    <row r="36" spans="1:17" x14ac:dyDescent="0.25">
      <c r="A36" s="168"/>
      <c r="B36" s="169"/>
      <c r="C36" s="169"/>
      <c r="D36" s="169"/>
      <c r="E36" s="169"/>
      <c r="F36" s="170"/>
      <c r="G36" s="169"/>
      <c r="H36" s="169"/>
      <c r="I36" s="169"/>
      <c r="J36" s="169"/>
      <c r="K36" s="169"/>
      <c r="L36" s="169"/>
      <c r="M36" s="171"/>
      <c r="N36" s="172"/>
      <c r="O36" s="267"/>
      <c r="P36" s="267"/>
      <c r="Q36" s="181"/>
    </row>
    <row r="37" spans="1:17" ht="15.75" thickBot="1" x14ac:dyDescent="0.3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5"/>
      <c r="N37" s="174"/>
      <c r="O37" s="268"/>
      <c r="P37" s="268"/>
      <c r="Q37" s="182"/>
    </row>
    <row r="38" spans="1:17" ht="15.75" thickBot="1" x14ac:dyDescent="0.3">
      <c r="A38" s="269" t="s">
        <v>85</v>
      </c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183" t="e">
        <f>SUM(Q15:Q37)</f>
        <v>#REF!</v>
      </c>
    </row>
    <row r="39" spans="1:17" ht="15.75" thickBot="1" x14ac:dyDescent="0.3">
      <c r="A39" s="270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</row>
    <row r="40" spans="1:17" ht="15.75" thickBot="1" x14ac:dyDescent="0.3">
      <c r="A40" s="264" t="s">
        <v>60</v>
      </c>
      <c r="B40" s="264"/>
      <c r="C40" s="264"/>
      <c r="D40" s="264"/>
      <c r="E40" s="264"/>
      <c r="F40" s="264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</row>
    <row r="41" spans="1:17" ht="15.75" thickBot="1" x14ac:dyDescent="0.3">
      <c r="A41" s="266" t="str">
        <f>'NP ODONTOLOGIA'!D8</f>
        <v>ADQUISICION DEL RUBRO ANTISEPTICOS Y DESINFECTANTES</v>
      </c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</row>
    <row r="42" spans="1:17" ht="15.75" thickBot="1" x14ac:dyDescent="0.3">
      <c r="A42" s="266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M15"/>
  <sheetViews>
    <sheetView workbookViewId="0">
      <selection activeCell="G26" sqref="G26"/>
    </sheetView>
  </sheetViews>
  <sheetFormatPr baseColWidth="10" defaultRowHeight="15" x14ac:dyDescent="0.25"/>
  <cols>
    <col min="1" max="1" width="5.5703125" style="25" customWidth="1"/>
    <col min="2" max="2" width="15.140625" style="15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59.8554687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1.42578125" style="111"/>
    <col min="13" max="13" width="13" style="12" bestFit="1" customWidth="1"/>
  </cols>
  <sheetData>
    <row r="1" spans="1:13" ht="30.75" thickBot="1" x14ac:dyDescent="0.3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112" t="s">
        <v>25</v>
      </c>
      <c r="K1" s="113" t="s">
        <v>79</v>
      </c>
    </row>
    <row r="2" spans="1:13" ht="16.5" thickBot="1" x14ac:dyDescent="0.3">
      <c r="A2" s="114"/>
      <c r="B2" s="142"/>
      <c r="C2" s="115"/>
      <c r="D2" s="23"/>
      <c r="E2" s="23"/>
      <c r="F2" s="23"/>
      <c r="G2" s="23"/>
      <c r="H2" s="23"/>
      <c r="I2" s="23"/>
      <c r="J2" s="116"/>
      <c r="K2" s="117"/>
    </row>
    <row r="3" spans="1:13" ht="16.5" thickBot="1" x14ac:dyDescent="0.3">
      <c r="A3" s="221" t="s">
        <v>26</v>
      </c>
      <c r="B3" s="221"/>
      <c r="C3" s="221"/>
      <c r="D3" s="219" t="str">
        <f>'SAF 011'!C4</f>
        <v>040 - MINISTERIO DE SALUD</v>
      </c>
      <c r="E3" s="219"/>
      <c r="F3" s="219"/>
      <c r="G3" s="219"/>
      <c r="H3" s="219"/>
      <c r="I3" s="219"/>
      <c r="J3" s="219"/>
      <c r="K3" s="219"/>
    </row>
    <row r="4" spans="1:13" ht="16.5" thickBot="1" x14ac:dyDescent="0.3">
      <c r="A4" s="218" t="s">
        <v>27</v>
      </c>
      <c r="B4" s="218"/>
      <c r="C4" s="218"/>
      <c r="D4" s="219" t="str">
        <f>'SAF 011'!C5</f>
        <v>011 - DIRECCION PROVINCIAL DE ADMINISTRACION - MINISTERIO DE SALUD</v>
      </c>
      <c r="E4" s="219"/>
      <c r="F4" s="219"/>
      <c r="G4" s="219"/>
      <c r="H4" s="219"/>
      <c r="I4" s="219"/>
      <c r="J4" s="219"/>
      <c r="K4" s="219"/>
    </row>
    <row r="5" spans="1:13" ht="16.5" thickBot="1" x14ac:dyDescent="0.3">
      <c r="A5" s="218" t="s">
        <v>28</v>
      </c>
      <c r="B5" s="218"/>
      <c r="C5" s="218"/>
      <c r="D5" s="219" t="s">
        <v>86</v>
      </c>
      <c r="E5" s="219"/>
      <c r="F5" s="219"/>
      <c r="G5" s="219"/>
      <c r="H5" s="219"/>
      <c r="I5" s="219"/>
      <c r="J5" s="219"/>
      <c r="K5" s="219"/>
    </row>
    <row r="6" spans="1:13" ht="16.5" thickBot="1" x14ac:dyDescent="0.3">
      <c r="A6" s="221" t="s">
        <v>29</v>
      </c>
      <c r="B6" s="221"/>
      <c r="C6" s="221"/>
      <c r="D6" s="219" t="s">
        <v>86</v>
      </c>
      <c r="E6" s="219"/>
      <c r="F6" s="219"/>
      <c r="G6" s="219"/>
      <c r="H6" s="219"/>
      <c r="I6" s="219"/>
      <c r="J6" s="219"/>
      <c r="K6" s="219"/>
    </row>
    <row r="7" spans="1:13" ht="16.5" thickBot="1" x14ac:dyDescent="0.3">
      <c r="A7" s="218" t="s">
        <v>30</v>
      </c>
      <c r="B7" s="218"/>
      <c r="C7" s="218"/>
      <c r="D7" s="219" t="s">
        <v>133</v>
      </c>
      <c r="E7" s="219"/>
      <c r="F7" s="219"/>
      <c r="G7" s="219"/>
      <c r="H7" s="219"/>
      <c r="I7" s="219"/>
      <c r="J7" s="219"/>
      <c r="K7" s="219"/>
    </row>
    <row r="8" spans="1:13" ht="16.5" thickBot="1" x14ac:dyDescent="0.3">
      <c r="A8" s="222" t="s">
        <v>31</v>
      </c>
      <c r="B8" s="222"/>
      <c r="C8" s="222"/>
      <c r="D8" s="223" t="s">
        <v>71</v>
      </c>
      <c r="E8" s="223"/>
      <c r="F8" s="223"/>
      <c r="G8" s="223"/>
      <c r="H8" s="223"/>
      <c r="I8" s="223"/>
      <c r="J8" s="223"/>
      <c r="K8" s="223"/>
    </row>
    <row r="9" spans="1:13" ht="16.5" thickBot="1" x14ac:dyDescent="0.3">
      <c r="A9" s="118"/>
      <c r="B9" s="143"/>
      <c r="C9" s="119"/>
      <c r="D9" s="24"/>
      <c r="E9" s="24"/>
      <c r="F9" s="24"/>
      <c r="G9" s="24"/>
      <c r="H9" s="24"/>
      <c r="I9" s="24"/>
      <c r="J9" s="120"/>
      <c r="K9" s="121"/>
    </row>
    <row r="10" spans="1:13" ht="15.75" thickBot="1" x14ac:dyDescent="0.3">
      <c r="A10" s="228" t="s">
        <v>32</v>
      </c>
      <c r="B10" s="226" t="s">
        <v>33</v>
      </c>
      <c r="C10" s="226" t="s">
        <v>34</v>
      </c>
      <c r="D10" s="226"/>
      <c r="E10" s="226"/>
      <c r="F10" s="226"/>
      <c r="G10" s="226"/>
      <c r="H10" s="226" t="s">
        <v>35</v>
      </c>
      <c r="I10" s="226" t="s">
        <v>36</v>
      </c>
      <c r="J10" s="227" t="s">
        <v>37</v>
      </c>
      <c r="K10" s="224" t="s">
        <v>38</v>
      </c>
    </row>
    <row r="11" spans="1:13" ht="23.25" customHeight="1" thickBot="1" x14ac:dyDescent="0.3">
      <c r="A11" s="240"/>
      <c r="B11" s="241"/>
      <c r="C11" s="241"/>
      <c r="D11" s="241"/>
      <c r="E11" s="241"/>
      <c r="F11" s="241"/>
      <c r="G11" s="241"/>
      <c r="H11" s="241"/>
      <c r="I11" s="241"/>
      <c r="J11" s="242"/>
      <c r="K11" s="236"/>
    </row>
    <row r="12" spans="1:13" s="11" customFormat="1" ht="24.75" customHeight="1" x14ac:dyDescent="0.25">
      <c r="A12" s="122">
        <v>1</v>
      </c>
      <c r="B12" s="123" t="str">
        <f>'SAF 011'!B10</f>
        <v>2.5.2-710.4</v>
      </c>
      <c r="C12" s="237" t="str">
        <f>'SAF 011'!E10</f>
        <v>AGUA OXIGENADA; CAPACIDAD: 1000 CM3, VOLUMEN: 10, PRESENTACION: ENVASE X 1000 CM3</v>
      </c>
      <c r="D12" s="238"/>
      <c r="E12" s="238"/>
      <c r="F12" s="238"/>
      <c r="G12" s="239"/>
      <c r="H12" s="123" t="s">
        <v>73</v>
      </c>
      <c r="I12" s="124" t="str">
        <f>'SAF 011'!F10</f>
        <v>BOTELLA</v>
      </c>
      <c r="J12" s="125">
        <f>'SAF 011'!H10</f>
        <v>128.59</v>
      </c>
      <c r="K12" s="126" t="e">
        <f>'SAF 011'!#REF!</f>
        <v>#REF!</v>
      </c>
      <c r="L12" s="111">
        <v>252</v>
      </c>
      <c r="M12" s="12" t="e">
        <f t="shared" ref="M12:M13" si="0">+J12*K12</f>
        <v>#REF!</v>
      </c>
    </row>
    <row r="13" spans="1:13" s="11" customFormat="1" ht="24.75" customHeight="1" x14ac:dyDescent="0.25">
      <c r="A13" s="149">
        <v>2</v>
      </c>
      <c r="B13" s="150" t="str">
        <f>'SAF 011'!B14</f>
        <v>2.5.2-1723.50</v>
      </c>
      <c r="C13" s="229" t="str">
        <f>'SAF 011'!E14</f>
        <v>ANTISEPTICOS LOCALES P/PERSONA; DROGA GENERICA: IODOPOVIDONA 10%, FORMA FARMACEUTICA: SOLUCION, PRESENTACION: ENVASE X 1 L, TIPO: MONODROGA</v>
      </c>
      <c r="D13" s="230"/>
      <c r="E13" s="230"/>
      <c r="F13" s="230"/>
      <c r="G13" s="231"/>
      <c r="H13" s="150" t="s">
        <v>73</v>
      </c>
      <c r="I13" s="151" t="str">
        <f>'SAF 011'!F14</f>
        <v>BOTELLA</v>
      </c>
      <c r="J13" s="152">
        <f>'SAF 011'!H14</f>
        <v>573</v>
      </c>
      <c r="K13" s="153" t="e">
        <f>'SAF 011'!#REF!</f>
        <v>#REF!</v>
      </c>
      <c r="L13" s="111">
        <v>252</v>
      </c>
      <c r="M13" s="12" t="e">
        <f t="shared" si="0"/>
        <v>#REF!</v>
      </c>
    </row>
    <row r="14" spans="1:13" ht="16.5" thickBot="1" x14ac:dyDescent="0.3">
      <c r="A14" s="127"/>
      <c r="B14" s="154"/>
      <c r="C14" s="235"/>
      <c r="D14" s="235"/>
      <c r="E14" s="235"/>
      <c r="F14" s="235"/>
      <c r="G14" s="235"/>
      <c r="H14" s="129"/>
      <c r="I14" s="130"/>
      <c r="J14" s="131"/>
      <c r="K14" s="132"/>
    </row>
    <row r="15" spans="1:13" ht="19.5" thickBot="1" x14ac:dyDescent="0.3">
      <c r="A15" s="233" t="s">
        <v>87</v>
      </c>
      <c r="B15" s="233"/>
      <c r="C15" s="233"/>
      <c r="D15" s="233"/>
      <c r="E15" s="233"/>
      <c r="F15" s="233"/>
      <c r="G15" s="233"/>
      <c r="H15" s="233"/>
      <c r="I15" s="233"/>
      <c r="J15" s="243" t="e">
        <f>+M15</f>
        <v>#REF!</v>
      </c>
      <c r="K15" s="243"/>
      <c r="M15" s="12" t="e">
        <f>SUM(M12:M14)</f>
        <v>#REF!</v>
      </c>
    </row>
  </sheetData>
  <mergeCells count="25">
    <mergeCell ref="C14:G14"/>
    <mergeCell ref="A15:I15"/>
    <mergeCell ref="J15:K15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Q41"/>
  <sheetViews>
    <sheetView workbookViewId="0">
      <selection activeCell="R34" sqref="R34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6" width="14.85546875" style="25" customWidth="1"/>
    <col min="17" max="17" width="14.7109375" style="25" customWidth="1"/>
  </cols>
  <sheetData>
    <row r="1" spans="1:17" ht="15.75" thickBot="1" x14ac:dyDescent="0.3">
      <c r="A1" s="245" t="s">
        <v>5</v>
      </c>
      <c r="B1" s="245"/>
      <c r="C1" s="245"/>
      <c r="D1" s="246">
        <v>2022</v>
      </c>
      <c r="E1" s="246"/>
      <c r="F1" s="160"/>
      <c r="G1" s="160"/>
      <c r="H1" s="161"/>
      <c r="I1" s="161"/>
      <c r="J1" s="161"/>
      <c r="K1" s="161"/>
      <c r="L1" s="161"/>
      <c r="M1" s="161"/>
      <c r="N1" s="161"/>
      <c r="O1" s="162"/>
      <c r="P1" s="247" t="s">
        <v>39</v>
      </c>
      <c r="Q1" s="247"/>
    </row>
    <row r="2" spans="1:17" ht="15.75" thickBot="1" x14ac:dyDescent="0.3">
      <c r="A2" s="163"/>
      <c r="B2" s="164"/>
      <c r="C2" s="164"/>
      <c r="D2" s="164"/>
      <c r="E2" s="164"/>
      <c r="F2" s="164"/>
      <c r="G2" s="165"/>
      <c r="H2" s="166"/>
      <c r="I2" s="166"/>
      <c r="J2" s="166"/>
      <c r="K2" s="166"/>
      <c r="L2" s="166"/>
      <c r="M2" s="166"/>
      <c r="N2" s="166"/>
      <c r="O2" s="164"/>
      <c r="P2" s="247"/>
      <c r="Q2" s="247"/>
    </row>
    <row r="3" spans="1:17" thickBot="1" x14ac:dyDescent="0.35">
      <c r="A3" s="163"/>
      <c r="B3" s="164"/>
      <c r="C3" s="164"/>
      <c r="D3" s="164"/>
      <c r="E3" s="164"/>
      <c r="F3" s="164"/>
      <c r="G3" s="165"/>
      <c r="H3" s="164"/>
      <c r="I3" s="164"/>
      <c r="J3" s="164"/>
      <c r="K3" s="164"/>
      <c r="L3" s="164"/>
      <c r="M3" s="164"/>
      <c r="N3" s="164"/>
      <c r="O3" s="164"/>
      <c r="P3" s="164"/>
      <c r="Q3" s="167"/>
    </row>
    <row r="4" spans="1:17" ht="15.75" thickBot="1" x14ac:dyDescent="0.3">
      <c r="A4" s="248" t="s">
        <v>40</v>
      </c>
      <c r="B4" s="248"/>
      <c r="C4" s="248"/>
      <c r="D4" s="248"/>
      <c r="E4" s="248"/>
      <c r="F4" s="248"/>
      <c r="G4" s="249" t="str">
        <f>'NP SAME'!D3</f>
        <v>040 - MINISTERIO DE SALUD</v>
      </c>
      <c r="H4" s="249"/>
      <c r="I4" s="249"/>
      <c r="J4" s="249"/>
      <c r="K4" s="249"/>
      <c r="L4" s="249"/>
      <c r="M4" s="249"/>
      <c r="N4" s="249"/>
      <c r="O4" s="249"/>
      <c r="P4" s="249"/>
      <c r="Q4" s="249"/>
    </row>
    <row r="5" spans="1:17" thickBot="1" x14ac:dyDescent="0.35">
      <c r="A5" s="250" t="s">
        <v>27</v>
      </c>
      <c r="B5" s="250"/>
      <c r="C5" s="250"/>
      <c r="D5" s="250"/>
      <c r="E5" s="250"/>
      <c r="F5" s="250"/>
      <c r="G5" s="249" t="str">
        <f>'NP SAME'!D4</f>
        <v>011 - DIRECCION PROVINCIAL DE ADMINISTRACION - MINISTERIO DE SALUD</v>
      </c>
      <c r="H5" s="249"/>
      <c r="I5" s="249"/>
      <c r="J5" s="249"/>
      <c r="K5" s="249"/>
      <c r="L5" s="249"/>
      <c r="M5" s="249"/>
      <c r="N5" s="249"/>
      <c r="O5" s="249"/>
      <c r="P5" s="249"/>
      <c r="Q5" s="249"/>
    </row>
    <row r="6" spans="1:17" thickBot="1" x14ac:dyDescent="0.35">
      <c r="A6" s="250" t="s">
        <v>28</v>
      </c>
      <c r="B6" s="250"/>
      <c r="C6" s="250"/>
      <c r="D6" s="250"/>
      <c r="E6" s="250"/>
      <c r="F6" s="250"/>
      <c r="G6" s="249" t="str">
        <f>'NP SAME'!D5</f>
        <v>DIRECCION PROVINCIAL SISTEMA DE ATENCION MEDICA DE EMERGENCIA</v>
      </c>
      <c r="H6" s="249"/>
      <c r="I6" s="249"/>
      <c r="J6" s="249"/>
      <c r="K6" s="249"/>
      <c r="L6" s="249"/>
      <c r="M6" s="249"/>
      <c r="N6" s="249"/>
      <c r="O6" s="249"/>
      <c r="P6" s="249"/>
      <c r="Q6" s="249"/>
    </row>
    <row r="7" spans="1:17" thickBot="1" x14ac:dyDescent="0.35">
      <c r="A7" s="250" t="s">
        <v>29</v>
      </c>
      <c r="B7" s="250"/>
      <c r="C7" s="250"/>
      <c r="D7" s="250"/>
      <c r="E7" s="250"/>
      <c r="F7" s="250"/>
      <c r="G7" s="249" t="str">
        <f>'NP SAME'!D6</f>
        <v>DIRECCION PROVINCIAL SISTEMA DE ATENCION MEDICA DE EMERGENCIA</v>
      </c>
      <c r="H7" s="249"/>
      <c r="I7" s="249"/>
      <c r="J7" s="249"/>
      <c r="K7" s="249"/>
      <c r="L7" s="249"/>
      <c r="M7" s="249"/>
      <c r="N7" s="249"/>
      <c r="O7" s="249"/>
      <c r="P7" s="249"/>
      <c r="Q7" s="249"/>
    </row>
    <row r="8" spans="1:17" ht="15.75" thickBot="1" x14ac:dyDescent="0.3">
      <c r="A8" s="251" t="s">
        <v>41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</row>
    <row r="9" spans="1:17" ht="20.25" customHeight="1" x14ac:dyDescent="0.25">
      <c r="A9" s="244" t="s">
        <v>42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</row>
    <row r="10" spans="1:17" ht="69" customHeight="1" x14ac:dyDescent="0.25">
      <c r="A10" s="253" t="s">
        <v>82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</row>
    <row r="11" spans="1:17" thickBot="1" x14ac:dyDescent="0.35">
      <c r="A11" s="163"/>
      <c r="B11" s="164"/>
      <c r="C11" s="164"/>
      <c r="D11" s="164"/>
      <c r="E11" s="164"/>
      <c r="F11" s="164"/>
      <c r="G11" s="165"/>
      <c r="H11" s="164"/>
      <c r="I11" s="164"/>
      <c r="J11" s="164"/>
      <c r="K11" s="164"/>
      <c r="L11" s="164"/>
      <c r="M11" s="164"/>
      <c r="N11" s="164"/>
      <c r="O11" s="164"/>
      <c r="P11" s="164"/>
      <c r="Q11" s="167"/>
    </row>
    <row r="12" spans="1:17" ht="15.75" thickBot="1" x14ac:dyDescent="0.3">
      <c r="A12" s="274" t="s">
        <v>43</v>
      </c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</row>
    <row r="13" spans="1:17" ht="15.75" thickBot="1" x14ac:dyDescent="0.3">
      <c r="A13" s="255" t="s">
        <v>44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6" t="s">
        <v>45</v>
      </c>
      <c r="P13" s="256"/>
      <c r="Q13" s="257" t="s">
        <v>46</v>
      </c>
    </row>
    <row r="14" spans="1:17" ht="15.75" thickBot="1" x14ac:dyDescent="0.3">
      <c r="A14" s="184" t="s">
        <v>47</v>
      </c>
      <c r="B14" s="185" t="s">
        <v>48</v>
      </c>
      <c r="C14" s="185" t="s">
        <v>49</v>
      </c>
      <c r="D14" s="185" t="s">
        <v>50</v>
      </c>
      <c r="E14" s="185" t="s">
        <v>51</v>
      </c>
      <c r="F14" s="185" t="s">
        <v>52</v>
      </c>
      <c r="G14" s="186" t="s">
        <v>53</v>
      </c>
      <c r="H14" s="185" t="s">
        <v>54</v>
      </c>
      <c r="I14" s="185" t="s">
        <v>55</v>
      </c>
      <c r="J14" s="185" t="s">
        <v>56</v>
      </c>
      <c r="K14" s="185" t="s">
        <v>56</v>
      </c>
      <c r="L14" s="185" t="s">
        <v>57</v>
      </c>
      <c r="M14" s="187" t="s">
        <v>58</v>
      </c>
      <c r="N14" s="188" t="s">
        <v>59</v>
      </c>
      <c r="O14" s="275"/>
      <c r="P14" s="275"/>
      <c r="Q14" s="276"/>
    </row>
    <row r="15" spans="1:17" ht="30" customHeight="1" x14ac:dyDescent="0.3">
      <c r="A15" s="30">
        <v>31</v>
      </c>
      <c r="B15" s="31"/>
      <c r="C15" s="31"/>
      <c r="D15" s="31">
        <v>1</v>
      </c>
      <c r="E15" s="31"/>
      <c r="F15" s="31">
        <v>4901</v>
      </c>
      <c r="G15" s="31">
        <v>3</v>
      </c>
      <c r="H15" s="31">
        <v>1</v>
      </c>
      <c r="I15" s="31">
        <v>2</v>
      </c>
      <c r="J15" s="31">
        <v>5</v>
      </c>
      <c r="K15" s="31">
        <v>2</v>
      </c>
      <c r="L15" s="31"/>
      <c r="M15" s="32">
        <v>1</v>
      </c>
      <c r="N15" s="31" t="s">
        <v>69</v>
      </c>
      <c r="O15" s="277" t="s">
        <v>70</v>
      </c>
      <c r="P15" s="278"/>
      <c r="Q15" s="189" t="e">
        <f>'NP SAME'!M15</f>
        <v>#REF!</v>
      </c>
    </row>
    <row r="16" spans="1:17" ht="14.45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3"/>
      <c r="O16" s="273"/>
      <c r="P16" s="273"/>
      <c r="Q16" s="34"/>
    </row>
    <row r="17" spans="1:17" ht="14.45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252"/>
      <c r="P17" s="252"/>
      <c r="Q17" s="34"/>
    </row>
    <row r="18" spans="1:17" ht="14.45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52"/>
      <c r="P18" s="252"/>
      <c r="Q18" s="34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52"/>
      <c r="P19" s="252"/>
      <c r="Q19" s="34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52"/>
      <c r="P20" s="252"/>
      <c r="Q20" s="34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52"/>
      <c r="P21" s="252"/>
      <c r="Q21" s="34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52"/>
      <c r="P22" s="252"/>
      <c r="Q22" s="34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52"/>
      <c r="P23" s="252"/>
      <c r="Q23" s="34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52"/>
      <c r="P24" s="252"/>
      <c r="Q24" s="34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52"/>
      <c r="P25" s="252"/>
      <c r="Q25" s="34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52"/>
      <c r="P26" s="252"/>
      <c r="Q26" s="34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52"/>
      <c r="P27" s="252"/>
      <c r="Q27" s="34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52"/>
      <c r="P28" s="252"/>
      <c r="Q28" s="34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52"/>
      <c r="P29" s="252"/>
      <c r="Q29" s="34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52"/>
      <c r="P30" s="252"/>
      <c r="Q30" s="34"/>
    </row>
    <row r="31" spans="1:17" ht="14.45" x14ac:dyDescent="0.3">
      <c r="A31" s="30"/>
      <c r="B31" s="31"/>
      <c r="C31" s="31"/>
      <c r="D31" s="31"/>
      <c r="E31" s="31"/>
      <c r="F31" s="33"/>
      <c r="G31" s="31"/>
      <c r="H31" s="31"/>
      <c r="I31" s="31"/>
      <c r="J31" s="31"/>
      <c r="K31" s="31"/>
      <c r="L31" s="31"/>
      <c r="M31" s="32"/>
      <c r="N31" s="33"/>
      <c r="O31" s="263"/>
      <c r="P31" s="263"/>
      <c r="Q31" s="34"/>
    </row>
    <row r="32" spans="1:17" ht="14.45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  <c r="N32" s="33"/>
      <c r="O32" s="263"/>
      <c r="P32" s="263"/>
      <c r="Q32" s="34"/>
    </row>
    <row r="33" spans="1:17" ht="14.45" x14ac:dyDescent="0.3">
      <c r="A33" s="30"/>
      <c r="B33" s="31"/>
      <c r="C33" s="31"/>
      <c r="D33" s="31"/>
      <c r="E33" s="31"/>
      <c r="F33" s="33"/>
      <c r="G33" s="31"/>
      <c r="H33" s="31"/>
      <c r="I33" s="31"/>
      <c r="J33" s="31"/>
      <c r="K33" s="31"/>
      <c r="L33" s="31"/>
      <c r="M33" s="32"/>
      <c r="N33" s="33"/>
      <c r="O33" s="263"/>
      <c r="P33" s="263"/>
      <c r="Q33" s="34"/>
    </row>
    <row r="34" spans="1:17" x14ac:dyDescent="0.25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63"/>
      <c r="P34" s="263"/>
      <c r="Q34" s="34"/>
    </row>
    <row r="35" spans="1:17" x14ac:dyDescent="0.25">
      <c r="A35" s="168"/>
      <c r="B35" s="169"/>
      <c r="C35" s="169"/>
      <c r="D35" s="169"/>
      <c r="E35" s="169"/>
      <c r="F35" s="170"/>
      <c r="G35" s="169"/>
      <c r="H35" s="169"/>
      <c r="I35" s="169"/>
      <c r="J35" s="169"/>
      <c r="K35" s="169"/>
      <c r="L35" s="169"/>
      <c r="M35" s="171"/>
      <c r="N35" s="172"/>
      <c r="O35" s="267"/>
      <c r="P35" s="267"/>
      <c r="Q35" s="34"/>
    </row>
    <row r="36" spans="1:17" ht="15.75" thickBot="1" x14ac:dyDescent="0.3">
      <c r="A36" s="173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5"/>
      <c r="N36" s="174"/>
      <c r="O36" s="268"/>
      <c r="P36" s="268"/>
      <c r="Q36" s="176"/>
    </row>
    <row r="37" spans="1:17" ht="15.75" thickBot="1" x14ac:dyDescent="0.3">
      <c r="A37" s="269" t="s">
        <v>88</v>
      </c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177" t="e">
        <f>SUM(Q15:Q36)</f>
        <v>#REF!</v>
      </c>
    </row>
    <row r="38" spans="1:17" ht="15.75" thickBot="1" x14ac:dyDescent="0.3">
      <c r="A38" s="270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</row>
    <row r="39" spans="1:17" ht="15.75" thickBot="1" x14ac:dyDescent="0.3">
      <c r="A39" s="264" t="s">
        <v>60</v>
      </c>
      <c r="B39" s="264"/>
      <c r="C39" s="264"/>
      <c r="D39" s="264"/>
      <c r="E39" s="264"/>
      <c r="F39" s="264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</row>
    <row r="40" spans="1:17" ht="15.75" thickBot="1" x14ac:dyDescent="0.3">
      <c r="A40" s="266" t="str">
        <f>'NP SAME'!D8</f>
        <v>ADQUISICION DEL RUBRO ANTISEPTICOS Y DESINFECTANTES</v>
      </c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</row>
    <row r="41" spans="1:17" ht="15.75" thickBot="1" x14ac:dyDescent="0.3">
      <c r="A41" s="266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</row>
  </sheetData>
  <mergeCells count="45">
    <mergeCell ref="A39:F39"/>
    <mergeCell ref="G39:Q39"/>
    <mergeCell ref="A40:Q41"/>
    <mergeCell ref="O33:P33"/>
    <mergeCell ref="O34:P34"/>
    <mergeCell ref="O35:P35"/>
    <mergeCell ref="O36:P36"/>
    <mergeCell ref="A37:P37"/>
    <mergeCell ref="A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SAF 011</vt:lpstr>
      <vt:lpstr>NP FARMACIA</vt:lpstr>
      <vt:lpstr>NP LABORATORIO</vt:lpstr>
      <vt:lpstr>NP BANCO DE SANGRE</vt:lpstr>
      <vt:lpstr>APG FARMACIA</vt:lpstr>
      <vt:lpstr>NP ODONTOLOGIA</vt:lpstr>
      <vt:lpstr>APG ODONTOLOGIA</vt:lpstr>
      <vt:lpstr>NP SAME</vt:lpstr>
      <vt:lpstr>APG 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2022-03-07T15:45:36Z</dcterms:modified>
</cp:coreProperties>
</file>