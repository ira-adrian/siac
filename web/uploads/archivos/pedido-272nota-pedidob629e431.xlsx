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cartables desiertos 1 trim\corregido\"/>
    </mc:Choice>
  </mc:AlternateContent>
  <xr:revisionPtr revIDLastSave="0" documentId="8_{51D15484-DFD0-4951-9ED3-06D3C8B09F11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Trimestrales'!$A$9:$I$18</definedName>
    <definedName name="_xlnm.Print_Area" localSheetId="2">'Autor Gastar'!$A$1:$Q$27</definedName>
    <definedName name="_xlnm.Print_Area" localSheetId="1">NotaPedido!$A$1:$K$21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J13" i="2"/>
  <c r="J14" i="2"/>
  <c r="J15" i="2"/>
  <c r="J16" i="2"/>
  <c r="J17" i="2"/>
  <c r="J18" i="2"/>
  <c r="J19" i="2"/>
  <c r="J20" i="2"/>
  <c r="I13" i="2"/>
  <c r="I14" i="2"/>
  <c r="I15" i="2"/>
  <c r="I16" i="2"/>
  <c r="I17" i="2"/>
  <c r="I18" i="2"/>
  <c r="I19" i="2"/>
  <c r="I20" i="2"/>
  <c r="C13" i="2"/>
  <c r="C14" i="2"/>
  <c r="C15" i="2"/>
  <c r="C16" i="2"/>
  <c r="C17" i="2"/>
  <c r="C18" i="2"/>
  <c r="C19" i="2"/>
  <c r="C20" i="2"/>
  <c r="B13" i="2"/>
  <c r="B14" i="2"/>
  <c r="B15" i="2"/>
  <c r="B16" i="2"/>
  <c r="B17" i="2"/>
  <c r="B18" i="2"/>
  <c r="B19" i="2"/>
  <c r="B20" i="2"/>
  <c r="I15" i="1"/>
  <c r="A26" i="3" l="1"/>
  <c r="A10" i="3"/>
  <c r="K12" i="2"/>
  <c r="J12" i="2"/>
  <c r="I12" i="2"/>
  <c r="C12" i="2"/>
  <c r="B12" i="2"/>
  <c r="I18" i="1"/>
  <c r="I17" i="1"/>
  <c r="I16" i="1"/>
  <c r="I14" i="1"/>
  <c r="I13" i="1"/>
  <c r="I12" i="1"/>
  <c r="I11" i="1"/>
  <c r="I10" i="1"/>
  <c r="J21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<sst xmlns="http://schemas.openxmlformats.org/spreadsheetml/2006/main" count="120" uniqueCount="92">
  <si>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</si>
  <si>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</si>
  <si>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</si>
  <si>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</si>
  <si>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</si>
  <si>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</si>
  <si>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</si>
  <si>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</si>
  <si>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</si>
  <si>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</si>
  <si>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</si>
  <si>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</si>
  <si>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</si>
  <si>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</si>
  <si>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</si>
  <si>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</si>
  <si>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</si>
  <si>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</si>
  <si>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</si>
  <si>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</si>
  <si>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</si>
  <si>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</si>
  <si>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</si>
  <si>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</si>
  <si>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</si>
  <si>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</si>
  <si>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</si>
  <si>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</si>
  <si>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</si>
  <si>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</si>
  <si>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</si>
  <si>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</si>
  <si>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</si>
  <si>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</si>
  <si>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</si>
  <si>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</si>
  <si>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</si>
  <si>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</si>
  <si>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</si>
  <si>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</si>
  <si>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</si>
  <si>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</si>
  <si>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</si>
  <si>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</si>
  <si>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</si>
  <si>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</si>
  <si>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</si>
  <si>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</si>
  <si>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</si>
  <si>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</si>
  <si>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</si>
  <si>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</si>
  <si>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</si>
  <si>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</si>
  <si>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</si>
  <si>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</si>
  <si>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</si>
  <si>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</si>
  <si>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</si>
  <si>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</si>
  <si>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</si>
  <si>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</si>
  <si>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Compuestos Quimicos</t>
  </si>
  <si>
    <t>Productos Farmaceuticos y Medicinales</t>
  </si>
  <si>
    <t xml:space="preserve">45 dias habiles </t>
  </si>
  <si>
    <t>3.1</t>
  </si>
  <si>
    <t>1.1</t>
  </si>
  <si>
    <t>Utiles Menores Med. Quir. y de Lab.</t>
  </si>
  <si>
    <t>ACIDOS; COMPUESTO QUIMICO: AC. CITRICO, ESTADO: SOLIDO, CALIDAD: BIOLOGIA MOLECULAR, CONCENTRACION/PUREZA: 99,99 %, PRESENTACION: ENVASE X 1 Kg</t>
  </si>
  <si>
    <t>unidad</t>
  </si>
  <si>
    <t>ANTEOJOS ANTI HIV X 1</t>
  </si>
  <si>
    <t>ANTISEPTICOS LOCALES P/PERSONA; TIPO: DESINFECTANTE, DROGA GENERICA: ALCOHOL YODADO, FORMA FARMACEUTICA: SOLUCION, PRESENTACION: ENVASE X 1000 Ml</t>
  </si>
  <si>
    <t>botella</t>
  </si>
  <si>
    <t>CATETER DOBLE J 7 FRENCH X 26 CM TIPO COOK</t>
  </si>
  <si>
    <t>HISOPOS; MATERIAL DE EXTREMOS: ALGODON, PRESENTACION: CAJA X 100</t>
  </si>
  <si>
    <t>caja</t>
  </si>
  <si>
    <t>PEROXIDO DE HIDROGENO+ ACIDO ACETICO+ ACIDO PERACETICO   X 5 LITROS PARA LIMPIEZA Y DESINFECCION DE MAQUINAS DE HEMODIALISIS  TIPO PURISTERIL 340</t>
  </si>
  <si>
    <t>bidon</t>
  </si>
  <si>
    <t>SET DE NEFROSTOMIA 16 FRENCH TIPO COOK</t>
  </si>
  <si>
    <t>SONDA RECTAL DE PVC  ADULTO N20</t>
  </si>
  <si>
    <t xml:space="preserve">Adquisición de Descartables para Farmacia </t>
  </si>
  <si>
    <t xml:space="preserve">COMPUESTOS QUIMICOS </t>
  </si>
  <si>
    <t>UT.MENORES MED. QUIR. Y DE LAB.</t>
  </si>
  <si>
    <t>PRODUC. FARMAC. Y MEDICINALES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</si>
  <si>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</si>
  <si>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</si>
  <si>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CORRIDOS - SERVICIO DE FARMACIA - ADVA. ILLIA Y MARIANO MORENO - DE LUNES A VIERNES DE 08:00 A 11:00 HORAS </t>
  </si>
  <si>
    <t>LUPAS; POTENCIA: 75 Diop, DIAMETRO: 65 mm, MATERIAL LENTE: VIDRIO, ACCESORIO: C/LUZ, ARMAZON: PLASTICO, ESTRUCTURA: PLASTICO</t>
  </si>
  <si>
    <t>TOTAL DE PESOS: OCHOCIENTOS SESENTA Y CINCO MIL CINCUENTA CON 50/100.---</t>
  </si>
  <si>
    <t xml:space="preserve">15 dias corridos - Servicio de Farmacia del HISJB - Avda. Illia y Mariano Moreno </t>
  </si>
  <si>
    <t>Costo total estimado: OCHOCIENTOS SESENTA Y CINCO MIL CINCUENTA CON 00/100.----------------</t>
  </si>
  <si>
    <t>DOCFI-2022-00875878-CAT-DASIS#HSJB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</si>
</sst>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b/>
      <sz val="9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3" fontId="14" fillId="5" borderId="48" xfId="0" applyNumberFormat="1" applyFont="1" applyFill="1" applyBorder="1" applyAlignment="1">
      <alignment horizontal="center" vertical="center"/>
    </xf>
    <xf numFmtId="44" fontId="14" fillId="5" borderId="48" xfId="1" applyNumberFormat="1" applyFont="1" applyFill="1" applyBorder="1" applyAlignment="1">
      <alignment horizontal="center" vertical="center"/>
    </xf>
    <xf numFmtId="0" fontId="25" fillId="5" borderId="48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vertical="center" wrapText="1"/>
    </xf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15" fillId="5" borderId="0" xfId="0" applyFont="1" applyFill="1"/>
    <xf numFmtId="0" fontId="14" fillId="5" borderId="49" xfId="0" applyFont="1" applyFill="1" applyBorder="1" applyAlignment="1">
      <alignment vertical="center" wrapText="1"/>
    </xf>
    <xf numFmtId="0" fontId="0" fillId="5" borderId="48" xfId="0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 vertical="center" wrapText="1"/>
    </xf>
    <xf numFmtId="0" fontId="21" fillId="6" borderId="50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50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zoomScale="85" zoomScaleNormal="85" workbookViewId="0">
      <selection activeCell="H22" sqref="H22"/>
    </sheetView>
  </sheetViews>
  <sheetFormatPr baseColWidth="10" defaultColWidth="11" defaultRowHeight="12.75" x14ac:dyDescent="0.2"/>
  <cols>
    <col min="1" max="1" width="4.5703125" style="39" customWidth="1"/>
    <col min="2" max="2" width="15.140625" style="39" customWidth="1"/>
    <col min="3" max="3" width="32.42578125" style="39" customWidth="1"/>
    <col min="4" max="4" width="8.42578125" style="39" customWidth="1"/>
    <col min="5" max="5" width="79.7109375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8" t="s">
        <v>1</v>
      </c>
      <c r="B4" s="88"/>
      <c r="C4" s="89" t="s">
        <v>58</v>
      </c>
      <c r="D4" s="89"/>
      <c r="E4" s="89"/>
      <c r="F4" s="40"/>
      <c r="G4" s="41"/>
      <c r="H4" s="40"/>
    </row>
    <row r="5" spans="1:9" ht="18" customHeight="1" x14ac:dyDescent="0.25">
      <c r="A5" s="88" t="s">
        <v>2</v>
      </c>
      <c r="B5" s="88"/>
      <c r="C5" s="89" t="s">
        <v>59</v>
      </c>
      <c r="D5" s="89"/>
      <c r="E5" s="89"/>
      <c r="F5" s="40"/>
      <c r="G5" s="41"/>
      <c r="H5" s="40"/>
    </row>
    <row r="6" spans="1:9" ht="16.5" customHeight="1" x14ac:dyDescent="0.25">
      <c r="A6" s="88" t="s">
        <v>3</v>
      </c>
      <c r="B6" s="88"/>
      <c r="C6" s="58">
        <v>2022</v>
      </c>
      <c r="D6" s="59"/>
      <c r="E6" s="59"/>
      <c r="F6" s="40"/>
      <c r="G6" s="41"/>
      <c r="H6" s="40"/>
    </row>
    <row r="7" spans="1:9" ht="16.5" customHeight="1" x14ac:dyDescent="0.25">
      <c r="A7" s="88" t="s">
        <v>4</v>
      </c>
      <c r="B7" s="88"/>
      <c r="C7" s="58">
        <v>2</v>
      </c>
      <c r="D7" s="59"/>
      <c r="E7" s="59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83" customFormat="1" ht="31.9" customHeight="1" thickBot="1" x14ac:dyDescent="0.25">
      <c r="A10" s="81">
        <v>1</v>
      </c>
      <c r="B10" s="56"/>
      <c r="C10" s="82" t="s">
        <v>81</v>
      </c>
      <c r="D10" s="76">
        <v>251</v>
      </c>
      <c r="E10" s="80" t="s">
        <v>68</v>
      </c>
      <c r="F10" s="77" t="s">
        <v>69</v>
      </c>
      <c r="G10" s="78">
        <v>20</v>
      </c>
      <c r="H10" s="79">
        <v>6300</v>
      </c>
      <c r="I10" s="57">
        <f t="shared" ref="I10:I18" si="0">G10*H10</f>
        <v>126000</v>
      </c>
    </row>
    <row r="11" spans="1:9" s="83" customFormat="1" ht="31.9" customHeight="1" thickBot="1" x14ac:dyDescent="0.25">
      <c r="A11" s="81">
        <v>2</v>
      </c>
      <c r="B11" s="56"/>
      <c r="C11" s="82" t="s">
        <v>82</v>
      </c>
      <c r="D11" s="76">
        <v>295</v>
      </c>
      <c r="E11" s="80" t="s">
        <v>70</v>
      </c>
      <c r="F11" s="77" t="s">
        <v>69</v>
      </c>
      <c r="G11" s="78">
        <v>200</v>
      </c>
      <c r="H11" s="79">
        <v>350</v>
      </c>
      <c r="I11" s="57">
        <f t="shared" si="0"/>
        <v>70000</v>
      </c>
    </row>
    <row r="12" spans="1:9" s="83" customFormat="1" ht="31.9" customHeight="1" thickBot="1" x14ac:dyDescent="0.25">
      <c r="A12" s="81">
        <v>3</v>
      </c>
      <c r="B12" s="56"/>
      <c r="C12" s="82" t="s">
        <v>83</v>
      </c>
      <c r="D12" s="76">
        <v>252</v>
      </c>
      <c r="E12" s="80" t="s">
        <v>71</v>
      </c>
      <c r="F12" s="77" t="s">
        <v>72</v>
      </c>
      <c r="G12" s="78">
        <v>200</v>
      </c>
      <c r="H12" s="79">
        <v>1168</v>
      </c>
      <c r="I12" s="57">
        <f t="shared" si="0"/>
        <v>233600</v>
      </c>
    </row>
    <row r="13" spans="1:9" s="83" customFormat="1" ht="31.9" customHeight="1" thickBot="1" x14ac:dyDescent="0.25">
      <c r="A13" s="81">
        <v>4</v>
      </c>
      <c r="B13" s="56"/>
      <c r="C13" s="82" t="s">
        <v>82</v>
      </c>
      <c r="D13" s="76">
        <v>295</v>
      </c>
      <c r="E13" s="80" t="s">
        <v>73</v>
      </c>
      <c r="F13" s="77" t="s">
        <v>69</v>
      </c>
      <c r="G13" s="78">
        <v>6</v>
      </c>
      <c r="H13" s="79">
        <v>12500</v>
      </c>
      <c r="I13" s="57">
        <f t="shared" si="0"/>
        <v>75000</v>
      </c>
    </row>
    <row r="14" spans="1:9" s="83" customFormat="1" ht="31.9" customHeight="1" thickBot="1" x14ac:dyDescent="0.25">
      <c r="A14" s="81">
        <v>5</v>
      </c>
      <c r="B14" s="56"/>
      <c r="C14" s="82" t="s">
        <v>82</v>
      </c>
      <c r="D14" s="76">
        <v>295</v>
      </c>
      <c r="E14" s="80" t="s">
        <v>74</v>
      </c>
      <c r="F14" s="77" t="s">
        <v>75</v>
      </c>
      <c r="G14" s="78">
        <v>2</v>
      </c>
      <c r="H14" s="79">
        <v>495</v>
      </c>
      <c r="I14" s="57">
        <f t="shared" si="0"/>
        <v>990</v>
      </c>
    </row>
    <row r="15" spans="1:9" s="83" customFormat="1" ht="31.9" customHeight="1" thickBot="1" x14ac:dyDescent="0.25">
      <c r="A15" s="81">
        <v>6</v>
      </c>
      <c r="B15" s="56"/>
      <c r="C15" s="82" t="s">
        <v>82</v>
      </c>
      <c r="D15" s="75">
        <v>295</v>
      </c>
      <c r="E15" s="84" t="s">
        <v>87</v>
      </c>
      <c r="F15" s="85" t="s">
        <v>69</v>
      </c>
      <c r="G15" s="73">
        <v>2</v>
      </c>
      <c r="H15" s="74">
        <v>6500</v>
      </c>
      <c r="I15" s="57">
        <f t="shared" si="0"/>
        <v>13000</v>
      </c>
    </row>
    <row r="16" spans="1:9" s="83" customFormat="1" ht="31.9" customHeight="1" thickBot="1" x14ac:dyDescent="0.25">
      <c r="A16" s="81">
        <v>7</v>
      </c>
      <c r="B16" s="56"/>
      <c r="C16" s="82" t="s">
        <v>81</v>
      </c>
      <c r="D16" s="76">
        <v>251</v>
      </c>
      <c r="E16" s="80" t="s">
        <v>76</v>
      </c>
      <c r="F16" s="77" t="s">
        <v>77</v>
      </c>
      <c r="G16" s="78">
        <v>30</v>
      </c>
      <c r="H16" s="79">
        <v>4890</v>
      </c>
      <c r="I16" s="57">
        <f t="shared" si="0"/>
        <v>146700</v>
      </c>
    </row>
    <row r="17" spans="1:9" s="83" customFormat="1" ht="31.9" customHeight="1" thickBot="1" x14ac:dyDescent="0.25">
      <c r="A17" s="81">
        <v>8</v>
      </c>
      <c r="B17" s="56"/>
      <c r="C17" s="82" t="s">
        <v>82</v>
      </c>
      <c r="D17" s="76">
        <v>295</v>
      </c>
      <c r="E17" s="80" t="s">
        <v>78</v>
      </c>
      <c r="F17" s="77" t="s">
        <v>69</v>
      </c>
      <c r="G17" s="78">
        <v>4</v>
      </c>
      <c r="H17" s="79">
        <v>49500</v>
      </c>
      <c r="I17" s="57">
        <f t="shared" si="0"/>
        <v>198000</v>
      </c>
    </row>
    <row r="18" spans="1:9" s="83" customFormat="1" ht="31.9" customHeight="1" thickBot="1" x14ac:dyDescent="0.25">
      <c r="A18" s="81">
        <v>9</v>
      </c>
      <c r="B18" s="56"/>
      <c r="C18" s="82" t="s">
        <v>82</v>
      </c>
      <c r="D18" s="76">
        <v>295</v>
      </c>
      <c r="E18" s="80" t="s">
        <v>79</v>
      </c>
      <c r="F18" s="77" t="s">
        <v>69</v>
      </c>
      <c r="G18" s="78">
        <v>20</v>
      </c>
      <c r="H18" s="79">
        <v>88</v>
      </c>
      <c r="I18" s="57">
        <f t="shared" si="0"/>
        <v>1760</v>
      </c>
    </row>
    <row r="19" spans="1:9" ht="13.5" thickBot="1" x14ac:dyDescent="0.25"/>
    <row r="20" spans="1:9" ht="66" customHeight="1" thickBot="1" x14ac:dyDescent="0.25">
      <c r="C20" s="95" t="s">
        <v>84</v>
      </c>
      <c r="D20" s="96"/>
      <c r="E20" s="97"/>
    </row>
    <row r="21" spans="1:9" ht="39" customHeight="1" thickBot="1" x14ac:dyDescent="0.25">
      <c r="C21" s="98" t="s">
        <v>85</v>
      </c>
      <c r="D21" s="99"/>
      <c r="E21" s="100"/>
    </row>
    <row r="22" spans="1:9" ht="45.75" customHeight="1" thickBot="1" x14ac:dyDescent="0.25">
      <c r="C22" s="101" t="s">
        <v>86</v>
      </c>
      <c r="D22" s="102"/>
      <c r="E22" s="103"/>
    </row>
    <row r="23" spans="1:9" ht="13.5" thickBot="1" x14ac:dyDescent="0.25"/>
    <row r="24" spans="1:9" x14ac:dyDescent="0.2">
      <c r="B24" s="42" t="s">
        <v>14</v>
      </c>
      <c r="C24" s="43"/>
      <c r="D24" s="43"/>
      <c r="E24" s="44"/>
    </row>
    <row r="25" spans="1:9" ht="5.25" customHeight="1" x14ac:dyDescent="0.2">
      <c r="B25" s="45"/>
      <c r="C25" s="46"/>
      <c r="D25" s="46"/>
      <c r="E25" s="47"/>
    </row>
    <row r="26" spans="1:9" x14ac:dyDescent="0.2">
      <c r="B26" s="48" t="s">
        <v>15</v>
      </c>
      <c r="C26" s="46"/>
      <c r="D26" s="46"/>
      <c r="E26" s="47"/>
    </row>
    <row r="27" spans="1:9" ht="41.25" customHeight="1" x14ac:dyDescent="0.2">
      <c r="B27" s="48"/>
      <c r="C27" s="90"/>
      <c r="D27" s="90"/>
      <c r="E27" s="90"/>
    </row>
    <row r="28" spans="1:9" x14ac:dyDescent="0.2">
      <c r="B28" s="48" t="s">
        <v>16</v>
      </c>
      <c r="C28" s="46"/>
      <c r="D28" s="46"/>
      <c r="E28" s="47"/>
    </row>
    <row r="29" spans="1:9" x14ac:dyDescent="0.2">
      <c r="B29" s="49"/>
      <c r="C29" s="93" t="s">
        <v>89</v>
      </c>
      <c r="D29" s="93"/>
      <c r="E29" s="93"/>
    </row>
    <row r="30" spans="1:9" x14ac:dyDescent="0.2">
      <c r="B30" s="49"/>
      <c r="C30" s="94"/>
      <c r="D30" s="94"/>
      <c r="E30" s="94"/>
    </row>
    <row r="31" spans="1:9" x14ac:dyDescent="0.2">
      <c r="B31" s="48" t="s">
        <v>17</v>
      </c>
      <c r="C31" s="46"/>
      <c r="D31" s="46"/>
      <c r="E31" s="47"/>
    </row>
    <row r="32" spans="1:9" ht="26.25" customHeight="1" x14ac:dyDescent="0.2">
      <c r="B32" s="49"/>
      <c r="C32" s="90"/>
      <c r="D32" s="90"/>
      <c r="E32" s="90"/>
    </row>
    <row r="33" spans="2:5" x14ac:dyDescent="0.2">
      <c r="B33" s="48" t="s">
        <v>18</v>
      </c>
      <c r="C33" s="50"/>
      <c r="D33" s="50"/>
      <c r="E33" s="51"/>
    </row>
    <row r="34" spans="2:5" ht="26.25" customHeight="1" x14ac:dyDescent="0.2">
      <c r="B34" s="49"/>
      <c r="C34" s="91" t="s">
        <v>64</v>
      </c>
      <c r="D34" s="91"/>
      <c r="E34" s="91"/>
    </row>
    <row r="35" spans="2:5" x14ac:dyDescent="0.2">
      <c r="B35" s="48" t="s">
        <v>19</v>
      </c>
      <c r="C35" s="46"/>
      <c r="D35" s="46"/>
      <c r="E35" s="47"/>
    </row>
    <row r="36" spans="2:5" ht="23.25" customHeight="1" x14ac:dyDescent="0.2">
      <c r="B36" s="48"/>
      <c r="C36" s="92"/>
      <c r="D36" s="92"/>
      <c r="E36" s="92"/>
    </row>
    <row r="37" spans="2:5" x14ac:dyDescent="0.2">
      <c r="B37" s="52"/>
      <c r="C37" s="53"/>
      <c r="D37" s="53"/>
      <c r="E37" s="54"/>
    </row>
  </sheetData>
  <autoFilter ref="A9:I18" xr:uid="{00000000-0009-0000-0000-000000000000}"/>
  <mergeCells count="16">
    <mergeCell ref="C32:E32"/>
    <mergeCell ref="C34:E34"/>
    <mergeCell ref="C36:E36"/>
    <mergeCell ref="A6:B6"/>
    <mergeCell ref="A7:B7"/>
    <mergeCell ref="C27:E27"/>
    <mergeCell ref="C29:E29"/>
    <mergeCell ref="C30:E30"/>
    <mergeCell ref="C20:E20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1"/>
  <sheetViews>
    <sheetView tabSelected="1" zoomScale="70" zoomScaleNormal="70" workbookViewId="0">
      <selection activeCell="K1" sqref="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4" style="2" customWidth="1"/>
    <col min="10" max="10" width="12.7109375" style="2" customWidth="1"/>
    <col min="11" max="11" width="31.140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5" t="s">
        <v>20</v>
      </c>
      <c r="B1" s="105"/>
      <c r="C1" s="105"/>
      <c r="D1" s="105"/>
      <c r="E1" s="105"/>
      <c r="F1" s="105"/>
      <c r="G1" s="105"/>
      <c r="H1" s="105"/>
      <c r="I1" s="105"/>
      <c r="J1" s="3" t="s">
        <v>21</v>
      </c>
      <c r="K1" s="86" t="s">
        <v>91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6" t="s">
        <v>54</v>
      </c>
      <c r="B3" s="106"/>
      <c r="C3" s="106"/>
      <c r="D3" s="107" t="str">
        <f>'Necesidades Trimestrales'!C4</f>
        <v>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8" t="s">
        <v>55</v>
      </c>
      <c r="B4" s="108"/>
      <c r="C4" s="108"/>
      <c r="D4" s="107" t="str">
        <f>'Necesidades Trimestrales'!C5</f>
        <v>23 - Hospital Interzonal San Juan Bautista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8" t="s">
        <v>33</v>
      </c>
      <c r="B5" s="108"/>
      <c r="C5" s="108"/>
      <c r="D5" s="107" t="s">
        <v>60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06" t="s">
        <v>56</v>
      </c>
      <c r="B6" s="106"/>
      <c r="C6" s="106"/>
      <c r="D6" s="107" t="s">
        <v>61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08" t="s">
        <v>22</v>
      </c>
      <c r="B7" s="108"/>
      <c r="C7" s="108"/>
      <c r="D7" s="107" t="str">
        <f>'Necesidades Trimestrales'!C7 &amp; "° Trimestre - Año " &amp; 'Necesidades Trimestrales'!C6</f>
        <v>2° Trimestre - Año 2022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09" t="s">
        <v>23</v>
      </c>
      <c r="B8" s="109"/>
      <c r="C8" s="109"/>
      <c r="D8" s="110" t="s">
        <v>80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1" t="s">
        <v>24</v>
      </c>
      <c r="B10" s="112" t="s">
        <v>25</v>
      </c>
      <c r="C10" s="112" t="s">
        <v>26</v>
      </c>
      <c r="D10" s="112"/>
      <c r="E10" s="112"/>
      <c r="F10" s="112"/>
      <c r="G10" s="112"/>
      <c r="H10" s="112" t="s">
        <v>27</v>
      </c>
      <c r="I10" s="112" t="s">
        <v>28</v>
      </c>
      <c r="J10" s="112" t="s">
        <v>29</v>
      </c>
      <c r="K10" s="113" t="s">
        <v>30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33" customHeight="1" thickBot="1" x14ac:dyDescent="0.25">
      <c r="A12" s="8">
        <v>1</v>
      </c>
      <c r="B12" s="60">
        <f>'Necesidades Trimestrales'!B10</f>
        <v>0</v>
      </c>
      <c r="C12" s="104" t="str">
        <f>'Necesidades Trimestrales'!E10</f>
        <v>ACIDOS; COMPUESTO QUIMICO: AC. CITRICO, ESTADO: SOLIDO, CALIDAD: BIOLOGIA MOLECULAR, CONCENTRACION/PUREZA: 99,99 %, PRESENTACION: ENVASE X 1 Kg</v>
      </c>
      <c r="D12" s="104"/>
      <c r="E12" s="104"/>
      <c r="F12" s="104"/>
      <c r="G12" s="104"/>
      <c r="H12" s="61" t="s">
        <v>57</v>
      </c>
      <c r="I12" s="62" t="str">
        <f>'Necesidades Trimestrales'!F10</f>
        <v>unidad</v>
      </c>
      <c r="J12" s="63">
        <f>'Necesidades Trimestrales'!H10</f>
        <v>6300</v>
      </c>
      <c r="K12" s="64">
        <f>'Necesidades Trimestrales'!G10</f>
        <v>20</v>
      </c>
    </row>
    <row r="13" spans="1:11" ht="25.5" customHeight="1" thickBot="1" x14ac:dyDescent="0.25">
      <c r="A13" s="8">
        <v>2</v>
      </c>
      <c r="B13" s="60">
        <f>'Necesidades Trimestrales'!B11</f>
        <v>0</v>
      </c>
      <c r="C13" s="104" t="str">
        <f>'Necesidades Trimestrales'!E11</f>
        <v>ANTEOJOS ANTI HIV X 1</v>
      </c>
      <c r="D13" s="104"/>
      <c r="E13" s="104"/>
      <c r="F13" s="104"/>
      <c r="G13" s="104"/>
      <c r="H13" s="61" t="s">
        <v>57</v>
      </c>
      <c r="I13" s="62" t="str">
        <f>'Necesidades Trimestrales'!F11</f>
        <v>unidad</v>
      </c>
      <c r="J13" s="63">
        <f>'Necesidades Trimestrales'!H11</f>
        <v>350</v>
      </c>
      <c r="K13" s="64">
        <f>'Necesidades Trimestrales'!G11</f>
        <v>200</v>
      </c>
    </row>
    <row r="14" spans="1:11" ht="32.25" customHeight="1" thickBot="1" x14ac:dyDescent="0.25">
      <c r="A14" s="8">
        <v>3</v>
      </c>
      <c r="B14" s="60">
        <f>'Necesidades Trimestrales'!B12</f>
        <v>0</v>
      </c>
      <c r="C14" s="104" t="str">
        <f>'Necesidades Trimestrales'!E12</f>
        <v>ANTISEPTICOS LOCALES P/PERSONA; TIPO: DESINFECTANTE, DROGA GENERICA: ALCOHOL YODADO, FORMA FARMACEUTICA: SOLUCION, PRESENTACION: ENVASE X 1000 Ml</v>
      </c>
      <c r="D14" s="104"/>
      <c r="E14" s="104"/>
      <c r="F14" s="104"/>
      <c r="G14" s="104"/>
      <c r="H14" s="61" t="s">
        <v>57</v>
      </c>
      <c r="I14" s="62" t="str">
        <f>'Necesidades Trimestrales'!F12</f>
        <v>botella</v>
      </c>
      <c r="J14" s="63">
        <f>'Necesidades Trimestrales'!H12</f>
        <v>1168</v>
      </c>
      <c r="K14" s="64">
        <f>'Necesidades Trimestrales'!G12</f>
        <v>200</v>
      </c>
    </row>
    <row r="15" spans="1:11" ht="30" customHeight="1" thickBot="1" x14ac:dyDescent="0.25">
      <c r="A15" s="8">
        <v>4</v>
      </c>
      <c r="B15" s="60">
        <f>'Necesidades Trimestrales'!B13</f>
        <v>0</v>
      </c>
      <c r="C15" s="104" t="str">
        <f>'Necesidades Trimestrales'!E13</f>
        <v>CATETER DOBLE J 7 FRENCH X 26 CM TIPO COOK</v>
      </c>
      <c r="D15" s="104"/>
      <c r="E15" s="104"/>
      <c r="F15" s="104"/>
      <c r="G15" s="104"/>
      <c r="H15" s="61" t="s">
        <v>57</v>
      </c>
      <c r="I15" s="62" t="str">
        <f>'Necesidades Trimestrales'!F13</f>
        <v>unidad</v>
      </c>
      <c r="J15" s="63">
        <f>'Necesidades Trimestrales'!H13</f>
        <v>12500</v>
      </c>
      <c r="K15" s="64">
        <f>'Necesidades Trimestrales'!G13</f>
        <v>6</v>
      </c>
    </row>
    <row r="16" spans="1:11" ht="30" customHeight="1" thickBot="1" x14ac:dyDescent="0.25">
      <c r="A16" s="8">
        <v>5</v>
      </c>
      <c r="B16" s="60">
        <f>'Necesidades Trimestrales'!B14</f>
        <v>0</v>
      </c>
      <c r="C16" s="104" t="str">
        <f>'Necesidades Trimestrales'!E14</f>
        <v>HISOPOS; MATERIAL DE EXTREMOS: ALGODON, PRESENTACION: CAJA X 100</v>
      </c>
      <c r="D16" s="104"/>
      <c r="E16" s="104"/>
      <c r="F16" s="104"/>
      <c r="G16" s="104"/>
      <c r="H16" s="61" t="s">
        <v>57</v>
      </c>
      <c r="I16" s="62" t="str">
        <f>'Necesidades Trimestrales'!F14</f>
        <v>caja</v>
      </c>
      <c r="J16" s="63">
        <f>'Necesidades Trimestrales'!H14</f>
        <v>495</v>
      </c>
      <c r="K16" s="64">
        <f>'Necesidades Trimestrales'!G14</f>
        <v>2</v>
      </c>
    </row>
    <row r="17" spans="1:1024" ht="39.75" customHeight="1" thickBot="1" x14ac:dyDescent="0.25">
      <c r="A17" s="8">
        <v>6</v>
      </c>
      <c r="B17" s="60">
        <f>'Necesidades Trimestrales'!B15</f>
        <v>0</v>
      </c>
      <c r="C17" s="104" t="str">
        <f>'Necesidades Trimestrales'!E15</f>
        <v>LUPAS; POTENCIA: 75 Diop, DIAMETRO: 65 mm, MATERIAL LENTE: VIDRIO, ACCESORIO: C/LUZ, ARMAZON: PLASTICO, ESTRUCTURA: PLASTICO</v>
      </c>
      <c r="D17" s="104"/>
      <c r="E17" s="104"/>
      <c r="F17" s="104"/>
      <c r="G17" s="104"/>
      <c r="H17" s="61" t="s">
        <v>57</v>
      </c>
      <c r="I17" s="62" t="str">
        <f>'Necesidades Trimestrales'!F15</f>
        <v>unidad</v>
      </c>
      <c r="J17" s="63">
        <f>'Necesidades Trimestrales'!H15</f>
        <v>6500</v>
      </c>
      <c r="K17" s="64">
        <f>'Necesidades Trimestrales'!G15</f>
        <v>2</v>
      </c>
    </row>
    <row r="18" spans="1:1024" ht="39.75" customHeight="1" thickBot="1" x14ac:dyDescent="0.25">
      <c r="A18" s="8">
        <v>7</v>
      </c>
      <c r="B18" s="60">
        <f>'Necesidades Trimestrales'!B16</f>
        <v>0</v>
      </c>
      <c r="C18" s="104" t="str">
        <f>'Necesidades Trimestrales'!E16</f>
        <v>PEROXIDO DE HIDROGENO+ ACIDO ACETICO+ ACIDO PERACETICO   X 5 LITROS PARA LIMPIEZA Y DESINFECCION DE MAQUINAS DE HEMODIALISIS  TIPO PURISTERIL 340</v>
      </c>
      <c r="D18" s="104"/>
      <c r="E18" s="104"/>
      <c r="F18" s="104"/>
      <c r="G18" s="104"/>
      <c r="H18" s="61" t="s">
        <v>57</v>
      </c>
      <c r="I18" s="62" t="str">
        <f>'Necesidades Trimestrales'!F16</f>
        <v>bidon</v>
      </c>
      <c r="J18" s="63">
        <f>'Necesidades Trimestrales'!H16</f>
        <v>4890</v>
      </c>
      <c r="K18" s="64">
        <f>'Necesidades Trimestrales'!G16</f>
        <v>30</v>
      </c>
    </row>
    <row r="19" spans="1:1024" ht="23.25" customHeight="1" thickBot="1" x14ac:dyDescent="0.25">
      <c r="A19" s="8">
        <v>8</v>
      </c>
      <c r="B19" s="60">
        <f>'Necesidades Trimestrales'!B17</f>
        <v>0</v>
      </c>
      <c r="C19" s="104" t="str">
        <f>'Necesidades Trimestrales'!E17</f>
        <v>SET DE NEFROSTOMIA 16 FRENCH TIPO COOK</v>
      </c>
      <c r="D19" s="104"/>
      <c r="E19" s="104"/>
      <c r="F19" s="104"/>
      <c r="G19" s="104"/>
      <c r="H19" s="61" t="s">
        <v>57</v>
      </c>
      <c r="I19" s="62" t="str">
        <f>'Necesidades Trimestrales'!F17</f>
        <v>unidad</v>
      </c>
      <c r="J19" s="63">
        <f>'Necesidades Trimestrales'!H17</f>
        <v>49500</v>
      </c>
      <c r="K19" s="64">
        <f>'Necesidades Trimestrales'!G17</f>
        <v>4</v>
      </c>
    </row>
    <row r="20" spans="1:1024" ht="25.5" customHeight="1" thickBot="1" x14ac:dyDescent="0.25">
      <c r="A20" s="8">
        <v>9</v>
      </c>
      <c r="B20" s="60">
        <f>'Necesidades Trimestrales'!B18</f>
        <v>0</v>
      </c>
      <c r="C20" s="104" t="str">
        <f>'Necesidades Trimestrales'!E18</f>
        <v>SONDA RECTAL DE PVC  ADULTO N20</v>
      </c>
      <c r="D20" s="104"/>
      <c r="E20" s="104"/>
      <c r="F20" s="104"/>
      <c r="G20" s="104"/>
      <c r="H20" s="61" t="s">
        <v>57</v>
      </c>
      <c r="I20" s="62" t="str">
        <f>'Necesidades Trimestrales'!F18</f>
        <v>unidad</v>
      </c>
      <c r="J20" s="63">
        <f>'Necesidades Trimestrales'!H18</f>
        <v>88</v>
      </c>
      <c r="K20" s="64">
        <f>'Necesidades Trimestrales'!G18</f>
        <v>20</v>
      </c>
    </row>
    <row r="21" spans="1:1024" ht="20.25" customHeight="1" thickBot="1" x14ac:dyDescent="0.25">
      <c r="A21" s="115" t="s">
        <v>90</v>
      </c>
      <c r="B21" s="115"/>
      <c r="C21" s="115"/>
      <c r="D21" s="115"/>
      <c r="E21" s="115"/>
      <c r="F21" s="115"/>
      <c r="G21" s="115"/>
      <c r="H21" s="115"/>
      <c r="I21" s="115"/>
      <c r="J21" s="114">
        <f>SUMPRODUCT(J12:J20,K12:K20)</f>
        <v>865050</v>
      </c>
      <c r="K21" s="114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</sheetData>
  <mergeCells count="31">
    <mergeCell ref="C13:G13"/>
    <mergeCell ref="C14:G14"/>
    <mergeCell ref="C15:G15"/>
    <mergeCell ref="C16:G16"/>
    <mergeCell ref="J21:K21"/>
    <mergeCell ref="C17:G17"/>
    <mergeCell ref="C19:G19"/>
    <mergeCell ref="C20:G20"/>
    <mergeCell ref="C18:G18"/>
    <mergeCell ref="A21:I21"/>
    <mergeCell ref="C10:G11"/>
    <mergeCell ref="H10:H11"/>
    <mergeCell ref="I10:I11"/>
    <mergeCell ref="J10:J11"/>
    <mergeCell ref="K10:K11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9" zoomScale="130" zoomScaleNormal="130" workbookViewId="0">
      <selection activeCell="S10" sqref="S1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6" t="s">
        <v>3</v>
      </c>
      <c r="B1" s="116"/>
      <c r="C1" s="116"/>
      <c r="D1" s="117">
        <f>'Necesidades Trimestrales'!C6</f>
        <v>2022</v>
      </c>
      <c r="E1" s="117"/>
      <c r="F1" s="10"/>
      <c r="G1" s="10"/>
      <c r="H1" s="11"/>
      <c r="I1" s="11"/>
      <c r="J1" s="11"/>
      <c r="K1" s="11"/>
      <c r="L1" s="11"/>
      <c r="M1" s="11"/>
      <c r="N1" s="11"/>
      <c r="P1" s="118" t="s">
        <v>31</v>
      </c>
      <c r="Q1" s="11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8"/>
      <c r="Q2" s="118"/>
    </row>
    <row r="4" spans="1:17" s="12" customFormat="1" ht="18" customHeight="1" thickBot="1" x14ac:dyDescent="0.25">
      <c r="A4" s="119" t="s">
        <v>32</v>
      </c>
      <c r="B4" s="119"/>
      <c r="C4" s="119"/>
      <c r="D4" s="119"/>
      <c r="E4" s="119"/>
      <c r="F4" s="119"/>
      <c r="G4" s="120" t="str">
        <f>NotaPedido!D3</f>
        <v>40 - Ministerio de Salud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12" customFormat="1" ht="18" customHeight="1" thickBot="1" x14ac:dyDescent="0.25">
      <c r="A5" s="121" t="s">
        <v>55</v>
      </c>
      <c r="B5" s="122"/>
      <c r="C5" s="122"/>
      <c r="D5" s="122"/>
      <c r="E5" s="122"/>
      <c r="F5" s="123"/>
      <c r="G5" s="120" t="str">
        <f>NotaPedido!D4</f>
        <v>23 - Hospital Interzonal San Juan Bautista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12" customFormat="1" ht="18" customHeight="1" thickBot="1" x14ac:dyDescent="0.25">
      <c r="A6" s="121" t="s">
        <v>33</v>
      </c>
      <c r="B6" s="122"/>
      <c r="C6" s="122"/>
      <c r="D6" s="122"/>
      <c r="E6" s="122"/>
      <c r="F6" s="123"/>
      <c r="G6" s="120" t="str">
        <f>NotaPedido!D5</f>
        <v>168 - Direccion Asistencial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12" customFormat="1" ht="18" customHeight="1" thickBot="1" x14ac:dyDescent="0.25">
      <c r="A7" s="121" t="s">
        <v>56</v>
      </c>
      <c r="B7" s="122"/>
      <c r="C7" s="122"/>
      <c r="D7" s="122"/>
      <c r="E7" s="122"/>
      <c r="F7" s="123"/>
      <c r="G7" s="120" t="str">
        <f>NotaPedido!D6</f>
        <v>Servicio de Farmacia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4" t="s">
        <v>34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25" t="s">
        <v>35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13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DOCFI-2022-00875878-CAT-DASIS#HSJB,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7" t="s">
        <v>36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x14ac:dyDescent="0.2">
      <c r="A13" s="128" t="s">
        <v>37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38</v>
      </c>
      <c r="P13" s="129"/>
      <c r="Q13" s="130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9"/>
      <c r="P14" s="129"/>
      <c r="Q14" s="130"/>
    </row>
    <row r="15" spans="1:17" ht="17.25" customHeight="1" x14ac:dyDescent="0.2">
      <c r="A15" s="67">
        <v>33</v>
      </c>
      <c r="B15" s="68"/>
      <c r="C15" s="68"/>
      <c r="D15" s="68">
        <v>2</v>
      </c>
      <c r="E15" s="68"/>
      <c r="F15" s="68">
        <v>4901</v>
      </c>
      <c r="G15" s="68">
        <v>3</v>
      </c>
      <c r="H15" s="69" t="s">
        <v>65</v>
      </c>
      <c r="I15" s="70">
        <v>2</v>
      </c>
      <c r="J15" s="70">
        <v>5</v>
      </c>
      <c r="K15" s="70">
        <v>1</v>
      </c>
      <c r="L15" s="68"/>
      <c r="M15" s="71">
        <v>1</v>
      </c>
      <c r="N15" s="69" t="s">
        <v>66</v>
      </c>
      <c r="O15" s="131" t="s">
        <v>62</v>
      </c>
      <c r="P15" s="131"/>
      <c r="Q15" s="23">
        <v>272700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5" t="s">
        <v>65</v>
      </c>
      <c r="I16" s="25">
        <v>2</v>
      </c>
      <c r="J16" s="25">
        <v>5</v>
      </c>
      <c r="K16" s="25">
        <v>2</v>
      </c>
      <c r="L16" s="25"/>
      <c r="M16" s="26">
        <v>1</v>
      </c>
      <c r="N16" s="66" t="s">
        <v>66</v>
      </c>
      <c r="O16" s="132" t="s">
        <v>63</v>
      </c>
      <c r="P16" s="132"/>
      <c r="Q16" s="28">
        <v>233600</v>
      </c>
    </row>
    <row r="17" spans="1:19" ht="17.25" customHeight="1" x14ac:dyDescent="0.2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65" t="s">
        <v>65</v>
      </c>
      <c r="I17" s="25">
        <v>2</v>
      </c>
      <c r="J17" s="25">
        <v>9</v>
      </c>
      <c r="K17" s="25">
        <v>5</v>
      </c>
      <c r="L17" s="25"/>
      <c r="M17" s="26">
        <v>1</v>
      </c>
      <c r="N17" s="66" t="s">
        <v>66</v>
      </c>
      <c r="O17" s="132" t="s">
        <v>67</v>
      </c>
      <c r="P17" s="132"/>
      <c r="Q17" s="28">
        <v>358750</v>
      </c>
      <c r="S17" s="72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5"/>
      <c r="I18" s="25"/>
      <c r="J18" s="25"/>
      <c r="K18" s="25"/>
      <c r="L18" s="25"/>
      <c r="M18" s="26"/>
      <c r="N18" s="66"/>
      <c r="O18" s="133"/>
      <c r="P18" s="13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4"/>
      <c r="P19" s="134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34"/>
      <c r="P20" s="134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40"/>
      <c r="P21" s="140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41"/>
      <c r="P22" s="141"/>
      <c r="Q22" s="37"/>
    </row>
    <row r="23" spans="1:19" ht="20.25" customHeight="1" x14ac:dyDescent="0.2">
      <c r="A23" s="142" t="s">
        <v>88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38">
        <f>SUM(Q15:Q22)</f>
        <v>865050</v>
      </c>
    </row>
    <row r="24" spans="1:19" ht="18" customHeight="1" thickBot="1" x14ac:dyDescent="0.25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</row>
    <row r="25" spans="1:19" ht="17.25" customHeight="1" thickBot="1" x14ac:dyDescent="0.25">
      <c r="A25" s="135" t="s">
        <v>53</v>
      </c>
      <c r="B25" s="136"/>
      <c r="C25" s="136"/>
      <c r="D25" s="136"/>
      <c r="E25" s="136"/>
      <c r="F25" s="137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</row>
    <row r="26" spans="1:19" ht="18" customHeight="1" thickBot="1" x14ac:dyDescent="0.25">
      <c r="A26" s="139" t="str">
        <f>"Para la "&amp; NotaPedido!D8 &amp;" para ser destinados al " &amp; NotaPedido!D6 &amp;"  del HISJB del Ministerio de Salud."</f>
        <v>Para la Adquisición de Descartables para Farmacia  para ser destinados al Servicio de Farmacia  del HISJB del Ministerio de Salud.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</row>
    <row r="27" spans="1:19" ht="15" customHeight="1" x14ac:dyDescent="0.2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2022-05-31T13:36:43Z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