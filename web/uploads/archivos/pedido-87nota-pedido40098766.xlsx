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Serv.Vigilancia y Custodia (Policía Adicional)\Adjuntos\"/>
    </mc:Choice>
  </mc:AlternateContent>
  <xr:revisionPtr revIDLastSave="0" documentId="8_{0B6AFF0D-0E2D-41E0-A323-2A5CB0B1F9A2}" xr6:coauthVersionLast="47" xr6:coauthVersionMax="47" xr10:uidLastSave="{00000000-0000-0000-0000-000000000000}"/>
  <bookViews>
    <workbookView xWindow="-120" yWindow="-120" windowWidth="20730" windowHeight="11160" xr2:uid="{DC678B6F-E683-4CE7-A83E-8589DF5B3E1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1" l="1"/>
  <c r="I12" i="1"/>
  <c r="I11" i="1"/>
  <c r="I10" i="1"/>
  <c r="I14" i="1" s="1"/>
</calcChain>
</file>

<file path=xl/sharedStrings.xml><?xml version="1.0" encoding="utf-8"?>
<sst xmlns="http://schemas.openxmlformats.org/spreadsheetml/2006/main" count="63" uniqueCount="41">
  <si>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</si>
  <si>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</si>
  <si>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</si>
  <si>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</si>
  <si>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</si>
  <si>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</si>
  <si>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</si>
  <si>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</si>
  <si>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</si>
  <si>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</si>
  <si>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</si>
  <si>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</si>
  <si>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</si>
  <si>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</si>
  <si>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</si>
  <si>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ESPECIFICACION TECNICA</t>
  </si>
  <si>
    <t>3.9.3-1387.14</t>
  </si>
  <si>
    <t>VIGILANCIA Y SEGURIDAD</t>
  </si>
  <si>
    <t>3.9.3</t>
  </si>
  <si>
    <t>VIGILANCIA Y CUSTODIA; DESCRIPCION: REGIMEN POLICIAL ADICIONAL</t>
  </si>
  <si>
    <t>MODULO</t>
  </si>
  <si>
    <t>MODULO DE 7 HS</t>
  </si>
  <si>
    <t>MODULO DE 12 HS</t>
  </si>
  <si>
    <t>MODULO DE 8 HS - SECTOR AMBULATORIO</t>
  </si>
  <si>
    <t>MODULO DE 8 HS - SECTOR INTERNADO</t>
  </si>
  <si>
    <t>TOTAL RUBRO VIGILANCIA Y CUSTODIA</t>
  </si>
  <si>
    <t>Especificidades Item N° 1 y 2:</t>
  </si>
  <si>
    <t>Descripción técnica:</t>
  </si>
  <si>
    <t xml:space="preserve"> VER ANEXO I</t>
  </si>
  <si>
    <t xml:space="preserve">Plazo de Entrega: </t>
  </si>
  <si>
    <r>
      <t xml:space="preserve">CIENTO VEINTE (120) DIAS. A PARTIR DE LOS CINCO (5) DIAS DE RECIBIDA LA ORDEN DE COMPRA, MODULOS DIARIOS SEGÚN DEMANDA ORIGINADA POR EL AREA CENTRAL DEL MINISTERIO DE SALUD. </t>
    </r>
    <r>
      <rPr>
        <b/>
        <sz val="11"/>
        <rFont val="Calibri"/>
        <family val="2"/>
        <scheme val="minor"/>
      </rPr>
      <t>CON OPCION A PRORROGA POR IGUAL PERIODO.</t>
    </r>
    <r>
      <rPr>
        <sz val="11"/>
        <rFont val="Calibri"/>
        <family val="2"/>
        <scheme val="minor"/>
      </rPr>
      <t xml:space="preserve"> </t>
    </r>
  </si>
  <si>
    <t>Lugar de entrega</t>
  </si>
  <si>
    <t>MINISTERIO DE SALUD - CHACABUCO N° 169</t>
  </si>
  <si>
    <t xml:space="preserve">Mantenimiento de oferta: </t>
  </si>
  <si>
    <t>cuarenta y cinco (45) dias</t>
  </si>
  <si>
    <t>Garantia:</t>
  </si>
  <si>
    <t>Especificidades Item N° 3 y 4:</t>
  </si>
  <si>
    <r>
      <t xml:space="preserve">CIENTO VEINTE (120) DIAS A PARTIR DE LOS CINCO (5) DIAS DE RECIBIDA LA ORDEN DE COMPRA, MODULOS DIARIOS SEGÚN DEMANDA ORIGINADA POR EL C.I.S. (SE CALCULA UN PROMEDIO DE 6 MODULOS DIARIOS). </t>
    </r>
    <r>
      <rPr>
        <b/>
        <sz val="11"/>
        <rFont val="Calibri"/>
        <family val="2"/>
        <scheme val="minor"/>
      </rPr>
      <t>CON OPCION A PRORROGA POR IGUAL PERIODO.</t>
    </r>
    <r>
      <rPr>
        <sz val="11"/>
        <rFont val="Calibri"/>
        <family val="2"/>
        <scheme val="minor"/>
      </rPr>
      <t xml:space="preserve"> </t>
    </r>
  </si>
  <si>
    <t xml:space="preserve">Centro Integral de Salud - Avenida Virgen del Valle Norte 2049 </t>
  </si>
  <si>
    <t>PRECIO UNITARIO ESTIMADO</t>
  </si>
  <si>
    <t>IMPORTE TOTAL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</si>
</sst>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0" fillId="0" borderId="0" xfId="0" applyNumberFormat="1"/>
    <xf numFmtId="0" fontId="2" fillId="0" borderId="8" xfId="0" applyFont="1" applyBorder="1"/>
    <xf numFmtId="0" fontId="2" fillId="0" borderId="0" xfId="0" applyFont="1"/>
    <xf numFmtId="0" fontId="2" fillId="0" borderId="9" xfId="0" applyFont="1" applyBorder="1"/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8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A6EA-19B3-4859-817B-98C08ED1377A}">
  <dimension ref="A1:J40"/>
  <sheetViews>
    <sheetView tabSelected="1" workbookViewId="0">
      <selection activeCell="I9" sqref="I9"/>
    </sheetView>
  </sheetViews>
  <sheetFormatPr baseColWidth="10" defaultRowHeight="15" x14ac:dyDescent="0.25"/>
  <cols>
    <col min="1" max="1" width="5.7109375" customWidth="1"/>
    <col min="2" max="2" width="21.42578125" customWidth="1"/>
    <col min="3" max="3" width="18.140625" customWidth="1"/>
    <col min="4" max="4" width="12.28515625" customWidth="1"/>
    <col min="5" max="5" width="74.42578125" customWidth="1"/>
    <col min="6" max="6" width="14.7109375" customWidth="1"/>
    <col min="9" max="9" width="18.28515625" bestFit="1" customWidth="1"/>
    <col min="10" max="10" width="32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3"/>
      <c r="H1" s="5"/>
      <c r="I1" s="6"/>
      <c r="J1" s="7"/>
    </row>
    <row r="2" spans="1:10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7"/>
    </row>
    <row r="3" spans="1:10" x14ac:dyDescent="0.25">
      <c r="A3" s="3"/>
      <c r="B3" s="2"/>
      <c r="C3" s="3"/>
      <c r="D3" s="3"/>
      <c r="E3" s="4"/>
      <c r="F3" s="3"/>
      <c r="G3" s="3"/>
      <c r="H3" s="5"/>
      <c r="I3" s="6"/>
      <c r="J3" s="7"/>
    </row>
    <row r="4" spans="1:10" x14ac:dyDescent="0.25">
      <c r="A4" s="9" t="s">
        <v>1</v>
      </c>
      <c r="B4" s="9"/>
      <c r="C4" s="10" t="s">
        <v>2</v>
      </c>
      <c r="D4" s="10"/>
      <c r="E4" s="10"/>
      <c r="F4" s="11"/>
      <c r="G4" s="11"/>
      <c r="H4" s="12"/>
      <c r="I4" s="6"/>
      <c r="J4" s="7"/>
    </row>
    <row r="5" spans="1:10" x14ac:dyDescent="0.25">
      <c r="A5" s="9" t="s">
        <v>3</v>
      </c>
      <c r="B5" s="9"/>
      <c r="C5" s="10" t="s">
        <v>4</v>
      </c>
      <c r="D5" s="13"/>
      <c r="E5" s="13"/>
      <c r="F5" s="11"/>
      <c r="G5" s="11"/>
      <c r="H5" s="12"/>
      <c r="I5" s="6"/>
      <c r="J5" s="7"/>
    </row>
    <row r="6" spans="1:10" x14ac:dyDescent="0.25">
      <c r="A6" s="9" t="s">
        <v>5</v>
      </c>
      <c r="B6" s="9"/>
      <c r="C6" s="14">
        <v>2022</v>
      </c>
      <c r="D6" s="14"/>
      <c r="E6" s="14"/>
      <c r="F6" s="11"/>
      <c r="G6" s="11"/>
      <c r="H6" s="12"/>
      <c r="I6" s="6"/>
      <c r="J6" s="7"/>
    </row>
    <row r="7" spans="1:10" x14ac:dyDescent="0.25">
      <c r="A7" s="9" t="s">
        <v>6</v>
      </c>
      <c r="B7" s="9"/>
      <c r="C7" s="14" t="s">
        <v>7</v>
      </c>
      <c r="D7" s="14"/>
      <c r="E7" s="14"/>
      <c r="F7" s="11"/>
      <c r="G7" s="11"/>
      <c r="H7" s="12"/>
      <c r="I7" s="6"/>
      <c r="J7" s="7"/>
    </row>
    <row r="8" spans="1:10" x14ac:dyDescent="0.25">
      <c r="A8" s="3"/>
      <c r="B8" s="11"/>
      <c r="C8" s="11"/>
      <c r="D8" s="11"/>
      <c r="E8" s="15"/>
      <c r="F8" s="11"/>
      <c r="G8" s="11"/>
      <c r="H8" s="12"/>
      <c r="I8" s="6"/>
      <c r="J8" s="7"/>
    </row>
    <row r="9" spans="1:10" ht="45" x14ac:dyDescent="0.25">
      <c r="A9" s="16" t="s">
        <v>8</v>
      </c>
      <c r="B9" s="16" t="s">
        <v>9</v>
      </c>
      <c r="C9" s="17" t="s">
        <v>10</v>
      </c>
      <c r="D9" s="16" t="s">
        <v>11</v>
      </c>
      <c r="E9" s="17" t="s">
        <v>12</v>
      </c>
      <c r="F9" s="17" t="s">
        <v>13</v>
      </c>
      <c r="G9" s="17" t="s">
        <v>14</v>
      </c>
      <c r="H9" s="18" t="s">
        <v>39</v>
      </c>
      <c r="I9" s="59" t="s">
        <v>40</v>
      </c>
      <c r="J9" s="19" t="s">
        <v>15</v>
      </c>
    </row>
    <row r="10" spans="1:10" ht="30" x14ac:dyDescent="0.25">
      <c r="A10" s="20">
        <v>1</v>
      </c>
      <c r="B10" s="21" t="s">
        <v>16</v>
      </c>
      <c r="C10" s="22" t="s">
        <v>17</v>
      </c>
      <c r="D10" s="21" t="s">
        <v>18</v>
      </c>
      <c r="E10" s="23" t="s">
        <v>19</v>
      </c>
      <c r="F10" s="21" t="s">
        <v>20</v>
      </c>
      <c r="G10" s="21">
        <v>88</v>
      </c>
      <c r="H10" s="24">
        <v>3152.63</v>
      </c>
      <c r="I10" s="24">
        <f t="shared" ref="I10:I13" si="0">+G10*H10</f>
        <v>277431.44</v>
      </c>
      <c r="J10" s="21" t="s">
        <v>21</v>
      </c>
    </row>
    <row r="11" spans="1:10" ht="30" x14ac:dyDescent="0.25">
      <c r="A11" s="20">
        <v>2</v>
      </c>
      <c r="B11" s="21" t="s">
        <v>16</v>
      </c>
      <c r="C11" s="22" t="s">
        <v>17</v>
      </c>
      <c r="D11" s="21" t="s">
        <v>18</v>
      </c>
      <c r="E11" s="23" t="s">
        <v>19</v>
      </c>
      <c r="F11" s="21" t="s">
        <v>20</v>
      </c>
      <c r="G11" s="21">
        <v>330</v>
      </c>
      <c r="H11" s="24">
        <v>5254.38</v>
      </c>
      <c r="I11" s="24">
        <f t="shared" si="0"/>
        <v>1733945.4000000001</v>
      </c>
      <c r="J11" s="21" t="s">
        <v>22</v>
      </c>
    </row>
    <row r="12" spans="1:10" ht="30" x14ac:dyDescent="0.25">
      <c r="A12" s="25">
        <v>3</v>
      </c>
      <c r="B12" s="21" t="s">
        <v>16</v>
      </c>
      <c r="C12" s="22" t="s">
        <v>17</v>
      </c>
      <c r="D12" s="21" t="s">
        <v>18</v>
      </c>
      <c r="E12" s="23" t="s">
        <v>19</v>
      </c>
      <c r="F12" s="21" t="s">
        <v>20</v>
      </c>
      <c r="G12" s="26">
        <v>360</v>
      </c>
      <c r="H12" s="27">
        <v>3152.63</v>
      </c>
      <c r="I12" s="24">
        <f t="shared" si="0"/>
        <v>1134946.8</v>
      </c>
      <c r="J12" s="22" t="s">
        <v>23</v>
      </c>
    </row>
    <row r="13" spans="1:10" ht="30" x14ac:dyDescent="0.25">
      <c r="A13" s="25">
        <v>4</v>
      </c>
      <c r="B13" s="21" t="s">
        <v>16</v>
      </c>
      <c r="C13" s="22" t="s">
        <v>17</v>
      </c>
      <c r="D13" s="21" t="s">
        <v>18</v>
      </c>
      <c r="E13" s="23" t="s">
        <v>19</v>
      </c>
      <c r="F13" s="21" t="s">
        <v>20</v>
      </c>
      <c r="G13" s="21">
        <v>360</v>
      </c>
      <c r="H13" s="24">
        <v>3152.63</v>
      </c>
      <c r="I13" s="24">
        <f t="shared" si="0"/>
        <v>1134946.8</v>
      </c>
      <c r="J13" s="22" t="s">
        <v>24</v>
      </c>
    </row>
    <row r="14" spans="1:10" x14ac:dyDescent="0.25">
      <c r="A14" s="28" t="s">
        <v>25</v>
      </c>
      <c r="B14" s="29"/>
      <c r="C14" s="29"/>
      <c r="D14" s="29"/>
      <c r="E14" s="29"/>
      <c r="F14" s="29"/>
      <c r="G14" s="29"/>
      <c r="H14" s="30"/>
      <c r="I14" s="31">
        <f>SUM(I10:I13)</f>
        <v>4281270.4400000004</v>
      </c>
      <c r="J14" s="32"/>
    </row>
    <row r="15" spans="1:10" ht="15.75" thickBot="1" x14ac:dyDescent="0.3">
      <c r="A15" s="33"/>
      <c r="B15" s="33"/>
      <c r="C15" s="33"/>
      <c r="D15" s="33"/>
      <c r="E15" s="7"/>
      <c r="F15" s="33"/>
      <c r="G15" s="7"/>
      <c r="H15" s="6"/>
      <c r="I15" s="6"/>
      <c r="J15" s="7"/>
    </row>
    <row r="16" spans="1:10" x14ac:dyDescent="0.25">
      <c r="A16" s="34"/>
      <c r="B16" s="35" t="s">
        <v>26</v>
      </c>
      <c r="C16" s="36"/>
      <c r="D16" s="36"/>
      <c r="E16" s="37"/>
      <c r="F16" s="34"/>
      <c r="H16" s="38"/>
      <c r="I16" s="38"/>
    </row>
    <row r="17" spans="1:9" x14ac:dyDescent="0.25">
      <c r="A17" s="34"/>
      <c r="B17" s="39"/>
      <c r="C17" s="40"/>
      <c r="D17" s="40"/>
      <c r="E17" s="41"/>
      <c r="F17" s="34"/>
      <c r="H17" s="38"/>
      <c r="I17" s="38"/>
    </row>
    <row r="18" spans="1:9" x14ac:dyDescent="0.25">
      <c r="A18" s="34"/>
      <c r="B18" s="42" t="s">
        <v>27</v>
      </c>
      <c r="C18" s="43" t="s">
        <v>28</v>
      </c>
      <c r="D18" s="43"/>
      <c r="E18" s="44"/>
      <c r="F18" s="34"/>
      <c r="H18" s="38"/>
      <c r="I18" s="38"/>
    </row>
    <row r="19" spans="1:9" x14ac:dyDescent="0.25">
      <c r="A19" s="34"/>
      <c r="B19" s="42"/>
      <c r="C19" s="45"/>
      <c r="D19" s="45"/>
      <c r="E19" s="46"/>
      <c r="F19" s="34"/>
      <c r="H19" s="38"/>
      <c r="I19" s="38"/>
    </row>
    <row r="20" spans="1:9" x14ac:dyDescent="0.25">
      <c r="A20" s="34"/>
      <c r="B20" s="42" t="s">
        <v>29</v>
      </c>
      <c r="C20" s="47" t="s">
        <v>30</v>
      </c>
      <c r="D20" s="47"/>
      <c r="E20" s="48"/>
      <c r="F20" s="34"/>
      <c r="H20" s="38"/>
      <c r="I20" s="38"/>
    </row>
    <row r="21" spans="1:9" x14ac:dyDescent="0.25">
      <c r="A21" s="34"/>
      <c r="B21" s="49"/>
      <c r="C21" s="50"/>
      <c r="D21" s="50"/>
      <c r="E21" s="51"/>
      <c r="F21" s="34"/>
      <c r="H21" s="38"/>
      <c r="I21" s="38"/>
    </row>
    <row r="22" spans="1:9" x14ac:dyDescent="0.25">
      <c r="A22" s="34"/>
      <c r="B22" s="42" t="s">
        <v>31</v>
      </c>
      <c r="C22" s="45" t="s">
        <v>32</v>
      </c>
      <c r="D22" s="45"/>
      <c r="E22" s="46"/>
      <c r="F22" s="34"/>
      <c r="H22" s="38"/>
      <c r="I22" s="38"/>
    </row>
    <row r="23" spans="1:9" x14ac:dyDescent="0.25">
      <c r="A23" s="34"/>
      <c r="B23" s="42"/>
      <c r="C23" s="50"/>
      <c r="D23" s="50"/>
      <c r="E23" s="51"/>
      <c r="F23" s="34"/>
      <c r="H23" s="38"/>
      <c r="I23" s="38"/>
    </row>
    <row r="24" spans="1:9" ht="30" x14ac:dyDescent="0.25">
      <c r="A24" s="34"/>
      <c r="B24" s="52" t="s">
        <v>33</v>
      </c>
      <c r="C24" s="50" t="s">
        <v>34</v>
      </c>
      <c r="D24" s="4"/>
      <c r="E24" s="53"/>
      <c r="F24" s="34"/>
      <c r="H24" s="38"/>
      <c r="I24" s="38"/>
    </row>
    <row r="25" spans="1:9" x14ac:dyDescent="0.25">
      <c r="A25" s="34"/>
      <c r="B25" s="42"/>
      <c r="C25" s="54"/>
      <c r="D25" s="54"/>
      <c r="E25" s="55"/>
      <c r="F25" s="34"/>
      <c r="H25" s="38"/>
      <c r="I25" s="38"/>
    </row>
    <row r="26" spans="1:9" x14ac:dyDescent="0.25">
      <c r="A26" s="34"/>
      <c r="B26" s="42" t="s">
        <v>35</v>
      </c>
      <c r="C26" s="50"/>
      <c r="D26" s="50"/>
      <c r="E26" s="51"/>
      <c r="F26" s="34"/>
      <c r="H26" s="38"/>
      <c r="I26" s="38"/>
    </row>
    <row r="27" spans="1:9" ht="15.75" thickBot="1" x14ac:dyDescent="0.3">
      <c r="A27" s="34"/>
      <c r="B27" s="56"/>
      <c r="C27" s="57"/>
      <c r="D27" s="57"/>
      <c r="E27" s="58"/>
      <c r="F27" s="34"/>
      <c r="H27" s="38"/>
      <c r="I27" s="38"/>
    </row>
    <row r="28" spans="1:9" ht="15.75" thickBot="1" x14ac:dyDescent="0.3">
      <c r="A28" s="34"/>
      <c r="B28" s="34"/>
      <c r="C28" s="34"/>
      <c r="D28" s="34"/>
      <c r="F28" s="34"/>
      <c r="H28" s="38"/>
      <c r="I28" s="38"/>
    </row>
    <row r="29" spans="1:9" x14ac:dyDescent="0.25">
      <c r="A29" s="34"/>
      <c r="B29" s="35" t="s">
        <v>36</v>
      </c>
      <c r="C29" s="36"/>
      <c r="D29" s="36"/>
      <c r="E29" s="37"/>
      <c r="F29" s="34"/>
      <c r="H29" s="38"/>
      <c r="I29" s="38"/>
    </row>
    <row r="30" spans="1:9" x14ac:dyDescent="0.25">
      <c r="A30" s="34"/>
      <c r="B30" s="39"/>
      <c r="C30" s="40"/>
      <c r="D30" s="40"/>
      <c r="E30" s="41"/>
      <c r="F30" s="34"/>
      <c r="H30" s="38"/>
      <c r="I30" s="38"/>
    </row>
    <row r="31" spans="1:9" x14ac:dyDescent="0.25">
      <c r="A31" s="34"/>
      <c r="B31" s="42" t="s">
        <v>27</v>
      </c>
      <c r="C31" s="43" t="s">
        <v>28</v>
      </c>
      <c r="D31" s="43"/>
      <c r="E31" s="44"/>
      <c r="F31" s="34"/>
      <c r="H31" s="38"/>
      <c r="I31" s="38"/>
    </row>
    <row r="32" spans="1:9" x14ac:dyDescent="0.25">
      <c r="A32" s="34"/>
      <c r="B32" s="42"/>
      <c r="C32" s="45"/>
      <c r="D32" s="45"/>
      <c r="E32" s="46"/>
      <c r="F32" s="34"/>
      <c r="H32" s="38"/>
      <c r="I32" s="38"/>
    </row>
    <row r="33" spans="1:9" x14ac:dyDescent="0.25">
      <c r="A33" s="34"/>
      <c r="B33" s="42" t="s">
        <v>29</v>
      </c>
      <c r="C33" s="47" t="s">
        <v>37</v>
      </c>
      <c r="D33" s="47"/>
      <c r="E33" s="48"/>
      <c r="F33" s="34"/>
      <c r="H33" s="38"/>
      <c r="I33" s="38"/>
    </row>
    <row r="34" spans="1:9" x14ac:dyDescent="0.25">
      <c r="A34" s="34"/>
      <c r="B34" s="49"/>
      <c r="C34" s="50"/>
      <c r="D34" s="50"/>
      <c r="E34" s="51"/>
      <c r="F34" s="34"/>
      <c r="H34" s="38"/>
      <c r="I34" s="38"/>
    </row>
    <row r="35" spans="1:9" x14ac:dyDescent="0.25">
      <c r="A35" s="34"/>
      <c r="B35" s="42" t="s">
        <v>31</v>
      </c>
      <c r="C35" s="45" t="s">
        <v>38</v>
      </c>
      <c r="D35" s="45"/>
      <c r="E35" s="46"/>
      <c r="F35" s="34"/>
      <c r="H35" s="38"/>
      <c r="I35" s="38"/>
    </row>
    <row r="36" spans="1:9" x14ac:dyDescent="0.25">
      <c r="A36" s="34"/>
      <c r="B36" s="42"/>
      <c r="C36" s="50"/>
      <c r="D36" s="50"/>
      <c r="E36" s="51"/>
      <c r="F36" s="34"/>
      <c r="H36" s="38"/>
      <c r="I36" s="38"/>
    </row>
    <row r="37" spans="1:9" ht="30" x14ac:dyDescent="0.25">
      <c r="A37" s="34"/>
      <c r="B37" s="52" t="s">
        <v>33</v>
      </c>
      <c r="C37" s="50" t="s">
        <v>34</v>
      </c>
      <c r="D37" s="4"/>
      <c r="E37" s="53"/>
      <c r="F37" s="34"/>
      <c r="H37" s="38"/>
      <c r="I37" s="38"/>
    </row>
    <row r="38" spans="1:9" x14ac:dyDescent="0.25">
      <c r="A38" s="34"/>
      <c r="B38" s="42"/>
      <c r="C38" s="54"/>
      <c r="D38" s="54"/>
      <c r="E38" s="55"/>
      <c r="F38" s="34"/>
      <c r="H38" s="38"/>
      <c r="I38" s="38"/>
    </row>
    <row r="39" spans="1:9" x14ac:dyDescent="0.25">
      <c r="A39" s="34"/>
      <c r="B39" s="42" t="s">
        <v>35</v>
      </c>
      <c r="C39" s="50"/>
      <c r="D39" s="50"/>
      <c r="E39" s="51"/>
      <c r="F39" s="34"/>
      <c r="H39" s="38"/>
      <c r="I39" s="38"/>
    </row>
    <row r="40" spans="1:9" ht="15.75" thickBot="1" x14ac:dyDescent="0.3">
      <c r="A40" s="34"/>
      <c r="B40" s="56"/>
      <c r="C40" s="57"/>
      <c r="D40" s="57"/>
      <c r="E40" s="58"/>
      <c r="F40" s="34"/>
      <c r="H40" s="38"/>
      <c r="I40" s="38"/>
    </row>
  </sheetData>
  <mergeCells count="12">
    <mergeCell ref="B16:E16"/>
    <mergeCell ref="C18:E18"/>
    <mergeCell ref="C20:E20"/>
    <mergeCell ref="B29:E29"/>
    <mergeCell ref="C31:E31"/>
    <mergeCell ref="C33:E33"/>
    <mergeCell ref="A2:I2"/>
    <mergeCell ref="A4:B4"/>
    <mergeCell ref="A5:B5"/>
    <mergeCell ref="A6:B6"/>
    <mergeCell ref="A7:B7"/>
    <mergeCell ref="A14:H14"/>
  </mergeCells>
  <conditionalFormatting sqref="B3:B9 A2 B1 E1 E3:E9">
    <cfRule type="duplicateValues" dxfId="3" priority="1"/>
  </conditionalFormatting>
  <conditionalFormatting sqref="E1 B3:B9 A2 B1 E3:E9">
    <cfRule type="duplicateValues" dxfId="2" priority="2"/>
  </conditionalFormatting>
  <conditionalFormatting sqref="B3:B9 A2 B1">
    <cfRule type="duplicateValues" dxfId="1" priority="3"/>
  </conditionalFormatting>
  <conditionalFormatting sqref="E1 E3:E9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2022-02-17T14:44:39Z</dcterms:created>
  <dcterms:modified xsi:type="dcterms:W3CDTF">2022-02-17T14:46:20Z</dcterms:modified>
</cp:coreProperties>
</file>