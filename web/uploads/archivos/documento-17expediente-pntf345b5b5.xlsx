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cesidades Trimestrales" sheetId="1" r:id="rId4"/>
    <sheet name="Nota Pedido MIDSP" sheetId="2" r:id="rId5"/>
    <sheet name="APG MIDSP" sheetId="3" r:id="rId6"/>
    <sheet name="Nota Pedido MGJDH" sheetId="4" r:id="rId7"/>
    <sheet name="APG MGJDH" sheetId="5" r:id="rId8"/>
    <sheet name="Nota Pedido DA#HNEP" sheetId="6" r:id="rId9"/>
    <sheet name="APG DA#HNEP" sheetId="7" r:id="rId10"/>
    <sheet name="Nota Pedido MIRLT" sheetId="8" r:id="rId11"/>
    <sheet name="APG MIRLT" sheetId="9" r:id="rId12"/>
  </sheets>
  <definedNames>
    <definedName name="_xlnm.Print_Area" localSheetId="1">'Nota Pedido MIDSP'!$A$1:$G$23</definedName>
    <definedName name="_xlnm.Print_Area" localSheetId="2">'APG MIDSP'!$A$1:$Q$24</definedName>
    <definedName name="_xlnm.Print_Area" localSheetId="3">'Nota Pedido MGJDH'!$A$1:$G$23</definedName>
    <definedName name="_xlnm.Print_Area" localSheetId="4">'APG MGJDH'!$A$1:$Q$24</definedName>
    <definedName name="_xlnm.Print_Area" localSheetId="5">'Nota Pedido DA#HNEP'!$A$1:$G$24</definedName>
    <definedName name="_xlnm.Print_Area" localSheetId="6">'APG DA#HNEP'!$A$1:$Q$24</definedName>
    <definedName name="_xlnm.Print_Area" localSheetId="7">'Nota Pedido MIRLT'!$A$1:$G$23</definedName>
    <definedName name="_xlnm.Print_Area" localSheetId="8">'APG MIRLT'!$A$1:$Q$24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<sst xmlns="http://schemas.openxmlformats.org/spreadsheetml/2006/main" uniqueCount="98">
  <si>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Pedido de Necesidades Trimestrales</t>
  </si>
  <si>
    <t>JURISDICCION:</t>
  </si>
  <si>
    <t>30 - MINISTERIO DE ECONOMIA</t>
  </si>
  <si>
    <t xml:space="preserve">SAF N°: </t>
  </si>
  <si>
    <t>100 - SECRETARIA DE COMPRAS Y ABASTECIMIENTO</t>
  </si>
  <si>
    <t>EJERCICIO:</t>
  </si>
  <si>
    <t>TRIMESTRE:</t>
  </si>
  <si>
    <t>4°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</si>
  <si>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</si>
  <si>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</si>
  <si>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</si>
  <si>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</si>
  <si>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</si>
  <si>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</si>
  <si>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</si>
  <si>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</si>
  <si>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</si>
  <si>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</si>
  <si>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2.5.6-797.39</t>
  </si>
  <si>
    <t>COMBUSTIBLES Y LUBRICANTES</t>
  </si>
  <si>
    <t>2.5.6</t>
  </si>
  <si>
    <t>NAFTA SUPER; TIPO: SUPER, OCTANO: 95, PRESENTACION: POR LITRO, DESTINO: DPTO. S.F.V. DE CATAMARCA</t>
  </si>
  <si>
    <t>LITRO</t>
  </si>
  <si>
    <t>2.5.6-793.31</t>
  </si>
  <si>
    <t>GAS OIL; PRESENTACION: POR LITRO, USO: MOTORES DIESEL, COMERCIALIZACION: GRADO 3, DESTINO: DPTO. S.F.V. DE CATAMARCA</t>
  </si>
  <si>
    <t>LITROS</t>
  </si>
  <si>
    <t>ONCE MILLONES CUARENTA Y CUATRO MIL QUINIENTOS CATORCE CON 10/100 PESOS</t>
  </si>
  <si>
    <t>Total</t>
  </si>
  <si>
    <t>Plazos y lugares de entrega:</t>
  </si>
  <si>
    <r>
      <t xml:space="preserve">a) LUGAR DE ENTREGA:   - De 08 a 12 horas. 
</t>
    </r>
    <r>
      <rPr>
        <rFont val="Calibri"/>
        <b val="true"/>
        <i val="false"/>
        <strike val="false"/>
        <color rgb="FF000000"/>
        <sz val="11"/>
        <u val="none"/>
      </rPr>
      <t xml:space="preserve">b)</t>
    </r>
    <r>
      <rPr>
        <rFont val="Calibri"/>
        <b val="false"/>
        <i val="false"/>
        <strike val="false"/>
        <color rgb="FF000000"/>
        <sz val="11"/>
        <u val="none"/>
      </rPr>
      <t xml:space="preserve"> FORMA DE LA ENTREGA: Libre de flete, acarreo y embalaje, como así también, de todo riesgo de pérdida o destrucción total o parcial, por causas ajenas a la Institución. 
</t>
    </r>
    <r>
      <rPr>
        <rFont val="Calibri"/>
        <b val="true"/>
        <i val="false"/>
        <strike val="false"/>
        <color rgb="FF000000"/>
        <sz val="11"/>
        <u val="none"/>
      </rPr>
      <t xml:space="preserve">c)</t>
    </r>
    <r>
      <rPr>
        <rFont val="Calibri"/>
        <b val="false"/>
        <i val="false"/>
        <strike val="false"/>
        <color rgb="FF000000"/>
        <sz val="11"/>
        <u val="none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</si>
  <si>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</si>
  <si>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</si>
  <si>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</si>
  <si>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</si>
  <si>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</si>
  <si>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</si>
  <si>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</si>
  <si>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</si>
  <si>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>567 / 2022</t>
  </si>
  <si>
    <t xml:space="preserve">JURISDICCIÓN: </t>
  </si>
  <si>
    <t>SAF:</t>
  </si>
  <si>
    <t>UNIDAD EJECUTORA:</t>
  </si>
  <si>
    <t>SAF 33 - MINISTERIO DE INCLUSIÓN DIGITAL Y SISTEMA PRODUCTIVOS</t>
  </si>
  <si>
    <t xml:space="preserve">DEPENDENCIA SOLICITANTE: </t>
  </si>
  <si>
    <t>PERIODO UTILIZACIÓN:</t>
  </si>
  <si>
    <t>4° TRIMESTRE - 2022</t>
  </si>
  <si>
    <t>OBJETO:</t>
  </si>
  <si>
    <t>256 - COMBUSTIBLES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</si>
  <si>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</si>
  <si>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</si>
  <si>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</si>
  <si>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</si>
  <si>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</si>
  <si>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</si>
  <si>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</si>
  <si>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</si>
  <si>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 xml:space="preserve">Costo total estimado: </t>
  </si>
  <si>
    <t>CUATRO MILLONES NOVECIENTOS NOVENTA Y NUEVE MIL TRESCIENTOS TREINTA Y CINCO CON 00/100 PESOS</t>
  </si>
  <si>
    <t>DETALLE TECNICO</t>
  </si>
  <si>
    <t>AUTORIZACION PARA GASTAR</t>
  </si>
  <si>
    <t>JURISDICCIÓN:</t>
  </si>
  <si>
    <r>
      <rPr>
        <rFont val="Arial"/>
        <b val="true"/>
        <i val="false"/>
        <strike val="false"/>
        <color rgb="FF000000"/>
        <sz val="10"/>
        <u val="single"/>
      </rPr>
      <t xml:space="preserve">AUTORIZACIÓN</t>
    </r>
    <r>
      <rPr>
        <rFont val="Arial"/>
        <b val="true"/>
        <i val="false"/>
        <strike val="false"/>
        <color rgb="FF000000"/>
        <sz val="10"/>
        <u val="none"/>
      </rPr>
      <t xml:space="preserve">:</t>
    </r>
  </si>
  <si>
    <t>Señor Jefe de Servicio Administrativo Financiero:</t>
  </si>
  <si>
    <t xml:space="preserve"> Autorizo la realización de los  trámites correspondientes, a fin de proveer a  este Organismo los bienes y/o servicios que se detallan en Nota  de Pedido N° 567 / 2022,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</si>
  <si>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</si>
  <si>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</si>
  <si>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</si>
  <si>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</si>
  <si>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</si>
  <si>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</si>
  <si>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</si>
  <si>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</si>
  <si>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</si>
  <si>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</si>
  <si>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</si>
  <si>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</si>
  <si>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</si>
  <si>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</si>
  <si>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</si>
  <si>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</si>
  <si>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</si>
  <si>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 xml:space="preserve">TOTAL DE PESOS: </t>
  </si>
  <si>
    <t>JUSTIFICACIÓN:</t>
  </si>
  <si>
    <t>OBSERVACIONES:</t>
  </si>
  <si>
    <t>568 / 2022</t>
  </si>
  <si>
    <t>SAF 6 - MINISTERIO DE GOBIERNO, JUSTICIA Y DERECHOS HUMANOS</t>
  </si>
  <si>
    <t>256 - COMBUSTIBLES Y LUBRICANTES</t>
  </si>
  <si>
    <t>CINCO MILLONES CIENTO SEIS CON 00/100 PESOS</t>
  </si>
  <si>
    <t xml:space="preserve"> Autorizo la realización de los  trámites correspondientes, a fin de proveer a  este Organismo los bienes y/o servicios que se detallan en Nota  de Pedido N° 568 / 2022,  afectando la erogación resultante a los créditos presupuestarios aprobados a favor de esta Unidad Ejecutora, conforme al siguiente detalle:</t>
  </si>
  <si>
    <t>575 / 2022</t>
  </si>
  <si>
    <t>SAF 24 - HOSPITAL INTERZONAL DE NIÑOS EVA PERON</t>
  </si>
  <si>
    <t>SETECIENTOS CUARENTA Y CUATRO MIL CON 00/100 PESOS</t>
  </si>
  <si>
    <t xml:space="preserve"> Autorizo la realización de los  trámites correspondientes, a fin de proveer a  este Organismo los bienes y/o servicios que se detallan en Nota  de Pedido N° 575 / 2022,  afectando la erogación resultante a los créditos presupuestarios aprobados a favor de esta Unidad Ejecutora, conforme al siguiente detalle:</t>
  </si>
  <si>
    <t>583 / 2022</t>
  </si>
  <si>
    <t>SAF 32 - MINISTERIO DE INTEGRACIÓN REGIONAL, LOGÍSTICA Y TRANSPORTE</t>
  </si>
  <si>
    <t>COMBUSTIBLE</t>
  </si>
  <si>
    <t>TRESCIENTOS CUARENTA Y OCHO MIL CON 00/100 PESOS</t>
  </si>
  <si>
    <t xml:space="preserve"> Autorizo la realización de los  trámites correspondientes, a fin de proveer a  este Organismo los bienes y/o servicios que se detallan en Nota  de Pedido N° 583 / 2022, 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</si>
</sst>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:space="preserve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C0C0C0"/>
      <name val="Times New Roman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singl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1"/>
      <color rgb="FFFF0000"/>
      <name val="Calibri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3D3D3D"/>
      </right>
    </border>
    <border>
      <left style="medium">
        <color rgb="FF3D3D3D"/>
      </left>
      <bottom style="medium">
        <color rgb="FF3D3D3D"/>
      </bottom>
    </border>
    <border>
      <bottom style="medium">
        <color rgb="FF3D3D3D"/>
      </bottom>
    </border>
    <border>
      <right style="medium">
        <color rgb="FF3D3D3D"/>
      </right>
      <bottom style="medium">
        <color rgb="FF3D3D3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medium">
        <color rgb="FF3D3D3D"/>
      </right>
      <bottom style="medium">
        <color rgb="FF3D3D3D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</border>
    <border>
      <left style="medium">
        <color rgb="FF3D3D3D"/>
      </left>
      <top style="medium">
        <color rgb="FF000000"/>
      </top>
      <bottom style="medium">
        <color rgb="FF000000"/>
      </bottom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D3D3D"/>
      </right>
      <top style="medium">
        <color rgb="FF3D3D3D"/>
      </top>
    </border>
    <border>
      <left style="medium">
        <color rgb="FF3D3D3D"/>
      </left>
    </border>
    <border>
      <left style="medium">
        <color rgb="FF000000"/>
      </left>
      <right style="medium">
        <color rgb="FF3D3D3D"/>
      </right>
      <top style="medium">
        <color rgb="FF000000"/>
      </top>
    </border>
    <border>
      <left style="medium">
        <color rgb="FF3D3D3D"/>
      </left>
      <top style="medium">
        <color rgb="FF000000"/>
      </top>
    </border>
    <border>
      <left style="medium">
        <color rgb="FF3D3D3D"/>
      </left>
      <top style="medium">
        <color rgb="FF3D3D3D"/>
      </top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</border>
    <border>
      <left style="medium">
        <color rgb="FF3D3D3D"/>
      </left>
      <top style="thin">
        <color rgb="FF000000"/>
      </top>
      <bottom style="medium">
        <color rgb="FF3D3D3D"/>
      </bottom>
    </border>
    <border>
      <right style="medium">
        <color rgb="FF3D3D3D"/>
      </right>
      <top style="thin">
        <color rgb="FF000000"/>
      </top>
      <bottom style="medium">
        <color rgb="FF3D3D3D"/>
      </bottom>
    </border>
    <border>
      <top style="thin">
        <color rgb="FF000000"/>
      </top>
      <bottom style="medium">
        <color rgb="FF3D3D3D"/>
      </bottom>
    </border>
    <border>
      <left style="medium">
        <color rgb="FF3D3D3D"/>
      </left>
      <top style="medium">
        <color rgb="FF3D3D3D"/>
      </top>
      <bottom style="medium">
        <color rgb="FF3D3D3D"/>
      </bottom>
    </border>
    <border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000000"/>
      </top>
    </border>
    <border>
      <left style="medium">
        <color rgb="FF000000"/>
      </left>
      <top style="medium">
        <color rgb="FF3D3D3D"/>
      </top>
      <bottom style="medium">
        <color rgb="FF3D3D3D"/>
      </bottom>
    </border>
    <border>
      <left style="medium">
        <color rgb="FF3D3D3D"/>
      </left>
      <right style="medium">
        <color rgb="FF3D3D3D"/>
      </right>
    </border>
    <border>
      <left style="medium">
        <color rgb="FF3D3D3D"/>
      </left>
      <right style="medium">
        <color rgb="FF3D3D3D"/>
      </right>
      <top style="medium">
        <color rgb="FF3D3D3D"/>
      </top>
    </border>
  </borders>
  <cellStyleXfs count="1">
    <xf numFmtId="0" fontId="0" fillId="0" borderId="0"/>
  </cellStyleXfs>
  <cellXfs count="17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6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5" fillId="0" borderId="1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164" fillId="0" borderId="13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18" applyFont="1" applyNumberFormat="0" applyFill="0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1" numFmtId="0" fillId="0" borderId="20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2" numFmtId="0" fillId="0" borderId="2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2" numFmtId="0" fillId="0" borderId="2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7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9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3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7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3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2" numFmtId="0" fillId="0" borderId="3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35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2" numFmtId="166" fillId="0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0" borderId="37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2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4" numFmtId="0" fillId="0" borderId="38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4" numFmtId="0" fillId="0" borderId="3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3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3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1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6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7" numFmtId="0" fillId="0" borderId="1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2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1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2" numFmtId="0" fillId="0" borderId="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0" borderId="4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47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168" fillId="0" borderId="4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3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3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0" borderId="4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5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6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5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0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4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6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7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0" numFmtId="0" fillId="0" borderId="57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0" numFmtId="0" fillId="0" borderId="0" applyFont="1" applyNumberFormat="0" applyFill="0" applyBorder="0" applyAlignment="1" applyProtection="true">
      <alignment horizontal="left" vertical="center" textRotation="0" wrapText="true" shrinkToFit="false" indent="1"/>
      <protection hidden="false"/>
    </xf>
    <xf xfId="0" fontId="10" numFmtId="0" fillId="0" borderId="3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2" numFmtId="0" fillId="0" borderId="5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0" numFmtId="0" fillId="0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0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0" borderId="6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1" fillId="0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1" numFmtId="0" fillId="0" borderId="5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53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" numFmtId="0" fillId="0" borderId="6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6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69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36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3" numFmtId="0" fillId="0" borderId="7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0" numFmtId="0" fillId="0" borderId="7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7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"/>
  <sheetViews>
    <sheetView tabSelected="1" workbookViewId="0" showGridLines="true" showRowColHeaders="1">
      <selection activeCell="I14" sqref="I14"/>
    </sheetView>
  </sheetViews>
  <sheetFormatPr customHeight="true" defaultRowHeight="12.75" defaultColWidth="11" outlineLevelRow="0" outlineLevelCol="0"/>
  <cols>
    <col min="1" max="1" width="4.5703125" customWidth="true" style="1"/>
    <col min="2" max="2" width="15.28515625" customWidth="true" style="1"/>
    <col min="3" max="3" width="31.28515625" customWidth="true" style="1"/>
    <col min="4" max="4" width="8.42578125" customWidth="true" style="1"/>
    <col min="5" max="5" width="69" customWidth="true" style="1"/>
    <col min="6" max="6" width="11.85546875" customWidth="true" style="1"/>
    <col min="7" max="7" width="9.140625" customWidth="true" style="1"/>
    <col min="8" max="8" width="13.85546875" customWidth="true" style="1"/>
    <col min="9" max="9" width="14.5703125" customWidth="true" style="1"/>
    <col min="10" max="10" width="31.7109375" customWidth="true" style="1"/>
  </cols>
  <sheetData>
    <row r="1" spans="1:10" customHeight="1" ht="13.5"/>
    <row r="2" spans="1:10" customHeight="1" ht="24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4" spans="1:10" customHeight="1" ht="18">
      <c r="A4" s="102" t="s">
        <v>1</v>
      </c>
      <c r="B4" s="103"/>
      <c r="C4" s="99" t="s">
        <v>2</v>
      </c>
      <c r="D4" s="100"/>
      <c r="E4" s="100"/>
      <c r="F4" s="100"/>
      <c r="G4" s="100"/>
      <c r="H4" s="100"/>
      <c r="I4" s="100"/>
      <c r="J4" s="101"/>
    </row>
    <row r="5" spans="1:10" customHeight="1" ht="18">
      <c r="A5" s="104" t="s">
        <v>3</v>
      </c>
      <c r="B5" s="105"/>
      <c r="C5" s="99" t="s">
        <v>4</v>
      </c>
      <c r="D5" s="100"/>
      <c r="E5" s="100"/>
      <c r="F5" s="100"/>
      <c r="G5" s="100"/>
      <c r="H5" s="100"/>
      <c r="I5" s="100"/>
      <c r="J5" s="101"/>
    </row>
    <row r="6" spans="1:10" customHeight="1" ht="16.5">
      <c r="A6" s="104" t="s">
        <v>5</v>
      </c>
      <c r="B6" s="105"/>
      <c r="C6" s="99">
        <v>2022</v>
      </c>
      <c r="D6" s="100"/>
      <c r="E6" s="100"/>
      <c r="F6" s="100"/>
      <c r="G6" s="100"/>
      <c r="H6" s="100"/>
      <c r="I6" s="100"/>
      <c r="J6" s="101"/>
    </row>
    <row r="7" spans="1:10" customHeight="1" ht="16.5">
      <c r="A7" s="106" t="s">
        <v>6</v>
      </c>
      <c r="B7" s="107"/>
      <c r="C7" s="99" t="s">
        <v>7</v>
      </c>
      <c r="D7" s="100"/>
      <c r="E7" s="100"/>
      <c r="F7" s="100"/>
      <c r="G7" s="100"/>
      <c r="H7" s="100"/>
      <c r="I7" s="100"/>
      <c r="J7" s="101"/>
    </row>
    <row r="8" spans="1:10" customHeight="1" ht="13.5">
      <c r="A8" s="5"/>
      <c r="B8" s="3"/>
      <c r="C8" s="4"/>
      <c r="D8" s="3"/>
      <c r="E8" s="3"/>
      <c r="F8" s="3"/>
      <c r="G8" s="4"/>
      <c r="H8" s="3"/>
      <c r="I8" s="5"/>
      <c r="J8" s="5"/>
    </row>
    <row r="9" spans="1:10" customHeight="1" ht="38.25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14" t="s">
        <v>13</v>
      </c>
      <c r="G9" s="19" t="s">
        <v>14</v>
      </c>
      <c r="H9" s="20" t="s">
        <v>15</v>
      </c>
      <c r="I9" s="21" t="s">
        <v>16</v>
      </c>
      <c r="J9" s="21" t="s">
        <v>17</v>
      </c>
    </row>
    <row r="10" spans="1:10" customHeight="1" ht="20.25" s="22" customFormat="1">
      <c r="A10" s="79">
        <v>1</v>
      </c>
      <c r="B10" s="80" t="s">
        <v>18</v>
      </c>
      <c r="C10" s="80" t="s">
        <v>19</v>
      </c>
      <c r="D10" s="79" t="s">
        <v>20</v>
      </c>
      <c r="E10" s="80" t="s">
        <v>21</v>
      </c>
      <c r="F10" s="81" t="s">
        <v>22</v>
      </c>
      <c r="G10" s="81">
        <v>1200</v>
      </c>
      <c r="H10" s="82">
        <v>156.0</v>
      </c>
      <c r="I10" s="82">
        <v>187200.0</v>
      </c>
      <c r="J10" s="80"/>
    </row>
    <row r="11" spans="1:10" customHeight="1" ht="20.25">
      <c r="A11" s="79">
        <v>2</v>
      </c>
      <c r="B11" s="80" t="s">
        <v>23</v>
      </c>
      <c r="C11" s="80" t="s">
        <v>19</v>
      </c>
      <c r="D11" s="79" t="s">
        <v>20</v>
      </c>
      <c r="E11" s="80" t="s">
        <v>24</v>
      </c>
      <c r="F11" s="81" t="s">
        <v>25</v>
      </c>
      <c r="G11" s="81">
        <v>48973</v>
      </c>
      <c r="H11" s="82">
        <v>221.7</v>
      </c>
      <c r="I11" s="82">
        <v>10857314.1</v>
      </c>
      <c r="J11" s="80"/>
    </row>
    <row r="12" spans="1:10" customHeight="1" ht="20.25">
      <c r="A12" s="79"/>
      <c r="B12" s="80"/>
      <c r="C12" s="80"/>
      <c r="D12" s="79"/>
      <c r="E12" s="80"/>
      <c r="F12" s="81"/>
      <c r="G12" s="81"/>
      <c r="H12" s="82"/>
      <c r="I12" s="82"/>
      <c r="J12" s="80"/>
    </row>
    <row r="13" spans="1:10" customHeight="1" ht="17.25" s="22" customFormat="1">
      <c r="A13" s="23"/>
      <c r="B13" s="27"/>
      <c r="C13" s="27"/>
      <c r="D13" s="23"/>
      <c r="E13" s="80"/>
      <c r="F13" s="23"/>
      <c r="G13" s="23"/>
      <c r="H13" s="24"/>
      <c r="I13" s="24"/>
      <c r="J13" s="80"/>
    </row>
    <row r="14" spans="1:10" customHeight="1" ht="13.5">
      <c r="C14" s="10" t="s">
        <v>26</v>
      </c>
      <c r="H14" s="25" t="s">
        <v>27</v>
      </c>
      <c r="I14" s="26">
        <f>SUM(I10:I13)</f>
        <v>11044514.1</v>
      </c>
      <c r="J14" s="10"/>
    </row>
    <row r="15" spans="1:10" customHeight="1" ht="15">
      <c r="B15" s="11"/>
      <c r="C15" s="12"/>
      <c r="D15" s="12"/>
      <c r="E15" s="13"/>
      <c r="F15" s="9"/>
    </row>
    <row r="16" spans="1:10" customHeight="1" ht="15">
      <c r="B16" s="87" t="s">
        <v>28</v>
      </c>
      <c r="C16" s="88"/>
      <c r="D16" s="88"/>
      <c r="E16" s="89"/>
    </row>
    <row r="17" spans="1:10" customHeight="1" ht="128.25">
      <c r="B17" s="93" t="inlineStr">
        <is>
          <r>
            <t xml:space="preserve">a) LUGAR DE ENTREGA:   - De 08 a 12 horas.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FORMA DE LA ENTREGA: Libre de flete, acarreo y embalaje, como así también, de todo riesgo de pérdida o destrucción total o parcial, por causas ajenas a la Institución.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      </r>
        </is>
      </c>
      <c r="C17" s="94"/>
      <c r="D17" s="94"/>
      <c r="E17" s="95"/>
    </row>
    <row r="18" spans="1:10" customHeight="1" ht="16.5">
      <c r="B18" s="87" t="s">
        <v>30</v>
      </c>
      <c r="C18" s="88"/>
      <c r="D18" s="88"/>
      <c r="E18" s="89"/>
    </row>
    <row r="19" spans="1:10" customHeight="1" ht="15">
      <c r="B19" s="90" t="s">
        <v>31</v>
      </c>
      <c r="C19" s="91"/>
      <c r="D19" s="91"/>
      <c r="E19" s="92"/>
    </row>
    <row r="20" spans="1:10" customHeight="1" ht="15">
      <c r="B20" s="87" t="s">
        <v>32</v>
      </c>
      <c r="C20" s="88"/>
      <c r="D20" s="88"/>
      <c r="E20" s="89"/>
    </row>
    <row r="21" spans="1:10" customHeight="1" ht="15">
      <c r="B21" s="90" t="s">
        <v>33</v>
      </c>
      <c r="C21" s="91"/>
      <c r="D21" s="91"/>
      <c r="E21" s="92"/>
    </row>
    <row r="22" spans="1:10" customHeight="1" ht="15">
      <c r="B22" s="87" t="s">
        <v>34</v>
      </c>
      <c r="C22" s="88"/>
      <c r="D22" s="88"/>
      <c r="E22" s="89"/>
    </row>
    <row r="23" spans="1:10" customHeight="1" ht="31.5">
      <c r="B23" s="84" t="s">
        <v>35</v>
      </c>
      <c r="C23" s="85"/>
      <c r="D23" s="85"/>
      <c r="E23" s="86"/>
    </row>
    <row r="24" spans="1:10" customHeight="1" ht="12.75">
      <c r="C24" s="2"/>
      <c r="D24" s="2"/>
      <c r="E24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J2"/>
    <mergeCell ref="C4:J4"/>
    <mergeCell ref="C5:J5"/>
    <mergeCell ref="C6:J6"/>
    <mergeCell ref="C7:J7"/>
    <mergeCell ref="B21:E21"/>
    <mergeCell ref="A4:B4"/>
    <mergeCell ref="A5:B5"/>
    <mergeCell ref="A6:B6"/>
    <mergeCell ref="A7:B7"/>
    <mergeCell ref="B23:E23"/>
    <mergeCell ref="B16:E16"/>
    <mergeCell ref="B18:E18"/>
    <mergeCell ref="B20:E20"/>
    <mergeCell ref="B22:E22"/>
    <mergeCell ref="B19:E19"/>
    <mergeCell ref="B17:E17"/>
  </mergeCells>
  <printOptions gridLines="false" gridLinesSet="true"/>
  <pageMargins left="0.7" right="0.7" top="0.75" bottom="0.75" header="0.51180555555555" footer="0.51180555555555"/>
  <pageSetup paperSize="9" orientation="landscape" scale="42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36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37</v>
      </c>
      <c r="G2" s="41" t="s">
        <v>38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39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40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41</v>
      </c>
      <c r="B6" s="128"/>
      <c r="C6" s="112" t="s">
        <v>42</v>
      </c>
      <c r="D6" s="113"/>
      <c r="E6" s="113"/>
      <c r="F6" s="113"/>
      <c r="G6" s="114"/>
    </row>
    <row r="7" spans="1:7" customHeight="1" ht="32.25">
      <c r="A7" s="127" t="s">
        <v>43</v>
      </c>
      <c r="B7" s="128"/>
      <c r="C7" s="112" t="s">
        <v>42</v>
      </c>
      <c r="D7" s="113"/>
      <c r="E7" s="113"/>
      <c r="F7" s="113"/>
      <c r="G7" s="114"/>
    </row>
    <row r="8" spans="1:7" customHeight="1" ht="16.5">
      <c r="A8" s="127" t="s">
        <v>44</v>
      </c>
      <c r="B8" s="128"/>
      <c r="C8" s="112" t="s">
        <v>45</v>
      </c>
      <c r="D8" s="113"/>
      <c r="E8" s="113"/>
      <c r="F8" s="113"/>
      <c r="G8" s="114"/>
    </row>
    <row r="9" spans="1:7" customHeight="1" ht="27.75">
      <c r="A9" s="117" t="s">
        <v>46</v>
      </c>
      <c r="B9" s="118"/>
      <c r="C9" s="124" t="s">
        <v>47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48</v>
      </c>
      <c r="B11" s="131" t="s">
        <v>49</v>
      </c>
      <c r="C11" s="119" t="s">
        <v>50</v>
      </c>
      <c r="D11" s="135" t="s">
        <v>51</v>
      </c>
      <c r="E11" s="135" t="s">
        <v>52</v>
      </c>
      <c r="F11" s="135" t="s">
        <v>53</v>
      </c>
      <c r="G11" s="135" t="s">
        <v>54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23</v>
      </c>
      <c r="C13" s="35" t="s">
        <v>24</v>
      </c>
      <c r="D13" s="31" t="s">
        <v>55</v>
      </c>
      <c r="E13" s="31" t="s">
        <v>25</v>
      </c>
      <c r="F13" s="32">
        <v>221.7</v>
      </c>
      <c r="G13" s="33">
        <v>22550</v>
      </c>
    </row>
    <row r="14" spans="1:7" customHeight="1" ht="15">
      <c r="A14" s="44"/>
      <c r="B14" s="34"/>
      <c r="C14" s="35"/>
      <c r="D14" s="31"/>
      <c r="E14" s="31"/>
      <c r="F14" s="32"/>
      <c r="G14" s="33"/>
    </row>
    <row r="15" spans="1:7" customHeight="1" ht="15.75">
      <c r="A15" s="45"/>
      <c r="B15" s="36"/>
      <c r="C15" s="37"/>
      <c r="D15" s="28"/>
      <c r="E15" s="28"/>
      <c r="F15" s="29"/>
      <c r="G15" s="30"/>
    </row>
    <row r="16" spans="1:7" customHeight="1" ht="20.25">
      <c r="A16" s="122" t="s">
        <v>56</v>
      </c>
      <c r="B16" s="123"/>
      <c r="C16" s="133" t="s">
        <v>57</v>
      </c>
      <c r="D16" s="133"/>
      <c r="E16" s="134"/>
      <c r="F16" s="121">
        <f>SUMPRODUCT(F13:F15,G13:G15)</f>
        <v>4999335</v>
      </c>
      <c r="G16" s="121"/>
    </row>
    <row r="20" spans="1:7" customHeight="1" ht="13.5"/>
    <row r="21" spans="1:7" customHeight="1" ht="15.75">
      <c r="A21" s="46"/>
      <c r="B21" s="115" t="s">
        <v>58</v>
      </c>
      <c r="C21" s="115"/>
      <c r="D21" s="116"/>
    </row>
    <row r="22" spans="1:7" customHeight="1" ht="18.75">
      <c r="A22" s="47"/>
      <c r="B22" s="48"/>
      <c r="C22" s="49"/>
      <c r="D22" s="50"/>
    </row>
    <row r="23" spans="1:7" customHeight="1" ht="18.75">
      <c r="A23" s="51"/>
      <c r="B23" s="52"/>
      <c r="C23" s="53"/>
      <c r="D23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6:B16"/>
    <mergeCell ref="C9:G9"/>
    <mergeCell ref="A8:B8"/>
    <mergeCell ref="A11:A12"/>
    <mergeCell ref="B11:B12"/>
    <mergeCell ref="C16:E16"/>
    <mergeCell ref="F11:F12"/>
    <mergeCell ref="G11:G12"/>
    <mergeCell ref="E11:E12"/>
    <mergeCell ref="A1:G1"/>
    <mergeCell ref="C4:G4"/>
    <mergeCell ref="C5:G5"/>
    <mergeCell ref="C6:G6"/>
    <mergeCell ref="C7:G7"/>
    <mergeCell ref="B21:D21"/>
    <mergeCell ref="C8:G8"/>
    <mergeCell ref="A9:B9"/>
    <mergeCell ref="C11:C12"/>
    <mergeCell ref="F16:G16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59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60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40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41</v>
      </c>
      <c r="B6" s="165"/>
      <c r="C6" s="165"/>
      <c r="D6" s="165"/>
      <c r="E6" s="165"/>
      <c r="F6" s="166"/>
      <c r="G6" s="163" t="s">
        <v>42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43</v>
      </c>
      <c r="B7" s="165"/>
      <c r="C7" s="165"/>
      <c r="D7" s="165"/>
      <c r="E7" s="165"/>
      <c r="F7" s="166"/>
      <c r="G7" s="170" t="s">
        <v>42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61</v>
      </c>
      <c r="B8" s="139"/>
      <c r="C8" s="139" t="s">
        <v>45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62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63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64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65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66</v>
      </c>
      <c r="P13" s="149"/>
      <c r="Q13" s="152" t="s">
        <v>67</v>
      </c>
    </row>
    <row r="14" spans="1:17" customHeight="1" ht="15.75">
      <c r="A14" s="66" t="s">
        <v>68</v>
      </c>
      <c r="B14" s="66" t="s">
        <v>69</v>
      </c>
      <c r="C14" s="66" t="s">
        <v>70</v>
      </c>
      <c r="D14" s="66" t="s">
        <v>71</v>
      </c>
      <c r="E14" s="66" t="s">
        <v>72</v>
      </c>
      <c r="F14" s="66" t="s">
        <v>73</v>
      </c>
      <c r="G14" s="67" t="s">
        <v>74</v>
      </c>
      <c r="H14" s="66" t="s">
        <v>75</v>
      </c>
      <c r="I14" s="66" t="s">
        <v>76</v>
      </c>
      <c r="J14" s="66" t="s">
        <v>77</v>
      </c>
      <c r="K14" s="66" t="s">
        <v>77</v>
      </c>
      <c r="L14" s="66" t="s">
        <v>78</v>
      </c>
      <c r="M14" s="66" t="s">
        <v>79</v>
      </c>
      <c r="N14" s="66" t="s">
        <v>80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6</v>
      </c>
      <c r="L15" s="69">
        <v>0</v>
      </c>
      <c r="M15" s="70">
        <v>1</v>
      </c>
      <c r="N15" s="83">
        <v>11</v>
      </c>
      <c r="O15" s="78" t="s">
        <v>19</v>
      </c>
      <c r="P15" s="77"/>
      <c r="Q15" s="71">
        <v>4999335.0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81</v>
      </c>
      <c r="B18" s="155"/>
      <c r="C18" s="156" t="s">
        <v>57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4999335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82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47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83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36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37</v>
      </c>
      <c r="G2" s="41" t="s">
        <v>84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39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40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41</v>
      </c>
      <c r="B6" s="128"/>
      <c r="C6" s="112" t="s">
        <v>85</v>
      </c>
      <c r="D6" s="113"/>
      <c r="E6" s="113"/>
      <c r="F6" s="113"/>
      <c r="G6" s="114"/>
    </row>
    <row r="7" spans="1:7" customHeight="1" ht="32.25">
      <c r="A7" s="127" t="s">
        <v>43</v>
      </c>
      <c r="B7" s="128"/>
      <c r="C7" s="112" t="s">
        <v>85</v>
      </c>
      <c r="D7" s="113"/>
      <c r="E7" s="113"/>
      <c r="F7" s="113"/>
      <c r="G7" s="114"/>
    </row>
    <row r="8" spans="1:7" customHeight="1" ht="16.5">
      <c r="A8" s="127" t="s">
        <v>44</v>
      </c>
      <c r="B8" s="128"/>
      <c r="C8" s="112" t="s">
        <v>45</v>
      </c>
      <c r="D8" s="113"/>
      <c r="E8" s="113"/>
      <c r="F8" s="113"/>
      <c r="G8" s="114"/>
    </row>
    <row r="9" spans="1:7" customHeight="1" ht="27.75">
      <c r="A9" s="117" t="s">
        <v>46</v>
      </c>
      <c r="B9" s="118"/>
      <c r="C9" s="124" t="s">
        <v>86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48</v>
      </c>
      <c r="B11" s="131" t="s">
        <v>49</v>
      </c>
      <c r="C11" s="119" t="s">
        <v>50</v>
      </c>
      <c r="D11" s="135" t="s">
        <v>51</v>
      </c>
      <c r="E11" s="135" t="s">
        <v>52</v>
      </c>
      <c r="F11" s="135" t="s">
        <v>53</v>
      </c>
      <c r="G11" s="135" t="s">
        <v>54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23</v>
      </c>
      <c r="C13" s="35" t="s">
        <v>24</v>
      </c>
      <c r="D13" s="31" t="s">
        <v>55</v>
      </c>
      <c r="E13" s="31" t="s">
        <v>25</v>
      </c>
      <c r="F13" s="32">
        <v>222.0</v>
      </c>
      <c r="G13" s="33">
        <v>22523</v>
      </c>
    </row>
    <row r="14" spans="1:7" customHeight="1" ht="15">
      <c r="A14" s="44"/>
      <c r="B14" s="34"/>
      <c r="C14" s="35"/>
      <c r="D14" s="31"/>
      <c r="E14" s="31"/>
      <c r="F14" s="32"/>
      <c r="G14" s="33"/>
    </row>
    <row r="15" spans="1:7" customHeight="1" ht="15.75">
      <c r="A15" s="45"/>
      <c r="B15" s="36"/>
      <c r="C15" s="37"/>
      <c r="D15" s="28"/>
      <c r="E15" s="28"/>
      <c r="F15" s="29"/>
      <c r="G15" s="30"/>
    </row>
    <row r="16" spans="1:7" customHeight="1" ht="20.25">
      <c r="A16" s="122" t="s">
        <v>56</v>
      </c>
      <c r="B16" s="123"/>
      <c r="C16" s="133" t="s">
        <v>87</v>
      </c>
      <c r="D16" s="133"/>
      <c r="E16" s="134"/>
      <c r="F16" s="121">
        <f>SUMPRODUCT(F13:F15,G13:G15)</f>
        <v>5000106</v>
      </c>
      <c r="G16" s="121"/>
    </row>
    <row r="20" spans="1:7" customHeight="1" ht="13.5"/>
    <row r="21" spans="1:7" customHeight="1" ht="15.75">
      <c r="A21" s="46"/>
      <c r="B21" s="115" t="s">
        <v>58</v>
      </c>
      <c r="C21" s="115"/>
      <c r="D21" s="116"/>
    </row>
    <row r="22" spans="1:7" customHeight="1" ht="18.75">
      <c r="A22" s="47"/>
      <c r="B22" s="48"/>
      <c r="C22" s="49"/>
      <c r="D22" s="50"/>
    </row>
    <row r="23" spans="1:7" customHeight="1" ht="18.75">
      <c r="A23" s="51"/>
      <c r="B23" s="52"/>
      <c r="C23" s="53"/>
      <c r="D23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6:B16"/>
    <mergeCell ref="C9:G9"/>
    <mergeCell ref="A8:B8"/>
    <mergeCell ref="A11:A12"/>
    <mergeCell ref="B11:B12"/>
    <mergeCell ref="C16:E16"/>
    <mergeCell ref="F11:F12"/>
    <mergeCell ref="G11:G12"/>
    <mergeCell ref="E11:E12"/>
    <mergeCell ref="A1:G1"/>
    <mergeCell ref="C4:G4"/>
    <mergeCell ref="C5:G5"/>
    <mergeCell ref="C6:G6"/>
    <mergeCell ref="C7:G7"/>
    <mergeCell ref="B21:D21"/>
    <mergeCell ref="C8:G8"/>
    <mergeCell ref="A9:B9"/>
    <mergeCell ref="C11:C12"/>
    <mergeCell ref="F16:G16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59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60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40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41</v>
      </c>
      <c r="B6" s="165"/>
      <c r="C6" s="165"/>
      <c r="D6" s="165"/>
      <c r="E6" s="165"/>
      <c r="F6" s="166"/>
      <c r="G6" s="163" t="s">
        <v>85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43</v>
      </c>
      <c r="B7" s="165"/>
      <c r="C7" s="165"/>
      <c r="D7" s="165"/>
      <c r="E7" s="165"/>
      <c r="F7" s="166"/>
      <c r="G7" s="170" t="s">
        <v>85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61</v>
      </c>
      <c r="B8" s="139"/>
      <c r="C8" s="139" t="s">
        <v>45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62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88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64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65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66</v>
      </c>
      <c r="P13" s="149"/>
      <c r="Q13" s="152" t="s">
        <v>67</v>
      </c>
    </row>
    <row r="14" spans="1:17" customHeight="1" ht="15.75">
      <c r="A14" s="66" t="s">
        <v>68</v>
      </c>
      <c r="B14" s="66" t="s">
        <v>69</v>
      </c>
      <c r="C14" s="66" t="s">
        <v>70</v>
      </c>
      <c r="D14" s="66" t="s">
        <v>71</v>
      </c>
      <c r="E14" s="66" t="s">
        <v>72</v>
      </c>
      <c r="F14" s="66" t="s">
        <v>73</v>
      </c>
      <c r="G14" s="67" t="s">
        <v>74</v>
      </c>
      <c r="H14" s="66" t="s">
        <v>75</v>
      </c>
      <c r="I14" s="66" t="s">
        <v>76</v>
      </c>
      <c r="J14" s="66" t="s">
        <v>77</v>
      </c>
      <c r="K14" s="66" t="s">
        <v>77</v>
      </c>
      <c r="L14" s="66" t="s">
        <v>78</v>
      </c>
      <c r="M14" s="66" t="s">
        <v>79</v>
      </c>
      <c r="N14" s="66" t="s">
        <v>80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6</v>
      </c>
      <c r="L15" s="69">
        <v>0</v>
      </c>
      <c r="M15" s="70">
        <v>1</v>
      </c>
      <c r="N15" s="83">
        <v>11</v>
      </c>
      <c r="O15" s="78" t="s">
        <v>19</v>
      </c>
      <c r="P15" s="77"/>
      <c r="Q15" s="71">
        <v>5000106.0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81</v>
      </c>
      <c r="B18" s="155"/>
      <c r="C18" s="156" t="s">
        <v>87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5000106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82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86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83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36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37</v>
      </c>
      <c r="G2" s="41" t="s">
        <v>89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39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40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41</v>
      </c>
      <c r="B6" s="128"/>
      <c r="C6" s="112" t="s">
        <v>90</v>
      </c>
      <c r="D6" s="113"/>
      <c r="E6" s="113"/>
      <c r="F6" s="113"/>
      <c r="G6" s="114"/>
    </row>
    <row r="7" spans="1:7" customHeight="1" ht="32.25">
      <c r="A7" s="127" t="s">
        <v>43</v>
      </c>
      <c r="B7" s="128"/>
      <c r="C7" s="112" t="s">
        <v>90</v>
      </c>
      <c r="D7" s="113"/>
      <c r="E7" s="113"/>
      <c r="F7" s="113"/>
      <c r="G7" s="114"/>
    </row>
    <row r="8" spans="1:7" customHeight="1" ht="16.5">
      <c r="A8" s="127" t="s">
        <v>44</v>
      </c>
      <c r="B8" s="128"/>
      <c r="C8" s="112" t="s">
        <v>45</v>
      </c>
      <c r="D8" s="113"/>
      <c r="E8" s="113"/>
      <c r="F8" s="113"/>
      <c r="G8" s="114"/>
    </row>
    <row r="9" spans="1:7" customHeight="1" ht="27.75">
      <c r="A9" s="117" t="s">
        <v>46</v>
      </c>
      <c r="B9" s="118"/>
      <c r="C9" s="124" t="s">
        <v>86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48</v>
      </c>
      <c r="B11" s="131" t="s">
        <v>49</v>
      </c>
      <c r="C11" s="119" t="s">
        <v>50</v>
      </c>
      <c r="D11" s="135" t="s">
        <v>51</v>
      </c>
      <c r="E11" s="135" t="s">
        <v>52</v>
      </c>
      <c r="F11" s="135" t="s">
        <v>53</v>
      </c>
      <c r="G11" s="135" t="s">
        <v>54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18</v>
      </c>
      <c r="C13" s="35" t="s">
        <v>21</v>
      </c>
      <c r="D13" s="31" t="s">
        <v>55</v>
      </c>
      <c r="E13" s="31" t="s">
        <v>22</v>
      </c>
      <c r="F13" s="32">
        <v>156.0</v>
      </c>
      <c r="G13" s="33">
        <v>1200</v>
      </c>
    </row>
    <row r="14" spans="1:7" customHeight="1" ht="15">
      <c r="A14" s="44">
        <v>2</v>
      </c>
      <c r="B14" s="34" t="s">
        <v>23</v>
      </c>
      <c r="C14" s="35" t="s">
        <v>24</v>
      </c>
      <c r="D14" s="31" t="s">
        <v>55</v>
      </c>
      <c r="E14" s="31" t="s">
        <v>22</v>
      </c>
      <c r="F14" s="32">
        <v>232.0</v>
      </c>
      <c r="G14" s="33">
        <v>2400</v>
      </c>
    </row>
    <row r="15" spans="1:7" customHeight="1" ht="15">
      <c r="A15" s="44"/>
      <c r="B15" s="34"/>
      <c r="C15" s="35"/>
      <c r="D15" s="31"/>
      <c r="E15" s="31"/>
      <c r="F15" s="32"/>
      <c r="G15" s="33"/>
    </row>
    <row r="16" spans="1:7" customHeight="1" ht="15.75">
      <c r="A16" s="45"/>
      <c r="B16" s="36"/>
      <c r="C16" s="37"/>
      <c r="D16" s="28"/>
      <c r="E16" s="28"/>
      <c r="F16" s="29"/>
      <c r="G16" s="30"/>
    </row>
    <row r="17" spans="1:7" customHeight="1" ht="20.25">
      <c r="A17" s="122" t="s">
        <v>56</v>
      </c>
      <c r="B17" s="123"/>
      <c r="C17" s="133" t="s">
        <v>91</v>
      </c>
      <c r="D17" s="133"/>
      <c r="E17" s="134"/>
      <c r="F17" s="121">
        <f>SUMPRODUCT(F13:F16,G13:G16)</f>
        <v>744000</v>
      </c>
      <c r="G17" s="121"/>
    </row>
    <row r="21" spans="1:7" customHeight="1" ht="13.5"/>
    <row r="22" spans="1:7" customHeight="1" ht="15.75">
      <c r="A22" s="46"/>
      <c r="B22" s="115" t="s">
        <v>58</v>
      </c>
      <c r="C22" s="115"/>
      <c r="D22" s="116"/>
    </row>
    <row r="23" spans="1:7" customHeight="1" ht="18.75">
      <c r="A23" s="47"/>
      <c r="B23" s="48"/>
      <c r="C23" s="49"/>
      <c r="D23" s="50"/>
    </row>
    <row r="24" spans="1:7" customHeight="1" ht="18.75">
      <c r="A24" s="51"/>
      <c r="B24" s="52"/>
      <c r="C24" s="53"/>
      <c r="D24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7:B17"/>
    <mergeCell ref="C9:G9"/>
    <mergeCell ref="A8:B8"/>
    <mergeCell ref="A11:A12"/>
    <mergeCell ref="B11:B12"/>
    <mergeCell ref="C17:E17"/>
    <mergeCell ref="F11:F12"/>
    <mergeCell ref="G11:G12"/>
    <mergeCell ref="E11:E12"/>
    <mergeCell ref="A1:G1"/>
    <mergeCell ref="C4:G4"/>
    <mergeCell ref="C5:G5"/>
    <mergeCell ref="C6:G6"/>
    <mergeCell ref="C7:G7"/>
    <mergeCell ref="B22:D22"/>
    <mergeCell ref="C8:G8"/>
    <mergeCell ref="A9:B9"/>
    <mergeCell ref="C11:C12"/>
    <mergeCell ref="F17:G17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59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60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40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41</v>
      </c>
      <c r="B6" s="165"/>
      <c r="C6" s="165"/>
      <c r="D6" s="165"/>
      <c r="E6" s="165"/>
      <c r="F6" s="166"/>
      <c r="G6" s="163" t="s">
        <v>90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43</v>
      </c>
      <c r="B7" s="165"/>
      <c r="C7" s="165"/>
      <c r="D7" s="165"/>
      <c r="E7" s="165"/>
      <c r="F7" s="166"/>
      <c r="G7" s="170" t="s">
        <v>90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61</v>
      </c>
      <c r="B8" s="139"/>
      <c r="C8" s="139" t="s">
        <v>45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62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92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64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65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66</v>
      </c>
      <c r="P13" s="149"/>
      <c r="Q13" s="152" t="s">
        <v>67</v>
      </c>
    </row>
    <row r="14" spans="1:17" customHeight="1" ht="15.75">
      <c r="A14" s="66" t="s">
        <v>68</v>
      </c>
      <c r="B14" s="66" t="s">
        <v>69</v>
      </c>
      <c r="C14" s="66" t="s">
        <v>70</v>
      </c>
      <c r="D14" s="66" t="s">
        <v>71</v>
      </c>
      <c r="E14" s="66" t="s">
        <v>72</v>
      </c>
      <c r="F14" s="66" t="s">
        <v>73</v>
      </c>
      <c r="G14" s="67" t="s">
        <v>74</v>
      </c>
      <c r="H14" s="66" t="s">
        <v>75</v>
      </c>
      <c r="I14" s="66" t="s">
        <v>76</v>
      </c>
      <c r="J14" s="66" t="s">
        <v>77</v>
      </c>
      <c r="K14" s="66" t="s">
        <v>77</v>
      </c>
      <c r="L14" s="66" t="s">
        <v>78</v>
      </c>
      <c r="M14" s="66" t="s">
        <v>79</v>
      </c>
      <c r="N14" s="66" t="s">
        <v>80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6</v>
      </c>
      <c r="L15" s="69">
        <v>0</v>
      </c>
      <c r="M15" s="70">
        <v>1</v>
      </c>
      <c r="N15" s="83">
        <v>11</v>
      </c>
      <c r="O15" s="78" t="s">
        <v>19</v>
      </c>
      <c r="P15" s="77"/>
      <c r="Q15" s="71">
        <v>744000.0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81</v>
      </c>
      <c r="B18" s="155"/>
      <c r="C18" s="156" t="s">
        <v>91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744000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82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86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83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36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37</v>
      </c>
      <c r="G2" s="41" t="s">
        <v>93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39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40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41</v>
      </c>
      <c r="B6" s="128"/>
      <c r="C6" s="112" t="s">
        <v>94</v>
      </c>
      <c r="D6" s="113"/>
      <c r="E6" s="113"/>
      <c r="F6" s="113"/>
      <c r="G6" s="114"/>
    </row>
    <row r="7" spans="1:7" customHeight="1" ht="32.25">
      <c r="A7" s="127" t="s">
        <v>43</v>
      </c>
      <c r="B7" s="128"/>
      <c r="C7" s="112" t="s">
        <v>94</v>
      </c>
      <c r="D7" s="113"/>
      <c r="E7" s="113"/>
      <c r="F7" s="113"/>
      <c r="G7" s="114"/>
    </row>
    <row r="8" spans="1:7" customHeight="1" ht="16.5">
      <c r="A8" s="127" t="s">
        <v>44</v>
      </c>
      <c r="B8" s="128"/>
      <c r="C8" s="112" t="s">
        <v>45</v>
      </c>
      <c r="D8" s="113"/>
      <c r="E8" s="113"/>
      <c r="F8" s="113"/>
      <c r="G8" s="114"/>
    </row>
    <row r="9" spans="1:7" customHeight="1" ht="27.75">
      <c r="A9" s="117" t="s">
        <v>46</v>
      </c>
      <c r="B9" s="118"/>
      <c r="C9" s="124" t="s">
        <v>95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48</v>
      </c>
      <c r="B11" s="131" t="s">
        <v>49</v>
      </c>
      <c r="C11" s="119" t="s">
        <v>50</v>
      </c>
      <c r="D11" s="135" t="s">
        <v>51</v>
      </c>
      <c r="E11" s="135" t="s">
        <v>52</v>
      </c>
      <c r="F11" s="135" t="s">
        <v>53</v>
      </c>
      <c r="G11" s="135" t="s">
        <v>54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23</v>
      </c>
      <c r="C13" s="35" t="s">
        <v>24</v>
      </c>
      <c r="D13" s="31" t="s">
        <v>55</v>
      </c>
      <c r="E13" s="31" t="s">
        <v>25</v>
      </c>
      <c r="F13" s="32">
        <v>232.0</v>
      </c>
      <c r="G13" s="33">
        <v>1500</v>
      </c>
    </row>
    <row r="14" spans="1:7" customHeight="1" ht="15">
      <c r="A14" s="44"/>
      <c r="B14" s="34"/>
      <c r="C14" s="35"/>
      <c r="D14" s="31"/>
      <c r="E14" s="31"/>
      <c r="F14" s="32"/>
      <c r="G14" s="33"/>
    </row>
    <row r="15" spans="1:7" customHeight="1" ht="15.75">
      <c r="A15" s="45"/>
      <c r="B15" s="36"/>
      <c r="C15" s="37"/>
      <c r="D15" s="28"/>
      <c r="E15" s="28"/>
      <c r="F15" s="29"/>
      <c r="G15" s="30"/>
    </row>
    <row r="16" spans="1:7" customHeight="1" ht="20.25">
      <c r="A16" s="122" t="s">
        <v>56</v>
      </c>
      <c r="B16" s="123"/>
      <c r="C16" s="133" t="s">
        <v>96</v>
      </c>
      <c r="D16" s="133"/>
      <c r="E16" s="134"/>
      <c r="F16" s="121">
        <f>SUMPRODUCT(F13:F15,G13:G15)</f>
        <v>348000</v>
      </c>
      <c r="G16" s="121"/>
    </row>
    <row r="20" spans="1:7" customHeight="1" ht="13.5"/>
    <row r="21" spans="1:7" customHeight="1" ht="15.75">
      <c r="A21" s="46"/>
      <c r="B21" s="115" t="s">
        <v>58</v>
      </c>
      <c r="C21" s="115"/>
      <c r="D21" s="116"/>
    </row>
    <row r="22" spans="1:7" customHeight="1" ht="18.75">
      <c r="A22" s="47"/>
      <c r="B22" s="48"/>
      <c r="C22" s="49"/>
      <c r="D22" s="50"/>
    </row>
    <row r="23" spans="1:7" customHeight="1" ht="18.75">
      <c r="A23" s="51"/>
      <c r="B23" s="52"/>
      <c r="C23" s="53"/>
      <c r="D23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6:B16"/>
    <mergeCell ref="C9:G9"/>
    <mergeCell ref="A8:B8"/>
    <mergeCell ref="A11:A12"/>
    <mergeCell ref="B11:B12"/>
    <mergeCell ref="C16:E16"/>
    <mergeCell ref="F11:F12"/>
    <mergeCell ref="G11:G12"/>
    <mergeCell ref="E11:E12"/>
    <mergeCell ref="A1:G1"/>
    <mergeCell ref="C4:G4"/>
    <mergeCell ref="C5:G5"/>
    <mergeCell ref="C6:G6"/>
    <mergeCell ref="C7:G7"/>
    <mergeCell ref="B21:D21"/>
    <mergeCell ref="C8:G8"/>
    <mergeCell ref="A9:B9"/>
    <mergeCell ref="C11:C12"/>
    <mergeCell ref="F16:G16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59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60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40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41</v>
      </c>
      <c r="B6" s="165"/>
      <c r="C6" s="165"/>
      <c r="D6" s="165"/>
      <c r="E6" s="165"/>
      <c r="F6" s="166"/>
      <c r="G6" s="163" t="s">
        <v>94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43</v>
      </c>
      <c r="B7" s="165"/>
      <c r="C7" s="165"/>
      <c r="D7" s="165"/>
      <c r="E7" s="165"/>
      <c r="F7" s="166"/>
      <c r="G7" s="170" t="s">
        <v>94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61</v>
      </c>
      <c r="B8" s="139"/>
      <c r="C8" s="139" t="s">
        <v>45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62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97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64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65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66</v>
      </c>
      <c r="P13" s="149"/>
      <c r="Q13" s="152" t="s">
        <v>67</v>
      </c>
    </row>
    <row r="14" spans="1:17" customHeight="1" ht="15.75">
      <c r="A14" s="66" t="s">
        <v>68</v>
      </c>
      <c r="B14" s="66" t="s">
        <v>69</v>
      </c>
      <c r="C14" s="66" t="s">
        <v>70</v>
      </c>
      <c r="D14" s="66" t="s">
        <v>71</v>
      </c>
      <c r="E14" s="66" t="s">
        <v>72</v>
      </c>
      <c r="F14" s="66" t="s">
        <v>73</v>
      </c>
      <c r="G14" s="67" t="s">
        <v>74</v>
      </c>
      <c r="H14" s="66" t="s">
        <v>75</v>
      </c>
      <c r="I14" s="66" t="s">
        <v>76</v>
      </c>
      <c r="J14" s="66" t="s">
        <v>77</v>
      </c>
      <c r="K14" s="66" t="s">
        <v>77</v>
      </c>
      <c r="L14" s="66" t="s">
        <v>78</v>
      </c>
      <c r="M14" s="66" t="s">
        <v>79</v>
      </c>
      <c r="N14" s="66" t="s">
        <v>80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6</v>
      </c>
      <c r="L15" s="69">
        <v>0</v>
      </c>
      <c r="M15" s="70">
        <v>1</v>
      </c>
      <c r="N15" s="83">
        <v>11</v>
      </c>
      <c r="O15" s="78" t="s">
        <v>19</v>
      </c>
      <c r="P15" s="77"/>
      <c r="Q15" s="71">
        <v>348000.0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81</v>
      </c>
      <c r="B18" s="155"/>
      <c r="C18" s="156" t="s">
        <v>96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348000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82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95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83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Necesidades Trimestrales</vt:lpstr>
      <vt:lpstr>Nota Pedido MIDSP</vt:lpstr>
      <vt:lpstr>APG MIDSP</vt:lpstr>
      <vt:lpstr>Nota Pedido MGJDH</vt:lpstr>
      <vt:lpstr>APG MGJDH</vt:lpstr>
      <vt:lpstr>Nota Pedido DA#HNEP</vt:lpstr>
      <vt:lpstr>APG DA#HNEP</vt:lpstr>
      <vt:lpstr>Nota Pedido MIRLT</vt:lpstr>
      <vt:lpstr>APG MIRLT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2022-07-06T14:43:28+00:00</dcterms:created>
  <dcterms:modified xsi:type="dcterms:W3CDTF">2022-07-15T12:40:22+00:00</dcterms:modified>
  <dc:title/>
  <dc:description/>
  <dc:subject/>
  <cp:keywords/>
  <cp:category/>
</cp:coreProperties>
</file>