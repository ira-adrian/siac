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AG\Libreria\"/>
    </mc:Choice>
  </mc:AlternateContent>
  <xr:revisionPtr revIDLastSave="0" documentId="13_ncr:1_{ABA9C982-1B9C-4B37-A03B-7307485409E1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Trimestrales'!$A$10:$J$29</definedName>
    <definedName name="_xlnm.Print_Area" localSheetId="1">' NotaPedido'!$A$1:$K$31</definedName>
    <definedName name="_xlnm.Print_Area" localSheetId="2">'Autor Gastar'!$A$1:$Q$42</definedName>
  </definedNames>
  <calcPr calcId="181029"/>
</workbook>
</file>

<file path=xl/calcChain.xml><?xml version="1.0" encoding="utf-8"?>
<calcChain xmlns="http://schemas.openxmlformats.org/spreadsheetml/2006/main">
  <c r="J33" i="1" l="1"/>
  <c r="I29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Q38" i="2" l="1"/>
</calcChain>
</file>

<file path=xl/sharedStrings.xml><?xml version="1.0" encoding="utf-8"?>
<sst xmlns="http://schemas.openxmlformats.org/spreadsheetml/2006/main" count="287" uniqueCount="130">
  <si>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</si>
  <si>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</si>
  <si>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</si>
  <si>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</si>
  <si>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</si>
  <si>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</si>
  <si>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</si>
  <si>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</si>
  <si>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</si>
  <si>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</si>
  <si>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</si>
  <si>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</si>
  <si>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</si>
  <si>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</si>
  <si>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</si>
  <si>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</si>
  <si>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</si>
  <si>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</si>
  <si>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</si>
  <si>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</si>
  <si>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</si>
  <si>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</si>
  <si>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</si>
  <si>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</si>
  <si>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</si>
  <si>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</si>
  <si>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</si>
  <si>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</si>
  <si>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</si>
  <si>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</si>
  <si>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</si>
  <si>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</si>
  <si>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</si>
  <si>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</si>
  <si>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</si>
  <si>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</si>
  <si>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</si>
  <si>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</si>
  <si>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62- MINISTERIO DE AGRICULTURA Y GANADERIA</t>
  </si>
  <si>
    <t>33- DIRECCION PROVINCIAL DE GESTION ADMINISTRATIVA Y R.R.H.H.</t>
  </si>
  <si>
    <t>MINISTERIO DE AGRICULTURA Y GANADERIA</t>
  </si>
  <si>
    <t>1.1</t>
  </si>
  <si>
    <t>33- DIRECCION PROVINCIAL DE GESTION ADMINISTRATIVA Y R.R.H.H</t>
  </si>
  <si>
    <t>JURISDICCION : 62- MINISTERIO DE AGRICULTURA Y GANADERIA</t>
  </si>
  <si>
    <t>SAF N°: 33- DIRECCION PROVINVIAL DE GESTION ADMINISTRATIVA Y R.R.H.H.</t>
  </si>
  <si>
    <t>EJERCICIO: 2021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</si>
  <si>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</si>
  <si>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</si>
  <si>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</si>
  <si>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</si>
  <si>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</si>
  <si>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</si>
  <si>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</si>
  <si>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</si>
  <si>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</si>
  <si>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</si>
  <si>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</si>
  <si>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Garantia</t>
  </si>
  <si>
    <t>PLAZO DE ENTREGA: 10 DIAS</t>
  </si>
  <si>
    <t>AV. VENEZUELA S/N - C.A.P.E - PABELLON N° 28 -SAN FERNANDO DEL VALLE DE CATAMARCA- CATAMARCA</t>
  </si>
  <si>
    <t>UNIDAD</t>
  </si>
  <si>
    <t>Pedido de Necesidades Trimestrales</t>
  </si>
  <si>
    <t>10 DIAS</t>
  </si>
  <si>
    <t>Calidad Minima esperada</t>
  </si>
  <si>
    <t>2.3.2-1571.14</t>
  </si>
  <si>
    <t>LIBRERIA,PAP. Y UTILES OFICINA</t>
  </si>
  <si>
    <t>PAPELES P/FOTOCOPIADORA; FOTOCOPIADORA: CLC, ANCHO: 21 Cm, LARGO: 29,7 Cm, TIPO DE PAPEL: A4, PRESENTACION: ENVASE X 500 UN, CERTIFICADO FORESTAL (GFS): SIN</t>
  </si>
  <si>
    <t>2.9.2-4984.6</t>
  </si>
  <si>
    <t>2.9.2-848.8</t>
  </si>
  <si>
    <t>LAPIZ; COLOR: NEGRO, TIPO: COMUN NRO 1</t>
  </si>
  <si>
    <t>2.3.2-1571.15</t>
  </si>
  <si>
    <t>PAPELES P/FOTOCOPIADORA; FOTOCOPIADORA: SIN VALOR, ANCHO: 21,6 Cm, LARGO: 35,6 Cm, TIPO DE PAPEL: OFICIO, PRESENTACION: ENVASE X 500 UN, CERTIFICADO FORESTAL (GFS): SIN</t>
  </si>
  <si>
    <t>2.9.2-323.3</t>
  </si>
  <si>
    <t>CORRECTORES DE ESCRITURA; ENVASE: LAPIZ (PUNTA METAL), PRESENTACION: LAPIZ (PUNTA METAL) X 10 mL, CAPACIDAD: 10 mL</t>
  </si>
  <si>
    <t>2.9.2-1354.28</t>
  </si>
  <si>
    <t>RESALTADORES; PUNTA: FINA, ACCESORIO: SIN, COLOR: AMARILLO, TIPO PUNTA: FINA</t>
  </si>
  <si>
    <t>2.9.2-1354.22</t>
  </si>
  <si>
    <t>RESALTADORES; ACCESORIO SIN - TIPO PUNTA 5 (CHANFLEADA) mm</t>
  </si>
  <si>
    <t>2.9.2-1611.1</t>
  </si>
  <si>
    <t>FOLIOS TRANSPARENTES; MATERIAL: PLASTICO (POLIETILENO), TAMAÑO: OFICIO, PERFORACIONES: 5 UNIVERSALES</t>
  </si>
  <si>
    <t>2.9.2-1611.3</t>
  </si>
  <si>
    <t>FOLIOS TRANSPARENTES; TAMAÑO: A-4, PERFORACIONES: 5 UNIVERSALES, MATERIAL: PLASTICO (POLIETILENO)</t>
  </si>
  <si>
    <t>2.9.2-850.1</t>
  </si>
  <si>
    <t>CAJAS DE ARCHIVO; DIMENSION: 26.5 X 38 X 9 Cm, COLOR: AZUL, MATERIAL: PLASTICO</t>
  </si>
  <si>
    <t>2.9.2-1428.1</t>
  </si>
  <si>
    <t>BANDAS ELASTICAS; PRESENTACION: CAJA DE 100 GR, ESPESOR: 2 mm, DIAMETRO: 5 Cm</t>
  </si>
  <si>
    <t>2.9.2-1510.25</t>
  </si>
  <si>
    <t>CARPETAS COLGANTES; TIPO: INTERIOR, MATERIAL: PLASTICO, TAMAÑO: A4, SUJECION: VAINA, VISOR: PVC, PRESENTACION: UNIDAD</t>
  </si>
  <si>
    <t>2.9.2-1510.10</t>
  </si>
  <si>
    <t>CARPETAS COLGANTES; TIPO: EXTERIOR, MATERIAL: PLASTICO, TAMAÑO: OFICIO, SUJECION: GANCHOS EN 4 PUNTAS, VISOR: PVC, PRESENTACION: UNIDAD, COLOR: AMARILLO</t>
  </si>
  <si>
    <t>2.9.2-661.1</t>
  </si>
  <si>
    <t>GOMAS DE BORRAR; MATERIAL: CAUCHO, CANT. X CAJA: 30, USO: LAPIZ, DIMENSION: 4 X 1 X 1 Cm, PRESENTACION: CAJA X 30</t>
  </si>
  <si>
    <t>2.9.2-1153.1</t>
  </si>
  <si>
    <t>CINTAS ADHESIVAS; TIPO: TRANSPARENTE, ANCHO: 12 mm, LARGO ROLLO: 60 M, MATERIAL: CELOFAN, ACCESORIO: SIN VALOR, LARGO: 60 M</t>
  </si>
  <si>
    <t>2.9.2-1153.6</t>
  </si>
  <si>
    <t>CINTAS ADHESIVAS; ANCHO: 49 mm, ACCESORIO: SIN VALOR, LARGO ROLLO: SIN VALOR, MATERIAL: CELOFAN, TIPO: TRANSPARENTE, LARGO: SIN VALOR</t>
  </si>
  <si>
    <t>2.9.2-262.1</t>
  </si>
  <si>
    <t>ADHESIVOS P/PAPEL; TIPO: COLA VINILICA, PRESENTACION: 30 GR</t>
  </si>
  <si>
    <t>2.9.2-274.11</t>
  </si>
  <si>
    <t>BIBLIORATOS; LOMO: CARTON, COLOR: GRIS, ANCHO: 85 mm, ANILLO: 2 Y PALANCA, TAMAÑO: OFICIO, TAPAS: CARTON, MATERIAL: CARTON</t>
  </si>
  <si>
    <t>2.9.2-274.24</t>
  </si>
  <si>
    <t>BIBLIORATOS; ANILLO: 2 Y PALANCA, TAMAÑO: A4, TAPAS: CARTON, LOMO: CARTON, ANCHO: 85 mm, COLOR: GRIS NEGRO AZUL, MATERIAL: CARTON</t>
  </si>
  <si>
    <t>TRIMESTRE: 04</t>
  </si>
  <si>
    <t>SEGÚN ITEM</t>
  </si>
  <si>
    <t>TOTAL DE PESOS:TRESCIENTOS NUEVE MIL DOSCIENTOS SETENTA Y DOS CON 10/100</t>
  </si>
  <si>
    <t xml:space="preserve">Adquisicion de elementos de librería para las dependencias del Ministerio de Agricultura y Ganaderia </t>
  </si>
  <si>
    <t xml:space="preserve">Unidad </t>
  </si>
  <si>
    <t>Costo Total Estimado: TRESCIENTOS NUEVE MIL DOSCIENTOS SETENTA Y DOS CON 10/100</t>
  </si>
  <si>
    <t>Autorizo la realización de los  trámites correspondientes, a fin de proveer a  este Organismo los bienes, servicios o ejecución de obras públicas que se detallan en Nota  de Pedido N° 47 / 2021 afectando la erogación resultante a los créditos presupuestarios aprobados a favor de esta Unidad Ejecutora, conforme al siguiente detalle:</t>
  </si>
  <si>
    <t>4 - TRIMESTRE 2021</t>
  </si>
  <si>
    <t>RESMA</t>
  </si>
  <si>
    <t>PAPEL DE ESCRITORIO Y CARTON</t>
  </si>
  <si>
    <t>CAJA</t>
  </si>
  <si>
    <t>80 GR/M2</t>
  </si>
  <si>
    <t>Especialidades item N° 2</t>
  </si>
  <si>
    <t>COLOR AZUL</t>
  </si>
  <si>
    <t>Especialidades item N° 7</t>
  </si>
  <si>
    <t>COLOR AMARILLO</t>
  </si>
  <si>
    <t>Especialidades item N° 16</t>
  </si>
  <si>
    <t>LARGO 50MTS</t>
  </si>
  <si>
    <t>Resma</t>
  </si>
  <si>
    <t>Caja</t>
  </si>
  <si>
    <t>Especialidades items N° 1 Y 4</t>
  </si>
  <si>
    <t>Especialidades items N°  3, 5, 6, 8, 9, 10, 11, 12, 13, 14, 15, 17, 18 y 19</t>
  </si>
  <si>
    <t>UTILES DE ESCRITORIO, OFICINA Y ENSEÑANZA</t>
  </si>
  <si>
    <t>IMPORTE TOTAL ESTIMADO</t>
  </si>
  <si>
    <t>SI</t>
  </si>
  <si>
    <t>NO</t>
  </si>
  <si>
    <t>LAPICERAS ESTILOGRAFICAS; TIPO: TRAZO GRUESO, MATERIAL: PLASTICO Y METAL, RECARGABLE: NO</t>
  </si>
  <si>
    <t>Especificaciones Tecnicas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</si>
</sst>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0"/>
      <name val="Times New Roman"/>
      <family val="1"/>
    </font>
    <font>
      <b/>
      <sz val="10"/>
      <color rgb="FF333333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19" fillId="0" borderId="0"/>
  </cellStyleXfs>
  <cellXfs count="156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1" fillId="0" borderId="21" xfId="0" applyNumberFormat="1" applyFont="1" applyBorder="1" applyAlignment="1"/>
    <xf numFmtId="166" fontId="0" fillId="0" borderId="21" xfId="0" applyNumberFormat="1" applyBorder="1" applyAlignment="1">
      <alignment horizontal="left"/>
    </xf>
    <xf numFmtId="0" fontId="0" fillId="0" borderId="2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7" xfId="0" applyBorder="1"/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7" fontId="0" fillId="0" borderId="46" xfId="2" applyNumberFormat="1" applyFont="1" applyBorder="1" applyAlignment="1" applyProtection="1">
      <alignment horizontal="center" vertical="center"/>
    </xf>
    <xf numFmtId="167" fontId="15" fillId="0" borderId="48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9" fillId="0" borderId="0" xfId="0" applyFont="1" applyBorder="1"/>
    <xf numFmtId="0" fontId="20" fillId="0" borderId="0" xfId="0" applyFont="1" applyBorder="1"/>
    <xf numFmtId="0" fontId="0" fillId="0" borderId="50" xfId="0" applyBorder="1" applyAlignment="1">
      <alignment horizontal="center" vertical="center"/>
    </xf>
    <xf numFmtId="0" fontId="18" fillId="0" borderId="0" xfId="0" applyFont="1"/>
    <xf numFmtId="0" fontId="18" fillId="0" borderId="9" xfId="0" applyFont="1" applyBorder="1" applyAlignment="1">
      <alignment horizontal="center" vertical="center"/>
    </xf>
    <xf numFmtId="0" fontId="21" fillId="0" borderId="0" xfId="0" applyFont="1" applyBorder="1"/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3" fillId="0" borderId="0" xfId="0" applyFont="1" applyFill="1" applyBorder="1" applyAlignment="1">
      <alignment wrapText="1"/>
    </xf>
    <xf numFmtId="0" fontId="20" fillId="0" borderId="63" xfId="0" applyFon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20" fillId="0" borderId="69" xfId="0" applyFont="1" applyBorder="1"/>
    <xf numFmtId="0" fontId="0" fillId="0" borderId="69" xfId="0" applyBorder="1"/>
    <xf numFmtId="0" fontId="0" fillId="0" borderId="70" xfId="0" applyBorder="1"/>
    <xf numFmtId="0" fontId="24" fillId="0" borderId="62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3" fontId="23" fillId="0" borderId="62" xfId="0" applyNumberFormat="1" applyFont="1" applyFill="1" applyBorder="1" applyAlignment="1">
      <alignment horizontal="center" vertical="center"/>
    </xf>
    <xf numFmtId="168" fontId="23" fillId="0" borderId="6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left" wrapText="1"/>
    </xf>
    <xf numFmtId="0" fontId="21" fillId="0" borderId="67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2" xfId="0" applyFont="1" applyFill="1" applyBorder="1" applyAlignment="1">
      <alignment horizontal="center" vertical="center"/>
    </xf>
    <xf numFmtId="168" fontId="23" fillId="3" borderId="62" xfId="0" applyNumberFormat="1" applyFont="1" applyFill="1" applyBorder="1" applyAlignment="1">
      <alignment horizontal="center" vertical="center"/>
    </xf>
    <xf numFmtId="0" fontId="19" fillId="0" borderId="69" xfId="5" applyBorder="1"/>
    <xf numFmtId="0" fontId="20" fillId="0" borderId="69" xfId="5" applyFont="1" applyBorder="1"/>
    <xf numFmtId="165" fontId="3" fillId="0" borderId="0" xfId="0" applyNumberFormat="1" applyFont="1" applyBorder="1" applyAlignment="1">
      <alignment vertical="center"/>
    </xf>
    <xf numFmtId="0" fontId="18" fillId="0" borderId="52" xfId="0" applyFont="1" applyFill="1" applyBorder="1" applyAlignment="1">
      <alignment horizontal="center" vertical="center" wrapText="1"/>
    </xf>
    <xf numFmtId="0" fontId="21" fillId="0" borderId="62" xfId="0" applyFont="1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167" fontId="16" fillId="4" borderId="37" xfId="2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 indent="1"/>
    </xf>
    <xf numFmtId="0" fontId="7" fillId="0" borderId="49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3" fillId="0" borderId="22" xfId="0" applyFont="1" applyBorder="1"/>
    <xf numFmtId="0" fontId="16" fillId="0" borderId="23" xfId="0" applyFont="1" applyBorder="1" applyAlignment="1">
      <alignment horizontal="left" indent="1"/>
    </xf>
    <xf numFmtId="0" fontId="10" fillId="0" borderId="22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7" fillId="4" borderId="35" xfId="0" applyFont="1" applyFill="1" applyBorder="1" applyAlignment="1">
      <alignment horizontal="left" vertical="center" wrapText="1"/>
    </xf>
    <xf numFmtId="0" fontId="0" fillId="0" borderId="41" xfId="0" applyBorder="1" applyAlignment="1">
      <alignment horizontal="center"/>
    </xf>
    <xf numFmtId="0" fontId="0" fillId="0" borderId="41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0" fillId="0" borderId="25" xfId="0" applyBorder="1"/>
    <xf numFmtId="0" fontId="9" fillId="4" borderId="9" xfId="0" applyFont="1" applyFill="1" applyBorder="1" applyAlignment="1">
      <alignment horizontal="center" vertical="center"/>
    </xf>
    <xf numFmtId="0" fontId="27" fillId="4" borderId="62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5" fillId="4" borderId="49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8" fontId="26" fillId="4" borderId="9" xfId="0" applyNumberFormat="1" applyFont="1" applyFill="1" applyBorder="1" applyAlignment="1">
      <alignment horizontal="center" vertical="center"/>
    </xf>
    <xf numFmtId="3" fontId="26" fillId="4" borderId="9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/>
    </xf>
    <xf numFmtId="0" fontId="26" fillId="4" borderId="57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4" borderId="58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center" vertical="center"/>
    </xf>
    <xf numFmtId="0" fontId="26" fillId="4" borderId="59" xfId="0" applyFont="1" applyFill="1" applyBorder="1" applyAlignment="1">
      <alignment horizontal="center" vertical="center" wrapText="1"/>
    </xf>
    <xf numFmtId="0" fontId="26" fillId="4" borderId="60" xfId="0" applyFont="1" applyFill="1" applyBorder="1" applyAlignment="1">
      <alignment horizontal="center" vertical="center" wrapText="1"/>
    </xf>
    <xf numFmtId="0" fontId="26" fillId="4" borderId="61" xfId="0" applyFont="1" applyFill="1" applyBorder="1" applyAlignment="1">
      <alignment horizontal="center" vertical="center" wrapText="1"/>
    </xf>
    <xf numFmtId="0" fontId="7" fillId="4" borderId="54" xfId="0" applyFont="1" applyFill="1" applyBorder="1" applyAlignment="1">
      <alignment horizontal="left" vertical="center" wrapText="1" indent="1"/>
    </xf>
    <xf numFmtId="0" fontId="7" fillId="4" borderId="55" xfId="0" applyFont="1" applyFill="1" applyBorder="1" applyAlignment="1">
      <alignment horizontal="left" vertical="center" wrapText="1" indent="1"/>
    </xf>
    <xf numFmtId="0" fontId="7" fillId="4" borderId="56" xfId="0" applyFont="1" applyFill="1" applyBorder="1" applyAlignment="1">
      <alignment horizontal="left" vertical="center" wrapText="1" indent="1"/>
    </xf>
    <xf numFmtId="165" fontId="28" fillId="4" borderId="54" xfId="0" applyNumberFormat="1" applyFont="1" applyFill="1" applyBorder="1" applyAlignment="1">
      <alignment horizontal="center" vertical="center"/>
    </xf>
    <xf numFmtId="165" fontId="28" fillId="4" borderId="56" xfId="0" applyNumberFormat="1" applyFont="1" applyFill="1" applyBorder="1" applyAlignment="1">
      <alignment horizontal="center" vertical="center"/>
    </xf>
    <xf numFmtId="49" fontId="13" fillId="4" borderId="26" xfId="0" applyNumberFormat="1" applyFont="1" applyFill="1" applyBorder="1" applyAlignment="1">
      <alignment horizontal="justify" vertical="center" wrapText="1"/>
    </xf>
    <xf numFmtId="0" fontId="13" fillId="4" borderId="18" xfId="0" applyFont="1" applyFill="1" applyBorder="1" applyAlignment="1">
      <alignment horizontal="left" vertical="center" wrapText="1" indent="1"/>
    </xf>
    <xf numFmtId="0" fontId="24" fillId="0" borderId="62" xfId="0" applyFont="1" applyFill="1" applyBorder="1" applyAlignment="1">
      <alignment horizontal="left" vertical="center" wrapText="1"/>
    </xf>
    <xf numFmtId="0" fontId="24" fillId="3" borderId="62" xfId="0" applyFont="1" applyFill="1" applyBorder="1" applyAlignment="1">
      <alignment horizontal="left" vertical="center" wrapText="1"/>
    </xf>
  </cellXfs>
  <cellStyles count="6">
    <cellStyle name="Encabezado 1" xfId="1" xr:uid="{00000000-0005-0000-0000-000000000000}"/>
    <cellStyle name="Moneda_AUTORIZACION Y NOTA DE PEDIDO" xfId="2" xr:uid="{00000000-0005-0000-0000-000001000000}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90"/>
  <sheetViews>
    <sheetView tabSelected="1" topLeftCell="A17" workbookViewId="0">
      <selection activeCell="C29" sqref="C29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32.28515625" customWidth="1"/>
    <col min="5" max="5" width="52.5703125" customWidth="1"/>
    <col min="6" max="6" width="10.28515625" customWidth="1"/>
    <col min="7" max="7" width="10.7109375" customWidth="1"/>
    <col min="8" max="8" width="11.5703125" bestFit="1" customWidth="1"/>
    <col min="9" max="9" width="12.7109375" bestFit="1" customWidth="1"/>
    <col min="10" max="10" width="16.28515625" bestFit="1" customWidth="1"/>
    <col min="11" max="11" width="12.7109375" bestFit="1" customWidth="1"/>
  </cols>
  <sheetData>
    <row r="2" spans="1:11" ht="18" customHeight="1" x14ac:dyDescent="0.2">
      <c r="B2" s="94" t="s">
        <v>61</v>
      </c>
      <c r="C2" s="94"/>
      <c r="D2" s="78"/>
      <c r="E2" s="78"/>
      <c r="F2" s="78"/>
      <c r="G2" s="78"/>
      <c r="H2" s="78"/>
      <c r="I2" s="78"/>
    </row>
    <row r="4" spans="1:11" x14ac:dyDescent="0.2">
      <c r="A4" s="55" t="s">
        <v>43</v>
      </c>
      <c r="B4" s="55"/>
      <c r="C4" s="55"/>
      <c r="D4" s="55"/>
      <c r="E4" s="55"/>
      <c r="F4" s="55"/>
      <c r="G4" s="55"/>
      <c r="H4" s="55"/>
      <c r="I4" s="55"/>
    </row>
    <row r="5" spans="1:11" x14ac:dyDescent="0.2">
      <c r="A5" s="55" t="s">
        <v>44</v>
      </c>
      <c r="B5" s="55"/>
      <c r="C5" s="55"/>
      <c r="D5" s="55"/>
      <c r="E5" s="55"/>
      <c r="F5" s="55"/>
      <c r="G5" s="55"/>
      <c r="H5" s="55"/>
      <c r="I5" s="55"/>
    </row>
    <row r="6" spans="1:11" x14ac:dyDescent="0.2">
      <c r="A6" s="55" t="s">
        <v>45</v>
      </c>
      <c r="B6" s="55"/>
      <c r="C6" s="55"/>
      <c r="D6" s="55"/>
      <c r="E6" s="55"/>
      <c r="F6" s="55"/>
      <c r="G6" s="55"/>
      <c r="H6" s="55"/>
      <c r="I6" s="55"/>
    </row>
    <row r="7" spans="1:11" x14ac:dyDescent="0.2">
      <c r="A7" s="55" t="s">
        <v>102</v>
      </c>
      <c r="B7" s="55"/>
      <c r="C7" s="55"/>
      <c r="D7" s="55"/>
      <c r="E7" s="55"/>
      <c r="F7" s="55"/>
      <c r="G7" s="55"/>
      <c r="H7" s="55"/>
      <c r="I7" s="55"/>
    </row>
    <row r="8" spans="1:11" x14ac:dyDescent="0.2">
      <c r="A8" s="55"/>
      <c r="B8" s="55"/>
      <c r="C8" s="55"/>
      <c r="D8" s="55"/>
      <c r="E8" s="55"/>
      <c r="F8" s="55"/>
      <c r="G8" s="55"/>
      <c r="H8" s="55"/>
      <c r="I8" s="55"/>
    </row>
    <row r="9" spans="1:11" ht="13.5" thickBot="1" x14ac:dyDescent="0.25">
      <c r="A9" s="55"/>
      <c r="B9" s="55"/>
      <c r="C9" s="55"/>
      <c r="D9" s="55"/>
      <c r="E9" s="55"/>
      <c r="F9" s="55"/>
      <c r="G9" s="55"/>
      <c r="H9" s="55"/>
      <c r="I9" s="55"/>
    </row>
    <row r="10" spans="1:11" ht="38.25" customHeight="1" thickBot="1" x14ac:dyDescent="0.25">
      <c r="A10" s="56" t="s">
        <v>46</v>
      </c>
      <c r="B10" s="48" t="s">
        <v>47</v>
      </c>
      <c r="C10" s="49" t="s">
        <v>48</v>
      </c>
      <c r="D10" s="49" t="s">
        <v>49</v>
      </c>
      <c r="E10" s="49" t="s">
        <v>50</v>
      </c>
      <c r="F10" s="50" t="s">
        <v>51</v>
      </c>
      <c r="G10" s="49" t="s">
        <v>52</v>
      </c>
      <c r="H10" s="50" t="s">
        <v>53</v>
      </c>
      <c r="I10" s="51" t="s">
        <v>125</v>
      </c>
      <c r="J10" s="88" t="s">
        <v>129</v>
      </c>
    </row>
    <row r="11" spans="1:11" s="58" customFormat="1" ht="38.25" x14ac:dyDescent="0.2">
      <c r="A11" s="54">
        <v>1</v>
      </c>
      <c r="B11" s="74" t="s">
        <v>64</v>
      </c>
      <c r="C11" s="74" t="s">
        <v>65</v>
      </c>
      <c r="D11" s="74">
        <v>231</v>
      </c>
      <c r="E11" s="154" t="s">
        <v>66</v>
      </c>
      <c r="F11" s="75" t="s">
        <v>110</v>
      </c>
      <c r="G11" s="76">
        <v>60</v>
      </c>
      <c r="H11" s="77">
        <v>562.64</v>
      </c>
      <c r="I11" s="77">
        <f t="shared" ref="I11:I28" si="0">H11*G11</f>
        <v>33758.400000000001</v>
      </c>
      <c r="J11" s="89" t="s">
        <v>113</v>
      </c>
    </row>
    <row r="12" spans="1:11" ht="25.5" x14ac:dyDescent="0.2">
      <c r="A12" s="54">
        <v>2</v>
      </c>
      <c r="B12" s="74" t="s">
        <v>67</v>
      </c>
      <c r="C12" s="74" t="s">
        <v>65</v>
      </c>
      <c r="D12" s="75">
        <v>292</v>
      </c>
      <c r="E12" s="154" t="s">
        <v>128</v>
      </c>
      <c r="F12" s="75" t="s">
        <v>60</v>
      </c>
      <c r="G12" s="74">
        <v>450</v>
      </c>
      <c r="H12" s="75">
        <v>41.4</v>
      </c>
      <c r="I12" s="77">
        <f t="shared" si="0"/>
        <v>18630</v>
      </c>
      <c r="J12" s="89" t="s">
        <v>115</v>
      </c>
      <c r="K12" s="58"/>
    </row>
    <row r="13" spans="1:11" ht="18.75" customHeight="1" x14ac:dyDescent="0.2">
      <c r="A13" s="54">
        <v>3</v>
      </c>
      <c r="B13" s="74" t="s">
        <v>68</v>
      </c>
      <c r="C13" s="74" t="s">
        <v>65</v>
      </c>
      <c r="D13" s="74">
        <v>292</v>
      </c>
      <c r="E13" s="154" t="s">
        <v>69</v>
      </c>
      <c r="F13" s="75" t="s">
        <v>60</v>
      </c>
      <c r="G13" s="75">
        <v>300</v>
      </c>
      <c r="H13" s="75">
        <v>25.29</v>
      </c>
      <c r="I13" s="77">
        <f t="shared" si="0"/>
        <v>7587</v>
      </c>
      <c r="J13" s="90"/>
      <c r="K13" s="58"/>
    </row>
    <row r="14" spans="1:11" ht="51" x14ac:dyDescent="0.2">
      <c r="A14" s="54">
        <v>4</v>
      </c>
      <c r="B14" s="74" t="s">
        <v>70</v>
      </c>
      <c r="C14" s="74" t="s">
        <v>65</v>
      </c>
      <c r="D14" s="75">
        <v>231</v>
      </c>
      <c r="E14" s="154" t="s">
        <v>71</v>
      </c>
      <c r="F14" s="75" t="s">
        <v>110</v>
      </c>
      <c r="G14" s="75">
        <v>60</v>
      </c>
      <c r="H14" s="75">
        <v>731.33</v>
      </c>
      <c r="I14" s="77">
        <f t="shared" si="0"/>
        <v>43879.8</v>
      </c>
      <c r="J14" s="89" t="s">
        <v>113</v>
      </c>
      <c r="K14" s="58"/>
    </row>
    <row r="15" spans="1:11" ht="38.25" x14ac:dyDescent="0.2">
      <c r="A15" s="54">
        <v>5</v>
      </c>
      <c r="B15" s="74" t="s">
        <v>72</v>
      </c>
      <c r="C15" s="74" t="s">
        <v>65</v>
      </c>
      <c r="D15" s="75">
        <v>292</v>
      </c>
      <c r="E15" s="154" t="s">
        <v>73</v>
      </c>
      <c r="F15" s="75" t="s">
        <v>60</v>
      </c>
      <c r="G15" s="75">
        <v>150</v>
      </c>
      <c r="H15" s="75">
        <v>49.77</v>
      </c>
      <c r="I15" s="77">
        <f t="shared" si="0"/>
        <v>7465.5000000000009</v>
      </c>
      <c r="J15" s="90"/>
      <c r="K15" s="58"/>
    </row>
    <row r="16" spans="1:11" ht="25.5" x14ac:dyDescent="0.2">
      <c r="A16" s="54">
        <v>6</v>
      </c>
      <c r="B16" s="74" t="s">
        <v>74</v>
      </c>
      <c r="C16" s="74" t="s">
        <v>65</v>
      </c>
      <c r="D16" s="74">
        <v>292</v>
      </c>
      <c r="E16" s="154" t="s">
        <v>75</v>
      </c>
      <c r="F16" s="75" t="s">
        <v>60</v>
      </c>
      <c r="G16" s="75">
        <v>150</v>
      </c>
      <c r="H16" s="75">
        <v>61.56</v>
      </c>
      <c r="I16" s="77">
        <f t="shared" si="0"/>
        <v>9234</v>
      </c>
      <c r="J16" s="90"/>
      <c r="K16" s="58"/>
    </row>
    <row r="17" spans="1:11" ht="25.5" x14ac:dyDescent="0.2">
      <c r="A17" s="54">
        <v>7</v>
      </c>
      <c r="B17" s="74" t="s">
        <v>76</v>
      </c>
      <c r="C17" s="74" t="s">
        <v>65</v>
      </c>
      <c r="D17" s="74">
        <v>292</v>
      </c>
      <c r="E17" s="154" t="s">
        <v>77</v>
      </c>
      <c r="F17" s="75" t="s">
        <v>60</v>
      </c>
      <c r="G17" s="75">
        <v>150</v>
      </c>
      <c r="H17" s="75">
        <v>61.56</v>
      </c>
      <c r="I17" s="77">
        <f t="shared" si="0"/>
        <v>9234</v>
      </c>
      <c r="J17" s="89" t="s">
        <v>117</v>
      </c>
      <c r="K17" s="58"/>
    </row>
    <row r="18" spans="1:11" ht="25.5" x14ac:dyDescent="0.2">
      <c r="A18" s="54">
        <v>8</v>
      </c>
      <c r="B18" s="74" t="s">
        <v>78</v>
      </c>
      <c r="C18" s="74" t="s">
        <v>65</v>
      </c>
      <c r="D18" s="74">
        <v>292</v>
      </c>
      <c r="E18" s="154" t="s">
        <v>79</v>
      </c>
      <c r="F18" s="75" t="s">
        <v>60</v>
      </c>
      <c r="G18" s="75">
        <v>1200</v>
      </c>
      <c r="H18" s="75">
        <v>13.32</v>
      </c>
      <c r="I18" s="77">
        <f t="shared" si="0"/>
        <v>15984</v>
      </c>
      <c r="J18" s="90"/>
      <c r="K18" s="58"/>
    </row>
    <row r="19" spans="1:11" ht="25.5" x14ac:dyDescent="0.2">
      <c r="A19" s="54">
        <v>9</v>
      </c>
      <c r="B19" s="82" t="s">
        <v>80</v>
      </c>
      <c r="C19" s="82" t="s">
        <v>65</v>
      </c>
      <c r="D19" s="82">
        <v>292</v>
      </c>
      <c r="E19" s="155" t="s">
        <v>81</v>
      </c>
      <c r="F19" s="83" t="s">
        <v>60</v>
      </c>
      <c r="G19" s="83">
        <v>1200</v>
      </c>
      <c r="H19" s="83">
        <v>10.8</v>
      </c>
      <c r="I19" s="84">
        <f t="shared" si="0"/>
        <v>12960</v>
      </c>
      <c r="J19" s="90"/>
      <c r="K19" s="58"/>
    </row>
    <row r="20" spans="1:11" ht="25.5" x14ac:dyDescent="0.2">
      <c r="A20" s="54">
        <v>10</v>
      </c>
      <c r="B20" s="74" t="s">
        <v>82</v>
      </c>
      <c r="C20" s="74" t="s">
        <v>65</v>
      </c>
      <c r="D20" s="74">
        <v>292</v>
      </c>
      <c r="E20" s="154" t="s">
        <v>83</v>
      </c>
      <c r="F20" s="75" t="s">
        <v>60</v>
      </c>
      <c r="G20" s="75">
        <v>150</v>
      </c>
      <c r="H20" s="75">
        <v>296.01</v>
      </c>
      <c r="I20" s="77">
        <f t="shared" si="0"/>
        <v>44401.5</v>
      </c>
      <c r="J20" s="90"/>
      <c r="K20" s="58"/>
    </row>
    <row r="21" spans="1:11" ht="25.5" x14ac:dyDescent="0.2">
      <c r="A21" s="54">
        <v>11</v>
      </c>
      <c r="B21" s="74" t="s">
        <v>84</v>
      </c>
      <c r="C21" s="74" t="s">
        <v>65</v>
      </c>
      <c r="D21" s="74">
        <v>292</v>
      </c>
      <c r="E21" s="154" t="s">
        <v>85</v>
      </c>
      <c r="F21" s="75" t="s">
        <v>112</v>
      </c>
      <c r="G21" s="75">
        <v>30</v>
      </c>
      <c r="H21" s="75">
        <v>835.74</v>
      </c>
      <c r="I21" s="77">
        <f t="shared" si="0"/>
        <v>25072.2</v>
      </c>
      <c r="J21" s="90"/>
      <c r="K21" s="58"/>
    </row>
    <row r="22" spans="1:11" ht="38.25" x14ac:dyDescent="0.2">
      <c r="A22" s="54">
        <v>12</v>
      </c>
      <c r="B22" s="74" t="s">
        <v>86</v>
      </c>
      <c r="C22" s="74" t="s">
        <v>65</v>
      </c>
      <c r="D22" s="74">
        <v>292</v>
      </c>
      <c r="E22" s="154" t="s">
        <v>87</v>
      </c>
      <c r="F22" s="75" t="s">
        <v>60</v>
      </c>
      <c r="G22" s="75">
        <v>100</v>
      </c>
      <c r="H22" s="75">
        <v>36.54</v>
      </c>
      <c r="I22" s="77">
        <f t="shared" si="0"/>
        <v>3654</v>
      </c>
      <c r="J22" s="90"/>
      <c r="K22" s="58"/>
    </row>
    <row r="23" spans="1:11" ht="38.25" x14ac:dyDescent="0.2">
      <c r="A23" s="54">
        <v>13</v>
      </c>
      <c r="B23" s="74" t="s">
        <v>88</v>
      </c>
      <c r="C23" s="74" t="s">
        <v>65</v>
      </c>
      <c r="D23" s="74">
        <v>292</v>
      </c>
      <c r="E23" s="154" t="s">
        <v>89</v>
      </c>
      <c r="F23" s="75" t="s">
        <v>60</v>
      </c>
      <c r="G23" s="75">
        <v>100</v>
      </c>
      <c r="H23" s="75">
        <v>44.37</v>
      </c>
      <c r="I23" s="77">
        <f t="shared" si="0"/>
        <v>4437</v>
      </c>
      <c r="J23" s="90"/>
      <c r="K23" s="58"/>
    </row>
    <row r="24" spans="1:11" ht="38.25" x14ac:dyDescent="0.2">
      <c r="A24" s="54">
        <v>14</v>
      </c>
      <c r="B24" s="74" t="s">
        <v>90</v>
      </c>
      <c r="C24" s="74" t="s">
        <v>65</v>
      </c>
      <c r="D24" s="74">
        <v>292</v>
      </c>
      <c r="E24" s="154" t="s">
        <v>91</v>
      </c>
      <c r="F24" s="75" t="s">
        <v>112</v>
      </c>
      <c r="G24" s="75">
        <v>10</v>
      </c>
      <c r="H24" s="75">
        <v>529.20000000000005</v>
      </c>
      <c r="I24" s="77">
        <f t="shared" si="0"/>
        <v>5292</v>
      </c>
      <c r="J24" s="90"/>
      <c r="K24" s="58"/>
    </row>
    <row r="25" spans="1:11" ht="38.25" x14ac:dyDescent="0.2">
      <c r="A25" s="54">
        <v>15</v>
      </c>
      <c r="B25" s="74" t="s">
        <v>92</v>
      </c>
      <c r="C25" s="74" t="s">
        <v>65</v>
      </c>
      <c r="D25" s="74">
        <v>292</v>
      </c>
      <c r="E25" s="154" t="s">
        <v>93</v>
      </c>
      <c r="F25" s="75" t="s">
        <v>60</v>
      </c>
      <c r="G25" s="75">
        <v>100</v>
      </c>
      <c r="H25" s="75">
        <v>91.99</v>
      </c>
      <c r="I25" s="77">
        <f t="shared" si="0"/>
        <v>9199</v>
      </c>
      <c r="J25" s="90"/>
      <c r="K25" s="58"/>
    </row>
    <row r="26" spans="1:11" ht="38.25" x14ac:dyDescent="0.2">
      <c r="A26" s="54">
        <v>16</v>
      </c>
      <c r="B26" s="74" t="s">
        <v>94</v>
      </c>
      <c r="C26" s="74" t="s">
        <v>65</v>
      </c>
      <c r="D26" s="74">
        <v>292</v>
      </c>
      <c r="E26" s="154" t="s">
        <v>95</v>
      </c>
      <c r="F26" s="75" t="s">
        <v>60</v>
      </c>
      <c r="G26" s="75">
        <v>100</v>
      </c>
      <c r="H26" s="75">
        <v>151.1</v>
      </c>
      <c r="I26" s="77">
        <f t="shared" si="0"/>
        <v>15110</v>
      </c>
      <c r="J26" s="89" t="s">
        <v>119</v>
      </c>
      <c r="K26" s="58"/>
    </row>
    <row r="27" spans="1:11" ht="25.5" x14ac:dyDescent="0.2">
      <c r="A27" s="54">
        <v>17</v>
      </c>
      <c r="B27" s="74" t="s">
        <v>96</v>
      </c>
      <c r="C27" s="74" t="s">
        <v>65</v>
      </c>
      <c r="D27" s="74">
        <v>292</v>
      </c>
      <c r="E27" s="154" t="s">
        <v>97</v>
      </c>
      <c r="F27" s="75" t="s">
        <v>60</v>
      </c>
      <c r="G27" s="75">
        <v>90</v>
      </c>
      <c r="H27" s="75">
        <v>15.93</v>
      </c>
      <c r="I27" s="77">
        <f t="shared" si="0"/>
        <v>1433.7</v>
      </c>
      <c r="J27" s="90"/>
      <c r="K27" s="58"/>
    </row>
    <row r="28" spans="1:11" ht="38.25" x14ac:dyDescent="0.2">
      <c r="A28" s="54">
        <v>18</v>
      </c>
      <c r="B28" s="74" t="s">
        <v>98</v>
      </c>
      <c r="C28" s="74" t="s">
        <v>65</v>
      </c>
      <c r="D28" s="74">
        <v>292</v>
      </c>
      <c r="E28" s="154" t="s">
        <v>99</v>
      </c>
      <c r="F28" s="75" t="s">
        <v>60</v>
      </c>
      <c r="G28" s="75">
        <v>100</v>
      </c>
      <c r="H28" s="75">
        <v>209.7</v>
      </c>
      <c r="I28" s="77">
        <f t="shared" si="0"/>
        <v>20970</v>
      </c>
      <c r="J28" s="90"/>
      <c r="K28" s="58"/>
    </row>
    <row r="29" spans="1:11" ht="38.25" x14ac:dyDescent="0.2">
      <c r="A29" s="54">
        <v>19</v>
      </c>
      <c r="B29" s="74" t="s">
        <v>100</v>
      </c>
      <c r="C29" s="74" t="s">
        <v>65</v>
      </c>
      <c r="D29" s="74">
        <v>292</v>
      </c>
      <c r="E29" s="154" t="s">
        <v>101</v>
      </c>
      <c r="F29" s="75" t="s">
        <v>60</v>
      </c>
      <c r="G29" s="75">
        <v>100</v>
      </c>
      <c r="H29" s="75">
        <v>209.7</v>
      </c>
      <c r="I29" s="77">
        <f t="shared" ref="I29" si="1">H29*G29</f>
        <v>20970</v>
      </c>
      <c r="J29" s="90"/>
      <c r="K29" s="58"/>
    </row>
    <row r="30" spans="1:11" x14ac:dyDescent="0.2">
      <c r="A30" s="59"/>
      <c r="B30" s="59"/>
      <c r="C30" s="63"/>
      <c r="D30" s="60"/>
      <c r="E30" s="64"/>
      <c r="F30" s="60"/>
      <c r="G30" s="61"/>
      <c r="H30" s="62"/>
      <c r="I30" s="62"/>
    </row>
    <row r="31" spans="1:11" x14ac:dyDescent="0.2">
      <c r="B31" s="85"/>
      <c r="C31" s="86"/>
      <c r="D31" s="85"/>
      <c r="E31" s="85"/>
      <c r="F31" s="85"/>
      <c r="G31" s="85"/>
      <c r="H31" s="85"/>
      <c r="I31" s="85"/>
    </row>
    <row r="32" spans="1:11" x14ac:dyDescent="0.2">
      <c r="B32" s="65" t="s">
        <v>122</v>
      </c>
      <c r="C32" s="66"/>
      <c r="D32" s="66"/>
      <c r="E32" s="66"/>
      <c r="F32" s="66"/>
      <c r="G32" s="66"/>
      <c r="H32" s="66"/>
      <c r="I32" s="67"/>
    </row>
    <row r="33" spans="2:9" x14ac:dyDescent="0.2">
      <c r="B33" s="68"/>
      <c r="C33" s="17"/>
      <c r="D33" s="17"/>
      <c r="E33" s="17"/>
      <c r="F33" s="17"/>
      <c r="G33" s="17"/>
      <c r="H33" s="17"/>
      <c r="I33" s="69"/>
    </row>
    <row r="34" spans="2:9" x14ac:dyDescent="0.2">
      <c r="B34" s="68"/>
      <c r="C34" s="53" t="s">
        <v>54</v>
      </c>
      <c r="D34" s="79" t="s">
        <v>103</v>
      </c>
      <c r="E34" s="79"/>
      <c r="F34" s="79"/>
      <c r="G34" s="79"/>
      <c r="H34" s="79"/>
      <c r="I34" s="80"/>
    </row>
    <row r="35" spans="2:9" x14ac:dyDescent="0.2">
      <c r="B35" s="68"/>
      <c r="C35" s="17"/>
      <c r="D35" s="17"/>
      <c r="E35" s="17"/>
      <c r="F35" s="17"/>
      <c r="G35" s="17"/>
      <c r="H35" s="17"/>
      <c r="I35" s="69"/>
    </row>
    <row r="36" spans="2:9" x14ac:dyDescent="0.2">
      <c r="B36" s="68"/>
      <c r="C36" s="53" t="s">
        <v>55</v>
      </c>
      <c r="D36" s="17"/>
      <c r="E36" s="17"/>
      <c r="F36" s="17"/>
      <c r="G36" s="17"/>
      <c r="H36" s="17"/>
      <c r="I36" s="69"/>
    </row>
    <row r="37" spans="2:9" x14ac:dyDescent="0.2">
      <c r="B37" s="68"/>
      <c r="C37" s="52"/>
      <c r="D37" s="57" t="s">
        <v>58</v>
      </c>
      <c r="E37" s="17"/>
      <c r="F37" s="17"/>
      <c r="G37" s="17"/>
      <c r="H37" s="17"/>
      <c r="I37" s="69"/>
    </row>
    <row r="38" spans="2:9" x14ac:dyDescent="0.2">
      <c r="B38" s="68"/>
      <c r="C38" s="52"/>
      <c r="D38" s="57" t="s">
        <v>59</v>
      </c>
      <c r="E38" s="17"/>
      <c r="F38" s="17"/>
      <c r="G38" s="17"/>
      <c r="H38" s="17"/>
      <c r="I38" s="69"/>
    </row>
    <row r="39" spans="2:9" x14ac:dyDescent="0.2">
      <c r="B39" s="68"/>
      <c r="C39" s="52"/>
      <c r="D39" s="17"/>
      <c r="E39" s="17"/>
      <c r="F39" s="17"/>
      <c r="G39" s="17"/>
      <c r="H39" s="17"/>
      <c r="I39" s="69"/>
    </row>
    <row r="40" spans="2:9" x14ac:dyDescent="0.2">
      <c r="B40" s="68"/>
      <c r="C40" s="53" t="s">
        <v>63</v>
      </c>
      <c r="D40" s="81" t="s">
        <v>113</v>
      </c>
      <c r="E40" s="81"/>
      <c r="F40" s="17"/>
      <c r="G40" s="17"/>
      <c r="H40" s="17"/>
      <c r="I40" s="69"/>
    </row>
    <row r="41" spans="2:9" x14ac:dyDescent="0.2">
      <c r="B41" s="68"/>
      <c r="C41" s="53" t="s">
        <v>56</v>
      </c>
      <c r="D41" s="57" t="s">
        <v>62</v>
      </c>
      <c r="E41" s="17"/>
      <c r="F41" s="17"/>
      <c r="G41" s="17"/>
      <c r="H41" s="17"/>
      <c r="I41" s="69"/>
    </row>
    <row r="42" spans="2:9" x14ac:dyDescent="0.2">
      <c r="B42" s="70"/>
      <c r="C42" s="71" t="s">
        <v>57</v>
      </c>
      <c r="D42" s="72"/>
      <c r="E42" s="72"/>
      <c r="F42" s="72"/>
      <c r="G42" s="72"/>
      <c r="H42" s="72"/>
      <c r="I42" s="73"/>
    </row>
    <row r="44" spans="2:9" x14ac:dyDescent="0.2">
      <c r="B44" s="65" t="s">
        <v>114</v>
      </c>
      <c r="C44" s="66"/>
      <c r="D44" s="66"/>
      <c r="E44" s="66"/>
      <c r="F44" s="66"/>
      <c r="G44" s="66"/>
      <c r="H44" s="66"/>
      <c r="I44" s="67"/>
    </row>
    <row r="45" spans="2:9" x14ac:dyDescent="0.2">
      <c r="B45" s="68"/>
      <c r="C45" s="17"/>
      <c r="D45" s="17"/>
      <c r="E45" s="17"/>
      <c r="F45" s="17"/>
      <c r="G45" s="17"/>
      <c r="H45" s="17"/>
      <c r="I45" s="69"/>
    </row>
    <row r="46" spans="2:9" x14ac:dyDescent="0.2">
      <c r="B46" s="68"/>
      <c r="C46" s="53" t="s">
        <v>54</v>
      </c>
      <c r="D46" s="79" t="s">
        <v>103</v>
      </c>
      <c r="E46" s="79"/>
      <c r="F46" s="79"/>
      <c r="G46" s="79"/>
      <c r="H46" s="79"/>
      <c r="I46" s="80"/>
    </row>
    <row r="47" spans="2:9" x14ac:dyDescent="0.2">
      <c r="B47" s="68"/>
      <c r="C47" s="17"/>
      <c r="D47" s="17"/>
      <c r="E47" s="17"/>
      <c r="F47" s="17"/>
      <c r="G47" s="17"/>
      <c r="H47" s="17"/>
      <c r="I47" s="69"/>
    </row>
    <row r="48" spans="2:9" x14ac:dyDescent="0.2">
      <c r="B48" s="68"/>
      <c r="C48" s="53" t="s">
        <v>55</v>
      </c>
      <c r="D48" s="17"/>
      <c r="E48" s="17"/>
      <c r="F48" s="17"/>
      <c r="G48" s="17"/>
      <c r="H48" s="17"/>
      <c r="I48" s="69"/>
    </row>
    <row r="49" spans="2:9" x14ac:dyDescent="0.2">
      <c r="B49" s="68"/>
      <c r="C49" s="52"/>
      <c r="D49" s="57" t="s">
        <v>58</v>
      </c>
      <c r="E49" s="17"/>
      <c r="F49" s="17"/>
      <c r="G49" s="17"/>
      <c r="H49" s="17"/>
      <c r="I49" s="69"/>
    </row>
    <row r="50" spans="2:9" x14ac:dyDescent="0.2">
      <c r="B50" s="68"/>
      <c r="C50" s="52"/>
      <c r="D50" s="57" t="s">
        <v>59</v>
      </c>
      <c r="E50" s="17"/>
      <c r="F50" s="17"/>
      <c r="G50" s="17"/>
      <c r="H50" s="17"/>
      <c r="I50" s="69"/>
    </row>
    <row r="51" spans="2:9" x14ac:dyDescent="0.2">
      <c r="B51" s="68"/>
      <c r="C51" s="52"/>
      <c r="D51" s="17"/>
      <c r="E51" s="17"/>
      <c r="F51" s="17"/>
      <c r="G51" s="17"/>
      <c r="H51" s="17"/>
      <c r="I51" s="69"/>
    </row>
    <row r="52" spans="2:9" x14ac:dyDescent="0.2">
      <c r="B52" s="68"/>
      <c r="C52" s="53" t="s">
        <v>63</v>
      </c>
      <c r="D52" s="81" t="s">
        <v>115</v>
      </c>
      <c r="E52" s="81"/>
      <c r="F52" s="17"/>
      <c r="G52" s="17"/>
      <c r="H52" s="17"/>
      <c r="I52" s="69"/>
    </row>
    <row r="53" spans="2:9" x14ac:dyDescent="0.2">
      <c r="B53" s="68"/>
      <c r="C53" s="53" t="s">
        <v>56</v>
      </c>
      <c r="D53" s="57" t="s">
        <v>62</v>
      </c>
      <c r="E53" s="17"/>
      <c r="F53" s="17"/>
      <c r="G53" s="17"/>
      <c r="H53" s="17"/>
      <c r="I53" s="69"/>
    </row>
    <row r="54" spans="2:9" x14ac:dyDescent="0.2">
      <c r="B54" s="70"/>
      <c r="C54" s="71" t="s">
        <v>57</v>
      </c>
      <c r="D54" s="72"/>
      <c r="E54" s="72"/>
      <c r="F54" s="72"/>
      <c r="G54" s="72"/>
      <c r="H54" s="72"/>
      <c r="I54" s="73"/>
    </row>
    <row r="56" spans="2:9" x14ac:dyDescent="0.2">
      <c r="B56" s="65" t="s">
        <v>116</v>
      </c>
      <c r="C56" s="66"/>
      <c r="D56" s="66"/>
      <c r="E56" s="66"/>
      <c r="F56" s="66"/>
      <c r="G56" s="66"/>
      <c r="H56" s="66"/>
      <c r="I56" s="67"/>
    </row>
    <row r="57" spans="2:9" x14ac:dyDescent="0.2">
      <c r="B57" s="68"/>
      <c r="C57" s="17"/>
      <c r="D57" s="17"/>
      <c r="E57" s="17"/>
      <c r="F57" s="17"/>
      <c r="G57" s="17"/>
      <c r="H57" s="17"/>
      <c r="I57" s="69"/>
    </row>
    <row r="58" spans="2:9" x14ac:dyDescent="0.2">
      <c r="B58" s="68"/>
      <c r="C58" s="53" t="s">
        <v>54</v>
      </c>
      <c r="D58" s="79" t="s">
        <v>103</v>
      </c>
      <c r="E58" s="79"/>
      <c r="F58" s="79"/>
      <c r="G58" s="79"/>
      <c r="H58" s="79"/>
      <c r="I58" s="80"/>
    </row>
    <row r="59" spans="2:9" x14ac:dyDescent="0.2">
      <c r="B59" s="68"/>
      <c r="C59" s="17"/>
      <c r="D59" s="17"/>
      <c r="E59" s="17"/>
      <c r="F59" s="17"/>
      <c r="G59" s="17"/>
      <c r="H59" s="17"/>
      <c r="I59" s="69"/>
    </row>
    <row r="60" spans="2:9" x14ac:dyDescent="0.2">
      <c r="B60" s="68"/>
      <c r="C60" s="53" t="s">
        <v>55</v>
      </c>
      <c r="D60" s="17"/>
      <c r="E60" s="17"/>
      <c r="F60" s="17"/>
      <c r="G60" s="17"/>
      <c r="H60" s="17"/>
      <c r="I60" s="69"/>
    </row>
    <row r="61" spans="2:9" x14ac:dyDescent="0.2">
      <c r="B61" s="68"/>
      <c r="C61" s="52"/>
      <c r="D61" s="57" t="s">
        <v>58</v>
      </c>
      <c r="E61" s="17"/>
      <c r="F61" s="17"/>
      <c r="G61" s="17"/>
      <c r="H61" s="17"/>
      <c r="I61" s="69"/>
    </row>
    <row r="62" spans="2:9" x14ac:dyDescent="0.2">
      <c r="B62" s="68"/>
      <c r="C62" s="52"/>
      <c r="D62" s="57" t="s">
        <v>59</v>
      </c>
      <c r="E62" s="17"/>
      <c r="F62" s="17"/>
      <c r="G62" s="17"/>
      <c r="H62" s="17"/>
      <c r="I62" s="69"/>
    </row>
    <row r="63" spans="2:9" x14ac:dyDescent="0.2">
      <c r="B63" s="68"/>
      <c r="C63" s="52"/>
      <c r="D63" s="17"/>
      <c r="E63" s="17"/>
      <c r="F63" s="17"/>
      <c r="G63" s="17"/>
      <c r="H63" s="17"/>
      <c r="I63" s="69"/>
    </row>
    <row r="64" spans="2:9" x14ac:dyDescent="0.2">
      <c r="B64" s="68"/>
      <c r="C64" s="53" t="s">
        <v>63</v>
      </c>
      <c r="D64" s="81" t="s">
        <v>117</v>
      </c>
      <c r="E64" s="81"/>
      <c r="F64" s="17"/>
      <c r="G64" s="17"/>
      <c r="H64" s="17"/>
      <c r="I64" s="69"/>
    </row>
    <row r="65" spans="2:9" x14ac:dyDescent="0.2">
      <c r="B65" s="68"/>
      <c r="C65" s="53" t="s">
        <v>56</v>
      </c>
      <c r="D65" s="57" t="s">
        <v>62</v>
      </c>
      <c r="E65" s="17"/>
      <c r="F65" s="17"/>
      <c r="G65" s="17"/>
      <c r="H65" s="17"/>
      <c r="I65" s="69"/>
    </row>
    <row r="66" spans="2:9" x14ac:dyDescent="0.2">
      <c r="B66" s="70"/>
      <c r="C66" s="71" t="s">
        <v>57</v>
      </c>
      <c r="D66" s="72"/>
      <c r="E66" s="72"/>
      <c r="F66" s="72"/>
      <c r="G66" s="72"/>
      <c r="H66" s="72"/>
      <c r="I66" s="73"/>
    </row>
    <row r="68" spans="2:9" x14ac:dyDescent="0.2">
      <c r="B68" s="65" t="s">
        <v>118</v>
      </c>
      <c r="C68" s="66"/>
      <c r="D68" s="66"/>
      <c r="E68" s="66"/>
      <c r="F68" s="66"/>
      <c r="G68" s="66"/>
      <c r="H68" s="66"/>
      <c r="I68" s="67"/>
    </row>
    <row r="69" spans="2:9" x14ac:dyDescent="0.2">
      <c r="B69" s="68"/>
      <c r="C69" s="17"/>
      <c r="D69" s="17"/>
      <c r="E69" s="17"/>
      <c r="F69" s="17"/>
      <c r="G69" s="17"/>
      <c r="H69" s="17"/>
      <c r="I69" s="69"/>
    </row>
    <row r="70" spans="2:9" x14ac:dyDescent="0.2">
      <c r="B70" s="68"/>
      <c r="C70" s="53" t="s">
        <v>54</v>
      </c>
      <c r="D70" s="79" t="s">
        <v>103</v>
      </c>
      <c r="E70" s="79"/>
      <c r="F70" s="79"/>
      <c r="G70" s="79"/>
      <c r="H70" s="79"/>
      <c r="I70" s="80"/>
    </row>
    <row r="71" spans="2:9" x14ac:dyDescent="0.2">
      <c r="B71" s="68"/>
      <c r="C71" s="17"/>
      <c r="D71" s="17"/>
      <c r="E71" s="17"/>
      <c r="F71" s="17"/>
      <c r="G71" s="17"/>
      <c r="H71" s="17"/>
      <c r="I71" s="69"/>
    </row>
    <row r="72" spans="2:9" x14ac:dyDescent="0.2">
      <c r="B72" s="68"/>
      <c r="C72" s="53" t="s">
        <v>55</v>
      </c>
      <c r="D72" s="17"/>
      <c r="E72" s="17"/>
      <c r="F72" s="17"/>
      <c r="G72" s="17"/>
      <c r="H72" s="17"/>
      <c r="I72" s="69"/>
    </row>
    <row r="73" spans="2:9" x14ac:dyDescent="0.2">
      <c r="B73" s="68"/>
      <c r="C73" s="52"/>
      <c r="D73" s="57" t="s">
        <v>58</v>
      </c>
      <c r="E73" s="17"/>
      <c r="F73" s="17"/>
      <c r="G73" s="17"/>
      <c r="H73" s="17"/>
      <c r="I73" s="69"/>
    </row>
    <row r="74" spans="2:9" x14ac:dyDescent="0.2">
      <c r="B74" s="68"/>
      <c r="C74" s="52"/>
      <c r="D74" s="57" t="s">
        <v>59</v>
      </c>
      <c r="E74" s="17"/>
      <c r="F74" s="17"/>
      <c r="G74" s="17"/>
      <c r="H74" s="17"/>
      <c r="I74" s="69"/>
    </row>
    <row r="75" spans="2:9" x14ac:dyDescent="0.2">
      <c r="B75" s="68"/>
      <c r="C75" s="52"/>
      <c r="D75" s="17"/>
      <c r="E75" s="17"/>
      <c r="F75" s="17"/>
      <c r="G75" s="17"/>
      <c r="H75" s="17"/>
      <c r="I75" s="69"/>
    </row>
    <row r="76" spans="2:9" x14ac:dyDescent="0.2">
      <c r="B76" s="68"/>
      <c r="C76" s="53" t="s">
        <v>63</v>
      </c>
      <c r="D76" s="81" t="s">
        <v>119</v>
      </c>
      <c r="E76" s="81"/>
      <c r="F76" s="17"/>
      <c r="G76" s="17"/>
      <c r="H76" s="17"/>
      <c r="I76" s="69"/>
    </row>
    <row r="77" spans="2:9" x14ac:dyDescent="0.2">
      <c r="B77" s="68"/>
      <c r="C77" s="53" t="s">
        <v>56</v>
      </c>
      <c r="D77" s="57" t="s">
        <v>62</v>
      </c>
      <c r="E77" s="17"/>
      <c r="F77" s="17"/>
      <c r="G77" s="17"/>
      <c r="H77" s="17"/>
      <c r="I77" s="69"/>
    </row>
    <row r="78" spans="2:9" x14ac:dyDescent="0.2">
      <c r="B78" s="70"/>
      <c r="C78" s="71" t="s">
        <v>57</v>
      </c>
      <c r="D78" s="72"/>
      <c r="E78" s="72"/>
      <c r="F78" s="72"/>
      <c r="G78" s="72"/>
      <c r="H78" s="72"/>
      <c r="I78" s="73"/>
    </row>
    <row r="80" spans="2:9" x14ac:dyDescent="0.2">
      <c r="B80" s="65" t="s">
        <v>123</v>
      </c>
      <c r="C80" s="66"/>
      <c r="D80" s="66"/>
      <c r="E80" s="66"/>
      <c r="F80" s="66"/>
      <c r="G80" s="66"/>
      <c r="H80" s="66"/>
      <c r="I80" s="67"/>
    </row>
    <row r="81" spans="2:9" x14ac:dyDescent="0.2">
      <c r="B81" s="68"/>
      <c r="C81" s="17"/>
      <c r="D81" s="17"/>
      <c r="E81" s="17"/>
      <c r="F81" s="17"/>
      <c r="G81" s="17"/>
      <c r="H81" s="17"/>
      <c r="I81" s="69"/>
    </row>
    <row r="82" spans="2:9" x14ac:dyDescent="0.2">
      <c r="B82" s="68"/>
      <c r="C82" s="53" t="s">
        <v>54</v>
      </c>
      <c r="D82" s="79" t="s">
        <v>103</v>
      </c>
      <c r="E82" s="79"/>
      <c r="F82" s="79"/>
      <c r="G82" s="79"/>
      <c r="H82" s="79"/>
      <c r="I82" s="80"/>
    </row>
    <row r="83" spans="2:9" x14ac:dyDescent="0.2">
      <c r="B83" s="68"/>
      <c r="C83" s="17"/>
      <c r="D83" s="17"/>
      <c r="E83" s="17"/>
      <c r="F83" s="17"/>
      <c r="G83" s="17"/>
      <c r="H83" s="17"/>
      <c r="I83" s="69"/>
    </row>
    <row r="84" spans="2:9" x14ac:dyDescent="0.2">
      <c r="B84" s="68"/>
      <c r="C84" s="53" t="s">
        <v>55</v>
      </c>
      <c r="D84" s="17"/>
      <c r="E84" s="17"/>
      <c r="F84" s="17"/>
      <c r="G84" s="17"/>
      <c r="H84" s="17"/>
      <c r="I84" s="69"/>
    </row>
    <row r="85" spans="2:9" x14ac:dyDescent="0.2">
      <c r="B85" s="68"/>
      <c r="C85" s="52"/>
      <c r="D85" s="57" t="s">
        <v>58</v>
      </c>
      <c r="E85" s="17"/>
      <c r="F85" s="17"/>
      <c r="G85" s="17"/>
      <c r="H85" s="17"/>
      <c r="I85" s="69"/>
    </row>
    <row r="86" spans="2:9" x14ac:dyDescent="0.2">
      <c r="B86" s="68"/>
      <c r="C86" s="52"/>
      <c r="D86" s="57" t="s">
        <v>59</v>
      </c>
      <c r="E86" s="17"/>
      <c r="F86" s="17"/>
      <c r="G86" s="17"/>
      <c r="H86" s="17"/>
      <c r="I86" s="69"/>
    </row>
    <row r="87" spans="2:9" x14ac:dyDescent="0.2">
      <c r="B87" s="68"/>
      <c r="C87" s="52"/>
      <c r="D87" s="17"/>
      <c r="E87" s="17"/>
      <c r="F87" s="17"/>
      <c r="G87" s="17"/>
      <c r="H87" s="17"/>
      <c r="I87" s="69"/>
    </row>
    <row r="88" spans="2:9" x14ac:dyDescent="0.2">
      <c r="B88" s="68"/>
      <c r="C88" s="53" t="s">
        <v>63</v>
      </c>
      <c r="D88" s="81" t="s">
        <v>103</v>
      </c>
      <c r="E88" s="81"/>
      <c r="F88" s="17"/>
      <c r="G88" s="17"/>
      <c r="H88" s="17"/>
      <c r="I88" s="69"/>
    </row>
    <row r="89" spans="2:9" x14ac:dyDescent="0.2">
      <c r="B89" s="68"/>
      <c r="C89" s="53" t="s">
        <v>56</v>
      </c>
      <c r="D89" s="57" t="s">
        <v>62</v>
      </c>
      <c r="E89" s="17"/>
      <c r="F89" s="17"/>
      <c r="G89" s="17"/>
      <c r="H89" s="17"/>
      <c r="I89" s="69"/>
    </row>
    <row r="90" spans="2:9" x14ac:dyDescent="0.2">
      <c r="B90" s="70"/>
      <c r="C90" s="71" t="s">
        <v>57</v>
      </c>
      <c r="D90" s="72"/>
      <c r="E90" s="72"/>
      <c r="F90" s="72"/>
      <c r="G90" s="72"/>
      <c r="H90" s="72"/>
      <c r="I90" s="73"/>
    </row>
  </sheetData>
  <autoFilter ref="A10:J29" xr:uid="{00000000-0009-0000-0000-000002000000}"/>
  <mergeCells count="1">
    <mergeCell ref="B2:C2"/>
  </mergeCells>
  <phoneticPr fontId="21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3"/>
  <sheetViews>
    <sheetView topLeftCell="A12" zoomScaleNormal="100" workbookViewId="0">
      <selection activeCell="B12" sqref="A12:K31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3" width="12.7109375" style="1" bestFit="1" customWidth="1"/>
    <col min="14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2" t="s">
        <v>1</v>
      </c>
      <c r="K1" s="3">
        <v>47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7" t="s">
        <v>2</v>
      </c>
      <c r="B3" s="97"/>
      <c r="C3" s="97"/>
      <c r="D3" s="98" t="s">
        <v>38</v>
      </c>
      <c r="E3" s="99"/>
      <c r="F3" s="99"/>
      <c r="G3" s="99"/>
      <c r="H3" s="99"/>
      <c r="I3" s="99"/>
      <c r="J3" s="99"/>
      <c r="K3" s="100"/>
    </row>
    <row r="4" spans="1:11" ht="18.75" customHeight="1" thickBot="1" x14ac:dyDescent="0.25">
      <c r="A4" s="101" t="s">
        <v>3</v>
      </c>
      <c r="B4" s="101"/>
      <c r="C4" s="101"/>
      <c r="D4" s="98" t="s">
        <v>42</v>
      </c>
      <c r="E4" s="99"/>
      <c r="F4" s="99"/>
      <c r="G4" s="99"/>
      <c r="H4" s="99"/>
      <c r="I4" s="99"/>
      <c r="J4" s="99"/>
      <c r="K4" s="100"/>
    </row>
    <row r="5" spans="1:11" ht="18.75" customHeight="1" thickBot="1" x14ac:dyDescent="0.25">
      <c r="A5" s="101" t="s">
        <v>4</v>
      </c>
      <c r="B5" s="101"/>
      <c r="C5" s="101"/>
      <c r="D5" s="98" t="s">
        <v>40</v>
      </c>
      <c r="E5" s="99"/>
      <c r="F5" s="99"/>
      <c r="G5" s="99"/>
      <c r="H5" s="99"/>
      <c r="I5" s="99"/>
      <c r="J5" s="99"/>
      <c r="K5" s="100"/>
    </row>
    <row r="6" spans="1:11" ht="16.5" customHeight="1" thickBot="1" x14ac:dyDescent="0.25">
      <c r="A6" s="97" t="s">
        <v>5</v>
      </c>
      <c r="B6" s="97"/>
      <c r="C6" s="97"/>
      <c r="D6" s="98" t="s">
        <v>40</v>
      </c>
      <c r="E6" s="99"/>
      <c r="F6" s="99"/>
      <c r="G6" s="99"/>
      <c r="H6" s="99"/>
      <c r="I6" s="99"/>
      <c r="J6" s="99"/>
      <c r="K6" s="100"/>
    </row>
    <row r="7" spans="1:11" ht="16.5" customHeight="1" thickBot="1" x14ac:dyDescent="0.25">
      <c r="A7" s="101" t="s">
        <v>6</v>
      </c>
      <c r="B7" s="101"/>
      <c r="C7" s="101"/>
      <c r="D7" s="102" t="s">
        <v>109</v>
      </c>
      <c r="E7" s="102"/>
      <c r="F7" s="102"/>
      <c r="G7" s="102"/>
      <c r="H7" s="102"/>
      <c r="I7" s="102"/>
      <c r="J7" s="102"/>
      <c r="K7" s="102"/>
    </row>
    <row r="8" spans="1:11" ht="40.5" customHeight="1" thickBot="1" x14ac:dyDescent="0.25">
      <c r="A8" s="103" t="s">
        <v>7</v>
      </c>
      <c r="B8" s="103"/>
      <c r="C8" s="103"/>
      <c r="D8" s="104" t="s">
        <v>105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05" t="s">
        <v>8</v>
      </c>
      <c r="B10" s="106" t="s">
        <v>9</v>
      </c>
      <c r="C10" s="106" t="s">
        <v>10</v>
      </c>
      <c r="D10" s="106"/>
      <c r="E10" s="106"/>
      <c r="F10" s="106"/>
      <c r="G10" s="106"/>
      <c r="H10" s="106" t="s">
        <v>11</v>
      </c>
      <c r="I10" s="106" t="s">
        <v>12</v>
      </c>
      <c r="J10" s="106" t="s">
        <v>13</v>
      </c>
      <c r="K10" s="107" t="s">
        <v>14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29.25" customHeight="1" thickBot="1" x14ac:dyDescent="0.25">
      <c r="A12" s="130">
        <v>1</v>
      </c>
      <c r="B12" s="131" t="s">
        <v>64</v>
      </c>
      <c r="C12" s="132" t="s">
        <v>66</v>
      </c>
      <c r="D12" s="133"/>
      <c r="E12" s="133"/>
      <c r="F12" s="133"/>
      <c r="G12" s="134"/>
      <c r="H12" s="135" t="s">
        <v>126</v>
      </c>
      <c r="I12" s="135" t="s">
        <v>120</v>
      </c>
      <c r="J12" s="136">
        <v>562.64</v>
      </c>
      <c r="K12" s="137">
        <v>60</v>
      </c>
    </row>
    <row r="13" spans="1:11" ht="24" customHeight="1" thickBot="1" x14ac:dyDescent="0.25">
      <c r="A13" s="130">
        <v>2</v>
      </c>
      <c r="B13" s="131" t="s">
        <v>67</v>
      </c>
      <c r="C13" s="132" t="s">
        <v>128</v>
      </c>
      <c r="D13" s="133"/>
      <c r="E13" s="133"/>
      <c r="F13" s="133"/>
      <c r="G13" s="134"/>
      <c r="H13" s="135" t="s">
        <v>126</v>
      </c>
      <c r="I13" s="135" t="s">
        <v>106</v>
      </c>
      <c r="J13" s="136">
        <v>41.4</v>
      </c>
      <c r="K13" s="138">
        <v>450</v>
      </c>
    </row>
    <row r="14" spans="1:11" ht="17.25" customHeight="1" thickBot="1" x14ac:dyDescent="0.25">
      <c r="A14" s="130">
        <v>3</v>
      </c>
      <c r="B14" s="131" t="s">
        <v>68</v>
      </c>
      <c r="C14" s="132" t="s">
        <v>69</v>
      </c>
      <c r="D14" s="133"/>
      <c r="E14" s="133"/>
      <c r="F14" s="133"/>
      <c r="G14" s="134"/>
      <c r="H14" s="135" t="s">
        <v>127</v>
      </c>
      <c r="I14" s="135" t="s">
        <v>106</v>
      </c>
      <c r="J14" s="136">
        <v>25.29</v>
      </c>
      <c r="K14" s="139">
        <v>300</v>
      </c>
    </row>
    <row r="15" spans="1:11" ht="40.5" customHeight="1" thickBot="1" x14ac:dyDescent="0.25">
      <c r="A15" s="130">
        <v>4</v>
      </c>
      <c r="B15" s="131" t="s">
        <v>70</v>
      </c>
      <c r="C15" s="132" t="s">
        <v>71</v>
      </c>
      <c r="D15" s="133"/>
      <c r="E15" s="133"/>
      <c r="F15" s="133"/>
      <c r="G15" s="134"/>
      <c r="H15" s="135" t="s">
        <v>126</v>
      </c>
      <c r="I15" s="135" t="s">
        <v>120</v>
      </c>
      <c r="J15" s="136">
        <v>731.33</v>
      </c>
      <c r="K15" s="139">
        <v>60</v>
      </c>
    </row>
    <row r="16" spans="1:11" ht="28.5" customHeight="1" thickBot="1" x14ac:dyDescent="0.25">
      <c r="A16" s="130">
        <v>5</v>
      </c>
      <c r="B16" s="131" t="s">
        <v>72</v>
      </c>
      <c r="C16" s="132" t="s">
        <v>73</v>
      </c>
      <c r="D16" s="133"/>
      <c r="E16" s="133"/>
      <c r="F16" s="133"/>
      <c r="G16" s="134"/>
      <c r="H16" s="135" t="s">
        <v>127</v>
      </c>
      <c r="I16" s="135" t="s">
        <v>106</v>
      </c>
      <c r="J16" s="136">
        <v>49.77</v>
      </c>
      <c r="K16" s="139">
        <v>150</v>
      </c>
    </row>
    <row r="17" spans="1:11" ht="15" thickBot="1" x14ac:dyDescent="0.25">
      <c r="A17" s="130">
        <v>6</v>
      </c>
      <c r="B17" s="131" t="s">
        <v>74</v>
      </c>
      <c r="C17" s="132" t="s">
        <v>75</v>
      </c>
      <c r="D17" s="133"/>
      <c r="E17" s="133"/>
      <c r="F17" s="133"/>
      <c r="G17" s="134"/>
      <c r="H17" s="135" t="s">
        <v>127</v>
      </c>
      <c r="I17" s="135" t="s">
        <v>106</v>
      </c>
      <c r="J17" s="136">
        <v>61.56</v>
      </c>
      <c r="K17" s="139">
        <v>150</v>
      </c>
    </row>
    <row r="18" spans="1:11" ht="15" thickBot="1" x14ac:dyDescent="0.25">
      <c r="A18" s="130">
        <v>7</v>
      </c>
      <c r="B18" s="131" t="s">
        <v>76</v>
      </c>
      <c r="C18" s="132" t="s">
        <v>77</v>
      </c>
      <c r="D18" s="133"/>
      <c r="E18" s="133"/>
      <c r="F18" s="133"/>
      <c r="G18" s="134"/>
      <c r="H18" s="135" t="s">
        <v>126</v>
      </c>
      <c r="I18" s="135" t="s">
        <v>106</v>
      </c>
      <c r="J18" s="136">
        <v>61.56</v>
      </c>
      <c r="K18" s="139">
        <v>150</v>
      </c>
    </row>
    <row r="19" spans="1:11" ht="24" customHeight="1" thickBot="1" x14ac:dyDescent="0.25">
      <c r="A19" s="130">
        <v>8</v>
      </c>
      <c r="B19" s="131" t="s">
        <v>78</v>
      </c>
      <c r="C19" s="132" t="s">
        <v>79</v>
      </c>
      <c r="D19" s="133"/>
      <c r="E19" s="133"/>
      <c r="F19" s="133"/>
      <c r="G19" s="134"/>
      <c r="H19" s="135" t="s">
        <v>127</v>
      </c>
      <c r="I19" s="135" t="s">
        <v>106</v>
      </c>
      <c r="J19" s="136">
        <v>13.32</v>
      </c>
      <c r="K19" s="139">
        <v>1200</v>
      </c>
    </row>
    <row r="20" spans="1:11" ht="24" customHeight="1" thickBot="1" x14ac:dyDescent="0.25">
      <c r="A20" s="130">
        <v>9</v>
      </c>
      <c r="B20" s="131" t="s">
        <v>80</v>
      </c>
      <c r="C20" s="132" t="s">
        <v>81</v>
      </c>
      <c r="D20" s="133"/>
      <c r="E20" s="133"/>
      <c r="F20" s="133"/>
      <c r="G20" s="134"/>
      <c r="H20" s="135" t="s">
        <v>127</v>
      </c>
      <c r="I20" s="135" t="s">
        <v>106</v>
      </c>
      <c r="J20" s="136">
        <v>10.8</v>
      </c>
      <c r="K20" s="139">
        <v>1200</v>
      </c>
    </row>
    <row r="21" spans="1:11" ht="24" customHeight="1" thickBot="1" x14ac:dyDescent="0.25">
      <c r="A21" s="130">
        <v>10</v>
      </c>
      <c r="B21" s="131" t="s">
        <v>82</v>
      </c>
      <c r="C21" s="132" t="s">
        <v>83</v>
      </c>
      <c r="D21" s="133"/>
      <c r="E21" s="133"/>
      <c r="F21" s="133"/>
      <c r="G21" s="134"/>
      <c r="H21" s="135" t="s">
        <v>127</v>
      </c>
      <c r="I21" s="135" t="s">
        <v>106</v>
      </c>
      <c r="J21" s="136">
        <v>296.01</v>
      </c>
      <c r="K21" s="139">
        <v>150</v>
      </c>
    </row>
    <row r="22" spans="1:11" ht="24" customHeight="1" thickBot="1" x14ac:dyDescent="0.25">
      <c r="A22" s="130">
        <v>11</v>
      </c>
      <c r="B22" s="131" t="s">
        <v>84</v>
      </c>
      <c r="C22" s="132" t="s">
        <v>85</v>
      </c>
      <c r="D22" s="133"/>
      <c r="E22" s="133"/>
      <c r="F22" s="133"/>
      <c r="G22" s="134"/>
      <c r="H22" s="135" t="s">
        <v>127</v>
      </c>
      <c r="I22" s="135" t="s">
        <v>121</v>
      </c>
      <c r="J22" s="136">
        <v>835.74</v>
      </c>
      <c r="K22" s="139">
        <v>30</v>
      </c>
    </row>
    <row r="23" spans="1:11" ht="24" customHeight="1" thickBot="1" x14ac:dyDescent="0.25">
      <c r="A23" s="130">
        <v>12</v>
      </c>
      <c r="B23" s="131" t="s">
        <v>86</v>
      </c>
      <c r="C23" s="132" t="s">
        <v>87</v>
      </c>
      <c r="D23" s="133"/>
      <c r="E23" s="133"/>
      <c r="F23" s="133"/>
      <c r="G23" s="134"/>
      <c r="H23" s="135" t="s">
        <v>127</v>
      </c>
      <c r="I23" s="135" t="s">
        <v>106</v>
      </c>
      <c r="J23" s="136">
        <v>36.54</v>
      </c>
      <c r="K23" s="139">
        <v>100</v>
      </c>
    </row>
    <row r="24" spans="1:11" ht="36.75" customHeight="1" thickBot="1" x14ac:dyDescent="0.25">
      <c r="A24" s="130">
        <v>13</v>
      </c>
      <c r="B24" s="131" t="s">
        <v>88</v>
      </c>
      <c r="C24" s="132" t="s">
        <v>89</v>
      </c>
      <c r="D24" s="133"/>
      <c r="E24" s="133"/>
      <c r="F24" s="133"/>
      <c r="G24" s="134"/>
      <c r="H24" s="135" t="s">
        <v>127</v>
      </c>
      <c r="I24" s="135" t="s">
        <v>106</v>
      </c>
      <c r="J24" s="136">
        <v>44.37</v>
      </c>
      <c r="K24" s="139">
        <v>100</v>
      </c>
    </row>
    <row r="25" spans="1:11" ht="29.25" customHeight="1" thickBot="1" x14ac:dyDescent="0.25">
      <c r="A25" s="130">
        <v>14</v>
      </c>
      <c r="B25" s="131" t="s">
        <v>90</v>
      </c>
      <c r="C25" s="132" t="s">
        <v>91</v>
      </c>
      <c r="D25" s="133"/>
      <c r="E25" s="133"/>
      <c r="F25" s="133"/>
      <c r="G25" s="134"/>
      <c r="H25" s="135" t="s">
        <v>127</v>
      </c>
      <c r="I25" s="135" t="s">
        <v>121</v>
      </c>
      <c r="J25" s="136">
        <v>529.20000000000005</v>
      </c>
      <c r="K25" s="139">
        <v>10</v>
      </c>
    </row>
    <row r="26" spans="1:11" ht="39.75" customHeight="1" thickBot="1" x14ac:dyDescent="0.25">
      <c r="A26" s="130">
        <v>15</v>
      </c>
      <c r="B26" s="131" t="s">
        <v>92</v>
      </c>
      <c r="C26" s="132" t="s">
        <v>93</v>
      </c>
      <c r="D26" s="133"/>
      <c r="E26" s="133"/>
      <c r="F26" s="133"/>
      <c r="G26" s="134"/>
      <c r="H26" s="135" t="s">
        <v>127</v>
      </c>
      <c r="I26" s="135" t="s">
        <v>106</v>
      </c>
      <c r="J26" s="136">
        <v>91.99</v>
      </c>
      <c r="K26" s="139">
        <v>100</v>
      </c>
    </row>
    <row r="27" spans="1:11" ht="24" customHeight="1" thickBot="1" x14ac:dyDescent="0.25">
      <c r="A27" s="130">
        <v>16</v>
      </c>
      <c r="B27" s="131" t="s">
        <v>94</v>
      </c>
      <c r="C27" s="132" t="s">
        <v>95</v>
      </c>
      <c r="D27" s="133"/>
      <c r="E27" s="133"/>
      <c r="F27" s="133"/>
      <c r="G27" s="134"/>
      <c r="H27" s="135" t="s">
        <v>126</v>
      </c>
      <c r="I27" s="135" t="s">
        <v>106</v>
      </c>
      <c r="J27" s="136">
        <v>151.1</v>
      </c>
      <c r="K27" s="139">
        <v>100</v>
      </c>
    </row>
    <row r="28" spans="1:11" ht="26.25" customHeight="1" thickBot="1" x14ac:dyDescent="0.25">
      <c r="A28" s="130">
        <v>17</v>
      </c>
      <c r="B28" s="131" t="s">
        <v>96</v>
      </c>
      <c r="C28" s="140" t="s">
        <v>97</v>
      </c>
      <c r="D28" s="141"/>
      <c r="E28" s="141"/>
      <c r="F28" s="141"/>
      <c r="G28" s="142"/>
      <c r="H28" s="143" t="s">
        <v>127</v>
      </c>
      <c r="I28" s="135" t="s">
        <v>106</v>
      </c>
      <c r="J28" s="136">
        <v>15.93</v>
      </c>
      <c r="K28" s="139">
        <v>90</v>
      </c>
    </row>
    <row r="29" spans="1:11" ht="26.25" customHeight="1" thickBot="1" x14ac:dyDescent="0.25">
      <c r="A29" s="130">
        <v>18</v>
      </c>
      <c r="B29" s="131" t="s">
        <v>98</v>
      </c>
      <c r="C29" s="140" t="s">
        <v>99</v>
      </c>
      <c r="D29" s="141"/>
      <c r="E29" s="141"/>
      <c r="F29" s="141"/>
      <c r="G29" s="142"/>
      <c r="H29" s="143" t="s">
        <v>127</v>
      </c>
      <c r="I29" s="135" t="s">
        <v>106</v>
      </c>
      <c r="J29" s="136">
        <v>209.7</v>
      </c>
      <c r="K29" s="139">
        <v>100</v>
      </c>
    </row>
    <row r="30" spans="1:11" ht="29.25" customHeight="1" thickBot="1" x14ac:dyDescent="0.25">
      <c r="A30" s="130">
        <v>19</v>
      </c>
      <c r="B30" s="131" t="s">
        <v>100</v>
      </c>
      <c r="C30" s="144" t="s">
        <v>101</v>
      </c>
      <c r="D30" s="145"/>
      <c r="E30" s="145"/>
      <c r="F30" s="145"/>
      <c r="G30" s="146"/>
      <c r="H30" s="143" t="s">
        <v>127</v>
      </c>
      <c r="I30" s="135" t="s">
        <v>106</v>
      </c>
      <c r="J30" s="136">
        <v>209.7</v>
      </c>
      <c r="K30" s="139">
        <v>100</v>
      </c>
    </row>
    <row r="31" spans="1:11" ht="25.5" customHeight="1" thickBot="1" x14ac:dyDescent="0.25">
      <c r="A31" s="147" t="s">
        <v>107</v>
      </c>
      <c r="B31" s="148"/>
      <c r="C31" s="148"/>
      <c r="D31" s="148"/>
      <c r="E31" s="148"/>
      <c r="F31" s="148"/>
      <c r="G31" s="148"/>
      <c r="H31" s="148"/>
      <c r="I31" s="149"/>
      <c r="J31" s="150">
        <v>309272.09999999998</v>
      </c>
      <c r="K31" s="151"/>
    </row>
    <row r="33" spans="10:12" x14ac:dyDescent="0.2">
      <c r="J33" s="95">
        <f>+SUMPRODUCT(J12:J30,K12:K30)</f>
        <v>309272.10000000003</v>
      </c>
      <c r="K33" s="95"/>
      <c r="L33" s="87"/>
    </row>
  </sheetData>
  <mergeCells count="42">
    <mergeCell ref="C22:G22"/>
    <mergeCell ref="C23:G23"/>
    <mergeCell ref="C29:G29"/>
    <mergeCell ref="C28:G28"/>
    <mergeCell ref="C12:G12"/>
    <mergeCell ref="C13:G13"/>
    <mergeCell ref="C14:G14"/>
    <mergeCell ref="C15:G15"/>
    <mergeCell ref="C16:G16"/>
    <mergeCell ref="C17:G17"/>
    <mergeCell ref="C18:G18"/>
    <mergeCell ref="C24:G24"/>
    <mergeCell ref="C25:G25"/>
    <mergeCell ref="C26:G26"/>
    <mergeCell ref="C27:G27"/>
    <mergeCell ref="C19:G19"/>
    <mergeCell ref="C20:G20"/>
    <mergeCell ref="C21:G21"/>
    <mergeCell ref="D8:K8"/>
    <mergeCell ref="A10:A11"/>
    <mergeCell ref="B10:B11"/>
    <mergeCell ref="C10:G11"/>
    <mergeCell ref="H10:H11"/>
    <mergeCell ref="I10:I11"/>
    <mergeCell ref="J10:J11"/>
    <mergeCell ref="K10:K11"/>
    <mergeCell ref="J33:K33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31:I31"/>
    <mergeCell ref="J31:K31"/>
    <mergeCell ref="C30:G30"/>
    <mergeCell ref="A8:C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topLeftCell="A19" zoomScale="110" zoomScaleNormal="110" workbookViewId="0">
      <selection activeCell="O30" sqref="O30:P30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8" t="s">
        <v>15</v>
      </c>
      <c r="B1" s="108"/>
      <c r="C1" s="108"/>
      <c r="D1" s="109">
        <v>2021</v>
      </c>
      <c r="E1" s="109"/>
      <c r="F1" s="13"/>
      <c r="G1" s="13"/>
      <c r="H1" s="14"/>
      <c r="I1" s="14"/>
      <c r="J1" s="14"/>
      <c r="K1" s="14"/>
      <c r="L1" s="14"/>
      <c r="M1" s="14"/>
      <c r="N1" s="14"/>
      <c r="O1" s="15"/>
      <c r="P1" s="110" t="s">
        <v>16</v>
      </c>
      <c r="Q1" s="110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10"/>
      <c r="Q2" s="110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x14ac:dyDescent="0.2">
      <c r="A4" s="111" t="s">
        <v>17</v>
      </c>
      <c r="B4" s="111"/>
      <c r="C4" s="111"/>
      <c r="D4" s="111"/>
      <c r="E4" s="111"/>
      <c r="F4" s="111"/>
      <c r="G4" s="112" t="s">
        <v>38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21" customFormat="1" ht="18" customHeight="1" x14ac:dyDescent="0.2">
      <c r="A5" s="113" t="s">
        <v>3</v>
      </c>
      <c r="B5" s="113"/>
      <c r="C5" s="113"/>
      <c r="D5" s="113"/>
      <c r="E5" s="113"/>
      <c r="F5" s="113"/>
      <c r="G5" s="112" t="s">
        <v>39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21" customFormat="1" ht="18" customHeight="1" x14ac:dyDescent="0.2">
      <c r="A6" s="113" t="s">
        <v>4</v>
      </c>
      <c r="B6" s="113"/>
      <c r="C6" s="113"/>
      <c r="D6" s="113"/>
      <c r="E6" s="113"/>
      <c r="F6" s="113"/>
      <c r="G6" s="112" t="s">
        <v>40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21" customFormat="1" ht="22.5" customHeight="1" x14ac:dyDescent="0.2">
      <c r="A7" s="113" t="s">
        <v>5</v>
      </c>
      <c r="B7" s="113"/>
      <c r="C7" s="113"/>
      <c r="D7" s="113"/>
      <c r="E7" s="113"/>
      <c r="F7" s="113"/>
      <c r="G7" s="112" t="s">
        <v>40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x14ac:dyDescent="0.2">
      <c r="A8" s="114" t="s">
        <v>18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19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66" customHeight="1" x14ac:dyDescent="0.2">
      <c r="A10" s="152" t="s">
        <v>108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16" t="s">
        <v>20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21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22</v>
      </c>
      <c r="P13" s="118"/>
      <c r="Q13" s="119" t="s">
        <v>23</v>
      </c>
    </row>
    <row r="14" spans="1:17" ht="15.75" customHeight="1" x14ac:dyDescent="0.2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18"/>
      <c r="P14" s="118"/>
      <c r="Q14" s="119"/>
    </row>
    <row r="15" spans="1:17" ht="30.75" customHeight="1" thickBot="1" x14ac:dyDescent="0.25">
      <c r="A15" s="46">
        <v>1</v>
      </c>
      <c r="B15" s="47">
        <v>0</v>
      </c>
      <c r="C15" s="47">
        <v>0</v>
      </c>
      <c r="D15" s="47">
        <v>1</v>
      </c>
      <c r="E15" s="47">
        <v>0</v>
      </c>
      <c r="F15" s="47">
        <v>4901</v>
      </c>
      <c r="G15" s="47">
        <v>1</v>
      </c>
      <c r="H15" s="47">
        <v>3</v>
      </c>
      <c r="I15" s="91">
        <v>2</v>
      </c>
      <c r="J15" s="91">
        <v>9</v>
      </c>
      <c r="K15" s="91">
        <v>2</v>
      </c>
      <c r="L15" s="91">
        <v>0</v>
      </c>
      <c r="M15" s="92">
        <v>1</v>
      </c>
      <c r="N15" s="91" t="s">
        <v>41</v>
      </c>
      <c r="O15" s="120" t="s">
        <v>124</v>
      </c>
      <c r="P15" s="120"/>
      <c r="Q15" s="93">
        <v>231633.9</v>
      </c>
    </row>
    <row r="16" spans="1:17" ht="22.5" customHeight="1" x14ac:dyDescent="0.2">
      <c r="A16" s="46">
        <v>1</v>
      </c>
      <c r="B16" s="47">
        <v>0</v>
      </c>
      <c r="C16" s="47">
        <v>0</v>
      </c>
      <c r="D16" s="47">
        <v>1</v>
      </c>
      <c r="E16" s="47">
        <v>0</v>
      </c>
      <c r="F16" s="47">
        <v>4901</v>
      </c>
      <c r="G16" s="47">
        <v>1</v>
      </c>
      <c r="H16" s="47">
        <v>3</v>
      </c>
      <c r="I16" s="91">
        <v>2</v>
      </c>
      <c r="J16" s="91">
        <v>3</v>
      </c>
      <c r="K16" s="91">
        <v>1</v>
      </c>
      <c r="L16" s="91">
        <v>0</v>
      </c>
      <c r="M16" s="92">
        <v>1</v>
      </c>
      <c r="N16" s="91" t="s">
        <v>41</v>
      </c>
      <c r="O16" s="120" t="s">
        <v>111</v>
      </c>
      <c r="P16" s="120"/>
      <c r="Q16" s="93">
        <v>77638.2</v>
      </c>
    </row>
    <row r="17" spans="1:17" ht="17.25" customHeight="1" x14ac:dyDescent="0.2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21"/>
      <c r="P17" s="121"/>
      <c r="Q17" s="35"/>
    </row>
    <row r="18" spans="1:17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22"/>
      <c r="P18" s="122"/>
      <c r="Q18" s="35"/>
    </row>
    <row r="19" spans="1:17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22"/>
      <c r="P19" s="122"/>
      <c r="Q19" s="35"/>
    </row>
    <row r="20" spans="1:17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22"/>
      <c r="P20" s="122"/>
      <c r="Q20" s="35"/>
    </row>
    <row r="21" spans="1:17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22"/>
      <c r="P21" s="122"/>
      <c r="Q21" s="35"/>
    </row>
    <row r="22" spans="1:17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22"/>
      <c r="P22" s="122"/>
      <c r="Q22" s="35"/>
    </row>
    <row r="23" spans="1:17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22"/>
      <c r="P23" s="122"/>
      <c r="Q23" s="35"/>
    </row>
    <row r="24" spans="1:17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22"/>
      <c r="P24" s="122"/>
      <c r="Q24" s="35"/>
    </row>
    <row r="25" spans="1:17" ht="17.25" customHeight="1" x14ac:dyDescent="0.2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22"/>
      <c r="P25" s="122"/>
      <c r="Q25" s="35"/>
    </row>
    <row r="26" spans="1:17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22"/>
      <c r="P26" s="122"/>
      <c r="Q26" s="35"/>
    </row>
    <row r="27" spans="1:17" ht="17.2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22"/>
      <c r="P27" s="122"/>
      <c r="Q27" s="35"/>
    </row>
    <row r="28" spans="1:17" ht="17.25" customHeight="1" x14ac:dyDescent="0.2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  <c r="O28" s="122"/>
      <c r="P28" s="122"/>
      <c r="Q28" s="35"/>
    </row>
    <row r="29" spans="1:17" ht="17.2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22"/>
      <c r="P29" s="122"/>
      <c r="Q29" s="35"/>
    </row>
    <row r="30" spans="1:17" ht="17.25" customHeight="1" x14ac:dyDescent="0.2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  <c r="O30" s="122"/>
      <c r="P30" s="122"/>
      <c r="Q30" s="35"/>
    </row>
    <row r="31" spans="1:17" ht="17.25" customHeight="1" x14ac:dyDescent="0.2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  <c r="O31" s="122"/>
      <c r="P31" s="122"/>
      <c r="Q31" s="35"/>
    </row>
    <row r="32" spans="1:17" ht="17.25" customHeight="1" x14ac:dyDescent="0.2">
      <c r="A32" s="31"/>
      <c r="B32" s="32"/>
      <c r="C32" s="32"/>
      <c r="D32" s="32"/>
      <c r="E32" s="32"/>
      <c r="F32" s="34"/>
      <c r="G32" s="32"/>
      <c r="H32" s="32"/>
      <c r="I32" s="32"/>
      <c r="J32" s="32"/>
      <c r="K32" s="32"/>
      <c r="L32" s="32"/>
      <c r="M32" s="33"/>
      <c r="N32" s="34"/>
      <c r="O32" s="123"/>
      <c r="P32" s="123"/>
      <c r="Q32" s="35"/>
    </row>
    <row r="33" spans="1:18" ht="17.25" customHeight="1" x14ac:dyDescent="0.2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4"/>
      <c r="O33" s="123"/>
      <c r="P33" s="123"/>
      <c r="Q33" s="35"/>
    </row>
    <row r="34" spans="1:18" ht="17.25" customHeight="1" x14ac:dyDescent="0.2">
      <c r="A34" s="31"/>
      <c r="B34" s="32"/>
      <c r="C34" s="32"/>
      <c r="D34" s="32"/>
      <c r="E34" s="32"/>
      <c r="F34" s="34"/>
      <c r="G34" s="32"/>
      <c r="H34" s="32"/>
      <c r="I34" s="32"/>
      <c r="J34" s="32"/>
      <c r="K34" s="32"/>
      <c r="L34" s="32"/>
      <c r="M34" s="33"/>
      <c r="N34" s="34"/>
      <c r="O34" s="123"/>
      <c r="P34" s="123"/>
      <c r="Q34" s="35"/>
    </row>
    <row r="35" spans="1:18" ht="17.25" customHeight="1" x14ac:dyDescent="0.2">
      <c r="A35" s="31"/>
      <c r="B35" s="32"/>
      <c r="C35" s="32"/>
      <c r="D35" s="32"/>
      <c r="E35" s="32"/>
      <c r="F35" s="34"/>
      <c r="G35" s="32"/>
      <c r="H35" s="32"/>
      <c r="I35" s="32"/>
      <c r="J35" s="32"/>
      <c r="K35" s="32"/>
      <c r="L35" s="32"/>
      <c r="M35" s="33"/>
      <c r="N35" s="34"/>
      <c r="O35" s="123"/>
      <c r="P35" s="123"/>
      <c r="Q35" s="35"/>
    </row>
    <row r="36" spans="1:18" ht="17.25" customHeight="1" x14ac:dyDescent="0.2">
      <c r="A36" s="36"/>
      <c r="B36" s="37"/>
      <c r="C36" s="37"/>
      <c r="D36" s="37"/>
      <c r="E36" s="37"/>
      <c r="F36" s="38"/>
      <c r="G36" s="37"/>
      <c r="H36" s="37"/>
      <c r="I36" s="37"/>
      <c r="J36" s="37"/>
      <c r="K36" s="37"/>
      <c r="L36" s="37"/>
      <c r="M36" s="39"/>
      <c r="N36" s="40"/>
      <c r="O36" s="126"/>
      <c r="P36" s="126"/>
      <c r="Q36" s="35"/>
      <c r="R36" s="17"/>
    </row>
    <row r="37" spans="1:18" ht="17.25" customHeight="1" x14ac:dyDescent="0.2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127"/>
      <c r="P37" s="127"/>
      <c r="Q37" s="44"/>
    </row>
    <row r="38" spans="1:18" ht="20.25" customHeight="1" x14ac:dyDescent="0.2">
      <c r="A38" s="128" t="s">
        <v>104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45">
        <f>SUM(Q15:Q37)</f>
        <v>309272.09999999998</v>
      </c>
    </row>
    <row r="39" spans="1:18" ht="18" customHeight="1" x14ac:dyDescent="0.2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</row>
    <row r="40" spans="1:18" ht="17.25" customHeight="1" x14ac:dyDescent="0.2">
      <c r="A40" s="124" t="s">
        <v>37</v>
      </c>
      <c r="B40" s="124"/>
      <c r="C40" s="124"/>
      <c r="D40" s="124"/>
      <c r="E40" s="124"/>
      <c r="F40" s="124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</row>
    <row r="41" spans="1:18" ht="18" customHeight="1" x14ac:dyDescent="0.2">
      <c r="A41" s="153" t="s">
        <v>105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</row>
    <row r="42" spans="1:18" ht="63.75" customHeight="1" x14ac:dyDescent="0.2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</row>
  </sheetData>
  <mergeCells count="46">
    <mergeCell ref="A40:F40"/>
    <mergeCell ref="G40:Q40"/>
    <mergeCell ref="A41:Q42"/>
    <mergeCell ref="O35:P35"/>
    <mergeCell ref="O36:P36"/>
    <mergeCell ref="O37:P37"/>
    <mergeCell ref="A38:P38"/>
    <mergeCell ref="A39:Q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2021-09-23T16:22:41Z</cp:lastPrinted>
  <dcterms:created xsi:type="dcterms:W3CDTF">2020-07-17T23:44:49Z</dcterms:created>
  <dcterms:modified xsi:type="dcterms:W3CDTF">2021-09-24T15:57:11Z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