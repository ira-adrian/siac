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97A997FC-CC3A-43C5-9732-22F3E3EF41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2" l="1"/>
  <c r="M11" i="2"/>
</calcChain>
</file>

<file path=xl/sharedStrings.xml><?xml version="1.0" encoding="utf-8"?>
<sst xmlns="http://schemas.openxmlformats.org/spreadsheetml/2006/main" count="35" uniqueCount="29">
  <si>
    <t>Número expediente:</t>
  </si>
  <si>
    <t>EX-2022-00829854-   -CAT-DPCBS#MEC</t>
  </si>
  <si>
    <t>Número proceso de compra:</t>
  </si>
  <si>
    <t>100-0089-CDI22</t>
  </si>
  <si>
    <t>Nombre descriptivo proceso de compra:</t>
  </si>
  <si>
    <t>Adquisición de Combustible destinado a el Ministerio de Gobierno, Justicia y Derechos Humanos.</t>
  </si>
  <si>
    <t>Unidad Operativa de Compras:</t>
  </si>
  <si>
    <t>Secretaria de Compras y Abastecimiento</t>
  </si>
  <si>
    <t>Fecha de Apertura:</t>
  </si>
  <si>
    <t>26/05/2022</t>
  </si>
  <si>
    <t>Renglón</t>
  </si>
  <si>
    <t>PETROCAT SRL</t>
  </si>
  <si>
    <t>AUTOGAS S..RL.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</si>
  <si>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</si>
  <si>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</si>
  <si>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</si>
  <si>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</si>
  <si>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</si>
  <si>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</si>
  <si>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</si>
  <si>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</si>
  <si>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</si>
  <si>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</si>
  <si>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2.5.6-793.31 </t>
  </si>
  <si>
    <t xml:space="preserve">GAS OIL; PRESENTACION: POR LITRO, USO: MOTORES DIESEL, COMERCIALIZACION: GRADO 
3, DESTINO: DPTO. S.F.V. DE CATAMARCA </t>
  </si>
  <si>
    <t xml:space="preserve">UNIDAD </t>
  </si>
  <si>
    <t xml:space="preserve">Se cotiza gas oil grado 3 V-POWER DIESEL SHELL,  
</t>
  </si>
  <si>
    <t xml:space="preserve">se cotiza V-POWER DIESEL - diesel grado 3 Marca SHELL 
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</si>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</sst>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1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1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1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2.5703125" customWidth="1"/>
    <col min="4" max="4" width="79.140625" customWidth="1"/>
    <col min="5" max="5" width="86.28515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43.140625" customWidth="1"/>
    <col min="11" max="11" width="14.28515625" customWidth="1"/>
    <col min="12" max="12" width="17.28515625" customWidth="1"/>
    <col min="13" max="13" width="16.5703125" customWidth="1"/>
    <col min="14" max="14" width="49" customWidth="1"/>
  </cols>
  <sheetData>
    <row r="1" spans="1:14" x14ac:dyDescent="0.25">
      <c r="D1" s="2" t="s">
        <v>0</v>
      </c>
      <c r="E1" s="2" t="s">
        <v>1</v>
      </c>
    </row>
    <row r="2" spans="1:14" x14ac:dyDescent="0.25">
      <c r="D2" s="2" t="s">
        <v>2</v>
      </c>
      <c r="E2" s="2" t="s">
        <v>3</v>
      </c>
    </row>
    <row r="3" spans="1:14" x14ac:dyDescent="0.25">
      <c r="D3" s="2" t="s">
        <v>4</v>
      </c>
      <c r="E3" s="2" t="s">
        <v>5</v>
      </c>
    </row>
    <row r="4" spans="1:14" x14ac:dyDescent="0.25">
      <c r="D4" s="2" t="s">
        <v>6</v>
      </c>
      <c r="E4" s="2" t="s">
        <v>7</v>
      </c>
    </row>
    <row r="5" spans="1:14" x14ac:dyDescent="0.25">
      <c r="D5" s="2" t="s">
        <v>8</v>
      </c>
      <c r="E5" s="2" t="s">
        <v>9</v>
      </c>
    </row>
    <row r="8" spans="1:1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</row>
    <row r="9" spans="1:14" x14ac:dyDescent="0.25">
      <c r="A9" t="s">
        <v>10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 t="s">
        <v>18</v>
      </c>
      <c r="H9" s="3" t="s">
        <v>19</v>
      </c>
      <c r="I9" t="s">
        <v>20</v>
      </c>
      <c r="J9" t="s">
        <v>21</v>
      </c>
      <c r="K9" s="3" t="s">
        <v>18</v>
      </c>
      <c r="L9" s="3" t="s">
        <v>19</v>
      </c>
      <c r="M9" t="s">
        <v>20</v>
      </c>
      <c r="N9" t="s">
        <v>21</v>
      </c>
    </row>
    <row r="10" spans="1:14" ht="45" x14ac:dyDescent="0.25">
      <c r="A10" t="s">
        <v>22</v>
      </c>
      <c r="B10" t="s">
        <v>22</v>
      </c>
      <c r="C10" t="s">
        <v>23</v>
      </c>
      <c r="D10" s="4" t="s">
        <v>24</v>
      </c>
      <c r="E10">
        <v>31850</v>
      </c>
      <c r="F10" t="s">
        <v>25</v>
      </c>
      <c r="G10" s="3">
        <v>185</v>
      </c>
      <c r="H10" s="3">
        <v>31850</v>
      </c>
      <c r="I10" s="5">
        <v>5892250</v>
      </c>
      <c r="J10" s="4" t="s">
        <v>26</v>
      </c>
      <c r="K10" s="3">
        <v>158.19999999999999</v>
      </c>
      <c r="L10" s="3">
        <v>31850</v>
      </c>
      <c r="M10" s="5">
        <v>5038670</v>
      </c>
      <c r="N10" s="4" t="s">
        <v>27</v>
      </c>
    </row>
    <row r="11" spans="1:14" x14ac:dyDescent="0.25">
      <c r="C11" t="s">
        <v>28</v>
      </c>
      <c r="D11" s="4"/>
      <c r="G11" s="3"/>
      <c r="H11" s="3"/>
      <c r="I11" s="5">
        <f>SUBTOTAL(109,Table2[Total por renglón])</f>
        <v>5892250</v>
      </c>
      <c r="J11" s="4"/>
      <c r="K11" s="3"/>
      <c r="L11" s="3"/>
      <c r="M11" s="5">
        <f>SUBTOTAL(109,Table3[Total por renglón])</f>
        <v>5038670</v>
      </c>
      <c r="N11" s="4"/>
    </row>
  </sheetData>
  <mergeCells count="3">
    <mergeCell ref="G8:J8"/>
    <mergeCell ref="K8:N8"/>
    <mergeCell ref="A8:F8"/>
  </mergeCells>
  <pageMargins left="0.75" right="0.75" top="0.75" bottom="0.5" header="0.5" footer="0.7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2022-06-08T14:53:22Z</dcterms:created>
  <dcterms:modified xsi:type="dcterms:W3CDTF">2022-06-08T14:53:37Z</dcterms:modified>
</cp:coreProperties>
</file>