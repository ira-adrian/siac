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as\Downloads\"/>
    </mc:Choice>
  </mc:AlternateContent>
  <xr:revisionPtr revIDLastSave="0" documentId="8_{BCE1A7BA-E4CA-4F9A-8518-511A689069A9}" xr6:coauthVersionLast="47" xr6:coauthVersionMax="47" xr10:uidLastSave="{00000000-0000-0000-0000-000000000000}"/>
  <bookViews>
    <workbookView xWindow="-120" yWindow="-120" windowWidth="29040" windowHeight="15840" tabRatio="500" activeTab="1" xr2:uid="{00000000-000D-0000-FFFF-FFFF00000000}"/>
  </bookViews>
  <sheets>
    <sheet name="ALIMENTO PARA PERROS" sheetId="1" r:id="rId1"/>
    <sheet name="NPyE ALIMENTO PARA PERROS" sheetId="2" r:id="rId2"/>
    <sheet name="APG ALIM PERROS" sheetId="3" r:id="rId3"/>
  </sheets>
  <externalReferences>
    <externalReference r:id="rId4"/>
    <externalReference r:id="rId5"/>
  </externalReferenc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23" i="3" l="1"/>
  <c r="G6" i="3"/>
  <c r="G5" i="3"/>
  <c r="G4" i="3"/>
  <c r="J17" i="2"/>
  <c r="D4" i="2"/>
  <c r="D3" i="2"/>
  <c r="I12" i="1"/>
  <c r="I10" i="1"/>
</calcChain>
</file>

<file path=xl/sharedStrings.xml><?xml version="1.0" encoding="utf-8"?>
<sst xmlns="http://schemas.openxmlformats.org/spreadsheetml/2006/main" count="95" uniqueCount="83">
  <si>
    <t>Pedido de Necesidades Trimestrales</t>
  </si>
  <si>
    <t>JURISDICCION:</t>
  </si>
  <si>
    <t>90 - MINISTERIO DE SEGURIDAD</t>
  </si>
  <si>
    <t xml:space="preserve">SAF N°: </t>
  </si>
  <si>
    <t>8 - DIRECCION GENERAL SERVICIO PENITENCIARIO PROVINCIAL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</si>
  <si>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</si>
  <si>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</si>
  <si>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</si>
  <si>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</si>
  <si>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</si>
  <si>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</si>
  <si>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</si>
  <si>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</si>
  <si>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</si>
  <si>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</si>
  <si>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</si>
  <si>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2.1.2-2875.3</t>
  </si>
  <si>
    <t>ALIMENTOS</t>
  </si>
  <si>
    <t>ALIMENTO P/PERRO</t>
  </si>
  <si>
    <t>ALIMENTO P/PERRO; PRESENTACION: BOLSA X 20 Kg, CAPACIDAD: 20 Kg, SABOR: CARNE-POLLO, TIPO: PERRO ADULTO</t>
  </si>
  <si>
    <t>BOLSAS</t>
  </si>
  <si>
    <t>Especificidades Item N° 1:</t>
  </si>
  <si>
    <t>Descripción técnica</t>
  </si>
  <si>
    <t>Plazos y lugares de entrega</t>
  </si>
  <si>
    <t xml:space="preserve">10 DIAS </t>
  </si>
  <si>
    <t>MIRAFLORES DPTO CAPAYAN SRUTA N° 38 S.P.P</t>
  </si>
  <si>
    <t>Calidad Minima esperada</t>
  </si>
  <si>
    <t>Calidad Premiun</t>
  </si>
  <si>
    <t>Mantenimiento</t>
  </si>
  <si>
    <t xml:space="preserve">45 DIAS </t>
  </si>
  <si>
    <t>Garantia</t>
  </si>
  <si>
    <t>Especificidades Item N° 2:</t>
  </si>
  <si>
    <t>NOTA DE PEDIDO</t>
  </si>
  <si>
    <t>N°</t>
  </si>
  <si>
    <t>3/2021</t>
  </si>
  <si>
    <t xml:space="preserve">JURISDICCIÓN: </t>
  </si>
  <si>
    <t>SAF:</t>
  </si>
  <si>
    <t>UNIDAD EJECUTORA:</t>
  </si>
  <si>
    <t>Direccion General Servicio Penitenciario Provincial</t>
  </si>
  <si>
    <t xml:space="preserve">DEPENDENCIA SOLICITANTE: </t>
  </si>
  <si>
    <t>Canes</t>
  </si>
  <si>
    <t>PERIODO UTILIZACIÓN:</t>
  </si>
  <si>
    <t>1° Trimestre -2021</t>
  </si>
  <si>
    <t>OBJETO:</t>
  </si>
  <si>
    <t xml:space="preserve">Adq de Alimentos para Animales con destino a los canes de la institucion 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</si>
  <si>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</si>
  <si>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</si>
  <si>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</si>
  <si>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</si>
  <si>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</si>
  <si>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</si>
  <si>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</si>
  <si>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</si>
  <si>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BOLSA</t>
  </si>
  <si>
    <t>Costo total estimado: TRECIENTOS TREINTA Y SEIS MIL CON 00/100</t>
  </si>
  <si>
    <t>AUTORIZACION PARA GASTAR</t>
  </si>
  <si>
    <t>JURISDICCIÓN:</t>
  </si>
  <si>
    <t>Division Canes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</si>
  <si>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</si>
  <si>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</si>
  <si>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Autorizo la realización de los  trámites correspondientes, a fin de proveer a  este Organismo los bienes y/o servicios que se detallan en Nota  de Pedido N° 03.,  afectando la erogación resultante a los créditos presupuestarios aprobados a favor de esta Unidad Ejecutora, conforme al siguiente detalle:"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</si>
  <si>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</si>
  <si>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</si>
  <si>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</si>
  <si>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</si>
  <si>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</si>
  <si>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</si>
  <si>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</si>
  <si>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</si>
  <si>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</si>
  <si>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</si>
  <si>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</si>
  <si>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</si>
  <si>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</si>
  <si>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</si>
  <si>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</si>
  <si>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</si>
  <si>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</si>
  <si>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</si>
  <si>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Alimentos para Animales</t>
  </si>
  <si>
    <t>TOTAL DE PESOS: TRECIENTOS TREINTA Y SEIS MIL CON 00/100</t>
  </si>
  <si>
    <t>JUSTIFICACIÓN:</t>
  </si>
  <si>
    <t>Adquisicion de alimentos para animales con destino a la manutension de los canes pertenecientes a la Institucion.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</si>
</sst>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3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sz val="22"/>
      <name val="Times New Roman"/>
      <family val="1"/>
      <charset val="1"/>
    </font>
    <font>
      <b/>
      <sz val="11"/>
      <color rgb="FF000000"/>
      <name val="Times New Roman"/>
      <family val="1"/>
      <charset val="1"/>
    </font>
    <font>
      <b/>
      <sz val="12"/>
      <color rgb="FF000000"/>
      <name val="Times New Roman"/>
      <family val="1"/>
      <charset val="1"/>
    </font>
    <font>
      <sz val="10"/>
      <color rgb="FF000000"/>
      <name val="Times New Roman"/>
      <family val="1"/>
      <charset val="1"/>
    </font>
    <font>
      <b/>
      <sz val="10"/>
      <color rgb="FF000000"/>
      <name val="Times New Roman"/>
      <family val="1"/>
      <charset val="1"/>
    </font>
    <font>
      <sz val="9"/>
      <name val="Times New Roman"/>
      <family val="1"/>
      <charset val="1"/>
    </font>
    <font>
      <sz val="9"/>
      <color rgb="FF000000"/>
      <name val="Times New Roman"/>
      <family val="1"/>
      <charset val="1"/>
    </font>
    <font>
      <u/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</fills>
  <borders count="6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/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/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 style="thin">
        <color rgb="FF3D3D3D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medium">
        <color auto="1"/>
      </right>
      <top/>
      <bottom style="thin">
        <color rgb="FF3D3D3D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auto="1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auto="1"/>
      </bottom>
      <diagonal/>
    </border>
    <border>
      <left style="thin">
        <color rgb="FF3D3D3D"/>
      </left>
      <right/>
      <top style="thin">
        <color rgb="FF3D3D3D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rgb="FF3D3D3D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</borders>
  <cellStyleXfs count="5">
    <xf numFmtId="0" fontId="0" fillId="0" borderId="0"/>
    <xf numFmtId="165" fontId="2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30">
    <xf numFmtId="0" fontId="0" fillId="0" borderId="0" xfId="0"/>
    <xf numFmtId="0" fontId="16" fillId="0" borderId="20" xfId="0" applyFont="1" applyBorder="1" applyAlignment="1">
      <alignment horizontal="center" vertical="center"/>
    </xf>
    <xf numFmtId="0" fontId="14" fillId="3" borderId="21" xfId="0" applyFont="1" applyFill="1" applyBorder="1" applyAlignment="1">
      <alignment horizontal="left" vertical="center" wrapText="1" indent="1"/>
    </xf>
    <xf numFmtId="0" fontId="15" fillId="0" borderId="20" xfId="0" applyFont="1" applyBorder="1" applyAlignment="1">
      <alignment horizontal="left" vertical="center"/>
    </xf>
    <xf numFmtId="0" fontId="15" fillId="0" borderId="19" xfId="0" applyFont="1" applyBorder="1" applyAlignment="1">
      <alignment horizontal="left" vertical="center" wrapText="1"/>
    </xf>
    <xf numFmtId="0" fontId="14" fillId="3" borderId="18" xfId="0" applyFont="1" applyFill="1" applyBorder="1" applyAlignment="1">
      <alignment horizontal="left" vertical="center" wrapText="1" indent="1"/>
    </xf>
    <xf numFmtId="0" fontId="15" fillId="0" borderId="17" xfId="0" applyFont="1" applyBorder="1" applyAlignment="1">
      <alignment horizontal="left" vertical="center" wrapText="1"/>
    </xf>
    <xf numFmtId="0" fontId="13" fillId="0" borderId="0" xfId="0" applyFont="1" applyBorder="1" applyAlignment="1">
      <alignment horizontal="center" vertical="center"/>
    </xf>
    <xf numFmtId="0" fontId="4" fillId="3" borderId="10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left" wrapText="1"/>
    </xf>
    <xf numFmtId="0" fontId="4" fillId="3" borderId="10" xfId="0" applyFont="1" applyFill="1" applyBorder="1" applyAlignment="1">
      <alignment horizontal="left"/>
    </xf>
    <xf numFmtId="0" fontId="4" fillId="3" borderId="10" xfId="0" applyFont="1" applyFill="1" applyBorder="1" applyAlignment="1">
      <alignment horizontal="center" wrapText="1"/>
    </xf>
    <xf numFmtId="0" fontId="7" fillId="0" borderId="0" xfId="0" applyFont="1" applyBorder="1" applyAlignment="1">
      <alignment horizontal="left" wrapText="1" indent="1"/>
    </xf>
    <xf numFmtId="0" fontId="6" fillId="0" borderId="0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center"/>
    </xf>
    <xf numFmtId="0" fontId="4" fillId="0" borderId="0" xfId="0" applyFont="1"/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left" wrapText="1" indent="1"/>
    </xf>
    <xf numFmtId="0" fontId="9" fillId="0" borderId="0" xfId="0" applyFont="1" applyAlignment="1">
      <alignment horizontal="left" wrapText="1"/>
    </xf>
    <xf numFmtId="0" fontId="9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left" vertical="center" wrapText="1"/>
    </xf>
    <xf numFmtId="166" fontId="10" fillId="0" borderId="4" xfId="1" applyNumberFormat="1" applyFont="1" applyBorder="1" applyAlignment="1" applyProtection="1">
      <alignment horizontal="right" vertical="center" wrapText="1"/>
    </xf>
    <xf numFmtId="166" fontId="10" fillId="0" borderId="5" xfId="1" applyNumberFormat="1" applyFont="1" applyBorder="1" applyAlignment="1" applyProtection="1">
      <alignment horizontal="right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left" vertical="center" wrapText="1"/>
    </xf>
    <xf numFmtId="0" fontId="12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0" xfId="0" applyFont="1" applyBorder="1"/>
    <xf numFmtId="0" fontId="4" fillId="0" borderId="10" xfId="0" applyFont="1" applyBorder="1"/>
    <xf numFmtId="0" fontId="12" fillId="0" borderId="9" xfId="0" applyFont="1" applyBorder="1" applyAlignment="1">
      <alignment horizontal="left" indent="9"/>
    </xf>
    <xf numFmtId="0" fontId="4" fillId="0" borderId="9" xfId="0" applyFont="1" applyBorder="1" applyAlignment="1">
      <alignment horizontal="left" indent="9"/>
    </xf>
    <xf numFmtId="0" fontId="4" fillId="0" borderId="0" xfId="0" applyFont="1" applyBorder="1" applyAlignment="1">
      <alignment horizontal="center" wrapText="1"/>
    </xf>
    <xf numFmtId="0" fontId="4" fillId="0" borderId="10" xfId="0" applyFont="1" applyBorder="1" applyAlignment="1">
      <alignment horizontal="center" wrapText="1"/>
    </xf>
    <xf numFmtId="0" fontId="4" fillId="0" borderId="11" xfId="0" applyFont="1" applyBorder="1" applyAlignment="1">
      <alignment horizontal="left" indent="9"/>
    </xf>
    <xf numFmtId="0" fontId="4" fillId="0" borderId="12" xfId="0" applyFont="1" applyBorder="1"/>
    <xf numFmtId="0" fontId="4" fillId="0" borderId="13" xfId="0" applyFont="1" applyBorder="1"/>
    <xf numFmtId="0" fontId="2" fillId="0" borderId="0" xfId="0" applyFont="1" applyAlignment="1">
      <alignment vertical="center"/>
    </xf>
    <xf numFmtId="0" fontId="13" fillId="0" borderId="14" xfId="0" applyFont="1" applyBorder="1" applyAlignment="1">
      <alignment horizontal="right" vertical="center"/>
    </xf>
    <xf numFmtId="49" fontId="14" fillId="3" borderId="15" xfId="0" applyNumberFormat="1" applyFont="1" applyFill="1" applyBorder="1" applyAlignment="1">
      <alignment horizontal="center" vertical="center"/>
    </xf>
    <xf numFmtId="0" fontId="13" fillId="0" borderId="16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 wrapText="1" indent="1"/>
    </xf>
    <xf numFmtId="0" fontId="4" fillId="0" borderId="23" xfId="0" applyFont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  <xf numFmtId="0" fontId="10" fillId="0" borderId="24" xfId="0" applyFont="1" applyBorder="1" applyAlignment="1">
      <alignment horizontal="center" vertical="center" wrapText="1"/>
    </xf>
    <xf numFmtId="166" fontId="4" fillId="3" borderId="23" xfId="1" applyNumberFormat="1" applyFont="1" applyFill="1" applyBorder="1" applyAlignment="1" applyProtection="1">
      <alignment horizontal="right" vertical="center" wrapText="1"/>
    </xf>
    <xf numFmtId="3" fontId="4" fillId="3" borderId="23" xfId="0" applyNumberFormat="1" applyFont="1" applyFill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4" fillId="3" borderId="23" xfId="0" applyFont="1" applyFill="1" applyBorder="1" applyAlignment="1">
      <alignment horizontal="left" vertical="center"/>
    </xf>
    <xf numFmtId="0" fontId="11" fillId="0" borderId="26" xfId="0" applyFont="1" applyBorder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3" fontId="18" fillId="0" borderId="0" xfId="0" applyNumberFormat="1" applyFo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4" xfId="0" applyBorder="1"/>
    <xf numFmtId="0" fontId="0" fillId="0" borderId="31" xfId="0" applyBorder="1"/>
    <xf numFmtId="0" fontId="0" fillId="0" borderId="16" xfId="0" applyBorder="1"/>
    <xf numFmtId="0" fontId="0" fillId="0" borderId="16" xfId="0" applyBorder="1" applyAlignment="1">
      <alignment horizontal="left"/>
    </xf>
    <xf numFmtId="0" fontId="0" fillId="0" borderId="32" xfId="0" applyBorder="1"/>
    <xf numFmtId="0" fontId="22" fillId="0" borderId="36" xfId="0" applyFont="1" applyBorder="1" applyAlignment="1">
      <alignment horizontal="center" vertical="center"/>
    </xf>
    <xf numFmtId="0" fontId="22" fillId="0" borderId="37" xfId="0" applyFont="1" applyBorder="1" applyAlignment="1">
      <alignment horizontal="center" vertical="center"/>
    </xf>
    <xf numFmtId="0" fontId="22" fillId="0" borderId="37" xfId="0" applyFont="1" applyBorder="1" applyAlignment="1">
      <alignment horizontal="left" vertical="center"/>
    </xf>
    <xf numFmtId="0" fontId="22" fillId="0" borderId="38" xfId="0" applyFont="1" applyBorder="1" applyAlignment="1">
      <alignment horizontal="center" vertical="center"/>
    </xf>
    <xf numFmtId="0" fontId="22" fillId="0" borderId="30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4" xfId="3" applyNumberFormat="1" applyFont="1" applyBorder="1" applyAlignment="1" applyProtection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166" fontId="0" fillId="0" borderId="25" xfId="3" applyNumberFormat="1" applyFont="1" applyBorder="1" applyAlignment="1" applyProtection="1">
      <alignment horizontal="center" vertical="center"/>
    </xf>
    <xf numFmtId="0" fontId="0" fillId="0" borderId="51" xfId="0" applyBorder="1" applyAlignment="1">
      <alignment horizontal="center" vertical="center"/>
    </xf>
    <xf numFmtId="166" fontId="0" fillId="0" borderId="52" xfId="3" applyNumberFormat="1" applyFont="1" applyBorder="1" applyAlignment="1" applyProtection="1">
      <alignment horizontal="center" vertical="center"/>
    </xf>
    <xf numFmtId="166" fontId="0" fillId="0" borderId="54" xfId="3" applyNumberFormat="1" applyFont="1" applyBorder="1" applyAlignment="1" applyProtection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166" fontId="0" fillId="0" borderId="58" xfId="3" applyNumberFormat="1" applyFont="1" applyBorder="1" applyAlignment="1" applyProtection="1">
      <alignment horizontal="center" vertical="center"/>
    </xf>
    <xf numFmtId="166" fontId="22" fillId="0" borderId="59" xfId="0" applyNumberFormat="1" applyFont="1" applyBorder="1" applyAlignment="1">
      <alignment horizontal="center" vertical="center"/>
    </xf>
    <xf numFmtId="0" fontId="18" fillId="0" borderId="29" xfId="0" applyFont="1" applyBorder="1" applyAlignment="1">
      <alignment vertical="center" wrapText="1"/>
    </xf>
    <xf numFmtId="0" fontId="18" fillId="0" borderId="0" xfId="0" applyFont="1" applyAlignment="1">
      <alignment vertical="center" wrapText="1"/>
    </xf>
    <xf numFmtId="0" fontId="0" fillId="0" borderId="60" xfId="0" applyBorder="1"/>
    <xf numFmtId="0" fontId="16" fillId="0" borderId="22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0" fontId="0" fillId="0" borderId="23" xfId="0" applyFont="1" applyBorder="1" applyAlignment="1">
      <alignment horizontal="left" wrapText="1"/>
    </xf>
    <xf numFmtId="0" fontId="11" fillId="0" borderId="23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left" vertical="center" wrapText="1"/>
    </xf>
    <xf numFmtId="0" fontId="14" fillId="0" borderId="18" xfId="0" applyFont="1" applyBorder="1" applyAlignment="1">
      <alignment horizontal="left" vertical="center" wrapText="1" indent="1"/>
    </xf>
    <xf numFmtId="167" fontId="15" fillId="0" borderId="18" xfId="0" applyNumberFormat="1" applyFont="1" applyBorder="1" applyAlignment="1">
      <alignment horizontal="center" vertical="center"/>
    </xf>
    <xf numFmtId="0" fontId="0" fillId="0" borderId="27" xfId="0" applyFont="1" applyBorder="1" applyAlignment="1">
      <alignment horizontal="center"/>
    </xf>
    <xf numFmtId="3" fontId="18" fillId="0" borderId="28" xfId="0" applyNumberFormat="1" applyFont="1" applyBorder="1" applyAlignment="1">
      <alignment horizontal="center"/>
    </xf>
    <xf numFmtId="0" fontId="19" fillId="0" borderId="15" xfId="0" applyFont="1" applyBorder="1" applyAlignment="1">
      <alignment horizontal="center" vertical="center" wrapText="1"/>
    </xf>
    <xf numFmtId="0" fontId="2" fillId="0" borderId="15" xfId="0" applyFont="1" applyBorder="1"/>
    <xf numFmtId="0" fontId="20" fillId="0" borderId="15" xfId="0" applyFont="1" applyBorder="1" applyAlignment="1">
      <alignment horizontal="left" indent="1"/>
    </xf>
    <xf numFmtId="0" fontId="4" fillId="0" borderId="15" xfId="0" applyFont="1" applyBorder="1" applyAlignment="1">
      <alignment horizontal="left" vertical="center" wrapText="1"/>
    </xf>
    <xf numFmtId="0" fontId="21" fillId="0" borderId="15" xfId="0" applyFont="1" applyBorder="1" applyAlignment="1">
      <alignment horizontal="left"/>
    </xf>
    <xf numFmtId="0" fontId="20" fillId="0" borderId="29" xfId="0" applyFont="1" applyBorder="1"/>
    <xf numFmtId="0" fontId="20" fillId="0" borderId="30" xfId="0" applyFont="1" applyBorder="1" applyAlignment="1">
      <alignment horizontal="left" vertical="center" wrapText="1" indent="1"/>
    </xf>
    <xf numFmtId="0" fontId="22" fillId="0" borderId="33" xfId="0" applyFont="1" applyBorder="1" applyAlignment="1">
      <alignment horizontal="center" vertical="center"/>
    </xf>
    <xf numFmtId="0" fontId="22" fillId="0" borderId="34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/>
    </xf>
    <xf numFmtId="0" fontId="0" fillId="0" borderId="43" xfId="0" applyFont="1" applyBorder="1" applyAlignment="1">
      <alignment horizontal="left" vertical="center" wrapText="1"/>
    </xf>
    <xf numFmtId="0" fontId="0" fillId="0" borderId="50" xfId="0" applyBorder="1" applyAlignment="1">
      <alignment horizontal="left" vertical="center" wrapText="1"/>
    </xf>
    <xf numFmtId="0" fontId="0" fillId="0" borderId="47" xfId="0" applyBorder="1" applyAlignment="1">
      <alignment horizontal="left" vertical="center" wrapText="1"/>
    </xf>
    <xf numFmtId="0" fontId="0" fillId="0" borderId="53" xfId="0" applyBorder="1" applyAlignment="1">
      <alignment horizontal="left" vertical="center"/>
    </xf>
    <xf numFmtId="0" fontId="0" fillId="0" borderId="57" xfId="0" applyBorder="1" applyAlignment="1">
      <alignment horizontal="left" vertical="center"/>
    </xf>
    <xf numFmtId="0" fontId="22" fillId="0" borderId="30" xfId="0" applyFont="1" applyBorder="1" applyAlignment="1">
      <alignment horizontal="left" vertical="center" wrapText="1"/>
    </xf>
    <xf numFmtId="0" fontId="18" fillId="0" borderId="18" xfId="0" applyFont="1" applyBorder="1" applyAlignment="1">
      <alignment vertical="center" wrapText="1"/>
    </xf>
    <xf numFmtId="0" fontId="20" fillId="0" borderId="60" xfId="0" applyFont="1" applyBorder="1" applyAlignment="1">
      <alignment vertical="center" wrapText="1"/>
    </xf>
    <xf numFmtId="0" fontId="20" fillId="0" borderId="59" xfId="0" applyFont="1" applyBorder="1" applyAlignment="1">
      <alignment horizontal="left" vertical="center" wrapText="1"/>
    </xf>
  </cellXfs>
  <cellStyles count="5">
    <cellStyle name="Encabezado 1" xfId="2" xr:uid="{00000000-0005-0000-0000-000006000000}"/>
    <cellStyle name="Moneda" xfId="1" builtinId="4"/>
    <cellStyle name="Moneda_AUTORIZACION Y NOTA DE PEDIDO" xfId="3" xr:uid="{00000000-0005-0000-0000-000007000000}"/>
    <cellStyle name="Neutral 1" xfId="4" xr:uid="{00000000-0005-0000-0000-000008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lias/AppData/Local/Temp/$frd_/F9RFFF9.tmp/CARLOS/Desktop/APUNTES%20LEGALES%20SPP/PEDIDOS%20SECRETARIA%20DE%20COMPRA/NOTA%20DE%20PEDIDO%20Y%20AUTORIZACION%20PARA%20GASTAR%20FRUTA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oncuros%20y%20Compras%20Directas\CONCURSOS\CP&#168;COMPRAR\ALIMENTOS\Pedido%20Nota%20de%20Pedido%20y%20APG%20Aliment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>
        <row r="4">
          <cell r="C4" t="str">
            <v>90 - MINISTERIO DE SEGURIDAD</v>
          </cell>
        </row>
        <row r="5">
          <cell r="C5" t="str">
            <v>8 - DIRECCION GENERAL SERVICIO PENITENCIARIO PROVINCIAL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/>
      <sheetData sheetId="1">
        <row r="3">
          <cell r="D3" t="str">
            <v>90 - MINISTERIO DE SEGURIDAD</v>
          </cell>
        </row>
        <row r="4">
          <cell r="D4" t="str">
            <v>8 - DIRECCION GENERAL SERVICIO PENITENCIARIO PROVINCIAL</v>
          </cell>
        </row>
        <row r="5">
          <cell r="D5" t="str">
            <v>Servicio Penitenciario Provincial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zoomScaleNormal="100" workbookViewId="0">
      <selection activeCell="J28" sqref="J28"/>
    </sheetView>
  </sheetViews>
  <sheetFormatPr baseColWidth="10" defaultColWidth="9.140625" defaultRowHeight="12.75" x14ac:dyDescent="0.2"/>
  <cols>
    <col min="1" max="2" width="10.7109375" customWidth="1"/>
    <col min="3" max="3" width="11.42578125" customWidth="1"/>
    <col min="4" max="4" width="10.7109375" customWidth="1"/>
    <col min="5" max="5" width="36.5703125" customWidth="1"/>
    <col min="6" max="1025" width="10.7109375" customWidth="1"/>
  </cols>
  <sheetData>
    <row r="1" spans="1:9" x14ac:dyDescent="0.2">
      <c r="A1" s="15"/>
      <c r="B1" s="15"/>
      <c r="C1" s="15"/>
      <c r="D1" s="15"/>
      <c r="E1" s="15"/>
      <c r="F1" s="15"/>
      <c r="G1" s="15"/>
      <c r="H1" s="15"/>
      <c r="I1" s="15"/>
    </row>
    <row r="2" spans="1:9" ht="27" x14ac:dyDescent="0.35">
      <c r="A2" s="15"/>
      <c r="B2" s="14" t="s">
        <v>0</v>
      </c>
      <c r="C2" s="14"/>
      <c r="D2" s="14"/>
      <c r="E2" s="14"/>
      <c r="F2" s="14"/>
      <c r="G2" s="14"/>
      <c r="H2" s="14"/>
      <c r="I2" s="15"/>
    </row>
    <row r="3" spans="1:9" x14ac:dyDescent="0.2">
      <c r="A3" s="15"/>
      <c r="B3" s="15"/>
      <c r="C3" s="15"/>
      <c r="D3" s="15"/>
      <c r="E3" s="15"/>
      <c r="F3" s="15"/>
      <c r="G3" s="15"/>
      <c r="H3" s="15"/>
      <c r="I3" s="15"/>
    </row>
    <row r="4" spans="1:9" ht="15.75" customHeight="1" x14ac:dyDescent="0.25">
      <c r="A4" s="13" t="s">
        <v>1</v>
      </c>
      <c r="B4" s="13"/>
      <c r="C4" s="12" t="s">
        <v>2</v>
      </c>
      <c r="D4" s="12"/>
      <c r="E4" s="12"/>
      <c r="F4" s="16"/>
      <c r="G4" s="17"/>
      <c r="H4" s="16"/>
      <c r="I4" s="15"/>
    </row>
    <row r="5" spans="1:9" ht="15.75" customHeight="1" x14ac:dyDescent="0.25">
      <c r="A5" s="13" t="s">
        <v>3</v>
      </c>
      <c r="B5" s="13"/>
      <c r="C5" s="12" t="s">
        <v>4</v>
      </c>
      <c r="D5" s="12"/>
      <c r="E5" s="12"/>
      <c r="F5" s="16"/>
      <c r="G5" s="17"/>
      <c r="H5" s="16"/>
      <c r="I5" s="15"/>
    </row>
    <row r="6" spans="1:9" ht="15.75" customHeight="1" x14ac:dyDescent="0.25">
      <c r="A6" s="13" t="s">
        <v>5</v>
      </c>
      <c r="B6" s="13"/>
      <c r="C6" s="18">
        <v>2021</v>
      </c>
      <c r="D6" s="19"/>
      <c r="E6" s="19"/>
      <c r="F6" s="16"/>
      <c r="G6" s="17"/>
      <c r="H6" s="16"/>
      <c r="I6" s="15"/>
    </row>
    <row r="7" spans="1:9" ht="15.75" customHeight="1" x14ac:dyDescent="0.25">
      <c r="A7" s="13" t="s">
        <v>6</v>
      </c>
      <c r="B7" s="13"/>
      <c r="C7" s="18">
        <v>1</v>
      </c>
      <c r="D7" s="19"/>
      <c r="E7" s="19"/>
      <c r="F7" s="16"/>
      <c r="G7" s="17"/>
      <c r="H7" s="16"/>
      <c r="I7" s="15"/>
    </row>
    <row r="8" spans="1:9" x14ac:dyDescent="0.2">
      <c r="A8" s="15"/>
      <c r="B8" s="16"/>
      <c r="C8" s="17"/>
      <c r="D8" s="16"/>
      <c r="E8" s="16"/>
      <c r="F8" s="16"/>
      <c r="G8" s="17"/>
      <c r="H8" s="16"/>
      <c r="I8" s="15"/>
    </row>
    <row r="9" spans="1:9" ht="38.25" x14ac:dyDescent="0.2">
      <c r="A9" s="20" t="s">
        <v>7</v>
      </c>
      <c r="B9" s="20" t="s">
        <v>8</v>
      </c>
      <c r="C9" s="20" t="s">
        <v>9</v>
      </c>
      <c r="D9" s="20" t="s">
        <v>10</v>
      </c>
      <c r="E9" s="20" t="s">
        <v>11</v>
      </c>
      <c r="F9" s="20" t="s">
        <v>12</v>
      </c>
      <c r="G9" s="20" t="s">
        <v>13</v>
      </c>
      <c r="H9" s="20" t="s">
        <v>14</v>
      </c>
      <c r="I9" s="20" t="s">
        <v>15</v>
      </c>
    </row>
    <row r="10" spans="1:9" ht="74.25" customHeight="1" x14ac:dyDescent="0.2">
      <c r="A10" s="21">
        <v>1</v>
      </c>
      <c r="B10" s="22" t="s">
        <v>16</v>
      </c>
      <c r="C10" s="23" t="s">
        <v>17</v>
      </c>
      <c r="D10" s="22" t="s">
        <v>18</v>
      </c>
      <c r="E10" s="23" t="s">
        <v>19</v>
      </c>
      <c r="F10" s="22" t="s">
        <v>20</v>
      </c>
      <c r="G10" s="22">
        <v>60</v>
      </c>
      <c r="H10" s="24">
        <v>5600</v>
      </c>
      <c r="I10" s="25">
        <f>+G10*H10</f>
        <v>336000</v>
      </c>
    </row>
    <row r="11" spans="1:9" ht="44.25" customHeight="1" x14ac:dyDescent="0.2">
      <c r="A11" s="21"/>
      <c r="B11" s="26"/>
      <c r="C11" s="27"/>
      <c r="D11" s="26"/>
      <c r="E11" s="27"/>
      <c r="F11" s="26"/>
      <c r="G11" s="26"/>
      <c r="H11" s="24"/>
      <c r="I11" s="25"/>
    </row>
    <row r="12" spans="1:9" x14ac:dyDescent="0.2">
      <c r="A12" s="21"/>
      <c r="B12" s="26"/>
      <c r="C12" s="27"/>
      <c r="D12" s="26"/>
      <c r="E12" s="27"/>
      <c r="F12" s="26"/>
      <c r="G12" s="26"/>
      <c r="H12" s="24"/>
      <c r="I12" s="25">
        <f>SUM(I10:I11)</f>
        <v>336000</v>
      </c>
    </row>
    <row r="13" spans="1:9" x14ac:dyDescent="0.2">
      <c r="A13" s="15"/>
      <c r="B13" s="15"/>
      <c r="C13" s="15"/>
      <c r="D13" s="15"/>
      <c r="E13" s="15"/>
      <c r="F13" s="15"/>
      <c r="G13" s="15"/>
      <c r="H13" s="15"/>
      <c r="I13" s="15"/>
    </row>
    <row r="14" spans="1:9" x14ac:dyDescent="0.2">
      <c r="A14" s="15"/>
      <c r="B14" s="15"/>
      <c r="C14" s="15"/>
      <c r="D14" s="15"/>
      <c r="E14" s="15"/>
      <c r="F14" s="15"/>
      <c r="G14" s="15"/>
      <c r="H14" s="15"/>
      <c r="I14" s="15"/>
    </row>
    <row r="15" spans="1:9" x14ac:dyDescent="0.2">
      <c r="A15" s="15"/>
      <c r="B15" s="28" t="s">
        <v>21</v>
      </c>
      <c r="C15" s="29"/>
      <c r="D15" s="29"/>
      <c r="E15" s="30"/>
      <c r="F15" s="15"/>
      <c r="G15" s="15"/>
      <c r="H15" s="15"/>
      <c r="I15" s="15"/>
    </row>
    <row r="16" spans="1:9" x14ac:dyDescent="0.2">
      <c r="A16" s="15"/>
      <c r="B16" s="31"/>
      <c r="C16" s="32"/>
      <c r="D16" s="32"/>
      <c r="E16" s="33"/>
      <c r="F16" s="15"/>
      <c r="G16" s="15"/>
      <c r="H16" s="15"/>
      <c r="I16" s="15"/>
    </row>
    <row r="17" spans="1:9" x14ac:dyDescent="0.2">
      <c r="A17" s="15"/>
      <c r="B17" s="34" t="s">
        <v>22</v>
      </c>
      <c r="C17" s="32"/>
      <c r="D17" s="32"/>
      <c r="E17" s="33"/>
      <c r="F17" s="15"/>
      <c r="G17" s="15"/>
      <c r="H17" s="15"/>
      <c r="I17" s="15"/>
    </row>
    <row r="18" spans="1:9" x14ac:dyDescent="0.2">
      <c r="A18" s="15"/>
      <c r="B18" s="34"/>
      <c r="C18" s="11"/>
      <c r="D18" s="11"/>
      <c r="E18" s="11"/>
      <c r="F18" s="15"/>
      <c r="G18" s="15"/>
      <c r="H18" s="15"/>
      <c r="I18" s="15"/>
    </row>
    <row r="19" spans="1:9" x14ac:dyDescent="0.2">
      <c r="A19" s="15"/>
      <c r="B19" s="34" t="s">
        <v>23</v>
      </c>
      <c r="C19" s="32"/>
      <c r="D19" s="32"/>
      <c r="E19" s="33"/>
      <c r="F19" s="15"/>
      <c r="G19" s="15"/>
      <c r="H19" s="15"/>
      <c r="I19" s="15"/>
    </row>
    <row r="20" spans="1:9" x14ac:dyDescent="0.2">
      <c r="A20" s="15"/>
      <c r="B20" s="35"/>
      <c r="C20" s="10" t="s">
        <v>24</v>
      </c>
      <c r="D20" s="10"/>
      <c r="E20" s="10"/>
      <c r="F20" s="15"/>
      <c r="G20" s="15"/>
      <c r="H20" s="15"/>
      <c r="I20" s="15"/>
    </row>
    <row r="21" spans="1:9" x14ac:dyDescent="0.2">
      <c r="A21" s="15"/>
      <c r="B21" s="35"/>
      <c r="C21" s="10" t="s">
        <v>25</v>
      </c>
      <c r="D21" s="10"/>
      <c r="E21" s="10"/>
      <c r="F21" s="15"/>
      <c r="G21" s="15"/>
      <c r="H21" s="15"/>
      <c r="I21" s="15"/>
    </row>
    <row r="22" spans="1:9" x14ac:dyDescent="0.2">
      <c r="A22" s="15"/>
      <c r="B22" s="34" t="s">
        <v>26</v>
      </c>
      <c r="C22" s="32"/>
      <c r="D22" s="32"/>
      <c r="E22" s="33"/>
      <c r="F22" s="15"/>
      <c r="G22" s="15"/>
      <c r="H22" s="15"/>
      <c r="I22" s="15"/>
    </row>
    <row r="23" spans="1:9" ht="12.75" customHeight="1" x14ac:dyDescent="0.2">
      <c r="A23" s="15"/>
      <c r="B23" s="35"/>
      <c r="C23" s="9" t="s">
        <v>27</v>
      </c>
      <c r="D23" s="9"/>
      <c r="E23" s="9"/>
      <c r="F23" s="15"/>
      <c r="G23" s="15"/>
      <c r="H23" s="15"/>
      <c r="I23" s="15"/>
    </row>
    <row r="24" spans="1:9" x14ac:dyDescent="0.2">
      <c r="A24" s="15"/>
      <c r="B24" s="34" t="s">
        <v>28</v>
      </c>
      <c r="C24" s="36"/>
      <c r="D24" s="36"/>
      <c r="E24" s="37"/>
      <c r="F24" s="15"/>
      <c r="G24" s="15"/>
      <c r="H24" s="15"/>
      <c r="I24" s="15"/>
    </row>
    <row r="25" spans="1:9" ht="12.75" customHeight="1" x14ac:dyDescent="0.2">
      <c r="A25" s="15"/>
      <c r="B25" s="35"/>
      <c r="C25" s="9" t="s">
        <v>29</v>
      </c>
      <c r="D25" s="9"/>
      <c r="E25" s="9"/>
      <c r="F25" s="15"/>
      <c r="G25" s="15"/>
      <c r="H25" s="15"/>
      <c r="I25" s="15"/>
    </row>
    <row r="26" spans="1:9" x14ac:dyDescent="0.2">
      <c r="A26" s="15"/>
      <c r="B26" s="34" t="s">
        <v>30</v>
      </c>
      <c r="C26" s="32"/>
      <c r="D26" s="32"/>
      <c r="E26" s="33"/>
      <c r="F26" s="15"/>
      <c r="G26" s="15"/>
      <c r="H26" s="15"/>
      <c r="I26" s="15"/>
    </row>
    <row r="27" spans="1:9" x14ac:dyDescent="0.2">
      <c r="A27" s="15"/>
      <c r="B27" s="34"/>
      <c r="C27" s="8"/>
      <c r="D27" s="8"/>
      <c r="E27" s="8"/>
      <c r="F27" s="15"/>
      <c r="G27" s="15"/>
      <c r="H27" s="15"/>
      <c r="I27" s="15"/>
    </row>
    <row r="28" spans="1:9" x14ac:dyDescent="0.2">
      <c r="A28" s="15"/>
      <c r="B28" s="38"/>
      <c r="C28" s="39"/>
      <c r="D28" s="39"/>
      <c r="E28" s="40"/>
      <c r="F28" s="15"/>
      <c r="G28" s="15"/>
      <c r="H28" s="15"/>
      <c r="I28" s="15"/>
    </row>
    <row r="29" spans="1:9" x14ac:dyDescent="0.2">
      <c r="A29" s="15"/>
      <c r="B29" s="15"/>
      <c r="C29" s="15"/>
      <c r="D29" s="15"/>
      <c r="E29" s="15"/>
      <c r="F29" s="15"/>
      <c r="G29" s="15"/>
      <c r="H29" s="15"/>
      <c r="I29" s="15"/>
    </row>
    <row r="30" spans="1:9" x14ac:dyDescent="0.2">
      <c r="A30" s="15"/>
      <c r="B30" s="28" t="s">
        <v>31</v>
      </c>
      <c r="C30" s="29"/>
      <c r="D30" s="29"/>
      <c r="E30" s="30"/>
      <c r="F30" s="15"/>
      <c r="G30" s="15"/>
      <c r="H30" s="15"/>
      <c r="I30" s="15"/>
    </row>
    <row r="31" spans="1:9" x14ac:dyDescent="0.2">
      <c r="A31" s="15"/>
      <c r="B31" s="31"/>
      <c r="C31" s="32"/>
      <c r="D31" s="32"/>
      <c r="E31" s="33"/>
      <c r="F31" s="15"/>
      <c r="G31" s="15"/>
      <c r="H31" s="15"/>
      <c r="I31" s="15"/>
    </row>
    <row r="32" spans="1:9" x14ac:dyDescent="0.2">
      <c r="A32" s="15"/>
      <c r="B32" s="34" t="s">
        <v>22</v>
      </c>
      <c r="C32" s="32"/>
      <c r="D32" s="32"/>
      <c r="E32" s="33"/>
      <c r="F32" s="15"/>
      <c r="G32" s="15"/>
      <c r="H32" s="15"/>
      <c r="I32" s="15"/>
    </row>
    <row r="33" spans="1:9" x14ac:dyDescent="0.2">
      <c r="A33" s="15"/>
      <c r="B33" s="34"/>
      <c r="C33" s="11"/>
      <c r="D33" s="11"/>
      <c r="E33" s="11"/>
      <c r="F33" s="15"/>
      <c r="G33" s="15"/>
      <c r="H33" s="15"/>
      <c r="I33" s="15"/>
    </row>
    <row r="34" spans="1:9" x14ac:dyDescent="0.2">
      <c r="A34" s="15"/>
      <c r="B34" s="34" t="s">
        <v>23</v>
      </c>
      <c r="C34" s="32"/>
      <c r="D34" s="32"/>
      <c r="E34" s="33"/>
      <c r="F34" s="15"/>
      <c r="G34" s="15"/>
      <c r="H34" s="15"/>
      <c r="I34" s="15"/>
    </row>
    <row r="35" spans="1:9" x14ac:dyDescent="0.2">
      <c r="A35" s="15"/>
      <c r="B35" s="35"/>
      <c r="C35" s="8"/>
      <c r="D35" s="8"/>
      <c r="E35" s="8"/>
      <c r="F35" s="15"/>
      <c r="G35" s="15"/>
      <c r="H35" s="15"/>
      <c r="I35" s="15"/>
    </row>
    <row r="36" spans="1:9" x14ac:dyDescent="0.2">
      <c r="A36" s="15"/>
      <c r="B36" s="35"/>
      <c r="C36" s="8"/>
      <c r="D36" s="8"/>
      <c r="E36" s="8"/>
      <c r="F36" s="15"/>
      <c r="G36" s="15"/>
      <c r="H36" s="15"/>
      <c r="I36" s="15"/>
    </row>
    <row r="37" spans="1:9" x14ac:dyDescent="0.2">
      <c r="A37" s="15"/>
      <c r="B37" s="34" t="s">
        <v>26</v>
      </c>
      <c r="C37" s="32"/>
      <c r="D37" s="32"/>
      <c r="E37" s="33"/>
      <c r="F37" s="15"/>
      <c r="G37" s="15"/>
      <c r="H37" s="15"/>
      <c r="I37" s="15"/>
    </row>
    <row r="38" spans="1:9" x14ac:dyDescent="0.2">
      <c r="A38" s="15"/>
      <c r="B38" s="35"/>
      <c r="C38" s="11"/>
      <c r="D38" s="11"/>
      <c r="E38" s="11"/>
      <c r="F38" s="15"/>
      <c r="G38" s="15"/>
      <c r="H38" s="15"/>
      <c r="I38" s="15"/>
    </row>
    <row r="39" spans="1:9" x14ac:dyDescent="0.2">
      <c r="A39" s="15"/>
      <c r="B39" s="34" t="s">
        <v>28</v>
      </c>
      <c r="C39" s="36"/>
      <c r="D39" s="36"/>
      <c r="E39" s="37"/>
      <c r="F39" s="15"/>
      <c r="G39" s="15"/>
      <c r="H39" s="15"/>
      <c r="I39" s="15"/>
    </row>
    <row r="40" spans="1:9" x14ac:dyDescent="0.2">
      <c r="A40" s="15"/>
      <c r="B40" s="35"/>
      <c r="C40" s="11"/>
      <c r="D40" s="11"/>
      <c r="E40" s="11"/>
      <c r="F40" s="15"/>
      <c r="G40" s="15"/>
      <c r="H40" s="15"/>
      <c r="I40" s="15"/>
    </row>
    <row r="41" spans="1:9" x14ac:dyDescent="0.2">
      <c r="A41" s="15"/>
      <c r="B41" s="34" t="s">
        <v>30</v>
      </c>
      <c r="C41" s="32"/>
      <c r="D41" s="32"/>
      <c r="E41" s="33"/>
      <c r="F41" s="15"/>
      <c r="G41" s="15"/>
      <c r="H41" s="15"/>
      <c r="I41" s="15"/>
    </row>
    <row r="42" spans="1:9" x14ac:dyDescent="0.2">
      <c r="A42" s="15"/>
      <c r="B42" s="34"/>
      <c r="C42" s="8"/>
      <c r="D42" s="8"/>
      <c r="E42" s="8"/>
      <c r="F42" s="15"/>
      <c r="G42" s="15"/>
      <c r="H42" s="15"/>
      <c r="I42" s="15"/>
    </row>
    <row r="43" spans="1:9" x14ac:dyDescent="0.2">
      <c r="A43" s="15"/>
      <c r="B43" s="38"/>
      <c r="C43" s="39"/>
      <c r="D43" s="39"/>
      <c r="E43" s="40"/>
      <c r="F43" s="15"/>
      <c r="G43" s="15"/>
      <c r="H43" s="15"/>
      <c r="I43" s="15"/>
    </row>
  </sheetData>
  <mergeCells count="19">
    <mergeCell ref="C36:E36"/>
    <mergeCell ref="C38:E38"/>
    <mergeCell ref="C40:E40"/>
    <mergeCell ref="C42:E42"/>
    <mergeCell ref="C23:E23"/>
    <mergeCell ref="C25:E25"/>
    <mergeCell ref="C27:E27"/>
    <mergeCell ref="C33:E33"/>
    <mergeCell ref="C35:E35"/>
    <mergeCell ref="A6:B6"/>
    <mergeCell ref="A7:B7"/>
    <mergeCell ref="C18:E18"/>
    <mergeCell ref="C20:E20"/>
    <mergeCell ref="C21:E21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K17"/>
  <sheetViews>
    <sheetView tabSelected="1" zoomScaleNormal="100" workbookViewId="0">
      <selection activeCell="D7" sqref="D7:K7"/>
    </sheetView>
  </sheetViews>
  <sheetFormatPr baseColWidth="10" defaultColWidth="9.140625" defaultRowHeight="12.75" x14ac:dyDescent="0.2"/>
  <cols>
    <col min="1" max="1" width="5.5703125" style="41" customWidth="1"/>
    <col min="2" max="2" width="15.140625" style="41" customWidth="1"/>
    <col min="3" max="3" width="14.140625" style="41" customWidth="1"/>
    <col min="4" max="4" width="26" style="41" customWidth="1"/>
    <col min="5" max="5" width="8" style="41" customWidth="1"/>
    <col min="6" max="6" width="7.85546875" style="41" customWidth="1"/>
    <col min="7" max="7" width="39.42578125" style="41" customWidth="1"/>
    <col min="8" max="8" width="9.28515625" style="41" customWidth="1"/>
    <col min="9" max="9" width="10.140625" style="41" customWidth="1"/>
    <col min="10" max="10" width="11.28515625" style="41" customWidth="1"/>
    <col min="11" max="11" width="15.5703125" style="41" customWidth="1"/>
    <col min="12" max="14" width="5.85546875" style="41" customWidth="1"/>
    <col min="15" max="15" width="12.5703125" style="41" customWidth="1"/>
    <col min="16" max="1025" width="9.140625" style="41" customWidth="1"/>
  </cols>
  <sheetData>
    <row r="1" spans="1:11" ht="15.75" x14ac:dyDescent="0.2">
      <c r="A1" s="7" t="s">
        <v>32</v>
      </c>
      <c r="B1" s="7"/>
      <c r="C1" s="7"/>
      <c r="D1" s="7"/>
      <c r="E1" s="7"/>
      <c r="F1" s="7"/>
      <c r="G1" s="7"/>
      <c r="H1" s="7"/>
      <c r="I1" s="7"/>
      <c r="J1" s="42" t="s">
        <v>33</v>
      </c>
      <c r="K1" s="43" t="s">
        <v>34</v>
      </c>
    </row>
    <row r="2" spans="1:11" ht="15.75" x14ac:dyDescent="0.2">
      <c r="A2" s="44"/>
      <c r="B2" s="44"/>
      <c r="C2" s="44"/>
      <c r="D2" s="45"/>
      <c r="E2" s="45"/>
      <c r="F2" s="45"/>
      <c r="G2" s="45"/>
      <c r="H2" s="45"/>
      <c r="I2" s="45"/>
      <c r="J2" s="45"/>
      <c r="K2" s="45"/>
    </row>
    <row r="3" spans="1:11" ht="16.5" customHeight="1" x14ac:dyDescent="0.2">
      <c r="A3" s="6" t="s">
        <v>35</v>
      </c>
      <c r="B3" s="6"/>
      <c r="C3" s="6"/>
      <c r="D3" s="5" t="str">
        <f>'[1]Necesidades Trimestrales'!C4</f>
        <v>90 - MINISTERIO DE SEGURIDAD</v>
      </c>
      <c r="E3" s="5"/>
      <c r="F3" s="5"/>
      <c r="G3" s="5"/>
      <c r="H3" s="5"/>
      <c r="I3" s="5"/>
      <c r="J3" s="5"/>
      <c r="K3" s="5"/>
    </row>
    <row r="4" spans="1:11" ht="16.5" customHeight="1" x14ac:dyDescent="0.2">
      <c r="A4" s="4" t="s">
        <v>36</v>
      </c>
      <c r="B4" s="4"/>
      <c r="C4" s="4"/>
      <c r="D4" s="5" t="str">
        <f>'[1]Necesidades Trimestrales'!C5</f>
        <v>8 - DIRECCION GENERAL SERVICIO PENITENCIARIO PROVINCIAL</v>
      </c>
      <c r="E4" s="5"/>
      <c r="F4" s="5"/>
      <c r="G4" s="5"/>
      <c r="H4" s="5"/>
      <c r="I4" s="5"/>
      <c r="J4" s="5"/>
      <c r="K4" s="5"/>
    </row>
    <row r="5" spans="1:11" ht="16.5" customHeight="1" x14ac:dyDescent="0.2">
      <c r="A5" s="4" t="s">
        <v>37</v>
      </c>
      <c r="B5" s="4"/>
      <c r="C5" s="4"/>
      <c r="D5" s="5" t="s">
        <v>38</v>
      </c>
      <c r="E5" s="5"/>
      <c r="F5" s="5"/>
      <c r="G5" s="5"/>
      <c r="H5" s="5"/>
      <c r="I5" s="5"/>
      <c r="J5" s="5"/>
      <c r="K5" s="5"/>
    </row>
    <row r="6" spans="1:11" ht="16.5" customHeight="1" x14ac:dyDescent="0.2">
      <c r="A6" s="6" t="s">
        <v>39</v>
      </c>
      <c r="B6" s="6"/>
      <c r="C6" s="6"/>
      <c r="D6" s="5" t="s">
        <v>40</v>
      </c>
      <c r="E6" s="5"/>
      <c r="F6" s="5"/>
      <c r="G6" s="5"/>
      <c r="H6" s="5"/>
      <c r="I6" s="5"/>
      <c r="J6" s="5"/>
      <c r="K6" s="5"/>
    </row>
    <row r="7" spans="1:11" ht="16.5" customHeight="1" x14ac:dyDescent="0.2">
      <c r="A7" s="4" t="s">
        <v>41</v>
      </c>
      <c r="B7" s="4"/>
      <c r="C7" s="4"/>
      <c r="D7" s="5" t="s">
        <v>42</v>
      </c>
      <c r="E7" s="5"/>
      <c r="F7" s="5"/>
      <c r="G7" s="5"/>
      <c r="H7" s="5"/>
      <c r="I7" s="5"/>
      <c r="J7" s="5"/>
      <c r="K7" s="5"/>
    </row>
    <row r="8" spans="1:11" ht="16.5" customHeight="1" x14ac:dyDescent="0.2">
      <c r="A8" s="3" t="s">
        <v>43</v>
      </c>
      <c r="B8" s="3"/>
      <c r="C8" s="3"/>
      <c r="D8" s="2" t="s">
        <v>44</v>
      </c>
      <c r="E8" s="2"/>
      <c r="F8" s="2"/>
      <c r="G8" s="2"/>
      <c r="H8" s="2"/>
      <c r="I8" s="2"/>
      <c r="J8" s="2"/>
      <c r="K8" s="2"/>
    </row>
    <row r="9" spans="1:11" ht="15.75" x14ac:dyDescent="0.2">
      <c r="A9" s="46"/>
      <c r="B9" s="46"/>
      <c r="C9" s="46"/>
      <c r="D9" s="47"/>
      <c r="E9" s="47"/>
      <c r="F9" s="47"/>
      <c r="G9" s="47"/>
      <c r="H9" s="47"/>
      <c r="I9" s="47"/>
      <c r="J9" s="47"/>
      <c r="K9" s="47"/>
    </row>
    <row r="10" spans="1:11" ht="18.75" customHeight="1" x14ac:dyDescent="0.2">
      <c r="A10" s="1" t="s">
        <v>45</v>
      </c>
      <c r="B10" s="101" t="s">
        <v>46</v>
      </c>
      <c r="C10" s="101" t="s">
        <v>47</v>
      </c>
      <c r="D10" s="101"/>
      <c r="E10" s="101"/>
      <c r="F10" s="101"/>
      <c r="G10" s="101"/>
      <c r="H10" s="101" t="s">
        <v>48</v>
      </c>
      <c r="I10" s="101" t="s">
        <v>49</v>
      </c>
      <c r="J10" s="101" t="s">
        <v>50</v>
      </c>
      <c r="K10" s="102" t="s">
        <v>51</v>
      </c>
    </row>
    <row r="11" spans="1:11" ht="24" customHeight="1" x14ac:dyDescent="0.2">
      <c r="A11" s="1"/>
      <c r="B11" s="101"/>
      <c r="C11" s="101"/>
      <c r="D11" s="101"/>
      <c r="E11" s="101"/>
      <c r="F11" s="101"/>
      <c r="G11" s="101"/>
      <c r="H11" s="101"/>
      <c r="I11" s="101"/>
      <c r="J11" s="101"/>
      <c r="K11" s="102"/>
    </row>
    <row r="12" spans="1:11" ht="33" customHeight="1" x14ac:dyDescent="0.2">
      <c r="A12" s="48">
        <v>1</v>
      </c>
      <c r="B12" s="22" t="s">
        <v>16</v>
      </c>
      <c r="C12" s="103" t="s">
        <v>19</v>
      </c>
      <c r="D12" s="103"/>
      <c r="E12" s="103"/>
      <c r="F12" s="103"/>
      <c r="G12" s="103"/>
      <c r="H12" s="49" t="s">
        <v>52</v>
      </c>
      <c r="I12" s="50" t="s">
        <v>53</v>
      </c>
      <c r="J12" s="51">
        <v>5600</v>
      </c>
      <c r="K12" s="52">
        <v>60</v>
      </c>
    </row>
    <row r="13" spans="1:11" ht="39.75" customHeight="1" x14ac:dyDescent="0.2">
      <c r="A13" s="53"/>
      <c r="B13" s="54"/>
      <c r="C13" s="103"/>
      <c r="D13" s="103"/>
      <c r="E13" s="103"/>
      <c r="F13" s="103"/>
      <c r="G13" s="103"/>
      <c r="H13" s="49"/>
      <c r="I13" s="55"/>
      <c r="J13" s="51"/>
      <c r="K13" s="52"/>
    </row>
    <row r="14" spans="1:11" ht="13.5" customHeight="1" x14ac:dyDescent="0.2">
      <c r="A14" s="48"/>
      <c r="B14" s="54"/>
      <c r="C14" s="104"/>
      <c r="D14" s="104"/>
      <c r="E14" s="104"/>
      <c r="F14" s="104"/>
      <c r="G14" s="104"/>
      <c r="H14" s="49"/>
      <c r="I14" s="56"/>
      <c r="J14" s="51"/>
      <c r="K14" s="52"/>
    </row>
    <row r="15" spans="1:11" ht="15" x14ac:dyDescent="0.2">
      <c r="A15" s="53"/>
      <c r="B15" s="48"/>
      <c r="C15" s="57"/>
      <c r="D15" s="58"/>
      <c r="E15" s="58"/>
      <c r="F15" s="58"/>
      <c r="G15" s="59"/>
      <c r="H15" s="49"/>
      <c r="I15" s="56"/>
      <c r="J15" s="51"/>
      <c r="K15" s="52"/>
    </row>
    <row r="16" spans="1:11" x14ac:dyDescent="0.2">
      <c r="A16" s="48"/>
      <c r="B16" s="48"/>
      <c r="C16" s="105"/>
      <c r="D16" s="105"/>
      <c r="E16" s="105"/>
      <c r="F16" s="105"/>
      <c r="G16" s="105"/>
      <c r="H16" s="49"/>
      <c r="I16" s="56"/>
      <c r="J16" s="51"/>
      <c r="K16" s="52"/>
    </row>
    <row r="17" spans="1:11" ht="16.5" customHeight="1" x14ac:dyDescent="0.2">
      <c r="A17" s="106" t="s">
        <v>54</v>
      </c>
      <c r="B17" s="106"/>
      <c r="C17" s="106"/>
      <c r="D17" s="106"/>
      <c r="E17" s="106"/>
      <c r="F17" s="106"/>
      <c r="G17" s="106"/>
      <c r="H17" s="106"/>
      <c r="I17" s="106"/>
      <c r="J17" s="107">
        <f>SUMPRODUCT(J12:J16,K12:K16)</f>
        <v>336000</v>
      </c>
      <c r="K17" s="107"/>
    </row>
  </sheetData>
  <mergeCells count="26">
    <mergeCell ref="J17:K17"/>
    <mergeCell ref="C12:G12"/>
    <mergeCell ref="C13:G13"/>
    <mergeCell ref="C14:G14"/>
    <mergeCell ref="C16:G16"/>
    <mergeCell ref="A17:I17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5:C5"/>
    <mergeCell ref="D5:K5"/>
    <mergeCell ref="A6:C6"/>
    <mergeCell ref="D6:K6"/>
    <mergeCell ref="A7:C7"/>
    <mergeCell ref="D7:K7"/>
    <mergeCell ref="A1:I1"/>
    <mergeCell ref="A3:C3"/>
    <mergeCell ref="D3:K3"/>
    <mergeCell ref="A4:C4"/>
    <mergeCell ref="D4:K4"/>
  </mergeCells>
  <pageMargins left="0.7" right="0.7" top="0.75" bottom="0.75" header="0.51180555555555496" footer="0.51180555555555496"/>
  <pageSetup paperSize="5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7"/>
  <sheetViews>
    <sheetView zoomScaleNormal="100" workbookViewId="0">
      <selection activeCell="S3" sqref="S3"/>
    </sheetView>
  </sheetViews>
  <sheetFormatPr baseColWidth="10" defaultColWidth="9.140625" defaultRowHeight="12.75" x14ac:dyDescent="0.2"/>
  <cols>
    <col min="1" max="1" width="4.42578125" customWidth="1"/>
    <col min="2" max="2" width="3.28515625" customWidth="1"/>
    <col min="3" max="3" width="3.85546875" customWidth="1"/>
    <col min="4" max="4" width="3.7109375" customWidth="1"/>
    <col min="5" max="5" width="3.85546875" customWidth="1"/>
    <col min="6" max="6" width="5" customWidth="1"/>
    <col min="7" max="7" width="4.42578125" style="60" customWidth="1"/>
    <col min="8" max="14" width="4.42578125" customWidth="1"/>
    <col min="15" max="15" width="13.28515625" customWidth="1"/>
    <col min="16" max="16" width="3.42578125" customWidth="1"/>
    <col min="17" max="17" width="14.85546875" customWidth="1"/>
    <col min="18" max="1025" width="11" customWidth="1"/>
  </cols>
  <sheetData>
    <row r="1" spans="1:17" ht="15.75" customHeight="1" x14ac:dyDescent="0.25">
      <c r="A1" s="108" t="s">
        <v>5</v>
      </c>
      <c r="B1" s="108"/>
      <c r="C1" s="108"/>
      <c r="D1" s="109">
        <v>2021</v>
      </c>
      <c r="E1" s="109"/>
      <c r="F1" s="61"/>
      <c r="G1" s="61"/>
      <c r="H1" s="62"/>
      <c r="I1" s="62"/>
      <c r="J1" s="62"/>
      <c r="K1" s="62"/>
      <c r="L1" s="62"/>
      <c r="M1" s="62"/>
      <c r="N1" s="62"/>
      <c r="P1" s="110" t="s">
        <v>55</v>
      </c>
      <c r="Q1" s="110"/>
    </row>
    <row r="2" spans="1:17" ht="15.75" customHeight="1" x14ac:dyDescent="0.2">
      <c r="H2" s="62"/>
      <c r="I2" s="62"/>
      <c r="J2" s="62"/>
      <c r="K2" s="62"/>
      <c r="L2" s="62"/>
      <c r="M2" s="62"/>
      <c r="N2" s="62"/>
      <c r="P2" s="110"/>
      <c r="Q2" s="110"/>
    </row>
    <row r="4" spans="1:17" s="63" customFormat="1" ht="14.25" x14ac:dyDescent="0.2">
      <c r="A4" s="111" t="s">
        <v>56</v>
      </c>
      <c r="B4" s="111"/>
      <c r="C4" s="111"/>
      <c r="D4" s="111"/>
      <c r="E4" s="111"/>
      <c r="F4" s="111"/>
      <c r="G4" s="112" t="str">
        <f>'[2] NotaPedido'!D3</f>
        <v>90 - MINISTERIO DE SEGURIDAD</v>
      </c>
      <c r="H4" s="112"/>
      <c r="I4" s="112"/>
      <c r="J4" s="112"/>
      <c r="K4" s="112"/>
      <c r="L4" s="112"/>
      <c r="M4" s="112"/>
      <c r="N4" s="112"/>
      <c r="O4" s="112"/>
      <c r="P4" s="112"/>
      <c r="Q4" s="112"/>
    </row>
    <row r="5" spans="1:17" s="63" customFormat="1" ht="15" customHeight="1" x14ac:dyDescent="0.2">
      <c r="A5" s="113" t="s">
        <v>36</v>
      </c>
      <c r="B5" s="113"/>
      <c r="C5" s="113"/>
      <c r="D5" s="113"/>
      <c r="E5" s="113"/>
      <c r="F5" s="113"/>
      <c r="G5" s="112" t="str">
        <f>'[2] NotaPedido'!D4</f>
        <v>8 - DIRECCION GENERAL SERVICIO PENITENCIARIO PROVINCIAL</v>
      </c>
      <c r="H5" s="112"/>
      <c r="I5" s="112"/>
      <c r="J5" s="112"/>
      <c r="K5" s="112"/>
      <c r="L5" s="112"/>
      <c r="M5" s="112"/>
      <c r="N5" s="112"/>
      <c r="O5" s="112"/>
      <c r="P5" s="112"/>
      <c r="Q5" s="112"/>
    </row>
    <row r="6" spans="1:17" s="63" customFormat="1" ht="15" customHeight="1" x14ac:dyDescent="0.2">
      <c r="A6" s="113" t="s">
        <v>37</v>
      </c>
      <c r="B6" s="113"/>
      <c r="C6" s="113"/>
      <c r="D6" s="113"/>
      <c r="E6" s="113"/>
      <c r="F6" s="113"/>
      <c r="G6" s="112" t="str">
        <f>'[2] NotaPedido'!D5</f>
        <v>Servicio Penitenciario Provincial</v>
      </c>
      <c r="H6" s="112"/>
      <c r="I6" s="112"/>
      <c r="J6" s="112"/>
      <c r="K6" s="112"/>
      <c r="L6" s="112"/>
      <c r="M6" s="112"/>
      <c r="N6" s="112"/>
      <c r="O6" s="112"/>
      <c r="P6" s="112"/>
      <c r="Q6" s="112"/>
    </row>
    <row r="7" spans="1:17" s="63" customFormat="1" ht="25.5" customHeight="1" x14ac:dyDescent="0.2">
      <c r="A7" s="113" t="s">
        <v>39</v>
      </c>
      <c r="B7" s="113"/>
      <c r="C7" s="113"/>
      <c r="D7" s="113"/>
      <c r="E7" s="113"/>
      <c r="F7" s="113"/>
      <c r="G7" s="112" t="s">
        <v>57</v>
      </c>
      <c r="H7" s="112"/>
      <c r="I7" s="112"/>
      <c r="J7" s="112"/>
      <c r="K7" s="112"/>
      <c r="L7" s="112"/>
      <c r="M7" s="112"/>
      <c r="N7" s="112"/>
      <c r="O7" s="112"/>
      <c r="P7" s="112"/>
      <c r="Q7" s="112"/>
    </row>
    <row r="8" spans="1:17" x14ac:dyDescent="0.2">
      <c r="A8" s="114" t="s">
        <v>58</v>
      </c>
      <c r="B8" s="114"/>
      <c r="C8" s="114"/>
      <c r="D8" s="114"/>
      <c r="E8" s="114"/>
      <c r="F8" s="114"/>
      <c r="G8" s="114"/>
      <c r="H8" s="114"/>
      <c r="I8" s="114"/>
      <c r="J8" s="114"/>
      <c r="K8" s="114"/>
      <c r="L8" s="114"/>
      <c r="M8" s="114"/>
      <c r="N8" s="114"/>
      <c r="O8" s="114"/>
      <c r="P8" s="114"/>
      <c r="Q8" s="114"/>
    </row>
    <row r="9" spans="1:17" ht="14.25" x14ac:dyDescent="0.2">
      <c r="A9" s="115" t="s">
        <v>59</v>
      </c>
      <c r="B9" s="115"/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115"/>
      <c r="N9" s="115"/>
      <c r="Q9" s="64"/>
    </row>
    <row r="10" spans="1:17" ht="56.25" customHeight="1" x14ac:dyDescent="0.2">
      <c r="A10" s="116" t="s">
        <v>60</v>
      </c>
      <c r="B10" s="116"/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</row>
    <row r="11" spans="1:17" x14ac:dyDescent="0.2">
      <c r="A11" s="65"/>
      <c r="B11" s="66"/>
      <c r="C11" s="66"/>
      <c r="D11" s="66"/>
      <c r="E11" s="66"/>
      <c r="F11" s="66"/>
      <c r="G11" s="67"/>
      <c r="H11" s="66"/>
      <c r="I11" s="66"/>
      <c r="J11" s="66"/>
      <c r="K11" s="66"/>
      <c r="L11" s="66"/>
      <c r="M11" s="66"/>
      <c r="N11" s="66"/>
      <c r="O11" s="66"/>
      <c r="P11" s="66"/>
      <c r="Q11" s="68"/>
    </row>
    <row r="12" spans="1:17" ht="15.75" customHeight="1" x14ac:dyDescent="0.2">
      <c r="A12" s="117" t="s">
        <v>61</v>
      </c>
      <c r="B12" s="117"/>
      <c r="C12" s="117"/>
      <c r="D12" s="117"/>
      <c r="E12" s="117"/>
      <c r="F12" s="117"/>
      <c r="G12" s="117"/>
      <c r="H12" s="117"/>
      <c r="I12" s="117"/>
      <c r="J12" s="117"/>
      <c r="K12" s="117"/>
      <c r="L12" s="117"/>
      <c r="M12" s="117"/>
      <c r="N12" s="117"/>
      <c r="O12" s="117"/>
      <c r="P12" s="117"/>
      <c r="Q12" s="117"/>
    </row>
    <row r="13" spans="1:17" ht="15.75" customHeight="1" x14ac:dyDescent="0.2">
      <c r="A13" s="118" t="s">
        <v>62</v>
      </c>
      <c r="B13" s="118"/>
      <c r="C13" s="118"/>
      <c r="D13" s="118"/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9" t="s">
        <v>63</v>
      </c>
      <c r="P13" s="119"/>
      <c r="Q13" s="120" t="s">
        <v>64</v>
      </c>
    </row>
    <row r="14" spans="1:17" ht="23.25" customHeight="1" x14ac:dyDescent="0.2">
      <c r="A14" s="69" t="s">
        <v>65</v>
      </c>
      <c r="B14" s="70" t="s">
        <v>66</v>
      </c>
      <c r="C14" s="70" t="s">
        <v>67</v>
      </c>
      <c r="D14" s="70" t="s">
        <v>68</v>
      </c>
      <c r="E14" s="70" t="s">
        <v>69</v>
      </c>
      <c r="F14" s="70" t="s">
        <v>70</v>
      </c>
      <c r="G14" s="71" t="s">
        <v>71</v>
      </c>
      <c r="H14" s="70" t="s">
        <v>72</v>
      </c>
      <c r="I14" s="70" t="s">
        <v>73</v>
      </c>
      <c r="J14" s="70" t="s">
        <v>74</v>
      </c>
      <c r="K14" s="70" t="s">
        <v>74</v>
      </c>
      <c r="L14" s="70" t="s">
        <v>75</v>
      </c>
      <c r="M14" s="72" t="s">
        <v>76</v>
      </c>
      <c r="N14" s="73" t="s">
        <v>77</v>
      </c>
      <c r="O14" s="119"/>
      <c r="P14" s="119"/>
      <c r="Q14" s="120"/>
    </row>
    <row r="15" spans="1:17" ht="24.75" customHeight="1" x14ac:dyDescent="0.2">
      <c r="A15" s="74">
        <v>21</v>
      </c>
      <c r="B15" s="75"/>
      <c r="C15" s="75"/>
      <c r="D15" s="75">
        <v>1</v>
      </c>
      <c r="E15" s="75"/>
      <c r="F15" s="75">
        <v>4201</v>
      </c>
      <c r="G15" s="75">
        <v>2</v>
      </c>
      <c r="H15" s="75">
        <v>220</v>
      </c>
      <c r="I15" s="76">
        <v>2</v>
      </c>
      <c r="J15" s="76">
        <v>1</v>
      </c>
      <c r="K15" s="76">
        <v>2</v>
      </c>
      <c r="L15" s="75"/>
      <c r="M15" s="77">
        <v>1</v>
      </c>
      <c r="N15" s="75" t="s">
        <v>78</v>
      </c>
      <c r="O15" s="121" t="s">
        <v>79</v>
      </c>
      <c r="P15" s="121"/>
      <c r="Q15" s="78">
        <v>336000</v>
      </c>
    </row>
    <row r="16" spans="1:17" ht="17.25" customHeight="1" x14ac:dyDescent="0.2">
      <c r="A16" s="79"/>
      <c r="B16" s="80"/>
      <c r="C16" s="80"/>
      <c r="D16" s="80"/>
      <c r="E16" s="80"/>
      <c r="F16" s="80"/>
      <c r="G16" s="80"/>
      <c r="H16" s="81"/>
      <c r="I16" s="82"/>
      <c r="J16" s="82"/>
      <c r="K16" s="82"/>
      <c r="L16" s="83"/>
      <c r="M16" s="81"/>
      <c r="N16" s="84"/>
      <c r="O16" s="122"/>
      <c r="P16" s="122"/>
      <c r="Q16" s="85"/>
    </row>
    <row r="17" spans="1:17" ht="17.25" customHeight="1" x14ac:dyDescent="0.2">
      <c r="A17" s="79"/>
      <c r="B17" s="80"/>
      <c r="C17" s="80"/>
      <c r="D17" s="80"/>
      <c r="E17" s="80"/>
      <c r="F17" s="86"/>
      <c r="G17" s="80"/>
      <c r="H17" s="81"/>
      <c r="I17" s="82"/>
      <c r="J17" s="82"/>
      <c r="K17" s="82"/>
      <c r="L17" s="83"/>
      <c r="M17" s="81"/>
      <c r="N17" s="82"/>
      <c r="O17" s="122"/>
      <c r="P17" s="122"/>
      <c r="Q17" s="85"/>
    </row>
    <row r="18" spans="1:17" ht="17.25" customHeight="1" x14ac:dyDescent="0.2">
      <c r="A18" s="79"/>
      <c r="B18" s="80"/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81"/>
      <c r="N18" s="80"/>
      <c r="O18" s="123"/>
      <c r="P18" s="123"/>
      <c r="Q18" s="87"/>
    </row>
    <row r="19" spans="1:17" ht="17.25" customHeight="1" x14ac:dyDescent="0.2">
      <c r="A19" s="79"/>
      <c r="B19" s="80"/>
      <c r="C19" s="80"/>
      <c r="D19" s="80"/>
      <c r="E19" s="80"/>
      <c r="F19" s="86"/>
      <c r="G19" s="80"/>
      <c r="H19" s="80"/>
      <c r="I19" s="80"/>
      <c r="J19" s="80"/>
      <c r="K19" s="80"/>
      <c r="L19" s="80"/>
      <c r="M19" s="81"/>
      <c r="N19" s="86"/>
      <c r="O19" s="124"/>
      <c r="P19" s="124"/>
      <c r="Q19" s="88"/>
    </row>
    <row r="20" spans="1:17" ht="17.25" customHeight="1" x14ac:dyDescent="0.2">
      <c r="A20" s="79"/>
      <c r="B20" s="80"/>
      <c r="C20" s="80"/>
      <c r="D20" s="80"/>
      <c r="E20" s="80"/>
      <c r="F20" s="86"/>
      <c r="G20" s="80"/>
      <c r="H20" s="80"/>
      <c r="I20" s="80"/>
      <c r="J20" s="80"/>
      <c r="K20" s="80"/>
      <c r="L20" s="80"/>
      <c r="M20" s="81"/>
      <c r="N20" s="86"/>
      <c r="O20" s="124"/>
      <c r="P20" s="124"/>
      <c r="Q20" s="88"/>
    </row>
    <row r="21" spans="1:17" ht="14.25" x14ac:dyDescent="0.2">
      <c r="A21" s="89"/>
      <c r="B21" s="90"/>
      <c r="C21" s="90"/>
      <c r="D21" s="90"/>
      <c r="E21" s="90"/>
      <c r="F21" s="86"/>
      <c r="G21" s="90"/>
      <c r="H21" s="90"/>
      <c r="I21" s="90"/>
      <c r="J21" s="90"/>
      <c r="K21" s="90"/>
      <c r="L21" s="90"/>
      <c r="M21" s="91"/>
      <c r="N21" s="92"/>
      <c r="O21" s="124"/>
      <c r="P21" s="124"/>
      <c r="Q21" s="88"/>
    </row>
    <row r="22" spans="1:17" x14ac:dyDescent="0.2">
      <c r="A22" s="93"/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5"/>
      <c r="N22" s="94"/>
      <c r="O22" s="125"/>
      <c r="P22" s="125"/>
      <c r="Q22" s="96"/>
    </row>
    <row r="23" spans="1:17" ht="13.5" customHeight="1" x14ac:dyDescent="0.2">
      <c r="A23" s="126" t="s">
        <v>80</v>
      </c>
      <c r="B23" s="126"/>
      <c r="C23" s="126"/>
      <c r="D23" s="126"/>
      <c r="E23" s="126"/>
      <c r="F23" s="126"/>
      <c r="G23" s="126"/>
      <c r="H23" s="126"/>
      <c r="I23" s="126"/>
      <c r="J23" s="126"/>
      <c r="K23" s="126"/>
      <c r="L23" s="126"/>
      <c r="M23" s="126"/>
      <c r="N23" s="126"/>
      <c r="O23" s="126"/>
      <c r="P23" s="126"/>
      <c r="Q23" s="97">
        <f>SUM(Q15:Q22)</f>
        <v>336000</v>
      </c>
    </row>
    <row r="24" spans="1:17" ht="15" x14ac:dyDescent="0.2">
      <c r="A24" s="98"/>
      <c r="B24" s="99"/>
      <c r="C24" s="99"/>
      <c r="D24" s="99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100"/>
    </row>
    <row r="25" spans="1:17" ht="15.75" customHeight="1" x14ac:dyDescent="0.2">
      <c r="A25" s="127" t="s">
        <v>81</v>
      </c>
      <c r="B25" s="127"/>
      <c r="C25" s="127"/>
      <c r="D25" s="127"/>
      <c r="E25" s="127"/>
      <c r="F25" s="127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</row>
    <row r="26" spans="1:17" ht="13.5" customHeight="1" x14ac:dyDescent="0.2">
      <c r="A26" s="129" t="s">
        <v>82</v>
      </c>
      <c r="B26" s="129"/>
      <c r="C26" s="129"/>
      <c r="D26" s="129"/>
      <c r="E26" s="129"/>
      <c r="F26" s="129"/>
      <c r="G26" s="129"/>
      <c r="H26" s="129"/>
      <c r="I26" s="129"/>
      <c r="J26" s="129"/>
      <c r="K26" s="129"/>
      <c r="L26" s="129"/>
      <c r="M26" s="129"/>
      <c r="N26" s="129"/>
      <c r="O26" s="129"/>
      <c r="P26" s="129"/>
      <c r="Q26" s="129"/>
    </row>
    <row r="27" spans="1:17" ht="15" customHeight="1" x14ac:dyDescent="0.2">
      <c r="A27" s="129"/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</row>
  </sheetData>
  <mergeCells count="30">
    <mergeCell ref="A26:Q27"/>
    <mergeCell ref="O20:P20"/>
    <mergeCell ref="O21:P21"/>
    <mergeCell ref="O22:P22"/>
    <mergeCell ref="A23:P23"/>
    <mergeCell ref="A25:F25"/>
    <mergeCell ref="G25:Q25"/>
    <mergeCell ref="O15:P15"/>
    <mergeCell ref="O16:P16"/>
    <mergeCell ref="O17:P17"/>
    <mergeCell ref="O18:P18"/>
    <mergeCell ref="O19:P19"/>
    <mergeCell ref="A8:Q8"/>
    <mergeCell ref="A9:N9"/>
    <mergeCell ref="A10:Q10"/>
    <mergeCell ref="A12:Q12"/>
    <mergeCell ref="A13:N13"/>
    <mergeCell ref="O13:P14"/>
    <mergeCell ref="Q13:Q14"/>
    <mergeCell ref="A5:F5"/>
    <mergeCell ref="G5:Q5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ageMargins left="0.7" right="0.7" top="0.75" bottom="0.75" header="0.51180555555555496" footer="0.51180555555555496"/>
  <pageSetup paperSize="5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ALIMENTO PARA PERROS</vt:lpstr>
      <vt:lpstr>NPyE ALIMENTO PARA PERROS</vt:lpstr>
      <vt:lpstr>APG ALIM PERROS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</dc:creator>
  <dc:description/>
  <cp:lastModifiedBy>elias quintar</cp:lastModifiedBy>
  <cp:revision>6</cp:revision>
  <cp:lastPrinted>2021-02-05T11:24:03Z</cp:lastPrinted>
  <dcterms:created xsi:type="dcterms:W3CDTF">2020-07-17T23:44:49Z</dcterms:created>
  <dcterms:modified xsi:type="dcterms:W3CDTF">2021-08-17T12:52:38Z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