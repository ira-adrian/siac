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 defaultThemeVersion="124226"/>
  <bookViews>
    <workbookView xWindow="-120" yWindow="-60" windowWidth="19425" windowHeight="1096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NotaPedido'!$A$10:$AMK$38</definedName>
    <definedName name="_xlnm._FilterDatabase" localSheetId="0" hidden="1">'Necesidades Trimestrales'!$A$9:$I$35</definedName>
    <definedName name="_xlnm.Print_Area" localSheetId="1">' NotaPedido'!$A$1:$L$38</definedName>
    <definedName name="_xlnm.Print_Area" localSheetId="2">'Autor Gastar'!$A$1:$Q$27</definedName>
    <definedName name="_xlnm.Print_Area" localSheetId="0">'Necesidades Trimestrales'!#REF!</definedName>
  </definedNames>
  <calcPr calcId="144525"/>
</workbook>
</file>

<file path=xl/calcChain.xml><?xml version="1.0" encoding="utf-8"?>
<calcChain xmlns="http://schemas.openxmlformats.org/spreadsheetml/2006/main"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I21" i="1" l="1"/>
  <c r="I11" i="1"/>
  <c r="I27" i="1" l="1"/>
  <c r="I10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8" i="1"/>
  <c r="I29" i="1"/>
  <c r="I30" i="1"/>
  <c r="I31" i="1"/>
  <c r="I32" i="1"/>
  <c r="I33" i="1"/>
  <c r="I34" i="1"/>
  <c r="I35" i="1"/>
  <c r="J38" i="2" l="1"/>
  <c r="Q15" i="3" s="1"/>
  <c r="Q23" i="3" s="1"/>
  <c r="A10" i="3" l="1"/>
  <c r="G7" i="3" l="1"/>
  <c r="C3" i="2"/>
  <c r="G4" i="3" s="1"/>
  <c r="C4" i="2"/>
  <c r="G5" i="3" l="1"/>
  <c r="C5" i="2"/>
  <c r="G6" i="3" s="1"/>
  <c r="D1" i="3"/>
</calcChain>
</file>

<file path=xl/sharedStrings.xml><?xml version="1.0" encoding="utf-8"?>
<sst xmlns="http://schemas.openxmlformats.org/spreadsheetml/2006/main" count="206" uniqueCount="131">
  <si>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</si>
  <si>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</si>
  <si>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</si>
  <si>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</si>
  <si>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</si>
  <si>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</si>
  <si>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</si>
  <si>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</si>
  <si>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</si>
  <si>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</si>
  <si>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</si>
  <si>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</si>
  <si>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</si>
  <si>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</si>
  <si>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</si>
  <si>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</si>
  <si>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</si>
  <si>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</si>
  <si>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</si>
  <si>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</si>
  <si>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</si>
  <si>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</si>
  <si>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</si>
  <si>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</si>
  <si>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</si>
  <si>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</si>
  <si>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</si>
  <si>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</si>
  <si>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</si>
  <si>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</si>
  <si>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</si>
  <si>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</si>
  <si>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</si>
  <si>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</si>
  <si>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</si>
  <si>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</si>
  <si>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</si>
  <si>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</si>
  <si>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</si>
  <si>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</si>
  <si>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</si>
  <si>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</si>
  <si>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</si>
  <si>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</si>
  <si>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</si>
  <si>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</si>
  <si>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</si>
  <si>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</si>
  <si>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</si>
  <si>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</si>
  <si>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</si>
  <si>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</si>
  <si>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</si>
  <si>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Cuatrimestral</t>
  </si>
  <si>
    <t>COMPRIMIDO</t>
  </si>
  <si>
    <t>FRASCO</t>
  </si>
  <si>
    <t>AMPOLLA</t>
  </si>
  <si>
    <t>UNIDAD</t>
  </si>
  <si>
    <t>GOTERO</t>
  </si>
  <si>
    <t>CAJA</t>
  </si>
  <si>
    <t>Adquisición de TERAPIA DERMATOLOGICA/SISTEMA GENITOURINARIO Y HORMONAS SEXUALES /HORMONAS SISTEMICAS /CORTICOIDES SISTEMICOS/RESPIRATORIO/ANTIHISTAMINICOS</t>
  </si>
  <si>
    <t>2.5.2-1821.189</t>
  </si>
  <si>
    <t>2.5.2-1855.23</t>
  </si>
  <si>
    <t>2.5.2-2476.50</t>
  </si>
  <si>
    <t>2.5.2-2476.74</t>
  </si>
  <si>
    <t>2.5.2-2476.36</t>
  </si>
  <si>
    <t>2.5.2-2476.44</t>
  </si>
  <si>
    <t>2.5.2-1855.47</t>
  </si>
  <si>
    <t>2.5.2-1855.77</t>
  </si>
  <si>
    <t>2.5.2-1875.9</t>
  </si>
  <si>
    <t>2.5.2-1823.24</t>
  </si>
  <si>
    <t>2.5.2-2200.4</t>
  </si>
  <si>
    <t>2.5.2-2200.19</t>
  </si>
  <si>
    <t>2.5.2-1855.105</t>
  </si>
  <si>
    <t>2.5.2-1723.122</t>
  </si>
  <si>
    <t>2.5.2-1875.11</t>
  </si>
  <si>
    <t>ANTIBIOTICOS P/PERSONAS; DROGA GENERICA: ACIDO FUSIDICO 20MG, FORMA FARMACEUTICA: CREMA, PRESENTACION: POMO X 15 GR, TIPO: MONODROGA</t>
  </si>
  <si>
    <t>CORTICOESTEROIDES; TIPO: MONODROGA, DROGA GENERICA: BETAMETASONA, FORMA FARMACEUTICA: CREMA, PRESENTACION: 15 GR</t>
  </si>
  <si>
    <t>ANTIALERGICOS-ANTIHISTAMINICOS; TIPO: MONODROGA, DROGA GENERICA: BUDESONIDA 1 MG/ML, FORMA FARMACEUTICA: GOTAS, PRESENTACION: ENVASE X 20 mL</t>
  </si>
  <si>
    <t>ANTIALERGICOS-ANTIHISTAMINICOS; TIPO: MONODROGA, DROGA GENERICA: DIFENHIDRAMINA 250 MG, FORMA FARMACEUTICA: JARABE, PRESENTACION: FRASCO X 120 mL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</si>
  <si>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</si>
  <si>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</si>
  <si>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</si>
  <si>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</si>
  <si>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</si>
  <si>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ANTIMICOTICOS; TIPO: MONODROGA, FORMA FARMACEUTICA: CREMA, PRESENTACION: 15 GR, DROGA GENERICA: KETOCONAZOL</t>
  </si>
  <si>
    <t>CORTICOIDES; DROGA GENERICA: MEPREDNISONA, FORMA FARMACEUTICA: COMPRIMIDO, PRESENTACION: 4 mGr, TIPO: MONODROGA</t>
  </si>
  <si>
    <t>CORTICOESTEROIDES; TIPO: MONODROGA, DROGA GENERICA: MEPREDNISONA 8 mGr, FORMA FARMACEUTICA: COMPRIMIDO, PRESENTACION: UNIDAD</t>
  </si>
  <si>
    <t>ANTISEPTICOS LOCALES P/PERSONA; TIPO: MONODROGA, DROGA GENERICA: NITROFURAZONA, FORMA FARMACEUTICA: APOSITO, PRESENTACION: ENVASE X 20 UN</t>
  </si>
  <si>
    <t>ANTIASMATICO BRONCODILATADOR; TIPO: MONODROGA, PRESENTACION: 20 mL, FORMA FARMACEUTICA: GOTAS, DROGA GENERICA: SALBUTAMOL</t>
  </si>
  <si>
    <t>PROD. MEDICO/FARMACEUTICOS/LAB</t>
  </si>
  <si>
    <t>CORTICOIDES; DROGA GENERICA: MEPREDNISONA, FORMA FARMACEUTICA: COMPRIMIDO, PRESENTACION: 40 mGr, TIPO: MONODROGA</t>
  </si>
  <si>
    <t>APOSITOS; TIPO: HIDROCOLOIDE, TAMAÑO: 10 X 10 Cm</t>
  </si>
  <si>
    <t>2.9.5-427.39</t>
  </si>
  <si>
    <t>LAXANTES; TIPO: MONODROGA, DROGA GENERICA: VASELINA, FORMA FARMACEUTICA: SOLIDO, PRESENTACION: 1000 GR</t>
  </si>
  <si>
    <t>2.5.2-2481.3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</si>
  <si>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</si>
  <si>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</si>
  <si>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</si>
  <si>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</si>
  <si>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</si>
  <si>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</si>
  <si>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</si>
  <si>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</si>
  <si>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CORTICOIDES; DROGA GENÉRICA: MEPREDNISONA 4 ML/MG, FORMA FARMACEÚTICA: GOTAS</t>
  </si>
  <si>
    <t>2.5.2-2200.41</t>
  </si>
  <si>
    <t>ANESTÉSICOS LOCALES; TIPO: ANALGÉSICO LOCAL Y ANTIBACTERIANO, DROGA GENÉRICA: LIDOCAÍNA + SULFADIAZINA + VITAMINA A, FORMA FARMACEÚTICA: CREMA, PRESENTACIÓN: ENVASE X 100 GR</t>
  </si>
  <si>
    <t>2.5.2-1883.189</t>
  </si>
  <si>
    <t>SI</t>
  </si>
  <si>
    <t>DESCRIPCION</t>
  </si>
  <si>
    <t>2.5.2-2198.8</t>
  </si>
  <si>
    <t>ANTIDIURETICOS; DROGA GENERICA: VASOPRESINA ACUOSA, FORMA FARMACEUTICA: AMPOLLA, PRESENTACION: 1 mL, TIPO: MONODROGA</t>
  </si>
  <si>
    <t>2.5.2-1855.18</t>
  </si>
  <si>
    <t>CORTICOESTEROIDES; TIPO: MONODROGA, DROGA GENERICA: BETAMETASONA, FORMA FARMACEUTICA: GOTAS, PRESENTACION: 15 mL</t>
  </si>
  <si>
    <t>Productos Farmacéuticos y Medicinales</t>
  </si>
  <si>
    <t>2.5.2-1895.89</t>
  </si>
  <si>
    <t>HORMONAS MEDICINALES; TIPO: MONODROGA, DROGA GENERICA: OCTREOTIDA, FORMA FARMACEUTICA: AMPOLLA, PRESENTACION: 0,1 MG / ML, USO: INHIBIDOR HORMONA CRECIMIENTO</t>
  </si>
  <si>
    <t>24 - Direccion de Administracion del Hospital Interzonal de Niños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</si>
  <si>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SERVICIO DE FARMACIA -HOSPITAL INT. DE NIÑOS EVA PERON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</si>
  <si>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15 dias corridos.</t>
    </r>
  </si>
  <si>
    <t xml:space="preserve">Mantenimiento: 45 dias habiles </t>
  </si>
  <si>
    <t>SERVICIO DE FARMACIA</t>
  </si>
  <si>
    <t>87/2022</t>
  </si>
  <si>
    <t>Costo total estimado: Siete millones Setecientos veintisiete Mil ciento cincuenta y cinco con 00/100.</t>
  </si>
  <si>
    <t>TOTAL DE PESOS: Siete millones Setecientos veintisiete Mil ciento cincuenta y cinco con 00/100.</t>
  </si>
  <si>
    <t>Para la adquisición de TERAPIA DERMATOLOGICA/SISTEMA GENITOURINARIO Y HORMONAS SEXUALES /HORMONAS SISTEMICAS /CORTICOIDES ISSTEMICOS/RESPIRATORIO/ANTIHISTAMINICOS destinados al servico de Faramacia del Hospital de Niños Eva Perón.</t>
  </si>
  <si>
    <t>Ítem 2: VASOPRESINA 20UI AMPOLLA CAJA X 5 UNIDADES TIPO NOVOPRESSINA - V</t>
  </si>
  <si>
    <t>Ítem 12: TIPO CORTEROID GTS</t>
  </si>
  <si>
    <t>Ítem 18: TIPO DELTISONA GOTAS X 20 ML</t>
  </si>
  <si>
    <t>Ítem 22: AMPOLLA 0,1 MG/ML CAJA X 5 UNIDADES DE 1 ML  TIPO GASTERINA o SANDOSTATIN</t>
  </si>
  <si>
    <t>Ítem 23: Con AEROCAMARA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</si>
</sst>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left"/>
    </xf>
    <xf numFmtId="3" fontId="12" fillId="0" borderId="0" xfId="0" applyNumberFormat="1" applyFo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2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2" xfId="0" applyBorder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 indent="1"/>
    </xf>
    <xf numFmtId="0" fontId="18" fillId="3" borderId="0" xfId="0" applyFont="1" applyFill="1"/>
    <xf numFmtId="0" fontId="21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center" wrapText="1"/>
    </xf>
    <xf numFmtId="0" fontId="18" fillId="3" borderId="0" xfId="0" applyFont="1" applyFill="1" applyAlignment="1">
      <alignment horizontal="center" vertical="center"/>
    </xf>
    <xf numFmtId="170" fontId="23" fillId="3" borderId="0" xfId="0" applyNumberFormat="1" applyFont="1" applyFill="1"/>
    <xf numFmtId="44" fontId="18" fillId="3" borderId="0" xfId="0" applyNumberFormat="1" applyFont="1" applyFill="1"/>
    <xf numFmtId="0" fontId="29" fillId="3" borderId="0" xfId="0" applyFont="1" applyFill="1" applyAlignment="1">
      <alignment vertical="center"/>
    </xf>
    <xf numFmtId="0" fontId="30" fillId="3" borderId="0" xfId="0" applyFont="1" applyFill="1" applyAlignment="1">
      <alignment horizontal="left" vertical="center" wrapText="1" indent="1"/>
    </xf>
    <xf numFmtId="0" fontId="26" fillId="3" borderId="14" xfId="0" applyFont="1" applyFill="1" applyBorder="1" applyAlignment="1">
      <alignment horizontal="center" vertical="center" wrapText="1"/>
    </xf>
    <xf numFmtId="44" fontId="26" fillId="3" borderId="14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left" vertical="center" wrapText="1"/>
    </xf>
    <xf numFmtId="3" fontId="17" fillId="3" borderId="14" xfId="0" applyNumberFormat="1" applyFont="1" applyFill="1" applyBorder="1" applyAlignment="1">
      <alignment horizontal="center" vertical="center"/>
    </xf>
    <xf numFmtId="164" fontId="28" fillId="3" borderId="14" xfId="8" applyNumberFormat="1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164" fontId="17" fillId="3" borderId="14" xfId="1" applyNumberFormat="1" applyFill="1" applyBorder="1" applyAlignment="1">
      <alignment horizontal="center" vertical="center"/>
    </xf>
    <xf numFmtId="164" fontId="17" fillId="3" borderId="14" xfId="1" applyNumberFormat="1" applyFill="1" applyBorder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164" fontId="28" fillId="0" borderId="14" xfId="8" applyNumberFormat="1" applyFont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17" fillId="3" borderId="14" xfId="0" applyFont="1" applyFill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 wrapText="1"/>
    </xf>
    <xf numFmtId="0" fontId="18" fillId="0" borderId="0" xfId="0" applyFont="1"/>
    <xf numFmtId="0" fontId="21" fillId="3" borderId="0" xfId="0" applyFont="1" applyFill="1" applyAlignment="1">
      <alignment horizontal="left" vertical="center" wrapText="1"/>
    </xf>
    <xf numFmtId="0" fontId="17" fillId="0" borderId="14" xfId="0" applyFont="1" applyBorder="1" applyAlignment="1">
      <alignment horizontal="left" vertical="center"/>
    </xf>
    <xf numFmtId="0" fontId="18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167" fontId="7" fillId="0" borderId="14" xfId="1" applyNumberFormat="1" applyFont="1" applyBorder="1" applyAlignment="1" applyProtection="1">
      <alignment horizontal="right" vertical="center" wrapText="1"/>
    </xf>
    <xf numFmtId="168" fontId="10" fillId="0" borderId="0" xfId="0" applyNumberFormat="1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2" fillId="0" borderId="14" xfId="12" applyBorder="1" applyAlignment="1">
      <alignment horizontal="center" vertical="center"/>
    </xf>
    <xf numFmtId="4" fontId="7" fillId="0" borderId="14" xfId="1" applyNumberFormat="1" applyFont="1" applyBorder="1" applyAlignment="1" applyProtection="1">
      <alignment horizontal="right" vertical="center" wrapText="1"/>
    </xf>
    <xf numFmtId="0" fontId="0" fillId="3" borderId="14" xfId="0" applyFill="1" applyBorder="1" applyAlignment="1">
      <alignment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0" fillId="3" borderId="0" xfId="0" applyFill="1" applyAlignment="1">
      <alignment wrapText="1"/>
    </xf>
    <xf numFmtId="0" fontId="21" fillId="0" borderId="0" xfId="0" applyFont="1" applyFill="1" applyAlignment="1">
      <alignment horizontal="left" wrapText="1"/>
    </xf>
    <xf numFmtId="0" fontId="25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4" fillId="0" borderId="7" xfId="0" applyFont="1" applyFill="1" applyBorder="1" applyAlignment="1">
      <alignment vertical="center"/>
    </xf>
    <xf numFmtId="0" fontId="18" fillId="0" borderId="8" xfId="0" applyFont="1" applyFill="1" applyBorder="1" applyAlignment="1">
      <alignment vertical="center"/>
    </xf>
    <xf numFmtId="0" fontId="18" fillId="0" borderId="8" xfId="0" applyFont="1" applyFill="1" applyBorder="1"/>
    <xf numFmtId="0" fontId="18" fillId="0" borderId="9" xfId="0" applyFont="1" applyFill="1" applyBorder="1"/>
    <xf numFmtId="0" fontId="9" fillId="0" borderId="11" xfId="0" applyFont="1" applyFill="1" applyBorder="1" applyAlignment="1">
      <alignment horizontal="center" vertical="center"/>
    </xf>
    <xf numFmtId="0" fontId="0" fillId="0" borderId="0" xfId="0" applyFill="1"/>
    <xf numFmtId="0" fontId="0" fillId="0" borderId="10" xfId="0" applyFill="1" applyBorder="1"/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67" fontId="0" fillId="0" borderId="30" xfId="3" applyNumberFormat="1" applyFont="1" applyFill="1" applyBorder="1" applyAlignment="1" applyProtection="1">
      <alignment horizontal="center" vertical="center"/>
    </xf>
    <xf numFmtId="167" fontId="16" fillId="0" borderId="40" xfId="0" applyNumberFormat="1" applyFont="1" applyFill="1" applyBorder="1" applyAlignment="1">
      <alignment horizontal="center" vertical="center"/>
    </xf>
    <xf numFmtId="0" fontId="18" fillId="3" borderId="48" xfId="0" applyFont="1" applyFill="1" applyBorder="1"/>
    <xf numFmtId="0" fontId="18" fillId="3" borderId="49" xfId="0" applyFont="1" applyFill="1" applyBorder="1"/>
    <xf numFmtId="0" fontId="18" fillId="3" borderId="49" xfId="0" applyFont="1" applyFill="1" applyBorder="1" applyAlignment="1">
      <alignment horizontal="left" vertical="center"/>
    </xf>
    <xf numFmtId="0" fontId="18" fillId="3" borderId="50" xfId="0" applyFont="1" applyFill="1" applyBorder="1" applyAlignment="1">
      <alignment horizontal="center" vertical="center"/>
    </xf>
    <xf numFmtId="0" fontId="18" fillId="3" borderId="51" xfId="0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horizontal="left" vertical="center"/>
    </xf>
    <xf numFmtId="0" fontId="18" fillId="3" borderId="52" xfId="0" applyFont="1" applyFill="1" applyBorder="1" applyAlignment="1">
      <alignment horizontal="center" vertical="center"/>
    </xf>
    <xf numFmtId="0" fontId="18" fillId="3" borderId="53" xfId="0" applyFont="1" applyFill="1" applyBorder="1"/>
    <xf numFmtId="0" fontId="18" fillId="3" borderId="54" xfId="0" applyFont="1" applyFill="1" applyBorder="1"/>
    <xf numFmtId="0" fontId="18" fillId="3" borderId="54" xfId="0" applyFont="1" applyFill="1" applyBorder="1" applyAlignment="1">
      <alignment horizontal="left" vertical="center"/>
    </xf>
    <xf numFmtId="0" fontId="18" fillId="3" borderId="55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0" fontId="18" fillId="0" borderId="2" xfId="0" applyFont="1" applyFill="1" applyBorder="1" applyAlignment="1">
      <alignment horizontal="left" wrapText="1"/>
    </xf>
    <xf numFmtId="0" fontId="17" fillId="0" borderId="3" xfId="0" applyFont="1" applyFill="1" applyBorder="1"/>
    <xf numFmtId="0" fontId="17" fillId="0" borderId="4" xfId="0" applyFont="1" applyFill="1" applyBorder="1"/>
    <xf numFmtId="0" fontId="17" fillId="0" borderId="5" xfId="0" applyFont="1" applyFill="1" applyBorder="1"/>
    <xf numFmtId="0" fontId="17" fillId="0" borderId="0" xfId="0" applyFont="1" applyFill="1" applyBorder="1"/>
    <xf numFmtId="0" fontId="17" fillId="0" borderId="6" xfId="0" applyFont="1" applyFill="1" applyBorder="1"/>
    <xf numFmtId="0" fontId="18" fillId="0" borderId="5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left" vertical="center" wrapText="1"/>
    </xf>
    <xf numFmtId="0" fontId="25" fillId="4" borderId="0" xfId="0" applyFont="1" applyFill="1" applyAlignment="1">
      <alignment horizontal="left" wrapText="1" indent="1"/>
    </xf>
    <xf numFmtId="0" fontId="25" fillId="0" borderId="0" xfId="0" applyFont="1" applyFill="1" applyAlignment="1">
      <alignment horizontal="left" wrapText="1" indent="1"/>
    </xf>
    <xf numFmtId="0" fontId="7" fillId="0" borderId="14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8" fontId="10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45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0" fontId="10" fillId="0" borderId="45" xfId="0" applyFont="1" applyFill="1" applyBorder="1" applyAlignment="1">
      <alignment horizontal="left" vertical="center" wrapText="1"/>
    </xf>
    <xf numFmtId="0" fontId="10" fillId="0" borderId="46" xfId="0" applyFont="1" applyFill="1" applyBorder="1" applyAlignment="1">
      <alignment horizontal="left" vertical="center" wrapText="1"/>
    </xf>
    <xf numFmtId="0" fontId="10" fillId="0" borderId="47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/>
    </xf>
    <xf numFmtId="0" fontId="10" fillId="0" borderId="44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 wrapText="1" indent="1"/>
    </xf>
    <xf numFmtId="0" fontId="9" fillId="3" borderId="14" xfId="0" applyFont="1" applyFill="1" applyBorder="1" applyAlignment="1">
      <alignment horizontal="left" vertical="center" wrapText="1" indent="1"/>
    </xf>
    <xf numFmtId="0" fontId="9" fillId="0" borderId="15" xfId="0" applyFont="1" applyFill="1" applyBorder="1" applyAlignment="1">
      <alignment vertical="center" wrapText="1"/>
    </xf>
    <xf numFmtId="0" fontId="12" fillId="0" borderId="1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7" fillId="0" borderId="40" xfId="0" applyFont="1" applyFill="1" applyBorder="1" applyAlignment="1">
      <alignment horizontal="left" vertical="center" wrapText="1" indent="1"/>
    </xf>
    <xf numFmtId="0" fontId="14" fillId="0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0" borderId="40" xfId="0" applyFont="1" applyFill="1" applyBorder="1" applyAlignment="1">
      <alignment horizontal="left" vertical="center" wrapText="1"/>
    </xf>
    <xf numFmtId="0" fontId="0" fillId="0" borderId="18" xfId="0" applyFill="1" applyBorder="1"/>
    <xf numFmtId="0" fontId="32" fillId="0" borderId="28" xfId="0" applyFont="1" applyFill="1" applyBorder="1" applyAlignment="1">
      <alignment horizontal="left" vertical="center"/>
    </xf>
    <xf numFmtId="0" fontId="14" fillId="0" borderId="19" xfId="0" applyFont="1" applyFill="1" applyBorder="1"/>
    <xf numFmtId="0" fontId="14" fillId="0" borderId="20" xfId="0" applyFont="1" applyFill="1" applyBorder="1" applyAlignment="1">
      <alignment horizontal="left" vertical="center" wrapText="1" indent="1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indent="1"/>
    </xf>
    <xf numFmtId="0" fontId="15" fillId="0" borderId="11" xfId="0" applyFont="1" applyFill="1" applyBorder="1" applyAlignment="1">
      <alignment horizontal="left"/>
    </xf>
    <xf numFmtId="0" fontId="0" fillId="0" borderId="16" xfId="0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Fill="1" applyBorder="1"/>
    <xf numFmtId="164" fontId="18" fillId="3" borderId="0" xfId="0" applyNumberFormat="1" applyFont="1" applyFill="1"/>
  </cellXfs>
  <cellStyles count="14">
    <cellStyle name="Encabezado 1" xfId="2"/>
    <cellStyle name="Millares 2" xfId="10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  <cellStyle name="Normal 3" xfId="11"/>
    <cellStyle name="Normal 4" xfId="9"/>
    <cellStyle name="Normal 5" xfId="8"/>
    <cellStyle name="Normal 6" xfId="12"/>
    <cellStyle name="Normal 7" xfId="1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7"/>
  <sheetViews>
    <sheetView tabSelected="1" topLeftCell="A31" zoomScale="90" zoomScaleNormal="90" workbookViewId="0">
      <selection activeCell="I36" sqref="I36"/>
    </sheetView>
  </sheetViews>
  <sheetFormatPr baseColWidth="10" defaultColWidth="11" defaultRowHeight="12.75" x14ac:dyDescent="0.2"/>
  <cols>
    <col min="1" max="1" width="4.5703125" style="34" customWidth="1"/>
    <col min="2" max="2" width="12.28515625" style="34" customWidth="1"/>
    <col min="3" max="3" width="13.42578125" style="34" customWidth="1"/>
    <col min="4" max="4" width="8.42578125" style="34" customWidth="1"/>
    <col min="5" max="5" width="87.5703125" style="53" customWidth="1"/>
    <col min="6" max="6" width="15.28515625" style="34" customWidth="1"/>
    <col min="7" max="7" width="15" style="34" bestFit="1" customWidth="1"/>
    <col min="8" max="8" width="14.42578125" style="34" bestFit="1" customWidth="1"/>
    <col min="9" max="9" width="17" style="34" customWidth="1"/>
    <col min="10" max="10" width="12" style="39" customWidth="1"/>
    <col min="11" max="11" width="100.7109375" style="53" bestFit="1" customWidth="1"/>
    <col min="12" max="16384" width="11" style="34"/>
  </cols>
  <sheetData>
    <row r="2" spans="1:11" ht="27" x14ac:dyDescent="0.35">
      <c r="B2" s="115" t="s">
        <v>0</v>
      </c>
      <c r="C2" s="115"/>
      <c r="D2" s="115"/>
      <c r="E2" s="115"/>
      <c r="F2" s="115"/>
      <c r="G2" s="115"/>
      <c r="H2" s="115"/>
      <c r="I2" s="115"/>
    </row>
    <row r="4" spans="1:11" ht="15.75" x14ac:dyDescent="0.25">
      <c r="A4" s="116" t="s">
        <v>1</v>
      </c>
      <c r="B4" s="116"/>
      <c r="C4" s="117" t="s">
        <v>49</v>
      </c>
      <c r="D4" s="117"/>
      <c r="E4" s="117"/>
      <c r="F4" s="117"/>
      <c r="G4" s="35"/>
      <c r="H4" s="36"/>
      <c r="I4" s="35"/>
    </row>
    <row r="5" spans="1:11" ht="15.75" x14ac:dyDescent="0.25">
      <c r="A5" s="107" t="s">
        <v>2</v>
      </c>
      <c r="B5" s="107"/>
      <c r="C5" s="118" t="s">
        <v>117</v>
      </c>
      <c r="D5" s="118"/>
      <c r="E5" s="118"/>
      <c r="F5" s="118"/>
      <c r="G5" s="76"/>
      <c r="H5" s="36"/>
      <c r="I5" s="35"/>
    </row>
    <row r="6" spans="1:11" ht="15.75" x14ac:dyDescent="0.25">
      <c r="A6" s="107" t="s">
        <v>3</v>
      </c>
      <c r="B6" s="107"/>
      <c r="C6" s="77">
        <v>2022</v>
      </c>
      <c r="D6" s="78"/>
      <c r="E6" s="79"/>
      <c r="F6" s="78"/>
      <c r="G6" s="76"/>
      <c r="H6" s="36"/>
      <c r="I6" s="35"/>
    </row>
    <row r="7" spans="1:11" ht="15.75" x14ac:dyDescent="0.25">
      <c r="A7" s="107" t="s">
        <v>4</v>
      </c>
      <c r="B7" s="107"/>
      <c r="C7" s="77">
        <v>4</v>
      </c>
      <c r="D7" s="78"/>
      <c r="E7" s="79"/>
      <c r="F7" s="78"/>
      <c r="G7" s="76"/>
      <c r="H7" s="36"/>
      <c r="I7" s="35"/>
    </row>
    <row r="8" spans="1:11" ht="13.5" thickBot="1" x14ac:dyDescent="0.25">
      <c r="B8" s="35"/>
      <c r="C8" s="36"/>
      <c r="D8" s="35"/>
      <c r="E8" s="63"/>
      <c r="F8" s="35"/>
      <c r="G8" s="35"/>
      <c r="H8" s="36"/>
      <c r="I8" s="35"/>
    </row>
    <row r="9" spans="1:11" s="65" customFormat="1" ht="39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109</v>
      </c>
      <c r="F9" s="42" t="s">
        <v>9</v>
      </c>
      <c r="G9" s="42" t="s">
        <v>10</v>
      </c>
      <c r="H9" s="42" t="s">
        <v>11</v>
      </c>
      <c r="I9" s="43" t="s">
        <v>12</v>
      </c>
      <c r="J9" s="37"/>
    </row>
    <row r="10" spans="1:11" ht="45.75" customHeight="1" thickBot="1" x14ac:dyDescent="0.25">
      <c r="A10" s="44">
        <v>1</v>
      </c>
      <c r="B10" s="49" t="s">
        <v>99</v>
      </c>
      <c r="C10" s="57" t="s">
        <v>90</v>
      </c>
      <c r="D10" s="54">
        <v>252</v>
      </c>
      <c r="E10" s="61" t="s">
        <v>98</v>
      </c>
      <c r="F10" s="44" t="s">
        <v>57</v>
      </c>
      <c r="G10" s="47">
        <v>150</v>
      </c>
      <c r="H10" s="50">
        <v>35.24</v>
      </c>
      <c r="I10" s="48">
        <f t="shared" ref="I10:I17" si="0">+G10*H10</f>
        <v>5286</v>
      </c>
      <c r="J10" s="34"/>
      <c r="K10" s="34"/>
    </row>
    <row r="11" spans="1:11" ht="45.75" customHeight="1" thickBot="1" x14ac:dyDescent="0.25">
      <c r="A11" s="44">
        <v>2</v>
      </c>
      <c r="B11" s="44" t="s">
        <v>110</v>
      </c>
      <c r="C11" s="73" t="s">
        <v>90</v>
      </c>
      <c r="D11" s="45">
        <v>252</v>
      </c>
      <c r="E11" s="74" t="s">
        <v>111</v>
      </c>
      <c r="F11" s="44" t="s">
        <v>59</v>
      </c>
      <c r="G11" s="47">
        <v>10</v>
      </c>
      <c r="H11" s="50">
        <v>775</v>
      </c>
      <c r="I11" s="48">
        <f t="shared" si="0"/>
        <v>7750</v>
      </c>
      <c r="J11" s="34"/>
      <c r="K11" s="34"/>
    </row>
    <row r="12" spans="1:11" ht="45.75" customHeight="1" thickBot="1" x14ac:dyDescent="0.25">
      <c r="A12" s="44">
        <v>3</v>
      </c>
      <c r="B12" s="49" t="s">
        <v>61</v>
      </c>
      <c r="C12" s="57" t="s">
        <v>90</v>
      </c>
      <c r="D12" s="54">
        <v>252</v>
      </c>
      <c r="E12" s="55" t="s">
        <v>76</v>
      </c>
      <c r="F12" s="49" t="s">
        <v>57</v>
      </c>
      <c r="G12" s="47">
        <v>20</v>
      </c>
      <c r="H12" s="50">
        <v>650</v>
      </c>
      <c r="I12" s="56">
        <f t="shared" si="0"/>
        <v>13000</v>
      </c>
      <c r="J12" s="34"/>
      <c r="K12" s="34"/>
    </row>
    <row r="13" spans="1:11" ht="45.75" customHeight="1" thickBot="1" x14ac:dyDescent="0.25">
      <c r="A13" s="44">
        <v>4</v>
      </c>
      <c r="B13" s="49" t="s">
        <v>101</v>
      </c>
      <c r="C13" s="57" t="s">
        <v>90</v>
      </c>
      <c r="D13" s="54">
        <v>252</v>
      </c>
      <c r="E13" s="64" t="s">
        <v>100</v>
      </c>
      <c r="F13" s="44" t="s">
        <v>57</v>
      </c>
      <c r="G13" s="47">
        <v>100</v>
      </c>
      <c r="H13" s="50">
        <v>1120</v>
      </c>
      <c r="I13" s="48">
        <f t="shared" si="0"/>
        <v>112000</v>
      </c>
      <c r="J13" s="34"/>
      <c r="K13" s="34"/>
    </row>
    <row r="14" spans="1:11" ht="45.75" customHeight="1" thickBot="1" x14ac:dyDescent="0.25">
      <c r="A14" s="44">
        <v>5</v>
      </c>
      <c r="B14" s="49" t="s">
        <v>93</v>
      </c>
      <c r="C14" s="57" t="s">
        <v>90</v>
      </c>
      <c r="D14" s="54">
        <v>252</v>
      </c>
      <c r="E14" s="55" t="s">
        <v>92</v>
      </c>
      <c r="F14" s="44" t="s">
        <v>57</v>
      </c>
      <c r="G14" s="47">
        <v>100</v>
      </c>
      <c r="H14" s="50">
        <v>580</v>
      </c>
      <c r="I14" s="48">
        <f t="shared" si="0"/>
        <v>58000</v>
      </c>
      <c r="J14" s="34"/>
      <c r="K14" s="34"/>
    </row>
    <row r="15" spans="1:11" ht="45.75" customHeight="1" thickBot="1" x14ac:dyDescent="0.25">
      <c r="A15" s="44">
        <v>6</v>
      </c>
      <c r="B15" s="44" t="s">
        <v>62</v>
      </c>
      <c r="C15" s="57" t="s">
        <v>90</v>
      </c>
      <c r="D15" s="45">
        <v>252</v>
      </c>
      <c r="E15" s="46" t="s">
        <v>77</v>
      </c>
      <c r="F15" s="44" t="s">
        <v>57</v>
      </c>
      <c r="G15" s="47">
        <v>10</v>
      </c>
      <c r="H15" s="50">
        <v>280</v>
      </c>
      <c r="I15" s="48">
        <f t="shared" si="0"/>
        <v>2800</v>
      </c>
      <c r="J15" s="34"/>
      <c r="K15" s="34"/>
    </row>
    <row r="16" spans="1:11" ht="45.75" customHeight="1" thickBot="1" x14ac:dyDescent="0.25">
      <c r="A16" s="44">
        <v>7</v>
      </c>
      <c r="B16" s="49" t="s">
        <v>103</v>
      </c>
      <c r="C16" s="57" t="s">
        <v>90</v>
      </c>
      <c r="D16" s="54">
        <v>252</v>
      </c>
      <c r="E16" s="61" t="s">
        <v>102</v>
      </c>
      <c r="F16" s="49" t="s">
        <v>57</v>
      </c>
      <c r="G16" s="47">
        <v>300</v>
      </c>
      <c r="H16" s="50">
        <v>750</v>
      </c>
      <c r="I16" s="56">
        <f t="shared" si="0"/>
        <v>225000</v>
      </c>
      <c r="J16" s="34"/>
      <c r="K16" s="34"/>
    </row>
    <row r="17" spans="1:11" ht="45.75" customHeight="1" thickBot="1" x14ac:dyDescent="0.25">
      <c r="A17" s="44">
        <v>8</v>
      </c>
      <c r="B17" s="44" t="s">
        <v>63</v>
      </c>
      <c r="C17" s="57" t="s">
        <v>90</v>
      </c>
      <c r="D17" s="45">
        <v>252</v>
      </c>
      <c r="E17" s="46" t="s">
        <v>78</v>
      </c>
      <c r="F17" s="44" t="s">
        <v>57</v>
      </c>
      <c r="G17" s="47">
        <v>500</v>
      </c>
      <c r="H17" s="50">
        <v>327</v>
      </c>
      <c r="I17" s="48">
        <f t="shared" si="0"/>
        <v>163500</v>
      </c>
      <c r="J17" s="34"/>
      <c r="K17" s="34"/>
    </row>
    <row r="18" spans="1:11" ht="45.75" customHeight="1" thickBot="1" x14ac:dyDescent="0.25">
      <c r="A18" s="44">
        <v>9</v>
      </c>
      <c r="B18" s="44" t="s">
        <v>64</v>
      </c>
      <c r="C18" s="57" t="s">
        <v>90</v>
      </c>
      <c r="D18" s="45">
        <v>252</v>
      </c>
      <c r="E18" s="46" t="s">
        <v>79</v>
      </c>
      <c r="F18" s="44" t="s">
        <v>55</v>
      </c>
      <c r="G18" s="47">
        <v>1000</v>
      </c>
      <c r="H18" s="50">
        <v>199</v>
      </c>
      <c r="I18" s="48">
        <f t="shared" ref="I18:I35" si="1">+G18*H18</f>
        <v>199000</v>
      </c>
      <c r="J18" s="34"/>
      <c r="K18" s="34"/>
    </row>
    <row r="19" spans="1:11" ht="45.75" customHeight="1" thickBot="1" x14ac:dyDescent="0.25">
      <c r="A19" s="44">
        <v>10</v>
      </c>
      <c r="B19" s="44" t="s">
        <v>65</v>
      </c>
      <c r="C19" s="57" t="s">
        <v>90</v>
      </c>
      <c r="D19" s="45">
        <v>252</v>
      </c>
      <c r="E19" s="46" t="s">
        <v>80</v>
      </c>
      <c r="F19" s="44" t="s">
        <v>54</v>
      </c>
      <c r="G19" s="47">
        <v>1000</v>
      </c>
      <c r="H19" s="50">
        <v>4.6500000000000004</v>
      </c>
      <c r="I19" s="48">
        <f t="shared" si="1"/>
        <v>4650</v>
      </c>
      <c r="J19" s="34"/>
      <c r="K19" s="34"/>
    </row>
    <row r="20" spans="1:11" ht="45.75" customHeight="1" thickBot="1" x14ac:dyDescent="0.25">
      <c r="A20" s="44">
        <v>11</v>
      </c>
      <c r="B20" s="44" t="s">
        <v>66</v>
      </c>
      <c r="C20" s="57" t="s">
        <v>90</v>
      </c>
      <c r="D20" s="45">
        <v>252</v>
      </c>
      <c r="E20" s="46" t="s">
        <v>81</v>
      </c>
      <c r="F20" s="44" t="s">
        <v>56</v>
      </c>
      <c r="G20" s="47">
        <v>1000</v>
      </c>
      <c r="H20" s="50">
        <v>55</v>
      </c>
      <c r="I20" s="48">
        <f t="shared" si="1"/>
        <v>55000</v>
      </c>
      <c r="J20" s="34"/>
      <c r="K20" s="34"/>
    </row>
    <row r="21" spans="1:11" ht="45.75" customHeight="1" thickBot="1" x14ac:dyDescent="0.25">
      <c r="A21" s="44">
        <v>12</v>
      </c>
      <c r="B21" s="44" t="s">
        <v>112</v>
      </c>
      <c r="C21" s="57" t="s">
        <v>90</v>
      </c>
      <c r="D21" s="45">
        <v>252</v>
      </c>
      <c r="E21" s="46" t="s">
        <v>113</v>
      </c>
      <c r="F21" s="44" t="s">
        <v>57</v>
      </c>
      <c r="G21" s="47">
        <v>2000</v>
      </c>
      <c r="H21" s="50">
        <v>340</v>
      </c>
      <c r="I21" s="48">
        <f t="shared" si="1"/>
        <v>680000</v>
      </c>
      <c r="J21" s="34"/>
      <c r="K21" s="34"/>
    </row>
    <row r="22" spans="1:11" ht="45.75" customHeight="1" thickBot="1" x14ac:dyDescent="0.25">
      <c r="A22" s="44">
        <v>13</v>
      </c>
      <c r="B22" s="44" t="s">
        <v>67</v>
      </c>
      <c r="C22" s="57" t="s">
        <v>90</v>
      </c>
      <c r="D22" s="45">
        <v>252</v>
      </c>
      <c r="E22" s="46" t="s">
        <v>82</v>
      </c>
      <c r="F22" s="44" t="s">
        <v>56</v>
      </c>
      <c r="G22" s="47">
        <v>1000</v>
      </c>
      <c r="H22" s="50">
        <v>120</v>
      </c>
      <c r="I22" s="48">
        <f t="shared" si="1"/>
        <v>120000</v>
      </c>
      <c r="J22" s="34"/>
      <c r="K22" s="34"/>
    </row>
    <row r="23" spans="1:11" ht="45.75" customHeight="1" thickBot="1" x14ac:dyDescent="0.25">
      <c r="A23" s="44">
        <v>14</v>
      </c>
      <c r="B23" s="44" t="s">
        <v>68</v>
      </c>
      <c r="C23" s="57" t="s">
        <v>90</v>
      </c>
      <c r="D23" s="45">
        <v>252</v>
      </c>
      <c r="E23" s="46" t="s">
        <v>83</v>
      </c>
      <c r="F23" s="44" t="s">
        <v>56</v>
      </c>
      <c r="G23" s="47">
        <v>1000</v>
      </c>
      <c r="H23" s="50">
        <v>222</v>
      </c>
      <c r="I23" s="48">
        <f t="shared" si="1"/>
        <v>222000</v>
      </c>
      <c r="J23" s="34"/>
      <c r="K23" s="34"/>
    </row>
    <row r="24" spans="1:11" ht="45.75" customHeight="1" thickBot="1" x14ac:dyDescent="0.25">
      <c r="A24" s="44">
        <v>15</v>
      </c>
      <c r="B24" s="44" t="s">
        <v>69</v>
      </c>
      <c r="C24" s="57" t="s">
        <v>90</v>
      </c>
      <c r="D24" s="45">
        <v>252</v>
      </c>
      <c r="E24" s="46" t="s">
        <v>84</v>
      </c>
      <c r="F24" s="44" t="s">
        <v>58</v>
      </c>
      <c r="G24" s="47">
        <v>1000</v>
      </c>
      <c r="H24" s="50">
        <v>98</v>
      </c>
      <c r="I24" s="48">
        <f t="shared" si="1"/>
        <v>98000</v>
      </c>
      <c r="J24" s="34"/>
      <c r="K24" s="34"/>
    </row>
    <row r="25" spans="1:11" ht="45.75" customHeight="1" thickBot="1" x14ac:dyDescent="0.25">
      <c r="A25" s="44">
        <v>16</v>
      </c>
      <c r="B25" s="44" t="s">
        <v>70</v>
      </c>
      <c r="C25" s="57" t="s">
        <v>90</v>
      </c>
      <c r="D25" s="45">
        <v>252</v>
      </c>
      <c r="E25" s="46" t="s">
        <v>85</v>
      </c>
      <c r="F25" s="44" t="s">
        <v>57</v>
      </c>
      <c r="G25" s="47">
        <v>5</v>
      </c>
      <c r="H25" s="50">
        <v>250</v>
      </c>
      <c r="I25" s="48">
        <f t="shared" si="1"/>
        <v>1250</v>
      </c>
      <c r="J25" s="34"/>
      <c r="K25" s="34"/>
    </row>
    <row r="26" spans="1:11" ht="45.75" customHeight="1" thickBot="1" x14ac:dyDescent="0.25">
      <c r="A26" s="44">
        <v>17</v>
      </c>
      <c r="B26" s="44" t="s">
        <v>71</v>
      </c>
      <c r="C26" s="57" t="s">
        <v>90</v>
      </c>
      <c r="D26" s="45">
        <v>252</v>
      </c>
      <c r="E26" s="46" t="s">
        <v>86</v>
      </c>
      <c r="F26" s="44" t="s">
        <v>54</v>
      </c>
      <c r="G26" s="47">
        <v>1000</v>
      </c>
      <c r="H26" s="50">
        <v>9.8000000000000007</v>
      </c>
      <c r="I26" s="48">
        <f t="shared" si="1"/>
        <v>9800</v>
      </c>
      <c r="J26" s="34"/>
      <c r="K26" s="34"/>
    </row>
    <row r="27" spans="1:11" ht="45.75" customHeight="1" thickBot="1" x14ac:dyDescent="0.25">
      <c r="A27" s="44">
        <v>18</v>
      </c>
      <c r="B27" s="49" t="s">
        <v>105</v>
      </c>
      <c r="C27" s="59" t="s">
        <v>90</v>
      </c>
      <c r="D27" s="54">
        <v>252</v>
      </c>
      <c r="E27" s="61" t="s">
        <v>104</v>
      </c>
      <c r="F27" s="44" t="s">
        <v>58</v>
      </c>
      <c r="G27" s="47">
        <v>1000</v>
      </c>
      <c r="H27" s="51">
        <v>315</v>
      </c>
      <c r="I27" s="48">
        <f t="shared" si="1"/>
        <v>315000</v>
      </c>
      <c r="J27" s="60"/>
      <c r="K27" s="34"/>
    </row>
    <row r="28" spans="1:11" ht="45.75" customHeight="1" thickBot="1" x14ac:dyDescent="0.25">
      <c r="A28" s="44">
        <v>19</v>
      </c>
      <c r="B28" s="44" t="s">
        <v>72</v>
      </c>
      <c r="C28" s="57" t="s">
        <v>90</v>
      </c>
      <c r="D28" s="45">
        <v>252</v>
      </c>
      <c r="E28" s="46" t="s">
        <v>91</v>
      </c>
      <c r="F28" s="44" t="s">
        <v>54</v>
      </c>
      <c r="G28" s="47">
        <v>1000</v>
      </c>
      <c r="H28" s="51">
        <v>55</v>
      </c>
      <c r="I28" s="48">
        <f t="shared" si="1"/>
        <v>55000</v>
      </c>
      <c r="J28" s="34"/>
      <c r="K28" s="34"/>
    </row>
    <row r="29" spans="1:11" ht="45.75" customHeight="1" thickBot="1" x14ac:dyDescent="0.25">
      <c r="A29" s="44">
        <v>20</v>
      </c>
      <c r="B29" s="44" t="s">
        <v>73</v>
      </c>
      <c r="C29" s="57" t="s">
        <v>90</v>
      </c>
      <c r="D29" s="45">
        <v>252</v>
      </c>
      <c r="E29" s="46" t="s">
        <v>87</v>
      </c>
      <c r="F29" s="44" t="s">
        <v>54</v>
      </c>
      <c r="G29" s="47">
        <v>1000</v>
      </c>
      <c r="H29" s="51">
        <v>17.350000000000001</v>
      </c>
      <c r="I29" s="48">
        <f t="shared" si="1"/>
        <v>17350</v>
      </c>
      <c r="J29" s="34"/>
      <c r="K29" s="34"/>
    </row>
    <row r="30" spans="1:11" ht="45.75" customHeight="1" thickBot="1" x14ac:dyDescent="0.25">
      <c r="A30" s="44">
        <v>21</v>
      </c>
      <c r="B30" s="44" t="s">
        <v>74</v>
      </c>
      <c r="C30" s="57" t="s">
        <v>90</v>
      </c>
      <c r="D30" s="45">
        <v>252</v>
      </c>
      <c r="E30" s="46" t="s">
        <v>88</v>
      </c>
      <c r="F30" s="44" t="s">
        <v>59</v>
      </c>
      <c r="G30" s="47">
        <v>36</v>
      </c>
      <c r="H30" s="51">
        <v>830</v>
      </c>
      <c r="I30" s="48">
        <f t="shared" si="1"/>
        <v>29880</v>
      </c>
      <c r="J30" s="34"/>
      <c r="K30" s="34"/>
    </row>
    <row r="31" spans="1:11" ht="45.75" customHeight="1" thickBot="1" x14ac:dyDescent="0.25">
      <c r="A31" s="44">
        <v>22</v>
      </c>
      <c r="B31" s="44" t="s">
        <v>115</v>
      </c>
      <c r="C31" s="58" t="s">
        <v>90</v>
      </c>
      <c r="D31" s="45">
        <v>252</v>
      </c>
      <c r="E31" s="75" t="s">
        <v>116</v>
      </c>
      <c r="F31" s="44" t="s">
        <v>59</v>
      </c>
      <c r="G31" s="47">
        <v>20</v>
      </c>
      <c r="H31" s="51">
        <v>7904.45</v>
      </c>
      <c r="I31" s="48">
        <f t="shared" si="1"/>
        <v>158089</v>
      </c>
      <c r="J31" s="60"/>
      <c r="K31" s="62"/>
    </row>
    <row r="32" spans="1:11" ht="45.75" customHeight="1" thickBot="1" x14ac:dyDescent="0.25">
      <c r="A32" s="44">
        <v>23</v>
      </c>
      <c r="B32" s="49" t="s">
        <v>96</v>
      </c>
      <c r="C32" s="59" t="s">
        <v>90</v>
      </c>
      <c r="D32" s="54">
        <v>252</v>
      </c>
      <c r="E32" s="55" t="s">
        <v>97</v>
      </c>
      <c r="F32" s="49" t="s">
        <v>57</v>
      </c>
      <c r="G32" s="47">
        <v>3000</v>
      </c>
      <c r="H32" s="51">
        <v>1580</v>
      </c>
      <c r="I32" s="56">
        <f t="shared" si="1"/>
        <v>4740000</v>
      </c>
      <c r="J32" s="60"/>
      <c r="K32" s="52"/>
    </row>
    <row r="33" spans="1:11" ht="45.75" customHeight="1" thickBot="1" x14ac:dyDescent="0.25">
      <c r="A33" s="44">
        <v>24</v>
      </c>
      <c r="B33" s="44" t="s">
        <v>75</v>
      </c>
      <c r="C33" s="57" t="s">
        <v>90</v>
      </c>
      <c r="D33" s="45">
        <v>252</v>
      </c>
      <c r="E33" s="46" t="s">
        <v>89</v>
      </c>
      <c r="F33" s="44" t="s">
        <v>58</v>
      </c>
      <c r="G33" s="47">
        <v>3000</v>
      </c>
      <c r="H33" s="51">
        <v>95</v>
      </c>
      <c r="I33" s="48">
        <f t="shared" si="1"/>
        <v>285000</v>
      </c>
      <c r="J33" s="34"/>
      <c r="K33" s="34"/>
    </row>
    <row r="34" spans="1:11" ht="45.75" customHeight="1" thickBot="1" x14ac:dyDescent="0.25">
      <c r="A34" s="44">
        <v>25</v>
      </c>
      <c r="B34" s="49" t="s">
        <v>107</v>
      </c>
      <c r="C34" s="57" t="s">
        <v>90</v>
      </c>
      <c r="D34" s="54">
        <v>252</v>
      </c>
      <c r="E34" s="61" t="s">
        <v>106</v>
      </c>
      <c r="F34" s="49" t="s">
        <v>57</v>
      </c>
      <c r="G34" s="47">
        <v>100</v>
      </c>
      <c r="H34" s="51">
        <v>1120</v>
      </c>
      <c r="I34" s="56">
        <f t="shared" si="1"/>
        <v>112000</v>
      </c>
      <c r="J34" s="34"/>
      <c r="K34" s="34"/>
    </row>
    <row r="35" spans="1:11" ht="45.75" customHeight="1" thickBot="1" x14ac:dyDescent="0.25">
      <c r="A35" s="44">
        <v>26</v>
      </c>
      <c r="B35" s="49" t="s">
        <v>95</v>
      </c>
      <c r="C35" s="57" t="s">
        <v>90</v>
      </c>
      <c r="D35" s="54">
        <v>252</v>
      </c>
      <c r="E35" s="55" t="s">
        <v>94</v>
      </c>
      <c r="F35" s="49" t="s">
        <v>57</v>
      </c>
      <c r="G35" s="47">
        <v>30</v>
      </c>
      <c r="H35" s="50">
        <v>1260</v>
      </c>
      <c r="I35" s="56">
        <f t="shared" si="1"/>
        <v>37800</v>
      </c>
      <c r="J35" s="34"/>
      <c r="K35" s="34"/>
    </row>
    <row r="36" spans="1:11" ht="13.5" thickBot="1" x14ac:dyDescent="0.25">
      <c r="I36" s="166"/>
    </row>
    <row r="37" spans="1:11" customFormat="1" ht="15" customHeight="1" x14ac:dyDescent="0.2">
      <c r="B37" s="108" t="s">
        <v>118</v>
      </c>
      <c r="C37" s="109"/>
      <c r="D37" s="109"/>
      <c r="E37" s="110"/>
      <c r="H37" s="80"/>
      <c r="K37" s="81"/>
    </row>
    <row r="38" spans="1:11" customFormat="1" ht="30" customHeight="1" x14ac:dyDescent="0.2">
      <c r="B38" s="111"/>
      <c r="C38" s="112"/>
      <c r="D38" s="112"/>
      <c r="E38" s="113"/>
      <c r="H38" s="80"/>
      <c r="K38" s="81"/>
    </row>
    <row r="39" spans="1:11" customFormat="1" ht="15" customHeight="1" x14ac:dyDescent="0.2">
      <c r="B39" s="114" t="s">
        <v>119</v>
      </c>
      <c r="C39" s="112"/>
      <c r="D39" s="112"/>
      <c r="E39" s="113"/>
      <c r="H39" s="80"/>
      <c r="K39" s="81"/>
    </row>
    <row r="40" spans="1:11" customFormat="1" ht="15" customHeight="1" thickBot="1" x14ac:dyDescent="0.25">
      <c r="B40" s="82" t="s">
        <v>120</v>
      </c>
      <c r="C40" s="83"/>
      <c r="D40" s="84"/>
      <c r="E40" s="85"/>
      <c r="H40" s="80"/>
      <c r="K40" s="81"/>
    </row>
    <row r="42" spans="1:11" x14ac:dyDescent="0.2">
      <c r="B42" s="95" t="s">
        <v>52</v>
      </c>
      <c r="C42" s="96"/>
      <c r="D42" s="96"/>
      <c r="E42" s="97"/>
      <c r="F42" s="96"/>
      <c r="G42" s="98"/>
      <c r="H42" s="37"/>
      <c r="I42" s="38"/>
    </row>
    <row r="43" spans="1:11" x14ac:dyDescent="0.2">
      <c r="B43" s="99"/>
      <c r="C43" s="100"/>
      <c r="D43" s="100"/>
      <c r="E43" s="101"/>
      <c r="F43" s="100"/>
      <c r="G43" s="102"/>
      <c r="H43" s="37"/>
      <c r="I43" s="38"/>
    </row>
    <row r="44" spans="1:11" x14ac:dyDescent="0.2">
      <c r="B44" s="99" t="s">
        <v>126</v>
      </c>
      <c r="C44" s="100"/>
      <c r="D44" s="100"/>
      <c r="E44" s="101"/>
      <c r="F44" s="100"/>
      <c r="G44" s="102"/>
      <c r="H44" s="37"/>
      <c r="I44" s="38"/>
    </row>
    <row r="45" spans="1:11" x14ac:dyDescent="0.2">
      <c r="B45" s="99"/>
      <c r="C45" s="100"/>
      <c r="D45" s="100"/>
      <c r="E45" s="101"/>
      <c r="F45" s="100"/>
      <c r="G45" s="102"/>
      <c r="H45" s="37"/>
      <c r="I45" s="38"/>
    </row>
    <row r="46" spans="1:11" x14ac:dyDescent="0.2">
      <c r="B46" s="99"/>
      <c r="C46" s="100"/>
      <c r="D46" s="100"/>
      <c r="E46" s="101"/>
      <c r="F46" s="100"/>
      <c r="G46" s="102"/>
    </row>
    <row r="47" spans="1:11" x14ac:dyDescent="0.2">
      <c r="B47" s="99" t="s">
        <v>127</v>
      </c>
      <c r="C47" s="100"/>
      <c r="D47" s="100"/>
      <c r="E47" s="101"/>
      <c r="F47" s="100"/>
      <c r="G47" s="102"/>
    </row>
    <row r="48" spans="1:11" x14ac:dyDescent="0.2">
      <c r="B48" s="99"/>
      <c r="C48" s="100"/>
      <c r="D48" s="100"/>
      <c r="E48" s="101"/>
      <c r="F48" s="100"/>
      <c r="G48" s="102"/>
    </row>
    <row r="49" spans="2:7" x14ac:dyDescent="0.2">
      <c r="B49" s="99"/>
      <c r="C49" s="100"/>
      <c r="D49" s="100"/>
      <c r="E49" s="101"/>
      <c r="F49" s="100"/>
      <c r="G49" s="102"/>
    </row>
    <row r="50" spans="2:7" x14ac:dyDescent="0.2">
      <c r="B50" s="99" t="s">
        <v>128</v>
      </c>
      <c r="C50" s="100"/>
      <c r="D50" s="100"/>
      <c r="E50" s="101"/>
      <c r="F50" s="100"/>
      <c r="G50" s="102"/>
    </row>
    <row r="51" spans="2:7" x14ac:dyDescent="0.2">
      <c r="B51" s="99"/>
      <c r="C51" s="100"/>
      <c r="D51" s="100"/>
      <c r="E51" s="101"/>
      <c r="F51" s="100"/>
      <c r="G51" s="102"/>
    </row>
    <row r="52" spans="2:7" x14ac:dyDescent="0.2">
      <c r="B52" s="99"/>
      <c r="C52" s="100"/>
      <c r="D52" s="100"/>
      <c r="E52" s="101"/>
      <c r="F52" s="100"/>
      <c r="G52" s="102"/>
    </row>
    <row r="53" spans="2:7" x14ac:dyDescent="0.2">
      <c r="B53" s="99" t="s">
        <v>129</v>
      </c>
      <c r="C53" s="100"/>
      <c r="D53" s="100"/>
      <c r="E53" s="101"/>
      <c r="F53" s="100"/>
      <c r="G53" s="102"/>
    </row>
    <row r="54" spans="2:7" x14ac:dyDescent="0.2">
      <c r="B54" s="99"/>
      <c r="C54" s="100"/>
      <c r="D54" s="100"/>
      <c r="E54" s="101"/>
      <c r="F54" s="100"/>
      <c r="G54" s="102"/>
    </row>
    <row r="55" spans="2:7" x14ac:dyDescent="0.2">
      <c r="B55" s="99"/>
      <c r="C55" s="100"/>
      <c r="D55" s="100"/>
      <c r="E55" s="101"/>
      <c r="F55" s="100"/>
      <c r="G55" s="102"/>
    </row>
    <row r="56" spans="2:7" x14ac:dyDescent="0.2">
      <c r="B56" s="99" t="s">
        <v>130</v>
      </c>
      <c r="C56" s="100"/>
      <c r="D56" s="100"/>
      <c r="E56" s="101"/>
      <c r="F56" s="100"/>
      <c r="G56" s="102"/>
    </row>
    <row r="57" spans="2:7" x14ac:dyDescent="0.2">
      <c r="B57" s="103"/>
      <c r="C57" s="104"/>
      <c r="D57" s="104"/>
      <c r="E57" s="105"/>
      <c r="F57" s="104"/>
      <c r="G57" s="106"/>
    </row>
  </sheetData>
  <mergeCells count="9">
    <mergeCell ref="A6:B6"/>
    <mergeCell ref="A7:B7"/>
    <mergeCell ref="B37:E38"/>
    <mergeCell ref="B39:E39"/>
    <mergeCell ref="B2:I2"/>
    <mergeCell ref="A4:B4"/>
    <mergeCell ref="C4:F4"/>
    <mergeCell ref="A5:B5"/>
    <mergeCell ref="C5:F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8"/>
  <sheetViews>
    <sheetView zoomScale="85" zoomScaleNormal="85" workbookViewId="0">
      <selection activeCell="C19" sqref="C19:G19"/>
    </sheetView>
  </sheetViews>
  <sheetFormatPr baseColWidth="10" defaultColWidth="9.140625" defaultRowHeight="12.75" x14ac:dyDescent="0.2"/>
  <cols>
    <col min="1" max="1" width="5.5703125" style="28" customWidth="1"/>
    <col min="2" max="2" width="16.5703125" style="28" bestFit="1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55" style="28" customWidth="1"/>
    <col min="8" max="8" width="13.42578125" style="28" customWidth="1"/>
    <col min="9" max="9" width="16" style="28" customWidth="1"/>
    <col min="10" max="10" width="15.5703125" style="28" customWidth="1"/>
    <col min="11" max="11" width="14" style="28" customWidth="1"/>
    <col min="12" max="12" width="15.5703125" style="28" customWidth="1"/>
    <col min="13" max="13" width="5.85546875" style="28" customWidth="1"/>
    <col min="14" max="14" width="9.42578125" style="28" customWidth="1"/>
    <col min="15" max="15" width="5.85546875" style="28" customWidth="1"/>
    <col min="16" max="16" width="12.5703125" style="28" customWidth="1"/>
    <col min="17" max="1025" width="9.140625" style="28"/>
    <col min="1026" max="16384" width="9.140625" style="29"/>
  </cols>
  <sheetData>
    <row r="1" spans="1:13 1025:1025" ht="16.5" thickBot="1" x14ac:dyDescent="0.25">
      <c r="A1" s="128" t="s">
        <v>13</v>
      </c>
      <c r="B1" s="128"/>
      <c r="C1" s="128"/>
      <c r="D1" s="128"/>
      <c r="E1" s="128"/>
      <c r="F1" s="128"/>
      <c r="G1" s="128"/>
      <c r="H1" s="128"/>
      <c r="I1" s="128"/>
      <c r="J1" s="27" t="s">
        <v>14</v>
      </c>
      <c r="K1" s="86" t="s">
        <v>122</v>
      </c>
      <c r="AMK1" s="29"/>
    </row>
    <row r="2" spans="1:13 1025:1025" ht="16.5" thickBot="1" x14ac:dyDescent="0.25">
      <c r="A2" s="30"/>
      <c r="B2" s="30"/>
      <c r="C2" s="30"/>
      <c r="D2" s="31"/>
      <c r="E2" s="31"/>
      <c r="F2" s="31"/>
      <c r="G2" s="31"/>
      <c r="H2" s="40"/>
      <c r="I2" s="31"/>
      <c r="J2" s="31"/>
      <c r="K2" s="31"/>
      <c r="L2" s="31"/>
    </row>
    <row r="3" spans="1:13 1025:1025" ht="16.5" customHeight="1" thickBot="1" x14ac:dyDescent="0.25">
      <c r="A3" s="129" t="s">
        <v>46</v>
      </c>
      <c r="B3" s="130"/>
      <c r="C3" s="138" t="str">
        <f>'Necesidades Trimestrales'!C4</f>
        <v>040 - Ministerio de Salud</v>
      </c>
      <c r="D3" s="138"/>
      <c r="E3" s="138"/>
      <c r="F3" s="138"/>
      <c r="G3" s="138"/>
      <c r="H3" s="138"/>
      <c r="I3" s="138"/>
      <c r="J3" s="138"/>
      <c r="K3" s="138"/>
      <c r="AMK3" s="29"/>
    </row>
    <row r="4" spans="1:13 1025:1025" ht="16.5" thickBot="1" x14ac:dyDescent="0.25">
      <c r="A4" s="131" t="s">
        <v>47</v>
      </c>
      <c r="B4" s="132"/>
      <c r="C4" s="137" t="str">
        <f>'Necesidades Trimestrales'!C5</f>
        <v>24 - Direccion de Administracion del Hospital Interzonal de Niños</v>
      </c>
      <c r="D4" s="137"/>
      <c r="E4" s="137"/>
      <c r="F4" s="137"/>
      <c r="G4" s="137"/>
      <c r="H4" s="137"/>
      <c r="I4" s="137"/>
      <c r="J4" s="137"/>
      <c r="K4" s="137"/>
      <c r="AMK4" s="29"/>
    </row>
    <row r="5" spans="1:13 1025:1025" ht="16.5" customHeight="1" thickBot="1" x14ac:dyDescent="0.25">
      <c r="A5" s="131" t="s">
        <v>25</v>
      </c>
      <c r="B5" s="132"/>
      <c r="C5" s="137" t="str">
        <f>+C4</f>
        <v>24 - Direccion de Administracion del Hospital Interzonal de Niños</v>
      </c>
      <c r="D5" s="137"/>
      <c r="E5" s="137"/>
      <c r="F5" s="137"/>
      <c r="G5" s="137"/>
      <c r="H5" s="137"/>
      <c r="I5" s="137"/>
      <c r="J5" s="137"/>
      <c r="K5" s="137"/>
      <c r="AMK5" s="29"/>
    </row>
    <row r="6" spans="1:13 1025:1025" ht="16.5" customHeight="1" thickBot="1" x14ac:dyDescent="0.25">
      <c r="A6" s="131" t="s">
        <v>48</v>
      </c>
      <c r="B6" s="132"/>
      <c r="C6" s="137" t="s">
        <v>121</v>
      </c>
      <c r="D6" s="137"/>
      <c r="E6" s="137"/>
      <c r="F6" s="137"/>
      <c r="G6" s="137"/>
      <c r="H6" s="137"/>
      <c r="I6" s="137"/>
      <c r="J6" s="137"/>
      <c r="K6" s="137"/>
      <c r="AMK6" s="29"/>
    </row>
    <row r="7" spans="1:13 1025:1025" ht="16.5" customHeight="1" thickBot="1" x14ac:dyDescent="0.25">
      <c r="A7" s="133" t="s">
        <v>15</v>
      </c>
      <c r="B7" s="134"/>
      <c r="C7" s="137" t="s">
        <v>53</v>
      </c>
      <c r="D7" s="137"/>
      <c r="E7" s="137"/>
      <c r="F7" s="137"/>
      <c r="G7" s="137"/>
      <c r="H7" s="137"/>
      <c r="I7" s="137"/>
      <c r="J7" s="137"/>
      <c r="K7" s="137"/>
      <c r="AMK7" s="29"/>
    </row>
    <row r="8" spans="1:13 1025:1025" ht="41.25" customHeight="1" thickBot="1" x14ac:dyDescent="0.25">
      <c r="A8" s="135" t="s">
        <v>16</v>
      </c>
      <c r="B8" s="136"/>
      <c r="C8" s="139" t="s">
        <v>60</v>
      </c>
      <c r="D8" s="139"/>
      <c r="E8" s="139"/>
      <c r="F8" s="139"/>
      <c r="G8" s="139"/>
      <c r="H8" s="139"/>
      <c r="I8" s="139"/>
      <c r="J8" s="139"/>
      <c r="K8" s="139"/>
      <c r="AMK8" s="29"/>
    </row>
    <row r="9" spans="1:13 1025:1025" ht="16.5" thickBot="1" x14ac:dyDescent="0.25">
      <c r="A9" s="32"/>
      <c r="B9" s="32"/>
      <c r="C9" s="32"/>
      <c r="D9" s="33"/>
      <c r="E9" s="33"/>
      <c r="F9" s="33"/>
      <c r="G9" s="33"/>
      <c r="H9" s="41"/>
      <c r="I9" s="33"/>
      <c r="J9" s="33"/>
      <c r="K9" s="33"/>
      <c r="L9" s="33"/>
    </row>
    <row r="10" spans="1:13 1025:1025" ht="13.5" thickBot="1" x14ac:dyDescent="0.25">
      <c r="A10" s="126" t="s">
        <v>17</v>
      </c>
      <c r="B10" s="126" t="s">
        <v>6</v>
      </c>
      <c r="C10" s="127" t="s">
        <v>18</v>
      </c>
      <c r="D10" s="127"/>
      <c r="E10" s="127"/>
      <c r="F10" s="127"/>
      <c r="G10" s="127"/>
      <c r="H10" s="127" t="s">
        <v>19</v>
      </c>
      <c r="I10" s="127" t="s">
        <v>20</v>
      </c>
      <c r="J10" s="127" t="s">
        <v>21</v>
      </c>
      <c r="K10" s="127" t="s">
        <v>22</v>
      </c>
      <c r="AMK10" s="29"/>
    </row>
    <row r="11" spans="1:13 1025:1025" ht="35.25" customHeight="1" thickBot="1" x14ac:dyDescent="0.25">
      <c r="A11" s="126"/>
      <c r="B11" s="126"/>
      <c r="C11" s="127"/>
      <c r="D11" s="127"/>
      <c r="E11" s="127"/>
      <c r="F11" s="127"/>
      <c r="G11" s="127"/>
      <c r="H11" s="127"/>
      <c r="I11" s="127"/>
      <c r="J11" s="127"/>
      <c r="K11" s="127"/>
      <c r="AMK11" s="29"/>
    </row>
    <row r="12" spans="1:13 1025:1025" ht="46.5" customHeight="1" thickBot="1" x14ac:dyDescent="0.25">
      <c r="A12" s="70">
        <v>1</v>
      </c>
      <c r="B12" s="71" t="str">
        <f>+'Necesidades Trimestrales'!B10</f>
        <v>2.5.2-1875.133</v>
      </c>
      <c r="C12" s="119" t="str">
        <f>+'Necesidades Trimestrales'!E10</f>
        <v>ANTIASMATICO BRONCODILATADOR; TIPO: MONODROGA, DROGA GENERICA: N-ACETIL CISTEINA 600 MGR, FORMA FARMACEUTICA: TABLETA EFERVESCENTE, PRESENTACION: UNIDAD</v>
      </c>
      <c r="D12" s="119"/>
      <c r="E12" s="119"/>
      <c r="F12" s="119"/>
      <c r="G12" s="119"/>
      <c r="H12" s="70" t="s">
        <v>51</v>
      </c>
      <c r="I12" s="67" t="str">
        <f>+'Necesidades Trimestrales'!F10</f>
        <v>UNIDAD</v>
      </c>
      <c r="J12" s="68">
        <f>+'Necesidades Trimestrales'!H10</f>
        <v>35.24</v>
      </c>
      <c r="K12" s="72">
        <f>+'Necesidades Trimestrales'!G10</f>
        <v>150</v>
      </c>
      <c r="L12" s="66"/>
      <c r="M12" s="66"/>
      <c r="AMK12" s="29"/>
    </row>
    <row r="13" spans="1:13 1025:1025" ht="46.5" customHeight="1" thickBot="1" x14ac:dyDescent="0.25">
      <c r="A13" s="70">
        <v>2</v>
      </c>
      <c r="B13" s="71" t="str">
        <f>+'Necesidades Trimestrales'!B11</f>
        <v>2.5.2-2198.8</v>
      </c>
      <c r="C13" s="119" t="str">
        <f>+'Necesidades Trimestrales'!E11</f>
        <v>ANTIDIURETICOS; DROGA GENERICA: VASOPRESINA ACUOSA, FORMA FARMACEUTICA: AMPOLLA, PRESENTACION: 1 mL, TIPO: MONODROGA</v>
      </c>
      <c r="D13" s="119"/>
      <c r="E13" s="119"/>
      <c r="F13" s="119"/>
      <c r="G13" s="119"/>
      <c r="H13" s="70" t="s">
        <v>108</v>
      </c>
      <c r="I13" s="67" t="str">
        <f>+'Necesidades Trimestrales'!F11</f>
        <v>CAJA</v>
      </c>
      <c r="J13" s="68">
        <f>+'Necesidades Trimestrales'!H11</f>
        <v>775</v>
      </c>
      <c r="K13" s="72">
        <f>+'Necesidades Trimestrales'!G11</f>
        <v>10</v>
      </c>
      <c r="L13" s="120"/>
      <c r="M13" s="121"/>
      <c r="AMK13" s="29"/>
    </row>
    <row r="14" spans="1:13 1025:1025" ht="46.5" customHeight="1" thickBot="1" x14ac:dyDescent="0.25">
      <c r="A14" s="70">
        <v>3</v>
      </c>
      <c r="B14" s="71" t="str">
        <f>+'Necesidades Trimestrales'!B12</f>
        <v>2.5.2-1821.189</v>
      </c>
      <c r="C14" s="119" t="str">
        <f>+'Necesidades Trimestrales'!E12</f>
        <v>ANTIBIOTICOS P/PERSONAS; DROGA GENERICA: ACIDO FUSIDICO 20MG, FORMA FARMACEUTICA: CREMA, PRESENTACION: POMO X 15 GR, TIPO: MONODROGA</v>
      </c>
      <c r="D14" s="119"/>
      <c r="E14" s="119"/>
      <c r="F14" s="119"/>
      <c r="G14" s="119"/>
      <c r="H14" s="70" t="s">
        <v>51</v>
      </c>
      <c r="I14" s="67" t="str">
        <f>+'Necesidades Trimestrales'!F12</f>
        <v>UNIDAD</v>
      </c>
      <c r="J14" s="68">
        <f>+'Necesidades Trimestrales'!H12</f>
        <v>650</v>
      </c>
      <c r="K14" s="72">
        <f>+'Necesidades Trimestrales'!G12</f>
        <v>20</v>
      </c>
      <c r="L14" s="66"/>
      <c r="M14" s="66"/>
      <c r="AMK14" s="29"/>
    </row>
    <row r="15" spans="1:13 1025:1025" ht="46.5" customHeight="1" thickBot="1" x14ac:dyDescent="0.25">
      <c r="A15" s="70">
        <v>4</v>
      </c>
      <c r="B15" s="71" t="str">
        <f>+'Necesidades Trimestrales'!B13</f>
        <v>2.9.5-427.33</v>
      </c>
      <c r="C15" s="119" t="str">
        <f>+'Necesidades Trimestrales'!E13</f>
        <v>APOSITOS; TIPO: HIDROCOLOIDE, TAMAÑO: 15 X 17,5 Cm</v>
      </c>
      <c r="D15" s="119"/>
      <c r="E15" s="119"/>
      <c r="F15" s="119"/>
      <c r="G15" s="119"/>
      <c r="H15" s="70" t="s">
        <v>51</v>
      </c>
      <c r="I15" s="67" t="str">
        <f>+'Necesidades Trimestrales'!F13</f>
        <v>UNIDAD</v>
      </c>
      <c r="J15" s="68">
        <f>+'Necesidades Trimestrales'!H13</f>
        <v>1120</v>
      </c>
      <c r="K15" s="72">
        <f>+'Necesidades Trimestrales'!G13</f>
        <v>100</v>
      </c>
      <c r="L15" s="66"/>
      <c r="M15" s="66"/>
      <c r="AMK15" s="29"/>
    </row>
    <row r="16" spans="1:13 1025:1025" ht="46.5" customHeight="1" thickBot="1" x14ac:dyDescent="0.25">
      <c r="A16" s="70">
        <v>5</v>
      </c>
      <c r="B16" s="71" t="str">
        <f>+'Necesidades Trimestrales'!B14</f>
        <v>2.9.5-427.39</v>
      </c>
      <c r="C16" s="119" t="str">
        <f>+'Necesidades Trimestrales'!E14</f>
        <v>APOSITOS; TIPO: HIDROCOLOIDE, TAMAÑO: 10 X 10 Cm</v>
      </c>
      <c r="D16" s="119"/>
      <c r="E16" s="119"/>
      <c r="F16" s="119"/>
      <c r="G16" s="119"/>
      <c r="H16" s="70" t="s">
        <v>51</v>
      </c>
      <c r="I16" s="67" t="str">
        <f>+'Necesidades Trimestrales'!F14</f>
        <v>UNIDAD</v>
      </c>
      <c r="J16" s="68">
        <f>+'Necesidades Trimestrales'!H14</f>
        <v>580</v>
      </c>
      <c r="K16" s="72">
        <f>+'Necesidades Trimestrales'!G14</f>
        <v>100</v>
      </c>
      <c r="L16" s="66"/>
      <c r="M16" s="66"/>
      <c r="AMK16" s="29"/>
    </row>
    <row r="17" spans="1:13 1025:1025" ht="46.5" customHeight="1" thickBot="1" x14ac:dyDescent="0.25">
      <c r="A17" s="70">
        <v>6</v>
      </c>
      <c r="B17" s="71" t="str">
        <f>+'Necesidades Trimestrales'!B15</f>
        <v>2.5.2-1855.23</v>
      </c>
      <c r="C17" s="119" t="str">
        <f>+'Necesidades Trimestrales'!E15</f>
        <v>CORTICOESTEROIDES; TIPO: MONODROGA, DROGA GENERICA: BETAMETASONA, FORMA FARMACEUTICA: CREMA, PRESENTACION: 15 GR</v>
      </c>
      <c r="D17" s="119"/>
      <c r="E17" s="119"/>
      <c r="F17" s="119"/>
      <c r="G17" s="119"/>
      <c r="H17" s="70" t="s">
        <v>51</v>
      </c>
      <c r="I17" s="67" t="str">
        <f>+'Necesidades Trimestrales'!F15</f>
        <v>UNIDAD</v>
      </c>
      <c r="J17" s="68">
        <f>+'Necesidades Trimestrales'!H15</f>
        <v>280</v>
      </c>
      <c r="K17" s="72">
        <f>+'Necesidades Trimestrales'!G15</f>
        <v>10</v>
      </c>
      <c r="L17" s="66"/>
      <c r="M17" s="66"/>
      <c r="AMK17" s="29"/>
    </row>
    <row r="18" spans="1:13 1025:1025" ht="46.5" customHeight="1" thickBot="1" x14ac:dyDescent="0.25">
      <c r="A18" s="70">
        <v>7</v>
      </c>
      <c r="B18" s="71" t="str">
        <f>+'Necesidades Trimestrales'!B16</f>
        <v>2.5.2-1875.134</v>
      </c>
      <c r="C18" s="119" t="str">
        <f>+'Necesidades Trimestrales'!E16</f>
        <v>ANTIASMATICO BRONCODILATADOR; TIPO: MONODROGA, DROGA GENERICA: BUDESONIDE 200 µGR, FORMA FARMACEUTICA: AEROSOL, PRESENTACION: 100 DOSIS</v>
      </c>
      <c r="D18" s="119"/>
      <c r="E18" s="119"/>
      <c r="F18" s="119"/>
      <c r="G18" s="119"/>
      <c r="H18" s="70" t="s">
        <v>51</v>
      </c>
      <c r="I18" s="67" t="str">
        <f>+'Necesidades Trimestrales'!F16</f>
        <v>UNIDAD</v>
      </c>
      <c r="J18" s="68">
        <f>+'Necesidades Trimestrales'!H16</f>
        <v>750</v>
      </c>
      <c r="K18" s="72">
        <f>+'Necesidades Trimestrales'!G16</f>
        <v>300</v>
      </c>
      <c r="L18" s="66"/>
      <c r="M18" s="66"/>
      <c r="AMK18" s="29"/>
    </row>
    <row r="19" spans="1:13 1025:1025" ht="46.5" customHeight="1" thickBot="1" x14ac:dyDescent="0.25">
      <c r="A19" s="70">
        <v>8</v>
      </c>
      <c r="B19" s="71" t="str">
        <f>+'Necesidades Trimestrales'!B17</f>
        <v>2.5.2-2476.50</v>
      </c>
      <c r="C19" s="119" t="str">
        <f>+'Necesidades Trimestrales'!E17</f>
        <v>ANTIALERGICOS-ANTIHISTAMINICOS; TIPO: MONODROGA, DROGA GENERICA: BUDESONIDA 1 MG/ML, FORMA FARMACEUTICA: GOTAS, PRESENTACION: ENVASE X 20 mL</v>
      </c>
      <c r="D19" s="119"/>
      <c r="E19" s="119"/>
      <c r="F19" s="119"/>
      <c r="G19" s="119"/>
      <c r="H19" s="70" t="s">
        <v>51</v>
      </c>
      <c r="I19" s="67" t="str">
        <f>+'Necesidades Trimestrales'!F17</f>
        <v>UNIDAD</v>
      </c>
      <c r="J19" s="68">
        <f>+'Necesidades Trimestrales'!H17</f>
        <v>327</v>
      </c>
      <c r="K19" s="72">
        <f>+'Necesidades Trimestrales'!G17</f>
        <v>500</v>
      </c>
      <c r="L19" s="66"/>
      <c r="M19" s="66"/>
      <c r="AMK19" s="29"/>
    </row>
    <row r="20" spans="1:13 1025:1025" ht="46.5" customHeight="1" thickBot="1" x14ac:dyDescent="0.25">
      <c r="A20" s="70">
        <v>9</v>
      </c>
      <c r="B20" s="71" t="str">
        <f>+'Necesidades Trimestrales'!B18</f>
        <v>2.5.2-2476.74</v>
      </c>
      <c r="C20" s="119" t="str">
        <f>+'Necesidades Trimestrales'!E18</f>
        <v>ANTIALERGICOS-ANTIHISTAMINICOS; TIPO: MONODROGA, DROGA GENERICA: DIFENHIDRAMINA 250 MG, FORMA FARMACEUTICA: JARABE, PRESENTACION: FRASCO X 120 mL</v>
      </c>
      <c r="D20" s="119"/>
      <c r="E20" s="119"/>
      <c r="F20" s="119"/>
      <c r="G20" s="119"/>
      <c r="H20" s="70" t="s">
        <v>51</v>
      </c>
      <c r="I20" s="67" t="str">
        <f>+'Necesidades Trimestrales'!F18</f>
        <v>FRASCO</v>
      </c>
      <c r="J20" s="68">
        <f>+'Necesidades Trimestrales'!H18</f>
        <v>199</v>
      </c>
      <c r="K20" s="72">
        <f>+'Necesidades Trimestrales'!G18</f>
        <v>1000</v>
      </c>
      <c r="L20" s="66"/>
      <c r="M20" s="66"/>
      <c r="AMK20" s="29"/>
    </row>
    <row r="21" spans="1:13 1025:1025" ht="46.5" customHeight="1" thickBot="1" x14ac:dyDescent="0.25">
      <c r="A21" s="70">
        <v>10</v>
      </c>
      <c r="B21" s="71" t="str">
        <f>+'Necesidades Trimestrales'!B19</f>
        <v>2.5.2-2476.36</v>
      </c>
      <c r="C21" s="119" t="str">
        <f>+'Necesidades Trimestrales'!E19</f>
        <v>ANTIALERGICOS-ANTIHISTAMINICOS; TIPO: MONODROGA, DROGA GENERICA: DIFENHIDRAMINA, FORMA FARMACEUTICA: COMPRIMIDO, PRESENTACION: 50 mGr</v>
      </c>
      <c r="D21" s="119"/>
      <c r="E21" s="119"/>
      <c r="F21" s="119"/>
      <c r="G21" s="119"/>
      <c r="H21" s="70" t="s">
        <v>51</v>
      </c>
      <c r="I21" s="67" t="str">
        <f>+'Necesidades Trimestrales'!F19</f>
        <v>COMPRIMIDO</v>
      </c>
      <c r="J21" s="68">
        <f>+'Necesidades Trimestrales'!H19</f>
        <v>4.6500000000000004</v>
      </c>
      <c r="K21" s="72">
        <f>+'Necesidades Trimestrales'!G19</f>
        <v>1000</v>
      </c>
      <c r="L21" s="66"/>
      <c r="M21" s="66"/>
      <c r="AMK21" s="29"/>
    </row>
    <row r="22" spans="1:13 1025:1025" ht="46.5" customHeight="1" thickBot="1" x14ac:dyDescent="0.25">
      <c r="A22" s="70">
        <v>11</v>
      </c>
      <c r="B22" s="71" t="str">
        <f>+'Necesidades Trimestrales'!B20</f>
        <v>2.5.2-2476.44</v>
      </c>
      <c r="C22" s="119" t="str">
        <f>+'Necesidades Trimestrales'!E20</f>
        <v>ANTIALERGICOS-ANTIHISTAMINICOS; TIPO: MONODROGA, DROGA GENERICA: DIFENHIDRAMINA, FORMA FARMACEUTICA: AMPOLLA, PRESENTACION: 10 mGr</v>
      </c>
      <c r="D22" s="119"/>
      <c r="E22" s="119"/>
      <c r="F22" s="119"/>
      <c r="G22" s="119"/>
      <c r="H22" s="70" t="s">
        <v>51</v>
      </c>
      <c r="I22" s="67" t="str">
        <f>+'Necesidades Trimestrales'!F20</f>
        <v>AMPOLLA</v>
      </c>
      <c r="J22" s="68">
        <f>+'Necesidades Trimestrales'!H20</f>
        <v>55</v>
      </c>
      <c r="K22" s="72">
        <f>+'Necesidades Trimestrales'!G20</f>
        <v>1000</v>
      </c>
      <c r="L22" s="66"/>
      <c r="M22" s="66"/>
      <c r="AMK22" s="29"/>
    </row>
    <row r="23" spans="1:13 1025:1025" ht="33" customHeight="1" thickBot="1" x14ac:dyDescent="0.25">
      <c r="A23" s="70">
        <v>12</v>
      </c>
      <c r="B23" s="71" t="str">
        <f>+'Necesidades Trimestrales'!B21</f>
        <v>2.5.2-1855.18</v>
      </c>
      <c r="C23" s="119" t="str">
        <f>+'Necesidades Trimestrales'!E21</f>
        <v>CORTICOESTEROIDES; TIPO: MONODROGA, DROGA GENERICA: BETAMETASONA, FORMA FARMACEUTICA: GOTAS, PRESENTACION: 15 mL</v>
      </c>
      <c r="D23" s="119"/>
      <c r="E23" s="119"/>
      <c r="F23" s="119"/>
      <c r="G23" s="119"/>
      <c r="H23" s="70" t="s">
        <v>108</v>
      </c>
      <c r="I23" s="67" t="str">
        <f>+'Necesidades Trimestrales'!F21</f>
        <v>UNIDAD</v>
      </c>
      <c r="J23" s="68">
        <f>+'Necesidades Trimestrales'!H21</f>
        <v>340</v>
      </c>
      <c r="K23" s="72">
        <f>+'Necesidades Trimestrales'!G21</f>
        <v>2000</v>
      </c>
      <c r="L23" s="66"/>
      <c r="M23" s="66"/>
      <c r="AMK23" s="29"/>
    </row>
    <row r="24" spans="1:13 1025:1025" ht="46.5" customHeight="1" thickBot="1" x14ac:dyDescent="0.25">
      <c r="A24" s="70">
        <v>13</v>
      </c>
      <c r="B24" s="71" t="str">
        <f>+'Necesidades Trimestrales'!B22</f>
        <v>2.5.2-1855.47</v>
      </c>
      <c r="C24" s="119" t="str">
        <f>+'Necesidades Trimestrales'!E22</f>
        <v>CORTICOESTEROIDES; TIPO: MONODROGA, DROGA GENERICA: HIDROCORTISONA, FORMA FARMACEUTICA: AMPOLLA/FRASCO, PRESENTACION: 100 mGr</v>
      </c>
      <c r="D24" s="119"/>
      <c r="E24" s="119"/>
      <c r="F24" s="119"/>
      <c r="G24" s="119"/>
      <c r="H24" s="70" t="s">
        <v>51</v>
      </c>
      <c r="I24" s="67" t="str">
        <f>+'Necesidades Trimestrales'!F22</f>
        <v>AMPOLLA</v>
      </c>
      <c r="J24" s="68">
        <f>+'Necesidades Trimestrales'!H22</f>
        <v>120</v>
      </c>
      <c r="K24" s="72">
        <f>+'Necesidades Trimestrales'!G22</f>
        <v>1000</v>
      </c>
      <c r="L24" s="66"/>
      <c r="M24" s="66"/>
      <c r="AMK24" s="29"/>
    </row>
    <row r="25" spans="1:13 1025:1025" ht="46.5" customHeight="1" thickBot="1" x14ac:dyDescent="0.25">
      <c r="A25" s="70">
        <v>14</v>
      </c>
      <c r="B25" s="71" t="str">
        <f>+'Necesidades Trimestrales'!B23</f>
        <v>2.5.2-1855.77</v>
      </c>
      <c r="C25" s="119" t="str">
        <f>+'Necesidades Trimestrales'!E23</f>
        <v>CORTICOESTEROIDES; TIPO: MONODROGA, DROGA GENERICA: HIDROCORTISONA, FORMA FARMACEUTICA: FRASCO AMPOLLA, PRESENTACION: ENVASE X 500 mGr</v>
      </c>
      <c r="D25" s="119"/>
      <c r="E25" s="119"/>
      <c r="F25" s="119"/>
      <c r="G25" s="119"/>
      <c r="H25" s="70" t="s">
        <v>51</v>
      </c>
      <c r="I25" s="67" t="str">
        <f>+'Necesidades Trimestrales'!F23</f>
        <v>AMPOLLA</v>
      </c>
      <c r="J25" s="68">
        <f>+'Necesidades Trimestrales'!H23</f>
        <v>222</v>
      </c>
      <c r="K25" s="72">
        <f>+'Necesidades Trimestrales'!G23</f>
        <v>1000</v>
      </c>
      <c r="L25" s="66"/>
      <c r="M25" s="66"/>
      <c r="AMK25" s="29"/>
    </row>
    <row r="26" spans="1:13 1025:1025" ht="46.5" customHeight="1" thickBot="1" x14ac:dyDescent="0.25">
      <c r="A26" s="70">
        <v>15</v>
      </c>
      <c r="B26" s="71" t="str">
        <f>+'Necesidades Trimestrales'!B24</f>
        <v>2.5.2-1875.9</v>
      </c>
      <c r="C26" s="119" t="str">
        <f>+'Necesidades Trimestrales'!E24</f>
        <v>ANTIASMATICO BRONCODILATADOR; TIPO: MONODROGA, DROGA GENERICA: BROMURO DE IPRATROPIO, FORMA FARMACEUTICA: SOLUCION, PRESENTACION: 20 mL</v>
      </c>
      <c r="D26" s="119"/>
      <c r="E26" s="119"/>
      <c r="F26" s="119"/>
      <c r="G26" s="119"/>
      <c r="H26" s="70" t="s">
        <v>51</v>
      </c>
      <c r="I26" s="67" t="str">
        <f>+'Necesidades Trimestrales'!F24</f>
        <v>GOTERO</v>
      </c>
      <c r="J26" s="68">
        <f>+'Necesidades Trimestrales'!H24</f>
        <v>98</v>
      </c>
      <c r="K26" s="72">
        <f>+'Necesidades Trimestrales'!G24</f>
        <v>1000</v>
      </c>
      <c r="L26" s="66"/>
      <c r="M26" s="66"/>
      <c r="AMK26" s="29"/>
    </row>
    <row r="27" spans="1:13 1025:1025" ht="46.5" customHeight="1" thickBot="1" x14ac:dyDescent="0.25">
      <c r="A27" s="70">
        <v>16</v>
      </c>
      <c r="B27" s="71" t="str">
        <f>+'Necesidades Trimestrales'!B25</f>
        <v>2.5.2-1823.24</v>
      </c>
      <c r="C27" s="119" t="str">
        <f>+'Necesidades Trimestrales'!E25</f>
        <v>ANTIMICOTICOS; TIPO: MONODROGA, FORMA FARMACEUTICA: CREMA, PRESENTACION: 15 GR, DROGA GENERICA: KETOCONAZOL</v>
      </c>
      <c r="D27" s="119"/>
      <c r="E27" s="119"/>
      <c r="F27" s="119"/>
      <c r="G27" s="119"/>
      <c r="H27" s="70" t="s">
        <v>51</v>
      </c>
      <c r="I27" s="67" t="str">
        <f>+'Necesidades Trimestrales'!F25</f>
        <v>UNIDAD</v>
      </c>
      <c r="J27" s="68">
        <f>+'Necesidades Trimestrales'!H25</f>
        <v>250</v>
      </c>
      <c r="K27" s="72">
        <f>+'Necesidades Trimestrales'!G25</f>
        <v>5</v>
      </c>
      <c r="L27" s="66"/>
      <c r="M27" s="66"/>
      <c r="AMK27" s="29"/>
    </row>
    <row r="28" spans="1:13 1025:1025" ht="46.5" customHeight="1" thickBot="1" x14ac:dyDescent="0.25">
      <c r="A28" s="70">
        <v>17</v>
      </c>
      <c r="B28" s="71" t="str">
        <f>+'Necesidades Trimestrales'!B26</f>
        <v>2.5.2-2200.4</v>
      </c>
      <c r="C28" s="119" t="str">
        <f>+'Necesidades Trimestrales'!E26</f>
        <v>CORTICOIDES; DROGA GENERICA: MEPREDNISONA, FORMA FARMACEUTICA: COMPRIMIDO, PRESENTACION: 4 mGr, TIPO: MONODROGA</v>
      </c>
      <c r="D28" s="119"/>
      <c r="E28" s="119"/>
      <c r="F28" s="119"/>
      <c r="G28" s="119"/>
      <c r="H28" s="70" t="s">
        <v>51</v>
      </c>
      <c r="I28" s="67" t="str">
        <f>+'Necesidades Trimestrales'!F26</f>
        <v>COMPRIMIDO</v>
      </c>
      <c r="J28" s="68">
        <f>+'Necesidades Trimestrales'!H26</f>
        <v>9.8000000000000007</v>
      </c>
      <c r="K28" s="72">
        <f>+'Necesidades Trimestrales'!G26</f>
        <v>1000</v>
      </c>
      <c r="L28" s="66"/>
      <c r="M28" s="66"/>
      <c r="AMK28" s="29"/>
    </row>
    <row r="29" spans="1:13 1025:1025" ht="46.5" customHeight="1" thickBot="1" x14ac:dyDescent="0.25">
      <c r="A29" s="70">
        <v>18</v>
      </c>
      <c r="B29" s="71" t="str">
        <f>+'Necesidades Trimestrales'!B27</f>
        <v>2.5.2-2200.41</v>
      </c>
      <c r="C29" s="119" t="str">
        <f>+'Necesidades Trimestrales'!E27</f>
        <v>CORTICOIDES; DROGA GENÉRICA: MEPREDNISONA 4 ML/MG, FORMA FARMACEÚTICA: GOTAS</v>
      </c>
      <c r="D29" s="119"/>
      <c r="E29" s="119"/>
      <c r="F29" s="119"/>
      <c r="G29" s="119"/>
      <c r="H29" s="70" t="s">
        <v>108</v>
      </c>
      <c r="I29" s="67" t="str">
        <f>+'Necesidades Trimestrales'!F27</f>
        <v>GOTERO</v>
      </c>
      <c r="J29" s="68">
        <f>+'Necesidades Trimestrales'!H27</f>
        <v>315</v>
      </c>
      <c r="K29" s="72">
        <f>+'Necesidades Trimestrales'!G27</f>
        <v>1000</v>
      </c>
      <c r="L29" s="66"/>
      <c r="M29" s="66"/>
      <c r="AMK29" s="29"/>
    </row>
    <row r="30" spans="1:13 1025:1025" ht="46.5" customHeight="1" thickBot="1" x14ac:dyDescent="0.25">
      <c r="A30" s="70">
        <v>19</v>
      </c>
      <c r="B30" s="71" t="str">
        <f>+'Necesidades Trimestrales'!B28</f>
        <v>2.5.2-2200.19</v>
      </c>
      <c r="C30" s="119" t="str">
        <f>+'Necesidades Trimestrales'!E28</f>
        <v>CORTICOIDES; DROGA GENERICA: MEPREDNISONA, FORMA FARMACEUTICA: COMPRIMIDO, PRESENTACION: 40 mGr, TIPO: MONODROGA</v>
      </c>
      <c r="D30" s="119"/>
      <c r="E30" s="119"/>
      <c r="F30" s="119"/>
      <c r="G30" s="119"/>
      <c r="H30" s="70" t="s">
        <v>51</v>
      </c>
      <c r="I30" s="67" t="str">
        <f>+'Necesidades Trimestrales'!F28</f>
        <v>COMPRIMIDO</v>
      </c>
      <c r="J30" s="68">
        <f>+'Necesidades Trimestrales'!H28</f>
        <v>55</v>
      </c>
      <c r="K30" s="72">
        <f>+'Necesidades Trimestrales'!G28</f>
        <v>1000</v>
      </c>
      <c r="L30" s="66"/>
      <c r="M30" s="66"/>
      <c r="AMK30" s="29"/>
    </row>
    <row r="31" spans="1:13 1025:1025" ht="46.5" customHeight="1" thickBot="1" x14ac:dyDescent="0.25">
      <c r="A31" s="70">
        <v>20</v>
      </c>
      <c r="B31" s="71" t="str">
        <f>+'Necesidades Trimestrales'!B29</f>
        <v>2.5.2-1855.105</v>
      </c>
      <c r="C31" s="119" t="str">
        <f>+'Necesidades Trimestrales'!E29</f>
        <v>CORTICOESTEROIDES; TIPO: MONODROGA, DROGA GENERICA: MEPREDNISONA 8 mGr, FORMA FARMACEUTICA: COMPRIMIDO, PRESENTACION: UNIDAD</v>
      </c>
      <c r="D31" s="119"/>
      <c r="E31" s="119"/>
      <c r="F31" s="119"/>
      <c r="G31" s="119"/>
      <c r="H31" s="70" t="s">
        <v>51</v>
      </c>
      <c r="I31" s="67" t="str">
        <f>+'Necesidades Trimestrales'!F29</f>
        <v>COMPRIMIDO</v>
      </c>
      <c r="J31" s="68">
        <f>+'Necesidades Trimestrales'!H29</f>
        <v>17.350000000000001</v>
      </c>
      <c r="K31" s="72">
        <f>+'Necesidades Trimestrales'!G29</f>
        <v>1000</v>
      </c>
      <c r="L31" s="66"/>
      <c r="M31" s="66"/>
      <c r="AMK31" s="29"/>
    </row>
    <row r="32" spans="1:13 1025:1025" ht="46.5" customHeight="1" thickBot="1" x14ac:dyDescent="0.25">
      <c r="A32" s="70">
        <v>21</v>
      </c>
      <c r="B32" s="71" t="str">
        <f>+'Necesidades Trimestrales'!B30</f>
        <v>2.5.2-1723.122</v>
      </c>
      <c r="C32" s="119" t="str">
        <f>+'Necesidades Trimestrales'!E30</f>
        <v>ANTISEPTICOS LOCALES P/PERSONA; TIPO: MONODROGA, DROGA GENERICA: NITROFURAZONA, FORMA FARMACEUTICA: APOSITO, PRESENTACION: ENVASE X 20 UN</v>
      </c>
      <c r="D32" s="119"/>
      <c r="E32" s="119"/>
      <c r="F32" s="119"/>
      <c r="G32" s="119"/>
      <c r="H32" s="70" t="s">
        <v>51</v>
      </c>
      <c r="I32" s="67" t="str">
        <f>+'Necesidades Trimestrales'!F30</f>
        <v>CAJA</v>
      </c>
      <c r="J32" s="68">
        <f>+'Necesidades Trimestrales'!H30</f>
        <v>830</v>
      </c>
      <c r="K32" s="72">
        <f>+'Necesidades Trimestrales'!G30</f>
        <v>36</v>
      </c>
      <c r="L32" s="66"/>
      <c r="M32" s="66"/>
      <c r="AMK32" s="29"/>
    </row>
    <row r="33" spans="1:13 1025:1025" ht="46.5" customHeight="1" thickBot="1" x14ac:dyDescent="0.25">
      <c r="A33" s="70">
        <v>22</v>
      </c>
      <c r="B33" s="71" t="str">
        <f>+'Necesidades Trimestrales'!B31</f>
        <v>2.5.2-1895.89</v>
      </c>
      <c r="C33" s="119" t="str">
        <f>+'Necesidades Trimestrales'!E31</f>
        <v>HORMONAS MEDICINALES; TIPO: MONODROGA, DROGA GENERICA: OCTREOTIDA, FORMA FARMACEUTICA: AMPOLLA, PRESENTACION: 0,1 MG / ML, USO: INHIBIDOR HORMONA CRECIMIENTO</v>
      </c>
      <c r="D33" s="119"/>
      <c r="E33" s="119"/>
      <c r="F33" s="119"/>
      <c r="G33" s="119"/>
      <c r="H33" s="70" t="s">
        <v>108</v>
      </c>
      <c r="I33" s="67" t="str">
        <f>+'Necesidades Trimestrales'!F31</f>
        <v>CAJA</v>
      </c>
      <c r="J33" s="68">
        <f>+'Necesidades Trimestrales'!H31</f>
        <v>7904.45</v>
      </c>
      <c r="K33" s="72">
        <f>+'Necesidades Trimestrales'!G31</f>
        <v>20</v>
      </c>
      <c r="L33" s="66"/>
      <c r="M33" s="66"/>
      <c r="AMK33" s="29"/>
    </row>
    <row r="34" spans="1:13 1025:1025" ht="46.5" customHeight="1" thickBot="1" x14ac:dyDescent="0.25">
      <c r="A34" s="70">
        <v>23</v>
      </c>
      <c r="B34" s="71" t="str">
        <f>+'Necesidades Trimestrales'!B32</f>
        <v>2.5.2-1875.55</v>
      </c>
      <c r="C34" s="119" t="str">
        <f>+'Necesidades Trimestrales'!E32</f>
        <v>ANTIASMATICO BRONCODILATADOR; TIPO: MONODROGA, DROGA GENERICA: SALBUTAMOL, FORMA FARMACEUTICA: AEROSOL, PRESENTACION: 250 DOSIS</v>
      </c>
      <c r="D34" s="119"/>
      <c r="E34" s="119"/>
      <c r="F34" s="119"/>
      <c r="G34" s="119"/>
      <c r="H34" s="70" t="s">
        <v>108</v>
      </c>
      <c r="I34" s="67" t="str">
        <f>+'Necesidades Trimestrales'!F32</f>
        <v>UNIDAD</v>
      </c>
      <c r="J34" s="68">
        <f>+'Necesidades Trimestrales'!H32</f>
        <v>1580</v>
      </c>
      <c r="K34" s="72">
        <f>+'Necesidades Trimestrales'!G32</f>
        <v>3000</v>
      </c>
      <c r="L34" s="66"/>
      <c r="M34" s="66"/>
      <c r="AMK34" s="29"/>
    </row>
    <row r="35" spans="1:13 1025:1025" ht="46.5" customHeight="1" thickBot="1" x14ac:dyDescent="0.25">
      <c r="A35" s="70">
        <v>24</v>
      </c>
      <c r="B35" s="71" t="str">
        <f>+'Necesidades Trimestrales'!B33</f>
        <v>2.5.2-1875.11</v>
      </c>
      <c r="C35" s="119" t="str">
        <f>+'Necesidades Trimestrales'!E33</f>
        <v>ANTIASMATICO BRONCODILATADOR; TIPO: MONODROGA, PRESENTACION: 20 mL, FORMA FARMACEUTICA: GOTAS, DROGA GENERICA: SALBUTAMOL</v>
      </c>
      <c r="D35" s="119"/>
      <c r="E35" s="119"/>
      <c r="F35" s="119"/>
      <c r="G35" s="119"/>
      <c r="H35" s="70" t="s">
        <v>51</v>
      </c>
      <c r="I35" s="67" t="str">
        <f>+'Necesidades Trimestrales'!F33</f>
        <v>GOTERO</v>
      </c>
      <c r="J35" s="68">
        <f>+'Necesidades Trimestrales'!H33</f>
        <v>95</v>
      </c>
      <c r="K35" s="72">
        <f>+'Necesidades Trimestrales'!G33</f>
        <v>3000</v>
      </c>
      <c r="L35" s="122"/>
      <c r="M35" s="123"/>
      <c r="AMK35" s="29"/>
    </row>
    <row r="36" spans="1:13 1025:1025" ht="46.5" customHeight="1" thickBot="1" x14ac:dyDescent="0.25">
      <c r="A36" s="70">
        <v>25</v>
      </c>
      <c r="B36" s="71" t="str">
        <f>+'Necesidades Trimestrales'!B34</f>
        <v>2.5.2-1883.189</v>
      </c>
      <c r="C36" s="119" t="str">
        <f>+'Necesidades Trimestrales'!E34</f>
        <v>ANESTÉSICOS LOCALES; TIPO: ANALGÉSICO LOCAL Y ANTIBACTERIANO, DROGA GENÉRICA: LIDOCAÍNA + SULFADIAZINA + VITAMINA A, FORMA FARMACEÚTICA: CREMA, PRESENTACIÓN: ENVASE X 100 GR</v>
      </c>
      <c r="D36" s="119"/>
      <c r="E36" s="119"/>
      <c r="F36" s="119"/>
      <c r="G36" s="119"/>
      <c r="H36" s="70" t="s">
        <v>51</v>
      </c>
      <c r="I36" s="67" t="str">
        <f>+'Necesidades Trimestrales'!F34</f>
        <v>UNIDAD</v>
      </c>
      <c r="J36" s="68">
        <f>+'Necesidades Trimestrales'!H34</f>
        <v>1120</v>
      </c>
      <c r="K36" s="72">
        <f>+'Necesidades Trimestrales'!G34</f>
        <v>100</v>
      </c>
      <c r="L36" s="66"/>
      <c r="M36" s="66"/>
      <c r="AMK36" s="29"/>
    </row>
    <row r="37" spans="1:13 1025:1025" ht="46.5" customHeight="1" thickBot="1" x14ac:dyDescent="0.25">
      <c r="A37" s="70">
        <v>26</v>
      </c>
      <c r="B37" s="71" t="str">
        <f>+'Necesidades Trimestrales'!B35</f>
        <v>2.5.2-2481.3</v>
      </c>
      <c r="C37" s="119" t="str">
        <f>+'Necesidades Trimestrales'!E35</f>
        <v>LAXANTES; TIPO: MONODROGA, DROGA GENERICA: VASELINA, FORMA FARMACEUTICA: SOLIDO, PRESENTACION: 1000 GR</v>
      </c>
      <c r="D37" s="119"/>
      <c r="E37" s="119"/>
      <c r="F37" s="119"/>
      <c r="G37" s="119"/>
      <c r="H37" s="70" t="s">
        <v>51</v>
      </c>
      <c r="I37" s="67" t="str">
        <f>+'Necesidades Trimestrales'!F35</f>
        <v>UNIDAD</v>
      </c>
      <c r="J37" s="68">
        <f>+'Necesidades Trimestrales'!H35</f>
        <v>1260</v>
      </c>
      <c r="K37" s="72">
        <f>+'Necesidades Trimestrales'!G35</f>
        <v>30</v>
      </c>
      <c r="L37" s="66"/>
      <c r="M37" s="66"/>
      <c r="AMK37" s="29"/>
    </row>
    <row r="38" spans="1:13 1025:1025" ht="16.5" thickBot="1" x14ac:dyDescent="0.25">
      <c r="A38" s="125" t="s">
        <v>123</v>
      </c>
      <c r="B38" s="125"/>
      <c r="C38" s="125"/>
      <c r="D38" s="125"/>
      <c r="E38" s="125"/>
      <c r="F38" s="125"/>
      <c r="G38" s="125"/>
      <c r="H38" s="125"/>
      <c r="I38" s="125"/>
      <c r="J38" s="124">
        <f>SUMPRODUCT(J12:J37,K12:K37)</f>
        <v>7727155</v>
      </c>
      <c r="K38" s="124"/>
      <c r="L38" s="69"/>
      <c r="M38" s="66"/>
    </row>
  </sheetData>
  <mergeCells count="50">
    <mergeCell ref="A7:B7"/>
    <mergeCell ref="A8:B8"/>
    <mergeCell ref="C6:K6"/>
    <mergeCell ref="C7:K7"/>
    <mergeCell ref="C3:K3"/>
    <mergeCell ref="C4:K4"/>
    <mergeCell ref="C5:K5"/>
    <mergeCell ref="C8:K8"/>
    <mergeCell ref="A1:I1"/>
    <mergeCell ref="A3:B3"/>
    <mergeCell ref="A4:B4"/>
    <mergeCell ref="A5:B5"/>
    <mergeCell ref="A6:B6"/>
    <mergeCell ref="J38:K38"/>
    <mergeCell ref="A38:I38"/>
    <mergeCell ref="A10:A11"/>
    <mergeCell ref="C32:G32"/>
    <mergeCell ref="B10:B11"/>
    <mergeCell ref="C17:G17"/>
    <mergeCell ref="C10:G11"/>
    <mergeCell ref="C18:G18"/>
    <mergeCell ref="C19:G19"/>
    <mergeCell ref="C12:G12"/>
    <mergeCell ref="H10:H11"/>
    <mergeCell ref="I10:I11"/>
    <mergeCell ref="J10:J11"/>
    <mergeCell ref="K10:K11"/>
    <mergeCell ref="C37:G37"/>
    <mergeCell ref="C13:G13"/>
    <mergeCell ref="C36:G36"/>
    <mergeCell ref="C30:G30"/>
    <mergeCell ref="C33:G33"/>
    <mergeCell ref="C31:G31"/>
    <mergeCell ref="C25:G25"/>
    <mergeCell ref="C26:G26"/>
    <mergeCell ref="C28:G28"/>
    <mergeCell ref="L13:M13"/>
    <mergeCell ref="L35:M35"/>
    <mergeCell ref="C16:G16"/>
    <mergeCell ref="C29:G29"/>
    <mergeCell ref="C34:G34"/>
    <mergeCell ref="C35:G35"/>
    <mergeCell ref="C14:G14"/>
    <mergeCell ref="C15:G15"/>
    <mergeCell ref="C27:G27"/>
    <mergeCell ref="C20:G20"/>
    <mergeCell ref="C21:G21"/>
    <mergeCell ref="C22:G22"/>
    <mergeCell ref="C23:G23"/>
    <mergeCell ref="C24:G2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2" t="s">
        <v>3</v>
      </c>
      <c r="B1" s="162"/>
      <c r="C1" s="162"/>
      <c r="D1" s="163">
        <f>'Necesidades Trimestrales'!C6</f>
        <v>2022</v>
      </c>
      <c r="E1" s="163"/>
      <c r="F1" s="2"/>
      <c r="G1" s="2"/>
      <c r="H1" s="3"/>
      <c r="I1" s="3"/>
      <c r="J1" s="3"/>
      <c r="K1" s="3"/>
      <c r="L1" s="3"/>
      <c r="M1" s="3"/>
      <c r="N1" s="3"/>
      <c r="P1" s="164" t="s">
        <v>23</v>
      </c>
      <c r="Q1" s="164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64"/>
      <c r="Q2" s="164"/>
    </row>
    <row r="4" spans="1:17" s="4" customFormat="1" ht="18" customHeight="1" thickBot="1" x14ac:dyDescent="0.25">
      <c r="A4" s="165" t="s">
        <v>24</v>
      </c>
      <c r="B4" s="165"/>
      <c r="C4" s="165"/>
      <c r="D4" s="165"/>
      <c r="E4" s="165"/>
      <c r="F4" s="165"/>
      <c r="G4" s="160" t="str">
        <f>' NotaPedido'!C3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4" customFormat="1" ht="18" customHeight="1" thickBot="1" x14ac:dyDescent="0.25">
      <c r="A5" s="157" t="s">
        <v>47</v>
      </c>
      <c r="B5" s="158"/>
      <c r="C5" s="158"/>
      <c r="D5" s="158"/>
      <c r="E5" s="158"/>
      <c r="F5" s="159"/>
      <c r="G5" s="160" t="str">
        <f>' NotaPedido'!C4</f>
        <v>24 - Direccion de Administracion del Hospital Interzonal de Niños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4" customFormat="1" ht="18" customHeight="1" thickBot="1" x14ac:dyDescent="0.25">
      <c r="A6" s="157" t="s">
        <v>25</v>
      </c>
      <c r="B6" s="158"/>
      <c r="C6" s="158"/>
      <c r="D6" s="158"/>
      <c r="E6" s="158"/>
      <c r="F6" s="159"/>
      <c r="G6" s="160" t="str">
        <f>' NotaPedido'!C5</f>
        <v>24 - Direccion de Administracion del Hospital Interzonal de Niños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4" customFormat="1" ht="18" customHeight="1" thickBot="1" x14ac:dyDescent="0.25">
      <c r="A7" s="157" t="s">
        <v>48</v>
      </c>
      <c r="B7" s="158"/>
      <c r="C7" s="158"/>
      <c r="D7" s="158"/>
      <c r="E7" s="158"/>
      <c r="F7" s="159"/>
      <c r="G7" s="160" t="str">
        <f>' NotaPedido'!C6</f>
        <v>SERVICIO DE FARMACIA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25">
      <c r="A8" s="161" t="s">
        <v>26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51" t="s">
        <v>27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87"/>
      <c r="P9" s="87"/>
      <c r="Q9" s="88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87/2022,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x14ac:dyDescent="0.2">
      <c r="A12" s="153" t="s">
        <v>28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29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30</v>
      </c>
      <c r="P13" s="155"/>
      <c r="Q13" s="156" t="s">
        <v>31</v>
      </c>
    </row>
    <row r="14" spans="1:17" ht="15.75" customHeight="1" x14ac:dyDescent="0.2">
      <c r="A14" s="9" t="s">
        <v>32</v>
      </c>
      <c r="B14" s="10" t="s">
        <v>33</v>
      </c>
      <c r="C14" s="10" t="s">
        <v>34</v>
      </c>
      <c r="D14" s="10" t="s">
        <v>35</v>
      </c>
      <c r="E14" s="10" t="s">
        <v>36</v>
      </c>
      <c r="F14" s="10" t="s">
        <v>37</v>
      </c>
      <c r="G14" s="11" t="s">
        <v>38</v>
      </c>
      <c r="H14" s="10" t="s">
        <v>39</v>
      </c>
      <c r="I14" s="10" t="s">
        <v>40</v>
      </c>
      <c r="J14" s="10" t="s">
        <v>41</v>
      </c>
      <c r="K14" s="10" t="s">
        <v>41</v>
      </c>
      <c r="L14" s="10" t="s">
        <v>42</v>
      </c>
      <c r="M14" s="12" t="s">
        <v>43</v>
      </c>
      <c r="N14" s="13" t="s">
        <v>44</v>
      </c>
      <c r="O14" s="155"/>
      <c r="P14" s="155"/>
      <c r="Q14" s="156"/>
    </row>
    <row r="15" spans="1:17" ht="17.25" customHeight="1" x14ac:dyDescent="0.2">
      <c r="A15" s="89">
        <v>36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310</v>
      </c>
      <c r="I15" s="90">
        <v>2</v>
      </c>
      <c r="J15" s="90">
        <v>5</v>
      </c>
      <c r="K15" s="90">
        <v>2</v>
      </c>
      <c r="L15" s="90"/>
      <c r="M15" s="91">
        <v>1</v>
      </c>
      <c r="N15" s="92" t="s">
        <v>50</v>
      </c>
      <c r="O15" s="150" t="s">
        <v>114</v>
      </c>
      <c r="P15" s="150"/>
      <c r="Q15" s="93">
        <f>+' NotaPedido'!J38</f>
        <v>7727155</v>
      </c>
    </row>
    <row r="16" spans="1:17" ht="17.25" customHeight="1" x14ac:dyDescent="0.2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17"/>
      <c r="O16" s="146"/>
      <c r="P16" s="146"/>
      <c r="Q16" s="18"/>
    </row>
    <row r="17" spans="1:17" ht="17.25" customHeight="1" x14ac:dyDescent="0.2">
      <c r="A17" s="14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6"/>
      <c r="N17" s="17"/>
      <c r="O17" s="146"/>
      <c r="P17" s="146"/>
      <c r="Q17" s="18"/>
    </row>
    <row r="18" spans="1:17" ht="17.2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46"/>
      <c r="P18" s="146"/>
      <c r="Q18" s="18"/>
    </row>
    <row r="19" spans="1:17" ht="17.25" customHeight="1" x14ac:dyDescent="0.2">
      <c r="A19" s="14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6"/>
      <c r="N19" s="17"/>
      <c r="O19" s="146"/>
      <c r="P19" s="146"/>
      <c r="Q19" s="18"/>
    </row>
    <row r="20" spans="1:17" ht="17.25" customHeight="1" x14ac:dyDescent="0.2">
      <c r="A20" s="14"/>
      <c r="B20" s="15"/>
      <c r="C20" s="15"/>
      <c r="D20" s="15"/>
      <c r="E20" s="15"/>
      <c r="F20" s="17"/>
      <c r="G20" s="15"/>
      <c r="H20" s="15"/>
      <c r="I20" s="15"/>
      <c r="J20" s="15"/>
      <c r="K20" s="15"/>
      <c r="L20" s="15"/>
      <c r="M20" s="16"/>
      <c r="N20" s="17"/>
      <c r="O20" s="146"/>
      <c r="P20" s="146"/>
      <c r="Q20" s="18"/>
    </row>
    <row r="21" spans="1:17" ht="17.25" customHeight="1" x14ac:dyDescent="0.2">
      <c r="A21" s="19"/>
      <c r="B21" s="20"/>
      <c r="C21" s="20"/>
      <c r="D21" s="20"/>
      <c r="E21" s="20"/>
      <c r="F21" s="17"/>
      <c r="G21" s="20"/>
      <c r="H21" s="20"/>
      <c r="I21" s="20"/>
      <c r="J21" s="20"/>
      <c r="K21" s="20"/>
      <c r="L21" s="20"/>
      <c r="M21" s="21"/>
      <c r="N21" s="22"/>
      <c r="O21" s="146"/>
      <c r="P21" s="146"/>
      <c r="Q21" s="18"/>
    </row>
    <row r="22" spans="1:17" ht="17.25" customHeight="1" x14ac:dyDescent="0.2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4"/>
      <c r="O22" s="147"/>
      <c r="P22" s="147"/>
      <c r="Q22" s="26"/>
    </row>
    <row r="23" spans="1:17" ht="29.25" customHeight="1" x14ac:dyDescent="0.2">
      <c r="A23" s="148" t="s">
        <v>124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94">
        <f>SUM(Q15:Q22)</f>
        <v>7727155</v>
      </c>
    </row>
    <row r="24" spans="1:17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7" ht="17.25" customHeight="1" thickBot="1" x14ac:dyDescent="0.25">
      <c r="A25" s="140" t="s">
        <v>45</v>
      </c>
      <c r="B25" s="141"/>
      <c r="C25" s="141"/>
      <c r="D25" s="141"/>
      <c r="E25" s="141"/>
      <c r="F25" s="142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  <row r="26" spans="1:17" ht="18" customHeight="1" thickBot="1" x14ac:dyDescent="0.25">
      <c r="A26" s="144" t="s">
        <v>125</v>
      </c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  <row r="27" spans="1:17" ht="43.5" customHeight="1" x14ac:dyDescent="0.2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2022-10-20T14:26:10Z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