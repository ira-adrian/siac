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0ADAB338-3A4A-455B-A2CE-A87D8DCC543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NotaPedido'!$A$1:$K$14</definedName>
    <definedName name="_xlnm.Print_Area" localSheetId="2">'Autor Gastar'!$A$1:$Q$27</definedName>
  </definedNames>
  <calcPr calcId="181029"/>
</workbook>
</file>

<file path=xl/calcChain.xml><?xml version="1.0" encoding="utf-8"?>
<calcChain xmlns="http://schemas.openxmlformats.org/spreadsheetml/2006/main">
  <c r="J12" i="2" l="1"/>
  <c r="K12" i="2"/>
  <c r="J13" i="2"/>
  <c r="K13" i="2"/>
  <c r="I13" i="2"/>
  <c r="C13" i="2"/>
  <c r="B13" i="2"/>
  <c r="I11" i="1"/>
  <c r="J14" i="2" l="1"/>
  <c r="G6" i="3"/>
  <c r="G7" i="3"/>
  <c r="G4" i="3"/>
  <c r="G5" i="3"/>
  <c r="A10" i="3" l="1"/>
  <c r="D1" i="3"/>
  <c r="I12" i="2"/>
  <c r="C12" i="2"/>
  <c r="B12" i="2"/>
  <c r="I10" i="1"/>
  <c r="Q23" i="3" s="1"/>
  <c r="D10" i="1"/>
</calcChain>
</file>

<file path=xl/sharedStrings.xml><?xml version="1.0" encoding="utf-8"?>
<sst xmlns="http://schemas.openxmlformats.org/spreadsheetml/2006/main" count="95" uniqueCount="79">
  <si>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</si>
  <si>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</si>
  <si>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</si>
  <si>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</si>
  <si>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</si>
  <si>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</si>
  <si>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</si>
  <si>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</si>
  <si>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</si>
  <si>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</si>
  <si>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</si>
  <si>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</si>
  <si>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</si>
  <si>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</si>
  <si>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</si>
  <si>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</si>
  <si>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</si>
  <si>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</si>
  <si>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</si>
  <si>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</si>
  <si>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</si>
  <si>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</si>
  <si>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</si>
  <si>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</si>
  <si>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</si>
  <si>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</si>
  <si>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</si>
  <si>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</si>
  <si>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</si>
  <si>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</si>
  <si>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</si>
  <si>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</si>
  <si>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</si>
  <si>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</si>
  <si>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</si>
  <si>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</si>
  <si>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</si>
  <si>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</si>
  <si>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</si>
  <si>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</si>
  <si>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</si>
  <si>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</si>
  <si>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</si>
  <si>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</si>
  <si>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</si>
  <si>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</si>
  <si>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</si>
  <si>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</si>
  <si>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</si>
  <si>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</si>
  <si>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</si>
  <si>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</si>
  <si>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</si>
  <si>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</si>
  <si>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</si>
  <si>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</si>
  <si>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</si>
  <si>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</si>
  <si>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</si>
  <si>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</si>
  <si>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SECRETARIA DE COMPRAS Y ABASTECIMIENTO</t>
  </si>
  <si>
    <t>1.1</t>
  </si>
  <si>
    <t>090 - MINISTERIO DE SEGURIDAD</t>
  </si>
  <si>
    <t>SAF 19 - DIRECCION PROVINCIAL DE ADMINISTRACION Y RR.HH. DEL MIISTERIO DE SEGURIDAD</t>
  </si>
  <si>
    <t>2.7.3-2899.19</t>
  </si>
  <si>
    <t>INSUMO P/ ARMAMENTO</t>
  </si>
  <si>
    <t>2.7.3</t>
  </si>
  <si>
    <t>CARTUCHOS DE BALA; CALIBRE: 308 pulg, PRESENTACION: CAJA X 20</t>
  </si>
  <si>
    <t>90 - MINISTERIO DE SEGURIDAD</t>
  </si>
  <si>
    <t>1° TRIMESTRE</t>
  </si>
  <si>
    <t>MATERIAL DE GUERRA</t>
  </si>
  <si>
    <t>TOTAL DE PESOS: Novecientos Cuarenta y Cinco Mil con 00/100.-</t>
  </si>
  <si>
    <t>La adquisición de los cartuchos sera destinado a las practicas del I CURSO SNIPER KUNTUR, de la Policia de Catamarca.</t>
  </si>
  <si>
    <t>2.7.3-2899.79.</t>
  </si>
  <si>
    <t>CARTUCHO DE BALA; CALIBRE: .308 pulg. PUNTA BLANDA 168 GRAINS PRESENTACION: CAJA X 20 UNIDADES</t>
  </si>
  <si>
    <t>Adquisicion de Cartuchos de Bala</t>
  </si>
  <si>
    <t>Costo total estimado: Novecientos Cuarenta y Cinco Mil con 00/100.-</t>
  </si>
  <si>
    <t>001/2021</t>
  </si>
  <si>
    <t>MINISTERIO DE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</si>
</sst>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;[Red]&quot;$&quot;\ #,##0.00"/>
  </numFmts>
  <fonts count="2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rgb="FF3D3D3D"/>
      </right>
      <top style="medium">
        <color indexed="64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indexed="64"/>
      </top>
      <bottom style="thin">
        <color rgb="FF3D3D3D"/>
      </bottom>
      <diagonal/>
    </border>
    <border>
      <left style="thin">
        <color rgb="FF3D3D3D"/>
      </left>
      <right/>
      <top style="medium">
        <color indexed="64"/>
      </top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medium">
        <color indexed="64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/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medium">
        <color indexed="64"/>
      </bottom>
      <diagonal/>
    </border>
    <border>
      <left/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/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/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3D3D3D"/>
      </bottom>
      <diagonal/>
    </border>
    <border>
      <left/>
      <right style="medium">
        <color indexed="64"/>
      </right>
      <top style="medium">
        <color indexed="64"/>
      </top>
      <bottom style="thin">
        <color rgb="FF3D3D3D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7" xfId="0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3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4" xfId="0" applyBorder="1"/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7" xfId="0" applyFont="1" applyBorder="1" applyAlignment="1">
      <alignment horizontal="left" vertical="center"/>
    </xf>
    <xf numFmtId="0" fontId="14" fillId="0" borderId="38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166" fontId="14" fillId="0" borderId="42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0" fillId="0" borderId="2" xfId="0" applyFont="1" applyBorder="1" applyAlignment="1">
      <alignment horizontal="center" vertical="center" wrapText="1"/>
    </xf>
    <xf numFmtId="0" fontId="23" fillId="0" borderId="9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0" fontId="16" fillId="0" borderId="0" xfId="0" applyFont="1" applyBorder="1"/>
    <xf numFmtId="0" fontId="16" fillId="0" borderId="13" xfId="0" applyFont="1" applyBorder="1"/>
    <xf numFmtId="0" fontId="23" fillId="0" borderId="12" xfId="0" applyFont="1" applyBorder="1" applyAlignment="1">
      <alignment horizontal="left" indent="3"/>
    </xf>
    <xf numFmtId="0" fontId="16" fillId="0" borderId="12" xfId="0" applyFont="1" applyBorder="1" applyAlignment="1">
      <alignment horizontal="left" indent="3"/>
    </xf>
    <xf numFmtId="0" fontId="16" fillId="0" borderId="14" xfId="0" applyFont="1" applyBorder="1" applyAlignment="1">
      <alignment horizontal="left" indent="3"/>
    </xf>
    <xf numFmtId="0" fontId="20" fillId="0" borderId="0" xfId="0" applyFont="1" applyAlignment="1">
      <alignment horizontal="left" wrapText="1"/>
    </xf>
    <xf numFmtId="0" fontId="21" fillId="0" borderId="26" xfId="0" applyFont="1" applyFill="1" applyBorder="1" applyAlignment="1">
      <alignment horizontal="center" vertical="center"/>
    </xf>
    <xf numFmtId="0" fontId="21" fillId="0" borderId="2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center" vertical="center" wrapText="1"/>
    </xf>
    <xf numFmtId="0" fontId="22" fillId="0" borderId="27" xfId="0" applyFont="1" applyFill="1" applyBorder="1" applyAlignment="1">
      <alignment horizontal="center" vertical="center" wrapText="1"/>
    </xf>
    <xf numFmtId="166" fontId="21" fillId="0" borderId="26" xfId="1" applyNumberFormat="1" applyFont="1" applyFill="1" applyBorder="1" applyAlignment="1" applyProtection="1">
      <alignment horizontal="center" vertical="center" wrapText="1"/>
    </xf>
    <xf numFmtId="0" fontId="19" fillId="0" borderId="27" xfId="0" applyFont="1" applyFill="1" applyBorder="1" applyAlignment="1">
      <alignment horizontal="center" vertical="center" wrapText="1"/>
    </xf>
    <xf numFmtId="166" fontId="21" fillId="0" borderId="27" xfId="1" applyNumberFormat="1" applyFont="1" applyFill="1" applyBorder="1" applyAlignment="1" applyProtection="1">
      <alignment horizontal="center" vertical="center" wrapText="1"/>
    </xf>
    <xf numFmtId="0" fontId="4" fillId="0" borderId="26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 wrapText="1"/>
    </xf>
    <xf numFmtId="3" fontId="4" fillId="0" borderId="26" xfId="0" applyNumberFormat="1" applyFont="1" applyFill="1" applyBorder="1" applyAlignment="1">
      <alignment horizontal="center" vertical="center"/>
    </xf>
    <xf numFmtId="3" fontId="4" fillId="0" borderId="27" xfId="0" applyNumberFormat="1" applyFont="1" applyFill="1" applyBorder="1" applyAlignment="1">
      <alignment horizontal="center" vertical="center"/>
    </xf>
    <xf numFmtId="166" fontId="4" fillId="0" borderId="26" xfId="1" applyNumberFormat="1" applyFont="1" applyFill="1" applyBorder="1" applyAlignment="1" applyProtection="1">
      <alignment horizontal="center" vertical="center" wrapText="1"/>
    </xf>
    <xf numFmtId="166" fontId="4" fillId="0" borderId="27" xfId="1" applyNumberFormat="1" applyFont="1" applyFill="1" applyBorder="1" applyAlignment="1" applyProtection="1">
      <alignment horizontal="center" vertical="center" wrapText="1"/>
    </xf>
    <xf numFmtId="0" fontId="24" fillId="0" borderId="0" xfId="0" applyFont="1" applyFill="1" applyAlignment="1">
      <alignment horizontal="left" wrapText="1" indent="1"/>
    </xf>
    <xf numFmtId="0" fontId="16" fillId="0" borderId="0" xfId="0" applyFont="1" applyFill="1" applyBorder="1"/>
    <xf numFmtId="0" fontId="16" fillId="0" borderId="13" xfId="0" applyFont="1" applyFill="1" applyBorder="1"/>
    <xf numFmtId="0" fontId="16" fillId="0" borderId="0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 wrapText="1"/>
    </xf>
    <xf numFmtId="0" fontId="16" fillId="0" borderId="15" xfId="0" applyFont="1" applyFill="1" applyBorder="1"/>
    <xf numFmtId="0" fontId="16" fillId="0" borderId="16" xfId="0" applyFont="1" applyFill="1" applyBorder="1"/>
    <xf numFmtId="0" fontId="16" fillId="0" borderId="0" xfId="0" applyFont="1" applyFill="1"/>
    <xf numFmtId="0" fontId="16" fillId="0" borderId="10" xfId="0" applyFont="1" applyFill="1" applyBorder="1"/>
    <xf numFmtId="0" fontId="16" fillId="0" borderId="11" xfId="0" applyFont="1" applyFill="1" applyBorder="1"/>
    <xf numFmtId="0" fontId="16" fillId="0" borderId="0" xfId="0" applyFont="1" applyAlignment="1"/>
    <xf numFmtId="0" fontId="16" fillId="0" borderId="0" xfId="0" applyFont="1" applyAlignment="1">
      <alignment horizontal="left" vertical="center"/>
    </xf>
    <xf numFmtId="0" fontId="6" fillId="0" borderId="18" xfId="0" applyFont="1" applyFill="1" applyBorder="1" applyAlignment="1">
      <alignment horizontal="center" vertical="center"/>
    </xf>
    <xf numFmtId="169" fontId="16" fillId="0" borderId="0" xfId="0" applyNumberFormat="1" applyFont="1" applyAlignment="1">
      <alignment horizontal="left" vertical="center"/>
    </xf>
    <xf numFmtId="0" fontId="0" fillId="0" borderId="50" xfId="0" applyFont="1" applyFill="1" applyBorder="1" applyAlignment="1">
      <alignment horizontal="center" vertical="center"/>
    </xf>
    <xf numFmtId="0" fontId="0" fillId="0" borderId="51" xfId="0" applyFont="1" applyFill="1" applyBorder="1" applyAlignment="1">
      <alignment horizontal="center" vertical="center"/>
    </xf>
    <xf numFmtId="0" fontId="15" fillId="0" borderId="51" xfId="0" applyFont="1" applyFill="1" applyBorder="1" applyAlignment="1">
      <alignment horizontal="center" vertical="center"/>
    </xf>
    <xf numFmtId="0" fontId="0" fillId="0" borderId="52" xfId="0" applyFont="1" applyFill="1" applyBorder="1" applyAlignment="1">
      <alignment horizontal="center" vertical="center"/>
    </xf>
    <xf numFmtId="0" fontId="15" fillId="0" borderId="53" xfId="0" applyFont="1" applyFill="1" applyBorder="1" applyAlignment="1">
      <alignment horizontal="center" vertical="center"/>
    </xf>
    <xf numFmtId="0" fontId="0" fillId="0" borderId="54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166" fontId="0" fillId="0" borderId="60" xfId="3" applyNumberFormat="1" applyFont="1" applyFill="1" applyBorder="1" applyAlignment="1" applyProtection="1">
      <alignment horizontal="center" vertical="center"/>
    </xf>
    <xf numFmtId="166" fontId="0" fillId="0" borderId="61" xfId="3" applyNumberFormat="1" applyFont="1" applyBorder="1" applyAlignment="1" applyProtection="1">
      <alignment horizontal="center" vertical="center"/>
    </xf>
    <xf numFmtId="166" fontId="0" fillId="0" borderId="62" xfId="3" applyNumberFormat="1" applyFont="1" applyBorder="1" applyAlignment="1" applyProtection="1">
      <alignment horizontal="center" vertical="center"/>
    </xf>
    <xf numFmtId="0" fontId="16" fillId="0" borderId="0" xfId="0" applyFont="1" applyAlignment="1">
      <alignment vertical="center"/>
    </xf>
    <xf numFmtId="0" fontId="16" fillId="0" borderId="64" xfId="0" applyFont="1" applyBorder="1" applyAlignment="1">
      <alignment vertical="center"/>
    </xf>
    <xf numFmtId="0" fontId="16" fillId="0" borderId="0" xfId="0" applyFont="1" applyAlignment="1">
      <alignment wrapText="1"/>
    </xf>
    <xf numFmtId="0" fontId="16" fillId="0" borderId="65" xfId="0" applyFont="1" applyBorder="1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0" fontId="16" fillId="0" borderId="13" xfId="0" applyFont="1" applyFill="1" applyBorder="1" applyAlignment="1">
      <alignment vertical="center" wrapText="1"/>
    </xf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 indent="1"/>
    </xf>
    <xf numFmtId="0" fontId="16" fillId="0" borderId="13" xfId="0" applyFont="1" applyFill="1" applyBorder="1" applyAlignment="1">
      <alignment horizontal="center"/>
    </xf>
    <xf numFmtId="0" fontId="16" fillId="0" borderId="13" xfId="0" applyFont="1" applyFill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16" fillId="0" borderId="0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0" fontId="5" fillId="0" borderId="0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 wrapText="1"/>
    </xf>
    <xf numFmtId="0" fontId="6" fillId="3" borderId="21" xfId="0" applyFont="1" applyFill="1" applyBorder="1" applyAlignment="1">
      <alignment horizontal="left" vertical="center" wrapText="1" indent="1"/>
    </xf>
    <xf numFmtId="0" fontId="7" fillId="0" borderId="22" xfId="0" applyFont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6" fillId="0" borderId="49" xfId="0" applyFont="1" applyBorder="1" applyAlignment="1">
      <alignment horizontal="left" vertical="center" wrapText="1" indent="1"/>
    </xf>
    <xf numFmtId="167" fontId="7" fillId="0" borderId="49" xfId="0" applyNumberFormat="1" applyFont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3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/>
    </xf>
    <xf numFmtId="3" fontId="10" fillId="0" borderId="29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12" fillId="0" borderId="18" xfId="0" applyFont="1" applyBorder="1" applyAlignment="1">
      <alignment horizontal="left" indent="1"/>
    </xf>
    <xf numFmtId="0" fontId="4" fillId="0" borderId="20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wrapText="1" indent="1"/>
    </xf>
    <xf numFmtId="0" fontId="12" fillId="0" borderId="44" xfId="0" applyFont="1" applyBorder="1" applyAlignment="1">
      <alignment horizontal="left" wrapText="1" indent="1"/>
    </xf>
    <xf numFmtId="0" fontId="12" fillId="0" borderId="45" xfId="0" applyFont="1" applyBorder="1" applyAlignment="1">
      <alignment horizontal="left" wrapText="1" indent="1"/>
    </xf>
    <xf numFmtId="0" fontId="13" fillId="0" borderId="18" xfId="0" applyFont="1" applyBorder="1" applyAlignment="1">
      <alignment horizontal="left"/>
    </xf>
    <xf numFmtId="0" fontId="12" fillId="3" borderId="18" xfId="0" applyFont="1" applyFill="1" applyBorder="1" applyAlignment="1">
      <alignment horizontal="left" indent="1"/>
    </xf>
    <xf numFmtId="0" fontId="12" fillId="0" borderId="31" xfId="0" applyFont="1" applyBorder="1"/>
    <xf numFmtId="0" fontId="12" fillId="0" borderId="32" xfId="0" applyFont="1" applyBorder="1" applyAlignment="1">
      <alignment horizontal="left" vertical="center" wrapText="1" indent="1"/>
    </xf>
    <xf numFmtId="0" fontId="14" fillId="0" borderId="30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0" fontId="0" fillId="0" borderId="66" xfId="0" applyFont="1" applyFill="1" applyBorder="1" applyAlignment="1">
      <alignment horizontal="center" vertical="center" wrapText="1"/>
    </xf>
    <xf numFmtId="0" fontId="0" fillId="0" borderId="67" xfId="0" applyFont="1" applyFill="1" applyBorder="1" applyAlignment="1">
      <alignment horizontal="center" vertical="center" wrapText="1"/>
    </xf>
    <xf numFmtId="0" fontId="0" fillId="0" borderId="63" xfId="0" applyFont="1" applyBorder="1" applyAlignment="1">
      <alignment horizontal="left" vertical="center"/>
    </xf>
    <xf numFmtId="0" fontId="0" fillId="0" borderId="55" xfId="0" applyFont="1" applyBorder="1" applyAlignment="1">
      <alignment horizontal="left" vertical="center"/>
    </xf>
    <xf numFmtId="0" fontId="10" fillId="0" borderId="28" xfId="0" applyFont="1" applyBorder="1" applyAlignment="1">
      <alignment vertical="center" wrapText="1"/>
    </xf>
    <xf numFmtId="0" fontId="10" fillId="0" borderId="4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42" xfId="0" applyFont="1" applyFill="1" applyBorder="1" applyAlignment="1">
      <alignment horizontal="left" vertical="center" wrapText="1" indent="1"/>
    </xf>
    <xf numFmtId="0" fontId="0" fillId="0" borderId="63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10" fillId="0" borderId="42" xfId="0" applyFont="1" applyBorder="1" applyAlignment="1">
      <alignment horizontal="left" vertical="center" wrapText="1"/>
    </xf>
    <xf numFmtId="0" fontId="0" fillId="0" borderId="30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41"/>
  <sheetViews>
    <sheetView tabSelected="1" zoomScale="80" zoomScaleNormal="80" workbookViewId="0">
      <selection activeCell="C37" sqref="C37:E37"/>
    </sheetView>
  </sheetViews>
  <sheetFormatPr baseColWidth="10" defaultColWidth="11" defaultRowHeight="12.75" x14ac:dyDescent="0.2"/>
  <cols>
    <col min="1" max="1" width="4.5703125" style="29" customWidth="1"/>
    <col min="2" max="2" width="12.85546875" style="29" customWidth="1"/>
    <col min="3" max="3" width="32.42578125" style="29" customWidth="1"/>
    <col min="4" max="4" width="8.42578125" style="29" customWidth="1"/>
    <col min="5" max="5" width="79" style="29" customWidth="1"/>
    <col min="6" max="6" width="11" style="29"/>
    <col min="7" max="7" width="12.7109375" style="29" customWidth="1"/>
    <col min="8" max="8" width="13.85546875" style="29" customWidth="1"/>
    <col min="9" max="9" width="18.5703125" style="29" customWidth="1"/>
    <col min="10" max="10" width="11" style="72"/>
    <col min="11" max="14" width="11" style="70"/>
    <col min="15" max="16384" width="11" style="29"/>
  </cols>
  <sheetData>
    <row r="2" spans="1:9" ht="27" x14ac:dyDescent="0.35">
      <c r="B2" s="95" t="s">
        <v>0</v>
      </c>
      <c r="C2" s="95"/>
      <c r="D2" s="95"/>
      <c r="E2" s="95"/>
      <c r="F2" s="95"/>
      <c r="G2" s="95"/>
      <c r="H2" s="95"/>
    </row>
    <row r="4" spans="1:9" ht="18" customHeight="1" x14ac:dyDescent="0.25">
      <c r="A4" s="96" t="s">
        <v>1</v>
      </c>
      <c r="B4" s="96"/>
      <c r="C4" s="97" t="s">
        <v>62</v>
      </c>
      <c r="D4" s="97"/>
      <c r="E4" s="97"/>
      <c r="F4" s="30"/>
      <c r="G4" s="31"/>
      <c r="H4" s="30"/>
    </row>
    <row r="5" spans="1:9" ht="18" customHeight="1" x14ac:dyDescent="0.25">
      <c r="A5" s="96" t="s">
        <v>2</v>
      </c>
      <c r="B5" s="96"/>
      <c r="C5" s="97" t="s">
        <v>63</v>
      </c>
      <c r="D5" s="97"/>
      <c r="E5" s="97"/>
      <c r="F5" s="30"/>
      <c r="G5" s="31"/>
      <c r="H5" s="30"/>
    </row>
    <row r="6" spans="1:9" ht="16.5" customHeight="1" x14ac:dyDescent="0.25">
      <c r="A6" s="96" t="s">
        <v>3</v>
      </c>
      <c r="B6" s="96"/>
      <c r="C6" s="59">
        <v>2021</v>
      </c>
      <c r="D6" s="42"/>
      <c r="E6" s="42"/>
      <c r="F6" s="30"/>
      <c r="G6" s="31"/>
      <c r="H6" s="30"/>
    </row>
    <row r="7" spans="1:9" ht="16.5" customHeight="1" x14ac:dyDescent="0.25">
      <c r="A7" s="96" t="s">
        <v>4</v>
      </c>
      <c r="B7" s="96"/>
      <c r="C7" s="59">
        <v>1</v>
      </c>
      <c r="D7" s="42"/>
      <c r="E7" s="42"/>
      <c r="F7" s="30"/>
      <c r="G7" s="31"/>
      <c r="H7" s="30"/>
    </row>
    <row r="8" spans="1:9" ht="13.5" thickBot="1" x14ac:dyDescent="0.25">
      <c r="B8" s="30"/>
      <c r="C8" s="31"/>
      <c r="D8" s="30"/>
      <c r="E8" s="30"/>
      <c r="F8" s="30"/>
      <c r="G8" s="31"/>
      <c r="H8" s="30"/>
    </row>
    <row r="9" spans="1:9" ht="39.75" thickTop="1" thickBot="1" x14ac:dyDescent="0.25">
      <c r="A9" s="32" t="s">
        <v>5</v>
      </c>
      <c r="B9" s="32" t="s">
        <v>6</v>
      </c>
      <c r="C9" s="32" t="s">
        <v>7</v>
      </c>
      <c r="D9" s="32" t="s">
        <v>8</v>
      </c>
      <c r="E9" s="32" t="s">
        <v>9</v>
      </c>
      <c r="F9" s="32" t="s">
        <v>10</v>
      </c>
      <c r="G9" s="32" t="s">
        <v>11</v>
      </c>
      <c r="H9" s="32" t="s">
        <v>12</v>
      </c>
      <c r="I9" s="32" t="s">
        <v>13</v>
      </c>
    </row>
    <row r="10" spans="1:9" ht="32.25" customHeight="1" x14ac:dyDescent="0.2">
      <c r="A10" s="43">
        <v>1</v>
      </c>
      <c r="B10" s="89" t="s">
        <v>73</v>
      </c>
      <c r="C10" s="90" t="s">
        <v>65</v>
      </c>
      <c r="D10" s="45" t="str">
        <f>LEFT(B10,5)</f>
        <v>2.7.3</v>
      </c>
      <c r="E10" s="91" t="s">
        <v>74</v>
      </c>
      <c r="F10" s="45" t="s">
        <v>14</v>
      </c>
      <c r="G10" s="45">
        <v>1500</v>
      </c>
      <c r="H10" s="47">
        <v>400</v>
      </c>
      <c r="I10" s="47">
        <f>H10*G10</f>
        <v>600000</v>
      </c>
    </row>
    <row r="11" spans="1:9" ht="39" customHeight="1" x14ac:dyDescent="0.2">
      <c r="A11" s="44">
        <v>2</v>
      </c>
      <c r="B11" s="90" t="s">
        <v>64</v>
      </c>
      <c r="C11" s="90" t="s">
        <v>65</v>
      </c>
      <c r="D11" s="46" t="s">
        <v>66</v>
      </c>
      <c r="E11" s="92" t="s">
        <v>67</v>
      </c>
      <c r="F11" s="48" t="s">
        <v>14</v>
      </c>
      <c r="G11" s="48">
        <v>1500</v>
      </c>
      <c r="H11" s="49">
        <v>230</v>
      </c>
      <c r="I11" s="49">
        <f t="shared" ref="I11" si="0">H11*G11</f>
        <v>345000</v>
      </c>
    </row>
    <row r="14" spans="1:9" x14ac:dyDescent="0.2">
      <c r="B14" s="33" t="s">
        <v>15</v>
      </c>
      <c r="C14" s="34"/>
      <c r="D14" s="34"/>
      <c r="E14" s="35"/>
    </row>
    <row r="15" spans="1:9" ht="5.25" customHeight="1" x14ac:dyDescent="0.2">
      <c r="B15" s="36"/>
      <c r="C15" s="37"/>
      <c r="D15" s="37"/>
      <c r="E15" s="38"/>
    </row>
    <row r="16" spans="1:9" x14ac:dyDescent="0.2">
      <c r="B16" s="39" t="s">
        <v>16</v>
      </c>
      <c r="C16" s="37"/>
      <c r="D16" s="37"/>
      <c r="E16" s="38"/>
    </row>
    <row r="17" spans="2:7" ht="20.25" customHeight="1" x14ac:dyDescent="0.2">
      <c r="B17" s="100" t="s">
        <v>74</v>
      </c>
      <c r="C17" s="101"/>
      <c r="D17" s="101"/>
      <c r="E17" s="102"/>
    </row>
    <row r="18" spans="2:7" x14ac:dyDescent="0.2">
      <c r="B18" s="39" t="s">
        <v>17</v>
      </c>
      <c r="C18" s="60"/>
      <c r="D18" s="60"/>
      <c r="E18" s="61"/>
    </row>
    <row r="19" spans="2:7" x14ac:dyDescent="0.2">
      <c r="B19" s="40"/>
      <c r="C19" s="98"/>
      <c r="D19" s="98"/>
      <c r="E19" s="98"/>
    </row>
    <row r="20" spans="2:7" x14ac:dyDescent="0.2">
      <c r="B20" s="39" t="s">
        <v>18</v>
      </c>
      <c r="C20" s="60"/>
      <c r="D20" s="60"/>
      <c r="E20" s="61"/>
      <c r="G20" s="69"/>
    </row>
    <row r="21" spans="2:7" x14ac:dyDescent="0.2">
      <c r="B21" s="40"/>
      <c r="C21" s="99"/>
      <c r="D21" s="99"/>
      <c r="E21" s="99"/>
    </row>
    <row r="22" spans="2:7" x14ac:dyDescent="0.2">
      <c r="B22" s="39" t="s">
        <v>19</v>
      </c>
      <c r="C22" s="62"/>
      <c r="D22" s="62"/>
      <c r="E22" s="63"/>
    </row>
    <row r="23" spans="2:7" x14ac:dyDescent="0.2">
      <c r="B23" s="40"/>
      <c r="C23" s="99"/>
      <c r="D23" s="99"/>
      <c r="E23" s="99"/>
    </row>
    <row r="24" spans="2:7" x14ac:dyDescent="0.2">
      <c r="B24" s="39" t="s">
        <v>20</v>
      </c>
      <c r="C24" s="60"/>
      <c r="D24" s="60"/>
      <c r="E24" s="61"/>
    </row>
    <row r="25" spans="2:7" x14ac:dyDescent="0.2">
      <c r="B25" s="39"/>
      <c r="C25" s="98"/>
      <c r="D25" s="98"/>
      <c r="E25" s="98"/>
    </row>
    <row r="26" spans="2:7" ht="13.5" thickBot="1" x14ac:dyDescent="0.25">
      <c r="B26" s="41"/>
      <c r="C26" s="64"/>
      <c r="D26" s="64"/>
      <c r="E26" s="65"/>
    </row>
    <row r="27" spans="2:7" ht="13.5" thickBot="1" x14ac:dyDescent="0.25">
      <c r="C27" s="66"/>
      <c r="D27" s="66"/>
      <c r="E27" s="66"/>
    </row>
    <row r="28" spans="2:7" x14ac:dyDescent="0.2">
      <c r="B28" s="33" t="s">
        <v>21</v>
      </c>
      <c r="C28" s="67"/>
      <c r="D28" s="67"/>
      <c r="E28" s="68"/>
    </row>
    <row r="29" spans="2:7" ht="7.5" customHeight="1" x14ac:dyDescent="0.2">
      <c r="B29" s="36"/>
      <c r="C29" s="60"/>
      <c r="D29" s="60"/>
      <c r="E29" s="61"/>
    </row>
    <row r="30" spans="2:7" x14ac:dyDescent="0.2">
      <c r="B30" s="39" t="s">
        <v>16</v>
      </c>
      <c r="C30" s="60"/>
      <c r="D30" s="60"/>
      <c r="E30" s="61"/>
    </row>
    <row r="31" spans="2:7" ht="25.5" customHeight="1" x14ac:dyDescent="0.2">
      <c r="B31" s="40" t="s">
        <v>67</v>
      </c>
      <c r="C31" s="93"/>
      <c r="D31" s="93"/>
      <c r="E31" s="94"/>
    </row>
    <row r="32" spans="2:7" x14ac:dyDescent="0.2">
      <c r="B32" s="39" t="s">
        <v>17</v>
      </c>
      <c r="C32" s="60"/>
      <c r="D32" s="60"/>
      <c r="E32" s="61"/>
    </row>
    <row r="33" spans="2:5" x14ac:dyDescent="0.2">
      <c r="B33" s="40"/>
      <c r="C33" s="98"/>
      <c r="D33" s="98"/>
      <c r="E33" s="98"/>
    </row>
    <row r="34" spans="2:5" x14ac:dyDescent="0.2">
      <c r="B34" s="39" t="s">
        <v>18</v>
      </c>
      <c r="C34" s="60"/>
      <c r="D34" s="60"/>
      <c r="E34" s="61"/>
    </row>
    <row r="35" spans="2:5" x14ac:dyDescent="0.2">
      <c r="B35" s="40"/>
      <c r="C35" s="99"/>
      <c r="D35" s="99"/>
      <c r="E35" s="99"/>
    </row>
    <row r="36" spans="2:5" x14ac:dyDescent="0.2">
      <c r="B36" s="39" t="s">
        <v>19</v>
      </c>
      <c r="C36" s="62"/>
      <c r="D36" s="62"/>
      <c r="E36" s="63"/>
    </row>
    <row r="37" spans="2:5" x14ac:dyDescent="0.2">
      <c r="B37" s="40"/>
      <c r="C37" s="99"/>
      <c r="D37" s="99"/>
      <c r="E37" s="99"/>
    </row>
    <row r="38" spans="2:5" x14ac:dyDescent="0.2">
      <c r="B38" s="39" t="s">
        <v>20</v>
      </c>
      <c r="C38" s="60"/>
      <c r="D38" s="60"/>
      <c r="E38" s="61"/>
    </row>
    <row r="39" spans="2:5" x14ac:dyDescent="0.2">
      <c r="B39" s="39"/>
      <c r="C39" s="98"/>
      <c r="D39" s="98"/>
      <c r="E39" s="98"/>
    </row>
    <row r="40" spans="2:5" ht="13.5" thickBot="1" x14ac:dyDescent="0.25">
      <c r="B40" s="41"/>
      <c r="C40" s="64"/>
      <c r="D40" s="64"/>
      <c r="E40" s="65"/>
    </row>
    <row r="41" spans="2:5" x14ac:dyDescent="0.2">
      <c r="C41" s="66"/>
      <c r="D41" s="66"/>
      <c r="E41" s="66"/>
    </row>
  </sheetData>
  <mergeCells count="16">
    <mergeCell ref="C37:E37"/>
    <mergeCell ref="C39:E39"/>
    <mergeCell ref="C21:E21"/>
    <mergeCell ref="C23:E23"/>
    <mergeCell ref="C25:E25"/>
    <mergeCell ref="C33:E33"/>
    <mergeCell ref="A6:B6"/>
    <mergeCell ref="A7:B7"/>
    <mergeCell ref="C19:E19"/>
    <mergeCell ref="C35:E35"/>
    <mergeCell ref="B17:E1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4"/>
  <sheetViews>
    <sheetView topLeftCell="B10" zoomScale="110" zoomScaleNormal="110" workbookViewId="0">
      <selection activeCell="C13" sqref="C13:G13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3" t="s">
        <v>22</v>
      </c>
      <c r="B1" s="103"/>
      <c r="C1" s="103"/>
      <c r="D1" s="103"/>
      <c r="E1" s="103"/>
      <c r="F1" s="103"/>
      <c r="G1" s="103"/>
      <c r="H1" s="103"/>
      <c r="I1" s="103"/>
      <c r="J1" s="3" t="s">
        <v>23</v>
      </c>
      <c r="K1" s="71" t="s">
        <v>77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4" t="s">
        <v>57</v>
      </c>
      <c r="B3" s="104"/>
      <c r="C3" s="104"/>
      <c r="D3" s="107" t="s">
        <v>68</v>
      </c>
      <c r="E3" s="107"/>
      <c r="F3" s="107"/>
      <c r="G3" s="107"/>
      <c r="H3" s="107"/>
      <c r="I3" s="107"/>
      <c r="J3" s="107"/>
      <c r="K3" s="107"/>
    </row>
    <row r="4" spans="1:11" ht="18.75" customHeight="1" thickBot="1" x14ac:dyDescent="0.25">
      <c r="A4" s="106" t="s">
        <v>58</v>
      </c>
      <c r="B4" s="106"/>
      <c r="C4" s="106"/>
      <c r="D4" s="107" t="s">
        <v>63</v>
      </c>
      <c r="E4" s="107"/>
      <c r="F4" s="107"/>
      <c r="G4" s="107"/>
      <c r="H4" s="107"/>
      <c r="I4" s="107"/>
      <c r="J4" s="107"/>
      <c r="K4" s="107"/>
    </row>
    <row r="5" spans="1:11" ht="18.75" customHeight="1" thickBot="1" x14ac:dyDescent="0.25">
      <c r="A5" s="106" t="s">
        <v>36</v>
      </c>
      <c r="B5" s="106"/>
      <c r="C5" s="106"/>
      <c r="D5" s="105" t="s">
        <v>60</v>
      </c>
      <c r="E5" s="105"/>
      <c r="F5" s="105"/>
      <c r="G5" s="105"/>
      <c r="H5" s="105"/>
      <c r="I5" s="105"/>
      <c r="J5" s="105"/>
      <c r="K5" s="105"/>
    </row>
    <row r="6" spans="1:11" ht="16.5" customHeight="1" thickBot="1" x14ac:dyDescent="0.25">
      <c r="A6" s="104" t="s">
        <v>59</v>
      </c>
      <c r="B6" s="104"/>
      <c r="C6" s="104"/>
      <c r="D6" s="105" t="s">
        <v>78</v>
      </c>
      <c r="E6" s="105"/>
      <c r="F6" s="105"/>
      <c r="G6" s="105"/>
      <c r="H6" s="105"/>
      <c r="I6" s="105"/>
      <c r="J6" s="105"/>
      <c r="K6" s="105"/>
    </row>
    <row r="7" spans="1:11" ht="16.5" customHeight="1" thickBot="1" x14ac:dyDescent="0.25">
      <c r="A7" s="106" t="s">
        <v>24</v>
      </c>
      <c r="B7" s="106"/>
      <c r="C7" s="106"/>
      <c r="D7" s="107" t="s">
        <v>69</v>
      </c>
      <c r="E7" s="107"/>
      <c r="F7" s="107"/>
      <c r="G7" s="107"/>
      <c r="H7" s="107"/>
      <c r="I7" s="107"/>
      <c r="J7" s="107"/>
      <c r="K7" s="107"/>
    </row>
    <row r="8" spans="1:11" ht="16.5" customHeight="1" thickBot="1" x14ac:dyDescent="0.25">
      <c r="A8" s="116" t="s">
        <v>25</v>
      </c>
      <c r="B8" s="116"/>
      <c r="C8" s="116"/>
      <c r="D8" s="117" t="s">
        <v>75</v>
      </c>
      <c r="E8" s="117"/>
      <c r="F8" s="117"/>
      <c r="G8" s="117"/>
      <c r="H8" s="117"/>
      <c r="I8" s="117"/>
      <c r="J8" s="117"/>
      <c r="K8" s="117"/>
    </row>
    <row r="9" spans="1:11" ht="16.5" thickBot="1" x14ac:dyDescent="0.25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thickBot="1" x14ac:dyDescent="0.25">
      <c r="A10" s="118" t="s">
        <v>26</v>
      </c>
      <c r="B10" s="120" t="s">
        <v>27</v>
      </c>
      <c r="C10" s="120" t="s">
        <v>28</v>
      </c>
      <c r="D10" s="120"/>
      <c r="E10" s="120"/>
      <c r="F10" s="120"/>
      <c r="G10" s="120"/>
      <c r="H10" s="120" t="s">
        <v>29</v>
      </c>
      <c r="I10" s="120" t="s">
        <v>30</v>
      </c>
      <c r="J10" s="120" t="s">
        <v>31</v>
      </c>
      <c r="K10" s="122" t="s">
        <v>32</v>
      </c>
    </row>
    <row r="11" spans="1:11" ht="24" customHeight="1" thickBot="1" x14ac:dyDescent="0.25">
      <c r="A11" s="119"/>
      <c r="B11" s="121"/>
      <c r="C11" s="121"/>
      <c r="D11" s="121"/>
      <c r="E11" s="121"/>
      <c r="F11" s="121"/>
      <c r="G11" s="121"/>
      <c r="H11" s="121"/>
      <c r="I11" s="121"/>
      <c r="J11" s="121"/>
      <c r="K11" s="123"/>
    </row>
    <row r="12" spans="1:11" ht="31.5" customHeight="1" x14ac:dyDescent="0.2">
      <c r="A12" s="50">
        <v>1</v>
      </c>
      <c r="B12" s="50" t="str">
        <f>'Necesidades Trimestrales'!B10</f>
        <v>2.7.3-2899.79.</v>
      </c>
      <c r="C12" s="110" t="str">
        <f>'Necesidades Trimestrales'!E10</f>
        <v>CARTUCHO DE BALA; CALIBRE: .308 pulg. PUNTA BLANDA 168 GRAINS PRESENTACION: CAJA X 20 UNIDADES</v>
      </c>
      <c r="D12" s="111"/>
      <c r="E12" s="111"/>
      <c r="F12" s="111"/>
      <c r="G12" s="112"/>
      <c r="H12" s="50" t="s">
        <v>33</v>
      </c>
      <c r="I12" s="53" t="str">
        <f>'Necesidades Trimestrales'!F10</f>
        <v>UNIDAD</v>
      </c>
      <c r="J12" s="57">
        <f>+'Necesidades Trimestrales'!H10</f>
        <v>400</v>
      </c>
      <c r="K12" s="55">
        <f>'Necesidades Trimestrales'!G10</f>
        <v>1500</v>
      </c>
    </row>
    <row r="13" spans="1:11" ht="39" customHeight="1" x14ac:dyDescent="0.2">
      <c r="A13" s="51">
        <v>2</v>
      </c>
      <c r="B13" s="52" t="str">
        <f>'Necesidades Trimestrales'!B11</f>
        <v>2.7.3-2899.19</v>
      </c>
      <c r="C13" s="113" t="str">
        <f>'Necesidades Trimestrales'!E11</f>
        <v>CARTUCHOS DE BALA; CALIBRE: 308 pulg, PRESENTACION: CAJA X 20</v>
      </c>
      <c r="D13" s="114"/>
      <c r="E13" s="114"/>
      <c r="F13" s="114"/>
      <c r="G13" s="115"/>
      <c r="H13" s="52" t="s">
        <v>33</v>
      </c>
      <c r="I13" s="54" t="str">
        <f>'Necesidades Trimestrales'!F11</f>
        <v>UNIDAD</v>
      </c>
      <c r="J13" s="58">
        <f>+'Necesidades Trimestrales'!H11</f>
        <v>230</v>
      </c>
      <c r="K13" s="56">
        <f>'Necesidades Trimestrales'!G11</f>
        <v>1500</v>
      </c>
    </row>
    <row r="14" spans="1:11" ht="20.25" customHeight="1" thickBot="1" x14ac:dyDescent="0.25">
      <c r="A14" s="108" t="s">
        <v>76</v>
      </c>
      <c r="B14" s="108"/>
      <c r="C14" s="108"/>
      <c r="D14" s="108"/>
      <c r="E14" s="108"/>
      <c r="F14" s="108"/>
      <c r="G14" s="108"/>
      <c r="H14" s="108"/>
      <c r="I14" s="108"/>
      <c r="J14" s="109">
        <f>SUMPRODUCT(J12:J13,K12:K13)</f>
        <v>945000</v>
      </c>
      <c r="K14" s="109"/>
    </row>
  </sheetData>
  <mergeCells count="24">
    <mergeCell ref="A14:I14"/>
    <mergeCell ref="J14:K14"/>
    <mergeCell ref="C12:G12"/>
    <mergeCell ref="C13:G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zoomScale="130" zoomScaleNormal="130" workbookViewId="0">
      <selection activeCell="A10" sqref="A10:Q10"/>
    </sheetView>
  </sheetViews>
  <sheetFormatPr baseColWidth="10" defaultColWidth="11" defaultRowHeight="12.75" x14ac:dyDescent="0.2"/>
  <cols>
    <col min="1" max="5" width="4.42578125" customWidth="1"/>
    <col min="6" max="6" width="6.140625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4" t="s">
        <v>3</v>
      </c>
      <c r="B1" s="124"/>
      <c r="C1" s="124"/>
      <c r="D1" s="125">
        <f>'Necesidades Trimestrales'!C6</f>
        <v>2021</v>
      </c>
      <c r="E1" s="125"/>
      <c r="F1" s="9"/>
      <c r="G1" s="9"/>
      <c r="H1" s="10"/>
      <c r="I1" s="10"/>
      <c r="J1" s="10"/>
      <c r="K1" s="10"/>
      <c r="L1" s="10"/>
      <c r="M1" s="10"/>
      <c r="N1" s="10"/>
      <c r="P1" s="126" t="s">
        <v>34</v>
      </c>
      <c r="Q1" s="126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26"/>
      <c r="Q2" s="126"/>
    </row>
    <row r="4" spans="1:17" s="11" customFormat="1" ht="18" customHeight="1" thickBot="1" x14ac:dyDescent="0.25">
      <c r="A4" s="127" t="s">
        <v>35</v>
      </c>
      <c r="B4" s="127"/>
      <c r="C4" s="127"/>
      <c r="D4" s="127"/>
      <c r="E4" s="127"/>
      <c r="F4" s="127"/>
      <c r="G4" s="128" t="str">
        <f>' NotaPedido'!D3</f>
        <v>90 - MINISTERIO DE SEGURIDAD</v>
      </c>
      <c r="H4" s="128"/>
      <c r="I4" s="128"/>
      <c r="J4" s="128"/>
      <c r="K4" s="128"/>
      <c r="L4" s="128"/>
      <c r="M4" s="128"/>
      <c r="N4" s="128"/>
      <c r="O4" s="128"/>
      <c r="P4" s="128"/>
      <c r="Q4" s="128"/>
    </row>
    <row r="5" spans="1:17" s="11" customFormat="1" ht="30.75" customHeight="1" thickBot="1" x14ac:dyDescent="0.25">
      <c r="A5" s="129" t="s">
        <v>58</v>
      </c>
      <c r="B5" s="130"/>
      <c r="C5" s="130"/>
      <c r="D5" s="130"/>
      <c r="E5" s="130"/>
      <c r="F5" s="131"/>
      <c r="G5" s="132" t="str">
        <f>' NotaPedido'!D4</f>
        <v>SAF 19 - DIRECCION PROVINCIAL DE ADMINISTRACION Y RR.HH. DEL MIISTERIO DE SEGURIDAD</v>
      </c>
      <c r="H5" s="133"/>
      <c r="I5" s="133"/>
      <c r="J5" s="133"/>
      <c r="K5" s="133"/>
      <c r="L5" s="133"/>
      <c r="M5" s="133"/>
      <c r="N5" s="133"/>
      <c r="O5" s="133"/>
      <c r="P5" s="133"/>
      <c r="Q5" s="134"/>
    </row>
    <row r="6" spans="1:17" s="11" customFormat="1" ht="18" customHeight="1" thickBot="1" x14ac:dyDescent="0.25">
      <c r="A6" s="129" t="s">
        <v>36</v>
      </c>
      <c r="B6" s="130"/>
      <c r="C6" s="130"/>
      <c r="D6" s="130"/>
      <c r="E6" s="130"/>
      <c r="F6" s="131"/>
      <c r="G6" s="136" t="str">
        <f>' NotaPedido'!D5</f>
        <v>SECRETARIA DE COMPRAS Y ABASTECIMIENTO</v>
      </c>
      <c r="H6" s="136"/>
      <c r="I6" s="136"/>
      <c r="J6" s="136"/>
      <c r="K6" s="136"/>
      <c r="L6" s="136"/>
      <c r="M6" s="136"/>
      <c r="N6" s="136"/>
      <c r="O6" s="136"/>
      <c r="P6" s="136"/>
      <c r="Q6" s="136"/>
    </row>
    <row r="7" spans="1:17" s="11" customFormat="1" ht="18" customHeight="1" thickBot="1" x14ac:dyDescent="0.25">
      <c r="A7" s="129" t="s">
        <v>59</v>
      </c>
      <c r="B7" s="130"/>
      <c r="C7" s="130"/>
      <c r="D7" s="130"/>
      <c r="E7" s="130"/>
      <c r="F7" s="131"/>
      <c r="G7" s="136" t="str">
        <f>' NotaPedido'!D6</f>
        <v>MINISTERIO DE SEGURIDAD</v>
      </c>
      <c r="H7" s="136"/>
      <c r="I7" s="136"/>
      <c r="J7" s="136"/>
      <c r="K7" s="136"/>
      <c r="L7" s="136"/>
      <c r="M7" s="136"/>
      <c r="N7" s="136"/>
      <c r="O7" s="136"/>
      <c r="P7" s="136"/>
      <c r="Q7" s="136"/>
    </row>
    <row r="8" spans="1:17" ht="18" customHeight="1" thickBot="1" x14ac:dyDescent="0.25">
      <c r="A8" s="135" t="s">
        <v>37</v>
      </c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</row>
    <row r="9" spans="1:17" ht="18" customHeight="1" x14ac:dyDescent="0.2">
      <c r="A9" s="137" t="s">
        <v>38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"/>
      <c r="P9" s="1"/>
      <c r="Q9" s="12"/>
    </row>
    <row r="10" spans="1:17" ht="54.75" customHeight="1" x14ac:dyDescent="0.2">
      <c r="A10" s="13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001/2021,  afectando la erogación resultante a los créditos presupuestarios aprobados a favor de esta Unidad Ejecutora, conforme al siguiente detalle: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39" t="s">
        <v>39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</row>
    <row r="13" spans="1:17" ht="15.75" customHeight="1" x14ac:dyDescent="0.2">
      <c r="A13" s="140" t="s">
        <v>40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1" t="s">
        <v>41</v>
      </c>
      <c r="P13" s="141"/>
      <c r="Q13" s="142" t="s">
        <v>42</v>
      </c>
    </row>
    <row r="14" spans="1:17" ht="15.75" customHeight="1" thickBot="1" x14ac:dyDescent="0.25">
      <c r="A14" s="17" t="s">
        <v>43</v>
      </c>
      <c r="B14" s="18" t="s">
        <v>44</v>
      </c>
      <c r="C14" s="18" t="s">
        <v>45</v>
      </c>
      <c r="D14" s="18" t="s">
        <v>46</v>
      </c>
      <c r="E14" s="18" t="s">
        <v>47</v>
      </c>
      <c r="F14" s="18" t="s">
        <v>48</v>
      </c>
      <c r="G14" s="19" t="s">
        <v>49</v>
      </c>
      <c r="H14" s="18" t="s">
        <v>50</v>
      </c>
      <c r="I14" s="18" t="s">
        <v>51</v>
      </c>
      <c r="J14" s="18" t="s">
        <v>52</v>
      </c>
      <c r="K14" s="18" t="s">
        <v>52</v>
      </c>
      <c r="L14" s="18" t="s">
        <v>53</v>
      </c>
      <c r="M14" s="20" t="s">
        <v>54</v>
      </c>
      <c r="N14" s="21" t="s">
        <v>55</v>
      </c>
      <c r="O14" s="141"/>
      <c r="P14" s="141"/>
      <c r="Q14" s="142"/>
    </row>
    <row r="15" spans="1:17" ht="17.25" customHeight="1" x14ac:dyDescent="0.2">
      <c r="A15" s="73">
        <v>4</v>
      </c>
      <c r="B15" s="74">
        <v>0</v>
      </c>
      <c r="C15" s="74">
        <v>0</v>
      </c>
      <c r="D15" s="75">
        <v>1</v>
      </c>
      <c r="E15" s="74">
        <v>0</v>
      </c>
      <c r="F15" s="74">
        <v>4901</v>
      </c>
      <c r="G15" s="74">
        <v>2</v>
      </c>
      <c r="H15" s="75">
        <v>1</v>
      </c>
      <c r="I15" s="74">
        <v>2</v>
      </c>
      <c r="J15" s="74">
        <v>7</v>
      </c>
      <c r="K15" s="74">
        <v>3</v>
      </c>
      <c r="L15" s="74">
        <v>0</v>
      </c>
      <c r="M15" s="76">
        <v>1</v>
      </c>
      <c r="N15" s="77" t="s">
        <v>61</v>
      </c>
      <c r="O15" s="143" t="s">
        <v>70</v>
      </c>
      <c r="P15" s="144"/>
      <c r="Q15" s="86">
        <v>945000</v>
      </c>
    </row>
    <row r="16" spans="1:17" ht="17.25" customHeight="1" x14ac:dyDescent="0.2">
      <c r="A16" s="78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3"/>
      <c r="N16" s="79"/>
      <c r="O16" s="145"/>
      <c r="P16" s="146"/>
      <c r="Q16" s="87"/>
    </row>
    <row r="17" spans="1:18" ht="17.25" customHeight="1" x14ac:dyDescent="0.2">
      <c r="A17" s="78"/>
      <c r="B17" s="22"/>
      <c r="C17" s="22"/>
      <c r="D17" s="22"/>
      <c r="E17" s="22"/>
      <c r="F17" s="24"/>
      <c r="G17" s="22"/>
      <c r="H17" s="22"/>
      <c r="I17" s="22"/>
      <c r="J17" s="22"/>
      <c r="K17" s="22"/>
      <c r="L17" s="22"/>
      <c r="M17" s="23"/>
      <c r="N17" s="79"/>
      <c r="O17" s="145"/>
      <c r="P17" s="146"/>
      <c r="Q17" s="87"/>
    </row>
    <row r="18" spans="1:18" ht="17.25" customHeight="1" x14ac:dyDescent="0.2">
      <c r="A18" s="78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3"/>
      <c r="N18" s="79"/>
      <c r="O18" s="145"/>
      <c r="P18" s="146"/>
      <c r="Q18" s="87"/>
    </row>
    <row r="19" spans="1:18" ht="17.25" customHeight="1" x14ac:dyDescent="0.2">
      <c r="A19" s="78"/>
      <c r="B19" s="22"/>
      <c r="C19" s="22"/>
      <c r="D19" s="22"/>
      <c r="E19" s="22"/>
      <c r="F19" s="24"/>
      <c r="G19" s="22"/>
      <c r="H19" s="22"/>
      <c r="I19" s="22"/>
      <c r="J19" s="22"/>
      <c r="K19" s="22"/>
      <c r="L19" s="22"/>
      <c r="M19" s="23"/>
      <c r="N19" s="79"/>
      <c r="O19" s="145"/>
      <c r="P19" s="146"/>
      <c r="Q19" s="87"/>
    </row>
    <row r="20" spans="1:18" ht="17.25" customHeight="1" x14ac:dyDescent="0.2">
      <c r="A20" s="78"/>
      <c r="B20" s="22"/>
      <c r="C20" s="22"/>
      <c r="D20" s="22"/>
      <c r="E20" s="22"/>
      <c r="F20" s="24"/>
      <c r="G20" s="22"/>
      <c r="H20" s="22"/>
      <c r="I20" s="22"/>
      <c r="J20" s="22"/>
      <c r="K20" s="22"/>
      <c r="L20" s="22"/>
      <c r="M20" s="23"/>
      <c r="N20" s="79"/>
      <c r="O20" s="145"/>
      <c r="P20" s="146"/>
      <c r="Q20" s="87"/>
    </row>
    <row r="21" spans="1:18" ht="17.25" customHeight="1" x14ac:dyDescent="0.2">
      <c r="A21" s="80"/>
      <c r="B21" s="25"/>
      <c r="C21" s="25"/>
      <c r="D21" s="25"/>
      <c r="E21" s="25"/>
      <c r="F21" s="26"/>
      <c r="G21" s="25"/>
      <c r="H21" s="25"/>
      <c r="I21" s="25"/>
      <c r="J21" s="25"/>
      <c r="K21" s="25"/>
      <c r="L21" s="25"/>
      <c r="M21" s="27"/>
      <c r="N21" s="81"/>
      <c r="O21" s="152"/>
      <c r="P21" s="153"/>
      <c r="Q21" s="87"/>
      <c r="R21" s="1"/>
    </row>
    <row r="22" spans="1:18" ht="17.25" customHeight="1" x14ac:dyDescent="0.2">
      <c r="A22" s="82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4"/>
      <c r="N22" s="85"/>
      <c r="O22" s="154"/>
      <c r="P22" s="155"/>
      <c r="Q22" s="88"/>
    </row>
    <row r="23" spans="1:18" ht="20.25" customHeight="1" x14ac:dyDescent="0.2">
      <c r="A23" s="156" t="s">
        <v>71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28">
        <f>SUM(Q15:Q22)</f>
        <v>945000</v>
      </c>
    </row>
    <row r="24" spans="1:18" ht="18" customHeight="1" thickBot="1" x14ac:dyDescent="0.25">
      <c r="A24" s="157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</row>
    <row r="25" spans="1:18" ht="17.25" customHeight="1" thickBot="1" x14ac:dyDescent="0.25">
      <c r="A25" s="147" t="s">
        <v>56</v>
      </c>
      <c r="B25" s="148"/>
      <c r="C25" s="148"/>
      <c r="D25" s="148"/>
      <c r="E25" s="148"/>
      <c r="F25" s="149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</row>
    <row r="26" spans="1:18" ht="18" customHeight="1" thickBot="1" x14ac:dyDescent="0.25">
      <c r="A26" s="151" t="s">
        <v>72</v>
      </c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</row>
    <row r="27" spans="1:18" ht="15" customHeight="1" x14ac:dyDescent="0.2">
      <c r="A27" s="151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2021-02-01T16:04:39Z</cp:lastPrinted>
  <dcterms:created xsi:type="dcterms:W3CDTF">2020-07-17T23:44:49Z</dcterms:created>
  <dcterms:modified xsi:type="dcterms:W3CDTF">2021-08-13T11:27:52Z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