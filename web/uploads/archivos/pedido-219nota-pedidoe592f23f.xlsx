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5600" windowHeight="11310"/>
  </bookViews>
  <sheets>
    <sheet name="Necesidades Trimestrales" sheetId="1" r:id="rId1"/>
    <sheet name="Nota Pedido" sheetId="2" r:id="rId2"/>
    <sheet name="APG" sheetId="3" r:id="rId3"/>
  </sheets>
  <definedNames>
    <definedName name="_xlnm.Print_Area" localSheetId="2">APG!$A$1:$Q$25</definedName>
    <definedName name="_xlnm.Print_Area" localSheetId="0">'Necesidades Trimestrales'!$A$2:$I$55</definedName>
    <definedName name="_xlnm.Print_Area" localSheetId="1">'Nota Pedido'!$A$1:$K$40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3" l="1"/>
  <c r="A24" i="3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11" i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K13" i="2" l="1"/>
  <c r="J13" i="2"/>
  <c r="I13" i="2"/>
  <c r="C13" i="2"/>
  <c r="B13" i="2"/>
  <c r="I12" i="1"/>
  <c r="I11" i="1"/>
  <c r="D12" i="1"/>
  <c r="D3" i="2"/>
  <c r="G4" i="3" s="1"/>
  <c r="D4" i="2"/>
  <c r="G5" i="3" s="1"/>
  <c r="A21" i="3"/>
  <c r="A10" i="3"/>
  <c r="G7" i="3"/>
  <c r="D1" i="3"/>
  <c r="D7" i="2"/>
  <c r="K12" i="2"/>
  <c r="J12" i="2"/>
  <c r="I12" i="2"/>
  <c r="C12" i="2"/>
  <c r="B12" i="2"/>
  <c r="I38" i="1" l="1"/>
  <c r="J40" i="2"/>
  <c r="Q21" i="3" s="1"/>
</calcChain>
</file>

<file path=xl/sharedStrings.xml><?xml version="1.0" encoding="utf-8"?>
<sst xmlns="http://schemas.openxmlformats.org/spreadsheetml/2006/main" count="221" uniqueCount="137">
  <si>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</si>
  <si>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</si>
  <si>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</si>
  <si>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</si>
  <si>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</si>
  <si>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</si>
  <si>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</si>
  <si>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</si>
  <si>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</si>
  <si>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</si>
  <si>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</si>
  <si>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</si>
  <si>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</si>
  <si>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</si>
  <si>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 y Lugar de entrega:</t>
  </si>
  <si>
    <t xml:space="preserve"> </t>
  </si>
  <si>
    <t>Mantenimiento:</t>
  </si>
  <si>
    <t>Garantia:</t>
  </si>
  <si>
    <t>Descripción técnica:</t>
  </si>
  <si>
    <t>Calidad Minima esperada: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</si>
  <si>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</si>
  <si>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</si>
  <si>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</si>
  <si>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</si>
  <si>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</si>
  <si>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</si>
  <si>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</si>
  <si>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</si>
  <si>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</si>
  <si>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</si>
  <si>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</si>
  <si>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</si>
  <si>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</si>
  <si>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Cantidad Solicitada</t>
  </si>
  <si>
    <t>Precio Unitario Estimado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</si>
  <si>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</si>
  <si>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</si>
  <si>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</si>
  <si>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</si>
  <si>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</si>
  <si>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</si>
  <si>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</si>
  <si>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</si>
  <si>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</si>
  <si>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</si>
  <si>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</si>
  <si>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</si>
  <si>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</si>
  <si>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</si>
  <si>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</si>
  <si>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</si>
  <si>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</si>
  <si>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</si>
  <si>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</si>
  <si>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</si>
  <si>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</si>
  <si>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</si>
  <si>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</si>
  <si>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Costo total estimado: </t>
  </si>
  <si>
    <t>UNIDAD</t>
  </si>
  <si>
    <t>2.9.1-6951.303</t>
  </si>
  <si>
    <t>LIMPIADORES; TIPO: LIMPIA MUEBLES, PRESENTACION: AEROSOL X 360 CM3, BIODEGRADABLE: SI</t>
  </si>
  <si>
    <t>2.9.1-6951.41</t>
  </si>
  <si>
    <t>LIMPIADORES; TIPO: DESINFECTANTE P/PISO, PRESENTACION: ENVASE X 5 L</t>
  </si>
  <si>
    <t>2.9.1-6956.27</t>
  </si>
  <si>
    <t>ARTICULOS DE TOCADOR; TIPO: JABON DE TOCADOR LIQUIDO, PRESENTACION: ENVASE X 5 L</t>
  </si>
  <si>
    <t>2.9.1-564.23</t>
  </si>
  <si>
    <t>BALDES DE PLASTICO; CAPACIDAD: 12 L, TIPO DE PLASTICO: POLIPROPILENO</t>
  </si>
  <si>
    <t>2.9.1-646.32</t>
  </si>
  <si>
    <t>BOLSAS DE RESIDUOS; DIMENSION: 120 X 90 Cm, PRESENTACION: BOLSA X 100, ESPESOR: 60 Mn, COLOR: NEGRO</t>
  </si>
  <si>
    <t>2.9.1-646.98</t>
  </si>
  <si>
    <t>BOLSAS DE RESIDUOS; DIMENSION: 90 X 60 Cm, PRESENTACION: ENVASE X 50 UN, ESPESOR: 120 Mn</t>
  </si>
  <si>
    <t>2.9.1-6952.75</t>
  </si>
  <si>
    <t>CEPILLOS; TIPO: ESCOBA BARREHOJAS, MATERIAL: CERDAS METALICAS</t>
  </si>
  <si>
    <t>2.9.1-6952.29</t>
  </si>
  <si>
    <t>CEPILLOS; TIPO: ESCOBILLA LIMPIA INODORO, MATERIAL: PLASTICO</t>
  </si>
  <si>
    <t>2.9.1-6952.45</t>
  </si>
  <si>
    <t>CEPILLOS; TIPO: ESCOBILLA LIMPIAVIDRIOS, MATERIAL: PLASTICO Y GOMA</t>
  </si>
  <si>
    <t>2.9.1-544.64</t>
  </si>
  <si>
    <t>DESODORANTES DE AMBIENTE; FORMATO: AEROSOL, FRAGANCIA: CAMPOS DE JAZMIN, PRESENTACION: ENVASE X 360 CM3, LIBRE DE CFC: SI</t>
  </si>
  <si>
    <t>2.9.1-6961.27</t>
  </si>
  <si>
    <t>ELEM. P/LIMPIEZA SANITARIOS; TIPO: BOLILLA P/MINGITORIO, PRESENTACION: ENVASE X 480 GR</t>
  </si>
  <si>
    <t>2.9.1-6961.23</t>
  </si>
  <si>
    <t>ELEM. P/LIMPIEZA SANITARIOS; TIPO: SODA CAUSTICA, PRESENTACION: ENVASE X 1 Kg</t>
  </si>
  <si>
    <t>2.9.1-544.46</t>
  </si>
  <si>
    <t>DESODORANTES DE AMBIENTE; FORMATO: BIDON DE PLASTICO, PRESENTACION: UNIDAD, FRAGANCIA: LAVANDA, CONTENIDO: 5 L, LIBRE DE CFC: NO CORRESPONDE</t>
  </si>
  <si>
    <t>2.9.1-714.3</t>
  </si>
  <si>
    <t>FRANELAS; DIMENSION: 50 X 45 Cm</t>
  </si>
  <si>
    <t>2.9.1-6951.12</t>
  </si>
  <si>
    <t>LIMPIADORES; PRESENTACION: ENVASE X 5 L, TIPO: DETERGENTE</t>
  </si>
  <si>
    <t>2.9.1-6951.30</t>
  </si>
  <si>
    <t>LIMPIADORES; TIPO: LAVANDINA, PRESENTACION: ENVASE X 5 L</t>
  </si>
  <si>
    <t>2.9.1-6951.60</t>
  </si>
  <si>
    <t>LIMPIADORES; TIPO: DESENGRASANTE, PRESENTACION: ENVASE X 5 L</t>
  </si>
  <si>
    <t>2.9.1-678.17</t>
  </si>
  <si>
    <t>TRAPOS REJILLA; DIMENSION: 50 X 55 Cm, MATERIAL: PURO ALGODON, RECICLADO: NO</t>
  </si>
  <si>
    <t>2.9.1-6963.15</t>
  </si>
  <si>
    <t>UTENSILLOS P/HIGIENE PERSONAL; TIPO: ALCOHOL EN GEL, PRESENTACION: ENVASE X 5 L</t>
  </si>
  <si>
    <t>2.9.1-713.2</t>
  </si>
  <si>
    <t>TRAPOS DE PISO; DIMENSION: 60 X 60 Cm, COLOR: GRIS</t>
  </si>
  <si>
    <t>2.9.1-2425.2</t>
  </si>
  <si>
    <t>LAMPAZOS; MATERIAL: HILO, MANGO: MADERA</t>
  </si>
  <si>
    <t>2.9.1-6951.137</t>
  </si>
  <si>
    <t>LIMPIADORES; TIPO: QUITASARRO, PRESENTACION: ENVASE X 5 L</t>
  </si>
  <si>
    <t>2.9.1-4784.37</t>
  </si>
  <si>
    <t>LIMPIADORES MULTIUSO; TIPO: P/LAMPAZO, PRESENTACION: ENVASE X 5 L</t>
  </si>
  <si>
    <t>2.9.1-683.6</t>
  </si>
  <si>
    <t>SECADORES DE GOMA; COLOR: NEGRO, LARGO: 50 Cm</t>
  </si>
  <si>
    <t>2.3.4-786.32</t>
  </si>
  <si>
    <t>PAPEL HIGIENICO; PRESENTACION: PAQUETE X 48, TIPO: ROLLO, ANCHO: 10 Cm, LARGO: 74 M, HOJA: DOBLE, MATERIAL HOJA: DOBLE, TIPO DE HOJA: DOBLE</t>
  </si>
  <si>
    <t>2.7.5-1491.11</t>
  </si>
  <si>
    <t>PULVERIZADORES; MATERIAL: PLASTICO, CAPACIDAD: 500 mL, TIPO: MANUAL</t>
  </si>
  <si>
    <t>2.5.4-505.13</t>
  </si>
  <si>
    <t>DESINFECTANTES; CAPACIDAD: 5 L, USO P/CONTROL: BACTERIAS, PRINCIPIO ACTIVO: SAL AMONIO CUATERNARIO, PRESENTACION: ENVASE X 5 L, CONTROL: BACTERIAS</t>
  </si>
  <si>
    <t>BOLSA</t>
  </si>
  <si>
    <t>BIDON</t>
  </si>
  <si>
    <t>PAQUETE</t>
  </si>
  <si>
    <t>NO</t>
  </si>
  <si>
    <t>ELEMENTOS DE LIMPIEZA</t>
  </si>
  <si>
    <t>Elementos de Limpieza.-</t>
  </si>
  <si>
    <t>Productos de papel y carton.-</t>
  </si>
  <si>
    <t>Insecticidas, fumigantes y otros.-</t>
  </si>
  <si>
    <t>Herramientas Menores.-</t>
  </si>
  <si>
    <t>Treinta (30) días hábiles.-</t>
  </si>
  <si>
    <t>NO SE ACEPTARAN PRODUCTOS PARA DILUIR, SOLO SE TENDRAN EN CUENTA PRODUCTOS PREPARADOS SOLO LISTOS PARA SU USO.-</t>
  </si>
  <si>
    <t>DETERGENTE BIODEGRADABLE CONCENTRADO 15% DE MATERIA ACTIVA EN ENVASE DE 5 L. Y ETIQUETADO.-</t>
  </si>
  <si>
    <t>Especificidades Item N° 15:</t>
  </si>
  <si>
    <t>Especificidades Item N° 2, 3, 13, 16, 17, 22, 27  :</t>
  </si>
  <si>
    <t xml:space="preserve">El plazo de entrega no podrá ser superior a los Diez (10) días hábiles a partir de la fecha de recepción de la respectiva Orden de Compra. La entrega de dichos bienes se realizará en la Secretaria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 </t>
  </si>
  <si>
    <t>95 - Ministerio de Cultura, Turismo y Deporte.-</t>
  </si>
  <si>
    <t>18 - Secretaria de Administración y Recursos Humanos.-</t>
  </si>
  <si>
    <t>Secretaria de Administración y Recursos Humanos.-</t>
  </si>
  <si>
    <t>Ministerio de Cultura, Turismo y Deporte.-</t>
  </si>
  <si>
    <t xml:space="preserve">Compra de elementos de limpieza para ser usadas por las distintas áreas y dependencias del Ministerio de Cultura, Turismo y Deporte.- </t>
  </si>
  <si>
    <t xml:space="preserve">OCHOCIENTOS SESENTA MIL CIENTO OCHENTA Y TRES CON 50/100 CENTAVOS.- </t>
  </si>
  <si>
    <t>005/2022</t>
  </si>
  <si>
    <t>2°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</si>
</sst>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$&quot;\ * #,##0.00_-;\-&quot;$&quot;\ * #,##0.00_-;_-&quot;$&quot;\ * &quot;-&quot;??_-;_-@_-"/>
    <numFmt numFmtId="165" formatCode="&quot;$&quot;\ #,##0.00"/>
    <numFmt numFmtId="166" formatCode="[$$-2C0A]\ #,##0.00"/>
    <numFmt numFmtId="167" formatCode="dd\-mm\-yy;@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u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0"/>
      <color rgb="FFFF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2"/>
      <color rgb="FF00000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Times New Roman"/>
      <family val="1"/>
      <charset val="1"/>
    </font>
    <font>
      <sz val="12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22"/>
      <name val="Times New Roman"/>
      <family val="1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/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rgb="FF3D3D3D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3D3D3D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4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Fill="1" applyBorder="1"/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0" fontId="7" fillId="0" borderId="14" xfId="0" applyFont="1" applyFill="1" applyBorder="1" applyAlignment="1">
      <alignment horizontal="center" vertical="center"/>
    </xf>
    <xf numFmtId="165" fontId="7" fillId="0" borderId="14" xfId="1" applyNumberFormat="1" applyFont="1" applyBorder="1" applyAlignment="1" applyProtection="1">
      <alignment horizontal="center" vertical="center" wrapText="1"/>
    </xf>
    <xf numFmtId="165" fontId="7" fillId="0" borderId="16" xfId="1" applyNumberFormat="1" applyFont="1" applyBorder="1" applyAlignment="1" applyProtection="1">
      <alignment horizontal="center" vertical="center" wrapText="1"/>
    </xf>
    <xf numFmtId="0" fontId="11" fillId="0" borderId="30" xfId="0" applyFont="1" applyBorder="1" applyAlignment="1">
      <alignment horizontal="right" vertical="center"/>
    </xf>
    <xf numFmtId="0" fontId="11" fillId="0" borderId="3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 wrapText="1" indent="1"/>
    </xf>
    <xf numFmtId="0" fontId="12" fillId="0" borderId="9" xfId="0" applyFont="1" applyBorder="1" applyAlignment="1">
      <alignment horizontal="left" vertical="center" wrapText="1" indent="1"/>
    </xf>
    <xf numFmtId="3" fontId="18" fillId="0" borderId="0" xfId="0" applyNumberFormat="1" applyFont="1"/>
    <xf numFmtId="167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29" xfId="0" applyBorder="1" applyAlignment="1">
      <alignment horizontal="right"/>
    </xf>
    <xf numFmtId="0" fontId="0" fillId="0" borderId="55" xfId="0" applyBorder="1"/>
    <xf numFmtId="0" fontId="0" fillId="0" borderId="32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56" xfId="0" applyBorder="1" applyAlignment="1">
      <alignment horizontal="right"/>
    </xf>
    <xf numFmtId="0" fontId="22" fillId="0" borderId="62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0" borderId="63" xfId="0" applyFont="1" applyBorder="1" applyAlignment="1">
      <alignment horizontal="left" vertical="center"/>
    </xf>
    <xf numFmtId="0" fontId="22" fillId="0" borderId="64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left" vertical="center" wrapText="1"/>
    </xf>
    <xf numFmtId="1" fontId="8" fillId="0" borderId="16" xfId="0" applyNumberFormat="1" applyFont="1" applyFill="1" applyBorder="1" applyAlignment="1">
      <alignment horizontal="center" vertical="center" wrapText="1"/>
    </xf>
    <xf numFmtId="165" fontId="8" fillId="0" borderId="17" xfId="0" applyNumberFormat="1" applyFont="1" applyFill="1" applyBorder="1" applyAlignment="1">
      <alignment horizontal="center" vertical="center" wrapText="1"/>
    </xf>
    <xf numFmtId="49" fontId="12" fillId="0" borderId="31" xfId="0" applyNumberFormat="1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25" fillId="0" borderId="69" xfId="0" applyFont="1" applyFill="1" applyBorder="1" applyAlignment="1">
      <alignment horizontal="center" vertical="center"/>
    </xf>
    <xf numFmtId="0" fontId="25" fillId="0" borderId="70" xfId="0" applyFont="1" applyFill="1" applyBorder="1" applyAlignment="1">
      <alignment horizontal="center" vertical="center"/>
    </xf>
    <xf numFmtId="0" fontId="26" fillId="0" borderId="71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165" fontId="25" fillId="0" borderId="72" xfId="1" applyNumberFormat="1" applyFont="1" applyBorder="1" applyAlignment="1">
      <alignment horizontal="right" vertical="center"/>
    </xf>
    <xf numFmtId="165" fontId="25" fillId="0" borderId="23" xfId="1" applyNumberFormat="1" applyFont="1" applyBorder="1" applyAlignment="1" applyProtection="1">
      <alignment horizontal="right" vertical="center"/>
    </xf>
    <xf numFmtId="165" fontId="25" fillId="0" borderId="73" xfId="1" applyNumberFormat="1" applyFont="1" applyBorder="1" applyAlignment="1" applyProtection="1">
      <alignment horizontal="right"/>
    </xf>
    <xf numFmtId="0" fontId="13" fillId="0" borderId="21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" fontId="14" fillId="0" borderId="15" xfId="0" applyNumberFormat="1" applyFont="1" applyBorder="1" applyAlignment="1">
      <alignment horizontal="center" vertical="center" wrapText="1"/>
    </xf>
    <xf numFmtId="165" fontId="14" fillId="0" borderId="14" xfId="1" applyNumberFormat="1" applyFont="1" applyFill="1" applyBorder="1" applyAlignment="1" applyProtection="1">
      <alignment horizontal="center" vertical="center" wrapText="1"/>
    </xf>
    <xf numFmtId="1" fontId="14" fillId="0" borderId="19" xfId="0" applyNumberFormat="1" applyFont="1" applyBorder="1" applyAlignment="1">
      <alignment horizontal="center" vertical="center" wrapText="1"/>
    </xf>
    <xf numFmtId="165" fontId="14" fillId="0" borderId="18" xfId="1" applyNumberFormat="1" applyFont="1" applyFill="1" applyBorder="1" applyAlignment="1" applyProtection="1">
      <alignment horizontal="center" vertical="center" wrapText="1"/>
    </xf>
    <xf numFmtId="0" fontId="13" fillId="0" borderId="78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7" fillId="0" borderId="78" xfId="0" applyFont="1" applyFill="1" applyBorder="1" applyAlignment="1">
      <alignment horizontal="center" vertical="center"/>
    </xf>
    <xf numFmtId="0" fontId="2" fillId="0" borderId="79" xfId="0" applyFont="1" applyFill="1" applyBorder="1" applyAlignment="1">
      <alignment horizontal="left" vertical="center" wrapText="1"/>
    </xf>
    <xf numFmtId="0" fontId="8" fillId="0" borderId="19" xfId="0" applyFont="1" applyFill="1" applyBorder="1" applyAlignment="1">
      <alignment horizontal="center" vertical="center" wrapText="1"/>
    </xf>
    <xf numFmtId="1" fontId="8" fillId="0" borderId="18" xfId="0" applyNumberFormat="1" applyFont="1" applyFill="1" applyBorder="1" applyAlignment="1">
      <alignment horizontal="center" vertical="center" wrapText="1"/>
    </xf>
    <xf numFmtId="165" fontId="8" fillId="0" borderId="19" xfId="0" applyNumberFormat="1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14" fillId="0" borderId="77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27" xfId="0" applyFont="1" applyFill="1" applyBorder="1" applyAlignment="1">
      <alignment horizontal="center" vertical="center" wrapText="1"/>
    </xf>
    <xf numFmtId="1" fontId="8" fillId="0" borderId="12" xfId="0" applyNumberFormat="1" applyFont="1" applyFill="1" applyBorder="1" applyAlignment="1">
      <alignment horizontal="center" vertical="center" wrapText="1"/>
    </xf>
    <xf numFmtId="165" fontId="8" fillId="0" borderId="13" xfId="0" applyNumberFormat="1" applyFont="1" applyFill="1" applyBorder="1" applyAlignment="1">
      <alignment horizontal="center" vertical="center" wrapText="1"/>
    </xf>
    <xf numFmtId="165" fontId="7" fillId="0" borderId="12" xfId="1" applyNumberFormat="1" applyFont="1" applyBorder="1" applyAlignment="1" applyProtection="1">
      <alignment horizontal="center" vertical="center" wrapText="1"/>
    </xf>
    <xf numFmtId="0" fontId="7" fillId="0" borderId="2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0" fillId="2" borderId="0" xfId="0" applyFill="1" applyBorder="1"/>
    <xf numFmtId="165" fontId="25" fillId="0" borderId="29" xfId="1" applyNumberFormat="1" applyFont="1" applyBorder="1" applyAlignment="1" applyProtection="1">
      <alignment horizontal="right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165" fontId="0" fillId="0" borderId="0" xfId="0" applyNumberFormat="1"/>
    <xf numFmtId="0" fontId="30" fillId="0" borderId="4" xfId="0" applyFont="1" applyBorder="1"/>
    <xf numFmtId="0" fontId="31" fillId="0" borderId="4" xfId="0" applyFont="1" applyBorder="1"/>
    <xf numFmtId="0" fontId="32" fillId="0" borderId="5" xfId="0" applyFont="1" applyBorder="1"/>
    <xf numFmtId="0" fontId="32" fillId="0" borderId="6" xfId="0" applyFont="1" applyBorder="1"/>
    <xf numFmtId="0" fontId="33" fillId="0" borderId="28" xfId="0" applyFont="1" applyBorder="1"/>
    <xf numFmtId="0" fontId="32" fillId="0" borderId="0" xfId="0" applyFont="1" applyBorder="1"/>
    <xf numFmtId="0" fontId="32" fillId="0" borderId="29" xfId="0" applyFont="1" applyBorder="1"/>
    <xf numFmtId="0" fontId="33" fillId="0" borderId="7" xfId="0" applyFont="1" applyBorder="1" applyAlignment="1">
      <alignment vertical="center"/>
    </xf>
    <xf numFmtId="0" fontId="34" fillId="0" borderId="5" xfId="0" applyFont="1" applyBorder="1"/>
    <xf numFmtId="0" fontId="34" fillId="0" borderId="6" xfId="0" applyFont="1" applyBorder="1"/>
    <xf numFmtId="0" fontId="35" fillId="0" borderId="28" xfId="0" applyFont="1" applyBorder="1"/>
    <xf numFmtId="0" fontId="34" fillId="0" borderId="0" xfId="0" applyFont="1" applyBorder="1"/>
    <xf numFmtId="0" fontId="34" fillId="0" borderId="29" xfId="0" applyFont="1" applyBorder="1"/>
    <xf numFmtId="0" fontId="30" fillId="0" borderId="28" xfId="0" applyFont="1" applyBorder="1"/>
    <xf numFmtId="0" fontId="31" fillId="0" borderId="28" xfId="0" applyFont="1" applyBorder="1"/>
    <xf numFmtId="0" fontId="33" fillId="0" borderId="7" xfId="0" applyFont="1" applyBorder="1"/>
    <xf numFmtId="0" fontId="32" fillId="2" borderId="8" xfId="0" applyFont="1" applyFill="1" applyBorder="1" applyAlignment="1">
      <alignment horizontal="left"/>
    </xf>
    <xf numFmtId="0" fontId="32" fillId="2" borderId="9" xfId="0" applyFont="1" applyFill="1" applyBorder="1" applyAlignment="1">
      <alignment horizontal="left"/>
    </xf>
    <xf numFmtId="0" fontId="32" fillId="0" borderId="7" xfId="0" applyFont="1" applyBorder="1"/>
    <xf numFmtId="165" fontId="36" fillId="0" borderId="2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4" fillId="0" borderId="0" xfId="0" applyFont="1" applyFill="1" applyAlignment="1">
      <alignment horizontal="left" wrapText="1"/>
    </xf>
    <xf numFmtId="0" fontId="29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2" fillId="2" borderId="88" xfId="0" applyFont="1" applyFill="1" applyBorder="1" applyAlignment="1">
      <alignment vertical="center" wrapText="1"/>
    </xf>
    <xf numFmtId="0" fontId="32" fillId="2" borderId="17" xfId="0" applyFont="1" applyFill="1" applyBorder="1" applyAlignment="1">
      <alignment vertical="center" wrapText="1"/>
    </xf>
    <xf numFmtId="0" fontId="32" fillId="2" borderId="24" xfId="0" applyFont="1" applyFill="1" applyBorder="1" applyAlignment="1">
      <alignment vertical="center" wrapText="1"/>
    </xf>
    <xf numFmtId="0" fontId="32" fillId="2" borderId="88" xfId="0" applyFont="1" applyFill="1" applyBorder="1" applyAlignment="1">
      <alignment horizontal="left" vertical="center" wrapText="1"/>
    </xf>
    <xf numFmtId="0" fontId="32" fillId="2" borderId="17" xfId="0" applyFont="1" applyFill="1" applyBorder="1" applyAlignment="1">
      <alignment horizontal="left" vertical="center" wrapText="1"/>
    </xf>
    <xf numFmtId="0" fontId="32" fillId="2" borderId="24" xfId="0" applyFont="1" applyFill="1" applyBorder="1" applyAlignment="1">
      <alignment horizontal="left" vertical="center" wrapText="1"/>
    </xf>
    <xf numFmtId="0" fontId="32" fillId="2" borderId="8" xfId="0" applyFont="1" applyFill="1" applyBorder="1" applyAlignment="1">
      <alignment horizontal="left"/>
    </xf>
    <xf numFmtId="0" fontId="32" fillId="2" borderId="9" xfId="0" applyFont="1" applyFill="1" applyBorder="1" applyAlignment="1">
      <alignment horizontal="left"/>
    </xf>
    <xf numFmtId="0" fontId="32" fillId="2" borderId="88" xfId="0" applyFont="1" applyFill="1" applyBorder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32" fillId="2" borderId="24" xfId="0" applyFont="1" applyFill="1" applyBorder="1" applyAlignment="1">
      <alignment horizontal="left" vertical="center"/>
    </xf>
    <xf numFmtId="0" fontId="14" fillId="0" borderId="38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4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4" fillId="0" borderId="11" xfId="0" applyFont="1" applyFill="1" applyBorder="1" applyAlignment="1">
      <alignment horizontal="left" vertical="center" wrapText="1" indent="1"/>
    </xf>
    <xf numFmtId="0" fontId="13" fillId="0" borderId="33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 indent="1"/>
    </xf>
    <xf numFmtId="0" fontId="1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 inden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 wrapText="1"/>
    </xf>
    <xf numFmtId="166" fontId="13" fillId="0" borderId="11" xfId="0" applyNumberFormat="1" applyFont="1" applyBorder="1" applyAlignment="1">
      <alignment horizontal="center" vertical="center"/>
    </xf>
    <xf numFmtId="0" fontId="14" fillId="0" borderId="80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 wrapText="1"/>
    </xf>
    <xf numFmtId="0" fontId="14" fillId="0" borderId="8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26" fillId="0" borderId="41" xfId="0" applyFont="1" applyFill="1" applyBorder="1" applyAlignment="1">
      <alignment horizontal="center" vertical="center" wrapText="1"/>
    </xf>
    <xf numFmtId="0" fontId="25" fillId="0" borderId="42" xfId="0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24" fillId="0" borderId="28" xfId="0" applyFont="1" applyBorder="1"/>
    <xf numFmtId="0" fontId="24" fillId="0" borderId="51" xfId="0" applyFont="1" applyBorder="1"/>
    <xf numFmtId="0" fontId="0" fillId="0" borderId="1" xfId="0" applyBorder="1" applyAlignment="1">
      <alignment horizontal="center"/>
    </xf>
    <xf numFmtId="1" fontId="18" fillId="0" borderId="3" xfId="0" applyNumberFormat="1" applyFont="1" applyBorder="1" applyAlignment="1">
      <alignment horizontal="center"/>
    </xf>
    <xf numFmtId="0" fontId="19" fillId="0" borderId="31" xfId="0" applyFont="1" applyBorder="1" applyAlignment="1">
      <alignment horizontal="center" vertical="center" wrapText="1"/>
    </xf>
    <xf numFmtId="0" fontId="22" fillId="0" borderId="31" xfId="0" applyFont="1" applyBorder="1" applyAlignment="1">
      <alignment vertical="center"/>
    </xf>
    <xf numFmtId="0" fontId="20" fillId="0" borderId="31" xfId="0" applyFont="1" applyBorder="1" applyAlignment="1">
      <alignment horizontal="left" vertical="center"/>
    </xf>
    <xf numFmtId="0" fontId="23" fillId="0" borderId="33" xfId="0" applyFont="1" applyBorder="1" applyAlignment="1">
      <alignment horizontal="left" vertical="center" wrapText="1"/>
    </xf>
    <xf numFmtId="0" fontId="23" fillId="0" borderId="43" xfId="0" applyFont="1" applyBorder="1" applyAlignment="1">
      <alignment horizontal="left" vertical="center" wrapText="1"/>
    </xf>
    <xf numFmtId="0" fontId="23" fillId="0" borderId="44" xfId="0" applyFont="1" applyBorder="1" applyAlignment="1">
      <alignment horizontal="left" vertical="center" wrapText="1"/>
    </xf>
    <xf numFmtId="0" fontId="28" fillId="0" borderId="31" xfId="0" applyFont="1" applyBorder="1" applyAlignment="1">
      <alignment horizontal="left" vertical="center"/>
    </xf>
    <xf numFmtId="0" fontId="23" fillId="0" borderId="34" xfId="0" applyFont="1" applyBorder="1" applyAlignment="1">
      <alignment horizontal="left" vertical="center" wrapText="1"/>
    </xf>
    <xf numFmtId="0" fontId="23" fillId="0" borderId="45" xfId="0" applyFont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20" fillId="2" borderId="47" xfId="0" applyFont="1" applyFill="1" applyBorder="1" applyAlignment="1">
      <alignment horizontal="left" vertical="center"/>
    </xf>
    <xf numFmtId="0" fontId="21" fillId="0" borderId="48" xfId="0" applyFont="1" applyBorder="1" applyAlignment="1">
      <alignment horizontal="left"/>
    </xf>
    <xf numFmtId="0" fontId="21" fillId="0" borderId="49" xfId="0" applyFont="1" applyBorder="1" applyAlignment="1">
      <alignment horizontal="left"/>
    </xf>
    <xf numFmtId="0" fontId="21" fillId="0" borderId="50" xfId="0" applyFont="1" applyBorder="1" applyAlignment="1">
      <alignment horizontal="left"/>
    </xf>
    <xf numFmtId="0" fontId="26" fillId="0" borderId="21" xfId="0" applyFont="1" applyFill="1" applyBorder="1" applyAlignment="1">
      <alignment horizontal="center" vertical="center" wrapText="1"/>
    </xf>
    <xf numFmtId="0" fontId="25" fillId="0" borderId="23" xfId="0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left" vertical="center" wrapText="1" indent="1"/>
    </xf>
    <xf numFmtId="0" fontId="24" fillId="0" borderId="53" xfId="0" applyFont="1" applyBorder="1" applyAlignment="1">
      <alignment horizontal="left" vertical="center" wrapText="1" indent="1"/>
    </xf>
    <xf numFmtId="0" fontId="24" fillId="0" borderId="54" xfId="0" applyFont="1" applyBorder="1" applyAlignment="1">
      <alignment horizontal="left" vertical="center" wrapText="1" indent="1"/>
    </xf>
    <xf numFmtId="0" fontId="22" fillId="0" borderId="57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59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 wrapText="1"/>
    </xf>
    <xf numFmtId="0" fontId="22" fillId="0" borderId="66" xfId="0" applyFont="1" applyBorder="1" applyAlignment="1">
      <alignment horizontal="center" vertical="center" wrapText="1"/>
    </xf>
    <xf numFmtId="0" fontId="22" fillId="0" borderId="67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6" fillId="0" borderId="85" xfId="0" applyFont="1" applyFill="1" applyBorder="1" applyAlignment="1">
      <alignment horizontal="center" vertical="center" wrapText="1"/>
    </xf>
    <xf numFmtId="0" fontId="25" fillId="0" borderId="86" xfId="0" applyFont="1" applyFill="1" applyBorder="1" applyAlignment="1">
      <alignment horizontal="center" vertical="center" wrapText="1"/>
    </xf>
    <xf numFmtId="0" fontId="20" fillId="0" borderId="48" xfId="0" applyFont="1" applyFill="1" applyBorder="1" applyAlignment="1">
      <alignment horizontal="left" vertical="center" wrapText="1" indent="1"/>
    </xf>
    <xf numFmtId="0" fontId="20" fillId="0" borderId="49" xfId="0" applyFont="1" applyFill="1" applyBorder="1" applyAlignment="1">
      <alignment horizontal="left" vertical="center" wrapText="1" indent="1"/>
    </xf>
    <xf numFmtId="0" fontId="20" fillId="0" borderId="50" xfId="0" applyFont="1" applyFill="1" applyBorder="1" applyAlignment="1">
      <alignment horizontal="left" vertical="center" wrapText="1" indent="1"/>
    </xf>
    <xf numFmtId="0" fontId="20" fillId="0" borderId="74" xfId="0" applyFont="1" applyFill="1" applyBorder="1" applyAlignment="1">
      <alignment horizontal="left" vertical="center" wrapText="1" indent="1"/>
    </xf>
    <xf numFmtId="0" fontId="20" fillId="0" borderId="75" xfId="0" applyFont="1" applyFill="1" applyBorder="1" applyAlignment="1">
      <alignment horizontal="left" vertical="center" wrapText="1" indent="1"/>
    </xf>
    <xf numFmtId="0" fontId="20" fillId="0" borderId="76" xfId="0" applyFont="1" applyFill="1" applyBorder="1" applyAlignment="1">
      <alignment horizontal="left" vertical="center" wrapText="1" indent="1"/>
    </xf>
    <xf numFmtId="0" fontId="18" fillId="0" borderId="4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165" fontId="27" fillId="0" borderId="10" xfId="1" applyNumberFormat="1" applyFont="1" applyFill="1" applyBorder="1" applyAlignment="1">
      <alignment horizontal="right" vertical="center"/>
    </xf>
    <xf numFmtId="165" fontId="27" fillId="0" borderId="25" xfId="1" applyNumberFormat="1" applyFont="1" applyFill="1" applyBorder="1" applyAlignment="1">
      <alignment horizontal="right" vertical="center"/>
    </xf>
    <xf numFmtId="0" fontId="0" fillId="0" borderId="62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18" fillId="0" borderId="28" xfId="0" applyFont="1" applyBorder="1" applyAlignment="1">
      <alignment vertical="center" wrapText="1"/>
    </xf>
    <xf numFmtId="0" fontId="18" fillId="0" borderId="51" xfId="0" applyFont="1" applyBorder="1" applyAlignment="1">
      <alignment vertical="center" wrapText="1"/>
    </xf>
    <xf numFmtId="0" fontId="18" fillId="0" borderId="54" xfId="0" applyFont="1" applyBorder="1" applyAlignment="1">
      <alignment vertical="center" wrapText="1"/>
    </xf>
    <xf numFmtId="0" fontId="20" fillId="0" borderId="30" xfId="0" applyFont="1" applyBorder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topLeftCell="A4" zoomScale="62" zoomScaleNormal="62" workbookViewId="0">
      <selection activeCell="E15" sqref="E15"/>
    </sheetView>
  </sheetViews>
  <sheetFormatPr baseColWidth="10" defaultRowHeight="15" x14ac:dyDescent="0.25"/>
  <cols>
    <col min="1" max="1" width="4.5703125" customWidth="1"/>
    <col min="2" max="2" width="16.5703125" customWidth="1"/>
    <col min="3" max="3" width="26.28515625" customWidth="1"/>
    <col min="4" max="4" width="8.42578125" customWidth="1"/>
    <col min="5" max="5" width="77.42578125" customWidth="1"/>
    <col min="7" max="7" width="11" customWidth="1"/>
    <col min="8" max="8" width="13.85546875" customWidth="1"/>
    <col min="9" max="9" width="22.5703125" customWidth="1"/>
  </cols>
  <sheetData>
    <row r="1" spans="1:9" ht="32.25" customHeight="1" x14ac:dyDescent="0.25">
      <c r="B1" s="86"/>
      <c r="C1" s="112"/>
      <c r="D1" s="112"/>
    </row>
    <row r="2" spans="1:9" ht="27" x14ac:dyDescent="0.35">
      <c r="A2" s="1"/>
      <c r="B2" s="114" t="s">
        <v>0</v>
      </c>
      <c r="C2" s="114"/>
      <c r="D2" s="114"/>
      <c r="E2" s="114"/>
      <c r="F2" s="114"/>
      <c r="G2" s="114"/>
      <c r="H2" s="114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customHeight="1" x14ac:dyDescent="0.25">
      <c r="A4" s="115" t="s">
        <v>1</v>
      </c>
      <c r="B4" s="115"/>
      <c r="C4" s="116" t="s">
        <v>129</v>
      </c>
      <c r="D4" s="116"/>
      <c r="E4" s="116"/>
      <c r="F4" s="2"/>
      <c r="G4" s="3"/>
      <c r="H4" s="2"/>
      <c r="I4" s="1"/>
    </row>
    <row r="5" spans="1:9" ht="15.75" customHeight="1" x14ac:dyDescent="0.25">
      <c r="A5" s="115" t="s">
        <v>2</v>
      </c>
      <c r="B5" s="115"/>
      <c r="C5" s="116" t="s">
        <v>130</v>
      </c>
      <c r="D5" s="116"/>
      <c r="E5" s="116"/>
      <c r="F5" s="117"/>
      <c r="G5" s="117"/>
      <c r="H5" s="117"/>
      <c r="I5" s="117"/>
    </row>
    <row r="6" spans="1:9" ht="15.75" x14ac:dyDescent="0.25">
      <c r="A6" s="115" t="s">
        <v>3</v>
      </c>
      <c r="B6" s="115"/>
      <c r="C6" s="113">
        <v>2022</v>
      </c>
      <c r="D6" s="113"/>
      <c r="E6" s="113"/>
      <c r="F6" s="10"/>
      <c r="G6" s="11"/>
      <c r="H6" s="10"/>
      <c r="I6" s="9"/>
    </row>
    <row r="7" spans="1:9" ht="15.75" x14ac:dyDescent="0.25">
      <c r="A7" s="115" t="s">
        <v>4</v>
      </c>
      <c r="B7" s="115"/>
      <c r="C7" s="113" t="s">
        <v>136</v>
      </c>
      <c r="D7" s="113"/>
      <c r="E7" s="113"/>
      <c r="F7" s="10"/>
      <c r="G7" s="11"/>
      <c r="H7" s="118"/>
      <c r="I7" s="118"/>
    </row>
    <row r="8" spans="1:9" x14ac:dyDescent="0.25">
      <c r="A8" s="1"/>
      <c r="B8" s="2"/>
      <c r="C8" s="3"/>
      <c r="D8" s="2"/>
      <c r="E8" s="2"/>
      <c r="F8" s="10"/>
      <c r="G8" s="11"/>
      <c r="H8" s="118"/>
      <c r="I8" s="118"/>
    </row>
    <row r="9" spans="1:9" ht="15.75" thickBot="1" x14ac:dyDescent="0.3">
      <c r="A9" s="1"/>
      <c r="B9" s="2"/>
      <c r="C9" s="3"/>
      <c r="D9" s="2"/>
      <c r="E9" s="2"/>
      <c r="F9" s="2"/>
      <c r="G9" s="3"/>
      <c r="H9" s="4"/>
      <c r="I9" s="4"/>
    </row>
    <row r="10" spans="1:9" ht="54.75" customHeight="1" thickBot="1" x14ac:dyDescent="0.3">
      <c r="A10" s="5" t="s">
        <v>5</v>
      </c>
      <c r="B10" s="6" t="s">
        <v>6</v>
      </c>
      <c r="C10" s="5" t="s">
        <v>7</v>
      </c>
      <c r="D10" s="6" t="s">
        <v>8</v>
      </c>
      <c r="E10" s="5" t="s">
        <v>9</v>
      </c>
      <c r="F10" s="6" t="s">
        <v>10</v>
      </c>
      <c r="G10" s="5" t="s">
        <v>11</v>
      </c>
      <c r="H10" s="6" t="s">
        <v>12</v>
      </c>
      <c r="I10" s="5" t="s">
        <v>13</v>
      </c>
    </row>
    <row r="11" spans="1:9" ht="47.25" customHeight="1" x14ac:dyDescent="0.25">
      <c r="A11" s="39">
        <v>1</v>
      </c>
      <c r="B11" s="40" t="s">
        <v>60</v>
      </c>
      <c r="C11" s="72" t="s">
        <v>118</v>
      </c>
      <c r="D11" s="79" t="str">
        <f t="shared" ref="D11:D37" si="0">LEFT(B11,5)</f>
        <v>2.9.1</v>
      </c>
      <c r="E11" s="41" t="s">
        <v>61</v>
      </c>
      <c r="F11" s="42" t="s">
        <v>59</v>
      </c>
      <c r="G11" s="80">
        <v>30</v>
      </c>
      <c r="H11" s="81">
        <v>207.9</v>
      </c>
      <c r="I11" s="82">
        <f t="shared" ref="I11:I37" si="1">G11*H11</f>
        <v>6237</v>
      </c>
    </row>
    <row r="12" spans="1:9" ht="46.5" customHeight="1" x14ac:dyDescent="0.25">
      <c r="A12" s="12">
        <v>2</v>
      </c>
      <c r="B12" s="67" t="s">
        <v>62</v>
      </c>
      <c r="C12" s="73" t="s">
        <v>118</v>
      </c>
      <c r="D12" s="43" t="str">
        <f t="shared" si="0"/>
        <v>2.9.1</v>
      </c>
      <c r="E12" s="68" t="s">
        <v>63</v>
      </c>
      <c r="F12" s="69" t="s">
        <v>59</v>
      </c>
      <c r="G12" s="70">
        <v>80</v>
      </c>
      <c r="H12" s="71">
        <v>253.6</v>
      </c>
      <c r="I12" s="13">
        <f t="shared" si="1"/>
        <v>20288</v>
      </c>
    </row>
    <row r="13" spans="1:9" ht="30.75" customHeight="1" x14ac:dyDescent="0.25">
      <c r="A13" s="12">
        <v>3</v>
      </c>
      <c r="B13" s="67" t="s">
        <v>64</v>
      </c>
      <c r="C13" s="73" t="s">
        <v>118</v>
      </c>
      <c r="D13" s="43" t="str">
        <f t="shared" si="0"/>
        <v>2.9.1</v>
      </c>
      <c r="E13" s="68" t="s">
        <v>65</v>
      </c>
      <c r="F13" s="69" t="s">
        <v>59</v>
      </c>
      <c r="G13" s="70">
        <v>30</v>
      </c>
      <c r="H13" s="71">
        <v>724.5</v>
      </c>
      <c r="I13" s="13">
        <f t="shared" si="1"/>
        <v>21735</v>
      </c>
    </row>
    <row r="14" spans="1:9" ht="34.5" customHeight="1" x14ac:dyDescent="0.25">
      <c r="A14" s="12">
        <v>4</v>
      </c>
      <c r="B14" s="67" t="s">
        <v>66</v>
      </c>
      <c r="C14" s="73" t="s">
        <v>118</v>
      </c>
      <c r="D14" s="43" t="str">
        <f t="shared" si="0"/>
        <v>2.9.1</v>
      </c>
      <c r="E14" s="68" t="s">
        <v>67</v>
      </c>
      <c r="F14" s="69" t="s">
        <v>59</v>
      </c>
      <c r="G14" s="70">
        <v>30</v>
      </c>
      <c r="H14" s="71">
        <v>491.7</v>
      </c>
      <c r="I14" s="13">
        <f t="shared" si="1"/>
        <v>14751</v>
      </c>
    </row>
    <row r="15" spans="1:9" ht="32.25" customHeight="1" x14ac:dyDescent="0.25">
      <c r="A15" s="12">
        <v>5</v>
      </c>
      <c r="B15" s="67" t="s">
        <v>68</v>
      </c>
      <c r="C15" s="73" t="s">
        <v>118</v>
      </c>
      <c r="D15" s="43" t="str">
        <f t="shared" si="0"/>
        <v>2.9.1</v>
      </c>
      <c r="E15" s="68" t="s">
        <v>69</v>
      </c>
      <c r="F15" s="69" t="s">
        <v>114</v>
      </c>
      <c r="G15" s="70">
        <v>30</v>
      </c>
      <c r="H15" s="71">
        <v>353.7</v>
      </c>
      <c r="I15" s="13">
        <f t="shared" si="1"/>
        <v>10611</v>
      </c>
    </row>
    <row r="16" spans="1:9" ht="30.75" customHeight="1" x14ac:dyDescent="0.25">
      <c r="A16" s="12">
        <v>6</v>
      </c>
      <c r="B16" s="67" t="s">
        <v>70</v>
      </c>
      <c r="C16" s="73" t="s">
        <v>118</v>
      </c>
      <c r="D16" s="43" t="str">
        <f t="shared" si="0"/>
        <v>2.9.1</v>
      </c>
      <c r="E16" s="68" t="s">
        <v>71</v>
      </c>
      <c r="F16" s="69" t="s">
        <v>114</v>
      </c>
      <c r="G16" s="70">
        <v>30</v>
      </c>
      <c r="H16" s="71">
        <v>116</v>
      </c>
      <c r="I16" s="13">
        <f t="shared" si="1"/>
        <v>3480</v>
      </c>
    </row>
    <row r="17" spans="1:9" ht="26.25" customHeight="1" x14ac:dyDescent="0.25">
      <c r="A17" s="12">
        <v>7</v>
      </c>
      <c r="B17" s="67" t="s">
        <v>72</v>
      </c>
      <c r="C17" s="73" t="s">
        <v>118</v>
      </c>
      <c r="D17" s="43" t="str">
        <f t="shared" si="0"/>
        <v>2.9.1</v>
      </c>
      <c r="E17" s="68" t="s">
        <v>73</v>
      </c>
      <c r="F17" s="69" t="s">
        <v>59</v>
      </c>
      <c r="G17" s="70">
        <v>40</v>
      </c>
      <c r="H17" s="71">
        <v>681.1</v>
      </c>
      <c r="I17" s="13">
        <f t="shared" si="1"/>
        <v>27244</v>
      </c>
    </row>
    <row r="18" spans="1:9" ht="25.5" customHeight="1" x14ac:dyDescent="0.25">
      <c r="A18" s="12">
        <v>8</v>
      </c>
      <c r="B18" s="67" t="s">
        <v>74</v>
      </c>
      <c r="C18" s="73" t="s">
        <v>118</v>
      </c>
      <c r="D18" s="43" t="str">
        <f t="shared" si="0"/>
        <v>2.9.1</v>
      </c>
      <c r="E18" s="68" t="s">
        <v>75</v>
      </c>
      <c r="F18" s="69" t="s">
        <v>59</v>
      </c>
      <c r="G18" s="70">
        <v>50</v>
      </c>
      <c r="H18" s="71">
        <v>222.6</v>
      </c>
      <c r="I18" s="13">
        <f t="shared" si="1"/>
        <v>11130</v>
      </c>
    </row>
    <row r="19" spans="1:9" ht="27" customHeight="1" x14ac:dyDescent="0.25">
      <c r="A19" s="12">
        <v>9</v>
      </c>
      <c r="B19" s="67" t="s">
        <v>76</v>
      </c>
      <c r="C19" s="73" t="s">
        <v>118</v>
      </c>
      <c r="D19" s="43" t="str">
        <f t="shared" si="0"/>
        <v>2.9.1</v>
      </c>
      <c r="E19" s="68" t="s">
        <v>77</v>
      </c>
      <c r="F19" s="69" t="s">
        <v>59</v>
      </c>
      <c r="G19" s="70">
        <v>25</v>
      </c>
      <c r="H19" s="71">
        <v>476.1</v>
      </c>
      <c r="I19" s="13">
        <f t="shared" si="1"/>
        <v>11902.5</v>
      </c>
    </row>
    <row r="20" spans="1:9" ht="49.5" customHeight="1" x14ac:dyDescent="0.25">
      <c r="A20" s="12">
        <v>10</v>
      </c>
      <c r="B20" s="67" t="s">
        <v>78</v>
      </c>
      <c r="C20" s="73" t="s">
        <v>118</v>
      </c>
      <c r="D20" s="43" t="str">
        <f t="shared" si="0"/>
        <v>2.9.1</v>
      </c>
      <c r="E20" s="68" t="s">
        <v>79</v>
      </c>
      <c r="F20" s="69" t="s">
        <v>59</v>
      </c>
      <c r="G20" s="70">
        <v>200</v>
      </c>
      <c r="H20" s="71">
        <v>203.6</v>
      </c>
      <c r="I20" s="13">
        <f t="shared" si="1"/>
        <v>40720</v>
      </c>
    </row>
    <row r="21" spans="1:9" ht="35.25" customHeight="1" x14ac:dyDescent="0.25">
      <c r="A21" s="12">
        <v>11</v>
      </c>
      <c r="B21" s="67" t="s">
        <v>80</v>
      </c>
      <c r="C21" s="73" t="s">
        <v>118</v>
      </c>
      <c r="D21" s="43" t="str">
        <f t="shared" si="0"/>
        <v>2.9.1</v>
      </c>
      <c r="E21" s="68" t="s">
        <v>81</v>
      </c>
      <c r="F21" s="69" t="s">
        <v>59</v>
      </c>
      <c r="G21" s="70">
        <v>50</v>
      </c>
      <c r="H21" s="71">
        <v>196.7</v>
      </c>
      <c r="I21" s="13">
        <f t="shared" si="1"/>
        <v>9835</v>
      </c>
    </row>
    <row r="22" spans="1:9" ht="35.25" customHeight="1" x14ac:dyDescent="0.25">
      <c r="A22" s="12">
        <v>12</v>
      </c>
      <c r="B22" s="67" t="s">
        <v>82</v>
      </c>
      <c r="C22" s="73" t="s">
        <v>118</v>
      </c>
      <c r="D22" s="43" t="str">
        <f t="shared" si="0"/>
        <v>2.9.1</v>
      </c>
      <c r="E22" s="68" t="s">
        <v>83</v>
      </c>
      <c r="F22" s="69" t="s">
        <v>59</v>
      </c>
      <c r="G22" s="70">
        <v>50</v>
      </c>
      <c r="H22" s="71">
        <v>900</v>
      </c>
      <c r="I22" s="13">
        <f t="shared" si="1"/>
        <v>45000</v>
      </c>
    </row>
    <row r="23" spans="1:9" ht="46.5" customHeight="1" x14ac:dyDescent="0.25">
      <c r="A23" s="12">
        <v>13</v>
      </c>
      <c r="B23" s="67" t="s">
        <v>84</v>
      </c>
      <c r="C23" s="73" t="s">
        <v>118</v>
      </c>
      <c r="D23" s="43" t="str">
        <f t="shared" si="0"/>
        <v>2.9.1</v>
      </c>
      <c r="E23" s="68" t="s">
        <v>85</v>
      </c>
      <c r="F23" s="69" t="s">
        <v>115</v>
      </c>
      <c r="G23" s="70">
        <v>100</v>
      </c>
      <c r="H23" s="71">
        <v>253.6</v>
      </c>
      <c r="I23" s="13">
        <f t="shared" si="1"/>
        <v>25360</v>
      </c>
    </row>
    <row r="24" spans="1:9" ht="26.25" customHeight="1" x14ac:dyDescent="0.25">
      <c r="A24" s="12">
        <v>14</v>
      </c>
      <c r="B24" s="67" t="s">
        <v>86</v>
      </c>
      <c r="C24" s="73" t="s">
        <v>118</v>
      </c>
      <c r="D24" s="43" t="str">
        <f t="shared" si="0"/>
        <v>2.9.1</v>
      </c>
      <c r="E24" s="68" t="s">
        <v>87</v>
      </c>
      <c r="F24" s="69" t="s">
        <v>59</v>
      </c>
      <c r="G24" s="70">
        <v>100</v>
      </c>
      <c r="H24" s="71">
        <v>129.4</v>
      </c>
      <c r="I24" s="13">
        <f t="shared" si="1"/>
        <v>12940</v>
      </c>
    </row>
    <row r="25" spans="1:9" ht="24.75" customHeight="1" x14ac:dyDescent="0.25">
      <c r="A25" s="12">
        <v>15</v>
      </c>
      <c r="B25" s="67" t="s">
        <v>88</v>
      </c>
      <c r="C25" s="73" t="s">
        <v>118</v>
      </c>
      <c r="D25" s="43" t="str">
        <f t="shared" si="0"/>
        <v>2.9.1</v>
      </c>
      <c r="E25" s="68" t="s">
        <v>89</v>
      </c>
      <c r="F25" s="69" t="s">
        <v>59</v>
      </c>
      <c r="G25" s="70">
        <v>50</v>
      </c>
      <c r="H25" s="71">
        <v>565</v>
      </c>
      <c r="I25" s="13">
        <f t="shared" si="1"/>
        <v>28250</v>
      </c>
    </row>
    <row r="26" spans="1:9" ht="25.5" customHeight="1" x14ac:dyDescent="0.25">
      <c r="A26" s="12">
        <v>16</v>
      </c>
      <c r="B26" s="67" t="s">
        <v>90</v>
      </c>
      <c r="C26" s="73" t="s">
        <v>118</v>
      </c>
      <c r="D26" s="43" t="str">
        <f t="shared" si="0"/>
        <v>2.9.1</v>
      </c>
      <c r="E26" s="68" t="s">
        <v>91</v>
      </c>
      <c r="F26" s="69" t="s">
        <v>59</v>
      </c>
      <c r="G26" s="70">
        <v>100</v>
      </c>
      <c r="H26" s="71">
        <v>375</v>
      </c>
      <c r="I26" s="13">
        <f t="shared" si="1"/>
        <v>37500</v>
      </c>
    </row>
    <row r="27" spans="1:9" ht="26.25" customHeight="1" x14ac:dyDescent="0.25">
      <c r="A27" s="12">
        <v>17</v>
      </c>
      <c r="B27" s="67" t="s">
        <v>92</v>
      </c>
      <c r="C27" s="73" t="s">
        <v>118</v>
      </c>
      <c r="D27" s="43" t="str">
        <f t="shared" si="0"/>
        <v>2.9.1</v>
      </c>
      <c r="E27" s="68" t="s">
        <v>93</v>
      </c>
      <c r="F27" s="69" t="s">
        <v>59</v>
      </c>
      <c r="G27" s="70">
        <v>50</v>
      </c>
      <c r="H27" s="71">
        <v>725</v>
      </c>
      <c r="I27" s="13">
        <f t="shared" si="1"/>
        <v>36250</v>
      </c>
    </row>
    <row r="28" spans="1:9" ht="45.75" customHeight="1" x14ac:dyDescent="0.25">
      <c r="A28" s="12">
        <v>18</v>
      </c>
      <c r="B28" s="67" t="s">
        <v>94</v>
      </c>
      <c r="C28" s="73" t="s">
        <v>118</v>
      </c>
      <c r="D28" s="43" t="str">
        <f t="shared" si="0"/>
        <v>2.9.1</v>
      </c>
      <c r="E28" s="68" t="s">
        <v>95</v>
      </c>
      <c r="F28" s="69" t="s">
        <v>59</v>
      </c>
      <c r="G28" s="70">
        <v>100</v>
      </c>
      <c r="H28" s="71">
        <v>126</v>
      </c>
      <c r="I28" s="13">
        <f t="shared" si="1"/>
        <v>12600</v>
      </c>
    </row>
    <row r="29" spans="1:9" ht="35.25" customHeight="1" x14ac:dyDescent="0.25">
      <c r="A29" s="12">
        <v>19</v>
      </c>
      <c r="B29" s="67" t="s">
        <v>96</v>
      </c>
      <c r="C29" s="73" t="s">
        <v>118</v>
      </c>
      <c r="D29" s="43" t="str">
        <f t="shared" si="0"/>
        <v>2.9.1</v>
      </c>
      <c r="E29" s="68" t="s">
        <v>97</v>
      </c>
      <c r="F29" s="69" t="s">
        <v>59</v>
      </c>
      <c r="G29" s="70">
        <v>50</v>
      </c>
      <c r="H29" s="71">
        <v>1180</v>
      </c>
      <c r="I29" s="13">
        <f t="shared" si="1"/>
        <v>59000</v>
      </c>
    </row>
    <row r="30" spans="1:9" ht="25.5" customHeight="1" x14ac:dyDescent="0.25">
      <c r="A30" s="12">
        <v>20</v>
      </c>
      <c r="B30" s="67" t="s">
        <v>98</v>
      </c>
      <c r="C30" s="73" t="s">
        <v>118</v>
      </c>
      <c r="D30" s="43" t="str">
        <f t="shared" si="0"/>
        <v>2.9.1</v>
      </c>
      <c r="E30" s="68" t="s">
        <v>99</v>
      </c>
      <c r="F30" s="69" t="s">
        <v>59</v>
      </c>
      <c r="G30" s="70">
        <v>100</v>
      </c>
      <c r="H30" s="71">
        <v>251</v>
      </c>
      <c r="I30" s="13">
        <f t="shared" si="1"/>
        <v>25100</v>
      </c>
    </row>
    <row r="31" spans="1:9" ht="36.75" customHeight="1" x14ac:dyDescent="0.25">
      <c r="A31" s="12">
        <v>21</v>
      </c>
      <c r="B31" s="67" t="s">
        <v>102</v>
      </c>
      <c r="C31" s="73" t="s">
        <v>118</v>
      </c>
      <c r="D31" s="43" t="str">
        <f t="shared" si="0"/>
        <v>2.9.1</v>
      </c>
      <c r="E31" s="68" t="s">
        <v>103</v>
      </c>
      <c r="F31" s="69" t="s">
        <v>59</v>
      </c>
      <c r="G31" s="70">
        <v>50</v>
      </c>
      <c r="H31" s="71">
        <v>360</v>
      </c>
      <c r="I31" s="13">
        <f t="shared" si="1"/>
        <v>18000</v>
      </c>
    </row>
    <row r="32" spans="1:9" ht="38.25" customHeight="1" x14ac:dyDescent="0.25">
      <c r="A32" s="12">
        <v>22</v>
      </c>
      <c r="B32" s="67" t="s">
        <v>104</v>
      </c>
      <c r="C32" s="73" t="s">
        <v>118</v>
      </c>
      <c r="D32" s="43" t="str">
        <f t="shared" si="0"/>
        <v>2.9.1</v>
      </c>
      <c r="E32" s="68" t="s">
        <v>105</v>
      </c>
      <c r="F32" s="69" t="s">
        <v>59</v>
      </c>
      <c r="G32" s="70">
        <v>35</v>
      </c>
      <c r="H32" s="71">
        <v>1870</v>
      </c>
      <c r="I32" s="13">
        <f t="shared" si="1"/>
        <v>65450</v>
      </c>
    </row>
    <row r="33" spans="1:9" ht="26.25" customHeight="1" x14ac:dyDescent="0.25">
      <c r="A33" s="12">
        <v>23</v>
      </c>
      <c r="B33" s="67" t="s">
        <v>100</v>
      </c>
      <c r="C33" s="73" t="s">
        <v>118</v>
      </c>
      <c r="D33" s="43" t="str">
        <f t="shared" si="0"/>
        <v>2.9.1</v>
      </c>
      <c r="E33" s="68" t="s">
        <v>101</v>
      </c>
      <c r="F33" s="69" t="s">
        <v>59</v>
      </c>
      <c r="G33" s="70">
        <v>30</v>
      </c>
      <c r="H33" s="71">
        <v>510</v>
      </c>
      <c r="I33" s="13">
        <f t="shared" si="1"/>
        <v>15300</v>
      </c>
    </row>
    <row r="34" spans="1:9" ht="26.25" customHeight="1" x14ac:dyDescent="0.25">
      <c r="A34" s="12">
        <v>24</v>
      </c>
      <c r="B34" s="67" t="s">
        <v>106</v>
      </c>
      <c r="C34" s="73" t="s">
        <v>118</v>
      </c>
      <c r="D34" s="43" t="str">
        <f t="shared" si="0"/>
        <v>2.9.1</v>
      </c>
      <c r="E34" s="68" t="s">
        <v>107</v>
      </c>
      <c r="F34" s="69" t="s">
        <v>59</v>
      </c>
      <c r="G34" s="70">
        <v>50</v>
      </c>
      <c r="H34" s="71">
        <v>350</v>
      </c>
      <c r="I34" s="13">
        <f t="shared" si="1"/>
        <v>17500</v>
      </c>
    </row>
    <row r="35" spans="1:9" ht="45.75" customHeight="1" x14ac:dyDescent="0.25">
      <c r="A35" s="12">
        <v>25</v>
      </c>
      <c r="B35" s="67" t="s">
        <v>108</v>
      </c>
      <c r="C35" s="73" t="s">
        <v>118</v>
      </c>
      <c r="D35" s="43" t="str">
        <f t="shared" si="0"/>
        <v>2.3.4</v>
      </c>
      <c r="E35" s="68" t="s">
        <v>109</v>
      </c>
      <c r="F35" s="69" t="s">
        <v>116</v>
      </c>
      <c r="G35" s="70">
        <v>50</v>
      </c>
      <c r="H35" s="71">
        <v>1750</v>
      </c>
      <c r="I35" s="13">
        <f t="shared" si="1"/>
        <v>87500</v>
      </c>
    </row>
    <row r="36" spans="1:9" ht="40.5" customHeight="1" x14ac:dyDescent="0.25">
      <c r="A36" s="12">
        <v>26</v>
      </c>
      <c r="B36" s="67" t="s">
        <v>110</v>
      </c>
      <c r="C36" s="73" t="s">
        <v>118</v>
      </c>
      <c r="D36" s="43" t="str">
        <f t="shared" si="0"/>
        <v>2.7.5</v>
      </c>
      <c r="E36" s="68" t="s">
        <v>111</v>
      </c>
      <c r="F36" s="69" t="s">
        <v>59</v>
      </c>
      <c r="G36" s="70">
        <v>150</v>
      </c>
      <c r="H36" s="71">
        <v>110</v>
      </c>
      <c r="I36" s="13">
        <f t="shared" si="1"/>
        <v>16500</v>
      </c>
    </row>
    <row r="37" spans="1:9" ht="54.75" customHeight="1" thickBot="1" x14ac:dyDescent="0.3">
      <c r="A37" s="83">
        <v>27</v>
      </c>
      <c r="B37" s="44" t="s">
        <v>112</v>
      </c>
      <c r="C37" s="84" t="s">
        <v>118</v>
      </c>
      <c r="D37" s="45" t="str">
        <f t="shared" si="0"/>
        <v>2.5.4</v>
      </c>
      <c r="E37" s="46" t="s">
        <v>113</v>
      </c>
      <c r="F37" s="85" t="s">
        <v>59</v>
      </c>
      <c r="G37" s="47">
        <v>150</v>
      </c>
      <c r="H37" s="48">
        <v>1200</v>
      </c>
      <c r="I37" s="14">
        <f t="shared" si="1"/>
        <v>180000</v>
      </c>
    </row>
    <row r="38" spans="1:9" ht="25.5" customHeight="1" thickBot="1" x14ac:dyDescent="0.3">
      <c r="A38" s="1"/>
      <c r="B38" s="1"/>
      <c r="C38" s="1"/>
      <c r="D38" s="1"/>
      <c r="E38" s="7"/>
      <c r="F38" s="8"/>
      <c r="G38" s="8"/>
      <c r="H38" s="8"/>
      <c r="I38" s="111">
        <f>SUM(I11:I37)</f>
        <v>860183.5</v>
      </c>
    </row>
    <row r="39" spans="1:9" ht="15.75" thickBot="1" x14ac:dyDescent="0.3"/>
    <row r="40" spans="1:9" ht="23.25" x14ac:dyDescent="0.35">
      <c r="B40" s="93" t="s">
        <v>127</v>
      </c>
      <c r="C40" s="100"/>
      <c r="D40" s="100"/>
      <c r="E40" s="101"/>
    </row>
    <row r="41" spans="1:9" ht="23.25" x14ac:dyDescent="0.35">
      <c r="B41" s="102"/>
      <c r="C41" s="103"/>
      <c r="D41" s="103"/>
      <c r="E41" s="104"/>
    </row>
    <row r="42" spans="1:9" ht="21" x14ac:dyDescent="0.35">
      <c r="B42" s="96" t="s">
        <v>18</v>
      </c>
      <c r="C42" s="97"/>
      <c r="D42" s="97"/>
      <c r="E42" s="98"/>
    </row>
    <row r="43" spans="1:9" s="78" customFormat="1" ht="66.75" customHeight="1" thickBot="1" x14ac:dyDescent="0.3">
      <c r="B43" s="99"/>
      <c r="C43" s="119" t="s">
        <v>124</v>
      </c>
      <c r="D43" s="120"/>
      <c r="E43" s="121"/>
    </row>
    <row r="44" spans="1:9" ht="23.25" x14ac:dyDescent="0.35">
      <c r="B44" s="106" t="s">
        <v>126</v>
      </c>
      <c r="C44" s="103"/>
      <c r="D44" s="97"/>
      <c r="E44" s="98"/>
    </row>
    <row r="45" spans="1:9" ht="21" x14ac:dyDescent="0.35">
      <c r="B45" s="96"/>
      <c r="C45" s="97"/>
      <c r="D45" s="97"/>
      <c r="E45" s="98"/>
    </row>
    <row r="46" spans="1:9" ht="21" x14ac:dyDescent="0.35">
      <c r="B46" s="96" t="s">
        <v>18</v>
      </c>
      <c r="C46" s="97"/>
      <c r="D46" s="97"/>
      <c r="E46" s="98"/>
    </row>
    <row r="47" spans="1:9" s="78" customFormat="1" ht="56.25" customHeight="1" thickBot="1" x14ac:dyDescent="0.3">
      <c r="B47" s="99"/>
      <c r="C47" s="122" t="s">
        <v>125</v>
      </c>
      <c r="D47" s="123"/>
      <c r="E47" s="124"/>
    </row>
    <row r="48" spans="1:9" ht="21" x14ac:dyDescent="0.35">
      <c r="B48" s="105" t="s">
        <v>14</v>
      </c>
      <c r="C48" s="97"/>
      <c r="D48" s="97"/>
      <c r="E48" s="98"/>
    </row>
    <row r="49" spans="2:5" ht="168.75" customHeight="1" thickBot="1" x14ac:dyDescent="0.4">
      <c r="B49" s="107" t="s">
        <v>15</v>
      </c>
      <c r="C49" s="122" t="s">
        <v>128</v>
      </c>
      <c r="D49" s="123"/>
      <c r="E49" s="124"/>
    </row>
    <row r="50" spans="2:5" ht="21" x14ac:dyDescent="0.35">
      <c r="B50" s="105" t="s">
        <v>19</v>
      </c>
      <c r="C50" s="97"/>
      <c r="D50" s="97"/>
      <c r="E50" s="98"/>
    </row>
    <row r="51" spans="2:5" ht="21.75" thickBot="1" x14ac:dyDescent="0.4">
      <c r="B51" s="107"/>
      <c r="C51" s="108"/>
      <c r="D51" s="108"/>
      <c r="E51" s="109"/>
    </row>
    <row r="52" spans="2:5" ht="21" x14ac:dyDescent="0.35">
      <c r="B52" s="105" t="s">
        <v>16</v>
      </c>
      <c r="C52" s="97"/>
      <c r="D52" s="97"/>
      <c r="E52" s="98"/>
    </row>
    <row r="53" spans="2:5" s="78" customFormat="1" ht="33.75" customHeight="1" thickBot="1" x14ac:dyDescent="0.3">
      <c r="B53" s="99"/>
      <c r="C53" s="127" t="s">
        <v>123</v>
      </c>
      <c r="D53" s="128"/>
      <c r="E53" s="129"/>
    </row>
    <row r="54" spans="2:5" ht="21" x14ac:dyDescent="0.35">
      <c r="B54" s="92" t="s">
        <v>17</v>
      </c>
      <c r="C54" s="94"/>
      <c r="D54" s="94"/>
      <c r="E54" s="95"/>
    </row>
    <row r="55" spans="2:5" ht="21.75" thickBot="1" x14ac:dyDescent="0.4">
      <c r="B55" s="110"/>
      <c r="C55" s="125"/>
      <c r="D55" s="125"/>
      <c r="E55" s="126"/>
    </row>
  </sheetData>
  <mergeCells count="17">
    <mergeCell ref="C43:E43"/>
    <mergeCell ref="C47:E47"/>
    <mergeCell ref="C55:E55"/>
    <mergeCell ref="C49:E49"/>
    <mergeCell ref="C53:E53"/>
    <mergeCell ref="C1:D1"/>
    <mergeCell ref="C7:E7"/>
    <mergeCell ref="C6:E6"/>
    <mergeCell ref="B2:H2"/>
    <mergeCell ref="A4:B4"/>
    <mergeCell ref="C4:E4"/>
    <mergeCell ref="A5:B5"/>
    <mergeCell ref="C5:E5"/>
    <mergeCell ref="F5:I5"/>
    <mergeCell ref="A6:B6"/>
    <mergeCell ref="A7:B7"/>
    <mergeCell ref="H7:I8"/>
  </mergeCells>
  <pageMargins left="0.70866141732283472" right="0.70866141732283472" top="0.74803149606299213" bottom="0.74803149606299213" header="0.31496062992125984" footer="0.31496062992125984"/>
  <pageSetup paperSize="5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="80" zoomScaleNormal="80" workbookViewId="0">
      <selection activeCell="K2" sqref="K2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15" customWidth="1"/>
    <col min="7" max="7" width="7.5703125" customWidth="1"/>
    <col min="8" max="8" width="9.28515625" customWidth="1"/>
    <col min="9" max="9" width="11.85546875" customWidth="1"/>
    <col min="10" max="10" width="11.28515625" customWidth="1"/>
    <col min="11" max="11" width="13.28515625" customWidth="1"/>
    <col min="17" max="17" width="17.85546875" customWidth="1"/>
  </cols>
  <sheetData>
    <row r="1" spans="1:17" ht="16.5" thickBot="1" x14ac:dyDescent="0.3">
      <c r="A1" s="142" t="s">
        <v>20</v>
      </c>
      <c r="B1" s="142"/>
      <c r="C1" s="142"/>
      <c r="D1" s="142"/>
      <c r="E1" s="142"/>
      <c r="F1" s="142"/>
      <c r="G1" s="142"/>
      <c r="H1" s="142"/>
      <c r="I1" s="142"/>
      <c r="J1" s="15" t="s">
        <v>21</v>
      </c>
      <c r="K1" s="49" t="s">
        <v>135</v>
      </c>
    </row>
    <row r="2" spans="1:17" ht="16.5" thickBot="1" x14ac:dyDescent="0.3">
      <c r="A2" s="16"/>
      <c r="B2" s="16"/>
      <c r="C2" s="16"/>
      <c r="D2" s="17"/>
      <c r="E2" s="17"/>
      <c r="F2" s="17"/>
      <c r="G2" s="17"/>
      <c r="H2" s="17"/>
      <c r="I2" s="17"/>
      <c r="J2" s="17"/>
      <c r="K2" s="17"/>
    </row>
    <row r="3" spans="1:17" ht="16.5" thickBot="1" x14ac:dyDescent="0.3">
      <c r="A3" s="140" t="s">
        <v>22</v>
      </c>
      <c r="B3" s="140"/>
      <c r="C3" s="140"/>
      <c r="D3" s="143" t="str">
        <f>'Necesidades Trimestrales'!C4</f>
        <v>95 - Ministerio de Cultura, Turismo y Deporte.-</v>
      </c>
      <c r="E3" s="144"/>
      <c r="F3" s="144"/>
      <c r="G3" s="144"/>
      <c r="H3" s="144"/>
      <c r="I3" s="144"/>
      <c r="J3" s="144"/>
      <c r="K3" s="145"/>
    </row>
    <row r="4" spans="1:17" ht="16.5" thickBot="1" x14ac:dyDescent="0.3">
      <c r="A4" s="138" t="s">
        <v>23</v>
      </c>
      <c r="B4" s="138"/>
      <c r="C4" s="138"/>
      <c r="D4" s="146" t="str">
        <f>'Necesidades Trimestrales'!C5</f>
        <v>18 - Secretaria de Administración y Recursos Humanos.-</v>
      </c>
      <c r="E4" s="146"/>
      <c r="F4" s="146"/>
      <c r="G4" s="146"/>
      <c r="H4" s="146"/>
      <c r="I4" s="146"/>
      <c r="J4" s="146"/>
      <c r="K4" s="146"/>
    </row>
    <row r="5" spans="1:17" ht="16.5" thickBot="1" x14ac:dyDescent="0.3">
      <c r="A5" s="138" t="s">
        <v>24</v>
      </c>
      <c r="B5" s="138"/>
      <c r="C5" s="138"/>
      <c r="D5" s="139" t="s">
        <v>131</v>
      </c>
      <c r="E5" s="139"/>
      <c r="F5" s="139"/>
      <c r="G5" s="139"/>
      <c r="H5" s="139"/>
      <c r="I5" s="139"/>
      <c r="J5" s="139"/>
      <c r="K5" s="139"/>
    </row>
    <row r="6" spans="1:17" ht="16.5" thickBot="1" x14ac:dyDescent="0.3">
      <c r="A6" s="140" t="s">
        <v>25</v>
      </c>
      <c r="B6" s="140"/>
      <c r="C6" s="140"/>
      <c r="D6" s="139" t="s">
        <v>132</v>
      </c>
      <c r="E6" s="139"/>
      <c r="F6" s="139"/>
      <c r="G6" s="139"/>
      <c r="H6" s="139"/>
      <c r="I6" s="139"/>
      <c r="J6" s="139"/>
      <c r="K6" s="139"/>
    </row>
    <row r="7" spans="1:17" ht="16.5" thickBot="1" x14ac:dyDescent="0.3">
      <c r="A7" s="138" t="s">
        <v>26</v>
      </c>
      <c r="B7" s="138"/>
      <c r="C7" s="138"/>
      <c r="D7" s="141" t="str">
        <f xml:space="preserve"> 'Necesidades Trimestrales'!C7 &amp; "  - Año " &amp; 'Necesidades Trimestrales'!C6</f>
        <v>2° Trimestre  - Año 2022</v>
      </c>
      <c r="E7" s="141"/>
      <c r="F7" s="141"/>
      <c r="G7" s="141"/>
      <c r="H7" s="141"/>
      <c r="I7" s="141"/>
      <c r="J7" s="141"/>
      <c r="K7" s="141"/>
    </row>
    <row r="8" spans="1:17" ht="36.75" customHeight="1" thickBot="1" x14ac:dyDescent="0.3">
      <c r="A8" s="133" t="s">
        <v>27</v>
      </c>
      <c r="B8" s="134"/>
      <c r="C8" s="135"/>
      <c r="D8" s="136" t="s">
        <v>133</v>
      </c>
      <c r="E8" s="136"/>
      <c r="F8" s="136"/>
      <c r="G8" s="136"/>
      <c r="H8" s="136"/>
      <c r="I8" s="136"/>
      <c r="J8" s="136"/>
      <c r="K8" s="137"/>
    </row>
    <row r="9" spans="1:17" ht="16.5" thickBot="1" x14ac:dyDescent="0.3">
      <c r="A9" s="18"/>
      <c r="B9" s="19"/>
      <c r="C9" s="20"/>
      <c r="D9" s="21"/>
      <c r="E9" s="21"/>
      <c r="F9" s="21"/>
      <c r="G9" s="21"/>
      <c r="H9" s="21"/>
      <c r="I9" s="21"/>
      <c r="J9" s="21"/>
      <c r="K9" s="22"/>
    </row>
    <row r="10" spans="1:17" ht="24.75" customHeight="1" thickBot="1" x14ac:dyDescent="0.3">
      <c r="A10" s="157" t="s">
        <v>28</v>
      </c>
      <c r="B10" s="152" t="s">
        <v>29</v>
      </c>
      <c r="C10" s="158" t="s">
        <v>30</v>
      </c>
      <c r="D10" s="159"/>
      <c r="E10" s="159"/>
      <c r="F10" s="159"/>
      <c r="G10" s="160"/>
      <c r="H10" s="161" t="s">
        <v>31</v>
      </c>
      <c r="I10" s="152" t="s">
        <v>32</v>
      </c>
      <c r="J10" s="162" t="s">
        <v>33</v>
      </c>
      <c r="K10" s="152" t="s">
        <v>34</v>
      </c>
    </row>
    <row r="11" spans="1:17" ht="21.75" customHeight="1" thickBot="1" x14ac:dyDescent="0.3">
      <c r="A11" s="157"/>
      <c r="B11" s="152"/>
      <c r="C11" s="158"/>
      <c r="D11" s="159"/>
      <c r="E11" s="159"/>
      <c r="F11" s="159"/>
      <c r="G11" s="160"/>
      <c r="H11" s="161"/>
      <c r="I11" s="152"/>
      <c r="J11" s="162"/>
      <c r="K11" s="152"/>
    </row>
    <row r="12" spans="1:17" ht="45" customHeight="1" x14ac:dyDescent="0.25">
      <c r="A12" s="74">
        <v>1</v>
      </c>
      <c r="B12" s="75" t="str">
        <f>'Necesidades Trimestrales'!B11</f>
        <v>2.9.1-6951.303</v>
      </c>
      <c r="C12" s="130" t="str">
        <f>'Necesidades Trimestrales'!E11</f>
        <v>LIMPIADORES; TIPO: LIMPIA MUEBLES, PRESENTACION: AEROSOL X 360 CM3, BIODEGRADABLE: SI</v>
      </c>
      <c r="D12" s="131"/>
      <c r="E12" s="131"/>
      <c r="F12" s="131"/>
      <c r="G12" s="132"/>
      <c r="H12" s="59" t="s">
        <v>117</v>
      </c>
      <c r="I12" s="60" t="str">
        <f>'Necesidades Trimestrales'!F11</f>
        <v>UNIDAD</v>
      </c>
      <c r="J12" s="61">
        <f>'Necesidades Trimestrales'!G11</f>
        <v>30</v>
      </c>
      <c r="K12" s="62">
        <f>'Necesidades Trimestrales'!H11</f>
        <v>207.9</v>
      </c>
    </row>
    <row r="13" spans="1:17" ht="45" customHeight="1" x14ac:dyDescent="0.25">
      <c r="A13" s="74">
        <v>2</v>
      </c>
      <c r="B13" s="75" t="str">
        <f>'Necesidades Trimestrales'!B12</f>
        <v>2.9.1-6951.41</v>
      </c>
      <c r="C13" s="130" t="str">
        <f>'Necesidades Trimestrales'!E12</f>
        <v>LIMPIADORES; TIPO: DESINFECTANTE P/PISO, PRESENTACION: ENVASE X 5 L</v>
      </c>
      <c r="D13" s="131"/>
      <c r="E13" s="131"/>
      <c r="F13" s="131"/>
      <c r="G13" s="132"/>
      <c r="H13" s="59" t="s">
        <v>117</v>
      </c>
      <c r="I13" s="60" t="str">
        <f>'Necesidades Trimestrales'!F12</f>
        <v>UNIDAD</v>
      </c>
      <c r="J13" s="61">
        <f>'Necesidades Trimestrales'!G12</f>
        <v>80</v>
      </c>
      <c r="K13" s="62">
        <f>'Necesidades Trimestrales'!H12</f>
        <v>253.6</v>
      </c>
    </row>
    <row r="14" spans="1:17" ht="45" customHeight="1" x14ac:dyDescent="0.25">
      <c r="A14" s="74">
        <v>3</v>
      </c>
      <c r="B14" s="75" t="str">
        <f>'Necesidades Trimestrales'!B13</f>
        <v>2.9.1-6956.27</v>
      </c>
      <c r="C14" s="130" t="str">
        <f>'Necesidades Trimestrales'!E13</f>
        <v>ARTICULOS DE TOCADOR; TIPO: JABON DE TOCADOR LIQUIDO, PRESENTACION: ENVASE X 5 L</v>
      </c>
      <c r="D14" s="131"/>
      <c r="E14" s="131"/>
      <c r="F14" s="131"/>
      <c r="G14" s="132"/>
      <c r="H14" s="59" t="s">
        <v>117</v>
      </c>
      <c r="I14" s="60" t="str">
        <f>'Necesidades Trimestrales'!F13</f>
        <v>UNIDAD</v>
      </c>
      <c r="J14" s="61">
        <f>'Necesidades Trimestrales'!G13</f>
        <v>30</v>
      </c>
      <c r="K14" s="62">
        <f>'Necesidades Trimestrales'!H13</f>
        <v>724.5</v>
      </c>
      <c r="Q14" s="91"/>
    </row>
    <row r="15" spans="1:17" ht="45" customHeight="1" x14ac:dyDescent="0.25">
      <c r="A15" s="74">
        <v>4</v>
      </c>
      <c r="B15" s="75" t="str">
        <f>'Necesidades Trimestrales'!B14</f>
        <v>2.9.1-564.23</v>
      </c>
      <c r="C15" s="130" t="str">
        <f>'Necesidades Trimestrales'!E14</f>
        <v>BALDES DE PLASTICO; CAPACIDAD: 12 L, TIPO DE PLASTICO: POLIPROPILENO</v>
      </c>
      <c r="D15" s="131"/>
      <c r="E15" s="131"/>
      <c r="F15" s="131"/>
      <c r="G15" s="132"/>
      <c r="H15" s="59" t="s">
        <v>117</v>
      </c>
      <c r="I15" s="60" t="str">
        <f>'Necesidades Trimestrales'!F14</f>
        <v>UNIDAD</v>
      </c>
      <c r="J15" s="61">
        <f>'Necesidades Trimestrales'!G14</f>
        <v>30</v>
      </c>
      <c r="K15" s="62">
        <f>'Necesidades Trimestrales'!H14</f>
        <v>491.7</v>
      </c>
    </row>
    <row r="16" spans="1:17" ht="45" customHeight="1" x14ac:dyDescent="0.25">
      <c r="A16" s="74">
        <v>5</v>
      </c>
      <c r="B16" s="75" t="str">
        <f>'Necesidades Trimestrales'!B15</f>
        <v>2.9.1-646.32</v>
      </c>
      <c r="C16" s="130" t="str">
        <f>'Necesidades Trimestrales'!E15</f>
        <v>BOLSAS DE RESIDUOS; DIMENSION: 120 X 90 Cm, PRESENTACION: BOLSA X 100, ESPESOR: 60 Mn, COLOR: NEGRO</v>
      </c>
      <c r="D16" s="131"/>
      <c r="E16" s="131"/>
      <c r="F16" s="131"/>
      <c r="G16" s="132"/>
      <c r="H16" s="59" t="s">
        <v>117</v>
      </c>
      <c r="I16" s="60" t="str">
        <f>'Necesidades Trimestrales'!F15</f>
        <v>BOLSA</v>
      </c>
      <c r="J16" s="61">
        <f>'Necesidades Trimestrales'!G15</f>
        <v>30</v>
      </c>
      <c r="K16" s="62">
        <f>'Necesidades Trimestrales'!H15</f>
        <v>353.7</v>
      </c>
    </row>
    <row r="17" spans="1:11" ht="45" customHeight="1" x14ac:dyDescent="0.25">
      <c r="A17" s="74">
        <v>6</v>
      </c>
      <c r="B17" s="75" t="str">
        <f>'Necesidades Trimestrales'!B16</f>
        <v>2.9.1-646.98</v>
      </c>
      <c r="C17" s="130" t="str">
        <f>'Necesidades Trimestrales'!E16</f>
        <v>BOLSAS DE RESIDUOS; DIMENSION: 90 X 60 Cm, PRESENTACION: ENVASE X 50 UN, ESPESOR: 120 Mn</v>
      </c>
      <c r="D17" s="131"/>
      <c r="E17" s="131"/>
      <c r="F17" s="131"/>
      <c r="G17" s="132"/>
      <c r="H17" s="59" t="s">
        <v>117</v>
      </c>
      <c r="I17" s="60" t="str">
        <f>'Necesidades Trimestrales'!F16</f>
        <v>BOLSA</v>
      </c>
      <c r="J17" s="61">
        <f>'Necesidades Trimestrales'!G16</f>
        <v>30</v>
      </c>
      <c r="K17" s="62">
        <f>'Necesidades Trimestrales'!H16</f>
        <v>116</v>
      </c>
    </row>
    <row r="18" spans="1:11" ht="45" customHeight="1" x14ac:dyDescent="0.25">
      <c r="A18" s="74">
        <v>7</v>
      </c>
      <c r="B18" s="75" t="str">
        <f>'Necesidades Trimestrales'!B17</f>
        <v>2.9.1-6952.75</v>
      </c>
      <c r="C18" s="130" t="str">
        <f>'Necesidades Trimestrales'!E17</f>
        <v>CEPILLOS; TIPO: ESCOBA BARREHOJAS, MATERIAL: CERDAS METALICAS</v>
      </c>
      <c r="D18" s="131"/>
      <c r="E18" s="131"/>
      <c r="F18" s="131"/>
      <c r="G18" s="132"/>
      <c r="H18" s="59" t="s">
        <v>117</v>
      </c>
      <c r="I18" s="60" t="str">
        <f>'Necesidades Trimestrales'!F17</f>
        <v>UNIDAD</v>
      </c>
      <c r="J18" s="61">
        <f>'Necesidades Trimestrales'!G17</f>
        <v>40</v>
      </c>
      <c r="K18" s="62">
        <f>'Necesidades Trimestrales'!H17</f>
        <v>681.1</v>
      </c>
    </row>
    <row r="19" spans="1:11" ht="45" customHeight="1" x14ac:dyDescent="0.25">
      <c r="A19" s="74">
        <v>8</v>
      </c>
      <c r="B19" s="75" t="str">
        <f>'Necesidades Trimestrales'!B18</f>
        <v>2.9.1-6952.29</v>
      </c>
      <c r="C19" s="130" t="str">
        <f>'Necesidades Trimestrales'!E18</f>
        <v>CEPILLOS; TIPO: ESCOBILLA LIMPIA INODORO, MATERIAL: PLASTICO</v>
      </c>
      <c r="D19" s="131"/>
      <c r="E19" s="131"/>
      <c r="F19" s="131"/>
      <c r="G19" s="132"/>
      <c r="H19" s="59" t="s">
        <v>117</v>
      </c>
      <c r="I19" s="60" t="str">
        <f>'Necesidades Trimestrales'!F18</f>
        <v>UNIDAD</v>
      </c>
      <c r="J19" s="61">
        <f>'Necesidades Trimestrales'!G18</f>
        <v>50</v>
      </c>
      <c r="K19" s="62">
        <f>'Necesidades Trimestrales'!H18</f>
        <v>222.6</v>
      </c>
    </row>
    <row r="20" spans="1:11" ht="45" customHeight="1" x14ac:dyDescent="0.25">
      <c r="A20" s="74">
        <v>9</v>
      </c>
      <c r="B20" s="75" t="str">
        <f>'Necesidades Trimestrales'!B19</f>
        <v>2.9.1-6952.45</v>
      </c>
      <c r="C20" s="130" t="str">
        <f>'Necesidades Trimestrales'!E19</f>
        <v>CEPILLOS; TIPO: ESCOBILLA LIMPIAVIDRIOS, MATERIAL: PLASTICO Y GOMA</v>
      </c>
      <c r="D20" s="131"/>
      <c r="E20" s="131"/>
      <c r="F20" s="131"/>
      <c r="G20" s="132"/>
      <c r="H20" s="59" t="s">
        <v>117</v>
      </c>
      <c r="I20" s="60" t="str">
        <f>'Necesidades Trimestrales'!F19</f>
        <v>UNIDAD</v>
      </c>
      <c r="J20" s="61">
        <f>'Necesidades Trimestrales'!G19</f>
        <v>25</v>
      </c>
      <c r="K20" s="62">
        <f>'Necesidades Trimestrales'!H19</f>
        <v>476.1</v>
      </c>
    </row>
    <row r="21" spans="1:11" ht="59.25" customHeight="1" x14ac:dyDescent="0.25">
      <c r="A21" s="74">
        <v>10</v>
      </c>
      <c r="B21" s="75" t="str">
        <f>'Necesidades Trimestrales'!B20</f>
        <v>2.9.1-544.64</v>
      </c>
      <c r="C21" s="130" t="str">
        <f>'Necesidades Trimestrales'!E20</f>
        <v>DESODORANTES DE AMBIENTE; FORMATO: AEROSOL, FRAGANCIA: CAMPOS DE JAZMIN, PRESENTACION: ENVASE X 360 CM3, LIBRE DE CFC: SI</v>
      </c>
      <c r="D21" s="131"/>
      <c r="E21" s="131"/>
      <c r="F21" s="131"/>
      <c r="G21" s="132"/>
      <c r="H21" s="59" t="s">
        <v>117</v>
      </c>
      <c r="I21" s="60" t="str">
        <f>'Necesidades Trimestrales'!F20</f>
        <v>UNIDAD</v>
      </c>
      <c r="J21" s="61">
        <f>'Necesidades Trimestrales'!G20</f>
        <v>200</v>
      </c>
      <c r="K21" s="62">
        <f>'Necesidades Trimestrales'!H20</f>
        <v>203.6</v>
      </c>
    </row>
    <row r="22" spans="1:11" ht="45" customHeight="1" x14ac:dyDescent="0.25">
      <c r="A22" s="74">
        <v>11</v>
      </c>
      <c r="B22" s="75" t="str">
        <f>'Necesidades Trimestrales'!B21</f>
        <v>2.9.1-6961.27</v>
      </c>
      <c r="C22" s="130" t="str">
        <f>'Necesidades Trimestrales'!E21</f>
        <v>ELEM. P/LIMPIEZA SANITARIOS; TIPO: BOLILLA P/MINGITORIO, PRESENTACION: ENVASE X 480 GR</v>
      </c>
      <c r="D22" s="131"/>
      <c r="E22" s="131"/>
      <c r="F22" s="131"/>
      <c r="G22" s="132"/>
      <c r="H22" s="59" t="s">
        <v>117</v>
      </c>
      <c r="I22" s="60" t="str">
        <f>'Necesidades Trimestrales'!F21</f>
        <v>UNIDAD</v>
      </c>
      <c r="J22" s="61">
        <f>'Necesidades Trimestrales'!G21</f>
        <v>50</v>
      </c>
      <c r="K22" s="62">
        <f>'Necesidades Trimestrales'!H21</f>
        <v>196.7</v>
      </c>
    </row>
    <row r="23" spans="1:11" ht="45" customHeight="1" x14ac:dyDescent="0.25">
      <c r="A23" s="74">
        <v>12</v>
      </c>
      <c r="B23" s="75" t="str">
        <f>'Necesidades Trimestrales'!B22</f>
        <v>2.9.1-6961.23</v>
      </c>
      <c r="C23" s="130" t="str">
        <f>'Necesidades Trimestrales'!E22</f>
        <v>ELEM. P/LIMPIEZA SANITARIOS; TIPO: SODA CAUSTICA, PRESENTACION: ENVASE X 1 Kg</v>
      </c>
      <c r="D23" s="131"/>
      <c r="E23" s="131"/>
      <c r="F23" s="131"/>
      <c r="G23" s="132"/>
      <c r="H23" s="59" t="s">
        <v>117</v>
      </c>
      <c r="I23" s="60" t="str">
        <f>'Necesidades Trimestrales'!F22</f>
        <v>UNIDAD</v>
      </c>
      <c r="J23" s="61">
        <f>'Necesidades Trimestrales'!G22</f>
        <v>50</v>
      </c>
      <c r="K23" s="62">
        <f>'Necesidades Trimestrales'!H22</f>
        <v>900</v>
      </c>
    </row>
    <row r="24" spans="1:11" ht="55.5" customHeight="1" x14ac:dyDescent="0.25">
      <c r="A24" s="74">
        <v>13</v>
      </c>
      <c r="B24" s="75" t="str">
        <f>'Necesidades Trimestrales'!B23</f>
        <v>2.9.1-544.46</v>
      </c>
      <c r="C24" s="130" t="str">
        <f>'Necesidades Trimestrales'!E23</f>
        <v>DESODORANTES DE AMBIENTE; FORMATO: BIDON DE PLASTICO, PRESENTACION: UNIDAD, FRAGANCIA: LAVANDA, CONTENIDO: 5 L, LIBRE DE CFC: NO CORRESPONDE</v>
      </c>
      <c r="D24" s="131"/>
      <c r="E24" s="131"/>
      <c r="F24" s="131"/>
      <c r="G24" s="132"/>
      <c r="H24" s="59" t="s">
        <v>117</v>
      </c>
      <c r="I24" s="60" t="str">
        <f>'Necesidades Trimestrales'!F23</f>
        <v>BIDON</v>
      </c>
      <c r="J24" s="61">
        <f>'Necesidades Trimestrales'!G23</f>
        <v>100</v>
      </c>
      <c r="K24" s="62">
        <f>'Necesidades Trimestrales'!H23</f>
        <v>253.6</v>
      </c>
    </row>
    <row r="25" spans="1:11" ht="45" customHeight="1" x14ac:dyDescent="0.25">
      <c r="A25" s="74">
        <v>14</v>
      </c>
      <c r="B25" s="75" t="str">
        <f>'Necesidades Trimestrales'!B24</f>
        <v>2.9.1-714.3</v>
      </c>
      <c r="C25" s="130" t="str">
        <f>'Necesidades Trimestrales'!E24</f>
        <v>FRANELAS; DIMENSION: 50 X 45 Cm</v>
      </c>
      <c r="D25" s="131"/>
      <c r="E25" s="131"/>
      <c r="F25" s="131"/>
      <c r="G25" s="132"/>
      <c r="H25" s="59" t="s">
        <v>117</v>
      </c>
      <c r="I25" s="60" t="str">
        <f>'Necesidades Trimestrales'!F24</f>
        <v>UNIDAD</v>
      </c>
      <c r="J25" s="61">
        <f>'Necesidades Trimestrales'!G24</f>
        <v>100</v>
      </c>
      <c r="K25" s="62">
        <f>'Necesidades Trimestrales'!H24</f>
        <v>129.4</v>
      </c>
    </row>
    <row r="26" spans="1:11" ht="45" customHeight="1" x14ac:dyDescent="0.25">
      <c r="A26" s="74">
        <v>15</v>
      </c>
      <c r="B26" s="75" t="str">
        <f>'Necesidades Trimestrales'!B25</f>
        <v>2.9.1-6951.12</v>
      </c>
      <c r="C26" s="130" t="str">
        <f>'Necesidades Trimestrales'!E25</f>
        <v>LIMPIADORES; PRESENTACION: ENVASE X 5 L, TIPO: DETERGENTE</v>
      </c>
      <c r="D26" s="131"/>
      <c r="E26" s="131"/>
      <c r="F26" s="131"/>
      <c r="G26" s="132"/>
      <c r="H26" s="59" t="s">
        <v>117</v>
      </c>
      <c r="I26" s="60" t="str">
        <f>'Necesidades Trimestrales'!F25</f>
        <v>UNIDAD</v>
      </c>
      <c r="J26" s="61">
        <f>'Necesidades Trimestrales'!G25</f>
        <v>50</v>
      </c>
      <c r="K26" s="62">
        <f>'Necesidades Trimestrales'!H25</f>
        <v>565</v>
      </c>
    </row>
    <row r="27" spans="1:11" ht="45" customHeight="1" x14ac:dyDescent="0.25">
      <c r="A27" s="74">
        <v>16</v>
      </c>
      <c r="B27" s="75" t="str">
        <f>'Necesidades Trimestrales'!B26</f>
        <v>2.9.1-6951.30</v>
      </c>
      <c r="C27" s="130" t="str">
        <f>'Necesidades Trimestrales'!E26</f>
        <v>LIMPIADORES; TIPO: LAVANDINA, PRESENTACION: ENVASE X 5 L</v>
      </c>
      <c r="D27" s="131"/>
      <c r="E27" s="131"/>
      <c r="F27" s="131"/>
      <c r="G27" s="132"/>
      <c r="H27" s="59" t="s">
        <v>117</v>
      </c>
      <c r="I27" s="60" t="str">
        <f>'Necesidades Trimestrales'!F26</f>
        <v>UNIDAD</v>
      </c>
      <c r="J27" s="61">
        <f>'Necesidades Trimestrales'!G26</f>
        <v>100</v>
      </c>
      <c r="K27" s="62">
        <f>'Necesidades Trimestrales'!H26</f>
        <v>375</v>
      </c>
    </row>
    <row r="28" spans="1:11" ht="45" customHeight="1" x14ac:dyDescent="0.25">
      <c r="A28" s="74">
        <v>17</v>
      </c>
      <c r="B28" s="75" t="str">
        <f>'Necesidades Trimestrales'!B27</f>
        <v>2.9.1-6951.60</v>
      </c>
      <c r="C28" s="130" t="str">
        <f>'Necesidades Trimestrales'!E27</f>
        <v>LIMPIADORES; TIPO: DESENGRASANTE, PRESENTACION: ENVASE X 5 L</v>
      </c>
      <c r="D28" s="131"/>
      <c r="E28" s="131"/>
      <c r="F28" s="131"/>
      <c r="G28" s="132"/>
      <c r="H28" s="59" t="s">
        <v>117</v>
      </c>
      <c r="I28" s="60" t="str">
        <f>'Necesidades Trimestrales'!F27</f>
        <v>UNIDAD</v>
      </c>
      <c r="J28" s="61">
        <f>'Necesidades Trimestrales'!G27</f>
        <v>50</v>
      </c>
      <c r="K28" s="62">
        <f>'Necesidades Trimestrales'!H27</f>
        <v>725</v>
      </c>
    </row>
    <row r="29" spans="1:11" ht="45" customHeight="1" x14ac:dyDescent="0.25">
      <c r="A29" s="74">
        <v>18</v>
      </c>
      <c r="B29" s="75" t="str">
        <f>'Necesidades Trimestrales'!B28</f>
        <v>2.9.1-678.17</v>
      </c>
      <c r="C29" s="130" t="str">
        <f>'Necesidades Trimestrales'!E28</f>
        <v>TRAPOS REJILLA; DIMENSION: 50 X 55 Cm, MATERIAL: PURO ALGODON, RECICLADO: NO</v>
      </c>
      <c r="D29" s="131"/>
      <c r="E29" s="131"/>
      <c r="F29" s="131"/>
      <c r="G29" s="132"/>
      <c r="H29" s="59" t="s">
        <v>117</v>
      </c>
      <c r="I29" s="60" t="str">
        <f>'Necesidades Trimestrales'!F28</f>
        <v>UNIDAD</v>
      </c>
      <c r="J29" s="61">
        <f>'Necesidades Trimestrales'!G28</f>
        <v>100</v>
      </c>
      <c r="K29" s="62">
        <f>'Necesidades Trimestrales'!H28</f>
        <v>126</v>
      </c>
    </row>
    <row r="30" spans="1:11" ht="45" customHeight="1" x14ac:dyDescent="0.25">
      <c r="A30" s="74">
        <v>19</v>
      </c>
      <c r="B30" s="75" t="str">
        <f>'Necesidades Trimestrales'!B29</f>
        <v>2.9.1-6963.15</v>
      </c>
      <c r="C30" s="130" t="str">
        <f>'Necesidades Trimestrales'!E29</f>
        <v>UTENSILLOS P/HIGIENE PERSONAL; TIPO: ALCOHOL EN GEL, PRESENTACION: ENVASE X 5 L</v>
      </c>
      <c r="D30" s="131"/>
      <c r="E30" s="131"/>
      <c r="F30" s="131"/>
      <c r="G30" s="132"/>
      <c r="H30" s="59" t="s">
        <v>117</v>
      </c>
      <c r="I30" s="60" t="str">
        <f>'Necesidades Trimestrales'!F29</f>
        <v>UNIDAD</v>
      </c>
      <c r="J30" s="61">
        <f>'Necesidades Trimestrales'!G29</f>
        <v>50</v>
      </c>
      <c r="K30" s="62">
        <f>'Necesidades Trimestrales'!H29</f>
        <v>1180</v>
      </c>
    </row>
    <row r="31" spans="1:11" ht="45" customHeight="1" x14ac:dyDescent="0.25">
      <c r="A31" s="74">
        <v>20</v>
      </c>
      <c r="B31" s="75" t="str">
        <f>'Necesidades Trimestrales'!B30</f>
        <v>2.9.1-713.2</v>
      </c>
      <c r="C31" s="130" t="str">
        <f>'Necesidades Trimestrales'!E30</f>
        <v>TRAPOS DE PISO; DIMENSION: 60 X 60 Cm, COLOR: GRIS</v>
      </c>
      <c r="D31" s="131"/>
      <c r="E31" s="131"/>
      <c r="F31" s="131"/>
      <c r="G31" s="132"/>
      <c r="H31" s="59" t="s">
        <v>117</v>
      </c>
      <c r="I31" s="60" t="str">
        <f>'Necesidades Trimestrales'!F30</f>
        <v>UNIDAD</v>
      </c>
      <c r="J31" s="61">
        <f>'Necesidades Trimestrales'!G30</f>
        <v>100</v>
      </c>
      <c r="K31" s="62">
        <f>'Necesidades Trimestrales'!H30</f>
        <v>251</v>
      </c>
    </row>
    <row r="32" spans="1:11" ht="45" customHeight="1" x14ac:dyDescent="0.25">
      <c r="A32" s="74">
        <v>21</v>
      </c>
      <c r="B32" s="75" t="str">
        <f>'Necesidades Trimestrales'!B31</f>
        <v>2.9.1-6951.137</v>
      </c>
      <c r="C32" s="130" t="str">
        <f>'Necesidades Trimestrales'!E31</f>
        <v>LIMPIADORES; TIPO: QUITASARRO, PRESENTACION: ENVASE X 5 L</v>
      </c>
      <c r="D32" s="131"/>
      <c r="E32" s="131"/>
      <c r="F32" s="131"/>
      <c r="G32" s="132"/>
      <c r="H32" s="59" t="s">
        <v>117</v>
      </c>
      <c r="I32" s="60" t="str">
        <f>'Necesidades Trimestrales'!F31</f>
        <v>UNIDAD</v>
      </c>
      <c r="J32" s="61">
        <f>'Necesidades Trimestrales'!G31</f>
        <v>50</v>
      </c>
      <c r="K32" s="62">
        <f>'Necesidades Trimestrales'!H31</f>
        <v>360</v>
      </c>
    </row>
    <row r="33" spans="1:11" ht="45" customHeight="1" x14ac:dyDescent="0.25">
      <c r="A33" s="74">
        <v>22</v>
      </c>
      <c r="B33" s="75" t="str">
        <f>'Necesidades Trimestrales'!B32</f>
        <v>2.9.1-4784.37</v>
      </c>
      <c r="C33" s="130" t="str">
        <f>'Necesidades Trimestrales'!E32</f>
        <v>LIMPIADORES MULTIUSO; TIPO: P/LAMPAZO, PRESENTACION: ENVASE X 5 L</v>
      </c>
      <c r="D33" s="131"/>
      <c r="E33" s="131"/>
      <c r="F33" s="131"/>
      <c r="G33" s="132"/>
      <c r="H33" s="59" t="s">
        <v>117</v>
      </c>
      <c r="I33" s="60" t="str">
        <f>'Necesidades Trimestrales'!F32</f>
        <v>UNIDAD</v>
      </c>
      <c r="J33" s="61">
        <f>'Necesidades Trimestrales'!G32</f>
        <v>35</v>
      </c>
      <c r="K33" s="62">
        <f>'Necesidades Trimestrales'!H32</f>
        <v>1870</v>
      </c>
    </row>
    <row r="34" spans="1:11" ht="45" customHeight="1" x14ac:dyDescent="0.25">
      <c r="A34" s="74">
        <v>23</v>
      </c>
      <c r="B34" s="75" t="str">
        <f>'Necesidades Trimestrales'!B33</f>
        <v>2.9.1-2425.2</v>
      </c>
      <c r="C34" s="130" t="str">
        <f>'Necesidades Trimestrales'!E33</f>
        <v>LAMPAZOS; MATERIAL: HILO, MANGO: MADERA</v>
      </c>
      <c r="D34" s="131"/>
      <c r="E34" s="131"/>
      <c r="F34" s="131"/>
      <c r="G34" s="132"/>
      <c r="H34" s="59" t="s">
        <v>117</v>
      </c>
      <c r="I34" s="60" t="str">
        <f>'Necesidades Trimestrales'!F33</f>
        <v>UNIDAD</v>
      </c>
      <c r="J34" s="61">
        <f>'Necesidades Trimestrales'!G33</f>
        <v>30</v>
      </c>
      <c r="K34" s="62">
        <f>'Necesidades Trimestrales'!H33</f>
        <v>510</v>
      </c>
    </row>
    <row r="35" spans="1:11" ht="45" customHeight="1" x14ac:dyDescent="0.25">
      <c r="A35" s="74">
        <v>24</v>
      </c>
      <c r="B35" s="75" t="str">
        <f>'Necesidades Trimestrales'!B34</f>
        <v>2.9.1-683.6</v>
      </c>
      <c r="C35" s="130" t="str">
        <f>'Necesidades Trimestrales'!E34</f>
        <v>SECADORES DE GOMA; COLOR: NEGRO, LARGO: 50 Cm</v>
      </c>
      <c r="D35" s="131"/>
      <c r="E35" s="131"/>
      <c r="F35" s="131"/>
      <c r="G35" s="132"/>
      <c r="H35" s="59" t="s">
        <v>117</v>
      </c>
      <c r="I35" s="60" t="str">
        <f>'Necesidades Trimestrales'!F34</f>
        <v>UNIDAD</v>
      </c>
      <c r="J35" s="61">
        <f>'Necesidades Trimestrales'!G34</f>
        <v>50</v>
      </c>
      <c r="K35" s="62">
        <f>'Necesidades Trimestrales'!H34</f>
        <v>350</v>
      </c>
    </row>
    <row r="36" spans="1:11" ht="54" customHeight="1" x14ac:dyDescent="0.25">
      <c r="A36" s="74">
        <v>25</v>
      </c>
      <c r="B36" s="75" t="str">
        <f>'Necesidades Trimestrales'!B35</f>
        <v>2.3.4-786.32</v>
      </c>
      <c r="C36" s="130" t="str">
        <f>'Necesidades Trimestrales'!E35</f>
        <v>PAPEL HIGIENICO; PRESENTACION: PAQUETE X 48, TIPO: ROLLO, ANCHO: 10 Cm, LARGO: 74 M, HOJA: DOBLE, MATERIAL HOJA: DOBLE, TIPO DE HOJA: DOBLE</v>
      </c>
      <c r="D36" s="131"/>
      <c r="E36" s="131"/>
      <c r="F36" s="131"/>
      <c r="G36" s="132"/>
      <c r="H36" s="59" t="s">
        <v>117</v>
      </c>
      <c r="I36" s="60" t="str">
        <f>'Necesidades Trimestrales'!F35</f>
        <v>PAQUETE</v>
      </c>
      <c r="J36" s="61">
        <f>'Necesidades Trimestrales'!G35</f>
        <v>50</v>
      </c>
      <c r="K36" s="62">
        <f>'Necesidades Trimestrales'!H35</f>
        <v>1750</v>
      </c>
    </row>
    <row r="37" spans="1:11" ht="45" customHeight="1" x14ac:dyDescent="0.25">
      <c r="A37" s="74">
        <v>26</v>
      </c>
      <c r="B37" s="75" t="str">
        <f>'Necesidades Trimestrales'!B36</f>
        <v>2.7.5-1491.11</v>
      </c>
      <c r="C37" s="130" t="str">
        <f>'Necesidades Trimestrales'!E36</f>
        <v>PULVERIZADORES; MATERIAL: PLASTICO, CAPACIDAD: 500 mL, TIPO: MANUAL</v>
      </c>
      <c r="D37" s="131"/>
      <c r="E37" s="131"/>
      <c r="F37" s="131"/>
      <c r="G37" s="132"/>
      <c r="H37" s="59" t="s">
        <v>117</v>
      </c>
      <c r="I37" s="60" t="str">
        <f>'Necesidades Trimestrales'!F36</f>
        <v>UNIDAD</v>
      </c>
      <c r="J37" s="61">
        <f>'Necesidades Trimestrales'!G36</f>
        <v>150</v>
      </c>
      <c r="K37" s="62">
        <f>'Necesidades Trimestrales'!H36</f>
        <v>110</v>
      </c>
    </row>
    <row r="38" spans="1:11" ht="50.25" customHeight="1" x14ac:dyDescent="0.25">
      <c r="A38" s="74">
        <v>27</v>
      </c>
      <c r="B38" s="75" t="str">
        <f>'Necesidades Trimestrales'!B37</f>
        <v>2.5.4-505.13</v>
      </c>
      <c r="C38" s="130" t="str">
        <f>'Necesidades Trimestrales'!E37</f>
        <v>DESINFECTANTES; CAPACIDAD: 5 L, USO P/CONTROL: BACTERIAS, PRINCIPIO ACTIVO: SAL AMONIO CUATERNARIO, PRESENTACION: ENVASE X 5 L, CONTROL: BACTERIAS</v>
      </c>
      <c r="D38" s="131"/>
      <c r="E38" s="131"/>
      <c r="F38" s="131"/>
      <c r="G38" s="132"/>
      <c r="H38" s="59" t="s">
        <v>117</v>
      </c>
      <c r="I38" s="60" t="str">
        <f>'Necesidades Trimestrales'!F37</f>
        <v>UNIDAD</v>
      </c>
      <c r="J38" s="61">
        <f>'Necesidades Trimestrales'!G37</f>
        <v>150</v>
      </c>
      <c r="K38" s="62">
        <f>'Necesidades Trimestrales'!H37</f>
        <v>1200</v>
      </c>
    </row>
    <row r="39" spans="1:11" ht="21.75" customHeight="1" thickBot="1" x14ac:dyDescent="0.3">
      <c r="A39" s="77"/>
      <c r="B39" s="76"/>
      <c r="C39" s="154"/>
      <c r="D39" s="155"/>
      <c r="E39" s="155"/>
      <c r="F39" s="155"/>
      <c r="G39" s="156"/>
      <c r="H39" s="65"/>
      <c r="I39" s="66"/>
      <c r="J39" s="63"/>
      <c r="K39" s="64"/>
    </row>
    <row r="40" spans="1:11" ht="32.25" customHeight="1" thickBot="1" x14ac:dyDescent="0.3">
      <c r="A40" s="147" t="s">
        <v>58</v>
      </c>
      <c r="B40" s="148"/>
      <c r="C40" s="149" t="s">
        <v>134</v>
      </c>
      <c r="D40" s="150"/>
      <c r="E40" s="150"/>
      <c r="F40" s="150"/>
      <c r="G40" s="150"/>
      <c r="H40" s="150"/>
      <c r="I40" s="151"/>
      <c r="J40" s="153">
        <f>SUMPRODUCT(J12:J39*K12:K39)</f>
        <v>860183.5</v>
      </c>
      <c r="K40" s="153"/>
    </row>
  </sheetData>
  <mergeCells count="51">
    <mergeCell ref="A40:B40"/>
    <mergeCell ref="C40:I40"/>
    <mergeCell ref="K10:K11"/>
    <mergeCell ref="C12:G12"/>
    <mergeCell ref="J40:K40"/>
    <mergeCell ref="C39:G39"/>
    <mergeCell ref="A10:A11"/>
    <mergeCell ref="B10:B11"/>
    <mergeCell ref="C10:G11"/>
    <mergeCell ref="H10:H11"/>
    <mergeCell ref="C13:G13"/>
    <mergeCell ref="I10:I11"/>
    <mergeCell ref="J10:J11"/>
    <mergeCell ref="C14:G14"/>
    <mergeCell ref="C15:G15"/>
    <mergeCell ref="C16:G16"/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C17:G17"/>
    <mergeCell ref="C18:G18"/>
    <mergeCell ref="C19:G19"/>
    <mergeCell ref="C20:G20"/>
    <mergeCell ref="C21:G21"/>
    <mergeCell ref="C24:G24"/>
    <mergeCell ref="C25:G25"/>
    <mergeCell ref="C26:G26"/>
    <mergeCell ref="C22:G22"/>
    <mergeCell ref="C23:G23"/>
    <mergeCell ref="C32:G32"/>
    <mergeCell ref="C33:G33"/>
    <mergeCell ref="C27:G27"/>
    <mergeCell ref="C28:G28"/>
    <mergeCell ref="C29:G29"/>
    <mergeCell ref="C30:G30"/>
    <mergeCell ref="C31:G31"/>
    <mergeCell ref="C37:G37"/>
    <mergeCell ref="C38:G38"/>
    <mergeCell ref="C34:G34"/>
    <mergeCell ref="C35:G35"/>
    <mergeCell ref="C36:G36"/>
  </mergeCells>
  <pageMargins left="0.7" right="0.7" top="0.75" bottom="0.75" header="0.3" footer="0.3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opLeftCell="A10" zoomScale="80" zoomScaleNormal="80" workbookViewId="0">
      <selection activeCell="G19" sqref="G19"/>
    </sheetView>
  </sheetViews>
  <sheetFormatPr baseColWidth="10" defaultRowHeight="15" x14ac:dyDescent="0.25"/>
  <cols>
    <col min="1" max="5" width="4.42578125" customWidth="1"/>
    <col min="6" max="6" width="6.140625" customWidth="1"/>
    <col min="7" max="11" width="4.42578125" customWidth="1"/>
    <col min="12" max="12" width="5.42578125" customWidth="1"/>
    <col min="13" max="14" width="4.42578125" customWidth="1"/>
    <col min="15" max="15" width="11" customWidth="1"/>
    <col min="16" max="16" width="11.28515625" customWidth="1"/>
    <col min="17" max="17" width="16.28515625" customWidth="1"/>
    <col min="20" max="20" width="12.42578125" bestFit="1" customWidth="1"/>
  </cols>
  <sheetData>
    <row r="1" spans="1:20" ht="20.25" customHeight="1" thickBot="1" x14ac:dyDescent="0.3">
      <c r="A1" s="169" t="s">
        <v>3</v>
      </c>
      <c r="B1" s="169"/>
      <c r="C1" s="169"/>
      <c r="D1" s="170">
        <f>'Necesidades Trimestrales'!C6</f>
        <v>2022</v>
      </c>
      <c r="E1" s="170"/>
      <c r="F1" s="23"/>
      <c r="G1" s="23"/>
      <c r="H1" s="24"/>
      <c r="I1" s="24"/>
      <c r="J1" s="24"/>
      <c r="K1" s="24"/>
      <c r="L1" s="24"/>
      <c r="M1" s="24"/>
      <c r="N1" s="24"/>
      <c r="O1" s="25"/>
      <c r="P1" s="171" t="s">
        <v>35</v>
      </c>
      <c r="Q1" s="171"/>
    </row>
    <row r="2" spans="1:20" ht="15.75" thickBot="1" x14ac:dyDescent="0.3">
      <c r="G2" s="26"/>
      <c r="H2" s="24"/>
      <c r="I2" s="24"/>
      <c r="J2" s="24"/>
      <c r="K2" s="24"/>
      <c r="L2" s="24"/>
      <c r="M2" s="24"/>
      <c r="N2" s="24"/>
      <c r="O2" s="25"/>
      <c r="P2" s="171"/>
      <c r="Q2" s="171"/>
    </row>
    <row r="3" spans="1:20" ht="15.75" thickBot="1" x14ac:dyDescent="0.3">
      <c r="G3" s="26"/>
      <c r="O3" s="25"/>
      <c r="P3" s="25"/>
      <c r="Q3" s="27"/>
    </row>
    <row r="4" spans="1:20" ht="22.5" customHeight="1" thickBot="1" x14ac:dyDescent="0.3">
      <c r="A4" s="172" t="s">
        <v>36</v>
      </c>
      <c r="B4" s="172"/>
      <c r="C4" s="172"/>
      <c r="D4" s="172"/>
      <c r="E4" s="172"/>
      <c r="F4" s="172"/>
      <c r="G4" s="173" t="str">
        <f>'Nota Pedido'!D3</f>
        <v>95 - Ministerio de Cultura, Turismo y Deporte.-</v>
      </c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20" ht="22.5" customHeight="1" thickBot="1" x14ac:dyDescent="0.3">
      <c r="A5" s="174" t="s">
        <v>23</v>
      </c>
      <c r="B5" s="175"/>
      <c r="C5" s="175"/>
      <c r="D5" s="175"/>
      <c r="E5" s="175"/>
      <c r="F5" s="176"/>
      <c r="G5" s="177" t="str">
        <f>'Nota Pedido'!D4</f>
        <v>18 - Secretaria de Administración y Recursos Humanos.-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</row>
    <row r="6" spans="1:20" ht="22.5" customHeight="1" thickBot="1" x14ac:dyDescent="0.3">
      <c r="A6" s="174" t="s">
        <v>24</v>
      </c>
      <c r="B6" s="175"/>
      <c r="C6" s="175"/>
      <c r="D6" s="175"/>
      <c r="E6" s="175"/>
      <c r="F6" s="176"/>
      <c r="G6" s="173" t="str">
        <f>'Nota Pedido'!D5</f>
        <v>Secretaria de Administración y Recursos Humanos.-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</row>
    <row r="7" spans="1:20" ht="33" customHeight="1" thickBot="1" x14ac:dyDescent="0.3">
      <c r="A7" s="178" t="s">
        <v>25</v>
      </c>
      <c r="B7" s="179"/>
      <c r="C7" s="179"/>
      <c r="D7" s="179"/>
      <c r="E7" s="179"/>
      <c r="F7" s="180"/>
      <c r="G7" s="181" t="str">
        <f>'Nota Pedido'!D6</f>
        <v>Ministerio de Cultura, Turismo y Deporte.-</v>
      </c>
      <c r="H7" s="181"/>
      <c r="I7" s="181"/>
      <c r="J7" s="181"/>
      <c r="K7" s="181"/>
      <c r="L7" s="181"/>
      <c r="M7" s="181"/>
      <c r="N7" s="181"/>
      <c r="O7" s="181"/>
      <c r="P7" s="181"/>
      <c r="Q7" s="181"/>
    </row>
    <row r="8" spans="1:20" ht="15.75" thickBot="1" x14ac:dyDescent="0.3">
      <c r="A8" s="182" t="s">
        <v>37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4"/>
    </row>
    <row r="9" spans="1:20" ht="20.25" customHeight="1" x14ac:dyDescent="0.25">
      <c r="A9" s="167" t="s">
        <v>38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25"/>
      <c r="P9" s="25"/>
      <c r="Q9" s="28"/>
    </row>
    <row r="10" spans="1:20" ht="62.25" customHeight="1" x14ac:dyDescent="0.25">
      <c r="A10" s="187" t="str">
        <f>"Autorizo la realización de los  trámites correspondientes, a fin de proveer a  este Organismo los bienes y/o servicios que se detallan en Nota  de Pedido N° "&amp;'Nota 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005/2022,  afectando la erogación resultante a los créditos presupuestarios aprobados a favor de esta Unidad Ejecutora, conforme al siguiente detalle: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9"/>
    </row>
    <row r="11" spans="1:20" ht="15.75" thickBot="1" x14ac:dyDescent="0.3">
      <c r="A11" s="29"/>
      <c r="B11" s="30"/>
      <c r="C11" s="30"/>
      <c r="D11" s="30"/>
      <c r="E11" s="30"/>
      <c r="F11" s="30"/>
      <c r="G11" s="31"/>
      <c r="H11" s="30"/>
      <c r="I11" s="30"/>
      <c r="J11" s="30"/>
      <c r="K11" s="30"/>
      <c r="L11" s="30"/>
      <c r="M11" s="30"/>
      <c r="N11" s="30"/>
      <c r="O11" s="32"/>
      <c r="P11" s="32"/>
      <c r="Q11" s="33"/>
    </row>
    <row r="12" spans="1:20" ht="15.75" thickBot="1" x14ac:dyDescent="0.3">
      <c r="A12" s="190" t="s">
        <v>39</v>
      </c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2"/>
    </row>
    <row r="13" spans="1:20" ht="33.75" customHeight="1" thickBot="1" x14ac:dyDescent="0.3">
      <c r="A13" s="193" t="s">
        <v>40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5"/>
      <c r="O13" s="196" t="s">
        <v>41</v>
      </c>
      <c r="P13" s="197"/>
      <c r="Q13" s="200" t="s">
        <v>42</v>
      </c>
    </row>
    <row r="14" spans="1:20" ht="25.5" customHeight="1" thickBot="1" x14ac:dyDescent="0.3">
      <c r="A14" s="34" t="s">
        <v>43</v>
      </c>
      <c r="B14" s="35" t="s">
        <v>44</v>
      </c>
      <c r="C14" s="35" t="s">
        <v>45</v>
      </c>
      <c r="D14" s="35" t="s">
        <v>46</v>
      </c>
      <c r="E14" s="35" t="s">
        <v>47</v>
      </c>
      <c r="F14" s="35" t="s">
        <v>48</v>
      </c>
      <c r="G14" s="36" t="s">
        <v>49</v>
      </c>
      <c r="H14" s="35" t="s">
        <v>50</v>
      </c>
      <c r="I14" s="35" t="s">
        <v>51</v>
      </c>
      <c r="J14" s="35" t="s">
        <v>52</v>
      </c>
      <c r="K14" s="35" t="s">
        <v>52</v>
      </c>
      <c r="L14" s="35" t="s">
        <v>53</v>
      </c>
      <c r="M14" s="37" t="s">
        <v>54</v>
      </c>
      <c r="N14" s="38" t="s">
        <v>55</v>
      </c>
      <c r="O14" s="198"/>
      <c r="P14" s="199"/>
      <c r="Q14" s="201"/>
    </row>
    <row r="15" spans="1:20" ht="36.75" customHeight="1" x14ac:dyDescent="0.25">
      <c r="A15" s="52">
        <v>4</v>
      </c>
      <c r="B15" s="53">
        <v>0</v>
      </c>
      <c r="C15" s="53">
        <v>0</v>
      </c>
      <c r="D15" s="53">
        <v>1</v>
      </c>
      <c r="E15" s="53">
        <v>0</v>
      </c>
      <c r="F15" s="53">
        <v>4901</v>
      </c>
      <c r="G15" s="53">
        <v>1</v>
      </c>
      <c r="H15" s="53">
        <v>6</v>
      </c>
      <c r="I15" s="53">
        <v>2</v>
      </c>
      <c r="J15" s="53">
        <v>9</v>
      </c>
      <c r="K15" s="53">
        <v>1</v>
      </c>
      <c r="L15" s="53">
        <v>0</v>
      </c>
      <c r="M15" s="53">
        <v>1</v>
      </c>
      <c r="N15" s="54" t="s">
        <v>56</v>
      </c>
      <c r="O15" s="202" t="s">
        <v>119</v>
      </c>
      <c r="P15" s="203"/>
      <c r="Q15" s="56">
        <v>576183.5</v>
      </c>
      <c r="T15" s="91"/>
    </row>
    <row r="16" spans="1:20" ht="36.75" customHeight="1" x14ac:dyDescent="0.25">
      <c r="A16" s="52">
        <v>4</v>
      </c>
      <c r="B16" s="53">
        <v>0</v>
      </c>
      <c r="C16" s="53">
        <v>0</v>
      </c>
      <c r="D16" s="53">
        <v>1</v>
      </c>
      <c r="E16" s="53">
        <v>0</v>
      </c>
      <c r="F16" s="53">
        <v>4901</v>
      </c>
      <c r="G16" s="53">
        <v>1</v>
      </c>
      <c r="H16" s="53">
        <v>6</v>
      </c>
      <c r="I16" s="55">
        <v>2</v>
      </c>
      <c r="J16" s="55">
        <v>3</v>
      </c>
      <c r="K16" s="55">
        <v>4</v>
      </c>
      <c r="L16" s="53">
        <v>0</v>
      </c>
      <c r="M16" s="53">
        <v>1</v>
      </c>
      <c r="N16" s="54" t="s">
        <v>56</v>
      </c>
      <c r="O16" s="185" t="s">
        <v>120</v>
      </c>
      <c r="P16" s="186"/>
      <c r="Q16" s="57">
        <v>87500</v>
      </c>
    </row>
    <row r="17" spans="1:17" ht="36" customHeight="1" x14ac:dyDescent="0.25">
      <c r="A17" s="52">
        <v>4</v>
      </c>
      <c r="B17" s="53">
        <v>0</v>
      </c>
      <c r="C17" s="53">
        <v>0</v>
      </c>
      <c r="D17" s="53">
        <v>1</v>
      </c>
      <c r="E17" s="53">
        <v>0</v>
      </c>
      <c r="F17" s="53">
        <v>4901</v>
      </c>
      <c r="G17" s="53">
        <v>1</v>
      </c>
      <c r="H17" s="53">
        <v>6</v>
      </c>
      <c r="I17" s="50">
        <v>2</v>
      </c>
      <c r="J17" s="50">
        <v>5</v>
      </c>
      <c r="K17" s="50">
        <v>4</v>
      </c>
      <c r="L17" s="53">
        <v>0</v>
      </c>
      <c r="M17" s="53">
        <v>1</v>
      </c>
      <c r="N17" s="54" t="s">
        <v>56</v>
      </c>
      <c r="O17" s="163" t="s">
        <v>121</v>
      </c>
      <c r="P17" s="164"/>
      <c r="Q17" s="57">
        <v>180000</v>
      </c>
    </row>
    <row r="18" spans="1:17" ht="30" customHeight="1" x14ac:dyDescent="0.25">
      <c r="A18" s="52">
        <v>4</v>
      </c>
      <c r="B18" s="53">
        <v>0</v>
      </c>
      <c r="C18" s="53">
        <v>0</v>
      </c>
      <c r="D18" s="53">
        <v>1</v>
      </c>
      <c r="E18" s="53">
        <v>0</v>
      </c>
      <c r="F18" s="53">
        <v>4901</v>
      </c>
      <c r="G18" s="53">
        <v>1</v>
      </c>
      <c r="H18" s="53">
        <v>6</v>
      </c>
      <c r="I18" s="50">
        <v>2</v>
      </c>
      <c r="J18" s="50">
        <v>7</v>
      </c>
      <c r="K18" s="50">
        <v>5</v>
      </c>
      <c r="L18" s="53">
        <v>0</v>
      </c>
      <c r="M18" s="53">
        <v>1</v>
      </c>
      <c r="N18" s="54" t="s">
        <v>56</v>
      </c>
      <c r="O18" s="163" t="s">
        <v>122</v>
      </c>
      <c r="P18" s="164"/>
      <c r="Q18" s="57">
        <v>16500</v>
      </c>
    </row>
    <row r="19" spans="1:17" ht="22.5" customHeight="1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1"/>
      <c r="O19" s="165"/>
      <c r="P19" s="166"/>
      <c r="Q19" s="87"/>
    </row>
    <row r="20" spans="1:17" ht="22.5" customHeight="1" thickBot="1" x14ac:dyDescent="0.3">
      <c r="A20" s="88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90"/>
      <c r="N20" s="90"/>
      <c r="O20" s="218"/>
      <c r="P20" s="219"/>
      <c r="Q20" s="58"/>
    </row>
    <row r="21" spans="1:17" ht="15.75" customHeight="1" x14ac:dyDescent="0.25">
      <c r="A21" s="210" t="str">
        <f xml:space="preserve"> "TOTAL DE PESOS: " &amp; 'Nota Pedido'!C40</f>
        <v xml:space="preserve">TOTAL DE PESOS: OCHOCIENTOS SESENTA MIL CIENTO OCHENTA Y TRES CON 50/100 CENTAVOS.- </v>
      </c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2"/>
      <c r="Q21" s="216">
        <f>SUM(Q15:Q20)</f>
        <v>860183.5</v>
      </c>
    </row>
    <row r="22" spans="1:17" ht="15.75" thickBot="1" x14ac:dyDescent="0.3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5"/>
      <c r="Q22" s="217"/>
    </row>
    <row r="23" spans="1:17" ht="15.75" thickBot="1" x14ac:dyDescent="0.3">
      <c r="A23" s="220" t="s">
        <v>57</v>
      </c>
      <c r="B23" s="221"/>
      <c r="C23" s="221"/>
      <c r="D23" s="221"/>
      <c r="E23" s="221"/>
      <c r="F23" s="222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</row>
    <row r="24" spans="1:17" ht="19.5" customHeight="1" thickBot="1" x14ac:dyDescent="0.3">
      <c r="A24" s="204" t="str">
        <f>+'Nota Pedido'!D8</f>
        <v xml:space="preserve">Compra de elementos de limpieza para ser usadas por las distintas áreas y dependencias del Ministerio de Cultura, Turismo y Deporte.- 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6"/>
    </row>
    <row r="25" spans="1:17" ht="24.75" customHeight="1" thickBot="1" x14ac:dyDescent="0.3">
      <c r="A25" s="207"/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9"/>
    </row>
  </sheetData>
  <mergeCells count="29">
    <mergeCell ref="A24:Q25"/>
    <mergeCell ref="A21:P22"/>
    <mergeCell ref="Q21:Q22"/>
    <mergeCell ref="O20:P20"/>
    <mergeCell ref="A23:F23"/>
    <mergeCell ref="G23:Q23"/>
    <mergeCell ref="O17:P17"/>
    <mergeCell ref="A10:Q10"/>
    <mergeCell ref="A12:Q12"/>
    <mergeCell ref="A13:N13"/>
    <mergeCell ref="O13:P14"/>
    <mergeCell ref="Q13:Q14"/>
    <mergeCell ref="O15:P15"/>
    <mergeCell ref="O18:P18"/>
    <mergeCell ref="O19:P19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16:P16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 Pedido</vt:lpstr>
      <vt:lpstr>APG</vt:lpstr>
      <vt:lpstr>APG!Área_de_impresión</vt:lpstr>
      <vt:lpstr>'Necesidades Trimestrales'!Área_de_impresión</vt:lpstr>
      <vt:lpstr>'Nota Pedido'!Área_de_impresión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Luffi</cp:lastModifiedBy>
  <cp:lastPrinted>2022-04-12T15:42:48Z</cp:lastPrinted>
  <dcterms:created xsi:type="dcterms:W3CDTF">2021-02-24T16:51:27Z</dcterms:created>
  <dcterms:modified xsi:type="dcterms:W3CDTF">2022-04-12T15:43:08Z</dcterms:modified>
</cp:coreProperties>
</file>