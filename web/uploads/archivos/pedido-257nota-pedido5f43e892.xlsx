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Insumos Odontologicos\2do Trim.2022\"/>
    </mc:Choice>
  </mc:AlternateContent>
  <xr:revisionPtr revIDLastSave="0" documentId="13_ncr:1_{8EA2F810-47EF-486A-A188-ADCB922D8B8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DONTOL CON INCREMENTO DE CANTI" sheetId="9" r:id="rId1"/>
    <sheet name="Hoja1" sheetId="10" r:id="rId2"/>
  </sheets>
  <definedNames>
    <definedName name="_xlnm._FilterDatabase" localSheetId="0" hidden="1">'ODONTOL CON INCREMENTO DE CANTI'!$A$9:$J$149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7" i="10" l="1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43" i="9" l="1"/>
  <c r="I45" i="9"/>
  <c r="I46" i="9"/>
  <c r="I47" i="9"/>
  <c r="I31" i="9" l="1"/>
  <c r="I55" i="9" l="1"/>
  <c r="I54" i="9"/>
  <c r="I53" i="9"/>
  <c r="I52" i="9"/>
  <c r="I50" i="9"/>
  <c r="I37" i="9"/>
  <c r="I33" i="9"/>
  <c r="I34" i="9"/>
  <c r="I44" i="9"/>
  <c r="I41" i="9"/>
  <c r="I40" i="9"/>
  <c r="R150" i="9" l="1"/>
  <c r="I148" i="9"/>
  <c r="I147" i="9"/>
  <c r="I107" i="9"/>
  <c r="I104" i="9"/>
  <c r="I105" i="9"/>
  <c r="I91" i="9"/>
  <c r="I106" i="9"/>
  <c r="I143" i="9"/>
  <c r="I142" i="9"/>
  <c r="I145" i="9"/>
  <c r="I144" i="9"/>
  <c r="I103" i="9"/>
  <c r="I102" i="9"/>
  <c r="I125" i="9"/>
  <c r="I18" i="9"/>
  <c r="I135" i="9"/>
  <c r="I134" i="9"/>
  <c r="I133" i="9"/>
  <c r="I132" i="9"/>
  <c r="I131" i="9"/>
  <c r="I130" i="9"/>
  <c r="I129" i="9"/>
  <c r="I128" i="9"/>
  <c r="I85" i="9"/>
  <c r="I139" i="9"/>
  <c r="Q123" i="9" s="1"/>
  <c r="I13" i="9"/>
  <c r="I12" i="9"/>
  <c r="I140" i="9"/>
  <c r="I101" i="9"/>
  <c r="I100" i="9"/>
  <c r="I138" i="9"/>
  <c r="I60" i="9"/>
  <c r="I99" i="9"/>
  <c r="I96" i="9"/>
  <c r="I56" i="9"/>
  <c r="I51" i="9"/>
  <c r="I49" i="9"/>
  <c r="I57" i="9"/>
  <c r="I136" i="9"/>
  <c r="I137" i="9"/>
  <c r="I126" i="9"/>
  <c r="I27" i="9"/>
  <c r="I95" i="9"/>
  <c r="I94" i="9"/>
  <c r="I93" i="9"/>
  <c r="I98" i="9"/>
  <c r="I92" i="9"/>
  <c r="I61" i="9"/>
  <c r="I90" i="9"/>
  <c r="I122" i="9"/>
  <c r="Q91" i="9" s="1"/>
  <c r="I141" i="9"/>
  <c r="I32" i="9"/>
  <c r="I121" i="9"/>
  <c r="I120" i="9"/>
  <c r="I117" i="9"/>
  <c r="I119" i="9"/>
  <c r="Q85" i="9" s="1"/>
  <c r="I116" i="9"/>
  <c r="I114" i="9"/>
  <c r="I113" i="9"/>
  <c r="I115" i="9"/>
  <c r="I118" i="9"/>
  <c r="I112" i="9"/>
  <c r="I87" i="9"/>
  <c r="I88" i="9"/>
  <c r="I109" i="9"/>
  <c r="I110" i="9"/>
  <c r="I108" i="9"/>
  <c r="I23" i="9"/>
  <c r="I89" i="9"/>
  <c r="I59" i="9"/>
  <c r="I58" i="9"/>
  <c r="I127" i="9"/>
  <c r="I86" i="9"/>
  <c r="I84" i="9"/>
  <c r="I48" i="9"/>
  <c r="I35" i="9"/>
  <c r="I36" i="9"/>
  <c r="I39" i="9"/>
  <c r="I42" i="9"/>
  <c r="I38" i="9"/>
  <c r="Q54" i="9" s="1"/>
  <c r="I146" i="9"/>
  <c r="N53" i="9" s="1"/>
  <c r="I83" i="9"/>
  <c r="Q52" i="9" s="1"/>
  <c r="I22" i="9"/>
  <c r="I82" i="9"/>
  <c r="Q50" i="9" s="1"/>
  <c r="I81" i="9"/>
  <c r="Q49" i="9" s="1"/>
  <c r="I111" i="9"/>
  <c r="I79" i="9"/>
  <c r="Q47" i="9" s="1"/>
  <c r="I78" i="9"/>
  <c r="Q46" i="9" s="1"/>
  <c r="I77" i="9"/>
  <c r="Q45" i="9" s="1"/>
  <c r="I76" i="9"/>
  <c r="Q44" i="9" s="1"/>
  <c r="I75" i="9"/>
  <c r="Q43" i="9" s="1"/>
  <c r="I74" i="9"/>
  <c r="I72" i="9"/>
  <c r="Q41" i="9" s="1"/>
  <c r="I71" i="9"/>
  <c r="Q40" i="9" s="1"/>
  <c r="I69" i="9"/>
  <c r="I68" i="9"/>
  <c r="Q38" i="9" s="1"/>
  <c r="I67" i="9"/>
  <c r="Q37" i="9" s="1"/>
  <c r="I66" i="9"/>
  <c r="I65" i="9"/>
  <c r="I70" i="9"/>
  <c r="Q34" i="9" s="1"/>
  <c r="I80" i="9"/>
  <c r="Q33" i="9" s="1"/>
  <c r="I73" i="9"/>
  <c r="I64" i="9"/>
  <c r="Q31" i="9" s="1"/>
  <c r="I63" i="9"/>
  <c r="Q30" i="9" s="1"/>
  <c r="I62" i="9"/>
  <c r="I28" i="9"/>
  <c r="I26" i="9"/>
  <c r="I25" i="9"/>
  <c r="I97" i="9"/>
  <c r="I24" i="9"/>
  <c r="I21" i="9"/>
  <c r="I19" i="9"/>
  <c r="I20" i="9"/>
  <c r="I124" i="9"/>
  <c r="I17" i="9"/>
  <c r="I16" i="9"/>
  <c r="I15" i="9"/>
  <c r="I14" i="9"/>
  <c r="I11" i="9"/>
  <c r="N11" i="9" s="1"/>
  <c r="I10" i="9"/>
  <c r="N99" i="9" l="1"/>
  <c r="Q42" i="9"/>
  <c r="Q13" i="9"/>
  <c r="N100" i="9"/>
  <c r="Q39" i="9"/>
  <c r="N51" i="9"/>
  <c r="Q57" i="9"/>
  <c r="N104" i="9"/>
  <c r="N125" i="9"/>
  <c r="N96" i="9"/>
  <c r="Q93" i="9"/>
  <c r="Q35" i="9"/>
  <c r="M90" i="9"/>
  <c r="Q95" i="9"/>
  <c r="Q106" i="9"/>
  <c r="N101" i="9"/>
  <c r="Q92" i="9"/>
  <c r="Q36" i="9"/>
  <c r="Q48" i="9"/>
  <c r="Q87" i="9"/>
  <c r="Q133" i="9"/>
  <c r="M89" i="9"/>
  <c r="N129" i="9"/>
  <c r="Q135" i="9"/>
  <c r="N131" i="9"/>
  <c r="Q143" i="9"/>
  <c r="Q70" i="9"/>
  <c r="M26" i="9"/>
  <c r="Q71" i="9"/>
  <c r="N73" i="9"/>
  <c r="Q83" i="9"/>
  <c r="N97" i="9"/>
  <c r="Q113" i="9"/>
  <c r="Q117" i="9"/>
  <c r="Q121" i="9"/>
  <c r="Q141" i="9"/>
  <c r="Q145" i="9"/>
  <c r="P147" i="9"/>
  <c r="Q65" i="9"/>
  <c r="N75" i="9"/>
  <c r="Q81" i="9"/>
  <c r="Q119" i="9"/>
  <c r="N127" i="9"/>
  <c r="Q137" i="9"/>
  <c r="Q139" i="9"/>
  <c r="Q15" i="9"/>
  <c r="N17" i="9"/>
  <c r="N19" i="9"/>
  <c r="Q21" i="9"/>
  <c r="N23" i="9"/>
  <c r="Q25" i="9"/>
  <c r="M28" i="9"/>
  <c r="N69" i="9"/>
  <c r="Q79" i="9"/>
  <c r="Q115" i="9"/>
  <c r="Q66" i="9"/>
  <c r="Q68" i="9"/>
  <c r="Q72" i="9"/>
  <c r="N74" i="9"/>
  <c r="N76" i="9"/>
  <c r="Q78" i="9"/>
  <c r="Q80" i="9"/>
  <c r="Q82" i="9"/>
  <c r="Q84" i="9"/>
  <c r="Q86" i="9"/>
  <c r="Q88" i="9"/>
  <c r="Q94" i="9"/>
  <c r="Q98" i="9"/>
  <c r="N102" i="9"/>
  <c r="Q105" i="9"/>
  <c r="Q108" i="9"/>
  <c r="P114" i="9"/>
  <c r="Q116" i="9"/>
  <c r="Q118" i="9"/>
  <c r="M120" i="9"/>
  <c r="Q122" i="9"/>
  <c r="Q124" i="9"/>
  <c r="N126" i="9"/>
  <c r="N128" i="9"/>
  <c r="N130" i="9"/>
  <c r="N132" i="9"/>
  <c r="Q134" i="9"/>
  <c r="Q136" i="9"/>
  <c r="Q138" i="9"/>
  <c r="Q140" i="9"/>
  <c r="Q142" i="9"/>
  <c r="Q144" i="9"/>
  <c r="P146" i="9"/>
  <c r="Q64" i="9"/>
  <c r="Q67" i="9"/>
  <c r="Q77" i="9"/>
  <c r="N12" i="9"/>
  <c r="Q14" i="9"/>
  <c r="N16" i="9"/>
  <c r="N18" i="9"/>
  <c r="Q22" i="9"/>
  <c r="N24" i="9"/>
  <c r="Q32" i="9"/>
  <c r="Q63" i="9"/>
  <c r="I149" i="9"/>
  <c r="O10" i="9"/>
  <c r="O150" i="9" s="1"/>
  <c r="P150" i="9" l="1"/>
  <c r="M150" i="9"/>
  <c r="Q150" i="9"/>
  <c r="N150" i="9"/>
  <c r="S150" i="9" l="1"/>
</calcChain>
</file>

<file path=xl/sharedStrings.xml><?xml version="1.0" encoding="utf-8"?>
<sst xmlns="http://schemas.openxmlformats.org/spreadsheetml/2006/main" count="1369" uniqueCount="452">
  <si>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</si>
  <si>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</si>
  <si>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</si>
  <si>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</si>
  <si>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</si>
  <si>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</si>
  <si>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</si>
  <si>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</si>
  <si>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</si>
  <si>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</si>
  <si>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</si>
  <si>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</si>
  <si>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</si>
  <si>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</si>
  <si>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</si>
  <si>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</si>
  <si>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</si>
  <si>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PROD. MEDICO/FARMACEUTICOS/LAB</t>
  </si>
  <si>
    <t>CAJA</t>
  </si>
  <si>
    <t>UNIDAD</t>
  </si>
  <si>
    <t>ADHESIVOS P/ODONTOLOGIA; PRESENTACION: FRASCO X 4,5 mm, TIPO: ADHESIVO+PRIMER, USO: ODONTOLOGICO</t>
  </si>
  <si>
    <t>AGUJA CARPULE CORTA 21 MM CAJA X 100 UNID.</t>
  </si>
  <si>
    <t>AGUJA CARPULE EXTRACORTA 12 MM CAJA X 100 UNID.</t>
  </si>
  <si>
    <t>AGUJA CARPULE INTERMEDIA 25 MM CAJA X 100 UNID.</t>
  </si>
  <si>
    <t>ALGINATOS CROMATICO CA37 PAQ. X 450 G</t>
  </si>
  <si>
    <t>BROCHITAS PARA LIMPIEZA CONTRAANGULO X 100 UNID</t>
  </si>
  <si>
    <t>TUBO</t>
  </si>
  <si>
    <t>CADENA P/ BABERO METALICA</t>
  </si>
  <si>
    <t>CARIOSTATICO FLUORSILVER 5 ML REMINERALIZADOR FLUORURO DIAMINO 38 %</t>
  </si>
  <si>
    <t>CERA ROSA LAMINA X 1KG USO ODONTOLOGICO</t>
  </si>
  <si>
    <t>CLIP PARA RX METALICO X 7 UNID</t>
  </si>
  <si>
    <t>BOLSA</t>
  </si>
  <si>
    <t>TABLETA</t>
  </si>
  <si>
    <t>FLAMEADORES</t>
  </si>
  <si>
    <t>FORMOCRESOL, PRESENTACION: FRASCO X 20 mL, ESTADO: LIQUIDO</t>
  </si>
  <si>
    <t>FRESA DE GATE Nº1</t>
  </si>
  <si>
    <t>FRESA DE GATE Nº2</t>
  </si>
  <si>
    <t>FRESA DE GATE Nº3</t>
  </si>
  <si>
    <t>GOMA DIQUE CAJA X 52 UNID</t>
  </si>
  <si>
    <t>HIDROXIDO DE CALCIO PASTA/PASTA</t>
  </si>
  <si>
    <t>JERINGA CARPULE</t>
  </si>
  <si>
    <t>JERINGA TRIPLE</t>
  </si>
  <si>
    <t>LIMAS FLEXIBLES 1º SERIE 25 MM X 6 UN</t>
  </si>
  <si>
    <t>LIMAS H FILE 2º SERIE 25 MM X 6 UN</t>
  </si>
  <si>
    <t>LIMAS H FILES 1º SERIE 25 MM X 6 UN</t>
  </si>
  <si>
    <t>LIMAS HESTROM X 6 UN</t>
  </si>
  <si>
    <t>LIMAS K 1º SERIE 21 MM X 6 UN</t>
  </si>
  <si>
    <t>LIMAS K 1º SERIE 25MM X 6 UN</t>
  </si>
  <si>
    <t>LIMAS K 1º SERIE 31MM X 6 UN</t>
  </si>
  <si>
    <t>LIMAS K 2º SERIE 25 MM X 6 UN</t>
  </si>
  <si>
    <t>LIMAS K 2º SERIE 31MM X 6 UN</t>
  </si>
  <si>
    <t>MANGO DE BISTURI NRO  3</t>
  </si>
  <si>
    <t>MANGO PARA ESPEJO METALICO</t>
  </si>
  <si>
    <t>MONOMERO AUTOCURADO 1 LT</t>
  </si>
  <si>
    <t>PASTA TIZA PARA PULIR (BARRA DE ALTO BRILLO) USO ODONTOLOGICO</t>
  </si>
  <si>
    <t>PASTAS P/ODONTOLOGIA; USO: OBTURACION, TIPO: GUTAPERCHA, PRESENTACION: ENVASE X 25 GR</t>
  </si>
  <si>
    <t>PINZA DE ALGODÓN</t>
  </si>
  <si>
    <t>PINZA DE DISECCION MANO IZQ</t>
  </si>
  <si>
    <t>PLACA BASE INFERIOR X 100 UN</t>
  </si>
  <si>
    <t>PLACA BASE SUPERIOR X 100 UN</t>
  </si>
  <si>
    <t>RESINA  A1 JERINGA X 4GR</t>
  </si>
  <si>
    <t>RESINA  B2 JERINGA X 4GR</t>
  </si>
  <si>
    <t>RESINA A2 JERINGA X 4GR</t>
  </si>
  <si>
    <t>RESINA A3 JERINGA X 4 GR</t>
  </si>
  <si>
    <t>RESINA A3.5 JERINGA X 4 GR</t>
  </si>
  <si>
    <t>RESINA FLOW A1</t>
  </si>
  <si>
    <t>RESINA FLOW A2</t>
  </si>
  <si>
    <t>RESINA FLOW A3</t>
  </si>
  <si>
    <t>SEPARADOR DE YESO X 1 LT</t>
  </si>
  <si>
    <t>SUCTOR, DESCARTABLE: SI, PRESENTACION: ENVASE X 100 UN</t>
  </si>
  <si>
    <t>SUTURA TAGUM 3/0</t>
  </si>
  <si>
    <t>BLISTER</t>
  </si>
  <si>
    <t>YESO PIEDRA POR 25KG</t>
  </si>
  <si>
    <t>YESO TALLER POR 25 KG</t>
  </si>
  <si>
    <t>TOTAL RUBRO INSUMOS PARA ODONTOLOGIA</t>
  </si>
  <si>
    <t>CERA UTILITY ROJA X 200 GM USO ODONTOLOGICO UNIDAD</t>
  </si>
  <si>
    <t>GOMA SILICONADA PARA PROTESIS</t>
  </si>
  <si>
    <t>POLIMERO AUTOCURADO 1 KG T/ NEW POLL</t>
  </si>
  <si>
    <t>POLIMERO TERMOCURADO 1 KG T/ NEW POLL</t>
  </si>
  <si>
    <t xml:space="preserve">PORTA AGUJA 15 cm </t>
  </si>
  <si>
    <t>ROLLO DE ALGODÓN X 500 UNIDADES (0,375X 1-1/2") ODONTOLOGICO</t>
  </si>
  <si>
    <t>SELLADOR DE FOSAS Y FISURAS X 1,5 GM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</si>
  <si>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</si>
  <si>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</si>
  <si>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</si>
  <si>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</si>
  <si>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</si>
  <si>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</si>
  <si>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</si>
  <si>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>DIR. PROV. DE ODONTOLOGIA - CHACABUCO N° 169 - en el horario de 8:00hs a 12:00hs de lunes a viernes</t>
  </si>
  <si>
    <t>PLACAS RADIOGRAFICAS; P/ODONTOLOGIA X 150 UNIDADES</t>
  </si>
  <si>
    <t>LIMAS K 2º SERIE 21 MM X 6 UN</t>
  </si>
  <si>
    <t>LIQUIDO REVELADOR T/ROMEK X 480 CC</t>
  </si>
  <si>
    <t>MATRIZ DE ACERO 6 MM</t>
  </si>
  <si>
    <t xml:space="preserve">MEMBRANA T/TISSUM 2.0 X 3.0 </t>
  </si>
  <si>
    <t>MONOMERO TERMOCURABLE X 1 LT T/ NEW POL</t>
  </si>
  <si>
    <t>FRESA DE CARBURO FG/CA MD REDONDA Nº 4</t>
  </si>
  <si>
    <t>FRESA DE CARBURO FG/CA MD REDONDA Nº 5</t>
  </si>
  <si>
    <t>FRESA DE CARBURO FG/CA MD REDONDA Nº 6</t>
  </si>
  <si>
    <t>2.9.5-5144.249</t>
  </si>
  <si>
    <t>2.9.5-5144.244</t>
  </si>
  <si>
    <t>2.9.5-5144.245</t>
  </si>
  <si>
    <t>2.9.5-5144.246</t>
  </si>
  <si>
    <t>2.9.5-5144.247</t>
  </si>
  <si>
    <t>2.9.5-5144.248</t>
  </si>
  <si>
    <t>2.9.5-5144.253</t>
  </si>
  <si>
    <t>2.9.5-5144.254</t>
  </si>
  <si>
    <t>CONO DE GUTAPERCHA 1º SERIE  15-40 MM</t>
  </si>
  <si>
    <t>CONO DE GUTAPERCHA 2º SERIE 45-80 MM</t>
  </si>
  <si>
    <t>CONOS DE FIELTRO</t>
  </si>
  <si>
    <t>CONOS DE PAPEL 1º SERIE 15-40</t>
  </si>
  <si>
    <t>CONOS DE PAPEL 2º SERIE 45-80</t>
  </si>
  <si>
    <t>CONOS GUTA PERCHA 20 MM</t>
  </si>
  <si>
    <t>CONOS GUTA PERCHA 25MM</t>
  </si>
  <si>
    <t>CONOS GUTA PERCHA 30 MM</t>
  </si>
  <si>
    <t>CONOS GUTA PERCHA 35 MM</t>
  </si>
  <si>
    <t>CONOS GUTA PERCHA 40 MM</t>
  </si>
  <si>
    <t>CONOS GUTA PERCHA 45 MM</t>
  </si>
  <si>
    <t>FRESA ENDO Z</t>
  </si>
  <si>
    <t>IODOFORMO POLVO</t>
  </si>
  <si>
    <t>IONOMERO VITREO AUTO P/ RESTAURACION</t>
  </si>
  <si>
    <t>IONOMERO VITREO FOTO P/ RESTAURACION</t>
  </si>
  <si>
    <t>IONOMERO VITREO P/ CEMENTACION</t>
  </si>
  <si>
    <t>SUTURAS 0/3</t>
  </si>
  <si>
    <t>SUTURAS 0/4</t>
  </si>
  <si>
    <t>SUTURAS 0/5</t>
  </si>
  <si>
    <t>TIRA NERVIOS BLISTER X 10 UN</t>
  </si>
  <si>
    <t>XILOL PURO X 20 ML</t>
  </si>
  <si>
    <t>2.9.5-441.82</t>
  </si>
  <si>
    <t>2.5.6-7104.276</t>
  </si>
  <si>
    <t>2.5.2-3204.13</t>
  </si>
  <si>
    <t>2.9.5-441.119</t>
  </si>
  <si>
    <t>2.9.5-441.428</t>
  </si>
  <si>
    <t>2.5.2-3202.2</t>
  </si>
  <si>
    <t>2.5.2-1883.37</t>
  </si>
  <si>
    <t>2.5.2-1883.135</t>
  </si>
  <si>
    <t>2.5.2-1723.59</t>
  </si>
  <si>
    <t>ANTISEPTICOS LOCALES P/PERSONA; DROGA GENERICA: EDTAC,  SOLUCION, PRESENTACION: FRASCO X 20 mL</t>
  </si>
  <si>
    <t>2.9.9-3095.4</t>
  </si>
  <si>
    <t>2.9.5-5144.462</t>
  </si>
  <si>
    <t>2.9.5-5507.2</t>
  </si>
  <si>
    <t>2.9.5-2563.4</t>
  </si>
  <si>
    <t>2.9.5-5144.593</t>
  </si>
  <si>
    <t>2.9.5-5144.481</t>
  </si>
  <si>
    <t>2.9.5-5144.563</t>
  </si>
  <si>
    <t>2.9.5-5144.107</t>
  </si>
  <si>
    <t>2.9.5-5144.397</t>
  </si>
  <si>
    <t>2.9.5-5144.408</t>
  </si>
  <si>
    <t>2.9.5-5144.242</t>
  </si>
  <si>
    <t>CONOS DE GUTA PERCHA CONDENSACION LATERAL X 120 F</t>
  </si>
  <si>
    <t>CONOS DE GUTA PERCHA CONDENSACION LATERAL X 120 FF</t>
  </si>
  <si>
    <t>CONOS DE GUTA PERCHA CONDENSACION LATERAL X 120 FM</t>
  </si>
  <si>
    <t>CONOS DE GUTA PERCHA CONDENSACION LATERAL  X 120 M</t>
  </si>
  <si>
    <t>CONOS DE GUTA PERCHA CONDENSACION LATERAL X 120 MF</t>
  </si>
  <si>
    <t>2.9.5-5861.16</t>
  </si>
  <si>
    <t>2.9.5-5144.39</t>
  </si>
  <si>
    <t>2.5.2-1723.53</t>
  </si>
  <si>
    <t>EUGENOL X 20 ml</t>
  </si>
  <si>
    <t>2.9.5-5144.227</t>
  </si>
  <si>
    <t>2.5.2-5142.6</t>
  </si>
  <si>
    <t>2.9.5-2567.202</t>
  </si>
  <si>
    <t>2.9.5-2567.203</t>
  </si>
  <si>
    <t>2.9.5-2567.204</t>
  </si>
  <si>
    <t>2.9.5-5144.323</t>
  </si>
  <si>
    <t>2.9.5-5514.37</t>
  </si>
  <si>
    <t>2.9.5-444.24</t>
  </si>
  <si>
    <t>2.9.5-5144.123</t>
  </si>
  <si>
    <t>2.5.2-1723.148</t>
  </si>
  <si>
    <t>FRESA DE CARBURO FG/CA MD CILINDRICA 55</t>
  </si>
  <si>
    <t>FRESA DE CARBURO FG/CA MD CILINDRICA 58</t>
  </si>
  <si>
    <t>2.9.5-2567.66</t>
  </si>
  <si>
    <t>2.9.5-2567.67</t>
  </si>
  <si>
    <t>2.9.5-2567.68</t>
  </si>
  <si>
    <t>FRESA DE CARBURO FG/CA MD REDONDA Nº 7</t>
  </si>
  <si>
    <t>FRESA DE CARBURO FG/CA MD REDONDA Nº 8</t>
  </si>
  <si>
    <t>2.9.5-2567.142</t>
  </si>
  <si>
    <t>2.9.5-2567.143</t>
  </si>
  <si>
    <t>2.9.5-2567.144</t>
  </si>
  <si>
    <t>2.9.5-2567.145</t>
  </si>
  <si>
    <t>2.9.5-2567.146</t>
  </si>
  <si>
    <t>2.9.5-2567.152</t>
  </si>
  <si>
    <t>FRESA DE CIRUGIA MD CILINDRICA DENTADA 557</t>
  </si>
  <si>
    <t>FRESA DE CIRUGIA MD CILINDRICA DENTADA 558</t>
  </si>
  <si>
    <t>2.9.5-2567.55</t>
  </si>
  <si>
    <t>2.9.5-2567.212</t>
  </si>
  <si>
    <t>2.9.5-5144.155</t>
  </si>
  <si>
    <t>2.7.5-421.19</t>
  </si>
  <si>
    <t>2.5.2-5143.3</t>
  </si>
  <si>
    <t>2.5.2-5143.19</t>
  </si>
  <si>
    <t>2.5.2-5143.29</t>
  </si>
  <si>
    <t>2.9.5-5144.10</t>
  </si>
  <si>
    <t>2.9.5-5144.496</t>
  </si>
  <si>
    <t>2.9.5-2538.161</t>
  </si>
  <si>
    <t>2.9.5-2538.163</t>
  </si>
  <si>
    <t>2.9.5-2538.170</t>
  </si>
  <si>
    <t>2.9.5-2538.177</t>
  </si>
  <si>
    <t>2.9.5-2538.172</t>
  </si>
  <si>
    <t>2.9.5-2538.169</t>
  </si>
  <si>
    <t>2.9.5-2538.166</t>
  </si>
  <si>
    <t>2.9.5-2538.164</t>
  </si>
  <si>
    <t>2.9.5-2538.167</t>
  </si>
  <si>
    <t>FRESA DE CIRUGIA MD REDONDA 6</t>
  </si>
  <si>
    <t>FRESA DE CIRUGIA MD REDONDA 4</t>
  </si>
  <si>
    <t>2.9.5-2567.238</t>
  </si>
  <si>
    <t>2.9.5-2567.237</t>
  </si>
  <si>
    <t>2.9.5-4208.22</t>
  </si>
  <si>
    <t>2.5.9-2402.6</t>
  </si>
  <si>
    <t>2.9.5-5627.9</t>
  </si>
  <si>
    <t>2.9.5-5144.9</t>
  </si>
  <si>
    <t>2.9.5-5144.177</t>
  </si>
  <si>
    <t>2.9.5-5144.518</t>
  </si>
  <si>
    <t>2.9.5-5144.331</t>
  </si>
  <si>
    <t>2.9.5-5144.330</t>
  </si>
  <si>
    <t>2.9.5-5144.358</t>
  </si>
  <si>
    <t>2.5.2-2322.20</t>
  </si>
  <si>
    <t>2.9.5-5514.1</t>
  </si>
  <si>
    <t>2.9.5-5514.7</t>
  </si>
  <si>
    <t>2.9.5-5514.22</t>
  </si>
  <si>
    <t>2.9.5-2567.239</t>
  </si>
  <si>
    <t>PIEDRA DIAMANTE MICRO FG CONICA EXTREMO LLAMA 170</t>
  </si>
  <si>
    <t>PIEDRA DIAMANTE MICRO FG CONICA EXTREMO LLAMA 171</t>
  </si>
  <si>
    <t>2.9.5-2567.169</t>
  </si>
  <si>
    <t>2.9.5-2567.170</t>
  </si>
  <si>
    <t>PIEDRA DIAMANTE MICRO FG REDONDA 2</t>
  </si>
  <si>
    <t>PIEDRA DIAMANTE MICRO FG REDONDA 3</t>
  </si>
  <si>
    <t>PIEDRA DIAMANTE MICRO FG REDONDA 4</t>
  </si>
  <si>
    <t>PIEDRA DIAMANTE MICRO FG REDONDA 5</t>
  </si>
  <si>
    <t>PIEDRA DIAMANTE MICRO FG REDONDA 6</t>
  </si>
  <si>
    <t>2.9.5-2567.161</t>
  </si>
  <si>
    <t>2.9.5-2567.162</t>
  </si>
  <si>
    <t>2.9.5-2567.163</t>
  </si>
  <si>
    <t>2.9.5-2567.164</t>
  </si>
  <si>
    <t>2.9.5-2567.165</t>
  </si>
  <si>
    <t>2.9.5-2567.201</t>
  </si>
  <si>
    <t>2.9.5-5144.562</t>
  </si>
  <si>
    <t>2.9.5-5144.8</t>
  </si>
  <si>
    <t>2.9.5-5144.184</t>
  </si>
  <si>
    <t>2.9.5-472.4</t>
  </si>
  <si>
    <t>2.9.5-5144.176</t>
  </si>
  <si>
    <t>2.9.5-5144.175</t>
  </si>
  <si>
    <t>2.5.9-945.17</t>
  </si>
  <si>
    <t>2.5.2-6021.4</t>
  </si>
  <si>
    <t>2.5.2-2327.29</t>
  </si>
  <si>
    <t>2.9.5-472.71</t>
  </si>
  <si>
    <t>2.9.5-5144.453</t>
  </si>
  <si>
    <t>2.9.5-5514.5</t>
  </si>
  <si>
    <t>2.9.5-5514.12</t>
  </si>
  <si>
    <t>2.9.5-470.29</t>
  </si>
  <si>
    <t>2.9.5-5514.10</t>
  </si>
  <si>
    <t>2.9.5-5144.195</t>
  </si>
  <si>
    <t>2.9.5-5144.536</t>
  </si>
  <si>
    <t>2.9.5-2496.21</t>
  </si>
  <si>
    <t>2.9.5-2496.30</t>
  </si>
  <si>
    <t>2.9.5-2496.26</t>
  </si>
  <si>
    <t>2.9.5-5144.90</t>
  </si>
  <si>
    <t>2.9.5-5144.459</t>
  </si>
  <si>
    <t>2.9.5-5144.568</t>
  </si>
  <si>
    <t>2.9.5-5144.537</t>
  </si>
  <si>
    <t>2.9.5-5144.540</t>
  </si>
  <si>
    <t>VASOS POR 3500 UNI</t>
  </si>
  <si>
    <t>2.5.2-9146.7</t>
  </si>
  <si>
    <t>2.5.2-9146.8</t>
  </si>
  <si>
    <t>2.5.1-9007.204</t>
  </si>
  <si>
    <t>TERCERO</t>
  </si>
  <si>
    <t>ACEITES LUBRICANTES; USO: MAQUINA, PRESENTACION: AEROSOL X 400 CM3, NORMA: MULTIUSO</t>
  </si>
  <si>
    <t>ACIDO GRABADOR ODONTOLOG.; ESTADO: GEL, PRESENTACION: JERINGA X 12 GR, CAPACIDAD: 12 GR</t>
  </si>
  <si>
    <t>AGUJAS QUIRURGICAS; TIPO: CARPULE, ESPECIFICACION: CORTA, UNIDAD VENTA: CAJA X 100, PRESENTACION: CAJA X 100</t>
  </si>
  <si>
    <t>AGUJAS QUIRURGICAS; TIPO: CARPULE, ESPECIFICACION: EXTRA CORTAS, PRESENTACION: ENVASE X 100 UN</t>
  </si>
  <si>
    <t>AGUJAS QUIRURGICAS; TIPO: CARPULE, ESPECIFICACION: LARGA, PRESENTACION: CAJA X 100, UNIDAD VENTA: CAJA X 100</t>
  </si>
  <si>
    <t>PASTAS P/IMPRESION DENTAL; PRODUCTO: ALIGINATO KROMOPAN, PRESENTACION: SOBRE X 450 GR, DESCRIPCION: ALGINATO CROMATICO</t>
  </si>
  <si>
    <t>ANESTESICOS LOCALES; TIPO: SIN VALOR, DROGA GENERICA: CLORHIDRATO DE CARTICAINA 4%, FORMA FARMACEUTICA: ANESTUBO CARPULE, PRESENTACION: CAJA X 50 UN</t>
  </si>
  <si>
    <t>ANESTESICOS LOCALES; TIPO: MONODROGA, DROGA GENERICA: LIDOCAINA 5%, FORMA FARMACEUTICA: GEL, PRESENTACION: ENVASE X 18 GR</t>
  </si>
  <si>
    <t>BABEROS; TIPO: DESCARTABLE, MATERIAL: FISELINA NO ESTERIL, PRESENTACION: CAJA X 100 UN</t>
  </si>
  <si>
    <t>INSTRUMENTAL ODONTOLOGICO; TIPO: PINCEL MICROBRUSH, DESCARTABLE: SI, PRESENTACION: ENVASE X 100 UN</t>
  </si>
  <si>
    <t>CADENAS P/BABEROS; MATERIAL : 147 dBV/mPa , USO: ODONTOLOGIA, MATERIAL: METAL</t>
  </si>
  <si>
    <t>CARIOSTATICOS; ENVASE: AVIO X 5 mL, PRESENTACION: AVIO X 5 mL</t>
  </si>
  <si>
    <t>INSTRUMENTAL ODONTOLOGICO; TIPO: CEPILLO DE 4 HILERAS, DESCARTABLE: SI, PRESENTACION: UNIDAD</t>
  </si>
  <si>
    <t>PARA PULIR PROTESIS</t>
  </si>
  <si>
    <t>INSTRUMENTAL ODONTOLOGICO; TIPO: CLIP P/RADIOGRAFIA, DESCARTABLE: NO, PRESENTACION: UNIDAD</t>
  </si>
  <si>
    <t>INSTRUMENTAL ODONTOLOGICO; TIPO: COMPRESA P/PLATINA AZUL, DESCARTABLE: SI, PRESENTACION: CAJA X 500 UN</t>
  </si>
  <si>
    <t>INSTRUMENTAL ODONTOLOGICO; TIPO: CONO GUTAPERCHA Nº 15-40, DESCARTABLE: SI, PRESENTACION: CAJA X 120</t>
  </si>
  <si>
    <t>INSTRUMENTAL ODONTOLOGICO; TIPO: CONO GUTAPERCHA Nº45/80, DESCARTABLE: SI, PRESENTACION: CAJA X 120</t>
  </si>
  <si>
    <t>INSTRUMENTAL ODONTOLOGICO; TIPO: CONO DE FIELTRO, PRESENTACION: UNIDAD, DESCARTABLE: NO</t>
  </si>
  <si>
    <t>INSTRUMENTAL ODONTOLOGICO; TIPO: CONO CONDENS. LAT. XX FINE, DESCARTABLE: SI, PRESENTACION: CAJA X 120</t>
  </si>
  <si>
    <t>INSTRUMENTAL ODONTOLOGICO; TIPO: CONO DE PAPEL Nº 15-40, DESCARTABLE: SI, PRESENTACION: UNIDAD</t>
  </si>
  <si>
    <t>INSTRUMENTAL ODONTOLOGICO; TIPO: CONO DE PAPEL Nº 45-80, DESCARTABLE: SI, PRESENTACION: UNIDAD</t>
  </si>
  <si>
    <t>INSTRUMENTAL ODONTOLOGICO; TIPO: CONO GUTAPERCHA Nº20, DESCARTABLE: SI, PRESENTACION: UNIDAD</t>
  </si>
  <si>
    <t>INSTRUMENTAL ODONTOLOGICO; TIPO: CONO GUTAPERCHA Nº25, DESCARTABLE: SI, PRESENTACION: UNIDAD</t>
  </si>
  <si>
    <t>INSTRUMENTAL ODONTOLOGICO; TIPO: CONO GUTAPERCHA Nº30, DESCARTABLE: SI, PRESENTACION: UNIDAD</t>
  </si>
  <si>
    <t>INSTRUMENTAL ODONTOLOGICO; TIPO: CONO GUTAPERCHA Nº35, DESCARTABLE: SI, PRESENTACION: UNIDAD</t>
  </si>
  <si>
    <t>INSTRUMENTAL ODONTOLOGICO; TIPO: CONO GUTAPERCHA Nº40, DESCARTABLE: SI, PRESENTACION: UNIDAD</t>
  </si>
  <si>
    <t>INSTRUMENTAL ODONTOLOGICO; TIPO: CONO GUTAPERCHA Nº45, DESCARTABLE: SI, PRESENTACION: UNIDAD</t>
  </si>
  <si>
    <t>JUEGO DE DIENTES; MATERIAL: ACRILICO, CANTIDAD SUP-ANT: SIN VALOR, CANTIDAD SUP-POST: SIN VALOR, CANTIDAD INF-ANT: SIN VALOR, CANTIDAD INF-POST: 14 TABLETAS</t>
  </si>
  <si>
    <t>INSTRUMENTAL ODONTOLOGICO; TIPO: ESPACIADOR P/CONOS GUTA-PERCHA, DESCARTABLE: NO, PRESENTACION: UNIDAD</t>
  </si>
  <si>
    <t>ESPACIADOR P/CONOS GUTA-PERCHA, CAJA X 6 UNIDADES</t>
  </si>
  <si>
    <t>DIENTES DE ACRILICO TABLETA X 14</t>
  </si>
  <si>
    <t>ANTISEPTICOS LOCALES P/PERSONA; TIPO: MONODROGA, DROGA GENERICA: EUGENOL, FORMA FARMACEUTICA: LIQUIDO, PRESENTACION: FRASCO X 20 mL</t>
  </si>
  <si>
    <t>INSTRUMENTAL ODONTOLOGICO; TIPO: FLAMEADOR, DESCARTABLE: NO, PRESENTACION: UNIDAD</t>
  </si>
  <si>
    <t>TOPICOS ODONTOLOGICOS; DROGA GENERICA: FORMOCRESOL, PRESENTACION: FRASCO X 20 mL, ESTADO: LIQUIDO, FORMA DE PRESENTACION: LIQUIDO</t>
  </si>
  <si>
    <t>FRESAS P/ODONTOLOGIA; MATERIAL: CARBURO DE TUNGSTENO, Nº: 55, LARGO: 20 mm, TIPO: CILINDRICA, NUMERO: 55</t>
  </si>
  <si>
    <t>FRESAS P/ODONTOLOGIA; MATERIAL: CARBURO DE TUNGSTENO, Nº: 57, LARGO: 20 mm, TIPO: CILINDRICA, NUMERO: 57</t>
  </si>
  <si>
    <t>FRESAS P/ODONTOLOGIA; MATERIAL: CARBURO DE TUNGSTENO, Nº: 58, LARGO: 20 mm, TIPO: CILINDRICA, NUMERO: 58</t>
  </si>
  <si>
    <t>FRESAS P/ODONTOLOGIA; MATERIAL: CARBURO DE TUNGSTENO, NUMERO: 4, LARGO: STANDAR, TIPO: REDONDA FG</t>
  </si>
  <si>
    <t>FRESAS P/ODONTOLOGIA; MATERIAL: CARBURO DE TUNGSTENO, NUMERO: 5, LARGO: STANDAR, TIPO: REDONDA FG</t>
  </si>
  <si>
    <t>FRESAS P/ODONTOLOGIA; MATERIAL: CARBURO DE TUNGSTENO, NUMERO: 6, LARGO: STANDAR, TIPO: REDONDA FG</t>
  </si>
  <si>
    <t>FRESAS P/ODONTOLOGIA; MATERIAL: CARBURO DE TUNGSTENO, NUMERO: 7, LARGO: STANDAR, TIPO: REDONDA FG</t>
  </si>
  <si>
    <t>FRESAS P/ODONTOLOGIA; MATERIAL: CARBURO DE TUNGSTENO, NUMERO: 8, LARGO: STANDAR, TIPO: REDONDA FG</t>
  </si>
  <si>
    <t>FRESAS P/ODONTOLOGIA; MATERIAL: CARBURO DE TUNGSTENO, Nº: 557, LARGO: 25 mm, TIPO: CILINDRICA, NUMERO: 557</t>
  </si>
  <si>
    <t>FRESAS P/ODONTOLOGIA; MATERIAL: CARBURO DE TUNGSTENO, NUMERO: 558 L, LARGO: STANDAR, TIPO: CILINDRICA DENTADA FG</t>
  </si>
  <si>
    <t>FRESAS P/ODONTOLOGIA; MATERIAL: ACERO INOXIDABLE, NUMERO: 4, LARGO: 22 mm, TIPO: CIRUGIA P/EXTRACCIONES</t>
  </si>
  <si>
    <t>FRESAS P/ODONTOLOGIA; MATERIAL: ACERO INOXIDABLE, NUMERO: 6, LARGO: 25 mm, TIPO: CIRUGIA FG MD</t>
  </si>
  <si>
    <t>FRESAS P/ODONTOLOGIA; MATERIAL: ACERO INOXIDABLE, NUMERO: 1, LARGO: 32 mm, TIPO: GATES</t>
  </si>
  <si>
    <t>FRESAS P/ODONTOLOGIA; MATERIAL: ACERO INOXIDABLE, NUMERO: 2, LARGO: 32 mm, TIPO: GATES</t>
  </si>
  <si>
    <t>FRESAS P/ODONTOLOGIA; MATERIAL: ACERO INOXIDABLE, NUMERO: 3, LARGO: 32 mm, TIPO: GATES</t>
  </si>
  <si>
    <t>FRESAS P/ODONTOLOGIA; MATERIAL: CARBURO DE TUNGSTENO, NUMERO: SIN, LARGO: STANDAR, TIPO: ENDOZETA P/ENDODONCIA</t>
  </si>
  <si>
    <t>INSTRUMENTAL ODONTOLOGICO; TIPO: GOMA DIQUE, DESCARTABLE: SI, PRESENTACION: ENVASE X 52 UN</t>
  </si>
  <si>
    <t>INSTRUMENTAL ODONTOLOGICO; TIPO: GOMA SILICONADA P/PIEZA DE MAN, DESCARTABLE: NO, PRESENTACION: UNIDAD</t>
  </si>
  <si>
    <t>PASTAS P/ODONTOLOGIA; TIPO: HIDROXIDO DE CALCIO FRAGUABLE, USO: PROTECTOR PULPAR INDIRECTO, PRESENTACION: AVIO 13 GRS/11 GRS</t>
  </si>
  <si>
    <t>HOJAS DE BISTURI; TIPO: CAJA X 100 UN, Nº: 15, NUMERO: 15</t>
  </si>
  <si>
    <t>HOJAS DE SIERRA; DIENTES X PULGADA: SIN VALOR, LONG.DE CUERPO: 14 Cm, TIPO: COMUN</t>
  </si>
  <si>
    <t>INSTRUMENTAL ODONTOLOGICO; TIPO: LOSETA DE VIDRIO 6 X 8 X 0,5CM, DESCARTABLE: NO, PRESENTACION: UNIDAD</t>
  </si>
  <si>
    <t>ANTISEPTICOS LOCALES P/PERSONA; TIPO: MONODROGA, DROGA GENERICA: IODOFORMO, FORMA FARMACEUTICA: POLVO, PRESENTACION: ENVASE X 20 GR</t>
  </si>
  <si>
    <t>IONOMEROS VITREOS; USO: AUTOCURADO, ESTADO: POLVO - LIQUIDO, PRESENTACION: AVIO 30 GRS/12 ML, FORMA DE PRESENTACION: POLVO - LIQUIDO</t>
  </si>
  <si>
    <t>IONOMEROS VITREOS; USO: FOTOCURADO, ESTADO: POLVO, PRESENTACION: LIQUIDO X10ML - POLVO X 15 GRS, FORMA DE PRESENTACION: POLVO</t>
  </si>
  <si>
    <t>IONOMEROS VITREOS; USO: CEMENTADO, ESTADO: POLVO, PRESENTACION: ENVASE X 10 GR, FORMA DE PRESENTACION: POLVO</t>
  </si>
  <si>
    <t>INSTRUMENTAL ODONTOLOGICO; TIPO: JERINGAS TIPO CARPULE, PRESENTACION: UNIDAD, DESCARTABLE: NO</t>
  </si>
  <si>
    <t>INSTRUMENTAL ODONTOLOGICO; TIPO: JERINGA TRIPLE, DESCARTABLE: NO, PRESENTACION: UNIDAD</t>
  </si>
  <si>
    <t>LIMAS P/ODONTOLOGIA; MATERIAL: ACERO FLEXIBLE, NUMERO: 15 AL 40, LARGO: 25 mm, TIPO: LISA</t>
  </si>
  <si>
    <t>LIMAS P/ODONTOLOGIA; MATERIAL: ACERO INOXIDABLE, NUMERO: 45 AL 80, LARGO: 25 mm, TIPO: HEDSTROEM</t>
  </si>
  <si>
    <t>LIMAS P/ODONTOLOGIA; MATERIAL: ACERO INOXIDABLE, NUMERO: 15 AL 40, LARGO: 25 mm, TIPO: HEDSTROEM</t>
  </si>
  <si>
    <t>LIMAS P/ODONTOLOGIA; MATERIAL: ACERO INOXIDABLE, NUMERO: 15 AL 40, LARGO: 21 mm, TIPO: HEDSTROEM</t>
  </si>
  <si>
    <t>LIMAS P/ODONTOLOGIA; MATERIAL: ACERO INOXIDABLE, NUMERO: 15 AL 40, LARGO: 21 mm, TIPO: K</t>
  </si>
  <si>
    <t>LIMAS P/ODONTOLOGIA; MATERIAL: ACERO INOXIDABLE, NUMERO: 15 AL 40, LARGO: 25 mm, TIPO: K</t>
  </si>
  <si>
    <t>LIMAS P/ODONTOLOGIA; MATERIAL: ACERO INOXIDABLE, NUMERO: 45 AL 80, LARGO: 21 mm, TIPO: K</t>
  </si>
  <si>
    <t>LIMAS P/ODONTOLOGIA; MATERIAL: CARBURO DE TUNGSTENO, NUMERO: 45/80, LARGO: 25 mm, TIPO: K</t>
  </si>
  <si>
    <t>LIMAS P/ODONTOLOGIA; MATERIAL: CARBURO DE TUNGSTENO, NUMERO: 45/80, LARGO: 31 mm, TIPO: K</t>
  </si>
  <si>
    <t>ELEMENTOS P/RADIOLOGIA; TIPO: LIQUIDO FIJADOR P/RX, PRESENTACION: ENVASE X 500 CM3</t>
  </si>
  <si>
    <t>REVELADORES P/RADIOLOGIA; PRESENTACION: BOTELLA, CAPACIDAD: 480 mL, SENSIBILIDAD: AL VERDE, PROCESO: MANUAL, PROCESO DE UTILIZACION: MANUAL</t>
  </si>
  <si>
    <t>MANGOS DE BISTURI; TIPO: MANGO DE BISTURI, USO: QUIRURGICO/VARIOS, CAMBIAR HOJAS: SI, NUMERO: 3, MATERIAL: ACERO QUIRURGICO</t>
  </si>
  <si>
    <t>INSTRUMENTAL ODONTOLOGICO; TIPO: MANGO PARA ESPEJO BUCAL, PRESENTACION: UNIDAD, DESCARTABLE: NO</t>
  </si>
  <si>
    <t>INSTRUMENTAL ODONTOLOGICO; DESCARTABLE: NO, PRESENTACION: UNIDAD, TIPO: MATRIZ METALICA</t>
  </si>
  <si>
    <t>INSTRUMENTAL ODONTOLOGICO; TIPO: MEMBRANA, DESCARTABLE: SI, PRESENTACION: UNIDAD</t>
  </si>
  <si>
    <t>INSTRUMENTAL ODONTOLOGICO; TIPO: MONOMERO AUTOCURABLE, DESCARTABLE: SI, PRESENTACION: ENVASE X 1 L</t>
  </si>
  <si>
    <t>INSTRUMENTAL ODONTOLOGICO; TIPO: MONOMERO TERMOCURABLE, DESCARTABLE: SI, PRESENTACION: ENVASE X 1 L</t>
  </si>
  <si>
    <t>INSTRUMENTAL ODONTOLOGICO; TIPO: PAPEL DE ARTICULAR- FORMA HERR, DESCARTABLE: SI, PRESENTACION: PAQUETE X 12 LIBRITOS</t>
  </si>
  <si>
    <t>CEMENTOS QUIRURGICOS; PRESENTACION: AVIO 13 GRS/11 GRS, TIPO: HIDROXIDO DE CALCIO FRAGUABLE, USO: ODONTOLOGIA</t>
  </si>
  <si>
    <t>PASTAS P/ODONTOLOGIA; TIPO: CON CIRCONES MOLIDOS SIN FLUOR, USO: PULIR, PRESENTACION: ENVASE X 45 GR</t>
  </si>
  <si>
    <t>PASTAS P/ODONTOLOGIA; USO: P/LIMPIEZA, TIPO: SIN FLUOR, PRESENTACION: ENVASE X 45 GR</t>
  </si>
  <si>
    <t>FRESAS P/ODONTOLOGIA; MATERIAL: PIEDRA DE DIAMANTE, NUMERO: SIN, LARGO: STANDAR, TIPO: CILINDRICA FG</t>
  </si>
  <si>
    <t>FRESAS P/ODONTOLOGIA; MATERIAL: PIEDRA DE DIAMANTE, NUMERO: 170, LARGO: STANDAR, TIPO: TRONCOCONICA FG</t>
  </si>
  <si>
    <t>FRESAS P/ODONTOLOGIA; MATERIAL: PIEDRA DE DIAMANTE, NUMERO: 171, LARGO: STANDAR, TIPO: TRONCOCONICA FG</t>
  </si>
  <si>
    <t>FRESAS P/ODONTOLOGIA; MATERIAL: PIEDRA DE DIAMANTE, NUMERO: 2, LARGO: STANDAR, TIPO: REDONDA FG</t>
  </si>
  <si>
    <t>FRESAS P/ODONTOLOGIA; MATERIAL: PIEDRA DE DIAMANTE, NUMERO: 3, LARGO: STANDAR, TIPO: REDONDA FG</t>
  </si>
  <si>
    <t>FRESAS P/ODONTOLOGIA; MATERIAL: PIEDRA DE DIAMANTE, NUMERO: 4, LARGO: STANDAR, TIPO: REDONDA FG</t>
  </si>
  <si>
    <t>FRESAS P/ODONTOLOGIA; MATERIAL: PIEDRA DE DIAMANTE, NUMERO: 5, LARGO: STANDAR, TIPO: REDONDA FG</t>
  </si>
  <si>
    <t>FRESAS P/ODONTOLOGIA; MATERIAL: PIEDRA DE DIAMANTE, NUMERO: 6, LARGO: STANDAR, TIPO: REDONDA FG</t>
  </si>
  <si>
    <t>FRESAS P/ODONTOLOGIA; MATERIAL: PIEDRA DE DIAMANTE, NUMERO: SIN, LARGO: STANDAR, TIPO: AGUJA GRANO ULTRA FINO FG</t>
  </si>
  <si>
    <t>INSTRUMENTAL ODONTOLOGICO; TIPO: PIEDRA POMEZ, DESCARTABLE: SI, PRESENTACION: ENVASE X 2 Kg</t>
  </si>
  <si>
    <t>INSTRUMENTAL ODONTOLOGICO; TIPO: PINZA DE ALGODON, DESCARTABLE: NO, PRESENTACION: UNIDAD</t>
  </si>
  <si>
    <t>INSTRUMENTAL ODONTOLOGICO; DESCARTABLE: NO, PRESENTACION: UNIDAD, TIPO: ALICATE DE CORTE Y MODELADO</t>
  </si>
  <si>
    <t>PINZAS DE CIRUGIA; TIPO: DISECCION SIN DIENTE, MEDIDA: 13 Cm</t>
  </si>
  <si>
    <t>INSTRUMENTAL ODONTOLOGICO; TIPO: PLACA BASE INFERIOR, DESCARTABLE: SIN VALOR, PRESENTACION: ENVASE X 100</t>
  </si>
  <si>
    <t>INSTRUMENTAL ODONTOLOGICO; TIPO: PLACA BASE SUPERIOR, DESCARTABLE: SIN VALOR, PRESENTACION: ENVASE X 100</t>
  </si>
  <si>
    <t>PLACAS RADIOGRAFICAS; SENSIBILIDAD: AL VERDE, DIMENSION: 31 X 41 mm</t>
  </si>
  <si>
    <t>ACRILICOS AUTOCURABLES; TIPO: POLIMERO DE AUTOPOLIMERIZACION, PRESENTACION: FRASCO X 1 Kg</t>
  </si>
  <si>
    <t>ACRILICOS TERMOCURABLES; TIPO: POLIMERO, PRESENTACION: ENVASE X 1 Kg</t>
  </si>
  <si>
    <t>PINZAS DE CIRUGIA; TIPO: PORTA AGUJA, MEDIDA: 15 Cm</t>
  </si>
  <si>
    <t>INSTRUMENTAL ODONTOLOGICO; TIPO: GOMA P/PULIR COMPOSITE, DESCARTABLE: NO, PRESENTACION: KIT</t>
  </si>
  <si>
    <t>PASTAS P/ODONTOLOGIA; USO: FOTOPOLIMERIZACION, TIPO: COMPOSITE HIBRIDO, PRESENTACION: JERINGA X 4 GR</t>
  </si>
  <si>
    <t>PASTAS P/ODONTOLOGIA; USO: FOTOPOLIMERIZACION, TIPO: COMPOSITE MICROHIBRIDO, PRESENTACION: JERINGA X 3 GR</t>
  </si>
  <si>
    <t>ALGODONES; TIPO: ESTERIL, CAPACIDAD: PAQUETE X 500 ROLLOS, PRESENTACION: ENVASE X 500</t>
  </si>
  <si>
    <t>PASTAS P/ODONTOLOGIA; PRESENTACION: JERINGA, USO: SELLADOR, TIPO: COMPOMERO</t>
  </si>
  <si>
    <t>INSTRUMENTAL ODONTOLOGICO; TIPO: SEPARADOR DE YESO ROSA, DESCARTABLE: SI, PRESENTACION: 1 L</t>
  </si>
  <si>
    <t>INSTRUMENTAL ODONTOLOGICO; TIPO: SUCTOR, DESCARTABLE: SI, PRESENTACION: ENVASE X 100 UN</t>
  </si>
  <si>
    <t>SUTURAS MECANICAS; TIPO: MONONYLON Nº 3/0 C/A, USO: QUIRURGICO, PRESENTACION: SOBRES</t>
  </si>
  <si>
    <t>SUTURAS MECANICAS; TIPO: MONOFILAMENTO 4/0, USO: QUIRURGICO, PRESENTACION: CAJA POR 25</t>
  </si>
  <si>
    <t>SUTURAS MECANICAS; TIPO: MONOFILAMENTO NYLON 5.0, USO: QUIRURGICO, PRESENTACION: CAJA X 24 UN</t>
  </si>
  <si>
    <t>INSTRUMENTAL ODONTOLOGICO; TIPO: TIRANERVIOS, DESCARTABLE: NO, PRESENTACION: UNIDAD</t>
  </si>
  <si>
    <t>INSTRUMENTAL ODONTOLOGICO; TIPO: MATRIZ ACETATO P/FRENTES, DESCARTABLE: SI, PRESENTACION: ENVASE X 96 UN</t>
  </si>
  <si>
    <t>INSTRUMENTAL ODONTOLOGICO; TIPO: TIRA P/PULIR. COMPOSITE-GR MED, DESCARTABLE: SI, PRESENTACION: ENVASE X 50 UN</t>
  </si>
  <si>
    <t>INSTRUMENTAL ODONTOLOGICO; TIPO: TIRA P/PULIR AMALGAMA, DESCARTABLE: SI, PRESENTACION: 2 UNIDADES</t>
  </si>
  <si>
    <t>INSTRUMENTAL ODONTOLOGICO; TIPO: VASOS, DESCARTABLE: SI, PRESENTACION: CAJA X 3500 UN</t>
  </si>
  <si>
    <t>YESOS; TIPO: PIEDRA P/ODONTOLOGIA, PRESENTACION: ENVASE X 25 Kg</t>
  </si>
  <si>
    <t>YESOS; TIPO: TALLER, PRESENTACION: ENVASE X 25 Kg</t>
  </si>
  <si>
    <t>COMP. HIDROXILADOS Y ALCOHOLES; COMPUESTO QUIMICO: XILOL, ESTADO: LIQUIDO, CALIDAD: PRO ANALISIS, CONCENTRACION/PUREZA: 99 %, PRESENTACION: ENVASE X 20 mL</t>
  </si>
  <si>
    <t>BABEROS DE FRISELINA DESCARTABLE USO ODONTOLOGICO</t>
  </si>
  <si>
    <t>HOJA DE BISTURI Nº 15 X 100 UNIDADES</t>
  </si>
  <si>
    <t>MICROBRUSH X 100 UNIDADES</t>
  </si>
  <si>
    <t>PAPEL DE ARTICULAR T/GABRIDENT AZUL CAJA X 12 UN</t>
  </si>
  <si>
    <t>2.5.2-5538.8</t>
  </si>
  <si>
    <t>ACEITE LUBRICANTE PARA PIEZA DE MANO ODONTOLOGICA X 400 ml</t>
  </si>
  <si>
    <t>ACIDO FOSFORICO 37% GEL JERINGA 12 GR</t>
  </si>
  <si>
    <t>ANESTESIA CLORHIDRATO DE CARTICAINA 4% CAJA X 50 ANESTUBOS</t>
  </si>
  <si>
    <t>ANESTESIA TOPICA LIDOCAINA 5 %  X 18 GR</t>
  </si>
  <si>
    <t>CEMENTOS QUIRURGICOS; PRESENTACION: ENVASE X 20 GR, TIPO: GROSSMAN, USO: ODONTOLOGIA</t>
  </si>
  <si>
    <t>2.5.2-2322.12</t>
  </si>
  <si>
    <t>CEMENTO GROSSMAN  AVIO 20 G</t>
  </si>
  <si>
    <t>INSTRUMENTAL ODONTOLOGICO; TIPO: DISCO P/PULIR COMPOSITE, DESCARTABLE: NO, PRESENTACION: CAJA X 50 UN</t>
  </si>
  <si>
    <t>2.9.5-5144.148</t>
  </si>
  <si>
    <t>DISCO SOFLEX PARA PULIR COMPOSITE</t>
  </si>
  <si>
    <t xml:space="preserve">HOJA DE SIERRA PARA SIERRA </t>
  </si>
  <si>
    <t>LIMAS P/ODONTOLOGIA; MATERIAL: CARBURO DE TUNGSTENO, NUMERO: 15/40, LARGO: 31 mm, TIPO: K</t>
  </si>
  <si>
    <t>2.9.5-2538.162</t>
  </si>
  <si>
    <t>LIQUIDO FIJADOR T/ROMEK X 500 CC</t>
  </si>
  <si>
    <t>PASTA P/ PULIR GLOSS BRILLO 45 GR</t>
  </si>
  <si>
    <t>PASTA PROPHY NF 45 GR</t>
  </si>
  <si>
    <t>PASTA DE HIDROXIDO DE CALCIO FOTOPOLIMERIZABLE, AVIO 13/11 GR</t>
  </si>
  <si>
    <t>PIEDRA DIAMANTE AGUJA GRANO FINO AMARILLO Y ROJO</t>
  </si>
  <si>
    <t>PIEDRA POMEZ X 2 KG</t>
  </si>
  <si>
    <t>ALICATE DE CORTE P/ PROTESIS</t>
  </si>
  <si>
    <t xml:space="preserve">PIEDRA DIAMANTE MICRO FG CILINDRICA </t>
  </si>
  <si>
    <t xml:space="preserve">GOMA PARA PULIR COMPOSITE </t>
  </si>
  <si>
    <t>TIRAS DE ACETATO X 96</t>
  </si>
  <si>
    <t>TIRAS PARA PULIR COMPOSITE X 50</t>
  </si>
  <si>
    <t>TIRAS PARA PULIR- METALICA X 2 UN</t>
  </si>
  <si>
    <t>ADHESIVO+PRIMER PARA USO ODONTOLOGICO</t>
  </si>
  <si>
    <t>COMPRESA DESCARTABLE  X 500 UNIDADES USO ODONTOLOGICO</t>
  </si>
  <si>
    <t>FRESA DE CARBURO FG/CA MD CILINDRICA 57</t>
  </si>
  <si>
    <t>LOSETA DE VIDRIO 6 X 8 X 0,5CM</t>
  </si>
  <si>
    <t>2.5.9-1687.7</t>
  </si>
  <si>
    <t>CERAS; TIPO: ROSA, USO: ODONTOLOGICO, CAPACIDAD: ENVASE X 1 Kg, PRESENTACION: ENVASE X 1 Kg</t>
  </si>
  <si>
    <t>2.5.9-1687.3</t>
  </si>
  <si>
    <t>CERAS; TIPO: UTILITY, USO: ODONTOLOGICO, CAPACIDAD: ENVASE X 200 GR, PRESENTACION: ENVASE X 200 GR</t>
  </si>
  <si>
    <t>2.5.2-5573.3</t>
  </si>
  <si>
    <t>PASTAS ODONTOLOGICAS P/PULIR; PRESENTACION: BARRA, TIPO: ALTO BRILLO</t>
  </si>
  <si>
    <t>diez (10) dias habiles</t>
  </si>
  <si>
    <t>Rubro Compr.ar = COMBUSTIBLES Y LUBRICANTES</t>
  </si>
  <si>
    <t>La Descripcion de Necesidades Trimestrales no coincide con la Descripcion de COMPR.AR</t>
  </si>
  <si>
    <t>Rubro Compr.ar = INDUMENT TEXTIL Y CONFECCIONES</t>
  </si>
  <si>
    <t>Se recomienda no incluir especificacion tecnica</t>
  </si>
  <si>
    <t>Rubro Compr.ar = PINTURAS</t>
  </si>
  <si>
    <t>https://www.dentaltix.com/es/blog/guia-distinguir-todos-los-tipos-fresas-dentales</t>
  </si>
  <si>
    <t xml:space="preserve">Se contradice la Descripcion el item con la Especificacion Tecnica - TIPO: AGUJA GRANO ULTRA FINO FG y en especificacion los colores amarrillo y rojo se corresponde a Grano fino y superfino respectivamente. </t>
  </si>
  <si>
    <t>No se especifica Numero de tamaño</t>
  </si>
  <si>
    <t>HOJA DE SIERRA PARA SIERRA</t>
  </si>
  <si>
    <t>https://articulo.mercadolibre.com.ar/MLA-1132590381-sierra-tipo-ney-odontologia-laboratorio-mecanica-dental-_JM#position=2&amp;search_layout=stack&amp;type=item&amp;tracking_id=fe5746c1-1adc-457c-8671-91d4103c3409</t>
  </si>
  <si>
    <t>https://articulo.mercadolibre.com.ar/MLA-918606948-porta-sierra-tipo-ney-sierra-laboratorio-mecanica-dental-_JM</t>
  </si>
  <si>
    <t>Consultar si lo que se quiere solicitar es Hoja para sierra tipo NEY - Rubro Compr.ar = FERRETERIA</t>
  </si>
  <si>
    <t>No esta en los tramites anteriores - Ver si es Descartable o Inventariable</t>
  </si>
  <si>
    <r>
      <t xml:space="preserve">INSTRUMENTAL ODONTOLOGICO; TIPO: CLIP P/RADIOGRAFIA, DESCARTABLE: NO, PRESENTACION: </t>
    </r>
    <r>
      <rPr>
        <b/>
        <sz val="10"/>
        <color rgb="FFFF0000"/>
        <rFont val="Calibri"/>
        <family val="2"/>
        <scheme val="minor"/>
      </rPr>
      <t>UNIDAD</t>
    </r>
  </si>
  <si>
    <t>Presentacion es contradictoria a la unidad de medida - Unidad vs CAJA</t>
  </si>
  <si>
    <t>Especificar el tamano.</t>
  </si>
  <si>
    <t>Se sugiere la presentacion Caja y especificar cuantas unidades por CAJA</t>
  </si>
  <si>
    <r>
      <t xml:space="preserve">INSTRUMENTAL ODONTOLOGICO; TIPO: CONO DE PAPEL Nº 15-40,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</si>
  <si>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r>
      <t xml:space="preserve">INSTRUMENTAL ODONTOLOGICO; TIPO: CONO DE PAPEL Nº 45-80,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</si>
  <si>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r>
      <t xml:space="preserve">INSTRUMENTAL ODONTOLOGICO; TIPO: CONO GUTAPERCHA Nº20,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</si>
  <si>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r>
      <t xml:space="preserve">INSTRUMENTAL ODONTOLOGICO; TIPO: CONO GUTAPERCHA Nº25,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</si>
  <si>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r>
      <t xml:space="preserve">INSTRUMENTAL ODONTOLOGICO; TIPO: CONO GUTAPERCHA Nº30,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</si>
  <si>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r>
      <t xml:space="preserve">INSTRUMENTAL ODONTOLOGICO; TIPO: CONO GUTAPERCHA Nº35,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</si>
  <si>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r>
      <t xml:space="preserve">INSTRUMENTAL ODONTOLOGICO; TIPO: CONO GUTAPERCHA Nº40,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</si>
  <si>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r>
      <t xml:space="preserve">INSTRUMENTAL ODONTOLOGICO; TIPO: CONO GUTAPERCHA Nº45, DESCARTABLE: SI, PRESENTACION: </t>
    </r>
    <r>
      <rPr>
        <b/>
        <sz val="10"/>
        <color rgb="FFFF0000"/>
        <rFont val="Calibri"/>
        <family val="2"/>
        <scheme val="minor"/>
      </rPr>
      <t>UNIDAD</t>
    </r>
  </si>
  <si>
    <t>Se sugiere Especificar medidas o tamaño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</si>
</sst>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  <numFmt numFmtId="166" formatCode="_-* #,##0.00&quot; €&quot;_-;\-* #,##0.00&quot; €&quot;_-;_-* \-??&quot; €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6" fontId="8" fillId="0" borderId="0" applyBorder="0" applyProtection="0"/>
    <xf numFmtId="0" fontId="12" fillId="0" borderId="7" applyProtection="0"/>
    <xf numFmtId="0" fontId="13" fillId="4" borderId="0" applyBorder="0" applyProtection="0"/>
    <xf numFmtId="0" fontId="8" fillId="0" borderId="0"/>
    <xf numFmtId="0" fontId="8" fillId="0" borderId="0"/>
    <xf numFmtId="166" fontId="8" fillId="0" borderId="0" applyBorder="0" applyProtection="0"/>
    <xf numFmtId="0" fontId="12" fillId="0" borderId="7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6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9" fillId="0" borderId="0" xfId="0" applyFont="1"/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7" fillId="2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165" fontId="10" fillId="0" borderId="4" xfId="0" applyNumberFormat="1" applyFont="1" applyBorder="1" applyAlignment="1">
      <alignment horizontal="center" vertical="center"/>
    </xf>
    <xf numFmtId="3" fontId="7" fillId="0" borderId="4" xfId="2" applyNumberFormat="1" applyFont="1" applyBorder="1" applyAlignment="1">
      <alignment horizontal="center" vertical="center" wrapText="1"/>
    </xf>
    <xf numFmtId="165" fontId="10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5" xfId="0" applyFont="1" applyBorder="1" applyAlignment="1">
      <alignment wrapText="1"/>
    </xf>
    <xf numFmtId="0" fontId="18" fillId="0" borderId="8" xfId="5" applyFont="1" applyBorder="1" applyAlignment="1">
      <alignment horizontal="center" vertical="center" wrapText="1"/>
    </xf>
    <xf numFmtId="0" fontId="18" fillId="0" borderId="10" xfId="5" applyFont="1" applyBorder="1" applyAlignment="1">
      <alignment horizontal="center" vertical="center" wrapText="1"/>
    </xf>
    <xf numFmtId="0" fontId="3" fillId="0" borderId="0" xfId="5" applyFont="1" applyAlignment="1">
      <alignment horizontal="left" vertical="center" wrapText="1"/>
    </xf>
    <xf numFmtId="0" fontId="18" fillId="0" borderId="10" xfId="5" applyFont="1" applyBorder="1" applyAlignment="1">
      <alignment horizontal="center" wrapText="1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3" fillId="0" borderId="0" xfId="5" applyFont="1" applyAlignment="1">
      <alignment vertical="center"/>
    </xf>
    <xf numFmtId="0" fontId="18" fillId="0" borderId="12" xfId="5" applyFont="1" applyBorder="1" applyAlignment="1">
      <alignment horizontal="center" wrapText="1"/>
    </xf>
    <xf numFmtId="0" fontId="3" fillId="0" borderId="13" xfId="5" applyFont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7" fillId="0" borderId="0" xfId="0" applyFont="1"/>
    <xf numFmtId="165" fontId="19" fillId="0" borderId="0" xfId="0" applyNumberFormat="1" applyFont="1"/>
    <xf numFmtId="0" fontId="19" fillId="0" borderId="0" xfId="0" applyFont="1"/>
    <xf numFmtId="165" fontId="7" fillId="0" borderId="1" xfId="2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0" fillId="0" borderId="0" xfId="0" applyFont="1"/>
    <xf numFmtId="165" fontId="21" fillId="0" borderId="0" xfId="0" applyNumberFormat="1" applyFont="1"/>
    <xf numFmtId="0" fontId="21" fillId="0" borderId="0" xfId="0" applyFont="1"/>
    <xf numFmtId="0" fontId="0" fillId="0" borderId="0" xfId="0" applyAlignment="1">
      <alignment horizontal="left" vertical="center"/>
    </xf>
    <xf numFmtId="165" fontId="21" fillId="0" borderId="0" xfId="0" applyNumberFormat="1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3" fontId="7" fillId="3" borderId="2" xfId="2" applyNumberFormat="1" applyFont="1" applyFill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horizontal="center" vertical="center"/>
    </xf>
    <xf numFmtId="165" fontId="7" fillId="3" borderId="2" xfId="2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165" fontId="7" fillId="3" borderId="1" xfId="2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165" fontId="9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10" fillId="0" borderId="2" xfId="2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 wrapText="1"/>
    </xf>
    <xf numFmtId="165" fontId="22" fillId="0" borderId="0" xfId="33" applyNumberFormat="1"/>
    <xf numFmtId="0" fontId="22" fillId="0" borderId="0" xfId="33"/>
    <xf numFmtId="0" fontId="22" fillId="0" borderId="0" xfId="33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11" xfId="5" applyFont="1" applyBorder="1" applyAlignment="1">
      <alignment horizontal="left" vertical="center" wrapText="1"/>
    </xf>
    <xf numFmtId="0" fontId="3" fillId="0" borderId="14" xfId="5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left" vertical="center" wrapText="1"/>
    </xf>
  </cellXfs>
  <cellStyles count="34">
    <cellStyle name="Encabezado 1" xfId="10" xr:uid="{00000000-0005-0000-0000-000000000000}"/>
    <cellStyle name="Encabezado 1 2" xfId="15" xr:uid="{00000000-0005-0000-0000-000001000000}"/>
    <cellStyle name="Hipervínculo" xfId="33" builtinId="8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Neutral 1" xfId="11" xr:uid="{00000000-0005-0000-0000-00000A000000}"/>
    <cellStyle name="Normal" xfId="0" builtinId="0"/>
    <cellStyle name="Normal 2" xfId="2" xr:uid="{00000000-0005-0000-0000-00000C000000}"/>
    <cellStyle name="Normal 2 2" xfId="5" xr:uid="{00000000-0005-0000-0000-00000D000000}"/>
    <cellStyle name="Normal 2 3" xfId="32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rticulo.mercadolibre.com.ar/MLA-918606948-porta-sierra-tipo-ney-sierra-laboratorio-mecanica-dental-_JM" TargetMode="External"/><Relationship Id="rId1" Type="http://schemas.openxmlformats.org/officeDocument/2006/relationships/hyperlink" Target="https://articulo.mercadolibre.com.ar/MLA-1132590381-sierra-tipo-ney-odontologia-laboratorio-mecanica-dental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"/>
  <sheetViews>
    <sheetView topLeftCell="A21" zoomScale="130" zoomScaleNormal="130" workbookViewId="0">
      <selection activeCell="B25" sqref="B25"/>
    </sheetView>
  </sheetViews>
  <sheetFormatPr baseColWidth="10" defaultRowHeight="15" x14ac:dyDescent="0.25"/>
  <cols>
    <col min="1" max="1" width="5.85546875" style="22" customWidth="1"/>
    <col min="2" max="2" width="13.85546875" style="22" bestFit="1" customWidth="1"/>
    <col min="3" max="3" width="36.28515625" style="22" customWidth="1"/>
    <col min="4" max="4" width="5.5703125" style="22" bestFit="1" customWidth="1"/>
    <col min="5" max="5" width="93.140625" style="19" customWidth="1"/>
    <col min="6" max="6" width="10.42578125" style="22" customWidth="1"/>
    <col min="7" max="7" width="14.5703125" style="20" customWidth="1"/>
    <col min="8" max="8" width="15.5703125" style="27" customWidth="1"/>
    <col min="9" max="9" width="16.7109375" style="27" customWidth="1"/>
    <col min="10" max="10" width="74.140625" style="35" customWidth="1"/>
    <col min="11" max="11" width="13.5703125" customWidth="1"/>
    <col min="12" max="12" width="13.85546875" style="68" bestFit="1" customWidth="1"/>
    <col min="13" max="13" width="12.42578125" style="60" bestFit="1" customWidth="1"/>
    <col min="14" max="14" width="13.85546875" style="60" bestFit="1" customWidth="1"/>
    <col min="15" max="15" width="12.42578125" style="60" bestFit="1" customWidth="1"/>
    <col min="16" max="16" width="11.42578125" style="60" bestFit="1" customWidth="1"/>
    <col min="17" max="18" width="13.85546875" style="60" bestFit="1" customWidth="1"/>
    <col min="19" max="19" width="14.85546875" style="60" bestFit="1" customWidth="1"/>
  </cols>
  <sheetData>
    <row r="1" spans="1:19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9" ht="18.75" x14ac:dyDescent="0.25">
      <c r="A2" s="3"/>
      <c r="B2" s="96" t="s">
        <v>0</v>
      </c>
      <c r="C2" s="96"/>
      <c r="D2" s="96"/>
      <c r="E2" s="96"/>
      <c r="F2" s="96"/>
      <c r="G2" s="96"/>
      <c r="H2" s="96"/>
      <c r="I2" s="7"/>
    </row>
    <row r="3" spans="1:19" x14ac:dyDescent="0.25">
      <c r="A3" s="3"/>
      <c r="B3" s="2"/>
      <c r="C3" s="3"/>
      <c r="D3" s="3"/>
      <c r="E3" s="4"/>
      <c r="F3" s="3"/>
      <c r="G3" s="5"/>
      <c r="H3" s="6"/>
      <c r="I3" s="7"/>
    </row>
    <row r="4" spans="1:19" x14ac:dyDescent="0.25">
      <c r="A4" s="93" t="s">
        <v>1</v>
      </c>
      <c r="B4" s="93"/>
      <c r="C4" s="97" t="s">
        <v>2</v>
      </c>
      <c r="D4" s="97"/>
      <c r="E4" s="97"/>
      <c r="F4" s="8"/>
      <c r="G4" s="9"/>
      <c r="H4" s="6"/>
      <c r="I4" s="7"/>
    </row>
    <row r="5" spans="1:19" x14ac:dyDescent="0.25">
      <c r="A5" s="93" t="s">
        <v>3</v>
      </c>
      <c r="B5" s="93"/>
      <c r="C5" s="98" t="s">
        <v>4</v>
      </c>
      <c r="D5" s="98"/>
      <c r="E5" s="98"/>
      <c r="F5" s="8"/>
      <c r="G5" s="9"/>
      <c r="H5" s="6"/>
      <c r="I5" s="7"/>
    </row>
    <row r="6" spans="1:19" x14ac:dyDescent="0.25">
      <c r="A6" s="93" t="s">
        <v>5</v>
      </c>
      <c r="B6" s="93"/>
      <c r="C6" s="10">
        <v>2022</v>
      </c>
      <c r="D6" s="11"/>
      <c r="E6" s="10"/>
      <c r="F6" s="8"/>
      <c r="G6" s="9"/>
      <c r="H6" s="6"/>
      <c r="I6" s="7"/>
    </row>
    <row r="7" spans="1:19" x14ac:dyDescent="0.25">
      <c r="A7" s="93" t="s">
        <v>6</v>
      </c>
      <c r="B7" s="93"/>
      <c r="C7" s="10" t="s">
        <v>263</v>
      </c>
      <c r="D7" s="65"/>
      <c r="E7" s="10"/>
      <c r="F7" s="8"/>
      <c r="G7" s="9"/>
      <c r="H7" s="6"/>
      <c r="I7" s="7"/>
    </row>
    <row r="8" spans="1:19" ht="15.75" thickBot="1" x14ac:dyDescent="0.3">
      <c r="A8" s="3"/>
      <c r="B8" s="8"/>
      <c r="C8" s="8"/>
      <c r="D8" s="8"/>
      <c r="E8" s="12"/>
      <c r="F8" s="8"/>
      <c r="G8" s="9"/>
      <c r="H8" s="6"/>
      <c r="I8" s="7"/>
    </row>
    <row r="9" spans="1:19" ht="39" thickBot="1" x14ac:dyDescent="0.3">
      <c r="A9" s="28" t="s">
        <v>7</v>
      </c>
      <c r="B9" s="29" t="s">
        <v>8</v>
      </c>
      <c r="C9" s="30" t="s">
        <v>9</v>
      </c>
      <c r="D9" s="29" t="s">
        <v>10</v>
      </c>
      <c r="E9" s="31" t="s">
        <v>11</v>
      </c>
      <c r="F9" s="30" t="s">
        <v>12</v>
      </c>
      <c r="G9" s="32" t="s">
        <v>13</v>
      </c>
      <c r="H9" s="34" t="s">
        <v>14</v>
      </c>
      <c r="I9" s="33" t="s">
        <v>15</v>
      </c>
      <c r="J9" s="36" t="s">
        <v>16</v>
      </c>
      <c r="M9" s="60">
        <v>259</v>
      </c>
      <c r="N9" s="60">
        <v>252</v>
      </c>
      <c r="O9" s="60">
        <v>256</v>
      </c>
      <c r="P9" s="60">
        <v>265</v>
      </c>
      <c r="Q9" s="60">
        <v>295</v>
      </c>
      <c r="R9" s="60">
        <v>296</v>
      </c>
    </row>
    <row r="10" spans="1:19" s="26" customFormat="1" ht="12.75" x14ac:dyDescent="0.2">
      <c r="A10" s="73">
        <v>1</v>
      </c>
      <c r="B10" s="73" t="s">
        <v>129</v>
      </c>
      <c r="C10" s="78" t="s">
        <v>17</v>
      </c>
      <c r="D10" s="73">
        <v>256</v>
      </c>
      <c r="E10" s="74" t="s">
        <v>264</v>
      </c>
      <c r="F10" s="73" t="s">
        <v>19</v>
      </c>
      <c r="G10" s="75">
        <v>150</v>
      </c>
      <c r="H10" s="76">
        <v>700</v>
      </c>
      <c r="I10" s="77">
        <f t="shared" ref="I10:I28" si="0">+G10*H10</f>
        <v>105000</v>
      </c>
      <c r="J10" s="74" t="s">
        <v>390</v>
      </c>
      <c r="K10" s="26" t="s">
        <v>426</v>
      </c>
      <c r="L10" s="69"/>
      <c r="M10" s="61"/>
      <c r="N10" s="61"/>
      <c r="O10" s="61">
        <f>+I10</f>
        <v>105000</v>
      </c>
      <c r="P10" s="61"/>
      <c r="Q10" s="61"/>
      <c r="R10" s="61"/>
      <c r="S10" s="62"/>
    </row>
    <row r="11" spans="1:19" s="26" customFormat="1" ht="12.75" x14ac:dyDescent="0.2">
      <c r="A11" s="66">
        <v>2</v>
      </c>
      <c r="B11" s="66" t="s">
        <v>130</v>
      </c>
      <c r="C11" s="66" t="s">
        <v>17</v>
      </c>
      <c r="D11" s="66">
        <v>252</v>
      </c>
      <c r="E11" s="79" t="s">
        <v>265</v>
      </c>
      <c r="F11" s="66" t="s">
        <v>19</v>
      </c>
      <c r="G11" s="75">
        <v>300</v>
      </c>
      <c r="H11" s="80">
        <v>700</v>
      </c>
      <c r="I11" s="81">
        <f t="shared" si="0"/>
        <v>210000</v>
      </c>
      <c r="J11" s="79" t="s">
        <v>391</v>
      </c>
      <c r="L11" s="69"/>
      <c r="M11" s="61"/>
      <c r="N11" s="61">
        <f t="shared" ref="N11:N24" si="1">+I11</f>
        <v>210000</v>
      </c>
      <c r="O11" s="61"/>
      <c r="P11" s="61"/>
      <c r="Q11" s="61"/>
      <c r="R11" s="61"/>
      <c r="S11" s="62"/>
    </row>
    <row r="12" spans="1:19" s="26" customFormat="1" ht="30" customHeight="1" x14ac:dyDescent="0.2">
      <c r="A12" s="66">
        <v>3</v>
      </c>
      <c r="B12" s="67" t="s">
        <v>242</v>
      </c>
      <c r="C12" s="67" t="s">
        <v>17</v>
      </c>
      <c r="D12" s="67">
        <v>295</v>
      </c>
      <c r="E12" s="82" t="s">
        <v>364</v>
      </c>
      <c r="F12" s="67" t="s">
        <v>19</v>
      </c>
      <c r="G12" s="75">
        <v>6</v>
      </c>
      <c r="H12" s="83">
        <v>5500</v>
      </c>
      <c r="I12" s="81">
        <f t="shared" si="0"/>
        <v>33000</v>
      </c>
      <c r="J12" s="82" t="s">
        <v>77</v>
      </c>
      <c r="L12" s="69"/>
      <c r="M12" s="61"/>
      <c r="N12" s="61">
        <f t="shared" si="1"/>
        <v>33000</v>
      </c>
      <c r="O12" s="61"/>
      <c r="P12" s="61"/>
      <c r="Q12" s="61"/>
      <c r="R12" s="61"/>
      <c r="S12" s="62"/>
    </row>
    <row r="13" spans="1:19" s="26" customFormat="1" ht="12.75" x14ac:dyDescent="0.2">
      <c r="A13" s="66">
        <v>4</v>
      </c>
      <c r="B13" s="67" t="s">
        <v>241</v>
      </c>
      <c r="C13" s="67" t="s">
        <v>17</v>
      </c>
      <c r="D13" s="67">
        <v>295</v>
      </c>
      <c r="E13" s="82" t="s">
        <v>365</v>
      </c>
      <c r="F13" s="67" t="s">
        <v>19</v>
      </c>
      <c r="G13" s="75">
        <v>15</v>
      </c>
      <c r="H13" s="83">
        <v>5500</v>
      </c>
      <c r="I13" s="81">
        <f t="shared" si="0"/>
        <v>82500</v>
      </c>
      <c r="J13" s="82" t="s">
        <v>78</v>
      </c>
      <c r="L13" s="69"/>
      <c r="M13" s="61"/>
      <c r="N13" s="61"/>
      <c r="O13" s="61"/>
      <c r="P13" s="61"/>
      <c r="Q13" s="61">
        <f t="shared" ref="Q13:Q81" si="2">+I13</f>
        <v>82500</v>
      </c>
      <c r="R13" s="61"/>
      <c r="S13" s="62"/>
    </row>
    <row r="14" spans="1:19" s="26" customFormat="1" ht="12.75" x14ac:dyDescent="0.2">
      <c r="A14" s="66">
        <v>5</v>
      </c>
      <c r="B14" s="66" t="s">
        <v>389</v>
      </c>
      <c r="C14" s="66" t="s">
        <v>17</v>
      </c>
      <c r="D14" s="66">
        <v>252</v>
      </c>
      <c r="E14" s="79" t="s">
        <v>20</v>
      </c>
      <c r="F14" s="66" t="s">
        <v>19</v>
      </c>
      <c r="G14" s="75">
        <v>200</v>
      </c>
      <c r="H14" s="80">
        <v>1500</v>
      </c>
      <c r="I14" s="81">
        <f t="shared" si="0"/>
        <v>300000</v>
      </c>
      <c r="J14" s="84" t="s">
        <v>415</v>
      </c>
      <c r="K14" s="26" t="s">
        <v>429</v>
      </c>
      <c r="L14" s="69"/>
      <c r="M14" s="61"/>
      <c r="N14" s="61"/>
      <c r="O14" s="61"/>
      <c r="P14" s="61"/>
      <c r="Q14" s="61">
        <f t="shared" si="2"/>
        <v>300000</v>
      </c>
      <c r="R14" s="61"/>
      <c r="S14" s="62"/>
    </row>
    <row r="15" spans="1:19" s="26" customFormat="1" ht="25.5" x14ac:dyDescent="0.2">
      <c r="A15" s="66">
        <v>6</v>
      </c>
      <c r="B15" s="66" t="s">
        <v>128</v>
      </c>
      <c r="C15" s="66" t="s">
        <v>17</v>
      </c>
      <c r="D15" s="66">
        <v>295</v>
      </c>
      <c r="E15" s="79" t="s">
        <v>266</v>
      </c>
      <c r="F15" s="66" t="s">
        <v>18</v>
      </c>
      <c r="G15" s="75">
        <v>200</v>
      </c>
      <c r="H15" s="80">
        <v>900</v>
      </c>
      <c r="I15" s="81">
        <f t="shared" si="0"/>
        <v>180000</v>
      </c>
      <c r="J15" s="79" t="s">
        <v>21</v>
      </c>
      <c r="L15" s="69"/>
      <c r="M15" s="61"/>
      <c r="N15" s="61"/>
      <c r="O15" s="61"/>
      <c r="P15" s="61"/>
      <c r="Q15" s="61">
        <f t="shared" si="2"/>
        <v>180000</v>
      </c>
      <c r="R15" s="61"/>
      <c r="S15" s="62"/>
    </row>
    <row r="16" spans="1:19" s="26" customFormat="1" ht="12.75" x14ac:dyDescent="0.2">
      <c r="A16" s="66">
        <v>7</v>
      </c>
      <c r="B16" s="66" t="s">
        <v>132</v>
      </c>
      <c r="C16" s="66" t="s">
        <v>17</v>
      </c>
      <c r="D16" s="66">
        <v>295</v>
      </c>
      <c r="E16" s="79" t="s">
        <v>267</v>
      </c>
      <c r="F16" s="66" t="s">
        <v>18</v>
      </c>
      <c r="G16" s="75">
        <v>40</v>
      </c>
      <c r="H16" s="80">
        <v>900</v>
      </c>
      <c r="I16" s="81">
        <f t="shared" si="0"/>
        <v>36000</v>
      </c>
      <c r="J16" s="79" t="s">
        <v>22</v>
      </c>
      <c r="L16" s="69"/>
      <c r="M16" s="61"/>
      <c r="N16" s="61">
        <f t="shared" si="1"/>
        <v>36000</v>
      </c>
      <c r="O16" s="61"/>
      <c r="P16" s="61"/>
      <c r="Q16" s="61"/>
      <c r="R16" s="61"/>
      <c r="S16" s="62"/>
    </row>
    <row r="17" spans="1:19" s="26" customFormat="1" ht="25.5" x14ac:dyDescent="0.2">
      <c r="A17" s="66">
        <v>8</v>
      </c>
      <c r="B17" s="66" t="s">
        <v>131</v>
      </c>
      <c r="C17" s="66" t="s">
        <v>17</v>
      </c>
      <c r="D17" s="66">
        <v>295</v>
      </c>
      <c r="E17" s="79" t="s">
        <v>268</v>
      </c>
      <c r="F17" s="66" t="s">
        <v>18</v>
      </c>
      <c r="G17" s="75">
        <v>40</v>
      </c>
      <c r="H17" s="80">
        <v>900</v>
      </c>
      <c r="I17" s="81">
        <f t="shared" si="0"/>
        <v>36000</v>
      </c>
      <c r="J17" s="79" t="s">
        <v>23</v>
      </c>
      <c r="L17" s="69"/>
      <c r="M17" s="61"/>
      <c r="N17" s="61">
        <f t="shared" si="1"/>
        <v>36000</v>
      </c>
      <c r="O17" s="61"/>
      <c r="P17" s="61"/>
      <c r="Q17" s="61"/>
      <c r="R17" s="61"/>
      <c r="S17" s="62"/>
    </row>
    <row r="18" spans="1:19" s="26" customFormat="1" ht="12.75" x14ac:dyDescent="0.2">
      <c r="A18" s="66">
        <v>9</v>
      </c>
      <c r="B18" s="67" t="s">
        <v>247</v>
      </c>
      <c r="C18" s="67" t="s">
        <v>17</v>
      </c>
      <c r="D18" s="67">
        <v>295</v>
      </c>
      <c r="E18" s="82" t="s">
        <v>370</v>
      </c>
      <c r="F18" s="67" t="s">
        <v>31</v>
      </c>
      <c r="G18" s="75">
        <v>50</v>
      </c>
      <c r="H18" s="83">
        <v>700</v>
      </c>
      <c r="I18" s="81">
        <f t="shared" si="0"/>
        <v>35000</v>
      </c>
      <c r="J18" s="82" t="s">
        <v>80</v>
      </c>
      <c r="L18" s="69"/>
      <c r="M18" s="61"/>
      <c r="N18" s="61">
        <f t="shared" si="1"/>
        <v>35000</v>
      </c>
      <c r="O18" s="61"/>
      <c r="P18" s="61"/>
      <c r="Q18" s="61"/>
      <c r="R18" s="61"/>
      <c r="S18" s="62"/>
    </row>
    <row r="19" spans="1:19" s="26" customFormat="1" ht="27" customHeight="1" x14ac:dyDescent="0.2">
      <c r="A19" s="66">
        <v>10</v>
      </c>
      <c r="B19" s="66" t="s">
        <v>135</v>
      </c>
      <c r="C19" s="66" t="s">
        <v>17</v>
      </c>
      <c r="D19" s="66">
        <v>252</v>
      </c>
      <c r="E19" s="79" t="s">
        <v>271</v>
      </c>
      <c r="F19" s="66" t="s">
        <v>19</v>
      </c>
      <c r="G19" s="75">
        <v>50</v>
      </c>
      <c r="H19" s="80">
        <v>1800</v>
      </c>
      <c r="I19" s="81">
        <f t="shared" si="0"/>
        <v>90000</v>
      </c>
      <c r="J19" s="79" t="s">
        <v>393</v>
      </c>
      <c r="L19" s="69"/>
      <c r="M19" s="61"/>
      <c r="N19" s="61">
        <f t="shared" si="1"/>
        <v>90000</v>
      </c>
      <c r="O19" s="61"/>
      <c r="P19" s="61"/>
      <c r="Q19" s="61"/>
      <c r="R19" s="61"/>
      <c r="S19" s="62"/>
    </row>
    <row r="20" spans="1:19" s="26" customFormat="1" ht="25.5" x14ac:dyDescent="0.2">
      <c r="A20" s="66">
        <v>11</v>
      </c>
      <c r="B20" s="66" t="s">
        <v>134</v>
      </c>
      <c r="C20" s="66" t="s">
        <v>17</v>
      </c>
      <c r="D20" s="66">
        <v>252</v>
      </c>
      <c r="E20" s="79" t="s">
        <v>270</v>
      </c>
      <c r="F20" s="66" t="s">
        <v>18</v>
      </c>
      <c r="G20" s="75">
        <v>1440</v>
      </c>
      <c r="H20" s="80">
        <v>4500</v>
      </c>
      <c r="I20" s="81">
        <f t="shared" si="0"/>
        <v>6480000</v>
      </c>
      <c r="J20" s="84" t="s">
        <v>392</v>
      </c>
      <c r="K20" s="26" t="s">
        <v>429</v>
      </c>
      <c r="L20" s="69"/>
      <c r="M20" s="61"/>
      <c r="N20" s="61"/>
      <c r="O20" s="61"/>
      <c r="P20" s="61"/>
      <c r="Q20" s="61"/>
      <c r="R20" s="61"/>
      <c r="S20" s="62"/>
    </row>
    <row r="21" spans="1:19" s="26" customFormat="1" ht="25.5" x14ac:dyDescent="0.2">
      <c r="A21" s="66">
        <v>12</v>
      </c>
      <c r="B21" s="66" t="s">
        <v>136</v>
      </c>
      <c r="C21" s="66" t="s">
        <v>17</v>
      </c>
      <c r="D21" s="66">
        <v>252</v>
      </c>
      <c r="E21" s="84" t="s">
        <v>137</v>
      </c>
      <c r="F21" s="66" t="s">
        <v>19</v>
      </c>
      <c r="G21" s="75">
        <v>20</v>
      </c>
      <c r="H21" s="80">
        <v>400</v>
      </c>
      <c r="I21" s="81">
        <f t="shared" si="0"/>
        <v>8000</v>
      </c>
      <c r="J21" s="79" t="s">
        <v>137</v>
      </c>
      <c r="K21" s="71" t="s">
        <v>427</v>
      </c>
      <c r="L21" s="72"/>
      <c r="M21" s="61"/>
      <c r="N21" s="61"/>
      <c r="O21" s="61"/>
      <c r="P21" s="61"/>
      <c r="Q21" s="61">
        <f t="shared" si="2"/>
        <v>8000</v>
      </c>
      <c r="R21" s="61"/>
      <c r="S21" s="62"/>
    </row>
    <row r="22" spans="1:19" s="26" customFormat="1" ht="25.5" x14ac:dyDescent="0.2">
      <c r="A22" s="66">
        <v>13</v>
      </c>
      <c r="B22" s="67" t="s">
        <v>156</v>
      </c>
      <c r="C22" s="67" t="s">
        <v>17</v>
      </c>
      <c r="D22" s="67">
        <v>252</v>
      </c>
      <c r="E22" s="82" t="s">
        <v>296</v>
      </c>
      <c r="F22" s="67" t="s">
        <v>19</v>
      </c>
      <c r="G22" s="75">
        <v>60</v>
      </c>
      <c r="H22" s="83">
        <v>700</v>
      </c>
      <c r="I22" s="81">
        <f t="shared" si="0"/>
        <v>42000</v>
      </c>
      <c r="J22" s="84" t="s">
        <v>157</v>
      </c>
      <c r="K22" s="26" t="s">
        <v>429</v>
      </c>
      <c r="L22" s="69"/>
      <c r="M22" s="61"/>
      <c r="N22" s="61"/>
      <c r="O22" s="61"/>
      <c r="P22" s="61"/>
      <c r="Q22" s="61">
        <f t="shared" si="2"/>
        <v>42000</v>
      </c>
      <c r="R22" s="61"/>
      <c r="S22" s="62"/>
    </row>
    <row r="23" spans="1:19" s="26" customFormat="1" ht="25.5" x14ac:dyDescent="0.2">
      <c r="A23" s="66">
        <v>14</v>
      </c>
      <c r="B23" s="67" t="s">
        <v>167</v>
      </c>
      <c r="C23" s="67" t="s">
        <v>17</v>
      </c>
      <c r="D23" s="67">
        <v>252</v>
      </c>
      <c r="E23" s="82" t="s">
        <v>321</v>
      </c>
      <c r="F23" s="67" t="s">
        <v>19</v>
      </c>
      <c r="G23" s="75">
        <v>50</v>
      </c>
      <c r="H23" s="83">
        <v>500</v>
      </c>
      <c r="I23" s="81">
        <f t="shared" si="0"/>
        <v>25000</v>
      </c>
      <c r="J23" s="84" t="s">
        <v>119</v>
      </c>
      <c r="K23" s="26" t="s">
        <v>429</v>
      </c>
      <c r="L23" s="69"/>
      <c r="M23" s="61"/>
      <c r="N23" s="61">
        <f t="shared" si="1"/>
        <v>25000</v>
      </c>
      <c r="O23" s="61"/>
      <c r="P23" s="61"/>
      <c r="Q23" s="61"/>
      <c r="R23" s="61"/>
      <c r="S23" s="62"/>
    </row>
    <row r="24" spans="1:19" s="26" customFormat="1" ht="12.75" x14ac:dyDescent="0.2">
      <c r="A24" s="66">
        <v>15</v>
      </c>
      <c r="B24" s="66" t="s">
        <v>138</v>
      </c>
      <c r="C24" s="85" t="s">
        <v>17</v>
      </c>
      <c r="D24" s="66">
        <v>222</v>
      </c>
      <c r="E24" s="79" t="s">
        <v>272</v>
      </c>
      <c r="F24" s="66" t="s">
        <v>18</v>
      </c>
      <c r="G24" s="75">
        <v>200</v>
      </c>
      <c r="H24" s="80">
        <v>700</v>
      </c>
      <c r="I24" s="81">
        <f t="shared" si="0"/>
        <v>140000</v>
      </c>
      <c r="J24" s="79" t="s">
        <v>385</v>
      </c>
      <c r="K24" s="26" t="s">
        <v>428</v>
      </c>
      <c r="L24" s="69"/>
      <c r="M24" s="61"/>
      <c r="N24" s="61">
        <f t="shared" si="1"/>
        <v>140000</v>
      </c>
      <c r="O24" s="61"/>
      <c r="P24" s="61"/>
      <c r="Q24" s="61"/>
      <c r="R24" s="61"/>
      <c r="S24" s="62"/>
    </row>
    <row r="25" spans="1:19" s="26" customFormat="1" ht="12.75" x14ac:dyDescent="0.2">
      <c r="A25" s="66">
        <v>16</v>
      </c>
      <c r="B25" s="66" t="s">
        <v>140</v>
      </c>
      <c r="C25" s="66" t="s">
        <v>17</v>
      </c>
      <c r="D25" s="66">
        <v>295</v>
      </c>
      <c r="E25" s="79" t="s">
        <v>274</v>
      </c>
      <c r="F25" s="66" t="s">
        <v>19</v>
      </c>
      <c r="G25" s="75">
        <v>50</v>
      </c>
      <c r="H25" s="80">
        <v>230</v>
      </c>
      <c r="I25" s="81">
        <f t="shared" si="0"/>
        <v>11500</v>
      </c>
      <c r="J25" s="84" t="s">
        <v>27</v>
      </c>
      <c r="K25" s="26" t="s">
        <v>429</v>
      </c>
      <c r="L25" s="69"/>
      <c r="M25" s="61"/>
      <c r="N25" s="61"/>
      <c r="O25" s="61"/>
      <c r="P25" s="61"/>
      <c r="Q25" s="61">
        <f t="shared" si="2"/>
        <v>11500</v>
      </c>
      <c r="R25" s="61"/>
      <c r="S25" s="62"/>
    </row>
    <row r="26" spans="1:19" s="26" customFormat="1" ht="12.75" x14ac:dyDescent="0.2">
      <c r="A26" s="66">
        <v>17</v>
      </c>
      <c r="B26" s="66" t="s">
        <v>141</v>
      </c>
      <c r="C26" s="66" t="s">
        <v>17</v>
      </c>
      <c r="D26" s="66">
        <v>252</v>
      </c>
      <c r="E26" s="79" t="s">
        <v>275</v>
      </c>
      <c r="F26" s="66" t="s">
        <v>19</v>
      </c>
      <c r="G26" s="75">
        <v>100</v>
      </c>
      <c r="H26" s="80">
        <v>1000</v>
      </c>
      <c r="I26" s="81">
        <f t="shared" si="0"/>
        <v>100000</v>
      </c>
      <c r="J26" s="79" t="s">
        <v>28</v>
      </c>
      <c r="L26" s="69"/>
      <c r="M26" s="61">
        <f t="shared" ref="M26:M28" si="3">+I26</f>
        <v>100000</v>
      </c>
      <c r="N26" s="61"/>
      <c r="O26" s="61"/>
      <c r="P26" s="61"/>
      <c r="Q26" s="61"/>
      <c r="R26" s="61"/>
      <c r="S26" s="62"/>
    </row>
    <row r="27" spans="1:19" s="26" customFormat="1" ht="25.5" x14ac:dyDescent="0.2">
      <c r="A27" s="66">
        <v>18</v>
      </c>
      <c r="B27" s="67" t="s">
        <v>214</v>
      </c>
      <c r="C27" s="67" t="s">
        <v>17</v>
      </c>
      <c r="D27" s="67">
        <v>252</v>
      </c>
      <c r="E27" s="82" t="s">
        <v>345</v>
      </c>
      <c r="F27" s="67" t="s">
        <v>18</v>
      </c>
      <c r="G27" s="75">
        <v>20</v>
      </c>
      <c r="H27" s="83">
        <v>500</v>
      </c>
      <c r="I27" s="81">
        <f t="shared" si="0"/>
        <v>10000</v>
      </c>
      <c r="J27" s="82" t="s">
        <v>406</v>
      </c>
      <c r="L27" s="69"/>
      <c r="M27" s="61"/>
      <c r="N27" s="61"/>
      <c r="O27" s="61"/>
      <c r="P27" s="61"/>
      <c r="Q27" s="61"/>
      <c r="R27" s="61"/>
      <c r="S27" s="62"/>
    </row>
    <row r="28" spans="1:19" s="26" customFormat="1" ht="12.75" x14ac:dyDescent="0.2">
      <c r="A28" s="66">
        <v>19</v>
      </c>
      <c r="B28" s="66" t="s">
        <v>395</v>
      </c>
      <c r="C28" s="66" t="s">
        <v>17</v>
      </c>
      <c r="D28" s="66">
        <v>252</v>
      </c>
      <c r="E28" s="79" t="s">
        <v>394</v>
      </c>
      <c r="F28" s="66" t="s">
        <v>19</v>
      </c>
      <c r="G28" s="75">
        <v>50</v>
      </c>
      <c r="H28" s="80">
        <v>500</v>
      </c>
      <c r="I28" s="81">
        <f t="shared" si="0"/>
        <v>25000</v>
      </c>
      <c r="J28" s="79" t="s">
        <v>396</v>
      </c>
      <c r="L28" s="69"/>
      <c r="M28" s="61">
        <f t="shared" si="3"/>
        <v>25000</v>
      </c>
      <c r="N28" s="61"/>
      <c r="O28" s="61"/>
      <c r="P28" s="61"/>
      <c r="Q28" s="61"/>
      <c r="R28" s="61"/>
      <c r="S28" s="62"/>
    </row>
    <row r="29" spans="1:19" s="26" customFormat="1" ht="12.75" x14ac:dyDescent="0.2">
      <c r="A29" s="66">
        <v>20</v>
      </c>
      <c r="B29" s="66" t="s">
        <v>419</v>
      </c>
      <c r="C29" s="85" t="s">
        <v>17</v>
      </c>
      <c r="D29" s="66">
        <v>259</v>
      </c>
      <c r="E29" s="79" t="s">
        <v>420</v>
      </c>
      <c r="F29" s="66" t="s">
        <v>19</v>
      </c>
      <c r="G29" s="75">
        <v>100</v>
      </c>
      <c r="H29" s="80">
        <v>200</v>
      </c>
      <c r="I29" s="81">
        <v>20000</v>
      </c>
      <c r="J29" s="79" t="s">
        <v>29</v>
      </c>
      <c r="K29" s="26" t="s">
        <v>430</v>
      </c>
      <c r="L29" s="69"/>
      <c r="M29" s="61"/>
      <c r="N29" s="61"/>
      <c r="O29" s="61"/>
      <c r="P29" s="61"/>
      <c r="Q29" s="61"/>
      <c r="R29" s="61"/>
      <c r="S29" s="62"/>
    </row>
    <row r="30" spans="1:19" s="26" customFormat="1" x14ac:dyDescent="0.25">
      <c r="A30" s="66">
        <v>21</v>
      </c>
      <c r="B30" s="66" t="s">
        <v>421</v>
      </c>
      <c r="C30" s="85" t="s">
        <v>17</v>
      </c>
      <c r="D30" s="66">
        <v>259</v>
      </c>
      <c r="E30" s="79" t="s">
        <v>422</v>
      </c>
      <c r="F30" s="66" t="s">
        <v>19</v>
      </c>
      <c r="G30" s="75">
        <v>50</v>
      </c>
      <c r="H30" s="80">
        <v>1000</v>
      </c>
      <c r="I30" s="81">
        <v>50000</v>
      </c>
      <c r="J30" s="79" t="s">
        <v>75</v>
      </c>
      <c r="K30" s="26" t="s">
        <v>430</v>
      </c>
      <c r="L30" s="69"/>
      <c r="M30"/>
      <c r="N30" s="61"/>
      <c r="O30" s="61"/>
      <c r="P30" s="61"/>
      <c r="Q30" s="61">
        <f t="shared" si="2"/>
        <v>50000</v>
      </c>
      <c r="R30" s="61"/>
      <c r="S30" s="62"/>
    </row>
    <row r="31" spans="1:19" s="26" customFormat="1" ht="25.5" hidden="1" x14ac:dyDescent="0.2">
      <c r="A31" s="14">
        <v>22</v>
      </c>
      <c r="B31" s="24" t="s">
        <v>262</v>
      </c>
      <c r="C31" s="24" t="s">
        <v>17</v>
      </c>
      <c r="D31" s="24">
        <v>251</v>
      </c>
      <c r="E31" s="23" t="s">
        <v>384</v>
      </c>
      <c r="F31" s="24" t="s">
        <v>19</v>
      </c>
      <c r="G31" s="13">
        <v>500</v>
      </c>
      <c r="H31" s="25">
        <v>800</v>
      </c>
      <c r="I31" s="63">
        <f t="shared" ref="I31:I36" si="4">+G31*H31</f>
        <v>400000</v>
      </c>
      <c r="J31" s="23" t="s">
        <v>127</v>
      </c>
      <c r="L31" s="69"/>
      <c r="M31" s="61"/>
      <c r="N31" s="61"/>
      <c r="O31" s="61"/>
      <c r="P31" s="61"/>
      <c r="Q31" s="61">
        <f t="shared" si="2"/>
        <v>400000</v>
      </c>
      <c r="R31" s="61"/>
      <c r="S31" s="62"/>
    </row>
    <row r="32" spans="1:19" s="26" customFormat="1" ht="12.75" hidden="1" x14ac:dyDescent="0.2">
      <c r="A32" s="14">
        <v>23</v>
      </c>
      <c r="B32" s="24" t="s">
        <v>205</v>
      </c>
      <c r="C32" s="24" t="s">
        <v>17</v>
      </c>
      <c r="D32" s="24">
        <v>259</v>
      </c>
      <c r="E32" s="23" t="s">
        <v>336</v>
      </c>
      <c r="F32" s="24" t="s">
        <v>19</v>
      </c>
      <c r="G32" s="13">
        <v>250</v>
      </c>
      <c r="H32" s="25">
        <v>600</v>
      </c>
      <c r="I32" s="63">
        <f t="shared" si="4"/>
        <v>150000</v>
      </c>
      <c r="J32" s="23" t="s">
        <v>403</v>
      </c>
      <c r="L32" s="69"/>
      <c r="M32" s="61"/>
      <c r="N32" s="61"/>
      <c r="O32" s="61"/>
      <c r="P32" s="61"/>
      <c r="Q32" s="61">
        <f t="shared" si="2"/>
        <v>150000</v>
      </c>
      <c r="R32" s="61"/>
      <c r="S32" s="62"/>
    </row>
    <row r="33" spans="1:19" s="26" customFormat="1" ht="12.75" hidden="1" x14ac:dyDescent="0.2">
      <c r="A33" s="14">
        <v>24</v>
      </c>
      <c r="B33" s="24" t="s">
        <v>160</v>
      </c>
      <c r="C33" s="24" t="s">
        <v>17</v>
      </c>
      <c r="D33" s="24">
        <v>295</v>
      </c>
      <c r="E33" s="23" t="s">
        <v>311</v>
      </c>
      <c r="F33" s="24" t="s">
        <v>19</v>
      </c>
      <c r="G33" s="13">
        <v>100</v>
      </c>
      <c r="H33" s="25">
        <v>500</v>
      </c>
      <c r="I33" s="63">
        <f t="shared" si="4"/>
        <v>50000</v>
      </c>
      <c r="J33" s="23" t="s">
        <v>35</v>
      </c>
      <c r="L33" s="69"/>
      <c r="M33" s="61"/>
      <c r="N33" s="61"/>
      <c r="O33" s="61"/>
      <c r="P33" s="61"/>
      <c r="Q33" s="61">
        <f t="shared" si="2"/>
        <v>50000</v>
      </c>
      <c r="R33" s="61"/>
      <c r="S33" s="62"/>
    </row>
    <row r="34" spans="1:19" s="26" customFormat="1" ht="12.75" hidden="1" x14ac:dyDescent="0.2">
      <c r="A34" s="14">
        <v>25</v>
      </c>
      <c r="B34" s="24" t="s">
        <v>161</v>
      </c>
      <c r="C34" s="24" t="s">
        <v>17</v>
      </c>
      <c r="D34" s="24">
        <v>295</v>
      </c>
      <c r="E34" s="23" t="s">
        <v>312</v>
      </c>
      <c r="F34" s="24" t="s">
        <v>19</v>
      </c>
      <c r="G34" s="13">
        <v>100</v>
      </c>
      <c r="H34" s="25">
        <v>500</v>
      </c>
      <c r="I34" s="63">
        <f t="shared" si="4"/>
        <v>50000</v>
      </c>
      <c r="J34" s="23" t="s">
        <v>36</v>
      </c>
      <c r="L34" s="69"/>
      <c r="M34" s="61"/>
      <c r="N34" s="61"/>
      <c r="O34" s="61"/>
      <c r="P34" s="61"/>
      <c r="Q34" s="61">
        <f t="shared" si="2"/>
        <v>50000</v>
      </c>
      <c r="R34" s="61"/>
      <c r="S34" s="62"/>
    </row>
    <row r="35" spans="1:19" s="26" customFormat="1" ht="12.75" hidden="1" x14ac:dyDescent="0.2">
      <c r="A35" s="14">
        <v>26</v>
      </c>
      <c r="B35" s="24" t="s">
        <v>162</v>
      </c>
      <c r="C35" s="24" t="s">
        <v>17</v>
      </c>
      <c r="D35" s="24">
        <v>295</v>
      </c>
      <c r="E35" s="23" t="s">
        <v>313</v>
      </c>
      <c r="F35" s="24" t="s">
        <v>19</v>
      </c>
      <c r="G35" s="13">
        <v>100</v>
      </c>
      <c r="H35" s="25">
        <v>500</v>
      </c>
      <c r="I35" s="63">
        <f t="shared" si="4"/>
        <v>50000</v>
      </c>
      <c r="J35" s="23" t="s">
        <v>37</v>
      </c>
      <c r="L35" s="69"/>
      <c r="M35" s="61"/>
      <c r="N35" s="61"/>
      <c r="O35" s="61"/>
      <c r="P35" s="61"/>
      <c r="Q35" s="61">
        <f t="shared" si="2"/>
        <v>50000</v>
      </c>
      <c r="R35" s="61"/>
      <c r="S35" s="62"/>
    </row>
    <row r="36" spans="1:19" s="26" customFormat="1" ht="12.75" hidden="1" x14ac:dyDescent="0.2">
      <c r="A36" s="14">
        <v>27</v>
      </c>
      <c r="B36" s="24" t="s">
        <v>203</v>
      </c>
      <c r="C36" s="24" t="s">
        <v>17</v>
      </c>
      <c r="D36" s="24">
        <v>295</v>
      </c>
      <c r="E36" s="23" t="s">
        <v>309</v>
      </c>
      <c r="F36" s="24" t="s">
        <v>19</v>
      </c>
      <c r="G36" s="13">
        <v>160</v>
      </c>
      <c r="H36" s="25">
        <v>200</v>
      </c>
      <c r="I36" s="63">
        <f t="shared" si="4"/>
        <v>32000</v>
      </c>
      <c r="J36" s="23" t="s">
        <v>202</v>
      </c>
      <c r="L36" s="69"/>
      <c r="M36" s="61"/>
      <c r="N36" s="61"/>
      <c r="O36" s="61"/>
      <c r="P36" s="61"/>
      <c r="Q36" s="61">
        <f t="shared" si="2"/>
        <v>32000</v>
      </c>
      <c r="R36" s="61"/>
      <c r="S36" s="62"/>
    </row>
    <row r="37" spans="1:19" s="26" customFormat="1" ht="12.75" hidden="1" x14ac:dyDescent="0.2">
      <c r="A37" s="14">
        <v>28</v>
      </c>
      <c r="B37" s="24" t="s">
        <v>204</v>
      </c>
      <c r="C37" s="24" t="s">
        <v>17</v>
      </c>
      <c r="D37" s="24">
        <v>295</v>
      </c>
      <c r="E37" s="23" t="s">
        <v>310</v>
      </c>
      <c r="F37" s="24" t="s">
        <v>19</v>
      </c>
      <c r="G37" s="13">
        <v>160</v>
      </c>
      <c r="H37" s="25">
        <v>200</v>
      </c>
      <c r="I37" s="63">
        <f>+H37*G37</f>
        <v>32000</v>
      </c>
      <c r="J37" s="23" t="s">
        <v>201</v>
      </c>
      <c r="L37" s="69"/>
      <c r="M37" s="61"/>
      <c r="N37" s="61"/>
      <c r="O37" s="61"/>
      <c r="P37" s="61"/>
      <c r="Q37" s="61">
        <f t="shared" si="2"/>
        <v>32000</v>
      </c>
      <c r="R37" s="61"/>
      <c r="S37" s="62"/>
    </row>
    <row r="38" spans="1:19" s="26" customFormat="1" ht="12.75" hidden="1" x14ac:dyDescent="0.2">
      <c r="A38" s="14">
        <v>29</v>
      </c>
      <c r="B38" s="24" t="s">
        <v>170</v>
      </c>
      <c r="C38" s="24" t="s">
        <v>17</v>
      </c>
      <c r="D38" s="24">
        <v>295</v>
      </c>
      <c r="E38" s="23" t="s">
        <v>299</v>
      </c>
      <c r="F38" s="24" t="s">
        <v>19</v>
      </c>
      <c r="G38" s="13">
        <v>100</v>
      </c>
      <c r="H38" s="25">
        <v>200</v>
      </c>
      <c r="I38" s="63">
        <f t="shared" ref="I38:I66" si="5">+G38*H38</f>
        <v>20000</v>
      </c>
      <c r="J38" s="23" t="s">
        <v>168</v>
      </c>
      <c r="L38" s="69"/>
      <c r="M38" s="61"/>
      <c r="N38" s="61"/>
      <c r="O38" s="61"/>
      <c r="P38" s="61"/>
      <c r="Q38" s="61">
        <f t="shared" si="2"/>
        <v>20000</v>
      </c>
      <c r="R38" s="61"/>
      <c r="S38" s="62"/>
    </row>
    <row r="39" spans="1:19" s="26" customFormat="1" ht="25.5" hidden="1" x14ac:dyDescent="0.2">
      <c r="A39" s="14">
        <v>30</v>
      </c>
      <c r="B39" s="24" t="s">
        <v>183</v>
      </c>
      <c r="C39" s="24" t="s">
        <v>17</v>
      </c>
      <c r="D39" s="24">
        <v>295</v>
      </c>
      <c r="E39" s="23" t="s">
        <v>307</v>
      </c>
      <c r="F39" s="24" t="s">
        <v>19</v>
      </c>
      <c r="G39" s="13">
        <v>160</v>
      </c>
      <c r="H39" s="25">
        <v>200</v>
      </c>
      <c r="I39" s="63">
        <f t="shared" si="5"/>
        <v>32000</v>
      </c>
      <c r="J39" s="23" t="s">
        <v>181</v>
      </c>
      <c r="L39" s="69"/>
      <c r="M39" s="61"/>
      <c r="N39" s="61"/>
      <c r="O39" s="61"/>
      <c r="P39" s="61"/>
      <c r="Q39" s="61">
        <f t="shared" si="2"/>
        <v>32000</v>
      </c>
      <c r="R39" s="61"/>
      <c r="S39" s="62"/>
    </row>
    <row r="40" spans="1:19" s="26" customFormat="1" ht="12.75" hidden="1" x14ac:dyDescent="0.2">
      <c r="A40" s="14">
        <v>31</v>
      </c>
      <c r="B40" s="24" t="s">
        <v>171</v>
      </c>
      <c r="C40" s="24" t="s">
        <v>17</v>
      </c>
      <c r="D40" s="24">
        <v>295</v>
      </c>
      <c r="E40" s="23" t="s">
        <v>300</v>
      </c>
      <c r="F40" s="24" t="s">
        <v>19</v>
      </c>
      <c r="G40" s="13">
        <v>100</v>
      </c>
      <c r="H40" s="25">
        <v>200</v>
      </c>
      <c r="I40" s="63">
        <f t="shared" si="5"/>
        <v>20000</v>
      </c>
      <c r="J40" s="23" t="s">
        <v>417</v>
      </c>
      <c r="L40" s="69"/>
      <c r="M40" s="61"/>
      <c r="N40" s="61"/>
      <c r="O40" s="61"/>
      <c r="P40" s="61"/>
      <c r="Q40" s="61">
        <f t="shared" si="2"/>
        <v>20000</v>
      </c>
      <c r="R40" s="61"/>
      <c r="S40" s="62"/>
    </row>
    <row r="41" spans="1:19" s="26" customFormat="1" ht="12.75" hidden="1" x14ac:dyDescent="0.2">
      <c r="A41" s="14">
        <v>32</v>
      </c>
      <c r="B41" s="24" t="s">
        <v>172</v>
      </c>
      <c r="C41" s="24" t="s">
        <v>17</v>
      </c>
      <c r="D41" s="24">
        <v>295</v>
      </c>
      <c r="E41" s="23" t="s">
        <v>301</v>
      </c>
      <c r="F41" s="24" t="s">
        <v>19</v>
      </c>
      <c r="G41" s="13">
        <v>120</v>
      </c>
      <c r="H41" s="25">
        <v>200</v>
      </c>
      <c r="I41" s="63">
        <f t="shared" si="5"/>
        <v>24000</v>
      </c>
      <c r="J41" s="23" t="s">
        <v>169</v>
      </c>
      <c r="L41" s="69"/>
      <c r="M41" s="61"/>
      <c r="N41" s="61"/>
      <c r="O41" s="61"/>
      <c r="P41" s="61"/>
      <c r="Q41" s="61">
        <f t="shared" si="2"/>
        <v>24000</v>
      </c>
      <c r="R41" s="61"/>
      <c r="S41" s="62"/>
    </row>
    <row r="42" spans="1:19" s="26" customFormat="1" ht="12.75" hidden="1" x14ac:dyDescent="0.2">
      <c r="A42" s="14">
        <v>33</v>
      </c>
      <c r="B42" s="24" t="s">
        <v>175</v>
      </c>
      <c r="C42" s="24" t="s">
        <v>17</v>
      </c>
      <c r="D42" s="24">
        <v>295</v>
      </c>
      <c r="E42" s="23" t="s">
        <v>302</v>
      </c>
      <c r="F42" s="24" t="s">
        <v>19</v>
      </c>
      <c r="G42" s="13">
        <v>80</v>
      </c>
      <c r="H42" s="25">
        <v>200</v>
      </c>
      <c r="I42" s="63">
        <f t="shared" si="5"/>
        <v>16000</v>
      </c>
      <c r="J42" s="23" t="s">
        <v>96</v>
      </c>
      <c r="L42" s="69"/>
      <c r="M42" s="61"/>
      <c r="N42" s="61"/>
      <c r="O42" s="61"/>
      <c r="P42" s="61"/>
      <c r="Q42" s="61">
        <f t="shared" si="2"/>
        <v>16000</v>
      </c>
      <c r="R42" s="61"/>
      <c r="S42" s="62"/>
    </row>
    <row r="43" spans="1:19" s="26" customFormat="1" ht="12.75" hidden="1" x14ac:dyDescent="0.2">
      <c r="A43" s="14">
        <v>34</v>
      </c>
      <c r="B43" s="24" t="s">
        <v>176</v>
      </c>
      <c r="C43" s="24" t="s">
        <v>17</v>
      </c>
      <c r="D43" s="24">
        <v>295</v>
      </c>
      <c r="E43" s="23" t="s">
        <v>303</v>
      </c>
      <c r="F43" s="24" t="s">
        <v>19</v>
      </c>
      <c r="G43" s="13">
        <v>60</v>
      </c>
      <c r="H43" s="25">
        <v>200</v>
      </c>
      <c r="I43" s="63">
        <f t="shared" si="5"/>
        <v>12000</v>
      </c>
      <c r="J43" s="23" t="s">
        <v>97</v>
      </c>
      <c r="L43" s="69"/>
      <c r="M43" s="61"/>
      <c r="N43" s="61"/>
      <c r="O43" s="61"/>
      <c r="P43" s="61"/>
      <c r="Q43" s="61">
        <f t="shared" si="2"/>
        <v>12000</v>
      </c>
      <c r="R43" s="61"/>
      <c r="S43" s="62"/>
    </row>
    <row r="44" spans="1:19" s="26" customFormat="1" ht="25.5" hidden="1" x14ac:dyDescent="0.2">
      <c r="A44" s="14">
        <v>35</v>
      </c>
      <c r="B44" s="24" t="s">
        <v>180</v>
      </c>
      <c r="C44" s="24" t="s">
        <v>17</v>
      </c>
      <c r="D44" s="24">
        <v>296</v>
      </c>
      <c r="E44" s="23" t="s">
        <v>308</v>
      </c>
      <c r="F44" s="24" t="s">
        <v>19</v>
      </c>
      <c r="G44" s="13">
        <v>160</v>
      </c>
      <c r="H44" s="25">
        <v>200</v>
      </c>
      <c r="I44" s="63">
        <f t="shared" si="5"/>
        <v>32000</v>
      </c>
      <c r="J44" s="23" t="s">
        <v>182</v>
      </c>
      <c r="L44" s="69"/>
      <c r="M44" s="61"/>
      <c r="N44" s="61"/>
      <c r="O44" s="61"/>
      <c r="P44" s="61"/>
      <c r="Q44" s="61">
        <f t="shared" si="2"/>
        <v>32000</v>
      </c>
      <c r="R44" s="61"/>
      <c r="S44" s="62"/>
    </row>
    <row r="45" spans="1:19" s="26" customFormat="1" ht="12.75" hidden="1" x14ac:dyDescent="0.2">
      <c r="A45" s="14">
        <v>36</v>
      </c>
      <c r="B45" s="24" t="s">
        <v>177</v>
      </c>
      <c r="C45" s="24" t="s">
        <v>17</v>
      </c>
      <c r="D45" s="24">
        <v>295</v>
      </c>
      <c r="E45" s="23" t="s">
        <v>304</v>
      </c>
      <c r="F45" s="24" t="s">
        <v>19</v>
      </c>
      <c r="G45" s="13">
        <v>60</v>
      </c>
      <c r="H45" s="25">
        <v>200</v>
      </c>
      <c r="I45" s="63">
        <f t="shared" si="5"/>
        <v>12000</v>
      </c>
      <c r="J45" s="23" t="s">
        <v>98</v>
      </c>
      <c r="L45" s="69"/>
      <c r="M45" s="61"/>
      <c r="N45" s="61"/>
      <c r="O45" s="61"/>
      <c r="P45" s="61"/>
      <c r="Q45" s="61">
        <f t="shared" si="2"/>
        <v>12000</v>
      </c>
      <c r="R45" s="61"/>
      <c r="S45" s="62"/>
    </row>
    <row r="46" spans="1:19" s="26" customFormat="1" ht="12.75" hidden="1" x14ac:dyDescent="0.2">
      <c r="A46" s="14">
        <v>37</v>
      </c>
      <c r="B46" s="24" t="s">
        <v>178</v>
      </c>
      <c r="C46" s="24" t="s">
        <v>17</v>
      </c>
      <c r="D46" s="24">
        <v>295</v>
      </c>
      <c r="E46" s="23" t="s">
        <v>305</v>
      </c>
      <c r="F46" s="24" t="s">
        <v>19</v>
      </c>
      <c r="G46" s="13">
        <v>60</v>
      </c>
      <c r="H46" s="25">
        <v>200</v>
      </c>
      <c r="I46" s="63">
        <f t="shared" si="5"/>
        <v>12000</v>
      </c>
      <c r="J46" s="23" t="s">
        <v>173</v>
      </c>
      <c r="L46" s="69"/>
      <c r="M46" s="61"/>
      <c r="N46" s="61"/>
      <c r="O46" s="61"/>
      <c r="P46" s="61"/>
      <c r="Q46" s="61">
        <f t="shared" si="2"/>
        <v>12000</v>
      </c>
      <c r="R46" s="61"/>
      <c r="S46" s="62"/>
    </row>
    <row r="47" spans="1:19" s="26" customFormat="1" ht="12.75" hidden="1" x14ac:dyDescent="0.2">
      <c r="A47" s="14">
        <v>38</v>
      </c>
      <c r="B47" s="24" t="s">
        <v>179</v>
      </c>
      <c r="C47" s="24" t="s">
        <v>17</v>
      </c>
      <c r="D47" s="24">
        <v>295</v>
      </c>
      <c r="E47" s="23" t="s">
        <v>306</v>
      </c>
      <c r="F47" s="24" t="s">
        <v>19</v>
      </c>
      <c r="G47" s="13">
        <v>60</v>
      </c>
      <c r="H47" s="25">
        <v>200</v>
      </c>
      <c r="I47" s="63">
        <f t="shared" si="5"/>
        <v>12000</v>
      </c>
      <c r="J47" s="23" t="s">
        <v>174</v>
      </c>
      <c r="L47" s="69"/>
      <c r="M47" s="61"/>
      <c r="N47" s="61"/>
      <c r="O47" s="61"/>
      <c r="P47" s="61"/>
      <c r="Q47" s="61">
        <f t="shared" si="2"/>
        <v>12000</v>
      </c>
      <c r="R47" s="61"/>
      <c r="S47" s="62"/>
    </row>
    <row r="48" spans="1:19" s="18" customFormat="1" ht="25.5" hidden="1" x14ac:dyDescent="0.2">
      <c r="A48" s="14">
        <v>39</v>
      </c>
      <c r="B48" s="24" t="s">
        <v>184</v>
      </c>
      <c r="C48" s="24" t="s">
        <v>17</v>
      </c>
      <c r="D48" s="24">
        <v>295</v>
      </c>
      <c r="E48" s="23" t="s">
        <v>314</v>
      </c>
      <c r="F48" s="24" t="s">
        <v>19</v>
      </c>
      <c r="G48" s="13">
        <v>100</v>
      </c>
      <c r="H48" s="25">
        <v>500</v>
      </c>
      <c r="I48" s="63">
        <f t="shared" si="5"/>
        <v>50000</v>
      </c>
      <c r="J48" s="23" t="s">
        <v>118</v>
      </c>
      <c r="L48" s="69"/>
      <c r="M48" s="61"/>
      <c r="N48" s="61"/>
      <c r="O48" s="61"/>
      <c r="P48" s="61"/>
      <c r="Q48" s="61">
        <f t="shared" si="2"/>
        <v>50000</v>
      </c>
      <c r="R48" s="61"/>
      <c r="S48" s="62"/>
    </row>
    <row r="49" spans="1:19" s="18" customFormat="1" ht="25.5" hidden="1" x14ac:dyDescent="0.2">
      <c r="A49" s="14">
        <v>40</v>
      </c>
      <c r="B49" s="24" t="s">
        <v>221</v>
      </c>
      <c r="C49" s="24" t="s">
        <v>17</v>
      </c>
      <c r="D49" s="24">
        <v>295</v>
      </c>
      <c r="E49" s="23" t="s">
        <v>349</v>
      </c>
      <c r="F49" s="24" t="s">
        <v>19</v>
      </c>
      <c r="G49" s="13">
        <v>50</v>
      </c>
      <c r="H49" s="25">
        <v>300</v>
      </c>
      <c r="I49" s="63">
        <f t="shared" si="5"/>
        <v>15000</v>
      </c>
      <c r="J49" s="23" t="s">
        <v>219</v>
      </c>
      <c r="L49" s="69"/>
      <c r="M49" s="61"/>
      <c r="N49" s="61"/>
      <c r="O49" s="61"/>
      <c r="P49" s="61"/>
      <c r="Q49" s="61">
        <f t="shared" si="2"/>
        <v>15000</v>
      </c>
      <c r="R49" s="61"/>
      <c r="S49" s="62"/>
    </row>
    <row r="50" spans="1:19" s="18" customFormat="1" ht="25.5" hidden="1" x14ac:dyDescent="0.2">
      <c r="A50" s="14">
        <v>41</v>
      </c>
      <c r="B50" s="24" t="s">
        <v>222</v>
      </c>
      <c r="C50" s="24" t="s">
        <v>17</v>
      </c>
      <c r="D50" s="24">
        <v>296</v>
      </c>
      <c r="E50" s="23" t="s">
        <v>350</v>
      </c>
      <c r="F50" s="24" t="s">
        <v>19</v>
      </c>
      <c r="G50" s="13">
        <v>50</v>
      </c>
      <c r="H50" s="25">
        <v>300</v>
      </c>
      <c r="I50" s="63">
        <f t="shared" si="5"/>
        <v>15000</v>
      </c>
      <c r="J50" s="23" t="s">
        <v>220</v>
      </c>
      <c r="L50" s="69"/>
      <c r="M50" s="61"/>
      <c r="N50" s="61"/>
      <c r="O50" s="61"/>
      <c r="P50" s="61"/>
      <c r="Q50" s="61">
        <f t="shared" si="2"/>
        <v>15000</v>
      </c>
      <c r="R50" s="61"/>
      <c r="S50" s="62"/>
    </row>
    <row r="51" spans="1:19" s="18" customFormat="1" ht="12.75" hidden="1" x14ac:dyDescent="0.2">
      <c r="A51" s="14">
        <v>42</v>
      </c>
      <c r="B51" s="24" t="s">
        <v>228</v>
      </c>
      <c r="C51" s="24" t="s">
        <v>17</v>
      </c>
      <c r="D51" s="24">
        <v>295</v>
      </c>
      <c r="E51" s="23" t="s">
        <v>351</v>
      </c>
      <c r="F51" s="24" t="s">
        <v>19</v>
      </c>
      <c r="G51" s="13">
        <v>20</v>
      </c>
      <c r="H51" s="25">
        <v>300</v>
      </c>
      <c r="I51" s="63">
        <f t="shared" si="5"/>
        <v>6000</v>
      </c>
      <c r="J51" s="23" t="s">
        <v>223</v>
      </c>
      <c r="L51" s="69"/>
      <c r="M51" s="61"/>
      <c r="N51" s="61">
        <f t="shared" ref="N51:N104" si="6">+I51</f>
        <v>6000</v>
      </c>
      <c r="O51" s="61"/>
      <c r="P51" s="61"/>
      <c r="Q51" s="61"/>
      <c r="R51" s="61"/>
      <c r="S51" s="62"/>
    </row>
    <row r="52" spans="1:19" s="18" customFormat="1" ht="12.75" hidden="1" x14ac:dyDescent="0.2">
      <c r="A52" s="14">
        <v>43</v>
      </c>
      <c r="B52" s="24" t="s">
        <v>229</v>
      </c>
      <c r="C52" s="24" t="s">
        <v>17</v>
      </c>
      <c r="D52" s="24">
        <v>296</v>
      </c>
      <c r="E52" s="23" t="s">
        <v>352</v>
      </c>
      <c r="F52" s="24" t="s">
        <v>19</v>
      </c>
      <c r="G52" s="13">
        <v>20</v>
      </c>
      <c r="H52" s="25">
        <v>300</v>
      </c>
      <c r="I52" s="63">
        <f t="shared" si="5"/>
        <v>6000</v>
      </c>
      <c r="J52" s="23" t="s">
        <v>224</v>
      </c>
      <c r="L52" s="69"/>
      <c r="M52" s="61"/>
      <c r="N52" s="61"/>
      <c r="O52" s="61"/>
      <c r="P52" s="61"/>
      <c r="Q52" s="61">
        <f t="shared" si="2"/>
        <v>6000</v>
      </c>
      <c r="R52" s="61"/>
      <c r="S52" s="62"/>
    </row>
    <row r="53" spans="1:19" s="18" customFormat="1" ht="12.75" x14ac:dyDescent="0.2">
      <c r="A53" s="14">
        <v>44</v>
      </c>
      <c r="B53" s="24" t="s">
        <v>230</v>
      </c>
      <c r="C53" s="24" t="s">
        <v>17</v>
      </c>
      <c r="D53" s="24">
        <v>295</v>
      </c>
      <c r="E53" s="23" t="s">
        <v>353</v>
      </c>
      <c r="F53" s="24" t="s">
        <v>19</v>
      </c>
      <c r="G53" s="13">
        <v>20</v>
      </c>
      <c r="H53" s="25">
        <v>300</v>
      </c>
      <c r="I53" s="63">
        <f t="shared" si="5"/>
        <v>6000</v>
      </c>
      <c r="J53" s="23" t="s">
        <v>225</v>
      </c>
      <c r="L53" s="69"/>
      <c r="M53" s="61"/>
      <c r="N53" s="61">
        <f t="shared" si="6"/>
        <v>6000</v>
      </c>
      <c r="O53" s="61"/>
      <c r="P53" s="61"/>
      <c r="Q53" s="61"/>
      <c r="R53" s="61"/>
      <c r="S53" s="62"/>
    </row>
    <row r="54" spans="1:19" s="18" customFormat="1" ht="12.75" x14ac:dyDescent="0.2">
      <c r="A54" s="14">
        <v>45</v>
      </c>
      <c r="B54" s="24" t="s">
        <v>231</v>
      </c>
      <c r="C54" s="24" t="s">
        <v>17</v>
      </c>
      <c r="D54" s="24">
        <v>295</v>
      </c>
      <c r="E54" s="23" t="s">
        <v>354</v>
      </c>
      <c r="F54" s="24" t="s">
        <v>19</v>
      </c>
      <c r="G54" s="13">
        <v>20</v>
      </c>
      <c r="H54" s="25">
        <v>300</v>
      </c>
      <c r="I54" s="21">
        <f t="shared" si="5"/>
        <v>6000</v>
      </c>
      <c r="J54" s="23" t="s">
        <v>226</v>
      </c>
      <c r="L54" s="69"/>
      <c r="M54" s="61"/>
      <c r="N54" s="61"/>
      <c r="O54" s="61"/>
      <c r="P54" s="61"/>
      <c r="Q54" s="61">
        <f t="shared" si="2"/>
        <v>6000</v>
      </c>
      <c r="R54" s="61"/>
      <c r="S54" s="62"/>
    </row>
    <row r="55" spans="1:19" s="18" customFormat="1" ht="12.75" x14ac:dyDescent="0.2">
      <c r="A55" s="14">
        <v>46</v>
      </c>
      <c r="B55" s="24" t="s">
        <v>232</v>
      </c>
      <c r="C55" s="24" t="s">
        <v>17</v>
      </c>
      <c r="D55" s="24">
        <v>295</v>
      </c>
      <c r="E55" s="23" t="s">
        <v>355</v>
      </c>
      <c r="F55" s="24" t="s">
        <v>19</v>
      </c>
      <c r="G55" s="13">
        <v>20</v>
      </c>
      <c r="H55" s="25">
        <v>300</v>
      </c>
      <c r="I55" s="21">
        <f t="shared" si="5"/>
        <v>6000</v>
      </c>
      <c r="J55" s="23" t="s">
        <v>227</v>
      </c>
      <c r="L55" s="69"/>
      <c r="M55" s="61"/>
      <c r="N55" s="61"/>
      <c r="O55" s="61"/>
      <c r="P55" s="61"/>
      <c r="Q55" s="61"/>
      <c r="R55" s="61"/>
      <c r="S55" s="62"/>
    </row>
    <row r="56" spans="1:19" s="18" customFormat="1" ht="25.5" x14ac:dyDescent="0.2">
      <c r="A56" s="14">
        <v>47</v>
      </c>
      <c r="B56" s="24" t="s">
        <v>233</v>
      </c>
      <c r="C56" s="24" t="s">
        <v>17</v>
      </c>
      <c r="D56" s="24">
        <v>295</v>
      </c>
      <c r="E56" s="23" t="s">
        <v>356</v>
      </c>
      <c r="F56" s="24" t="s">
        <v>19</v>
      </c>
      <c r="G56" s="13">
        <v>100</v>
      </c>
      <c r="H56" s="25">
        <v>300</v>
      </c>
      <c r="I56" s="63">
        <f t="shared" si="5"/>
        <v>30000</v>
      </c>
      <c r="J56" s="23" t="s">
        <v>407</v>
      </c>
      <c r="L56" s="69"/>
      <c r="M56" s="61"/>
      <c r="N56" s="61"/>
      <c r="O56" s="61"/>
      <c r="P56" s="61"/>
      <c r="Q56" s="61"/>
      <c r="R56" s="61"/>
      <c r="S56" s="62"/>
    </row>
    <row r="57" spans="1:19" s="18" customFormat="1" ht="12.75" x14ac:dyDescent="0.2">
      <c r="A57" s="14">
        <v>48</v>
      </c>
      <c r="B57" s="24" t="s">
        <v>218</v>
      </c>
      <c r="C57" s="24" t="s">
        <v>17</v>
      </c>
      <c r="D57" s="24">
        <v>295</v>
      </c>
      <c r="E57" s="23" t="s">
        <v>348</v>
      </c>
      <c r="F57" s="24" t="s">
        <v>19</v>
      </c>
      <c r="G57" s="13">
        <v>100</v>
      </c>
      <c r="H57" s="25">
        <v>300</v>
      </c>
      <c r="I57" s="21">
        <f t="shared" si="5"/>
        <v>30000</v>
      </c>
      <c r="J57" s="23" t="s">
        <v>410</v>
      </c>
      <c r="L57" s="69"/>
      <c r="M57" s="61"/>
      <c r="N57" s="61"/>
      <c r="O57" s="61"/>
      <c r="P57" s="61"/>
      <c r="Q57" s="61">
        <f>+I57</f>
        <v>30000</v>
      </c>
      <c r="R57" s="61"/>
      <c r="S57" s="62"/>
    </row>
    <row r="58" spans="1:19" s="18" customFormat="1" ht="12.75" x14ac:dyDescent="0.2">
      <c r="A58" s="14">
        <v>49</v>
      </c>
      <c r="B58" s="24" t="s">
        <v>165</v>
      </c>
      <c r="C58" s="24" t="s">
        <v>17</v>
      </c>
      <c r="D58" s="24">
        <v>295</v>
      </c>
      <c r="E58" s="23" t="s">
        <v>318</v>
      </c>
      <c r="F58" s="24" t="s">
        <v>18</v>
      </c>
      <c r="G58" s="13">
        <v>10</v>
      </c>
      <c r="H58" s="25">
        <v>1200</v>
      </c>
      <c r="I58" s="21">
        <f t="shared" si="5"/>
        <v>12000</v>
      </c>
      <c r="J58" s="23" t="s">
        <v>386</v>
      </c>
      <c r="L58" s="69"/>
      <c r="M58" s="61"/>
      <c r="N58" s="61"/>
      <c r="O58" s="61"/>
      <c r="P58" s="61"/>
      <c r="Q58" s="61"/>
      <c r="R58" s="61"/>
      <c r="S58" s="62"/>
    </row>
    <row r="59" spans="1:19" s="18" customFormat="1" ht="12.75" x14ac:dyDescent="0.2">
      <c r="A59" s="14">
        <v>50</v>
      </c>
      <c r="B59" s="24" t="s">
        <v>186</v>
      </c>
      <c r="C59" s="24" t="s">
        <v>17</v>
      </c>
      <c r="D59" s="67">
        <v>295</v>
      </c>
      <c r="E59" s="23" t="s">
        <v>319</v>
      </c>
      <c r="F59" s="24" t="s">
        <v>19</v>
      </c>
      <c r="G59" s="13">
        <v>20</v>
      </c>
      <c r="H59" s="25">
        <v>200</v>
      </c>
      <c r="I59" s="63">
        <f t="shared" si="5"/>
        <v>4000</v>
      </c>
      <c r="J59" s="23" t="s">
        <v>400</v>
      </c>
      <c r="L59" s="69"/>
      <c r="M59" s="61"/>
      <c r="N59" s="61"/>
      <c r="O59" s="61"/>
      <c r="P59" s="61"/>
      <c r="Q59" s="61"/>
      <c r="R59" s="61"/>
      <c r="S59" s="62"/>
    </row>
    <row r="60" spans="1:19" s="18" customFormat="1" ht="12.75" x14ac:dyDescent="0.2">
      <c r="A60" s="14">
        <v>51</v>
      </c>
      <c r="B60" s="24" t="s">
        <v>236</v>
      </c>
      <c r="C60" s="24" t="s">
        <v>17</v>
      </c>
      <c r="D60" s="24">
        <v>295</v>
      </c>
      <c r="E60" s="23" t="s">
        <v>359</v>
      </c>
      <c r="F60" s="24" t="s">
        <v>19</v>
      </c>
      <c r="G60" s="13">
        <v>6</v>
      </c>
      <c r="H60" s="25">
        <v>4000</v>
      </c>
      <c r="I60" s="63">
        <f t="shared" si="5"/>
        <v>24000</v>
      </c>
      <c r="J60" s="23" t="s">
        <v>409</v>
      </c>
      <c r="L60" s="69"/>
      <c r="M60" s="61"/>
      <c r="N60" s="61"/>
      <c r="O60" s="61"/>
      <c r="P60" s="61"/>
      <c r="Q60" s="61"/>
      <c r="R60" s="61"/>
      <c r="S60" s="62"/>
    </row>
    <row r="61" spans="1:19" s="18" customFormat="1" ht="12.75" x14ac:dyDescent="0.2">
      <c r="A61" s="14">
        <v>52</v>
      </c>
      <c r="B61" s="24" t="s">
        <v>209</v>
      </c>
      <c r="C61" s="24" t="s">
        <v>17</v>
      </c>
      <c r="D61" s="24">
        <v>295</v>
      </c>
      <c r="E61" s="23" t="s">
        <v>340</v>
      </c>
      <c r="F61" s="24" t="s">
        <v>19</v>
      </c>
      <c r="G61" s="13">
        <v>10</v>
      </c>
      <c r="H61" s="25">
        <v>500</v>
      </c>
      <c r="I61" s="21">
        <f t="shared" si="5"/>
        <v>5000</v>
      </c>
      <c r="J61" s="23" t="s">
        <v>93</v>
      </c>
      <c r="L61" s="69"/>
      <c r="M61" s="61"/>
      <c r="N61" s="61"/>
      <c r="O61" s="61"/>
      <c r="P61" s="61"/>
      <c r="Q61" s="61"/>
      <c r="R61" s="61"/>
      <c r="S61" s="62"/>
    </row>
    <row r="62" spans="1:19" s="18" customFormat="1" ht="12.75" x14ac:dyDescent="0.2">
      <c r="A62" s="14">
        <v>53</v>
      </c>
      <c r="B62" s="14" t="s">
        <v>142</v>
      </c>
      <c r="C62" s="14" t="s">
        <v>17</v>
      </c>
      <c r="D62" s="14">
        <v>295</v>
      </c>
      <c r="E62" s="15" t="s">
        <v>276</v>
      </c>
      <c r="F62" s="14" t="s">
        <v>19</v>
      </c>
      <c r="G62" s="13">
        <v>30</v>
      </c>
      <c r="H62" s="16">
        <v>400</v>
      </c>
      <c r="I62" s="21">
        <f t="shared" si="5"/>
        <v>12000</v>
      </c>
      <c r="J62" s="17" t="s">
        <v>277</v>
      </c>
      <c r="L62" s="69"/>
      <c r="M62" s="61"/>
      <c r="N62" s="61"/>
      <c r="O62" s="61"/>
      <c r="P62" s="61"/>
      <c r="Q62" s="61"/>
      <c r="R62" s="61"/>
      <c r="S62" s="62"/>
    </row>
    <row r="63" spans="1:19" s="18" customFormat="1" ht="12.75" x14ac:dyDescent="0.2">
      <c r="A63" s="14">
        <v>54</v>
      </c>
      <c r="B63" s="14" t="s">
        <v>143</v>
      </c>
      <c r="C63" s="14" t="s">
        <v>17</v>
      </c>
      <c r="D63" s="14">
        <v>295</v>
      </c>
      <c r="E63" s="15" t="s">
        <v>278</v>
      </c>
      <c r="F63" s="14" t="s">
        <v>18</v>
      </c>
      <c r="G63" s="13">
        <v>10</v>
      </c>
      <c r="H63" s="16">
        <v>1500</v>
      </c>
      <c r="I63" s="21">
        <f t="shared" si="5"/>
        <v>15000</v>
      </c>
      <c r="J63" s="15" t="s">
        <v>30</v>
      </c>
      <c r="L63" s="69"/>
      <c r="M63" s="61"/>
      <c r="N63" s="61"/>
      <c r="O63" s="61"/>
      <c r="P63" s="61"/>
      <c r="Q63" s="61">
        <f t="shared" si="2"/>
        <v>15000</v>
      </c>
      <c r="R63" s="61"/>
      <c r="S63" s="62"/>
    </row>
    <row r="64" spans="1:19" s="18" customFormat="1" ht="12.75" x14ac:dyDescent="0.2">
      <c r="A64" s="14">
        <v>55</v>
      </c>
      <c r="B64" s="14" t="s">
        <v>144</v>
      </c>
      <c r="C64" s="14" t="s">
        <v>17</v>
      </c>
      <c r="D64" s="14">
        <v>295</v>
      </c>
      <c r="E64" s="15" t="s">
        <v>279</v>
      </c>
      <c r="F64" s="14" t="s">
        <v>18</v>
      </c>
      <c r="G64" s="13">
        <v>700</v>
      </c>
      <c r="H64" s="16">
        <v>200</v>
      </c>
      <c r="I64" s="21">
        <f t="shared" si="5"/>
        <v>140000</v>
      </c>
      <c r="J64" s="15" t="s">
        <v>416</v>
      </c>
      <c r="L64" s="69"/>
      <c r="M64" s="61"/>
      <c r="N64" s="61"/>
      <c r="O64" s="61"/>
      <c r="P64" s="61"/>
      <c r="Q64" s="61">
        <f t="shared" si="2"/>
        <v>140000</v>
      </c>
      <c r="R64" s="61"/>
      <c r="S64" s="62"/>
    </row>
    <row r="65" spans="1:19" s="18" customFormat="1" ht="12.75" x14ac:dyDescent="0.2">
      <c r="A65" s="14">
        <v>56</v>
      </c>
      <c r="B65" s="14" t="s">
        <v>148</v>
      </c>
      <c r="C65" s="14" t="s">
        <v>17</v>
      </c>
      <c r="D65" s="14">
        <v>295</v>
      </c>
      <c r="E65" s="15" t="s">
        <v>283</v>
      </c>
      <c r="F65" s="14" t="s">
        <v>18</v>
      </c>
      <c r="G65" s="13">
        <v>100</v>
      </c>
      <c r="H65" s="16">
        <v>600</v>
      </c>
      <c r="I65" s="63">
        <f t="shared" si="5"/>
        <v>60000</v>
      </c>
      <c r="J65" s="15" t="s">
        <v>149</v>
      </c>
      <c r="L65" s="69"/>
      <c r="M65" s="61"/>
      <c r="N65" s="61"/>
      <c r="O65" s="61"/>
      <c r="P65" s="61"/>
      <c r="Q65" s="61">
        <f t="shared" si="2"/>
        <v>60000</v>
      </c>
      <c r="R65" s="61"/>
      <c r="S65" s="62"/>
    </row>
    <row r="66" spans="1:19" s="18" customFormat="1" ht="12.75" x14ac:dyDescent="0.2">
      <c r="A66" s="14">
        <v>57</v>
      </c>
      <c r="B66" s="14" t="s">
        <v>148</v>
      </c>
      <c r="C66" s="14" t="s">
        <v>17</v>
      </c>
      <c r="D66" s="14">
        <v>295</v>
      </c>
      <c r="E66" s="15" t="s">
        <v>283</v>
      </c>
      <c r="F66" s="14" t="s">
        <v>18</v>
      </c>
      <c r="G66" s="13">
        <v>100</v>
      </c>
      <c r="H66" s="16">
        <v>600</v>
      </c>
      <c r="I66" s="63">
        <f t="shared" si="5"/>
        <v>60000</v>
      </c>
      <c r="J66" s="15" t="s">
        <v>150</v>
      </c>
      <c r="L66" s="69"/>
      <c r="M66" s="61"/>
      <c r="N66" s="61"/>
      <c r="O66" s="61"/>
      <c r="P66" s="61"/>
      <c r="Q66" s="61">
        <f t="shared" si="2"/>
        <v>60000</v>
      </c>
      <c r="R66" s="61"/>
      <c r="S66" s="62"/>
    </row>
    <row r="67" spans="1:19" s="18" customFormat="1" ht="12.75" x14ac:dyDescent="0.2">
      <c r="A67" s="14">
        <v>58</v>
      </c>
      <c r="B67" s="14" t="s">
        <v>148</v>
      </c>
      <c r="C67" s="14" t="s">
        <v>17</v>
      </c>
      <c r="D67" s="14">
        <v>295</v>
      </c>
      <c r="E67" s="15" t="s">
        <v>283</v>
      </c>
      <c r="F67" s="14" t="s">
        <v>18</v>
      </c>
      <c r="G67" s="13">
        <v>100</v>
      </c>
      <c r="H67" s="16">
        <v>600</v>
      </c>
      <c r="I67" s="63">
        <f t="shared" ref="I67:I98" si="7">+G67*H67</f>
        <v>60000</v>
      </c>
      <c r="J67" s="15" t="s">
        <v>151</v>
      </c>
      <c r="L67" s="69"/>
      <c r="M67" s="61"/>
      <c r="N67" s="61"/>
      <c r="O67" s="61"/>
      <c r="P67" s="61"/>
      <c r="Q67" s="61">
        <f t="shared" si="2"/>
        <v>60000</v>
      </c>
      <c r="R67" s="61"/>
      <c r="S67" s="62"/>
    </row>
    <row r="68" spans="1:19" s="18" customFormat="1" ht="12.75" x14ac:dyDescent="0.2">
      <c r="A68" s="14">
        <v>59</v>
      </c>
      <c r="B68" s="14" t="s">
        <v>148</v>
      </c>
      <c r="C68" s="14" t="s">
        <v>17</v>
      </c>
      <c r="D68" s="14">
        <v>295</v>
      </c>
      <c r="E68" s="15" t="s">
        <v>283</v>
      </c>
      <c r="F68" s="14" t="s">
        <v>18</v>
      </c>
      <c r="G68" s="13">
        <v>100</v>
      </c>
      <c r="H68" s="16">
        <v>600</v>
      </c>
      <c r="I68" s="63">
        <f t="shared" si="7"/>
        <v>60000</v>
      </c>
      <c r="J68" s="15" t="s">
        <v>152</v>
      </c>
      <c r="L68" s="69"/>
      <c r="M68" s="61"/>
      <c r="N68" s="61"/>
      <c r="O68" s="61"/>
      <c r="P68" s="61"/>
      <c r="Q68" s="61">
        <f t="shared" si="2"/>
        <v>60000</v>
      </c>
      <c r="R68" s="61"/>
      <c r="S68" s="62"/>
    </row>
    <row r="69" spans="1:19" s="18" customFormat="1" ht="12.75" x14ac:dyDescent="0.2">
      <c r="A69" s="14">
        <v>60</v>
      </c>
      <c r="B69" s="14" t="s">
        <v>148</v>
      </c>
      <c r="C69" s="14" t="s">
        <v>17</v>
      </c>
      <c r="D69" s="14">
        <v>295</v>
      </c>
      <c r="E69" s="15" t="s">
        <v>283</v>
      </c>
      <c r="F69" s="14" t="s">
        <v>18</v>
      </c>
      <c r="G69" s="13">
        <v>100</v>
      </c>
      <c r="H69" s="16">
        <v>600</v>
      </c>
      <c r="I69" s="63">
        <f t="shared" si="7"/>
        <v>60000</v>
      </c>
      <c r="J69" s="15" t="s">
        <v>153</v>
      </c>
      <c r="L69" s="69"/>
      <c r="M69" s="61"/>
      <c r="N69" s="61">
        <f t="shared" si="6"/>
        <v>60000</v>
      </c>
      <c r="O69" s="61"/>
      <c r="P69" s="61"/>
      <c r="Q69" s="61"/>
      <c r="R69" s="61"/>
      <c r="S69" s="62"/>
    </row>
    <row r="70" spans="1:19" s="18" customFormat="1" ht="12.75" x14ac:dyDescent="0.2">
      <c r="A70" s="14">
        <v>61</v>
      </c>
      <c r="B70" s="14" t="s">
        <v>145</v>
      </c>
      <c r="C70" s="14" t="s">
        <v>17</v>
      </c>
      <c r="D70" s="14">
        <v>295</v>
      </c>
      <c r="E70" s="15" t="s">
        <v>282</v>
      </c>
      <c r="F70" s="14" t="s">
        <v>19</v>
      </c>
      <c r="G70" s="13">
        <v>100</v>
      </c>
      <c r="H70" s="16">
        <v>400</v>
      </c>
      <c r="I70" s="63">
        <f t="shared" si="7"/>
        <v>40000</v>
      </c>
      <c r="J70" s="15" t="s">
        <v>109</v>
      </c>
      <c r="L70" s="69"/>
      <c r="M70" s="61"/>
      <c r="N70" s="61"/>
      <c r="O70" s="61"/>
      <c r="P70" s="61"/>
      <c r="Q70" s="61">
        <f t="shared" si="2"/>
        <v>40000</v>
      </c>
      <c r="R70" s="61"/>
      <c r="S70" s="62"/>
    </row>
    <row r="71" spans="1:19" s="18" customFormat="1" ht="12.75" x14ac:dyDescent="0.2">
      <c r="A71" s="14">
        <v>62</v>
      </c>
      <c r="B71" s="14" t="s">
        <v>105</v>
      </c>
      <c r="C71" s="14" t="s">
        <v>17</v>
      </c>
      <c r="D71" s="14">
        <v>295</v>
      </c>
      <c r="E71" s="15" t="s">
        <v>284</v>
      </c>
      <c r="F71" s="14" t="s">
        <v>19</v>
      </c>
      <c r="G71" s="13">
        <v>200</v>
      </c>
      <c r="H71" s="16">
        <v>500</v>
      </c>
      <c r="I71" s="21">
        <f t="shared" si="7"/>
        <v>100000</v>
      </c>
      <c r="J71" s="15" t="s">
        <v>110</v>
      </c>
      <c r="L71" s="69"/>
      <c r="M71" s="61"/>
      <c r="N71" s="61"/>
      <c r="O71" s="61"/>
      <c r="P71" s="61"/>
      <c r="Q71" s="61">
        <f t="shared" si="2"/>
        <v>100000</v>
      </c>
      <c r="R71" s="61"/>
      <c r="S71" s="62"/>
    </row>
    <row r="72" spans="1:19" s="18" customFormat="1" ht="12.75" x14ac:dyDescent="0.2">
      <c r="A72" s="14">
        <v>63</v>
      </c>
      <c r="B72" s="14" t="s">
        <v>106</v>
      </c>
      <c r="C72" s="14" t="s">
        <v>17</v>
      </c>
      <c r="D72" s="14">
        <v>295</v>
      </c>
      <c r="E72" s="15" t="s">
        <v>285</v>
      </c>
      <c r="F72" s="14" t="s">
        <v>19</v>
      </c>
      <c r="G72" s="13">
        <v>200</v>
      </c>
      <c r="H72" s="16">
        <v>500</v>
      </c>
      <c r="I72" s="21">
        <f t="shared" si="7"/>
        <v>100000</v>
      </c>
      <c r="J72" s="15" t="s">
        <v>111</v>
      </c>
      <c r="L72" s="69"/>
      <c r="M72" s="61"/>
      <c r="N72" s="61"/>
      <c r="O72" s="61"/>
      <c r="P72" s="61"/>
      <c r="Q72" s="61">
        <f t="shared" si="2"/>
        <v>100000</v>
      </c>
      <c r="R72" s="61"/>
      <c r="S72" s="62"/>
    </row>
    <row r="73" spans="1:19" s="18" customFormat="1" ht="12.75" x14ac:dyDescent="0.2">
      <c r="A73" s="14">
        <v>64</v>
      </c>
      <c r="B73" s="14" t="s">
        <v>146</v>
      </c>
      <c r="C73" s="14" t="s">
        <v>17</v>
      </c>
      <c r="D73" s="14">
        <v>295</v>
      </c>
      <c r="E73" s="15" t="s">
        <v>280</v>
      </c>
      <c r="F73" s="14" t="s">
        <v>18</v>
      </c>
      <c r="G73" s="13">
        <v>100</v>
      </c>
      <c r="H73" s="16">
        <v>600</v>
      </c>
      <c r="I73" s="63">
        <f t="shared" si="7"/>
        <v>60000</v>
      </c>
      <c r="J73" s="15" t="s">
        <v>107</v>
      </c>
      <c r="L73" s="69"/>
      <c r="M73" s="61"/>
      <c r="N73" s="61">
        <f t="shared" si="6"/>
        <v>60000</v>
      </c>
      <c r="O73" s="61"/>
      <c r="P73" s="61"/>
      <c r="Q73" s="61"/>
      <c r="R73" s="61"/>
      <c r="S73" s="62"/>
    </row>
    <row r="74" spans="1:19" s="18" customFormat="1" ht="12.75" x14ac:dyDescent="0.2">
      <c r="A74" s="14">
        <v>65</v>
      </c>
      <c r="B74" s="14" t="s">
        <v>100</v>
      </c>
      <c r="C74" s="14" t="s">
        <v>17</v>
      </c>
      <c r="D74" s="14">
        <v>295</v>
      </c>
      <c r="E74" s="15" t="s">
        <v>286</v>
      </c>
      <c r="F74" s="14" t="s">
        <v>19</v>
      </c>
      <c r="G74" s="13">
        <v>200</v>
      </c>
      <c r="H74" s="16">
        <v>500</v>
      </c>
      <c r="I74" s="63">
        <f t="shared" si="7"/>
        <v>100000</v>
      </c>
      <c r="J74" s="15" t="s">
        <v>112</v>
      </c>
      <c r="L74" s="69"/>
      <c r="M74" s="61"/>
      <c r="N74" s="61">
        <f t="shared" si="6"/>
        <v>100000</v>
      </c>
      <c r="O74" s="61"/>
      <c r="P74" s="61"/>
      <c r="Q74" s="61"/>
      <c r="R74" s="61"/>
      <c r="S74" s="62"/>
    </row>
    <row r="75" spans="1:19" s="18" customFormat="1" ht="12.75" x14ac:dyDescent="0.2">
      <c r="A75" s="14">
        <v>66</v>
      </c>
      <c r="B75" s="14" t="s">
        <v>101</v>
      </c>
      <c r="C75" s="14" t="s">
        <v>17</v>
      </c>
      <c r="D75" s="14">
        <v>295</v>
      </c>
      <c r="E75" s="15" t="s">
        <v>287</v>
      </c>
      <c r="F75" s="14" t="s">
        <v>19</v>
      </c>
      <c r="G75" s="13">
        <v>200</v>
      </c>
      <c r="H75" s="16">
        <v>500</v>
      </c>
      <c r="I75" s="63">
        <f t="shared" si="7"/>
        <v>100000</v>
      </c>
      <c r="J75" s="15" t="s">
        <v>113</v>
      </c>
      <c r="L75" s="69"/>
      <c r="M75" s="61"/>
      <c r="N75" s="61">
        <f t="shared" si="6"/>
        <v>100000</v>
      </c>
      <c r="O75" s="61"/>
      <c r="P75" s="61"/>
      <c r="Q75" s="61"/>
      <c r="R75" s="61"/>
      <c r="S75" s="62"/>
    </row>
    <row r="76" spans="1:19" s="18" customFormat="1" ht="12.75" x14ac:dyDescent="0.2">
      <c r="A76" s="14">
        <v>67</v>
      </c>
      <c r="B76" s="14" t="s">
        <v>102</v>
      </c>
      <c r="C76" s="14" t="s">
        <v>17</v>
      </c>
      <c r="D76" s="14">
        <v>295</v>
      </c>
      <c r="E76" s="15" t="s">
        <v>288</v>
      </c>
      <c r="F76" s="14" t="s">
        <v>19</v>
      </c>
      <c r="G76" s="13">
        <v>100</v>
      </c>
      <c r="H76" s="16">
        <v>600</v>
      </c>
      <c r="I76" s="63">
        <f t="shared" si="7"/>
        <v>60000</v>
      </c>
      <c r="J76" s="15" t="s">
        <v>114</v>
      </c>
      <c r="L76" s="69"/>
      <c r="M76" s="61"/>
      <c r="N76" s="61">
        <f t="shared" si="6"/>
        <v>60000</v>
      </c>
      <c r="O76" s="61"/>
      <c r="P76" s="61"/>
      <c r="Q76" s="61"/>
      <c r="R76" s="61"/>
      <c r="S76" s="62"/>
    </row>
    <row r="77" spans="1:19" s="18" customFormat="1" ht="12.75" x14ac:dyDescent="0.2">
      <c r="A77" s="14">
        <v>68</v>
      </c>
      <c r="B77" s="14" t="s">
        <v>103</v>
      </c>
      <c r="C77" s="14" t="s">
        <v>17</v>
      </c>
      <c r="D77" s="14">
        <v>295</v>
      </c>
      <c r="E77" s="15" t="s">
        <v>289</v>
      </c>
      <c r="F77" s="14" t="s">
        <v>19</v>
      </c>
      <c r="G77" s="13">
        <v>100</v>
      </c>
      <c r="H77" s="16">
        <v>600</v>
      </c>
      <c r="I77" s="63">
        <f t="shared" si="7"/>
        <v>60000</v>
      </c>
      <c r="J77" s="15" t="s">
        <v>115</v>
      </c>
      <c r="L77" s="69"/>
      <c r="M77" s="61"/>
      <c r="N77" s="61"/>
      <c r="O77" s="61"/>
      <c r="P77" s="61"/>
      <c r="Q77" s="61">
        <f t="shared" si="2"/>
        <v>60000</v>
      </c>
      <c r="R77" s="61"/>
      <c r="S77" s="62"/>
    </row>
    <row r="78" spans="1:19" s="18" customFormat="1" ht="12.75" x14ac:dyDescent="0.2">
      <c r="A78" s="14">
        <v>69</v>
      </c>
      <c r="B78" s="14" t="s">
        <v>104</v>
      </c>
      <c r="C78" s="14" t="s">
        <v>17</v>
      </c>
      <c r="D78" s="14">
        <v>295</v>
      </c>
      <c r="E78" s="15" t="s">
        <v>290</v>
      </c>
      <c r="F78" s="14" t="s">
        <v>19</v>
      </c>
      <c r="G78" s="13">
        <v>100</v>
      </c>
      <c r="H78" s="16">
        <v>600</v>
      </c>
      <c r="I78" s="63">
        <f t="shared" si="7"/>
        <v>60000</v>
      </c>
      <c r="J78" s="15" t="s">
        <v>116</v>
      </c>
      <c r="L78" s="69"/>
      <c r="M78" s="61"/>
      <c r="N78" s="61"/>
      <c r="O78" s="61"/>
      <c r="P78" s="61"/>
      <c r="Q78" s="61">
        <f t="shared" si="2"/>
        <v>60000</v>
      </c>
      <c r="R78" s="61"/>
      <c r="S78" s="62"/>
    </row>
    <row r="79" spans="1:19" s="18" customFormat="1" ht="12.75" x14ac:dyDescent="0.2">
      <c r="A79" s="14">
        <v>70</v>
      </c>
      <c r="B79" s="14" t="s">
        <v>99</v>
      </c>
      <c r="C79" s="14" t="s">
        <v>17</v>
      </c>
      <c r="D79" s="14">
        <v>295</v>
      </c>
      <c r="E79" s="15" t="s">
        <v>291</v>
      </c>
      <c r="F79" s="14" t="s">
        <v>19</v>
      </c>
      <c r="G79" s="13">
        <v>100</v>
      </c>
      <c r="H79" s="16">
        <v>600</v>
      </c>
      <c r="I79" s="63">
        <f t="shared" si="7"/>
        <v>60000</v>
      </c>
      <c r="J79" s="15" t="s">
        <v>117</v>
      </c>
      <c r="L79" s="69"/>
      <c r="M79" s="61"/>
      <c r="N79" s="61"/>
      <c r="O79" s="61"/>
      <c r="P79" s="61"/>
      <c r="Q79" s="61">
        <f t="shared" si="2"/>
        <v>60000</v>
      </c>
      <c r="R79" s="61"/>
      <c r="S79" s="62"/>
    </row>
    <row r="80" spans="1:19" s="18" customFormat="1" ht="12.75" x14ac:dyDescent="0.2">
      <c r="A80" s="14">
        <v>71</v>
      </c>
      <c r="B80" s="14" t="s">
        <v>147</v>
      </c>
      <c r="C80" s="14" t="s">
        <v>17</v>
      </c>
      <c r="D80" s="14">
        <v>295</v>
      </c>
      <c r="E80" s="15" t="s">
        <v>281</v>
      </c>
      <c r="F80" s="14" t="s">
        <v>18</v>
      </c>
      <c r="G80" s="13">
        <v>100</v>
      </c>
      <c r="H80" s="16">
        <v>600</v>
      </c>
      <c r="I80" s="63">
        <f t="shared" si="7"/>
        <v>60000</v>
      </c>
      <c r="J80" s="15" t="s">
        <v>108</v>
      </c>
      <c r="L80" s="69"/>
      <c r="M80" s="61"/>
      <c r="N80" s="61"/>
      <c r="O80" s="61"/>
      <c r="P80" s="61"/>
      <c r="Q80" s="61">
        <f t="shared" si="2"/>
        <v>60000</v>
      </c>
      <c r="R80" s="61"/>
      <c r="S80" s="62"/>
    </row>
    <row r="81" spans="1:19" s="18" customFormat="1" ht="12.75" x14ac:dyDescent="0.2">
      <c r="A81" s="14">
        <v>72</v>
      </c>
      <c r="B81" s="24" t="s">
        <v>398</v>
      </c>
      <c r="C81" s="24" t="s">
        <v>17</v>
      </c>
      <c r="D81" s="24">
        <v>295</v>
      </c>
      <c r="E81" s="23" t="s">
        <v>397</v>
      </c>
      <c r="F81" s="24" t="s">
        <v>18</v>
      </c>
      <c r="G81" s="13">
        <v>80</v>
      </c>
      <c r="H81" s="25">
        <v>800</v>
      </c>
      <c r="I81" s="63">
        <f t="shared" si="7"/>
        <v>64000</v>
      </c>
      <c r="J81" s="23" t="s">
        <v>399</v>
      </c>
      <c r="L81" s="69"/>
      <c r="M81" s="61"/>
      <c r="N81" s="61"/>
      <c r="O81" s="61"/>
      <c r="P81" s="61"/>
      <c r="Q81" s="61">
        <f t="shared" si="2"/>
        <v>64000</v>
      </c>
      <c r="R81" s="61"/>
      <c r="S81" s="62"/>
    </row>
    <row r="82" spans="1:19" s="18" customFormat="1" ht="25.5" x14ac:dyDescent="0.2">
      <c r="A82" s="14">
        <v>73</v>
      </c>
      <c r="B82" s="24" t="s">
        <v>155</v>
      </c>
      <c r="C82" s="24" t="s">
        <v>17</v>
      </c>
      <c r="D82" s="24">
        <v>295</v>
      </c>
      <c r="E82" s="23" t="s">
        <v>293</v>
      </c>
      <c r="F82" s="24" t="s">
        <v>18</v>
      </c>
      <c r="G82" s="13">
        <v>20</v>
      </c>
      <c r="H82" s="25">
        <v>500</v>
      </c>
      <c r="I82" s="21">
        <f t="shared" si="7"/>
        <v>10000</v>
      </c>
      <c r="J82" s="23" t="s">
        <v>294</v>
      </c>
      <c r="L82" s="69"/>
      <c r="M82" s="61"/>
      <c r="N82" s="61"/>
      <c r="O82" s="61"/>
      <c r="P82" s="61"/>
      <c r="Q82" s="61">
        <f t="shared" ref="Q82:Q145" si="8">+I82</f>
        <v>10000</v>
      </c>
      <c r="R82" s="61"/>
      <c r="S82" s="62"/>
    </row>
    <row r="83" spans="1:19" s="18" customFormat="1" ht="12.75" x14ac:dyDescent="0.2">
      <c r="A83" s="14">
        <v>74</v>
      </c>
      <c r="B83" s="24" t="s">
        <v>158</v>
      </c>
      <c r="C83" s="24" t="s">
        <v>17</v>
      </c>
      <c r="D83" s="24">
        <v>295</v>
      </c>
      <c r="E83" s="23" t="s">
        <v>297</v>
      </c>
      <c r="F83" s="24" t="s">
        <v>19</v>
      </c>
      <c r="G83" s="13">
        <v>20</v>
      </c>
      <c r="H83" s="25">
        <v>300</v>
      </c>
      <c r="I83" s="21">
        <f t="shared" si="7"/>
        <v>6000</v>
      </c>
      <c r="J83" s="23" t="s">
        <v>33</v>
      </c>
      <c r="L83" s="69"/>
      <c r="M83" s="61"/>
      <c r="N83" s="61"/>
      <c r="O83" s="61"/>
      <c r="P83" s="61"/>
      <c r="Q83" s="61">
        <f t="shared" si="8"/>
        <v>6000</v>
      </c>
      <c r="R83" s="61"/>
      <c r="S83" s="62"/>
    </row>
    <row r="84" spans="1:19" s="18" customFormat="1" ht="12.75" x14ac:dyDescent="0.2">
      <c r="A84" s="14">
        <v>75</v>
      </c>
      <c r="B84" s="24" t="s">
        <v>163</v>
      </c>
      <c r="C84" s="24" t="s">
        <v>17</v>
      </c>
      <c r="D84" s="24">
        <v>295</v>
      </c>
      <c r="E84" s="23" t="s">
        <v>315</v>
      </c>
      <c r="F84" s="24" t="s">
        <v>18</v>
      </c>
      <c r="G84" s="13">
        <v>50</v>
      </c>
      <c r="H84" s="25">
        <v>260</v>
      </c>
      <c r="I84" s="21">
        <f t="shared" si="7"/>
        <v>13000</v>
      </c>
      <c r="J84" s="23" t="s">
        <v>38</v>
      </c>
      <c r="L84" s="69"/>
      <c r="M84" s="61"/>
      <c r="N84" s="61"/>
      <c r="O84" s="61"/>
      <c r="P84" s="61"/>
      <c r="Q84" s="61">
        <f t="shared" si="8"/>
        <v>13000</v>
      </c>
      <c r="R84" s="61"/>
      <c r="S84" s="62"/>
    </row>
    <row r="85" spans="1:19" s="18" customFormat="1" ht="12.75" x14ac:dyDescent="0.2">
      <c r="A85" s="14">
        <v>76</v>
      </c>
      <c r="B85" s="24" t="s">
        <v>244</v>
      </c>
      <c r="C85" s="24" t="s">
        <v>17</v>
      </c>
      <c r="D85" s="24">
        <v>295</v>
      </c>
      <c r="E85" s="23" t="s">
        <v>367</v>
      </c>
      <c r="F85" s="24" t="s">
        <v>18</v>
      </c>
      <c r="G85" s="13">
        <v>30</v>
      </c>
      <c r="H85" s="25">
        <v>1000</v>
      </c>
      <c r="I85" s="63">
        <f t="shared" si="7"/>
        <v>30000</v>
      </c>
      <c r="J85" s="23" t="s">
        <v>411</v>
      </c>
      <c r="L85" s="69"/>
      <c r="M85" s="61"/>
      <c r="N85" s="61"/>
      <c r="O85" s="61"/>
      <c r="P85" s="61"/>
      <c r="Q85" s="61">
        <f t="shared" si="8"/>
        <v>30000</v>
      </c>
      <c r="R85" s="61"/>
      <c r="S85" s="62"/>
    </row>
    <row r="86" spans="1:19" s="18" customFormat="1" ht="25.5" x14ac:dyDescent="0.2">
      <c r="A86" s="14">
        <v>77</v>
      </c>
      <c r="B86" s="24" t="s">
        <v>185</v>
      </c>
      <c r="C86" s="24" t="s">
        <v>17</v>
      </c>
      <c r="D86" s="24">
        <v>295</v>
      </c>
      <c r="E86" s="23" t="s">
        <v>316</v>
      </c>
      <c r="F86" s="24" t="s">
        <v>19</v>
      </c>
      <c r="G86" s="13">
        <v>100</v>
      </c>
      <c r="H86" s="25">
        <v>200</v>
      </c>
      <c r="I86" s="21">
        <f t="shared" si="7"/>
        <v>20000</v>
      </c>
      <c r="J86" s="23" t="s">
        <v>76</v>
      </c>
      <c r="L86" s="69"/>
      <c r="M86" s="61"/>
      <c r="N86" s="61"/>
      <c r="O86" s="61"/>
      <c r="P86" s="61"/>
      <c r="Q86" s="61">
        <f t="shared" si="8"/>
        <v>20000</v>
      </c>
      <c r="R86" s="61"/>
      <c r="S86" s="62"/>
    </row>
    <row r="87" spans="1:19" s="18" customFormat="1" ht="12.75" x14ac:dyDescent="0.2">
      <c r="A87" s="14">
        <v>78</v>
      </c>
      <c r="B87" s="24" t="s">
        <v>191</v>
      </c>
      <c r="C87" s="24" t="s">
        <v>17</v>
      </c>
      <c r="D87" s="24">
        <v>295</v>
      </c>
      <c r="E87" s="23" t="s">
        <v>326</v>
      </c>
      <c r="F87" s="24" t="s">
        <v>19</v>
      </c>
      <c r="G87" s="13">
        <v>10</v>
      </c>
      <c r="H87" s="25">
        <v>4000</v>
      </c>
      <c r="I87" s="21">
        <f t="shared" si="7"/>
        <v>40000</v>
      </c>
      <c r="J87" s="23" t="s">
        <v>41</v>
      </c>
      <c r="L87" s="69"/>
      <c r="M87" s="61"/>
      <c r="N87" s="61"/>
      <c r="O87" s="61"/>
      <c r="P87" s="61"/>
      <c r="Q87" s="61">
        <f t="shared" si="8"/>
        <v>40000</v>
      </c>
      <c r="R87" s="61"/>
      <c r="S87" s="62"/>
    </row>
    <row r="88" spans="1:19" s="18" customFormat="1" ht="12.75" x14ac:dyDescent="0.2">
      <c r="A88" s="14">
        <v>79</v>
      </c>
      <c r="B88" s="24" t="s">
        <v>190</v>
      </c>
      <c r="C88" s="24" t="s">
        <v>17</v>
      </c>
      <c r="D88" s="24">
        <v>295</v>
      </c>
      <c r="E88" s="23" t="s">
        <v>325</v>
      </c>
      <c r="F88" s="24" t="s">
        <v>19</v>
      </c>
      <c r="G88" s="13">
        <v>50</v>
      </c>
      <c r="H88" s="25">
        <v>1500</v>
      </c>
      <c r="I88" s="21">
        <f t="shared" si="7"/>
        <v>75000</v>
      </c>
      <c r="J88" s="23" t="s">
        <v>40</v>
      </c>
      <c r="L88" s="69"/>
      <c r="M88" s="61"/>
      <c r="N88" s="61"/>
      <c r="O88" s="61"/>
      <c r="P88" s="61"/>
      <c r="Q88" s="61">
        <f t="shared" si="8"/>
        <v>75000</v>
      </c>
      <c r="R88" s="61"/>
      <c r="S88" s="62"/>
    </row>
    <row r="89" spans="1:19" s="18" customFormat="1" ht="12.75" x14ac:dyDescent="0.2">
      <c r="A89" s="14">
        <v>80</v>
      </c>
      <c r="B89" s="24" t="s">
        <v>166</v>
      </c>
      <c r="C89" s="24" t="s">
        <v>17</v>
      </c>
      <c r="D89" s="24">
        <v>295</v>
      </c>
      <c r="E89" s="23" t="s">
        <v>320</v>
      </c>
      <c r="F89" s="24" t="s">
        <v>19</v>
      </c>
      <c r="G89" s="13">
        <v>30</v>
      </c>
      <c r="H89" s="25">
        <v>150</v>
      </c>
      <c r="I89" s="63">
        <f t="shared" si="7"/>
        <v>4500</v>
      </c>
      <c r="J89" s="23" t="s">
        <v>418</v>
      </c>
      <c r="L89" s="69"/>
      <c r="M89" s="61">
        <f t="shared" ref="M89:M90" si="9">+I89</f>
        <v>4500</v>
      </c>
      <c r="N89" s="61"/>
      <c r="O89" s="61"/>
      <c r="P89" s="61"/>
      <c r="Q89" s="61"/>
      <c r="R89" s="61"/>
      <c r="S89" s="62"/>
    </row>
    <row r="90" spans="1:19" s="18" customFormat="1" ht="12.75" x14ac:dyDescent="0.2">
      <c r="A90" s="14">
        <v>81</v>
      </c>
      <c r="B90" s="24" t="s">
        <v>208</v>
      </c>
      <c r="C90" s="24" t="s">
        <v>17</v>
      </c>
      <c r="D90" s="24">
        <v>295</v>
      </c>
      <c r="E90" s="23" t="s">
        <v>339</v>
      </c>
      <c r="F90" s="24" t="s">
        <v>19</v>
      </c>
      <c r="G90" s="13">
        <v>200</v>
      </c>
      <c r="H90" s="25">
        <v>250</v>
      </c>
      <c r="I90" s="21">
        <f t="shared" si="7"/>
        <v>50000</v>
      </c>
      <c r="J90" s="23" t="s">
        <v>52</v>
      </c>
      <c r="L90" s="69"/>
      <c r="M90" s="61">
        <f t="shared" si="9"/>
        <v>50000</v>
      </c>
      <c r="N90" s="61"/>
      <c r="O90" s="61"/>
      <c r="P90" s="61"/>
      <c r="Q90" s="61"/>
      <c r="R90" s="61"/>
      <c r="S90" s="62"/>
    </row>
    <row r="91" spans="1:19" s="18" customFormat="1" ht="25.5" x14ac:dyDescent="0.2">
      <c r="A91" s="14">
        <v>82</v>
      </c>
      <c r="B91" s="24" t="s">
        <v>255</v>
      </c>
      <c r="C91" s="24" t="s">
        <v>17</v>
      </c>
      <c r="D91" s="24">
        <v>295</v>
      </c>
      <c r="E91" s="23" t="s">
        <v>378</v>
      </c>
      <c r="F91" s="24" t="s">
        <v>71</v>
      </c>
      <c r="G91" s="13">
        <v>30</v>
      </c>
      <c r="H91" s="25">
        <v>300</v>
      </c>
      <c r="I91" s="63">
        <f t="shared" si="7"/>
        <v>9000</v>
      </c>
      <c r="J91" s="23" t="s">
        <v>412</v>
      </c>
      <c r="L91" s="69"/>
      <c r="M91" s="61"/>
      <c r="N91" s="61"/>
      <c r="O91" s="61"/>
      <c r="P91" s="61"/>
      <c r="Q91" s="61">
        <f t="shared" si="8"/>
        <v>9000</v>
      </c>
      <c r="R91" s="61"/>
      <c r="S91" s="62"/>
    </row>
    <row r="92" spans="1:19" s="18" customFormat="1" ht="12.75" x14ac:dyDescent="0.2">
      <c r="A92" s="14">
        <v>83</v>
      </c>
      <c r="B92" s="24" t="s">
        <v>210</v>
      </c>
      <c r="C92" s="24" t="s">
        <v>17</v>
      </c>
      <c r="D92" s="24">
        <v>295</v>
      </c>
      <c r="E92" s="23" t="s">
        <v>341</v>
      </c>
      <c r="F92" s="24" t="s">
        <v>19</v>
      </c>
      <c r="G92" s="13">
        <v>5</v>
      </c>
      <c r="H92" s="25">
        <v>2800</v>
      </c>
      <c r="I92" s="21">
        <f t="shared" si="7"/>
        <v>14000</v>
      </c>
      <c r="J92" s="23" t="s">
        <v>94</v>
      </c>
      <c r="L92" s="69"/>
      <c r="M92" s="61"/>
      <c r="N92" s="61"/>
      <c r="O92" s="61"/>
      <c r="P92" s="61"/>
      <c r="Q92" s="61">
        <f t="shared" si="8"/>
        <v>14000</v>
      </c>
      <c r="R92" s="61"/>
      <c r="S92" s="62"/>
    </row>
    <row r="93" spans="1:19" s="18" customFormat="1" ht="12.75" x14ac:dyDescent="0.2">
      <c r="A93" s="14">
        <v>84</v>
      </c>
      <c r="B93" s="24" t="s">
        <v>212</v>
      </c>
      <c r="C93" s="24" t="s">
        <v>17</v>
      </c>
      <c r="D93" s="67">
        <v>252</v>
      </c>
      <c r="E93" s="23" t="s">
        <v>342</v>
      </c>
      <c r="F93" s="24" t="s">
        <v>19</v>
      </c>
      <c r="G93" s="13">
        <v>20</v>
      </c>
      <c r="H93" s="25">
        <v>3500</v>
      </c>
      <c r="I93" s="21">
        <f t="shared" si="7"/>
        <v>70000</v>
      </c>
      <c r="J93" s="23" t="s">
        <v>53</v>
      </c>
      <c r="L93" s="69"/>
      <c r="M93" s="61"/>
      <c r="N93" s="61"/>
      <c r="O93" s="61"/>
      <c r="P93" s="61"/>
      <c r="Q93" s="61">
        <f t="shared" si="8"/>
        <v>70000</v>
      </c>
      <c r="R93" s="61"/>
      <c r="S93" s="62"/>
    </row>
    <row r="94" spans="1:19" s="18" customFormat="1" ht="12.75" x14ac:dyDescent="0.2">
      <c r="A94" s="14">
        <v>85</v>
      </c>
      <c r="B94" s="24" t="s">
        <v>211</v>
      </c>
      <c r="C94" s="24" t="s">
        <v>17</v>
      </c>
      <c r="D94" s="67">
        <v>252</v>
      </c>
      <c r="E94" s="23" t="s">
        <v>343</v>
      </c>
      <c r="F94" s="24" t="s">
        <v>19</v>
      </c>
      <c r="G94" s="13">
        <v>10</v>
      </c>
      <c r="H94" s="25">
        <v>3600</v>
      </c>
      <c r="I94" s="21">
        <f t="shared" si="7"/>
        <v>36000</v>
      </c>
      <c r="J94" s="23" t="s">
        <v>95</v>
      </c>
      <c r="L94" s="69"/>
      <c r="M94" s="61"/>
      <c r="N94" s="61"/>
      <c r="O94" s="61"/>
      <c r="P94" s="61"/>
      <c r="Q94" s="61">
        <f t="shared" si="8"/>
        <v>36000</v>
      </c>
      <c r="R94" s="61"/>
      <c r="S94" s="62"/>
    </row>
    <row r="95" spans="1:19" s="18" customFormat="1" ht="25.5" x14ac:dyDescent="0.2">
      <c r="A95" s="14">
        <v>86</v>
      </c>
      <c r="B95" s="24" t="s">
        <v>213</v>
      </c>
      <c r="C95" s="24" t="s">
        <v>17</v>
      </c>
      <c r="D95" s="24">
        <v>295</v>
      </c>
      <c r="E95" s="23" t="s">
        <v>344</v>
      </c>
      <c r="F95" s="24" t="s">
        <v>18</v>
      </c>
      <c r="G95" s="13">
        <v>15</v>
      </c>
      <c r="H95" s="25">
        <v>1200</v>
      </c>
      <c r="I95" s="21">
        <f t="shared" si="7"/>
        <v>18000</v>
      </c>
      <c r="J95" s="23" t="s">
        <v>388</v>
      </c>
      <c r="L95" s="69"/>
      <c r="M95" s="61"/>
      <c r="N95" s="61"/>
      <c r="O95" s="61"/>
      <c r="P95" s="61"/>
      <c r="Q95" s="61">
        <f t="shared" si="8"/>
        <v>18000</v>
      </c>
      <c r="R95" s="61"/>
      <c r="S95" s="62"/>
    </row>
    <row r="96" spans="1:19" s="18" customFormat="1" ht="12.75" x14ac:dyDescent="0.2">
      <c r="A96" s="14">
        <v>87</v>
      </c>
      <c r="B96" s="24" t="s">
        <v>234</v>
      </c>
      <c r="C96" s="24" t="s">
        <v>17</v>
      </c>
      <c r="D96" s="67">
        <v>265</v>
      </c>
      <c r="E96" s="23" t="s">
        <v>357</v>
      </c>
      <c r="F96" s="24" t="s">
        <v>19</v>
      </c>
      <c r="G96" s="13">
        <v>10</v>
      </c>
      <c r="H96" s="25">
        <v>200</v>
      </c>
      <c r="I96" s="63">
        <f t="shared" si="7"/>
        <v>2000</v>
      </c>
      <c r="J96" s="23" t="s">
        <v>408</v>
      </c>
      <c r="L96" s="69"/>
      <c r="M96" s="61"/>
      <c r="N96" s="61">
        <f t="shared" si="6"/>
        <v>2000</v>
      </c>
      <c r="O96" s="61"/>
      <c r="P96" s="61"/>
      <c r="Q96" s="61"/>
      <c r="R96" s="61"/>
      <c r="S96" s="62"/>
    </row>
    <row r="97" spans="1:19" s="18" customFormat="1" ht="12.75" x14ac:dyDescent="0.2">
      <c r="A97" s="14">
        <v>88</v>
      </c>
      <c r="B97" s="14" t="s">
        <v>139</v>
      </c>
      <c r="C97" s="14" t="s">
        <v>17</v>
      </c>
      <c r="D97" s="14">
        <v>295</v>
      </c>
      <c r="E97" s="15" t="s">
        <v>273</v>
      </c>
      <c r="F97" s="14" t="s">
        <v>26</v>
      </c>
      <c r="G97" s="13">
        <v>20</v>
      </c>
      <c r="H97" s="16">
        <v>500</v>
      </c>
      <c r="I97" s="21">
        <f t="shared" si="7"/>
        <v>10000</v>
      </c>
      <c r="J97" s="15" t="s">
        <v>25</v>
      </c>
      <c r="L97" s="69"/>
      <c r="M97" s="61"/>
      <c r="N97" s="61">
        <f t="shared" si="6"/>
        <v>10000</v>
      </c>
      <c r="O97" s="61"/>
      <c r="P97" s="61"/>
      <c r="Q97" s="61"/>
      <c r="R97" s="61"/>
      <c r="S97" s="62"/>
    </row>
    <row r="98" spans="1:19" s="18" customFormat="1" ht="12.75" x14ac:dyDescent="0.2">
      <c r="A98" s="14">
        <v>89</v>
      </c>
      <c r="B98" s="24" t="s">
        <v>139</v>
      </c>
      <c r="C98" s="24" t="s">
        <v>17</v>
      </c>
      <c r="D98" s="24">
        <v>295</v>
      </c>
      <c r="E98" s="23" t="s">
        <v>273</v>
      </c>
      <c r="F98" s="24" t="s">
        <v>26</v>
      </c>
      <c r="G98" s="13">
        <v>200</v>
      </c>
      <c r="H98" s="25">
        <v>400</v>
      </c>
      <c r="I98" s="21">
        <f t="shared" si="7"/>
        <v>80000</v>
      </c>
      <c r="J98" s="23" t="s">
        <v>387</v>
      </c>
      <c r="L98" s="69"/>
      <c r="M98" s="61"/>
      <c r="N98" s="61"/>
      <c r="O98" s="61"/>
      <c r="P98" s="61"/>
      <c r="Q98" s="61">
        <f t="shared" si="8"/>
        <v>80000</v>
      </c>
      <c r="R98" s="61"/>
      <c r="S98" s="62"/>
    </row>
    <row r="99" spans="1:19" s="18" customFormat="1" ht="12.75" x14ac:dyDescent="0.2">
      <c r="A99" s="14">
        <v>90</v>
      </c>
      <c r="B99" s="24" t="s">
        <v>235</v>
      </c>
      <c r="C99" s="24" t="s">
        <v>17</v>
      </c>
      <c r="D99" s="24">
        <v>295</v>
      </c>
      <c r="E99" s="23" t="s">
        <v>358</v>
      </c>
      <c r="F99" s="24" t="s">
        <v>19</v>
      </c>
      <c r="G99" s="13">
        <v>100</v>
      </c>
      <c r="H99" s="25">
        <v>300</v>
      </c>
      <c r="I99" s="21">
        <f t="shared" ref="I99:I122" si="10">+G99*H99</f>
        <v>30000</v>
      </c>
      <c r="J99" s="23" t="s">
        <v>56</v>
      </c>
      <c r="L99" s="69"/>
      <c r="M99" s="61"/>
      <c r="N99" s="61">
        <f t="shared" si="6"/>
        <v>30000</v>
      </c>
      <c r="O99" s="61"/>
      <c r="P99" s="61"/>
      <c r="Q99" s="61"/>
      <c r="R99" s="61"/>
      <c r="S99" s="62"/>
    </row>
    <row r="100" spans="1:19" s="18" customFormat="1" ht="25.5" x14ac:dyDescent="0.2">
      <c r="A100" s="14">
        <v>91</v>
      </c>
      <c r="B100" s="24" t="s">
        <v>238</v>
      </c>
      <c r="C100" s="24" t="s">
        <v>17</v>
      </c>
      <c r="D100" s="24">
        <v>295</v>
      </c>
      <c r="E100" s="23" t="s">
        <v>361</v>
      </c>
      <c r="F100" s="24" t="s">
        <v>18</v>
      </c>
      <c r="G100" s="13">
        <v>8</v>
      </c>
      <c r="H100" s="25">
        <v>4100</v>
      </c>
      <c r="I100" s="21">
        <f t="shared" si="10"/>
        <v>32800</v>
      </c>
      <c r="J100" s="23" t="s">
        <v>58</v>
      </c>
      <c r="L100" s="69"/>
      <c r="M100" s="61"/>
      <c r="N100" s="61">
        <f t="shared" si="6"/>
        <v>32800</v>
      </c>
      <c r="O100" s="61"/>
      <c r="P100" s="61"/>
      <c r="Q100" s="61"/>
      <c r="R100" s="61"/>
      <c r="S100" s="62"/>
    </row>
    <row r="101" spans="1:19" s="18" customFormat="1" ht="25.5" x14ac:dyDescent="0.2">
      <c r="A101" s="14">
        <v>92</v>
      </c>
      <c r="B101" s="24" t="s">
        <v>239</v>
      </c>
      <c r="C101" s="24" t="s">
        <v>17</v>
      </c>
      <c r="D101" s="24">
        <v>295</v>
      </c>
      <c r="E101" s="23" t="s">
        <v>362</v>
      </c>
      <c r="F101" s="24" t="s">
        <v>18</v>
      </c>
      <c r="G101" s="13">
        <v>8</v>
      </c>
      <c r="H101" s="25">
        <v>4800</v>
      </c>
      <c r="I101" s="21">
        <f t="shared" si="10"/>
        <v>38400</v>
      </c>
      <c r="J101" s="23" t="s">
        <v>59</v>
      </c>
      <c r="L101" s="69"/>
      <c r="M101" s="61"/>
      <c r="N101" s="61">
        <f t="shared" si="6"/>
        <v>38400</v>
      </c>
      <c r="O101" s="61"/>
      <c r="P101" s="61"/>
      <c r="Q101" s="61"/>
      <c r="R101" s="61"/>
      <c r="S101" s="62"/>
    </row>
    <row r="102" spans="1:19" s="18" customFormat="1" ht="12.75" x14ac:dyDescent="0.2">
      <c r="A102" s="14">
        <v>93</v>
      </c>
      <c r="B102" s="24" t="s">
        <v>249</v>
      </c>
      <c r="C102" s="24" t="s">
        <v>17</v>
      </c>
      <c r="D102" s="24">
        <v>295</v>
      </c>
      <c r="E102" s="23" t="s">
        <v>372</v>
      </c>
      <c r="F102" s="24" t="s">
        <v>19</v>
      </c>
      <c r="G102" s="13">
        <v>30</v>
      </c>
      <c r="H102" s="25">
        <v>3000</v>
      </c>
      <c r="I102" s="21">
        <f t="shared" si="10"/>
        <v>90000</v>
      </c>
      <c r="J102" s="23" t="s">
        <v>68</v>
      </c>
      <c r="L102" s="69"/>
      <c r="M102" s="61"/>
      <c r="N102" s="61">
        <f t="shared" si="6"/>
        <v>90000</v>
      </c>
      <c r="O102" s="61"/>
      <c r="P102" s="61"/>
      <c r="Q102" s="61"/>
      <c r="R102" s="61"/>
      <c r="S102" s="62"/>
    </row>
    <row r="103" spans="1:19" s="18" customFormat="1" ht="12.75" x14ac:dyDescent="0.2">
      <c r="A103" s="14">
        <v>94</v>
      </c>
      <c r="B103" s="24" t="s">
        <v>250</v>
      </c>
      <c r="C103" s="24" t="s">
        <v>17</v>
      </c>
      <c r="D103" s="24">
        <v>295</v>
      </c>
      <c r="E103" s="23" t="s">
        <v>373</v>
      </c>
      <c r="F103" s="24" t="s">
        <v>31</v>
      </c>
      <c r="G103" s="13">
        <v>80</v>
      </c>
      <c r="H103" s="25">
        <v>450</v>
      </c>
      <c r="I103" s="63">
        <f t="shared" si="10"/>
        <v>36000</v>
      </c>
      <c r="J103" s="23" t="s">
        <v>69</v>
      </c>
      <c r="L103" s="69"/>
      <c r="M103" s="61"/>
      <c r="N103" s="61"/>
      <c r="O103" s="61"/>
      <c r="P103" s="61"/>
      <c r="Q103" s="61"/>
      <c r="R103" s="61"/>
      <c r="S103" s="62"/>
    </row>
    <row r="104" spans="1:19" s="18" customFormat="1" ht="12.75" x14ac:dyDescent="0.2">
      <c r="A104" s="14">
        <v>95</v>
      </c>
      <c r="B104" s="24" t="s">
        <v>257</v>
      </c>
      <c r="C104" s="24" t="s">
        <v>17</v>
      </c>
      <c r="D104" s="24">
        <v>295</v>
      </c>
      <c r="E104" s="23" t="s">
        <v>380</v>
      </c>
      <c r="F104" s="24" t="s">
        <v>18</v>
      </c>
      <c r="G104" s="13">
        <v>20</v>
      </c>
      <c r="H104" s="25">
        <v>900</v>
      </c>
      <c r="I104" s="63">
        <f t="shared" si="10"/>
        <v>18000</v>
      </c>
      <c r="J104" s="23" t="s">
        <v>414</v>
      </c>
      <c r="L104" s="69"/>
      <c r="M104" s="61"/>
      <c r="N104" s="61">
        <f t="shared" si="6"/>
        <v>18000</v>
      </c>
      <c r="O104" s="61"/>
      <c r="P104" s="61"/>
      <c r="Q104" s="61"/>
      <c r="R104" s="61"/>
      <c r="S104" s="62"/>
    </row>
    <row r="105" spans="1:19" s="18" customFormat="1" ht="25.5" x14ac:dyDescent="0.2">
      <c r="A105" s="14">
        <v>96</v>
      </c>
      <c r="B105" s="24" t="s">
        <v>256</v>
      </c>
      <c r="C105" s="24" t="s">
        <v>17</v>
      </c>
      <c r="D105" s="24">
        <v>295</v>
      </c>
      <c r="E105" s="23" t="s">
        <v>379</v>
      </c>
      <c r="F105" s="24" t="s">
        <v>71</v>
      </c>
      <c r="G105" s="13">
        <v>30</v>
      </c>
      <c r="H105" s="25">
        <v>900</v>
      </c>
      <c r="I105" s="63">
        <f t="shared" si="10"/>
        <v>27000</v>
      </c>
      <c r="J105" s="23" t="s">
        <v>413</v>
      </c>
      <c r="L105" s="69"/>
      <c r="M105" s="61"/>
      <c r="N105" s="61"/>
      <c r="O105" s="61"/>
      <c r="P105" s="61"/>
      <c r="Q105" s="61">
        <f t="shared" si="8"/>
        <v>27000</v>
      </c>
      <c r="R105" s="61"/>
      <c r="S105" s="62"/>
    </row>
    <row r="106" spans="1:19" s="18" customFormat="1" ht="12.75" x14ac:dyDescent="0.2">
      <c r="A106" s="14">
        <v>97</v>
      </c>
      <c r="B106" s="24" t="s">
        <v>254</v>
      </c>
      <c r="C106" s="24" t="s">
        <v>17</v>
      </c>
      <c r="D106" s="24">
        <v>295</v>
      </c>
      <c r="E106" s="23" t="s">
        <v>377</v>
      </c>
      <c r="F106" s="24" t="s">
        <v>71</v>
      </c>
      <c r="G106" s="13">
        <v>15</v>
      </c>
      <c r="H106" s="25">
        <v>400</v>
      </c>
      <c r="I106" s="63">
        <f t="shared" si="10"/>
        <v>6000</v>
      </c>
      <c r="J106" s="23" t="s">
        <v>126</v>
      </c>
      <c r="L106" s="69"/>
      <c r="M106" s="61"/>
      <c r="N106" s="61"/>
      <c r="O106" s="61"/>
      <c r="P106" s="61"/>
      <c r="Q106" s="61">
        <f t="shared" si="8"/>
        <v>6000</v>
      </c>
      <c r="R106" s="61"/>
      <c r="S106" s="62"/>
    </row>
    <row r="107" spans="1:19" s="18" customFormat="1" ht="12.75" x14ac:dyDescent="0.2">
      <c r="A107" s="14">
        <v>98</v>
      </c>
      <c r="B107" s="24" t="s">
        <v>258</v>
      </c>
      <c r="C107" s="24" t="s">
        <v>17</v>
      </c>
      <c r="D107" s="24">
        <v>295</v>
      </c>
      <c r="E107" s="23" t="s">
        <v>381</v>
      </c>
      <c r="F107" s="24" t="s">
        <v>18</v>
      </c>
      <c r="G107" s="13">
        <v>5</v>
      </c>
      <c r="H107" s="25">
        <v>13000</v>
      </c>
      <c r="I107" s="21">
        <f t="shared" si="10"/>
        <v>65000</v>
      </c>
      <c r="J107" s="23" t="s">
        <v>259</v>
      </c>
      <c r="L107" s="69"/>
      <c r="M107" s="61"/>
      <c r="N107" s="61"/>
      <c r="O107" s="61"/>
      <c r="P107" s="61"/>
      <c r="Q107" s="61"/>
      <c r="R107" s="61"/>
      <c r="S107" s="62"/>
    </row>
    <row r="108" spans="1:19" s="18" customFormat="1" ht="25.5" x14ac:dyDescent="0.2">
      <c r="A108" s="14">
        <v>99</v>
      </c>
      <c r="B108" s="24" t="s">
        <v>188</v>
      </c>
      <c r="C108" s="24" t="s">
        <v>17</v>
      </c>
      <c r="D108" s="24">
        <v>252</v>
      </c>
      <c r="E108" s="23" t="s">
        <v>322</v>
      </c>
      <c r="F108" s="24" t="s">
        <v>18</v>
      </c>
      <c r="G108" s="13">
        <v>40</v>
      </c>
      <c r="H108" s="25">
        <v>2700</v>
      </c>
      <c r="I108" s="63">
        <f t="shared" si="10"/>
        <v>108000</v>
      </c>
      <c r="J108" s="23" t="s">
        <v>120</v>
      </c>
      <c r="L108" s="69"/>
      <c r="M108" s="61"/>
      <c r="N108" s="61"/>
      <c r="O108" s="61"/>
      <c r="P108" s="61"/>
      <c r="Q108" s="61">
        <f t="shared" si="8"/>
        <v>108000</v>
      </c>
      <c r="R108" s="61"/>
      <c r="S108" s="62"/>
    </row>
    <row r="109" spans="1:19" s="18" customFormat="1" ht="25.5" x14ac:dyDescent="0.2">
      <c r="A109" s="14">
        <v>100</v>
      </c>
      <c r="B109" s="24" t="s">
        <v>187</v>
      </c>
      <c r="C109" s="24" t="s">
        <v>17</v>
      </c>
      <c r="D109" s="24">
        <v>252</v>
      </c>
      <c r="E109" s="23" t="s">
        <v>324</v>
      </c>
      <c r="F109" s="24" t="s">
        <v>19</v>
      </c>
      <c r="G109" s="13">
        <v>10</v>
      </c>
      <c r="H109" s="25">
        <v>2700</v>
      </c>
      <c r="I109" s="63">
        <f t="shared" si="10"/>
        <v>27000</v>
      </c>
      <c r="J109" s="23" t="s">
        <v>122</v>
      </c>
      <c r="L109" s="69"/>
      <c r="M109" s="61"/>
      <c r="N109" s="61"/>
      <c r="O109" s="61"/>
      <c r="P109" s="61"/>
      <c r="Q109" s="61"/>
      <c r="R109" s="61"/>
      <c r="S109" s="62"/>
    </row>
    <row r="110" spans="1:19" s="18" customFormat="1" ht="25.5" x14ac:dyDescent="0.2">
      <c r="A110" s="14">
        <v>101</v>
      </c>
      <c r="B110" s="24" t="s">
        <v>189</v>
      </c>
      <c r="C110" s="24" t="s">
        <v>17</v>
      </c>
      <c r="D110" s="24">
        <v>252</v>
      </c>
      <c r="E110" s="23" t="s">
        <v>323</v>
      </c>
      <c r="F110" s="24" t="s">
        <v>19</v>
      </c>
      <c r="G110" s="13">
        <v>40</v>
      </c>
      <c r="H110" s="25">
        <v>2700</v>
      </c>
      <c r="I110" s="63">
        <f t="shared" si="10"/>
        <v>108000</v>
      </c>
      <c r="J110" s="23" t="s">
        <v>121</v>
      </c>
      <c r="L110" s="69"/>
      <c r="M110" s="61"/>
      <c r="N110" s="61"/>
      <c r="O110" s="61"/>
      <c r="P110" s="61"/>
      <c r="Q110" s="61"/>
      <c r="R110" s="61"/>
      <c r="S110" s="62"/>
    </row>
    <row r="111" spans="1:19" s="18" customFormat="1" ht="25.5" x14ac:dyDescent="0.2">
      <c r="A111" s="14">
        <v>102</v>
      </c>
      <c r="B111" s="24" t="s">
        <v>154</v>
      </c>
      <c r="C111" s="24" t="s">
        <v>17</v>
      </c>
      <c r="D111" s="24">
        <v>295</v>
      </c>
      <c r="E111" s="23" t="s">
        <v>292</v>
      </c>
      <c r="F111" s="24" t="s">
        <v>32</v>
      </c>
      <c r="G111" s="13">
        <v>1000</v>
      </c>
      <c r="H111" s="25">
        <v>200</v>
      </c>
      <c r="I111" s="63">
        <f t="shared" si="10"/>
        <v>200000</v>
      </c>
      <c r="J111" s="23" t="s">
        <v>295</v>
      </c>
      <c r="L111" s="69"/>
      <c r="M111" s="61"/>
      <c r="N111" s="61"/>
      <c r="O111" s="61"/>
      <c r="P111" s="61"/>
      <c r="Q111" s="61"/>
      <c r="R111" s="61"/>
      <c r="S111" s="62"/>
    </row>
    <row r="112" spans="1:19" s="18" customFormat="1" ht="12.75" x14ac:dyDescent="0.2">
      <c r="A112" s="14">
        <v>103</v>
      </c>
      <c r="B112" s="24" t="s">
        <v>195</v>
      </c>
      <c r="C112" s="24" t="s">
        <v>17</v>
      </c>
      <c r="D112" s="24">
        <v>295</v>
      </c>
      <c r="E112" s="23" t="s">
        <v>327</v>
      </c>
      <c r="F112" s="24" t="s">
        <v>18</v>
      </c>
      <c r="G112" s="13">
        <v>30</v>
      </c>
      <c r="H112" s="25">
        <v>1700</v>
      </c>
      <c r="I112" s="21">
        <f t="shared" si="10"/>
        <v>51000</v>
      </c>
      <c r="J112" s="23" t="s">
        <v>42</v>
      </c>
      <c r="L112" s="69"/>
      <c r="M112" s="61"/>
      <c r="N112" s="61"/>
      <c r="O112" s="61"/>
      <c r="P112" s="61"/>
      <c r="Q112" s="61"/>
      <c r="R112" s="61"/>
      <c r="S112" s="62"/>
    </row>
    <row r="113" spans="1:19" s="18" customFormat="1" ht="12.75" x14ac:dyDescent="0.2">
      <c r="A113" s="14">
        <v>104</v>
      </c>
      <c r="B113" s="24" t="s">
        <v>199</v>
      </c>
      <c r="C113" s="24" t="s">
        <v>17</v>
      </c>
      <c r="D113" s="24">
        <v>295</v>
      </c>
      <c r="E113" s="23" t="s">
        <v>330</v>
      </c>
      <c r="F113" s="24" t="s">
        <v>18</v>
      </c>
      <c r="G113" s="13">
        <v>30</v>
      </c>
      <c r="H113" s="25">
        <v>500</v>
      </c>
      <c r="I113" s="21">
        <f t="shared" si="10"/>
        <v>15000</v>
      </c>
      <c r="J113" s="23" t="s">
        <v>45</v>
      </c>
      <c r="L113" s="69"/>
      <c r="M113" s="61"/>
      <c r="N113" s="61"/>
      <c r="O113" s="61"/>
      <c r="P113" s="61"/>
      <c r="Q113" s="61">
        <f t="shared" si="8"/>
        <v>15000</v>
      </c>
      <c r="R113" s="61"/>
      <c r="S113" s="62"/>
    </row>
    <row r="114" spans="1:19" s="18" customFormat="1" ht="12.75" x14ac:dyDescent="0.2">
      <c r="A114" s="14">
        <v>105</v>
      </c>
      <c r="B114" s="24" t="s">
        <v>197</v>
      </c>
      <c r="C114" s="24" t="s">
        <v>17</v>
      </c>
      <c r="D114" s="24">
        <v>295</v>
      </c>
      <c r="E114" s="23" t="s">
        <v>331</v>
      </c>
      <c r="F114" s="24" t="s">
        <v>18</v>
      </c>
      <c r="G114" s="13">
        <v>30</v>
      </c>
      <c r="H114" s="25">
        <v>2200</v>
      </c>
      <c r="I114" s="21">
        <f t="shared" si="10"/>
        <v>66000</v>
      </c>
      <c r="J114" s="23" t="s">
        <v>46</v>
      </c>
      <c r="L114" s="69"/>
      <c r="M114" s="61"/>
      <c r="N114" s="61"/>
      <c r="O114" s="61"/>
      <c r="P114" s="61">
        <f t="shared" ref="P114" si="11">+I114</f>
        <v>66000</v>
      </c>
      <c r="Q114" s="61"/>
      <c r="R114" s="61"/>
      <c r="S114" s="62"/>
    </row>
    <row r="115" spans="1:19" s="18" customFormat="1" ht="12.75" x14ac:dyDescent="0.2">
      <c r="A115" s="14">
        <v>106</v>
      </c>
      <c r="B115" s="24" t="s">
        <v>198</v>
      </c>
      <c r="C115" s="24" t="s">
        <v>17</v>
      </c>
      <c r="D115" s="24">
        <v>295</v>
      </c>
      <c r="E115" s="23" t="s">
        <v>329</v>
      </c>
      <c r="F115" s="24" t="s">
        <v>18</v>
      </c>
      <c r="G115" s="13">
        <v>30</v>
      </c>
      <c r="H115" s="25">
        <v>2200</v>
      </c>
      <c r="I115" s="21">
        <f t="shared" si="10"/>
        <v>66000</v>
      </c>
      <c r="J115" s="23" t="s">
        <v>44</v>
      </c>
      <c r="L115" s="69"/>
      <c r="M115" s="61"/>
      <c r="N115" s="61"/>
      <c r="O115" s="61"/>
      <c r="P115" s="61"/>
      <c r="Q115" s="61">
        <f t="shared" si="8"/>
        <v>66000</v>
      </c>
      <c r="R115" s="61"/>
      <c r="S115" s="62"/>
    </row>
    <row r="116" spans="1:19" s="18" customFormat="1" ht="12.75" x14ac:dyDescent="0.2">
      <c r="A116" s="14">
        <v>107</v>
      </c>
      <c r="B116" s="24" t="s">
        <v>196</v>
      </c>
      <c r="C116" s="24" t="s">
        <v>17</v>
      </c>
      <c r="D116" s="24">
        <v>295</v>
      </c>
      <c r="E116" s="23" t="s">
        <v>332</v>
      </c>
      <c r="F116" s="24" t="s">
        <v>18</v>
      </c>
      <c r="G116" s="13">
        <v>10</v>
      </c>
      <c r="H116" s="25">
        <v>1600</v>
      </c>
      <c r="I116" s="21">
        <f t="shared" si="10"/>
        <v>16000</v>
      </c>
      <c r="J116" s="23" t="s">
        <v>47</v>
      </c>
      <c r="L116" s="69"/>
      <c r="M116" s="61"/>
      <c r="N116" s="61"/>
      <c r="O116" s="61"/>
      <c r="P116" s="61"/>
      <c r="Q116" s="61">
        <f t="shared" si="8"/>
        <v>16000</v>
      </c>
      <c r="R116" s="61"/>
      <c r="S116" s="62"/>
    </row>
    <row r="117" spans="1:19" s="18" customFormat="1" ht="12.75" x14ac:dyDescent="0.2">
      <c r="A117" s="14">
        <v>108</v>
      </c>
      <c r="B117" s="24" t="s">
        <v>194</v>
      </c>
      <c r="C117" s="24" t="s">
        <v>17</v>
      </c>
      <c r="D117" s="24">
        <v>295</v>
      </c>
      <c r="E117" s="23" t="s">
        <v>333</v>
      </c>
      <c r="F117" s="24" t="s">
        <v>18</v>
      </c>
      <c r="G117" s="13">
        <v>10</v>
      </c>
      <c r="H117" s="25">
        <v>1600</v>
      </c>
      <c r="I117" s="21">
        <f t="shared" si="10"/>
        <v>16000</v>
      </c>
      <c r="J117" s="23" t="s">
        <v>91</v>
      </c>
      <c r="L117" s="69"/>
      <c r="M117" s="61"/>
      <c r="N117" s="61"/>
      <c r="O117" s="61"/>
      <c r="P117" s="61"/>
      <c r="Q117" s="61">
        <f t="shared" si="8"/>
        <v>16000</v>
      </c>
      <c r="R117" s="61"/>
      <c r="S117" s="62"/>
    </row>
    <row r="118" spans="1:19" s="18" customFormat="1" ht="12.75" x14ac:dyDescent="0.2">
      <c r="A118" s="14">
        <v>109</v>
      </c>
      <c r="B118" s="24" t="s">
        <v>200</v>
      </c>
      <c r="C118" s="24" t="s">
        <v>17</v>
      </c>
      <c r="D118" s="24">
        <v>295</v>
      </c>
      <c r="E118" s="23" t="s">
        <v>328</v>
      </c>
      <c r="F118" s="24" t="s">
        <v>18</v>
      </c>
      <c r="G118" s="13">
        <v>30</v>
      </c>
      <c r="H118" s="25">
        <v>2200</v>
      </c>
      <c r="I118" s="21">
        <f t="shared" si="10"/>
        <v>66000</v>
      </c>
      <c r="J118" s="23" t="s">
        <v>43</v>
      </c>
      <c r="L118" s="69"/>
      <c r="M118" s="61"/>
      <c r="N118" s="61"/>
      <c r="O118" s="61"/>
      <c r="P118" s="61"/>
      <c r="Q118" s="61">
        <f t="shared" si="8"/>
        <v>66000</v>
      </c>
      <c r="R118" s="61"/>
      <c r="S118" s="62"/>
    </row>
    <row r="119" spans="1:19" s="18" customFormat="1" ht="12.75" x14ac:dyDescent="0.2">
      <c r="A119" s="14">
        <v>110</v>
      </c>
      <c r="B119" s="24" t="s">
        <v>402</v>
      </c>
      <c r="C119" s="24" t="s">
        <v>17</v>
      </c>
      <c r="D119" s="24">
        <v>295</v>
      </c>
      <c r="E119" s="23" t="s">
        <v>401</v>
      </c>
      <c r="F119" s="24" t="s">
        <v>18</v>
      </c>
      <c r="G119" s="13">
        <v>10</v>
      </c>
      <c r="H119" s="25">
        <v>1600</v>
      </c>
      <c r="I119" s="21">
        <f t="shared" si="10"/>
        <v>16000</v>
      </c>
      <c r="J119" s="23" t="s">
        <v>48</v>
      </c>
      <c r="L119" s="69"/>
      <c r="M119" s="61"/>
      <c r="N119" s="61"/>
      <c r="O119" s="61"/>
      <c r="P119" s="61"/>
      <c r="Q119" s="61">
        <f t="shared" si="8"/>
        <v>16000</v>
      </c>
      <c r="R119" s="61"/>
      <c r="S119" s="62"/>
    </row>
    <row r="120" spans="1:19" s="18" customFormat="1" ht="12.75" x14ac:dyDescent="0.2">
      <c r="A120" s="14">
        <v>111</v>
      </c>
      <c r="B120" s="24" t="s">
        <v>192</v>
      </c>
      <c r="C120" s="24" t="s">
        <v>17</v>
      </c>
      <c r="D120" s="24">
        <v>295</v>
      </c>
      <c r="E120" s="23" t="s">
        <v>334</v>
      </c>
      <c r="F120" s="24" t="s">
        <v>18</v>
      </c>
      <c r="G120" s="13">
        <v>10</v>
      </c>
      <c r="H120" s="25">
        <v>1600</v>
      </c>
      <c r="I120" s="21">
        <f t="shared" si="10"/>
        <v>16000</v>
      </c>
      <c r="J120" s="23" t="s">
        <v>49</v>
      </c>
      <c r="L120" s="69"/>
      <c r="M120" s="61">
        <f t="shared" ref="M120" si="12">+I120</f>
        <v>16000</v>
      </c>
      <c r="N120" s="61"/>
      <c r="O120" s="61"/>
      <c r="P120" s="61"/>
      <c r="Q120" s="61"/>
      <c r="R120" s="61"/>
      <c r="S120" s="62"/>
    </row>
    <row r="121" spans="1:19" s="18" customFormat="1" ht="12.75" x14ac:dyDescent="0.2">
      <c r="A121" s="14">
        <v>112</v>
      </c>
      <c r="B121" s="24" t="s">
        <v>193</v>
      </c>
      <c r="C121" s="24" t="s">
        <v>17</v>
      </c>
      <c r="D121" s="24">
        <v>295</v>
      </c>
      <c r="E121" s="23" t="s">
        <v>335</v>
      </c>
      <c r="F121" s="24" t="s">
        <v>18</v>
      </c>
      <c r="G121" s="13">
        <v>10</v>
      </c>
      <c r="H121" s="25">
        <v>1600</v>
      </c>
      <c r="I121" s="63">
        <f t="shared" si="10"/>
        <v>16000</v>
      </c>
      <c r="J121" s="23" t="s">
        <v>50</v>
      </c>
      <c r="L121" s="69"/>
      <c r="M121" s="61"/>
      <c r="N121" s="61"/>
      <c r="O121" s="61"/>
      <c r="P121" s="61"/>
      <c r="Q121" s="61">
        <f t="shared" si="8"/>
        <v>16000</v>
      </c>
      <c r="R121" s="61"/>
      <c r="S121" s="62"/>
    </row>
    <row r="122" spans="1:19" s="18" customFormat="1" ht="25.5" x14ac:dyDescent="0.2">
      <c r="A122" s="14">
        <v>113</v>
      </c>
      <c r="B122" s="24" t="s">
        <v>207</v>
      </c>
      <c r="C122" s="24" t="s">
        <v>17</v>
      </c>
      <c r="D122" s="24">
        <v>295</v>
      </c>
      <c r="E122" s="23" t="s">
        <v>338</v>
      </c>
      <c r="F122" s="24" t="s">
        <v>19</v>
      </c>
      <c r="G122" s="13">
        <v>50</v>
      </c>
      <c r="H122" s="25">
        <v>500</v>
      </c>
      <c r="I122" s="21">
        <f t="shared" si="10"/>
        <v>25000</v>
      </c>
      <c r="J122" s="23" t="s">
        <v>51</v>
      </c>
      <c r="L122" s="69"/>
      <c r="M122" s="61"/>
      <c r="N122" s="61"/>
      <c r="O122" s="61"/>
      <c r="P122" s="61"/>
      <c r="Q122" s="61">
        <f t="shared" si="8"/>
        <v>25000</v>
      </c>
      <c r="R122" s="61"/>
      <c r="S122" s="62"/>
    </row>
    <row r="123" spans="1:19" s="18" customFormat="1" ht="12.75" x14ac:dyDescent="0.2">
      <c r="A123" s="14">
        <v>114</v>
      </c>
      <c r="B123" s="24" t="s">
        <v>423</v>
      </c>
      <c r="C123" s="24" t="s">
        <v>17</v>
      </c>
      <c r="D123" s="24">
        <v>252</v>
      </c>
      <c r="E123" s="23" t="s">
        <v>424</v>
      </c>
      <c r="F123" s="24" t="s">
        <v>19</v>
      </c>
      <c r="G123" s="13">
        <v>10</v>
      </c>
      <c r="H123" s="25">
        <v>500</v>
      </c>
      <c r="I123" s="63">
        <v>5000</v>
      </c>
      <c r="J123" s="23" t="s">
        <v>54</v>
      </c>
      <c r="L123" s="69"/>
      <c r="M123" s="61"/>
      <c r="N123" s="61"/>
      <c r="O123" s="61"/>
      <c r="P123" s="61"/>
      <c r="Q123" s="61">
        <f t="shared" si="8"/>
        <v>5000</v>
      </c>
      <c r="R123" s="61"/>
      <c r="S123" s="62"/>
    </row>
    <row r="124" spans="1:19" s="18" customFormat="1" ht="25.5" x14ac:dyDescent="0.2">
      <c r="A124" s="14">
        <v>115</v>
      </c>
      <c r="B124" s="14" t="s">
        <v>133</v>
      </c>
      <c r="C124" s="14" t="s">
        <v>17</v>
      </c>
      <c r="D124" s="14">
        <v>252</v>
      </c>
      <c r="E124" s="15" t="s">
        <v>269</v>
      </c>
      <c r="F124" s="14" t="s">
        <v>19</v>
      </c>
      <c r="G124" s="13">
        <v>50</v>
      </c>
      <c r="H124" s="16">
        <v>1500</v>
      </c>
      <c r="I124" s="63">
        <f t="shared" ref="I124:I148" si="13">+G124*H124</f>
        <v>75000</v>
      </c>
      <c r="J124" s="15" t="s">
        <v>24</v>
      </c>
      <c r="L124" s="69"/>
      <c r="M124" s="61"/>
      <c r="N124" s="61"/>
      <c r="O124" s="61"/>
      <c r="P124" s="61"/>
      <c r="Q124" s="61">
        <f t="shared" si="8"/>
        <v>75000</v>
      </c>
      <c r="R124" s="61"/>
      <c r="S124" s="62"/>
    </row>
    <row r="125" spans="1:19" s="18" customFormat="1" ht="12.75" x14ac:dyDescent="0.2">
      <c r="A125" s="14">
        <v>116</v>
      </c>
      <c r="B125" s="24" t="s">
        <v>248</v>
      </c>
      <c r="C125" s="24" t="s">
        <v>17</v>
      </c>
      <c r="D125" s="67">
        <v>295</v>
      </c>
      <c r="E125" s="64" t="s">
        <v>371</v>
      </c>
      <c r="F125" s="24" t="s">
        <v>19</v>
      </c>
      <c r="G125" s="13">
        <v>30</v>
      </c>
      <c r="H125" s="25">
        <v>1400</v>
      </c>
      <c r="I125" s="21">
        <f t="shared" si="13"/>
        <v>42000</v>
      </c>
      <c r="J125" s="23" t="s">
        <v>81</v>
      </c>
      <c r="L125" s="69"/>
      <c r="M125" s="61"/>
      <c r="N125" s="61">
        <f t="shared" ref="N125:N132" si="14">+I125</f>
        <v>42000</v>
      </c>
      <c r="O125" s="61"/>
      <c r="P125" s="61"/>
      <c r="Q125" s="61"/>
      <c r="R125" s="61"/>
      <c r="S125" s="62"/>
    </row>
    <row r="126" spans="1:19" s="18" customFormat="1" ht="12.75" x14ac:dyDescent="0.2">
      <c r="A126" s="14">
        <v>117</v>
      </c>
      <c r="B126" s="24" t="s">
        <v>215</v>
      </c>
      <c r="C126" s="24" t="s">
        <v>17</v>
      </c>
      <c r="D126" s="67">
        <v>252</v>
      </c>
      <c r="E126" s="23" t="s">
        <v>346</v>
      </c>
      <c r="F126" s="24" t="s">
        <v>19</v>
      </c>
      <c r="G126" s="13">
        <v>30</v>
      </c>
      <c r="H126" s="25">
        <v>1500</v>
      </c>
      <c r="I126" s="63">
        <f t="shared" si="13"/>
        <v>45000</v>
      </c>
      <c r="J126" s="23" t="s">
        <v>404</v>
      </c>
      <c r="L126" s="69"/>
      <c r="M126" s="61"/>
      <c r="N126" s="61">
        <f t="shared" si="14"/>
        <v>45000</v>
      </c>
      <c r="O126" s="61"/>
      <c r="P126" s="61"/>
      <c r="Q126" s="61"/>
      <c r="R126" s="61"/>
      <c r="S126" s="62"/>
    </row>
    <row r="127" spans="1:19" s="18" customFormat="1" ht="25.5" x14ac:dyDescent="0.2">
      <c r="A127" s="14">
        <v>118</v>
      </c>
      <c r="B127" s="24" t="s">
        <v>164</v>
      </c>
      <c r="C127" s="24" t="s">
        <v>17</v>
      </c>
      <c r="D127" s="67">
        <v>252</v>
      </c>
      <c r="E127" s="23" t="s">
        <v>317</v>
      </c>
      <c r="F127" s="24" t="s">
        <v>18</v>
      </c>
      <c r="G127" s="13">
        <v>100</v>
      </c>
      <c r="H127" s="25">
        <v>2000</v>
      </c>
      <c r="I127" s="21">
        <f t="shared" si="13"/>
        <v>200000</v>
      </c>
      <c r="J127" s="23" t="s">
        <v>39</v>
      </c>
      <c r="L127" s="69"/>
      <c r="M127" s="61"/>
      <c r="N127" s="61">
        <f t="shared" si="14"/>
        <v>200000</v>
      </c>
      <c r="O127" s="61"/>
      <c r="P127" s="61"/>
      <c r="Q127" s="61"/>
      <c r="R127" s="61"/>
      <c r="S127" s="62"/>
    </row>
    <row r="128" spans="1:19" s="18" customFormat="1" ht="12.75" x14ac:dyDescent="0.2">
      <c r="A128" s="14">
        <v>119</v>
      </c>
      <c r="B128" s="24" t="s">
        <v>245</v>
      </c>
      <c r="C128" s="24" t="s">
        <v>17</v>
      </c>
      <c r="D128" s="67">
        <v>252</v>
      </c>
      <c r="E128" s="23" t="s">
        <v>368</v>
      </c>
      <c r="F128" s="24" t="s">
        <v>19</v>
      </c>
      <c r="G128" s="13">
        <v>80</v>
      </c>
      <c r="H128" s="25">
        <v>1000</v>
      </c>
      <c r="I128" s="21">
        <f t="shared" si="13"/>
        <v>80000</v>
      </c>
      <c r="J128" s="23" t="s">
        <v>60</v>
      </c>
      <c r="L128" s="69"/>
      <c r="M128" s="61"/>
      <c r="N128" s="61">
        <f t="shared" si="14"/>
        <v>80000</v>
      </c>
      <c r="O128" s="61"/>
      <c r="P128" s="61"/>
      <c r="Q128" s="61"/>
      <c r="R128" s="61"/>
      <c r="S128" s="62"/>
    </row>
    <row r="129" spans="1:19" s="18" customFormat="1" ht="12.75" x14ac:dyDescent="0.2">
      <c r="A129" s="14">
        <v>120</v>
      </c>
      <c r="B129" s="24" t="s">
        <v>245</v>
      </c>
      <c r="C129" s="24" t="s">
        <v>17</v>
      </c>
      <c r="D129" s="67">
        <v>252</v>
      </c>
      <c r="E129" s="23" t="s">
        <v>368</v>
      </c>
      <c r="F129" s="24" t="s">
        <v>19</v>
      </c>
      <c r="G129" s="13">
        <v>80</v>
      </c>
      <c r="H129" s="25">
        <v>1000</v>
      </c>
      <c r="I129" s="21">
        <f t="shared" si="13"/>
        <v>80000</v>
      </c>
      <c r="J129" s="23" t="s">
        <v>61</v>
      </c>
      <c r="L129" s="69"/>
      <c r="M129" s="61"/>
      <c r="N129" s="61">
        <f t="shared" si="14"/>
        <v>80000</v>
      </c>
      <c r="O129" s="61"/>
      <c r="P129" s="61"/>
      <c r="Q129" s="61"/>
      <c r="R129" s="61"/>
      <c r="S129" s="62"/>
    </row>
    <row r="130" spans="1:19" s="18" customFormat="1" ht="12.75" x14ac:dyDescent="0.2">
      <c r="A130" s="14">
        <v>121</v>
      </c>
      <c r="B130" s="24" t="s">
        <v>245</v>
      </c>
      <c r="C130" s="24" t="s">
        <v>17</v>
      </c>
      <c r="D130" s="67">
        <v>252</v>
      </c>
      <c r="E130" s="23" t="s">
        <v>368</v>
      </c>
      <c r="F130" s="24" t="s">
        <v>19</v>
      </c>
      <c r="G130" s="13">
        <v>150</v>
      </c>
      <c r="H130" s="25">
        <v>1000</v>
      </c>
      <c r="I130" s="21">
        <f t="shared" si="13"/>
        <v>150000</v>
      </c>
      <c r="J130" s="23" t="s">
        <v>62</v>
      </c>
      <c r="L130" s="69"/>
      <c r="M130" s="61"/>
      <c r="N130" s="61">
        <f t="shared" si="14"/>
        <v>150000</v>
      </c>
      <c r="O130" s="61"/>
      <c r="P130" s="61"/>
      <c r="Q130" s="61"/>
      <c r="R130" s="61"/>
      <c r="S130" s="62"/>
    </row>
    <row r="131" spans="1:19" s="18" customFormat="1" ht="12.75" x14ac:dyDescent="0.2">
      <c r="A131" s="14">
        <v>122</v>
      </c>
      <c r="B131" s="24" t="s">
        <v>245</v>
      </c>
      <c r="C131" s="24" t="s">
        <v>17</v>
      </c>
      <c r="D131" s="67">
        <v>252</v>
      </c>
      <c r="E131" s="23" t="s">
        <v>368</v>
      </c>
      <c r="F131" s="24" t="s">
        <v>19</v>
      </c>
      <c r="G131" s="13">
        <v>150</v>
      </c>
      <c r="H131" s="25">
        <v>1000</v>
      </c>
      <c r="I131" s="21">
        <f t="shared" si="13"/>
        <v>150000</v>
      </c>
      <c r="J131" s="23" t="s">
        <v>63</v>
      </c>
      <c r="L131" s="69"/>
      <c r="M131" s="61"/>
      <c r="N131" s="61">
        <f t="shared" si="14"/>
        <v>150000</v>
      </c>
      <c r="O131" s="61"/>
      <c r="P131" s="61"/>
      <c r="Q131" s="61"/>
      <c r="R131" s="61"/>
      <c r="S131" s="62"/>
    </row>
    <row r="132" spans="1:19" s="18" customFormat="1" ht="12.75" x14ac:dyDescent="0.2">
      <c r="A132" s="14">
        <v>123</v>
      </c>
      <c r="B132" s="24" t="s">
        <v>245</v>
      </c>
      <c r="C132" s="24" t="s">
        <v>17</v>
      </c>
      <c r="D132" s="67">
        <v>252</v>
      </c>
      <c r="E132" s="23" t="s">
        <v>368</v>
      </c>
      <c r="F132" s="24" t="s">
        <v>19</v>
      </c>
      <c r="G132" s="13">
        <v>80</v>
      </c>
      <c r="H132" s="25">
        <v>1000</v>
      </c>
      <c r="I132" s="21">
        <f t="shared" si="13"/>
        <v>80000</v>
      </c>
      <c r="J132" s="23" t="s">
        <v>64</v>
      </c>
      <c r="L132" s="69"/>
      <c r="M132" s="61"/>
      <c r="N132" s="61">
        <f t="shared" si="14"/>
        <v>80000</v>
      </c>
      <c r="O132" s="61"/>
      <c r="P132" s="61"/>
      <c r="Q132" s="61"/>
      <c r="R132" s="61"/>
      <c r="S132" s="62"/>
    </row>
    <row r="133" spans="1:19" s="18" customFormat="1" ht="25.5" x14ac:dyDescent="0.2">
      <c r="A133" s="14">
        <v>124</v>
      </c>
      <c r="B133" s="24" t="s">
        <v>246</v>
      </c>
      <c r="C133" s="24" t="s">
        <v>17</v>
      </c>
      <c r="D133" s="67">
        <v>252</v>
      </c>
      <c r="E133" s="23" t="s">
        <v>369</v>
      </c>
      <c r="F133" s="24" t="s">
        <v>19</v>
      </c>
      <c r="G133" s="13">
        <v>40</v>
      </c>
      <c r="H133" s="25">
        <v>1300</v>
      </c>
      <c r="I133" s="21">
        <f t="shared" si="13"/>
        <v>52000</v>
      </c>
      <c r="J133" s="23" t="s">
        <v>65</v>
      </c>
      <c r="L133" s="69"/>
      <c r="M133" s="61"/>
      <c r="N133" s="61"/>
      <c r="O133" s="61"/>
      <c r="P133" s="61"/>
      <c r="Q133" s="61">
        <f t="shared" si="8"/>
        <v>52000</v>
      </c>
      <c r="R133" s="61"/>
      <c r="S133" s="62"/>
    </row>
    <row r="134" spans="1:19" s="18" customFormat="1" ht="25.5" x14ac:dyDescent="0.2">
      <c r="A134" s="14">
        <v>125</v>
      </c>
      <c r="B134" s="24" t="s">
        <v>246</v>
      </c>
      <c r="C134" s="24" t="s">
        <v>17</v>
      </c>
      <c r="D134" s="67">
        <v>252</v>
      </c>
      <c r="E134" s="23" t="s">
        <v>369</v>
      </c>
      <c r="F134" s="24" t="s">
        <v>19</v>
      </c>
      <c r="G134" s="13">
        <v>50</v>
      </c>
      <c r="H134" s="25">
        <v>1300</v>
      </c>
      <c r="I134" s="21">
        <f t="shared" si="13"/>
        <v>65000</v>
      </c>
      <c r="J134" s="23" t="s">
        <v>66</v>
      </c>
      <c r="L134" s="69"/>
      <c r="M134" s="61"/>
      <c r="N134" s="61"/>
      <c r="O134" s="61"/>
      <c r="P134" s="61"/>
      <c r="Q134" s="61">
        <f t="shared" si="8"/>
        <v>65000</v>
      </c>
      <c r="R134" s="61"/>
      <c r="S134" s="62"/>
    </row>
    <row r="135" spans="1:19" s="18" customFormat="1" ht="25.5" x14ac:dyDescent="0.2">
      <c r="A135" s="14">
        <v>126</v>
      </c>
      <c r="B135" s="24" t="s">
        <v>246</v>
      </c>
      <c r="C135" s="24" t="s">
        <v>17</v>
      </c>
      <c r="D135" s="67">
        <v>252</v>
      </c>
      <c r="E135" s="23" t="s">
        <v>369</v>
      </c>
      <c r="F135" s="24" t="s">
        <v>19</v>
      </c>
      <c r="G135" s="13">
        <v>50</v>
      </c>
      <c r="H135" s="25">
        <v>1300</v>
      </c>
      <c r="I135" s="21">
        <f t="shared" si="13"/>
        <v>65000</v>
      </c>
      <c r="J135" s="23" t="s">
        <v>67</v>
      </c>
      <c r="L135" s="69"/>
      <c r="M135" s="61"/>
      <c r="N135" s="61"/>
      <c r="O135" s="61"/>
      <c r="P135" s="61"/>
      <c r="Q135" s="61">
        <f t="shared" si="8"/>
        <v>65000</v>
      </c>
      <c r="R135" s="61"/>
      <c r="S135" s="62"/>
    </row>
    <row r="136" spans="1:19" s="18" customFormat="1" ht="25.5" x14ac:dyDescent="0.2">
      <c r="A136" s="14">
        <v>127</v>
      </c>
      <c r="B136" s="24" t="s">
        <v>217</v>
      </c>
      <c r="C136" s="24" t="s">
        <v>17</v>
      </c>
      <c r="D136" s="67">
        <v>252</v>
      </c>
      <c r="E136" s="23" t="s">
        <v>55</v>
      </c>
      <c r="F136" s="24" t="s">
        <v>19</v>
      </c>
      <c r="G136" s="13">
        <v>30</v>
      </c>
      <c r="H136" s="25">
        <v>700</v>
      </c>
      <c r="I136" s="21">
        <f t="shared" si="13"/>
        <v>21000</v>
      </c>
      <c r="J136" s="23" t="s">
        <v>55</v>
      </c>
      <c r="L136" s="69"/>
      <c r="M136" s="61"/>
      <c r="N136" s="61"/>
      <c r="O136" s="61"/>
      <c r="P136" s="61"/>
      <c r="Q136" s="61">
        <f t="shared" si="8"/>
        <v>21000</v>
      </c>
      <c r="R136" s="61"/>
      <c r="S136" s="62"/>
    </row>
    <row r="137" spans="1:19" s="18" customFormat="1" ht="12.75" x14ac:dyDescent="0.2">
      <c r="A137" s="14">
        <v>128</v>
      </c>
      <c r="B137" s="24" t="s">
        <v>216</v>
      </c>
      <c r="C137" s="24" t="s">
        <v>17</v>
      </c>
      <c r="D137" s="67">
        <v>252</v>
      </c>
      <c r="E137" s="23" t="s">
        <v>347</v>
      </c>
      <c r="F137" s="24" t="s">
        <v>19</v>
      </c>
      <c r="G137" s="13">
        <v>50</v>
      </c>
      <c r="H137" s="25">
        <v>1050</v>
      </c>
      <c r="I137" s="63">
        <f t="shared" si="13"/>
        <v>52500</v>
      </c>
      <c r="J137" s="23" t="s">
        <v>405</v>
      </c>
      <c r="L137" s="69"/>
      <c r="M137" s="61"/>
      <c r="N137" s="61"/>
      <c r="O137" s="61"/>
      <c r="P137" s="61"/>
      <c r="Q137" s="61">
        <f t="shared" si="8"/>
        <v>52500</v>
      </c>
      <c r="R137" s="61"/>
      <c r="S137" s="62"/>
    </row>
    <row r="138" spans="1:19" s="18" customFormat="1" ht="12.75" x14ac:dyDescent="0.2">
      <c r="A138" s="14">
        <v>129</v>
      </c>
      <c r="B138" s="24" t="s">
        <v>237</v>
      </c>
      <c r="C138" s="24" t="s">
        <v>17</v>
      </c>
      <c r="D138" s="24">
        <v>295</v>
      </c>
      <c r="E138" s="23" t="s">
        <v>360</v>
      </c>
      <c r="F138" s="24" t="s">
        <v>19</v>
      </c>
      <c r="G138" s="13">
        <v>20</v>
      </c>
      <c r="H138" s="25">
        <v>400</v>
      </c>
      <c r="I138" s="21">
        <f t="shared" si="13"/>
        <v>8000</v>
      </c>
      <c r="J138" s="23" t="s">
        <v>57</v>
      </c>
      <c r="L138" s="69"/>
      <c r="M138" s="61"/>
      <c r="N138" s="61"/>
      <c r="O138" s="61"/>
      <c r="P138" s="61"/>
      <c r="Q138" s="61">
        <f t="shared" si="8"/>
        <v>8000</v>
      </c>
      <c r="R138" s="61"/>
      <c r="S138" s="62"/>
    </row>
    <row r="139" spans="1:19" s="18" customFormat="1" ht="12.75" x14ac:dyDescent="0.2">
      <c r="A139" s="14">
        <v>130</v>
      </c>
      <c r="B139" s="24" t="s">
        <v>243</v>
      </c>
      <c r="C139" s="24" t="s">
        <v>17</v>
      </c>
      <c r="D139" s="24">
        <v>295</v>
      </c>
      <c r="E139" s="23" t="s">
        <v>366</v>
      </c>
      <c r="F139" s="24" t="s">
        <v>19</v>
      </c>
      <c r="G139" s="13">
        <v>8</v>
      </c>
      <c r="H139" s="25">
        <v>1000</v>
      </c>
      <c r="I139" s="21">
        <f t="shared" si="13"/>
        <v>8000</v>
      </c>
      <c r="J139" s="23" t="s">
        <v>79</v>
      </c>
      <c r="L139" s="69"/>
      <c r="M139" s="61"/>
      <c r="N139" s="61"/>
      <c r="O139" s="61"/>
      <c r="P139" s="61"/>
      <c r="Q139" s="61">
        <f t="shared" si="8"/>
        <v>8000</v>
      </c>
      <c r="R139" s="61"/>
      <c r="S139" s="62"/>
    </row>
    <row r="140" spans="1:19" s="18" customFormat="1" ht="12.75" x14ac:dyDescent="0.2">
      <c r="A140" s="14">
        <v>131</v>
      </c>
      <c r="B140" s="24" t="s">
        <v>240</v>
      </c>
      <c r="C140" s="24" t="s">
        <v>17</v>
      </c>
      <c r="D140" s="24">
        <v>259</v>
      </c>
      <c r="E140" s="23" t="s">
        <v>363</v>
      </c>
      <c r="F140" s="24" t="s">
        <v>18</v>
      </c>
      <c r="G140" s="13">
        <v>100</v>
      </c>
      <c r="H140" s="25">
        <v>3500</v>
      </c>
      <c r="I140" s="21">
        <f t="shared" si="13"/>
        <v>350000</v>
      </c>
      <c r="J140" s="23" t="s">
        <v>90</v>
      </c>
      <c r="L140" s="69"/>
      <c r="M140" s="61"/>
      <c r="N140" s="61"/>
      <c r="O140" s="61"/>
      <c r="P140" s="61"/>
      <c r="Q140" s="61">
        <f t="shared" si="8"/>
        <v>350000</v>
      </c>
      <c r="R140" s="61"/>
      <c r="S140" s="62"/>
    </row>
    <row r="141" spans="1:19" s="18" customFormat="1" ht="25.5" x14ac:dyDescent="0.2">
      <c r="A141" s="14">
        <v>132</v>
      </c>
      <c r="B141" s="24" t="s">
        <v>206</v>
      </c>
      <c r="C141" s="24" t="s">
        <v>17</v>
      </c>
      <c r="D141" s="24">
        <v>259</v>
      </c>
      <c r="E141" s="23" t="s">
        <v>337</v>
      </c>
      <c r="F141" s="24" t="s">
        <v>19</v>
      </c>
      <c r="G141" s="13">
        <v>250</v>
      </c>
      <c r="H141" s="25">
        <v>600</v>
      </c>
      <c r="I141" s="21">
        <f t="shared" si="13"/>
        <v>150000</v>
      </c>
      <c r="J141" s="23" t="s">
        <v>92</v>
      </c>
      <c r="L141" s="69"/>
      <c r="M141" s="61"/>
      <c r="N141" s="61"/>
      <c r="O141" s="61"/>
      <c r="P141" s="61"/>
      <c r="Q141" s="61">
        <f t="shared" si="8"/>
        <v>150000</v>
      </c>
      <c r="R141" s="61"/>
      <c r="S141" s="62"/>
    </row>
    <row r="142" spans="1:19" s="18" customFormat="1" ht="12.75" x14ac:dyDescent="0.2">
      <c r="A142" s="14">
        <v>133</v>
      </c>
      <c r="B142" s="24" t="s">
        <v>253</v>
      </c>
      <c r="C142" s="24" t="s">
        <v>17</v>
      </c>
      <c r="D142" s="24">
        <v>295</v>
      </c>
      <c r="E142" s="23" t="s">
        <v>375</v>
      </c>
      <c r="F142" s="24" t="s">
        <v>18</v>
      </c>
      <c r="G142" s="13">
        <v>50</v>
      </c>
      <c r="H142" s="25">
        <v>2000</v>
      </c>
      <c r="I142" s="63">
        <f t="shared" si="13"/>
        <v>100000</v>
      </c>
      <c r="J142" s="23" t="s">
        <v>124</v>
      </c>
      <c r="L142" s="69"/>
      <c r="M142" s="61"/>
      <c r="N142" s="61"/>
      <c r="O142" s="61"/>
      <c r="P142" s="61"/>
      <c r="Q142" s="61">
        <f t="shared" si="8"/>
        <v>100000</v>
      </c>
      <c r="R142" s="61"/>
      <c r="S142" s="62"/>
    </row>
    <row r="143" spans="1:19" s="18" customFormat="1" ht="12.75" x14ac:dyDescent="0.2">
      <c r="A143" s="14">
        <v>134</v>
      </c>
      <c r="B143" s="24" t="s">
        <v>252</v>
      </c>
      <c r="C143" s="24" t="s">
        <v>17</v>
      </c>
      <c r="D143" s="24">
        <v>295</v>
      </c>
      <c r="E143" s="23" t="s">
        <v>376</v>
      </c>
      <c r="F143" s="24" t="s">
        <v>18</v>
      </c>
      <c r="G143" s="13">
        <v>50</v>
      </c>
      <c r="H143" s="25">
        <v>2000</v>
      </c>
      <c r="I143" s="63">
        <f t="shared" si="13"/>
        <v>100000</v>
      </c>
      <c r="J143" s="23" t="s">
        <v>125</v>
      </c>
      <c r="L143" s="69"/>
      <c r="M143" s="61"/>
      <c r="N143" s="61"/>
      <c r="O143" s="61"/>
      <c r="P143" s="61"/>
      <c r="Q143" s="61">
        <f t="shared" si="8"/>
        <v>100000</v>
      </c>
      <c r="R143" s="61"/>
      <c r="S143" s="62"/>
    </row>
    <row r="144" spans="1:19" s="18" customFormat="1" ht="12.75" x14ac:dyDescent="0.2">
      <c r="A144" s="14">
        <v>135</v>
      </c>
      <c r="B144" s="24" t="s">
        <v>251</v>
      </c>
      <c r="C144" s="24" t="s">
        <v>17</v>
      </c>
      <c r="D144" s="24">
        <v>295</v>
      </c>
      <c r="E144" s="23" t="s">
        <v>374</v>
      </c>
      <c r="F144" s="24" t="s">
        <v>19</v>
      </c>
      <c r="G144" s="13">
        <v>15</v>
      </c>
      <c r="H144" s="25">
        <v>2300</v>
      </c>
      <c r="I144" s="21">
        <f t="shared" si="13"/>
        <v>34500</v>
      </c>
      <c r="J144" s="23" t="s">
        <v>70</v>
      </c>
      <c r="L144" s="69"/>
      <c r="M144" s="61"/>
      <c r="N144" s="61"/>
      <c r="O144" s="61"/>
      <c r="P144" s="61"/>
      <c r="Q144" s="61">
        <f t="shared" si="8"/>
        <v>34500</v>
      </c>
      <c r="R144" s="61"/>
      <c r="S144" s="62"/>
    </row>
    <row r="145" spans="1:19" s="18" customFormat="1" ht="12.75" x14ac:dyDescent="0.2">
      <c r="A145" s="14">
        <v>136</v>
      </c>
      <c r="B145" s="24" t="s">
        <v>251</v>
      </c>
      <c r="C145" s="24" t="s">
        <v>17</v>
      </c>
      <c r="D145" s="24">
        <v>295</v>
      </c>
      <c r="E145" s="23" t="s">
        <v>374</v>
      </c>
      <c r="F145" s="24" t="s">
        <v>19</v>
      </c>
      <c r="G145" s="13">
        <v>50</v>
      </c>
      <c r="H145" s="25">
        <v>2000</v>
      </c>
      <c r="I145" s="63">
        <f t="shared" si="13"/>
        <v>100000</v>
      </c>
      <c r="J145" s="23" t="s">
        <v>123</v>
      </c>
      <c r="L145" s="69"/>
      <c r="M145" s="61"/>
      <c r="N145" s="61"/>
      <c r="O145" s="61"/>
      <c r="P145" s="61"/>
      <c r="Q145" s="61">
        <f t="shared" si="8"/>
        <v>100000</v>
      </c>
      <c r="R145" s="61"/>
      <c r="S145" s="62"/>
    </row>
    <row r="146" spans="1:19" s="18" customFormat="1" ht="25.5" x14ac:dyDescent="0.2">
      <c r="A146" s="14">
        <v>137</v>
      </c>
      <c r="B146" s="24" t="s">
        <v>159</v>
      </c>
      <c r="C146" s="24" t="s">
        <v>17</v>
      </c>
      <c r="D146" s="24">
        <v>252</v>
      </c>
      <c r="E146" s="23" t="s">
        <v>298</v>
      </c>
      <c r="F146" s="24" t="s">
        <v>19</v>
      </c>
      <c r="G146" s="13">
        <v>20</v>
      </c>
      <c r="H146" s="25">
        <v>600</v>
      </c>
      <c r="I146" s="21">
        <f t="shared" si="13"/>
        <v>12000</v>
      </c>
      <c r="J146" s="23" t="s">
        <v>34</v>
      </c>
      <c r="L146" s="69"/>
      <c r="M146" s="61"/>
      <c r="N146" s="61"/>
      <c r="O146" s="61"/>
      <c r="P146" s="61">
        <f t="shared" ref="P146:P147" si="15">+I146</f>
        <v>12000</v>
      </c>
      <c r="Q146" s="61"/>
      <c r="R146" s="61"/>
      <c r="S146" s="62"/>
    </row>
    <row r="147" spans="1:19" s="18" customFormat="1" ht="12.75" x14ac:dyDescent="0.2">
      <c r="A147" s="14">
        <v>138</v>
      </c>
      <c r="B147" s="24" t="s">
        <v>260</v>
      </c>
      <c r="C147" s="24" t="s">
        <v>17</v>
      </c>
      <c r="D147" s="67">
        <v>265</v>
      </c>
      <c r="E147" s="23" t="s">
        <v>382</v>
      </c>
      <c r="F147" s="24" t="s">
        <v>19</v>
      </c>
      <c r="G147" s="13">
        <v>12</v>
      </c>
      <c r="H147" s="25">
        <v>2300</v>
      </c>
      <c r="I147" s="21">
        <f t="shared" si="13"/>
        <v>27600</v>
      </c>
      <c r="J147" s="23" t="s">
        <v>72</v>
      </c>
      <c r="L147" s="69"/>
      <c r="M147" s="61"/>
      <c r="N147" s="61"/>
      <c r="O147" s="61"/>
      <c r="P147" s="61">
        <f t="shared" si="15"/>
        <v>27600</v>
      </c>
      <c r="Q147" s="61"/>
      <c r="R147" s="61"/>
      <c r="S147" s="62"/>
    </row>
    <row r="148" spans="1:19" s="18" customFormat="1" ht="13.5" thickBot="1" x14ac:dyDescent="0.25">
      <c r="A148" s="14">
        <v>139</v>
      </c>
      <c r="B148" s="24" t="s">
        <v>261</v>
      </c>
      <c r="C148" s="24" t="s">
        <v>17</v>
      </c>
      <c r="D148" s="67">
        <v>265</v>
      </c>
      <c r="E148" s="23" t="s">
        <v>383</v>
      </c>
      <c r="F148" s="24" t="s">
        <v>19</v>
      </c>
      <c r="G148" s="13">
        <v>12</v>
      </c>
      <c r="H148" s="25">
        <v>2000</v>
      </c>
      <c r="I148" s="21">
        <f t="shared" si="13"/>
        <v>24000</v>
      </c>
      <c r="J148" s="23" t="s">
        <v>73</v>
      </c>
      <c r="L148" s="69"/>
      <c r="M148" s="61"/>
      <c r="N148" s="61"/>
      <c r="O148" s="61"/>
      <c r="P148" s="61"/>
      <c r="Q148" s="61"/>
      <c r="R148" s="61"/>
      <c r="S148" s="62"/>
    </row>
    <row r="149" spans="1:19" s="18" customFormat="1" ht="13.5" thickBot="1" x14ac:dyDescent="0.25">
      <c r="A149" s="37"/>
      <c r="B149" s="38"/>
      <c r="C149" s="38"/>
      <c r="D149" s="38"/>
      <c r="E149" s="39" t="s">
        <v>74</v>
      </c>
      <c r="F149" s="38"/>
      <c r="G149" s="41"/>
      <c r="H149" s="40"/>
      <c r="I149" s="42">
        <f>SUM(I10:I147)</f>
        <v>14216300</v>
      </c>
      <c r="J149" s="48"/>
      <c r="L149" s="70"/>
      <c r="M149" s="62"/>
      <c r="N149" s="62"/>
      <c r="O149" s="62"/>
      <c r="P149" s="62"/>
      <c r="Q149" s="62"/>
      <c r="R149" s="62"/>
      <c r="S149" s="62"/>
    </row>
    <row r="150" spans="1:19" s="18" customFormat="1" ht="12.75" x14ac:dyDescent="0.2">
      <c r="A150" s="43"/>
      <c r="B150" s="43"/>
      <c r="C150" s="43"/>
      <c r="D150" s="43"/>
      <c r="E150" s="44"/>
      <c r="F150" s="43"/>
      <c r="G150" s="45"/>
      <c r="H150" s="46"/>
      <c r="I150" s="46"/>
      <c r="J150" s="47"/>
      <c r="L150" s="69"/>
      <c r="M150" s="61">
        <f t="shared" ref="M150:R150" si="16">SUM(M10:M149)</f>
        <v>195500</v>
      </c>
      <c r="N150" s="61">
        <f t="shared" si="16"/>
        <v>2045200</v>
      </c>
      <c r="O150" s="61">
        <f t="shared" si="16"/>
        <v>105000</v>
      </c>
      <c r="P150" s="61">
        <f t="shared" si="16"/>
        <v>105600</v>
      </c>
      <c r="Q150" s="61">
        <f t="shared" si="16"/>
        <v>4675000</v>
      </c>
      <c r="R150" s="61">
        <f t="shared" si="16"/>
        <v>0</v>
      </c>
      <c r="S150" s="61">
        <f>SUM(L150:R150)</f>
        <v>7126300</v>
      </c>
    </row>
    <row r="151" spans="1:19" s="18" customFormat="1" ht="15.75" thickBot="1" x14ac:dyDescent="0.3">
      <c r="A151" s="43"/>
      <c r="B151" s="43"/>
      <c r="C151" s="43"/>
      <c r="D151" s="43"/>
      <c r="E151" s="44"/>
      <c r="F151" s="43"/>
      <c r="G151" s="45"/>
      <c r="H151" s="46"/>
      <c r="I151" s="46"/>
      <c r="J151" s="47"/>
      <c r="L151" s="68"/>
      <c r="M151" s="60">
        <v>259</v>
      </c>
      <c r="N151" s="60">
        <v>252</v>
      </c>
      <c r="O151" s="60">
        <v>256</v>
      </c>
      <c r="P151" s="60">
        <v>265</v>
      </c>
      <c r="Q151" s="60">
        <v>295</v>
      </c>
      <c r="R151" s="60">
        <v>296</v>
      </c>
      <c r="S151" s="62"/>
    </row>
    <row r="152" spans="1:19" s="18" customFormat="1" ht="120" customHeight="1" x14ac:dyDescent="0.2">
      <c r="A152" s="43"/>
      <c r="B152" s="43"/>
      <c r="C152" s="49" t="s">
        <v>82</v>
      </c>
      <c r="D152" s="94" t="s">
        <v>83</v>
      </c>
      <c r="E152" s="95"/>
      <c r="F152" s="43"/>
      <c r="G152" s="45"/>
      <c r="H152" s="46"/>
      <c r="I152" s="46"/>
      <c r="J152" s="47"/>
      <c r="L152" s="70"/>
      <c r="M152" s="62"/>
      <c r="N152" s="62"/>
      <c r="O152" s="62"/>
      <c r="P152" s="62"/>
      <c r="Q152" s="62"/>
      <c r="R152" s="62"/>
      <c r="S152" s="62"/>
    </row>
    <row r="153" spans="1:19" x14ac:dyDescent="0.25">
      <c r="C153" s="50"/>
      <c r="D153" s="51"/>
      <c r="E153" s="58"/>
    </row>
    <row r="154" spans="1:19" x14ac:dyDescent="0.25">
      <c r="C154" s="52" t="s">
        <v>84</v>
      </c>
      <c r="D154" s="53" t="s">
        <v>425</v>
      </c>
      <c r="E154" s="58"/>
    </row>
    <row r="155" spans="1:19" x14ac:dyDescent="0.25">
      <c r="C155" s="52"/>
      <c r="D155" s="54"/>
      <c r="E155" s="58"/>
    </row>
    <row r="156" spans="1:19" x14ac:dyDescent="0.25">
      <c r="C156" s="52" t="s">
        <v>85</v>
      </c>
      <c r="D156" s="55" t="s">
        <v>89</v>
      </c>
      <c r="E156" s="58"/>
    </row>
    <row r="157" spans="1:19" x14ac:dyDescent="0.25">
      <c r="C157" s="52"/>
      <c r="D157" s="55"/>
      <c r="E157" s="58"/>
    </row>
    <row r="158" spans="1:19" x14ac:dyDescent="0.25">
      <c r="C158" s="52" t="s">
        <v>86</v>
      </c>
      <c r="D158" s="54"/>
      <c r="E158" s="58"/>
    </row>
    <row r="159" spans="1:19" x14ac:dyDescent="0.25">
      <c r="C159" s="52"/>
      <c r="D159" s="54"/>
      <c r="E159" s="58"/>
    </row>
    <row r="160" spans="1:19" ht="15.75" thickBot="1" x14ac:dyDescent="0.3">
      <c r="C160" s="56" t="s">
        <v>87</v>
      </c>
      <c r="D160" s="57" t="s">
        <v>88</v>
      </c>
      <c r="E160" s="59"/>
    </row>
  </sheetData>
  <sortState xmlns:xlrd2="http://schemas.microsoft.com/office/spreadsheetml/2017/richdata2" ref="A10:J151">
    <sortCondition ref="E10"/>
  </sortState>
  <mergeCells count="8">
    <mergeCell ref="A7:B7"/>
    <mergeCell ref="D152:E152"/>
    <mergeCell ref="B2:H2"/>
    <mergeCell ref="A4:B4"/>
    <mergeCell ref="C4:E4"/>
    <mergeCell ref="A5:B5"/>
    <mergeCell ref="C5:E5"/>
    <mergeCell ref="A6:B6"/>
  </mergeCells>
  <conditionalFormatting sqref="B1:B9 E1:E9">
    <cfRule type="duplicateValues" dxfId="15" priority="5"/>
  </conditionalFormatting>
  <conditionalFormatting sqref="E1:E9 B1:B9">
    <cfRule type="duplicateValues" dxfId="14" priority="6"/>
  </conditionalFormatting>
  <conditionalFormatting sqref="B1:B9">
    <cfRule type="duplicateValues" dxfId="13" priority="7"/>
  </conditionalFormatting>
  <conditionalFormatting sqref="E1:E9">
    <cfRule type="duplicateValues" dxfId="12" priority="8"/>
  </conditionalFormatting>
  <conditionalFormatting sqref="E1:E9">
    <cfRule type="duplicateValues" dxfId="11" priority="9"/>
    <cfRule type="duplicateValues" dxfId="10" priority="10"/>
  </conditionalFormatting>
  <conditionalFormatting sqref="C154:C160">
    <cfRule type="duplicateValues" dxfId="9" priority="1"/>
  </conditionalFormatting>
  <conditionalFormatting sqref="C154:C160">
    <cfRule type="duplicateValues" dxfId="8" priority="2"/>
  </conditionalFormatting>
  <conditionalFormatting sqref="C154:C160">
    <cfRule type="duplicateValues" dxfId="7" priority="3"/>
  </conditionalFormatting>
  <conditionalFormatting sqref="C154:C160">
    <cfRule type="duplicateValues" dxfId="6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7"/>
  <sheetViews>
    <sheetView tabSelected="1" topLeftCell="F41" zoomScale="145" zoomScaleNormal="145" workbookViewId="0">
      <selection activeCell="J59" sqref="J59"/>
    </sheetView>
  </sheetViews>
  <sheetFormatPr baseColWidth="10" defaultRowHeight="15" x14ac:dyDescent="0.25"/>
  <cols>
    <col min="1" max="1" width="5.85546875" customWidth="1"/>
    <col min="2" max="2" width="13.85546875" bestFit="1" customWidth="1"/>
    <col min="3" max="3" width="36.28515625" customWidth="1"/>
    <col min="4" max="4" width="5.5703125" bestFit="1" customWidth="1"/>
    <col min="5" max="5" width="93.140625" customWidth="1"/>
    <col min="6" max="6" width="10.42578125" customWidth="1"/>
    <col min="7" max="7" width="14.5703125" customWidth="1"/>
    <col min="8" max="8" width="15.5703125" customWidth="1"/>
    <col min="9" max="9" width="16.7109375" customWidth="1"/>
    <col min="10" max="10" width="74.140625" customWidth="1"/>
    <col min="11" max="11" width="13.5703125" customWidth="1"/>
    <col min="12" max="12" width="13.85546875" bestFit="1" customWidth="1"/>
  </cols>
  <sheetData>
    <row r="1" spans="1:12" x14ac:dyDescent="0.25">
      <c r="A1" s="1">
        <v>2022</v>
      </c>
      <c r="B1" s="2"/>
      <c r="C1" s="3"/>
      <c r="D1" s="3"/>
      <c r="E1" s="4"/>
      <c r="F1" s="3"/>
      <c r="G1" s="5"/>
      <c r="H1" s="6"/>
      <c r="I1" s="7"/>
      <c r="J1" s="35"/>
      <c r="L1" s="68"/>
    </row>
    <row r="2" spans="1:12" ht="18.75" x14ac:dyDescent="0.25">
      <c r="A2" s="3"/>
      <c r="B2" s="96" t="s">
        <v>0</v>
      </c>
      <c r="C2" s="96"/>
      <c r="D2" s="96"/>
      <c r="E2" s="96"/>
      <c r="F2" s="96"/>
      <c r="G2" s="96"/>
      <c r="H2" s="96"/>
      <c r="I2" s="7"/>
      <c r="J2" s="35"/>
      <c r="L2" s="68"/>
    </row>
    <row r="3" spans="1:12" x14ac:dyDescent="0.25">
      <c r="A3" s="3"/>
      <c r="B3" s="2"/>
      <c r="C3" s="3"/>
      <c r="D3" s="3"/>
      <c r="E3" s="4"/>
      <c r="F3" s="3"/>
      <c r="G3" s="5"/>
      <c r="H3" s="6"/>
      <c r="I3" s="7"/>
      <c r="J3" s="35"/>
      <c r="L3" s="68"/>
    </row>
    <row r="4" spans="1:12" x14ac:dyDescent="0.25">
      <c r="A4" s="93" t="s">
        <v>1</v>
      </c>
      <c r="B4" s="93"/>
      <c r="C4" s="97" t="s">
        <v>2</v>
      </c>
      <c r="D4" s="97"/>
      <c r="E4" s="97"/>
      <c r="F4" s="8"/>
      <c r="G4" s="9"/>
      <c r="H4" s="6"/>
      <c r="I4" s="7"/>
      <c r="J4" s="35"/>
      <c r="L4" s="68"/>
    </row>
    <row r="5" spans="1:12" x14ac:dyDescent="0.25">
      <c r="A5" s="93" t="s">
        <v>3</v>
      </c>
      <c r="B5" s="93"/>
      <c r="C5" s="98" t="s">
        <v>4</v>
      </c>
      <c r="D5" s="98"/>
      <c r="E5" s="98"/>
      <c r="F5" s="8"/>
      <c r="G5" s="9"/>
      <c r="H5" s="6"/>
      <c r="I5" s="7"/>
      <c r="J5" s="35"/>
      <c r="L5" s="68"/>
    </row>
    <row r="6" spans="1:12" x14ac:dyDescent="0.25">
      <c r="A6" s="93" t="s">
        <v>5</v>
      </c>
      <c r="B6" s="93"/>
      <c r="C6" s="10">
        <v>2022</v>
      </c>
      <c r="D6" s="11"/>
      <c r="E6" s="10"/>
      <c r="F6" s="8"/>
      <c r="G6" s="9"/>
      <c r="H6" s="6"/>
      <c r="I6" s="7"/>
      <c r="J6" s="35"/>
      <c r="L6" s="68"/>
    </row>
    <row r="7" spans="1:12" x14ac:dyDescent="0.25">
      <c r="A7" s="93" t="s">
        <v>6</v>
      </c>
      <c r="B7" s="93"/>
      <c r="C7" s="10" t="s">
        <v>263</v>
      </c>
      <c r="D7" s="65"/>
      <c r="E7" s="10"/>
      <c r="F7" s="8"/>
      <c r="G7" s="9"/>
      <c r="H7" s="6"/>
      <c r="I7" s="7"/>
      <c r="J7" s="35"/>
      <c r="L7" s="68"/>
    </row>
    <row r="8" spans="1:12" ht="15.75" thickBot="1" x14ac:dyDescent="0.3">
      <c r="A8" s="3"/>
      <c r="B8" s="8"/>
      <c r="C8" s="8"/>
      <c r="D8" s="8"/>
      <c r="E8" s="12"/>
      <c r="F8" s="8"/>
      <c r="G8" s="9"/>
      <c r="H8" s="6"/>
      <c r="I8" s="7"/>
      <c r="J8" s="35"/>
      <c r="L8" s="68"/>
    </row>
    <row r="9" spans="1:12" ht="39" thickBot="1" x14ac:dyDescent="0.3">
      <c r="A9" s="28" t="s">
        <v>7</v>
      </c>
      <c r="B9" s="29" t="s">
        <v>8</v>
      </c>
      <c r="C9" s="30" t="s">
        <v>9</v>
      </c>
      <c r="D9" s="29" t="s">
        <v>10</v>
      </c>
      <c r="E9" s="31" t="s">
        <v>11</v>
      </c>
      <c r="F9" s="30" t="s">
        <v>12</v>
      </c>
      <c r="G9" s="32" t="s">
        <v>13</v>
      </c>
      <c r="H9" s="34" t="s">
        <v>14</v>
      </c>
      <c r="I9" s="33" t="s">
        <v>15</v>
      </c>
      <c r="J9" s="36" t="s">
        <v>16</v>
      </c>
      <c r="L9" s="68"/>
    </row>
    <row r="10" spans="1:12" x14ac:dyDescent="0.25">
      <c r="A10" s="73">
        <v>1</v>
      </c>
      <c r="B10" s="73" t="s">
        <v>129</v>
      </c>
      <c r="C10" s="78" t="s">
        <v>17</v>
      </c>
      <c r="D10" s="73">
        <v>256</v>
      </c>
      <c r="E10" s="74" t="s">
        <v>264</v>
      </c>
      <c r="F10" s="73" t="s">
        <v>19</v>
      </c>
      <c r="G10" s="75">
        <v>150</v>
      </c>
      <c r="H10" s="76">
        <v>700</v>
      </c>
      <c r="I10" s="77">
        <f t="shared" ref="I10:I28" si="0">+G10*H10</f>
        <v>105000</v>
      </c>
      <c r="J10" s="74" t="s">
        <v>390</v>
      </c>
      <c r="K10" s="26" t="s">
        <v>426</v>
      </c>
      <c r="L10" s="69"/>
    </row>
    <row r="11" spans="1:12" x14ac:dyDescent="0.25">
      <c r="A11" s="66">
        <v>2</v>
      </c>
      <c r="B11" s="66" t="s">
        <v>130</v>
      </c>
      <c r="C11" s="66" t="s">
        <v>17</v>
      </c>
      <c r="D11" s="66">
        <v>252</v>
      </c>
      <c r="E11" s="79" t="s">
        <v>265</v>
      </c>
      <c r="F11" s="66" t="s">
        <v>19</v>
      </c>
      <c r="G11" s="75">
        <v>300</v>
      </c>
      <c r="H11" s="80">
        <v>700</v>
      </c>
      <c r="I11" s="81">
        <f t="shared" si="0"/>
        <v>210000</v>
      </c>
      <c r="J11" s="79" t="s">
        <v>391</v>
      </c>
      <c r="K11" s="26"/>
      <c r="L11" s="69"/>
    </row>
    <row r="12" spans="1:12" x14ac:dyDescent="0.25">
      <c r="A12" s="66">
        <v>3</v>
      </c>
      <c r="B12" s="67" t="s">
        <v>242</v>
      </c>
      <c r="C12" s="67" t="s">
        <v>17</v>
      </c>
      <c r="D12" s="67">
        <v>295</v>
      </c>
      <c r="E12" s="82" t="s">
        <v>364</v>
      </c>
      <c r="F12" s="67" t="s">
        <v>19</v>
      </c>
      <c r="G12" s="75">
        <v>6</v>
      </c>
      <c r="H12" s="83">
        <v>5500</v>
      </c>
      <c r="I12" s="81">
        <f t="shared" si="0"/>
        <v>33000</v>
      </c>
      <c r="J12" s="82" t="s">
        <v>77</v>
      </c>
      <c r="K12" s="26"/>
      <c r="L12" s="69"/>
    </row>
    <row r="13" spans="1:12" x14ac:dyDescent="0.25">
      <c r="A13" s="66">
        <v>4</v>
      </c>
      <c r="B13" s="67" t="s">
        <v>241</v>
      </c>
      <c r="C13" s="67" t="s">
        <v>17</v>
      </c>
      <c r="D13" s="67">
        <v>295</v>
      </c>
      <c r="E13" s="82" t="s">
        <v>365</v>
      </c>
      <c r="F13" s="67" t="s">
        <v>19</v>
      </c>
      <c r="G13" s="75">
        <v>15</v>
      </c>
      <c r="H13" s="83">
        <v>5500</v>
      </c>
      <c r="I13" s="81">
        <f t="shared" si="0"/>
        <v>82500</v>
      </c>
      <c r="J13" s="82" t="s">
        <v>78</v>
      </c>
      <c r="K13" s="26"/>
      <c r="L13" s="69"/>
    </row>
    <row r="14" spans="1:12" x14ac:dyDescent="0.25">
      <c r="A14" s="66">
        <v>5</v>
      </c>
      <c r="B14" s="66" t="s">
        <v>389</v>
      </c>
      <c r="C14" s="66" t="s">
        <v>17</v>
      </c>
      <c r="D14" s="66">
        <v>252</v>
      </c>
      <c r="E14" s="79" t="s">
        <v>20</v>
      </c>
      <c r="F14" s="66" t="s">
        <v>19</v>
      </c>
      <c r="G14" s="75">
        <v>200</v>
      </c>
      <c r="H14" s="80">
        <v>1500</v>
      </c>
      <c r="I14" s="81">
        <f t="shared" si="0"/>
        <v>300000</v>
      </c>
      <c r="J14" s="84" t="s">
        <v>415</v>
      </c>
      <c r="K14" s="26" t="s">
        <v>429</v>
      </c>
      <c r="L14" s="69"/>
    </row>
    <row r="15" spans="1:12" ht="25.5" x14ac:dyDescent="0.25">
      <c r="A15" s="66">
        <v>6</v>
      </c>
      <c r="B15" s="66" t="s">
        <v>128</v>
      </c>
      <c r="C15" s="66" t="s">
        <v>17</v>
      </c>
      <c r="D15" s="66">
        <v>295</v>
      </c>
      <c r="E15" s="79" t="s">
        <v>266</v>
      </c>
      <c r="F15" s="66" t="s">
        <v>18</v>
      </c>
      <c r="G15" s="75">
        <v>200</v>
      </c>
      <c r="H15" s="80">
        <v>900</v>
      </c>
      <c r="I15" s="81">
        <f t="shared" si="0"/>
        <v>180000</v>
      </c>
      <c r="J15" s="79" t="s">
        <v>21</v>
      </c>
      <c r="K15" s="26"/>
      <c r="L15" s="69"/>
    </row>
    <row r="16" spans="1:12" x14ac:dyDescent="0.25">
      <c r="A16" s="66">
        <v>7</v>
      </c>
      <c r="B16" s="66" t="s">
        <v>132</v>
      </c>
      <c r="C16" s="66" t="s">
        <v>17</v>
      </c>
      <c r="D16" s="66">
        <v>295</v>
      </c>
      <c r="E16" s="79" t="s">
        <v>267</v>
      </c>
      <c r="F16" s="66" t="s">
        <v>18</v>
      </c>
      <c r="G16" s="75">
        <v>40</v>
      </c>
      <c r="H16" s="80">
        <v>900</v>
      </c>
      <c r="I16" s="81">
        <f t="shared" si="0"/>
        <v>36000</v>
      </c>
      <c r="J16" s="79" t="s">
        <v>22</v>
      </c>
      <c r="K16" s="26"/>
      <c r="L16" s="69"/>
    </row>
    <row r="17" spans="1:12" ht="25.5" x14ac:dyDescent="0.25">
      <c r="A17" s="66">
        <v>8</v>
      </c>
      <c r="B17" s="66" t="s">
        <v>131</v>
      </c>
      <c r="C17" s="66" t="s">
        <v>17</v>
      </c>
      <c r="D17" s="66">
        <v>295</v>
      </c>
      <c r="E17" s="79" t="s">
        <v>268</v>
      </c>
      <c r="F17" s="66" t="s">
        <v>18</v>
      </c>
      <c r="G17" s="75">
        <v>40</v>
      </c>
      <c r="H17" s="80">
        <v>900</v>
      </c>
      <c r="I17" s="81">
        <f t="shared" si="0"/>
        <v>36000</v>
      </c>
      <c r="J17" s="79" t="s">
        <v>23</v>
      </c>
      <c r="K17" s="26"/>
      <c r="L17" s="69"/>
    </row>
    <row r="18" spans="1:12" x14ac:dyDescent="0.25">
      <c r="A18" s="66">
        <v>9</v>
      </c>
      <c r="B18" s="67" t="s">
        <v>247</v>
      </c>
      <c r="C18" s="67" t="s">
        <v>17</v>
      </c>
      <c r="D18" s="67">
        <v>295</v>
      </c>
      <c r="E18" s="82" t="s">
        <v>370</v>
      </c>
      <c r="F18" s="67" t="s">
        <v>31</v>
      </c>
      <c r="G18" s="75">
        <v>50</v>
      </c>
      <c r="H18" s="83">
        <v>700</v>
      </c>
      <c r="I18" s="81">
        <f t="shared" si="0"/>
        <v>35000</v>
      </c>
      <c r="J18" s="82" t="s">
        <v>80</v>
      </c>
      <c r="K18" s="26"/>
      <c r="L18" s="69"/>
    </row>
    <row r="19" spans="1:12" ht="25.5" x14ac:dyDescent="0.25">
      <c r="A19" s="66">
        <v>10</v>
      </c>
      <c r="B19" s="66" t="s">
        <v>135</v>
      </c>
      <c r="C19" s="66" t="s">
        <v>17</v>
      </c>
      <c r="D19" s="66">
        <v>252</v>
      </c>
      <c r="E19" s="79" t="s">
        <v>271</v>
      </c>
      <c r="F19" s="66" t="s">
        <v>19</v>
      </c>
      <c r="G19" s="75">
        <v>50</v>
      </c>
      <c r="H19" s="80">
        <v>1800</v>
      </c>
      <c r="I19" s="81">
        <f t="shared" si="0"/>
        <v>90000</v>
      </c>
      <c r="J19" s="79" t="s">
        <v>393</v>
      </c>
      <c r="K19" s="26"/>
      <c r="L19" s="69"/>
    </row>
    <row r="20" spans="1:12" ht="25.5" x14ac:dyDescent="0.25">
      <c r="A20" s="66">
        <v>11</v>
      </c>
      <c r="B20" s="66" t="s">
        <v>134</v>
      </c>
      <c r="C20" s="66" t="s">
        <v>17</v>
      </c>
      <c r="D20" s="66">
        <v>252</v>
      </c>
      <c r="E20" s="79" t="s">
        <v>270</v>
      </c>
      <c r="F20" s="66" t="s">
        <v>18</v>
      </c>
      <c r="G20" s="75">
        <v>1440</v>
      </c>
      <c r="H20" s="80">
        <v>4500</v>
      </c>
      <c r="I20" s="81">
        <f t="shared" si="0"/>
        <v>6480000</v>
      </c>
      <c r="J20" s="84" t="s">
        <v>392</v>
      </c>
      <c r="K20" s="26" t="s">
        <v>429</v>
      </c>
      <c r="L20" s="69"/>
    </row>
    <row r="21" spans="1:12" ht="25.5" x14ac:dyDescent="0.25">
      <c r="A21" s="66">
        <v>12</v>
      </c>
      <c r="B21" s="66" t="s">
        <v>136</v>
      </c>
      <c r="C21" s="66" t="s">
        <v>17</v>
      </c>
      <c r="D21" s="66">
        <v>252</v>
      </c>
      <c r="E21" s="84" t="s">
        <v>137</v>
      </c>
      <c r="F21" s="66" t="s">
        <v>19</v>
      </c>
      <c r="G21" s="75">
        <v>20</v>
      </c>
      <c r="H21" s="80">
        <v>400</v>
      </c>
      <c r="I21" s="81">
        <f t="shared" si="0"/>
        <v>8000</v>
      </c>
      <c r="J21" s="79" t="s">
        <v>137</v>
      </c>
      <c r="K21" s="71" t="s">
        <v>427</v>
      </c>
      <c r="L21" s="72"/>
    </row>
    <row r="22" spans="1:12" ht="25.5" x14ac:dyDescent="0.25">
      <c r="A22" s="66">
        <v>13</v>
      </c>
      <c r="B22" s="67" t="s">
        <v>156</v>
      </c>
      <c r="C22" s="67" t="s">
        <v>17</v>
      </c>
      <c r="D22" s="67">
        <v>252</v>
      </c>
      <c r="E22" s="82" t="s">
        <v>296</v>
      </c>
      <c r="F22" s="67" t="s">
        <v>19</v>
      </c>
      <c r="G22" s="75">
        <v>60</v>
      </c>
      <c r="H22" s="83">
        <v>700</v>
      </c>
      <c r="I22" s="81">
        <f t="shared" si="0"/>
        <v>42000</v>
      </c>
      <c r="J22" s="84" t="s">
        <v>157</v>
      </c>
      <c r="K22" s="26" t="s">
        <v>429</v>
      </c>
      <c r="L22" s="69"/>
    </row>
    <row r="23" spans="1:12" ht="25.5" x14ac:dyDescent="0.25">
      <c r="A23" s="66">
        <v>14</v>
      </c>
      <c r="B23" s="67" t="s">
        <v>167</v>
      </c>
      <c r="C23" s="67" t="s">
        <v>17</v>
      </c>
      <c r="D23" s="67">
        <v>252</v>
      </c>
      <c r="E23" s="82" t="s">
        <v>321</v>
      </c>
      <c r="F23" s="67" t="s">
        <v>19</v>
      </c>
      <c r="G23" s="75">
        <v>50</v>
      </c>
      <c r="H23" s="83">
        <v>500</v>
      </c>
      <c r="I23" s="81">
        <f t="shared" si="0"/>
        <v>25000</v>
      </c>
      <c r="J23" s="84" t="s">
        <v>119</v>
      </c>
      <c r="K23" s="26" t="s">
        <v>429</v>
      </c>
      <c r="L23" s="69"/>
    </row>
    <row r="24" spans="1:12" x14ac:dyDescent="0.25">
      <c r="A24" s="66">
        <v>15</v>
      </c>
      <c r="B24" s="66" t="s">
        <v>138</v>
      </c>
      <c r="C24" s="85" t="s">
        <v>17</v>
      </c>
      <c r="D24" s="66">
        <v>222</v>
      </c>
      <c r="E24" s="79" t="s">
        <v>272</v>
      </c>
      <c r="F24" s="66" t="s">
        <v>18</v>
      </c>
      <c r="G24" s="75">
        <v>200</v>
      </c>
      <c r="H24" s="80">
        <v>700</v>
      </c>
      <c r="I24" s="81">
        <f t="shared" si="0"/>
        <v>140000</v>
      </c>
      <c r="J24" s="79" t="s">
        <v>385</v>
      </c>
      <c r="K24" s="26" t="s">
        <v>428</v>
      </c>
      <c r="L24" s="69"/>
    </row>
    <row r="25" spans="1:12" x14ac:dyDescent="0.25">
      <c r="A25" s="66">
        <v>16</v>
      </c>
      <c r="B25" s="66" t="s">
        <v>140</v>
      </c>
      <c r="C25" s="66" t="s">
        <v>17</v>
      </c>
      <c r="D25" s="66">
        <v>295</v>
      </c>
      <c r="E25" s="79" t="s">
        <v>274</v>
      </c>
      <c r="F25" s="66" t="s">
        <v>19</v>
      </c>
      <c r="G25" s="75">
        <v>50</v>
      </c>
      <c r="H25" s="80">
        <v>230</v>
      </c>
      <c r="I25" s="81">
        <f t="shared" si="0"/>
        <v>11500</v>
      </c>
      <c r="J25" s="84" t="s">
        <v>27</v>
      </c>
      <c r="K25" s="26" t="s">
        <v>429</v>
      </c>
      <c r="L25" s="69"/>
    </row>
    <row r="26" spans="1:12" x14ac:dyDescent="0.25">
      <c r="A26" s="66">
        <v>17</v>
      </c>
      <c r="B26" s="66" t="s">
        <v>141</v>
      </c>
      <c r="C26" s="66" t="s">
        <v>17</v>
      </c>
      <c r="D26" s="66">
        <v>252</v>
      </c>
      <c r="E26" s="79" t="s">
        <v>275</v>
      </c>
      <c r="F26" s="66" t="s">
        <v>19</v>
      </c>
      <c r="G26" s="75">
        <v>100</v>
      </c>
      <c r="H26" s="80">
        <v>1000</v>
      </c>
      <c r="I26" s="81">
        <f t="shared" si="0"/>
        <v>100000</v>
      </c>
      <c r="J26" s="79" t="s">
        <v>28</v>
      </c>
      <c r="K26" s="26"/>
      <c r="L26" s="69"/>
    </row>
    <row r="27" spans="1:12" ht="25.5" x14ac:dyDescent="0.25">
      <c r="A27" s="66">
        <v>18</v>
      </c>
      <c r="B27" s="67" t="s">
        <v>214</v>
      </c>
      <c r="C27" s="67" t="s">
        <v>17</v>
      </c>
      <c r="D27" s="67">
        <v>252</v>
      </c>
      <c r="E27" s="82" t="s">
        <v>345</v>
      </c>
      <c r="F27" s="67" t="s">
        <v>18</v>
      </c>
      <c r="G27" s="75">
        <v>20</v>
      </c>
      <c r="H27" s="83">
        <v>500</v>
      </c>
      <c r="I27" s="81">
        <f t="shared" si="0"/>
        <v>10000</v>
      </c>
      <c r="J27" s="82" t="s">
        <v>406</v>
      </c>
      <c r="K27" s="26"/>
      <c r="L27" s="69"/>
    </row>
    <row r="28" spans="1:12" x14ac:dyDescent="0.25">
      <c r="A28" s="66">
        <v>19</v>
      </c>
      <c r="B28" s="66" t="s">
        <v>395</v>
      </c>
      <c r="C28" s="66" t="s">
        <v>17</v>
      </c>
      <c r="D28" s="66">
        <v>252</v>
      </c>
      <c r="E28" s="79" t="s">
        <v>394</v>
      </c>
      <c r="F28" s="66" t="s">
        <v>19</v>
      </c>
      <c r="G28" s="75">
        <v>50</v>
      </c>
      <c r="H28" s="80">
        <v>500</v>
      </c>
      <c r="I28" s="81">
        <f t="shared" si="0"/>
        <v>25000</v>
      </c>
      <c r="J28" s="79" t="s">
        <v>396</v>
      </c>
      <c r="K28" s="26"/>
      <c r="L28" s="69"/>
    </row>
    <row r="29" spans="1:12" x14ac:dyDescent="0.25">
      <c r="A29" s="66">
        <v>20</v>
      </c>
      <c r="B29" s="66" t="s">
        <v>419</v>
      </c>
      <c r="C29" s="85" t="s">
        <v>17</v>
      </c>
      <c r="D29" s="66">
        <v>259</v>
      </c>
      <c r="E29" s="79" t="s">
        <v>420</v>
      </c>
      <c r="F29" s="66" t="s">
        <v>19</v>
      </c>
      <c r="G29" s="75">
        <v>100</v>
      </c>
      <c r="H29" s="80">
        <v>200</v>
      </c>
      <c r="I29" s="81">
        <v>20000</v>
      </c>
      <c r="J29" s="79" t="s">
        <v>29</v>
      </c>
      <c r="K29" s="26" t="s">
        <v>430</v>
      </c>
      <c r="L29" s="69"/>
    </row>
    <row r="30" spans="1:12" x14ac:dyDescent="0.25">
      <c r="A30" s="66">
        <v>21</v>
      </c>
      <c r="B30" s="66" t="s">
        <v>421</v>
      </c>
      <c r="C30" s="85" t="s">
        <v>17</v>
      </c>
      <c r="D30" s="66">
        <v>259</v>
      </c>
      <c r="E30" s="79" t="s">
        <v>422</v>
      </c>
      <c r="F30" s="66" t="s">
        <v>19</v>
      </c>
      <c r="G30" s="75">
        <v>50</v>
      </c>
      <c r="H30" s="80">
        <v>1000</v>
      </c>
      <c r="I30" s="81">
        <v>50000</v>
      </c>
      <c r="J30" s="79" t="s">
        <v>75</v>
      </c>
      <c r="K30" s="26" t="s">
        <v>430</v>
      </c>
      <c r="L30" s="69"/>
    </row>
    <row r="31" spans="1:12" x14ac:dyDescent="0.25">
      <c r="A31" s="66">
        <v>22</v>
      </c>
      <c r="B31" s="67" t="s">
        <v>230</v>
      </c>
      <c r="C31" s="67" t="s">
        <v>17</v>
      </c>
      <c r="D31" s="67">
        <v>295</v>
      </c>
      <c r="E31" s="82" t="s">
        <v>353</v>
      </c>
      <c r="F31" s="67" t="s">
        <v>19</v>
      </c>
      <c r="G31" s="75">
        <v>20</v>
      </c>
      <c r="H31" s="83">
        <v>300</v>
      </c>
      <c r="I31" s="81">
        <f t="shared" ref="I31:I94" si="1">+G31*H31</f>
        <v>6000</v>
      </c>
      <c r="J31" s="84" t="s">
        <v>225</v>
      </c>
      <c r="K31" s="26" t="s">
        <v>429</v>
      </c>
      <c r="L31" s="69"/>
    </row>
    <row r="32" spans="1:12" x14ac:dyDescent="0.25">
      <c r="A32" s="66">
        <v>23</v>
      </c>
      <c r="B32" s="67" t="s">
        <v>231</v>
      </c>
      <c r="C32" s="67" t="s">
        <v>17</v>
      </c>
      <c r="D32" s="67">
        <v>295</v>
      </c>
      <c r="E32" s="82" t="s">
        <v>354</v>
      </c>
      <c r="F32" s="67" t="s">
        <v>19</v>
      </c>
      <c r="G32" s="75">
        <v>20</v>
      </c>
      <c r="H32" s="83">
        <v>300</v>
      </c>
      <c r="I32" s="81">
        <f t="shared" si="1"/>
        <v>6000</v>
      </c>
      <c r="J32" s="84" t="s">
        <v>226</v>
      </c>
      <c r="K32" s="26" t="s">
        <v>429</v>
      </c>
      <c r="L32" s="69"/>
    </row>
    <row r="33" spans="1:13" x14ac:dyDescent="0.25">
      <c r="A33" s="66">
        <v>24</v>
      </c>
      <c r="B33" s="67" t="s">
        <v>232</v>
      </c>
      <c r="C33" s="67" t="s">
        <v>17</v>
      </c>
      <c r="D33" s="67">
        <v>295</v>
      </c>
      <c r="E33" s="82" t="s">
        <v>355</v>
      </c>
      <c r="F33" s="67" t="s">
        <v>19</v>
      </c>
      <c r="G33" s="75">
        <v>20</v>
      </c>
      <c r="H33" s="83">
        <v>300</v>
      </c>
      <c r="I33" s="81">
        <f t="shared" si="1"/>
        <v>6000</v>
      </c>
      <c r="J33" s="84" t="s">
        <v>227</v>
      </c>
      <c r="K33" s="26" t="s">
        <v>429</v>
      </c>
      <c r="L33" s="69"/>
    </row>
    <row r="34" spans="1:13" ht="25.5" x14ac:dyDescent="0.25">
      <c r="A34" s="66">
        <v>25</v>
      </c>
      <c r="B34" s="67" t="s">
        <v>233</v>
      </c>
      <c r="C34" s="67" t="s">
        <v>17</v>
      </c>
      <c r="D34" s="67">
        <v>295</v>
      </c>
      <c r="E34" s="82" t="s">
        <v>356</v>
      </c>
      <c r="F34" s="67" t="s">
        <v>19</v>
      </c>
      <c r="G34" s="75">
        <v>100</v>
      </c>
      <c r="H34" s="83">
        <v>300</v>
      </c>
      <c r="I34" s="81">
        <f t="shared" si="1"/>
        <v>30000</v>
      </c>
      <c r="J34" s="84" t="s">
        <v>407</v>
      </c>
      <c r="K34" s="86" t="s">
        <v>432</v>
      </c>
      <c r="L34" s="92" t="s">
        <v>431</v>
      </c>
    </row>
    <row r="35" spans="1:13" x14ac:dyDescent="0.25">
      <c r="A35" s="66">
        <v>26</v>
      </c>
      <c r="B35" s="67" t="s">
        <v>218</v>
      </c>
      <c r="C35" s="67" t="s">
        <v>17</v>
      </c>
      <c r="D35" s="67">
        <v>295</v>
      </c>
      <c r="E35" s="82" t="s">
        <v>348</v>
      </c>
      <c r="F35" s="67" t="s">
        <v>19</v>
      </c>
      <c r="G35" s="75">
        <v>100</v>
      </c>
      <c r="H35" s="83">
        <v>300</v>
      </c>
      <c r="I35" s="81">
        <f t="shared" si="1"/>
        <v>30000</v>
      </c>
      <c r="J35" s="84" t="s">
        <v>410</v>
      </c>
      <c r="K35" s="18" t="s">
        <v>433</v>
      </c>
      <c r="L35" s="69"/>
    </row>
    <row r="36" spans="1:13" x14ac:dyDescent="0.25">
      <c r="A36" s="66">
        <v>27</v>
      </c>
      <c r="B36" s="67" t="s">
        <v>165</v>
      </c>
      <c r="C36" s="67" t="s">
        <v>17</v>
      </c>
      <c r="D36" s="67">
        <v>295</v>
      </c>
      <c r="E36" s="82" t="s">
        <v>318</v>
      </c>
      <c r="F36" s="67" t="s">
        <v>18</v>
      </c>
      <c r="G36" s="75">
        <v>10</v>
      </c>
      <c r="H36" s="83">
        <v>1200</v>
      </c>
      <c r="I36" s="81">
        <f t="shared" si="1"/>
        <v>12000</v>
      </c>
      <c r="J36" s="84" t="s">
        <v>386</v>
      </c>
      <c r="K36" s="26" t="s">
        <v>429</v>
      </c>
      <c r="L36" s="69"/>
    </row>
    <row r="37" spans="1:13" x14ac:dyDescent="0.25">
      <c r="A37" s="85">
        <v>28</v>
      </c>
      <c r="B37" s="85" t="s">
        <v>186</v>
      </c>
      <c r="C37" s="85" t="s">
        <v>17</v>
      </c>
      <c r="D37" s="85">
        <v>295</v>
      </c>
      <c r="E37" s="84" t="s">
        <v>319</v>
      </c>
      <c r="F37" s="85" t="s">
        <v>19</v>
      </c>
      <c r="G37" s="87">
        <v>20</v>
      </c>
      <c r="H37" s="88">
        <v>200</v>
      </c>
      <c r="I37" s="89">
        <f t="shared" si="1"/>
        <v>4000</v>
      </c>
      <c r="J37" s="84" t="s">
        <v>434</v>
      </c>
      <c r="K37" s="18" t="s">
        <v>437</v>
      </c>
      <c r="L37" s="90" t="s">
        <v>435</v>
      </c>
      <c r="M37" s="91" t="s">
        <v>436</v>
      </c>
    </row>
    <row r="38" spans="1:13" x14ac:dyDescent="0.25">
      <c r="A38" s="66">
        <v>29</v>
      </c>
      <c r="B38" s="67" t="s">
        <v>236</v>
      </c>
      <c r="C38" s="67" t="s">
        <v>17</v>
      </c>
      <c r="D38" s="67">
        <v>295</v>
      </c>
      <c r="E38" s="82" t="s">
        <v>359</v>
      </c>
      <c r="F38" s="67" t="s">
        <v>19</v>
      </c>
      <c r="G38" s="75">
        <v>6</v>
      </c>
      <c r="H38" s="83">
        <v>4000</v>
      </c>
      <c r="I38" s="81">
        <f t="shared" si="1"/>
        <v>24000</v>
      </c>
      <c r="J38" s="82" t="s">
        <v>409</v>
      </c>
      <c r="K38" s="18" t="s">
        <v>438</v>
      </c>
      <c r="L38" s="69"/>
    </row>
    <row r="39" spans="1:13" x14ac:dyDescent="0.25">
      <c r="A39" s="66">
        <v>30</v>
      </c>
      <c r="B39" s="67" t="s">
        <v>209</v>
      </c>
      <c r="C39" s="67" t="s">
        <v>17</v>
      </c>
      <c r="D39" s="67">
        <v>295</v>
      </c>
      <c r="E39" s="82" t="s">
        <v>340</v>
      </c>
      <c r="F39" s="67" t="s">
        <v>19</v>
      </c>
      <c r="G39" s="75">
        <v>10</v>
      </c>
      <c r="H39" s="83">
        <v>500</v>
      </c>
      <c r="I39" s="81">
        <f t="shared" si="1"/>
        <v>5000</v>
      </c>
      <c r="J39" s="82" t="s">
        <v>93</v>
      </c>
      <c r="K39" s="18"/>
      <c r="L39" s="69"/>
    </row>
    <row r="40" spans="1:13" x14ac:dyDescent="0.25">
      <c r="A40" s="66">
        <v>31</v>
      </c>
      <c r="B40" s="66" t="s">
        <v>142</v>
      </c>
      <c r="C40" s="66" t="s">
        <v>17</v>
      </c>
      <c r="D40" s="66">
        <v>295</v>
      </c>
      <c r="E40" s="79" t="s">
        <v>276</v>
      </c>
      <c r="F40" s="66" t="s">
        <v>19</v>
      </c>
      <c r="G40" s="75">
        <v>30</v>
      </c>
      <c r="H40" s="80">
        <v>400</v>
      </c>
      <c r="I40" s="81">
        <f t="shared" si="1"/>
        <v>12000</v>
      </c>
      <c r="J40" s="99" t="s">
        <v>277</v>
      </c>
      <c r="K40" s="18"/>
      <c r="L40" s="69"/>
    </row>
    <row r="41" spans="1:13" x14ac:dyDescent="0.25">
      <c r="A41" s="66">
        <v>32</v>
      </c>
      <c r="B41" s="66" t="s">
        <v>143</v>
      </c>
      <c r="C41" s="66" t="s">
        <v>17</v>
      </c>
      <c r="D41" s="66">
        <v>295</v>
      </c>
      <c r="E41" s="15" t="s">
        <v>439</v>
      </c>
      <c r="F41" s="85" t="s">
        <v>18</v>
      </c>
      <c r="G41" s="75">
        <v>10</v>
      </c>
      <c r="H41" s="80">
        <v>1500</v>
      </c>
      <c r="I41" s="81">
        <f t="shared" si="1"/>
        <v>15000</v>
      </c>
      <c r="J41" s="79" t="s">
        <v>30</v>
      </c>
      <c r="K41" s="18" t="s">
        <v>440</v>
      </c>
      <c r="L41" s="69"/>
    </row>
    <row r="42" spans="1:13" x14ac:dyDescent="0.25">
      <c r="A42" s="66">
        <v>33</v>
      </c>
      <c r="B42" s="66" t="s">
        <v>144</v>
      </c>
      <c r="C42" s="66" t="s">
        <v>17</v>
      </c>
      <c r="D42" s="66">
        <v>295</v>
      </c>
      <c r="E42" s="79" t="s">
        <v>279</v>
      </c>
      <c r="F42" s="66" t="s">
        <v>18</v>
      </c>
      <c r="G42" s="75">
        <v>700</v>
      </c>
      <c r="H42" s="80">
        <v>200</v>
      </c>
      <c r="I42" s="81">
        <f t="shared" si="1"/>
        <v>140000</v>
      </c>
      <c r="J42" s="79" t="s">
        <v>416</v>
      </c>
      <c r="K42" s="18"/>
      <c r="L42" s="69"/>
    </row>
    <row r="43" spans="1:13" x14ac:dyDescent="0.25">
      <c r="A43" s="66">
        <v>34</v>
      </c>
      <c r="B43" s="66" t="s">
        <v>148</v>
      </c>
      <c r="C43" s="66" t="s">
        <v>17</v>
      </c>
      <c r="D43" s="66">
        <v>295</v>
      </c>
      <c r="E43" s="79" t="s">
        <v>283</v>
      </c>
      <c r="F43" s="66" t="s">
        <v>18</v>
      </c>
      <c r="G43" s="75">
        <v>100</v>
      </c>
      <c r="H43" s="80">
        <v>600</v>
      </c>
      <c r="I43" s="81">
        <f t="shared" si="1"/>
        <v>60000</v>
      </c>
      <c r="J43" s="79" t="s">
        <v>149</v>
      </c>
      <c r="K43" s="18"/>
      <c r="L43" s="69"/>
    </row>
    <row r="44" spans="1:13" x14ac:dyDescent="0.25">
      <c r="A44" s="66">
        <v>35</v>
      </c>
      <c r="B44" s="66" t="s">
        <v>148</v>
      </c>
      <c r="C44" s="66" t="s">
        <v>17</v>
      </c>
      <c r="D44" s="66">
        <v>295</v>
      </c>
      <c r="E44" s="79" t="s">
        <v>283</v>
      </c>
      <c r="F44" s="66" t="s">
        <v>18</v>
      </c>
      <c r="G44" s="75">
        <v>100</v>
      </c>
      <c r="H44" s="80">
        <v>600</v>
      </c>
      <c r="I44" s="81">
        <f t="shared" si="1"/>
        <v>60000</v>
      </c>
      <c r="J44" s="79" t="s">
        <v>150</v>
      </c>
      <c r="K44" s="18"/>
      <c r="L44" s="69"/>
    </row>
    <row r="45" spans="1:13" x14ac:dyDescent="0.25">
      <c r="A45" s="66">
        <v>36</v>
      </c>
      <c r="B45" s="66" t="s">
        <v>148</v>
      </c>
      <c r="C45" s="66" t="s">
        <v>17</v>
      </c>
      <c r="D45" s="66">
        <v>295</v>
      </c>
      <c r="E45" s="79" t="s">
        <v>283</v>
      </c>
      <c r="F45" s="66" t="s">
        <v>18</v>
      </c>
      <c r="G45" s="75">
        <v>100</v>
      </c>
      <c r="H45" s="80">
        <v>600</v>
      </c>
      <c r="I45" s="81">
        <f t="shared" si="1"/>
        <v>60000</v>
      </c>
      <c r="J45" s="79" t="s">
        <v>151</v>
      </c>
      <c r="K45" s="18"/>
      <c r="L45" s="69"/>
    </row>
    <row r="46" spans="1:13" x14ac:dyDescent="0.25">
      <c r="A46" s="66">
        <v>37</v>
      </c>
      <c r="B46" s="66" t="s">
        <v>148</v>
      </c>
      <c r="C46" s="66" t="s">
        <v>17</v>
      </c>
      <c r="D46" s="66">
        <v>295</v>
      </c>
      <c r="E46" s="79" t="s">
        <v>283</v>
      </c>
      <c r="F46" s="66" t="s">
        <v>18</v>
      </c>
      <c r="G46" s="75">
        <v>100</v>
      </c>
      <c r="H46" s="80">
        <v>600</v>
      </c>
      <c r="I46" s="81">
        <f t="shared" si="1"/>
        <v>60000</v>
      </c>
      <c r="J46" s="79" t="s">
        <v>152</v>
      </c>
      <c r="K46" s="18"/>
      <c r="L46" s="69"/>
    </row>
    <row r="47" spans="1:13" x14ac:dyDescent="0.25">
      <c r="A47" s="66">
        <v>38</v>
      </c>
      <c r="B47" s="66" t="s">
        <v>148</v>
      </c>
      <c r="C47" s="66" t="s">
        <v>17</v>
      </c>
      <c r="D47" s="66">
        <v>295</v>
      </c>
      <c r="E47" s="79" t="s">
        <v>283</v>
      </c>
      <c r="F47" s="66" t="s">
        <v>18</v>
      </c>
      <c r="G47" s="75">
        <v>100</v>
      </c>
      <c r="H47" s="80">
        <v>600</v>
      </c>
      <c r="I47" s="81">
        <f t="shared" si="1"/>
        <v>60000</v>
      </c>
      <c r="J47" s="79" t="s">
        <v>153</v>
      </c>
      <c r="K47" s="18"/>
      <c r="L47" s="69"/>
    </row>
    <row r="48" spans="1:13" x14ac:dyDescent="0.25">
      <c r="A48" s="66">
        <v>39</v>
      </c>
      <c r="B48" s="66" t="s">
        <v>145</v>
      </c>
      <c r="C48" s="66" t="s">
        <v>17</v>
      </c>
      <c r="D48" s="66">
        <v>295</v>
      </c>
      <c r="E48" s="79" t="s">
        <v>282</v>
      </c>
      <c r="F48" s="66" t="s">
        <v>19</v>
      </c>
      <c r="G48" s="75">
        <v>100</v>
      </c>
      <c r="H48" s="80">
        <v>400</v>
      </c>
      <c r="I48" s="81">
        <f t="shared" si="1"/>
        <v>40000</v>
      </c>
      <c r="J48" s="100" t="s">
        <v>109</v>
      </c>
      <c r="K48" s="18" t="s">
        <v>441</v>
      </c>
      <c r="L48" s="69"/>
    </row>
    <row r="49" spans="1:12" x14ac:dyDescent="0.25">
      <c r="A49" s="66">
        <v>40</v>
      </c>
      <c r="B49" s="66" t="s">
        <v>105</v>
      </c>
      <c r="C49" s="66" t="s">
        <v>17</v>
      </c>
      <c r="D49" s="66">
        <v>295</v>
      </c>
      <c r="E49" s="15" t="s">
        <v>443</v>
      </c>
      <c r="F49" s="85" t="s">
        <v>19</v>
      </c>
      <c r="G49" s="13">
        <v>200</v>
      </c>
      <c r="H49" s="16">
        <v>500</v>
      </c>
      <c r="I49" s="21">
        <f t="shared" si="1"/>
        <v>100000</v>
      </c>
      <c r="J49" s="84" t="s">
        <v>110</v>
      </c>
      <c r="K49" s="18" t="s">
        <v>442</v>
      </c>
      <c r="L49" s="69"/>
    </row>
    <row r="50" spans="1:12" x14ac:dyDescent="0.25">
      <c r="A50" s="66">
        <v>41</v>
      </c>
      <c r="B50" s="66" t="s">
        <v>106</v>
      </c>
      <c r="C50" s="66" t="s">
        <v>17</v>
      </c>
      <c r="D50" s="66">
        <v>295</v>
      </c>
      <c r="E50" s="15" t="s">
        <v>444</v>
      </c>
      <c r="F50" s="85" t="s">
        <v>19</v>
      </c>
      <c r="G50" s="13">
        <v>200</v>
      </c>
      <c r="H50" s="16">
        <v>500</v>
      </c>
      <c r="I50" s="21">
        <f t="shared" si="1"/>
        <v>100000</v>
      </c>
      <c r="J50" s="84" t="s">
        <v>111</v>
      </c>
      <c r="K50" s="18" t="s">
        <v>442</v>
      </c>
      <c r="L50" s="69"/>
    </row>
    <row r="51" spans="1:12" x14ac:dyDescent="0.25">
      <c r="A51" s="66">
        <v>42</v>
      </c>
      <c r="B51" s="66" t="s">
        <v>146</v>
      </c>
      <c r="C51" s="66" t="s">
        <v>17</v>
      </c>
      <c r="D51" s="66">
        <v>295</v>
      </c>
      <c r="E51" s="79" t="s">
        <v>280</v>
      </c>
      <c r="F51" s="66" t="s">
        <v>18</v>
      </c>
      <c r="G51" s="75">
        <v>100</v>
      </c>
      <c r="H51" s="80">
        <v>600</v>
      </c>
      <c r="I51" s="81">
        <f t="shared" si="1"/>
        <v>60000</v>
      </c>
      <c r="J51" s="79" t="s">
        <v>107</v>
      </c>
      <c r="K51" s="18"/>
      <c r="L51" s="69"/>
    </row>
    <row r="52" spans="1:12" x14ac:dyDescent="0.25">
      <c r="A52" s="66">
        <v>43</v>
      </c>
      <c r="B52" s="66" t="s">
        <v>100</v>
      </c>
      <c r="C52" s="66" t="s">
        <v>17</v>
      </c>
      <c r="D52" s="66">
        <v>295</v>
      </c>
      <c r="E52" s="15" t="s">
        <v>445</v>
      </c>
      <c r="F52" s="85" t="s">
        <v>19</v>
      </c>
      <c r="G52" s="13">
        <v>200</v>
      </c>
      <c r="H52" s="16">
        <v>500</v>
      </c>
      <c r="I52" s="63">
        <f t="shared" si="1"/>
        <v>100000</v>
      </c>
      <c r="J52" s="84" t="s">
        <v>112</v>
      </c>
      <c r="K52" s="18" t="s">
        <v>442</v>
      </c>
      <c r="L52" s="69"/>
    </row>
    <row r="53" spans="1:12" x14ac:dyDescent="0.25">
      <c r="A53" s="66">
        <v>44</v>
      </c>
      <c r="B53" s="66" t="s">
        <v>101</v>
      </c>
      <c r="C53" s="66" t="s">
        <v>17</v>
      </c>
      <c r="D53" s="66">
        <v>295</v>
      </c>
      <c r="E53" s="15" t="s">
        <v>446</v>
      </c>
      <c r="F53" s="85" t="s">
        <v>19</v>
      </c>
      <c r="G53" s="13">
        <v>200</v>
      </c>
      <c r="H53" s="16">
        <v>500</v>
      </c>
      <c r="I53" s="63">
        <f t="shared" si="1"/>
        <v>100000</v>
      </c>
      <c r="J53" s="84" t="s">
        <v>113</v>
      </c>
      <c r="K53" s="18" t="s">
        <v>442</v>
      </c>
      <c r="L53" s="69"/>
    </row>
    <row r="54" spans="1:12" x14ac:dyDescent="0.25">
      <c r="A54" s="66">
        <v>45</v>
      </c>
      <c r="B54" s="66" t="s">
        <v>102</v>
      </c>
      <c r="C54" s="66" t="s">
        <v>17</v>
      </c>
      <c r="D54" s="66">
        <v>295</v>
      </c>
      <c r="E54" s="15" t="s">
        <v>447</v>
      </c>
      <c r="F54" s="85" t="s">
        <v>19</v>
      </c>
      <c r="G54" s="13">
        <v>100</v>
      </c>
      <c r="H54" s="16">
        <v>600</v>
      </c>
      <c r="I54" s="63">
        <f t="shared" si="1"/>
        <v>60000</v>
      </c>
      <c r="J54" s="84" t="s">
        <v>114</v>
      </c>
      <c r="K54" s="18" t="s">
        <v>442</v>
      </c>
      <c r="L54" s="69"/>
    </row>
    <row r="55" spans="1:12" x14ac:dyDescent="0.25">
      <c r="A55" s="66">
        <v>46</v>
      </c>
      <c r="B55" s="66" t="s">
        <v>103</v>
      </c>
      <c r="C55" s="66" t="s">
        <v>17</v>
      </c>
      <c r="D55" s="66">
        <v>295</v>
      </c>
      <c r="E55" s="15" t="s">
        <v>448</v>
      </c>
      <c r="F55" s="85" t="s">
        <v>19</v>
      </c>
      <c r="G55" s="13">
        <v>100</v>
      </c>
      <c r="H55" s="16">
        <v>600</v>
      </c>
      <c r="I55" s="63">
        <f t="shared" si="1"/>
        <v>60000</v>
      </c>
      <c r="J55" s="84" t="s">
        <v>115</v>
      </c>
      <c r="K55" s="18" t="s">
        <v>442</v>
      </c>
      <c r="L55" s="69"/>
    </row>
    <row r="56" spans="1:12" x14ac:dyDescent="0.25">
      <c r="A56" s="66">
        <v>47</v>
      </c>
      <c r="B56" s="66" t="s">
        <v>104</v>
      </c>
      <c r="C56" s="66" t="s">
        <v>17</v>
      </c>
      <c r="D56" s="66">
        <v>295</v>
      </c>
      <c r="E56" s="15" t="s">
        <v>449</v>
      </c>
      <c r="F56" s="85" t="s">
        <v>19</v>
      </c>
      <c r="G56" s="13">
        <v>100</v>
      </c>
      <c r="H56" s="16">
        <v>600</v>
      </c>
      <c r="I56" s="63">
        <f t="shared" si="1"/>
        <v>60000</v>
      </c>
      <c r="J56" s="84" t="s">
        <v>116</v>
      </c>
      <c r="K56" s="18" t="s">
        <v>442</v>
      </c>
      <c r="L56" s="69"/>
    </row>
    <row r="57" spans="1:12" x14ac:dyDescent="0.25">
      <c r="A57" s="66">
        <v>48</v>
      </c>
      <c r="B57" s="66" t="s">
        <v>99</v>
      </c>
      <c r="C57" s="66" t="s">
        <v>17</v>
      </c>
      <c r="D57" s="66">
        <v>295</v>
      </c>
      <c r="E57" s="15" t="s">
        <v>450</v>
      </c>
      <c r="F57" s="85" t="s">
        <v>19</v>
      </c>
      <c r="G57" s="13">
        <v>100</v>
      </c>
      <c r="H57" s="16">
        <v>600</v>
      </c>
      <c r="I57" s="63">
        <f t="shared" si="1"/>
        <v>60000</v>
      </c>
      <c r="J57" s="84" t="s">
        <v>117</v>
      </c>
      <c r="K57" s="18" t="s">
        <v>442</v>
      </c>
      <c r="L57" s="69"/>
    </row>
    <row r="58" spans="1:12" x14ac:dyDescent="0.25">
      <c r="A58" s="66">
        <v>49</v>
      </c>
      <c r="B58" s="66" t="s">
        <v>147</v>
      </c>
      <c r="C58" s="66" t="s">
        <v>17</v>
      </c>
      <c r="D58" s="66">
        <v>295</v>
      </c>
      <c r="E58" s="79" t="s">
        <v>281</v>
      </c>
      <c r="F58" s="66" t="s">
        <v>18</v>
      </c>
      <c r="G58" s="75">
        <v>100</v>
      </c>
      <c r="H58" s="80">
        <v>600</v>
      </c>
      <c r="I58" s="81">
        <f t="shared" si="1"/>
        <v>60000</v>
      </c>
      <c r="J58" s="79" t="s">
        <v>108</v>
      </c>
      <c r="K58" s="18"/>
      <c r="L58" s="69"/>
    </row>
    <row r="59" spans="1:12" x14ac:dyDescent="0.25">
      <c r="A59" s="66">
        <v>50</v>
      </c>
      <c r="B59" s="67" t="s">
        <v>398</v>
      </c>
      <c r="C59" s="67" t="s">
        <v>17</v>
      </c>
      <c r="D59" s="67">
        <v>295</v>
      </c>
      <c r="E59" s="82" t="s">
        <v>397</v>
      </c>
      <c r="F59" s="67" t="s">
        <v>18</v>
      </c>
      <c r="G59" s="75">
        <v>80</v>
      </c>
      <c r="H59" s="83">
        <v>800</v>
      </c>
      <c r="I59" s="81">
        <f t="shared" si="1"/>
        <v>64000</v>
      </c>
      <c r="J59" s="84" t="s">
        <v>399</v>
      </c>
      <c r="K59" s="18" t="s">
        <v>451</v>
      </c>
      <c r="L59" s="69"/>
    </row>
    <row r="60" spans="1:12" ht="25.5" x14ac:dyDescent="0.25">
      <c r="A60" s="14">
        <v>51</v>
      </c>
      <c r="B60" s="24" t="s">
        <v>155</v>
      </c>
      <c r="C60" s="24" t="s">
        <v>17</v>
      </c>
      <c r="D60" s="24">
        <v>295</v>
      </c>
      <c r="E60" s="23" t="s">
        <v>293</v>
      </c>
      <c r="F60" s="24" t="s">
        <v>18</v>
      </c>
      <c r="G60" s="13">
        <v>20</v>
      </c>
      <c r="H60" s="25">
        <v>500</v>
      </c>
      <c r="I60" s="21">
        <f t="shared" si="1"/>
        <v>10000</v>
      </c>
      <c r="J60" s="23" t="s">
        <v>294</v>
      </c>
      <c r="K60" s="18"/>
      <c r="L60" s="69"/>
    </row>
    <row r="61" spans="1:12" x14ac:dyDescent="0.25">
      <c r="A61" s="14">
        <v>52</v>
      </c>
      <c r="B61" s="24" t="s">
        <v>158</v>
      </c>
      <c r="C61" s="24" t="s">
        <v>17</v>
      </c>
      <c r="D61" s="24">
        <v>295</v>
      </c>
      <c r="E61" s="23" t="s">
        <v>297</v>
      </c>
      <c r="F61" s="24" t="s">
        <v>19</v>
      </c>
      <c r="G61" s="13">
        <v>20</v>
      </c>
      <c r="H61" s="25">
        <v>300</v>
      </c>
      <c r="I61" s="21">
        <f t="shared" si="1"/>
        <v>6000</v>
      </c>
      <c r="J61" s="23" t="s">
        <v>33</v>
      </c>
      <c r="K61" s="18"/>
      <c r="L61" s="69"/>
    </row>
    <row r="62" spans="1:12" x14ac:dyDescent="0.25">
      <c r="A62" s="14">
        <v>53</v>
      </c>
      <c r="B62" s="24" t="s">
        <v>163</v>
      </c>
      <c r="C62" s="24" t="s">
        <v>17</v>
      </c>
      <c r="D62" s="24">
        <v>295</v>
      </c>
      <c r="E62" s="23" t="s">
        <v>315</v>
      </c>
      <c r="F62" s="24" t="s">
        <v>18</v>
      </c>
      <c r="G62" s="13">
        <v>50</v>
      </c>
      <c r="H62" s="25">
        <v>260</v>
      </c>
      <c r="I62" s="21">
        <f t="shared" si="1"/>
        <v>13000</v>
      </c>
      <c r="J62" s="23" t="s">
        <v>38</v>
      </c>
      <c r="K62" s="18"/>
      <c r="L62" s="69"/>
    </row>
    <row r="63" spans="1:12" x14ac:dyDescent="0.25">
      <c r="A63" s="14">
        <v>54</v>
      </c>
      <c r="B63" s="24" t="s">
        <v>244</v>
      </c>
      <c r="C63" s="24" t="s">
        <v>17</v>
      </c>
      <c r="D63" s="24">
        <v>295</v>
      </c>
      <c r="E63" s="23" t="s">
        <v>367</v>
      </c>
      <c r="F63" s="24" t="s">
        <v>18</v>
      </c>
      <c r="G63" s="13">
        <v>30</v>
      </c>
      <c r="H63" s="25">
        <v>1000</v>
      </c>
      <c r="I63" s="63">
        <f t="shared" si="1"/>
        <v>30000</v>
      </c>
      <c r="J63" s="23" t="s">
        <v>411</v>
      </c>
      <c r="K63" s="18"/>
      <c r="L63" s="69"/>
    </row>
    <row r="64" spans="1:12" ht="25.5" x14ac:dyDescent="0.25">
      <c r="A64" s="14">
        <v>55</v>
      </c>
      <c r="B64" s="24" t="s">
        <v>185</v>
      </c>
      <c r="C64" s="24" t="s">
        <v>17</v>
      </c>
      <c r="D64" s="24">
        <v>295</v>
      </c>
      <c r="E64" s="23" t="s">
        <v>316</v>
      </c>
      <c r="F64" s="24" t="s">
        <v>19</v>
      </c>
      <c r="G64" s="13">
        <v>100</v>
      </c>
      <c r="H64" s="25">
        <v>200</v>
      </c>
      <c r="I64" s="21">
        <f t="shared" si="1"/>
        <v>20000</v>
      </c>
      <c r="J64" s="23" t="s">
        <v>76</v>
      </c>
      <c r="K64" s="18"/>
      <c r="L64" s="69"/>
    </row>
    <row r="65" spans="1:12" x14ac:dyDescent="0.25">
      <c r="A65" s="14">
        <v>56</v>
      </c>
      <c r="B65" s="24" t="s">
        <v>191</v>
      </c>
      <c r="C65" s="24" t="s">
        <v>17</v>
      </c>
      <c r="D65" s="24">
        <v>295</v>
      </c>
      <c r="E65" s="23" t="s">
        <v>326</v>
      </c>
      <c r="F65" s="24" t="s">
        <v>19</v>
      </c>
      <c r="G65" s="13">
        <v>10</v>
      </c>
      <c r="H65" s="25">
        <v>4000</v>
      </c>
      <c r="I65" s="21">
        <f t="shared" si="1"/>
        <v>40000</v>
      </c>
      <c r="J65" s="23" t="s">
        <v>41</v>
      </c>
      <c r="K65" s="18"/>
      <c r="L65" s="69"/>
    </row>
    <row r="66" spans="1:12" x14ac:dyDescent="0.25">
      <c r="A66" s="14">
        <v>57</v>
      </c>
      <c r="B66" s="24" t="s">
        <v>190</v>
      </c>
      <c r="C66" s="24" t="s">
        <v>17</v>
      </c>
      <c r="D66" s="24">
        <v>295</v>
      </c>
      <c r="E66" s="23" t="s">
        <v>325</v>
      </c>
      <c r="F66" s="24" t="s">
        <v>19</v>
      </c>
      <c r="G66" s="13">
        <v>50</v>
      </c>
      <c r="H66" s="25">
        <v>1500</v>
      </c>
      <c r="I66" s="21">
        <f t="shared" si="1"/>
        <v>75000</v>
      </c>
      <c r="J66" s="23" t="s">
        <v>40</v>
      </c>
      <c r="K66" s="18"/>
      <c r="L66" s="69"/>
    </row>
    <row r="67" spans="1:12" x14ac:dyDescent="0.25">
      <c r="A67" s="14">
        <v>58</v>
      </c>
      <c r="B67" s="24" t="s">
        <v>166</v>
      </c>
      <c r="C67" s="24" t="s">
        <v>17</v>
      </c>
      <c r="D67" s="24">
        <v>295</v>
      </c>
      <c r="E67" s="23" t="s">
        <v>320</v>
      </c>
      <c r="F67" s="24" t="s">
        <v>19</v>
      </c>
      <c r="G67" s="13">
        <v>30</v>
      </c>
      <c r="H67" s="25">
        <v>150</v>
      </c>
      <c r="I67" s="63">
        <f t="shared" si="1"/>
        <v>4500</v>
      </c>
      <c r="J67" s="23" t="s">
        <v>418</v>
      </c>
      <c r="K67" s="18"/>
      <c r="L67" s="69"/>
    </row>
    <row r="68" spans="1:12" x14ac:dyDescent="0.25">
      <c r="A68" s="14">
        <v>59</v>
      </c>
      <c r="B68" s="24" t="s">
        <v>208</v>
      </c>
      <c r="C68" s="24" t="s">
        <v>17</v>
      </c>
      <c r="D68" s="24">
        <v>295</v>
      </c>
      <c r="E68" s="23" t="s">
        <v>339</v>
      </c>
      <c r="F68" s="24" t="s">
        <v>19</v>
      </c>
      <c r="G68" s="13">
        <v>200</v>
      </c>
      <c r="H68" s="25">
        <v>250</v>
      </c>
      <c r="I68" s="21">
        <f t="shared" si="1"/>
        <v>50000</v>
      </c>
      <c r="J68" s="23" t="s">
        <v>52</v>
      </c>
      <c r="K68" s="18"/>
      <c r="L68" s="69"/>
    </row>
    <row r="69" spans="1:12" ht="25.5" x14ac:dyDescent="0.25">
      <c r="A69" s="14">
        <v>60</v>
      </c>
      <c r="B69" s="24" t="s">
        <v>255</v>
      </c>
      <c r="C69" s="24" t="s">
        <v>17</v>
      </c>
      <c r="D69" s="24">
        <v>295</v>
      </c>
      <c r="E69" s="23" t="s">
        <v>378</v>
      </c>
      <c r="F69" s="24" t="s">
        <v>71</v>
      </c>
      <c r="G69" s="13">
        <v>30</v>
      </c>
      <c r="H69" s="25">
        <v>300</v>
      </c>
      <c r="I69" s="63">
        <f t="shared" si="1"/>
        <v>9000</v>
      </c>
      <c r="J69" s="23" t="s">
        <v>412</v>
      </c>
      <c r="K69" s="18"/>
      <c r="L69" s="69"/>
    </row>
    <row r="70" spans="1:12" x14ac:dyDescent="0.25">
      <c r="A70" s="14">
        <v>61</v>
      </c>
      <c r="B70" s="24" t="s">
        <v>210</v>
      </c>
      <c r="C70" s="24" t="s">
        <v>17</v>
      </c>
      <c r="D70" s="24">
        <v>295</v>
      </c>
      <c r="E70" s="23" t="s">
        <v>341</v>
      </c>
      <c r="F70" s="24" t="s">
        <v>19</v>
      </c>
      <c r="G70" s="13">
        <v>5</v>
      </c>
      <c r="H70" s="25">
        <v>2800</v>
      </c>
      <c r="I70" s="21">
        <f t="shared" si="1"/>
        <v>14000</v>
      </c>
      <c r="J70" s="23" t="s">
        <v>94</v>
      </c>
      <c r="K70" s="18"/>
      <c r="L70" s="69"/>
    </row>
    <row r="71" spans="1:12" x14ac:dyDescent="0.25">
      <c r="A71" s="14">
        <v>62</v>
      </c>
      <c r="B71" s="24" t="s">
        <v>212</v>
      </c>
      <c r="C71" s="24" t="s">
        <v>17</v>
      </c>
      <c r="D71" s="67">
        <v>252</v>
      </c>
      <c r="E71" s="23" t="s">
        <v>342</v>
      </c>
      <c r="F71" s="24" t="s">
        <v>19</v>
      </c>
      <c r="G71" s="13">
        <v>20</v>
      </c>
      <c r="H71" s="25">
        <v>3500</v>
      </c>
      <c r="I71" s="21">
        <f t="shared" si="1"/>
        <v>70000</v>
      </c>
      <c r="J71" s="23" t="s">
        <v>53</v>
      </c>
      <c r="K71" s="18"/>
      <c r="L71" s="69"/>
    </row>
    <row r="72" spans="1:12" x14ac:dyDescent="0.25">
      <c r="A72" s="14">
        <v>63</v>
      </c>
      <c r="B72" s="24" t="s">
        <v>211</v>
      </c>
      <c r="C72" s="24" t="s">
        <v>17</v>
      </c>
      <c r="D72" s="67">
        <v>252</v>
      </c>
      <c r="E72" s="23" t="s">
        <v>343</v>
      </c>
      <c r="F72" s="24" t="s">
        <v>19</v>
      </c>
      <c r="G72" s="13">
        <v>10</v>
      </c>
      <c r="H72" s="25">
        <v>3600</v>
      </c>
      <c r="I72" s="21">
        <f t="shared" si="1"/>
        <v>36000</v>
      </c>
      <c r="J72" s="23" t="s">
        <v>95</v>
      </c>
      <c r="K72" s="18"/>
      <c r="L72" s="69"/>
    </row>
    <row r="73" spans="1:12" ht="25.5" x14ac:dyDescent="0.25">
      <c r="A73" s="14">
        <v>64</v>
      </c>
      <c r="B73" s="24" t="s">
        <v>213</v>
      </c>
      <c r="C73" s="24" t="s">
        <v>17</v>
      </c>
      <c r="D73" s="24">
        <v>295</v>
      </c>
      <c r="E73" s="23" t="s">
        <v>344</v>
      </c>
      <c r="F73" s="24" t="s">
        <v>18</v>
      </c>
      <c r="G73" s="13">
        <v>15</v>
      </c>
      <c r="H73" s="25">
        <v>1200</v>
      </c>
      <c r="I73" s="21">
        <f t="shared" si="1"/>
        <v>18000</v>
      </c>
      <c r="J73" s="23" t="s">
        <v>388</v>
      </c>
      <c r="K73" s="18"/>
      <c r="L73" s="69"/>
    </row>
    <row r="74" spans="1:12" x14ac:dyDescent="0.25">
      <c r="A74" s="14">
        <v>65</v>
      </c>
      <c r="B74" s="24" t="s">
        <v>234</v>
      </c>
      <c r="C74" s="24" t="s">
        <v>17</v>
      </c>
      <c r="D74" s="67">
        <v>265</v>
      </c>
      <c r="E74" s="23" t="s">
        <v>357</v>
      </c>
      <c r="F74" s="24" t="s">
        <v>19</v>
      </c>
      <c r="G74" s="13">
        <v>10</v>
      </c>
      <c r="H74" s="25">
        <v>200</v>
      </c>
      <c r="I74" s="63">
        <f t="shared" si="1"/>
        <v>2000</v>
      </c>
      <c r="J74" s="23" t="s">
        <v>408</v>
      </c>
      <c r="K74" s="18"/>
      <c r="L74" s="69"/>
    </row>
    <row r="75" spans="1:12" x14ac:dyDescent="0.25">
      <c r="A75" s="14">
        <v>66</v>
      </c>
      <c r="B75" s="14" t="s">
        <v>139</v>
      </c>
      <c r="C75" s="14" t="s">
        <v>17</v>
      </c>
      <c r="D75" s="14">
        <v>295</v>
      </c>
      <c r="E75" s="15" t="s">
        <v>273</v>
      </c>
      <c r="F75" s="14" t="s">
        <v>26</v>
      </c>
      <c r="G75" s="13">
        <v>20</v>
      </c>
      <c r="H75" s="16">
        <v>500</v>
      </c>
      <c r="I75" s="21">
        <f t="shared" si="1"/>
        <v>10000</v>
      </c>
      <c r="J75" s="15" t="s">
        <v>25</v>
      </c>
      <c r="K75" s="18"/>
      <c r="L75" s="69"/>
    </row>
    <row r="76" spans="1:12" x14ac:dyDescent="0.25">
      <c r="A76" s="14">
        <v>67</v>
      </c>
      <c r="B76" s="24" t="s">
        <v>139</v>
      </c>
      <c r="C76" s="24" t="s">
        <v>17</v>
      </c>
      <c r="D76" s="24">
        <v>295</v>
      </c>
      <c r="E76" s="23" t="s">
        <v>273</v>
      </c>
      <c r="F76" s="24" t="s">
        <v>26</v>
      </c>
      <c r="G76" s="13">
        <v>200</v>
      </c>
      <c r="H76" s="25">
        <v>400</v>
      </c>
      <c r="I76" s="21">
        <f t="shared" si="1"/>
        <v>80000</v>
      </c>
      <c r="J76" s="23" t="s">
        <v>387</v>
      </c>
      <c r="K76" s="18"/>
      <c r="L76" s="69"/>
    </row>
    <row r="77" spans="1:12" x14ac:dyDescent="0.25">
      <c r="A77" s="14">
        <v>68</v>
      </c>
      <c r="B77" s="24" t="s">
        <v>235</v>
      </c>
      <c r="C77" s="24" t="s">
        <v>17</v>
      </c>
      <c r="D77" s="24">
        <v>295</v>
      </c>
      <c r="E77" s="23" t="s">
        <v>358</v>
      </c>
      <c r="F77" s="24" t="s">
        <v>19</v>
      </c>
      <c r="G77" s="13">
        <v>100</v>
      </c>
      <c r="H77" s="25">
        <v>300</v>
      </c>
      <c r="I77" s="21">
        <f t="shared" si="1"/>
        <v>30000</v>
      </c>
      <c r="J77" s="23" t="s">
        <v>56</v>
      </c>
      <c r="K77" s="18"/>
      <c r="L77" s="69"/>
    </row>
    <row r="78" spans="1:12" ht="25.5" x14ac:dyDescent="0.25">
      <c r="A78" s="14">
        <v>69</v>
      </c>
      <c r="B78" s="24" t="s">
        <v>238</v>
      </c>
      <c r="C78" s="24" t="s">
        <v>17</v>
      </c>
      <c r="D78" s="24">
        <v>295</v>
      </c>
      <c r="E78" s="23" t="s">
        <v>361</v>
      </c>
      <c r="F78" s="24" t="s">
        <v>18</v>
      </c>
      <c r="G78" s="13">
        <v>8</v>
      </c>
      <c r="H78" s="25">
        <v>4100</v>
      </c>
      <c r="I78" s="21">
        <f t="shared" si="1"/>
        <v>32800</v>
      </c>
      <c r="J78" s="23" t="s">
        <v>58</v>
      </c>
      <c r="K78" s="18"/>
      <c r="L78" s="69"/>
    </row>
    <row r="79" spans="1:12" ht="25.5" x14ac:dyDescent="0.25">
      <c r="A79" s="14">
        <v>70</v>
      </c>
      <c r="B79" s="24" t="s">
        <v>239</v>
      </c>
      <c r="C79" s="24" t="s">
        <v>17</v>
      </c>
      <c r="D79" s="24">
        <v>295</v>
      </c>
      <c r="E79" s="23" t="s">
        <v>362</v>
      </c>
      <c r="F79" s="24" t="s">
        <v>18</v>
      </c>
      <c r="G79" s="13">
        <v>8</v>
      </c>
      <c r="H79" s="25">
        <v>4800</v>
      </c>
      <c r="I79" s="21">
        <f t="shared" si="1"/>
        <v>38400</v>
      </c>
      <c r="J79" s="23" t="s">
        <v>59</v>
      </c>
      <c r="K79" s="18"/>
      <c r="L79" s="69"/>
    </row>
    <row r="80" spans="1:12" x14ac:dyDescent="0.25">
      <c r="A80" s="14">
        <v>71</v>
      </c>
      <c r="B80" s="24" t="s">
        <v>249</v>
      </c>
      <c r="C80" s="24" t="s">
        <v>17</v>
      </c>
      <c r="D80" s="24">
        <v>295</v>
      </c>
      <c r="E80" s="23" t="s">
        <v>372</v>
      </c>
      <c r="F80" s="24" t="s">
        <v>19</v>
      </c>
      <c r="G80" s="13">
        <v>30</v>
      </c>
      <c r="H80" s="25">
        <v>3000</v>
      </c>
      <c r="I80" s="21">
        <f t="shared" si="1"/>
        <v>90000</v>
      </c>
      <c r="J80" s="23" t="s">
        <v>68</v>
      </c>
      <c r="K80" s="18"/>
      <c r="L80" s="69"/>
    </row>
    <row r="81" spans="1:12" x14ac:dyDescent="0.25">
      <c r="A81" s="14">
        <v>72</v>
      </c>
      <c r="B81" s="24" t="s">
        <v>250</v>
      </c>
      <c r="C81" s="24" t="s">
        <v>17</v>
      </c>
      <c r="D81" s="24">
        <v>295</v>
      </c>
      <c r="E81" s="23" t="s">
        <v>373</v>
      </c>
      <c r="F81" s="24" t="s">
        <v>31</v>
      </c>
      <c r="G81" s="13">
        <v>80</v>
      </c>
      <c r="H81" s="25">
        <v>450</v>
      </c>
      <c r="I81" s="63">
        <f t="shared" si="1"/>
        <v>36000</v>
      </c>
      <c r="J81" s="23" t="s">
        <v>69</v>
      </c>
      <c r="K81" s="18"/>
      <c r="L81" s="69"/>
    </row>
    <row r="82" spans="1:12" x14ac:dyDescent="0.25">
      <c r="A82" s="14">
        <v>73</v>
      </c>
      <c r="B82" s="24" t="s">
        <v>257</v>
      </c>
      <c r="C82" s="24" t="s">
        <v>17</v>
      </c>
      <c r="D82" s="24">
        <v>295</v>
      </c>
      <c r="E82" s="23" t="s">
        <v>380</v>
      </c>
      <c r="F82" s="24" t="s">
        <v>18</v>
      </c>
      <c r="G82" s="13">
        <v>20</v>
      </c>
      <c r="H82" s="25">
        <v>900</v>
      </c>
      <c r="I82" s="63">
        <f t="shared" si="1"/>
        <v>18000</v>
      </c>
      <c r="J82" s="23" t="s">
        <v>414</v>
      </c>
      <c r="K82" s="18"/>
      <c r="L82" s="69"/>
    </row>
    <row r="83" spans="1:12" ht="25.5" x14ac:dyDescent="0.25">
      <c r="A83" s="14">
        <v>74</v>
      </c>
      <c r="B83" s="24" t="s">
        <v>256</v>
      </c>
      <c r="C83" s="24" t="s">
        <v>17</v>
      </c>
      <c r="D83" s="24">
        <v>295</v>
      </c>
      <c r="E83" s="23" t="s">
        <v>379</v>
      </c>
      <c r="F83" s="24" t="s">
        <v>71</v>
      </c>
      <c r="G83" s="13">
        <v>30</v>
      </c>
      <c r="H83" s="25">
        <v>900</v>
      </c>
      <c r="I83" s="63">
        <f t="shared" si="1"/>
        <v>27000</v>
      </c>
      <c r="J83" s="23" t="s">
        <v>413</v>
      </c>
      <c r="K83" s="18"/>
      <c r="L83" s="69"/>
    </row>
    <row r="84" spans="1:12" x14ac:dyDescent="0.25">
      <c r="A84" s="14">
        <v>75</v>
      </c>
      <c r="B84" s="24" t="s">
        <v>254</v>
      </c>
      <c r="C84" s="24" t="s">
        <v>17</v>
      </c>
      <c r="D84" s="24">
        <v>295</v>
      </c>
      <c r="E84" s="23" t="s">
        <v>377</v>
      </c>
      <c r="F84" s="24" t="s">
        <v>71</v>
      </c>
      <c r="G84" s="13">
        <v>15</v>
      </c>
      <c r="H84" s="25">
        <v>400</v>
      </c>
      <c r="I84" s="63">
        <f t="shared" si="1"/>
        <v>6000</v>
      </c>
      <c r="J84" s="23" t="s">
        <v>126</v>
      </c>
      <c r="K84" s="18"/>
      <c r="L84" s="69"/>
    </row>
    <row r="85" spans="1:12" x14ac:dyDescent="0.25">
      <c r="A85" s="14">
        <v>76</v>
      </c>
      <c r="B85" s="24" t="s">
        <v>258</v>
      </c>
      <c r="C85" s="24" t="s">
        <v>17</v>
      </c>
      <c r="D85" s="24">
        <v>295</v>
      </c>
      <c r="E85" s="23" t="s">
        <v>381</v>
      </c>
      <c r="F85" s="24" t="s">
        <v>18</v>
      </c>
      <c r="G85" s="13">
        <v>5</v>
      </c>
      <c r="H85" s="25">
        <v>13000</v>
      </c>
      <c r="I85" s="21">
        <f t="shared" si="1"/>
        <v>65000</v>
      </c>
      <c r="J85" s="23" t="s">
        <v>259</v>
      </c>
      <c r="K85" s="18"/>
      <c r="L85" s="69"/>
    </row>
    <row r="86" spans="1:12" ht="25.5" x14ac:dyDescent="0.25">
      <c r="A86" s="14">
        <v>77</v>
      </c>
      <c r="B86" s="24" t="s">
        <v>188</v>
      </c>
      <c r="C86" s="24" t="s">
        <v>17</v>
      </c>
      <c r="D86" s="24">
        <v>252</v>
      </c>
      <c r="E86" s="23" t="s">
        <v>322</v>
      </c>
      <c r="F86" s="24" t="s">
        <v>18</v>
      </c>
      <c r="G86" s="13">
        <v>40</v>
      </c>
      <c r="H86" s="25">
        <v>2700</v>
      </c>
      <c r="I86" s="63">
        <f t="shared" si="1"/>
        <v>108000</v>
      </c>
      <c r="J86" s="23" t="s">
        <v>120</v>
      </c>
      <c r="K86" s="18"/>
      <c r="L86" s="69"/>
    </row>
    <row r="87" spans="1:12" ht="25.5" x14ac:dyDescent="0.25">
      <c r="A87" s="14">
        <v>78</v>
      </c>
      <c r="B87" s="24" t="s">
        <v>187</v>
      </c>
      <c r="C87" s="24" t="s">
        <v>17</v>
      </c>
      <c r="D87" s="24">
        <v>252</v>
      </c>
      <c r="E87" s="23" t="s">
        <v>324</v>
      </c>
      <c r="F87" s="24" t="s">
        <v>19</v>
      </c>
      <c r="G87" s="13">
        <v>10</v>
      </c>
      <c r="H87" s="25">
        <v>2700</v>
      </c>
      <c r="I87" s="63">
        <f t="shared" si="1"/>
        <v>27000</v>
      </c>
      <c r="J87" s="23" t="s">
        <v>122</v>
      </c>
      <c r="K87" s="18"/>
      <c r="L87" s="69"/>
    </row>
    <row r="88" spans="1:12" ht="25.5" x14ac:dyDescent="0.25">
      <c r="A88" s="14">
        <v>79</v>
      </c>
      <c r="B88" s="24" t="s">
        <v>189</v>
      </c>
      <c r="C88" s="24" t="s">
        <v>17</v>
      </c>
      <c r="D88" s="24">
        <v>252</v>
      </c>
      <c r="E88" s="23" t="s">
        <v>323</v>
      </c>
      <c r="F88" s="24" t="s">
        <v>19</v>
      </c>
      <c r="G88" s="13">
        <v>40</v>
      </c>
      <c r="H88" s="25">
        <v>2700</v>
      </c>
      <c r="I88" s="63">
        <f t="shared" si="1"/>
        <v>108000</v>
      </c>
      <c r="J88" s="23" t="s">
        <v>121</v>
      </c>
      <c r="K88" s="18"/>
      <c r="L88" s="69"/>
    </row>
    <row r="89" spans="1:12" ht="25.5" x14ac:dyDescent="0.25">
      <c r="A89" s="14">
        <v>80</v>
      </c>
      <c r="B89" s="24" t="s">
        <v>154</v>
      </c>
      <c r="C89" s="24" t="s">
        <v>17</v>
      </c>
      <c r="D89" s="24">
        <v>295</v>
      </c>
      <c r="E89" s="23" t="s">
        <v>292</v>
      </c>
      <c r="F89" s="24" t="s">
        <v>32</v>
      </c>
      <c r="G89" s="13">
        <v>1000</v>
      </c>
      <c r="H89" s="25">
        <v>200</v>
      </c>
      <c r="I89" s="63">
        <f t="shared" si="1"/>
        <v>200000</v>
      </c>
      <c r="J89" s="23" t="s">
        <v>295</v>
      </c>
      <c r="K89" s="18"/>
      <c r="L89" s="69"/>
    </row>
    <row r="90" spans="1:12" x14ac:dyDescent="0.25">
      <c r="A90" s="14">
        <v>81</v>
      </c>
      <c r="B90" s="24" t="s">
        <v>195</v>
      </c>
      <c r="C90" s="24" t="s">
        <v>17</v>
      </c>
      <c r="D90" s="24">
        <v>295</v>
      </c>
      <c r="E90" s="23" t="s">
        <v>327</v>
      </c>
      <c r="F90" s="24" t="s">
        <v>18</v>
      </c>
      <c r="G90" s="13">
        <v>30</v>
      </c>
      <c r="H90" s="25">
        <v>1700</v>
      </c>
      <c r="I90" s="21">
        <f t="shared" si="1"/>
        <v>51000</v>
      </c>
      <c r="J90" s="23" t="s">
        <v>42</v>
      </c>
      <c r="K90" s="18"/>
      <c r="L90" s="69"/>
    </row>
    <row r="91" spans="1:12" x14ac:dyDescent="0.25">
      <c r="A91" s="14">
        <v>82</v>
      </c>
      <c r="B91" s="24" t="s">
        <v>199</v>
      </c>
      <c r="C91" s="24" t="s">
        <v>17</v>
      </c>
      <c r="D91" s="24">
        <v>295</v>
      </c>
      <c r="E91" s="23" t="s">
        <v>330</v>
      </c>
      <c r="F91" s="24" t="s">
        <v>18</v>
      </c>
      <c r="G91" s="13">
        <v>30</v>
      </c>
      <c r="H91" s="25">
        <v>500</v>
      </c>
      <c r="I91" s="21">
        <f t="shared" si="1"/>
        <v>15000</v>
      </c>
      <c r="J91" s="23" t="s">
        <v>45</v>
      </c>
      <c r="K91" s="18"/>
      <c r="L91" s="69"/>
    </row>
    <row r="92" spans="1:12" x14ac:dyDescent="0.25">
      <c r="A92" s="14">
        <v>83</v>
      </c>
      <c r="B92" s="24" t="s">
        <v>197</v>
      </c>
      <c r="C92" s="24" t="s">
        <v>17</v>
      </c>
      <c r="D92" s="24">
        <v>295</v>
      </c>
      <c r="E92" s="23" t="s">
        <v>331</v>
      </c>
      <c r="F92" s="24" t="s">
        <v>18</v>
      </c>
      <c r="G92" s="13">
        <v>30</v>
      </c>
      <c r="H92" s="25">
        <v>2200</v>
      </c>
      <c r="I92" s="21">
        <f t="shared" si="1"/>
        <v>66000</v>
      </c>
      <c r="J92" s="23" t="s">
        <v>46</v>
      </c>
      <c r="K92" s="18"/>
      <c r="L92" s="69"/>
    </row>
    <row r="93" spans="1:12" x14ac:dyDescent="0.25">
      <c r="A93" s="14">
        <v>84</v>
      </c>
      <c r="B93" s="24" t="s">
        <v>198</v>
      </c>
      <c r="C93" s="24" t="s">
        <v>17</v>
      </c>
      <c r="D93" s="24">
        <v>295</v>
      </c>
      <c r="E93" s="23" t="s">
        <v>329</v>
      </c>
      <c r="F93" s="24" t="s">
        <v>18</v>
      </c>
      <c r="G93" s="13">
        <v>30</v>
      </c>
      <c r="H93" s="25">
        <v>2200</v>
      </c>
      <c r="I93" s="21">
        <f t="shared" si="1"/>
        <v>66000</v>
      </c>
      <c r="J93" s="23" t="s">
        <v>44</v>
      </c>
      <c r="K93" s="18"/>
      <c r="L93" s="69"/>
    </row>
    <row r="94" spans="1:12" x14ac:dyDescent="0.25">
      <c r="A94" s="14">
        <v>85</v>
      </c>
      <c r="B94" s="24" t="s">
        <v>196</v>
      </c>
      <c r="C94" s="24" t="s">
        <v>17</v>
      </c>
      <c r="D94" s="24">
        <v>295</v>
      </c>
      <c r="E94" s="23" t="s">
        <v>332</v>
      </c>
      <c r="F94" s="24" t="s">
        <v>18</v>
      </c>
      <c r="G94" s="13">
        <v>10</v>
      </c>
      <c r="H94" s="25">
        <v>1600</v>
      </c>
      <c r="I94" s="21">
        <f t="shared" si="1"/>
        <v>16000</v>
      </c>
      <c r="J94" s="23" t="s">
        <v>47</v>
      </c>
      <c r="K94" s="18"/>
      <c r="L94" s="69"/>
    </row>
    <row r="95" spans="1:12" x14ac:dyDescent="0.25">
      <c r="A95" s="14">
        <v>86</v>
      </c>
      <c r="B95" s="24" t="s">
        <v>194</v>
      </c>
      <c r="C95" s="24" t="s">
        <v>17</v>
      </c>
      <c r="D95" s="24">
        <v>295</v>
      </c>
      <c r="E95" s="23" t="s">
        <v>333</v>
      </c>
      <c r="F95" s="24" t="s">
        <v>18</v>
      </c>
      <c r="G95" s="13">
        <v>10</v>
      </c>
      <c r="H95" s="25">
        <v>1600</v>
      </c>
      <c r="I95" s="21">
        <f t="shared" ref="I95:I100" si="2">+G95*H95</f>
        <v>16000</v>
      </c>
      <c r="J95" s="23" t="s">
        <v>91</v>
      </c>
      <c r="K95" s="18"/>
      <c r="L95" s="69"/>
    </row>
    <row r="96" spans="1:12" x14ac:dyDescent="0.25">
      <c r="A96" s="14">
        <v>87</v>
      </c>
      <c r="B96" s="24" t="s">
        <v>200</v>
      </c>
      <c r="C96" s="24" t="s">
        <v>17</v>
      </c>
      <c r="D96" s="24">
        <v>295</v>
      </c>
      <c r="E96" s="23" t="s">
        <v>328</v>
      </c>
      <c r="F96" s="24" t="s">
        <v>18</v>
      </c>
      <c r="G96" s="13">
        <v>30</v>
      </c>
      <c r="H96" s="25">
        <v>2200</v>
      </c>
      <c r="I96" s="21">
        <f t="shared" si="2"/>
        <v>66000</v>
      </c>
      <c r="J96" s="23" t="s">
        <v>43</v>
      </c>
      <c r="K96" s="18"/>
      <c r="L96" s="69"/>
    </row>
    <row r="97" spans="1:12" x14ac:dyDescent="0.25">
      <c r="A97" s="14">
        <v>88</v>
      </c>
      <c r="B97" s="24" t="s">
        <v>402</v>
      </c>
      <c r="C97" s="24" t="s">
        <v>17</v>
      </c>
      <c r="D97" s="24">
        <v>295</v>
      </c>
      <c r="E97" s="23" t="s">
        <v>401</v>
      </c>
      <c r="F97" s="24" t="s">
        <v>18</v>
      </c>
      <c r="G97" s="13">
        <v>10</v>
      </c>
      <c r="H97" s="25">
        <v>1600</v>
      </c>
      <c r="I97" s="21">
        <f t="shared" si="2"/>
        <v>16000</v>
      </c>
      <c r="J97" s="23" t="s">
        <v>48</v>
      </c>
      <c r="K97" s="18"/>
      <c r="L97" s="69"/>
    </row>
    <row r="98" spans="1:12" x14ac:dyDescent="0.25">
      <c r="A98" s="14">
        <v>89</v>
      </c>
      <c r="B98" s="24" t="s">
        <v>192</v>
      </c>
      <c r="C98" s="24" t="s">
        <v>17</v>
      </c>
      <c r="D98" s="24">
        <v>295</v>
      </c>
      <c r="E98" s="23" t="s">
        <v>334</v>
      </c>
      <c r="F98" s="24" t="s">
        <v>18</v>
      </c>
      <c r="G98" s="13">
        <v>10</v>
      </c>
      <c r="H98" s="25">
        <v>1600</v>
      </c>
      <c r="I98" s="21">
        <f t="shared" si="2"/>
        <v>16000</v>
      </c>
      <c r="J98" s="23" t="s">
        <v>49</v>
      </c>
      <c r="K98" s="18"/>
      <c r="L98" s="69"/>
    </row>
    <row r="99" spans="1:12" x14ac:dyDescent="0.25">
      <c r="A99" s="14">
        <v>90</v>
      </c>
      <c r="B99" s="24" t="s">
        <v>193</v>
      </c>
      <c r="C99" s="24" t="s">
        <v>17</v>
      </c>
      <c r="D99" s="24">
        <v>295</v>
      </c>
      <c r="E99" s="23" t="s">
        <v>335</v>
      </c>
      <c r="F99" s="24" t="s">
        <v>18</v>
      </c>
      <c r="G99" s="13">
        <v>10</v>
      </c>
      <c r="H99" s="25">
        <v>1600</v>
      </c>
      <c r="I99" s="63">
        <f t="shared" si="2"/>
        <v>16000</v>
      </c>
      <c r="J99" s="23" t="s">
        <v>50</v>
      </c>
      <c r="K99" s="18"/>
      <c r="L99" s="69"/>
    </row>
    <row r="100" spans="1:12" ht="25.5" x14ac:dyDescent="0.25">
      <c r="A100" s="14">
        <v>91</v>
      </c>
      <c r="B100" s="24" t="s">
        <v>207</v>
      </c>
      <c r="C100" s="24" t="s">
        <v>17</v>
      </c>
      <c r="D100" s="24">
        <v>295</v>
      </c>
      <c r="E100" s="23" t="s">
        <v>338</v>
      </c>
      <c r="F100" s="24" t="s">
        <v>19</v>
      </c>
      <c r="G100" s="13">
        <v>50</v>
      </c>
      <c r="H100" s="25">
        <v>500</v>
      </c>
      <c r="I100" s="21">
        <f t="shared" si="2"/>
        <v>25000</v>
      </c>
      <c r="J100" s="23" t="s">
        <v>51</v>
      </c>
      <c r="K100" s="18"/>
      <c r="L100" s="69"/>
    </row>
    <row r="101" spans="1:12" x14ac:dyDescent="0.25">
      <c r="A101" s="14">
        <v>92</v>
      </c>
      <c r="B101" s="24" t="s">
        <v>423</v>
      </c>
      <c r="C101" s="24" t="s">
        <v>17</v>
      </c>
      <c r="D101" s="24">
        <v>252</v>
      </c>
      <c r="E101" s="23" t="s">
        <v>424</v>
      </c>
      <c r="F101" s="24" t="s">
        <v>19</v>
      </c>
      <c r="G101" s="13">
        <v>10</v>
      </c>
      <c r="H101" s="25">
        <v>500</v>
      </c>
      <c r="I101" s="63">
        <v>5000</v>
      </c>
      <c r="J101" s="23" t="s">
        <v>54</v>
      </c>
      <c r="K101" s="18"/>
      <c r="L101" s="69"/>
    </row>
    <row r="102" spans="1:12" ht="25.5" x14ac:dyDescent="0.25">
      <c r="A102" s="14">
        <v>93</v>
      </c>
      <c r="B102" s="14" t="s">
        <v>133</v>
      </c>
      <c r="C102" s="14" t="s">
        <v>17</v>
      </c>
      <c r="D102" s="14">
        <v>252</v>
      </c>
      <c r="E102" s="15" t="s">
        <v>269</v>
      </c>
      <c r="F102" s="14" t="s">
        <v>19</v>
      </c>
      <c r="G102" s="13">
        <v>50</v>
      </c>
      <c r="H102" s="16">
        <v>1500</v>
      </c>
      <c r="I102" s="63">
        <f t="shared" ref="I102:I126" si="3">+G102*H102</f>
        <v>75000</v>
      </c>
      <c r="J102" s="15" t="s">
        <v>24</v>
      </c>
      <c r="K102" s="18"/>
      <c r="L102" s="69"/>
    </row>
    <row r="103" spans="1:12" x14ac:dyDescent="0.25">
      <c r="A103" s="14">
        <v>94</v>
      </c>
      <c r="B103" s="24" t="s">
        <v>248</v>
      </c>
      <c r="C103" s="24" t="s">
        <v>17</v>
      </c>
      <c r="D103" s="67">
        <v>295</v>
      </c>
      <c r="E103" s="64" t="s">
        <v>371</v>
      </c>
      <c r="F103" s="24" t="s">
        <v>19</v>
      </c>
      <c r="G103" s="13">
        <v>30</v>
      </c>
      <c r="H103" s="25">
        <v>1400</v>
      </c>
      <c r="I103" s="21">
        <f t="shared" si="3"/>
        <v>42000</v>
      </c>
      <c r="J103" s="23" t="s">
        <v>81</v>
      </c>
      <c r="K103" s="18"/>
      <c r="L103" s="69"/>
    </row>
    <row r="104" spans="1:12" x14ac:dyDescent="0.25">
      <c r="A104" s="14">
        <v>95</v>
      </c>
      <c r="B104" s="24" t="s">
        <v>215</v>
      </c>
      <c r="C104" s="24" t="s">
        <v>17</v>
      </c>
      <c r="D104" s="67">
        <v>252</v>
      </c>
      <c r="E104" s="23" t="s">
        <v>346</v>
      </c>
      <c r="F104" s="24" t="s">
        <v>19</v>
      </c>
      <c r="G104" s="13">
        <v>30</v>
      </c>
      <c r="H104" s="25">
        <v>1500</v>
      </c>
      <c r="I104" s="63">
        <f t="shared" si="3"/>
        <v>45000</v>
      </c>
      <c r="J104" s="23" t="s">
        <v>404</v>
      </c>
      <c r="K104" s="18"/>
      <c r="L104" s="69"/>
    </row>
    <row r="105" spans="1:12" ht="25.5" x14ac:dyDescent="0.25">
      <c r="A105" s="14">
        <v>96</v>
      </c>
      <c r="B105" s="24" t="s">
        <v>164</v>
      </c>
      <c r="C105" s="24" t="s">
        <v>17</v>
      </c>
      <c r="D105" s="67">
        <v>252</v>
      </c>
      <c r="E105" s="23" t="s">
        <v>317</v>
      </c>
      <c r="F105" s="24" t="s">
        <v>18</v>
      </c>
      <c r="G105" s="13">
        <v>100</v>
      </c>
      <c r="H105" s="25">
        <v>2000</v>
      </c>
      <c r="I105" s="21">
        <f t="shared" si="3"/>
        <v>200000</v>
      </c>
      <c r="J105" s="23" t="s">
        <v>39</v>
      </c>
      <c r="K105" s="18"/>
      <c r="L105" s="69"/>
    </row>
    <row r="106" spans="1:12" x14ac:dyDescent="0.25">
      <c r="A106" s="14">
        <v>97</v>
      </c>
      <c r="B106" s="24" t="s">
        <v>245</v>
      </c>
      <c r="C106" s="24" t="s">
        <v>17</v>
      </c>
      <c r="D106" s="67">
        <v>252</v>
      </c>
      <c r="E106" s="23" t="s">
        <v>368</v>
      </c>
      <c r="F106" s="24" t="s">
        <v>19</v>
      </c>
      <c r="G106" s="13">
        <v>80</v>
      </c>
      <c r="H106" s="25">
        <v>1000</v>
      </c>
      <c r="I106" s="21">
        <f t="shared" si="3"/>
        <v>80000</v>
      </c>
      <c r="J106" s="23" t="s">
        <v>60</v>
      </c>
      <c r="K106" s="18"/>
      <c r="L106" s="69"/>
    </row>
    <row r="107" spans="1:12" x14ac:dyDescent="0.25">
      <c r="A107" s="14">
        <v>98</v>
      </c>
      <c r="B107" s="24" t="s">
        <v>245</v>
      </c>
      <c r="C107" s="24" t="s">
        <v>17</v>
      </c>
      <c r="D107" s="67">
        <v>252</v>
      </c>
      <c r="E107" s="23" t="s">
        <v>368</v>
      </c>
      <c r="F107" s="24" t="s">
        <v>19</v>
      </c>
      <c r="G107" s="13">
        <v>80</v>
      </c>
      <c r="H107" s="25">
        <v>1000</v>
      </c>
      <c r="I107" s="21">
        <f t="shared" si="3"/>
        <v>80000</v>
      </c>
      <c r="J107" s="23" t="s">
        <v>61</v>
      </c>
      <c r="K107" s="18"/>
      <c r="L107" s="69"/>
    </row>
    <row r="108" spans="1:12" x14ac:dyDescent="0.25">
      <c r="A108" s="14">
        <v>99</v>
      </c>
      <c r="B108" s="24" t="s">
        <v>245</v>
      </c>
      <c r="C108" s="24" t="s">
        <v>17</v>
      </c>
      <c r="D108" s="67">
        <v>252</v>
      </c>
      <c r="E108" s="23" t="s">
        <v>368</v>
      </c>
      <c r="F108" s="24" t="s">
        <v>19</v>
      </c>
      <c r="G108" s="13">
        <v>150</v>
      </c>
      <c r="H108" s="25">
        <v>1000</v>
      </c>
      <c r="I108" s="21">
        <f t="shared" si="3"/>
        <v>150000</v>
      </c>
      <c r="J108" s="23" t="s">
        <v>62</v>
      </c>
      <c r="K108" s="18"/>
      <c r="L108" s="69"/>
    </row>
    <row r="109" spans="1:12" x14ac:dyDescent="0.25">
      <c r="A109" s="14">
        <v>100</v>
      </c>
      <c r="B109" s="24" t="s">
        <v>245</v>
      </c>
      <c r="C109" s="24" t="s">
        <v>17</v>
      </c>
      <c r="D109" s="67">
        <v>252</v>
      </c>
      <c r="E109" s="23" t="s">
        <v>368</v>
      </c>
      <c r="F109" s="24" t="s">
        <v>19</v>
      </c>
      <c r="G109" s="13">
        <v>150</v>
      </c>
      <c r="H109" s="25">
        <v>1000</v>
      </c>
      <c r="I109" s="21">
        <f t="shared" si="3"/>
        <v>150000</v>
      </c>
      <c r="J109" s="23" t="s">
        <v>63</v>
      </c>
      <c r="K109" s="18"/>
      <c r="L109" s="69"/>
    </row>
    <row r="110" spans="1:12" x14ac:dyDescent="0.25">
      <c r="A110" s="14">
        <v>101</v>
      </c>
      <c r="B110" s="24" t="s">
        <v>245</v>
      </c>
      <c r="C110" s="24" t="s">
        <v>17</v>
      </c>
      <c r="D110" s="67">
        <v>252</v>
      </c>
      <c r="E110" s="23" t="s">
        <v>368</v>
      </c>
      <c r="F110" s="24" t="s">
        <v>19</v>
      </c>
      <c r="G110" s="13">
        <v>80</v>
      </c>
      <c r="H110" s="25">
        <v>1000</v>
      </c>
      <c r="I110" s="21">
        <f t="shared" si="3"/>
        <v>80000</v>
      </c>
      <c r="J110" s="23" t="s">
        <v>64</v>
      </c>
      <c r="K110" s="18"/>
      <c r="L110" s="69"/>
    </row>
    <row r="111" spans="1:12" ht="25.5" x14ac:dyDescent="0.25">
      <c r="A111" s="14">
        <v>102</v>
      </c>
      <c r="B111" s="24" t="s">
        <v>246</v>
      </c>
      <c r="C111" s="24" t="s">
        <v>17</v>
      </c>
      <c r="D111" s="67">
        <v>252</v>
      </c>
      <c r="E111" s="23" t="s">
        <v>369</v>
      </c>
      <c r="F111" s="24" t="s">
        <v>19</v>
      </c>
      <c r="G111" s="13">
        <v>40</v>
      </c>
      <c r="H111" s="25">
        <v>1300</v>
      </c>
      <c r="I111" s="21">
        <f t="shared" si="3"/>
        <v>52000</v>
      </c>
      <c r="J111" s="23" t="s">
        <v>65</v>
      </c>
      <c r="K111" s="18"/>
      <c r="L111" s="69"/>
    </row>
    <row r="112" spans="1:12" ht="25.5" x14ac:dyDescent="0.25">
      <c r="A112" s="14">
        <v>103</v>
      </c>
      <c r="B112" s="24" t="s">
        <v>246</v>
      </c>
      <c r="C112" s="24" t="s">
        <v>17</v>
      </c>
      <c r="D112" s="67">
        <v>252</v>
      </c>
      <c r="E112" s="23" t="s">
        <v>369</v>
      </c>
      <c r="F112" s="24" t="s">
        <v>19</v>
      </c>
      <c r="G112" s="13">
        <v>50</v>
      </c>
      <c r="H112" s="25">
        <v>1300</v>
      </c>
      <c r="I112" s="21">
        <f t="shared" si="3"/>
        <v>65000</v>
      </c>
      <c r="J112" s="23" t="s">
        <v>66</v>
      </c>
      <c r="K112" s="18"/>
      <c r="L112" s="69"/>
    </row>
    <row r="113" spans="1:12" ht="25.5" x14ac:dyDescent="0.25">
      <c r="A113" s="14">
        <v>104</v>
      </c>
      <c r="B113" s="24" t="s">
        <v>246</v>
      </c>
      <c r="C113" s="24" t="s">
        <v>17</v>
      </c>
      <c r="D113" s="67">
        <v>252</v>
      </c>
      <c r="E113" s="23" t="s">
        <v>369</v>
      </c>
      <c r="F113" s="24" t="s">
        <v>19</v>
      </c>
      <c r="G113" s="13">
        <v>50</v>
      </c>
      <c r="H113" s="25">
        <v>1300</v>
      </c>
      <c r="I113" s="21">
        <f t="shared" si="3"/>
        <v>65000</v>
      </c>
      <c r="J113" s="23" t="s">
        <v>67</v>
      </c>
      <c r="K113" s="18"/>
      <c r="L113" s="69"/>
    </row>
    <row r="114" spans="1:12" ht="25.5" x14ac:dyDescent="0.25">
      <c r="A114" s="14">
        <v>105</v>
      </c>
      <c r="B114" s="24" t="s">
        <v>217</v>
      </c>
      <c r="C114" s="24" t="s">
        <v>17</v>
      </c>
      <c r="D114" s="67">
        <v>252</v>
      </c>
      <c r="E114" s="23" t="s">
        <v>55</v>
      </c>
      <c r="F114" s="24" t="s">
        <v>19</v>
      </c>
      <c r="G114" s="13">
        <v>30</v>
      </c>
      <c r="H114" s="25">
        <v>700</v>
      </c>
      <c r="I114" s="21">
        <f t="shared" si="3"/>
        <v>21000</v>
      </c>
      <c r="J114" s="23" t="s">
        <v>55</v>
      </c>
      <c r="K114" s="18"/>
      <c r="L114" s="69"/>
    </row>
    <row r="115" spans="1:12" x14ac:dyDescent="0.25">
      <c r="A115" s="14">
        <v>106</v>
      </c>
      <c r="B115" s="24" t="s">
        <v>216</v>
      </c>
      <c r="C115" s="24" t="s">
        <v>17</v>
      </c>
      <c r="D115" s="67">
        <v>252</v>
      </c>
      <c r="E115" s="23" t="s">
        <v>347</v>
      </c>
      <c r="F115" s="24" t="s">
        <v>19</v>
      </c>
      <c r="G115" s="13">
        <v>50</v>
      </c>
      <c r="H115" s="25">
        <v>1050</v>
      </c>
      <c r="I115" s="63">
        <f t="shared" si="3"/>
        <v>52500</v>
      </c>
      <c r="J115" s="23" t="s">
        <v>405</v>
      </c>
      <c r="K115" s="18"/>
      <c r="L115" s="69"/>
    </row>
    <row r="116" spans="1:12" x14ac:dyDescent="0.25">
      <c r="A116" s="14">
        <v>107</v>
      </c>
      <c r="B116" s="24" t="s">
        <v>237</v>
      </c>
      <c r="C116" s="24" t="s">
        <v>17</v>
      </c>
      <c r="D116" s="24">
        <v>295</v>
      </c>
      <c r="E116" s="23" t="s">
        <v>360</v>
      </c>
      <c r="F116" s="24" t="s">
        <v>19</v>
      </c>
      <c r="G116" s="13">
        <v>20</v>
      </c>
      <c r="H116" s="25">
        <v>400</v>
      </c>
      <c r="I116" s="21">
        <f t="shared" si="3"/>
        <v>8000</v>
      </c>
      <c r="J116" s="23" t="s">
        <v>57</v>
      </c>
      <c r="K116" s="18"/>
      <c r="L116" s="69"/>
    </row>
    <row r="117" spans="1:12" x14ac:dyDescent="0.25">
      <c r="A117" s="14">
        <v>108</v>
      </c>
      <c r="B117" s="24" t="s">
        <v>243</v>
      </c>
      <c r="C117" s="24" t="s">
        <v>17</v>
      </c>
      <c r="D117" s="24">
        <v>295</v>
      </c>
      <c r="E117" s="23" t="s">
        <v>366</v>
      </c>
      <c r="F117" s="24" t="s">
        <v>19</v>
      </c>
      <c r="G117" s="13">
        <v>8</v>
      </c>
      <c r="H117" s="25">
        <v>1000</v>
      </c>
      <c r="I117" s="21">
        <f t="shared" si="3"/>
        <v>8000</v>
      </c>
      <c r="J117" s="23" t="s">
        <v>79</v>
      </c>
      <c r="K117" s="18"/>
      <c r="L117" s="69"/>
    </row>
    <row r="118" spans="1:12" x14ac:dyDescent="0.25">
      <c r="A118" s="14">
        <v>109</v>
      </c>
      <c r="B118" s="24" t="s">
        <v>240</v>
      </c>
      <c r="C118" s="24" t="s">
        <v>17</v>
      </c>
      <c r="D118" s="24">
        <v>259</v>
      </c>
      <c r="E118" s="23" t="s">
        <v>363</v>
      </c>
      <c r="F118" s="24" t="s">
        <v>18</v>
      </c>
      <c r="G118" s="13">
        <v>100</v>
      </c>
      <c r="H118" s="25">
        <v>3500</v>
      </c>
      <c r="I118" s="21">
        <f t="shared" si="3"/>
        <v>350000</v>
      </c>
      <c r="J118" s="23" t="s">
        <v>90</v>
      </c>
      <c r="K118" s="18"/>
      <c r="L118" s="69"/>
    </row>
    <row r="119" spans="1:12" ht="25.5" x14ac:dyDescent="0.25">
      <c r="A119" s="14">
        <v>110</v>
      </c>
      <c r="B119" s="24" t="s">
        <v>206</v>
      </c>
      <c r="C119" s="24" t="s">
        <v>17</v>
      </c>
      <c r="D119" s="24">
        <v>259</v>
      </c>
      <c r="E119" s="23" t="s">
        <v>337</v>
      </c>
      <c r="F119" s="24" t="s">
        <v>19</v>
      </c>
      <c r="G119" s="13">
        <v>250</v>
      </c>
      <c r="H119" s="25">
        <v>600</v>
      </c>
      <c r="I119" s="21">
        <f t="shared" si="3"/>
        <v>150000</v>
      </c>
      <c r="J119" s="23" t="s">
        <v>92</v>
      </c>
      <c r="K119" s="18"/>
      <c r="L119" s="69"/>
    </row>
    <row r="120" spans="1:12" x14ac:dyDescent="0.25">
      <c r="A120" s="14">
        <v>111</v>
      </c>
      <c r="B120" s="24" t="s">
        <v>253</v>
      </c>
      <c r="C120" s="24" t="s">
        <v>17</v>
      </c>
      <c r="D120" s="24">
        <v>295</v>
      </c>
      <c r="E120" s="23" t="s">
        <v>375</v>
      </c>
      <c r="F120" s="24" t="s">
        <v>18</v>
      </c>
      <c r="G120" s="13">
        <v>50</v>
      </c>
      <c r="H120" s="25">
        <v>2000</v>
      </c>
      <c r="I120" s="63">
        <f t="shared" si="3"/>
        <v>100000</v>
      </c>
      <c r="J120" s="23" t="s">
        <v>124</v>
      </c>
      <c r="K120" s="18"/>
      <c r="L120" s="69"/>
    </row>
    <row r="121" spans="1:12" x14ac:dyDescent="0.25">
      <c r="A121" s="14">
        <v>112</v>
      </c>
      <c r="B121" s="24" t="s">
        <v>252</v>
      </c>
      <c r="C121" s="24" t="s">
        <v>17</v>
      </c>
      <c r="D121" s="24">
        <v>295</v>
      </c>
      <c r="E121" s="23" t="s">
        <v>376</v>
      </c>
      <c r="F121" s="24" t="s">
        <v>18</v>
      </c>
      <c r="G121" s="13">
        <v>50</v>
      </c>
      <c r="H121" s="25">
        <v>2000</v>
      </c>
      <c r="I121" s="63">
        <f t="shared" si="3"/>
        <v>100000</v>
      </c>
      <c r="J121" s="23" t="s">
        <v>125</v>
      </c>
      <c r="K121" s="18"/>
      <c r="L121" s="69"/>
    </row>
    <row r="122" spans="1:12" x14ac:dyDescent="0.25">
      <c r="A122" s="14">
        <v>113</v>
      </c>
      <c r="B122" s="24" t="s">
        <v>251</v>
      </c>
      <c r="C122" s="24" t="s">
        <v>17</v>
      </c>
      <c r="D122" s="24">
        <v>295</v>
      </c>
      <c r="E122" s="23" t="s">
        <v>374</v>
      </c>
      <c r="F122" s="24" t="s">
        <v>19</v>
      </c>
      <c r="G122" s="13">
        <v>15</v>
      </c>
      <c r="H122" s="25">
        <v>2300</v>
      </c>
      <c r="I122" s="21">
        <f t="shared" si="3"/>
        <v>34500</v>
      </c>
      <c r="J122" s="23" t="s">
        <v>70</v>
      </c>
      <c r="K122" s="18"/>
      <c r="L122" s="69"/>
    </row>
    <row r="123" spans="1:12" x14ac:dyDescent="0.25">
      <c r="A123" s="14">
        <v>114</v>
      </c>
      <c r="B123" s="24" t="s">
        <v>251</v>
      </c>
      <c r="C123" s="24" t="s">
        <v>17</v>
      </c>
      <c r="D123" s="24">
        <v>295</v>
      </c>
      <c r="E123" s="23" t="s">
        <v>374</v>
      </c>
      <c r="F123" s="24" t="s">
        <v>19</v>
      </c>
      <c r="G123" s="13">
        <v>50</v>
      </c>
      <c r="H123" s="25">
        <v>2000</v>
      </c>
      <c r="I123" s="63">
        <f t="shared" si="3"/>
        <v>100000</v>
      </c>
      <c r="J123" s="23" t="s">
        <v>123</v>
      </c>
      <c r="K123" s="18"/>
      <c r="L123" s="69"/>
    </row>
    <row r="124" spans="1:12" ht="25.5" x14ac:dyDescent="0.25">
      <c r="A124" s="14">
        <v>115</v>
      </c>
      <c r="B124" s="24" t="s">
        <v>159</v>
      </c>
      <c r="C124" s="24" t="s">
        <v>17</v>
      </c>
      <c r="D124" s="24">
        <v>252</v>
      </c>
      <c r="E124" s="23" t="s">
        <v>298</v>
      </c>
      <c r="F124" s="24" t="s">
        <v>19</v>
      </c>
      <c r="G124" s="13">
        <v>20</v>
      </c>
      <c r="H124" s="25">
        <v>600</v>
      </c>
      <c r="I124" s="21">
        <f t="shared" si="3"/>
        <v>12000</v>
      </c>
      <c r="J124" s="23" t="s">
        <v>34</v>
      </c>
      <c r="K124" s="18"/>
      <c r="L124" s="69"/>
    </row>
    <row r="125" spans="1:12" x14ac:dyDescent="0.25">
      <c r="A125" s="14">
        <v>116</v>
      </c>
      <c r="B125" s="24" t="s">
        <v>260</v>
      </c>
      <c r="C125" s="24" t="s">
        <v>17</v>
      </c>
      <c r="D125" s="67">
        <v>265</v>
      </c>
      <c r="E125" s="23" t="s">
        <v>382</v>
      </c>
      <c r="F125" s="24" t="s">
        <v>19</v>
      </c>
      <c r="G125" s="13">
        <v>12</v>
      </c>
      <c r="H125" s="25">
        <v>2300</v>
      </c>
      <c r="I125" s="21">
        <f t="shared" si="3"/>
        <v>27600</v>
      </c>
      <c r="J125" s="23" t="s">
        <v>72</v>
      </c>
      <c r="K125" s="18"/>
      <c r="L125" s="69"/>
    </row>
    <row r="126" spans="1:12" ht="15.75" thickBot="1" x14ac:dyDescent="0.3">
      <c r="A126" s="14">
        <v>117</v>
      </c>
      <c r="B126" s="24" t="s">
        <v>261</v>
      </c>
      <c r="C126" s="24" t="s">
        <v>17</v>
      </c>
      <c r="D126" s="67">
        <v>265</v>
      </c>
      <c r="E126" s="23" t="s">
        <v>383</v>
      </c>
      <c r="F126" s="24" t="s">
        <v>19</v>
      </c>
      <c r="G126" s="13">
        <v>12</v>
      </c>
      <c r="H126" s="25">
        <v>2000</v>
      </c>
      <c r="I126" s="21">
        <f t="shared" si="3"/>
        <v>24000</v>
      </c>
      <c r="J126" s="23" t="s">
        <v>73</v>
      </c>
      <c r="K126" s="18"/>
      <c r="L126" s="69"/>
    </row>
    <row r="127" spans="1:12" ht="15.75" thickBot="1" x14ac:dyDescent="0.3">
      <c r="A127" s="37"/>
      <c r="B127" s="38"/>
      <c r="C127" s="38"/>
      <c r="D127" s="38"/>
      <c r="E127" s="39" t="s">
        <v>74</v>
      </c>
      <c r="F127" s="38"/>
      <c r="G127" s="41"/>
      <c r="H127" s="40"/>
      <c r="I127" s="42" t="e">
        <f>SUM(#REF!)</f>
        <v>#REF!</v>
      </c>
      <c r="J127" s="48"/>
      <c r="K127" s="18"/>
      <c r="L127" s="70"/>
    </row>
  </sheetData>
  <mergeCells count="7">
    <mergeCell ref="A6:B6"/>
    <mergeCell ref="A7:B7"/>
    <mergeCell ref="B2:H2"/>
    <mergeCell ref="A4:B4"/>
    <mergeCell ref="C4:E4"/>
    <mergeCell ref="A5:B5"/>
    <mergeCell ref="C5:E5"/>
  </mergeCells>
  <conditionalFormatting sqref="B1:B9 E1:E9">
    <cfRule type="duplicateValues" dxfId="5" priority="1"/>
  </conditionalFormatting>
  <conditionalFormatting sqref="E1:E9 B1:B9">
    <cfRule type="duplicateValues" dxfId="4" priority="2"/>
  </conditionalFormatting>
  <conditionalFormatting sqref="B1:B9">
    <cfRule type="duplicateValues" dxfId="3" priority="3"/>
  </conditionalFormatting>
  <conditionalFormatting sqref="E1:E9">
    <cfRule type="duplicateValues" dxfId="2" priority="4"/>
  </conditionalFormatting>
  <conditionalFormatting sqref="E1:E9">
    <cfRule type="duplicateValues" dxfId="1" priority="5"/>
    <cfRule type="duplicateValues" dxfId="0" priority="6"/>
  </conditionalFormatting>
  <hyperlinks>
    <hyperlink ref="L37" r:id="rId1" location="position=2&amp;search_layout=stack&amp;type=item&amp;tracking_id=fe5746c1-1adc-457c-8671-91d4103c3409" xr:uid="{C7104B41-FBB5-4919-8A46-181A2096B08A}"/>
    <hyperlink ref="M37" r:id="rId2" xr:uid="{14339DC6-7F4A-4AFB-9075-9CD0A0A42A35}"/>
  </hyperlinks>
  <pageMargins left="0.7" right="0.7" top="0.75" bottom="0.75" header="0.3" footer="0.3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ODONTOL CON INCREMENTO DE CANTI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2022-09-05T13:07:12Z</dcterms:modified>
</cp:coreProperties>
</file>