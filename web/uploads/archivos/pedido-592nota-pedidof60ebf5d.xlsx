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776911F7-F8FC-4A22-B70A-01A420EF93A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LEM. LIMPIEZA" sheetId="4" r:id="rId1"/>
    <sheet name="Autor Gastar" sheetId="3" r:id="rId2"/>
  </sheets>
  <definedNames>
    <definedName name="_xlnm._FilterDatabase" localSheetId="0" hidden="1">'ELEM. LIMPIEZA'!$A$9:$I$15</definedName>
    <definedName name="_xlnm.Print_Area" localSheetId="1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3" l="1"/>
  <c r="G7" i="3" l="1"/>
  <c r="I13" i="4"/>
  <c r="Q18" i="3" s="1"/>
  <c r="I12" i="4"/>
  <c r="Q16" i="3" s="1"/>
  <c r="I11" i="4"/>
  <c r="Q17" i="3" s="1"/>
  <c r="D11" i="4"/>
  <c r="I10" i="4"/>
  <c r="Q15" i="3" s="1"/>
  <c r="D10" i="4"/>
  <c r="Q19" i="3" l="1"/>
  <c r="I15" i="4"/>
</calcChain>
</file>

<file path=xl/sharedStrings.xml><?xml version="1.0" encoding="utf-8"?>
<sst xmlns="http://schemas.openxmlformats.org/spreadsheetml/2006/main" count="85" uniqueCount="76">
  <si>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</si>
  <si>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</si>
  <si>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</si>
  <si>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</si>
  <si>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</si>
  <si>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</si>
  <si>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</si>
  <si>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</si>
  <si>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</si>
  <si>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</si>
  <si>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</si>
  <si>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</si>
  <si>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</si>
  <si>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</si>
  <si>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</si>
  <si>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</si>
  <si>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</si>
  <si>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</si>
  <si>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</si>
  <si>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</si>
  <si>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</si>
  <si>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</si>
  <si>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</si>
  <si>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</si>
  <si>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</si>
  <si>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</si>
  <si>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</si>
  <si>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</si>
  <si>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</si>
  <si>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</si>
  <si>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</si>
  <si>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</si>
  <si>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</si>
  <si>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</si>
  <si>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</si>
  <si>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</si>
  <si>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</si>
  <si>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</si>
  <si>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</si>
  <si>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</si>
  <si>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</si>
  <si>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</si>
  <si>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12 -Ministerio de Trabajo y Recursos Humanos</t>
  </si>
  <si>
    <t>Ministerio de Trabajo y Reursos Humanos</t>
  </si>
  <si>
    <t>UNIDAD</t>
  </si>
  <si>
    <t>Descripción técnica</t>
  </si>
  <si>
    <t>ELEMENTOS DE LIMPIEZA</t>
  </si>
  <si>
    <t>2.3.4-786.80</t>
  </si>
  <si>
    <r>
      <rPr>
        <b/>
        <sz val="11"/>
        <rFont val="Times New Roman"/>
        <family val="1"/>
      </rPr>
      <t>PAPEL HIGIENICO</t>
    </r>
    <r>
      <rPr>
        <sz val="11"/>
        <rFont val="Times New Roman"/>
        <family val="1"/>
      </rPr>
      <t>; PRESENTACION: PAQUETE X 4, TIPO: ROLLO, ANCHO: 10 Cm, LARGO: 90 M, TIPO DE HOJA: DOBLE</t>
    </r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</si>
  <si>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Pabellón Nº 20 Ministerio de Trabajo y Recursos Humanos (CAPE), sito en Av. Presidente Castillo y Av.  Venezuela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</si>
  <si>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Que cumpla íntegramente con lo solicitado</t>
  </si>
  <si>
    <t>30 (treinta) días</t>
  </si>
  <si>
    <t>Productos de Papel y Cartón</t>
  </si>
  <si>
    <t>Elementos de Limpieza</t>
  </si>
  <si>
    <t>22 - Secretaria de Administracion del Ministerio de Trabajo y Recursos Humanos</t>
  </si>
  <si>
    <t>2.9.1-2661.30</t>
  </si>
  <si>
    <r>
      <rPr>
        <b/>
        <sz val="11"/>
        <rFont val="Times New Roman"/>
        <family val="1"/>
      </rPr>
      <t>TACHOS DE RESIDUOS</t>
    </r>
    <r>
      <rPr>
        <sz val="11"/>
        <rFont val="Times New Roman"/>
        <family val="1"/>
      </rPr>
      <t>; MATERIAL: PLASTICO, SECCION: 30 X 27 Cm, DIMENSION: 15 L, TAPA: A PEDAL</t>
    </r>
  </si>
  <si>
    <t>2.5.2-711.49</t>
  </si>
  <si>
    <t>PROD. MEDICO /FARMACEUTICOS/LAB</t>
  </si>
  <si>
    <t>2.5.2</t>
  </si>
  <si>
    <r>
      <rPr>
        <b/>
        <u/>
        <sz val="11"/>
        <rFont val="Times New Roman"/>
        <family val="1"/>
      </rPr>
      <t xml:space="preserve">ALCOHOL </t>
    </r>
    <r>
      <rPr>
        <sz val="11"/>
        <rFont val="Times New Roman"/>
        <family val="1"/>
      </rPr>
      <t>USO MEDICINAL; PUREZA: 70 %, PRESENTACIÓN: SEGÚN PLIEGO, CANTIDAD: SEGÚN PLIEGO</t>
    </r>
  </si>
  <si>
    <t>2.9.5-428.26</t>
  </si>
  <si>
    <t>PROD. MEDICO/ FARMACEUTICOS/LAB</t>
  </si>
  <si>
    <t>2.9.5</t>
  </si>
  <si>
    <r>
      <rPr>
        <b/>
        <u/>
        <sz val="11"/>
        <rFont val="Times New Roman"/>
        <family val="1"/>
      </rPr>
      <t>BARBIJOS</t>
    </r>
    <r>
      <rPr>
        <sz val="11"/>
        <rFont val="Times New Roman"/>
        <family val="1"/>
      </rPr>
      <t>; TIPO: RECTANGULAR, MATERIAL: POLIPROPILENO, CANTIDAD DE CAPAS: 2, DESCARTABLE: SI, PRESENTACION: ENVASE X 50 UN</t>
    </r>
  </si>
  <si>
    <t>ALCOHOL USO MEDICINAL; PUREZA: 70 %, PRESENTACIÓN: BIDONES DE 5 LTS, CANTIDAD: ENVASE POR 5 LTS</t>
  </si>
  <si>
    <t>Autorizo la realización de los  trámites correspondientes, a fin de proveer a  este Organismo los bienes y/o servicios que se detallan en el plan Trimestral ,  afectando la erogación resultante a los créditos presupuestarios aprobados a favor de esta Unidad Ejecutora, conforme al siguiente detalle:"</t>
  </si>
  <si>
    <t>Calidad Mínima esperada</t>
  </si>
  <si>
    <t>Garantía</t>
  </si>
  <si>
    <t>22 - Secretaria de Administración del Ministerio de Trabajo y Recursos Humanos</t>
  </si>
  <si>
    <t>Productos Farmacéuticos y Medicinales</t>
  </si>
  <si>
    <t>Útiles Menores Médico, Quirúrgico y de Laboratorio</t>
  </si>
  <si>
    <t>Adquisición de ELEMENTOS DE LIMPIEZA para las distintas dependencias de este Ministerio.</t>
  </si>
  <si>
    <t>PAQUETE</t>
  </si>
  <si>
    <t>Especificidades Ítem N° 30:</t>
  </si>
  <si>
    <r>
      <rPr>
        <b/>
        <u/>
        <sz val="10"/>
        <rFont val="Times New Roman"/>
        <family val="1"/>
      </rPr>
      <t>COSTO ESTIMADO TOTAL:</t>
    </r>
    <r>
      <rPr>
        <sz val="10"/>
        <rFont val="Times New Roman"/>
        <family val="1"/>
      </rPr>
      <t xml:space="preserve"> Seiscientos Noventa y Un Mil Quinientos Cincuenta y Cinco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</si>
</sst>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  <font>
      <sz val="11"/>
      <color rgb="FF000000"/>
      <name val="Times New Roman"/>
      <family val="1"/>
    </font>
    <font>
      <b/>
      <u/>
      <sz val="11"/>
      <name val="Times New Roman"/>
      <family val="1"/>
    </font>
    <font>
      <b/>
      <sz val="14"/>
      <name val="Times New Roman"/>
      <family val="1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7">
    <xf numFmtId="0" fontId="0" fillId="0" borderId="0" xfId="0"/>
    <xf numFmtId="0" fontId="5" fillId="0" borderId="0" xfId="0" applyFont="1"/>
    <xf numFmtId="0" fontId="5" fillId="0" borderId="0" xfId="0" applyFont="1" applyBorder="1"/>
    <xf numFmtId="3" fontId="10" fillId="0" borderId="0" xfId="0" applyNumberFormat="1" applyFont="1" applyBorder="1" applyAlignment="1"/>
    <xf numFmtId="168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0" xfId="0" applyFont="1" applyBorder="1"/>
    <xf numFmtId="0" fontId="5" fillId="0" borderId="18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left"/>
    </xf>
    <xf numFmtId="0" fontId="5" fillId="0" borderId="19" xfId="0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Border="1"/>
    <xf numFmtId="0" fontId="13" fillId="0" borderId="8" xfId="0" applyFont="1" applyBorder="1"/>
    <xf numFmtId="0" fontId="13" fillId="0" borderId="5" xfId="0" applyFont="1" applyBorder="1" applyAlignment="1">
      <alignment horizontal="left" indent="3"/>
    </xf>
    <xf numFmtId="0" fontId="14" fillId="0" borderId="5" xfId="0" applyFont="1" applyBorder="1" applyAlignment="1">
      <alignment horizontal="left" indent="3"/>
    </xf>
    <xf numFmtId="0" fontId="13" fillId="0" borderId="7" xfId="0" applyFont="1" applyBorder="1" applyAlignment="1">
      <alignment horizontal="left" indent="3"/>
    </xf>
    <xf numFmtId="0" fontId="13" fillId="0" borderId="0" xfId="0" applyFont="1" applyBorder="1" applyAlignment="1">
      <alignment horizontal="center" wrapText="1"/>
    </xf>
    <xf numFmtId="0" fontId="13" fillId="0" borderId="6" xfId="0" applyFont="1" applyFill="1" applyBorder="1" applyAlignment="1">
      <alignment horizontal="center"/>
    </xf>
    <xf numFmtId="167" fontId="5" fillId="0" borderId="0" xfId="0" applyNumberFormat="1" applyFont="1"/>
    <xf numFmtId="0" fontId="5" fillId="0" borderId="28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1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166" fontId="5" fillId="0" borderId="26" xfId="3" applyNumberFormat="1" applyFont="1" applyFill="1" applyBorder="1" applyAlignment="1" applyProtection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166" fontId="5" fillId="0" borderId="29" xfId="3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left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0" fontId="13" fillId="0" borderId="0" xfId="0" applyFont="1" applyAlignment="1">
      <alignment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vertical="center"/>
    </xf>
    <xf numFmtId="0" fontId="15" fillId="0" borderId="28" xfId="0" applyFont="1" applyBorder="1" applyAlignment="1">
      <alignment vertical="center" wrapText="1"/>
    </xf>
    <xf numFmtId="0" fontId="15" fillId="0" borderId="28" xfId="0" applyFont="1" applyFill="1" applyBorder="1" applyAlignment="1">
      <alignment horizontal="center" vertical="center" wrapText="1"/>
    </xf>
    <xf numFmtId="166" fontId="15" fillId="0" borderId="28" xfId="1" applyNumberFormat="1" applyFont="1" applyFill="1" applyBorder="1" applyAlignment="1" applyProtection="1">
      <alignment horizontal="right" vertical="center" wrapText="1"/>
    </xf>
    <xf numFmtId="166" fontId="15" fillId="0" borderId="29" xfId="1" applyNumberFormat="1" applyFont="1" applyFill="1" applyBorder="1" applyAlignment="1" applyProtection="1">
      <alignment horizontal="right" vertical="center" wrapText="1"/>
    </xf>
    <xf numFmtId="0" fontId="15" fillId="0" borderId="28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6" xfId="0" applyFont="1" applyBorder="1" applyAlignment="1">
      <alignment wrapText="1"/>
    </xf>
    <xf numFmtId="0" fontId="13" fillId="0" borderId="0" xfId="0" applyFont="1" applyFill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9" xfId="0" applyFont="1" applyBorder="1" applyAlignment="1">
      <alignment wrapText="1"/>
    </xf>
    <xf numFmtId="0" fontId="15" fillId="0" borderId="28" xfId="0" applyFont="1" applyFill="1" applyBorder="1" applyAlignment="1">
      <alignment horizontal="center" vertical="center"/>
    </xf>
    <xf numFmtId="166" fontId="8" fillId="0" borderId="13" xfId="0" applyNumberFormat="1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166" fontId="23" fillId="0" borderId="9" xfId="0" applyNumberFormat="1" applyFont="1" applyBorder="1"/>
    <xf numFmtId="0" fontId="13" fillId="0" borderId="0" xfId="0" applyFont="1" applyFill="1" applyBorder="1" applyAlignment="1">
      <alignment horizontal="left" wrapText="1"/>
    </xf>
    <xf numFmtId="0" fontId="13" fillId="0" borderId="6" xfId="0" applyFont="1" applyFill="1" applyBorder="1" applyAlignment="1">
      <alignment horizontal="left" wrapText="1"/>
    </xf>
    <xf numFmtId="0" fontId="13" fillId="0" borderId="2" xfId="0" applyFont="1" applyBorder="1"/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/>
    </xf>
    <xf numFmtId="0" fontId="13" fillId="0" borderId="6" xfId="0" applyFont="1" applyFill="1" applyBorder="1" applyAlignment="1">
      <alignment horizontal="left" wrapText="1"/>
    </xf>
    <xf numFmtId="0" fontId="13" fillId="0" borderId="31" xfId="0" applyFont="1" applyBorder="1" applyAlignment="1">
      <alignment horizontal="left"/>
    </xf>
    <xf numFmtId="0" fontId="13" fillId="0" borderId="55" xfId="0" applyFont="1" applyBorder="1" applyAlignment="1">
      <alignment horizontal="left"/>
    </xf>
    <xf numFmtId="0" fontId="13" fillId="0" borderId="32" xfId="0" applyFont="1" applyBorder="1" applyAlignment="1">
      <alignment horizontal="left"/>
    </xf>
    <xf numFmtId="0" fontId="9" fillId="0" borderId="17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left" vertical="center" wrapText="1" indent="1"/>
    </xf>
    <xf numFmtId="0" fontId="9" fillId="0" borderId="18" xfId="0" applyFont="1" applyFill="1" applyBorder="1" applyAlignment="1">
      <alignment horizontal="left" vertical="center" wrapText="1" indent="1"/>
    </xf>
    <xf numFmtId="0" fontId="9" fillId="0" borderId="11" xfId="0" applyFont="1" applyFill="1" applyBorder="1" applyAlignment="1">
      <alignment horizontal="left" vertical="center" wrapText="1" indent="1"/>
    </xf>
    <xf numFmtId="0" fontId="9" fillId="0" borderId="19" xfId="0" applyFont="1" applyFill="1" applyBorder="1" applyAlignment="1">
      <alignment horizontal="left" vertical="center" wrapText="1" indent="1"/>
    </xf>
    <xf numFmtId="0" fontId="10" fillId="0" borderId="1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5" fillId="0" borderId="17" xfId="0" applyFont="1" applyBorder="1"/>
    <xf numFmtId="0" fontId="5" fillId="0" borderId="0" xfId="0" applyFont="1" applyBorder="1"/>
    <xf numFmtId="0" fontId="5" fillId="0" borderId="10" xfId="0" applyFont="1" applyBorder="1"/>
    <xf numFmtId="0" fontId="5" fillId="0" borderId="28" xfId="0" applyFont="1" applyFill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5" fillId="0" borderId="12" xfId="0" applyFont="1" applyBorder="1"/>
    <xf numFmtId="0" fontId="5" fillId="0" borderId="21" xfId="0" applyFont="1" applyBorder="1"/>
    <xf numFmtId="0" fontId="5" fillId="0" borderId="22" xfId="0" applyFont="1" applyBorder="1"/>
    <xf numFmtId="49" fontId="9" fillId="0" borderId="12" xfId="0" applyNumberFormat="1" applyFont="1" applyBorder="1" applyAlignment="1">
      <alignment horizontal="left"/>
    </xf>
    <xf numFmtId="49" fontId="9" fillId="0" borderId="21" xfId="0" applyNumberFormat="1" applyFont="1" applyBorder="1" applyAlignment="1">
      <alignment horizontal="left"/>
    </xf>
    <xf numFmtId="49" fontId="9" fillId="0" borderId="22" xfId="0" applyNumberFormat="1" applyFont="1" applyBorder="1" applyAlignment="1">
      <alignment horizontal="left"/>
    </xf>
    <xf numFmtId="0" fontId="9" fillId="0" borderId="14" xfId="0" applyFont="1" applyBorder="1"/>
    <xf numFmtId="0" fontId="9" fillId="0" borderId="30" xfId="0" applyFont="1" applyBorder="1"/>
    <xf numFmtId="0" fontId="9" fillId="0" borderId="17" xfId="0" applyFont="1" applyBorder="1" applyAlignment="1">
      <alignment horizontal="left" vertical="center" wrapText="1" indent="1"/>
    </xf>
    <xf numFmtId="0" fontId="9" fillId="0" borderId="0" xfId="0" applyFont="1" applyBorder="1" applyAlignment="1">
      <alignment horizontal="left" vertical="center" wrapText="1" indent="1"/>
    </xf>
    <xf numFmtId="0" fontId="9" fillId="0" borderId="10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9" fillId="0" borderId="12" xfId="0" applyFont="1" applyBorder="1" applyAlignment="1">
      <alignment horizontal="left" indent="1"/>
    </xf>
    <xf numFmtId="0" fontId="9" fillId="0" borderId="21" xfId="0" applyFont="1" applyBorder="1" applyAlignment="1">
      <alignment horizontal="left" indent="1"/>
    </xf>
    <xf numFmtId="0" fontId="9" fillId="0" borderId="22" xfId="0" applyFont="1" applyBorder="1" applyAlignment="1">
      <alignment horizontal="left" inden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13" zoomScale="90" zoomScaleNormal="90" workbookViewId="0">
      <selection activeCell="E24" sqref="E24"/>
    </sheetView>
  </sheetViews>
  <sheetFormatPr baseColWidth="10" defaultColWidth="11" defaultRowHeight="12.75" x14ac:dyDescent="0.2"/>
  <cols>
    <col min="1" max="1" width="4.5703125" style="11" customWidth="1"/>
    <col min="2" max="2" width="14.140625" style="11" customWidth="1"/>
    <col min="3" max="3" width="26.7109375" style="11" customWidth="1"/>
    <col min="4" max="4" width="8.42578125" style="11" customWidth="1"/>
    <col min="5" max="5" width="79" style="45" customWidth="1"/>
    <col min="6" max="6" width="10.28515625" style="12" customWidth="1"/>
    <col min="7" max="7" width="12.7109375" style="11" customWidth="1"/>
    <col min="8" max="8" width="13.85546875" style="11" customWidth="1"/>
    <col min="9" max="9" width="18.5703125" style="11" customWidth="1"/>
    <col min="10" max="16384" width="11" style="11"/>
  </cols>
  <sheetData>
    <row r="1" spans="1:9" ht="37.5" customHeight="1" x14ac:dyDescent="0.2"/>
    <row r="2" spans="1:9" ht="27" x14ac:dyDescent="0.35">
      <c r="B2" s="69" t="s">
        <v>0</v>
      </c>
      <c r="C2" s="69"/>
      <c r="D2" s="69"/>
      <c r="E2" s="69"/>
      <c r="F2" s="69"/>
      <c r="G2" s="69"/>
      <c r="H2" s="69"/>
      <c r="I2" s="69"/>
    </row>
    <row r="4" spans="1:9" ht="15.75" x14ac:dyDescent="0.25">
      <c r="A4" s="70" t="s">
        <v>1</v>
      </c>
      <c r="B4" s="70"/>
      <c r="C4" s="71" t="s">
        <v>42</v>
      </c>
      <c r="D4" s="71"/>
      <c r="E4" s="71"/>
      <c r="F4" s="34"/>
      <c r="G4" s="35"/>
      <c r="H4" s="36"/>
    </row>
    <row r="5" spans="1:9" ht="15.75" x14ac:dyDescent="0.25">
      <c r="A5" s="70" t="s">
        <v>2</v>
      </c>
      <c r="B5" s="70"/>
      <c r="C5" s="71" t="s">
        <v>69</v>
      </c>
      <c r="D5" s="71"/>
      <c r="E5" s="71"/>
      <c r="F5" s="34"/>
      <c r="G5" s="35"/>
      <c r="H5" s="36"/>
    </row>
    <row r="6" spans="1:9" ht="15.75" x14ac:dyDescent="0.25">
      <c r="A6" s="70" t="s">
        <v>3</v>
      </c>
      <c r="B6" s="70"/>
      <c r="C6" s="32">
        <v>2021</v>
      </c>
      <c r="D6" s="33"/>
      <c r="E6" s="33"/>
      <c r="F6" s="34"/>
      <c r="G6" s="35"/>
      <c r="H6" s="36"/>
    </row>
    <row r="7" spans="1:9" ht="15.75" x14ac:dyDescent="0.25">
      <c r="A7" s="70" t="s">
        <v>4</v>
      </c>
      <c r="B7" s="70"/>
      <c r="C7" s="32">
        <v>4</v>
      </c>
      <c r="D7" s="33"/>
      <c r="E7" s="33"/>
      <c r="F7" s="34"/>
      <c r="G7" s="35"/>
      <c r="H7" s="36"/>
    </row>
    <row r="8" spans="1:9" ht="13.5" thickBot="1" x14ac:dyDescent="0.25">
      <c r="B8" s="36"/>
      <c r="C8" s="35"/>
      <c r="D8" s="36"/>
      <c r="E8" s="36"/>
      <c r="F8" s="34"/>
      <c r="G8" s="35"/>
      <c r="H8" s="36"/>
    </row>
    <row r="9" spans="1:9" ht="39" thickTop="1" x14ac:dyDescent="0.2">
      <c r="A9" s="52" t="s">
        <v>5</v>
      </c>
      <c r="B9" s="53" t="s">
        <v>6</v>
      </c>
      <c r="C9" s="54" t="s">
        <v>7</v>
      </c>
      <c r="D9" s="55" t="s">
        <v>8</v>
      </c>
      <c r="E9" s="54" t="s">
        <v>9</v>
      </c>
      <c r="F9" s="56" t="s">
        <v>10</v>
      </c>
      <c r="G9" s="57" t="s">
        <v>11</v>
      </c>
      <c r="H9" s="57" t="s">
        <v>12</v>
      </c>
      <c r="I9" s="57" t="s">
        <v>13</v>
      </c>
    </row>
    <row r="10" spans="1:9" s="37" customFormat="1" ht="30" x14ac:dyDescent="0.2">
      <c r="A10" s="38">
        <v>1</v>
      </c>
      <c r="B10" s="39" t="s">
        <v>47</v>
      </c>
      <c r="C10" s="39" t="s">
        <v>46</v>
      </c>
      <c r="D10" s="58" t="str">
        <f t="shared" ref="D10:D11" si="0">+LEFT(B10,5)</f>
        <v>2.3.4</v>
      </c>
      <c r="E10" s="40" t="s">
        <v>48</v>
      </c>
      <c r="F10" s="41" t="s">
        <v>73</v>
      </c>
      <c r="G10" s="50">
        <v>100</v>
      </c>
      <c r="H10" s="42">
        <v>347.75</v>
      </c>
      <c r="I10" s="43">
        <f t="shared" ref="I10:I12" si="1">+H10*G10</f>
        <v>34775</v>
      </c>
    </row>
    <row r="11" spans="1:9" s="37" customFormat="1" ht="30" x14ac:dyDescent="0.2">
      <c r="A11" s="38">
        <v>2</v>
      </c>
      <c r="B11" s="39" t="s">
        <v>55</v>
      </c>
      <c r="C11" s="39" t="s">
        <v>46</v>
      </c>
      <c r="D11" s="58" t="str">
        <f t="shared" si="0"/>
        <v>2.9.1</v>
      </c>
      <c r="E11" s="44" t="s">
        <v>56</v>
      </c>
      <c r="F11" s="41" t="s">
        <v>44</v>
      </c>
      <c r="G11" s="41">
        <v>20</v>
      </c>
      <c r="H11" s="42">
        <v>1399</v>
      </c>
      <c r="I11" s="43">
        <f t="shared" si="1"/>
        <v>27980</v>
      </c>
    </row>
    <row r="12" spans="1:9" s="37" customFormat="1" ht="30" x14ac:dyDescent="0.2">
      <c r="A12" s="38">
        <v>3</v>
      </c>
      <c r="B12" s="39" t="s">
        <v>57</v>
      </c>
      <c r="C12" s="40" t="s">
        <v>58</v>
      </c>
      <c r="D12" s="58" t="s">
        <v>59</v>
      </c>
      <c r="E12" s="40" t="s">
        <v>60</v>
      </c>
      <c r="F12" s="41" t="s">
        <v>44</v>
      </c>
      <c r="G12" s="41">
        <v>50</v>
      </c>
      <c r="H12" s="42">
        <v>1200</v>
      </c>
      <c r="I12" s="43">
        <f t="shared" si="1"/>
        <v>60000</v>
      </c>
    </row>
    <row r="13" spans="1:9" s="37" customFormat="1" ht="36" customHeight="1" x14ac:dyDescent="0.2">
      <c r="A13" s="38">
        <v>4</v>
      </c>
      <c r="B13" s="39" t="s">
        <v>61</v>
      </c>
      <c r="C13" s="40" t="s">
        <v>62</v>
      </c>
      <c r="D13" s="58" t="s">
        <v>63</v>
      </c>
      <c r="E13" s="40" t="s">
        <v>64</v>
      </c>
      <c r="F13" s="41" t="s">
        <v>73</v>
      </c>
      <c r="G13" s="41">
        <v>720</v>
      </c>
      <c r="H13" s="42">
        <v>790</v>
      </c>
      <c r="I13" s="43">
        <f>+H13*G13</f>
        <v>568800</v>
      </c>
    </row>
    <row r="14" spans="1:9" s="37" customFormat="1" ht="15" x14ac:dyDescent="0.2">
      <c r="A14" s="38"/>
      <c r="B14" s="39"/>
      <c r="C14" s="39"/>
      <c r="D14" s="58"/>
      <c r="E14" s="40"/>
      <c r="F14" s="41"/>
      <c r="G14" s="41"/>
      <c r="H14" s="42"/>
      <c r="I14" s="42"/>
    </row>
    <row r="15" spans="1:9" ht="19.5" thickBot="1" x14ac:dyDescent="0.35">
      <c r="A15" s="78" t="s">
        <v>75</v>
      </c>
      <c r="B15" s="79"/>
      <c r="C15" s="79"/>
      <c r="D15" s="79"/>
      <c r="E15" s="79"/>
      <c r="F15" s="79"/>
      <c r="G15" s="79"/>
      <c r="H15" s="80"/>
      <c r="I15" s="63">
        <f>SUM(I10:I13)</f>
        <v>691555</v>
      </c>
    </row>
    <row r="16" spans="1:9" ht="13.5" thickBot="1" x14ac:dyDescent="0.25"/>
    <row r="17" spans="2:5" ht="14.25" customHeight="1" x14ac:dyDescent="0.2">
      <c r="B17" s="66"/>
      <c r="C17" s="67"/>
      <c r="D17" s="67"/>
      <c r="E17" s="68"/>
    </row>
    <row r="18" spans="2:5" x14ac:dyDescent="0.2">
      <c r="B18" s="59" t="s">
        <v>74</v>
      </c>
      <c r="C18" s="60"/>
      <c r="D18" s="61"/>
      <c r="E18" s="62"/>
    </row>
    <row r="19" spans="2:5" ht="18" customHeight="1" x14ac:dyDescent="0.2">
      <c r="B19" s="16" t="s">
        <v>45</v>
      </c>
      <c r="C19" s="13"/>
      <c r="D19" s="13"/>
      <c r="E19" s="46"/>
    </row>
    <row r="20" spans="2:5" ht="35.25" customHeight="1" x14ac:dyDescent="0.2">
      <c r="B20" s="16"/>
      <c r="C20" s="72" t="s">
        <v>65</v>
      </c>
      <c r="D20" s="72"/>
      <c r="E20" s="73"/>
    </row>
    <row r="21" spans="2:5" x14ac:dyDescent="0.2">
      <c r="B21" s="16" t="s">
        <v>14</v>
      </c>
      <c r="C21" s="13"/>
      <c r="D21" s="13"/>
      <c r="E21" s="46"/>
    </row>
    <row r="22" spans="2:5" ht="114.75" customHeight="1" x14ac:dyDescent="0.2">
      <c r="B22" s="15"/>
      <c r="C22" s="74" t="s">
        <v>49</v>
      </c>
      <c r="D22" s="74"/>
      <c r="E22" s="75"/>
    </row>
    <row r="23" spans="2:5" ht="25.5" customHeight="1" x14ac:dyDescent="0.2">
      <c r="B23" s="15"/>
      <c r="C23" s="47"/>
      <c r="D23" s="47"/>
      <c r="E23" s="19"/>
    </row>
    <row r="24" spans="2:5" x14ac:dyDescent="0.2">
      <c r="B24" s="16" t="s">
        <v>67</v>
      </c>
      <c r="C24" s="13"/>
      <c r="D24" s="13"/>
      <c r="E24" s="46"/>
    </row>
    <row r="25" spans="2:5" x14ac:dyDescent="0.2">
      <c r="B25" s="15"/>
      <c r="C25" s="76" t="s">
        <v>50</v>
      </c>
      <c r="D25" s="76"/>
      <c r="E25" s="77"/>
    </row>
    <row r="26" spans="2:5" x14ac:dyDescent="0.2">
      <c r="B26" s="16" t="s">
        <v>15</v>
      </c>
      <c r="C26" s="18"/>
      <c r="D26" s="18"/>
      <c r="E26" s="48"/>
    </row>
    <row r="27" spans="2:5" x14ac:dyDescent="0.2">
      <c r="B27" s="15"/>
      <c r="C27" s="64" t="s">
        <v>51</v>
      </c>
      <c r="D27" s="64"/>
      <c r="E27" s="65"/>
    </row>
    <row r="28" spans="2:5" x14ac:dyDescent="0.2">
      <c r="B28" s="16" t="s">
        <v>68</v>
      </c>
      <c r="C28" s="13"/>
      <c r="D28" s="13"/>
      <c r="E28" s="46"/>
    </row>
    <row r="29" spans="2:5" x14ac:dyDescent="0.2">
      <c r="B29" s="16"/>
      <c r="C29" s="47"/>
      <c r="D29" s="47"/>
      <c r="E29" s="19"/>
    </row>
    <row r="30" spans="2:5" ht="13.5" thickBot="1" x14ac:dyDescent="0.25">
      <c r="B30" s="17"/>
      <c r="C30" s="14"/>
      <c r="D30" s="14"/>
      <c r="E30" s="49"/>
    </row>
  </sheetData>
  <mergeCells count="11">
    <mergeCell ref="C20:E20"/>
    <mergeCell ref="C22:E22"/>
    <mergeCell ref="C25:E25"/>
    <mergeCell ref="A6:B6"/>
    <mergeCell ref="A15:H15"/>
    <mergeCell ref="A7:B7"/>
    <mergeCell ref="B2:I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topLeftCell="A10" zoomScale="90" zoomScaleNormal="90" workbookViewId="0">
      <selection activeCell="A19" sqref="A19:P19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5" width="14.85546875" style="1" customWidth="1"/>
    <col min="16" max="16" width="17" style="1" customWidth="1"/>
    <col min="17" max="17" width="14.7109375" style="1" customWidth="1"/>
    <col min="18" max="18" width="16.42578125" style="1" customWidth="1"/>
    <col min="19" max="16384" width="11" style="1"/>
  </cols>
  <sheetData>
    <row r="1" spans="1:17" ht="15.75" customHeight="1" thickBot="1" x14ac:dyDescent="0.3">
      <c r="A1" s="113" t="s">
        <v>3</v>
      </c>
      <c r="B1" s="114"/>
      <c r="C1" s="114"/>
      <c r="D1" s="115">
        <v>2021</v>
      </c>
      <c r="E1" s="116"/>
      <c r="F1" s="3"/>
      <c r="G1" s="3"/>
      <c r="H1" s="4"/>
      <c r="I1" s="4"/>
      <c r="J1" s="4"/>
      <c r="K1" s="4"/>
      <c r="L1" s="4"/>
      <c r="M1" s="4"/>
      <c r="N1" s="4"/>
      <c r="P1" s="117" t="s">
        <v>16</v>
      </c>
      <c r="Q1" s="118"/>
    </row>
    <row r="2" spans="1:17" ht="15.75" customHeight="1" thickBot="1" x14ac:dyDescent="0.3">
      <c r="H2" s="4"/>
      <c r="I2" s="4"/>
      <c r="J2" s="4"/>
      <c r="K2" s="4"/>
      <c r="L2" s="4"/>
      <c r="M2" s="4"/>
      <c r="N2" s="4"/>
      <c r="P2" s="119"/>
      <c r="Q2" s="120"/>
    </row>
    <row r="3" spans="1:17" ht="14.25" thickBot="1" x14ac:dyDescent="0.3"/>
    <row r="4" spans="1:17" ht="18" customHeight="1" thickBot="1" x14ac:dyDescent="0.35">
      <c r="A4" s="121" t="s">
        <v>17</v>
      </c>
      <c r="B4" s="122"/>
      <c r="C4" s="122"/>
      <c r="D4" s="122"/>
      <c r="E4" s="122"/>
      <c r="F4" s="123"/>
      <c r="G4" s="124" t="s">
        <v>42</v>
      </c>
      <c r="H4" s="125"/>
      <c r="I4" s="125"/>
      <c r="J4" s="125"/>
      <c r="K4" s="125"/>
      <c r="L4" s="125"/>
      <c r="M4" s="125"/>
      <c r="N4" s="125"/>
      <c r="O4" s="125"/>
      <c r="P4" s="125"/>
      <c r="Q4" s="126"/>
    </row>
    <row r="5" spans="1:17" ht="18" customHeight="1" thickBot="1" x14ac:dyDescent="0.35">
      <c r="A5" s="135" t="s">
        <v>38</v>
      </c>
      <c r="B5" s="136"/>
      <c r="C5" s="136"/>
      <c r="D5" s="136"/>
      <c r="E5" s="136"/>
      <c r="F5" s="137"/>
      <c r="G5" s="138" t="s">
        <v>54</v>
      </c>
      <c r="H5" s="139"/>
      <c r="I5" s="139"/>
      <c r="J5" s="139"/>
      <c r="K5" s="139"/>
      <c r="L5" s="139"/>
      <c r="M5" s="139"/>
      <c r="N5" s="139"/>
      <c r="O5" s="139"/>
      <c r="P5" s="139"/>
      <c r="Q5" s="140"/>
    </row>
    <row r="6" spans="1:17" ht="18" customHeight="1" thickBot="1" x14ac:dyDescent="0.35">
      <c r="A6" s="135" t="s">
        <v>18</v>
      </c>
      <c r="B6" s="136"/>
      <c r="C6" s="136"/>
      <c r="D6" s="136"/>
      <c r="E6" s="136"/>
      <c r="F6" s="137"/>
      <c r="G6" s="144" t="s">
        <v>43</v>
      </c>
      <c r="H6" s="145"/>
      <c r="I6" s="145"/>
      <c r="J6" s="145"/>
      <c r="K6" s="145"/>
      <c r="L6" s="145"/>
      <c r="M6" s="145"/>
      <c r="N6" s="145"/>
      <c r="O6" s="145"/>
      <c r="P6" s="145"/>
      <c r="Q6" s="146"/>
    </row>
    <row r="7" spans="1:17" ht="18" customHeight="1" thickBot="1" x14ac:dyDescent="0.35">
      <c r="A7" s="135" t="s">
        <v>39</v>
      </c>
      <c r="B7" s="136"/>
      <c r="C7" s="136"/>
      <c r="D7" s="136"/>
      <c r="E7" s="136"/>
      <c r="F7" s="137"/>
      <c r="G7" s="144" t="str">
        <f>+G6</f>
        <v>Ministerio de Trabajo y Reursos Humanos</v>
      </c>
      <c r="H7" s="145"/>
      <c r="I7" s="145"/>
      <c r="J7" s="145"/>
      <c r="K7" s="145"/>
      <c r="L7" s="145"/>
      <c r="M7" s="145"/>
      <c r="N7" s="145"/>
      <c r="O7" s="145"/>
      <c r="P7" s="145"/>
      <c r="Q7" s="146"/>
    </row>
    <row r="8" spans="1:17" ht="18" customHeight="1" thickBot="1" x14ac:dyDescent="0.3">
      <c r="A8" s="141" t="s">
        <v>40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3"/>
    </row>
    <row r="9" spans="1:17" ht="18" customHeight="1" x14ac:dyDescent="0.3">
      <c r="A9" s="127" t="s">
        <v>19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2"/>
      <c r="P9" s="2"/>
      <c r="Q9" s="6"/>
    </row>
    <row r="10" spans="1:17" ht="65.25" customHeight="1" x14ac:dyDescent="0.25">
      <c r="A10" s="129" t="s">
        <v>66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1"/>
    </row>
    <row r="11" spans="1:17" ht="9" customHeight="1" thickBot="1" x14ac:dyDescent="0.3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3">
      <c r="A12" s="132" t="s">
        <v>20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4"/>
    </row>
    <row r="13" spans="1:17" ht="15.75" customHeight="1" thickBot="1" x14ac:dyDescent="0.3">
      <c r="A13" s="94" t="s">
        <v>21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6"/>
      <c r="O13" s="97" t="s">
        <v>22</v>
      </c>
      <c r="P13" s="98"/>
      <c r="Q13" s="101" t="s">
        <v>23</v>
      </c>
    </row>
    <row r="14" spans="1:17" ht="15.75" customHeight="1" thickBot="1" x14ac:dyDescent="0.3">
      <c r="A14" s="22" t="s">
        <v>24</v>
      </c>
      <c r="B14" s="23" t="s">
        <v>25</v>
      </c>
      <c r="C14" s="23" t="s">
        <v>26</v>
      </c>
      <c r="D14" s="23" t="s">
        <v>27</v>
      </c>
      <c r="E14" s="23" t="s">
        <v>28</v>
      </c>
      <c r="F14" s="23" t="s">
        <v>29</v>
      </c>
      <c r="G14" s="24" t="s">
        <v>30</v>
      </c>
      <c r="H14" s="23" t="s">
        <v>31</v>
      </c>
      <c r="I14" s="23" t="s">
        <v>32</v>
      </c>
      <c r="J14" s="23" t="s">
        <v>33</v>
      </c>
      <c r="K14" s="23" t="s">
        <v>33</v>
      </c>
      <c r="L14" s="23" t="s">
        <v>34</v>
      </c>
      <c r="M14" s="25" t="s">
        <v>35</v>
      </c>
      <c r="N14" s="26" t="s">
        <v>36</v>
      </c>
      <c r="O14" s="99"/>
      <c r="P14" s="100"/>
      <c r="Q14" s="102"/>
    </row>
    <row r="15" spans="1:17" ht="17.25" customHeight="1" x14ac:dyDescent="0.25">
      <c r="A15" s="27">
        <v>1</v>
      </c>
      <c r="B15" s="28">
        <v>0</v>
      </c>
      <c r="C15" s="28">
        <v>0</v>
      </c>
      <c r="D15" s="28">
        <v>1</v>
      </c>
      <c r="E15" s="28">
        <v>0</v>
      </c>
      <c r="F15" s="28">
        <v>4901</v>
      </c>
      <c r="G15" s="28">
        <v>3</v>
      </c>
      <c r="H15" s="28">
        <v>6</v>
      </c>
      <c r="I15" s="28">
        <v>2</v>
      </c>
      <c r="J15" s="28">
        <v>3</v>
      </c>
      <c r="K15" s="28">
        <v>4</v>
      </c>
      <c r="L15" s="28">
        <v>0</v>
      </c>
      <c r="M15" s="28">
        <v>1</v>
      </c>
      <c r="N15" s="28" t="s">
        <v>41</v>
      </c>
      <c r="O15" s="109" t="s">
        <v>52</v>
      </c>
      <c r="P15" s="110"/>
      <c r="Q15" s="29">
        <f>+'ELEM. LIMPIEZA'!I10</f>
        <v>34775</v>
      </c>
    </row>
    <row r="16" spans="1:17" ht="27.75" customHeight="1" x14ac:dyDescent="0.25">
      <c r="A16" s="30">
        <v>1</v>
      </c>
      <c r="B16" s="21">
        <v>0</v>
      </c>
      <c r="C16" s="21">
        <v>0</v>
      </c>
      <c r="D16" s="21">
        <v>1</v>
      </c>
      <c r="E16" s="21">
        <v>0</v>
      </c>
      <c r="F16" s="21">
        <v>4901</v>
      </c>
      <c r="G16" s="21">
        <v>3</v>
      </c>
      <c r="H16" s="21">
        <v>6</v>
      </c>
      <c r="I16" s="21">
        <v>2</v>
      </c>
      <c r="J16" s="21">
        <v>5</v>
      </c>
      <c r="K16" s="21">
        <v>2</v>
      </c>
      <c r="L16" s="21">
        <v>0</v>
      </c>
      <c r="M16" s="21">
        <v>1</v>
      </c>
      <c r="N16" s="21" t="s">
        <v>41</v>
      </c>
      <c r="O16" s="111" t="s">
        <v>70</v>
      </c>
      <c r="P16" s="112"/>
      <c r="Q16" s="31">
        <f>+'ELEM. LIMPIEZA'!I12</f>
        <v>60000</v>
      </c>
    </row>
    <row r="17" spans="1:18" ht="17.25" customHeight="1" x14ac:dyDescent="0.25">
      <c r="A17" s="30">
        <v>3</v>
      </c>
      <c r="B17" s="21">
        <v>0</v>
      </c>
      <c r="C17" s="21">
        <v>0</v>
      </c>
      <c r="D17" s="21">
        <v>1</v>
      </c>
      <c r="E17" s="21">
        <v>0</v>
      </c>
      <c r="F17" s="21">
        <v>4901</v>
      </c>
      <c r="G17" s="21">
        <v>1</v>
      </c>
      <c r="H17" s="21">
        <v>3</v>
      </c>
      <c r="I17" s="21">
        <v>2</v>
      </c>
      <c r="J17" s="21">
        <v>9</v>
      </c>
      <c r="K17" s="21">
        <v>1</v>
      </c>
      <c r="L17" s="21">
        <v>0</v>
      </c>
      <c r="M17" s="21">
        <v>1</v>
      </c>
      <c r="N17" s="21" t="s">
        <v>41</v>
      </c>
      <c r="O17" s="93" t="s">
        <v>53</v>
      </c>
      <c r="P17" s="93"/>
      <c r="Q17" s="31">
        <f>+'ELEM. LIMPIEZA'!I11</f>
        <v>27980</v>
      </c>
      <c r="R17" s="20"/>
    </row>
    <row r="18" spans="1:18" ht="28.5" customHeight="1" thickBot="1" x14ac:dyDescent="0.3">
      <c r="A18" s="30">
        <v>1</v>
      </c>
      <c r="B18" s="21">
        <v>0</v>
      </c>
      <c r="C18" s="21">
        <v>0</v>
      </c>
      <c r="D18" s="21">
        <v>1</v>
      </c>
      <c r="E18" s="21">
        <v>0</v>
      </c>
      <c r="F18" s="21">
        <v>4901</v>
      </c>
      <c r="G18" s="21">
        <v>3</v>
      </c>
      <c r="H18" s="21">
        <v>6</v>
      </c>
      <c r="I18" s="21">
        <v>2</v>
      </c>
      <c r="J18" s="21">
        <v>9</v>
      </c>
      <c r="K18" s="21">
        <v>5</v>
      </c>
      <c r="L18" s="21">
        <v>0</v>
      </c>
      <c r="M18" s="21">
        <v>1</v>
      </c>
      <c r="N18" s="21" t="s">
        <v>41</v>
      </c>
      <c r="O18" s="93" t="s">
        <v>71</v>
      </c>
      <c r="P18" s="93"/>
      <c r="Q18" s="31">
        <f>+'ELEM. LIMPIEZA'!I13</f>
        <v>568800</v>
      </c>
    </row>
    <row r="19" spans="1:18" ht="28.5" customHeight="1" thickBot="1" x14ac:dyDescent="0.3">
      <c r="A19" s="87" t="str">
        <f>+'ELEM. LIMPIEZA'!A15:H15</f>
        <v>COSTO ESTIMADO TOTAL: Seiscientos Noventa y Un Mil Quinientos Cincuenta y Cinco con 00/100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9"/>
      <c r="Q19" s="51">
        <f>SUM(Q15:Q18)</f>
        <v>691555</v>
      </c>
      <c r="R19" s="20"/>
    </row>
    <row r="20" spans="1:18" ht="18" customHeight="1" thickBot="1" x14ac:dyDescent="0.3">
      <c r="A20" s="90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</row>
    <row r="21" spans="1:18" ht="17.25" customHeight="1" thickBot="1" x14ac:dyDescent="0.3">
      <c r="A21" s="103" t="s">
        <v>37</v>
      </c>
      <c r="B21" s="104"/>
      <c r="C21" s="104"/>
      <c r="D21" s="104"/>
      <c r="E21" s="104"/>
      <c r="F21" s="105"/>
      <c r="G21" s="106"/>
      <c r="H21" s="107"/>
      <c r="I21" s="107"/>
      <c r="J21" s="107"/>
      <c r="K21" s="107"/>
      <c r="L21" s="107"/>
      <c r="M21" s="107"/>
      <c r="N21" s="107"/>
      <c r="O21" s="107"/>
      <c r="P21" s="107"/>
      <c r="Q21" s="108"/>
    </row>
    <row r="22" spans="1:18" ht="18" customHeight="1" x14ac:dyDescent="0.25">
      <c r="A22" s="81" t="s">
        <v>72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</row>
    <row r="23" spans="1:18" ht="4.5" customHeight="1" thickBot="1" x14ac:dyDescent="0.3">
      <c r="A23" s="84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</row>
  </sheetData>
  <mergeCells count="27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22:Q23"/>
    <mergeCell ref="A19:P19"/>
    <mergeCell ref="A20:Q20"/>
    <mergeCell ref="O18:P18"/>
    <mergeCell ref="A13:N13"/>
    <mergeCell ref="O13:P14"/>
    <mergeCell ref="Q13:Q14"/>
    <mergeCell ref="A21:F21"/>
    <mergeCell ref="G21:Q21"/>
    <mergeCell ref="O15:P15"/>
    <mergeCell ref="O17:P17"/>
    <mergeCell ref="O16:P16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ELEM. LIMPIEZA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SILVINA ATENCIO</dc:creator>
  <dc:description/>
  <cp:lastModifiedBy>SILVINA ATENCIO</cp:lastModifiedBy>
  <cp:revision>2</cp:revision>
  <cp:lastPrinted>2020-11-24T14:25:44Z</cp:lastPrinted>
  <dcterms:created xsi:type="dcterms:W3CDTF">2020-07-17T23:44:49Z</dcterms:created>
  <dcterms:modified xsi:type="dcterms:W3CDTF">2021-11-01T12:16:32Z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