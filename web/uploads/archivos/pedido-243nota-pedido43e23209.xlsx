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G:\Mi unidad\CONTRATACIONES 2022\SECRETARIA DE ABASTECIMIENTO\SIN RECHAZO\JUEGOS\"/>
    </mc:Choice>
  </mc:AlternateContent>
  <bookViews>
    <workbookView xWindow="-120" yWindow="-120" windowWidth="19425" windowHeight="11025"/>
  </bookViews>
  <sheets>
    <sheet name="Necesidades Trimestrales" sheetId="1" r:id="rId1"/>
    <sheet name="NOTA DE PEDIDO" sheetId="2" r:id="rId2"/>
    <sheet name="APG" sheetId="3" r:id="rId3"/>
  </sheets>
  <definedNames>
    <definedName name="_xlnm._FilterDatabase" localSheetId="0" hidden="1">'Necesidades Trimestrales'!$A$8:$I$9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Q20" i="3" l="1"/>
  <c r="I12" i="2" l="1"/>
  <c r="I13" i="2"/>
  <c r="I11" i="2"/>
  <c r="I13" i="1"/>
  <c r="I14" i="2" l="1"/>
  <c r="H13" i="2"/>
  <c r="H12" i="2"/>
  <c r="H11" i="2"/>
  <c r="G14" i="2" l="1"/>
  <c r="I10" i="1"/>
  <c r="I11" i="1"/>
  <c r="I9" i="1"/>
</calcChain>
</file>

<file path=xl/sharedStrings.xml><?xml version="1.0" encoding="utf-8"?>
<sst xmlns="http://schemas.openxmlformats.org/spreadsheetml/2006/main" count="130" uniqueCount="77">
  <si>
    <t>JURISDICCION:</t>
  </si>
  <si>
    <t xml:space="preserve">SAF N°: </t>
  </si>
  <si>
    <t>EJERCICIO:</t>
  </si>
  <si>
    <t>TRIMESTRE:</t>
  </si>
  <si>
    <t>ID</t>
  </si>
  <si>
    <t>Pedido de Necesidades Trimestrales</t>
  </si>
  <si>
    <t>CODIGO ITEM</t>
  </si>
  <si>
    <t>Descripción técnica</t>
  </si>
  <si>
    <t>Plazos y lugares de entrega</t>
  </si>
  <si>
    <t>Garantia</t>
  </si>
  <si>
    <t>50 - MINISTERIO DE EDUCACIÓN</t>
  </si>
  <si>
    <t>26 - DIRECCIÓN PROVINCIAL DE ADMINISTRACIÓN</t>
  </si>
  <si>
    <t>RUBRO DE COMPRA</t>
  </si>
  <si>
    <t xml:space="preserve">I.P.P. </t>
  </si>
  <si>
    <t>DESCRIPCION</t>
  </si>
  <si>
    <t>UNIDAD DE MEDIDA</t>
  </si>
  <si>
    <t>Unidad</t>
  </si>
  <si>
    <t>CANTIDAD</t>
  </si>
  <si>
    <t>PRECIO UNITARIO ESTIMADO</t>
  </si>
  <si>
    <t xml:space="preserve">IMPORTE TOTAL ESTIMADO </t>
  </si>
  <si>
    <t xml:space="preserve">Especificidades Items N° 1 </t>
  </si>
  <si>
    <t>4.3.5-191.1</t>
  </si>
  <si>
    <t>EQUIPOS</t>
  </si>
  <si>
    <t>4.3.5</t>
  </si>
  <si>
    <t>4.3.5-191.4</t>
  </si>
  <si>
    <t>JUEGOS P/PLAZA; ELEMENTO: CALESITA DE JARDIN</t>
  </si>
  <si>
    <t>JUEGOS P/PLAZA; ELEMENTO: HAMACA DOBLE BALCON</t>
  </si>
  <si>
    <t>4.3.5-191.16</t>
  </si>
  <si>
    <t>JUEGOS P/PLAZA; ELEMENTO: TOBOGAN DISEÑO INFANTIL</t>
  </si>
  <si>
    <t>Especificidades Items N° 2</t>
  </si>
  <si>
    <t>Especificidades Items N° 3</t>
  </si>
  <si>
    <t>NOTA DE PEDIDO</t>
  </si>
  <si>
    <t xml:space="preserve">JURISDICCIÓN: </t>
  </si>
  <si>
    <t>SAF:</t>
  </si>
  <si>
    <t>UNIDAD EJECUTORA:</t>
  </si>
  <si>
    <t>MINISTERIO DE EDUCACIÓN</t>
  </si>
  <si>
    <t xml:space="preserve">DEPENDENCIA SOLICITANTE: </t>
  </si>
  <si>
    <t>PERIODO UTILIZACIÓN:</t>
  </si>
  <si>
    <t>SEGUNDO TRIMESTRE</t>
  </si>
  <si>
    <t>OBJETO:</t>
  </si>
  <si>
    <t>Adjunta Detalle Técnico</t>
  </si>
  <si>
    <t>SI</t>
  </si>
  <si>
    <t>ADQUISICIÓN DE JUEGOS PARA JARDIN</t>
  </si>
  <si>
    <t>AUTORIZACIÓN PARA GASTAR</t>
  </si>
  <si>
    <t>JURISDICCIÓN:</t>
  </si>
  <si>
    <r>
      <t>AUTORIZACIÓN</t>
    </r>
    <r>
      <rPr>
        <b/>
        <sz val="11"/>
        <rFont val="Times New Roman"/>
        <family val="1"/>
      </rPr>
      <t>:</t>
    </r>
  </si>
  <si>
    <t>Señor Director de Administración o Titular del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</si>
  <si>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</si>
  <si>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</si>
  <si>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</si>
  <si>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</si>
  <si>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</si>
  <si>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</si>
  <si>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</si>
  <si>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</si>
  <si>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</si>
  <si>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</si>
  <si>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</si>
  <si>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</si>
  <si>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</si>
  <si>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</si>
  <si>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</si>
  <si>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</si>
  <si>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</si>
  <si>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JUSTIFICACIÓN:</t>
  </si>
  <si>
    <t>Costo total estimado: PESOS UN MILLON QUINIENTOS MIL CON 00/100</t>
  </si>
  <si>
    <t>N° 047-2022</t>
  </si>
  <si>
    <r>
      <t xml:space="preserve">Autorizo la realización de los  trámites correspondientes, a fin de proveer a  este Organismo los bienes que se detallan en Nota  de Pedido N° </t>
    </r>
    <r>
      <rPr>
        <b/>
        <sz val="11"/>
        <rFont val="Times New Roman"/>
        <family val="1"/>
      </rPr>
      <t>047</t>
    </r>
    <r>
      <rPr>
        <b/>
        <sz val="11"/>
        <color theme="1" tint="4.9989318521683403E-2"/>
        <rFont val="Times New Roman"/>
        <family val="1"/>
      </rPr>
      <t>/22,</t>
    </r>
    <r>
      <rPr>
        <sz val="11"/>
        <color theme="1" tint="4.9989318521683403E-2"/>
        <rFont val="Times New Roman"/>
        <family val="1"/>
      </rPr>
      <t xml:space="preserve"> </t>
    </r>
    <r>
      <rPr>
        <sz val="11"/>
        <rFont val="Times New Roman"/>
        <family val="1"/>
      </rPr>
      <t>afectando la erogación resultante a los créditos presupuestarios aprobados a favor de esta Unidad Ejecutora, conforme al siguiente detalle:</t>
    </r>
  </si>
  <si>
    <t>TOTAL DE PESOS: UN MILLON QUINIENTOS MIL CON 00/100</t>
  </si>
  <si>
    <t>ADQUISICIÓN DE JUEGOS PARA JARDIN.-</t>
  </si>
  <si>
    <t>EQUIPO EDUCACIONAL Y RECREATIVO</t>
  </si>
  <si>
    <t xml:space="preserve">El plazo de entrega de los bienes, no podrá ser superior a los Diez (10) días hábiles o el menor plazo ofertado y adjudicado, contados a partir del dia habil inmediato siguiente a  la fecha de recepción de la respectiva Orden de Compra en el domicilio especial electrónico constituido, en virtud del método de contratación. La entrega de dichos bienes se realizará en  el deposito del ministerio de educacion, sito en calle Maipu N° 1251 San Fernando del Valle de Catamarca.  Se presentará Remito que deberá cumplimentar lo dispuesto por la R.G. AFIP  1415/03, sin excepción.  </t>
  </si>
  <si>
    <t>Calidad Minima esperada:</t>
  </si>
  <si>
    <t xml:space="preserve"> Los productos deberan ser nuevos, sin uso, libre de defectos en el diseño, materiales o de fabricacion, corriendo ademas los gastos de flete, acarreo, carga, descarga y seguro por cuenta del adjudicatario.</t>
  </si>
  <si>
    <r>
      <t>Mantenimiento:</t>
    </r>
    <r>
      <rPr>
        <sz val="10"/>
        <rFont val="Times New Roman"/>
        <family val="1"/>
      </rPr>
      <t xml:space="preserve"> 45 días habiles</t>
    </r>
  </si>
  <si>
    <t>Según Anexo de Especificaciones Técnicas</t>
  </si>
  <si>
    <t>Mínima de doce (12) meses a computarse a partir de la fecha de entrega de los bienes.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</si>
</sst>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4" formatCode="_-&quot;$&quot;\ * #,##0.00_-;\-&quot;$&quot;\ * #,##0.00_-;_-&quot;$&quot;\ * &quot;-&quot;??_-;_-@_-"/>
    <numFmt numFmtId="43" formatCode="_-* #,##0.00_-;\-* #,##0.00_-;_-* &quot;-&quot;??_-;_-@_-"/>
    <numFmt numFmtId="164" formatCode="[$$-2C0A]\ #,##0.00;[$$-2C0A]&quot; -&quot;#,##0.00"/>
    <numFmt numFmtId="165" formatCode="[$$-2C0A]\ #,##0.00"/>
    <numFmt numFmtId="166" formatCode="&quot;$&quot;\ #,##0.00"/>
    <numFmt numFmtId="167" formatCode="dd\-mm\-yy;@"/>
    <numFmt numFmtId="168" formatCode="_(\$* #,##0.00_);_(\$* \(#,##0.00\);_(\$* \-??_);_(@_)"/>
  </numFmts>
  <fonts count="35" x14ac:knownFonts="1">
    <font>
      <sz val="11"/>
      <color theme="1"/>
      <name val="Calibri"/>
      <family val="2"/>
      <scheme val="minor"/>
    </font>
    <font>
      <sz val="11"/>
      <color theme="1"/>
      <name val="Calibri"/>
      <family val="2"/>
      <scheme val="minor"/>
    </font>
    <font>
      <sz val="10"/>
      <name val="Times New Roman"/>
      <family val="1"/>
    </font>
    <font>
      <b/>
      <sz val="11"/>
      <color rgb="FF000000"/>
      <name val="Times New Roman"/>
      <family val="1"/>
    </font>
    <font>
      <sz val="9"/>
      <name val="Times New Roman"/>
      <family val="1"/>
    </font>
    <font>
      <b/>
      <sz val="22"/>
      <name val="Times New Roman"/>
      <family val="1"/>
    </font>
    <font>
      <sz val="10"/>
      <color rgb="FF000000"/>
      <name val="Times New Roman"/>
      <family val="1"/>
    </font>
    <font>
      <sz val="9"/>
      <color rgb="FF000000"/>
      <name val="Times New Roman"/>
      <family val="1"/>
    </font>
    <font>
      <u/>
      <sz val="10"/>
      <name val="Times New Roman"/>
      <family val="1"/>
    </font>
    <font>
      <b/>
      <sz val="12"/>
      <color rgb="FF000000"/>
      <name val="Times New Roman"/>
      <family val="1"/>
    </font>
    <font>
      <sz val="11"/>
      <name val="Times New Roman"/>
      <family val="1"/>
    </font>
    <font>
      <b/>
      <sz val="10"/>
      <color rgb="FF000000"/>
      <name val="Times New Roman"/>
      <family val="1"/>
    </font>
    <font>
      <sz val="11"/>
      <color theme="1"/>
      <name val="Calibri"/>
      <family val="2"/>
    </font>
    <font>
      <b/>
      <sz val="11"/>
      <color theme="1"/>
      <name val="Calibri"/>
      <family val="2"/>
      <scheme val="minor"/>
    </font>
    <font>
      <sz val="11"/>
      <color theme="0"/>
      <name val="Calibri"/>
      <family val="2"/>
      <scheme val="minor"/>
    </font>
    <font>
      <b/>
      <u/>
      <sz val="12"/>
      <name val="Times New Roman"/>
      <family val="1"/>
      <charset val="1"/>
    </font>
    <font>
      <b/>
      <sz val="11"/>
      <name val="Times New Roman"/>
      <family val="1"/>
    </font>
    <font>
      <b/>
      <u/>
      <sz val="11"/>
      <name val="Times New Roman"/>
      <family val="1"/>
      <charset val="1"/>
    </font>
    <font>
      <sz val="11"/>
      <name val="Times New Roman"/>
      <family val="1"/>
      <charset val="1"/>
    </font>
    <font>
      <b/>
      <sz val="11"/>
      <name val="Times New Roman"/>
      <family val="1"/>
      <charset val="1"/>
    </font>
    <font>
      <sz val="11"/>
      <color theme="1"/>
      <name val="Times New Roman"/>
      <family val="1"/>
      <charset val="1"/>
    </font>
    <font>
      <b/>
      <sz val="11"/>
      <color theme="1"/>
      <name val="Times New Roman"/>
      <family val="1"/>
      <charset val="1"/>
    </font>
    <font>
      <sz val="10"/>
      <name val="Arial"/>
      <family val="2"/>
    </font>
    <font>
      <sz val="11"/>
      <color rgb="FF000000"/>
      <name val="Times New Roman"/>
      <family val="1"/>
    </font>
    <font>
      <sz val="11"/>
      <name val="Calibri"/>
      <family val="2"/>
    </font>
    <font>
      <b/>
      <sz val="9"/>
      <color theme="1"/>
      <name val="Times New Roman"/>
      <family val="1"/>
    </font>
    <font>
      <b/>
      <u/>
      <sz val="10"/>
      <name val="Arial"/>
      <family val="2"/>
    </font>
    <font>
      <b/>
      <u/>
      <sz val="11"/>
      <name val="Times New Roman"/>
      <family val="1"/>
    </font>
    <font>
      <b/>
      <sz val="11"/>
      <color theme="1" tint="4.9989318521683403E-2"/>
      <name val="Times New Roman"/>
      <family val="1"/>
    </font>
    <font>
      <sz val="11"/>
      <color theme="1" tint="4.9989318521683403E-2"/>
      <name val="Times New Roman"/>
      <family val="1"/>
    </font>
    <font>
      <b/>
      <sz val="9"/>
      <name val="Times New Roman"/>
      <family val="1"/>
    </font>
    <font>
      <sz val="10"/>
      <name val="Arial"/>
      <family val="2"/>
      <charset val="1"/>
    </font>
    <font>
      <sz val="9"/>
      <color theme="1"/>
      <name val="Times New Roman"/>
      <family val="1"/>
    </font>
    <font>
      <sz val="9"/>
      <color theme="0"/>
      <name val="Arial"/>
      <family val="2"/>
    </font>
    <font>
      <sz val="10"/>
      <color theme="0"/>
      <name val="Times New Roman"/>
      <family val="1"/>
    </font>
  </fonts>
  <fills count="4">
    <fill>
      <patternFill patternType="none"/>
    </fill>
    <fill>
      <patternFill patternType="gray125"/>
    </fill>
    <fill>
      <patternFill patternType="solid">
        <fgColor theme="0"/>
        <bgColor rgb="FFFFFF00"/>
      </patternFill>
    </fill>
    <fill>
      <patternFill patternType="solid">
        <fgColor theme="0"/>
        <bgColor indexed="64"/>
      </patternFill>
    </fill>
  </fills>
  <borders count="48">
    <border>
      <left/>
      <right/>
      <top/>
      <bottom/>
      <diagonal/>
    </border>
    <border>
      <left/>
      <right/>
      <top style="medium">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
      <left style="thin">
        <color indexed="64"/>
      </left>
      <right style="thin">
        <color indexed="64"/>
      </right>
      <top style="thin">
        <color indexed="64"/>
      </top>
      <bottom style="thin">
        <color indexed="64"/>
      </bottom>
      <diagonal/>
    </border>
    <border>
      <left style="thick">
        <color auto="1"/>
      </left>
      <right style="thick">
        <color auto="1"/>
      </right>
      <top style="thick">
        <color auto="1"/>
      </top>
      <bottom/>
      <diagonal/>
    </border>
    <border>
      <left style="medium">
        <color auto="1"/>
      </left>
      <right style="medium">
        <color auto="1"/>
      </right>
      <top style="medium">
        <color auto="1"/>
      </top>
      <bottom style="medium">
        <color auto="1"/>
      </bottom>
      <diagonal/>
    </border>
    <border>
      <left/>
      <right/>
      <top/>
      <bottom style="thin">
        <color indexed="64"/>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medium">
        <color rgb="FF3D3D3D"/>
      </left>
      <right style="medium">
        <color auto="1"/>
      </right>
      <top style="medium">
        <color auto="1"/>
      </top>
      <bottom style="medium">
        <color rgb="FF3D3D3D"/>
      </bottom>
      <diagonal/>
    </border>
    <border>
      <left style="medium">
        <color auto="1"/>
      </left>
      <right style="medium">
        <color rgb="FF3D3D3D"/>
      </right>
      <top style="medium">
        <color rgb="FF3D3D3D"/>
      </top>
      <bottom style="medium">
        <color rgb="FF3D3D3D"/>
      </bottom>
      <diagonal/>
    </border>
    <border>
      <left style="medium">
        <color rgb="FF3D3D3D"/>
      </left>
      <right style="medium">
        <color auto="1"/>
      </right>
      <top style="medium">
        <color rgb="FF3D3D3D"/>
      </top>
      <bottom style="medium">
        <color rgb="FF3D3D3D"/>
      </bottom>
      <diagonal/>
    </border>
    <border>
      <left style="medium">
        <color auto="1"/>
      </left>
      <right/>
      <top style="medium">
        <color rgb="FF3D3D3D"/>
      </top>
      <bottom style="medium">
        <color rgb="FF3D3D3D"/>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auto="1"/>
      </left>
      <right style="medium">
        <color auto="1"/>
      </right>
      <top style="medium">
        <color rgb="FF3D3D3D"/>
      </top>
      <bottom style="medium">
        <color rgb="FF3D3D3D"/>
      </bottom>
      <diagonal/>
    </border>
    <border>
      <left style="medium">
        <color auto="1"/>
      </left>
      <right style="medium">
        <color auto="1"/>
      </right>
      <top style="medium">
        <color rgb="FF3D3D3D"/>
      </top>
      <bottom/>
      <diagonal/>
    </border>
    <border>
      <left style="medium">
        <color auto="1"/>
      </left>
      <right/>
      <top/>
      <bottom style="medium">
        <color rgb="FF3D3D3D"/>
      </bottom>
      <diagonal/>
    </border>
    <border>
      <left/>
      <right/>
      <top/>
      <bottom style="medium">
        <color rgb="FF3D3D3D"/>
      </bottom>
      <diagonal/>
    </border>
    <border>
      <left/>
      <right style="medium">
        <color auto="1"/>
      </right>
      <top/>
      <bottom style="medium">
        <color rgb="FF3D3D3D"/>
      </bottom>
      <diagonal/>
    </border>
    <border>
      <left style="medium">
        <color rgb="FF3D3D3D"/>
      </left>
      <right style="medium">
        <color rgb="FF3D3D3D"/>
      </right>
      <top style="medium">
        <color rgb="FF3D3D3D"/>
      </top>
      <bottom/>
      <diagonal/>
    </border>
    <border>
      <left/>
      <right style="medium">
        <color auto="1"/>
      </right>
      <top style="medium">
        <color rgb="FF3D3D3D"/>
      </top>
      <bottom/>
      <diagonal/>
    </border>
    <border>
      <left style="medium">
        <color auto="1"/>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auto="1"/>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top style="thin">
        <color rgb="FF3D3D3D"/>
      </top>
      <bottom style="thin">
        <color rgb="FF3D3D3D"/>
      </bottom>
      <diagonal/>
    </border>
    <border>
      <left/>
      <right style="thin">
        <color rgb="FF3D3D3D"/>
      </right>
      <top style="thin">
        <color rgb="FF3D3D3D"/>
      </top>
      <bottom style="thin">
        <color rgb="FF3D3D3D"/>
      </bottom>
      <diagonal/>
    </border>
    <border>
      <left style="thin">
        <color rgb="FF3D3D3D"/>
      </left>
      <right style="medium">
        <color auto="1"/>
      </right>
      <top style="thin">
        <color rgb="FF3D3D3D"/>
      </top>
      <bottom style="thin">
        <color rgb="FF3D3D3D"/>
      </bottom>
      <diagonal/>
    </border>
    <border>
      <left style="medium">
        <color auto="1"/>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auto="1"/>
      </right>
      <top style="thin">
        <color rgb="FF3D3D3D"/>
      </top>
      <bottom style="medium">
        <color rgb="FF3D3D3D"/>
      </bottom>
      <diagonal/>
    </border>
    <border>
      <left style="medium">
        <color auto="1"/>
      </left>
      <right style="medium">
        <color rgb="FF3D3D3D"/>
      </right>
      <top/>
      <bottom style="medium">
        <color rgb="FF3D3D3D"/>
      </bottom>
      <diagonal/>
    </border>
    <border>
      <left style="medium">
        <color rgb="FF3D3D3D"/>
      </left>
      <right style="medium">
        <color auto="1"/>
      </right>
      <top/>
      <bottom style="medium">
        <color rgb="FF3D3D3D"/>
      </bottom>
      <diagonal/>
    </border>
    <border>
      <left style="medium">
        <color auto="1"/>
      </left>
      <right style="medium">
        <color auto="1"/>
      </right>
      <top/>
      <bottom style="medium">
        <color auto="1"/>
      </bottom>
      <diagonal/>
    </border>
    <border>
      <left style="thin">
        <color indexed="64"/>
      </left>
      <right style="thin">
        <color indexed="64"/>
      </right>
      <top style="thin">
        <color indexed="64"/>
      </top>
      <bottom/>
      <diagonal/>
    </border>
  </borders>
  <cellStyleXfs count="3">
    <xf numFmtId="0" fontId="0" fillId="0" borderId="0"/>
    <xf numFmtId="44" fontId="1" fillId="0" borderId="0" applyFont="0" applyFill="0" applyBorder="0" applyAlignment="0" applyProtection="0"/>
    <xf numFmtId="168" fontId="31" fillId="0" borderId="0" applyBorder="0" applyProtection="0"/>
  </cellStyleXfs>
  <cellXfs count="147">
    <xf numFmtId="0" fontId="0" fillId="0" borderId="0" xfId="0"/>
    <xf numFmtId="0" fontId="2" fillId="0" borderId="0" xfId="0" applyFont="1"/>
    <xf numFmtId="0" fontId="4" fillId="0" borderId="0" xfId="0" applyFont="1" applyAlignment="1">
      <alignment horizontal="center" vertical="center"/>
    </xf>
    <xf numFmtId="0" fontId="6" fillId="0" borderId="0" xfId="0" applyFont="1" applyAlignment="1">
      <alignment horizontal="left" wrapText="1"/>
    </xf>
    <xf numFmtId="0" fontId="7" fillId="2" borderId="0" xfId="0" applyFont="1" applyFill="1" applyAlignment="1">
      <alignment horizontal="center" vertical="center" wrapText="1"/>
    </xf>
    <xf numFmtId="0" fontId="8" fillId="0" borderId="2" xfId="0" applyFont="1" applyBorder="1"/>
    <xf numFmtId="0" fontId="8" fillId="0" borderId="3" xfId="0" applyFont="1" applyBorder="1" applyAlignment="1">
      <alignment horizontal="left" indent="3"/>
    </xf>
    <xf numFmtId="0" fontId="2" fillId="0" borderId="3" xfId="0" applyFont="1" applyBorder="1" applyAlignment="1">
      <alignment horizontal="left" indent="3"/>
    </xf>
    <xf numFmtId="0" fontId="2" fillId="0" borderId="4" xfId="0" applyFont="1" applyBorder="1" applyAlignment="1">
      <alignment horizontal="left" indent="3"/>
    </xf>
    <xf numFmtId="0" fontId="9" fillId="2" borderId="0" xfId="0" applyFont="1" applyFill="1" applyAlignment="1">
      <alignment horizontal="left" wrapText="1" indent="1"/>
    </xf>
    <xf numFmtId="0" fontId="6" fillId="0" borderId="0" xfId="0" applyFont="1" applyAlignment="1">
      <alignment horizontal="center" wrapText="1"/>
    </xf>
    <xf numFmtId="0" fontId="0" fillId="0" borderId="0" xfId="0" applyAlignment="1">
      <alignment horizontal="center" vertical="center" wrapText="1"/>
    </xf>
    <xf numFmtId="0" fontId="2" fillId="0" borderId="1" xfId="0" applyFont="1" applyBorder="1"/>
    <xf numFmtId="0" fontId="2" fillId="0" borderId="5" xfId="0" applyFont="1" applyBorder="1"/>
    <xf numFmtId="0" fontId="11" fillId="3" borderId="0" xfId="0" applyFont="1" applyFill="1" applyAlignment="1">
      <alignment horizontal="left" wrapText="1"/>
    </xf>
    <xf numFmtId="0" fontId="0" fillId="0" borderId="0" xfId="0" applyAlignment="1">
      <alignment horizontal="left" vertical="center" wrapText="1"/>
    </xf>
    <xf numFmtId="0" fontId="2" fillId="0" borderId="6" xfId="0" applyFont="1" applyBorder="1"/>
    <xf numFmtId="0" fontId="2" fillId="0" borderId="7" xfId="0" applyFont="1" applyBorder="1"/>
    <xf numFmtId="0" fontId="2" fillId="0" borderId="7" xfId="0" applyFont="1" applyBorder="1" applyAlignment="1">
      <alignment horizontal="center" wrapText="1"/>
    </xf>
    <xf numFmtId="0" fontId="2" fillId="0" borderId="8" xfId="0" applyFont="1" applyBorder="1"/>
    <xf numFmtId="164" fontId="4" fillId="2" borderId="0" xfId="1" applyNumberFormat="1" applyFont="1" applyFill="1" applyBorder="1" applyAlignment="1" applyProtection="1">
      <alignment horizontal="right" vertical="center" wrapText="1"/>
    </xf>
    <xf numFmtId="0" fontId="7" fillId="0" borderId="0" xfId="0" applyFont="1" applyBorder="1" applyAlignment="1">
      <alignment horizontal="center" vertical="center" wrapText="1"/>
    </xf>
    <xf numFmtId="0" fontId="7" fillId="0" borderId="0" xfId="0" applyFont="1" applyFill="1" applyBorder="1" applyAlignment="1">
      <alignment horizontal="center" vertical="center" wrapText="1"/>
    </xf>
    <xf numFmtId="0" fontId="7" fillId="2" borderId="0" xfId="0" applyFont="1" applyFill="1" applyBorder="1" applyAlignment="1">
      <alignment horizontal="center" vertical="center" wrapText="1"/>
    </xf>
    <xf numFmtId="0" fontId="3" fillId="0" borderId="10" xfId="0" applyFont="1" applyBorder="1" applyAlignment="1">
      <alignment horizontal="center" vertical="center" wrapText="1"/>
    </xf>
    <xf numFmtId="0" fontId="4" fillId="0" borderId="9" xfId="0" applyFont="1" applyFill="1" applyBorder="1" applyAlignment="1">
      <alignment horizontal="center" vertical="center"/>
    </xf>
    <xf numFmtId="0" fontId="7" fillId="0" borderId="9" xfId="0" applyFont="1" applyFill="1" applyBorder="1" applyAlignment="1">
      <alignment horizontal="center" vertical="center" wrapText="1"/>
    </xf>
    <xf numFmtId="164" fontId="4" fillId="0" borderId="9" xfId="1" applyNumberFormat="1" applyFont="1" applyFill="1" applyBorder="1" applyAlignment="1" applyProtection="1">
      <alignment horizontal="center" vertical="center" wrapText="1"/>
    </xf>
    <xf numFmtId="0" fontId="0" fillId="0" borderId="9" xfId="0" applyFill="1" applyBorder="1"/>
    <xf numFmtId="0" fontId="12" fillId="0" borderId="9" xfId="0" applyFont="1" applyFill="1" applyBorder="1"/>
    <xf numFmtId="0" fontId="2" fillId="0" borderId="0" xfId="0" applyFont="1" applyBorder="1"/>
    <xf numFmtId="0" fontId="2" fillId="0" borderId="0" xfId="0" applyFont="1" applyBorder="1" applyAlignment="1">
      <alignment horizontal="center" wrapText="1"/>
    </xf>
    <xf numFmtId="0" fontId="3" fillId="0" borderId="9" xfId="0" applyFont="1" applyBorder="1" applyAlignment="1">
      <alignment horizontal="center" vertical="center" wrapText="1"/>
    </xf>
    <xf numFmtId="0" fontId="19" fillId="0" borderId="9" xfId="0" applyFont="1" applyBorder="1" applyAlignment="1">
      <alignment horizontal="center" vertical="center" wrapText="1"/>
    </xf>
    <xf numFmtId="0" fontId="22" fillId="0" borderId="0" xfId="0" applyFont="1"/>
    <xf numFmtId="0" fontId="23" fillId="0" borderId="9" xfId="0" applyFont="1" applyBorder="1" applyAlignment="1">
      <alignment horizontal="center" vertical="center" wrapText="1"/>
    </xf>
    <xf numFmtId="165" fontId="14" fillId="0" borderId="0" xfId="0" applyNumberFormat="1" applyFont="1"/>
    <xf numFmtId="0" fontId="22" fillId="0" borderId="0" xfId="0" applyFont="1" applyAlignment="1">
      <alignment horizontal="center" vertical="center"/>
    </xf>
    <xf numFmtId="165" fontId="22" fillId="0" borderId="0" xfId="0" applyNumberFormat="1" applyFont="1" applyAlignment="1">
      <alignment horizontal="center" vertical="center"/>
    </xf>
    <xf numFmtId="0" fontId="4" fillId="0" borderId="9" xfId="0" applyFont="1" applyBorder="1" applyAlignment="1">
      <alignment horizontal="center" vertical="center"/>
    </xf>
    <xf numFmtId="165" fontId="0" fillId="0" borderId="9" xfId="0" applyNumberFormat="1" applyBorder="1"/>
    <xf numFmtId="43" fontId="0" fillId="0" borderId="0" xfId="0" applyNumberFormat="1"/>
    <xf numFmtId="0" fontId="26" fillId="0" borderId="0" xfId="0" applyFont="1"/>
    <xf numFmtId="166" fontId="26" fillId="0" borderId="0" xfId="0" applyNumberFormat="1" applyFont="1"/>
    <xf numFmtId="0" fontId="16" fillId="0" borderId="11" xfId="0" applyFont="1" applyFill="1" applyBorder="1" applyAlignment="1">
      <alignment horizontal="left" vertical="center"/>
    </xf>
    <xf numFmtId="0" fontId="17" fillId="0" borderId="3" xfId="0" applyFont="1" applyFill="1" applyBorder="1" applyAlignment="1">
      <alignment vertical="center"/>
    </xf>
    <xf numFmtId="0" fontId="17" fillId="0" borderId="0" xfId="0" applyFont="1" applyFill="1" applyBorder="1" applyAlignment="1">
      <alignment vertical="center"/>
    </xf>
    <xf numFmtId="0" fontId="17" fillId="0" borderId="7" xfId="0" applyFont="1" applyFill="1" applyBorder="1" applyAlignment="1">
      <alignment vertical="center"/>
    </xf>
    <xf numFmtId="3" fontId="16" fillId="0" borderId="1" xfId="0" applyNumberFormat="1" applyFont="1" applyBorder="1"/>
    <xf numFmtId="167" fontId="10" fillId="0" borderId="1" xfId="0" applyNumberFormat="1" applyFont="1" applyBorder="1" applyAlignment="1">
      <alignment horizontal="left"/>
    </xf>
    <xf numFmtId="0" fontId="10" fillId="0" borderId="1" xfId="0" applyFont="1" applyBorder="1"/>
    <xf numFmtId="0" fontId="10" fillId="0" borderId="3" xfId="0" applyFont="1" applyBorder="1"/>
    <xf numFmtId="0" fontId="10" fillId="0" borderId="0" xfId="0" applyFont="1"/>
    <xf numFmtId="0" fontId="10" fillId="0" borderId="0" xfId="0" applyFont="1" applyAlignment="1">
      <alignment horizontal="left"/>
    </xf>
    <xf numFmtId="167" fontId="10" fillId="0" borderId="0" xfId="0" applyNumberFormat="1" applyFont="1" applyAlignment="1">
      <alignment horizontal="left"/>
    </xf>
    <xf numFmtId="0" fontId="10" fillId="0" borderId="7" xfId="0" applyFont="1" applyBorder="1"/>
    <xf numFmtId="0" fontId="10" fillId="0" borderId="23" xfId="0" applyFont="1" applyBorder="1"/>
    <xf numFmtId="0" fontId="10" fillId="0" borderId="24" xfId="0" applyFont="1" applyBorder="1"/>
    <xf numFmtId="0" fontId="10" fillId="0" borderId="24" xfId="0" applyFont="1" applyBorder="1" applyAlignment="1">
      <alignment horizontal="left"/>
    </xf>
    <xf numFmtId="0" fontId="10" fillId="0" borderId="25" xfId="0" applyFont="1" applyBorder="1"/>
    <xf numFmtId="0" fontId="30" fillId="0" borderId="28" xfId="0" applyFont="1" applyBorder="1" applyAlignment="1">
      <alignment vertical="center"/>
    </xf>
    <xf numFmtId="0" fontId="30" fillId="0" borderId="29" xfId="0" applyFont="1" applyBorder="1" applyAlignment="1">
      <alignment vertical="center"/>
    </xf>
    <xf numFmtId="0" fontId="30" fillId="0" borderId="30" xfId="0" applyFont="1" applyBorder="1" applyAlignment="1">
      <alignment vertical="center"/>
    </xf>
    <xf numFmtId="0" fontId="30" fillId="0" borderId="31" xfId="0" applyFont="1" applyBorder="1" applyAlignment="1">
      <alignment vertical="center"/>
    </xf>
    <xf numFmtId="0" fontId="4" fillId="0" borderId="32" xfId="0" applyFont="1" applyBorder="1" applyAlignment="1">
      <alignment horizontal="center" vertical="center"/>
    </xf>
    <xf numFmtId="0" fontId="4" fillId="0" borderId="33" xfId="0" applyFont="1" applyBorder="1" applyAlignment="1">
      <alignment horizontal="center" vertical="center"/>
    </xf>
    <xf numFmtId="0" fontId="4" fillId="0" borderId="34" xfId="0" applyFont="1" applyBorder="1" applyAlignment="1">
      <alignment horizontal="center" vertical="center"/>
    </xf>
    <xf numFmtId="0" fontId="4" fillId="0" borderId="35" xfId="0" applyFont="1" applyBorder="1" applyAlignment="1">
      <alignment horizontal="center" vertical="center"/>
    </xf>
    <xf numFmtId="0" fontId="4" fillId="0" borderId="36" xfId="0" applyFont="1" applyBorder="1" applyAlignment="1">
      <alignment horizontal="center" vertical="center"/>
    </xf>
    <xf numFmtId="164" fontId="4" fillId="0" borderId="39" xfId="2" applyNumberFormat="1" applyFont="1" applyBorder="1" applyAlignment="1" applyProtection="1">
      <alignment horizontal="center" vertical="center"/>
    </xf>
    <xf numFmtId="0" fontId="10" fillId="0" borderId="32" xfId="0" applyFont="1" applyBorder="1" applyAlignment="1">
      <alignment horizontal="center" vertical="center"/>
    </xf>
    <xf numFmtId="0" fontId="10" fillId="0" borderId="33" xfId="0" applyFont="1" applyBorder="1" applyAlignment="1">
      <alignment horizontal="center" vertical="center"/>
    </xf>
    <xf numFmtId="0" fontId="10" fillId="0" borderId="35" xfId="0" applyFont="1" applyBorder="1" applyAlignment="1">
      <alignment horizontal="center" vertical="center"/>
    </xf>
    <xf numFmtId="0" fontId="10" fillId="0" borderId="36" xfId="0" applyFont="1" applyBorder="1" applyAlignment="1">
      <alignment horizontal="center" vertical="center"/>
    </xf>
    <xf numFmtId="164" fontId="10" fillId="0" borderId="39" xfId="2" applyNumberFormat="1" applyFont="1" applyBorder="1" applyAlignment="1" applyProtection="1">
      <alignment horizontal="center" vertical="center"/>
    </xf>
    <xf numFmtId="0" fontId="10" fillId="0" borderId="40" xfId="0" applyFont="1" applyBorder="1" applyAlignment="1">
      <alignment horizontal="center" vertical="center"/>
    </xf>
    <xf numFmtId="0" fontId="10" fillId="0" borderId="41" xfId="0" applyFont="1" applyBorder="1" applyAlignment="1">
      <alignment horizontal="center" vertical="center"/>
    </xf>
    <xf numFmtId="0" fontId="10" fillId="0" borderId="42" xfId="0" applyFont="1" applyBorder="1" applyAlignment="1">
      <alignment horizontal="center" vertical="center"/>
    </xf>
    <xf numFmtId="164" fontId="10" fillId="0" borderId="43" xfId="2" applyNumberFormat="1" applyFont="1" applyBorder="1" applyAlignment="1" applyProtection="1">
      <alignment horizontal="center" vertical="center"/>
    </xf>
    <xf numFmtId="164" fontId="30" fillId="0" borderId="45" xfId="0" applyNumberFormat="1" applyFont="1" applyBorder="1" applyAlignment="1">
      <alignment horizontal="center" vertical="center"/>
    </xf>
    <xf numFmtId="0" fontId="24" fillId="0" borderId="9" xfId="0" applyFont="1" applyFill="1" applyBorder="1" applyAlignment="1">
      <alignment horizontal="center" vertical="center"/>
    </xf>
    <xf numFmtId="0" fontId="24" fillId="0" borderId="9" xfId="0" applyFont="1" applyFill="1" applyBorder="1" applyAlignment="1">
      <alignment vertical="center" wrapText="1"/>
    </xf>
    <xf numFmtId="0" fontId="6" fillId="0" borderId="9" xfId="0" applyFont="1" applyFill="1" applyBorder="1" applyAlignment="1">
      <alignment horizontal="center" vertical="center" wrapText="1"/>
    </xf>
    <xf numFmtId="0" fontId="32" fillId="0" borderId="9" xfId="0" applyFont="1" applyFill="1" applyBorder="1" applyAlignment="1">
      <alignment horizontal="center" vertical="center"/>
    </xf>
    <xf numFmtId="0" fontId="3" fillId="0" borderId="47" xfId="0" applyFont="1" applyBorder="1" applyAlignment="1">
      <alignment horizontal="center" vertical="center" wrapText="1"/>
    </xf>
    <xf numFmtId="164" fontId="4" fillId="0" borderId="9" xfId="1" applyNumberFormat="1" applyFont="1" applyFill="1" applyBorder="1" applyAlignment="1" applyProtection="1">
      <alignment horizontal="right" vertical="center" wrapText="1"/>
    </xf>
    <xf numFmtId="0" fontId="14" fillId="0" borderId="0" xfId="0" applyFont="1"/>
    <xf numFmtId="165" fontId="33" fillId="0" borderId="0" xfId="0" applyNumberFormat="1" applyFont="1" applyAlignment="1">
      <alignment horizontal="center" vertical="center"/>
    </xf>
    <xf numFmtId="165" fontId="33" fillId="0" borderId="12" xfId="0" applyNumberFormat="1" applyFont="1" applyBorder="1" applyAlignment="1">
      <alignment horizontal="center" vertical="center"/>
    </xf>
    <xf numFmtId="165" fontId="34" fillId="0" borderId="0" xfId="0" applyNumberFormat="1" applyFont="1"/>
    <xf numFmtId="0" fontId="8" fillId="0" borderId="4" xfId="0" applyFont="1" applyBorder="1" applyAlignment="1">
      <alignment horizontal="left" indent="3"/>
    </xf>
    <xf numFmtId="0" fontId="2" fillId="0" borderId="5" xfId="0" applyFont="1" applyFill="1" applyBorder="1"/>
    <xf numFmtId="0" fontId="2" fillId="0" borderId="8" xfId="0" applyFont="1" applyFill="1" applyBorder="1"/>
    <xf numFmtId="0" fontId="2" fillId="0" borderId="0" xfId="0" applyFont="1" applyFill="1" applyBorder="1" applyAlignment="1">
      <alignment horizontal="left" wrapText="1"/>
    </xf>
    <xf numFmtId="0" fontId="2" fillId="0" borderId="7" xfId="0" applyFont="1" applyFill="1" applyBorder="1" applyAlignment="1">
      <alignment horizontal="left" wrapText="1"/>
    </xf>
    <xf numFmtId="0" fontId="2" fillId="0" borderId="0" xfId="0" applyFont="1" applyFill="1" applyBorder="1" applyAlignment="1">
      <alignment horizontal="left" vertical="center" wrapText="1"/>
    </xf>
    <xf numFmtId="0" fontId="2" fillId="0" borderId="7" xfId="0" applyFont="1" applyFill="1" applyBorder="1" applyAlignment="1">
      <alignment horizontal="left" vertical="center" wrapText="1"/>
    </xf>
    <xf numFmtId="0" fontId="2" fillId="0" borderId="0" xfId="0" applyFont="1" applyFill="1" applyBorder="1" applyAlignment="1">
      <alignment horizontal="center" wrapText="1"/>
    </xf>
    <xf numFmtId="0" fontId="2" fillId="0" borderId="7" xfId="0" applyFont="1" applyFill="1" applyBorder="1" applyAlignment="1">
      <alignment horizontal="center" wrapText="1"/>
    </xf>
    <xf numFmtId="0" fontId="3" fillId="0" borderId="0" xfId="0" applyFont="1" applyAlignment="1">
      <alignment horizontal="left" vertical="center" wrapText="1"/>
    </xf>
    <xf numFmtId="0" fontId="5" fillId="0" borderId="0" xfId="0" applyFont="1" applyAlignment="1">
      <alignment horizontal="center"/>
    </xf>
    <xf numFmtId="0" fontId="9" fillId="2" borderId="0" xfId="0" applyFont="1" applyFill="1" applyAlignment="1">
      <alignment horizontal="left" wrapText="1" indent="1"/>
    </xf>
    <xf numFmtId="0" fontId="18" fillId="0" borderId="2" xfId="0" applyFont="1" applyBorder="1" applyAlignment="1">
      <alignment horizontal="left" vertical="center"/>
    </xf>
    <xf numFmtId="0" fontId="18" fillId="0" borderId="1" xfId="0" applyFont="1" applyBorder="1" applyAlignment="1">
      <alignment horizontal="left" vertical="center"/>
    </xf>
    <xf numFmtId="0" fontId="18" fillId="0" borderId="6" xfId="0" applyFont="1" applyBorder="1" applyAlignment="1">
      <alignment horizontal="left" vertical="center"/>
    </xf>
    <xf numFmtId="0" fontId="13" fillId="0" borderId="9" xfId="0" applyFont="1" applyBorder="1" applyAlignment="1">
      <alignment horizontal="left" vertical="top" wrapText="1"/>
    </xf>
    <xf numFmtId="0" fontId="18" fillId="0" borderId="11" xfId="0" applyFont="1" applyFill="1" applyBorder="1" applyAlignment="1">
      <alignment horizontal="left" vertical="center" wrapText="1"/>
    </xf>
    <xf numFmtId="0" fontId="19" fillId="0" borderId="11" xfId="0" applyFont="1" applyFill="1" applyBorder="1" applyAlignment="1">
      <alignment horizontal="left" vertical="center" wrapText="1"/>
    </xf>
    <xf numFmtId="0" fontId="20" fillId="0" borderId="11" xfId="0" applyFont="1" applyFill="1" applyBorder="1" applyAlignment="1">
      <alignment horizontal="left" vertical="center" wrapText="1"/>
    </xf>
    <xf numFmtId="0" fontId="21" fillId="0" borderId="11" xfId="0" applyFont="1" applyFill="1" applyBorder="1" applyAlignment="1">
      <alignment vertical="center" wrapText="1"/>
    </xf>
    <xf numFmtId="0" fontId="19" fillId="0" borderId="11" xfId="0" applyFont="1" applyFill="1" applyBorder="1" applyAlignment="1">
      <alignment vertical="center" wrapText="1"/>
    </xf>
    <xf numFmtId="0" fontId="15" fillId="0" borderId="2"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6" xfId="0" applyFont="1" applyFill="1" applyBorder="1" applyAlignment="1">
      <alignment horizontal="center" vertical="center" wrapText="1"/>
    </xf>
    <xf numFmtId="0" fontId="30" fillId="0" borderId="11" xfId="0" applyFont="1" applyBorder="1" applyAlignment="1">
      <alignment vertical="center" wrapText="1"/>
    </xf>
    <xf numFmtId="0" fontId="4" fillId="0" borderId="27" xfId="0" applyFont="1" applyBorder="1" applyAlignment="1">
      <alignment vertical="center" wrapText="1"/>
    </xf>
    <xf numFmtId="0" fontId="4" fillId="0" borderId="46" xfId="0" applyFont="1" applyBorder="1" applyAlignment="1">
      <alignment horizontal="left" vertical="center" wrapText="1" indent="1"/>
    </xf>
    <xf numFmtId="0" fontId="10" fillId="0" borderId="36" xfId="0" applyFont="1" applyBorder="1" applyAlignment="1">
      <alignment horizontal="center"/>
    </xf>
    <xf numFmtId="0" fontId="10" fillId="0" borderId="36" xfId="0" applyFont="1" applyBorder="1" applyAlignment="1">
      <alignment horizontal="center" vertical="center"/>
    </xf>
    <xf numFmtId="0" fontId="10" fillId="0" borderId="41" xfId="0" applyFont="1" applyBorder="1" applyAlignment="1">
      <alignment horizontal="left" vertical="center"/>
    </xf>
    <xf numFmtId="0" fontId="25" fillId="0" borderId="44" xfId="0" applyFont="1" applyBorder="1" applyAlignment="1">
      <alignment horizontal="left" vertical="center" wrapText="1"/>
    </xf>
    <xf numFmtId="0" fontId="4" fillId="0" borderId="22" xfId="0" applyFont="1" applyBorder="1"/>
    <xf numFmtId="0" fontId="4" fillId="0" borderId="37" xfId="0" applyFont="1" applyBorder="1" applyAlignment="1">
      <alignment horizontal="left" vertical="center" wrapText="1"/>
    </xf>
    <xf numFmtId="0" fontId="4" fillId="0" borderId="38" xfId="0" applyFont="1" applyBorder="1" applyAlignment="1">
      <alignment horizontal="left" vertical="center" wrapText="1"/>
    </xf>
    <xf numFmtId="0" fontId="10" fillId="3" borderId="18" xfId="0" applyFont="1" applyFill="1" applyBorder="1" applyAlignment="1">
      <alignment horizontal="left" vertical="center"/>
    </xf>
    <xf numFmtId="0" fontId="10" fillId="3" borderId="19" xfId="0" applyFont="1" applyFill="1" applyBorder="1" applyAlignment="1">
      <alignment horizontal="left" vertical="center"/>
    </xf>
    <xf numFmtId="0" fontId="10" fillId="3" borderId="20" xfId="0" applyFont="1" applyFill="1" applyBorder="1" applyAlignment="1">
      <alignment horizontal="left" vertical="center"/>
    </xf>
    <xf numFmtId="0" fontId="10" fillId="3" borderId="17" xfId="0" applyFont="1" applyFill="1" applyBorder="1" applyAlignment="1"/>
    <xf numFmtId="0" fontId="10" fillId="0" borderId="18" xfId="0" applyFont="1" applyBorder="1" applyAlignment="1">
      <alignment horizontal="left" vertical="center"/>
    </xf>
    <xf numFmtId="0" fontId="10" fillId="0" borderId="19" xfId="0" applyFont="1" applyBorder="1" applyAlignment="1">
      <alignment horizontal="left" vertical="center"/>
    </xf>
    <xf numFmtId="0" fontId="10" fillId="0" borderId="20" xfId="0" applyFont="1" applyBorder="1" applyAlignment="1">
      <alignment horizontal="left" vertical="center"/>
    </xf>
    <xf numFmtId="0" fontId="10" fillId="0" borderId="17" xfId="0" applyFont="1" applyBorder="1" applyAlignment="1"/>
    <xf numFmtId="0" fontId="27" fillId="0" borderId="21" xfId="0" applyFont="1" applyBorder="1" applyAlignment="1">
      <alignment horizontal="left"/>
    </xf>
    <xf numFmtId="0" fontId="10" fillId="0" borderId="22" xfId="0" applyFont="1" applyBorder="1" applyAlignment="1">
      <alignment horizontal="left"/>
    </xf>
    <xf numFmtId="0" fontId="10" fillId="0" borderId="3" xfId="0" applyNumberFormat="1" applyFont="1" applyBorder="1" applyAlignment="1">
      <alignment horizontal="justify" vertical="center" wrapText="1"/>
    </xf>
    <xf numFmtId="0" fontId="10" fillId="0" borderId="0" xfId="0" applyNumberFormat="1" applyFont="1" applyBorder="1" applyAlignment="1">
      <alignment horizontal="justify" vertical="center" wrapText="1"/>
    </xf>
    <xf numFmtId="0" fontId="10" fillId="0" borderId="7" xfId="0" applyNumberFormat="1" applyFont="1" applyBorder="1" applyAlignment="1">
      <alignment horizontal="justify" vertical="center" wrapText="1"/>
    </xf>
    <xf numFmtId="0" fontId="30" fillId="0" borderId="22" xfId="0" applyFont="1" applyBorder="1" applyAlignment="1">
      <alignment horizontal="center" vertical="center"/>
    </xf>
    <xf numFmtId="0" fontId="30" fillId="0" borderId="16" xfId="0" applyFont="1" applyBorder="1" applyAlignment="1">
      <alignment horizontal="center" vertical="center"/>
    </xf>
    <xf numFmtId="0" fontId="30" fillId="0" borderId="26" xfId="0" applyFont="1" applyBorder="1" applyAlignment="1">
      <alignment horizontal="center" vertical="center" wrapText="1"/>
    </xf>
    <xf numFmtId="0" fontId="30" fillId="0" borderId="27" xfId="0" applyFont="1" applyBorder="1" applyAlignment="1">
      <alignment horizontal="center" vertical="center"/>
    </xf>
    <xf numFmtId="0" fontId="10" fillId="0" borderId="16" xfId="0" applyFont="1" applyFill="1" applyBorder="1" applyAlignment="1">
      <alignment horizontal="left" vertical="center" wrapText="1"/>
    </xf>
    <xf numFmtId="0" fontId="10" fillId="0" borderId="17" xfId="0" applyFont="1" applyFill="1" applyBorder="1" applyAlignment="1"/>
    <xf numFmtId="0" fontId="10" fillId="0" borderId="13" xfId="0" applyFont="1" applyBorder="1" applyAlignment="1">
      <alignment horizontal="center"/>
    </xf>
    <xf numFmtId="0" fontId="16" fillId="0" borderId="14" xfId="0" applyFont="1" applyBorder="1" applyAlignment="1">
      <alignment horizontal="center"/>
    </xf>
    <xf numFmtId="0" fontId="16" fillId="0" borderId="15" xfId="0" applyFont="1" applyBorder="1" applyAlignment="1">
      <alignment horizontal="center" vertical="center" wrapText="1"/>
    </xf>
    <xf numFmtId="0" fontId="10" fillId="0" borderId="16" xfId="0" applyFont="1" applyFill="1" applyBorder="1"/>
  </cellXfs>
  <cellStyles count="3">
    <cellStyle name="Moneda" xfId="1" builtinId="4"/>
    <cellStyle name="Moneda_AUTORIZACION Y NOTA DE PEDIDO" xfId="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16</xdr:col>
      <xdr:colOff>733320</xdr:colOff>
      <xdr:row>0</xdr:row>
      <xdr:rowOff>0</xdr:rowOff>
    </xdr:from>
    <xdr:to>
      <xdr:col>16</xdr:col>
      <xdr:colOff>733680</xdr:colOff>
      <xdr:row>0</xdr:row>
      <xdr:rowOff>360</xdr:rowOff>
    </xdr:to>
    <xdr:sp macro="" textlink="">
      <xdr:nvSpPr>
        <xdr:cNvPr id="2" name="CustomShape 1" hidden="1">
          <a:extLst>
            <a:ext uri="{FF2B5EF4-FFF2-40B4-BE49-F238E27FC236}">
              <a16:creationId xmlns:a16="http://schemas.microsoft.com/office/drawing/2014/main" id="{6EDBCCBC-A5D7-4F6E-B19D-1D7F6E4EBCF0}"/>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3" name="CustomShape 1" hidden="1">
          <a:extLst>
            <a:ext uri="{FF2B5EF4-FFF2-40B4-BE49-F238E27FC236}">
              <a16:creationId xmlns:a16="http://schemas.microsoft.com/office/drawing/2014/main" id="{C8B2281C-E18F-4241-A337-997AE3875297}"/>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4" name="CustomShape 1" hidden="1">
          <a:extLst>
            <a:ext uri="{FF2B5EF4-FFF2-40B4-BE49-F238E27FC236}">
              <a16:creationId xmlns:a16="http://schemas.microsoft.com/office/drawing/2014/main" id="{817DB5A8-6390-46BE-AC58-3E6F30D4AEDF}"/>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twoCellAnchor>
    <xdr:from>
      <xdr:col>16</xdr:col>
      <xdr:colOff>733320</xdr:colOff>
      <xdr:row>0</xdr:row>
      <xdr:rowOff>0</xdr:rowOff>
    </xdr:from>
    <xdr:to>
      <xdr:col>16</xdr:col>
      <xdr:colOff>733680</xdr:colOff>
      <xdr:row>0</xdr:row>
      <xdr:rowOff>360</xdr:rowOff>
    </xdr:to>
    <xdr:sp macro="" textlink="">
      <xdr:nvSpPr>
        <xdr:cNvPr id="5" name="CustomShape 1" hidden="1">
          <a:extLst>
            <a:ext uri="{FF2B5EF4-FFF2-40B4-BE49-F238E27FC236}">
              <a16:creationId xmlns:a16="http://schemas.microsoft.com/office/drawing/2014/main" id="{09527F9E-0E95-4E47-B18B-2739E17981D6}"/>
            </a:ext>
          </a:extLst>
        </xdr:cNvPr>
        <xdr:cNvSpPr/>
      </xdr:nvSpPr>
      <xdr:spPr>
        <a:xfrm>
          <a:off x="5867295" y="0"/>
          <a:ext cx="360" cy="360"/>
        </a:xfrm>
        <a:custGeom>
          <a:avLst/>
          <a:gdLst/>
          <a:ahLst/>
          <a:cxnLst/>
          <a:rect l="l" t="t" r="r" b="b"/>
          <a:pathLst>
            <a:path w="1" h="1">
              <a:moveTo>
                <a:pt x="0" y="0"/>
              </a:moveTo>
              <a:lnTo>
                <a:pt x="0" y="0"/>
              </a:lnTo>
            </a:path>
          </a:pathLst>
        </a:custGeom>
        <a:noFill/>
        <a:ln w="28440">
          <a:solidFill>
            <a:srgbClr val="3D3D3D"/>
          </a:solidFill>
          <a:miter/>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tabSelected="1" topLeftCell="A19" workbookViewId="0">
      <selection activeCell="G48" sqref="G48"/>
    </sheetView>
  </sheetViews>
  <sheetFormatPr baseColWidth="10" defaultRowHeight="15" x14ac:dyDescent="0.25"/>
  <cols>
    <col min="1" max="1" width="4.5703125" customWidth="1"/>
    <col min="2" max="2" width="13" customWidth="1"/>
    <col min="3" max="3" width="25.28515625" customWidth="1"/>
    <col min="4" max="4" width="8.42578125" customWidth="1"/>
    <col min="5" max="5" width="55.5703125" customWidth="1"/>
    <col min="7" max="7" width="12.7109375" customWidth="1"/>
    <col min="8" max="8" width="13.85546875" customWidth="1"/>
    <col min="9" max="9" width="17.5703125" customWidth="1"/>
  </cols>
  <sheetData>
    <row r="1" spans="1:9" ht="27" x14ac:dyDescent="0.35">
      <c r="A1" s="1"/>
      <c r="B1" s="100" t="s">
        <v>5</v>
      </c>
      <c r="C1" s="100"/>
      <c r="D1" s="100"/>
      <c r="E1" s="100"/>
      <c r="F1" s="100"/>
      <c r="G1" s="100"/>
      <c r="H1" s="100"/>
      <c r="I1" s="1"/>
    </row>
    <row r="2" spans="1:9" x14ac:dyDescent="0.25">
      <c r="A2" s="1"/>
      <c r="B2" s="1"/>
      <c r="C2" s="1"/>
      <c r="D2" s="1"/>
      <c r="E2" s="1"/>
      <c r="F2" s="1"/>
      <c r="G2" s="1"/>
      <c r="H2" s="1"/>
      <c r="I2" s="1"/>
    </row>
    <row r="3" spans="1:9" ht="15.75" x14ac:dyDescent="0.25">
      <c r="A3" s="99" t="s">
        <v>0</v>
      </c>
      <c r="B3" s="99"/>
      <c r="C3" s="101" t="s">
        <v>10</v>
      </c>
      <c r="D3" s="101"/>
      <c r="E3" s="101"/>
      <c r="F3" s="3"/>
      <c r="G3" s="10"/>
      <c r="H3" s="3"/>
      <c r="I3" s="1"/>
    </row>
    <row r="4" spans="1:9" ht="15.75" x14ac:dyDescent="0.25">
      <c r="A4" s="99" t="s">
        <v>1</v>
      </c>
      <c r="B4" s="99"/>
      <c r="C4" s="101" t="s">
        <v>11</v>
      </c>
      <c r="D4" s="101"/>
      <c r="E4" s="101"/>
      <c r="F4" s="3"/>
      <c r="G4" s="10"/>
      <c r="H4" s="3"/>
      <c r="I4" s="1"/>
    </row>
    <row r="5" spans="1:9" ht="15.75" x14ac:dyDescent="0.25">
      <c r="A5" s="99" t="s">
        <v>2</v>
      </c>
      <c r="B5" s="99"/>
      <c r="C5" s="9">
        <v>2022</v>
      </c>
      <c r="D5" s="14"/>
      <c r="E5" s="14"/>
      <c r="F5" s="3"/>
      <c r="G5" s="10"/>
      <c r="H5" s="3"/>
      <c r="I5" s="1"/>
    </row>
    <row r="6" spans="1:9" ht="15.75" x14ac:dyDescent="0.25">
      <c r="A6" s="99" t="s">
        <v>3</v>
      </c>
      <c r="B6" s="99"/>
      <c r="C6" s="9">
        <v>2</v>
      </c>
      <c r="D6" s="14"/>
      <c r="E6" s="14"/>
      <c r="F6" s="3"/>
      <c r="G6" s="10"/>
      <c r="H6" s="3"/>
      <c r="I6" s="1"/>
    </row>
    <row r="7" spans="1:9" ht="15.75" thickBot="1" x14ac:dyDescent="0.3">
      <c r="A7" s="1"/>
      <c r="B7" s="3"/>
      <c r="C7" s="10"/>
      <c r="D7" s="3"/>
      <c r="E7" s="3"/>
      <c r="F7" s="3"/>
      <c r="G7" s="10"/>
      <c r="H7" s="3"/>
      <c r="I7" s="1"/>
    </row>
    <row r="8" spans="1:9" ht="43.9" thickTop="1" x14ac:dyDescent="0.25">
      <c r="A8" s="24" t="s">
        <v>4</v>
      </c>
      <c r="B8" s="24" t="s">
        <v>6</v>
      </c>
      <c r="C8" s="24" t="s">
        <v>12</v>
      </c>
      <c r="D8" s="24" t="s">
        <v>13</v>
      </c>
      <c r="E8" s="24" t="s">
        <v>14</v>
      </c>
      <c r="F8" s="24" t="s">
        <v>15</v>
      </c>
      <c r="G8" s="24" t="s">
        <v>17</v>
      </c>
      <c r="H8" s="24" t="s">
        <v>18</v>
      </c>
      <c r="I8" s="24" t="s">
        <v>19</v>
      </c>
    </row>
    <row r="9" spans="1:9" s="28" customFormat="1" x14ac:dyDescent="0.25">
      <c r="A9" s="25">
        <v>1</v>
      </c>
      <c r="B9" s="29" t="s">
        <v>21</v>
      </c>
      <c r="C9" s="29" t="s">
        <v>22</v>
      </c>
      <c r="D9" s="26" t="s">
        <v>23</v>
      </c>
      <c r="E9" s="29" t="s">
        <v>25</v>
      </c>
      <c r="F9" s="26" t="s">
        <v>16</v>
      </c>
      <c r="G9" s="26">
        <v>25</v>
      </c>
      <c r="H9" s="27">
        <v>30000</v>
      </c>
      <c r="I9" s="27">
        <f>+G9*H9</f>
        <v>750000</v>
      </c>
    </row>
    <row r="10" spans="1:9" s="28" customFormat="1" x14ac:dyDescent="0.25">
      <c r="A10" s="25">
        <v>2</v>
      </c>
      <c r="B10" s="29" t="s">
        <v>24</v>
      </c>
      <c r="C10" s="29" t="s">
        <v>22</v>
      </c>
      <c r="D10" s="26" t="s">
        <v>23</v>
      </c>
      <c r="E10" s="29" t="s">
        <v>26</v>
      </c>
      <c r="F10" s="26" t="s">
        <v>16</v>
      </c>
      <c r="G10" s="26">
        <v>25</v>
      </c>
      <c r="H10" s="27">
        <v>14000</v>
      </c>
      <c r="I10" s="27">
        <f t="shared" ref="I10:I11" si="0">+G10*H10</f>
        <v>350000</v>
      </c>
    </row>
    <row r="11" spans="1:9" s="28" customFormat="1" x14ac:dyDescent="0.25">
      <c r="A11" s="25">
        <v>3</v>
      </c>
      <c r="B11" s="29" t="s">
        <v>27</v>
      </c>
      <c r="C11" s="29" t="s">
        <v>22</v>
      </c>
      <c r="D11" s="26" t="s">
        <v>23</v>
      </c>
      <c r="E11" s="29" t="s">
        <v>28</v>
      </c>
      <c r="F11" s="26" t="s">
        <v>16</v>
      </c>
      <c r="G11" s="26">
        <v>25</v>
      </c>
      <c r="H11" s="27">
        <v>16000</v>
      </c>
      <c r="I11" s="27">
        <f t="shared" si="0"/>
        <v>400000</v>
      </c>
    </row>
    <row r="12" spans="1:9" ht="15.75" thickBot="1" x14ac:dyDescent="0.3">
      <c r="A12" s="2"/>
      <c r="B12" s="23"/>
      <c r="C12" s="11"/>
      <c r="D12" s="22"/>
      <c r="E12" s="15"/>
      <c r="F12" s="4"/>
      <c r="G12" s="4"/>
      <c r="H12" s="20"/>
      <c r="I12" s="20"/>
    </row>
    <row r="13" spans="1:9" x14ac:dyDescent="0.25">
      <c r="A13" s="1"/>
      <c r="B13" s="5" t="s">
        <v>20</v>
      </c>
      <c r="C13" s="12"/>
      <c r="D13" s="12"/>
      <c r="E13" s="16"/>
      <c r="F13" s="1"/>
      <c r="G13" s="1"/>
      <c r="H13" s="1"/>
      <c r="I13" s="89">
        <f>+I9+I10+I11</f>
        <v>1500000</v>
      </c>
    </row>
    <row r="14" spans="1:9" x14ac:dyDescent="0.25">
      <c r="A14" s="1"/>
      <c r="B14" s="6" t="s">
        <v>7</v>
      </c>
      <c r="C14" s="30"/>
      <c r="D14" s="30"/>
      <c r="E14" s="17"/>
      <c r="F14" s="1"/>
      <c r="G14" s="1"/>
      <c r="H14" s="1"/>
      <c r="I14" s="1"/>
    </row>
    <row r="15" spans="1:9" ht="34.700000000000003" customHeight="1" x14ac:dyDescent="0.25">
      <c r="A15" s="1"/>
      <c r="B15" s="6"/>
      <c r="C15" s="95" t="s">
        <v>75</v>
      </c>
      <c r="D15" s="95"/>
      <c r="E15" s="96"/>
      <c r="F15" s="1"/>
      <c r="G15" s="1"/>
      <c r="H15" s="1"/>
      <c r="I15" s="1"/>
    </row>
    <row r="16" spans="1:9" x14ac:dyDescent="0.25">
      <c r="A16" s="1"/>
      <c r="B16" s="6" t="s">
        <v>8</v>
      </c>
      <c r="C16" s="30"/>
      <c r="D16" s="30"/>
      <c r="E16" s="17"/>
      <c r="F16" s="1"/>
      <c r="H16" s="1"/>
      <c r="I16" s="1"/>
    </row>
    <row r="17" spans="1:9" ht="83.25" customHeight="1" x14ac:dyDescent="0.25">
      <c r="A17" s="1"/>
      <c r="B17" s="7"/>
      <c r="C17" s="95" t="s">
        <v>71</v>
      </c>
      <c r="D17" s="95"/>
      <c r="E17" s="96"/>
      <c r="F17" s="1"/>
      <c r="G17" s="1"/>
      <c r="H17" s="1"/>
      <c r="I17" s="1"/>
    </row>
    <row r="18" spans="1:9" ht="6.4" customHeight="1" x14ac:dyDescent="0.25">
      <c r="A18" s="1"/>
      <c r="B18" s="7"/>
      <c r="C18" s="97"/>
      <c r="D18" s="97"/>
      <c r="E18" s="98"/>
      <c r="F18" s="1"/>
      <c r="G18" s="1"/>
      <c r="H18" s="1"/>
      <c r="I18" s="1"/>
    </row>
    <row r="19" spans="1:9" ht="25.7" customHeight="1" x14ac:dyDescent="0.25">
      <c r="A19" s="1"/>
      <c r="B19" s="6" t="s">
        <v>72</v>
      </c>
      <c r="C19" s="30"/>
      <c r="D19" s="30"/>
      <c r="E19" s="17"/>
      <c r="F19" s="1"/>
      <c r="G19" s="1"/>
      <c r="H19" s="1"/>
      <c r="I19" s="1"/>
    </row>
    <row r="20" spans="1:9" ht="38.25" customHeight="1" x14ac:dyDescent="0.25">
      <c r="A20" s="1"/>
      <c r="B20" s="7"/>
      <c r="C20" s="95" t="s">
        <v>73</v>
      </c>
      <c r="D20" s="95"/>
      <c r="E20" s="96"/>
      <c r="F20" s="1"/>
      <c r="G20" s="1"/>
      <c r="H20" s="1"/>
      <c r="I20" s="1"/>
    </row>
    <row r="21" spans="1:9" ht="19.899999999999999" customHeight="1" x14ac:dyDescent="0.25">
      <c r="A21" s="1"/>
      <c r="B21" s="6" t="s">
        <v>74</v>
      </c>
      <c r="C21" s="31"/>
      <c r="D21" s="31"/>
      <c r="E21" s="18"/>
      <c r="F21" s="1"/>
      <c r="G21" s="1"/>
      <c r="H21" s="1"/>
      <c r="I21" s="1"/>
    </row>
    <row r="22" spans="1:9" ht="18.399999999999999" customHeight="1" x14ac:dyDescent="0.25">
      <c r="A22" s="1"/>
      <c r="B22" s="6" t="s">
        <v>9</v>
      </c>
      <c r="C22" s="30" t="s">
        <v>76</v>
      </c>
      <c r="D22" s="30"/>
      <c r="E22" s="17"/>
      <c r="F22" s="1"/>
      <c r="G22" s="1"/>
      <c r="H22" s="1"/>
      <c r="I22" s="1"/>
    </row>
    <row r="23" spans="1:9" ht="15.75" thickBot="1" x14ac:dyDescent="0.3">
      <c r="A23" s="1"/>
      <c r="B23" s="90"/>
      <c r="C23" s="91"/>
      <c r="D23" s="91"/>
      <c r="E23" s="92"/>
      <c r="F23" s="1"/>
      <c r="G23" s="1"/>
      <c r="H23" s="1"/>
      <c r="I23" s="1"/>
    </row>
    <row r="24" spans="1:9" s="1" customFormat="1" ht="12.75" x14ac:dyDescent="0.2"/>
    <row r="25" spans="1:9" s="1" customFormat="1" ht="13.5" thickBot="1" x14ac:dyDescent="0.25"/>
    <row r="26" spans="1:9" x14ac:dyDescent="0.25">
      <c r="A26" s="1"/>
      <c r="B26" s="5" t="s">
        <v>29</v>
      </c>
      <c r="C26" s="12"/>
      <c r="D26" s="12"/>
      <c r="E26" s="16"/>
      <c r="F26" s="1"/>
      <c r="G26" s="1"/>
      <c r="H26" s="1"/>
      <c r="I26" s="1"/>
    </row>
    <row r="27" spans="1:9" x14ac:dyDescent="0.25">
      <c r="A27" s="1"/>
      <c r="B27" s="6" t="s">
        <v>7</v>
      </c>
      <c r="C27" s="30"/>
      <c r="D27" s="30"/>
      <c r="E27" s="17"/>
      <c r="F27" s="1"/>
      <c r="G27" s="1"/>
      <c r="H27" s="1"/>
      <c r="I27" s="1"/>
    </row>
    <row r="28" spans="1:9" ht="41.65" customHeight="1" x14ac:dyDescent="0.25">
      <c r="A28" s="1"/>
      <c r="B28" s="6"/>
      <c r="C28" s="95" t="s">
        <v>75</v>
      </c>
      <c r="D28" s="95"/>
      <c r="E28" s="96"/>
      <c r="F28" s="1"/>
      <c r="G28" s="1"/>
      <c r="H28" s="1"/>
      <c r="I28" s="1"/>
    </row>
    <row r="29" spans="1:9" x14ac:dyDescent="0.25">
      <c r="A29" s="1"/>
      <c r="B29" s="6" t="s">
        <v>8</v>
      </c>
      <c r="C29" s="30"/>
      <c r="D29" s="30"/>
      <c r="E29" s="17"/>
      <c r="F29" s="1"/>
      <c r="H29" s="1"/>
      <c r="I29" s="1"/>
    </row>
    <row r="30" spans="1:9" ht="79.900000000000006" customHeight="1" x14ac:dyDescent="0.25">
      <c r="A30" s="1"/>
      <c r="B30" s="7"/>
      <c r="C30" s="95" t="s">
        <v>71</v>
      </c>
      <c r="D30" s="95"/>
      <c r="E30" s="96"/>
      <c r="F30" s="1"/>
      <c r="G30" s="1"/>
      <c r="H30" s="1"/>
      <c r="I30" s="1"/>
    </row>
    <row r="31" spans="1:9" ht="8.4499999999999993" customHeight="1" x14ac:dyDescent="0.25">
      <c r="A31" s="1"/>
      <c r="B31" s="7"/>
      <c r="C31" s="97"/>
      <c r="D31" s="97"/>
      <c r="E31" s="98"/>
      <c r="F31" s="1"/>
      <c r="G31" s="1"/>
      <c r="H31" s="1"/>
      <c r="I31" s="1"/>
    </row>
    <row r="32" spans="1:9" ht="25.7" customHeight="1" x14ac:dyDescent="0.25">
      <c r="A32" s="1"/>
      <c r="B32" s="6" t="s">
        <v>72</v>
      </c>
      <c r="C32" s="30"/>
      <c r="D32" s="30"/>
      <c r="E32" s="17"/>
      <c r="F32" s="1"/>
      <c r="G32" s="1"/>
      <c r="H32" s="1"/>
      <c r="I32" s="1"/>
    </row>
    <row r="33" spans="1:9" ht="38.25" customHeight="1" x14ac:dyDescent="0.25">
      <c r="A33" s="1"/>
      <c r="B33" s="7"/>
      <c r="C33" s="95" t="s">
        <v>73</v>
      </c>
      <c r="D33" s="95"/>
      <c r="E33" s="96"/>
      <c r="F33" s="1"/>
      <c r="G33" s="1"/>
      <c r="H33" s="1"/>
      <c r="I33" s="1"/>
    </row>
    <row r="34" spans="1:9" ht="20.45" customHeight="1" x14ac:dyDescent="0.25">
      <c r="A34" s="1"/>
      <c r="B34" s="6" t="s">
        <v>74</v>
      </c>
      <c r="C34" s="31"/>
      <c r="D34" s="31"/>
      <c r="E34" s="18"/>
      <c r="F34" s="1"/>
      <c r="G34" s="1"/>
      <c r="H34" s="1"/>
      <c r="I34" s="1"/>
    </row>
    <row r="35" spans="1:9" ht="21.95" customHeight="1" x14ac:dyDescent="0.25">
      <c r="A35" s="1"/>
      <c r="B35" s="6" t="s">
        <v>9</v>
      </c>
      <c r="C35" s="30" t="s">
        <v>76</v>
      </c>
      <c r="D35" s="30"/>
      <c r="E35" s="17"/>
      <c r="F35" s="1"/>
      <c r="G35" s="1"/>
      <c r="H35" s="1"/>
      <c r="I35" s="1"/>
    </row>
    <row r="36" spans="1:9" ht="15.75" thickBot="1" x14ac:dyDescent="0.3">
      <c r="A36" s="1"/>
      <c r="B36" s="90"/>
      <c r="C36" s="91"/>
      <c r="D36" s="91"/>
      <c r="E36" s="92"/>
      <c r="F36" s="1"/>
      <c r="G36" s="1"/>
      <c r="H36" s="1"/>
      <c r="I36" s="1"/>
    </row>
    <row r="37" spans="1:9" s="1" customFormat="1" ht="12.75" x14ac:dyDescent="0.2"/>
    <row r="38" spans="1:9" s="1" customFormat="1" ht="13.5" thickBot="1" x14ac:dyDescent="0.25"/>
    <row r="39" spans="1:9" x14ac:dyDescent="0.25">
      <c r="A39" s="1"/>
      <c r="B39" s="5" t="s">
        <v>30</v>
      </c>
      <c r="C39" s="12"/>
      <c r="D39" s="12"/>
      <c r="E39" s="16"/>
      <c r="F39" s="1"/>
      <c r="G39" s="1"/>
      <c r="H39" s="1"/>
      <c r="I39" s="1"/>
    </row>
    <row r="40" spans="1:9" x14ac:dyDescent="0.25">
      <c r="A40" s="1"/>
      <c r="B40" s="6" t="s">
        <v>7</v>
      </c>
      <c r="C40" s="30"/>
      <c r="D40" s="30"/>
      <c r="E40" s="17"/>
      <c r="F40" s="1"/>
      <c r="G40" s="1"/>
      <c r="H40" s="1"/>
      <c r="I40" s="1"/>
    </row>
    <row r="41" spans="1:9" ht="48" customHeight="1" x14ac:dyDescent="0.25">
      <c r="A41" s="1"/>
      <c r="B41" s="6"/>
      <c r="C41" s="95" t="s">
        <v>75</v>
      </c>
      <c r="D41" s="95"/>
      <c r="E41" s="96"/>
      <c r="F41" s="1"/>
      <c r="G41" s="1"/>
      <c r="H41" s="1"/>
      <c r="I41" s="1"/>
    </row>
    <row r="42" spans="1:9" x14ac:dyDescent="0.25">
      <c r="A42" s="1"/>
      <c r="B42" s="6" t="s">
        <v>8</v>
      </c>
      <c r="C42" s="30"/>
      <c r="D42" s="30"/>
      <c r="E42" s="17"/>
      <c r="F42" s="1"/>
      <c r="H42" s="1"/>
      <c r="I42" s="1"/>
    </row>
    <row r="43" spans="1:9" ht="80.45" customHeight="1" x14ac:dyDescent="0.25">
      <c r="A43" s="1"/>
      <c r="B43" s="7"/>
      <c r="C43" s="95" t="s">
        <v>71</v>
      </c>
      <c r="D43" s="95"/>
      <c r="E43" s="96"/>
      <c r="F43" s="1"/>
      <c r="G43" s="1"/>
      <c r="H43" s="1"/>
      <c r="I43" s="1"/>
    </row>
    <row r="44" spans="1:9" ht="8.4499999999999993" customHeight="1" x14ac:dyDescent="0.25">
      <c r="A44" s="1"/>
      <c r="B44" s="7"/>
      <c r="C44" s="97"/>
      <c r="D44" s="97"/>
      <c r="E44" s="98"/>
      <c r="F44" s="1"/>
      <c r="G44" s="1"/>
      <c r="H44" s="1"/>
      <c r="I44" s="1"/>
    </row>
    <row r="45" spans="1:9" ht="25.7" customHeight="1" x14ac:dyDescent="0.25">
      <c r="A45" s="1"/>
      <c r="B45" s="6" t="s">
        <v>72</v>
      </c>
      <c r="C45" s="30"/>
      <c r="D45" s="30"/>
      <c r="E45" s="17"/>
      <c r="F45" s="1"/>
      <c r="G45" s="1"/>
      <c r="H45" s="1"/>
      <c r="I45" s="1"/>
    </row>
    <row r="46" spans="1:9" ht="38.25" customHeight="1" x14ac:dyDescent="0.25">
      <c r="A46" s="1"/>
      <c r="B46" s="7"/>
      <c r="C46" s="93" t="s">
        <v>73</v>
      </c>
      <c r="D46" s="93"/>
      <c r="E46" s="94"/>
      <c r="F46" s="1"/>
      <c r="G46" s="1"/>
      <c r="H46" s="1"/>
      <c r="I46" s="1"/>
    </row>
    <row r="47" spans="1:9" ht="18.399999999999999" customHeight="1" x14ac:dyDescent="0.25">
      <c r="A47" s="1"/>
      <c r="B47" s="6" t="s">
        <v>74</v>
      </c>
      <c r="C47" s="31"/>
      <c r="D47" s="31"/>
      <c r="E47" s="18"/>
      <c r="F47" s="1"/>
      <c r="G47" s="1"/>
      <c r="H47" s="1"/>
      <c r="I47" s="1"/>
    </row>
    <row r="48" spans="1:9" ht="22.7" customHeight="1" x14ac:dyDescent="0.25">
      <c r="A48" s="1"/>
      <c r="B48" s="6" t="s">
        <v>9</v>
      </c>
      <c r="C48" s="30" t="s">
        <v>76</v>
      </c>
      <c r="D48" s="30"/>
      <c r="E48" s="17"/>
      <c r="F48" s="1"/>
      <c r="G48" s="1"/>
      <c r="H48" s="1"/>
      <c r="I48" s="1"/>
    </row>
    <row r="49" spans="1:9" ht="15.75" thickBot="1" x14ac:dyDescent="0.3">
      <c r="A49" s="1"/>
      <c r="B49" s="8"/>
      <c r="C49" s="13"/>
      <c r="D49" s="13"/>
      <c r="E49" s="19"/>
      <c r="F49" s="1"/>
      <c r="G49" s="1"/>
      <c r="H49" s="1"/>
      <c r="I49" s="1"/>
    </row>
    <row r="50" spans="1:9" x14ac:dyDescent="0.25">
      <c r="A50" s="2"/>
      <c r="B50" s="23"/>
      <c r="C50" s="11"/>
      <c r="D50" s="21"/>
      <c r="E50" s="15"/>
      <c r="F50" s="4"/>
      <c r="G50" s="4"/>
      <c r="H50" s="20"/>
      <c r="I50" s="20"/>
    </row>
  </sheetData>
  <autoFilter ref="A8:I9"/>
  <mergeCells count="19">
    <mergeCell ref="C15:E15"/>
    <mergeCell ref="C28:E28"/>
    <mergeCell ref="C41:E41"/>
    <mergeCell ref="C43:E43"/>
    <mergeCell ref="C44:E44"/>
    <mergeCell ref="A5:B5"/>
    <mergeCell ref="A6:B6"/>
    <mergeCell ref="B1:H1"/>
    <mergeCell ref="A3:B3"/>
    <mergeCell ref="C3:E3"/>
    <mergeCell ref="A4:B4"/>
    <mergeCell ref="C4:E4"/>
    <mergeCell ref="C46:E46"/>
    <mergeCell ref="C17:E17"/>
    <mergeCell ref="C18:E18"/>
    <mergeCell ref="C20:E20"/>
    <mergeCell ref="C30:E30"/>
    <mergeCell ref="C31:E31"/>
    <mergeCell ref="C33:E33"/>
  </mergeCells>
  <pageMargins left="0.70866141732283472" right="0.70866141732283472" top="0.74803149606299213" bottom="0.74803149606299213" header="0.31496062992125984" footer="0.31496062992125984"/>
  <pageSetup paperSize="5" scale="80" orientation="landscape" horizontalDpi="4294967295" verticalDpi="4294967295"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4"/>
  <sheetViews>
    <sheetView workbookViewId="0">
      <selection activeCell="C4" sqref="C4:G4"/>
    </sheetView>
  </sheetViews>
  <sheetFormatPr baseColWidth="10" defaultRowHeight="15" x14ac:dyDescent="0.25"/>
  <cols>
    <col min="1" max="1" width="9.140625" customWidth="1"/>
    <col min="3" max="3" width="52.7109375" customWidth="1"/>
    <col min="6" max="6" width="12.42578125" customWidth="1"/>
    <col min="7" max="7" width="15.5703125" customWidth="1"/>
    <col min="9" max="9" width="13.140625" bestFit="1" customWidth="1"/>
  </cols>
  <sheetData>
    <row r="1" spans="1:13" ht="16.5" thickBot="1" x14ac:dyDescent="0.3">
      <c r="A1" s="111" t="s">
        <v>31</v>
      </c>
      <c r="B1" s="112"/>
      <c r="C1" s="112"/>
      <c r="D1" s="112"/>
      <c r="E1" s="112"/>
      <c r="F1" s="113"/>
      <c r="G1" s="44" t="s">
        <v>66</v>
      </c>
    </row>
    <row r="2" spans="1:13" ht="15.75" thickBot="1" x14ac:dyDescent="0.3">
      <c r="A2" s="45"/>
      <c r="B2" s="46"/>
      <c r="C2" s="46"/>
      <c r="D2" s="46"/>
      <c r="E2" s="46"/>
      <c r="F2" s="46"/>
      <c r="G2" s="47"/>
    </row>
    <row r="3" spans="1:13" ht="15.75" thickBot="1" x14ac:dyDescent="0.3">
      <c r="A3" s="106" t="s">
        <v>32</v>
      </c>
      <c r="B3" s="106"/>
      <c r="C3" s="110" t="s">
        <v>10</v>
      </c>
      <c r="D3" s="110"/>
      <c r="E3" s="110"/>
      <c r="F3" s="110"/>
      <c r="G3" s="110"/>
    </row>
    <row r="4" spans="1:13" ht="15.75" thickBot="1" x14ac:dyDescent="0.3">
      <c r="A4" s="106" t="s">
        <v>33</v>
      </c>
      <c r="B4" s="106"/>
      <c r="C4" s="107" t="s">
        <v>11</v>
      </c>
      <c r="D4" s="107"/>
      <c r="E4" s="107"/>
      <c r="F4" s="107"/>
      <c r="G4" s="107"/>
    </row>
    <row r="5" spans="1:13" ht="15.75" thickBot="1" x14ac:dyDescent="0.3">
      <c r="A5" s="106" t="s">
        <v>34</v>
      </c>
      <c r="B5" s="106"/>
      <c r="C5" s="107" t="s">
        <v>35</v>
      </c>
      <c r="D5" s="107"/>
      <c r="E5" s="107"/>
      <c r="F5" s="107"/>
      <c r="G5" s="107"/>
    </row>
    <row r="6" spans="1:13" ht="15.75" thickBot="1" x14ac:dyDescent="0.3">
      <c r="A6" s="106" t="s">
        <v>36</v>
      </c>
      <c r="B6" s="106"/>
      <c r="C6" s="107" t="s">
        <v>35</v>
      </c>
      <c r="D6" s="107"/>
      <c r="E6" s="107"/>
      <c r="F6" s="107"/>
      <c r="G6" s="107"/>
    </row>
    <row r="7" spans="1:13" ht="15.75" thickBot="1" x14ac:dyDescent="0.3">
      <c r="A7" s="108" t="s">
        <v>37</v>
      </c>
      <c r="B7" s="108"/>
      <c r="C7" s="109" t="s">
        <v>38</v>
      </c>
      <c r="D7" s="109"/>
      <c r="E7" s="109"/>
      <c r="F7" s="109"/>
      <c r="G7" s="109"/>
    </row>
    <row r="8" spans="1:13" ht="15.75" thickBot="1" x14ac:dyDescent="0.3">
      <c r="A8" s="106" t="s">
        <v>39</v>
      </c>
      <c r="B8" s="106"/>
      <c r="C8" s="110" t="s">
        <v>42</v>
      </c>
      <c r="D8" s="110"/>
      <c r="E8" s="110"/>
      <c r="F8" s="110"/>
      <c r="G8" s="110"/>
    </row>
    <row r="9" spans="1:13" x14ac:dyDescent="0.25">
      <c r="A9" s="102"/>
      <c r="B9" s="103"/>
      <c r="C9" s="103"/>
      <c r="D9" s="103"/>
      <c r="E9" s="103"/>
      <c r="F9" s="103"/>
      <c r="G9" s="104"/>
    </row>
    <row r="10" spans="1:13" ht="57" x14ac:dyDescent="0.25">
      <c r="A10" s="32" t="s">
        <v>4</v>
      </c>
      <c r="B10" s="32" t="s">
        <v>6</v>
      </c>
      <c r="C10" s="32" t="s">
        <v>14</v>
      </c>
      <c r="D10" s="33" t="s">
        <v>40</v>
      </c>
      <c r="E10" s="32" t="s">
        <v>15</v>
      </c>
      <c r="F10" s="84" t="s">
        <v>18</v>
      </c>
      <c r="G10" s="84" t="s">
        <v>17</v>
      </c>
      <c r="I10" s="86"/>
      <c r="J10" s="34"/>
      <c r="K10" s="34"/>
      <c r="L10" s="34"/>
    </row>
    <row r="11" spans="1:13" s="34" customFormat="1" x14ac:dyDescent="0.25">
      <c r="A11" s="35">
        <v>1</v>
      </c>
      <c r="B11" s="80" t="s">
        <v>21</v>
      </c>
      <c r="C11" s="81" t="s">
        <v>25</v>
      </c>
      <c r="D11" s="83" t="s">
        <v>41</v>
      </c>
      <c r="E11" s="26" t="s">
        <v>16</v>
      </c>
      <c r="F11" s="85">
        <v>30000</v>
      </c>
      <c r="G11" s="82">
        <v>25</v>
      </c>
      <c r="H11" s="36">
        <f t="shared" ref="H11:H13" si="0">F11*G11</f>
        <v>750000</v>
      </c>
      <c r="I11" s="87">
        <f>+G11*F11</f>
        <v>750000</v>
      </c>
      <c r="J11" s="37"/>
      <c r="K11" s="38"/>
    </row>
    <row r="12" spans="1:13" s="34" customFormat="1" x14ac:dyDescent="0.25">
      <c r="A12" s="35">
        <v>2</v>
      </c>
      <c r="B12" s="80" t="s">
        <v>24</v>
      </c>
      <c r="C12" s="81" t="s">
        <v>26</v>
      </c>
      <c r="D12" s="25" t="s">
        <v>41</v>
      </c>
      <c r="E12" s="26" t="s">
        <v>16</v>
      </c>
      <c r="F12" s="85">
        <v>14000</v>
      </c>
      <c r="G12" s="26">
        <v>25</v>
      </c>
      <c r="H12" s="36">
        <f t="shared" si="0"/>
        <v>350000</v>
      </c>
      <c r="I12" s="87">
        <f t="shared" ref="I12:I13" si="1">+G12*F12</f>
        <v>350000</v>
      </c>
      <c r="J12" s="37"/>
      <c r="K12" s="38"/>
    </row>
    <row r="13" spans="1:13" ht="30" x14ac:dyDescent="0.25">
      <c r="A13" s="39">
        <v>3</v>
      </c>
      <c r="B13" s="80" t="s">
        <v>27</v>
      </c>
      <c r="C13" s="81" t="s">
        <v>28</v>
      </c>
      <c r="D13" s="83" t="s">
        <v>41</v>
      </c>
      <c r="E13" s="26" t="s">
        <v>16</v>
      </c>
      <c r="F13" s="85">
        <v>16000</v>
      </c>
      <c r="G13" s="26">
        <v>25</v>
      </c>
      <c r="H13" s="36">
        <f t="shared" si="0"/>
        <v>400000</v>
      </c>
      <c r="I13" s="88">
        <f t="shared" si="1"/>
        <v>400000</v>
      </c>
      <c r="J13" s="37"/>
      <c r="K13" s="38"/>
      <c r="M13" s="34"/>
    </row>
    <row r="14" spans="1:13" x14ac:dyDescent="0.25">
      <c r="A14" s="105" t="s">
        <v>65</v>
      </c>
      <c r="B14" s="105"/>
      <c r="C14" s="105"/>
      <c r="D14" s="105"/>
      <c r="E14" s="105"/>
      <c r="F14" s="105"/>
      <c r="G14" s="40">
        <f>SUM(H11:H13)</f>
        <v>1500000</v>
      </c>
      <c r="I14" s="36">
        <f>+I13+I12+I11</f>
        <v>1500000</v>
      </c>
      <c r="J14" s="41"/>
      <c r="K14" s="42"/>
      <c r="L14" s="43"/>
    </row>
  </sheetData>
  <mergeCells count="15">
    <mergeCell ref="A5:B5"/>
    <mergeCell ref="C5:G5"/>
    <mergeCell ref="A1:F1"/>
    <mergeCell ref="A3:B3"/>
    <mergeCell ref="C3:G3"/>
    <mergeCell ref="A4:B4"/>
    <mergeCell ref="C4:G4"/>
    <mergeCell ref="A9:G9"/>
    <mergeCell ref="A14:F14"/>
    <mergeCell ref="A6:B6"/>
    <mergeCell ref="C6:G6"/>
    <mergeCell ref="A7:B7"/>
    <mergeCell ref="C7:G7"/>
    <mergeCell ref="A8:B8"/>
    <mergeCell ref="C8:G8"/>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4"/>
  <sheetViews>
    <sheetView workbookViewId="0">
      <selection activeCell="S10" sqref="S10"/>
    </sheetView>
  </sheetViews>
  <sheetFormatPr baseColWidth="10" defaultColWidth="11.42578125" defaultRowHeight="15" x14ac:dyDescent="0.25"/>
  <cols>
    <col min="1" max="1" width="3.140625" customWidth="1"/>
    <col min="2" max="2" width="3.42578125" customWidth="1"/>
    <col min="3" max="4" width="3.5703125" customWidth="1"/>
    <col min="5" max="5" width="3.42578125" customWidth="1"/>
    <col min="6" max="6" width="13.42578125" customWidth="1"/>
    <col min="7" max="8" width="3" customWidth="1"/>
    <col min="9" max="9" width="2.85546875" customWidth="1"/>
    <col min="10" max="10" width="3" customWidth="1"/>
    <col min="11" max="11" width="2.7109375" customWidth="1"/>
    <col min="12" max="12" width="3.140625" customWidth="1"/>
    <col min="13" max="13" width="2.7109375" customWidth="1"/>
    <col min="14" max="14" width="3.7109375" customWidth="1"/>
    <col min="15" max="15" width="14.42578125" customWidth="1"/>
    <col min="16" max="16" width="7.85546875" customWidth="1"/>
    <col min="17" max="17" width="13.28515625" customWidth="1"/>
  </cols>
  <sheetData>
    <row r="1" spans="1:17" ht="15.75" thickBot="1" x14ac:dyDescent="0.3">
      <c r="A1" s="143" t="s">
        <v>2</v>
      </c>
      <c r="B1" s="143"/>
      <c r="C1" s="143"/>
      <c r="D1" s="144">
        <v>2022</v>
      </c>
      <c r="E1" s="144"/>
      <c r="F1" s="48"/>
      <c r="G1" s="48"/>
      <c r="H1" s="49"/>
      <c r="I1" s="49"/>
      <c r="J1" s="49"/>
      <c r="K1" s="49"/>
      <c r="L1" s="49"/>
      <c r="M1" s="49"/>
      <c r="N1" s="49"/>
      <c r="O1" s="50"/>
      <c r="P1" s="145" t="s">
        <v>43</v>
      </c>
      <c r="Q1" s="145"/>
    </row>
    <row r="2" spans="1:17" ht="15.75" thickBot="1" x14ac:dyDescent="0.3">
      <c r="A2" s="51"/>
      <c r="B2" s="52"/>
      <c r="C2" s="52"/>
      <c r="D2" s="52"/>
      <c r="E2" s="52"/>
      <c r="F2" s="52"/>
      <c r="G2" s="53"/>
      <c r="H2" s="54"/>
      <c r="I2" s="54"/>
      <c r="J2" s="54"/>
      <c r="K2" s="54"/>
      <c r="L2" s="54"/>
      <c r="M2" s="54"/>
      <c r="N2" s="54"/>
      <c r="O2" s="52"/>
      <c r="P2" s="145"/>
      <c r="Q2" s="145"/>
    </row>
    <row r="3" spans="1:17" ht="15.75" thickBot="1" x14ac:dyDescent="0.3">
      <c r="A3" s="51"/>
      <c r="B3" s="52"/>
      <c r="C3" s="52"/>
      <c r="D3" s="52"/>
      <c r="E3" s="52"/>
      <c r="F3" s="52"/>
      <c r="G3" s="53"/>
      <c r="H3" s="52"/>
      <c r="I3" s="52"/>
      <c r="J3" s="52"/>
      <c r="K3" s="52"/>
      <c r="L3" s="52"/>
      <c r="M3" s="52"/>
      <c r="N3" s="52"/>
      <c r="O3" s="52"/>
      <c r="P3" s="52"/>
      <c r="Q3" s="55"/>
    </row>
    <row r="4" spans="1:17" ht="15.75" thickBot="1" x14ac:dyDescent="0.3">
      <c r="A4" s="146" t="s">
        <v>44</v>
      </c>
      <c r="B4" s="146"/>
      <c r="C4" s="146"/>
      <c r="D4" s="146"/>
      <c r="E4" s="146"/>
      <c r="F4" s="146"/>
      <c r="G4" s="142" t="s">
        <v>10</v>
      </c>
      <c r="H4" s="142"/>
      <c r="I4" s="142"/>
      <c r="J4" s="142"/>
      <c r="K4" s="142"/>
      <c r="L4" s="142"/>
      <c r="M4" s="142"/>
      <c r="N4" s="142"/>
      <c r="O4" s="142"/>
      <c r="P4" s="142"/>
      <c r="Q4" s="142"/>
    </row>
    <row r="5" spans="1:17" ht="15.75" thickBot="1" x14ac:dyDescent="0.3">
      <c r="A5" s="141" t="s">
        <v>33</v>
      </c>
      <c r="B5" s="141"/>
      <c r="C5" s="141"/>
      <c r="D5" s="141"/>
      <c r="E5" s="141"/>
      <c r="F5" s="141"/>
      <c r="G5" s="142" t="s">
        <v>11</v>
      </c>
      <c r="H5" s="142"/>
      <c r="I5" s="142"/>
      <c r="J5" s="142"/>
      <c r="K5" s="142"/>
      <c r="L5" s="142"/>
      <c r="M5" s="142"/>
      <c r="N5" s="142"/>
      <c r="O5" s="142"/>
      <c r="P5" s="142"/>
      <c r="Q5" s="142"/>
    </row>
    <row r="6" spans="1:17" ht="15.75" thickBot="1" x14ac:dyDescent="0.3">
      <c r="A6" s="124" t="s">
        <v>34</v>
      </c>
      <c r="B6" s="125"/>
      <c r="C6" s="125"/>
      <c r="D6" s="125"/>
      <c r="E6" s="125"/>
      <c r="F6" s="126"/>
      <c r="G6" s="127" t="s">
        <v>35</v>
      </c>
      <c r="H6" s="127"/>
      <c r="I6" s="127"/>
      <c r="J6" s="127"/>
      <c r="K6" s="127"/>
      <c r="L6" s="127"/>
      <c r="M6" s="127"/>
      <c r="N6" s="127"/>
      <c r="O6" s="127"/>
      <c r="P6" s="127"/>
      <c r="Q6" s="127"/>
    </row>
    <row r="7" spans="1:17" ht="15.75" thickBot="1" x14ac:dyDescent="0.3">
      <c r="A7" s="128" t="s">
        <v>36</v>
      </c>
      <c r="B7" s="129"/>
      <c r="C7" s="129"/>
      <c r="D7" s="129"/>
      <c r="E7" s="129"/>
      <c r="F7" s="130"/>
      <c r="G7" s="131" t="s">
        <v>35</v>
      </c>
      <c r="H7" s="131"/>
      <c r="I7" s="131"/>
      <c r="J7" s="131"/>
      <c r="K7" s="131"/>
      <c r="L7" s="131"/>
      <c r="M7" s="131"/>
      <c r="N7" s="131"/>
      <c r="O7" s="131"/>
      <c r="P7" s="131"/>
      <c r="Q7" s="131"/>
    </row>
    <row r="8" spans="1:17" ht="15.75" thickBot="1" x14ac:dyDescent="0.3">
      <c r="A8" s="132" t="s">
        <v>45</v>
      </c>
      <c r="B8" s="132"/>
      <c r="C8" s="132"/>
      <c r="D8" s="132"/>
      <c r="E8" s="132"/>
      <c r="F8" s="132"/>
      <c r="G8" s="132"/>
      <c r="H8" s="132"/>
      <c r="I8" s="132"/>
      <c r="J8" s="132"/>
      <c r="K8" s="132"/>
      <c r="L8" s="132"/>
      <c r="M8" s="132"/>
      <c r="N8" s="132"/>
      <c r="O8" s="132"/>
      <c r="P8" s="132"/>
      <c r="Q8" s="132"/>
    </row>
    <row r="9" spans="1:17" ht="17.649999999999999" customHeight="1" x14ac:dyDescent="0.25">
      <c r="A9" s="133" t="s">
        <v>46</v>
      </c>
      <c r="B9" s="133"/>
      <c r="C9" s="133"/>
      <c r="D9" s="133"/>
      <c r="E9" s="133"/>
      <c r="F9" s="133"/>
      <c r="G9" s="133"/>
      <c r="H9" s="133"/>
      <c r="I9" s="133"/>
      <c r="J9" s="133"/>
      <c r="K9" s="133"/>
      <c r="L9" s="133"/>
      <c r="M9" s="133"/>
      <c r="N9" s="133"/>
      <c r="O9" s="133"/>
      <c r="P9" s="133"/>
      <c r="Q9" s="133"/>
    </row>
    <row r="10" spans="1:17" ht="57.2" customHeight="1" x14ac:dyDescent="0.25">
      <c r="A10" s="134" t="s">
        <v>67</v>
      </c>
      <c r="B10" s="135"/>
      <c r="C10" s="135"/>
      <c r="D10" s="135"/>
      <c r="E10" s="135"/>
      <c r="F10" s="135"/>
      <c r="G10" s="135"/>
      <c r="H10" s="135"/>
      <c r="I10" s="135"/>
      <c r="J10" s="135"/>
      <c r="K10" s="135"/>
      <c r="L10" s="135"/>
      <c r="M10" s="135"/>
      <c r="N10" s="135"/>
      <c r="O10" s="135"/>
      <c r="P10" s="135"/>
      <c r="Q10" s="136"/>
    </row>
    <row r="11" spans="1:17" ht="15.75" thickBot="1" x14ac:dyDescent="0.3">
      <c r="A11" s="56"/>
      <c r="B11" s="57"/>
      <c r="C11" s="57"/>
      <c r="D11" s="57"/>
      <c r="E11" s="57"/>
      <c r="F11" s="57"/>
      <c r="G11" s="58"/>
      <c r="H11" s="57"/>
      <c r="I11" s="57"/>
      <c r="J11" s="57"/>
      <c r="K11" s="57"/>
      <c r="L11" s="57"/>
      <c r="M11" s="57"/>
      <c r="N11" s="57"/>
      <c r="O11" s="57"/>
      <c r="P11" s="57"/>
      <c r="Q11" s="59"/>
    </row>
    <row r="12" spans="1:17" ht="15.75" thickBot="1" x14ac:dyDescent="0.3">
      <c r="A12" s="137" t="s">
        <v>47</v>
      </c>
      <c r="B12" s="137"/>
      <c r="C12" s="137"/>
      <c r="D12" s="137"/>
      <c r="E12" s="137"/>
      <c r="F12" s="137"/>
      <c r="G12" s="137"/>
      <c r="H12" s="137"/>
      <c r="I12" s="137"/>
      <c r="J12" s="137"/>
      <c r="K12" s="137"/>
      <c r="L12" s="137"/>
      <c r="M12" s="137"/>
      <c r="N12" s="137"/>
      <c r="O12" s="137"/>
      <c r="P12" s="137"/>
      <c r="Q12" s="137"/>
    </row>
    <row r="13" spans="1:17" ht="15.75" thickBot="1" x14ac:dyDescent="0.3">
      <c r="A13" s="138" t="s">
        <v>48</v>
      </c>
      <c r="B13" s="138"/>
      <c r="C13" s="138"/>
      <c r="D13" s="138"/>
      <c r="E13" s="138"/>
      <c r="F13" s="138"/>
      <c r="G13" s="138"/>
      <c r="H13" s="138"/>
      <c r="I13" s="138"/>
      <c r="J13" s="138"/>
      <c r="K13" s="138"/>
      <c r="L13" s="138"/>
      <c r="M13" s="138"/>
      <c r="N13" s="138"/>
      <c r="O13" s="139" t="s">
        <v>49</v>
      </c>
      <c r="P13" s="139"/>
      <c r="Q13" s="140" t="s">
        <v>50</v>
      </c>
    </row>
    <row r="14" spans="1:17" ht="26.1" customHeight="1" thickBot="1" x14ac:dyDescent="0.3">
      <c r="A14" s="60" t="s">
        <v>51</v>
      </c>
      <c r="B14" s="61" t="s">
        <v>52</v>
      </c>
      <c r="C14" s="61" t="s">
        <v>53</v>
      </c>
      <c r="D14" s="61" t="s">
        <v>54</v>
      </c>
      <c r="E14" s="61" t="s">
        <v>55</v>
      </c>
      <c r="F14" s="61" t="s">
        <v>56</v>
      </c>
      <c r="G14" s="61" t="s">
        <v>57</v>
      </c>
      <c r="H14" s="61" t="s">
        <v>58</v>
      </c>
      <c r="I14" s="61" t="s">
        <v>59</v>
      </c>
      <c r="J14" s="61" t="s">
        <v>60</v>
      </c>
      <c r="K14" s="61" t="s">
        <v>60</v>
      </c>
      <c r="L14" s="61" t="s">
        <v>61</v>
      </c>
      <c r="M14" s="62" t="s">
        <v>62</v>
      </c>
      <c r="N14" s="63" t="s">
        <v>63</v>
      </c>
      <c r="O14" s="139"/>
      <c r="P14" s="139"/>
      <c r="Q14" s="140"/>
    </row>
    <row r="15" spans="1:17" ht="27.75" customHeight="1" x14ac:dyDescent="0.25">
      <c r="A15" s="64">
        <v>1</v>
      </c>
      <c r="B15" s="65">
        <v>0</v>
      </c>
      <c r="C15" s="65">
        <v>0</v>
      </c>
      <c r="D15" s="65">
        <v>1</v>
      </c>
      <c r="E15" s="65">
        <v>0</v>
      </c>
      <c r="F15" s="66">
        <v>4901</v>
      </c>
      <c r="G15" s="65">
        <v>3</v>
      </c>
      <c r="H15" s="65">
        <v>4</v>
      </c>
      <c r="I15" s="65">
        <v>4</v>
      </c>
      <c r="J15" s="65">
        <v>3</v>
      </c>
      <c r="K15" s="65">
        <v>5</v>
      </c>
      <c r="L15" s="65">
        <v>0</v>
      </c>
      <c r="M15" s="67">
        <v>1</v>
      </c>
      <c r="N15" s="68">
        <v>1.1000000000000001</v>
      </c>
      <c r="O15" s="122" t="s">
        <v>70</v>
      </c>
      <c r="P15" s="123"/>
      <c r="Q15" s="69">
        <v>1500000</v>
      </c>
    </row>
    <row r="16" spans="1:17" x14ac:dyDescent="0.25">
      <c r="A16" s="70"/>
      <c r="B16" s="71"/>
      <c r="C16" s="71"/>
      <c r="D16" s="71"/>
      <c r="E16" s="71"/>
      <c r="F16" s="71"/>
      <c r="G16" s="71"/>
      <c r="H16" s="71"/>
      <c r="I16" s="71"/>
      <c r="J16" s="71"/>
      <c r="K16" s="71"/>
      <c r="L16" s="71"/>
      <c r="M16" s="72"/>
      <c r="N16" s="73"/>
      <c r="O16" s="117"/>
      <c r="P16" s="117"/>
      <c r="Q16" s="74"/>
    </row>
    <row r="17" spans="1:17" x14ac:dyDescent="0.25">
      <c r="A17" s="70"/>
      <c r="B17" s="71"/>
      <c r="C17" s="71"/>
      <c r="D17" s="71"/>
      <c r="E17" s="71"/>
      <c r="F17" s="71"/>
      <c r="G17" s="71"/>
      <c r="H17" s="71"/>
      <c r="I17" s="71"/>
      <c r="J17" s="71"/>
      <c r="K17" s="71"/>
      <c r="L17" s="71"/>
      <c r="M17" s="72"/>
      <c r="N17" s="73"/>
      <c r="O17" s="118"/>
      <c r="P17" s="118"/>
      <c r="Q17" s="74"/>
    </row>
    <row r="18" spans="1:17" x14ac:dyDescent="0.25">
      <c r="A18" s="70"/>
      <c r="B18" s="71"/>
      <c r="C18" s="71"/>
      <c r="D18" s="71"/>
      <c r="E18" s="71"/>
      <c r="F18" s="71"/>
      <c r="G18" s="71"/>
      <c r="H18" s="71"/>
      <c r="I18" s="71"/>
      <c r="J18" s="71"/>
      <c r="K18" s="71"/>
      <c r="L18" s="71"/>
      <c r="M18" s="72"/>
      <c r="N18" s="73"/>
      <c r="O18" s="118"/>
      <c r="P18" s="118"/>
      <c r="Q18" s="74"/>
    </row>
    <row r="19" spans="1:17" ht="15.75" thickBot="1" x14ac:dyDescent="0.3">
      <c r="A19" s="75"/>
      <c r="B19" s="76"/>
      <c r="C19" s="76"/>
      <c r="D19" s="76"/>
      <c r="E19" s="76"/>
      <c r="F19" s="76"/>
      <c r="G19" s="76"/>
      <c r="H19" s="76"/>
      <c r="I19" s="76"/>
      <c r="J19" s="76"/>
      <c r="K19" s="76"/>
      <c r="L19" s="76"/>
      <c r="M19" s="77"/>
      <c r="N19" s="76"/>
      <c r="O19" s="119"/>
      <c r="P19" s="119"/>
      <c r="Q19" s="78"/>
    </row>
    <row r="20" spans="1:17" ht="15.75" thickBot="1" x14ac:dyDescent="0.3">
      <c r="A20" s="120" t="s">
        <v>68</v>
      </c>
      <c r="B20" s="120"/>
      <c r="C20" s="120"/>
      <c r="D20" s="120"/>
      <c r="E20" s="120"/>
      <c r="F20" s="120"/>
      <c r="G20" s="120"/>
      <c r="H20" s="120"/>
      <c r="I20" s="120"/>
      <c r="J20" s="120"/>
      <c r="K20" s="120"/>
      <c r="L20" s="120"/>
      <c r="M20" s="120"/>
      <c r="N20" s="120"/>
      <c r="O20" s="120"/>
      <c r="P20" s="120"/>
      <c r="Q20" s="79">
        <f>SUM(Q15:Q19)</f>
        <v>1500000</v>
      </c>
    </row>
    <row r="21" spans="1:17" ht="15.75" thickBot="1" x14ac:dyDescent="0.3">
      <c r="A21" s="121"/>
      <c r="B21" s="121"/>
      <c r="C21" s="121"/>
      <c r="D21" s="121"/>
      <c r="E21" s="121"/>
      <c r="F21" s="121"/>
      <c r="G21" s="121"/>
      <c r="H21" s="121"/>
      <c r="I21" s="121"/>
      <c r="J21" s="121"/>
      <c r="K21" s="121"/>
      <c r="L21" s="121"/>
      <c r="M21" s="121"/>
      <c r="N21" s="121"/>
      <c r="O21" s="121"/>
      <c r="P21" s="121"/>
      <c r="Q21" s="121"/>
    </row>
    <row r="22" spans="1:17" ht="15.75" thickBot="1" x14ac:dyDescent="0.3">
      <c r="A22" s="114" t="s">
        <v>64</v>
      </c>
      <c r="B22" s="114"/>
      <c r="C22" s="114"/>
      <c r="D22" s="114"/>
      <c r="E22" s="114"/>
      <c r="F22" s="114"/>
      <c r="G22" s="115"/>
      <c r="H22" s="115"/>
      <c r="I22" s="115"/>
      <c r="J22" s="115"/>
      <c r="K22" s="115"/>
      <c r="L22" s="115"/>
      <c r="M22" s="115"/>
      <c r="N22" s="115"/>
      <c r="O22" s="115"/>
      <c r="P22" s="115"/>
      <c r="Q22" s="115"/>
    </row>
    <row r="23" spans="1:17" ht="15.75" thickBot="1" x14ac:dyDescent="0.3">
      <c r="A23" s="116" t="s">
        <v>69</v>
      </c>
      <c r="B23" s="116"/>
      <c r="C23" s="116"/>
      <c r="D23" s="116"/>
      <c r="E23" s="116"/>
      <c r="F23" s="116"/>
      <c r="G23" s="116"/>
      <c r="H23" s="116"/>
      <c r="I23" s="116"/>
      <c r="J23" s="116"/>
      <c r="K23" s="116"/>
      <c r="L23" s="116"/>
      <c r="M23" s="116"/>
      <c r="N23" s="116"/>
      <c r="O23" s="116"/>
      <c r="P23" s="116"/>
      <c r="Q23" s="116"/>
    </row>
    <row r="24" spans="1:17" ht="15.75" thickBot="1" x14ac:dyDescent="0.3">
      <c r="A24" s="116"/>
      <c r="B24" s="116"/>
      <c r="C24" s="116"/>
      <c r="D24" s="116"/>
      <c r="E24" s="116"/>
      <c r="F24" s="116"/>
      <c r="G24" s="116"/>
      <c r="H24" s="116"/>
      <c r="I24" s="116"/>
      <c r="J24" s="116"/>
      <c r="K24" s="116"/>
      <c r="L24" s="116"/>
      <c r="M24" s="116"/>
      <c r="N24" s="116"/>
      <c r="O24" s="116"/>
      <c r="P24" s="116"/>
      <c r="Q24" s="116"/>
    </row>
  </sheetData>
  <mergeCells count="28">
    <mergeCell ref="A5:F5"/>
    <mergeCell ref="G5:Q5"/>
    <mergeCell ref="A1:C1"/>
    <mergeCell ref="D1:E1"/>
    <mergeCell ref="P1:Q2"/>
    <mergeCell ref="A4:F4"/>
    <mergeCell ref="G4:Q4"/>
    <mergeCell ref="O15:P15"/>
    <mergeCell ref="A6:F6"/>
    <mergeCell ref="G6:Q6"/>
    <mergeCell ref="A7:F7"/>
    <mergeCell ref="G7:Q7"/>
    <mergeCell ref="A8:Q8"/>
    <mergeCell ref="A9:Q9"/>
    <mergeCell ref="A10:Q10"/>
    <mergeCell ref="A12:Q12"/>
    <mergeCell ref="A13:N13"/>
    <mergeCell ref="O13:P14"/>
    <mergeCell ref="Q13:Q14"/>
    <mergeCell ref="A22:F22"/>
    <mergeCell ref="G22:Q22"/>
    <mergeCell ref="A23:Q24"/>
    <mergeCell ref="O16:P16"/>
    <mergeCell ref="O17:P17"/>
    <mergeCell ref="O18:P18"/>
    <mergeCell ref="O19:P19"/>
    <mergeCell ref="A20:P20"/>
    <mergeCell ref="A21:Q2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vt:lpstr>
      <vt:lpstr>NOTA DE PEDIDO</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ELIAS QUINTAR</dc:creator>
  <cp:lastModifiedBy>Jimena</cp:lastModifiedBy>
  <cp:lastPrinted>2021-08-17T14:50:22Z</cp:lastPrinted>
  <dcterms:created xsi:type="dcterms:W3CDTF">2021-02-08T12:06:32Z</dcterms:created>
  <dcterms:modified xsi:type="dcterms:W3CDTF">2022-05-10T16:23:48Z</dcterms:modified>
</cp:coreProperties>
</file>