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3° trimestre 2022\DESC COMPLEJO\"/>
    </mc:Choice>
  </mc:AlternateContent>
  <xr:revisionPtr revIDLastSave="0" documentId="13_ncr:1_{A8C8FA09-044E-4611-969D-CB60BDE224EA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Trimestrales'!$A$9:$I$29</definedName>
    <definedName name="_xlnm.Print_Area" localSheetId="1">' NotaPedido'!$A$1:$K$32</definedName>
    <definedName name="_xlnm.Print_Area" localSheetId="2">'Autor Gastar'!$A$1:$Q$26</definedName>
    <definedName name="_xlnm.Print_Area" localSheetId="0">'Necesidades Trimestrales'!$E$9:$E$29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12" i="2"/>
  <c r="I27" i="1" l="1"/>
  <c r="I10" i="1" l="1"/>
  <c r="I11" i="1"/>
  <c r="I12" i="1"/>
  <c r="I13" i="1"/>
  <c r="I15" i="1"/>
  <c r="I14" i="1"/>
  <c r="I17" i="1"/>
  <c r="I16" i="1"/>
  <c r="I18" i="1"/>
  <c r="I21" i="1"/>
  <c r="I22" i="1"/>
  <c r="I23" i="1"/>
  <c r="I24" i="1"/>
  <c r="I25" i="1"/>
  <c r="I26" i="1"/>
  <c r="I19" i="1"/>
  <c r="I20" i="1"/>
  <c r="I28" i="1"/>
  <c r="I29" i="1"/>
  <c r="J32" i="2" l="1"/>
  <c r="Q22" i="3"/>
  <c r="A10" i="3" l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<sst xmlns="http://schemas.openxmlformats.org/spreadsheetml/2006/main" count="200" uniqueCount="136">
  <si>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</si>
  <si>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</si>
  <si>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</si>
  <si>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</si>
  <si>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</si>
  <si>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</si>
  <si>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</si>
  <si>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</si>
  <si>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</si>
  <si>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</si>
  <si>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</si>
  <si>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</si>
  <si>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</si>
  <si>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</si>
  <si>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</si>
  <si>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</si>
  <si>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</si>
  <si>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</si>
  <si>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</si>
  <si>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</si>
  <si>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</si>
  <si>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</si>
  <si>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</si>
  <si>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</si>
  <si>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</si>
  <si>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</si>
  <si>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</si>
  <si>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</si>
  <si>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</si>
  <si>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</si>
  <si>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</si>
  <si>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</si>
  <si>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</si>
  <si>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</si>
  <si>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</si>
  <si>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</si>
  <si>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</si>
  <si>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</si>
  <si>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</si>
  <si>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</si>
  <si>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</si>
  <si>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</si>
  <si>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</si>
  <si>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</si>
  <si>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</si>
  <si>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</si>
  <si>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</si>
  <si>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</si>
  <si>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</si>
  <si>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</si>
  <si>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</si>
  <si>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</si>
  <si>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</si>
  <si>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</si>
  <si>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</si>
  <si>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xxx/2022</t>
  </si>
  <si>
    <t>Semestral</t>
  </si>
  <si>
    <t>UNIDAD</t>
  </si>
  <si>
    <t>Adquisición de Descartable Complejo</t>
  </si>
  <si>
    <t>2.9.5-6286.5</t>
  </si>
  <si>
    <t>HEMOSTATICOS ABSORBIBLES; TIPO: SURGIEL, MEDIDA: 5 X 7,5 Cm, PRESENTACION: UNIDAD</t>
  </si>
  <si>
    <t>PROD. MEDICO/FARMACEUTICOS/LAB</t>
  </si>
  <si>
    <t>2.9.5-3020.3</t>
  </si>
  <si>
    <t>2.9.5-2161.473</t>
  </si>
  <si>
    <t>2.9.5-3020.8</t>
  </si>
  <si>
    <t>TROCAR DE PUNCION; USO: PUNCION TORAXICO, TIPO: N°8, CAMISA: SIN</t>
  </si>
  <si>
    <t>2.9.5-6700.2</t>
  </si>
  <si>
    <t>2.9.5-2161.83</t>
  </si>
  <si>
    <t>2.9.5-2161.82</t>
  </si>
  <si>
    <t>2.9.5-2161.391</t>
  </si>
  <si>
    <t>CATETERES/SONDAS; NUMERO: 1,8 FR X 30 CM , TIPO: EPICUTANEO PREMATURO</t>
  </si>
  <si>
    <t>CATETERES/SONDAS; NUMERO: 1,8 FR X 15 CM , TIPO: EPICUTANEO PREMATURO</t>
  </si>
  <si>
    <t>CATETERES/SONDAS; NUMERO: 2,0 FR X 30 CM, TIPO: EPICUTANEO PEDIATRICO</t>
  </si>
  <si>
    <t>CATETERES/SONDAS NUMERO 3 FR X 50 CM TIPO PICC PERCUTANEO CON INTRODUCTOR PELABLE</t>
  </si>
  <si>
    <t>CATETERES/SONDAS NUMERO 2 FR X 30 CM TIPO PICC PERCUTANEO CON INTRODUCTOR PELABLE</t>
  </si>
  <si>
    <t>FILTROS DE DESLUOCOTIZACION; USO: NEONATAL PEDIATRICO, CAPACIDAD DE FILTRADO: 1 UNIDAD DE GLOBULOS ROJOS, CAPACIDAD DEL FILTRO: LOGARITMO 4</t>
  </si>
  <si>
    <t>2.9.5-8436.8</t>
  </si>
  <si>
    <t>BOLSAS P/COLOSTOMIA; TIPO: DESCARTABLE ADHESIVA P/ ADULTOS, DIAMETRO DE ARO: SIN ARO</t>
  </si>
  <si>
    <t>BOLSAS P/COLOSTOMIA; TIPO: DESCARTABLE ADHESIVA PEDIATRICA, DIAMETRO: REGULABLE</t>
  </si>
  <si>
    <t>ELEMENTOS DESC. P/CIRUGIAS; TIPO: CAMPO QUIRURGICO 60 X 45 Cm, PRESENTACION: UNIDAD</t>
  </si>
  <si>
    <t>2.9.5-4198.93</t>
  </si>
  <si>
    <t>2.9.5-2161.587</t>
  </si>
  <si>
    <t>CATETERES/SONDAS; NUMERO: 2,0 FR X 15 CM, TIPO: EPICUTANEO PEDIATRICO</t>
  </si>
  <si>
    <t>2.9.5-2161.588</t>
  </si>
  <si>
    <t>2.9.5-2161.589</t>
  </si>
  <si>
    <t>2.9.5-2161.594</t>
  </si>
  <si>
    <t>2.9.5-2161.595</t>
  </si>
  <si>
    <t>CATETERES/SONDAS; NUMERO: 4 FR X 65 CM, TIPO: PICC PERCUTANEO CON INTRODUCTOR PELABLE</t>
  </si>
  <si>
    <t>2.9.5-2161.567</t>
  </si>
  <si>
    <t>CATETERES/SONDAS; NUMERO: 2,5, TIPO: UMBILICAL ARTERIAL, PRESENTACION: UNIDAD</t>
  </si>
  <si>
    <t>CATETERES/SONDAS; NUMERO: 3 FR, TIPO: UMBILICAL ARTERIAL, PRESENTACION: UNIDAD</t>
  </si>
  <si>
    <t>2.9.5-2161.569</t>
  </si>
  <si>
    <t>CATETERES/SONDAS; NUMERO: 3,5, TIPO: UMBILICAL ARTERIAL, PRESENTACION: UNIDAD</t>
  </si>
  <si>
    <t>CATETERES/SONDAS; NUMERO: 3,5 FR, TIPO: UMBILICAL VENOSO, PRESENTACION: UNIDAD</t>
  </si>
  <si>
    <t>2.9.5-2161.571</t>
  </si>
  <si>
    <t>CATETERES/SONDAS; NUMERO: 4 FR, TIPO: UMBILICAL VENOSO, PRESENTACION: UNIDAD</t>
  </si>
  <si>
    <t>2.9.5-2161.572</t>
  </si>
  <si>
    <t>CATETERES/SONDAS; NUMERO: 2,5 FR, TIPO: UMBILICAL VENOSO, PRESENTACION: UNIDAD</t>
  </si>
  <si>
    <t>2.9.5-2161.574</t>
  </si>
  <si>
    <t>CATETERES/SONDAS; NUMERO: 7 FR X 26 CM, TIPO: DOBLE J COOK</t>
  </si>
  <si>
    <t>SI</t>
  </si>
  <si>
    <t>Útiles Menores Médico, Quirúrgico y de Laboratorio</t>
  </si>
  <si>
    <t>Calidad Minima esperada:</t>
  </si>
  <si>
    <t>28-Maternidad Provincial 25 de Mayo</t>
  </si>
  <si>
    <t>169-Direccion Asistencial</t>
  </si>
  <si>
    <t>Servicio de Farmacia</t>
  </si>
  <si>
    <t xml:space="preserve">Para la adquisición de Descartables Complejos destinados al Servicio de Farmacia de la Maternidad Provincial 25 de Mayo. </t>
  </si>
  <si>
    <t>TIPO COLOPLAST -BOLSA PARA OSTOMIA-MODELO ALTERNA 8002</t>
  </si>
  <si>
    <t xml:space="preserve">Plazo de entrega: </t>
  </si>
  <si>
    <t xml:space="preserve">Mantenimiento: </t>
  </si>
  <si>
    <t>10(diez) dias habiles</t>
  </si>
  <si>
    <t>30(treinta) dias habiles</t>
  </si>
  <si>
    <r>
      <rPr>
        <b/>
        <sz val="10"/>
        <rFont val="Times New Roman"/>
        <family val="1"/>
      </rPr>
      <t>Lugar de Entrega</t>
    </r>
    <r>
      <rPr>
        <sz val="10"/>
        <rFont val="Times New Roman"/>
        <family val="1"/>
      </rPr>
      <t>:                  SERVICIO DE FARMACIA- DE 08:00 A 13:00HS., DEBIENDO CORRER LOS GASTOS DE FLETES, ACARREO, CARGA, DESCARGA Y SEGURO A CARGO DEL ADJUDICATARIO. HERNAN DE PÉDRAZA 1650- SAN FERNANDO DEL VALLE DE CATAMARCA</t>
    </r>
  </si>
  <si>
    <t>TIPO STERIDRAPE 1050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</si>
  <si>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 ITEMS 3  </t>
    </r>
  </si>
  <si>
    <t>Tipo COOK</t>
  </si>
  <si>
    <t>Lugar de Entrega:   SERVICIO DE FARMACIA- DE 08:00 A 13:00HS., DEBIENDO CORRER LOS GASTOS DE FLETES, ACARREO, CARGA, DESCARGA Y SEGURO A CARGO DEL ADJUDICATARIO. HERNAN DE PÉDRAZA 1650- SAN FERNANDO DEL VALLE DE CATAMARCA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</si>
  <si>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 SERVICIO DE FARMACIA- DE 08:00 A 13:00HS., DEBIENDO CORRER LOS GASTOS DE FLETES, ACARREO, CARGA, DESCARGA Y SEGURO A CARGO DEL ADJUDICATARIO. HERNAN DE PÉDRAZA 1650- SAN FERNANDO DEL VALLE DE CATAMARCA</t>
    </r>
  </si>
  <si>
    <r>
      <rPr>
        <b/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                                                                                                                                        10(diez) dias habiles</t>
    </r>
  </si>
  <si>
    <r>
      <rPr>
        <b/>
        <u/>
        <sz val="11"/>
        <rFont val="Times New Roman"/>
        <family val="1"/>
      </rPr>
      <t>Calidad Minima</t>
    </r>
    <r>
      <rPr>
        <b/>
        <sz val="11"/>
        <rFont val="Times New Roman"/>
        <family val="1"/>
      </rPr>
      <t xml:space="preserve"> esperada:</t>
    </r>
  </si>
  <si>
    <r>
      <rPr>
        <b/>
        <u/>
        <sz val="10"/>
        <rFont val="Times New Roman"/>
        <family val="1"/>
      </rPr>
      <t>Mantenimiento</t>
    </r>
    <r>
      <rPr>
        <sz val="10"/>
        <rFont val="Times New Roman"/>
        <family val="1"/>
      </rPr>
      <t>:                                                                                                                                                          30(treinta) dias habiles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</si>
  <si>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:ITEMS 4- </t>
    </r>
  </si>
  <si>
    <t>TIPO SILMAG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</si>
  <si>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DEL 5 AL 8 - DEL 12 AL 17</t>
    </r>
    <r>
      <rPr>
        <sz val="10"/>
        <rFont val="Times New Roman"/>
        <family val="1"/>
      </rPr>
      <t xml:space="preserve"> </t>
    </r>
  </si>
  <si>
    <r>
      <rPr>
        <b/>
        <sz val="10"/>
        <rFont val="Times New Roman"/>
        <family val="1"/>
      </rPr>
      <t>Lugar de Entrega</t>
    </r>
    <r>
      <rPr>
        <sz val="10"/>
        <rFont val="Times New Roman"/>
        <family val="1"/>
      </rPr>
      <t>:   SERVICIO DE FARMACIA- DE 08:00 A 13:00HS., DEBIENDO CORRER LOS GASTOS DE FLETES, ACARREO, CARGA, DESCARGA Y SEGURO A CARGO DEL ADJUDICATARIO. HERNAN DE PÉDRAZA 1650- SAN FERNANDO DEL VALLE DE CATAMARCA</t>
    </r>
  </si>
  <si>
    <r>
      <rPr>
        <b/>
        <u/>
        <sz val="10"/>
        <rFont val="Times New Roman"/>
        <family val="1"/>
      </rPr>
      <t>Plazo de entrega:</t>
    </r>
    <r>
      <rPr>
        <b/>
        <sz val="10"/>
        <rFont val="Times New Roman"/>
        <family val="1"/>
      </rPr>
      <t xml:space="preserve">  </t>
    </r>
    <r>
      <rPr>
        <sz val="10"/>
        <rFont val="Times New Roman"/>
        <family val="1"/>
      </rPr>
      <t xml:space="preserve">                                                                                  10(diez) dias habiles</t>
    </r>
  </si>
  <si>
    <r>
      <t>Mantenimiento</t>
    </r>
    <r>
      <rPr>
        <b/>
        <sz val="10"/>
        <rFont val="Times New Roman"/>
        <family val="1"/>
      </rPr>
      <t>:                                                                               30(treinta) dias habiles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</si>
  <si>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                                                                                                               10(diez) dias habiles</t>
    </r>
  </si>
  <si>
    <r>
      <t>Mantenimiento</t>
    </r>
    <r>
      <rPr>
        <sz val="10"/>
        <rFont val="Times New Roman"/>
        <family val="1"/>
      </rPr>
      <t>:                                                                                                                                   30(treinta) dias habiles</t>
    </r>
  </si>
  <si>
    <t>TIPO ETHICON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</si>
  <si>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 19</t>
    </r>
    <r>
      <rPr>
        <sz val="10"/>
        <rFont val="Times New Roman"/>
        <family val="1"/>
      </rPr>
      <t xml:space="preserve">-  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</si>
  <si>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                                                                                                                10(diez) dias habiles</t>
    </r>
  </si>
  <si>
    <r>
      <rPr>
        <b/>
        <u/>
        <sz val="10"/>
        <rFont val="Times New Roman"/>
        <family val="1"/>
      </rPr>
      <t>Mantenimiento</t>
    </r>
    <r>
      <rPr>
        <sz val="10"/>
        <rFont val="Times New Roman"/>
        <family val="1"/>
      </rPr>
      <t>:                                                                                                                                   30(treinta) dias habiles</t>
    </r>
  </si>
  <si>
    <t>Costo total estimado: CINCO MILLONES DOSCIENTOS SESENTA MIL SESICIENTOS VEINTE CON  00/100.</t>
  </si>
  <si>
    <t>TOTAL DE PESOS: CINCO MILLONES DOSCIENTOS SESENTA MIL SESICIENTOS VEINTE CON  00/100.</t>
  </si>
  <si>
    <t xml:space="preserve">Especificidades: ITEMS  2-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</si>
</sst>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00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19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5" fillId="3" borderId="1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left" vertical="center"/>
    </xf>
    <xf numFmtId="0" fontId="4" fillId="3" borderId="45" xfId="0" applyFont="1" applyFill="1" applyBorder="1" applyAlignment="1">
      <alignment horizontal="center" vertical="center" wrapText="1"/>
    </xf>
    <xf numFmtId="167" fontId="4" fillId="3" borderId="45" xfId="1" applyNumberFormat="1" applyFont="1" applyFill="1" applyBorder="1" applyAlignment="1" applyProtection="1">
      <alignment horizontal="right" vertical="center" wrapText="1"/>
    </xf>
    <xf numFmtId="3" fontId="4" fillId="3" borderId="45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14" fillId="3" borderId="44" xfId="0" applyFont="1" applyFill="1" applyBorder="1" applyAlignment="1">
      <alignment horizontal="center" vertical="center"/>
    </xf>
    <xf numFmtId="164" fontId="15" fillId="3" borderId="0" xfId="0" applyNumberFormat="1" applyFont="1" applyFill="1"/>
    <xf numFmtId="0" fontId="23" fillId="3" borderId="44" xfId="0" applyFont="1" applyFill="1" applyBorder="1" applyAlignment="1">
      <alignment horizontal="center" vertical="center" wrapText="1"/>
    </xf>
    <xf numFmtId="3" fontId="14" fillId="3" borderId="44" xfId="0" applyNumberFormat="1" applyFont="1" applyFill="1" applyBorder="1" applyAlignment="1">
      <alignment horizontal="center" vertical="center"/>
    </xf>
    <xf numFmtId="164" fontId="14" fillId="4" borderId="44" xfId="1" applyNumberFormat="1" applyFont="1" applyFill="1" applyBorder="1" applyAlignment="1" applyProtection="1">
      <alignment horizontal="right" vertical="center" wrapText="1"/>
    </xf>
    <xf numFmtId="3" fontId="14" fillId="3" borderId="44" xfId="6" applyNumberFormat="1" applyFont="1" applyFill="1" applyBorder="1" applyAlignment="1">
      <alignment horizontal="center" vertical="center"/>
    </xf>
    <xf numFmtId="0" fontId="0" fillId="3" borderId="44" xfId="0" applyFill="1" applyBorder="1" applyAlignment="1">
      <alignment vertical="center"/>
    </xf>
    <xf numFmtId="0" fontId="14" fillId="3" borderId="44" xfId="0" applyFont="1" applyFill="1" applyBorder="1" applyAlignment="1">
      <alignment vertical="center"/>
    </xf>
    <xf numFmtId="0" fontId="0" fillId="0" borderId="44" xfId="0" applyBorder="1" applyAlignment="1">
      <alignment vertical="center"/>
    </xf>
    <xf numFmtId="0" fontId="14" fillId="0" borderId="44" xfId="0" applyFont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23" fillId="3" borderId="47" xfId="0" applyFont="1" applyFill="1" applyBorder="1" applyAlignment="1">
      <alignment horizontal="center" vertical="center" wrapText="1"/>
    </xf>
    <xf numFmtId="3" fontId="14" fillId="3" borderId="47" xfId="0" applyNumberFormat="1" applyFont="1" applyFill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23" fillId="3" borderId="48" xfId="0" applyFont="1" applyFill="1" applyBorder="1" applyAlignment="1">
      <alignment horizontal="center" vertical="center" wrapText="1"/>
    </xf>
    <xf numFmtId="3" fontId="14" fillId="3" borderId="48" xfId="0" applyNumberFormat="1" applyFont="1" applyFill="1" applyBorder="1" applyAlignment="1">
      <alignment horizontal="center" vertical="center"/>
    </xf>
    <xf numFmtId="0" fontId="0" fillId="0" borderId="44" xfId="0" applyBorder="1" applyAlignment="1">
      <alignment vertical="center" wrapText="1"/>
    </xf>
    <xf numFmtId="0" fontId="14" fillId="3" borderId="44" xfId="0" applyFont="1" applyFill="1" applyBorder="1" applyAlignment="1">
      <alignment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left" vertical="center"/>
    </xf>
    <xf numFmtId="0" fontId="0" fillId="3" borderId="44" xfId="0" applyFill="1" applyBorder="1" applyAlignment="1">
      <alignment horizontal="left" vertical="center"/>
    </xf>
    <xf numFmtId="44" fontId="14" fillId="3" borderId="49" xfId="1" applyNumberFormat="1" applyFont="1" applyFill="1" applyBorder="1" applyAlignment="1">
      <alignment horizontal="center" vertical="center"/>
    </xf>
    <xf numFmtId="44" fontId="14" fillId="3" borderId="50" xfId="1" applyNumberFormat="1" applyFont="1" applyFill="1" applyBorder="1" applyAlignment="1">
      <alignment horizontal="center" vertical="center"/>
    </xf>
    <xf numFmtId="44" fontId="14" fillId="3" borderId="51" xfId="1" applyNumberFormat="1" applyFont="1" applyFill="1" applyBorder="1" applyAlignment="1">
      <alignment horizontal="center" vertical="center"/>
    </xf>
    <xf numFmtId="0" fontId="22" fillId="3" borderId="52" xfId="0" applyFont="1" applyFill="1" applyBorder="1" applyAlignment="1">
      <alignment horizontal="center" vertical="center" wrapText="1"/>
    </xf>
    <xf numFmtId="0" fontId="22" fillId="3" borderId="53" xfId="0" applyFont="1" applyFill="1" applyBorder="1" applyAlignment="1">
      <alignment horizontal="center" vertical="center" wrapText="1"/>
    </xf>
    <xf numFmtId="0" fontId="22" fillId="3" borderId="54" xfId="0" applyFont="1" applyFill="1" applyBorder="1" applyAlignment="1">
      <alignment horizontal="center" vertical="center" wrapText="1"/>
    </xf>
    <xf numFmtId="0" fontId="22" fillId="3" borderId="55" xfId="0" applyFont="1" applyFill="1" applyBorder="1" applyAlignment="1">
      <alignment horizontal="center" vertical="center" wrapText="1"/>
    </xf>
    <xf numFmtId="164" fontId="22" fillId="3" borderId="56" xfId="0" applyNumberFormat="1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0" fillId="3" borderId="48" xfId="0" applyFill="1" applyBorder="1" applyAlignment="1">
      <alignment horizontal="left" vertical="center" wrapText="1"/>
    </xf>
    <xf numFmtId="0" fontId="0" fillId="3" borderId="44" xfId="0" applyFill="1" applyBorder="1" applyAlignment="1">
      <alignment horizontal="left" vertical="center" wrapText="1"/>
    </xf>
    <xf numFmtId="0" fontId="0" fillId="3" borderId="47" xfId="0" applyFill="1" applyBorder="1" applyAlignment="1">
      <alignment horizontal="left" vertical="center" wrapText="1"/>
    </xf>
    <xf numFmtId="0" fontId="15" fillId="3" borderId="0" xfId="0" applyFont="1" applyFill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4" fillId="3" borderId="47" xfId="0" applyFont="1" applyFill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4" fillId="3" borderId="44" xfId="0" applyFont="1" applyFill="1" applyBorder="1" applyAlignment="1">
      <alignment horizontal="left" vertical="center" wrapText="1"/>
    </xf>
    <xf numFmtId="0" fontId="26" fillId="6" borderId="44" xfId="0" applyFont="1" applyFill="1" applyBorder="1" applyAlignment="1">
      <alignment horizontal="left" vertical="center"/>
    </xf>
    <xf numFmtId="164" fontId="14" fillId="4" borderId="44" xfId="1" applyNumberFormat="1" applyFont="1" applyFill="1" applyBorder="1" applyAlignment="1" applyProtection="1">
      <alignment horizontal="center" vertical="center" wrapText="1"/>
    </xf>
    <xf numFmtId="44" fontId="14" fillId="3" borderId="49" xfId="1" applyNumberFormat="1" applyFont="1" applyFill="1" applyBorder="1" applyAlignment="1">
      <alignment vertical="center"/>
    </xf>
    <xf numFmtId="164" fontId="14" fillId="4" borderId="44" xfId="1" applyNumberFormat="1" applyFont="1" applyFill="1" applyBorder="1" applyAlignment="1" applyProtection="1">
      <alignment vertical="center" wrapText="1"/>
    </xf>
    <xf numFmtId="0" fontId="6" fillId="3" borderId="11" xfId="0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10" xfId="0" applyFill="1" applyBorder="1"/>
    <xf numFmtId="0" fontId="0" fillId="0" borderId="44" xfId="0" applyBorder="1" applyAlignment="1">
      <alignment horizontal="center" vertical="center"/>
    </xf>
    <xf numFmtId="0" fontId="15" fillId="5" borderId="0" xfId="0" applyFont="1" applyFill="1"/>
    <xf numFmtId="0" fontId="15" fillId="0" borderId="3" xfId="0" applyFont="1" applyFill="1" applyBorder="1"/>
    <xf numFmtId="0" fontId="15" fillId="0" borderId="4" xfId="0" applyFont="1" applyFill="1" applyBorder="1"/>
    <xf numFmtId="0" fontId="15" fillId="0" borderId="0" xfId="0" applyFont="1" applyFill="1"/>
    <xf numFmtId="164" fontId="15" fillId="0" borderId="0" xfId="0" applyNumberFormat="1" applyFont="1" applyFill="1"/>
    <xf numFmtId="0" fontId="15" fillId="0" borderId="5" xfId="0" applyFont="1" applyFill="1" applyBorder="1"/>
    <xf numFmtId="0" fontId="15" fillId="0" borderId="0" xfId="0" applyFont="1" applyFill="1" applyBorder="1"/>
    <xf numFmtId="0" fontId="15" fillId="0" borderId="6" xfId="0" applyFont="1" applyFill="1" applyBorder="1"/>
    <xf numFmtId="0" fontId="15" fillId="0" borderId="7" xfId="0" applyFont="1" applyFill="1" applyBorder="1"/>
    <xf numFmtId="0" fontId="15" fillId="0" borderId="8" xfId="0" applyFont="1" applyFill="1" applyBorder="1"/>
    <xf numFmtId="0" fontId="15" fillId="0" borderId="9" xfId="0" applyFont="1" applyFill="1" applyBorder="1"/>
    <xf numFmtId="0" fontId="15" fillId="0" borderId="2" xfId="0" applyFont="1" applyFill="1" applyBorder="1" applyAlignment="1"/>
    <xf numFmtId="0" fontId="15" fillId="0" borderId="3" xfId="0" applyFont="1" applyFill="1" applyBorder="1" applyAlignment="1"/>
    <xf numFmtId="0" fontId="15" fillId="0" borderId="5" xfId="6" applyFont="1" applyFill="1" applyBorder="1" applyAlignment="1">
      <alignment horizontal="left" wrapText="1"/>
    </xf>
    <xf numFmtId="0" fontId="15" fillId="0" borderId="0" xfId="6" applyFont="1" applyFill="1" applyBorder="1" applyAlignment="1">
      <alignment horizontal="left" wrapText="1"/>
    </xf>
    <xf numFmtId="0" fontId="15" fillId="0" borderId="6" xfId="6" applyFont="1" applyFill="1" applyBorder="1" applyAlignment="1">
      <alignment horizontal="left" wrapText="1"/>
    </xf>
    <xf numFmtId="0" fontId="24" fillId="0" borderId="5" xfId="7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6" xfId="0" applyFont="1" applyFill="1" applyBorder="1" applyAlignment="1">
      <alignment horizontal="center" wrapText="1"/>
    </xf>
    <xf numFmtId="0" fontId="20" fillId="0" borderId="7" xfId="0" applyFont="1" applyFill="1" applyBorder="1" applyAlignment="1"/>
    <xf numFmtId="0" fontId="20" fillId="0" borderId="0" xfId="0" applyFont="1" applyFill="1" applyBorder="1" applyAlignment="1"/>
    <xf numFmtId="0" fontId="15" fillId="0" borderId="2" xfId="0" applyFont="1" applyFill="1" applyBorder="1" applyAlignment="1">
      <alignment vertical="center"/>
    </xf>
    <xf numFmtId="0" fontId="27" fillId="0" borderId="0" xfId="0" applyFont="1" applyFill="1" applyBorder="1"/>
    <xf numFmtId="0" fontId="27" fillId="0" borderId="6" xfId="0" applyFont="1" applyFill="1" applyBorder="1"/>
    <xf numFmtId="0" fontId="27" fillId="0" borderId="2" xfId="0" applyFont="1" applyFill="1" applyBorder="1"/>
    <xf numFmtId="0" fontId="27" fillId="0" borderId="3" xfId="0" applyFont="1" applyFill="1" applyBorder="1"/>
    <xf numFmtId="0" fontId="15" fillId="0" borderId="0" xfId="0" applyFont="1" applyFill="1" applyBorder="1" applyAlignment="1"/>
    <xf numFmtId="0" fontId="27" fillId="0" borderId="5" xfId="0" applyFont="1" applyFill="1" applyBorder="1"/>
    <xf numFmtId="0" fontId="27" fillId="0" borderId="5" xfId="0" applyFont="1" applyFill="1" applyBorder="1" applyAlignment="1">
      <alignment wrapText="1"/>
    </xf>
    <xf numFmtId="0" fontId="15" fillId="0" borderId="5" xfId="0" applyFont="1" applyFill="1" applyBorder="1" applyAlignment="1"/>
    <xf numFmtId="0" fontId="27" fillId="0" borderId="2" xfId="0" applyFont="1" applyFill="1" applyBorder="1" applyAlignment="1"/>
    <xf numFmtId="0" fontId="30" fillId="0" borderId="5" xfId="7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vertical="center"/>
    </xf>
    <xf numFmtId="0" fontId="28" fillId="0" borderId="7" xfId="0" applyFont="1" applyFill="1" applyBorder="1" applyAlignment="1"/>
    <xf numFmtId="0" fontId="0" fillId="3" borderId="31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167" fontId="0" fillId="3" borderId="35" xfId="3" applyNumberFormat="1" applyFont="1" applyFill="1" applyBorder="1" applyAlignment="1" applyProtection="1">
      <alignment horizontal="center" vertical="center"/>
    </xf>
    <xf numFmtId="167" fontId="13" fillId="3" borderId="40" xfId="0" applyNumberFormat="1" applyFont="1" applyFill="1" applyBorder="1" applyAlignment="1">
      <alignment horizontal="center" vertical="center"/>
    </xf>
    <xf numFmtId="0" fontId="15" fillId="0" borderId="5" xfId="6" applyFont="1" applyFill="1" applyBorder="1" applyAlignment="1">
      <alignment horizontal="left" wrapText="1"/>
    </xf>
    <xf numFmtId="0" fontId="15" fillId="0" borderId="0" xfId="6" applyFont="1" applyFill="1" applyBorder="1" applyAlignment="1">
      <alignment horizontal="left" wrapText="1"/>
    </xf>
    <xf numFmtId="0" fontId="15" fillId="0" borderId="6" xfId="6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horizontal="left" wrapText="1" indent="1"/>
    </xf>
    <xf numFmtId="0" fontId="15" fillId="0" borderId="5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wrapText="1"/>
    </xf>
    <xf numFmtId="0" fontId="15" fillId="0" borderId="6" xfId="0" applyFont="1" applyFill="1" applyBorder="1" applyAlignment="1">
      <alignment horizontal="left" wrapText="1"/>
    </xf>
    <xf numFmtId="0" fontId="4" fillId="3" borderId="45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 indent="1"/>
    </xf>
    <xf numFmtId="0" fontId="6" fillId="3" borderId="46" xfId="0" applyFont="1" applyFill="1" applyBorder="1" applyAlignment="1">
      <alignment horizontal="left" vertical="center" wrapText="1" indent="1"/>
    </xf>
    <xf numFmtId="168" fontId="7" fillId="3" borderId="14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9" fillId="3" borderId="40" xfId="0" applyFont="1" applyFill="1" applyBorder="1" applyAlignment="1">
      <alignment horizontal="left" vertical="center" wrapText="1"/>
    </xf>
    <xf numFmtId="0" fontId="0" fillId="0" borderId="22" xfId="0" applyBorder="1"/>
    <xf numFmtId="0" fontId="14" fillId="3" borderId="34" xfId="0" applyFont="1" applyFill="1" applyBorder="1" applyAlignment="1">
      <alignment horizontal="left" vertical="center" wrapText="1"/>
    </xf>
    <xf numFmtId="0" fontId="0" fillId="3" borderId="34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3" borderId="23" xfId="0" applyFont="1" applyFill="1" applyBorder="1"/>
    <xf numFmtId="0" fontId="11" fillId="3" borderId="24" xfId="0" applyFont="1" applyFill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 wrapText="1"/>
    </xf>
    <xf numFmtId="0" fontId="4" fillId="3" borderId="42" xfId="0" applyFont="1" applyFill="1" applyBorder="1" applyAlignment="1">
      <alignment horizontal="left" vertical="center" wrapText="1"/>
    </xf>
    <xf numFmtId="0" fontId="4" fillId="3" borderId="43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3" borderId="11" xfId="0" applyFont="1" applyFill="1" applyBorder="1"/>
    <xf numFmtId="0" fontId="4" fillId="5" borderId="45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left" vertical="center"/>
    </xf>
    <xf numFmtId="0" fontId="4" fillId="5" borderId="45" xfId="0" applyFont="1" applyFill="1" applyBorder="1" applyAlignment="1">
      <alignment horizontal="left" vertical="center" wrapText="1"/>
    </xf>
    <xf numFmtId="0" fontId="4" fillId="7" borderId="45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 wrapText="1"/>
    </xf>
    <xf numFmtId="167" fontId="4" fillId="5" borderId="45" xfId="1" applyNumberFormat="1" applyFont="1" applyFill="1" applyBorder="1" applyAlignment="1" applyProtection="1">
      <alignment horizontal="right" vertical="center" wrapText="1"/>
    </xf>
    <xf numFmtId="3" fontId="4" fillId="5" borderId="45" xfId="0" applyNumberFormat="1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</cellXfs>
  <cellStyles count="8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</cellStyles>
  <dxfs count="1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G88"/>
  <sheetViews>
    <sheetView zoomScale="75" zoomScaleNormal="75" workbookViewId="0">
      <selection activeCell="I35" sqref="I35"/>
    </sheetView>
  </sheetViews>
  <sheetFormatPr baseColWidth="10" defaultColWidth="11" defaultRowHeight="12.75" x14ac:dyDescent="0.2"/>
  <cols>
    <col min="1" max="1" width="4.5703125" style="44" customWidth="1"/>
    <col min="2" max="2" width="20.5703125" style="44" customWidth="1"/>
    <col min="3" max="3" width="35.85546875" style="44" bestFit="1" customWidth="1"/>
    <col min="4" max="4" width="8.42578125" style="44" customWidth="1"/>
    <col min="5" max="5" width="110.140625" style="44" customWidth="1"/>
    <col min="6" max="6" width="11" style="44"/>
    <col min="7" max="7" width="14.7109375" style="44" customWidth="1"/>
    <col min="8" max="8" width="15.7109375" style="44" customWidth="1"/>
    <col min="9" max="9" width="18.5703125" style="48" customWidth="1"/>
    <col min="10" max="16384" width="11" style="44"/>
  </cols>
  <sheetData>
    <row r="2" spans="1:9" ht="27" x14ac:dyDescent="0.35">
      <c r="B2" s="137" t="s">
        <v>0</v>
      </c>
      <c r="C2" s="137"/>
      <c r="D2" s="137"/>
      <c r="E2" s="137"/>
      <c r="F2" s="137"/>
      <c r="G2" s="137"/>
      <c r="H2" s="137"/>
    </row>
    <row r="3" spans="1:9" ht="12" customHeight="1" x14ac:dyDescent="0.2"/>
    <row r="4" spans="1:9" ht="18" customHeight="1" x14ac:dyDescent="0.25">
      <c r="A4" s="138" t="s">
        <v>1</v>
      </c>
      <c r="B4" s="138"/>
      <c r="C4" s="139" t="s">
        <v>51</v>
      </c>
      <c r="D4" s="139"/>
      <c r="E4" s="139"/>
      <c r="F4" s="45"/>
      <c r="G4" s="46"/>
      <c r="H4" s="45"/>
    </row>
    <row r="5" spans="1:9" ht="18" customHeight="1" x14ac:dyDescent="0.25">
      <c r="A5" s="138" t="s">
        <v>2</v>
      </c>
      <c r="B5" s="138"/>
      <c r="C5" s="139" t="s">
        <v>103</v>
      </c>
      <c r="D5" s="139"/>
      <c r="E5" s="139"/>
      <c r="F5" s="45"/>
      <c r="G5" s="46"/>
      <c r="H5" s="45"/>
    </row>
    <row r="6" spans="1:9" ht="16.5" customHeight="1" x14ac:dyDescent="0.25">
      <c r="A6" s="138" t="s">
        <v>3</v>
      </c>
      <c r="B6" s="138"/>
      <c r="C6" s="42">
        <v>2022</v>
      </c>
      <c r="D6" s="43"/>
      <c r="E6" s="43"/>
      <c r="F6" s="45"/>
      <c r="G6" s="46"/>
      <c r="H6" s="45"/>
    </row>
    <row r="7" spans="1:9" ht="16.5" customHeight="1" x14ac:dyDescent="0.25">
      <c r="A7" s="138" t="s">
        <v>4</v>
      </c>
      <c r="B7" s="138"/>
      <c r="C7" s="42">
        <v>3</v>
      </c>
      <c r="D7" s="43"/>
      <c r="E7" s="43"/>
      <c r="F7" s="45"/>
      <c r="G7" s="46"/>
      <c r="H7" s="45"/>
    </row>
    <row r="8" spans="1:9" ht="13.5" thickBot="1" x14ac:dyDescent="0.25">
      <c r="B8" s="45"/>
      <c r="C8" s="46"/>
      <c r="D8" s="45"/>
      <c r="E8" s="45"/>
      <c r="F8" s="45"/>
      <c r="G8" s="46"/>
      <c r="H8" s="45"/>
    </row>
    <row r="9" spans="1:9" ht="54" customHeight="1" thickBot="1" x14ac:dyDescent="0.25">
      <c r="A9" s="71" t="s">
        <v>5</v>
      </c>
      <c r="B9" s="72" t="s">
        <v>6</v>
      </c>
      <c r="C9" s="72" t="s">
        <v>7</v>
      </c>
      <c r="D9" s="73" t="s">
        <v>8</v>
      </c>
      <c r="E9" s="76" t="s">
        <v>9</v>
      </c>
      <c r="F9" s="74" t="s">
        <v>10</v>
      </c>
      <c r="G9" s="72" t="s">
        <v>11</v>
      </c>
      <c r="H9" s="73" t="s">
        <v>12</v>
      </c>
      <c r="I9" s="75" t="s">
        <v>13</v>
      </c>
    </row>
    <row r="10" spans="1:9" s="80" customFormat="1" ht="50.1" customHeight="1" x14ac:dyDescent="0.2">
      <c r="A10" s="60">
        <v>1</v>
      </c>
      <c r="B10" s="66" t="s">
        <v>62</v>
      </c>
      <c r="C10" s="85" t="s">
        <v>61</v>
      </c>
      <c r="D10" s="49">
        <v>295</v>
      </c>
      <c r="E10" s="64" t="s">
        <v>77</v>
      </c>
      <c r="F10" s="47" t="s">
        <v>57</v>
      </c>
      <c r="G10" s="50">
        <v>100</v>
      </c>
      <c r="H10" s="68">
        <v>225</v>
      </c>
      <c r="I10" s="51">
        <f t="shared" ref="I10:I22" si="0">+G10*H10</f>
        <v>22500</v>
      </c>
    </row>
    <row r="11" spans="1:9" s="80" customFormat="1" ht="50.1" customHeight="1" x14ac:dyDescent="0.2">
      <c r="A11" s="60">
        <v>2</v>
      </c>
      <c r="B11" s="86" t="s">
        <v>64</v>
      </c>
      <c r="C11" s="78" t="s">
        <v>61</v>
      </c>
      <c r="D11" s="49">
        <v>295</v>
      </c>
      <c r="E11" s="54" t="s">
        <v>78</v>
      </c>
      <c r="F11" s="47" t="s">
        <v>57</v>
      </c>
      <c r="G11" s="50">
        <v>30</v>
      </c>
      <c r="H11" s="68">
        <v>415</v>
      </c>
      <c r="I11" s="87">
        <f t="shared" si="0"/>
        <v>12450</v>
      </c>
    </row>
    <row r="12" spans="1:9" s="80" customFormat="1" ht="50.1" customHeight="1" x14ac:dyDescent="0.2">
      <c r="A12" s="60">
        <v>3</v>
      </c>
      <c r="B12" s="66" t="s">
        <v>80</v>
      </c>
      <c r="C12" s="78" t="s">
        <v>61</v>
      </c>
      <c r="D12" s="49">
        <v>295</v>
      </c>
      <c r="E12" s="54" t="s">
        <v>79</v>
      </c>
      <c r="F12" s="47" t="s">
        <v>57</v>
      </c>
      <c r="G12" s="50">
        <v>10</v>
      </c>
      <c r="H12" s="68">
        <v>870</v>
      </c>
      <c r="I12" s="51">
        <f t="shared" si="0"/>
        <v>8700</v>
      </c>
    </row>
    <row r="13" spans="1:9" s="80" customFormat="1" ht="50.1" customHeight="1" x14ac:dyDescent="0.2">
      <c r="A13" s="60">
        <v>4</v>
      </c>
      <c r="B13" s="66" t="s">
        <v>63</v>
      </c>
      <c r="C13" s="78" t="s">
        <v>61</v>
      </c>
      <c r="D13" s="49">
        <v>295</v>
      </c>
      <c r="E13" s="53" t="s">
        <v>99</v>
      </c>
      <c r="F13" s="47" t="s">
        <v>57</v>
      </c>
      <c r="G13" s="50">
        <v>12</v>
      </c>
      <c r="H13" s="88">
        <v>13500</v>
      </c>
      <c r="I13" s="89">
        <f t="shared" si="0"/>
        <v>162000</v>
      </c>
    </row>
    <row r="14" spans="1:9" s="80" customFormat="1" ht="50.1" customHeight="1" x14ac:dyDescent="0.2">
      <c r="A14" s="60">
        <v>5</v>
      </c>
      <c r="B14" s="66" t="s">
        <v>81</v>
      </c>
      <c r="C14" s="78" t="s">
        <v>61</v>
      </c>
      <c r="D14" s="49">
        <v>295</v>
      </c>
      <c r="E14" s="64" t="s">
        <v>82</v>
      </c>
      <c r="F14" s="65" t="s">
        <v>57</v>
      </c>
      <c r="G14" s="50">
        <v>60</v>
      </c>
      <c r="H14" s="68">
        <v>9646</v>
      </c>
      <c r="I14" s="51">
        <f t="shared" si="0"/>
        <v>578760</v>
      </c>
    </row>
    <row r="15" spans="1:9" s="80" customFormat="1" ht="50.1" customHeight="1" x14ac:dyDescent="0.2">
      <c r="A15" s="60">
        <v>6</v>
      </c>
      <c r="B15" s="66" t="s">
        <v>83</v>
      </c>
      <c r="C15" s="78" t="s">
        <v>61</v>
      </c>
      <c r="D15" s="49">
        <v>295</v>
      </c>
      <c r="E15" s="54" t="s">
        <v>72</v>
      </c>
      <c r="F15" s="47" t="s">
        <v>57</v>
      </c>
      <c r="G15" s="50">
        <v>60</v>
      </c>
      <c r="H15" s="68">
        <v>10500</v>
      </c>
      <c r="I15" s="51">
        <f t="shared" si="0"/>
        <v>630000</v>
      </c>
    </row>
    <row r="16" spans="1:9" s="80" customFormat="1" ht="50.1" customHeight="1" x14ac:dyDescent="0.2">
      <c r="A16" s="60">
        <v>7</v>
      </c>
      <c r="B16" s="81" t="s">
        <v>84</v>
      </c>
      <c r="C16" s="78" t="s">
        <v>61</v>
      </c>
      <c r="D16" s="49">
        <v>295</v>
      </c>
      <c r="E16" s="54" t="s">
        <v>71</v>
      </c>
      <c r="F16" s="47" t="s">
        <v>57</v>
      </c>
      <c r="G16" s="50">
        <v>60</v>
      </c>
      <c r="H16" s="68">
        <v>9646</v>
      </c>
      <c r="I16" s="51">
        <f t="shared" si="0"/>
        <v>578760</v>
      </c>
    </row>
    <row r="17" spans="1:137" s="80" customFormat="1" ht="50.1" customHeight="1" x14ac:dyDescent="0.2">
      <c r="A17" s="60">
        <v>8</v>
      </c>
      <c r="B17" s="67" t="s">
        <v>69</v>
      </c>
      <c r="C17" s="78" t="s">
        <v>61</v>
      </c>
      <c r="D17" s="49">
        <v>295</v>
      </c>
      <c r="E17" s="54" t="s">
        <v>70</v>
      </c>
      <c r="F17" s="47" t="s">
        <v>57</v>
      </c>
      <c r="G17" s="50">
        <v>60</v>
      </c>
      <c r="H17" s="68">
        <v>10500</v>
      </c>
      <c r="I17" s="51">
        <f t="shared" si="0"/>
        <v>630000</v>
      </c>
    </row>
    <row r="18" spans="1:137" s="80" customFormat="1" ht="50.1" customHeight="1" x14ac:dyDescent="0.2">
      <c r="A18" s="60">
        <v>9</v>
      </c>
      <c r="B18" s="66" t="s">
        <v>85</v>
      </c>
      <c r="C18" s="78" t="s">
        <v>61</v>
      </c>
      <c r="D18" s="49">
        <v>295</v>
      </c>
      <c r="E18" s="54" t="s">
        <v>74</v>
      </c>
      <c r="F18" s="47" t="s">
        <v>57</v>
      </c>
      <c r="G18" s="50">
        <v>30</v>
      </c>
      <c r="H18" s="68">
        <v>19315</v>
      </c>
      <c r="I18" s="51">
        <f t="shared" si="0"/>
        <v>579450</v>
      </c>
    </row>
    <row r="19" spans="1:137" s="80" customFormat="1" ht="50.1" customHeight="1" x14ac:dyDescent="0.2">
      <c r="A19" s="60">
        <v>10</v>
      </c>
      <c r="B19" s="66" t="s">
        <v>86</v>
      </c>
      <c r="C19" s="78" t="s">
        <v>61</v>
      </c>
      <c r="D19" s="49">
        <v>295</v>
      </c>
      <c r="E19" s="54" t="s">
        <v>73</v>
      </c>
      <c r="F19" s="47" t="s">
        <v>57</v>
      </c>
      <c r="G19" s="50">
        <v>10</v>
      </c>
      <c r="H19" s="68">
        <v>16600</v>
      </c>
      <c r="I19" s="51">
        <f t="shared" si="0"/>
        <v>166000</v>
      </c>
    </row>
    <row r="20" spans="1:137" s="80" customFormat="1" ht="50.1" customHeight="1" x14ac:dyDescent="0.2">
      <c r="A20" s="60">
        <v>11</v>
      </c>
      <c r="B20" s="66" t="s">
        <v>88</v>
      </c>
      <c r="C20" s="78" t="s">
        <v>61</v>
      </c>
      <c r="D20" s="49">
        <v>295</v>
      </c>
      <c r="E20" s="54" t="s">
        <v>87</v>
      </c>
      <c r="F20" s="47" t="s">
        <v>57</v>
      </c>
      <c r="G20" s="50">
        <v>10</v>
      </c>
      <c r="H20" s="68">
        <v>16600</v>
      </c>
      <c r="I20" s="51">
        <f t="shared" si="0"/>
        <v>166000</v>
      </c>
    </row>
    <row r="21" spans="1:137" s="80" customFormat="1" ht="50.1" customHeight="1" x14ac:dyDescent="0.2">
      <c r="A21" s="60">
        <v>12</v>
      </c>
      <c r="B21" s="67" t="s">
        <v>67</v>
      </c>
      <c r="C21" s="78" t="s">
        <v>61</v>
      </c>
      <c r="D21" s="49">
        <v>295</v>
      </c>
      <c r="E21" s="54" t="s">
        <v>89</v>
      </c>
      <c r="F21" s="47" t="s">
        <v>57</v>
      </c>
      <c r="G21" s="50">
        <v>100</v>
      </c>
      <c r="H21" s="68">
        <v>1950</v>
      </c>
      <c r="I21" s="51">
        <f t="shared" si="0"/>
        <v>195000</v>
      </c>
    </row>
    <row r="22" spans="1:137" s="80" customFormat="1" ht="50.1" customHeight="1" x14ac:dyDescent="0.2">
      <c r="A22" s="60">
        <v>13</v>
      </c>
      <c r="B22" s="81" t="s">
        <v>91</v>
      </c>
      <c r="C22" s="78" t="s">
        <v>61</v>
      </c>
      <c r="D22" s="49">
        <v>295</v>
      </c>
      <c r="E22" s="54" t="s">
        <v>90</v>
      </c>
      <c r="F22" s="47" t="s">
        <v>57</v>
      </c>
      <c r="G22" s="50">
        <v>100</v>
      </c>
      <c r="H22" s="68">
        <v>1950</v>
      </c>
      <c r="I22" s="51">
        <f t="shared" si="0"/>
        <v>195000</v>
      </c>
    </row>
    <row r="23" spans="1:137" s="80" customFormat="1" ht="50.1" customHeight="1" x14ac:dyDescent="0.2">
      <c r="A23" s="60">
        <v>14</v>
      </c>
      <c r="B23" s="67" t="s">
        <v>68</v>
      </c>
      <c r="C23" s="78" t="s">
        <v>61</v>
      </c>
      <c r="D23" s="49">
        <v>295</v>
      </c>
      <c r="E23" s="54" t="s">
        <v>92</v>
      </c>
      <c r="F23" s="47" t="s">
        <v>57</v>
      </c>
      <c r="G23" s="50">
        <v>50</v>
      </c>
      <c r="H23" s="68">
        <v>1950</v>
      </c>
      <c r="I23" s="51">
        <f t="shared" ref="I23:I27" si="1">+G23*H23</f>
        <v>97500</v>
      </c>
    </row>
    <row r="24" spans="1:137" s="80" customFormat="1" ht="50.1" customHeight="1" x14ac:dyDescent="0.2">
      <c r="A24" s="60">
        <v>15</v>
      </c>
      <c r="B24" s="66" t="s">
        <v>94</v>
      </c>
      <c r="C24" s="78" t="s">
        <v>61</v>
      </c>
      <c r="D24" s="49">
        <v>295</v>
      </c>
      <c r="E24" s="54" t="s">
        <v>93</v>
      </c>
      <c r="F24" s="47" t="s">
        <v>57</v>
      </c>
      <c r="G24" s="50">
        <v>100</v>
      </c>
      <c r="H24" s="68">
        <v>2500</v>
      </c>
      <c r="I24" s="51">
        <f t="shared" si="1"/>
        <v>250000</v>
      </c>
    </row>
    <row r="25" spans="1:137" s="80" customFormat="1" ht="50.1" customHeight="1" x14ac:dyDescent="0.2">
      <c r="A25" s="60">
        <v>16</v>
      </c>
      <c r="B25" s="82" t="s">
        <v>96</v>
      </c>
      <c r="C25" s="79" t="s">
        <v>61</v>
      </c>
      <c r="D25" s="58">
        <v>295</v>
      </c>
      <c r="E25" s="54" t="s">
        <v>95</v>
      </c>
      <c r="F25" s="57" t="s">
        <v>57</v>
      </c>
      <c r="G25" s="59">
        <v>50</v>
      </c>
      <c r="H25" s="70">
        <v>2500</v>
      </c>
      <c r="I25" s="51">
        <f t="shared" si="1"/>
        <v>125000</v>
      </c>
    </row>
    <row r="26" spans="1:137" s="80" customFormat="1" ht="50.1" customHeight="1" x14ac:dyDescent="0.2">
      <c r="A26" s="60">
        <v>17</v>
      </c>
      <c r="B26" s="66" t="s">
        <v>98</v>
      </c>
      <c r="C26" s="78" t="s">
        <v>61</v>
      </c>
      <c r="D26" s="49">
        <v>295</v>
      </c>
      <c r="E26" s="54" t="s">
        <v>97</v>
      </c>
      <c r="F26" s="47" t="s">
        <v>57</v>
      </c>
      <c r="G26" s="50">
        <v>30</v>
      </c>
      <c r="H26" s="68">
        <v>2500</v>
      </c>
      <c r="I26" s="51">
        <f t="shared" si="1"/>
        <v>75000</v>
      </c>
    </row>
    <row r="27" spans="1:137" s="80" customFormat="1" ht="50.1" customHeight="1" x14ac:dyDescent="0.2">
      <c r="A27" s="60">
        <v>18</v>
      </c>
      <c r="B27" s="83" t="s">
        <v>76</v>
      </c>
      <c r="C27" s="78" t="s">
        <v>61</v>
      </c>
      <c r="D27" s="49">
        <v>295</v>
      </c>
      <c r="E27" s="63" t="s">
        <v>75</v>
      </c>
      <c r="F27" s="56" t="s">
        <v>57</v>
      </c>
      <c r="G27" s="93">
        <v>100</v>
      </c>
      <c r="H27" s="68">
        <v>6500</v>
      </c>
      <c r="I27" s="55">
        <f t="shared" si="1"/>
        <v>650000</v>
      </c>
    </row>
    <row r="28" spans="1:137" s="80" customFormat="1" ht="50.1" customHeight="1" x14ac:dyDescent="0.2">
      <c r="A28" s="60">
        <v>19</v>
      </c>
      <c r="B28" s="84" t="s">
        <v>59</v>
      </c>
      <c r="C28" s="77" t="s">
        <v>61</v>
      </c>
      <c r="D28" s="61">
        <v>295</v>
      </c>
      <c r="E28" s="55" t="s">
        <v>60</v>
      </c>
      <c r="F28" s="60" t="s">
        <v>57</v>
      </c>
      <c r="G28" s="62">
        <v>20</v>
      </c>
      <c r="H28" s="69">
        <v>4900</v>
      </c>
      <c r="I28" s="51">
        <f t="shared" ref="I28:I29" si="2">+G28*H28</f>
        <v>98000</v>
      </c>
    </row>
    <row r="29" spans="1:137" s="80" customFormat="1" ht="50.1" customHeight="1" x14ac:dyDescent="0.2">
      <c r="A29" s="60">
        <v>20</v>
      </c>
      <c r="B29" s="66" t="s">
        <v>66</v>
      </c>
      <c r="C29" s="78" t="s">
        <v>61</v>
      </c>
      <c r="D29" s="49">
        <v>295</v>
      </c>
      <c r="E29" s="67" t="s">
        <v>65</v>
      </c>
      <c r="F29" s="47" t="s">
        <v>57</v>
      </c>
      <c r="G29" s="52">
        <v>30</v>
      </c>
      <c r="H29" s="68">
        <v>1350</v>
      </c>
      <c r="I29" s="51">
        <f t="shared" si="2"/>
        <v>40500</v>
      </c>
    </row>
    <row r="31" spans="1:137" ht="13.5" thickBot="1" x14ac:dyDescent="0.25"/>
    <row r="32" spans="1:137" s="94" customFormat="1" ht="30.75" customHeight="1" x14ac:dyDescent="0.2">
      <c r="A32" s="97"/>
      <c r="B32" s="118" t="s">
        <v>135</v>
      </c>
      <c r="C32" s="119"/>
      <c r="D32" s="95"/>
      <c r="E32" s="96"/>
      <c r="F32" s="97"/>
      <c r="G32" s="97"/>
      <c r="H32" s="97"/>
      <c r="I32" s="98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K32" s="97"/>
      <c r="CL32" s="97"/>
      <c r="CM32" s="97"/>
      <c r="CN32" s="97"/>
      <c r="CO32" s="97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97"/>
      <c r="DQ32" s="97"/>
      <c r="DR32" s="97"/>
      <c r="DS32" s="97"/>
      <c r="DT32" s="97"/>
      <c r="DU32" s="97"/>
      <c r="DV32" s="97"/>
      <c r="DW32" s="97"/>
      <c r="DX32" s="97"/>
      <c r="DY32" s="97"/>
      <c r="DZ32" s="97"/>
      <c r="EA32" s="97"/>
      <c r="EB32" s="97"/>
      <c r="EC32" s="97"/>
      <c r="ED32" s="97"/>
      <c r="EE32" s="97"/>
      <c r="EF32" s="97"/>
      <c r="EG32" s="97"/>
    </row>
    <row r="33" spans="1:137" s="94" customFormat="1" ht="30.75" customHeight="1" x14ac:dyDescent="0.2">
      <c r="A33" s="97"/>
      <c r="B33" s="99"/>
      <c r="C33" s="116" t="s">
        <v>107</v>
      </c>
      <c r="D33" s="116"/>
      <c r="E33" s="117"/>
      <c r="F33" s="97"/>
      <c r="G33" s="97"/>
      <c r="H33" s="97"/>
      <c r="I33" s="98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K33" s="97"/>
      <c r="CL33" s="97"/>
      <c r="CM33" s="97"/>
      <c r="CN33" s="97"/>
      <c r="CO33" s="97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97"/>
      <c r="DQ33" s="97"/>
      <c r="DR33" s="97"/>
      <c r="DS33" s="97"/>
      <c r="DT33" s="97"/>
      <c r="DU33" s="97"/>
      <c r="DV33" s="97"/>
      <c r="DW33" s="97"/>
      <c r="DX33" s="97"/>
      <c r="DY33" s="97"/>
      <c r="DZ33" s="97"/>
      <c r="EA33" s="97"/>
      <c r="EB33" s="97"/>
      <c r="EC33" s="97"/>
      <c r="ED33" s="97"/>
      <c r="EE33" s="97"/>
      <c r="EF33" s="97"/>
      <c r="EG33" s="97"/>
    </row>
    <row r="34" spans="1:137" s="94" customFormat="1" ht="30.75" customHeight="1" x14ac:dyDescent="0.2">
      <c r="A34" s="97"/>
      <c r="B34" s="99"/>
      <c r="C34" s="100"/>
      <c r="D34" s="100"/>
      <c r="E34" s="101"/>
      <c r="F34" s="97"/>
      <c r="G34" s="97"/>
      <c r="H34" s="97"/>
      <c r="I34" s="98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K34" s="97"/>
      <c r="CL34" s="97"/>
      <c r="CM34" s="97"/>
      <c r="CN34" s="97"/>
      <c r="CO34" s="97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97"/>
      <c r="DQ34" s="97"/>
      <c r="DR34" s="97"/>
      <c r="DS34" s="97"/>
      <c r="DT34" s="97"/>
      <c r="DU34" s="97"/>
      <c r="DV34" s="97"/>
      <c r="DW34" s="97"/>
      <c r="DX34" s="97"/>
      <c r="DY34" s="97"/>
      <c r="DZ34" s="97"/>
      <c r="EA34" s="97"/>
      <c r="EB34" s="97"/>
      <c r="EC34" s="97"/>
      <c r="ED34" s="97"/>
      <c r="EE34" s="97"/>
      <c r="EF34" s="97"/>
      <c r="EG34" s="97"/>
    </row>
    <row r="35" spans="1:137" s="94" customFormat="1" ht="63.75" customHeight="1" x14ac:dyDescent="0.2">
      <c r="A35" s="97"/>
      <c r="B35" s="140" t="s">
        <v>112</v>
      </c>
      <c r="C35" s="141"/>
      <c r="D35" s="141"/>
      <c r="E35" s="142"/>
      <c r="F35" s="97"/>
      <c r="G35" s="97"/>
      <c r="H35" s="97"/>
      <c r="I35" s="98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97"/>
      <c r="DQ35" s="97"/>
      <c r="DR35" s="97"/>
      <c r="DS35" s="97"/>
      <c r="DT35" s="97"/>
      <c r="DU35" s="97"/>
      <c r="DV35" s="97"/>
      <c r="DW35" s="97"/>
      <c r="DX35" s="97"/>
      <c r="DY35" s="97"/>
      <c r="DZ35" s="97"/>
      <c r="EA35" s="97"/>
      <c r="EB35" s="97"/>
      <c r="EC35" s="97"/>
      <c r="ED35" s="97"/>
      <c r="EE35" s="97"/>
      <c r="EF35" s="97"/>
      <c r="EG35" s="97"/>
    </row>
    <row r="36" spans="1:137" s="94" customFormat="1" x14ac:dyDescent="0.2">
      <c r="A36" s="97"/>
      <c r="B36" s="99"/>
      <c r="C36" s="100"/>
      <c r="D36" s="100"/>
      <c r="E36" s="101"/>
      <c r="F36" s="97"/>
      <c r="G36" s="97"/>
      <c r="H36" s="97"/>
      <c r="I36" s="98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7"/>
      <c r="DP36" s="97"/>
      <c r="DQ36" s="97"/>
      <c r="DR36" s="97"/>
      <c r="DS36" s="97"/>
      <c r="DT36" s="97"/>
      <c r="DU36" s="97"/>
      <c r="DV36" s="97"/>
      <c r="DW36" s="97"/>
      <c r="DX36" s="97"/>
      <c r="DY36" s="97"/>
      <c r="DZ36" s="97"/>
      <c r="EA36" s="97"/>
      <c r="EB36" s="97"/>
      <c r="EC36" s="97"/>
      <c r="ED36" s="97"/>
      <c r="EE36" s="97"/>
      <c r="EF36" s="97"/>
      <c r="EG36" s="97"/>
    </row>
    <row r="37" spans="1:137" s="94" customFormat="1" ht="12.75" customHeight="1" x14ac:dyDescent="0.2">
      <c r="A37" s="97"/>
      <c r="B37" s="121" t="s">
        <v>108</v>
      </c>
      <c r="C37" s="100"/>
      <c r="D37" s="100"/>
      <c r="E37" s="101" t="s">
        <v>110</v>
      </c>
      <c r="F37" s="97"/>
      <c r="G37" s="97"/>
      <c r="H37" s="97"/>
      <c r="I37" s="98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97"/>
      <c r="DT37" s="97"/>
      <c r="DU37" s="97"/>
      <c r="DV37" s="97"/>
      <c r="DW37" s="97"/>
      <c r="DX37" s="97"/>
      <c r="DY37" s="97"/>
      <c r="DZ37" s="97"/>
      <c r="EA37" s="97"/>
      <c r="EB37" s="97"/>
      <c r="EC37" s="97"/>
      <c r="ED37" s="97"/>
      <c r="EE37" s="97"/>
      <c r="EF37" s="97"/>
      <c r="EG37" s="97"/>
    </row>
    <row r="38" spans="1:137" s="94" customFormat="1" x14ac:dyDescent="0.2">
      <c r="A38" s="97"/>
      <c r="B38" s="121"/>
      <c r="C38" s="100"/>
      <c r="D38" s="100"/>
      <c r="E38" s="101"/>
      <c r="F38" s="97"/>
      <c r="G38" s="97"/>
      <c r="H38" s="97"/>
      <c r="I38" s="98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97"/>
      <c r="DP38" s="97"/>
      <c r="DQ38" s="97"/>
      <c r="DR38" s="97"/>
      <c r="DS38" s="97"/>
      <c r="DT38" s="97"/>
      <c r="DU38" s="97"/>
      <c r="DV38" s="97"/>
      <c r="DW38" s="97"/>
      <c r="DX38" s="97"/>
      <c r="DY38" s="97"/>
      <c r="DZ38" s="97"/>
      <c r="EA38" s="97"/>
      <c r="EB38" s="97"/>
      <c r="EC38" s="97"/>
      <c r="ED38" s="97"/>
      <c r="EE38" s="97"/>
      <c r="EF38" s="97"/>
      <c r="EG38" s="97"/>
    </row>
    <row r="39" spans="1:137" s="94" customFormat="1" ht="30" customHeight="1" x14ac:dyDescent="0.2">
      <c r="A39" s="97"/>
      <c r="B39" s="122" t="s">
        <v>102</v>
      </c>
      <c r="C39" s="100"/>
      <c r="D39" s="100"/>
      <c r="E39" s="101"/>
      <c r="F39" s="97"/>
      <c r="G39" s="97"/>
      <c r="H39" s="97"/>
      <c r="I39" s="98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  <c r="CH39" s="97"/>
      <c r="CI39" s="97"/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7"/>
      <c r="CZ39" s="97"/>
      <c r="DA39" s="97"/>
      <c r="DB39" s="97"/>
      <c r="DC39" s="97"/>
      <c r="DD39" s="97"/>
      <c r="DE39" s="97"/>
      <c r="DF39" s="97"/>
      <c r="DG39" s="97"/>
      <c r="DH39" s="97"/>
      <c r="DI39" s="97"/>
      <c r="DJ39" s="97"/>
      <c r="DK39" s="97"/>
      <c r="DL39" s="97"/>
      <c r="DM39" s="97"/>
      <c r="DN39" s="97"/>
      <c r="DO39" s="97"/>
      <c r="DP39" s="97"/>
      <c r="DQ39" s="97"/>
      <c r="DR39" s="97"/>
      <c r="DS39" s="97"/>
      <c r="DT39" s="97"/>
      <c r="DU39" s="97"/>
      <c r="DV39" s="97"/>
      <c r="DW39" s="97"/>
      <c r="DX39" s="97"/>
      <c r="DY39" s="97"/>
      <c r="DZ39" s="97"/>
      <c r="EA39" s="97"/>
      <c r="EB39" s="97"/>
      <c r="EC39" s="97"/>
      <c r="ED39" s="97"/>
      <c r="EE39" s="97"/>
      <c r="EF39" s="97"/>
      <c r="EG39" s="97"/>
    </row>
    <row r="40" spans="1:137" s="94" customFormat="1" ht="27.75" customHeight="1" x14ac:dyDescent="0.2">
      <c r="A40" s="97"/>
      <c r="B40" s="121" t="s">
        <v>109</v>
      </c>
      <c r="C40" s="100"/>
      <c r="D40" s="100"/>
      <c r="E40" s="101" t="s">
        <v>111</v>
      </c>
      <c r="F40" s="97"/>
      <c r="G40" s="97"/>
      <c r="H40" s="97"/>
      <c r="I40" s="98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97"/>
      <c r="DA40" s="97"/>
      <c r="DB40" s="97"/>
      <c r="DC40" s="97"/>
      <c r="DD40" s="97"/>
      <c r="DE40" s="97"/>
      <c r="DF40" s="97"/>
      <c r="DG40" s="97"/>
      <c r="DH40" s="97"/>
      <c r="DI40" s="97"/>
      <c r="DJ40" s="97"/>
      <c r="DK40" s="97"/>
      <c r="DL40" s="97"/>
      <c r="DM40" s="97"/>
      <c r="DN40" s="97"/>
      <c r="DO40" s="97"/>
      <c r="DP40" s="97"/>
      <c r="DQ40" s="97"/>
      <c r="DR40" s="97"/>
      <c r="DS40" s="97"/>
      <c r="DT40" s="97"/>
      <c r="DU40" s="97"/>
      <c r="DV40" s="97"/>
      <c r="DW40" s="97"/>
      <c r="DX40" s="97"/>
      <c r="DY40" s="97"/>
      <c r="DZ40" s="97"/>
      <c r="EA40" s="97"/>
      <c r="EB40" s="97"/>
      <c r="EC40" s="97"/>
      <c r="ED40" s="97"/>
      <c r="EE40" s="97"/>
      <c r="EF40" s="97"/>
      <c r="EG40" s="97"/>
    </row>
    <row r="41" spans="1:137" s="94" customFormat="1" x14ac:dyDescent="0.2">
      <c r="A41" s="97"/>
      <c r="B41" s="121"/>
      <c r="C41" s="100"/>
      <c r="D41" s="100"/>
      <c r="E41" s="101"/>
      <c r="F41" s="97"/>
      <c r="G41" s="97"/>
      <c r="H41" s="97"/>
      <c r="I41" s="98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97"/>
      <c r="DA41" s="97"/>
      <c r="DB41" s="97"/>
      <c r="DC41" s="97"/>
      <c r="DD41" s="97"/>
      <c r="DE41" s="97"/>
      <c r="DF41" s="97"/>
      <c r="DG41" s="97"/>
      <c r="DH41" s="97"/>
      <c r="DI41" s="97"/>
      <c r="DJ41" s="97"/>
      <c r="DK41" s="97"/>
      <c r="DL41" s="97"/>
      <c r="DM41" s="97"/>
      <c r="DN41" s="97"/>
      <c r="DO41" s="97"/>
      <c r="DP41" s="97"/>
      <c r="DQ41" s="97"/>
      <c r="DR41" s="97"/>
      <c r="DS41" s="97"/>
      <c r="DT41" s="97"/>
      <c r="DU41" s="97"/>
      <c r="DV41" s="97"/>
      <c r="DW41" s="97"/>
      <c r="DX41" s="97"/>
      <c r="DY41" s="97"/>
      <c r="DZ41" s="97"/>
      <c r="EA41" s="97"/>
      <c r="EB41" s="97"/>
      <c r="EC41" s="97"/>
      <c r="ED41" s="97"/>
      <c r="EE41" s="97"/>
      <c r="EF41" s="97"/>
      <c r="EG41" s="97"/>
    </row>
    <row r="42" spans="1:137" s="94" customFormat="1" ht="13.5" thickBot="1" x14ac:dyDescent="0.25">
      <c r="A42" s="97"/>
      <c r="B42" s="102"/>
      <c r="C42" s="103"/>
      <c r="D42" s="103"/>
      <c r="E42" s="104"/>
      <c r="F42" s="97"/>
      <c r="G42" s="97"/>
      <c r="H42" s="97"/>
      <c r="I42" s="98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97"/>
      <c r="DA42" s="97"/>
      <c r="DB42" s="97"/>
      <c r="DC42" s="97"/>
      <c r="DD42" s="97"/>
      <c r="DE42" s="97"/>
      <c r="DF42" s="97"/>
      <c r="DG42" s="97"/>
      <c r="DH42" s="97"/>
      <c r="DI42" s="97"/>
      <c r="DJ42" s="97"/>
      <c r="DK42" s="97"/>
      <c r="DL42" s="97"/>
      <c r="DM42" s="97"/>
      <c r="DN42" s="97"/>
      <c r="DO42" s="97"/>
      <c r="DP42" s="97"/>
      <c r="DQ42" s="97"/>
      <c r="DR42" s="97"/>
      <c r="DS42" s="97"/>
      <c r="DT42" s="97"/>
      <c r="DU42" s="97"/>
      <c r="DV42" s="97"/>
      <c r="DW42" s="97"/>
      <c r="DX42" s="97"/>
      <c r="DY42" s="97"/>
      <c r="DZ42" s="97"/>
      <c r="EA42" s="97"/>
      <c r="EB42" s="97"/>
      <c r="EC42" s="97"/>
      <c r="ED42" s="97"/>
      <c r="EE42" s="97"/>
      <c r="EF42" s="97"/>
      <c r="EG42" s="97"/>
    </row>
    <row r="43" spans="1:137" s="94" customFormat="1" x14ac:dyDescent="0.2">
      <c r="A43" s="97"/>
      <c r="B43" s="97"/>
      <c r="C43" s="97"/>
      <c r="D43" s="97"/>
      <c r="E43" s="97"/>
      <c r="F43" s="97"/>
      <c r="G43" s="97"/>
      <c r="H43" s="97"/>
      <c r="I43" s="98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  <c r="CH43" s="97"/>
      <c r="CI43" s="97"/>
      <c r="CJ43" s="97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97"/>
      <c r="DA43" s="97"/>
      <c r="DB43" s="97"/>
      <c r="DC43" s="97"/>
      <c r="DD43" s="97"/>
      <c r="DE43" s="97"/>
      <c r="DF43" s="97"/>
      <c r="DG43" s="97"/>
      <c r="DH43" s="97"/>
      <c r="DI43" s="97"/>
      <c r="DJ43" s="97"/>
      <c r="DK43" s="97"/>
      <c r="DL43" s="97"/>
      <c r="DM43" s="97"/>
      <c r="DN43" s="97"/>
      <c r="DO43" s="97"/>
      <c r="DP43" s="97"/>
      <c r="DQ43" s="97"/>
      <c r="DR43" s="97"/>
      <c r="DS43" s="97"/>
      <c r="DT43" s="97"/>
      <c r="DU43" s="97"/>
      <c r="DV43" s="97"/>
      <c r="DW43" s="97"/>
      <c r="DX43" s="97"/>
      <c r="DY43" s="97"/>
      <c r="DZ43" s="97"/>
      <c r="EA43" s="97"/>
      <c r="EB43" s="97"/>
      <c r="EC43" s="97"/>
      <c r="ED43" s="97"/>
      <c r="EE43" s="97"/>
      <c r="EF43" s="97"/>
      <c r="EG43" s="97"/>
    </row>
    <row r="44" spans="1:137" s="94" customFormat="1" ht="13.5" thickBot="1" x14ac:dyDescent="0.25">
      <c r="A44" s="97"/>
      <c r="B44" s="97"/>
      <c r="C44" s="97"/>
      <c r="D44" s="97"/>
      <c r="E44" s="97"/>
      <c r="F44" s="97"/>
      <c r="G44" s="97"/>
      <c r="H44" s="97"/>
      <c r="I44" s="98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  <c r="CH44" s="97"/>
      <c r="CI44" s="97"/>
      <c r="CJ44" s="97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7"/>
      <c r="CZ44" s="97"/>
      <c r="DA44" s="97"/>
      <c r="DB44" s="97"/>
      <c r="DC44" s="97"/>
      <c r="DD44" s="97"/>
      <c r="DE44" s="97"/>
      <c r="DF44" s="97"/>
      <c r="DG44" s="97"/>
      <c r="DH44" s="97"/>
      <c r="DI44" s="97"/>
      <c r="DJ44" s="97"/>
      <c r="DK44" s="97"/>
      <c r="DL44" s="97"/>
      <c r="DM44" s="97"/>
      <c r="DN44" s="97"/>
      <c r="DO44" s="97"/>
      <c r="DP44" s="97"/>
      <c r="DQ44" s="97"/>
      <c r="DR44" s="97"/>
      <c r="DS44" s="97"/>
      <c r="DT44" s="97"/>
      <c r="DU44" s="97"/>
      <c r="DV44" s="97"/>
      <c r="DW44" s="97"/>
      <c r="DX44" s="97"/>
      <c r="DY44" s="97"/>
      <c r="DZ44" s="97"/>
      <c r="EA44" s="97"/>
      <c r="EB44" s="97"/>
      <c r="EC44" s="97"/>
      <c r="ED44" s="97"/>
      <c r="EE44" s="97"/>
      <c r="EF44" s="97"/>
      <c r="EG44" s="97"/>
    </row>
    <row r="45" spans="1:137" s="94" customFormat="1" x14ac:dyDescent="0.2">
      <c r="A45" s="97"/>
      <c r="B45" s="124" t="s">
        <v>114</v>
      </c>
      <c r="C45" s="106"/>
      <c r="D45" s="95"/>
      <c r="E45" s="96"/>
      <c r="F45" s="97"/>
      <c r="G45" s="97"/>
      <c r="H45" s="97"/>
      <c r="I45" s="98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7"/>
      <c r="CH45" s="97"/>
      <c r="CI45" s="97"/>
      <c r="CJ45" s="97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7"/>
      <c r="CZ45" s="97"/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  <c r="DL45" s="97"/>
      <c r="DM45" s="97"/>
      <c r="DN45" s="97"/>
      <c r="DO45" s="97"/>
      <c r="DP45" s="97"/>
      <c r="DQ45" s="97"/>
      <c r="DR45" s="97"/>
      <c r="DS45" s="97"/>
      <c r="DT45" s="97"/>
      <c r="DU45" s="97"/>
      <c r="DV45" s="97"/>
      <c r="DW45" s="97"/>
      <c r="DX45" s="97"/>
      <c r="DY45" s="97"/>
      <c r="DZ45" s="97"/>
      <c r="EA45" s="97"/>
      <c r="EB45" s="97"/>
      <c r="EC45" s="97"/>
      <c r="ED45" s="97"/>
      <c r="EE45" s="97"/>
      <c r="EF45" s="97"/>
      <c r="EG45" s="97"/>
    </row>
    <row r="46" spans="1:137" s="94" customFormat="1" x14ac:dyDescent="0.2">
      <c r="A46" s="97"/>
      <c r="B46" s="123"/>
      <c r="C46" s="120"/>
      <c r="D46" s="100"/>
      <c r="E46" s="117" t="s">
        <v>113</v>
      </c>
      <c r="F46" s="97"/>
      <c r="G46" s="97"/>
      <c r="H46" s="97"/>
      <c r="I46" s="98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97"/>
      <c r="CG46" s="97"/>
      <c r="CH46" s="97"/>
      <c r="CI46" s="97"/>
      <c r="CJ46" s="97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7"/>
      <c r="DJ46" s="97"/>
      <c r="DK46" s="97"/>
      <c r="DL46" s="97"/>
      <c r="DM46" s="97"/>
      <c r="DN46" s="97"/>
      <c r="DO46" s="97"/>
      <c r="DP46" s="97"/>
      <c r="DQ46" s="97"/>
      <c r="DR46" s="97"/>
      <c r="DS46" s="97"/>
      <c r="DT46" s="97"/>
      <c r="DU46" s="97"/>
      <c r="DV46" s="97"/>
      <c r="DW46" s="97"/>
      <c r="DX46" s="97"/>
      <c r="DY46" s="97"/>
      <c r="DZ46" s="97"/>
      <c r="EA46" s="97"/>
      <c r="EB46" s="97"/>
      <c r="EC46" s="97"/>
      <c r="ED46" s="97"/>
      <c r="EE46" s="97"/>
      <c r="EF46" s="97"/>
      <c r="EG46" s="97"/>
    </row>
    <row r="47" spans="1:137" s="94" customFormat="1" x14ac:dyDescent="0.2">
      <c r="A47" s="97"/>
      <c r="B47" s="123"/>
      <c r="C47" s="120"/>
      <c r="D47" s="100"/>
      <c r="E47" s="101"/>
      <c r="F47" s="97"/>
      <c r="G47" s="97"/>
      <c r="H47" s="97"/>
      <c r="I47" s="98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7"/>
      <c r="CH47" s="97"/>
      <c r="CI47" s="97"/>
      <c r="CJ47" s="97"/>
      <c r="CK47" s="97"/>
      <c r="CL47" s="97"/>
      <c r="CM47" s="97"/>
      <c r="CN47" s="97"/>
      <c r="CO47" s="97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7"/>
      <c r="DJ47" s="97"/>
      <c r="DK47" s="97"/>
      <c r="DL47" s="97"/>
      <c r="DM47" s="97"/>
      <c r="DN47" s="97"/>
      <c r="DO47" s="97"/>
      <c r="DP47" s="97"/>
      <c r="DQ47" s="97"/>
      <c r="DR47" s="97"/>
      <c r="DS47" s="97"/>
      <c r="DT47" s="97"/>
      <c r="DU47" s="97"/>
      <c r="DV47" s="97"/>
      <c r="DW47" s="97"/>
      <c r="DX47" s="97"/>
      <c r="DY47" s="97"/>
      <c r="DZ47" s="97"/>
      <c r="EA47" s="97"/>
      <c r="EB47" s="97"/>
      <c r="EC47" s="97"/>
      <c r="ED47" s="97"/>
      <c r="EE47" s="97"/>
      <c r="EF47" s="97"/>
      <c r="EG47" s="97"/>
    </row>
    <row r="48" spans="1:137" s="94" customFormat="1" ht="14.25" customHeight="1" x14ac:dyDescent="0.2">
      <c r="A48" s="97"/>
      <c r="B48" s="134" t="s">
        <v>117</v>
      </c>
      <c r="C48" s="135"/>
      <c r="D48" s="135"/>
      <c r="E48" s="136"/>
      <c r="F48" s="97"/>
      <c r="G48" s="97"/>
      <c r="H48" s="97"/>
      <c r="I48" s="98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  <c r="DY48" s="97"/>
      <c r="DZ48" s="97"/>
      <c r="EA48" s="97"/>
      <c r="EB48" s="97"/>
      <c r="EC48" s="97"/>
      <c r="ED48" s="97"/>
      <c r="EE48" s="97"/>
      <c r="EF48" s="97"/>
      <c r="EG48" s="97"/>
    </row>
    <row r="49" spans="1:137" s="94" customFormat="1" ht="22.5" customHeight="1" x14ac:dyDescent="0.2">
      <c r="A49" s="97"/>
      <c r="B49" s="134"/>
      <c r="C49" s="135"/>
      <c r="D49" s="135"/>
      <c r="E49" s="136"/>
      <c r="F49" s="97"/>
      <c r="G49" s="97"/>
      <c r="H49" s="97"/>
      <c r="I49" s="98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7"/>
      <c r="DX49" s="97"/>
      <c r="DY49" s="97"/>
      <c r="DZ49" s="97"/>
      <c r="EA49" s="97"/>
      <c r="EB49" s="97"/>
      <c r="EC49" s="97"/>
      <c r="ED49" s="97"/>
      <c r="EE49" s="97"/>
      <c r="EF49" s="97"/>
      <c r="EG49" s="97"/>
    </row>
    <row r="50" spans="1:137" s="94" customFormat="1" ht="20.25" hidden="1" customHeight="1" x14ac:dyDescent="0.2">
      <c r="A50" s="97"/>
      <c r="B50" s="134"/>
      <c r="C50" s="135"/>
      <c r="D50" s="135"/>
      <c r="E50" s="136"/>
      <c r="F50" s="97"/>
      <c r="G50" s="97"/>
      <c r="H50" s="97"/>
      <c r="I50" s="98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97"/>
      <c r="CF50" s="97"/>
      <c r="CG50" s="97"/>
      <c r="CH50" s="97"/>
      <c r="CI50" s="97"/>
      <c r="CJ50" s="97"/>
      <c r="CK50" s="97"/>
      <c r="CL50" s="97"/>
      <c r="CM50" s="97"/>
      <c r="CN50" s="97"/>
      <c r="CO50" s="97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7"/>
      <c r="DJ50" s="97"/>
      <c r="DK50" s="97"/>
      <c r="DL50" s="97"/>
      <c r="DM50" s="97"/>
      <c r="DN50" s="97"/>
      <c r="DO50" s="97"/>
      <c r="DP50" s="97"/>
      <c r="DQ50" s="97"/>
      <c r="DR50" s="97"/>
      <c r="DS50" s="97"/>
      <c r="DT50" s="97"/>
      <c r="DU50" s="97"/>
      <c r="DV50" s="97"/>
      <c r="DW50" s="97"/>
      <c r="DX50" s="97"/>
      <c r="DY50" s="97"/>
      <c r="DZ50" s="97"/>
      <c r="EA50" s="97"/>
      <c r="EB50" s="97"/>
      <c r="EC50" s="97"/>
      <c r="ED50" s="97"/>
      <c r="EE50" s="97"/>
      <c r="EF50" s="97"/>
      <c r="EG50" s="97"/>
    </row>
    <row r="51" spans="1:137" s="94" customFormat="1" ht="20.25" hidden="1" customHeight="1" x14ac:dyDescent="0.2">
      <c r="A51" s="97"/>
      <c r="B51" s="134"/>
      <c r="C51" s="135"/>
      <c r="D51" s="135"/>
      <c r="E51" s="136"/>
      <c r="F51" s="97"/>
      <c r="G51" s="97"/>
      <c r="H51" s="97"/>
      <c r="I51" s="98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  <c r="DL51" s="97"/>
      <c r="DM51" s="97"/>
      <c r="DN51" s="97"/>
      <c r="DO51" s="97"/>
      <c r="DP51" s="97"/>
      <c r="DQ51" s="97"/>
      <c r="DR51" s="97"/>
      <c r="DS51" s="97"/>
      <c r="DT51" s="97"/>
      <c r="DU51" s="97"/>
      <c r="DV51" s="97"/>
      <c r="DW51" s="97"/>
      <c r="DX51" s="97"/>
      <c r="DY51" s="97"/>
      <c r="DZ51" s="97"/>
      <c r="EA51" s="97"/>
      <c r="EB51" s="97"/>
      <c r="EC51" s="97"/>
      <c r="ED51" s="97"/>
      <c r="EE51" s="97"/>
      <c r="EF51" s="97"/>
      <c r="EG51" s="97"/>
    </row>
    <row r="52" spans="1:137" s="94" customFormat="1" ht="20.25" customHeight="1" x14ac:dyDescent="0.2">
      <c r="A52" s="97"/>
      <c r="B52" s="107"/>
      <c r="C52" s="108"/>
      <c r="D52" s="108"/>
      <c r="E52" s="109"/>
      <c r="F52" s="97"/>
      <c r="G52" s="97"/>
      <c r="H52" s="97"/>
      <c r="I52" s="98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97"/>
      <c r="CF52" s="97"/>
      <c r="CG52" s="97"/>
      <c r="CH52" s="97"/>
      <c r="CI52" s="97"/>
      <c r="CJ52" s="97"/>
      <c r="CK52" s="97"/>
      <c r="CL52" s="97"/>
      <c r="CM52" s="97"/>
      <c r="CN52" s="97"/>
      <c r="CO52" s="97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97"/>
      <c r="DA52" s="97"/>
      <c r="DB52" s="97"/>
      <c r="DC52" s="97"/>
      <c r="DD52" s="97"/>
      <c r="DE52" s="97"/>
      <c r="DF52" s="97"/>
      <c r="DG52" s="97"/>
      <c r="DH52" s="97"/>
      <c r="DI52" s="97"/>
      <c r="DJ52" s="97"/>
      <c r="DK52" s="97"/>
      <c r="DL52" s="97"/>
      <c r="DM52" s="97"/>
      <c r="DN52" s="97"/>
      <c r="DO52" s="97"/>
      <c r="DP52" s="97"/>
      <c r="DQ52" s="97"/>
      <c r="DR52" s="97"/>
      <c r="DS52" s="97"/>
      <c r="DT52" s="97"/>
      <c r="DU52" s="97"/>
      <c r="DV52" s="97"/>
      <c r="DW52" s="97"/>
      <c r="DX52" s="97"/>
      <c r="DY52" s="97"/>
      <c r="DZ52" s="97"/>
      <c r="EA52" s="97"/>
      <c r="EB52" s="97"/>
      <c r="EC52" s="97"/>
      <c r="ED52" s="97"/>
      <c r="EE52" s="97"/>
      <c r="EF52" s="97"/>
      <c r="EG52" s="97"/>
    </row>
    <row r="53" spans="1:137" s="94" customFormat="1" ht="20.25" customHeight="1" x14ac:dyDescent="0.2">
      <c r="A53" s="97"/>
      <c r="B53" s="134" t="s">
        <v>118</v>
      </c>
      <c r="C53" s="135"/>
      <c r="D53" s="135"/>
      <c r="E53" s="136"/>
      <c r="F53" s="97"/>
      <c r="G53" s="97"/>
      <c r="H53" s="97"/>
      <c r="I53" s="98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  <c r="DY53" s="97"/>
      <c r="DZ53" s="97"/>
      <c r="EA53" s="97"/>
      <c r="EB53" s="97"/>
      <c r="EC53" s="97"/>
      <c r="ED53" s="97"/>
      <c r="EE53" s="97"/>
      <c r="EF53" s="97"/>
      <c r="EG53" s="97"/>
    </row>
    <row r="54" spans="1:137" s="94" customFormat="1" ht="24.75" customHeight="1" x14ac:dyDescent="0.2">
      <c r="A54" s="97"/>
      <c r="B54" s="107"/>
      <c r="C54" s="108"/>
      <c r="D54" s="108"/>
      <c r="E54" s="109"/>
      <c r="F54" s="97"/>
      <c r="G54" s="97"/>
      <c r="H54" s="97"/>
      <c r="I54" s="98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97"/>
      <c r="CF54" s="97"/>
      <c r="CG54" s="97"/>
      <c r="CH54" s="97"/>
      <c r="CI54" s="97"/>
      <c r="CJ54" s="97"/>
      <c r="CK54" s="97"/>
      <c r="CL54" s="97"/>
      <c r="CM54" s="97"/>
      <c r="CN54" s="97"/>
      <c r="CO54" s="97"/>
      <c r="CP54" s="97"/>
      <c r="CQ54" s="97"/>
      <c r="CR54" s="97"/>
      <c r="CS54" s="97"/>
      <c r="CT54" s="97"/>
      <c r="CU54" s="97"/>
      <c r="CV54" s="97"/>
      <c r="CW54" s="97"/>
      <c r="CX54" s="97"/>
      <c r="CY54" s="97"/>
      <c r="CZ54" s="97"/>
      <c r="DA54" s="97"/>
      <c r="DB54" s="97"/>
      <c r="DC54" s="97"/>
      <c r="DD54" s="97"/>
      <c r="DE54" s="97"/>
      <c r="DF54" s="97"/>
      <c r="DG54" s="97"/>
      <c r="DH54" s="97"/>
      <c r="DI54" s="97"/>
      <c r="DJ54" s="97"/>
      <c r="DK54" s="97"/>
      <c r="DL54" s="97"/>
      <c r="DM54" s="97"/>
      <c r="DN54" s="97"/>
      <c r="DO54" s="97"/>
      <c r="DP54" s="97"/>
      <c r="DQ54" s="97"/>
      <c r="DR54" s="97"/>
      <c r="DS54" s="97"/>
      <c r="DT54" s="97"/>
      <c r="DU54" s="97"/>
      <c r="DV54" s="97"/>
      <c r="DW54" s="97"/>
      <c r="DX54" s="97"/>
      <c r="DY54" s="97"/>
      <c r="DZ54" s="97"/>
      <c r="EA54" s="97"/>
      <c r="EB54" s="97"/>
      <c r="EC54" s="97"/>
      <c r="ED54" s="97"/>
      <c r="EE54" s="97"/>
      <c r="EF54" s="97"/>
      <c r="EG54" s="97"/>
    </row>
    <row r="55" spans="1:137" s="94" customFormat="1" ht="25.5" customHeight="1" x14ac:dyDescent="0.2">
      <c r="A55" s="97"/>
      <c r="B55" s="125" t="s">
        <v>119</v>
      </c>
      <c r="C55" s="111"/>
      <c r="D55" s="111"/>
      <c r="E55" s="112"/>
      <c r="F55" s="97"/>
      <c r="G55" s="97"/>
      <c r="H55" s="97"/>
      <c r="I55" s="98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7"/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7"/>
      <c r="DJ55" s="97"/>
      <c r="DK55" s="97"/>
      <c r="DL55" s="97"/>
      <c r="DM55" s="97"/>
      <c r="DN55" s="97"/>
      <c r="DO55" s="97"/>
      <c r="DP55" s="97"/>
      <c r="DQ55" s="97"/>
      <c r="DR55" s="97"/>
      <c r="DS55" s="97"/>
      <c r="DT55" s="97"/>
      <c r="DU55" s="97"/>
      <c r="DV55" s="97"/>
      <c r="DW55" s="97"/>
      <c r="DX55" s="97"/>
      <c r="DY55" s="97"/>
      <c r="DZ55" s="97"/>
      <c r="EA55" s="97"/>
      <c r="EB55" s="97"/>
      <c r="EC55" s="97"/>
      <c r="ED55" s="97"/>
      <c r="EE55" s="97"/>
      <c r="EF55" s="97"/>
      <c r="EG55" s="97"/>
    </row>
    <row r="56" spans="1:137" s="94" customFormat="1" ht="22.5" customHeight="1" thickBot="1" x14ac:dyDescent="0.25">
      <c r="A56" s="97"/>
      <c r="B56" s="113" t="s">
        <v>120</v>
      </c>
      <c r="C56" s="103"/>
      <c r="D56" s="103"/>
      <c r="E56" s="104"/>
      <c r="F56" s="97"/>
      <c r="G56" s="97"/>
      <c r="H56" s="97"/>
      <c r="I56" s="98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/>
      <c r="CI56" s="97"/>
      <c r="CJ56" s="97"/>
      <c r="CK56" s="97"/>
      <c r="CL56" s="97"/>
      <c r="CM56" s="97"/>
      <c r="CN56" s="97"/>
      <c r="CO56" s="97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7"/>
      <c r="DJ56" s="97"/>
      <c r="DK56" s="97"/>
      <c r="DL56" s="97"/>
      <c r="DM56" s="97"/>
      <c r="DN56" s="97"/>
      <c r="DO56" s="97"/>
      <c r="DP56" s="97"/>
      <c r="DQ56" s="97"/>
      <c r="DR56" s="97"/>
      <c r="DS56" s="97"/>
      <c r="DT56" s="97"/>
      <c r="DU56" s="97"/>
      <c r="DV56" s="97"/>
      <c r="DW56" s="97"/>
      <c r="DX56" s="97"/>
      <c r="DY56" s="97"/>
      <c r="DZ56" s="97"/>
      <c r="EA56" s="97"/>
      <c r="EB56" s="97"/>
      <c r="EC56" s="97"/>
      <c r="ED56" s="97"/>
      <c r="EE56" s="97"/>
      <c r="EF56" s="97"/>
      <c r="EG56" s="97"/>
    </row>
    <row r="57" spans="1:137" ht="13.5" thickBot="1" x14ac:dyDescent="0.25">
      <c r="A57" s="97"/>
      <c r="B57" s="97"/>
      <c r="C57" s="97"/>
      <c r="D57" s="97"/>
      <c r="E57" s="97"/>
      <c r="F57" s="97"/>
      <c r="G57" s="97"/>
      <c r="H57" s="97"/>
      <c r="I57" s="98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CI57" s="97"/>
      <c r="CJ57" s="97"/>
      <c r="CK57" s="97"/>
      <c r="CL57" s="97"/>
      <c r="CM57" s="97"/>
      <c r="CN57" s="97"/>
      <c r="CO57" s="97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7"/>
      <c r="DJ57" s="97"/>
      <c r="DK57" s="97"/>
      <c r="DL57" s="97"/>
      <c r="DM57" s="97"/>
      <c r="DN57" s="97"/>
      <c r="DO57" s="97"/>
      <c r="DP57" s="97"/>
      <c r="DQ57" s="97"/>
      <c r="DR57" s="97"/>
      <c r="DS57" s="97"/>
      <c r="DT57" s="97"/>
      <c r="DU57" s="97"/>
      <c r="DV57" s="97"/>
      <c r="DW57" s="97"/>
      <c r="DX57" s="97"/>
      <c r="DY57" s="97"/>
      <c r="DZ57" s="97"/>
      <c r="EA57" s="97"/>
      <c r="EB57" s="97"/>
      <c r="EC57" s="97"/>
      <c r="ED57" s="97"/>
      <c r="EE57" s="97"/>
      <c r="EF57" s="97"/>
      <c r="EG57" s="97"/>
    </row>
    <row r="58" spans="1:137" s="94" customFormat="1" ht="18.75" customHeight="1" x14ac:dyDescent="0.2">
      <c r="A58" s="97"/>
      <c r="B58" s="124" t="s">
        <v>121</v>
      </c>
      <c r="C58" s="106"/>
      <c r="D58" s="95"/>
      <c r="E58" s="96"/>
      <c r="F58" s="97"/>
      <c r="G58" s="97"/>
      <c r="H58" s="97"/>
      <c r="I58" s="98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97"/>
      <c r="CF58" s="97"/>
      <c r="CG58" s="97"/>
      <c r="CH58" s="97"/>
      <c r="CI58" s="97"/>
      <c r="CJ58" s="97"/>
      <c r="CK58" s="97"/>
      <c r="CL58" s="97"/>
      <c r="CM58" s="97"/>
      <c r="CN58" s="97"/>
      <c r="CO58" s="97"/>
      <c r="CP58" s="97"/>
      <c r="CQ58" s="97"/>
      <c r="CR58" s="97"/>
      <c r="CS58" s="97"/>
      <c r="CT58" s="97"/>
      <c r="CU58" s="97"/>
      <c r="CV58" s="97"/>
      <c r="CW58" s="97"/>
      <c r="CX58" s="97"/>
      <c r="CY58" s="97"/>
      <c r="CZ58" s="97"/>
      <c r="DA58" s="97"/>
      <c r="DB58" s="97"/>
      <c r="DC58" s="97"/>
      <c r="DD58" s="97"/>
      <c r="DE58" s="97"/>
      <c r="DF58" s="97"/>
      <c r="DG58" s="97"/>
      <c r="DH58" s="97"/>
      <c r="DI58" s="97"/>
      <c r="DJ58" s="97"/>
      <c r="DK58" s="97"/>
      <c r="DL58" s="97"/>
      <c r="DM58" s="97"/>
      <c r="DN58" s="97"/>
      <c r="DO58" s="97"/>
      <c r="DP58" s="97"/>
      <c r="DQ58" s="97"/>
      <c r="DR58" s="97"/>
      <c r="DS58" s="97"/>
      <c r="DT58" s="97"/>
      <c r="DU58" s="97"/>
      <c r="DV58" s="97"/>
      <c r="DW58" s="97"/>
      <c r="DX58" s="97"/>
      <c r="DY58" s="97"/>
      <c r="DZ58" s="97"/>
      <c r="EA58" s="97"/>
      <c r="EB58" s="97"/>
      <c r="EC58" s="97"/>
      <c r="ED58" s="97"/>
      <c r="EE58" s="97"/>
      <c r="EF58" s="97"/>
      <c r="EG58" s="97"/>
    </row>
    <row r="59" spans="1:137" s="94" customFormat="1" ht="18.75" customHeight="1" x14ac:dyDescent="0.2">
      <c r="A59" s="97"/>
      <c r="B59" s="123"/>
      <c r="C59" s="120"/>
      <c r="D59" s="100"/>
      <c r="E59" s="117" t="s">
        <v>115</v>
      </c>
      <c r="F59" s="97"/>
      <c r="G59" s="97"/>
      <c r="H59" s="97"/>
      <c r="I59" s="98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7"/>
      <c r="BT59" s="97"/>
      <c r="BU59" s="97"/>
      <c r="BV59" s="97"/>
      <c r="BW59" s="97"/>
      <c r="BX59" s="97"/>
      <c r="BY59" s="97"/>
      <c r="BZ59" s="97"/>
      <c r="CA59" s="97"/>
      <c r="CB59" s="97"/>
      <c r="CC59" s="97"/>
      <c r="CD59" s="97"/>
      <c r="CE59" s="97"/>
      <c r="CF59" s="97"/>
      <c r="CG59" s="97"/>
      <c r="CH59" s="97"/>
      <c r="CI59" s="97"/>
      <c r="CJ59" s="97"/>
      <c r="CK59" s="97"/>
      <c r="CL59" s="97"/>
      <c r="CM59" s="97"/>
      <c r="CN59" s="97"/>
      <c r="CO59" s="97"/>
      <c r="CP59" s="97"/>
      <c r="CQ59" s="97"/>
      <c r="CR59" s="97"/>
      <c r="CS59" s="97"/>
      <c r="CT59" s="97"/>
      <c r="CU59" s="97"/>
      <c r="CV59" s="97"/>
      <c r="CW59" s="97"/>
      <c r="CX59" s="97"/>
      <c r="CY59" s="97"/>
      <c r="CZ59" s="97"/>
      <c r="DA59" s="97"/>
      <c r="DB59" s="97"/>
      <c r="DC59" s="97"/>
      <c r="DD59" s="97"/>
      <c r="DE59" s="97"/>
      <c r="DF59" s="97"/>
      <c r="DG59" s="97"/>
      <c r="DH59" s="97"/>
      <c r="DI59" s="97"/>
      <c r="DJ59" s="97"/>
      <c r="DK59" s="97"/>
      <c r="DL59" s="97"/>
      <c r="DM59" s="97"/>
      <c r="DN59" s="97"/>
      <c r="DO59" s="97"/>
      <c r="DP59" s="97"/>
      <c r="DQ59" s="97"/>
      <c r="DR59" s="97"/>
      <c r="DS59" s="97"/>
      <c r="DT59" s="97"/>
      <c r="DU59" s="97"/>
      <c r="DV59" s="97"/>
      <c r="DW59" s="97"/>
      <c r="DX59" s="97"/>
      <c r="DY59" s="97"/>
      <c r="DZ59" s="97"/>
      <c r="EA59" s="97"/>
      <c r="EB59" s="97"/>
      <c r="EC59" s="97"/>
      <c r="ED59" s="97"/>
      <c r="EE59" s="97"/>
      <c r="EF59" s="97"/>
      <c r="EG59" s="97"/>
    </row>
    <row r="60" spans="1:137" s="94" customFormat="1" ht="20.25" customHeight="1" x14ac:dyDescent="0.2">
      <c r="A60" s="97"/>
      <c r="B60" s="134" t="s">
        <v>116</v>
      </c>
      <c r="C60" s="135"/>
      <c r="D60" s="135"/>
      <c r="E60" s="136"/>
      <c r="F60" s="97"/>
      <c r="G60" s="97"/>
      <c r="H60" s="97"/>
      <c r="I60" s="98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  <c r="BS60" s="97"/>
      <c r="BT60" s="97"/>
      <c r="BU60" s="97"/>
      <c r="BV60" s="97"/>
      <c r="BW60" s="97"/>
      <c r="BX60" s="97"/>
      <c r="BY60" s="97"/>
      <c r="BZ60" s="97"/>
      <c r="CA60" s="97"/>
      <c r="CB60" s="97"/>
      <c r="CC60" s="97"/>
      <c r="CD60" s="97"/>
      <c r="CE60" s="97"/>
      <c r="CF60" s="97"/>
      <c r="CG60" s="97"/>
      <c r="CH60" s="97"/>
      <c r="CI60" s="97"/>
      <c r="CJ60" s="97"/>
      <c r="CK60" s="97"/>
      <c r="CL60" s="97"/>
      <c r="CM60" s="97"/>
      <c r="CN60" s="97"/>
      <c r="CO60" s="97"/>
      <c r="CP60" s="97"/>
      <c r="CQ60" s="97"/>
      <c r="CR60" s="97"/>
      <c r="CS60" s="97"/>
      <c r="CT60" s="97"/>
      <c r="CU60" s="97"/>
      <c r="CV60" s="97"/>
      <c r="CW60" s="97"/>
      <c r="CX60" s="97"/>
      <c r="CY60" s="97"/>
      <c r="CZ60" s="97"/>
      <c r="DA60" s="97"/>
      <c r="DB60" s="97"/>
      <c r="DC60" s="97"/>
      <c r="DD60" s="97"/>
      <c r="DE60" s="97"/>
      <c r="DF60" s="97"/>
      <c r="DG60" s="97"/>
      <c r="DH60" s="97"/>
      <c r="DI60" s="97"/>
      <c r="DJ60" s="97"/>
      <c r="DK60" s="97"/>
      <c r="DL60" s="97"/>
      <c r="DM60" s="97"/>
      <c r="DN60" s="97"/>
      <c r="DO60" s="97"/>
      <c r="DP60" s="97"/>
      <c r="DQ60" s="97"/>
      <c r="DR60" s="97"/>
      <c r="DS60" s="97"/>
      <c r="DT60" s="97"/>
      <c r="DU60" s="97"/>
      <c r="DV60" s="97"/>
      <c r="DW60" s="97"/>
      <c r="DX60" s="97"/>
      <c r="DY60" s="97"/>
      <c r="DZ60" s="97"/>
      <c r="EA60" s="97"/>
      <c r="EB60" s="97"/>
      <c r="EC60" s="97"/>
      <c r="ED60" s="97"/>
      <c r="EE60" s="97"/>
      <c r="EF60" s="97"/>
      <c r="EG60" s="97"/>
    </row>
    <row r="61" spans="1:137" s="94" customFormat="1" ht="24.75" customHeight="1" x14ac:dyDescent="0.2">
      <c r="A61" s="97"/>
      <c r="B61" s="134"/>
      <c r="C61" s="135"/>
      <c r="D61" s="135"/>
      <c r="E61" s="136"/>
      <c r="F61" s="97"/>
      <c r="G61" s="97"/>
      <c r="H61" s="97"/>
      <c r="I61" s="98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  <c r="BS61" s="97"/>
      <c r="BT61" s="97"/>
      <c r="BU61" s="97"/>
      <c r="BV61" s="97"/>
      <c r="BW61" s="97"/>
      <c r="BX61" s="97"/>
      <c r="BY61" s="97"/>
      <c r="BZ61" s="97"/>
      <c r="CA61" s="97"/>
      <c r="CB61" s="97"/>
      <c r="CC61" s="97"/>
      <c r="CD61" s="97"/>
      <c r="CE61" s="97"/>
      <c r="CF61" s="97"/>
      <c r="CG61" s="97"/>
      <c r="CH61" s="97"/>
      <c r="CI61" s="97"/>
      <c r="CJ61" s="97"/>
      <c r="CK61" s="97"/>
      <c r="CL61" s="97"/>
      <c r="CM61" s="97"/>
      <c r="CN61" s="97"/>
      <c r="CO61" s="97"/>
      <c r="CP61" s="97"/>
      <c r="CQ61" s="97"/>
      <c r="CR61" s="97"/>
      <c r="CS61" s="97"/>
      <c r="CT61" s="97"/>
      <c r="CU61" s="97"/>
      <c r="CV61" s="97"/>
      <c r="CW61" s="97"/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7"/>
      <c r="DX61" s="97"/>
      <c r="DY61" s="97"/>
      <c r="DZ61" s="97"/>
      <c r="EA61" s="97"/>
      <c r="EB61" s="97"/>
      <c r="EC61" s="97"/>
      <c r="ED61" s="97"/>
      <c r="EE61" s="97"/>
      <c r="EF61" s="97"/>
      <c r="EG61" s="97"/>
    </row>
    <row r="62" spans="1:137" s="94" customFormat="1" ht="24.75" customHeight="1" x14ac:dyDescent="0.2">
      <c r="A62" s="97"/>
      <c r="B62" s="107"/>
      <c r="C62" s="108"/>
      <c r="D62" s="108"/>
      <c r="E62" s="109"/>
      <c r="F62" s="97"/>
      <c r="G62" s="97"/>
      <c r="H62" s="97"/>
      <c r="I62" s="98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97"/>
      <c r="CE62" s="97"/>
      <c r="CF62" s="97"/>
      <c r="CG62" s="97"/>
      <c r="CH62" s="97"/>
      <c r="CI62" s="97"/>
      <c r="CJ62" s="97"/>
      <c r="CK62" s="97"/>
      <c r="CL62" s="97"/>
      <c r="CM62" s="97"/>
      <c r="CN62" s="97"/>
      <c r="CO62" s="97"/>
      <c r="CP62" s="97"/>
      <c r="CQ62" s="97"/>
      <c r="CR62" s="97"/>
      <c r="CS62" s="97"/>
      <c r="CT62" s="97"/>
      <c r="CU62" s="97"/>
      <c r="CV62" s="97"/>
      <c r="CW62" s="97"/>
      <c r="CX62" s="97"/>
      <c r="CY62" s="97"/>
      <c r="CZ62" s="97"/>
      <c r="DA62" s="97"/>
      <c r="DB62" s="97"/>
      <c r="DC62" s="97"/>
      <c r="DD62" s="97"/>
      <c r="DE62" s="97"/>
      <c r="DF62" s="97"/>
      <c r="DG62" s="97"/>
      <c r="DH62" s="97"/>
      <c r="DI62" s="97"/>
      <c r="DJ62" s="97"/>
      <c r="DK62" s="97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97"/>
      <c r="DW62" s="97"/>
      <c r="DX62" s="97"/>
      <c r="DY62" s="97"/>
      <c r="DZ62" s="97"/>
      <c r="EA62" s="97"/>
      <c r="EB62" s="97"/>
      <c r="EC62" s="97"/>
      <c r="ED62" s="97"/>
      <c r="EE62" s="97"/>
      <c r="EF62" s="97"/>
      <c r="EG62" s="97"/>
    </row>
    <row r="63" spans="1:137" s="94" customFormat="1" x14ac:dyDescent="0.2">
      <c r="A63" s="97"/>
      <c r="B63" s="134" t="s">
        <v>125</v>
      </c>
      <c r="C63" s="135"/>
      <c r="D63" s="135"/>
      <c r="E63" s="136"/>
      <c r="F63" s="97"/>
      <c r="G63" s="97"/>
      <c r="H63" s="97"/>
      <c r="I63" s="98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97"/>
      <c r="CC63" s="97"/>
      <c r="CD63" s="97"/>
      <c r="CE63" s="97"/>
      <c r="CF63" s="97"/>
      <c r="CG63" s="97"/>
      <c r="CH63" s="97"/>
      <c r="CI63" s="97"/>
      <c r="CJ63" s="97"/>
      <c r="CK63" s="97"/>
      <c r="CL63" s="97"/>
      <c r="CM63" s="97"/>
      <c r="CN63" s="97"/>
      <c r="CO63" s="97"/>
      <c r="CP63" s="97"/>
      <c r="CQ63" s="97"/>
      <c r="CR63" s="97"/>
      <c r="CS63" s="97"/>
      <c r="CT63" s="97"/>
      <c r="CU63" s="97"/>
      <c r="CV63" s="97"/>
      <c r="CW63" s="97"/>
      <c r="CX63" s="97"/>
      <c r="CY63" s="97"/>
      <c r="CZ63" s="97"/>
      <c r="DA63" s="97"/>
      <c r="DB63" s="97"/>
      <c r="DC63" s="97"/>
      <c r="DD63" s="97"/>
      <c r="DE63" s="97"/>
      <c r="DF63" s="97"/>
      <c r="DG63" s="97"/>
      <c r="DH63" s="97"/>
      <c r="DI63" s="97"/>
      <c r="DJ63" s="97"/>
      <c r="DK63" s="97"/>
      <c r="DL63" s="97"/>
      <c r="DM63" s="97"/>
      <c r="DN63" s="97"/>
      <c r="DO63" s="97"/>
      <c r="DP63" s="97"/>
      <c r="DQ63" s="97"/>
      <c r="DR63" s="97"/>
      <c r="DS63" s="97"/>
      <c r="DT63" s="97"/>
      <c r="DU63" s="97"/>
      <c r="DV63" s="97"/>
      <c r="DW63" s="97"/>
      <c r="DX63" s="97"/>
      <c r="DY63" s="97"/>
      <c r="DZ63" s="97"/>
      <c r="EA63" s="97"/>
      <c r="EB63" s="97"/>
      <c r="EC63" s="97"/>
      <c r="ED63" s="97"/>
      <c r="EE63" s="97"/>
      <c r="EF63" s="97"/>
      <c r="EG63" s="97"/>
    </row>
    <row r="64" spans="1:137" s="94" customFormat="1" x14ac:dyDescent="0.2">
      <c r="A64" s="97"/>
      <c r="B64" s="107"/>
      <c r="C64" s="108"/>
      <c r="D64" s="108"/>
      <c r="E64" s="109"/>
      <c r="F64" s="97"/>
      <c r="G64" s="97"/>
      <c r="H64" s="97"/>
      <c r="I64" s="98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7"/>
      <c r="BS64" s="97"/>
      <c r="BT64" s="97"/>
      <c r="BU64" s="97"/>
      <c r="BV64" s="97"/>
      <c r="BW64" s="97"/>
      <c r="BX64" s="97"/>
      <c r="BY64" s="97"/>
      <c r="BZ64" s="97"/>
      <c r="CA64" s="97"/>
      <c r="CB64" s="97"/>
      <c r="CC64" s="97"/>
      <c r="CD64" s="97"/>
      <c r="CE64" s="97"/>
      <c r="CF64" s="97"/>
      <c r="CG64" s="97"/>
      <c r="CH64" s="97"/>
      <c r="CI64" s="97"/>
      <c r="CJ64" s="97"/>
      <c r="CK64" s="97"/>
      <c r="CL64" s="97"/>
      <c r="CM64" s="97"/>
      <c r="CN64" s="97"/>
      <c r="CO64" s="97"/>
      <c r="CP64" s="97"/>
      <c r="CQ64" s="97"/>
      <c r="CR64" s="97"/>
      <c r="CS64" s="97"/>
      <c r="CT64" s="97"/>
      <c r="CU64" s="97"/>
      <c r="CV64" s="97"/>
      <c r="CW64" s="97"/>
      <c r="CX64" s="97"/>
      <c r="CY64" s="97"/>
      <c r="CZ64" s="97"/>
      <c r="DA64" s="97"/>
      <c r="DB64" s="97"/>
      <c r="DC64" s="97"/>
      <c r="DD64" s="97"/>
      <c r="DE64" s="97"/>
      <c r="DF64" s="97"/>
      <c r="DG64" s="97"/>
      <c r="DH64" s="97"/>
      <c r="DI64" s="97"/>
      <c r="DJ64" s="97"/>
      <c r="DK64" s="97"/>
      <c r="DL64" s="97"/>
      <c r="DM64" s="97"/>
      <c r="DN64" s="97"/>
      <c r="DO64" s="97"/>
      <c r="DP64" s="97"/>
      <c r="DQ64" s="97"/>
      <c r="DR64" s="97"/>
      <c r="DS64" s="97"/>
      <c r="DT64" s="97"/>
      <c r="DU64" s="97"/>
      <c r="DV64" s="97"/>
      <c r="DW64" s="97"/>
      <c r="DX64" s="97"/>
      <c r="DY64" s="97"/>
      <c r="DZ64" s="97"/>
      <c r="EA64" s="97"/>
      <c r="EB64" s="97"/>
      <c r="EC64" s="97"/>
      <c r="ED64" s="97"/>
      <c r="EE64" s="97"/>
      <c r="EF64" s="97"/>
      <c r="EG64" s="97"/>
    </row>
    <row r="65" spans="1:137" s="94" customFormat="1" ht="29.25" thickBot="1" x14ac:dyDescent="0.25">
      <c r="A65" s="97"/>
      <c r="B65" s="125" t="s">
        <v>119</v>
      </c>
      <c r="C65" s="111"/>
      <c r="D65" s="111"/>
      <c r="E65" s="112"/>
      <c r="F65" s="97"/>
      <c r="G65" s="97"/>
      <c r="H65" s="97"/>
      <c r="I65" s="98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97"/>
      <c r="BR65" s="97"/>
      <c r="BS65" s="97"/>
      <c r="BT65" s="97"/>
      <c r="BU65" s="97"/>
      <c r="BV65" s="97"/>
      <c r="BW65" s="97"/>
      <c r="BX65" s="97"/>
      <c r="BY65" s="97"/>
      <c r="BZ65" s="97"/>
      <c r="CA65" s="97"/>
      <c r="CB65" s="97"/>
      <c r="CC65" s="97"/>
      <c r="CD65" s="97"/>
      <c r="CE65" s="97"/>
      <c r="CF65" s="97"/>
      <c r="CG65" s="97"/>
      <c r="CH65" s="97"/>
      <c r="CI65" s="97"/>
      <c r="CJ65" s="97"/>
      <c r="CK65" s="97"/>
      <c r="CL65" s="97"/>
      <c r="CM65" s="97"/>
      <c r="CN65" s="97"/>
      <c r="CO65" s="97"/>
      <c r="CP65" s="97"/>
      <c r="CQ65" s="97"/>
      <c r="CR65" s="97"/>
      <c r="CS65" s="97"/>
      <c r="CT65" s="97"/>
      <c r="CU65" s="97"/>
      <c r="CV65" s="97"/>
      <c r="CW65" s="97"/>
      <c r="CX65" s="97"/>
      <c r="CY65" s="97"/>
      <c r="CZ65" s="97"/>
      <c r="DA65" s="97"/>
      <c r="DB65" s="97"/>
      <c r="DC65" s="97"/>
      <c r="DD65" s="97"/>
      <c r="DE65" s="97"/>
      <c r="DF65" s="97"/>
      <c r="DG65" s="97"/>
      <c r="DH65" s="97"/>
      <c r="DI65" s="97"/>
      <c r="DJ65" s="97"/>
      <c r="DK65" s="97"/>
      <c r="DL65" s="97"/>
      <c r="DM65" s="97"/>
      <c r="DN65" s="97"/>
      <c r="DO65" s="97"/>
      <c r="DP65" s="97"/>
      <c r="DQ65" s="97"/>
      <c r="DR65" s="97"/>
      <c r="DS65" s="97"/>
      <c r="DT65" s="97"/>
      <c r="DU65" s="97"/>
      <c r="DV65" s="97"/>
      <c r="DW65" s="97"/>
      <c r="DX65" s="97"/>
      <c r="DY65" s="97"/>
      <c r="DZ65" s="97"/>
      <c r="EA65" s="97"/>
      <c r="EB65" s="97"/>
      <c r="EC65" s="97"/>
      <c r="ED65" s="97"/>
      <c r="EE65" s="97"/>
      <c r="EF65" s="97"/>
      <c r="EG65" s="97"/>
    </row>
    <row r="66" spans="1:137" s="94" customFormat="1" ht="27.75" customHeight="1" thickBot="1" x14ac:dyDescent="0.25">
      <c r="A66" s="97"/>
      <c r="B66" s="127" t="s">
        <v>126</v>
      </c>
      <c r="C66" s="103"/>
      <c r="D66" s="103"/>
      <c r="E66" s="104"/>
      <c r="F66" s="97"/>
      <c r="G66" s="97"/>
      <c r="H66" s="97"/>
      <c r="I66" s="98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/>
      <c r="BY66" s="97"/>
      <c r="BZ66" s="97"/>
      <c r="CA66" s="97"/>
      <c r="CB66" s="97"/>
      <c r="CC66" s="97"/>
      <c r="CD66" s="97"/>
      <c r="CE66" s="97"/>
      <c r="CF66" s="97"/>
      <c r="CG66" s="97"/>
      <c r="CH66" s="97"/>
      <c r="CI66" s="97"/>
      <c r="CJ66" s="97"/>
      <c r="CK66" s="97"/>
      <c r="CL66" s="97"/>
      <c r="CM66" s="97"/>
      <c r="CN66" s="97"/>
      <c r="CO66" s="97"/>
      <c r="CP66" s="97"/>
      <c r="CQ66" s="97"/>
      <c r="CR66" s="97"/>
      <c r="CS66" s="97"/>
      <c r="CT66" s="97"/>
      <c r="CU66" s="97"/>
      <c r="CV66" s="97"/>
      <c r="CW66" s="97"/>
      <c r="CX66" s="97"/>
      <c r="CY66" s="97"/>
      <c r="CZ66" s="97"/>
      <c r="DA66" s="97"/>
      <c r="DB66" s="97"/>
      <c r="DC66" s="97"/>
      <c r="DD66" s="97"/>
      <c r="DE66" s="97"/>
      <c r="DF66" s="97"/>
      <c r="DG66" s="97"/>
      <c r="DH66" s="97"/>
      <c r="DI66" s="97"/>
      <c r="DJ66" s="97"/>
      <c r="DK66" s="97"/>
      <c r="DL66" s="97"/>
      <c r="DM66" s="97"/>
      <c r="DN66" s="97"/>
      <c r="DO66" s="97"/>
      <c r="DP66" s="97"/>
      <c r="DQ66" s="97"/>
      <c r="DR66" s="97"/>
      <c r="DS66" s="97"/>
      <c r="DT66" s="97"/>
      <c r="DU66" s="97"/>
      <c r="DV66" s="97"/>
      <c r="DW66" s="97"/>
      <c r="DX66" s="97"/>
      <c r="DY66" s="97"/>
      <c r="DZ66" s="97"/>
      <c r="EA66" s="97"/>
      <c r="EB66" s="97"/>
      <c r="EC66" s="97"/>
      <c r="ED66" s="97"/>
      <c r="EE66" s="97"/>
      <c r="EF66" s="97"/>
      <c r="EG66" s="97"/>
    </row>
    <row r="67" spans="1:137" s="94" customFormat="1" ht="27.75" customHeight="1" thickBot="1" x14ac:dyDescent="0.25">
      <c r="A67" s="97"/>
      <c r="B67" s="114"/>
      <c r="C67" s="100"/>
      <c r="D67" s="100"/>
      <c r="E67" s="100"/>
      <c r="F67" s="97"/>
      <c r="G67" s="97"/>
      <c r="H67" s="97"/>
      <c r="I67" s="98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  <c r="CL67" s="97"/>
      <c r="CM67" s="97"/>
      <c r="CN67" s="97"/>
      <c r="CO67" s="97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  <c r="DX67" s="97"/>
      <c r="DY67" s="97"/>
      <c r="DZ67" s="97"/>
      <c r="EA67" s="97"/>
      <c r="EB67" s="97"/>
      <c r="EC67" s="97"/>
      <c r="ED67" s="97"/>
      <c r="EE67" s="97"/>
      <c r="EF67" s="97"/>
      <c r="EG67" s="97"/>
    </row>
    <row r="68" spans="1:137" s="94" customFormat="1" ht="27.75" customHeight="1" x14ac:dyDescent="0.2">
      <c r="A68" s="97"/>
      <c r="B68" s="115" t="s">
        <v>123</v>
      </c>
      <c r="C68" s="106"/>
      <c r="D68" s="95"/>
      <c r="E68" s="96"/>
      <c r="F68" s="97"/>
      <c r="G68" s="97"/>
      <c r="H68" s="97"/>
      <c r="I68" s="98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97"/>
      <c r="BR68" s="97"/>
      <c r="BS68" s="97"/>
      <c r="BT68" s="97"/>
      <c r="BU68" s="97"/>
      <c r="BV68" s="97"/>
      <c r="BW68" s="97"/>
      <c r="BX68" s="97"/>
      <c r="BY68" s="97"/>
      <c r="BZ68" s="97"/>
      <c r="CA68" s="97"/>
      <c r="CB68" s="97"/>
      <c r="CC68" s="97"/>
      <c r="CD68" s="97"/>
      <c r="CE68" s="97"/>
      <c r="CF68" s="97"/>
      <c r="CG68" s="97"/>
      <c r="CH68" s="97"/>
      <c r="CI68" s="97"/>
      <c r="CJ68" s="97"/>
      <c r="CK68" s="97"/>
      <c r="CL68" s="97"/>
      <c r="CM68" s="97"/>
      <c r="CN68" s="97"/>
      <c r="CO68" s="97"/>
      <c r="CP68" s="97"/>
      <c r="CQ68" s="97"/>
      <c r="CR68" s="97"/>
      <c r="CS68" s="97"/>
      <c r="CT68" s="97"/>
      <c r="CU68" s="97"/>
      <c r="CV68" s="97"/>
      <c r="CW68" s="97"/>
      <c r="CX68" s="97"/>
      <c r="CY68" s="97"/>
      <c r="CZ68" s="97"/>
      <c r="DA68" s="97"/>
      <c r="DB68" s="97"/>
      <c r="DC68" s="97"/>
      <c r="DD68" s="97"/>
      <c r="DE68" s="97"/>
      <c r="DF68" s="97"/>
      <c r="DG68" s="97"/>
      <c r="DH68" s="97"/>
      <c r="DI68" s="97"/>
      <c r="DJ68" s="97"/>
      <c r="DK68" s="97"/>
      <c r="DL68" s="97"/>
      <c r="DM68" s="97"/>
      <c r="DN68" s="97"/>
      <c r="DO68" s="97"/>
      <c r="DP68" s="97"/>
      <c r="DQ68" s="97"/>
      <c r="DR68" s="97"/>
      <c r="DS68" s="97"/>
      <c r="DT68" s="97"/>
      <c r="DU68" s="97"/>
      <c r="DV68" s="97"/>
      <c r="DW68" s="97"/>
      <c r="DX68" s="97"/>
      <c r="DY68" s="97"/>
      <c r="DZ68" s="97"/>
      <c r="EA68" s="97"/>
      <c r="EB68" s="97"/>
      <c r="EC68" s="97"/>
      <c r="ED68" s="97"/>
      <c r="EE68" s="97"/>
      <c r="EF68" s="97"/>
      <c r="EG68" s="97"/>
    </row>
    <row r="69" spans="1:137" s="94" customFormat="1" ht="27.75" customHeight="1" x14ac:dyDescent="0.2">
      <c r="A69" s="97"/>
      <c r="B69" s="126"/>
      <c r="C69" s="120"/>
      <c r="D69" s="100"/>
      <c r="E69" s="117" t="s">
        <v>122</v>
      </c>
      <c r="F69" s="97"/>
      <c r="G69" s="97"/>
      <c r="H69" s="97"/>
      <c r="I69" s="98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  <c r="BP69" s="97"/>
      <c r="BQ69" s="97"/>
      <c r="BR69" s="97"/>
      <c r="BS69" s="97"/>
      <c r="BT69" s="97"/>
      <c r="BU69" s="97"/>
      <c r="BV69" s="97"/>
      <c r="BW69" s="97"/>
      <c r="BX69" s="97"/>
      <c r="BY69" s="97"/>
      <c r="BZ69" s="97"/>
      <c r="CA69" s="97"/>
      <c r="CB69" s="97"/>
      <c r="CC69" s="97"/>
      <c r="CD69" s="97"/>
      <c r="CE69" s="97"/>
      <c r="CF69" s="97"/>
      <c r="CG69" s="97"/>
      <c r="CH69" s="97"/>
      <c r="CI69" s="97"/>
      <c r="CJ69" s="97"/>
      <c r="CK69" s="97"/>
      <c r="CL69" s="97"/>
      <c r="CM69" s="97"/>
      <c r="CN69" s="97"/>
      <c r="CO69" s="97"/>
      <c r="CP69" s="97"/>
      <c r="CQ69" s="97"/>
      <c r="CR69" s="97"/>
      <c r="CS69" s="97"/>
      <c r="CT69" s="97"/>
      <c r="CU69" s="97"/>
      <c r="CV69" s="97"/>
      <c r="CW69" s="97"/>
      <c r="CX69" s="97"/>
      <c r="CY69" s="97"/>
      <c r="CZ69" s="97"/>
      <c r="DA69" s="97"/>
      <c r="DB69" s="97"/>
      <c r="DC69" s="97"/>
      <c r="DD69" s="97"/>
      <c r="DE69" s="97"/>
      <c r="DF69" s="97"/>
      <c r="DG69" s="97"/>
      <c r="DH69" s="97"/>
      <c r="DI69" s="97"/>
      <c r="DJ69" s="97"/>
      <c r="DK69" s="97"/>
      <c r="DL69" s="97"/>
      <c r="DM69" s="97"/>
      <c r="DN69" s="97"/>
      <c r="DO69" s="97"/>
      <c r="DP69" s="97"/>
      <c r="DQ69" s="97"/>
      <c r="DR69" s="97"/>
      <c r="DS69" s="97"/>
      <c r="DT69" s="97"/>
      <c r="DU69" s="97"/>
      <c r="DV69" s="97"/>
      <c r="DW69" s="97"/>
      <c r="DX69" s="97"/>
      <c r="DY69" s="97"/>
      <c r="DZ69" s="97"/>
      <c r="EA69" s="97"/>
      <c r="EB69" s="97"/>
      <c r="EC69" s="97"/>
      <c r="ED69" s="97"/>
      <c r="EE69" s="97"/>
      <c r="EF69" s="97"/>
      <c r="EG69" s="97"/>
    </row>
    <row r="70" spans="1:137" s="94" customFormat="1" ht="3" customHeight="1" x14ac:dyDescent="0.2">
      <c r="A70" s="97"/>
      <c r="B70" s="126"/>
      <c r="C70" s="120"/>
      <c r="D70" s="100"/>
      <c r="E70" s="101"/>
      <c r="F70" s="97"/>
      <c r="G70" s="97"/>
      <c r="H70" s="97"/>
      <c r="I70" s="98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7"/>
      <c r="CA70" s="97"/>
      <c r="CB70" s="97"/>
      <c r="CC70" s="97"/>
      <c r="CD70" s="97"/>
      <c r="CE70" s="97"/>
      <c r="CF70" s="97"/>
      <c r="CG70" s="97"/>
      <c r="CH70" s="97"/>
      <c r="CI70" s="97"/>
      <c r="CJ70" s="97"/>
      <c r="CK70" s="97"/>
      <c r="CL70" s="97"/>
      <c r="CM70" s="97"/>
      <c r="CN70" s="97"/>
      <c r="CO70" s="97"/>
      <c r="CP70" s="97"/>
      <c r="CQ70" s="97"/>
      <c r="CR70" s="97"/>
      <c r="CS70" s="97"/>
      <c r="CT70" s="97"/>
      <c r="CU70" s="97"/>
      <c r="CV70" s="97"/>
      <c r="CW70" s="97"/>
      <c r="CX70" s="97"/>
      <c r="CY70" s="97"/>
      <c r="CZ70" s="97"/>
      <c r="DA70" s="97"/>
      <c r="DB70" s="97"/>
      <c r="DC70" s="97"/>
      <c r="DD70" s="97"/>
      <c r="DE70" s="97"/>
      <c r="DF70" s="97"/>
      <c r="DG70" s="97"/>
      <c r="DH70" s="97"/>
      <c r="DI70" s="97"/>
      <c r="DJ70" s="97"/>
      <c r="DK70" s="97"/>
      <c r="DL70" s="97"/>
      <c r="DM70" s="97"/>
      <c r="DN70" s="97"/>
      <c r="DO70" s="97"/>
      <c r="DP70" s="97"/>
      <c r="DQ70" s="97"/>
      <c r="DR70" s="97"/>
      <c r="DS70" s="97"/>
      <c r="DT70" s="97"/>
      <c r="DU70" s="97"/>
      <c r="DV70" s="97"/>
      <c r="DW70" s="97"/>
      <c r="DX70" s="97"/>
      <c r="DY70" s="97"/>
      <c r="DZ70" s="97"/>
      <c r="EA70" s="97"/>
      <c r="EB70" s="97"/>
      <c r="EC70" s="97"/>
      <c r="ED70" s="97"/>
      <c r="EE70" s="97"/>
      <c r="EF70" s="97"/>
      <c r="EG70" s="97"/>
    </row>
    <row r="71" spans="1:137" s="94" customFormat="1" ht="10.5" customHeight="1" x14ac:dyDescent="0.2">
      <c r="A71" s="97"/>
      <c r="B71" s="134" t="s">
        <v>124</v>
      </c>
      <c r="C71" s="135"/>
      <c r="D71" s="135"/>
      <c r="E71" s="136"/>
      <c r="F71" s="97"/>
      <c r="G71" s="97"/>
      <c r="H71" s="97"/>
      <c r="I71" s="98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  <c r="BP71" s="97"/>
      <c r="BQ71" s="97"/>
      <c r="BR71" s="97"/>
      <c r="BS71" s="97"/>
      <c r="BT71" s="97"/>
      <c r="BU71" s="97"/>
      <c r="BV71" s="97"/>
      <c r="BW71" s="97"/>
      <c r="BX71" s="97"/>
      <c r="BY71" s="97"/>
      <c r="BZ71" s="97"/>
      <c r="CA71" s="97"/>
      <c r="CB71" s="97"/>
      <c r="CC71" s="97"/>
      <c r="CD71" s="97"/>
      <c r="CE71" s="97"/>
      <c r="CF71" s="97"/>
      <c r="CG71" s="97"/>
      <c r="CH71" s="97"/>
      <c r="CI71" s="97"/>
      <c r="CJ71" s="97"/>
      <c r="CK71" s="97"/>
      <c r="CL71" s="97"/>
      <c r="CM71" s="97"/>
      <c r="CN71" s="97"/>
      <c r="CO71" s="97"/>
      <c r="CP71" s="97"/>
      <c r="CQ71" s="97"/>
      <c r="CR71" s="97"/>
      <c r="CS71" s="97"/>
      <c r="CT71" s="97"/>
      <c r="CU71" s="97"/>
      <c r="CV71" s="97"/>
      <c r="CW71" s="97"/>
      <c r="CX71" s="97"/>
      <c r="CY71" s="97"/>
      <c r="CZ71" s="97"/>
      <c r="DA71" s="97"/>
      <c r="DB71" s="97"/>
      <c r="DC71" s="97"/>
      <c r="DD71" s="97"/>
      <c r="DE71" s="97"/>
      <c r="DF71" s="97"/>
      <c r="DG71" s="97"/>
      <c r="DH71" s="97"/>
      <c r="DI71" s="97"/>
      <c r="DJ71" s="97"/>
      <c r="DK71" s="97"/>
      <c r="DL71" s="97"/>
      <c r="DM71" s="97"/>
      <c r="DN71" s="97"/>
      <c r="DO71" s="97"/>
      <c r="DP71" s="97"/>
      <c r="DQ71" s="97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7"/>
      <c r="ED71" s="97"/>
      <c r="EE71" s="97"/>
      <c r="EF71" s="97"/>
      <c r="EG71" s="97"/>
    </row>
    <row r="72" spans="1:137" s="94" customFormat="1" ht="27" customHeight="1" x14ac:dyDescent="0.2">
      <c r="A72" s="97"/>
      <c r="B72" s="134"/>
      <c r="C72" s="135"/>
      <c r="D72" s="135"/>
      <c r="E72" s="136"/>
      <c r="F72" s="97"/>
      <c r="G72" s="97"/>
      <c r="H72" s="97"/>
      <c r="I72" s="98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  <c r="BS72" s="97"/>
      <c r="BT72" s="97"/>
      <c r="BU72" s="97"/>
      <c r="BV72" s="97"/>
      <c r="BW72" s="97"/>
      <c r="BX72" s="97"/>
      <c r="BY72" s="97"/>
      <c r="BZ72" s="97"/>
      <c r="CA72" s="97"/>
      <c r="CB72" s="97"/>
      <c r="CC72" s="97"/>
      <c r="CD72" s="97"/>
      <c r="CE72" s="97"/>
      <c r="CF72" s="97"/>
      <c r="CG72" s="97"/>
      <c r="CH72" s="97"/>
      <c r="CI72" s="97"/>
      <c r="CJ72" s="97"/>
      <c r="CK72" s="97"/>
      <c r="CL72" s="97"/>
      <c r="CM72" s="97"/>
      <c r="CN72" s="97"/>
      <c r="CO72" s="97"/>
      <c r="CP72" s="97"/>
      <c r="CQ72" s="97"/>
      <c r="CR72" s="97"/>
      <c r="CS72" s="97"/>
      <c r="CT72" s="97"/>
      <c r="CU72" s="97"/>
      <c r="CV72" s="97"/>
      <c r="CW72" s="97"/>
      <c r="CX72" s="97"/>
      <c r="CY72" s="97"/>
      <c r="CZ72" s="97"/>
      <c r="DA72" s="97"/>
      <c r="DB72" s="97"/>
      <c r="DC72" s="97"/>
      <c r="DD72" s="97"/>
      <c r="DE72" s="97"/>
      <c r="DF72" s="97"/>
      <c r="DG72" s="97"/>
      <c r="DH72" s="97"/>
      <c r="DI72" s="97"/>
      <c r="DJ72" s="97"/>
      <c r="DK72" s="97"/>
      <c r="DL72" s="97"/>
      <c r="DM72" s="97"/>
      <c r="DN72" s="97"/>
      <c r="DO72" s="97"/>
      <c r="DP72" s="97"/>
      <c r="DQ72" s="97"/>
      <c r="DR72" s="97"/>
      <c r="DS72" s="97"/>
      <c r="DT72" s="97"/>
      <c r="DU72" s="97"/>
      <c r="DV72" s="97"/>
      <c r="DW72" s="97"/>
      <c r="DX72" s="97"/>
      <c r="DY72" s="97"/>
      <c r="DZ72" s="97"/>
      <c r="EA72" s="97"/>
      <c r="EB72" s="97"/>
      <c r="EC72" s="97"/>
      <c r="ED72" s="97"/>
      <c r="EE72" s="97"/>
      <c r="EF72" s="97"/>
      <c r="EG72" s="97"/>
    </row>
    <row r="73" spans="1:137" s="94" customFormat="1" ht="27.75" customHeight="1" x14ac:dyDescent="0.2">
      <c r="A73" s="97"/>
      <c r="B73" s="134" t="s">
        <v>127</v>
      </c>
      <c r="C73" s="135"/>
      <c r="D73" s="135"/>
      <c r="E73" s="136"/>
      <c r="F73" s="97"/>
      <c r="G73" s="97"/>
      <c r="H73" s="97"/>
      <c r="I73" s="98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  <c r="BS73" s="97"/>
      <c r="BT73" s="97"/>
      <c r="BU73" s="97"/>
      <c r="BV73" s="97"/>
      <c r="BW73" s="97"/>
      <c r="BX73" s="97"/>
      <c r="BY73" s="97"/>
      <c r="BZ73" s="97"/>
      <c r="CA73" s="97"/>
      <c r="CB73" s="97"/>
      <c r="CC73" s="97"/>
      <c r="CD73" s="97"/>
      <c r="CE73" s="97"/>
      <c r="CF73" s="97"/>
      <c r="CG73" s="97"/>
      <c r="CH73" s="97"/>
      <c r="CI73" s="97"/>
      <c r="CJ73" s="97"/>
      <c r="CK73" s="97"/>
      <c r="CL73" s="97"/>
      <c r="CM73" s="97"/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7"/>
      <c r="DP73" s="97"/>
      <c r="DQ73" s="97"/>
      <c r="DR73" s="97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7"/>
      <c r="ED73" s="97"/>
      <c r="EE73" s="97"/>
      <c r="EF73" s="97"/>
      <c r="EG73" s="97"/>
    </row>
    <row r="74" spans="1:137" s="94" customFormat="1" ht="27.75" customHeight="1" x14ac:dyDescent="0.2">
      <c r="A74" s="97"/>
      <c r="B74" s="107"/>
      <c r="C74" s="108"/>
      <c r="D74" s="108"/>
      <c r="E74" s="109"/>
      <c r="F74" s="97"/>
      <c r="G74" s="97"/>
      <c r="H74" s="97"/>
      <c r="I74" s="98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7"/>
      <c r="CL74" s="97"/>
      <c r="CM74" s="97"/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7"/>
      <c r="CY74" s="97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7"/>
      <c r="ED74" s="97"/>
      <c r="EE74" s="97"/>
      <c r="EF74" s="97"/>
      <c r="EG74" s="97"/>
    </row>
    <row r="75" spans="1:137" s="94" customFormat="1" ht="27.75" customHeight="1" x14ac:dyDescent="0.2">
      <c r="A75" s="97"/>
      <c r="B75" s="110" t="s">
        <v>54</v>
      </c>
      <c r="C75" s="111"/>
      <c r="D75" s="111"/>
      <c r="E75" s="112"/>
      <c r="F75" s="97"/>
      <c r="G75" s="97"/>
      <c r="H75" s="97"/>
      <c r="I75" s="98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7"/>
      <c r="BQ75" s="97"/>
      <c r="BR75" s="97"/>
      <c r="BS75" s="97"/>
      <c r="BT75" s="97"/>
      <c r="BU75" s="97"/>
      <c r="BV75" s="97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7"/>
      <c r="CJ75" s="97"/>
      <c r="CK75" s="97"/>
      <c r="CL75" s="97"/>
      <c r="CM75" s="97"/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  <c r="DX75" s="97"/>
      <c r="DY75" s="97"/>
      <c r="DZ75" s="97"/>
      <c r="EA75" s="97"/>
      <c r="EB75" s="97"/>
      <c r="EC75" s="97"/>
      <c r="ED75" s="97"/>
      <c r="EE75" s="97"/>
      <c r="EF75" s="97"/>
      <c r="EG75" s="97"/>
    </row>
    <row r="76" spans="1:137" ht="13.5" thickBot="1" x14ac:dyDescent="0.25">
      <c r="A76" s="97"/>
      <c r="B76" s="113" t="s">
        <v>128</v>
      </c>
      <c r="C76" s="103"/>
      <c r="D76" s="103"/>
      <c r="E76" s="104"/>
      <c r="F76" s="97"/>
      <c r="G76" s="97"/>
      <c r="H76" s="97"/>
      <c r="I76" s="98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  <c r="BP76" s="97"/>
      <c r="BQ76" s="97"/>
      <c r="BR76" s="97"/>
      <c r="BS76" s="97"/>
      <c r="BT76" s="97"/>
      <c r="BU76" s="97"/>
      <c r="BV76" s="97"/>
      <c r="BW76" s="97"/>
      <c r="BX76" s="97"/>
      <c r="BY76" s="97"/>
      <c r="BZ76" s="97"/>
      <c r="CA76" s="97"/>
      <c r="CB76" s="97"/>
      <c r="CC76" s="97"/>
      <c r="CD76" s="97"/>
      <c r="CE76" s="97"/>
      <c r="CF76" s="97"/>
      <c r="CG76" s="97"/>
      <c r="CH76" s="97"/>
      <c r="CI76" s="97"/>
      <c r="CJ76" s="97"/>
      <c r="CK76" s="97"/>
      <c r="CL76" s="97"/>
      <c r="CM76" s="97"/>
      <c r="CN76" s="97"/>
      <c r="CO76" s="97"/>
      <c r="CP76" s="97"/>
      <c r="CQ76" s="97"/>
      <c r="CR76" s="97"/>
      <c r="CS76" s="97"/>
      <c r="CT76" s="97"/>
      <c r="CU76" s="97"/>
      <c r="CV76" s="97"/>
      <c r="CW76" s="97"/>
      <c r="CX76" s="97"/>
      <c r="CY76" s="97"/>
      <c r="CZ76" s="97"/>
      <c r="DA76" s="97"/>
      <c r="DB76" s="97"/>
      <c r="DC76" s="97"/>
      <c r="DD76" s="97"/>
      <c r="DE76" s="97"/>
      <c r="DF76" s="97"/>
      <c r="DG76" s="97"/>
      <c r="DH76" s="97"/>
      <c r="DI76" s="97"/>
      <c r="DJ76" s="97"/>
      <c r="DK76" s="97"/>
      <c r="DL76" s="97"/>
      <c r="DM76" s="97"/>
      <c r="DN76" s="97"/>
      <c r="DO76" s="97"/>
      <c r="DP76" s="97"/>
      <c r="DQ76" s="97"/>
      <c r="DR76" s="97"/>
      <c r="DS76" s="97"/>
      <c r="DT76" s="97"/>
      <c r="DU76" s="97"/>
      <c r="DV76" s="97"/>
      <c r="DW76" s="97"/>
      <c r="DX76" s="97"/>
      <c r="DY76" s="97"/>
      <c r="DZ76" s="97"/>
      <c r="EA76" s="97"/>
      <c r="EB76" s="97"/>
      <c r="EC76" s="97"/>
      <c r="ED76" s="97"/>
      <c r="EE76" s="97"/>
      <c r="EF76" s="97"/>
      <c r="EG76" s="97"/>
    </row>
    <row r="77" spans="1:137" ht="13.5" thickBot="1" x14ac:dyDescent="0.25">
      <c r="A77" s="97"/>
      <c r="B77" s="97"/>
      <c r="C77" s="97"/>
      <c r="D77" s="97"/>
      <c r="E77" s="97"/>
      <c r="F77" s="97"/>
      <c r="G77" s="97"/>
      <c r="H77" s="97"/>
      <c r="I77" s="98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97"/>
      <c r="BR77" s="97"/>
      <c r="BS77" s="97"/>
      <c r="BT77" s="97"/>
      <c r="BU77" s="97"/>
      <c r="BV77" s="97"/>
      <c r="BW77" s="97"/>
      <c r="BX77" s="97"/>
      <c r="BY77" s="97"/>
      <c r="BZ77" s="97"/>
      <c r="CA77" s="97"/>
      <c r="CB77" s="97"/>
      <c r="CC77" s="97"/>
      <c r="CD77" s="97"/>
      <c r="CE77" s="97"/>
      <c r="CF77" s="97"/>
      <c r="CG77" s="97"/>
      <c r="CH77" s="97"/>
      <c r="CI77" s="97"/>
      <c r="CJ77" s="97"/>
      <c r="CK77" s="97"/>
      <c r="CL77" s="97"/>
      <c r="CM77" s="97"/>
      <c r="CN77" s="97"/>
      <c r="CO77" s="97"/>
      <c r="CP77" s="97"/>
      <c r="CQ77" s="97"/>
      <c r="CR77" s="97"/>
      <c r="CS77" s="97"/>
      <c r="CT77" s="97"/>
      <c r="CU77" s="97"/>
      <c r="CV77" s="97"/>
      <c r="CW77" s="97"/>
      <c r="CX77" s="97"/>
      <c r="CY77" s="97"/>
      <c r="CZ77" s="97"/>
      <c r="DA77" s="97"/>
      <c r="DB77" s="97"/>
      <c r="DC77" s="97"/>
      <c r="DD77" s="97"/>
      <c r="DE77" s="97"/>
      <c r="DF77" s="97"/>
      <c r="DG77" s="97"/>
      <c r="DH77" s="97"/>
      <c r="DI77" s="97"/>
      <c r="DJ77" s="97"/>
      <c r="DK77" s="97"/>
      <c r="DL77" s="97"/>
      <c r="DM77" s="97"/>
      <c r="DN77" s="97"/>
      <c r="DO77" s="97"/>
      <c r="DP77" s="97"/>
      <c r="DQ77" s="97"/>
      <c r="DR77" s="97"/>
      <c r="DS77" s="97"/>
      <c r="DT77" s="97"/>
      <c r="DU77" s="97"/>
      <c r="DV77" s="97"/>
      <c r="DW77" s="97"/>
      <c r="DX77" s="97"/>
      <c r="DY77" s="97"/>
      <c r="DZ77" s="97"/>
      <c r="EA77" s="97"/>
      <c r="EB77" s="97"/>
      <c r="EC77" s="97"/>
      <c r="ED77" s="97"/>
      <c r="EE77" s="97"/>
      <c r="EF77" s="97"/>
      <c r="EG77" s="97"/>
    </row>
    <row r="78" spans="1:137" x14ac:dyDescent="0.2">
      <c r="A78" s="97"/>
      <c r="B78" s="105" t="s">
        <v>130</v>
      </c>
      <c r="C78" s="106"/>
      <c r="D78" s="95"/>
      <c r="E78" s="96"/>
      <c r="F78" s="97"/>
      <c r="G78" s="97"/>
      <c r="H78" s="97"/>
      <c r="I78" s="98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/>
      <c r="BY78" s="97"/>
      <c r="BZ78" s="97"/>
      <c r="CA78" s="97"/>
      <c r="CB78" s="97"/>
      <c r="CC78" s="97"/>
      <c r="CD78" s="97"/>
      <c r="CE78" s="97"/>
      <c r="CF78" s="97"/>
      <c r="CG78" s="97"/>
      <c r="CH78" s="97"/>
      <c r="CI78" s="97"/>
      <c r="CJ78" s="97"/>
      <c r="CK78" s="97"/>
      <c r="CL78" s="97"/>
      <c r="CM78" s="97"/>
      <c r="CN78" s="97"/>
      <c r="CO78" s="97"/>
      <c r="CP78" s="97"/>
      <c r="CQ78" s="97"/>
      <c r="CR78" s="97"/>
      <c r="CS78" s="97"/>
      <c r="CT78" s="97"/>
      <c r="CU78" s="97"/>
      <c r="CV78" s="97"/>
      <c r="CW78" s="97"/>
      <c r="CX78" s="97"/>
      <c r="CY78" s="97"/>
      <c r="CZ78" s="97"/>
      <c r="DA78" s="97"/>
      <c r="DB78" s="97"/>
      <c r="DC78" s="97"/>
      <c r="DD78" s="97"/>
      <c r="DE78" s="97"/>
      <c r="DF78" s="97"/>
      <c r="DG78" s="97"/>
      <c r="DH78" s="97"/>
      <c r="DI78" s="97"/>
      <c r="DJ78" s="97"/>
      <c r="DK78" s="97"/>
      <c r="DL78" s="97"/>
      <c r="DM78" s="97"/>
      <c r="DN78" s="97"/>
      <c r="DO78" s="97"/>
      <c r="DP78" s="97"/>
      <c r="DQ78" s="97"/>
      <c r="DR78" s="97"/>
      <c r="DS78" s="97"/>
      <c r="DT78" s="97"/>
      <c r="DU78" s="97"/>
      <c r="DV78" s="97"/>
      <c r="DW78" s="97"/>
      <c r="DX78" s="97"/>
      <c r="DY78" s="97"/>
      <c r="DZ78" s="97"/>
      <c r="EA78" s="97"/>
      <c r="EB78" s="97"/>
      <c r="EC78" s="97"/>
      <c r="ED78" s="97"/>
      <c r="EE78" s="97"/>
      <c r="EF78" s="97"/>
      <c r="EG78" s="97"/>
    </row>
    <row r="79" spans="1:137" x14ac:dyDescent="0.2">
      <c r="A79" s="97"/>
      <c r="B79" s="123"/>
      <c r="C79" s="120"/>
      <c r="D79" s="100"/>
      <c r="E79" s="117" t="s">
        <v>129</v>
      </c>
      <c r="F79" s="97"/>
      <c r="G79" s="97"/>
      <c r="H79" s="97"/>
      <c r="I79" s="98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  <c r="BP79" s="97"/>
      <c r="BQ79" s="97"/>
      <c r="BR79" s="97"/>
      <c r="BS79" s="97"/>
      <c r="BT79" s="97"/>
      <c r="BU79" s="97"/>
      <c r="BV79" s="97"/>
      <c r="BW79" s="97"/>
      <c r="BX79" s="97"/>
      <c r="BY79" s="97"/>
      <c r="BZ79" s="97"/>
      <c r="CA79" s="97"/>
      <c r="CB79" s="97"/>
      <c r="CC79" s="97"/>
      <c r="CD79" s="97"/>
      <c r="CE79" s="97"/>
      <c r="CF79" s="97"/>
      <c r="CG79" s="97"/>
      <c r="CH79" s="97"/>
      <c r="CI79" s="97"/>
      <c r="CJ79" s="97"/>
      <c r="CK79" s="97"/>
      <c r="CL79" s="97"/>
      <c r="CM79" s="97"/>
      <c r="CN79" s="97"/>
      <c r="CO79" s="97"/>
      <c r="CP79" s="97"/>
      <c r="CQ79" s="97"/>
      <c r="CR79" s="97"/>
      <c r="CS79" s="97"/>
      <c r="CT79" s="97"/>
      <c r="CU79" s="97"/>
      <c r="CV79" s="97"/>
      <c r="CW79" s="97"/>
      <c r="CX79" s="97"/>
      <c r="CY79" s="97"/>
      <c r="CZ79" s="97"/>
      <c r="DA79" s="97"/>
      <c r="DB79" s="97"/>
      <c r="DC79" s="97"/>
      <c r="DD79" s="97"/>
      <c r="DE79" s="97"/>
      <c r="DF79" s="97"/>
      <c r="DG79" s="97"/>
      <c r="DH79" s="97"/>
      <c r="DI79" s="97"/>
      <c r="DJ79" s="97"/>
      <c r="DK79" s="97"/>
      <c r="DL79" s="97"/>
      <c r="DM79" s="97"/>
      <c r="DN79" s="97"/>
      <c r="DO79" s="97"/>
      <c r="DP79" s="97"/>
      <c r="DQ79" s="97"/>
      <c r="DR79" s="97"/>
      <c r="DS79" s="97"/>
      <c r="DT79" s="97"/>
      <c r="DU79" s="97"/>
      <c r="DV79" s="97"/>
      <c r="DW79" s="97"/>
      <c r="DX79" s="97"/>
      <c r="DY79" s="97"/>
      <c r="DZ79" s="97"/>
      <c r="EA79" s="97"/>
      <c r="EB79" s="97"/>
      <c r="EC79" s="97"/>
      <c r="ED79" s="97"/>
      <c r="EE79" s="97"/>
      <c r="EF79" s="97"/>
      <c r="EG79" s="97"/>
    </row>
    <row r="80" spans="1:137" x14ac:dyDescent="0.2">
      <c r="A80" s="97"/>
      <c r="B80" s="134" t="s">
        <v>124</v>
      </c>
      <c r="C80" s="135"/>
      <c r="D80" s="135"/>
      <c r="E80" s="136"/>
    </row>
    <row r="81" spans="1:5" x14ac:dyDescent="0.2">
      <c r="A81" s="97"/>
      <c r="B81" s="134"/>
      <c r="C81" s="135"/>
      <c r="D81" s="135"/>
      <c r="E81" s="136"/>
    </row>
    <row r="82" spans="1:5" ht="18" customHeight="1" x14ac:dyDescent="0.2">
      <c r="A82" s="97"/>
      <c r="B82" s="134"/>
      <c r="C82" s="135"/>
      <c r="D82" s="135"/>
      <c r="E82" s="136"/>
    </row>
    <row r="83" spans="1:5" x14ac:dyDescent="0.2">
      <c r="A83" s="97"/>
      <c r="B83" s="107"/>
      <c r="C83" s="108"/>
      <c r="D83" s="108"/>
      <c r="E83" s="109"/>
    </row>
    <row r="84" spans="1:5" ht="33" customHeight="1" x14ac:dyDescent="0.2">
      <c r="A84" s="97"/>
      <c r="B84" s="134" t="s">
        <v>131</v>
      </c>
      <c r="C84" s="135"/>
      <c r="D84" s="135"/>
      <c r="E84" s="136"/>
    </row>
    <row r="85" spans="1:5" x14ac:dyDescent="0.2">
      <c r="A85" s="97"/>
      <c r="B85" s="107"/>
      <c r="C85" s="108"/>
      <c r="D85" s="108"/>
      <c r="E85" s="109"/>
    </row>
    <row r="86" spans="1:5" ht="28.5" x14ac:dyDescent="0.2">
      <c r="A86" s="97"/>
      <c r="B86" s="125" t="s">
        <v>119</v>
      </c>
      <c r="C86" s="111"/>
      <c r="D86" s="111"/>
      <c r="E86" s="112"/>
    </row>
    <row r="87" spans="1:5" ht="15" x14ac:dyDescent="0.2">
      <c r="A87" s="97"/>
      <c r="B87" s="110"/>
      <c r="C87" s="111"/>
      <c r="D87" s="111"/>
      <c r="E87" s="112"/>
    </row>
    <row r="88" spans="1:5" ht="13.5" thickBot="1" x14ac:dyDescent="0.25">
      <c r="A88" s="97"/>
      <c r="B88" s="113" t="s">
        <v>132</v>
      </c>
      <c r="C88" s="103"/>
      <c r="D88" s="103"/>
      <c r="E88" s="104"/>
    </row>
  </sheetData>
  <sortState xmlns:xlrd2="http://schemas.microsoft.com/office/spreadsheetml/2017/richdata2" ref="A10:K32">
    <sortCondition ref="E10:E32"/>
  </sortState>
  <mergeCells count="16">
    <mergeCell ref="B84:E84"/>
    <mergeCell ref="B60:E61"/>
    <mergeCell ref="B2:H2"/>
    <mergeCell ref="A4:B4"/>
    <mergeCell ref="C4:E4"/>
    <mergeCell ref="A5:B5"/>
    <mergeCell ref="C5:E5"/>
    <mergeCell ref="A6:B6"/>
    <mergeCell ref="A7:B7"/>
    <mergeCell ref="B48:E51"/>
    <mergeCell ref="B35:E35"/>
    <mergeCell ref="B71:E72"/>
    <mergeCell ref="B73:E73"/>
    <mergeCell ref="B53:E53"/>
    <mergeCell ref="B63:E63"/>
    <mergeCell ref="B80:E82"/>
  </mergeCells>
  <conditionalFormatting sqref="B65">
    <cfRule type="duplicateValues" dxfId="15" priority="89"/>
  </conditionalFormatting>
  <conditionalFormatting sqref="B65">
    <cfRule type="duplicateValues" dxfId="14" priority="90"/>
  </conditionalFormatting>
  <conditionalFormatting sqref="B65">
    <cfRule type="duplicateValues" dxfId="13" priority="91"/>
  </conditionalFormatting>
  <conditionalFormatting sqref="B65">
    <cfRule type="duplicateValues" dxfId="12" priority="92"/>
  </conditionalFormatting>
  <conditionalFormatting sqref="B86:B87">
    <cfRule type="duplicateValues" dxfId="11" priority="69"/>
  </conditionalFormatting>
  <conditionalFormatting sqref="B86:B87">
    <cfRule type="duplicateValues" dxfId="10" priority="70"/>
  </conditionalFormatting>
  <conditionalFormatting sqref="B86:B87">
    <cfRule type="duplicateValues" dxfId="9" priority="71"/>
  </conditionalFormatting>
  <conditionalFormatting sqref="B86:B87">
    <cfRule type="duplicateValues" dxfId="8" priority="72"/>
  </conditionalFormatting>
  <conditionalFormatting sqref="B75">
    <cfRule type="duplicateValues" dxfId="7" priority="37"/>
  </conditionalFormatting>
  <conditionalFormatting sqref="B75">
    <cfRule type="duplicateValues" dxfId="6" priority="38"/>
  </conditionalFormatting>
  <conditionalFormatting sqref="B75">
    <cfRule type="duplicateValues" dxfId="5" priority="39"/>
  </conditionalFormatting>
  <conditionalFormatting sqref="B75">
    <cfRule type="duplicateValues" dxfId="4" priority="40"/>
  </conditionalFormatting>
  <conditionalFormatting sqref="B55">
    <cfRule type="duplicateValues" dxfId="3" priority="25"/>
  </conditionalFormatting>
  <conditionalFormatting sqref="B55">
    <cfRule type="duplicateValues" dxfId="2" priority="26"/>
  </conditionalFormatting>
  <conditionalFormatting sqref="B55">
    <cfRule type="duplicateValues" dxfId="1" priority="27"/>
  </conditionalFormatting>
  <conditionalFormatting sqref="B55">
    <cfRule type="duplicateValues" dxfId="0" priority="28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topLeftCell="A25" zoomScale="80" zoomScaleNormal="80" workbookViewId="0">
      <selection activeCell="C31" sqref="C31:G31"/>
    </sheetView>
  </sheetViews>
  <sheetFormatPr baseColWidth="10" defaultColWidth="9.140625" defaultRowHeight="12.75" x14ac:dyDescent="0.2"/>
  <cols>
    <col min="1" max="1" width="5.5703125" style="30" customWidth="1"/>
    <col min="2" max="2" width="15.140625" style="30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59.28515625" style="30" customWidth="1"/>
    <col min="8" max="8" width="9.28515625" style="30" customWidth="1"/>
    <col min="9" max="9" width="15.5703125" style="30" customWidth="1"/>
    <col min="10" max="10" width="14.7109375" style="30" customWidth="1"/>
    <col min="11" max="11" width="15.5703125" style="30" customWidth="1"/>
    <col min="12" max="14" width="5.85546875" style="30" customWidth="1"/>
    <col min="15" max="15" width="12.5703125" style="30" customWidth="1"/>
    <col min="16" max="1024" width="9.140625" style="30"/>
    <col min="1025" max="16384" width="9.140625" style="31"/>
  </cols>
  <sheetData>
    <row r="1" spans="1:11" ht="18" customHeight="1" x14ac:dyDescent="0.2">
      <c r="A1" s="152" t="s">
        <v>14</v>
      </c>
      <c r="B1" s="152"/>
      <c r="C1" s="152"/>
      <c r="D1" s="152"/>
      <c r="E1" s="152"/>
      <c r="F1" s="152"/>
      <c r="G1" s="152"/>
      <c r="H1" s="152"/>
      <c r="I1" s="152"/>
      <c r="J1" s="29" t="s">
        <v>15</v>
      </c>
      <c r="K1" s="90" t="s">
        <v>55</v>
      </c>
    </row>
    <row r="2" spans="1:11" ht="18.75" customHeight="1" thickBot="1" x14ac:dyDescent="0.25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1" ht="18.75" customHeight="1" thickBot="1" x14ac:dyDescent="0.25">
      <c r="A3" s="153" t="s">
        <v>48</v>
      </c>
      <c r="B3" s="153"/>
      <c r="C3" s="153"/>
      <c r="D3" s="144" t="str">
        <f>'Necesidades Trimestrales'!C4</f>
        <v>040 - Ministerio de Salud</v>
      </c>
      <c r="E3" s="144"/>
      <c r="F3" s="144"/>
      <c r="G3" s="144"/>
      <c r="H3" s="144"/>
      <c r="I3" s="144"/>
      <c r="J3" s="144"/>
      <c r="K3" s="144"/>
    </row>
    <row r="4" spans="1:11" ht="18.75" customHeight="1" thickBot="1" x14ac:dyDescent="0.25">
      <c r="A4" s="154" t="s">
        <v>49</v>
      </c>
      <c r="B4" s="154"/>
      <c r="C4" s="154"/>
      <c r="D4" s="144" t="str">
        <f>'Necesidades Trimestrales'!C5</f>
        <v>28-Maternidad Provincial 25 de Mayo</v>
      </c>
      <c r="E4" s="144"/>
      <c r="F4" s="144"/>
      <c r="G4" s="144"/>
      <c r="H4" s="144"/>
      <c r="I4" s="144"/>
      <c r="J4" s="144"/>
      <c r="K4" s="144"/>
    </row>
    <row r="5" spans="1:11" ht="18.75" customHeight="1" thickBot="1" x14ac:dyDescent="0.25">
      <c r="A5" s="154" t="s">
        <v>27</v>
      </c>
      <c r="B5" s="154"/>
      <c r="C5" s="154"/>
      <c r="D5" s="144" t="s">
        <v>104</v>
      </c>
      <c r="E5" s="144"/>
      <c r="F5" s="144"/>
      <c r="G5" s="144"/>
      <c r="H5" s="144"/>
      <c r="I5" s="144"/>
      <c r="J5" s="144"/>
      <c r="K5" s="144"/>
    </row>
    <row r="6" spans="1:11" ht="16.5" customHeight="1" thickBot="1" x14ac:dyDescent="0.25">
      <c r="A6" s="153" t="s">
        <v>50</v>
      </c>
      <c r="B6" s="153"/>
      <c r="C6" s="153"/>
      <c r="D6" s="144" t="s">
        <v>105</v>
      </c>
      <c r="E6" s="144"/>
      <c r="F6" s="144"/>
      <c r="G6" s="144"/>
      <c r="H6" s="144"/>
      <c r="I6" s="144"/>
      <c r="J6" s="144"/>
      <c r="K6" s="144"/>
    </row>
    <row r="7" spans="1:11" ht="16.5" customHeight="1" x14ac:dyDescent="0.2">
      <c r="A7" s="154" t="s">
        <v>16</v>
      </c>
      <c r="B7" s="154"/>
      <c r="C7" s="154"/>
      <c r="D7" s="144" t="s">
        <v>56</v>
      </c>
      <c r="E7" s="144"/>
      <c r="F7" s="144"/>
      <c r="G7" s="144"/>
      <c r="H7" s="144"/>
      <c r="I7" s="144"/>
      <c r="J7" s="144"/>
      <c r="K7" s="144"/>
    </row>
    <row r="8" spans="1:11" ht="16.5" customHeight="1" x14ac:dyDescent="0.2">
      <c r="A8" s="147" t="s">
        <v>17</v>
      </c>
      <c r="B8" s="147"/>
      <c r="C8" s="147"/>
      <c r="D8" s="148" t="s">
        <v>58</v>
      </c>
      <c r="E8" s="148"/>
      <c r="F8" s="148"/>
      <c r="G8" s="148"/>
      <c r="H8" s="148"/>
      <c r="I8" s="148"/>
      <c r="J8" s="148"/>
      <c r="K8" s="148"/>
    </row>
    <row r="9" spans="1:11" ht="15.75" x14ac:dyDescent="0.2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1" ht="18.75" customHeight="1" x14ac:dyDescent="0.2">
      <c r="A10" s="149" t="s">
        <v>18</v>
      </c>
      <c r="B10" s="150" t="s">
        <v>19</v>
      </c>
      <c r="C10" s="150" t="s">
        <v>20</v>
      </c>
      <c r="D10" s="150"/>
      <c r="E10" s="150"/>
      <c r="F10" s="150"/>
      <c r="G10" s="150"/>
      <c r="H10" s="150" t="s">
        <v>21</v>
      </c>
      <c r="I10" s="150" t="s">
        <v>22</v>
      </c>
      <c r="J10" s="150" t="s">
        <v>23</v>
      </c>
      <c r="K10" s="151" t="s">
        <v>24</v>
      </c>
    </row>
    <row r="11" spans="1:11" ht="24" customHeight="1" x14ac:dyDescent="0.2">
      <c r="A11" s="149"/>
      <c r="B11" s="150"/>
      <c r="C11" s="150"/>
      <c r="D11" s="150"/>
      <c r="E11" s="150"/>
      <c r="F11" s="150"/>
      <c r="G11" s="150"/>
      <c r="H11" s="150"/>
      <c r="I11" s="150"/>
      <c r="J11" s="150"/>
      <c r="K11" s="151"/>
    </row>
    <row r="12" spans="1:11" ht="42.75" customHeight="1" thickBot="1" x14ac:dyDescent="0.25">
      <c r="A12" s="182">
        <v>1</v>
      </c>
      <c r="B12" s="183" t="str">
        <f>+'Necesidades Trimestrales'!B10</f>
        <v>2.9.5-3020.3</v>
      </c>
      <c r="C12" s="184" t="str">
        <f>+'Necesidades Trimestrales'!E10</f>
        <v>BOLSAS P/COLOSTOMIA; TIPO: DESCARTABLE ADHESIVA P/ ADULTOS, DIAMETRO DE ARO: SIN ARO</v>
      </c>
      <c r="D12" s="184"/>
      <c r="E12" s="184"/>
      <c r="F12" s="184"/>
      <c r="G12" s="184"/>
      <c r="H12" s="185" t="s">
        <v>53</v>
      </c>
      <c r="I12" s="186" t="str">
        <f>+'Necesidades Trimestrales'!F10</f>
        <v>UNIDAD</v>
      </c>
      <c r="J12" s="187">
        <f>+'Necesidades Trimestrales'!H10</f>
        <v>225</v>
      </c>
      <c r="K12" s="188">
        <f>+'Necesidades Trimestrales'!G10</f>
        <v>100</v>
      </c>
    </row>
    <row r="13" spans="1:11" ht="42.75" customHeight="1" thickBot="1" x14ac:dyDescent="0.25">
      <c r="A13" s="182">
        <v>2</v>
      </c>
      <c r="B13" s="183" t="str">
        <f>+'Necesidades Trimestrales'!B11</f>
        <v>2.9.5-3020.8</v>
      </c>
      <c r="C13" s="184" t="str">
        <f>+'Necesidades Trimestrales'!E11</f>
        <v>BOLSAS P/COLOSTOMIA; TIPO: DESCARTABLE ADHESIVA PEDIATRICA, DIAMETRO: REGULABLE</v>
      </c>
      <c r="D13" s="184"/>
      <c r="E13" s="184"/>
      <c r="F13" s="184"/>
      <c r="G13" s="184"/>
      <c r="H13" s="189" t="s">
        <v>100</v>
      </c>
      <c r="I13" s="186" t="str">
        <f>+'Necesidades Trimestrales'!F11</f>
        <v>UNIDAD</v>
      </c>
      <c r="J13" s="187">
        <f>+'Necesidades Trimestrales'!H11</f>
        <v>415</v>
      </c>
      <c r="K13" s="188">
        <f>+'Necesidades Trimestrales'!G11</f>
        <v>30</v>
      </c>
    </row>
    <row r="14" spans="1:11" ht="42.75" customHeight="1" thickBot="1" x14ac:dyDescent="0.25">
      <c r="A14" s="182">
        <v>3</v>
      </c>
      <c r="B14" s="183" t="str">
        <f>+'Necesidades Trimestrales'!B12</f>
        <v>2.9.5-4198.93</v>
      </c>
      <c r="C14" s="184" t="str">
        <f>+'Necesidades Trimestrales'!E12</f>
        <v>ELEMENTOS DESC. P/CIRUGIAS; TIPO: CAMPO QUIRURGICO 60 X 45 Cm, PRESENTACION: UNIDAD</v>
      </c>
      <c r="D14" s="184"/>
      <c r="E14" s="184"/>
      <c r="F14" s="184"/>
      <c r="G14" s="184"/>
      <c r="H14" s="189" t="s">
        <v>100</v>
      </c>
      <c r="I14" s="186" t="str">
        <f>+'Necesidades Trimestrales'!F12</f>
        <v>UNIDAD</v>
      </c>
      <c r="J14" s="187">
        <f>+'Necesidades Trimestrales'!H12</f>
        <v>870</v>
      </c>
      <c r="K14" s="188">
        <f>+'Necesidades Trimestrales'!G12</f>
        <v>10</v>
      </c>
    </row>
    <row r="15" spans="1:11" ht="42.75" customHeight="1" thickBot="1" x14ac:dyDescent="0.25">
      <c r="A15" s="182">
        <v>4</v>
      </c>
      <c r="B15" s="183" t="str">
        <f>+'Necesidades Trimestrales'!B13</f>
        <v>2.9.5-2161.473</v>
      </c>
      <c r="C15" s="184" t="str">
        <f>+'Necesidades Trimestrales'!E13</f>
        <v>CATETERES/SONDAS; NUMERO: 7 FR X 26 CM, TIPO: DOBLE J COOK</v>
      </c>
      <c r="D15" s="184"/>
      <c r="E15" s="184"/>
      <c r="F15" s="184"/>
      <c r="G15" s="184"/>
      <c r="H15" s="189" t="s">
        <v>100</v>
      </c>
      <c r="I15" s="186" t="str">
        <f>+'Necesidades Trimestrales'!F13</f>
        <v>UNIDAD</v>
      </c>
      <c r="J15" s="187">
        <f>+'Necesidades Trimestrales'!H13</f>
        <v>13500</v>
      </c>
      <c r="K15" s="188">
        <f>+'Necesidades Trimestrales'!G13</f>
        <v>12</v>
      </c>
    </row>
    <row r="16" spans="1:11" ht="42.75" customHeight="1" thickBot="1" x14ac:dyDescent="0.25">
      <c r="A16" s="182">
        <v>5</v>
      </c>
      <c r="B16" s="183" t="str">
        <f>+'Necesidades Trimestrales'!B14</f>
        <v>2.9.5-2161.587</v>
      </c>
      <c r="C16" s="184" t="str">
        <f>+'Necesidades Trimestrales'!E14</f>
        <v>CATETERES/SONDAS; NUMERO: 2,0 FR X 15 CM, TIPO: EPICUTANEO PEDIATRICO</v>
      </c>
      <c r="D16" s="184"/>
      <c r="E16" s="184"/>
      <c r="F16" s="184"/>
      <c r="G16" s="184"/>
      <c r="H16" s="189" t="s">
        <v>100</v>
      </c>
      <c r="I16" s="186" t="str">
        <f>+'Necesidades Trimestrales'!F14</f>
        <v>UNIDAD</v>
      </c>
      <c r="J16" s="187">
        <f>+'Necesidades Trimestrales'!H14</f>
        <v>9646</v>
      </c>
      <c r="K16" s="188">
        <f>+'Necesidades Trimestrales'!G14</f>
        <v>60</v>
      </c>
    </row>
    <row r="17" spans="1:11" ht="42.75" customHeight="1" thickBot="1" x14ac:dyDescent="0.25">
      <c r="A17" s="182">
        <v>6</v>
      </c>
      <c r="B17" s="183" t="str">
        <f>+'Necesidades Trimestrales'!B15</f>
        <v>2.9.5-2161.588</v>
      </c>
      <c r="C17" s="184" t="str">
        <f>+'Necesidades Trimestrales'!E15</f>
        <v>CATETERES/SONDAS; NUMERO: 2,0 FR X 30 CM, TIPO: EPICUTANEO PEDIATRICO</v>
      </c>
      <c r="D17" s="184"/>
      <c r="E17" s="184"/>
      <c r="F17" s="184"/>
      <c r="G17" s="184"/>
      <c r="H17" s="189" t="s">
        <v>100</v>
      </c>
      <c r="I17" s="186" t="str">
        <f>+'Necesidades Trimestrales'!F15</f>
        <v>UNIDAD</v>
      </c>
      <c r="J17" s="187">
        <f>+'Necesidades Trimestrales'!H15</f>
        <v>10500</v>
      </c>
      <c r="K17" s="188">
        <f>+'Necesidades Trimestrales'!G15</f>
        <v>60</v>
      </c>
    </row>
    <row r="18" spans="1:11" ht="42.75" customHeight="1" thickBot="1" x14ac:dyDescent="0.25">
      <c r="A18" s="182">
        <v>7</v>
      </c>
      <c r="B18" s="183" t="str">
        <f>+'Necesidades Trimestrales'!B16</f>
        <v>2.9.5-2161.589</v>
      </c>
      <c r="C18" s="184" t="str">
        <f>+'Necesidades Trimestrales'!E16</f>
        <v>CATETERES/SONDAS; NUMERO: 1,8 FR X 15 CM , TIPO: EPICUTANEO PREMATURO</v>
      </c>
      <c r="D18" s="184"/>
      <c r="E18" s="184"/>
      <c r="F18" s="184"/>
      <c r="G18" s="184"/>
      <c r="H18" s="189" t="s">
        <v>100</v>
      </c>
      <c r="I18" s="186" t="str">
        <f>+'Necesidades Trimestrales'!F16</f>
        <v>UNIDAD</v>
      </c>
      <c r="J18" s="187">
        <f>+'Necesidades Trimestrales'!H16</f>
        <v>9646</v>
      </c>
      <c r="K18" s="188">
        <f>+'Necesidades Trimestrales'!G16</f>
        <v>60</v>
      </c>
    </row>
    <row r="19" spans="1:11" ht="42.75" customHeight="1" thickBot="1" x14ac:dyDescent="0.25">
      <c r="A19" s="182">
        <v>8</v>
      </c>
      <c r="B19" s="183" t="str">
        <f>+'Necesidades Trimestrales'!B17</f>
        <v>2.9.5-2161.391</v>
      </c>
      <c r="C19" s="184" t="str">
        <f>+'Necesidades Trimestrales'!E17</f>
        <v>CATETERES/SONDAS; NUMERO: 1,8 FR X 30 CM , TIPO: EPICUTANEO PREMATURO</v>
      </c>
      <c r="D19" s="184"/>
      <c r="E19" s="184"/>
      <c r="F19" s="184"/>
      <c r="G19" s="184"/>
      <c r="H19" s="189" t="s">
        <v>100</v>
      </c>
      <c r="I19" s="186" t="str">
        <f>+'Necesidades Trimestrales'!F17</f>
        <v>UNIDAD</v>
      </c>
      <c r="J19" s="187">
        <f>+'Necesidades Trimestrales'!H17</f>
        <v>10500</v>
      </c>
      <c r="K19" s="188">
        <f>+'Necesidades Trimestrales'!G17</f>
        <v>60</v>
      </c>
    </row>
    <row r="20" spans="1:11" ht="42.75" customHeight="1" thickBot="1" x14ac:dyDescent="0.25">
      <c r="A20" s="182">
        <v>9</v>
      </c>
      <c r="B20" s="183" t="str">
        <f>+'Necesidades Trimestrales'!B18</f>
        <v>2.9.5-2161.594</v>
      </c>
      <c r="C20" s="184" t="str">
        <f>+'Necesidades Trimestrales'!E18</f>
        <v>CATETERES/SONDAS NUMERO 2 FR X 30 CM TIPO PICC PERCUTANEO CON INTRODUCTOR PELABLE</v>
      </c>
      <c r="D20" s="184"/>
      <c r="E20" s="184"/>
      <c r="F20" s="184"/>
      <c r="G20" s="184"/>
      <c r="H20" s="189" t="s">
        <v>53</v>
      </c>
      <c r="I20" s="186" t="str">
        <f>+'Necesidades Trimestrales'!F18</f>
        <v>UNIDAD</v>
      </c>
      <c r="J20" s="187">
        <f>+'Necesidades Trimestrales'!H18</f>
        <v>19315</v>
      </c>
      <c r="K20" s="188">
        <f>+'Necesidades Trimestrales'!G18</f>
        <v>30</v>
      </c>
    </row>
    <row r="21" spans="1:11" ht="42.75" customHeight="1" thickBot="1" x14ac:dyDescent="0.25">
      <c r="A21" s="182">
        <v>10</v>
      </c>
      <c r="B21" s="183" t="str">
        <f>+'Necesidades Trimestrales'!B19</f>
        <v>2.9.5-2161.595</v>
      </c>
      <c r="C21" s="184" t="str">
        <f>+'Necesidades Trimestrales'!E19</f>
        <v>CATETERES/SONDAS NUMERO 3 FR X 50 CM TIPO PICC PERCUTANEO CON INTRODUCTOR PELABLE</v>
      </c>
      <c r="D21" s="184"/>
      <c r="E21" s="184"/>
      <c r="F21" s="184"/>
      <c r="G21" s="184"/>
      <c r="H21" s="189" t="s">
        <v>53</v>
      </c>
      <c r="I21" s="186" t="str">
        <f>+'Necesidades Trimestrales'!F19</f>
        <v>UNIDAD</v>
      </c>
      <c r="J21" s="187">
        <f>+'Necesidades Trimestrales'!H19</f>
        <v>16600</v>
      </c>
      <c r="K21" s="188">
        <f>+'Necesidades Trimestrales'!G19</f>
        <v>10</v>
      </c>
    </row>
    <row r="22" spans="1:11" ht="42.75" customHeight="1" thickBot="1" x14ac:dyDescent="0.25">
      <c r="A22" s="182">
        <v>11</v>
      </c>
      <c r="B22" s="183" t="str">
        <f>+'Necesidades Trimestrales'!B20</f>
        <v>2.9.5-2161.567</v>
      </c>
      <c r="C22" s="184" t="str">
        <f>+'Necesidades Trimestrales'!E20</f>
        <v>CATETERES/SONDAS; NUMERO: 4 FR X 65 CM, TIPO: PICC PERCUTANEO CON INTRODUCTOR PELABLE</v>
      </c>
      <c r="D22" s="184"/>
      <c r="E22" s="184"/>
      <c r="F22" s="184"/>
      <c r="G22" s="184"/>
      <c r="H22" s="189" t="s">
        <v>53</v>
      </c>
      <c r="I22" s="186" t="str">
        <f>+'Necesidades Trimestrales'!F20</f>
        <v>UNIDAD</v>
      </c>
      <c r="J22" s="187">
        <f>+'Necesidades Trimestrales'!H20</f>
        <v>16600</v>
      </c>
      <c r="K22" s="188">
        <f>+'Necesidades Trimestrales'!G20</f>
        <v>10</v>
      </c>
    </row>
    <row r="23" spans="1:11" ht="42.75" customHeight="1" thickBot="1" x14ac:dyDescent="0.25">
      <c r="A23" s="182">
        <v>12</v>
      </c>
      <c r="B23" s="183" t="str">
        <f>+'Necesidades Trimestrales'!B21</f>
        <v>2.9.5-2161.83</v>
      </c>
      <c r="C23" s="184" t="str">
        <f>+'Necesidades Trimestrales'!E21</f>
        <v>CATETERES/SONDAS; NUMERO: 2,5, TIPO: UMBILICAL ARTERIAL, PRESENTACION: UNIDAD</v>
      </c>
      <c r="D23" s="184"/>
      <c r="E23" s="184"/>
      <c r="F23" s="184"/>
      <c r="G23" s="184"/>
      <c r="H23" s="189" t="s">
        <v>100</v>
      </c>
      <c r="I23" s="186" t="str">
        <f>+'Necesidades Trimestrales'!F21</f>
        <v>UNIDAD</v>
      </c>
      <c r="J23" s="187">
        <f>+'Necesidades Trimestrales'!H21</f>
        <v>1950</v>
      </c>
      <c r="K23" s="188">
        <f>+'Necesidades Trimestrales'!G21</f>
        <v>100</v>
      </c>
    </row>
    <row r="24" spans="1:11" ht="42.75" customHeight="1" thickBot="1" x14ac:dyDescent="0.25">
      <c r="A24" s="182">
        <v>13</v>
      </c>
      <c r="B24" s="183" t="str">
        <f>+'Necesidades Trimestrales'!B22</f>
        <v>2.9.5-2161.569</v>
      </c>
      <c r="C24" s="184" t="str">
        <f>+'Necesidades Trimestrales'!E22</f>
        <v>CATETERES/SONDAS; NUMERO: 3 FR, TIPO: UMBILICAL ARTERIAL, PRESENTACION: UNIDAD</v>
      </c>
      <c r="D24" s="184"/>
      <c r="E24" s="184"/>
      <c r="F24" s="184"/>
      <c r="G24" s="184"/>
      <c r="H24" s="189" t="s">
        <v>100</v>
      </c>
      <c r="I24" s="186" t="str">
        <f>+'Necesidades Trimestrales'!F22</f>
        <v>UNIDAD</v>
      </c>
      <c r="J24" s="187">
        <f>+'Necesidades Trimestrales'!H22</f>
        <v>1950</v>
      </c>
      <c r="K24" s="188">
        <f>+'Necesidades Trimestrales'!G22</f>
        <v>100</v>
      </c>
    </row>
    <row r="25" spans="1:11" ht="42.75" customHeight="1" thickBot="1" x14ac:dyDescent="0.25">
      <c r="A25" s="182">
        <v>14</v>
      </c>
      <c r="B25" s="183" t="str">
        <f>+'Necesidades Trimestrales'!B23</f>
        <v>2.9.5-2161.82</v>
      </c>
      <c r="C25" s="184" t="str">
        <f>+'Necesidades Trimestrales'!E23</f>
        <v>CATETERES/SONDAS; NUMERO: 3,5, TIPO: UMBILICAL ARTERIAL, PRESENTACION: UNIDAD</v>
      </c>
      <c r="D25" s="184"/>
      <c r="E25" s="184"/>
      <c r="F25" s="184"/>
      <c r="G25" s="184"/>
      <c r="H25" s="189" t="s">
        <v>100</v>
      </c>
      <c r="I25" s="186" t="str">
        <f>+'Necesidades Trimestrales'!F23</f>
        <v>UNIDAD</v>
      </c>
      <c r="J25" s="187">
        <f>+'Necesidades Trimestrales'!H23</f>
        <v>1950</v>
      </c>
      <c r="K25" s="188">
        <f>+'Necesidades Trimestrales'!G23</f>
        <v>50</v>
      </c>
    </row>
    <row r="26" spans="1:11" ht="42.75" customHeight="1" thickBot="1" x14ac:dyDescent="0.25">
      <c r="A26" s="182">
        <v>15</v>
      </c>
      <c r="B26" s="183" t="str">
        <f>+'Necesidades Trimestrales'!B24</f>
        <v>2.9.5-2161.571</v>
      </c>
      <c r="C26" s="184" t="str">
        <f>+'Necesidades Trimestrales'!E24</f>
        <v>CATETERES/SONDAS; NUMERO: 3,5 FR, TIPO: UMBILICAL VENOSO, PRESENTACION: UNIDAD</v>
      </c>
      <c r="D26" s="184"/>
      <c r="E26" s="184"/>
      <c r="F26" s="184"/>
      <c r="G26" s="184"/>
      <c r="H26" s="189" t="s">
        <v>100</v>
      </c>
      <c r="I26" s="186" t="str">
        <f>+'Necesidades Trimestrales'!F24</f>
        <v>UNIDAD</v>
      </c>
      <c r="J26" s="187">
        <f>+'Necesidades Trimestrales'!H24</f>
        <v>2500</v>
      </c>
      <c r="K26" s="188">
        <f>+'Necesidades Trimestrales'!G24</f>
        <v>100</v>
      </c>
    </row>
    <row r="27" spans="1:11" ht="42.75" customHeight="1" thickBot="1" x14ac:dyDescent="0.25">
      <c r="A27" s="182">
        <v>16</v>
      </c>
      <c r="B27" s="183" t="str">
        <f>+'Necesidades Trimestrales'!B25</f>
        <v>2.9.5-2161.572</v>
      </c>
      <c r="C27" s="184" t="str">
        <f>+'Necesidades Trimestrales'!E25</f>
        <v>CATETERES/SONDAS; NUMERO: 4 FR, TIPO: UMBILICAL VENOSO, PRESENTACION: UNIDAD</v>
      </c>
      <c r="D27" s="184"/>
      <c r="E27" s="184"/>
      <c r="F27" s="184"/>
      <c r="G27" s="184"/>
      <c r="H27" s="189" t="s">
        <v>100</v>
      </c>
      <c r="I27" s="186" t="str">
        <f>+'Necesidades Trimestrales'!F25</f>
        <v>UNIDAD</v>
      </c>
      <c r="J27" s="187">
        <f>+'Necesidades Trimestrales'!H25</f>
        <v>2500</v>
      </c>
      <c r="K27" s="188">
        <f>+'Necesidades Trimestrales'!G25</f>
        <v>50</v>
      </c>
    </row>
    <row r="28" spans="1:11" ht="42.75" customHeight="1" thickBot="1" x14ac:dyDescent="0.25">
      <c r="A28" s="182">
        <v>17</v>
      </c>
      <c r="B28" s="183" t="str">
        <f>+'Necesidades Trimestrales'!B26</f>
        <v>2.9.5-2161.574</v>
      </c>
      <c r="C28" s="184" t="str">
        <f>+'Necesidades Trimestrales'!E26</f>
        <v>CATETERES/SONDAS; NUMERO: 2,5 FR, TIPO: UMBILICAL VENOSO, PRESENTACION: UNIDAD</v>
      </c>
      <c r="D28" s="184"/>
      <c r="E28" s="184"/>
      <c r="F28" s="184"/>
      <c r="G28" s="184"/>
      <c r="H28" s="189" t="s">
        <v>100</v>
      </c>
      <c r="I28" s="186" t="str">
        <f>+'Necesidades Trimestrales'!F26</f>
        <v>UNIDAD</v>
      </c>
      <c r="J28" s="187">
        <f>+'Necesidades Trimestrales'!H26</f>
        <v>2500</v>
      </c>
      <c r="K28" s="188">
        <f>+'Necesidades Trimestrales'!G26</f>
        <v>30</v>
      </c>
    </row>
    <row r="29" spans="1:11" ht="42.75" customHeight="1" thickBot="1" x14ac:dyDescent="0.25">
      <c r="A29" s="182">
        <v>18</v>
      </c>
      <c r="B29" s="183" t="str">
        <f>+'Necesidades Trimestrales'!B27</f>
        <v>2.9.5-8436.8</v>
      </c>
      <c r="C29" s="184" t="str">
        <f>+'Necesidades Trimestrales'!E27</f>
        <v>FILTROS DE DESLUOCOTIZACION; USO: NEONATAL PEDIATRICO, CAPACIDAD DE FILTRADO: 1 UNIDAD DE GLOBULOS ROJOS, CAPACIDAD DEL FILTRO: LOGARITMO 4</v>
      </c>
      <c r="D29" s="184"/>
      <c r="E29" s="184"/>
      <c r="F29" s="184"/>
      <c r="G29" s="184"/>
      <c r="H29" s="189" t="s">
        <v>53</v>
      </c>
      <c r="I29" s="186" t="str">
        <f>+'Necesidades Trimestrales'!F27</f>
        <v>UNIDAD</v>
      </c>
      <c r="J29" s="187">
        <f>+'Necesidades Trimestrales'!H27</f>
        <v>6500</v>
      </c>
      <c r="K29" s="188">
        <f>+'Necesidades Trimestrales'!G27</f>
        <v>100</v>
      </c>
    </row>
    <row r="30" spans="1:11" ht="42.75" customHeight="1" thickBot="1" x14ac:dyDescent="0.25">
      <c r="A30" s="182">
        <v>19</v>
      </c>
      <c r="B30" s="183" t="str">
        <f>+'Necesidades Trimestrales'!B28</f>
        <v>2.9.5-6286.5</v>
      </c>
      <c r="C30" s="184" t="str">
        <f>+'Necesidades Trimestrales'!E28</f>
        <v>HEMOSTATICOS ABSORBIBLES; TIPO: SURGIEL, MEDIDA: 5 X 7,5 Cm, PRESENTACION: UNIDAD</v>
      </c>
      <c r="D30" s="184"/>
      <c r="E30" s="184"/>
      <c r="F30" s="184"/>
      <c r="G30" s="184"/>
      <c r="H30" s="189" t="s">
        <v>100</v>
      </c>
      <c r="I30" s="186" t="str">
        <f>+'Necesidades Trimestrales'!F28</f>
        <v>UNIDAD</v>
      </c>
      <c r="J30" s="187">
        <f>+'Necesidades Trimestrales'!H28</f>
        <v>4900</v>
      </c>
      <c r="K30" s="188">
        <f>+'Necesidades Trimestrales'!G28</f>
        <v>20</v>
      </c>
    </row>
    <row r="31" spans="1:11" ht="42.75" customHeight="1" thickBot="1" x14ac:dyDescent="0.25">
      <c r="A31" s="36">
        <v>20</v>
      </c>
      <c r="B31" s="37" t="str">
        <f>+'Necesidades Trimestrales'!B29</f>
        <v>2.9.5-6700.2</v>
      </c>
      <c r="C31" s="143" t="str">
        <f>+'Necesidades Trimestrales'!E29</f>
        <v>TROCAR DE PUNCION; USO: PUNCION TORAXICO, TIPO: N°8, CAMISA: SIN</v>
      </c>
      <c r="D31" s="143"/>
      <c r="E31" s="143"/>
      <c r="F31" s="143"/>
      <c r="G31" s="143"/>
      <c r="H31" s="41" t="s">
        <v>53</v>
      </c>
      <c r="I31" s="38" t="str">
        <f>+'Necesidades Trimestrales'!F29</f>
        <v>UNIDAD</v>
      </c>
      <c r="J31" s="39">
        <f>+'Necesidades Trimestrales'!H29</f>
        <v>1350</v>
      </c>
      <c r="K31" s="40">
        <f>+'Necesidades Trimestrales'!G29</f>
        <v>30</v>
      </c>
    </row>
    <row r="32" spans="1:11" ht="16.5" thickBot="1" x14ac:dyDescent="0.25">
      <c r="A32" s="144" t="s">
        <v>133</v>
      </c>
      <c r="B32" s="144"/>
      <c r="C32" s="144"/>
      <c r="D32" s="144"/>
      <c r="E32" s="144"/>
      <c r="F32" s="144"/>
      <c r="G32" s="144"/>
      <c r="H32" s="145"/>
      <c r="I32" s="144"/>
      <c r="J32" s="146">
        <f>SUMPRODUCT(J12:J31,K12:K31)</f>
        <v>5260620</v>
      </c>
      <c r="K32" s="146"/>
    </row>
  </sheetData>
  <mergeCells count="4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32:I32"/>
    <mergeCell ref="J32:K32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3:G23"/>
    <mergeCell ref="C24:G24"/>
    <mergeCell ref="C25:G25"/>
    <mergeCell ref="C13:G13"/>
    <mergeCell ref="C14:G14"/>
    <mergeCell ref="C15:G15"/>
    <mergeCell ref="C16:G16"/>
    <mergeCell ref="C17:G17"/>
    <mergeCell ref="C26:G26"/>
    <mergeCell ref="C18:G18"/>
    <mergeCell ref="C19:G19"/>
    <mergeCell ref="C20:G20"/>
    <mergeCell ref="C21:G21"/>
    <mergeCell ref="C22:G22"/>
    <mergeCell ref="C30:G30"/>
    <mergeCell ref="C31:G31"/>
    <mergeCell ref="C27:G27"/>
    <mergeCell ref="C28:G28"/>
    <mergeCell ref="C29:G2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abSelected="1" topLeftCell="A15" zoomScale="130" zoomScaleNormal="130" workbookViewId="0">
      <selection activeCell="A25" sqref="A25:Q2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8" t="s">
        <v>3</v>
      </c>
      <c r="B1" s="178"/>
      <c r="C1" s="178"/>
      <c r="D1" s="179">
        <f>'Necesidades Trimestrales'!C6</f>
        <v>2022</v>
      </c>
      <c r="E1" s="179"/>
      <c r="F1" s="3"/>
      <c r="G1" s="3"/>
      <c r="H1" s="4"/>
      <c r="I1" s="4"/>
      <c r="J1" s="4"/>
      <c r="K1" s="4"/>
      <c r="L1" s="4"/>
      <c r="M1" s="4"/>
      <c r="N1" s="4"/>
      <c r="P1" s="180" t="s">
        <v>25</v>
      </c>
      <c r="Q1" s="18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80"/>
      <c r="Q2" s="180"/>
    </row>
    <row r="4" spans="1:17" s="5" customFormat="1" ht="18" customHeight="1" thickBot="1" x14ac:dyDescent="0.25">
      <c r="A4" s="181" t="s">
        <v>26</v>
      </c>
      <c r="B4" s="181"/>
      <c r="C4" s="181"/>
      <c r="D4" s="181"/>
      <c r="E4" s="181"/>
      <c r="F4" s="181"/>
      <c r="G4" s="176" t="str">
        <f>' NotaPedido'!D3</f>
        <v>040 - Ministerio de Salud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</row>
    <row r="5" spans="1:17" s="5" customFormat="1" ht="18" customHeight="1" thickBot="1" x14ac:dyDescent="0.25">
      <c r="A5" s="173" t="s">
        <v>49</v>
      </c>
      <c r="B5" s="174"/>
      <c r="C5" s="174"/>
      <c r="D5" s="174"/>
      <c r="E5" s="174"/>
      <c r="F5" s="175"/>
      <c r="G5" s="176" t="str">
        <f>' NotaPedido'!D4</f>
        <v>28-Maternidad Provincial 25 de Mayo</v>
      </c>
      <c r="H5" s="176"/>
      <c r="I5" s="176"/>
      <c r="J5" s="176"/>
      <c r="K5" s="176"/>
      <c r="L5" s="176"/>
      <c r="M5" s="176"/>
      <c r="N5" s="176"/>
      <c r="O5" s="176"/>
      <c r="P5" s="176"/>
      <c r="Q5" s="176"/>
    </row>
    <row r="6" spans="1:17" s="5" customFormat="1" ht="18" customHeight="1" thickBot="1" x14ac:dyDescent="0.25">
      <c r="A6" s="173" t="s">
        <v>27</v>
      </c>
      <c r="B6" s="174"/>
      <c r="C6" s="174"/>
      <c r="D6" s="174"/>
      <c r="E6" s="174"/>
      <c r="F6" s="175"/>
      <c r="G6" s="176" t="str">
        <f>' NotaPedido'!D5</f>
        <v>169-Direccion Asistencial</v>
      </c>
      <c r="H6" s="176"/>
      <c r="I6" s="176"/>
      <c r="J6" s="176"/>
      <c r="K6" s="176"/>
      <c r="L6" s="176"/>
      <c r="M6" s="176"/>
      <c r="N6" s="176"/>
      <c r="O6" s="176"/>
      <c r="P6" s="176"/>
      <c r="Q6" s="176"/>
    </row>
    <row r="7" spans="1:17" s="5" customFormat="1" ht="18" customHeight="1" thickBot="1" x14ac:dyDescent="0.25">
      <c r="A7" s="173" t="s">
        <v>50</v>
      </c>
      <c r="B7" s="174"/>
      <c r="C7" s="174"/>
      <c r="D7" s="174"/>
      <c r="E7" s="174"/>
      <c r="F7" s="175"/>
      <c r="G7" s="176" t="str">
        <f>' NotaPedido'!D6</f>
        <v>Servicio de Farmacia</v>
      </c>
      <c r="H7" s="176"/>
      <c r="I7" s="176"/>
      <c r="J7" s="176"/>
      <c r="K7" s="176"/>
      <c r="L7" s="176"/>
      <c r="M7" s="176"/>
      <c r="N7" s="176"/>
      <c r="O7" s="176"/>
      <c r="P7" s="176"/>
      <c r="Q7" s="176"/>
    </row>
    <row r="8" spans="1:17" ht="18" customHeight="1" thickBot="1" x14ac:dyDescent="0.25">
      <c r="A8" s="177" t="s">
        <v>28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</row>
    <row r="9" spans="1:17" ht="18" customHeight="1" x14ac:dyDescent="0.2">
      <c r="A9" s="167" t="s">
        <v>29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91"/>
      <c r="P9" s="91"/>
      <c r="Q9" s="92"/>
    </row>
    <row r="10" spans="1:17" ht="54.75" customHeight="1" x14ac:dyDescent="0.2">
      <c r="A10" s="16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69" t="s">
        <v>30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.75" customHeight="1" x14ac:dyDescent="0.2">
      <c r="A13" s="170" t="s">
        <v>31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32</v>
      </c>
      <c r="P13" s="171"/>
      <c r="Q13" s="172" t="s">
        <v>33</v>
      </c>
    </row>
    <row r="14" spans="1:17" ht="15.75" customHeight="1" x14ac:dyDescent="0.2">
      <c r="A14" s="10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2" t="s">
        <v>40</v>
      </c>
      <c r="H14" s="11" t="s">
        <v>41</v>
      </c>
      <c r="I14" s="11" t="s">
        <v>42</v>
      </c>
      <c r="J14" s="11" t="s">
        <v>43</v>
      </c>
      <c r="K14" s="11" t="s">
        <v>43</v>
      </c>
      <c r="L14" s="11" t="s">
        <v>44</v>
      </c>
      <c r="M14" s="13" t="s">
        <v>45</v>
      </c>
      <c r="N14" s="14" t="s">
        <v>46</v>
      </c>
      <c r="O14" s="171"/>
      <c r="P14" s="171"/>
      <c r="Q14" s="172"/>
    </row>
    <row r="15" spans="1:17" ht="25.5" customHeight="1" x14ac:dyDescent="0.2">
      <c r="A15" s="128">
        <v>42</v>
      </c>
      <c r="B15" s="129"/>
      <c r="C15" s="129"/>
      <c r="D15" s="129">
        <v>2</v>
      </c>
      <c r="E15" s="129"/>
      <c r="F15" s="129">
        <v>4901</v>
      </c>
      <c r="G15" s="129">
        <v>3</v>
      </c>
      <c r="H15" s="129">
        <v>1</v>
      </c>
      <c r="I15" s="129">
        <v>2</v>
      </c>
      <c r="J15" s="129">
        <v>9</v>
      </c>
      <c r="K15" s="129">
        <v>5</v>
      </c>
      <c r="L15" s="129"/>
      <c r="M15" s="130">
        <v>1</v>
      </c>
      <c r="N15" s="131" t="s">
        <v>52</v>
      </c>
      <c r="O15" s="161" t="s">
        <v>101</v>
      </c>
      <c r="P15" s="162"/>
      <c r="Q15" s="132">
        <v>5260620</v>
      </c>
    </row>
    <row r="16" spans="1:17" ht="17.25" customHeight="1" x14ac:dyDescent="0.2">
      <c r="A16" s="15"/>
      <c r="B16" s="16"/>
      <c r="C16" s="16"/>
      <c r="D16" s="16"/>
      <c r="E16" s="16"/>
      <c r="F16" s="18"/>
      <c r="G16" s="16"/>
      <c r="H16" s="16"/>
      <c r="I16" s="16"/>
      <c r="J16" s="16"/>
      <c r="K16" s="16"/>
      <c r="L16" s="16"/>
      <c r="M16" s="17"/>
      <c r="N16" s="18"/>
      <c r="O16" s="156"/>
      <c r="P16" s="156"/>
      <c r="Q16" s="19"/>
    </row>
    <row r="17" spans="1:18" ht="17.25" customHeight="1" x14ac:dyDescent="0.2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  <c r="N17" s="18"/>
      <c r="O17" s="156"/>
      <c r="P17" s="156"/>
      <c r="Q17" s="19"/>
    </row>
    <row r="18" spans="1:18" ht="17.25" customHeight="1" x14ac:dyDescent="0.2">
      <c r="A18" s="15"/>
      <c r="B18" s="16"/>
      <c r="C18" s="16"/>
      <c r="D18" s="16"/>
      <c r="E18" s="16"/>
      <c r="F18" s="18"/>
      <c r="G18" s="16"/>
      <c r="H18" s="16"/>
      <c r="I18" s="16"/>
      <c r="J18" s="16"/>
      <c r="K18" s="16"/>
      <c r="L18" s="16"/>
      <c r="M18" s="17"/>
      <c r="N18" s="18"/>
      <c r="O18" s="156"/>
      <c r="P18" s="156"/>
      <c r="Q18" s="19"/>
    </row>
    <row r="19" spans="1:18" ht="17.25" customHeight="1" x14ac:dyDescent="0.2">
      <c r="A19" s="15"/>
      <c r="B19" s="16"/>
      <c r="C19" s="16"/>
      <c r="D19" s="16"/>
      <c r="E19" s="16"/>
      <c r="F19" s="18"/>
      <c r="G19" s="16"/>
      <c r="H19" s="16"/>
      <c r="I19" s="16"/>
      <c r="J19" s="16"/>
      <c r="K19" s="16"/>
      <c r="L19" s="16"/>
      <c r="M19" s="17"/>
      <c r="N19" s="18"/>
      <c r="O19" s="156"/>
      <c r="P19" s="156"/>
      <c r="Q19" s="19"/>
    </row>
    <row r="20" spans="1:18" ht="17.25" customHeight="1" x14ac:dyDescent="0.2">
      <c r="A20" s="20"/>
      <c r="B20" s="21"/>
      <c r="C20" s="21"/>
      <c r="D20" s="21"/>
      <c r="E20" s="21"/>
      <c r="F20" s="22"/>
      <c r="G20" s="21"/>
      <c r="H20" s="21"/>
      <c r="I20" s="21"/>
      <c r="J20" s="21"/>
      <c r="K20" s="21"/>
      <c r="L20" s="21"/>
      <c r="M20" s="23"/>
      <c r="N20" s="24"/>
      <c r="O20" s="157"/>
      <c r="P20" s="157"/>
      <c r="Q20" s="19"/>
      <c r="R20" s="1"/>
    </row>
    <row r="21" spans="1:18" ht="17.25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26"/>
      <c r="O21" s="158"/>
      <c r="P21" s="158"/>
      <c r="Q21" s="28"/>
    </row>
    <row r="22" spans="1:18" ht="29.25" customHeight="1" x14ac:dyDescent="0.2">
      <c r="A22" s="159" t="s">
        <v>134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33">
        <f>SUM(Q15:Q21)</f>
        <v>5260620</v>
      </c>
    </row>
    <row r="23" spans="1:18" ht="18" customHeight="1" thickBot="1" x14ac:dyDescent="0.25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</row>
    <row r="24" spans="1:18" ht="17.25" customHeight="1" thickBot="1" x14ac:dyDescent="0.25">
      <c r="A24" s="163" t="s">
        <v>47</v>
      </c>
      <c r="B24" s="164"/>
      <c r="C24" s="164"/>
      <c r="D24" s="164"/>
      <c r="E24" s="164"/>
      <c r="F24" s="165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</row>
    <row r="25" spans="1:18" ht="18" customHeight="1" thickBot="1" x14ac:dyDescent="0.25">
      <c r="A25" s="155" t="s">
        <v>106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</row>
    <row r="26" spans="1:18" ht="15" customHeight="1" x14ac:dyDescent="0.2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2022-07-14T13:26:28Z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