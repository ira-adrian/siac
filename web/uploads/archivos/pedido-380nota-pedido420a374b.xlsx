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315" windowWidth="15600" windowHeight="11340" tabRatio="500" activeTab="2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Trimestrales'!$A$9:$H$20</definedName>
    <definedName name="_xlnm.Print_Area" localSheetId="1">' NotaPedido'!$A$1:$G$22</definedName>
    <definedName name="_xlnm.Print_Area" localSheetId="2">'Autor Gastar'!$A$1:$Q$27</definedName>
    <definedName name="_xlnm.Print_Area" localSheetId="0">'Necesidades Trimestrales'!$D$9:$D$20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" i="2" l="1"/>
  <c r="G24" i="2" l="1"/>
  <c r="F24" i="2"/>
  <c r="E24" i="2"/>
  <c r="C24" i="2"/>
  <c r="B24" i="2"/>
  <c r="G23" i="2"/>
  <c r="F23" i="2"/>
  <c r="E23" i="2"/>
  <c r="C23" i="2"/>
  <c r="B23" i="2"/>
  <c r="H22" i="1"/>
  <c r="H21" i="1"/>
  <c r="H10" i="1" l="1"/>
  <c r="F13" i="2" l="1"/>
  <c r="F14" i="2"/>
  <c r="F15" i="2"/>
  <c r="F16" i="2"/>
  <c r="F17" i="2"/>
  <c r="F18" i="2"/>
  <c r="F19" i="2"/>
  <c r="F20" i="2"/>
  <c r="F21" i="2"/>
  <c r="F22" i="2"/>
  <c r="G13" i="2"/>
  <c r="G14" i="2"/>
  <c r="G15" i="2"/>
  <c r="G16" i="2"/>
  <c r="G17" i="2"/>
  <c r="G18" i="2"/>
  <c r="G19" i="2"/>
  <c r="G20" i="2"/>
  <c r="G21" i="2"/>
  <c r="G22" i="2"/>
  <c r="G12" i="2"/>
  <c r="F12" i="2"/>
  <c r="H20" i="1"/>
  <c r="H19" i="1"/>
  <c r="H18" i="1"/>
  <c r="H17" i="1"/>
  <c r="H16" i="1"/>
  <c r="H15" i="1"/>
  <c r="H14" i="1"/>
  <c r="H13" i="1"/>
  <c r="D4" i="2" l="1"/>
  <c r="D3" i="2"/>
  <c r="C13" i="2" l="1"/>
  <c r="C14" i="2"/>
  <c r="C15" i="2"/>
  <c r="C16" i="2"/>
  <c r="C17" i="2"/>
  <c r="C18" i="2"/>
  <c r="C19" i="2"/>
  <c r="C20" i="2"/>
  <c r="C21" i="2"/>
  <c r="C22" i="2"/>
  <c r="A10" i="3" l="1"/>
  <c r="B14" i="2" l="1"/>
  <c r="B16" i="2"/>
  <c r="B17" i="2"/>
  <c r="B18" i="2"/>
  <c r="B19" i="2"/>
  <c r="B20" i="2"/>
  <c r="B21" i="2"/>
  <c r="B22" i="2"/>
  <c r="E14" i="2"/>
  <c r="E15" i="2"/>
  <c r="E16" i="2"/>
  <c r="E17" i="2"/>
  <c r="E18" i="2"/>
  <c r="E19" i="2"/>
  <c r="E20" i="2"/>
  <c r="E21" i="2"/>
  <c r="E22" i="2"/>
  <c r="E13" i="2"/>
  <c r="B13" i="2"/>
  <c r="H12" i="1" l="1"/>
  <c r="H11" i="1"/>
  <c r="D1" i="3" l="1"/>
  <c r="E12" i="2"/>
  <c r="C12" i="2"/>
  <c r="Q23" i="3" l="1"/>
</calcChain>
</file>

<file path=xl/sharedStrings.xml><?xml version="1.0" encoding="utf-8"?>
<sst xmlns="http://schemas.openxmlformats.org/spreadsheetml/2006/main" count="129" uniqueCount="84">
  <si>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</si>
  <si>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</si>
  <si>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</si>
  <si>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</si>
  <si>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</si>
  <si>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</si>
  <si>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</si>
  <si>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</si>
  <si>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</si>
  <si>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</si>
  <si>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</si>
  <si>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</si>
  <si>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</si>
  <si>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</si>
  <si>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</si>
  <si>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</si>
  <si>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</si>
  <si>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</si>
  <si>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</si>
  <si>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</si>
  <si>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</si>
  <si>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</si>
  <si>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</si>
  <si>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</si>
  <si>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</si>
  <si>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</si>
  <si>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</si>
  <si>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</si>
  <si>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</si>
  <si>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</si>
  <si>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</si>
  <si>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</si>
  <si>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</si>
  <si>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</si>
  <si>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</si>
  <si>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</si>
  <si>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</si>
  <si>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</si>
  <si>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</si>
  <si>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</si>
  <si>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</si>
  <si>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</si>
  <si>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</si>
  <si>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</si>
  <si>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</si>
  <si>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</si>
  <si>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</si>
  <si>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</si>
  <si>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</si>
  <si>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</si>
  <si>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</si>
  <si>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</si>
  <si>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</si>
  <si>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</si>
  <si>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</si>
  <si>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</si>
  <si>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COSTO TOTAL ESTIMADO</t>
  </si>
  <si>
    <t>Servicio de Farmacia</t>
  </si>
  <si>
    <t xml:space="preserve">Adquisición de Medicamentos 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</si>
  <si>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</si>
  <si>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</si>
  <si>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</si>
  <si>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</si>
  <si>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</si>
  <si>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</si>
  <si>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</si>
  <si>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</si>
  <si>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sol. Dextrosa 50% 500ML. sachet</t>
  </si>
  <si>
    <t>SOL.BICARBONATO DE SODIO 1/M SACHET X100ML X 1</t>
  </si>
  <si>
    <t>SOL.CLORURO DE POTASIO 1 MOLAR  X100ML. X 1</t>
  </si>
  <si>
    <t>SOL.DEXTROSA AL 10% EN AGUA X 500ML. X 1</t>
  </si>
  <si>
    <t>SOL.DEXTROSA AL 5% EN AGUA X 100 ML.</t>
  </si>
  <si>
    <t>SOL.DEXTROSA AL 5% X 500 ML. X 1</t>
  </si>
  <si>
    <t>SOL.D-MANITOL 15% X 500 ML.</t>
  </si>
  <si>
    <t>SOL.FIS.CLORURO DE SODIO X 100 ML.</t>
  </si>
  <si>
    <t>SOL.FIS.CLORURO DE SODIO X 500.ML.X 1</t>
  </si>
  <si>
    <t>SOL.P/DIAL.PERITONEAL C/DEXTR AL 2% X 2000ML X SAC</t>
  </si>
  <si>
    <t>SOL.RINGER CON LACTATO X 500 ML.</t>
  </si>
  <si>
    <t>019/2021</t>
  </si>
  <si>
    <t>Para la adquisición de Soluciones Parenterales destinados al servico de Farmacia del Hospital Interzonal de Niños Eva Peron, para el normal funcionamiento del organismo.</t>
  </si>
  <si>
    <t>GLUCOSADA HIPERTONICA 25% AMP.X 10 ML.</t>
  </si>
  <si>
    <t>SOL.FISIOLOGIACA AMP. X 5 ML. X 1</t>
  </si>
  <si>
    <t>TOTAL DE PESOS: NUEVE MILLONES TRESCIENTOS NUEVE MIL CIENTO SESENTA CON 50/100.</t>
  </si>
  <si>
    <t>Productos Farmaceuticos y Medicinales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</si>
</sst>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4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0" fillId="5" borderId="48" xfId="0" applyFill="1" applyBorder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3" fillId="3" borderId="15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3"/>
  <sheetViews>
    <sheetView topLeftCell="A5" zoomScaleNormal="100" workbookViewId="0">
      <selection activeCell="F19" sqref="F19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85" bestFit="1" customWidth="1"/>
    <col min="7" max="7" width="13.85546875" style="78" customWidth="1"/>
    <col min="8" max="8" width="18.5703125" style="32" customWidth="1"/>
    <col min="9" max="16384" width="11" style="32"/>
  </cols>
  <sheetData>
    <row r="2" spans="1:8" ht="27" x14ac:dyDescent="0.35">
      <c r="B2" s="92" t="s">
        <v>0</v>
      </c>
      <c r="C2" s="92"/>
      <c r="D2" s="92"/>
      <c r="E2" s="92"/>
      <c r="F2" s="92"/>
      <c r="G2" s="92"/>
    </row>
    <row r="3" spans="1:8" ht="12" customHeight="1" x14ac:dyDescent="0.2"/>
    <row r="4" spans="1:8" ht="18" customHeight="1" x14ac:dyDescent="0.25">
      <c r="A4" s="93" t="s">
        <v>1</v>
      </c>
      <c r="B4" s="93"/>
      <c r="C4" s="94" t="s">
        <v>52</v>
      </c>
      <c r="D4" s="94"/>
      <c r="E4" s="33"/>
      <c r="F4" s="86"/>
    </row>
    <row r="5" spans="1:8" ht="18" customHeight="1" x14ac:dyDescent="0.25">
      <c r="A5" s="93" t="s">
        <v>2</v>
      </c>
      <c r="B5" s="93"/>
      <c r="C5" s="94" t="s">
        <v>51</v>
      </c>
      <c r="D5" s="94"/>
      <c r="E5" s="33"/>
      <c r="F5" s="86"/>
    </row>
    <row r="6" spans="1:8" ht="16.5" customHeight="1" x14ac:dyDescent="0.25">
      <c r="A6" s="93" t="s">
        <v>3</v>
      </c>
      <c r="B6" s="93"/>
      <c r="C6" s="56">
        <v>2021</v>
      </c>
      <c r="D6" s="57"/>
      <c r="E6" s="33"/>
      <c r="F6" s="86"/>
    </row>
    <row r="7" spans="1:8" ht="16.5" customHeight="1" x14ac:dyDescent="0.25">
      <c r="A7" s="93" t="s">
        <v>4</v>
      </c>
      <c r="B7" s="93"/>
      <c r="C7" s="56">
        <v>1</v>
      </c>
      <c r="D7" s="57"/>
      <c r="E7" s="33"/>
      <c r="F7" s="86"/>
    </row>
    <row r="8" spans="1:8" ht="13.5" thickBot="1" x14ac:dyDescent="0.25">
      <c r="B8" s="33"/>
      <c r="C8" s="34"/>
      <c r="D8" s="33"/>
      <c r="E8" s="33"/>
      <c r="F8" s="86"/>
    </row>
    <row r="9" spans="1:8" ht="27" thickTop="1" thickBot="1" x14ac:dyDescent="0.25">
      <c r="A9" s="37" t="s">
        <v>5</v>
      </c>
      <c r="B9" s="35" t="s">
        <v>6</v>
      </c>
      <c r="C9" s="35" t="s">
        <v>7</v>
      </c>
      <c r="D9" s="66" t="s">
        <v>8</v>
      </c>
      <c r="E9" s="38" t="s">
        <v>9</v>
      </c>
      <c r="F9" s="35" t="s">
        <v>10</v>
      </c>
      <c r="G9" s="79" t="s">
        <v>11</v>
      </c>
      <c r="H9" s="35" t="s">
        <v>12</v>
      </c>
    </row>
    <row r="10" spans="1:8" ht="13.5" thickTop="1" x14ac:dyDescent="0.2">
      <c r="A10" s="36">
        <v>1</v>
      </c>
      <c r="B10" s="91">
        <v>252</v>
      </c>
      <c r="C10" s="39" t="s">
        <v>55</v>
      </c>
      <c r="D10" s="39" t="s">
        <v>67</v>
      </c>
      <c r="E10" s="65" t="s">
        <v>13</v>
      </c>
      <c r="F10" s="87">
        <v>50</v>
      </c>
      <c r="G10" s="80">
        <v>757.11</v>
      </c>
      <c r="H10" s="58">
        <f>+F10*G10</f>
        <v>37855.5</v>
      </c>
    </row>
    <row r="11" spans="1:8" x14ac:dyDescent="0.2">
      <c r="A11" s="36">
        <v>2</v>
      </c>
      <c r="B11" s="91">
        <v>252</v>
      </c>
      <c r="C11" s="39" t="s">
        <v>55</v>
      </c>
      <c r="D11" s="39" t="s">
        <v>68</v>
      </c>
      <c r="E11" s="65" t="s">
        <v>13</v>
      </c>
      <c r="F11" s="88">
        <v>200</v>
      </c>
      <c r="G11" s="81">
        <v>638.4</v>
      </c>
      <c r="H11" s="59">
        <f>F11*G11</f>
        <v>127680</v>
      </c>
    </row>
    <row r="12" spans="1:8" ht="13.5" thickBot="1" x14ac:dyDescent="0.25">
      <c r="A12" s="36">
        <v>3</v>
      </c>
      <c r="B12" s="91">
        <v>252</v>
      </c>
      <c r="C12" s="39" t="s">
        <v>55</v>
      </c>
      <c r="D12" s="39" t="s">
        <v>69</v>
      </c>
      <c r="E12" s="65" t="s">
        <v>13</v>
      </c>
      <c r="F12" s="88">
        <v>1000</v>
      </c>
      <c r="G12" s="81">
        <v>496.58</v>
      </c>
      <c r="H12" s="59">
        <f t="shared" ref="H12" si="0">F12*G12</f>
        <v>496580</v>
      </c>
    </row>
    <row r="13" spans="1:8" ht="13.5" thickBot="1" x14ac:dyDescent="0.25">
      <c r="A13" s="36">
        <v>4</v>
      </c>
      <c r="B13" s="91">
        <v>252</v>
      </c>
      <c r="C13" s="39" t="s">
        <v>55</v>
      </c>
      <c r="D13" s="39" t="s">
        <v>70</v>
      </c>
      <c r="E13" s="65" t="s">
        <v>13</v>
      </c>
      <c r="F13" s="88">
        <v>400</v>
      </c>
      <c r="G13" s="81">
        <v>318.47000000000003</v>
      </c>
      <c r="H13" s="58">
        <f t="shared" ref="H13:H20" si="1">+F13*G13</f>
        <v>127388.00000000001</v>
      </c>
    </row>
    <row r="14" spans="1:8" ht="13.5" thickBot="1" x14ac:dyDescent="0.25">
      <c r="A14" s="36">
        <v>5</v>
      </c>
      <c r="B14" s="91">
        <v>252</v>
      </c>
      <c r="C14" s="39" t="s">
        <v>55</v>
      </c>
      <c r="D14" s="39" t="s">
        <v>71</v>
      </c>
      <c r="E14" s="65" t="s">
        <v>13</v>
      </c>
      <c r="F14" s="88">
        <v>4000</v>
      </c>
      <c r="G14" s="81">
        <v>313.38</v>
      </c>
      <c r="H14" s="58">
        <f t="shared" si="1"/>
        <v>1253520</v>
      </c>
    </row>
    <row r="15" spans="1:8" ht="13.5" thickBot="1" x14ac:dyDescent="0.25">
      <c r="A15" s="36">
        <v>6</v>
      </c>
      <c r="B15" s="91">
        <v>252</v>
      </c>
      <c r="C15" s="39" t="s">
        <v>55</v>
      </c>
      <c r="D15" s="39" t="s">
        <v>72</v>
      </c>
      <c r="E15" s="65" t="s">
        <v>13</v>
      </c>
      <c r="F15" s="88">
        <v>15000</v>
      </c>
      <c r="G15" s="81">
        <v>186.66</v>
      </c>
      <c r="H15" s="58">
        <f t="shared" si="1"/>
        <v>2799900</v>
      </c>
    </row>
    <row r="16" spans="1:8" ht="13.5" thickBot="1" x14ac:dyDescent="0.25">
      <c r="A16" s="36">
        <v>7</v>
      </c>
      <c r="B16" s="91">
        <v>252</v>
      </c>
      <c r="C16" s="39" t="s">
        <v>55</v>
      </c>
      <c r="D16" s="39" t="s">
        <v>73</v>
      </c>
      <c r="E16" s="65" t="s">
        <v>13</v>
      </c>
      <c r="F16" s="88">
        <v>150</v>
      </c>
      <c r="G16" s="81">
        <v>649.20000000000005</v>
      </c>
      <c r="H16" s="58">
        <f t="shared" si="1"/>
        <v>97380</v>
      </c>
    </row>
    <row r="17" spans="1:8" ht="13.5" thickBot="1" x14ac:dyDescent="0.25">
      <c r="A17" s="36">
        <v>8</v>
      </c>
      <c r="B17" s="91">
        <v>252</v>
      </c>
      <c r="C17" s="39" t="s">
        <v>55</v>
      </c>
      <c r="D17" s="39" t="s">
        <v>74</v>
      </c>
      <c r="E17" s="65" t="s">
        <v>13</v>
      </c>
      <c r="F17" s="88">
        <v>4000</v>
      </c>
      <c r="G17" s="81">
        <v>201.21</v>
      </c>
      <c r="H17" s="58">
        <f t="shared" si="1"/>
        <v>804840</v>
      </c>
    </row>
    <row r="18" spans="1:8" ht="13.5" thickBot="1" x14ac:dyDescent="0.25">
      <c r="A18" s="36">
        <v>9</v>
      </c>
      <c r="B18" s="91">
        <v>252</v>
      </c>
      <c r="C18" s="39" t="s">
        <v>55</v>
      </c>
      <c r="D18" s="39" t="s">
        <v>75</v>
      </c>
      <c r="E18" s="65" t="s">
        <v>13</v>
      </c>
      <c r="F18" s="88">
        <v>10000</v>
      </c>
      <c r="G18" s="81">
        <v>258.20999999999998</v>
      </c>
      <c r="H18" s="58">
        <f t="shared" si="1"/>
        <v>2582100</v>
      </c>
    </row>
    <row r="19" spans="1:8" ht="13.5" thickBot="1" x14ac:dyDescent="0.25">
      <c r="A19" s="36">
        <v>10</v>
      </c>
      <c r="B19" s="91">
        <v>252</v>
      </c>
      <c r="C19" s="39" t="s">
        <v>55</v>
      </c>
      <c r="D19" s="39" t="s">
        <v>76</v>
      </c>
      <c r="E19" s="65" t="s">
        <v>13</v>
      </c>
      <c r="F19" s="88">
        <v>50</v>
      </c>
      <c r="G19" s="81">
        <v>266</v>
      </c>
      <c r="H19" s="58">
        <f t="shared" si="1"/>
        <v>13300</v>
      </c>
    </row>
    <row r="20" spans="1:8" ht="13.5" thickBot="1" x14ac:dyDescent="0.25">
      <c r="A20" s="36">
        <v>11</v>
      </c>
      <c r="B20" s="91">
        <v>252</v>
      </c>
      <c r="C20" s="39" t="s">
        <v>55</v>
      </c>
      <c r="D20" s="39" t="s">
        <v>77</v>
      </c>
      <c r="E20" s="65" t="s">
        <v>13</v>
      </c>
      <c r="F20" s="88">
        <v>250</v>
      </c>
      <c r="G20" s="81">
        <v>315.62</v>
      </c>
      <c r="H20" s="58">
        <f t="shared" si="1"/>
        <v>78905</v>
      </c>
    </row>
    <row r="21" spans="1:8" ht="13.5" thickBot="1" x14ac:dyDescent="0.25">
      <c r="A21" s="36">
        <v>10</v>
      </c>
      <c r="B21" s="91">
        <v>252</v>
      </c>
      <c r="C21" s="39" t="s">
        <v>55</v>
      </c>
      <c r="D21" s="39" t="s">
        <v>80</v>
      </c>
      <c r="E21" s="65" t="s">
        <v>13</v>
      </c>
      <c r="F21" s="88">
        <v>300</v>
      </c>
      <c r="G21" s="81">
        <v>268.04000000000002</v>
      </c>
      <c r="H21" s="58">
        <f t="shared" ref="H21:H22" si="2">+F21*G21</f>
        <v>80412</v>
      </c>
    </row>
    <row r="22" spans="1:8" x14ac:dyDescent="0.2">
      <c r="A22" s="36">
        <v>11</v>
      </c>
      <c r="B22" s="91">
        <v>252</v>
      </c>
      <c r="C22" s="39" t="s">
        <v>55</v>
      </c>
      <c r="D22" s="39" t="s">
        <v>81</v>
      </c>
      <c r="E22" s="65" t="s">
        <v>13</v>
      </c>
      <c r="F22" s="88">
        <v>5000</v>
      </c>
      <c r="G22" s="81">
        <v>161.86000000000001</v>
      </c>
      <c r="H22" s="58">
        <f t="shared" si="2"/>
        <v>809300.00000000012</v>
      </c>
    </row>
    <row r="24" spans="1:8" ht="13.5" thickBot="1" x14ac:dyDescent="0.25"/>
    <row r="25" spans="1:8" x14ac:dyDescent="0.2">
      <c r="B25" s="67" t="s">
        <v>59</v>
      </c>
      <c r="C25" s="68"/>
      <c r="D25" s="68"/>
      <c r="E25" s="69"/>
      <c r="F25" s="89"/>
      <c r="G25" s="82"/>
    </row>
    <row r="26" spans="1:8" ht="12.75" customHeight="1" x14ac:dyDescent="0.2">
      <c r="B26" s="95" t="s">
        <v>60</v>
      </c>
      <c r="C26" s="96"/>
      <c r="D26" s="96"/>
      <c r="E26" s="97"/>
      <c r="F26" s="89"/>
      <c r="G26" s="82"/>
    </row>
    <row r="27" spans="1:8" ht="26.25" customHeight="1" x14ac:dyDescent="0.2">
      <c r="B27" s="95"/>
      <c r="C27" s="96"/>
      <c r="D27" s="96"/>
      <c r="E27" s="97"/>
      <c r="F27" s="89"/>
      <c r="G27" s="82"/>
    </row>
    <row r="28" spans="1:8" ht="26.25" customHeight="1" x14ac:dyDescent="0.2">
      <c r="B28" s="95" t="s">
        <v>66</v>
      </c>
      <c r="C28" s="96"/>
      <c r="D28" s="96"/>
      <c r="E28" s="97"/>
      <c r="F28" s="89"/>
      <c r="G28" s="82"/>
    </row>
    <row r="29" spans="1:8" ht="26.25" customHeight="1" x14ac:dyDescent="0.2">
      <c r="B29" s="95" t="s">
        <v>61</v>
      </c>
      <c r="C29" s="96"/>
      <c r="D29" s="96"/>
      <c r="E29" s="97"/>
      <c r="F29" s="89"/>
      <c r="G29" s="82"/>
    </row>
    <row r="30" spans="1:8" x14ac:dyDescent="0.2">
      <c r="B30" s="70" t="s">
        <v>64</v>
      </c>
      <c r="C30" s="71"/>
      <c r="D30" s="72"/>
      <c r="E30" s="73"/>
      <c r="F30" s="89"/>
      <c r="G30" s="82"/>
    </row>
    <row r="31" spans="1:8" ht="26.25" customHeight="1" x14ac:dyDescent="0.2">
      <c r="B31" s="74"/>
      <c r="C31" s="98" t="s">
        <v>62</v>
      </c>
      <c r="D31" s="98"/>
      <c r="E31" s="98"/>
      <c r="F31" s="89"/>
      <c r="G31" s="82"/>
    </row>
    <row r="32" spans="1:8" ht="13.5" thickBot="1" x14ac:dyDescent="0.25">
      <c r="B32" s="75"/>
      <c r="C32" s="76"/>
      <c r="D32" s="76"/>
      <c r="E32" s="77"/>
      <c r="F32" s="89"/>
      <c r="G32" s="82"/>
    </row>
    <row r="33" spans="6:7" x14ac:dyDescent="0.2">
      <c r="F33" s="89"/>
      <c r="G33" s="82"/>
    </row>
  </sheetData>
  <autoFilter ref="A9:H20"/>
  <sortState ref="D454:H576">
    <sortCondition ref="H576"/>
  </sortState>
  <mergeCells count="11">
    <mergeCell ref="B26:E27"/>
    <mergeCell ref="B29:E29"/>
    <mergeCell ref="C31:E31"/>
    <mergeCell ref="A6:B6"/>
    <mergeCell ref="A7:B7"/>
    <mergeCell ref="B28:E28"/>
    <mergeCell ref="B2:G2"/>
    <mergeCell ref="A4:B4"/>
    <mergeCell ref="C4:D4"/>
    <mergeCell ref="A5:B5"/>
    <mergeCell ref="C5:D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B25"/>
  <sheetViews>
    <sheetView topLeftCell="A13" zoomScaleNormal="100" workbookViewId="0">
      <selection activeCell="F26" sqref="F26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99" t="s">
        <v>14</v>
      </c>
      <c r="B1" s="99"/>
      <c r="C1" s="99"/>
      <c r="D1" s="99"/>
      <c r="E1" s="99"/>
      <c r="F1" s="40" t="s">
        <v>15</v>
      </c>
      <c r="G1" s="90" t="s">
        <v>78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00" t="s">
        <v>48</v>
      </c>
      <c r="B3" s="100"/>
      <c r="C3" s="100"/>
      <c r="D3" s="102" t="str">
        <f>'[1]Necesidades Trimestrales'!C4</f>
        <v>040 - Ministerio de Salud</v>
      </c>
      <c r="E3" s="103"/>
      <c r="F3" s="103"/>
      <c r="G3" s="104"/>
    </row>
    <row r="4" spans="1:7" ht="18.75" customHeight="1" thickBot="1" x14ac:dyDescent="0.25">
      <c r="A4" s="101" t="s">
        <v>49</v>
      </c>
      <c r="B4" s="101"/>
      <c r="C4" s="101"/>
      <c r="D4" s="108" t="str">
        <f>'[1]Necesidades Trimestrales'!C5</f>
        <v>024 - Hospital Interzonal de Niños</v>
      </c>
      <c r="E4" s="108"/>
      <c r="F4" s="108"/>
      <c r="G4" s="108"/>
    </row>
    <row r="5" spans="1:7" ht="18.75" customHeight="1" thickBot="1" x14ac:dyDescent="0.25">
      <c r="A5" s="101" t="s">
        <v>27</v>
      </c>
      <c r="B5" s="101"/>
      <c r="C5" s="101"/>
      <c r="D5" s="108" t="s">
        <v>51</v>
      </c>
      <c r="E5" s="108"/>
      <c r="F5" s="108"/>
      <c r="G5" s="108"/>
    </row>
    <row r="6" spans="1:7" ht="16.5" customHeight="1" thickBot="1" x14ac:dyDescent="0.25">
      <c r="A6" s="100" t="s">
        <v>50</v>
      </c>
      <c r="B6" s="100"/>
      <c r="C6" s="100"/>
      <c r="D6" s="108" t="s">
        <v>57</v>
      </c>
      <c r="E6" s="108"/>
      <c r="F6" s="108"/>
      <c r="G6" s="108"/>
    </row>
    <row r="7" spans="1:7" ht="16.5" customHeight="1" thickBot="1" x14ac:dyDescent="0.25">
      <c r="A7" s="101" t="s">
        <v>16</v>
      </c>
      <c r="B7" s="101"/>
      <c r="C7" s="101"/>
      <c r="D7" s="108" t="s">
        <v>65</v>
      </c>
      <c r="E7" s="108"/>
      <c r="F7" s="108"/>
      <c r="G7" s="108"/>
    </row>
    <row r="8" spans="1:7" ht="16.5" customHeight="1" thickBot="1" x14ac:dyDescent="0.25">
      <c r="A8" s="110" t="s">
        <v>17</v>
      </c>
      <c r="B8" s="110"/>
      <c r="C8" s="110"/>
      <c r="D8" s="109" t="s">
        <v>58</v>
      </c>
      <c r="E8" s="109"/>
      <c r="F8" s="109"/>
      <c r="G8" s="109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11" t="s">
        <v>18</v>
      </c>
      <c r="B10" s="112" t="s">
        <v>19</v>
      </c>
      <c r="C10" s="112" t="s">
        <v>20</v>
      </c>
      <c r="D10" s="112" t="s">
        <v>21</v>
      </c>
      <c r="E10" s="112" t="s">
        <v>22</v>
      </c>
      <c r="F10" s="112" t="s">
        <v>23</v>
      </c>
      <c r="G10" s="113" t="s">
        <v>24</v>
      </c>
    </row>
    <row r="11" spans="1:7" ht="24" customHeight="1" thickBot="1" x14ac:dyDescent="0.25">
      <c r="A11" s="111"/>
      <c r="B11" s="112"/>
      <c r="C11" s="112"/>
      <c r="D11" s="112"/>
      <c r="E11" s="112"/>
      <c r="F11" s="112"/>
      <c r="G11" s="113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Trimestrales'!D10</f>
        <v>sol. Dextrosa 50% 500ML. sachet</v>
      </c>
      <c r="D12" s="49" t="s">
        <v>54</v>
      </c>
      <c r="E12" s="50" t="str">
        <f>'Necesidades Trimestrales'!E10</f>
        <v>UNIDAD</v>
      </c>
      <c r="F12" s="51">
        <f>+'Necesidades Trimestrales'!G10</f>
        <v>757.11</v>
      </c>
      <c r="G12" s="52">
        <f>+'Necesidades Trimestrales'!F10</f>
        <v>50</v>
      </c>
    </row>
    <row r="13" spans="1:7" ht="20.25" customHeight="1" thickBot="1" x14ac:dyDescent="0.25">
      <c r="A13" s="47">
        <v>2</v>
      </c>
      <c r="B13" s="53">
        <f>'Necesidades Trimestrales'!B11</f>
        <v>252</v>
      </c>
      <c r="C13" s="48" t="str">
        <f>'Necesidades Trimestrales'!D11</f>
        <v>SOL.BICARBONATO DE SODIO 1/M SACHET X100ML X 1</v>
      </c>
      <c r="D13" s="54" t="s">
        <v>54</v>
      </c>
      <c r="E13" s="55" t="str">
        <f>'Necesidades Trimestrales'!E11</f>
        <v>UNIDAD</v>
      </c>
      <c r="F13" s="51">
        <f>+'Necesidades Trimestrales'!G11</f>
        <v>638.4</v>
      </c>
      <c r="G13" s="52">
        <f>+'Necesidades Trimestrales'!F11</f>
        <v>200</v>
      </c>
    </row>
    <row r="14" spans="1:7" ht="20.25" customHeight="1" thickBot="1" x14ac:dyDescent="0.25">
      <c r="A14" s="47">
        <v>3</v>
      </c>
      <c r="B14" s="53">
        <f>'Necesidades Trimestrales'!B12</f>
        <v>252</v>
      </c>
      <c r="C14" s="48" t="str">
        <f>'Necesidades Trimestrales'!D12</f>
        <v>SOL.CLORURO DE POTASIO 1 MOLAR  X100ML. X 1</v>
      </c>
      <c r="D14" s="54" t="s">
        <v>54</v>
      </c>
      <c r="E14" s="55" t="str">
        <f>'Necesidades Trimestrales'!E12</f>
        <v>UNIDAD</v>
      </c>
      <c r="F14" s="51">
        <f>+'Necesidades Trimestrales'!G12</f>
        <v>496.58</v>
      </c>
      <c r="G14" s="52">
        <f>+'Necesidades Trimestrales'!F12</f>
        <v>1000</v>
      </c>
    </row>
    <row r="15" spans="1:7" ht="20.25" customHeight="1" thickBot="1" x14ac:dyDescent="0.25">
      <c r="A15" s="47">
        <v>4</v>
      </c>
      <c r="B15" s="53">
        <v>252</v>
      </c>
      <c r="C15" s="48" t="str">
        <f>'Necesidades Trimestrales'!D13</f>
        <v>SOL.DEXTROSA AL 10% EN AGUA X 500ML. X 1</v>
      </c>
      <c r="D15" s="54" t="s">
        <v>54</v>
      </c>
      <c r="E15" s="55" t="str">
        <f>'Necesidades Trimestrales'!E13</f>
        <v>UNIDAD</v>
      </c>
      <c r="F15" s="51">
        <f>+'Necesidades Trimestrales'!G13</f>
        <v>318.47000000000003</v>
      </c>
      <c r="G15" s="52">
        <f>+'Necesidades Trimestrales'!F13</f>
        <v>400</v>
      </c>
    </row>
    <row r="16" spans="1:7" ht="20.25" customHeight="1" thickBot="1" x14ac:dyDescent="0.25">
      <c r="A16" s="47">
        <v>5</v>
      </c>
      <c r="B16" s="53">
        <f>'Necesidades Trimestrales'!B14</f>
        <v>252</v>
      </c>
      <c r="C16" s="48" t="str">
        <f>'Necesidades Trimestrales'!D14</f>
        <v>SOL.DEXTROSA AL 5% EN AGUA X 100 ML.</v>
      </c>
      <c r="D16" s="54" t="s">
        <v>54</v>
      </c>
      <c r="E16" s="55" t="str">
        <f>'Necesidades Trimestrales'!E14</f>
        <v>UNIDAD</v>
      </c>
      <c r="F16" s="51">
        <f>+'Necesidades Trimestrales'!G14</f>
        <v>313.38</v>
      </c>
      <c r="G16" s="52">
        <f>+'Necesidades Trimestrales'!F14</f>
        <v>4000</v>
      </c>
    </row>
    <row r="17" spans="1:9" ht="20.25" customHeight="1" thickBot="1" x14ac:dyDescent="0.25">
      <c r="A17" s="47">
        <v>6</v>
      </c>
      <c r="B17" s="53">
        <f>'Necesidades Trimestrales'!B15</f>
        <v>252</v>
      </c>
      <c r="C17" s="48" t="str">
        <f>'Necesidades Trimestrales'!D15</f>
        <v>SOL.DEXTROSA AL 5% X 500 ML. X 1</v>
      </c>
      <c r="D17" s="54" t="s">
        <v>54</v>
      </c>
      <c r="E17" s="55" t="str">
        <f>'Necesidades Trimestrales'!E15</f>
        <v>UNIDAD</v>
      </c>
      <c r="F17" s="51">
        <f>+'Necesidades Trimestrales'!G15</f>
        <v>186.66</v>
      </c>
      <c r="G17" s="52">
        <f>+'Necesidades Trimestrales'!F15</f>
        <v>15000</v>
      </c>
    </row>
    <row r="18" spans="1:9" ht="20.25" customHeight="1" thickBot="1" x14ac:dyDescent="0.25">
      <c r="A18" s="47">
        <v>7</v>
      </c>
      <c r="B18" s="53">
        <f>'Necesidades Trimestrales'!B16</f>
        <v>252</v>
      </c>
      <c r="C18" s="48" t="str">
        <f>'Necesidades Trimestrales'!D16</f>
        <v>SOL.D-MANITOL 15% X 500 ML.</v>
      </c>
      <c r="D18" s="54" t="s">
        <v>54</v>
      </c>
      <c r="E18" s="55" t="str">
        <f>'Necesidades Trimestrales'!E16</f>
        <v>UNIDAD</v>
      </c>
      <c r="F18" s="51">
        <f>+'Necesidades Trimestrales'!G16</f>
        <v>649.20000000000005</v>
      </c>
      <c r="G18" s="52">
        <f>+'Necesidades Trimestrales'!F16</f>
        <v>150</v>
      </c>
    </row>
    <row r="19" spans="1:9" ht="20.25" customHeight="1" thickBot="1" x14ac:dyDescent="0.25">
      <c r="A19" s="47">
        <v>8</v>
      </c>
      <c r="B19" s="53">
        <f>'Necesidades Trimestrales'!B17</f>
        <v>252</v>
      </c>
      <c r="C19" s="48" t="str">
        <f>'Necesidades Trimestrales'!D17</f>
        <v>SOL.FIS.CLORURO DE SODIO X 100 ML.</v>
      </c>
      <c r="D19" s="54" t="s">
        <v>54</v>
      </c>
      <c r="E19" s="55" t="str">
        <f>'Necesidades Trimestrales'!E17</f>
        <v>UNIDAD</v>
      </c>
      <c r="F19" s="51">
        <f>+'Necesidades Trimestrales'!G17</f>
        <v>201.21</v>
      </c>
      <c r="G19" s="52">
        <f>+'Necesidades Trimestrales'!F17</f>
        <v>4000</v>
      </c>
    </row>
    <row r="20" spans="1:9" ht="20.25" customHeight="1" thickBot="1" x14ac:dyDescent="0.25">
      <c r="A20" s="47">
        <v>9</v>
      </c>
      <c r="B20" s="53">
        <f>'Necesidades Trimestrales'!B18</f>
        <v>252</v>
      </c>
      <c r="C20" s="48" t="str">
        <f>'Necesidades Trimestrales'!D18</f>
        <v>SOL.FIS.CLORURO DE SODIO X 500.ML.X 1</v>
      </c>
      <c r="D20" s="54" t="s">
        <v>54</v>
      </c>
      <c r="E20" s="55" t="str">
        <f>'Necesidades Trimestrales'!E18</f>
        <v>UNIDAD</v>
      </c>
      <c r="F20" s="51">
        <f>+'Necesidades Trimestrales'!G18</f>
        <v>258.20999999999998</v>
      </c>
      <c r="G20" s="52">
        <f>+'Necesidades Trimestrales'!F18</f>
        <v>10000</v>
      </c>
    </row>
    <row r="21" spans="1:9" ht="20.25" customHeight="1" thickBot="1" x14ac:dyDescent="0.25">
      <c r="A21" s="47">
        <v>10</v>
      </c>
      <c r="B21" s="53">
        <f>'Necesidades Trimestrales'!B19</f>
        <v>252</v>
      </c>
      <c r="C21" s="48" t="str">
        <f>'Necesidades Trimestrales'!D19</f>
        <v>SOL.P/DIAL.PERITONEAL C/DEXTR AL 2% X 2000ML X SAC</v>
      </c>
      <c r="D21" s="54" t="s">
        <v>54</v>
      </c>
      <c r="E21" s="55" t="str">
        <f>'Necesidades Trimestrales'!E19</f>
        <v>UNIDAD</v>
      </c>
      <c r="F21" s="51">
        <f>+'Necesidades Trimestrales'!G19</f>
        <v>266</v>
      </c>
      <c r="G21" s="52">
        <f>+'Necesidades Trimestrales'!F19</f>
        <v>50</v>
      </c>
    </row>
    <row r="22" spans="1:9" ht="20.25" customHeight="1" thickBot="1" x14ac:dyDescent="0.25">
      <c r="A22" s="47">
        <v>11</v>
      </c>
      <c r="B22" s="53">
        <f>'Necesidades Trimestrales'!B20</f>
        <v>252</v>
      </c>
      <c r="C22" s="48" t="str">
        <f>'Necesidades Trimestrales'!D20</f>
        <v>SOL.RINGER CON LACTATO X 500 ML.</v>
      </c>
      <c r="D22" s="54" t="s">
        <v>54</v>
      </c>
      <c r="E22" s="55" t="str">
        <f>'Necesidades Trimestrales'!E20</f>
        <v>UNIDAD</v>
      </c>
      <c r="F22" s="51">
        <f>+'Necesidades Trimestrales'!G20</f>
        <v>315.62</v>
      </c>
      <c r="G22" s="52">
        <f>+'Necesidades Trimestrales'!F20</f>
        <v>250</v>
      </c>
    </row>
    <row r="23" spans="1:9" ht="20.25" customHeight="1" thickBot="1" x14ac:dyDescent="0.25">
      <c r="A23" s="47">
        <v>10</v>
      </c>
      <c r="B23" s="53">
        <f>'Necesidades Trimestrales'!B21</f>
        <v>252</v>
      </c>
      <c r="C23" s="48" t="str">
        <f>'Necesidades Trimestrales'!D21</f>
        <v>GLUCOSADA HIPERTONICA 25% AMP.X 10 ML.</v>
      </c>
      <c r="D23" s="54" t="s">
        <v>54</v>
      </c>
      <c r="E23" s="55" t="str">
        <f>'Necesidades Trimestrales'!E21</f>
        <v>UNIDAD</v>
      </c>
      <c r="F23" s="51">
        <f>+'Necesidades Trimestrales'!G21</f>
        <v>268.04000000000002</v>
      </c>
      <c r="G23" s="52">
        <f>+'Necesidades Trimestrales'!F21</f>
        <v>300</v>
      </c>
    </row>
    <row r="24" spans="1:9" ht="20.25" customHeight="1" thickBot="1" x14ac:dyDescent="0.25">
      <c r="A24" s="47">
        <v>11</v>
      </c>
      <c r="B24" s="53">
        <f>'Necesidades Trimestrales'!B22</f>
        <v>252</v>
      </c>
      <c r="C24" s="48" t="str">
        <f>'Necesidades Trimestrales'!D22</f>
        <v>SOL.FISIOLOGIACA AMP. X 5 ML. X 1</v>
      </c>
      <c r="D24" s="54" t="s">
        <v>54</v>
      </c>
      <c r="E24" s="55" t="str">
        <f>'Necesidades Trimestrales'!E22</f>
        <v>UNIDAD</v>
      </c>
      <c r="F24" s="51">
        <f>+'Necesidades Trimestrales'!G22</f>
        <v>161.86000000000001</v>
      </c>
      <c r="G24" s="52">
        <f>+'Necesidades Trimestrales'!F22</f>
        <v>5000</v>
      </c>
    </row>
    <row r="25" spans="1:9" ht="25.5" customHeight="1" thickBot="1" x14ac:dyDescent="0.25">
      <c r="A25" s="105" t="s">
        <v>56</v>
      </c>
      <c r="B25" s="106"/>
      <c r="C25" s="106"/>
      <c r="D25" s="106"/>
      <c r="E25" s="106"/>
      <c r="F25" s="107">
        <f>SUMPRODUCT(F12:F24,G12:G24)</f>
        <v>9309160.5</v>
      </c>
      <c r="G25" s="107"/>
      <c r="I25" s="83"/>
    </row>
  </sheetData>
  <mergeCells count="22">
    <mergeCell ref="A25:E25"/>
    <mergeCell ref="F25:G25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130" zoomScaleNormal="130" workbookViewId="0">
      <selection activeCell="A9" sqref="A9:N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37" t="s">
        <v>3</v>
      </c>
      <c r="B1" s="137"/>
      <c r="C1" s="137"/>
      <c r="D1" s="138">
        <f>'Necesidades Trimestrales'!C6</f>
        <v>2021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25</v>
      </c>
      <c r="Q1" s="139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9" s="5" customFormat="1" ht="18" customHeight="1" thickBot="1" x14ac:dyDescent="0.25">
      <c r="A4" s="140" t="s">
        <v>26</v>
      </c>
      <c r="B4" s="140"/>
      <c r="C4" s="140"/>
      <c r="D4" s="140"/>
      <c r="E4" s="140"/>
      <c r="F4" s="140"/>
      <c r="G4" s="135" t="s">
        <v>52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9" s="5" customFormat="1" ht="18" customHeight="1" thickBot="1" x14ac:dyDescent="0.25">
      <c r="A5" s="132" t="s">
        <v>49</v>
      </c>
      <c r="B5" s="133"/>
      <c r="C5" s="133"/>
      <c r="D5" s="133"/>
      <c r="E5" s="133"/>
      <c r="F5" s="134"/>
      <c r="G5" s="135" t="s">
        <v>51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9" s="5" customFormat="1" ht="18" customHeight="1" thickBot="1" x14ac:dyDescent="0.25">
      <c r="A6" s="132" t="s">
        <v>27</v>
      </c>
      <c r="B6" s="133"/>
      <c r="C6" s="133"/>
      <c r="D6" s="133"/>
      <c r="E6" s="133"/>
      <c r="F6" s="134"/>
      <c r="G6" s="135" t="s">
        <v>51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9" s="5" customFormat="1" ht="18" customHeight="1" thickBot="1" x14ac:dyDescent="0.25">
      <c r="A7" s="132" t="s">
        <v>50</v>
      </c>
      <c r="B7" s="133"/>
      <c r="C7" s="133"/>
      <c r="D7" s="133"/>
      <c r="E7" s="133"/>
      <c r="F7" s="134"/>
      <c r="G7" s="135" t="s">
        <v>63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9" ht="18" customHeight="1" thickBot="1" x14ac:dyDescent="0.25">
      <c r="A8" s="136" t="s">
        <v>28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9" ht="18" customHeight="1" x14ac:dyDescent="0.2">
      <c r="A9" s="126" t="s">
        <v>29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6"/>
    </row>
    <row r="10" spans="1:19" ht="54.75" customHeight="1" x14ac:dyDescent="0.2">
      <c r="A10" s="127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019/2021,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8" t="s">
        <v>30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9" ht="15.75" customHeight="1" x14ac:dyDescent="0.2">
      <c r="A13" s="129" t="s">
        <v>31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32</v>
      </c>
      <c r="P13" s="130"/>
      <c r="Q13" s="131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0"/>
      <c r="P14" s="130"/>
      <c r="Q14" s="131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53</v>
      </c>
      <c r="O15" s="124" t="s">
        <v>83</v>
      </c>
      <c r="P15" s="125"/>
      <c r="Q15" s="16">
        <v>9309160.5</v>
      </c>
      <c r="S15" s="84"/>
    </row>
    <row r="16" spans="1:19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4"/>
      <c r="O16" s="120"/>
      <c r="P16" s="119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19"/>
      <c r="P17" s="119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19"/>
      <c r="P18" s="11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19"/>
      <c r="P19" s="119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19"/>
      <c r="P20" s="11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0"/>
      <c r="P21" s="120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1"/>
      <c r="P22" s="121"/>
      <c r="Q22" s="30"/>
    </row>
    <row r="23" spans="1:18" ht="29.25" customHeight="1" x14ac:dyDescent="0.2">
      <c r="A23" s="122" t="s">
        <v>82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31">
        <f>SUM(Q15:Q22)</f>
        <v>9309160.5</v>
      </c>
    </row>
    <row r="24" spans="1:18" ht="18" customHeight="1" thickBo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8" ht="17.25" customHeight="1" thickBot="1" x14ac:dyDescent="0.25">
      <c r="A25" s="114" t="s">
        <v>47</v>
      </c>
      <c r="B25" s="115"/>
      <c r="C25" s="115"/>
      <c r="D25" s="115"/>
      <c r="E25" s="115"/>
      <c r="F25" s="116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</row>
    <row r="26" spans="1:18" ht="18" customHeight="1" thickBot="1" x14ac:dyDescent="0.25">
      <c r="A26" s="118" t="s">
        <v>79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</row>
    <row r="27" spans="1:18" ht="15" customHeight="1" x14ac:dyDescent="0.2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2021-02-22T12:33:51Z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