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AUDIA V. NICOLA\Downloads\"/>
    </mc:Choice>
  </mc:AlternateContent>
  <bookViews>
    <workbookView xWindow="0" yWindow="0" windowWidth="28770" windowHeight="11385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comparativo'!$O$8:$R$8,'Cuadro comparativo'!$S$8:$V$8,'Cuadro comparativo'!$W$8:$Z$8,'Cuadro comparativo'!$AA$8:$AD$8,'Cuadro comparativo'!$AE$8:$AH$8</definedName>
    <definedName name="Titles">'Cuadro comparativo'!$A$8:$F$8</definedName>
  </definedNames>
  <calcPr calcId="162913"/>
</workbook>
</file>

<file path=xl/calcChain.xml><?xml version="1.0" encoding="utf-8"?>
<calcChain xmlns="http://schemas.openxmlformats.org/spreadsheetml/2006/main">
  <c r="I60" i="2" l="1"/>
  <c r="M60" i="2"/>
  <c r="Q60" i="2"/>
  <c r="U60" i="2"/>
  <c r="Y60" i="2"/>
  <c r="AC60" i="2"/>
  <c r="AG60" i="2"/>
</calcChain>
</file>

<file path=xl/sharedStrings.xml><?xml version="1.0" encoding="utf-8"?>
<sst xmlns="http://schemas.openxmlformats.org/spreadsheetml/2006/main" count="467" uniqueCount="336">
  <si>
    <t>Número expediente:</t>
  </si>
  <si>
    <t>EX-2022-02109468-   -CAT-DPCBS#MEC</t>
  </si>
  <si>
    <t>Número proceso de compra:</t>
  </si>
  <si>
    <t>100-0081-CPR22</t>
  </si>
  <si>
    <t>Nombre descriptivo proceso de compra:</t>
  </si>
  <si>
    <t>ADQ. DE INSUMOS PARA TERAPIA DERMATOLOGICA Y OTROS (HSJB-HNEP-MP y MS)</t>
  </si>
  <si>
    <t>Unidad Operativa de Compras:</t>
  </si>
  <si>
    <t>Secretaria de Compras y Abastecimiento</t>
  </si>
  <si>
    <t>Fecha de Apertura:</t>
  </si>
  <si>
    <t>11/11/2022</t>
  </si>
  <si>
    <t>Renglón</t>
  </si>
  <si>
    <t xml:space="preserve">DNM FARMA SA </t>
  </si>
  <si>
    <t>Leonardo STARICCO MULLER</t>
  </si>
  <si>
    <t>ANA GABRIELA CORDOBA</t>
  </si>
  <si>
    <t>MACROPHARMA S.A</t>
  </si>
  <si>
    <t xml:space="preserve">DROGUERIA Y DISTRIBUIDRORA DEL VALLE SC </t>
  </si>
  <si>
    <t>DENVER FARMA S.A.</t>
  </si>
  <si>
    <t>MAURICIO MOSSE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</si>
  <si>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</si>
  <si>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</si>
  <si>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</si>
  <si>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</si>
  <si>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</si>
  <si>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</si>
  <si>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</si>
  <si>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</si>
  <si>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</si>
  <si>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</si>
  <si>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2.5.2-1883.189 </t>
  </si>
  <si>
    <t xml:space="preserve">ANESTÉSICOS LOCALES; TIPO: ANALGÉSICO LOCAL Y ANTIBACTERIANO, DROGA GENÉRICA: LIDOCAÍNA 
+ SULFADIAZINA + VITAMINA A, FORMA FARMACEÚTICA: CREMA, PRESENTACIÓN: ENVASE 
X 100 GR </t>
  </si>
  <si>
    <t xml:space="preserve">UNIDAD </t>
  </si>
  <si>
    <t xml:space="preserve"> SULFADIAZINA + LID + VITAM A X 100 GR 
CREMA PLATSUL A S.CHOBET T/A  CERTIFICADO 34774  </t>
  </si>
  <si>
    <t xml:space="preserve">LIDOCAÍNA + SULFADIAZINA + VITAMINA A, CREMA, ENVASE X 100 
GR MARCA CHOBET  ANMAT 34774 </t>
  </si>
  <si>
    <t xml:space="preserve">SULFAD. PLATA -VIT.A + LIDO CREMA 50GR ETICO DENVER F 
48432 </t>
  </si>
  <si>
    <t xml:space="preserve">S. CHOBET ANMAT 1495.56 </t>
  </si>
  <si>
    <t xml:space="preserve">2 </t>
  </si>
  <si>
    <t xml:space="preserve">2.5.2-2476.3 </t>
  </si>
  <si>
    <t xml:space="preserve">ANTIALERGICOS-ANTIHISTAMINICOS; TIPO: ASOCIACION, DROGA GENERICA: LORATADINA, FORMA FARMACEUTICA: JARABE, PRESENTACION: 
60 mL </t>
  </si>
  <si>
    <t xml:space="preserve"> LORATADINA SUSP 1 MG/ML X 60 ML GEZZI (H-1-50) 
   CERTIFICADO 52.685  </t>
  </si>
  <si>
    <t xml:space="preserve">LORATADINA, JARABE, PRESENTACION: 60 mL. MARCA GEZZI ANMAT 52685 </t>
  </si>
  <si>
    <t xml:space="preserve">LORATADINA JBE X 60 ML VANNIER 43075 </t>
  </si>
  <si>
    <t xml:space="preserve">marca klonal 49410 </t>
  </si>
  <si>
    <t xml:space="preserve">3 </t>
  </si>
  <si>
    <t xml:space="preserve">2.5.2-2476.50 </t>
  </si>
  <si>
    <t xml:space="preserve">ANTIALERGICOS-ANTIHISTAMINICOS; TIPO: MONODROGA, DROGA GENERICA: BUDESONIDA 1 MG/ML, FORMA FARMACEUTICA: 
GOTAS, PRESENTACION: ENVASE X 20 mL </t>
  </si>
  <si>
    <t xml:space="preserve"> BUDESONIDA 1 MG/ML,GOTAS, PRESENTACION: ENVASE X 20 mL. MARCA 
LAFEDAR CERT. ANMAT 25741 </t>
  </si>
  <si>
    <t xml:space="preserve"> ELEA ANMAT 43966 </t>
  </si>
  <si>
    <t xml:space="preserve">BUDESONIDA D.F. Nebu Budesonida 100 mg/100 ml CA 52622 Composición 
Cada 100 ml de suspensión para nebulización contiene: Budesonida 100 
mg Presentaciones Envases conteniendo 20 ml de suspensión para nebulizar. 
</t>
  </si>
  <si>
    <t xml:space="preserve">4 </t>
  </si>
  <si>
    <t xml:space="preserve">2.5.2-2476.74 </t>
  </si>
  <si>
    <t xml:space="preserve">ANTIALERGICOS-ANTIHISTAMINICOS; TIPO: MONODROGA, DROGA GENERICA: DIFENHIDRAMINA 250 MG, FORMA FARMACEUTICA: 
JARABE, PRESENTACION: FRASCO X 120 mL </t>
  </si>
  <si>
    <t xml:space="preserve"> DIFENHIDRAMINA 250 X 120 ML JBE KLONADRYL ANTIALER KLONAL 
 CERTIFICADO 49.229  </t>
  </si>
  <si>
    <t xml:space="preserve">DIFENHIDRAMINA 250 MG, FORMA FARMACEUTICA: JARABE, PRESENTACION: FRASCO X 120 
mL MARCA SAVANT CERT ANMAT 50686 </t>
  </si>
  <si>
    <t xml:space="preserve">DIFENINDRAMINA JBE X 100ML  KLONAL 49229 </t>
  </si>
  <si>
    <t xml:space="preserve">SAVANT ANMAT 50686 </t>
  </si>
  <si>
    <t xml:space="preserve">klonal cert 49229 </t>
  </si>
  <si>
    <t xml:space="preserve">5 </t>
  </si>
  <si>
    <t xml:space="preserve">2.5.2-2476.44 </t>
  </si>
  <si>
    <t xml:space="preserve">ANTIALERGICOS-ANTIHISTAMINICOS; TIPO: MONODROGA, DROGA GENERICA: DIFENHIDRAMINA, FORMA FARMACEUTICA: AMPOLLA, PRESENTACION: 
10 mGr </t>
  </si>
  <si>
    <t xml:space="preserve">DIFENHIDRAMINA AMP 10 MG X 1 ML DENVER (H-1-100) F2 
CERTIFICADO 46.217 </t>
  </si>
  <si>
    <t xml:space="preserve">DIFENHIDRAMINA,  AMPOLLA, PRESENTACION: 10 mGr. MARCA DENVER. ANMAT 46217 
</t>
  </si>
  <si>
    <t xml:space="preserve">DIFENINDRAMINA 10MG AMP  KLONAL 49229 </t>
  </si>
  <si>
    <t xml:space="preserve"> DENVER ANMAT 46217 </t>
  </si>
  <si>
    <t xml:space="preserve">veinfar cert 41052 </t>
  </si>
  <si>
    <t xml:space="preserve">DIFENHIDRAMINA DENVER FARMA Clorhidrato de Difenhidramina 10 mg/ml CA 46217 
Composición  Cada ml de solución inyectable contiene: Clorhidrato de 
Difenhidramina 10 mg. Presentaciones  Envase conteniendo 100 ampollas x 
1 ml. </t>
  </si>
  <si>
    <t xml:space="preserve">6 </t>
  </si>
  <si>
    <t xml:space="preserve">2.5.2-2476.36 </t>
  </si>
  <si>
    <t xml:space="preserve">ANTIALERGICOS-ANTIHISTAMINICOS; TIPO: MONODROGA, DROGA GENERICA: DIFENHIDRAMINA, FORMA FARMACEUTICA: COMPRIMIDO, PRESENTACION: 
50 mGr </t>
  </si>
  <si>
    <t xml:space="preserve">DIFENHIDRAMINA, FORMA FARMACEUTICA: COMPRIMIDO, PRESENTACION: 50 mGr MARCA DENVER ANMAT 
46217 </t>
  </si>
  <si>
    <t xml:space="preserve">DIFENIDRAMINA COMP 50MG  KLONAL 49229 </t>
  </si>
  <si>
    <t xml:space="preserve">DENVER ANMAT 46217 </t>
  </si>
  <si>
    <t xml:space="preserve">DIFENHIDRAMINA DENVER FARMA Clorhidrato de Difenhidramina 50 mg CA 469217 
Composición  Cada comprimido contiene: Clorhidrato de Difenhidramina 50 mg 
Presentaciones  Envase conteniendo 1000 comprimidos </t>
  </si>
  <si>
    <t xml:space="preserve">7 </t>
  </si>
  <si>
    <t xml:space="preserve">2.5.2-2476.12 </t>
  </si>
  <si>
    <t xml:space="preserve">ANTIALERGICOS-ANTIHISTAMINICOS; TIPO: MONODROGA, DROGA GENERICA: LORATADINA, FORMA FARMACEUTICA: COMPRIMIDO, PRESENTACION: 
10 mGr </t>
  </si>
  <si>
    <t xml:space="preserve">LORATADINA COMP 10 MG TAURO (H-10-1000)   CERTIFICADO 54.822 
</t>
  </si>
  <si>
    <t xml:space="preserve">LORATADINA,  COMPRIMIDO, PRESENTACION: 10 mGr. MARCA VANNIER ANMAT 43075 
</t>
  </si>
  <si>
    <t xml:space="preserve">LORATADINA 10MG COMP  VANNIER 43075 </t>
  </si>
  <si>
    <t xml:space="preserve">ELEA ANMAT 52748 </t>
  </si>
  <si>
    <t xml:space="preserve">8 </t>
  </si>
  <si>
    <t xml:space="preserve">2.5.2-1875.74 </t>
  </si>
  <si>
    <t xml:space="preserve">ANTIASMATICO BRONCODILATADOR; TIPO: MONODROGA, DROGA GENERICA: AMINOFILINA 240MGR, FORMA FARMACEUTICA: 
AMPOLLA, PRESENTACION: ENVASE X 10 ML </t>
  </si>
  <si>
    <t xml:space="preserve"> AMINOFILINA AMP IV 240 MG X 10 ML NORGREEN 
(H-1-100)   CERTIFICAOD 53.969 </t>
  </si>
  <si>
    <t xml:space="preserve">AMINOFILINA 240MGR, FORMA FARMACEUTICA: AMPOLLA, PRESENTACION: ENVASE X 10 ML 
MARCA HLB ANMAT 48825 </t>
  </si>
  <si>
    <t xml:space="preserve">AMINOFILINA 240MG X 10ML AMP FADA 31925 </t>
  </si>
  <si>
    <t xml:space="preserve">9 </t>
  </si>
  <si>
    <t xml:space="preserve">2.5.2-1875.108 </t>
  </si>
  <si>
    <t xml:space="preserve">ANTIASMATICO BRONCODILATADOR; TIPO: MONODROGA, DROGA GENERICA: BROMURO DE IPRATROPIO 20 
µGr, FORMA FARMACEUTICA: AEROSOL, PRESENTACION: UNIDAD </t>
  </si>
  <si>
    <t xml:space="preserve"> IPRATROPIO BROM. AEROSOL 20 MCG X 250 DOSIS X 
12.5 ML AEROTROP CASSARA (USO INSTITUCIONAL) T/A  CERTIFICADO 54.851 
</t>
  </si>
  <si>
    <t xml:space="preserve">BROMURO DE IPRATROPIO 20 µGr, AEROSOL,  MARCA CASSARA ANMAT 
54851 </t>
  </si>
  <si>
    <t xml:space="preserve">10 </t>
  </si>
  <si>
    <t xml:space="preserve">2.5.2-1875.9 </t>
  </si>
  <si>
    <t xml:space="preserve">ANTIASMATICO BRONCODILATADOR; TIPO: MONODROGA, DROGA GENERICA: BROMURO DE IPRATROPIO, FORMA 
FARMACEUTICA: SOLUCION, PRESENTACION: 20 mL </t>
  </si>
  <si>
    <t xml:space="preserve"> IPRATROPIO BROMURO 0.025% X 20 ML GOTAS LAFEDAR (H-1-100) 
  CERTIFICADO 41.053 </t>
  </si>
  <si>
    <t xml:space="preserve">BROMURO DE IPRATROPIO,  SOLUCION, PRESENTACION: 20 mL MARCA KILAB 
ANMAT 53865 </t>
  </si>
  <si>
    <t xml:space="preserve">kilab cert 53865 </t>
  </si>
  <si>
    <t xml:space="preserve">11 </t>
  </si>
  <si>
    <t xml:space="preserve">2.5.2-1875.134 </t>
  </si>
  <si>
    <t xml:space="preserve">ANTIASMATICO BRONCODILATADOR; TIPO: MONODROGA, DROGA GENERICA: BUDESONIDE 200 µGR, FORMA 
FARMACEUTICA: AEROSOL, PRESENTACION: 100 DOSIS </t>
  </si>
  <si>
    <t xml:space="preserve"> BUDESONIDA 200 MCG X 100 DOSIS NEUMOTEX BRONQUIAL ELEA 
(USO INSTITUCIONAL) T/A  CERTIFICADO 41.053   </t>
  </si>
  <si>
    <t xml:space="preserve">BUDESONIDE 200 µGR,  AEROSOL, PRESENTACION: 100 DOSIS MARCA CASSARA 
200 dosis Neumocort. ANMAT 55565 </t>
  </si>
  <si>
    <t xml:space="preserve">ELEA ANMAT 41053 </t>
  </si>
  <si>
    <t xml:space="preserve">BUDESONIDA D.F. Bronquial Budesonida 200 mcg CA 52594 Composición Cada 
dosis inhalada contiene: Budesonida 200 mcg  Presentaciones Aerosol dosificador 
conteniendo 200 dosis.  </t>
  </si>
  <si>
    <t xml:space="preserve">12 </t>
  </si>
  <si>
    <t xml:space="preserve">2.5.2-1875.133 </t>
  </si>
  <si>
    <t xml:space="preserve">ANTIASMATICO BRONCODILATADOR; TIPO: MONODROGA, DROGA GENERICA: N-ACETIL CISTEINA 600 MGR, 
FORMA FARMACEUTICA: TABLETA EFERVESCENTE, PRESENTACION: UNIDAD </t>
  </si>
  <si>
    <t xml:space="preserve"> ACETILCIS. 600MG X COMP EFERV. MAXVAN VANNIER (E-1-10-150)  
CERTIFICADO 52.246. </t>
  </si>
  <si>
    <t xml:space="preserve">N-ACETIL CISTEINA 600 MGR,  TABLETA EFERVESCENTE MARCA BETA ANMAT 
57112 </t>
  </si>
  <si>
    <t xml:space="preserve">DENVER ANMAT 58384 </t>
  </si>
  <si>
    <t xml:space="preserve">beta cert 57112 </t>
  </si>
  <si>
    <t xml:space="preserve">13 </t>
  </si>
  <si>
    <t xml:space="preserve">2.5.2-1875.55 </t>
  </si>
  <si>
    <t xml:space="preserve">ANTIASMATICO BRONCODILATADOR; TIPO: MONODROGA, DROGA GENERICA: SALBUTAMOL, FORMA FARMACEUTICA: AEROSOL, 
PRESENTACION: 250 DOSIS </t>
  </si>
  <si>
    <t xml:space="preserve"> SALBUTAMOL 100 MCG X 250 DOSIS AEROLEP LEPETIT (E-1-25) 
 CERTIFICADO 47.599 SIN AEROCAMARA - SE COTIZA SEGÙN PLIEGO 
PARTICULAR: ANTIASMATICO BRONCODILATADOR; TIPO: MONODROGA, DROGA GENERICA: SALBUTAMOL, FORMA FARMACEUTICA: 
AEROSOL, PRESENTACION: 250 DOSIS  </t>
  </si>
  <si>
    <t xml:space="preserve">SALBUTAMOL,  AEROSOL, PRESENTACION: 250 DOSIS CON AEROCAMARA MARCA DENVER 
C/AEROCAMARA. ANMAT 54422 </t>
  </si>
  <si>
    <t xml:space="preserve">SALBUTAMOL AEROSOL 250 DOSIS  LEPETTIT 47599 </t>
  </si>
  <si>
    <t xml:space="preserve">DENVER ANMAT 54422 </t>
  </si>
  <si>
    <t xml:space="preserve">austral cert 47599 </t>
  </si>
  <si>
    <t xml:space="preserve">SALBUDEN DENVER FARMA CA 54422 PM 1790 4 Salbutamol Sulfato 
120 mcg/dosis  Composición Cada dosis contiene: Salbutamol Sulfato (equivale 
a 100 mcg de Salbutamol) 120 mcg Propelente HFA 134a. 
Presentaciones Envases conteniendo 250 dosis de inhalador con aerocámara.  
 </t>
  </si>
  <si>
    <t xml:space="preserve">14 </t>
  </si>
  <si>
    <t xml:space="preserve">2.5.2-1875.68 </t>
  </si>
  <si>
    <t xml:space="preserve">ANTIASMATICO BRONCODILATADOR; TIPO: MONODROGA, DROGA GENERICA: SURFACTANTE PULMONAR BOVI 30MG, 
FORMA FARMACEUTICA: AMPOLLA, PRESENTACION: ENVASE X 4 mL </t>
  </si>
  <si>
    <t xml:space="preserve"> SURFACT. VIAL 120 MG/4ML  X 1 F/A C/FRIO 
GRAY - TRAZ  CERTIFICADO 54786  </t>
  </si>
  <si>
    <t xml:space="preserve">SURFACTANTE PULMONAR BOVI 30MG, AMPOLLA, PRESENTACION: ENVASE X 4 mL 
MARCA RICHET ANMAT 49004 </t>
  </si>
  <si>
    <t xml:space="preserve">15 </t>
  </si>
  <si>
    <t xml:space="preserve">2.5.2-1875.11 </t>
  </si>
  <si>
    <t xml:space="preserve">ANTIASMATICO BRONCODILATADOR; TIPO: MONODROGA, PRESENTACION: 20 mL, FORMA FARMACEUTICA: GOTAS, 
DROGA GENERICA: SALBUTAMOL </t>
  </si>
  <si>
    <t xml:space="preserve"> SALBUTAMOL GOTAS X 20 ML LAFEDAR (H-1-100)   
CERTIFICADO 51.114 </t>
  </si>
  <si>
    <t xml:space="preserve"> SALBUTAMOL GOTAS PRESENTACION: 20 mL,  MARCA VALMAX ANMAT 
57593 </t>
  </si>
  <si>
    <t xml:space="preserve">SALBUTAMOL GTS X 20ML  LAFEDAR 51144 </t>
  </si>
  <si>
    <t xml:space="preserve">VALMAX ANMAT 57593 </t>
  </si>
  <si>
    <t xml:space="preserve">SALBUTAMOL DENVER FARMA CA 43608 Salbutamol 0.5 g/100 ml Solución 
para nebulizar Composición Cada 100 ml de la solución contiene: 
Salbutamol  (como sulfato) 0,50 g Presentaciones Envase conteniendo 20 
ml de solución para nebulizar. </t>
  </si>
  <si>
    <t xml:space="preserve">16 </t>
  </si>
  <si>
    <t xml:space="preserve">2.5.2-1821.189 </t>
  </si>
  <si>
    <t xml:space="preserve">ANTIBIOTICOS P/PERSONAS; DROGA GENERICA: ACIDO FUSIDICO 20MG, FORMA FARMACEUTICA: CREMA, 
PRESENTACION: POMO X 15 GR, TIPO: MONODROGA </t>
  </si>
  <si>
    <t xml:space="preserve">ACIDO FUSIDICO 20MG, CREMA, PRESENTACION: POMO X 15 GR MARCA 
KLONAL ANMAT 57954 </t>
  </si>
  <si>
    <t xml:space="preserve">17 </t>
  </si>
  <si>
    <t xml:space="preserve">2.5.2-1821.487 </t>
  </si>
  <si>
    <t xml:space="preserve">ANTIBIOTICOS P/PERSONAS; TIPO: MONODROGA, DROGA GENERICA: METRONIDAZOL, FORMA FARMACEUTICA: OVULO, 
PRESENTACION: UNIDAD </t>
  </si>
  <si>
    <t xml:space="preserve">METRONIDAZOL, OVULO, PRESENTACION: UNIDAD MARCA BIOL ANMAT 38944 </t>
  </si>
  <si>
    <t xml:space="preserve">BIOL ANMAT 38944 </t>
  </si>
  <si>
    <t xml:space="preserve">18 </t>
  </si>
  <si>
    <t xml:space="preserve">2.5.2-2198.3 </t>
  </si>
  <si>
    <t xml:space="preserve">ANTIDIURETICOS; DROGA GENERICA: DESMOPRESINA, FORMA FARMACEUTICA: AMPOLLA, PRESENTACION: 1 mL, 
TIPO: MONODROGA </t>
  </si>
  <si>
    <t xml:space="preserve"> DESMOPRESINA 15 MCG/1 ML X AMP OCTOSTIM FERRING C/FRIO 
 CERTIFICADO 44.751  </t>
  </si>
  <si>
    <t xml:space="preserve">BIOFACTOR ANMAT 49339 </t>
  </si>
  <si>
    <t xml:space="preserve">19 </t>
  </si>
  <si>
    <t xml:space="preserve">2.5.2-2198.8 </t>
  </si>
  <si>
    <t xml:space="preserve">ANTIDIURETICOS; DROGA GENERICA: VASOPRESINA ACUOSA, FORMA FARMACEUTICA: AMPOLLA, PRESENTACION: 1 
mL, TIPO: MONODROGA </t>
  </si>
  <si>
    <t xml:space="preserve"> VASOPRESINA X AMP NOVOPRESSINA BIOL C/FRIO   CERTIFICADO 
54558 SE COTIZA POR AMPOLLA SEGUN PLIEGO PARTICULAR </t>
  </si>
  <si>
    <t xml:space="preserve">VASOPRESINA ACUOSA,  AMPOLLA, PRESENTACION: 1 mL CAJA X 5 
AMP.  MARCA BIOL ANMAT 54558 </t>
  </si>
  <si>
    <t xml:space="preserve"> BIOL ANMAT 54558 </t>
  </si>
  <si>
    <t xml:space="preserve">20 </t>
  </si>
  <si>
    <t xml:space="preserve">2.5.2-1823.67 </t>
  </si>
  <si>
    <t xml:space="preserve">ANTIMICOTICOS; TIPO: MONODROGA, DROGA GENERICA: CLOTRIMAZOL 1%, FORMA FARMACEUTICA: CREMA 
POR 20 GR, PRESENTACION: UNIDAD </t>
  </si>
  <si>
    <t xml:space="preserve"> CLOTRIMAZOL 1% X 20 GR CREMA KLOMAZOLE KLONAL (E-1-12) 
 CERTIFICADO 48442  </t>
  </si>
  <si>
    <t xml:space="preserve">CLOTRIMAZOL 1%,  CREMA POR 20 GR, UNIDAD. MARCA KLONAL 
ANMAT 48442 </t>
  </si>
  <si>
    <t xml:space="preserve">CLOTRIMAZOL 1% CREMA 20GRS  MICROZULES  48095 </t>
  </si>
  <si>
    <t xml:space="preserve">klonal cert 48442 </t>
  </si>
  <si>
    <t xml:space="preserve">21 </t>
  </si>
  <si>
    <t xml:space="preserve">2.5.2-1823.24 </t>
  </si>
  <si>
    <t xml:space="preserve">ANTIMICOTICOS; TIPO: MONODROGA, FORMA FARMACEUTICA: CREMA, PRESENTACION: 15 GR, DROGA 
GENERICA: KETOCONAZOL </t>
  </si>
  <si>
    <t xml:space="preserve"> KETOCONAZOL 2% X 15 GR CREMA BIOSINTEX (USO INSTITUCIONAL) 
 CERTIFICADO 43250  </t>
  </si>
  <si>
    <t xml:space="preserve">KETOCONAZOL CREMA, PRESENTACION: 15 GR UNIDAD. MARCA LAFEDAR ANMAT 45677 
</t>
  </si>
  <si>
    <t xml:space="preserve">22 </t>
  </si>
  <si>
    <t xml:space="preserve">2.5.2-1723.122 </t>
  </si>
  <si>
    <t xml:space="preserve">ANTISEPTICOS LOCALES P/PERSONA; TIPO: MONODROGA, DROGA GENERICA: NITROFURAZONA, FORMA FARMACEUTICA: 
APOSITO, PRESENTACION: ENVASE X 20 UN </t>
  </si>
  <si>
    <t xml:space="preserve"> NITROFURAZONA APOSITOS 10X10 X 20 UN SERTEX (A-1-54)  
SE COTIZA POR CAJA DE 20 UNIDADES </t>
  </si>
  <si>
    <t xml:space="preserve">NITROFURAZONA, APOSITO, PRESENTACION: ENVASE CAJA X 20 UN. MARCA DENVER 
ANMAT 42245 </t>
  </si>
  <si>
    <t xml:space="preserve">NITROFURAZONA APOSITO X 20UNIDADES  DENVER 42245 </t>
  </si>
  <si>
    <t xml:space="preserve">DENVER ANMAT 42245 </t>
  </si>
  <si>
    <t xml:space="preserve">NITROFURAZONA DENVER FARMA CA 42245 Composición Cada 100 g de 
NITROFURAZONA DENVER FARMA pomada que embebe los apósitos contiene: Nitrofurazona 
0.2 g. Presentaciones NITROFURAZONA DENVER FARMA apósitos: Envase conteniendo 20 
apósitos.  </t>
  </si>
  <si>
    <t xml:space="preserve">23 </t>
  </si>
  <si>
    <t xml:space="preserve">2.5.2-1829.25 </t>
  </si>
  <si>
    <t xml:space="preserve">ANTIVIRALES; TIPO: MONODROGA, DROGA GENERICA: ACICLOVIR 5 %, FORMA FARMACEUTICA: 
CREMA, PRESENTACION: ENVASE X 5 GR </t>
  </si>
  <si>
    <t xml:space="preserve"> ACICLOVIR 5 % X 5 GR CREMA ACICLO DIOXIS 
MICROSULES  CERTIFICADO 40737  </t>
  </si>
  <si>
    <t xml:space="preserve">ACICLOVIR 5 %, CREMA, PRESENTACION: ENVASE X 5 GR MARCA 
GEZZI ANMAT 47884 </t>
  </si>
  <si>
    <t xml:space="preserve">ACICLOVIR 5% CREMA X 10 GRS  KLONAL 58745 </t>
  </si>
  <si>
    <t xml:space="preserve">ELEA ANMAT 57853 </t>
  </si>
  <si>
    <t xml:space="preserve">24 </t>
  </si>
  <si>
    <t xml:space="preserve">2.9.5-427.39 </t>
  </si>
  <si>
    <t xml:space="preserve">APOSITOS; TIPO: HIDROCOLOIDE, TAMAÑO: 10 X 10 Cm </t>
  </si>
  <si>
    <t xml:space="preserve">Aposito compuesto x 3 hidrocoloides Control Gel Fluido. Medida 10x10 
cm.  Marca DUODERM CGF Anmat: PM 2391-11 </t>
  </si>
  <si>
    <t xml:space="preserve">25 </t>
  </si>
  <si>
    <t xml:space="preserve">2.9.5-427.33 </t>
  </si>
  <si>
    <t xml:space="preserve">APOSITOS; TIPO: HIDROCOLOIDE, TAMAÑO: 15 X 17,5 Cm </t>
  </si>
  <si>
    <t xml:space="preserve">Aposito compuesto x3 hidrocoloides Control Gel Fluido. Medida 15x20 cm. 
 Marca DUODERM Anmat: PM 2391-11 </t>
  </si>
  <si>
    <t xml:space="preserve">26 </t>
  </si>
  <si>
    <t xml:space="preserve">2.5.2-1855.83 </t>
  </si>
  <si>
    <t xml:space="preserve">CORTICOESTEROIDES; TIPO: ASOCIACION, DROGA GENERICA: BETAMETASONA ACETATO+FOSFATO, FORMA FARMACEUTICA: AMPOLLA, 
PRESENTACION: ENVASE X 2 mL </t>
  </si>
  <si>
    <t xml:space="preserve"> BETAMETASONA ACETATO/FOSFATO AMP KLONAL (H-1-100)   CERTIFICADO 46.178 
 </t>
  </si>
  <si>
    <t xml:space="preserve">BETAMETASONA ACETATO+FOSFATO,  AMPOLLA, PRESENTACION: ENVASE X 2 mL MARCA 
KLONAL ANMAT 46178 </t>
  </si>
  <si>
    <t xml:space="preserve">BETAMETASONA G12HS (ACETATO 6MG+FOSFATO DISODICO 7,8MG    KLONAL 
46178  </t>
  </si>
  <si>
    <t xml:space="preserve">klonal cert 46178 </t>
  </si>
  <si>
    <t xml:space="preserve">27 </t>
  </si>
  <si>
    <t xml:space="preserve">2.5.2-1855.23 </t>
  </si>
  <si>
    <t xml:space="preserve">CORTICOESTEROIDES; TIPO: MONODROGA, DROGA GENERICA: BETAMETASONA, FORMA FARMACEUTICA: CREMA, PRESENTACION: 
15 GR </t>
  </si>
  <si>
    <t xml:space="preserve"> BETAMETASONA 0.1% X 15 GR CREMA BETASONE G KLONAL 
(E-1-12)  CERTIFICADO 48.399   </t>
  </si>
  <si>
    <t xml:space="preserve">BETAMETASONA, CREMA, PRESENTACION: 15 GR  MARCA KLONAL ANMAT 48399 
</t>
  </si>
  <si>
    <t xml:space="preserve">BETAMETASONA CREMA X 15GR ETICO KLONAL  48551 </t>
  </si>
  <si>
    <t xml:space="preserve">KLONAL ANMAT 48399 </t>
  </si>
  <si>
    <t xml:space="preserve">28 </t>
  </si>
  <si>
    <t xml:space="preserve">2.5.2-1855.18 </t>
  </si>
  <si>
    <t xml:space="preserve">CORTICOESTEROIDES; TIPO: MONODROGA, DROGA GENERICA: BETAMETASONA, FORMA FARMACEUTICA: GOTAS, PRESENTACION: 
15 mL </t>
  </si>
  <si>
    <t xml:space="preserve"> BETAMETASONA GOTAS X 15 ML KLONAL (H-1-32)   
CERTIFICADO 46178   </t>
  </si>
  <si>
    <t xml:space="preserve">BETAMETASONA, FORMA FARMACEUTICA: GOTAS, PRESENTACION: 15 mL MARCA KLONAL ANMAT 
46178 </t>
  </si>
  <si>
    <t xml:space="preserve">29 </t>
  </si>
  <si>
    <t xml:space="preserve">2.5.2-1855.7 </t>
  </si>
  <si>
    <t xml:space="preserve">CORTICOESTEROIDES; TIPO: MONODROGA, DROGA GENERICA: DEXAMETASONA, FORMA FARMACEUTICA: AMPOLLA, PRESENTACION: 
8 mGr </t>
  </si>
  <si>
    <t xml:space="preserve"> DEXAMETASONA AMP 8 MG X 2 ML DENVER (H-1-100) 
  CERTIFICADO 50.386   </t>
  </si>
  <si>
    <t xml:space="preserve">DEXAMETASONA, AMPOLLA, PRESENTACION: 8 mGr MARCA DENVER ANMAT 50386 </t>
  </si>
  <si>
    <t xml:space="preserve">DEXAMETASONA AMP  DENVER 50386 </t>
  </si>
  <si>
    <t xml:space="preserve">DENVER ANMAT 50386 </t>
  </si>
  <si>
    <t xml:space="preserve">klonal cert 38169 </t>
  </si>
  <si>
    <t xml:space="preserve">DEXAMETASONA DENVER FARMA CA 50386 Dexametasona Fosfato Sodico 4 mg/ml 
Inyectable Composición Cada ml de solución inyectable contiene: Dexametasona Fosfato 
(Disódico) 4,0 mg.  Presentaciones  Envase conteniendo 100 ampollas 
por 2 ml </t>
  </si>
  <si>
    <t xml:space="preserve">30 </t>
  </si>
  <si>
    <t xml:space="preserve">2.5.2-1855.86 </t>
  </si>
  <si>
    <t xml:space="preserve">CORTICOESTEROIDES; TIPO: MONODROGA, DROGA GENERICA: DEXAMETASONA, FORMA FARMACEUTICA: COMPRIMIDO, PRESENTACION: 
8 mGr </t>
  </si>
  <si>
    <t xml:space="preserve">DEXAMETASONA,  COMPRIMIDO, PRESENTACION: 8 mGr MARCA ARISTON ANMAT 50690 
</t>
  </si>
  <si>
    <t xml:space="preserve">DEXAMETASONA COMP  DUNCAN 37455 </t>
  </si>
  <si>
    <t xml:space="preserve">31 </t>
  </si>
  <si>
    <t xml:space="preserve">2.5.2-1855.47 </t>
  </si>
  <si>
    <t xml:space="preserve">CORTICOESTEROIDES; TIPO: MONODROGA, DROGA GENERICA: HIDROCORTISONA, FORMA FARMACEUTICA: AMPOLLA/FRASCO, PRESENTACION: 
100 mGr </t>
  </si>
  <si>
    <t xml:space="preserve"> HIDROCORTISONA F/A 100 MG KLONAL (H-1-100) A3  CERTIFICADO 
46710   </t>
  </si>
  <si>
    <t xml:space="preserve">HIDROCORTISONA, AMPOLLA/FRASCO, PRESENTACION: 100 mGr MARCA KLONAL ANMAT 46710 </t>
  </si>
  <si>
    <t xml:space="preserve">HIDRCORTISONA 100MG FCO AMP FABRA 39035 </t>
  </si>
  <si>
    <t xml:space="preserve">KLONAL ANMAT 46710 </t>
  </si>
  <si>
    <t xml:space="preserve">klonal cert 46710 </t>
  </si>
  <si>
    <t xml:space="preserve">32 </t>
  </si>
  <si>
    <t xml:space="preserve">2.5.2-1855.77 </t>
  </si>
  <si>
    <t xml:space="preserve">CORTICOESTEROIDES; TIPO: MONODROGA, DROGA GENERICA: HIDROCORTISONA, FORMA FARMACEUTICA: FRASCO AMPOLLA, 
PRESENTACION: ENVASE X 500 mGr </t>
  </si>
  <si>
    <t xml:space="preserve"> HIDROCORTISONA F/A 500 MG DRAWER (H-1-100)  CERTIFICADO 52.283 
 </t>
  </si>
  <si>
    <t xml:space="preserve">HIDROCORTISONA FRASCO AMPOLLA, PRESENTACION: ENVASE X 500 mGr MARCA KLONAL 
ANMAT 46710 </t>
  </si>
  <si>
    <t xml:space="preserve">33 </t>
  </si>
  <si>
    <t xml:space="preserve">2.5.2-1855.105 </t>
  </si>
  <si>
    <t xml:space="preserve">CORTICOESTEROIDES; TIPO: MONODROGA, DROGA GENERICA: MEPREDNISONA 8 mGr, FORMA FARMACEUTICA: 
COMPRIMIDO, PRESENTACION: UNIDAD </t>
  </si>
  <si>
    <t xml:space="preserve"> MEPREDNISONA COMP 8 MG DUNCAN (H-10-1000)  CERTIFICADO 44.605 
 </t>
  </si>
  <si>
    <t xml:space="preserve">MEPREDNISONA 8 mGr, COMPRIMIDO  MARCA DUNCAN ANMAT 44605 </t>
  </si>
  <si>
    <t xml:space="preserve">MEPREDNISONA 8MG COMP  DUNCAN 44605 </t>
  </si>
  <si>
    <t xml:space="preserve">duncan cert 44605 </t>
  </si>
  <si>
    <t xml:space="preserve">34 </t>
  </si>
  <si>
    <t xml:space="preserve">2.5.2-2200.41 </t>
  </si>
  <si>
    <t xml:space="preserve">CORTICOIDES; DROGA GENÉRICA: MEPREDNISONA 4 ML/MG, FORMA FARMACEÚTICA: GOTAS </t>
  </si>
  <si>
    <t xml:space="preserve"> MEPREDNISONA GOTAS 4 MG/ML X 15 ML KLONAL (H-1-24) 
 CERTIFICADO 48226  </t>
  </si>
  <si>
    <t xml:space="preserve">MEPREDNISONA 4 ML/MG, PRESENTACION GOTAS X 15 ML MARCA BIOTENK 
ANMAT 52154 </t>
  </si>
  <si>
    <t xml:space="preserve">BIOTENK ANMAT 52154 </t>
  </si>
  <si>
    <t xml:space="preserve">35 </t>
  </si>
  <si>
    <t xml:space="preserve">2.5.2-2200.4 </t>
  </si>
  <si>
    <t xml:space="preserve">CORTICOIDES; DROGA GENERICA: MEPREDNISONA, FORMA FARMACEUTICA: COMPRIMIDO, PRESENTACION: 4 mGr, 
TIPO: MONODROGA </t>
  </si>
  <si>
    <t xml:space="preserve">MEPREDNISONA,  COMPRIMIDO, PRESENTACION: 4 mGr,  MARCA BIOTENK ANMAT 
52154 </t>
  </si>
  <si>
    <t xml:space="preserve">ELEA ANMAT 28370 </t>
  </si>
  <si>
    <t xml:space="preserve">36 </t>
  </si>
  <si>
    <t xml:space="preserve">2.5.2-2200.19 </t>
  </si>
  <si>
    <t xml:space="preserve">CORTICOIDES; DROGA GENERICA: MEPREDNISONA, FORMA FARMACEUTICA: COMPRIMIDO, PRESENTACION: 40 mGr, 
TIPO: MONODROGA </t>
  </si>
  <si>
    <t xml:space="preserve"> MEPREDNISONA COMP 40 MG KLONAL (H-10-1000)  CERTIFICADO 48226 
 </t>
  </si>
  <si>
    <t xml:space="preserve">MEPREDNISONA, COMPRIMIDO, PRESENTACION: 40 mGr, MARCA DUNCAN ANMAT 44605 </t>
  </si>
  <si>
    <t xml:space="preserve">MEPREDNISONA 40MG COMP  DUNCAN   44605 </t>
  </si>
  <si>
    <t xml:space="preserve">37 </t>
  </si>
  <si>
    <t xml:space="preserve">2.5.2-2200.24 </t>
  </si>
  <si>
    <t xml:space="preserve">CORTICOIDES; DROGA GENERICA: METILPREDNISOLONA, FORMA FARMACEUTICA: FRASCO AMPOLLA, PRESENTACION: 500, 
TIPO: MONODROGA </t>
  </si>
  <si>
    <t xml:space="preserve"> METIL-PREDNISOLONA F/A 500 MG KLONAL (H-25) S-SOLV  CERTIFICADO 
48225  </t>
  </si>
  <si>
    <t xml:space="preserve">METILPREDNISOLONA, FORMA FARMACEUTICA: FRASCO AMPOLLA, PRESENTACION: 500mg MARCA KLONAL SIN 
SOLVENTE. ANMAT 48225 </t>
  </si>
  <si>
    <t xml:space="preserve">METILPREDNISOLONA FCO AMP 500  KLONAL 48225 </t>
  </si>
  <si>
    <t xml:space="preserve">klonal cert 48225 </t>
  </si>
  <si>
    <t xml:space="preserve">38 </t>
  </si>
  <si>
    <t xml:space="preserve">2.5.2-1902.14 </t>
  </si>
  <si>
    <t xml:space="preserve">DROGAS UTERINAS; TIPO: MONODROGA, DROGA GENERICA: CARBETOCIN 100 MCG, FORMA 
FARMACEUTICA: AMPOLLA, PRESENTACION: UNIDAD </t>
  </si>
  <si>
    <t xml:space="preserve">CARBETOCIN 100 MCG  AMPOLLA MARCA  BIOL ANMAT 58675 
</t>
  </si>
  <si>
    <t xml:space="preserve">CARBETOCIN 100MGR AMP  BIOL 58675 </t>
  </si>
  <si>
    <t xml:space="preserve">BIOL ANMAT 58675 </t>
  </si>
  <si>
    <t xml:space="preserve">39 </t>
  </si>
  <si>
    <t xml:space="preserve">2.5.2-1902.10 </t>
  </si>
  <si>
    <t xml:space="preserve">DROGAS UTERINAS; TIPO: MONODROGA, DROGA GENERICA: ISOXUPRINA 10 mGr, FORMA 
FARMACEUTICA: AMPOLLA, PRESENTACION: UNIDAD </t>
  </si>
  <si>
    <t xml:space="preserve"> ISOXSUPRINA COMP 10 MG FABRA (H-10-500)   </t>
  </si>
  <si>
    <t xml:space="preserve">ISOXUPRINA 10 mGr,  AMPOLLA, PRESENTACION: UNIDAD MARCA KLONAL ANMAT 
42029 </t>
  </si>
  <si>
    <t xml:space="preserve">ISOXUPRIMA 10MG AMP  KLONAL 42029 </t>
  </si>
  <si>
    <t xml:space="preserve">40 </t>
  </si>
  <si>
    <t xml:space="preserve">2.5.2-1851.29 </t>
  </si>
  <si>
    <t xml:space="preserve">GENITOURINARIO; TIPO: MONODROGA, DROGA GENÉRICA: NISTATINA, FORMA FARMACEÚTICA: COMPRIMIDO VAGINAL, 
PRESENTACIÓN: 100000 UI </t>
  </si>
  <si>
    <t xml:space="preserve">NISTATINA COMP VAGINAL   LAFEDAR 41234 </t>
  </si>
  <si>
    <t xml:space="preserve">41 </t>
  </si>
  <si>
    <t xml:space="preserve">2.5.2-1895.19 </t>
  </si>
  <si>
    <t xml:space="preserve">HORMONAS MEDICINALES; TIPO: MONODROGA, DROGA GENERICA: CABERGOLINA, FORMA FARMACEUTICA: COMPRIMIDO, 
PRESENTACION: 0,5 mGr, USO: SEXUAL </t>
  </si>
  <si>
    <t xml:space="preserve">CABERGOLINA,  COMPRIMIDO, PRESENTACION: 0,5 mGr,  MARCA BETA ANMAT 
48647 </t>
  </si>
  <si>
    <t xml:space="preserve">beta cert 48647 </t>
  </si>
  <si>
    <t xml:space="preserve">42 </t>
  </si>
  <si>
    <t xml:space="preserve">2.5.2-1895.61 </t>
  </si>
  <si>
    <t xml:space="preserve">HORMONAS MEDICINALES; TIPO: MONODROGA, DROGA GENERICA: CITRATO DE CLOMIFENO 50 
mGr, FORMA FARMACEUTICA: COMPRIMIDO, PRESENTACION: UNIDAD, USO: SEXUAL </t>
  </si>
  <si>
    <t xml:space="preserve">43 </t>
  </si>
  <si>
    <t xml:space="preserve">2.5.2-1895.89 </t>
  </si>
  <si>
    <t xml:space="preserve">HORMONAS MEDICINALES; TIPO: MONODROGA, DROGA GENERICA: OCTREOTIDA, FORMA FARMACEUTICA: AMPOLLA, 
PRESENTACION: 0,1 MG / ML, USO: INHIBIDOR HORMONA CRECIMIENTO </t>
  </si>
  <si>
    <t xml:space="preserve">OCTREOTIDA 0.1MG X 1ML X 5 AMP GASTERINA BIOL TRAZ 
C/FRIO CERTIFICADO 56.743   </t>
  </si>
  <si>
    <t xml:space="preserve">OCTREOTIDA, AMPOLLA, PRESENTACION: 0,1 MG / ML CAJA X 5 
AMPOLLAS MARCA BIOL ANMAT 56743  </t>
  </si>
  <si>
    <t xml:space="preserve">BIOL ANMAT 56743 </t>
  </si>
  <si>
    <t xml:space="preserve">novartis cert 39172 </t>
  </si>
  <si>
    <t xml:space="preserve">44 </t>
  </si>
  <si>
    <t xml:space="preserve">2.5.2-1895.88 </t>
  </si>
  <si>
    <t xml:space="preserve">HORMONAS MEDICINALES; TIPO: MONODROGA, DROGA GENÉRICA: PROGESTERONA MICRONIZADA 200 MG, 
FORMA FARMACEÚTICA: CÁPSULAS, USO: SEXUAL </t>
  </si>
  <si>
    <t xml:space="preserve">PROGESTERONA 200 MG X  CAP BL PROGEST ELEA T/A 
CERTIFICADO 54530  </t>
  </si>
  <si>
    <t xml:space="preserve">ELEA ANMAT 54530 </t>
  </si>
  <si>
    <t xml:space="preserve">45 </t>
  </si>
  <si>
    <t xml:space="preserve">2.5.2-9500.2 </t>
  </si>
  <si>
    <t xml:space="preserve">INDUCTOR DEL PARTO; TIPO: MONODROGA, DROGA GENÉRICA: MISOPROSTOL 200 MGR, 
FORMA FARMACEÚTICA: COMPRIMIDO VAGINAL, PRESENTACION: UNIDAD </t>
  </si>
  <si>
    <t xml:space="preserve">MISOPROSTOL 200 MCG X COMP VAGINAL BETA /TRAZ  CERTIFICADO 
59456  </t>
  </si>
  <si>
    <t xml:space="preserve">MISOPROSTOL 200 MGR, COMPRIMIDO VAGINAL, UNIDAD MARCA BETA ANMAT 59456 
</t>
  </si>
  <si>
    <t xml:space="preserve">beta cert 55117 </t>
  </si>
  <si>
    <t xml:space="preserve">46 </t>
  </si>
  <si>
    <t xml:space="preserve">2.5.2-2481.3 </t>
  </si>
  <si>
    <t xml:space="preserve">LAXANTES; TIPO: MONODROGA, DROGA GENERICA: VASELINA, FORMA FARMACEUTICA: SOLIDO, PRESENTACION: 
1000 GR </t>
  </si>
  <si>
    <t xml:space="preserve">VASELINA X KILO  IBC  6064/16 </t>
  </si>
  <si>
    <t xml:space="preserve">47 </t>
  </si>
  <si>
    <t xml:space="preserve">2.5.2-5559.10 </t>
  </si>
  <si>
    <t xml:space="preserve">NORMALIZADORES TIROIDEOS; TIPO: MONODROGA, PRESENTACION: UNIDAD, DROGA GENERICA: LEVOTIROXINA 100 
µGr, FORMA FARMACEUTICA: COMPRIMIDO </t>
  </si>
  <si>
    <t xml:space="preserve">LEVOTIROXINA 100 MCG X  COMP T4 MONTPELLIER  (USO 
INSTITUCIONAL) T/A CERTIFICADO 40419  </t>
  </si>
  <si>
    <t xml:space="preserve">LEVOTIROXINA 100 µGr,  COMPRIMIDO MARCA MONTPELLIER ANMAT 40419 </t>
  </si>
  <si>
    <t xml:space="preserve">LEVOTIROXINA 100MG COMP  FABRA 46385 </t>
  </si>
  <si>
    <t xml:space="preserve">MONTPELLIER ANMAT 40419 </t>
  </si>
  <si>
    <t xml:space="preserve">48 </t>
  </si>
  <si>
    <t xml:space="preserve">2.5.2-1853.4 </t>
  </si>
  <si>
    <t xml:space="preserve">OCITOCICOS; TIPO: MONODROGA, DROGA GENERICA: ERGONOVINA, PRESENTACION: 0.2 mGr, FORMA 
FARMACEUTICA: AMPOLLAS </t>
  </si>
  <si>
    <t xml:space="preserve">ERGONOVINA AMP 0.2 MG  DRAWER EMV (H-1-100) C/FRIO  
CERTIFICADO 52448   </t>
  </si>
  <si>
    <t xml:space="preserve">ERGONOVINA AMP  BIOL  42367 </t>
  </si>
  <si>
    <t xml:space="preserve">BIOL ANMAT 42367 </t>
  </si>
  <si>
    <t xml:space="preserve">49 </t>
  </si>
  <si>
    <t xml:space="preserve">2.5.2-1853.2 </t>
  </si>
  <si>
    <t xml:space="preserve">OCITOCICOS; TIPO: MONODROGA, DROGA GENERICA: OXITOCINA SINTÉTICA, PRESENTACION: 10 UI, 
FORMA FARMACEUTICA: AMPOLLA </t>
  </si>
  <si>
    <t xml:space="preserve">OCITOCINA AMP 10 UI BIOL (H-1-100) C/FRIO  CERTIFICADO 38943 
 </t>
  </si>
  <si>
    <t xml:space="preserve">OXITOCINA SINTÉTICA, 10 UI,  AMPOLLA MARCA BIOL ANMAT 38943 
</t>
  </si>
  <si>
    <t xml:space="preserve">OXITOCINA SINTETICA 10UI AMP  DUNCAN 39321 </t>
  </si>
  <si>
    <t xml:space="preserve">BIOL ANMAT 38943 </t>
  </si>
  <si>
    <t xml:space="preserve">duncan cert 39321 </t>
  </si>
  <si>
    <t xml:space="preserve">50 </t>
  </si>
  <si>
    <t xml:space="preserve">2.5.2-5661.11 </t>
  </si>
  <si>
    <t xml:space="preserve">REGULADORES HORMONALES; TIPO: MONODROGA, DROGA GENERICA: ATOSIBAN, FORMA FARMACEUTICA: AMPOLLA, 
PRESENTACION: ENVASE X 0,9 mL </t>
  </si>
  <si>
    <t xml:space="preserve">ATOSIBAN  7.5 MG/ML INY X 0.9 ML TRACTOCILE FERRING 
C/FRIO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</si>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</sst>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9:F60" totalsRowCount="1">
  <tableColumns count="6">
    <tableColumn id="1" name="Renglón"/>
    <tableColumn id="2" name="Alternativa"/>
    <tableColumn id="3" name="Código" totalsRowLabel="Total: "/>
    <tableColumn id="4" name="Descripción"/>
    <tableColumn id="5" name="Cantidad solicitada"/>
    <tableColumn id="6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G9:J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K9:N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O9:R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S9:V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6.xml><?xml version="1.0" encoding="utf-8"?>
<table xmlns="http://schemas.openxmlformats.org/spreadsheetml/2006/main" id="6" name="Table6" displayName="Table6" ref="W9:Z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7.xml><?xml version="1.0" encoding="utf-8"?>
<table xmlns="http://schemas.openxmlformats.org/spreadsheetml/2006/main" id="7" name="Table7" displayName="Table7" ref="AA9:AD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ables/table8.xml><?xml version="1.0" encoding="utf-8"?>
<table xmlns="http://schemas.openxmlformats.org/spreadsheetml/2006/main" id="8" name="Table8" displayName="Table8" ref="AE9:AH60" totalsRowCount="1">
  <tableColumns count="4">
    <tableColumn id="1" name="Precio unitario"/>
    <tableColumn id="2" name="Cantidad ofertada"/>
    <tableColumn id="3" name="Total por renglón" totalsRowFunction="sum"/>
    <tableColumn id="4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table" Target="../tables/table8.xml"/><Relationship Id="rId3" Type="http://schemas.openxmlformats.org/officeDocument/2006/relationships/table" Target="../tables/table3.xml"/><Relationship Id="rId7" Type="http://schemas.openxmlformats.org/officeDocument/2006/relationships/table" Target="../tables/table7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6" Type="http://schemas.openxmlformats.org/officeDocument/2006/relationships/table" Target="../tables/table6.xml"/><Relationship Id="rId5" Type="http://schemas.openxmlformats.org/officeDocument/2006/relationships/table" Target="../tables/table5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H6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133.85546875" customWidth="1"/>
    <col min="5" max="5" width="75.425781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114.85546875" customWidth="1"/>
    <col min="11" max="11" width="14.28515625" customWidth="1"/>
    <col min="12" max="12" width="17.28515625" customWidth="1"/>
    <col min="13" max="13" width="16.5703125" customWidth="1"/>
    <col min="14" max="14" width="97.7109375" customWidth="1"/>
    <col min="15" max="15" width="14.28515625" customWidth="1"/>
    <col min="16" max="16" width="17.28515625" customWidth="1"/>
    <col min="17" max="17" width="16.5703125" customWidth="1"/>
    <col min="18" max="18" width="69" customWidth="1"/>
    <col min="19" max="19" width="14.28515625" customWidth="1"/>
    <col min="20" max="20" width="17.28515625" customWidth="1"/>
    <col min="21" max="21" width="16.5703125" customWidth="1"/>
    <col min="22" max="22" width="26.85546875" customWidth="1"/>
    <col min="23" max="23" width="14.28515625" customWidth="1"/>
    <col min="24" max="24" width="17.28515625" customWidth="1"/>
    <col min="25" max="25" width="16.5703125" customWidth="1"/>
    <col min="26" max="26" width="20.28515625" customWidth="1"/>
    <col min="27" max="27" width="14.28515625" customWidth="1"/>
    <col min="28" max="28" width="17.28515625" customWidth="1"/>
    <col min="29" max="29" width="16.5703125" customWidth="1"/>
    <col min="30" max="30" width="81.140625" customWidth="1"/>
    <col min="31" max="31" width="14.28515625" customWidth="1"/>
    <col min="32" max="32" width="17.28515625" customWidth="1"/>
    <col min="33" max="33" width="16.5703125" customWidth="1"/>
    <col min="34" max="34" width="65.42578125" customWidth="1"/>
  </cols>
  <sheetData>
    <row r="1" spans="1:34" x14ac:dyDescent="0.25">
      <c r="D1" s="2" t="s">
        <v>0</v>
      </c>
      <c r="E1" s="2" t="s">
        <v>1</v>
      </c>
    </row>
    <row r="2" spans="1:34" x14ac:dyDescent="0.25">
      <c r="D2" s="2" t="s">
        <v>2</v>
      </c>
      <c r="E2" s="2" t="s">
        <v>3</v>
      </c>
    </row>
    <row r="3" spans="1:34" x14ac:dyDescent="0.25">
      <c r="D3" s="2" t="s">
        <v>4</v>
      </c>
      <c r="E3" s="2" t="s">
        <v>5</v>
      </c>
    </row>
    <row r="4" spans="1:34" x14ac:dyDescent="0.25">
      <c r="D4" s="2" t="s">
        <v>6</v>
      </c>
      <c r="E4" s="2" t="s">
        <v>7</v>
      </c>
    </row>
    <row r="5" spans="1:34" x14ac:dyDescent="0.25">
      <c r="D5" s="2" t="s">
        <v>8</v>
      </c>
      <c r="E5" s="2" t="s">
        <v>9</v>
      </c>
    </row>
    <row r="8" spans="1:34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  <c r="S8" s="1" t="s">
        <v>14</v>
      </c>
      <c r="T8" s="1"/>
      <c r="U8" s="1"/>
      <c r="V8" s="1"/>
      <c r="W8" s="1" t="s">
        <v>15</v>
      </c>
      <c r="X8" s="1"/>
      <c r="Y8" s="1"/>
      <c r="Z8" s="1"/>
      <c r="AA8" s="1" t="s">
        <v>16</v>
      </c>
      <c r="AB8" s="1"/>
      <c r="AC8" s="1"/>
      <c r="AD8" s="1"/>
      <c r="AE8" s="1" t="s">
        <v>17</v>
      </c>
      <c r="AF8" s="1"/>
      <c r="AG8" s="1"/>
      <c r="AH8" s="1"/>
    </row>
    <row r="9" spans="1:34" x14ac:dyDescent="0.25">
      <c r="A9" t="s">
        <v>10</v>
      </c>
      <c r="B9" t="s">
        <v>18</v>
      </c>
      <c r="C9" t="s">
        <v>19</v>
      </c>
      <c r="D9" t="s">
        <v>20</v>
      </c>
      <c r="E9" t="s">
        <v>21</v>
      </c>
      <c r="F9" t="s">
        <v>22</v>
      </c>
      <c r="G9" s="3" t="s">
        <v>23</v>
      </c>
      <c r="H9" s="3" t="s">
        <v>24</v>
      </c>
      <c r="I9" t="s">
        <v>25</v>
      </c>
      <c r="J9" t="s">
        <v>26</v>
      </c>
      <c r="K9" s="3" t="s">
        <v>23</v>
      </c>
      <c r="L9" s="3" t="s">
        <v>24</v>
      </c>
      <c r="M9" t="s">
        <v>25</v>
      </c>
      <c r="N9" t="s">
        <v>26</v>
      </c>
      <c r="O9" s="3" t="s">
        <v>23</v>
      </c>
      <c r="P9" s="3" t="s">
        <v>24</v>
      </c>
      <c r="Q9" t="s">
        <v>25</v>
      </c>
      <c r="R9" t="s">
        <v>26</v>
      </c>
      <c r="S9" s="3" t="s">
        <v>23</v>
      </c>
      <c r="T9" s="3" t="s">
        <v>24</v>
      </c>
      <c r="U9" t="s">
        <v>25</v>
      </c>
      <c r="V9" t="s">
        <v>26</v>
      </c>
      <c r="W9" s="3" t="s">
        <v>23</v>
      </c>
      <c r="X9" s="3" t="s">
        <v>24</v>
      </c>
      <c r="Y9" t="s">
        <v>25</v>
      </c>
      <c r="Z9" t="s">
        <v>26</v>
      </c>
      <c r="AA9" s="3" t="s">
        <v>23</v>
      </c>
      <c r="AB9" s="3" t="s">
        <v>24</v>
      </c>
      <c r="AC9" t="s">
        <v>25</v>
      </c>
      <c r="AD9" t="s">
        <v>26</v>
      </c>
      <c r="AE9" s="3" t="s">
        <v>23</v>
      </c>
      <c r="AF9" s="3" t="s">
        <v>24</v>
      </c>
      <c r="AG9" t="s">
        <v>25</v>
      </c>
      <c r="AH9" t="s">
        <v>26</v>
      </c>
    </row>
    <row r="10" spans="1:34" ht="45" x14ac:dyDescent="0.25">
      <c r="A10" t="s">
        <v>27</v>
      </c>
      <c r="B10" t="s">
        <v>27</v>
      </c>
      <c r="C10" t="s">
        <v>28</v>
      </c>
      <c r="D10" s="4" t="s">
        <v>29</v>
      </c>
      <c r="E10">
        <v>1340</v>
      </c>
      <c r="F10" t="s">
        <v>30</v>
      </c>
      <c r="G10" s="3">
        <v>1414.29</v>
      </c>
      <c r="H10" s="3">
        <v>1340</v>
      </c>
      <c r="I10" s="5">
        <v>1895148.6</v>
      </c>
      <c r="J10" s="4" t="s">
        <v>31</v>
      </c>
      <c r="K10" s="3">
        <v>2625.2</v>
      </c>
      <c r="L10" s="3">
        <v>1340</v>
      </c>
      <c r="M10" s="5">
        <v>3517768</v>
      </c>
      <c r="N10" s="4" t="s">
        <v>32</v>
      </c>
      <c r="O10" s="3">
        <v>607.20000000000005</v>
      </c>
      <c r="P10" s="3">
        <v>1340</v>
      </c>
      <c r="Q10" s="5">
        <v>813648</v>
      </c>
      <c r="R10" s="4" t="s">
        <v>33</v>
      </c>
      <c r="S10" s="3">
        <v>1495.56</v>
      </c>
      <c r="T10" s="3">
        <v>1340</v>
      </c>
      <c r="U10" s="5">
        <v>2004050.4</v>
      </c>
      <c r="V10" t="s">
        <v>34</v>
      </c>
      <c r="W10" s="3"/>
      <c r="X10" s="3"/>
      <c r="Y10" s="5"/>
      <c r="AA10" s="3"/>
      <c r="AB10" s="3"/>
      <c r="AC10" s="5"/>
      <c r="AE10" s="3"/>
      <c r="AF10" s="3"/>
      <c r="AG10" s="5"/>
    </row>
    <row r="11" spans="1:34" ht="30" x14ac:dyDescent="0.25">
      <c r="A11" t="s">
        <v>35</v>
      </c>
      <c r="B11" t="s">
        <v>27</v>
      </c>
      <c r="C11" t="s">
        <v>36</v>
      </c>
      <c r="D11" s="4" t="s">
        <v>37</v>
      </c>
      <c r="E11">
        <v>6000</v>
      </c>
      <c r="F11" t="s">
        <v>30</v>
      </c>
      <c r="G11" s="3">
        <v>156.86000000000001</v>
      </c>
      <c r="H11" s="3">
        <v>6000</v>
      </c>
      <c r="I11" s="5">
        <v>941160</v>
      </c>
      <c r="J11" s="4" t="s">
        <v>38</v>
      </c>
      <c r="K11" s="3">
        <v>222.25</v>
      </c>
      <c r="L11" s="3">
        <v>6000</v>
      </c>
      <c r="M11" s="5">
        <v>1333500</v>
      </c>
      <c r="N11" t="s">
        <v>39</v>
      </c>
      <c r="O11" s="3">
        <v>216.96</v>
      </c>
      <c r="P11" s="3">
        <v>6000</v>
      </c>
      <c r="Q11" s="5">
        <v>1301760</v>
      </c>
      <c r="R11" t="s">
        <v>40</v>
      </c>
      <c r="S11" s="3"/>
      <c r="T11" s="3"/>
      <c r="U11" s="5"/>
      <c r="W11" s="3">
        <v>212</v>
      </c>
      <c r="X11" s="3">
        <v>6000</v>
      </c>
      <c r="Y11" s="5">
        <v>1272000</v>
      </c>
      <c r="Z11" t="s">
        <v>41</v>
      </c>
      <c r="AA11" s="3"/>
      <c r="AB11" s="3"/>
      <c r="AC11" s="5"/>
      <c r="AE11" s="3"/>
      <c r="AF11" s="3"/>
      <c r="AG11" s="5"/>
    </row>
    <row r="12" spans="1:34" ht="60" x14ac:dyDescent="0.25">
      <c r="A12" t="s">
        <v>42</v>
      </c>
      <c r="B12" t="s">
        <v>27</v>
      </c>
      <c r="C12" t="s">
        <v>43</v>
      </c>
      <c r="D12" s="4" t="s">
        <v>44</v>
      </c>
      <c r="E12">
        <v>820</v>
      </c>
      <c r="F12" t="s">
        <v>30</v>
      </c>
      <c r="G12" s="3"/>
      <c r="H12" s="3"/>
      <c r="I12" s="5"/>
      <c r="K12" s="3">
        <v>748.49</v>
      </c>
      <c r="L12" s="3">
        <v>820</v>
      </c>
      <c r="M12" s="5">
        <v>613761.80000000005</v>
      </c>
      <c r="N12" s="4" t="s">
        <v>45</v>
      </c>
      <c r="O12" s="3"/>
      <c r="P12" s="3"/>
      <c r="Q12" s="5"/>
      <c r="S12" s="3">
        <v>755.24</v>
      </c>
      <c r="T12" s="3">
        <v>820</v>
      </c>
      <c r="U12" s="5">
        <v>619296.80000000005</v>
      </c>
      <c r="V12" t="s">
        <v>46</v>
      </c>
      <c r="W12" s="3"/>
      <c r="X12" s="3"/>
      <c r="Y12" s="5"/>
      <c r="AA12" s="3">
        <v>1100</v>
      </c>
      <c r="AB12" s="3">
        <v>820</v>
      </c>
      <c r="AC12" s="5">
        <v>902000</v>
      </c>
      <c r="AD12" s="4" t="s">
        <v>47</v>
      </c>
      <c r="AE12" s="3"/>
      <c r="AF12" s="3"/>
      <c r="AG12" s="5"/>
    </row>
    <row r="13" spans="1:34" ht="30" x14ac:dyDescent="0.25">
      <c r="A13" t="s">
        <v>48</v>
      </c>
      <c r="B13" t="s">
        <v>27</v>
      </c>
      <c r="C13" t="s">
        <v>49</v>
      </c>
      <c r="D13" s="4" t="s">
        <v>50</v>
      </c>
      <c r="E13">
        <v>16100</v>
      </c>
      <c r="F13" t="s">
        <v>30</v>
      </c>
      <c r="G13" s="3">
        <v>197.35</v>
      </c>
      <c r="H13" s="3">
        <v>16100</v>
      </c>
      <c r="I13" s="5">
        <v>3177335</v>
      </c>
      <c r="J13" s="4" t="s">
        <v>51</v>
      </c>
      <c r="K13" s="3">
        <v>198.25</v>
      </c>
      <c r="L13" s="3">
        <v>16100</v>
      </c>
      <c r="M13" s="5">
        <v>3191825</v>
      </c>
      <c r="N13" s="4" t="s">
        <v>52</v>
      </c>
      <c r="O13" s="3">
        <v>224.48</v>
      </c>
      <c r="P13" s="3">
        <v>16100</v>
      </c>
      <c r="Q13" s="5">
        <v>3614128</v>
      </c>
      <c r="R13" t="s">
        <v>53</v>
      </c>
      <c r="S13" s="3">
        <v>158.62</v>
      </c>
      <c r="T13" s="3">
        <v>16100</v>
      </c>
      <c r="U13" s="5">
        <v>2553782</v>
      </c>
      <c r="V13" t="s">
        <v>54</v>
      </c>
      <c r="W13" s="3">
        <v>177</v>
      </c>
      <c r="X13" s="3">
        <v>16100</v>
      </c>
      <c r="Y13" s="5">
        <v>2849700</v>
      </c>
      <c r="Z13" t="s">
        <v>55</v>
      </c>
      <c r="AA13" s="3"/>
      <c r="AB13" s="3"/>
      <c r="AC13" s="5"/>
      <c r="AE13" s="3"/>
      <c r="AF13" s="3"/>
      <c r="AG13" s="5"/>
    </row>
    <row r="14" spans="1:34" ht="60" x14ac:dyDescent="0.25">
      <c r="A14" t="s">
        <v>56</v>
      </c>
      <c r="B14" t="s">
        <v>27</v>
      </c>
      <c r="C14" t="s">
        <v>57</v>
      </c>
      <c r="D14" s="4" t="s">
        <v>58</v>
      </c>
      <c r="E14">
        <v>57800</v>
      </c>
      <c r="F14" t="s">
        <v>30</v>
      </c>
      <c r="G14" s="3">
        <v>34.75</v>
      </c>
      <c r="H14" s="3">
        <v>57800</v>
      </c>
      <c r="I14" s="5">
        <v>2008550</v>
      </c>
      <c r="J14" s="4" t="s">
        <v>59</v>
      </c>
      <c r="K14" s="3">
        <v>44.89</v>
      </c>
      <c r="L14" s="3">
        <v>57800</v>
      </c>
      <c r="M14" s="5">
        <v>2594642</v>
      </c>
      <c r="N14" s="4" t="s">
        <v>60</v>
      </c>
      <c r="O14" s="3">
        <v>46.29</v>
      </c>
      <c r="P14" s="3">
        <v>57800</v>
      </c>
      <c r="Q14" s="5">
        <v>2675562</v>
      </c>
      <c r="R14" t="s">
        <v>61</v>
      </c>
      <c r="S14" s="3">
        <v>42.8</v>
      </c>
      <c r="T14" s="3">
        <v>57800</v>
      </c>
      <c r="U14" s="5">
        <v>2473840</v>
      </c>
      <c r="V14" t="s">
        <v>62</v>
      </c>
      <c r="W14" s="3">
        <v>49.45</v>
      </c>
      <c r="X14" s="3">
        <v>57800</v>
      </c>
      <c r="Y14" s="5">
        <v>2858210</v>
      </c>
      <c r="Z14" t="s">
        <v>63</v>
      </c>
      <c r="AA14" s="3">
        <v>32.700000000000003</v>
      </c>
      <c r="AB14" s="3">
        <v>57800</v>
      </c>
      <c r="AC14" s="5">
        <v>1890060</v>
      </c>
      <c r="AD14" s="4" t="s">
        <v>64</v>
      </c>
      <c r="AE14" s="3"/>
      <c r="AF14" s="3"/>
      <c r="AG14" s="5"/>
    </row>
    <row r="15" spans="1:34" ht="45" x14ac:dyDescent="0.25">
      <c r="A15" t="s">
        <v>65</v>
      </c>
      <c r="B15" t="s">
        <v>27</v>
      </c>
      <c r="C15" t="s">
        <v>66</v>
      </c>
      <c r="D15" s="4" t="s">
        <v>67</v>
      </c>
      <c r="E15">
        <v>51050</v>
      </c>
      <c r="F15" t="s">
        <v>30</v>
      </c>
      <c r="G15" s="3"/>
      <c r="H15" s="3"/>
      <c r="I15" s="5"/>
      <c r="K15" s="3">
        <v>4.72</v>
      </c>
      <c r="L15" s="3">
        <v>51050</v>
      </c>
      <c r="M15" s="5">
        <v>240956</v>
      </c>
      <c r="N15" s="4" t="s">
        <v>68</v>
      </c>
      <c r="O15" s="3">
        <v>7.31</v>
      </c>
      <c r="P15" s="3">
        <v>51050</v>
      </c>
      <c r="Q15" s="5">
        <v>373175.5</v>
      </c>
      <c r="R15" t="s">
        <v>69</v>
      </c>
      <c r="S15" s="3">
        <v>3.99</v>
      </c>
      <c r="T15" s="3">
        <v>51050</v>
      </c>
      <c r="U15" s="5">
        <v>203689.5</v>
      </c>
      <c r="V15" t="s">
        <v>70</v>
      </c>
      <c r="W15" s="3">
        <v>6.51</v>
      </c>
      <c r="X15" s="3">
        <v>51050</v>
      </c>
      <c r="Y15" s="5">
        <v>332335.5</v>
      </c>
      <c r="Z15" t="s">
        <v>55</v>
      </c>
      <c r="AA15" s="3">
        <v>3.19</v>
      </c>
      <c r="AB15" s="3">
        <v>51050</v>
      </c>
      <c r="AC15" s="5">
        <v>162849.5</v>
      </c>
      <c r="AD15" s="4" t="s">
        <v>71</v>
      </c>
      <c r="AE15" s="3"/>
      <c r="AF15" s="3"/>
      <c r="AG15" s="5"/>
    </row>
    <row r="16" spans="1:34" ht="45" x14ac:dyDescent="0.25">
      <c r="A16" t="s">
        <v>72</v>
      </c>
      <c r="B16" t="s">
        <v>27</v>
      </c>
      <c r="C16" t="s">
        <v>73</v>
      </c>
      <c r="D16" s="4" t="s">
        <v>74</v>
      </c>
      <c r="E16">
        <v>60030</v>
      </c>
      <c r="F16" t="s">
        <v>30</v>
      </c>
      <c r="G16" s="3">
        <v>3.46</v>
      </c>
      <c r="H16" s="3">
        <v>60030</v>
      </c>
      <c r="I16" s="5">
        <v>207703.8</v>
      </c>
      <c r="J16" s="4" t="s">
        <v>75</v>
      </c>
      <c r="K16" s="3">
        <v>4.72</v>
      </c>
      <c r="L16" s="3">
        <v>60030</v>
      </c>
      <c r="M16" s="5">
        <v>283341.59999999998</v>
      </c>
      <c r="N16" s="4" t="s">
        <v>76</v>
      </c>
      <c r="O16" s="3">
        <v>4.79</v>
      </c>
      <c r="P16" s="3">
        <v>60030</v>
      </c>
      <c r="Q16" s="5">
        <v>287543.7</v>
      </c>
      <c r="R16" t="s">
        <v>77</v>
      </c>
      <c r="S16" s="3">
        <v>43.5</v>
      </c>
      <c r="T16" s="3">
        <v>60030</v>
      </c>
      <c r="U16" s="5">
        <v>2611305</v>
      </c>
      <c r="V16" t="s">
        <v>78</v>
      </c>
      <c r="W16" s="3"/>
      <c r="X16" s="3"/>
      <c r="Y16" s="5"/>
      <c r="AA16" s="3"/>
      <c r="AB16" s="3"/>
      <c r="AC16" s="5"/>
      <c r="AE16" s="3"/>
      <c r="AF16" s="3"/>
      <c r="AG16" s="5"/>
    </row>
    <row r="17" spans="1:33" ht="30" x14ac:dyDescent="0.25">
      <c r="A17" t="s">
        <v>79</v>
      </c>
      <c r="B17" t="s">
        <v>27</v>
      </c>
      <c r="C17" t="s">
        <v>80</v>
      </c>
      <c r="D17" s="4" t="s">
        <v>81</v>
      </c>
      <c r="E17">
        <v>1100</v>
      </c>
      <c r="F17" t="s">
        <v>30</v>
      </c>
      <c r="G17" s="3">
        <v>69.87</v>
      </c>
      <c r="H17" s="3">
        <v>1100</v>
      </c>
      <c r="I17" s="5">
        <v>76857</v>
      </c>
      <c r="J17" s="4" t="s">
        <v>82</v>
      </c>
      <c r="K17" s="3">
        <v>79.98</v>
      </c>
      <c r="L17" s="3">
        <v>1100</v>
      </c>
      <c r="M17" s="5">
        <v>87978</v>
      </c>
      <c r="N17" s="4" t="s">
        <v>83</v>
      </c>
      <c r="O17" s="3">
        <v>67.2</v>
      </c>
      <c r="P17" s="3">
        <v>1100</v>
      </c>
      <c r="Q17" s="5">
        <v>73920</v>
      </c>
      <c r="R17" t="s">
        <v>84</v>
      </c>
      <c r="S17" s="3"/>
      <c r="T17" s="3"/>
      <c r="U17" s="5"/>
      <c r="W17" s="3"/>
      <c r="X17" s="3"/>
      <c r="Y17" s="5"/>
      <c r="AA17" s="3"/>
      <c r="AB17" s="3"/>
      <c r="AC17" s="5"/>
      <c r="AE17" s="3"/>
      <c r="AF17" s="3"/>
      <c r="AG17" s="5"/>
    </row>
    <row r="18" spans="1:33" ht="45" x14ac:dyDescent="0.25">
      <c r="A18" t="s">
        <v>85</v>
      </c>
      <c r="B18" t="s">
        <v>27</v>
      </c>
      <c r="C18" t="s">
        <v>86</v>
      </c>
      <c r="D18" s="4" t="s">
        <v>87</v>
      </c>
      <c r="E18">
        <v>100</v>
      </c>
      <c r="F18" t="s">
        <v>30</v>
      </c>
      <c r="G18" s="3">
        <v>1748.65</v>
      </c>
      <c r="H18" s="3">
        <v>100</v>
      </c>
      <c r="I18" s="5">
        <v>174865</v>
      </c>
      <c r="J18" s="4" t="s">
        <v>88</v>
      </c>
      <c r="K18" s="3">
        <v>1598</v>
      </c>
      <c r="L18" s="3">
        <v>100</v>
      </c>
      <c r="M18" s="5">
        <v>159800</v>
      </c>
      <c r="N18" s="4" t="s">
        <v>89</v>
      </c>
      <c r="O18" s="3"/>
      <c r="P18" s="3"/>
      <c r="Q18" s="5"/>
      <c r="S18" s="3"/>
      <c r="T18" s="3"/>
      <c r="U18" s="5"/>
      <c r="W18" s="3"/>
      <c r="X18" s="3"/>
      <c r="Y18" s="5"/>
      <c r="AA18" s="3"/>
      <c r="AB18" s="3"/>
      <c r="AC18" s="5"/>
      <c r="AE18" s="3"/>
      <c r="AF18" s="3"/>
      <c r="AG18" s="5"/>
    </row>
    <row r="19" spans="1:33" ht="30" x14ac:dyDescent="0.25">
      <c r="A19" t="s">
        <v>90</v>
      </c>
      <c r="B19" t="s">
        <v>27</v>
      </c>
      <c r="C19" t="s">
        <v>91</v>
      </c>
      <c r="D19" s="4" t="s">
        <v>92</v>
      </c>
      <c r="E19">
        <v>3030</v>
      </c>
      <c r="F19" t="s">
        <v>30</v>
      </c>
      <c r="G19" s="3">
        <v>117.65</v>
      </c>
      <c r="H19" s="3">
        <v>3030</v>
      </c>
      <c r="I19" s="5">
        <v>356479.5</v>
      </c>
      <c r="J19" s="4" t="s">
        <v>93</v>
      </c>
      <c r="K19" s="3">
        <v>198.5</v>
      </c>
      <c r="L19" s="3">
        <v>3030</v>
      </c>
      <c r="M19" s="5">
        <v>601455</v>
      </c>
      <c r="N19" s="4" t="s">
        <v>94</v>
      </c>
      <c r="O19" s="3"/>
      <c r="P19" s="3"/>
      <c r="Q19" s="5"/>
      <c r="S19" s="3"/>
      <c r="T19" s="3"/>
      <c r="U19" s="5"/>
      <c r="W19" s="3">
        <v>145.55000000000001</v>
      </c>
      <c r="X19" s="3">
        <v>3030</v>
      </c>
      <c r="Y19" s="5">
        <v>441016.5</v>
      </c>
      <c r="Z19" t="s">
        <v>95</v>
      </c>
      <c r="AA19" s="3"/>
      <c r="AB19" s="3"/>
      <c r="AC19" s="5"/>
      <c r="AE19" s="3"/>
      <c r="AF19" s="3"/>
      <c r="AG19" s="5"/>
    </row>
    <row r="20" spans="1:33" ht="45" x14ac:dyDescent="0.25">
      <c r="A20" t="s">
        <v>96</v>
      </c>
      <c r="B20" t="s">
        <v>27</v>
      </c>
      <c r="C20" t="s">
        <v>97</v>
      </c>
      <c r="D20" s="4" t="s">
        <v>98</v>
      </c>
      <c r="E20">
        <v>2550</v>
      </c>
      <c r="F20" t="s">
        <v>30</v>
      </c>
      <c r="G20" s="3">
        <v>2398.02</v>
      </c>
      <c r="H20" s="3">
        <v>2550</v>
      </c>
      <c r="I20" s="5">
        <v>6114951</v>
      </c>
      <c r="J20" s="4" t="s">
        <v>99</v>
      </c>
      <c r="K20" s="3">
        <v>1582.25</v>
      </c>
      <c r="L20" s="3">
        <v>2550</v>
      </c>
      <c r="M20" s="5">
        <v>4034737.5</v>
      </c>
      <c r="N20" s="4" t="s">
        <v>100</v>
      </c>
      <c r="O20" s="3"/>
      <c r="P20" s="3"/>
      <c r="Q20" s="5"/>
      <c r="S20" s="3">
        <v>5593.44</v>
      </c>
      <c r="T20" s="3">
        <v>2550</v>
      </c>
      <c r="U20" s="5">
        <v>14263272</v>
      </c>
      <c r="V20" t="s">
        <v>101</v>
      </c>
      <c r="W20" s="3"/>
      <c r="X20" s="3"/>
      <c r="Y20" s="5"/>
      <c r="AA20" s="3">
        <v>1059</v>
      </c>
      <c r="AB20" s="3">
        <v>2550</v>
      </c>
      <c r="AC20" s="5">
        <v>2700450</v>
      </c>
      <c r="AD20" s="4" t="s">
        <v>102</v>
      </c>
      <c r="AE20" s="3"/>
      <c r="AF20" s="3"/>
      <c r="AG20" s="5"/>
    </row>
    <row r="21" spans="1:33" ht="30" x14ac:dyDescent="0.25">
      <c r="A21" t="s">
        <v>103</v>
      </c>
      <c r="B21" t="s">
        <v>27</v>
      </c>
      <c r="C21" t="s">
        <v>104</v>
      </c>
      <c r="D21" s="4" t="s">
        <v>105</v>
      </c>
      <c r="E21">
        <v>1140</v>
      </c>
      <c r="F21" t="s">
        <v>30</v>
      </c>
      <c r="G21" s="3">
        <v>19.82</v>
      </c>
      <c r="H21" s="3">
        <v>1140</v>
      </c>
      <c r="I21" s="5">
        <v>22594.799999999999</v>
      </c>
      <c r="J21" s="4" t="s">
        <v>106</v>
      </c>
      <c r="K21" s="3">
        <v>83.43</v>
      </c>
      <c r="L21" s="3">
        <v>1140</v>
      </c>
      <c r="M21" s="5">
        <v>95110.2</v>
      </c>
      <c r="N21" s="4" t="s">
        <v>107</v>
      </c>
      <c r="O21" s="3"/>
      <c r="P21" s="3"/>
      <c r="Q21" s="5"/>
      <c r="S21" s="3">
        <v>54.45</v>
      </c>
      <c r="T21" s="3">
        <v>1140</v>
      </c>
      <c r="U21" s="5">
        <v>62073</v>
      </c>
      <c r="V21" t="s">
        <v>108</v>
      </c>
      <c r="W21" s="3">
        <v>71.23</v>
      </c>
      <c r="X21" s="3">
        <v>1140</v>
      </c>
      <c r="Y21" s="5">
        <v>81202.2</v>
      </c>
      <c r="Z21" t="s">
        <v>109</v>
      </c>
      <c r="AA21" s="3"/>
      <c r="AB21" s="3"/>
      <c r="AC21" s="5"/>
      <c r="AE21" s="3"/>
      <c r="AF21" s="3"/>
      <c r="AG21" s="5"/>
    </row>
    <row r="22" spans="1:33" ht="75" x14ac:dyDescent="0.25">
      <c r="A22" t="s">
        <v>110</v>
      </c>
      <c r="B22" t="s">
        <v>27</v>
      </c>
      <c r="C22" t="s">
        <v>111</v>
      </c>
      <c r="D22" s="4" t="s">
        <v>112</v>
      </c>
      <c r="E22">
        <v>10350</v>
      </c>
      <c r="F22" t="s">
        <v>30</v>
      </c>
      <c r="G22" s="3">
        <v>562.62</v>
      </c>
      <c r="H22" s="3">
        <v>10350</v>
      </c>
      <c r="I22" s="5">
        <v>5823117</v>
      </c>
      <c r="J22" s="4" t="s">
        <v>113</v>
      </c>
      <c r="K22" s="3">
        <v>1582.25</v>
      </c>
      <c r="L22" s="3">
        <v>10350</v>
      </c>
      <c r="M22" s="5">
        <v>16376287.5</v>
      </c>
      <c r="N22" s="4" t="s">
        <v>114</v>
      </c>
      <c r="O22" s="3">
        <v>584.42999999999995</v>
      </c>
      <c r="P22" s="3">
        <v>10350</v>
      </c>
      <c r="Q22" s="5">
        <v>6048850.5</v>
      </c>
      <c r="R22" t="s">
        <v>115</v>
      </c>
      <c r="S22" s="3">
        <v>582</v>
      </c>
      <c r="T22" s="3">
        <v>5040</v>
      </c>
      <c r="U22" s="5">
        <v>2933280</v>
      </c>
      <c r="V22" t="s">
        <v>116</v>
      </c>
      <c r="W22" s="3">
        <v>513</v>
      </c>
      <c r="X22" s="3">
        <v>10350</v>
      </c>
      <c r="Y22" s="5">
        <v>5309550</v>
      </c>
      <c r="Z22" t="s">
        <v>117</v>
      </c>
      <c r="AA22" s="3">
        <v>989</v>
      </c>
      <c r="AB22" s="3">
        <v>10350</v>
      </c>
      <c r="AC22" s="5">
        <v>10236150</v>
      </c>
      <c r="AD22" s="4" t="s">
        <v>118</v>
      </c>
      <c r="AE22" s="3"/>
      <c r="AF22" s="3"/>
      <c r="AG22" s="5"/>
    </row>
    <row r="23" spans="1:33" ht="30" x14ac:dyDescent="0.25">
      <c r="A23" t="s">
        <v>119</v>
      </c>
      <c r="B23" t="s">
        <v>27</v>
      </c>
      <c r="C23" t="s">
        <v>120</v>
      </c>
      <c r="D23" s="4" t="s">
        <v>121</v>
      </c>
      <c r="E23">
        <v>60</v>
      </c>
      <c r="F23" t="s">
        <v>30</v>
      </c>
      <c r="G23" s="3">
        <v>11424</v>
      </c>
      <c r="H23" s="3">
        <v>60</v>
      </c>
      <c r="I23" s="5">
        <v>685440</v>
      </c>
      <c r="J23" s="4" t="s">
        <v>122</v>
      </c>
      <c r="K23" s="3">
        <v>14905.3</v>
      </c>
      <c r="L23" s="3">
        <v>60</v>
      </c>
      <c r="M23" s="5">
        <v>894318</v>
      </c>
      <c r="N23" s="4" t="s">
        <v>123</v>
      </c>
      <c r="O23" s="3"/>
      <c r="P23" s="3"/>
      <c r="Q23" s="5"/>
      <c r="S23" s="3"/>
      <c r="T23" s="3"/>
      <c r="U23" s="5"/>
      <c r="W23" s="3"/>
      <c r="X23" s="3"/>
      <c r="Y23" s="5"/>
      <c r="AA23" s="3"/>
      <c r="AB23" s="3"/>
      <c r="AC23" s="5"/>
      <c r="AE23" s="3"/>
      <c r="AF23" s="3"/>
      <c r="AG23" s="5"/>
    </row>
    <row r="24" spans="1:33" ht="60" x14ac:dyDescent="0.25">
      <c r="A24" t="s">
        <v>124</v>
      </c>
      <c r="B24" t="s">
        <v>27</v>
      </c>
      <c r="C24" t="s">
        <v>125</v>
      </c>
      <c r="D24" s="4" t="s">
        <v>126</v>
      </c>
      <c r="E24">
        <v>4150</v>
      </c>
      <c r="F24" t="s">
        <v>30</v>
      </c>
      <c r="G24" s="3">
        <v>110.16</v>
      </c>
      <c r="H24" s="3">
        <v>4150</v>
      </c>
      <c r="I24" s="5">
        <v>457164</v>
      </c>
      <c r="J24" s="4" t="s">
        <v>127</v>
      </c>
      <c r="K24" s="3">
        <v>172.23</v>
      </c>
      <c r="L24" s="3">
        <v>4150</v>
      </c>
      <c r="M24" s="5">
        <v>714754.5</v>
      </c>
      <c r="N24" s="4" t="s">
        <v>128</v>
      </c>
      <c r="O24" s="3">
        <v>84.41</v>
      </c>
      <c r="P24" s="3">
        <v>4150</v>
      </c>
      <c r="Q24" s="5">
        <v>350301.5</v>
      </c>
      <c r="R24" t="s">
        <v>129</v>
      </c>
      <c r="S24" s="3">
        <v>97.34</v>
      </c>
      <c r="T24" s="3">
        <v>4150</v>
      </c>
      <c r="U24" s="5">
        <v>403961</v>
      </c>
      <c r="V24" t="s">
        <v>130</v>
      </c>
      <c r="W24" s="3"/>
      <c r="X24" s="3"/>
      <c r="Y24" s="5"/>
      <c r="AA24" s="3">
        <v>380</v>
      </c>
      <c r="AB24" s="3">
        <v>4150</v>
      </c>
      <c r="AC24" s="5">
        <v>1577000</v>
      </c>
      <c r="AD24" s="4" t="s">
        <v>131</v>
      </c>
      <c r="AE24" s="3"/>
      <c r="AF24" s="3"/>
      <c r="AG24" s="5"/>
    </row>
    <row r="25" spans="1:33" ht="30" x14ac:dyDescent="0.25">
      <c r="A25" t="s">
        <v>132</v>
      </c>
      <c r="B25" t="s">
        <v>27</v>
      </c>
      <c r="C25" t="s">
        <v>133</v>
      </c>
      <c r="D25" s="4" t="s">
        <v>134</v>
      </c>
      <c r="E25">
        <v>20</v>
      </c>
      <c r="F25" t="s">
        <v>30</v>
      </c>
      <c r="G25" s="3"/>
      <c r="H25" s="3"/>
      <c r="I25" s="5"/>
      <c r="K25" s="3">
        <v>449.85</v>
      </c>
      <c r="L25" s="3">
        <v>20</v>
      </c>
      <c r="M25" s="5">
        <v>8997</v>
      </c>
      <c r="N25" s="4" t="s">
        <v>135</v>
      </c>
      <c r="O25" s="3"/>
      <c r="P25" s="3"/>
      <c r="Q25" s="5"/>
      <c r="S25" s="3"/>
      <c r="T25" s="3"/>
      <c r="U25" s="5"/>
      <c r="W25" s="3"/>
      <c r="X25" s="3"/>
      <c r="Y25" s="5"/>
      <c r="AA25" s="3"/>
      <c r="AB25" s="3"/>
      <c r="AC25" s="5"/>
      <c r="AE25" s="3"/>
      <c r="AF25" s="3"/>
      <c r="AG25" s="5"/>
    </row>
    <row r="26" spans="1:33" ht="30" x14ac:dyDescent="0.25">
      <c r="A26" t="s">
        <v>136</v>
      </c>
      <c r="B26" t="s">
        <v>27</v>
      </c>
      <c r="C26" t="s">
        <v>137</v>
      </c>
      <c r="D26" s="4" t="s">
        <v>138</v>
      </c>
      <c r="E26">
        <v>3280</v>
      </c>
      <c r="F26" t="s">
        <v>30</v>
      </c>
      <c r="G26" s="3"/>
      <c r="H26" s="3"/>
      <c r="I26" s="5"/>
      <c r="K26" s="3">
        <v>88.25</v>
      </c>
      <c r="L26" s="3">
        <v>3280</v>
      </c>
      <c r="M26" s="5">
        <v>289460</v>
      </c>
      <c r="N26" t="s">
        <v>139</v>
      </c>
      <c r="O26" s="3"/>
      <c r="P26" s="3"/>
      <c r="Q26" s="5"/>
      <c r="S26" s="3">
        <v>59.99</v>
      </c>
      <c r="T26" s="3">
        <v>3280</v>
      </c>
      <c r="U26" s="5">
        <v>196767.2</v>
      </c>
      <c r="V26" t="s">
        <v>140</v>
      </c>
      <c r="W26" s="3"/>
      <c r="X26" s="3"/>
      <c r="Y26" s="5"/>
      <c r="AA26" s="3"/>
      <c r="AB26" s="3"/>
      <c r="AC26" s="5"/>
      <c r="AE26" s="3"/>
      <c r="AF26" s="3"/>
      <c r="AG26" s="5"/>
    </row>
    <row r="27" spans="1:33" ht="30" x14ac:dyDescent="0.25">
      <c r="A27" t="s">
        <v>141</v>
      </c>
      <c r="B27" t="s">
        <v>27</v>
      </c>
      <c r="C27" t="s">
        <v>142</v>
      </c>
      <c r="D27" s="4" t="s">
        <v>143</v>
      </c>
      <c r="E27">
        <v>50</v>
      </c>
      <c r="F27" t="s">
        <v>30</v>
      </c>
      <c r="G27" s="3">
        <v>1835.14</v>
      </c>
      <c r="H27" s="3">
        <v>50</v>
      </c>
      <c r="I27" s="5">
        <v>91757</v>
      </c>
      <c r="J27" s="4" t="s">
        <v>144</v>
      </c>
      <c r="K27" s="3"/>
      <c r="L27" s="3"/>
      <c r="M27" s="5"/>
      <c r="O27" s="3"/>
      <c r="P27" s="3"/>
      <c r="Q27" s="5"/>
      <c r="S27" s="3">
        <v>2044.5</v>
      </c>
      <c r="T27" s="3">
        <v>50</v>
      </c>
      <c r="U27" s="5">
        <v>102225</v>
      </c>
      <c r="V27" t="s">
        <v>145</v>
      </c>
      <c r="W27" s="3"/>
      <c r="X27" s="3"/>
      <c r="Y27" s="5"/>
      <c r="AA27" s="3"/>
      <c r="AB27" s="3"/>
      <c r="AC27" s="5"/>
      <c r="AE27" s="3"/>
      <c r="AF27" s="3"/>
      <c r="AG27" s="5"/>
    </row>
    <row r="28" spans="1:33" ht="30" x14ac:dyDescent="0.25">
      <c r="A28" t="s">
        <v>146</v>
      </c>
      <c r="B28" t="s">
        <v>27</v>
      </c>
      <c r="C28" t="s">
        <v>147</v>
      </c>
      <c r="D28" s="4" t="s">
        <v>148</v>
      </c>
      <c r="E28">
        <v>40</v>
      </c>
      <c r="F28" t="s">
        <v>30</v>
      </c>
      <c r="G28" s="3">
        <v>750.2</v>
      </c>
      <c r="H28" s="3">
        <v>40</v>
      </c>
      <c r="I28" s="5">
        <v>30008</v>
      </c>
      <c r="J28" s="4" t="s">
        <v>149</v>
      </c>
      <c r="K28" s="3">
        <v>7249.95</v>
      </c>
      <c r="L28" s="3">
        <v>40</v>
      </c>
      <c r="M28" s="5">
        <v>289998</v>
      </c>
      <c r="N28" s="4" t="s">
        <v>150</v>
      </c>
      <c r="O28" s="3"/>
      <c r="P28" s="3"/>
      <c r="Q28" s="5"/>
      <c r="S28" s="3">
        <v>1015</v>
      </c>
      <c r="T28" s="3">
        <v>40</v>
      </c>
      <c r="U28" s="5">
        <v>40600</v>
      </c>
      <c r="V28" t="s">
        <v>151</v>
      </c>
      <c r="W28" s="3"/>
      <c r="X28" s="3"/>
      <c r="Y28" s="5"/>
      <c r="AA28" s="3"/>
      <c r="AB28" s="3"/>
      <c r="AC28" s="5"/>
      <c r="AE28" s="3"/>
      <c r="AF28" s="3"/>
      <c r="AG28" s="5"/>
    </row>
    <row r="29" spans="1:33" ht="30" x14ac:dyDescent="0.25">
      <c r="A29" t="s">
        <v>152</v>
      </c>
      <c r="B29" t="s">
        <v>27</v>
      </c>
      <c r="C29" t="s">
        <v>153</v>
      </c>
      <c r="D29" s="4" t="s">
        <v>154</v>
      </c>
      <c r="E29">
        <v>1000</v>
      </c>
      <c r="F29" t="s">
        <v>30</v>
      </c>
      <c r="G29" s="3">
        <v>178.53</v>
      </c>
      <c r="H29" s="3">
        <v>1000</v>
      </c>
      <c r="I29" s="5">
        <v>178530</v>
      </c>
      <c r="J29" s="4" t="s">
        <v>155</v>
      </c>
      <c r="K29" s="3">
        <v>298</v>
      </c>
      <c r="L29" s="3">
        <v>1000</v>
      </c>
      <c r="M29" s="5">
        <v>298000</v>
      </c>
      <c r="N29" s="4" t="s">
        <v>156</v>
      </c>
      <c r="O29" s="3">
        <v>260.25</v>
      </c>
      <c r="P29" s="3">
        <v>1000</v>
      </c>
      <c r="Q29" s="5">
        <v>260250</v>
      </c>
      <c r="R29" t="s">
        <v>157</v>
      </c>
      <c r="S29" s="3"/>
      <c r="T29" s="3"/>
      <c r="U29" s="5"/>
      <c r="W29" s="3">
        <v>192</v>
      </c>
      <c r="X29" s="3">
        <v>1000</v>
      </c>
      <c r="Y29" s="5">
        <v>192000</v>
      </c>
      <c r="Z29" t="s">
        <v>158</v>
      </c>
      <c r="AA29" s="3"/>
      <c r="AB29" s="3"/>
      <c r="AC29" s="5"/>
      <c r="AE29" s="3"/>
      <c r="AF29" s="3"/>
      <c r="AG29" s="5"/>
    </row>
    <row r="30" spans="1:33" ht="30" x14ac:dyDescent="0.25">
      <c r="A30" t="s">
        <v>159</v>
      </c>
      <c r="B30" t="s">
        <v>27</v>
      </c>
      <c r="C30" t="s">
        <v>160</v>
      </c>
      <c r="D30" s="4" t="s">
        <v>161</v>
      </c>
      <c r="E30">
        <v>1005</v>
      </c>
      <c r="F30" t="s">
        <v>30</v>
      </c>
      <c r="G30" s="3">
        <v>205.48</v>
      </c>
      <c r="H30" s="3">
        <v>1005</v>
      </c>
      <c r="I30" s="5">
        <v>206507.4</v>
      </c>
      <c r="J30" s="4" t="s">
        <v>162</v>
      </c>
      <c r="K30" s="3">
        <v>580</v>
      </c>
      <c r="L30" s="3">
        <v>1005</v>
      </c>
      <c r="M30" s="5">
        <v>582900</v>
      </c>
      <c r="N30" s="4" t="s">
        <v>163</v>
      </c>
      <c r="O30" s="3"/>
      <c r="P30" s="3"/>
      <c r="Q30" s="5"/>
      <c r="S30" s="3"/>
      <c r="T30" s="3"/>
      <c r="U30" s="5"/>
      <c r="W30" s="3"/>
      <c r="X30" s="3"/>
      <c r="Y30" s="5"/>
      <c r="AA30" s="3"/>
      <c r="AB30" s="3"/>
      <c r="AC30" s="5"/>
      <c r="AE30" s="3"/>
      <c r="AF30" s="3"/>
      <c r="AG30" s="5"/>
    </row>
    <row r="31" spans="1:33" ht="75" x14ac:dyDescent="0.25">
      <c r="A31" t="s">
        <v>164</v>
      </c>
      <c r="B31" t="s">
        <v>27</v>
      </c>
      <c r="C31" t="s">
        <v>165</v>
      </c>
      <c r="D31" s="4" t="s">
        <v>166</v>
      </c>
      <c r="E31">
        <v>736</v>
      </c>
      <c r="F31" t="s">
        <v>30</v>
      </c>
      <c r="G31" s="3">
        <v>952</v>
      </c>
      <c r="H31" s="3">
        <v>736</v>
      </c>
      <c r="I31" s="5">
        <v>700672</v>
      </c>
      <c r="J31" s="4" t="s">
        <v>167</v>
      </c>
      <c r="K31" s="3">
        <v>262.5</v>
      </c>
      <c r="L31" s="3">
        <v>736</v>
      </c>
      <c r="M31" s="5">
        <v>193200</v>
      </c>
      <c r="N31" s="4" t="s">
        <v>168</v>
      </c>
      <c r="O31" s="3">
        <v>890.1</v>
      </c>
      <c r="P31" s="3">
        <v>736</v>
      </c>
      <c r="Q31" s="5">
        <v>655113.6</v>
      </c>
      <c r="R31" t="s">
        <v>169</v>
      </c>
      <c r="S31" s="3">
        <v>722.94</v>
      </c>
      <c r="T31" s="3">
        <v>736</v>
      </c>
      <c r="U31" s="5">
        <v>532083.84</v>
      </c>
      <c r="V31" t="s">
        <v>170</v>
      </c>
      <c r="W31" s="3"/>
      <c r="X31" s="3"/>
      <c r="Y31" s="5"/>
      <c r="AA31" s="3">
        <v>888</v>
      </c>
      <c r="AB31" s="3">
        <v>736</v>
      </c>
      <c r="AC31" s="5">
        <v>653568</v>
      </c>
      <c r="AD31" s="4" t="s">
        <v>171</v>
      </c>
      <c r="AE31" s="3"/>
      <c r="AF31" s="3"/>
      <c r="AG31" s="5"/>
    </row>
    <row r="32" spans="1:33" ht="30" x14ac:dyDescent="0.25">
      <c r="A32" t="s">
        <v>172</v>
      </c>
      <c r="B32" t="s">
        <v>27</v>
      </c>
      <c r="C32" t="s">
        <v>173</v>
      </c>
      <c r="D32" s="4" t="s">
        <v>174</v>
      </c>
      <c r="E32">
        <v>100</v>
      </c>
      <c r="F32" t="s">
        <v>30</v>
      </c>
      <c r="G32" s="3">
        <v>356.61</v>
      </c>
      <c r="H32" s="3">
        <v>100</v>
      </c>
      <c r="I32" s="5">
        <v>35661</v>
      </c>
      <c r="J32" s="4" t="s">
        <v>175</v>
      </c>
      <c r="K32" s="3">
        <v>425</v>
      </c>
      <c r="L32" s="3">
        <v>100</v>
      </c>
      <c r="M32" s="5">
        <v>42500</v>
      </c>
      <c r="N32" s="4" t="s">
        <v>176</v>
      </c>
      <c r="O32" s="3">
        <v>276</v>
      </c>
      <c r="P32" s="3">
        <v>100</v>
      </c>
      <c r="Q32" s="5">
        <v>27600</v>
      </c>
      <c r="R32" t="s">
        <v>177</v>
      </c>
      <c r="S32" s="3">
        <v>327.74</v>
      </c>
      <c r="T32" s="3">
        <v>100</v>
      </c>
      <c r="U32" s="5">
        <v>32774</v>
      </c>
      <c r="V32" t="s">
        <v>178</v>
      </c>
      <c r="W32" s="3"/>
      <c r="X32" s="3"/>
      <c r="Y32" s="5"/>
      <c r="AA32" s="3"/>
      <c r="AB32" s="3"/>
      <c r="AC32" s="5"/>
      <c r="AE32" s="3"/>
      <c r="AF32" s="3"/>
      <c r="AG32" s="5"/>
    </row>
    <row r="33" spans="1:34" ht="30" x14ac:dyDescent="0.25">
      <c r="A33" t="s">
        <v>179</v>
      </c>
      <c r="B33" t="s">
        <v>27</v>
      </c>
      <c r="C33" t="s">
        <v>180</v>
      </c>
      <c r="D33" t="s">
        <v>181</v>
      </c>
      <c r="E33">
        <v>220</v>
      </c>
      <c r="F33" t="s">
        <v>30</v>
      </c>
      <c r="G33" s="3"/>
      <c r="H33" s="3"/>
      <c r="I33" s="5"/>
      <c r="K33" s="3"/>
      <c r="L33" s="3"/>
      <c r="M33" s="5"/>
      <c r="O33" s="3"/>
      <c r="P33" s="3"/>
      <c r="Q33" s="5"/>
      <c r="S33" s="3"/>
      <c r="T33" s="3"/>
      <c r="U33" s="5"/>
      <c r="W33" s="3"/>
      <c r="X33" s="3"/>
      <c r="Y33" s="5"/>
      <c r="AA33" s="3"/>
      <c r="AB33" s="3"/>
      <c r="AC33" s="5"/>
      <c r="AE33" s="3">
        <v>754</v>
      </c>
      <c r="AF33" s="3">
        <v>220</v>
      </c>
      <c r="AG33" s="5">
        <v>165880</v>
      </c>
      <c r="AH33" s="4" t="s">
        <v>182</v>
      </c>
    </row>
    <row r="34" spans="1:34" ht="45" x14ac:dyDescent="0.25">
      <c r="A34" t="s">
        <v>183</v>
      </c>
      <c r="B34" t="s">
        <v>27</v>
      </c>
      <c r="C34" t="s">
        <v>184</v>
      </c>
      <c r="D34" t="s">
        <v>185</v>
      </c>
      <c r="E34">
        <v>170</v>
      </c>
      <c r="F34" t="s">
        <v>30</v>
      </c>
      <c r="G34" s="3"/>
      <c r="H34" s="3"/>
      <c r="I34" s="5"/>
      <c r="K34" s="3"/>
      <c r="L34" s="3"/>
      <c r="M34" s="5"/>
      <c r="O34" s="3"/>
      <c r="P34" s="3"/>
      <c r="Q34" s="5"/>
      <c r="S34" s="3"/>
      <c r="T34" s="3"/>
      <c r="U34" s="5"/>
      <c r="W34" s="3"/>
      <c r="X34" s="3"/>
      <c r="Y34" s="5"/>
      <c r="AA34" s="3"/>
      <c r="AB34" s="3"/>
      <c r="AC34" s="5"/>
      <c r="AE34" s="3">
        <v>2300</v>
      </c>
      <c r="AF34" s="3">
        <v>170</v>
      </c>
      <c r="AG34" s="5">
        <v>391000</v>
      </c>
      <c r="AH34" s="4" t="s">
        <v>186</v>
      </c>
    </row>
    <row r="35" spans="1:34" ht="45" x14ac:dyDescent="0.25">
      <c r="A35" t="s">
        <v>187</v>
      </c>
      <c r="B35" t="s">
        <v>27</v>
      </c>
      <c r="C35" t="s">
        <v>188</v>
      </c>
      <c r="D35" s="4" t="s">
        <v>189</v>
      </c>
      <c r="E35">
        <v>10900</v>
      </c>
      <c r="F35" t="s">
        <v>30</v>
      </c>
      <c r="G35" s="3">
        <v>354.29</v>
      </c>
      <c r="H35" s="3">
        <v>10900</v>
      </c>
      <c r="I35" s="5">
        <v>3861761</v>
      </c>
      <c r="J35" s="4" t="s">
        <v>190</v>
      </c>
      <c r="K35" s="3">
        <v>532.25</v>
      </c>
      <c r="L35" s="3">
        <v>10900</v>
      </c>
      <c r="M35" s="5">
        <v>5801525</v>
      </c>
      <c r="N35" s="4" t="s">
        <v>191</v>
      </c>
      <c r="O35" s="3">
        <v>349.8</v>
      </c>
      <c r="P35" s="3">
        <v>10900</v>
      </c>
      <c r="Q35" s="5">
        <v>3812820</v>
      </c>
      <c r="R35" s="4" t="s">
        <v>192</v>
      </c>
      <c r="S35" s="3"/>
      <c r="T35" s="3"/>
      <c r="U35" s="5"/>
      <c r="W35" s="3">
        <v>307.55</v>
      </c>
      <c r="X35" s="3">
        <v>10900</v>
      </c>
      <c r="Y35" s="5">
        <v>3352295</v>
      </c>
      <c r="Z35" t="s">
        <v>193</v>
      </c>
      <c r="AA35" s="3"/>
      <c r="AB35" s="3"/>
      <c r="AC35" s="5"/>
      <c r="AE35" s="3"/>
      <c r="AF35" s="3"/>
      <c r="AG35" s="5"/>
    </row>
    <row r="36" spans="1:34" ht="30" x14ac:dyDescent="0.25">
      <c r="A36" t="s">
        <v>194</v>
      </c>
      <c r="B36" t="s">
        <v>27</v>
      </c>
      <c r="C36" t="s">
        <v>195</v>
      </c>
      <c r="D36" s="4" t="s">
        <v>196</v>
      </c>
      <c r="E36">
        <v>1040</v>
      </c>
      <c r="F36" t="s">
        <v>30</v>
      </c>
      <c r="G36" s="3">
        <v>212.35</v>
      </c>
      <c r="H36" s="3">
        <v>1040</v>
      </c>
      <c r="I36" s="5">
        <v>220844</v>
      </c>
      <c r="J36" s="4" t="s">
        <v>197</v>
      </c>
      <c r="K36" s="3">
        <v>312.45</v>
      </c>
      <c r="L36" s="3">
        <v>1040</v>
      </c>
      <c r="M36" s="5">
        <v>324948</v>
      </c>
      <c r="N36" s="4" t="s">
        <v>198</v>
      </c>
      <c r="O36" s="3">
        <v>217.35</v>
      </c>
      <c r="P36" s="3">
        <v>1040</v>
      </c>
      <c r="Q36" s="5">
        <v>226044</v>
      </c>
      <c r="R36" t="s">
        <v>199</v>
      </c>
      <c r="S36" s="3">
        <v>266</v>
      </c>
      <c r="T36" s="3">
        <v>1040</v>
      </c>
      <c r="U36" s="5">
        <v>276640</v>
      </c>
      <c r="V36" t="s">
        <v>200</v>
      </c>
      <c r="W36" s="3">
        <v>200.55</v>
      </c>
      <c r="X36" s="3">
        <v>1040</v>
      </c>
      <c r="Y36" s="5">
        <v>208572</v>
      </c>
      <c r="Z36" t="s">
        <v>193</v>
      </c>
      <c r="AA36" s="3"/>
      <c r="AB36" s="3"/>
      <c r="AC36" s="5"/>
      <c r="AE36" s="3"/>
      <c r="AF36" s="3"/>
      <c r="AG36" s="5"/>
    </row>
    <row r="37" spans="1:34" ht="30" x14ac:dyDescent="0.25">
      <c r="A37" t="s">
        <v>201</v>
      </c>
      <c r="B37" t="s">
        <v>27</v>
      </c>
      <c r="C37" t="s">
        <v>202</v>
      </c>
      <c r="D37" s="4" t="s">
        <v>203</v>
      </c>
      <c r="E37">
        <v>2060</v>
      </c>
      <c r="F37" t="s">
        <v>30</v>
      </c>
      <c r="G37" s="3">
        <v>142.47999999999999</v>
      </c>
      <c r="H37" s="3">
        <v>2060</v>
      </c>
      <c r="I37" s="5">
        <v>293508.8</v>
      </c>
      <c r="J37" s="4" t="s">
        <v>204</v>
      </c>
      <c r="K37" s="3">
        <v>169.85</v>
      </c>
      <c r="L37" s="3">
        <v>2060</v>
      </c>
      <c r="M37" s="5">
        <v>349891</v>
      </c>
      <c r="N37" s="4" t="s">
        <v>205</v>
      </c>
      <c r="O37" s="3"/>
      <c r="P37" s="3"/>
      <c r="Q37" s="5"/>
      <c r="S37" s="3"/>
      <c r="T37" s="3"/>
      <c r="U37" s="5"/>
      <c r="W37" s="3">
        <v>126</v>
      </c>
      <c r="X37" s="3">
        <v>2060</v>
      </c>
      <c r="Y37" s="5">
        <v>259560</v>
      </c>
      <c r="Z37" t="s">
        <v>193</v>
      </c>
      <c r="AA37" s="3"/>
      <c r="AB37" s="3"/>
      <c r="AC37" s="5"/>
      <c r="AE37" s="3"/>
      <c r="AF37" s="3"/>
      <c r="AG37" s="5"/>
    </row>
    <row r="38" spans="1:34" ht="60" x14ac:dyDescent="0.25">
      <c r="A38" t="s">
        <v>206</v>
      </c>
      <c r="B38" t="s">
        <v>27</v>
      </c>
      <c r="C38" t="s">
        <v>207</v>
      </c>
      <c r="D38" s="4" t="s">
        <v>208</v>
      </c>
      <c r="E38">
        <v>135900</v>
      </c>
      <c r="F38" t="s">
        <v>30</v>
      </c>
      <c r="G38" s="3">
        <v>29.45</v>
      </c>
      <c r="H38" s="3">
        <v>135900</v>
      </c>
      <c r="I38" s="5">
        <v>4002255</v>
      </c>
      <c r="J38" s="4" t="s">
        <v>209</v>
      </c>
      <c r="K38" s="3">
        <v>35.85</v>
      </c>
      <c r="L38" s="3">
        <v>135900</v>
      </c>
      <c r="M38" s="5">
        <v>4872015</v>
      </c>
      <c r="N38" t="s">
        <v>210</v>
      </c>
      <c r="O38" s="3">
        <v>34.5</v>
      </c>
      <c r="P38" s="3">
        <v>135900</v>
      </c>
      <c r="Q38" s="5">
        <v>4688550</v>
      </c>
      <c r="R38" t="s">
        <v>211</v>
      </c>
      <c r="S38" s="3">
        <v>36</v>
      </c>
      <c r="T38" s="3">
        <v>135900</v>
      </c>
      <c r="U38" s="5">
        <v>4892400</v>
      </c>
      <c r="V38" t="s">
        <v>212</v>
      </c>
      <c r="W38" s="3">
        <v>33.049999999999997</v>
      </c>
      <c r="X38" s="3">
        <v>135900</v>
      </c>
      <c r="Y38" s="5">
        <v>4491495</v>
      </c>
      <c r="Z38" t="s">
        <v>213</v>
      </c>
      <c r="AA38" s="3">
        <v>26.9</v>
      </c>
      <c r="AB38" s="3">
        <v>135900</v>
      </c>
      <c r="AC38" s="5">
        <v>3655710</v>
      </c>
      <c r="AD38" s="4" t="s">
        <v>214</v>
      </c>
      <c r="AE38" s="3"/>
      <c r="AF38" s="3"/>
      <c r="AG38" s="5"/>
    </row>
    <row r="39" spans="1:34" ht="30" x14ac:dyDescent="0.25">
      <c r="A39" t="s">
        <v>215</v>
      </c>
      <c r="B39" t="s">
        <v>27</v>
      </c>
      <c r="C39" t="s">
        <v>216</v>
      </c>
      <c r="D39" s="4" t="s">
        <v>217</v>
      </c>
      <c r="E39">
        <v>200</v>
      </c>
      <c r="F39" t="s">
        <v>30</v>
      </c>
      <c r="G39" s="3"/>
      <c r="H39" s="3"/>
      <c r="I39" s="5"/>
      <c r="K39" s="3">
        <v>145</v>
      </c>
      <c r="L39" s="3">
        <v>200</v>
      </c>
      <c r="M39" s="5">
        <v>29000</v>
      </c>
      <c r="N39" s="4" t="s">
        <v>218</v>
      </c>
      <c r="O39" s="3">
        <v>9.15</v>
      </c>
      <c r="P39" s="3">
        <v>200</v>
      </c>
      <c r="Q39" s="5">
        <v>1830</v>
      </c>
      <c r="R39" t="s">
        <v>219</v>
      </c>
      <c r="S39" s="3"/>
      <c r="T39" s="3"/>
      <c r="U39" s="5"/>
      <c r="W39" s="3"/>
      <c r="X39" s="3"/>
      <c r="Y39" s="5"/>
      <c r="AA39" s="3"/>
      <c r="AB39" s="3"/>
      <c r="AC39" s="5"/>
      <c r="AE39" s="3"/>
      <c r="AF39" s="3"/>
      <c r="AG39" s="5"/>
    </row>
    <row r="40" spans="1:34" ht="30" x14ac:dyDescent="0.25">
      <c r="A40" t="s">
        <v>220</v>
      </c>
      <c r="B40" t="s">
        <v>27</v>
      </c>
      <c r="C40" t="s">
        <v>221</v>
      </c>
      <c r="D40" s="4" t="s">
        <v>222</v>
      </c>
      <c r="E40">
        <v>7900</v>
      </c>
      <c r="F40" t="s">
        <v>30</v>
      </c>
      <c r="G40" s="3">
        <v>123.84</v>
      </c>
      <c r="H40" s="3">
        <v>7900</v>
      </c>
      <c r="I40" s="5">
        <v>978336</v>
      </c>
      <c r="J40" s="4" t="s">
        <v>223</v>
      </c>
      <c r="K40" s="3">
        <v>141.94999999999999</v>
      </c>
      <c r="L40" s="3">
        <v>7900</v>
      </c>
      <c r="M40" s="5">
        <v>1121405</v>
      </c>
      <c r="N40" t="s">
        <v>224</v>
      </c>
      <c r="O40" s="3">
        <v>128.80000000000001</v>
      </c>
      <c r="P40" s="3">
        <v>7900</v>
      </c>
      <c r="Q40" s="5">
        <v>1017520</v>
      </c>
      <c r="R40" t="s">
        <v>225</v>
      </c>
      <c r="S40" s="3">
        <v>135</v>
      </c>
      <c r="T40" s="3">
        <v>7900</v>
      </c>
      <c r="U40" s="5">
        <v>1066500</v>
      </c>
      <c r="V40" t="s">
        <v>226</v>
      </c>
      <c r="W40" s="3">
        <v>115</v>
      </c>
      <c r="X40" s="3">
        <v>7900</v>
      </c>
      <c r="Y40" s="5">
        <v>908500</v>
      </c>
      <c r="Z40" t="s">
        <v>227</v>
      </c>
      <c r="AA40" s="3"/>
      <c r="AB40" s="3"/>
      <c r="AC40" s="5"/>
      <c r="AE40" s="3"/>
      <c r="AF40" s="3"/>
      <c r="AG40" s="5"/>
    </row>
    <row r="41" spans="1:34" ht="30" x14ac:dyDescent="0.25">
      <c r="A41" t="s">
        <v>228</v>
      </c>
      <c r="B41" t="s">
        <v>27</v>
      </c>
      <c r="C41" t="s">
        <v>229</v>
      </c>
      <c r="D41" s="4" t="s">
        <v>230</v>
      </c>
      <c r="E41">
        <v>12700</v>
      </c>
      <c r="F41" t="s">
        <v>30</v>
      </c>
      <c r="G41" s="3">
        <v>119.23</v>
      </c>
      <c r="H41" s="3">
        <v>12700</v>
      </c>
      <c r="I41" s="5">
        <v>1514221</v>
      </c>
      <c r="J41" s="4" t="s">
        <v>231</v>
      </c>
      <c r="K41" s="3">
        <v>312.25</v>
      </c>
      <c r="L41" s="3">
        <v>12700</v>
      </c>
      <c r="M41" s="5">
        <v>3965575</v>
      </c>
      <c r="N41" s="4" t="s">
        <v>232</v>
      </c>
      <c r="O41" s="3"/>
      <c r="P41" s="3"/>
      <c r="Q41" s="5"/>
      <c r="S41" s="3"/>
      <c r="T41" s="3"/>
      <c r="U41" s="5"/>
      <c r="W41" s="3"/>
      <c r="X41" s="3"/>
      <c r="Y41" s="5"/>
      <c r="AA41" s="3"/>
      <c r="AB41" s="3"/>
      <c r="AC41" s="5"/>
      <c r="AE41" s="3"/>
      <c r="AF41" s="3"/>
      <c r="AG41" s="5"/>
    </row>
    <row r="42" spans="1:34" ht="30" x14ac:dyDescent="0.25">
      <c r="A42" t="s">
        <v>233</v>
      </c>
      <c r="B42" t="s">
        <v>27</v>
      </c>
      <c r="C42" t="s">
        <v>234</v>
      </c>
      <c r="D42" s="4" t="s">
        <v>235</v>
      </c>
      <c r="E42">
        <v>2030</v>
      </c>
      <c r="F42" t="s">
        <v>30</v>
      </c>
      <c r="G42" s="3">
        <v>15.08</v>
      </c>
      <c r="H42" s="3">
        <v>2030</v>
      </c>
      <c r="I42" s="5">
        <v>30612.400000000001</v>
      </c>
      <c r="J42" s="4" t="s">
        <v>236</v>
      </c>
      <c r="K42" s="3">
        <v>15.6</v>
      </c>
      <c r="L42" s="3">
        <v>2030</v>
      </c>
      <c r="M42" s="5">
        <v>31668</v>
      </c>
      <c r="N42" t="s">
        <v>237</v>
      </c>
      <c r="O42" s="3">
        <v>13.44</v>
      </c>
      <c r="P42" s="3">
        <v>2030</v>
      </c>
      <c r="Q42" s="5">
        <v>27283.200000000001</v>
      </c>
      <c r="R42" t="s">
        <v>238</v>
      </c>
      <c r="S42" s="3"/>
      <c r="T42" s="3"/>
      <c r="U42" s="5"/>
      <c r="W42" s="3">
        <v>16.64</v>
      </c>
      <c r="X42" s="3">
        <v>2030</v>
      </c>
      <c r="Y42" s="5">
        <v>33779.199999999997</v>
      </c>
      <c r="Z42" t="s">
        <v>239</v>
      </c>
      <c r="AA42" s="3"/>
      <c r="AB42" s="3"/>
      <c r="AC42" s="5"/>
      <c r="AE42" s="3"/>
      <c r="AF42" s="3"/>
      <c r="AG42" s="5"/>
    </row>
    <row r="43" spans="1:34" ht="30" x14ac:dyDescent="0.25">
      <c r="A43" t="s">
        <v>240</v>
      </c>
      <c r="B43" t="s">
        <v>27</v>
      </c>
      <c r="C43" t="s">
        <v>241</v>
      </c>
      <c r="D43" t="s">
        <v>242</v>
      </c>
      <c r="E43">
        <v>7000</v>
      </c>
      <c r="F43" t="s">
        <v>30</v>
      </c>
      <c r="G43" s="3">
        <v>298.55</v>
      </c>
      <c r="H43" s="3">
        <v>7000</v>
      </c>
      <c r="I43" s="5">
        <v>2089850</v>
      </c>
      <c r="J43" s="4" t="s">
        <v>243</v>
      </c>
      <c r="K43" s="3">
        <v>450</v>
      </c>
      <c r="L43" s="3">
        <v>7000</v>
      </c>
      <c r="M43" s="5">
        <v>3150000</v>
      </c>
      <c r="N43" s="4" t="s">
        <v>244</v>
      </c>
      <c r="O43" s="3"/>
      <c r="P43" s="3"/>
      <c r="Q43" s="5"/>
      <c r="S43" s="3">
        <v>307</v>
      </c>
      <c r="T43" s="3">
        <v>7000</v>
      </c>
      <c r="U43" s="5">
        <v>2149000</v>
      </c>
      <c r="V43" t="s">
        <v>245</v>
      </c>
      <c r="W43" s="3">
        <v>280.77</v>
      </c>
      <c r="X43" s="3">
        <v>7000</v>
      </c>
      <c r="Y43" s="5">
        <v>1965390</v>
      </c>
      <c r="Z43" t="s">
        <v>239</v>
      </c>
      <c r="AA43" s="3"/>
      <c r="AB43" s="3"/>
      <c r="AC43" s="5"/>
      <c r="AE43" s="3"/>
      <c r="AF43" s="3"/>
      <c r="AG43" s="5"/>
    </row>
    <row r="44" spans="1:34" ht="30" x14ac:dyDescent="0.25">
      <c r="A44" t="s">
        <v>246</v>
      </c>
      <c r="B44" t="s">
        <v>27</v>
      </c>
      <c r="C44" t="s">
        <v>247</v>
      </c>
      <c r="D44" s="4" t="s">
        <v>248</v>
      </c>
      <c r="E44">
        <v>2030</v>
      </c>
      <c r="F44" t="s">
        <v>30</v>
      </c>
      <c r="G44" s="3"/>
      <c r="H44" s="3"/>
      <c r="I44" s="5"/>
      <c r="K44" s="3">
        <v>15.6</v>
      </c>
      <c r="L44" s="3">
        <v>2030</v>
      </c>
      <c r="M44" s="5">
        <v>31668</v>
      </c>
      <c r="N44" s="4" t="s">
        <v>249</v>
      </c>
      <c r="O44" s="3"/>
      <c r="P44" s="3"/>
      <c r="Q44" s="5"/>
      <c r="S44" s="3">
        <v>50.12</v>
      </c>
      <c r="T44" s="3">
        <v>2030</v>
      </c>
      <c r="U44" s="5">
        <v>101743.6</v>
      </c>
      <c r="V44" t="s">
        <v>250</v>
      </c>
      <c r="W44" s="3">
        <v>11.86</v>
      </c>
      <c r="X44" s="3">
        <v>2030</v>
      </c>
      <c r="Y44" s="5">
        <v>24075.8</v>
      </c>
      <c r="Z44" t="s">
        <v>239</v>
      </c>
      <c r="AA44" s="3"/>
      <c r="AB44" s="3"/>
      <c r="AC44" s="5"/>
      <c r="AE44" s="3"/>
      <c r="AF44" s="3"/>
      <c r="AG44" s="5"/>
    </row>
    <row r="45" spans="1:34" ht="30" x14ac:dyDescent="0.25">
      <c r="A45" t="s">
        <v>251</v>
      </c>
      <c r="B45" t="s">
        <v>27</v>
      </c>
      <c r="C45" t="s">
        <v>252</v>
      </c>
      <c r="D45" s="4" t="s">
        <v>253</v>
      </c>
      <c r="E45">
        <v>3430</v>
      </c>
      <c r="F45" t="s">
        <v>30</v>
      </c>
      <c r="G45" s="3">
        <v>53.19</v>
      </c>
      <c r="H45" s="3">
        <v>3430</v>
      </c>
      <c r="I45" s="5">
        <v>182441.7</v>
      </c>
      <c r="J45" s="4" t="s">
        <v>254</v>
      </c>
      <c r="K45" s="3">
        <v>64.5</v>
      </c>
      <c r="L45" s="3">
        <v>3430</v>
      </c>
      <c r="M45" s="5">
        <v>221235</v>
      </c>
      <c r="N45" t="s">
        <v>255</v>
      </c>
      <c r="O45" s="3">
        <v>66.239999999999995</v>
      </c>
      <c r="P45" s="3">
        <v>3430</v>
      </c>
      <c r="Q45" s="5">
        <v>227203.20000000001</v>
      </c>
      <c r="R45" t="s">
        <v>256</v>
      </c>
      <c r="S45" s="3">
        <v>59.85</v>
      </c>
      <c r="T45" s="3">
        <v>3430</v>
      </c>
      <c r="U45" s="5">
        <v>205285.5</v>
      </c>
      <c r="V45" t="s">
        <v>245</v>
      </c>
      <c r="W45" s="3">
        <v>60.77</v>
      </c>
      <c r="X45" s="3">
        <v>3420</v>
      </c>
      <c r="Y45" s="5">
        <v>207833.4</v>
      </c>
      <c r="Z45" t="s">
        <v>239</v>
      </c>
      <c r="AA45" s="3"/>
      <c r="AB45" s="3"/>
      <c r="AC45" s="5"/>
      <c r="AE45" s="3"/>
      <c r="AF45" s="3"/>
      <c r="AG45" s="5"/>
    </row>
    <row r="46" spans="1:34" ht="45" x14ac:dyDescent="0.25">
      <c r="A46" t="s">
        <v>257</v>
      </c>
      <c r="B46" t="s">
        <v>27</v>
      </c>
      <c r="C46" t="s">
        <v>258</v>
      </c>
      <c r="D46" s="4" t="s">
        <v>259</v>
      </c>
      <c r="E46">
        <v>230</v>
      </c>
      <c r="F46" t="s">
        <v>30</v>
      </c>
      <c r="G46" s="3">
        <v>543.21</v>
      </c>
      <c r="H46" s="3">
        <v>230</v>
      </c>
      <c r="I46" s="5">
        <v>124938.3</v>
      </c>
      <c r="J46" s="4" t="s">
        <v>260</v>
      </c>
      <c r="K46" s="3">
        <v>762.5</v>
      </c>
      <c r="L46" s="3">
        <v>230</v>
      </c>
      <c r="M46" s="5">
        <v>175375</v>
      </c>
      <c r="N46" s="4" t="s">
        <v>261</v>
      </c>
      <c r="O46" s="3">
        <v>529</v>
      </c>
      <c r="P46" s="3">
        <v>230</v>
      </c>
      <c r="Q46" s="5">
        <v>121670</v>
      </c>
      <c r="R46" t="s">
        <v>262</v>
      </c>
      <c r="S46" s="3"/>
      <c r="T46" s="3"/>
      <c r="U46" s="5"/>
      <c r="W46" s="3">
        <v>598</v>
      </c>
      <c r="X46" s="3">
        <v>230</v>
      </c>
      <c r="Y46" s="5">
        <v>137540</v>
      </c>
      <c r="Z46" t="s">
        <v>263</v>
      </c>
      <c r="AA46" s="3"/>
      <c r="AB46" s="3"/>
      <c r="AC46" s="5"/>
      <c r="AE46" s="3"/>
      <c r="AF46" s="3"/>
      <c r="AG46" s="5"/>
    </row>
    <row r="47" spans="1:34" ht="30" x14ac:dyDescent="0.25">
      <c r="A47" t="s">
        <v>264</v>
      </c>
      <c r="B47" t="s">
        <v>27</v>
      </c>
      <c r="C47" t="s">
        <v>265</v>
      </c>
      <c r="D47" s="4" t="s">
        <v>266</v>
      </c>
      <c r="E47">
        <v>40</v>
      </c>
      <c r="F47" t="s">
        <v>30</v>
      </c>
      <c r="G47" s="3"/>
      <c r="H47" s="3"/>
      <c r="I47" s="5"/>
      <c r="K47" s="3">
        <v>1250</v>
      </c>
      <c r="L47" s="3">
        <v>40</v>
      </c>
      <c r="M47" s="5">
        <v>50000</v>
      </c>
      <c r="N47" s="4" t="s">
        <v>267</v>
      </c>
      <c r="O47" s="3">
        <v>981.6</v>
      </c>
      <c r="P47" s="3">
        <v>40</v>
      </c>
      <c r="Q47" s="5">
        <v>39264</v>
      </c>
      <c r="R47" t="s">
        <v>268</v>
      </c>
      <c r="S47" s="3">
        <v>875</v>
      </c>
      <c r="T47" s="3">
        <v>40</v>
      </c>
      <c r="U47" s="5">
        <v>35000</v>
      </c>
      <c r="V47" t="s">
        <v>269</v>
      </c>
      <c r="W47" s="3"/>
      <c r="X47" s="3"/>
      <c r="Y47" s="5"/>
      <c r="AA47" s="3"/>
      <c r="AB47" s="3"/>
      <c r="AC47" s="5"/>
      <c r="AE47" s="3"/>
      <c r="AF47" s="3"/>
      <c r="AG47" s="5"/>
    </row>
    <row r="48" spans="1:34" ht="30" x14ac:dyDescent="0.25">
      <c r="A48" t="s">
        <v>270</v>
      </c>
      <c r="B48" t="s">
        <v>27</v>
      </c>
      <c r="C48" t="s">
        <v>271</v>
      </c>
      <c r="D48" s="4" t="s">
        <v>272</v>
      </c>
      <c r="E48">
        <v>2900</v>
      </c>
      <c r="F48" t="s">
        <v>30</v>
      </c>
      <c r="G48" s="3">
        <v>15.45</v>
      </c>
      <c r="H48" s="3">
        <v>2900</v>
      </c>
      <c r="I48" s="5">
        <v>44805</v>
      </c>
      <c r="J48" t="s">
        <v>273</v>
      </c>
      <c r="K48" s="3">
        <v>39.85</v>
      </c>
      <c r="L48" s="3">
        <v>2900</v>
      </c>
      <c r="M48" s="5">
        <v>115565</v>
      </c>
      <c r="N48" s="4" t="s">
        <v>274</v>
      </c>
      <c r="O48" s="3">
        <v>40.020000000000003</v>
      </c>
      <c r="P48" s="3">
        <v>2900</v>
      </c>
      <c r="Q48" s="5">
        <v>116058</v>
      </c>
      <c r="R48" t="s">
        <v>275</v>
      </c>
      <c r="S48" s="3"/>
      <c r="T48" s="3"/>
      <c r="U48" s="5"/>
      <c r="W48" s="3"/>
      <c r="X48" s="3"/>
      <c r="Y48" s="5"/>
      <c r="AA48" s="3"/>
      <c r="AB48" s="3"/>
      <c r="AC48" s="5"/>
      <c r="AE48" s="3"/>
      <c r="AF48" s="3"/>
      <c r="AG48" s="5"/>
    </row>
    <row r="49" spans="1:33" ht="30" x14ac:dyDescent="0.25">
      <c r="A49" t="s">
        <v>276</v>
      </c>
      <c r="B49" t="s">
        <v>27</v>
      </c>
      <c r="C49" t="s">
        <v>277</v>
      </c>
      <c r="D49" s="4" t="s">
        <v>278</v>
      </c>
      <c r="E49">
        <v>1130</v>
      </c>
      <c r="F49" t="s">
        <v>30</v>
      </c>
      <c r="G49" s="3"/>
      <c r="H49" s="3"/>
      <c r="I49" s="5"/>
      <c r="K49" s="3"/>
      <c r="L49" s="3"/>
      <c r="M49" s="5"/>
      <c r="O49" s="3">
        <v>60.42</v>
      </c>
      <c r="P49" s="3">
        <v>1130</v>
      </c>
      <c r="Q49" s="5">
        <v>68274.600000000006</v>
      </c>
      <c r="R49" t="s">
        <v>279</v>
      </c>
      <c r="S49" s="3"/>
      <c r="T49" s="3"/>
      <c r="U49" s="5"/>
      <c r="W49" s="3"/>
      <c r="X49" s="3"/>
      <c r="Y49" s="5"/>
      <c r="AA49" s="3"/>
      <c r="AB49" s="3"/>
      <c r="AC49" s="5"/>
      <c r="AE49" s="3"/>
      <c r="AF49" s="3"/>
      <c r="AG49" s="5"/>
    </row>
    <row r="50" spans="1:33" ht="30" x14ac:dyDescent="0.25">
      <c r="A50" t="s">
        <v>280</v>
      </c>
      <c r="B50" t="s">
        <v>27</v>
      </c>
      <c r="C50" t="s">
        <v>281</v>
      </c>
      <c r="D50" s="4" t="s">
        <v>282</v>
      </c>
      <c r="E50">
        <v>48</v>
      </c>
      <c r="F50" t="s">
        <v>30</v>
      </c>
      <c r="G50" s="3"/>
      <c r="H50" s="3"/>
      <c r="I50" s="5"/>
      <c r="K50" s="3">
        <v>365</v>
      </c>
      <c r="L50" s="3">
        <v>48</v>
      </c>
      <c r="M50" s="5">
        <v>17520</v>
      </c>
      <c r="N50" s="4" t="s">
        <v>283</v>
      </c>
      <c r="O50" s="3"/>
      <c r="P50" s="3"/>
      <c r="Q50" s="5"/>
      <c r="S50" s="3"/>
      <c r="T50" s="3"/>
      <c r="U50" s="5"/>
      <c r="W50" s="3">
        <v>254</v>
      </c>
      <c r="X50" s="3">
        <v>48</v>
      </c>
      <c r="Y50" s="5">
        <v>12192</v>
      </c>
      <c r="Z50" t="s">
        <v>284</v>
      </c>
      <c r="AA50" s="3"/>
      <c r="AB50" s="3"/>
      <c r="AC50" s="5"/>
      <c r="AE50" s="3"/>
      <c r="AF50" s="3"/>
      <c r="AG50" s="5"/>
    </row>
    <row r="51" spans="1:33" ht="30" x14ac:dyDescent="0.25">
      <c r="A51" t="s">
        <v>285</v>
      </c>
      <c r="B51" t="s">
        <v>27</v>
      </c>
      <c r="C51" t="s">
        <v>286</v>
      </c>
      <c r="D51" s="4" t="s">
        <v>287</v>
      </c>
      <c r="E51">
        <v>60</v>
      </c>
      <c r="F51" t="s">
        <v>30</v>
      </c>
      <c r="G51" s="3"/>
      <c r="H51" s="3"/>
      <c r="I51" s="5"/>
      <c r="K51" s="3"/>
      <c r="L51" s="3"/>
      <c r="M51" s="5"/>
      <c r="O51" s="3"/>
      <c r="P51" s="3"/>
      <c r="Q51" s="5"/>
      <c r="S51" s="3"/>
      <c r="T51" s="3"/>
      <c r="U51" s="5"/>
      <c r="W51" s="3"/>
      <c r="X51" s="3"/>
      <c r="Y51" s="5"/>
      <c r="AA51" s="3"/>
      <c r="AB51" s="3"/>
      <c r="AC51" s="5"/>
      <c r="AE51" s="3"/>
      <c r="AF51" s="3"/>
      <c r="AG51" s="5"/>
    </row>
    <row r="52" spans="1:33" ht="30" x14ac:dyDescent="0.25">
      <c r="A52" t="s">
        <v>288</v>
      </c>
      <c r="B52" t="s">
        <v>27</v>
      </c>
      <c r="C52" t="s">
        <v>289</v>
      </c>
      <c r="D52" s="4" t="s">
        <v>290</v>
      </c>
      <c r="E52">
        <v>70</v>
      </c>
      <c r="F52" t="s">
        <v>30</v>
      </c>
      <c r="G52" s="3">
        <v>2400</v>
      </c>
      <c r="H52" s="3">
        <v>70</v>
      </c>
      <c r="I52" s="5">
        <v>168000</v>
      </c>
      <c r="J52" s="4" t="s">
        <v>291</v>
      </c>
      <c r="K52" s="3">
        <v>4560</v>
      </c>
      <c r="L52" s="3">
        <v>70</v>
      </c>
      <c r="M52" s="5">
        <v>319200</v>
      </c>
      <c r="N52" s="4" t="s">
        <v>292</v>
      </c>
      <c r="O52" s="3"/>
      <c r="P52" s="3"/>
      <c r="Q52" s="5"/>
      <c r="S52" s="3">
        <v>636.98</v>
      </c>
      <c r="T52" s="3">
        <v>70</v>
      </c>
      <c r="U52" s="5">
        <v>44588.6</v>
      </c>
      <c r="V52" t="s">
        <v>293</v>
      </c>
      <c r="W52" s="3">
        <v>1335</v>
      </c>
      <c r="X52" s="3">
        <v>70</v>
      </c>
      <c r="Y52" s="5">
        <v>93450</v>
      </c>
      <c r="Z52" t="s">
        <v>294</v>
      </c>
      <c r="AA52" s="3"/>
      <c r="AB52" s="3"/>
      <c r="AC52" s="5"/>
      <c r="AE52" s="3"/>
      <c r="AF52" s="3"/>
      <c r="AG52" s="5"/>
    </row>
    <row r="53" spans="1:33" ht="30" x14ac:dyDescent="0.25">
      <c r="A53" t="s">
        <v>295</v>
      </c>
      <c r="B53" t="s">
        <v>27</v>
      </c>
      <c r="C53" t="s">
        <v>296</v>
      </c>
      <c r="D53" s="4" t="s">
        <v>297</v>
      </c>
      <c r="E53">
        <v>100</v>
      </c>
      <c r="F53" t="s">
        <v>30</v>
      </c>
      <c r="G53" s="3">
        <v>271.82</v>
      </c>
      <c r="H53" s="3">
        <v>100</v>
      </c>
      <c r="I53" s="5">
        <v>27182</v>
      </c>
      <c r="J53" s="4" t="s">
        <v>298</v>
      </c>
      <c r="K53" s="3"/>
      <c r="L53" s="3"/>
      <c r="M53" s="5"/>
      <c r="O53" s="3"/>
      <c r="P53" s="3"/>
      <c r="Q53" s="5"/>
      <c r="S53" s="3">
        <v>179.79</v>
      </c>
      <c r="T53" s="3">
        <v>100</v>
      </c>
      <c r="U53" s="5">
        <v>17979</v>
      </c>
      <c r="V53" t="s">
        <v>299</v>
      </c>
      <c r="W53" s="3"/>
      <c r="X53" s="3"/>
      <c r="Y53" s="5"/>
      <c r="AA53" s="3"/>
      <c r="AB53" s="3"/>
      <c r="AC53" s="5"/>
      <c r="AE53" s="3"/>
      <c r="AF53" s="3"/>
      <c r="AG53" s="5"/>
    </row>
    <row r="54" spans="1:33" ht="30" x14ac:dyDescent="0.25">
      <c r="A54" t="s">
        <v>300</v>
      </c>
      <c r="B54" t="s">
        <v>27</v>
      </c>
      <c r="C54" t="s">
        <v>301</v>
      </c>
      <c r="D54" s="4" t="s">
        <v>302</v>
      </c>
      <c r="E54">
        <v>2000</v>
      </c>
      <c r="F54" t="s">
        <v>30</v>
      </c>
      <c r="G54" s="3">
        <v>649.53</v>
      </c>
      <c r="H54" s="3">
        <v>2000</v>
      </c>
      <c r="I54" s="5">
        <v>1299060</v>
      </c>
      <c r="J54" s="4" t="s">
        <v>303</v>
      </c>
      <c r="K54" s="3">
        <v>777.95</v>
      </c>
      <c r="L54" s="3">
        <v>2000</v>
      </c>
      <c r="M54" s="5">
        <v>1555900</v>
      </c>
      <c r="N54" s="4" t="s">
        <v>304</v>
      </c>
      <c r="O54" s="3"/>
      <c r="P54" s="3"/>
      <c r="Q54" s="5"/>
      <c r="S54" s="3"/>
      <c r="T54" s="3"/>
      <c r="U54" s="5"/>
      <c r="W54" s="3">
        <v>589</v>
      </c>
      <c r="X54" s="3">
        <v>2000</v>
      </c>
      <c r="Y54" s="5">
        <v>1178000</v>
      </c>
      <c r="Z54" t="s">
        <v>305</v>
      </c>
      <c r="AA54" s="3"/>
      <c r="AB54" s="3"/>
      <c r="AC54" s="5"/>
      <c r="AE54" s="3"/>
      <c r="AF54" s="3"/>
      <c r="AG54" s="5"/>
    </row>
    <row r="55" spans="1:33" ht="30" x14ac:dyDescent="0.25">
      <c r="A55" t="s">
        <v>306</v>
      </c>
      <c r="B55" t="s">
        <v>27</v>
      </c>
      <c r="C55" t="s">
        <v>307</v>
      </c>
      <c r="D55" s="4" t="s">
        <v>308</v>
      </c>
      <c r="E55">
        <v>95</v>
      </c>
      <c r="F55" t="s">
        <v>30</v>
      </c>
      <c r="G55" s="3"/>
      <c r="H55" s="3"/>
      <c r="I55" s="5"/>
      <c r="K55" s="3"/>
      <c r="L55" s="3"/>
      <c r="M55" s="5"/>
      <c r="O55" s="3">
        <v>2226.4</v>
      </c>
      <c r="P55" s="3">
        <v>95</v>
      </c>
      <c r="Q55" s="5">
        <v>211508</v>
      </c>
      <c r="R55" t="s">
        <v>309</v>
      </c>
      <c r="S55" s="3"/>
      <c r="T55" s="3"/>
      <c r="U55" s="5"/>
      <c r="W55" s="3"/>
      <c r="X55" s="3"/>
      <c r="Y55" s="5"/>
      <c r="AA55" s="3"/>
      <c r="AB55" s="3"/>
      <c r="AC55" s="5"/>
      <c r="AE55" s="3"/>
      <c r="AF55" s="3"/>
      <c r="AG55" s="5"/>
    </row>
    <row r="56" spans="1:33" ht="30" x14ac:dyDescent="0.25">
      <c r="A56" t="s">
        <v>310</v>
      </c>
      <c r="B56" t="s">
        <v>27</v>
      </c>
      <c r="C56" t="s">
        <v>311</v>
      </c>
      <c r="D56" s="4" t="s">
        <v>312</v>
      </c>
      <c r="E56">
        <v>650</v>
      </c>
      <c r="F56" t="s">
        <v>30</v>
      </c>
      <c r="G56" s="3">
        <v>28.86</v>
      </c>
      <c r="H56" s="3">
        <v>650</v>
      </c>
      <c r="I56" s="5">
        <v>18759</v>
      </c>
      <c r="J56" s="4" t="s">
        <v>313</v>
      </c>
      <c r="K56" s="3">
        <v>32.5</v>
      </c>
      <c r="L56" s="3">
        <v>650</v>
      </c>
      <c r="M56" s="5">
        <v>21125</v>
      </c>
      <c r="N56" t="s">
        <v>314</v>
      </c>
      <c r="O56" s="3">
        <v>26.88</v>
      </c>
      <c r="P56" s="3">
        <v>650</v>
      </c>
      <c r="Q56" s="5">
        <v>17472</v>
      </c>
      <c r="R56" t="s">
        <v>315</v>
      </c>
      <c r="S56" s="3">
        <v>29.64</v>
      </c>
      <c r="T56" s="3">
        <v>650</v>
      </c>
      <c r="U56" s="5">
        <v>19266</v>
      </c>
      <c r="V56" t="s">
        <v>316</v>
      </c>
      <c r="W56" s="3"/>
      <c r="X56" s="3"/>
      <c r="Y56" s="5"/>
      <c r="AA56" s="3"/>
      <c r="AB56" s="3"/>
      <c r="AC56" s="5"/>
      <c r="AE56" s="3"/>
      <c r="AF56" s="3"/>
      <c r="AG56" s="5"/>
    </row>
    <row r="57" spans="1:33" ht="30" x14ac:dyDescent="0.25">
      <c r="A57" t="s">
        <v>317</v>
      </c>
      <c r="B57" t="s">
        <v>27</v>
      </c>
      <c r="C57" t="s">
        <v>318</v>
      </c>
      <c r="D57" s="4" t="s">
        <v>319</v>
      </c>
      <c r="E57">
        <v>2400</v>
      </c>
      <c r="F57" t="s">
        <v>30</v>
      </c>
      <c r="G57" s="3">
        <v>44.74</v>
      </c>
      <c r="H57" s="3">
        <v>2400</v>
      </c>
      <c r="I57" s="5">
        <v>107376</v>
      </c>
      <c r="J57" s="4" t="s">
        <v>320</v>
      </c>
      <c r="K57" s="3"/>
      <c r="L57" s="3"/>
      <c r="M57" s="5"/>
      <c r="O57" s="3">
        <v>73.47</v>
      </c>
      <c r="P57" s="3">
        <v>2400</v>
      </c>
      <c r="Q57" s="5">
        <v>176328</v>
      </c>
      <c r="R57" t="s">
        <v>321</v>
      </c>
      <c r="S57" s="3">
        <v>64.5</v>
      </c>
      <c r="T57" s="3">
        <v>2400</v>
      </c>
      <c r="U57" s="5">
        <v>154800</v>
      </c>
      <c r="V57" t="s">
        <v>322</v>
      </c>
      <c r="W57" s="3"/>
      <c r="X57" s="3"/>
      <c r="Y57" s="5"/>
      <c r="AA57" s="3"/>
      <c r="AB57" s="3"/>
      <c r="AC57" s="5"/>
      <c r="AE57" s="3"/>
      <c r="AF57" s="3"/>
      <c r="AG57" s="5"/>
    </row>
    <row r="58" spans="1:33" ht="30" x14ac:dyDescent="0.25">
      <c r="A58" t="s">
        <v>323</v>
      </c>
      <c r="B58" t="s">
        <v>27</v>
      </c>
      <c r="C58" t="s">
        <v>324</v>
      </c>
      <c r="D58" s="4" t="s">
        <v>325</v>
      </c>
      <c r="E58">
        <v>10000</v>
      </c>
      <c r="F58" t="s">
        <v>30</v>
      </c>
      <c r="G58" s="3">
        <v>37.28</v>
      </c>
      <c r="H58" s="3">
        <v>10000</v>
      </c>
      <c r="I58" s="5">
        <v>372800</v>
      </c>
      <c r="J58" s="4" t="s">
        <v>326</v>
      </c>
      <c r="K58" s="3">
        <v>39.869999999999997</v>
      </c>
      <c r="L58" s="3">
        <v>10000</v>
      </c>
      <c r="M58" s="5">
        <v>398700</v>
      </c>
      <c r="N58" s="4" t="s">
        <v>327</v>
      </c>
      <c r="O58" s="3">
        <v>41.4</v>
      </c>
      <c r="P58" s="3">
        <v>10000</v>
      </c>
      <c r="Q58" s="5">
        <v>414000</v>
      </c>
      <c r="R58" t="s">
        <v>328</v>
      </c>
      <c r="S58" s="3">
        <v>54.25</v>
      </c>
      <c r="T58" s="3">
        <v>10000</v>
      </c>
      <c r="U58" s="5">
        <v>542500</v>
      </c>
      <c r="V58" t="s">
        <v>329</v>
      </c>
      <c r="W58" s="3">
        <v>39.99</v>
      </c>
      <c r="X58" s="3">
        <v>10000</v>
      </c>
      <c r="Y58" s="5">
        <v>399900</v>
      </c>
      <c r="Z58" t="s">
        <v>330</v>
      </c>
      <c r="AA58" s="3"/>
      <c r="AB58" s="3"/>
      <c r="AC58" s="5"/>
      <c r="AE58" s="3"/>
      <c r="AF58" s="3"/>
      <c r="AG58" s="5"/>
    </row>
    <row r="59" spans="1:33" ht="30" x14ac:dyDescent="0.25">
      <c r="A59" t="s">
        <v>331</v>
      </c>
      <c r="B59" t="s">
        <v>27</v>
      </c>
      <c r="C59" t="s">
        <v>332</v>
      </c>
      <c r="D59" s="4" t="s">
        <v>333</v>
      </c>
      <c r="E59">
        <v>90</v>
      </c>
      <c r="F59" t="s">
        <v>30</v>
      </c>
      <c r="G59" s="3">
        <v>18379.009999999998</v>
      </c>
      <c r="H59" s="3">
        <v>90</v>
      </c>
      <c r="I59" s="5">
        <v>1654110.9</v>
      </c>
      <c r="J59" s="4" t="s">
        <v>334</v>
      </c>
      <c r="K59" s="3"/>
      <c r="L59" s="3"/>
      <c r="M59" s="5"/>
      <c r="O59" s="3"/>
      <c r="P59" s="3"/>
      <c r="Q59" s="5"/>
      <c r="S59" s="3"/>
      <c r="T59" s="3"/>
      <c r="U59" s="5"/>
      <c r="W59" s="3"/>
      <c r="X59" s="3"/>
      <c r="Y59" s="5"/>
      <c r="AA59" s="3"/>
      <c r="AB59" s="3"/>
      <c r="AC59" s="5"/>
      <c r="AE59" s="3"/>
      <c r="AF59" s="3"/>
      <c r="AG59" s="5"/>
    </row>
    <row r="60" spans="1:33" x14ac:dyDescent="0.25">
      <c r="C60" t="s">
        <v>335</v>
      </c>
      <c r="D60" s="4"/>
      <c r="G60" s="3"/>
      <c r="H60" s="3"/>
      <c r="I60" s="5">
        <f>SUBTOTAL(109,Table2[Total por renglón])</f>
        <v>40175362.199999996</v>
      </c>
      <c r="J60" s="4"/>
      <c r="K60" s="3"/>
      <c r="L60" s="3"/>
      <c r="M60" s="5">
        <f>SUBTOTAL(109,Table3[Total por renglón])</f>
        <v>58997605.100000001</v>
      </c>
      <c r="O60" s="3"/>
      <c r="P60" s="3"/>
      <c r="Q60" s="5">
        <f>SUBTOTAL(109,Table4[Total por renglón])</f>
        <v>27647677.799999997</v>
      </c>
      <c r="S60" s="3"/>
      <c r="T60" s="3"/>
      <c r="U60" s="5">
        <f>SUBTOTAL(109,Table5[Total por renglón])</f>
        <v>38538702.439999998</v>
      </c>
      <c r="W60" s="3"/>
      <c r="X60" s="3"/>
      <c r="Y60" s="5">
        <f>SUBTOTAL(109,Table6[Total por renglón])</f>
        <v>26608596.599999998</v>
      </c>
      <c r="AA60" s="3"/>
      <c r="AB60" s="3"/>
      <c r="AC60" s="5">
        <f>SUBTOTAL(109,Table7[Total por renglón])</f>
        <v>21777787.5</v>
      </c>
      <c r="AE60" s="3"/>
      <c r="AF60" s="3"/>
      <c r="AG60" s="5">
        <f>SUBTOTAL(109,Table8[Total por renglón])</f>
        <v>556880</v>
      </c>
    </row>
  </sheetData>
  <mergeCells count="8">
    <mergeCell ref="AA8:AD8"/>
    <mergeCell ref="AE8:AH8"/>
    <mergeCell ref="A8:F8"/>
    <mergeCell ref="G8:J8"/>
    <mergeCell ref="K8:N8"/>
    <mergeCell ref="O8:R8"/>
    <mergeCell ref="S8:V8"/>
    <mergeCell ref="W8:Z8"/>
  </mergeCells>
  <pageMargins left="0.75" right="0.75" top="0.75" bottom="0.5" header="0.5" footer="0.75"/>
  <tableParts count="8">
    <tablePart r:id="rId1"/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CLAUDIA V. NICOLA</cp:lastModifiedBy>
  <dcterms:created xsi:type="dcterms:W3CDTF">2022-11-15T11:22:29Z</dcterms:created>
  <dcterms:modified xsi:type="dcterms:W3CDTF">2022-11-15T11:22:44Z</dcterms:modified>
</cp:coreProperties>
</file>