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458456-CAT-DPPR#MHP\"/>
    </mc:Choice>
  </mc:AlternateContent>
  <xr:revisionPtr revIDLastSave="0" documentId="8_{34B0E552-BEDB-4C43-B707-81729CBB39F5}" xr6:coauthVersionLast="46" xr6:coauthVersionMax="46" xr10:uidLastSave="{00000000-0000-0000-0000-000000000000}"/>
  <bookViews>
    <workbookView xWindow="-120" yWindow="-120" windowWidth="29040" windowHeight="15840" xr2:uid="{62ADDE72-8BE2-4DF8-A140-CAF7E1CA4F00}"/>
  </bookViews>
  <sheets>
    <sheet name="Policia Catamarca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7" i="2" l="1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28" i="2" s="1"/>
  <c r="I10" i="2"/>
</calcChain>
</file>

<file path=xl/sharedStrings.xml><?xml version="1.0" encoding="utf-8"?>
<sst xmlns="http://schemas.openxmlformats.org/spreadsheetml/2006/main" count="169" uniqueCount="100">
  <si>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</si>
  <si>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</si>
  <si>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</si>
  <si>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</si>
  <si>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</si>
  <si>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</si>
  <si>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</si>
  <si>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</si>
  <si>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</si>
  <si>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</si>
  <si>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>UNIDAD</t>
  </si>
  <si>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</si>
  <si>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</si>
  <si>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</si>
  <si>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</si>
  <si>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</si>
  <si>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 xml:space="preserve">IMPORTE TOTAL ESTIMADO </t>
  </si>
  <si>
    <t>2.4.4-6818.835</t>
  </si>
  <si>
    <t>REPUESTOS</t>
  </si>
  <si>
    <t>2.4.4.</t>
  </si>
  <si>
    <t>NEUMATICOS; VEHICULO: AUTOMOVIL, CONSTRUCCION: RADIAL, ARMADO: S/CAMARA, MEDIDA: 235/70R16</t>
  </si>
  <si>
    <t>2.4.4-6818.834</t>
  </si>
  <si>
    <t>NEUMATICOS; VEHICULO: AUTOMOVIL, CONSTRUCCION: RADIAL, ARMADO: S/CAMARA, MEDIDA: 245/70 R16</t>
  </si>
  <si>
    <t>2.4.4-6818.244</t>
  </si>
  <si>
    <t>NEUMATICOS; VEHICULO: AUTOMOVIL, CONSTRUCCION: RADIAL, ARMADO: S/CAMARA, MEDIDA: 205/55R16</t>
  </si>
  <si>
    <t>2.4.4-6818.376</t>
  </si>
  <si>
    <t>NEUMATICOS; VEHICULO: AUTOMOVIL, CONSTRUCCION: RADIAL, ARMADO: S/CAMARA, MEDIDA: 185/75 R14 pulg</t>
  </si>
  <si>
    <t>2.4.4-6818.97</t>
  </si>
  <si>
    <t>NEUMATICOS; VEHICULO: AUTOMOVIL, ARMADO: S/CAMARA, MEDIDA: 175/70R14, CONSTRUCCION: RADIAL</t>
  </si>
  <si>
    <t>2.4.4-6818.77</t>
  </si>
  <si>
    <t>NEUMATICOS; VEHICULO: AUTOMOVIL, ARMADO: C/CAMARA, MEDIDA: 175/70R13, CONSTRUCCION: CONVENCIONAL</t>
  </si>
  <si>
    <t>2.4.4-6818.89</t>
  </si>
  <si>
    <t>NEUMATICOS; VEHICULO: AUTOMOVIL, CONSTRUCCION: CONVENCIONAL, ARMADO: C/CAMARA, MEDIDA: 185/60R14</t>
  </si>
  <si>
    <t>2.4.4-6818.1029</t>
  </si>
  <si>
    <t>NEUMATICOS; VEHICULO: UTILITARIO, CONSTRUCCION: RADIAL, ARMADO: S/CAMARA, MEDIDA: SEGUN PLIEGO</t>
  </si>
  <si>
    <t>2.4.4-6818.1031</t>
  </si>
  <si>
    <t>NEUMATICOS; VEHICULO: MINIBUS, CONSTRUCCION: RADIAL, ARMADO: S/CAMARA, MEDIDA: SEGUN PLIEGO</t>
  </si>
  <si>
    <t>2.4.4-6818.810</t>
  </si>
  <si>
    <t>NEUMATICOS; VEHICULO: MINIBUS, CONSTRUCCION: RADIAL, ARMADO: S/CAMARA, MEDIDA: 225/75R16</t>
  </si>
  <si>
    <t>2.4.4-6818.989</t>
  </si>
  <si>
    <t>NEUMATICOS; VEHICULO: CAMIONETA, CONSTRUCCION: RADIAL, ARMADO: S/CAMARA, MEDIDA: 225/70 R17</t>
  </si>
  <si>
    <t>2.4.4-6818.1032</t>
  </si>
  <si>
    <t>2.4.4</t>
  </si>
  <si>
    <t>NEUMATICOS; VEHICULO: CAMION, CONSTRUCCION: RADIAL, ARMADO: S/CAMARA, MEDIDA: SEGUN PLIEGO</t>
  </si>
  <si>
    <t>2.4.4-6818.394</t>
  </si>
  <si>
    <t>NEUMATICOS; VEHICULO: MOTO, CONSTRUCCION: RADIAL, ARMADO: S/CAMARA, MEDIDA: 110/70-17</t>
  </si>
  <si>
    <t>2.4.4-6818.631</t>
  </si>
  <si>
    <t>NEUMATICOS; VEHICULO: MOTO, CONSTRUCCION: RADIAL, ARMADO: C/CAMARA, MEDIDA: 90/90-21</t>
  </si>
  <si>
    <t>2.4.4-6818.1028</t>
  </si>
  <si>
    <t>NEUMATICOS; VEHICULO: MOTO, CONSTRUCCION: RADIAL, ARMADO: S/CAMARA, MEDIDA: 110/90-17</t>
  </si>
  <si>
    <t>2.4.4-6818.341</t>
  </si>
  <si>
    <t>NEUMATICOS; VEHICULO: MOTO, CONSTRUCCION: RADIAL, ARMADO: S/CAMARA, MEDIDA: SIN VALOR</t>
  </si>
  <si>
    <t>2.4.4-6818.395</t>
  </si>
  <si>
    <t>NEUMATICOS; VEHICULO: MOTO, CONSTRUCCION: RADIAL, ARMADO: S/CAMARA, MEDIDA: 130/80-17</t>
  </si>
  <si>
    <t>Especificidades</t>
  </si>
  <si>
    <t xml:space="preserve"> Item N° : 01</t>
  </si>
  <si>
    <t>Descripción técnica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</si>
  <si>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TOYOTA/VOLKSWAGEN.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HILUX/AMAROK  </t>
    </r>
    <r>
      <rPr>
        <sz val="10"/>
        <rFont val="Century Gothic"/>
        <family val="2"/>
      </rP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 MED. 235/70/16</t>
    </r>
  </si>
  <si>
    <t xml:space="preserve"> Item N° : 02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</si>
  <si>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</t>
    </r>
    <r>
      <rPr>
        <sz val="10"/>
        <rFont val="Century Gothic"/>
        <family val="2"/>
      </rPr>
      <t xml:space="preserve">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 NEUMATICOS MED. 245/70/16</t>
    </r>
  </si>
  <si>
    <t xml:space="preserve"> Item N° : 03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</si>
  <si>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COROLA </t>
    </r>
    <r>
      <rPr>
        <sz val="10"/>
        <rFont val="Century Gothic"/>
        <family val="2"/>
      </rP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NEUMATICOS  MED. 205/55/16  </t>
    </r>
  </si>
  <si>
    <t xml:space="preserve"> Item N° : 04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</si>
  <si>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 MED. 185/75/14</t>
    </r>
  </si>
  <si>
    <t xml:space="preserve"> Item N° : 05</t>
  </si>
  <si>
    <r>
      <t xml:space="preserve">MARCA </t>
    </r>
    <r>
      <rPr>
        <sz val="10"/>
        <rFont val="Century Gothic"/>
        <family val="2"/>
      </rPr>
      <t>FIAT</t>
    </r>
    <r>
      <rPr>
        <u/>
        <sz val="10"/>
        <rFont val="Century Gothic"/>
        <family val="2"/>
      </rPr>
      <t xml:space="preserve"> MODELO:</t>
    </r>
    <r>
      <rPr>
        <sz val="10"/>
        <rFont val="Century Gothic"/>
        <family val="2"/>
      </rPr>
      <t xml:space="preserve"> FIORINO</t>
    </r>
    <r>
      <rPr>
        <u/>
        <sz val="10"/>
        <rFont val="Century Gothic"/>
        <family val="2"/>
      </rPr>
      <t xml:space="preserve"> </t>
    </r>
    <r>
      <rPr>
        <sz val="10"/>
        <rFont val="Century Gothic"/>
        <family val="2"/>
      </rPr>
      <t xml:space="preserve"> </t>
    </r>
    <r>
      <rPr>
        <u/>
        <sz val="10"/>
        <rFont val="Century Gothic"/>
        <family val="2"/>
      </rPr>
      <t xml:space="preserve"> ELEMENTO: </t>
    </r>
    <r>
      <rPr>
        <sz val="10"/>
        <rFont val="Century Gothic"/>
        <family val="2"/>
      </rPr>
      <t xml:space="preserve"> NEUMATICO MED. 175/70/14</t>
    </r>
  </si>
  <si>
    <t xml:space="preserve"> Item N° : 06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</si>
  <si>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CORSA </t>
    </r>
    <r>
      <rPr>
        <sz val="10"/>
        <rFont val="Century Gothic"/>
        <family val="2"/>
      </rP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 NEUMATICO MED. 175/70/13</t>
    </r>
  </si>
  <si>
    <t xml:space="preserve"> Item N° : 07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</si>
  <si>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CITROEN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BERLINGO </t>
    </r>
    <r>
      <rPr>
        <sz val="10"/>
        <rFont val="Century Gothic"/>
        <family val="2"/>
      </rP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NEUMATICO MED. 185/60/14</t>
    </r>
  </si>
  <si>
    <t xml:space="preserve"> Item N° : 08</t>
  </si>
  <si>
    <r>
      <t xml:space="preserve"> </t>
    </r>
    <r>
      <rPr>
        <u/>
        <sz val="10"/>
        <rFont val="Century Gothic"/>
        <family val="2"/>
      </rPr>
      <t xml:space="preserve">ELEMENTO: </t>
    </r>
    <r>
      <rPr>
        <sz val="10"/>
        <rFont val="Century Gothic"/>
        <family val="2"/>
      </rPr>
      <t xml:space="preserve">NEUMATICO PARA UTILITARIOS-COMBI-MINIBUS MED.225/65/16    </t>
    </r>
  </si>
  <si>
    <t xml:space="preserve"> Item N° : 09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</si>
  <si>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UTILITARIOS-COMBI-MINIBUS MED.205/70/15   </t>
    </r>
  </si>
  <si>
    <t xml:space="preserve"> Item N° : 10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</si>
  <si>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UTILITARIOS-COMBI-MINIBUS-MED.225/75/16   </t>
    </r>
  </si>
  <si>
    <t xml:space="preserve"> Item N° : 11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</si>
  <si>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 NEUMATICO MOD2.020 MED.225/70/17</t>
    </r>
  </si>
  <si>
    <t xml:space="preserve"> Item N° : 12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</si>
  <si>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CAMION MED.215/70/17.5</t>
    </r>
  </si>
  <si>
    <t xml:space="preserve"> Item N° : 13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</si>
  <si>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CAMION MED. 10.00-20</t>
    </r>
  </si>
  <si>
    <t xml:space="preserve"> Item N° : 14</t>
  </si>
  <si>
    <r>
      <t xml:space="preserve">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CUBIERTAS MOTOCICLETA MED. 110/70/17</t>
    </r>
  </si>
  <si>
    <t xml:space="preserve"> Item N° : 15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</si>
  <si>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CUBIERTAS MOTOCICLETA MED. 90/90/21</t>
    </r>
  </si>
  <si>
    <t xml:space="preserve"> Item N° : 16</t>
  </si>
  <si>
    <r>
      <t xml:space="preserve">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CUBIERTAS MOTOCICLETA MED.110/90/17</t>
    </r>
  </si>
  <si>
    <t xml:space="preserve"> Item N° : 17</t>
  </si>
  <si>
    <r>
      <t xml:space="preserve">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CUBIERTAS MOTOCICLETA MED. 410/18</t>
    </r>
  </si>
  <si>
    <t xml:space="preserve"> Item N° : 18</t>
  </si>
  <si>
    <r>
      <t xml:space="preserve"> ELEMENTO: </t>
    </r>
    <r>
      <rPr>
        <sz val="10"/>
        <rFont val="Century Gothic"/>
        <family val="2"/>
      </rPr>
      <t xml:space="preserve"> CUBIERTAS MOTOCICLETA MED. 130/80/17</t>
    </r>
  </si>
  <si>
    <t>Plazos y lugares de entrega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</si>
  <si>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</si>
  <si>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Calidad Minima esperada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</si>
  <si>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</si>
  <si>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>Mantenimiento</t>
  </si>
  <si>
    <t xml:space="preserve">30 (treinta)  días </t>
  </si>
  <si>
    <t>Garantia</t>
  </si>
  <si>
    <t>12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</si>
</sst>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[$$-2C0A]\ #,##0.00;[$$-2C0A]&quot; -&quot;#,##0.00"/>
    <numFmt numFmtId="166" formatCode="&quot;$&quot;\ #,##0.00"/>
    <numFmt numFmtId="167" formatCode="_ &quot;$&quot;\ * #,##0.00_ ;_ &quot;$&quot;\ * \-#,##0.00_ ;_ &quot;$&quot;\ * &quot;-&quot;??_ ;_ @_ "/>
    <numFmt numFmtId="168" formatCode="[$$-2C0A]\ 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0"/>
      <name val="Century Gothic"/>
      <family val="2"/>
    </font>
    <font>
      <u/>
      <sz val="10"/>
      <name val="Century Gothic"/>
      <family val="2"/>
    </font>
    <font>
      <sz val="11"/>
      <name val="Century Gothic"/>
      <family val="2"/>
    </font>
    <font>
      <b/>
      <u/>
      <sz val="11"/>
      <name val="Century Gothic"/>
      <family val="2"/>
    </font>
    <font>
      <b/>
      <u/>
      <sz val="10"/>
      <name val="Century Gothic"/>
      <family val="2"/>
    </font>
    <font>
      <b/>
      <u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2" fillId="0" borderId="0"/>
  </cellStyleXfs>
  <cellXfs count="65">
    <xf numFmtId="0" fontId="0" fillId="0" borderId="0" xfId="0"/>
    <xf numFmtId="0" fontId="3" fillId="2" borderId="0" xfId="0" applyFont="1" applyFill="1"/>
    <xf numFmtId="0" fontId="7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center" wrapText="1"/>
    </xf>
    <xf numFmtId="0" fontId="6" fillId="3" borderId="0" xfId="0" applyFont="1" applyFill="1" applyAlignment="1">
      <alignment horizontal="left" wrapText="1" indent="1"/>
    </xf>
    <xf numFmtId="0" fontId="8" fillId="2" borderId="0" xfId="0" applyFont="1" applyFill="1" applyAlignment="1">
      <alignment horizontal="left" wrapText="1"/>
    </xf>
    <xf numFmtId="0" fontId="8" fillId="2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vertical="center" wrapText="1"/>
    </xf>
    <xf numFmtId="0" fontId="3" fillId="4" borderId="13" xfId="0" applyFont="1" applyFill="1" applyBorder="1" applyAlignment="1">
      <alignment horizontal="left" vertical="center" wrapText="1"/>
    </xf>
    <xf numFmtId="0" fontId="3" fillId="4" borderId="13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vertical="top" wrapText="1"/>
    </xf>
    <xf numFmtId="0" fontId="7" fillId="4" borderId="13" xfId="0" applyFont="1" applyFill="1" applyBorder="1" applyAlignment="1">
      <alignment horizontal="center" vertical="center" wrapText="1"/>
    </xf>
    <xf numFmtId="3" fontId="3" fillId="4" borderId="13" xfId="0" applyNumberFormat="1" applyFont="1" applyFill="1" applyBorder="1" applyAlignment="1">
      <alignment horizontal="center" vertical="center"/>
    </xf>
    <xf numFmtId="167" fontId="3" fillId="4" borderId="13" xfId="1" applyNumberFormat="1" applyFont="1" applyFill="1" applyBorder="1" applyAlignment="1">
      <alignment horizontal="center" vertical="center"/>
    </xf>
    <xf numFmtId="164" fontId="3" fillId="4" borderId="14" xfId="1" applyNumberFormat="1" applyFont="1" applyFill="1" applyBorder="1" applyAlignment="1" applyProtection="1">
      <alignment horizontal="right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vertical="center" wrapText="1"/>
    </xf>
    <xf numFmtId="0" fontId="7" fillId="4" borderId="10" xfId="0" applyFont="1" applyFill="1" applyBorder="1" applyAlignment="1">
      <alignment horizontal="center" vertical="center" wrapText="1"/>
    </xf>
    <xf numFmtId="3" fontId="3" fillId="4" borderId="10" xfId="0" applyNumberFormat="1" applyFont="1" applyFill="1" applyBorder="1" applyAlignment="1">
      <alignment horizontal="center" vertical="center"/>
    </xf>
    <xf numFmtId="167" fontId="3" fillId="4" borderId="10" xfId="1" applyNumberFormat="1" applyFont="1" applyFill="1" applyBorder="1" applyAlignment="1">
      <alignment horizontal="center" vertical="center"/>
    </xf>
    <xf numFmtId="164" fontId="3" fillId="4" borderId="16" xfId="1" applyNumberFormat="1" applyFont="1" applyFill="1" applyBorder="1" applyAlignment="1" applyProtection="1">
      <alignment horizontal="right" vertical="center" wrapText="1"/>
    </xf>
    <xf numFmtId="0" fontId="3" fillId="4" borderId="10" xfId="0" applyFont="1" applyFill="1" applyBorder="1" applyAlignment="1">
      <alignment wrapText="1"/>
    </xf>
    <xf numFmtId="0" fontId="3" fillId="5" borderId="10" xfId="0" applyFont="1" applyFill="1" applyBorder="1" applyAlignment="1">
      <alignment vertical="center"/>
    </xf>
    <xf numFmtId="0" fontId="7" fillId="4" borderId="10" xfId="0" applyFont="1" applyFill="1" applyBorder="1" applyAlignment="1">
      <alignment vertical="center" wrapText="1"/>
    </xf>
    <xf numFmtId="0" fontId="3" fillId="4" borderId="10" xfId="0" applyFont="1" applyFill="1" applyBorder="1" applyAlignment="1">
      <alignment vertical="top" wrapText="1"/>
    </xf>
    <xf numFmtId="0" fontId="7" fillId="4" borderId="17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vertical="center"/>
    </xf>
    <xf numFmtId="0" fontId="3" fillId="4" borderId="18" xfId="0" applyFont="1" applyFill="1" applyBorder="1" applyAlignment="1">
      <alignment horizontal="left" vertical="center" wrapText="1"/>
    </xf>
    <xf numFmtId="0" fontId="3" fillId="4" borderId="18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vertical="center" wrapText="1"/>
    </xf>
    <xf numFmtId="0" fontId="7" fillId="4" borderId="18" xfId="0" applyFont="1" applyFill="1" applyBorder="1" applyAlignment="1">
      <alignment horizontal="center" vertical="center" wrapText="1"/>
    </xf>
    <xf numFmtId="167" fontId="3" fillId="4" borderId="18" xfId="1" applyNumberFormat="1" applyFont="1" applyFill="1" applyBorder="1" applyAlignment="1">
      <alignment horizontal="center" vertical="center"/>
    </xf>
    <xf numFmtId="164" fontId="3" fillId="4" borderId="19" xfId="1" applyNumberFormat="1" applyFont="1" applyFill="1" applyBorder="1" applyAlignment="1" applyProtection="1">
      <alignment horizontal="right" vertical="center" wrapText="1"/>
    </xf>
    <xf numFmtId="0" fontId="3" fillId="4" borderId="0" xfId="0" applyFont="1" applyFill="1"/>
    <xf numFmtId="166" fontId="9" fillId="4" borderId="9" xfId="0" applyNumberFormat="1" applyFont="1" applyFill="1" applyBorder="1"/>
    <xf numFmtId="0" fontId="10" fillId="4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5" xfId="0" applyFont="1" applyFill="1" applyBorder="1"/>
    <xf numFmtId="0" fontId="10" fillId="4" borderId="0" xfId="0" applyFont="1" applyFill="1" applyAlignment="1">
      <alignment horizontal="left" vertical="center"/>
    </xf>
    <xf numFmtId="0" fontId="3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10" fillId="4" borderId="4" xfId="0" applyFont="1" applyFill="1" applyBorder="1" applyAlignment="1">
      <alignment horizontal="left" vertical="center"/>
    </xf>
    <xf numFmtId="0" fontId="10" fillId="4" borderId="0" xfId="0" applyFont="1" applyFill="1" applyAlignment="1">
      <alignment vertical="center"/>
    </xf>
    <xf numFmtId="168" fontId="3" fillId="4" borderId="0" xfId="0" applyNumberFormat="1" applyFont="1" applyFill="1"/>
    <xf numFmtId="0" fontId="12" fillId="4" borderId="4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/>
    </xf>
    <xf numFmtId="0" fontId="13" fillId="4" borderId="4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wrapText="1"/>
    </xf>
    <xf numFmtId="0" fontId="3" fillId="4" borderId="6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3" fillId="4" borderId="7" xfId="0" applyFont="1" applyFill="1" applyBorder="1"/>
    <xf numFmtId="0" fontId="3" fillId="4" borderId="8" xfId="0" applyFont="1" applyFill="1" applyBorder="1"/>
    <xf numFmtId="0" fontId="5" fillId="2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wrapText="1"/>
    </xf>
    <xf numFmtId="0" fontId="4" fillId="2" borderId="0" xfId="0" applyFont="1" applyFill="1" applyAlignment="1">
      <alignment horizontal="center"/>
    </xf>
    <xf numFmtId="0" fontId="6" fillId="3" borderId="0" xfId="0" applyFont="1" applyFill="1" applyAlignment="1">
      <alignment horizontal="left" wrapText="1" indent="1"/>
    </xf>
  </cellXfs>
  <cellStyles count="4">
    <cellStyle name="Moneda" xfId="1" builtinId="4"/>
    <cellStyle name="Normal" xfId="0" builtinId="0"/>
    <cellStyle name="Normal 2" xfId="2" xr:uid="{D34CA1EC-90AF-4F46-8BE8-D7E6898CE3E9}"/>
    <cellStyle name="Normal 2 2" xfId="3" xr:uid="{946A8208-3437-41C1-823B-F89D4F1A1456}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BD15B-0DF1-4537-B040-43732ADD9908}">
  <dimension ref="A1:J101"/>
  <sheetViews>
    <sheetView tabSelected="1" workbookViewId="0">
      <selection activeCell="E89" sqref="E89"/>
    </sheetView>
  </sheetViews>
  <sheetFormatPr baseColWidth="10" defaultRowHeight="15" x14ac:dyDescent="0.25"/>
  <cols>
    <col min="1" max="1" width="4.5703125" customWidth="1"/>
    <col min="2" max="2" width="17.140625" customWidth="1"/>
    <col min="3" max="3" width="31.42578125" customWidth="1"/>
    <col min="4" max="4" width="8.42578125" customWidth="1"/>
    <col min="5" max="5" width="110" customWidth="1"/>
    <col min="6" max="6" width="11"/>
    <col min="7" max="7" width="12.7109375" customWidth="1"/>
    <col min="8" max="8" width="13.85546875" customWidth="1"/>
    <col min="9" max="9" width="18.57031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8.5" x14ac:dyDescent="0.4">
      <c r="A2" s="1"/>
      <c r="B2" s="63" t="s">
        <v>11</v>
      </c>
      <c r="C2" s="63"/>
      <c r="D2" s="63"/>
      <c r="E2" s="63"/>
      <c r="F2" s="63"/>
      <c r="G2" s="63"/>
      <c r="H2" s="63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.75" x14ac:dyDescent="0.25">
      <c r="A4" s="60" t="s">
        <v>12</v>
      </c>
      <c r="B4" s="60"/>
      <c r="C4" s="64" t="s">
        <v>13</v>
      </c>
      <c r="D4" s="64"/>
      <c r="E4" s="64"/>
      <c r="F4" s="2"/>
      <c r="G4" s="3"/>
      <c r="H4" s="2"/>
      <c r="I4" s="1"/>
      <c r="J4" s="1"/>
    </row>
    <row r="5" spans="1:10" ht="15.75" x14ac:dyDescent="0.25">
      <c r="A5" s="60" t="s">
        <v>14</v>
      </c>
      <c r="B5" s="60"/>
      <c r="C5" s="64" t="s">
        <v>15</v>
      </c>
      <c r="D5" s="64"/>
      <c r="E5" s="64"/>
      <c r="F5" s="2"/>
      <c r="G5" s="3"/>
      <c r="H5" s="2"/>
      <c r="I5" s="1"/>
      <c r="J5" s="1"/>
    </row>
    <row r="6" spans="1:10" ht="15.75" x14ac:dyDescent="0.25">
      <c r="A6" s="60" t="s">
        <v>0</v>
      </c>
      <c r="B6" s="60"/>
      <c r="C6" s="4">
        <v>2020</v>
      </c>
      <c r="D6" s="5"/>
      <c r="E6" s="5"/>
      <c r="F6" s="2"/>
      <c r="G6" s="3"/>
      <c r="H6" s="2"/>
      <c r="I6" s="1"/>
      <c r="J6" s="1"/>
    </row>
    <row r="7" spans="1:10" ht="15.75" x14ac:dyDescent="0.25">
      <c r="A7" s="60" t="s">
        <v>1</v>
      </c>
      <c r="B7" s="60"/>
      <c r="C7" s="4">
        <v>2</v>
      </c>
      <c r="D7" s="5"/>
      <c r="E7" s="5"/>
      <c r="F7" s="2"/>
      <c r="G7" s="3"/>
      <c r="H7" s="2"/>
      <c r="I7" s="1"/>
      <c r="J7" s="1"/>
    </row>
    <row r="8" spans="1:10" ht="15.75" thickBot="1" x14ac:dyDescent="0.3">
      <c r="A8" s="1"/>
      <c r="B8" s="2"/>
      <c r="C8" s="3"/>
      <c r="D8" s="2"/>
      <c r="E8" s="2"/>
      <c r="F8" s="2"/>
      <c r="G8" s="3"/>
      <c r="H8" s="2"/>
      <c r="I8" s="1"/>
      <c r="J8" s="1"/>
    </row>
    <row r="9" spans="1:10" ht="39.75" thickTop="1" thickBot="1" x14ac:dyDescent="0.3">
      <c r="A9" s="6" t="s">
        <v>2</v>
      </c>
      <c r="B9" s="6" t="s">
        <v>3</v>
      </c>
      <c r="C9" s="6" t="s">
        <v>4</v>
      </c>
      <c r="D9" s="6" t="s">
        <v>5</v>
      </c>
      <c r="E9" s="6" t="s">
        <v>6</v>
      </c>
      <c r="F9" s="6" t="s">
        <v>7</v>
      </c>
      <c r="G9" s="6" t="s">
        <v>8</v>
      </c>
      <c r="H9" s="6" t="s">
        <v>9</v>
      </c>
      <c r="I9" s="6" t="s">
        <v>16</v>
      </c>
      <c r="J9" s="1"/>
    </row>
    <row r="10" spans="1:10" ht="15.75" thickBot="1" x14ac:dyDescent="0.3">
      <c r="A10" s="7">
        <v>1</v>
      </c>
      <c r="B10" s="8" t="s">
        <v>17</v>
      </c>
      <c r="C10" s="9" t="s">
        <v>18</v>
      </c>
      <c r="D10" s="10" t="s">
        <v>19</v>
      </c>
      <c r="E10" s="11" t="s">
        <v>20</v>
      </c>
      <c r="F10" s="12" t="s">
        <v>10</v>
      </c>
      <c r="G10" s="13">
        <v>150</v>
      </c>
      <c r="H10" s="14">
        <v>29663</v>
      </c>
      <c r="I10" s="15">
        <f>G10*H10</f>
        <v>4449450</v>
      </c>
      <c r="J10" s="1"/>
    </row>
    <row r="11" spans="1:10" ht="15.75" thickBot="1" x14ac:dyDescent="0.3">
      <c r="A11" s="16">
        <v>2</v>
      </c>
      <c r="B11" s="17" t="s">
        <v>21</v>
      </c>
      <c r="C11" s="9" t="s">
        <v>18</v>
      </c>
      <c r="D11" s="18" t="s">
        <v>19</v>
      </c>
      <c r="E11" s="19" t="s">
        <v>22</v>
      </c>
      <c r="F11" s="20" t="s">
        <v>10</v>
      </c>
      <c r="G11" s="21">
        <v>18</v>
      </c>
      <c r="H11" s="22">
        <v>30499.35</v>
      </c>
      <c r="I11" s="23">
        <f t="shared" ref="I11:I27" si="0">G11*H11</f>
        <v>548988.29999999993</v>
      </c>
      <c r="J11" s="1"/>
    </row>
    <row r="12" spans="1:10" ht="15.75" thickBot="1" x14ac:dyDescent="0.3">
      <c r="A12" s="16">
        <v>3</v>
      </c>
      <c r="B12" s="17" t="s">
        <v>23</v>
      </c>
      <c r="C12" s="9" t="s">
        <v>18</v>
      </c>
      <c r="D12" s="18" t="s">
        <v>19</v>
      </c>
      <c r="E12" s="19" t="s">
        <v>24</v>
      </c>
      <c r="F12" s="20" t="s">
        <v>10</v>
      </c>
      <c r="G12" s="21">
        <v>10</v>
      </c>
      <c r="H12" s="22">
        <v>24985</v>
      </c>
      <c r="I12" s="23">
        <f t="shared" si="0"/>
        <v>249850</v>
      </c>
      <c r="J12" s="1"/>
    </row>
    <row r="13" spans="1:10" ht="15.75" thickBot="1" x14ac:dyDescent="0.3">
      <c r="A13" s="16">
        <v>4</v>
      </c>
      <c r="B13" s="17" t="s">
        <v>25</v>
      </c>
      <c r="C13" s="9" t="s">
        <v>18</v>
      </c>
      <c r="D13" s="18" t="s">
        <v>19</v>
      </c>
      <c r="E13" s="24" t="s">
        <v>26</v>
      </c>
      <c r="F13" s="20" t="s">
        <v>10</v>
      </c>
      <c r="G13" s="18">
        <v>15</v>
      </c>
      <c r="H13" s="22">
        <v>15919.89</v>
      </c>
      <c r="I13" s="23">
        <f t="shared" si="0"/>
        <v>238798.34999999998</v>
      </c>
      <c r="J13" s="1"/>
    </row>
    <row r="14" spans="1:10" ht="15.75" thickBot="1" x14ac:dyDescent="0.3">
      <c r="A14" s="16">
        <v>5</v>
      </c>
      <c r="B14" s="17" t="s">
        <v>27</v>
      </c>
      <c r="C14" s="9" t="s">
        <v>18</v>
      </c>
      <c r="D14" s="18" t="s">
        <v>19</v>
      </c>
      <c r="E14" s="19" t="s">
        <v>28</v>
      </c>
      <c r="F14" s="20" t="s">
        <v>10</v>
      </c>
      <c r="G14" s="18">
        <v>18</v>
      </c>
      <c r="H14" s="22">
        <v>14777</v>
      </c>
      <c r="I14" s="23">
        <f t="shared" si="0"/>
        <v>265986</v>
      </c>
      <c r="J14" s="1"/>
    </row>
    <row r="15" spans="1:10" ht="15.75" thickBot="1" x14ac:dyDescent="0.3">
      <c r="A15" s="16">
        <v>6</v>
      </c>
      <c r="B15" s="17" t="s">
        <v>29</v>
      </c>
      <c r="C15" s="9" t="s">
        <v>18</v>
      </c>
      <c r="D15" s="18" t="s">
        <v>19</v>
      </c>
      <c r="E15" s="19" t="s">
        <v>30</v>
      </c>
      <c r="F15" s="20" t="s">
        <v>10</v>
      </c>
      <c r="G15" s="21">
        <v>18</v>
      </c>
      <c r="H15" s="22">
        <v>23391.45</v>
      </c>
      <c r="I15" s="23">
        <f t="shared" si="0"/>
        <v>421046.10000000003</v>
      </c>
      <c r="J15" s="1"/>
    </row>
    <row r="16" spans="1:10" ht="15.75" thickBot="1" x14ac:dyDescent="0.3">
      <c r="A16" s="16">
        <v>7</v>
      </c>
      <c r="B16" s="17" t="s">
        <v>31</v>
      </c>
      <c r="C16" s="9" t="s">
        <v>18</v>
      </c>
      <c r="D16" s="18" t="s">
        <v>19</v>
      </c>
      <c r="E16" s="19" t="s">
        <v>32</v>
      </c>
      <c r="F16" s="20" t="s">
        <v>10</v>
      </c>
      <c r="G16" s="21">
        <v>18</v>
      </c>
      <c r="H16" s="22">
        <v>15919.89</v>
      </c>
      <c r="I16" s="23">
        <f t="shared" si="0"/>
        <v>286558.02</v>
      </c>
      <c r="J16" s="1"/>
    </row>
    <row r="17" spans="1:10" ht="15.75" thickBot="1" x14ac:dyDescent="0.3">
      <c r="A17" s="16">
        <v>8</v>
      </c>
      <c r="B17" s="25" t="s">
        <v>33</v>
      </c>
      <c r="C17" s="9" t="s">
        <v>18</v>
      </c>
      <c r="D17" s="18" t="s">
        <v>19</v>
      </c>
      <c r="E17" s="19" t="s">
        <v>34</v>
      </c>
      <c r="F17" s="20" t="s">
        <v>10</v>
      </c>
      <c r="G17" s="21">
        <v>18</v>
      </c>
      <c r="H17" s="22">
        <v>32693</v>
      </c>
      <c r="I17" s="23">
        <f t="shared" si="0"/>
        <v>588474</v>
      </c>
      <c r="J17" s="1"/>
    </row>
    <row r="18" spans="1:10" ht="15.75" thickBot="1" x14ac:dyDescent="0.3">
      <c r="A18" s="16">
        <v>9</v>
      </c>
      <c r="B18" s="25" t="s">
        <v>35</v>
      </c>
      <c r="C18" s="9" t="s">
        <v>18</v>
      </c>
      <c r="D18" s="18" t="s">
        <v>19</v>
      </c>
      <c r="E18" s="19" t="s">
        <v>36</v>
      </c>
      <c r="F18" s="20" t="s">
        <v>10</v>
      </c>
      <c r="G18" s="21">
        <v>18</v>
      </c>
      <c r="H18" s="22">
        <v>24264</v>
      </c>
      <c r="I18" s="23">
        <f t="shared" si="0"/>
        <v>436752</v>
      </c>
      <c r="J18" s="1"/>
    </row>
    <row r="19" spans="1:10" ht="15.75" thickBot="1" x14ac:dyDescent="0.3">
      <c r="A19" s="16">
        <v>10</v>
      </c>
      <c r="B19" s="25" t="s">
        <v>37</v>
      </c>
      <c r="C19" s="9" t="s">
        <v>18</v>
      </c>
      <c r="D19" s="18" t="s">
        <v>19</v>
      </c>
      <c r="E19" s="19" t="s">
        <v>38</v>
      </c>
      <c r="F19" s="20" t="s">
        <v>10</v>
      </c>
      <c r="G19" s="21">
        <v>18</v>
      </c>
      <c r="H19" s="22">
        <v>20415</v>
      </c>
      <c r="I19" s="23">
        <f t="shared" si="0"/>
        <v>367470</v>
      </c>
      <c r="J19" s="1"/>
    </row>
    <row r="20" spans="1:10" ht="15.75" thickBot="1" x14ac:dyDescent="0.3">
      <c r="A20" s="16">
        <v>11</v>
      </c>
      <c r="B20" s="25" t="s">
        <v>39</v>
      </c>
      <c r="C20" s="9" t="s">
        <v>18</v>
      </c>
      <c r="D20" s="18" t="s">
        <v>19</v>
      </c>
      <c r="E20" s="19" t="s">
        <v>40</v>
      </c>
      <c r="F20" s="20" t="s">
        <v>10</v>
      </c>
      <c r="G20" s="21">
        <v>100</v>
      </c>
      <c r="H20" s="22">
        <v>35982</v>
      </c>
      <c r="I20" s="23">
        <f t="shared" si="0"/>
        <v>3598200</v>
      </c>
      <c r="J20" s="1"/>
    </row>
    <row r="21" spans="1:10" ht="15.75" thickBot="1" x14ac:dyDescent="0.3">
      <c r="A21" s="16">
        <v>12</v>
      </c>
      <c r="B21" s="25" t="s">
        <v>41</v>
      </c>
      <c r="C21" s="9" t="s">
        <v>18</v>
      </c>
      <c r="D21" s="18" t="s">
        <v>42</v>
      </c>
      <c r="E21" s="19" t="s">
        <v>43</v>
      </c>
      <c r="F21" s="20" t="s">
        <v>10</v>
      </c>
      <c r="G21" s="21">
        <v>6</v>
      </c>
      <c r="H21" s="22">
        <v>75000</v>
      </c>
      <c r="I21" s="23">
        <f t="shared" si="0"/>
        <v>450000</v>
      </c>
      <c r="J21" s="1"/>
    </row>
    <row r="22" spans="1:10" ht="15.75" thickBot="1" x14ac:dyDescent="0.3">
      <c r="A22" s="16">
        <v>13</v>
      </c>
      <c r="B22" s="25" t="s">
        <v>41</v>
      </c>
      <c r="C22" s="9" t="s">
        <v>18</v>
      </c>
      <c r="D22" s="18" t="s">
        <v>19</v>
      </c>
      <c r="E22" s="19" t="s">
        <v>43</v>
      </c>
      <c r="F22" s="20" t="s">
        <v>10</v>
      </c>
      <c r="G22" s="21">
        <v>4</v>
      </c>
      <c r="H22" s="22">
        <v>84995.24</v>
      </c>
      <c r="I22" s="23">
        <f t="shared" si="0"/>
        <v>339980.96</v>
      </c>
      <c r="J22" s="1"/>
    </row>
    <row r="23" spans="1:10" ht="15.75" thickBot="1" x14ac:dyDescent="0.3">
      <c r="A23" s="16">
        <v>14</v>
      </c>
      <c r="B23" s="26" t="s">
        <v>44</v>
      </c>
      <c r="C23" s="9" t="s">
        <v>18</v>
      </c>
      <c r="D23" s="18" t="s">
        <v>19</v>
      </c>
      <c r="E23" s="27" t="s">
        <v>45</v>
      </c>
      <c r="F23" s="20" t="s">
        <v>10</v>
      </c>
      <c r="G23" s="21">
        <v>18</v>
      </c>
      <c r="H23" s="22">
        <v>17341</v>
      </c>
      <c r="I23" s="23">
        <f t="shared" si="0"/>
        <v>312138</v>
      </c>
      <c r="J23" s="1"/>
    </row>
    <row r="24" spans="1:10" ht="15.75" thickBot="1" x14ac:dyDescent="0.3">
      <c r="A24" s="16">
        <v>15</v>
      </c>
      <c r="B24" s="17" t="s">
        <v>46</v>
      </c>
      <c r="C24" s="9" t="s">
        <v>18</v>
      </c>
      <c r="D24" s="18" t="s">
        <v>19</v>
      </c>
      <c r="E24" s="19" t="s">
        <v>47</v>
      </c>
      <c r="F24" s="20" t="s">
        <v>10</v>
      </c>
      <c r="G24" s="21">
        <v>18</v>
      </c>
      <c r="H24" s="22">
        <v>10307</v>
      </c>
      <c r="I24" s="23">
        <f t="shared" si="0"/>
        <v>185526</v>
      </c>
      <c r="J24" s="1"/>
    </row>
    <row r="25" spans="1:10" ht="15.75" thickBot="1" x14ac:dyDescent="0.3">
      <c r="A25" s="16">
        <v>16</v>
      </c>
      <c r="B25" s="17" t="s">
        <v>48</v>
      </c>
      <c r="C25" s="9" t="s">
        <v>18</v>
      </c>
      <c r="D25" s="18" t="s">
        <v>19</v>
      </c>
      <c r="E25" s="19" t="s">
        <v>49</v>
      </c>
      <c r="F25" s="20" t="s">
        <v>10</v>
      </c>
      <c r="G25" s="21">
        <v>18</v>
      </c>
      <c r="H25" s="22">
        <v>8693.6299999999992</v>
      </c>
      <c r="I25" s="23">
        <f t="shared" si="0"/>
        <v>156485.34</v>
      </c>
      <c r="J25" s="1"/>
    </row>
    <row r="26" spans="1:10" x14ac:dyDescent="0.25">
      <c r="A26" s="16">
        <v>17</v>
      </c>
      <c r="B26" s="17" t="s">
        <v>50</v>
      </c>
      <c r="C26" s="9" t="s">
        <v>18</v>
      </c>
      <c r="D26" s="18" t="s">
        <v>19</v>
      </c>
      <c r="E26" s="24" t="s">
        <v>51</v>
      </c>
      <c r="F26" s="20" t="s">
        <v>10</v>
      </c>
      <c r="G26" s="18">
        <v>18</v>
      </c>
      <c r="H26" s="22">
        <v>15662.62</v>
      </c>
      <c r="I26" s="23">
        <f t="shared" si="0"/>
        <v>281927.16000000003</v>
      </c>
      <c r="J26" s="1"/>
    </row>
    <row r="27" spans="1:10" ht="15.75" thickBot="1" x14ac:dyDescent="0.3">
      <c r="A27" s="28">
        <v>18</v>
      </c>
      <c r="B27" s="29" t="s">
        <v>52</v>
      </c>
      <c r="C27" s="30" t="s">
        <v>18</v>
      </c>
      <c r="D27" s="31" t="s">
        <v>19</v>
      </c>
      <c r="E27" s="32" t="s">
        <v>53</v>
      </c>
      <c r="F27" s="33" t="s">
        <v>10</v>
      </c>
      <c r="G27" s="31">
        <v>18</v>
      </c>
      <c r="H27" s="34">
        <v>18143</v>
      </c>
      <c r="I27" s="35">
        <f t="shared" si="0"/>
        <v>326574</v>
      </c>
      <c r="J27" s="1"/>
    </row>
    <row r="28" spans="1:10" ht="15.75" thickBot="1" x14ac:dyDescent="0.3">
      <c r="A28" s="36"/>
      <c r="B28" s="36"/>
      <c r="C28" s="36"/>
      <c r="D28" s="36"/>
      <c r="E28" s="36"/>
      <c r="F28" s="36"/>
      <c r="G28" s="36"/>
      <c r="H28" s="36"/>
      <c r="I28" s="37">
        <f>SUM(I10:I27)</f>
        <v>13504204.23</v>
      </c>
      <c r="J28" s="1"/>
    </row>
    <row r="29" spans="1:10" ht="15.75" thickBot="1" x14ac:dyDescent="0.3">
      <c r="A29" s="36"/>
      <c r="B29" s="36"/>
      <c r="C29" s="36"/>
      <c r="D29" s="36"/>
      <c r="E29" s="36"/>
      <c r="F29" s="36"/>
      <c r="G29" s="36"/>
      <c r="H29" s="36"/>
      <c r="I29" s="36"/>
      <c r="J29" s="1"/>
    </row>
    <row r="30" spans="1:10" x14ac:dyDescent="0.25">
      <c r="A30" s="36"/>
      <c r="B30" s="38" t="s">
        <v>54</v>
      </c>
      <c r="C30" s="39"/>
      <c r="D30" s="40"/>
      <c r="E30" s="40"/>
      <c r="F30" s="40"/>
      <c r="G30" s="40"/>
      <c r="H30" s="40"/>
      <c r="I30" s="41"/>
      <c r="J30" s="1"/>
    </row>
    <row r="31" spans="1:10" x14ac:dyDescent="0.25">
      <c r="A31" s="36"/>
      <c r="B31" s="42" t="s">
        <v>55</v>
      </c>
      <c r="C31" s="43"/>
      <c r="D31" s="36"/>
      <c r="E31" s="36"/>
      <c r="F31" s="36"/>
      <c r="G31" s="36"/>
      <c r="H31" s="36"/>
      <c r="I31" s="44"/>
      <c r="J31" s="1"/>
    </row>
    <row r="32" spans="1:10" x14ac:dyDescent="0.25">
      <c r="A32" s="36"/>
      <c r="B32" s="42"/>
      <c r="C32" s="45" t="s">
        <v>56</v>
      </c>
      <c r="D32" s="46" t="s">
        <v>57</v>
      </c>
      <c r="E32" s="36"/>
      <c r="F32" s="36"/>
      <c r="G32" s="36"/>
      <c r="H32" s="36"/>
      <c r="I32" s="44"/>
      <c r="J32" s="1"/>
    </row>
    <row r="33" spans="1:10" x14ac:dyDescent="0.25">
      <c r="A33" s="36"/>
      <c r="B33" s="42"/>
      <c r="C33" s="45"/>
      <c r="D33" s="46"/>
      <c r="E33" s="36"/>
      <c r="F33" s="36"/>
      <c r="G33" s="36"/>
      <c r="H33" s="36"/>
      <c r="I33" s="44"/>
      <c r="J33" s="1"/>
    </row>
    <row r="34" spans="1:10" x14ac:dyDescent="0.25">
      <c r="A34" s="36"/>
      <c r="B34" s="42" t="s">
        <v>58</v>
      </c>
      <c r="C34" s="43"/>
      <c r="D34" s="36"/>
      <c r="E34" s="36"/>
      <c r="F34" s="36"/>
      <c r="G34" s="36"/>
      <c r="H34" s="36"/>
      <c r="I34" s="44"/>
      <c r="J34" s="1"/>
    </row>
    <row r="35" spans="1:10" x14ac:dyDescent="0.25">
      <c r="A35" s="36"/>
      <c r="B35" s="42"/>
      <c r="C35" s="45" t="s">
        <v>56</v>
      </c>
      <c r="D35" s="46" t="s">
        <v>59</v>
      </c>
      <c r="E35" s="36"/>
      <c r="F35" s="36"/>
      <c r="G35" s="36"/>
      <c r="H35" s="36"/>
      <c r="I35" s="44"/>
      <c r="J35" s="1"/>
    </row>
    <row r="36" spans="1:10" ht="16.5" x14ac:dyDescent="0.25">
      <c r="A36" s="36"/>
      <c r="B36" s="42"/>
      <c r="C36" s="45"/>
      <c r="D36" s="47"/>
      <c r="E36" s="36"/>
      <c r="F36" s="36"/>
      <c r="G36" s="36"/>
      <c r="H36" s="36"/>
      <c r="I36" s="44"/>
      <c r="J36" s="1"/>
    </row>
    <row r="37" spans="1:10" x14ac:dyDescent="0.25">
      <c r="A37" s="36"/>
      <c r="B37" s="48"/>
      <c r="C37" s="45"/>
      <c r="D37" s="46"/>
      <c r="E37" s="36"/>
      <c r="F37" s="36"/>
      <c r="G37" s="36"/>
      <c r="H37" s="36"/>
      <c r="I37" s="44"/>
      <c r="J37" s="1"/>
    </row>
    <row r="38" spans="1:10" x14ac:dyDescent="0.25">
      <c r="A38" s="36"/>
      <c r="B38" s="42" t="s">
        <v>60</v>
      </c>
      <c r="C38" s="43"/>
      <c r="D38" s="36"/>
      <c r="E38" s="36"/>
      <c r="F38" s="36"/>
      <c r="G38" s="36"/>
      <c r="H38" s="36"/>
      <c r="I38" s="44"/>
      <c r="J38" s="1"/>
    </row>
    <row r="39" spans="1:10" x14ac:dyDescent="0.25">
      <c r="A39" s="36"/>
      <c r="B39" s="42"/>
      <c r="C39" s="45" t="s">
        <v>56</v>
      </c>
      <c r="D39" s="46" t="s">
        <v>61</v>
      </c>
      <c r="E39" s="36"/>
      <c r="F39" s="36"/>
      <c r="G39" s="36"/>
      <c r="H39" s="36"/>
      <c r="I39" s="44"/>
      <c r="J39" s="1"/>
    </row>
    <row r="40" spans="1:10" x14ac:dyDescent="0.25">
      <c r="A40" s="36"/>
      <c r="B40" s="42" t="s">
        <v>62</v>
      </c>
      <c r="C40" s="43"/>
      <c r="D40" s="36"/>
      <c r="E40" s="36"/>
      <c r="F40" s="36"/>
      <c r="G40" s="36"/>
      <c r="H40" s="36"/>
      <c r="I40" s="44"/>
      <c r="J40" s="1"/>
    </row>
    <row r="41" spans="1:10" x14ac:dyDescent="0.25">
      <c r="A41" s="36"/>
      <c r="B41" s="42"/>
      <c r="C41" s="45" t="s">
        <v>56</v>
      </c>
      <c r="D41" s="46" t="s">
        <v>63</v>
      </c>
      <c r="E41" s="36"/>
      <c r="F41" s="36"/>
      <c r="G41" s="36"/>
      <c r="H41" s="36"/>
      <c r="I41" s="44"/>
      <c r="J41" s="1"/>
    </row>
    <row r="42" spans="1:10" x14ac:dyDescent="0.25">
      <c r="A42" s="36"/>
      <c r="B42" s="48"/>
      <c r="C42" s="45"/>
      <c r="D42" s="46"/>
      <c r="E42" s="36"/>
      <c r="F42" s="36"/>
      <c r="G42" s="36"/>
      <c r="H42" s="36"/>
      <c r="I42" s="44"/>
      <c r="J42" s="1"/>
    </row>
    <row r="43" spans="1:10" x14ac:dyDescent="0.25">
      <c r="A43" s="36"/>
      <c r="B43" s="42" t="s">
        <v>64</v>
      </c>
      <c r="C43" s="43"/>
      <c r="D43" s="36"/>
      <c r="E43" s="36"/>
      <c r="F43" s="36"/>
      <c r="G43" s="36"/>
      <c r="H43" s="36"/>
      <c r="I43" s="44"/>
      <c r="J43" s="1"/>
    </row>
    <row r="44" spans="1:10" x14ac:dyDescent="0.25">
      <c r="A44" s="36"/>
      <c r="B44" s="42"/>
      <c r="C44" s="45" t="s">
        <v>56</v>
      </c>
      <c r="D44" s="49" t="s">
        <v>65</v>
      </c>
      <c r="E44" s="36"/>
      <c r="F44" s="36"/>
      <c r="G44" s="36"/>
      <c r="H44" s="36"/>
      <c r="I44" s="44"/>
      <c r="J44" s="1"/>
    </row>
    <row r="45" spans="1:10" x14ac:dyDescent="0.25">
      <c r="A45" s="36"/>
      <c r="B45" s="48"/>
      <c r="C45" s="45"/>
      <c r="D45" s="46"/>
      <c r="E45" s="36"/>
      <c r="F45" s="36"/>
      <c r="G45" s="36"/>
      <c r="H45" s="36"/>
      <c r="I45" s="44"/>
      <c r="J45" s="1"/>
    </row>
    <row r="46" spans="1:10" x14ac:dyDescent="0.25">
      <c r="A46" s="36"/>
      <c r="B46" s="42" t="s">
        <v>66</v>
      </c>
      <c r="C46" s="43"/>
      <c r="D46" s="36"/>
      <c r="E46" s="36"/>
      <c r="F46" s="36"/>
      <c r="G46" s="36"/>
      <c r="H46" s="36"/>
      <c r="I46" s="44"/>
      <c r="J46" s="1"/>
    </row>
    <row r="47" spans="1:10" x14ac:dyDescent="0.25">
      <c r="A47" s="36"/>
      <c r="B47" s="42"/>
      <c r="C47" s="45" t="s">
        <v>56</v>
      </c>
      <c r="D47" s="46" t="s">
        <v>67</v>
      </c>
      <c r="E47" s="36"/>
      <c r="F47" s="36"/>
      <c r="G47" s="36"/>
      <c r="H47" s="36"/>
      <c r="I47" s="44"/>
      <c r="J47" s="1"/>
    </row>
    <row r="48" spans="1:10" ht="16.5" x14ac:dyDescent="0.25">
      <c r="A48" s="36"/>
      <c r="B48" s="48"/>
      <c r="C48" s="45"/>
      <c r="D48" s="47"/>
      <c r="E48" s="36"/>
      <c r="F48" s="36"/>
      <c r="G48" s="36"/>
      <c r="H48" s="36"/>
      <c r="I48" s="44"/>
      <c r="J48" s="1"/>
    </row>
    <row r="49" spans="1:10" x14ac:dyDescent="0.25">
      <c r="A49" s="36"/>
      <c r="B49" s="42" t="s">
        <v>68</v>
      </c>
      <c r="C49" s="43"/>
      <c r="D49" s="36"/>
      <c r="E49" s="36"/>
      <c r="F49" s="36"/>
      <c r="G49" s="36"/>
      <c r="H49" s="36"/>
      <c r="I49" s="44"/>
      <c r="J49" s="1"/>
    </row>
    <row r="50" spans="1:10" x14ac:dyDescent="0.25">
      <c r="A50" s="36"/>
      <c r="B50" s="42"/>
      <c r="C50" s="45" t="s">
        <v>56</v>
      </c>
      <c r="D50" s="50" t="s">
        <v>69</v>
      </c>
      <c r="E50" s="36"/>
      <c r="F50" s="36"/>
      <c r="G50" s="36"/>
      <c r="H50" s="36"/>
      <c r="I50" s="44"/>
      <c r="J50" s="1"/>
    </row>
    <row r="51" spans="1:10" ht="16.5" x14ac:dyDescent="0.25">
      <c r="A51" s="36"/>
      <c r="B51" s="48"/>
      <c r="C51" s="45"/>
      <c r="D51" s="47"/>
      <c r="E51" s="36"/>
      <c r="F51" s="36"/>
      <c r="G51" s="36"/>
      <c r="H51" s="36"/>
      <c r="I51" s="44"/>
      <c r="J51" s="1"/>
    </row>
    <row r="52" spans="1:10" x14ac:dyDescent="0.25">
      <c r="A52" s="36"/>
      <c r="B52" s="42" t="s">
        <v>70</v>
      </c>
      <c r="C52" s="43"/>
      <c r="D52" s="36"/>
      <c r="E52" s="36"/>
      <c r="F52" s="36"/>
      <c r="G52" s="36"/>
      <c r="H52" s="36"/>
      <c r="I52" s="44"/>
      <c r="J52" s="1"/>
    </row>
    <row r="53" spans="1:10" x14ac:dyDescent="0.25">
      <c r="A53" s="36"/>
      <c r="B53" s="42"/>
      <c r="C53" s="45" t="s">
        <v>56</v>
      </c>
      <c r="D53" s="46" t="s">
        <v>71</v>
      </c>
      <c r="E53" s="36"/>
      <c r="F53" s="36"/>
      <c r="G53" s="36"/>
      <c r="H53" s="36"/>
      <c r="I53" s="44"/>
      <c r="J53" s="1"/>
    </row>
    <row r="54" spans="1:10" x14ac:dyDescent="0.25">
      <c r="A54" s="36"/>
      <c r="B54" s="48"/>
      <c r="C54" s="45"/>
      <c r="D54" s="46"/>
      <c r="E54" s="36"/>
      <c r="F54" s="36"/>
      <c r="G54" s="36"/>
      <c r="H54" s="36"/>
      <c r="I54" s="44"/>
      <c r="J54" s="1"/>
    </row>
    <row r="55" spans="1:10" x14ac:dyDescent="0.25">
      <c r="A55" s="36"/>
      <c r="B55" s="42" t="s">
        <v>72</v>
      </c>
      <c r="C55" s="43"/>
      <c r="D55" s="36"/>
      <c r="E55" s="36"/>
      <c r="F55" s="36"/>
      <c r="G55" s="36"/>
      <c r="H55" s="36"/>
      <c r="I55" s="44"/>
      <c r="J55" s="1"/>
    </row>
    <row r="56" spans="1:10" x14ac:dyDescent="0.25">
      <c r="A56" s="36"/>
      <c r="B56" s="42"/>
      <c r="C56" s="45" t="s">
        <v>56</v>
      </c>
      <c r="D56" s="46" t="s">
        <v>73</v>
      </c>
      <c r="E56" s="36"/>
      <c r="F56" s="36"/>
      <c r="G56" s="36"/>
      <c r="H56" s="36"/>
      <c r="I56" s="44"/>
      <c r="J56" s="1"/>
    </row>
    <row r="57" spans="1:10" ht="16.5" x14ac:dyDescent="0.25">
      <c r="A57" s="36"/>
      <c r="B57" s="48"/>
      <c r="C57" s="45"/>
      <c r="D57" s="47"/>
      <c r="E57" s="36"/>
      <c r="F57" s="36"/>
      <c r="G57" s="36"/>
      <c r="H57" s="36"/>
      <c r="I57" s="44"/>
      <c r="J57" s="1"/>
    </row>
    <row r="58" spans="1:10" x14ac:dyDescent="0.25">
      <c r="A58" s="36"/>
      <c r="B58" s="42" t="s">
        <v>74</v>
      </c>
      <c r="C58" s="43"/>
      <c r="D58" s="36"/>
      <c r="E58" s="36"/>
      <c r="F58" s="36"/>
      <c r="G58" s="36"/>
      <c r="H58" s="36"/>
      <c r="I58" s="44"/>
      <c r="J58" s="1"/>
    </row>
    <row r="59" spans="1:10" x14ac:dyDescent="0.25">
      <c r="A59" s="36"/>
      <c r="B59" s="42"/>
      <c r="C59" s="45" t="s">
        <v>56</v>
      </c>
      <c r="D59" s="46" t="s">
        <v>75</v>
      </c>
      <c r="E59" s="36"/>
      <c r="F59" s="36"/>
      <c r="G59" s="36"/>
      <c r="H59" s="36"/>
      <c r="I59" s="44"/>
      <c r="J59" s="1"/>
    </row>
    <row r="60" spans="1:10" x14ac:dyDescent="0.25">
      <c r="A60" s="36"/>
      <c r="B60" s="48"/>
      <c r="C60" s="45"/>
      <c r="D60" s="46"/>
      <c r="E60" s="36"/>
      <c r="F60" s="36"/>
      <c r="G60" s="36"/>
      <c r="H60" s="36"/>
      <c r="I60" s="44"/>
      <c r="J60" s="1"/>
    </row>
    <row r="61" spans="1:10" x14ac:dyDescent="0.25">
      <c r="A61" s="36"/>
      <c r="B61" s="42" t="s">
        <v>76</v>
      </c>
      <c r="C61" s="43"/>
      <c r="D61" s="36"/>
      <c r="E61" s="36"/>
      <c r="F61" s="36"/>
      <c r="G61" s="36"/>
      <c r="H61" s="36"/>
      <c r="I61" s="44"/>
      <c r="J61" s="1"/>
    </row>
    <row r="62" spans="1:10" x14ac:dyDescent="0.25">
      <c r="A62" s="36"/>
      <c r="B62" s="42"/>
      <c r="C62" s="45" t="s">
        <v>56</v>
      </c>
      <c r="D62" s="46" t="s">
        <v>77</v>
      </c>
      <c r="E62" s="36"/>
      <c r="F62" s="36"/>
      <c r="G62" s="36"/>
      <c r="H62" s="36"/>
      <c r="I62" s="44"/>
      <c r="J62" s="1"/>
    </row>
    <row r="63" spans="1:10" x14ac:dyDescent="0.25">
      <c r="A63" s="36"/>
      <c r="B63" s="48"/>
      <c r="C63" s="45"/>
      <c r="D63" s="46"/>
      <c r="E63" s="36"/>
      <c r="F63" s="36"/>
      <c r="G63" s="36"/>
      <c r="H63" s="36"/>
      <c r="I63" s="44"/>
      <c r="J63" s="1"/>
    </row>
    <row r="64" spans="1:10" x14ac:dyDescent="0.25">
      <c r="A64" s="36"/>
      <c r="B64" s="42" t="s">
        <v>78</v>
      </c>
      <c r="C64" s="43"/>
      <c r="D64" s="36"/>
      <c r="E64" s="36"/>
      <c r="F64" s="36"/>
      <c r="G64" s="36"/>
      <c r="H64" s="36"/>
      <c r="I64" s="44"/>
      <c r="J64" s="1"/>
    </row>
    <row r="65" spans="1:10" x14ac:dyDescent="0.25">
      <c r="A65" s="36"/>
      <c r="B65" s="42"/>
      <c r="C65" s="45" t="s">
        <v>56</v>
      </c>
      <c r="D65" s="46" t="s">
        <v>79</v>
      </c>
      <c r="E65" s="36"/>
      <c r="F65" s="36"/>
      <c r="G65" s="36"/>
      <c r="H65" s="36"/>
      <c r="I65" s="44"/>
      <c r="J65" s="1"/>
    </row>
    <row r="66" spans="1:10" x14ac:dyDescent="0.25">
      <c r="A66" s="36"/>
      <c r="B66" s="48"/>
      <c r="C66" s="45"/>
      <c r="D66" s="46"/>
      <c r="E66" s="36"/>
      <c r="F66" s="36"/>
      <c r="G66" s="36"/>
      <c r="H66" s="36"/>
      <c r="I66" s="44"/>
      <c r="J66" s="1"/>
    </row>
    <row r="67" spans="1:10" x14ac:dyDescent="0.25">
      <c r="A67" s="36"/>
      <c r="B67" s="42" t="s">
        <v>80</v>
      </c>
      <c r="C67" s="43"/>
      <c r="D67" s="36"/>
      <c r="E67" s="36"/>
      <c r="F67" s="36"/>
      <c r="G67" s="36"/>
      <c r="H67" s="36"/>
      <c r="I67" s="44"/>
      <c r="J67" s="1"/>
    </row>
    <row r="68" spans="1:10" x14ac:dyDescent="0.25">
      <c r="A68" s="36"/>
      <c r="B68" s="42"/>
      <c r="C68" s="45" t="s">
        <v>56</v>
      </c>
      <c r="D68" s="46" t="s">
        <v>81</v>
      </c>
      <c r="E68" s="36"/>
      <c r="F68" s="36"/>
      <c r="G68" s="36"/>
      <c r="H68" s="36"/>
      <c r="I68" s="44"/>
      <c r="J68" s="1"/>
    </row>
    <row r="69" spans="1:10" x14ac:dyDescent="0.25">
      <c r="A69" s="36"/>
      <c r="B69" s="42" t="s">
        <v>82</v>
      </c>
      <c r="C69" s="43"/>
      <c r="D69" s="36"/>
      <c r="E69" s="36"/>
      <c r="F69" s="36"/>
      <c r="G69" s="36"/>
      <c r="H69" s="36"/>
      <c r="I69" s="44"/>
      <c r="J69" s="1"/>
    </row>
    <row r="70" spans="1:10" x14ac:dyDescent="0.25">
      <c r="A70" s="36"/>
      <c r="B70" s="42"/>
      <c r="C70" s="45" t="s">
        <v>56</v>
      </c>
      <c r="D70" s="46" t="s">
        <v>83</v>
      </c>
      <c r="E70" s="36"/>
      <c r="F70" s="36"/>
      <c r="G70" s="36"/>
      <c r="H70" s="36"/>
      <c r="I70" s="44"/>
      <c r="J70" s="1"/>
    </row>
    <row r="71" spans="1:10" x14ac:dyDescent="0.25">
      <c r="A71" s="36"/>
      <c r="B71" s="42"/>
      <c r="C71" s="45"/>
      <c r="D71" s="46"/>
      <c r="E71" s="36"/>
      <c r="F71" s="36"/>
      <c r="G71" s="36"/>
      <c r="H71" s="36"/>
      <c r="I71" s="44"/>
      <c r="J71" s="1"/>
    </row>
    <row r="72" spans="1:10" x14ac:dyDescent="0.25">
      <c r="A72" s="36"/>
      <c r="B72" s="42" t="s">
        <v>84</v>
      </c>
      <c r="C72" s="43"/>
      <c r="D72" s="36"/>
      <c r="E72" s="36"/>
      <c r="F72" s="36"/>
      <c r="G72" s="36"/>
      <c r="H72" s="36"/>
      <c r="I72" s="44"/>
      <c r="J72" s="1"/>
    </row>
    <row r="73" spans="1:10" x14ac:dyDescent="0.25">
      <c r="A73" s="36"/>
      <c r="B73" s="42"/>
      <c r="C73" s="45" t="s">
        <v>56</v>
      </c>
      <c r="D73" s="46" t="s">
        <v>85</v>
      </c>
      <c r="E73" s="36"/>
      <c r="F73" s="36"/>
      <c r="G73" s="36"/>
      <c r="H73" s="36"/>
      <c r="I73" s="44"/>
      <c r="J73" s="1"/>
    </row>
    <row r="74" spans="1:10" ht="16.5" x14ac:dyDescent="0.25">
      <c r="A74" s="36"/>
      <c r="B74" s="42"/>
      <c r="C74" s="45"/>
      <c r="D74" s="47"/>
      <c r="E74" s="36"/>
      <c r="F74" s="36"/>
      <c r="G74" s="36"/>
      <c r="H74" s="36"/>
      <c r="I74" s="44"/>
      <c r="J74" s="1"/>
    </row>
    <row r="75" spans="1:10" x14ac:dyDescent="0.25">
      <c r="A75" s="36"/>
      <c r="B75" s="48"/>
      <c r="C75" s="45"/>
      <c r="D75" s="46"/>
      <c r="E75" s="36"/>
      <c r="F75" s="36"/>
      <c r="G75" s="36"/>
      <c r="H75" s="36"/>
      <c r="I75" s="44"/>
      <c r="J75" s="1"/>
    </row>
    <row r="76" spans="1:10" x14ac:dyDescent="0.25">
      <c r="A76" s="36"/>
      <c r="B76" s="42" t="s">
        <v>86</v>
      </c>
      <c r="C76" s="43"/>
      <c r="D76" s="36"/>
      <c r="E76" s="36"/>
      <c r="F76" s="36"/>
      <c r="G76" s="36"/>
      <c r="H76" s="36"/>
      <c r="I76" s="44"/>
      <c r="J76" s="1"/>
    </row>
    <row r="77" spans="1:10" x14ac:dyDescent="0.25">
      <c r="A77" s="36"/>
      <c r="B77" s="42"/>
      <c r="C77" s="45" t="s">
        <v>56</v>
      </c>
      <c r="D77" s="46" t="s">
        <v>87</v>
      </c>
      <c r="E77" s="36"/>
      <c r="F77" s="36"/>
      <c r="G77" s="36"/>
      <c r="H77" s="36"/>
      <c r="I77" s="44"/>
      <c r="J77" s="1"/>
    </row>
    <row r="78" spans="1:10" x14ac:dyDescent="0.25">
      <c r="A78" s="36"/>
      <c r="B78" s="42" t="s">
        <v>88</v>
      </c>
      <c r="C78" s="43"/>
      <c r="D78" s="36"/>
      <c r="E78" s="36"/>
      <c r="F78" s="36"/>
      <c r="G78" s="36"/>
      <c r="H78" s="36"/>
      <c r="I78" s="44"/>
      <c r="J78" s="1"/>
    </row>
    <row r="79" spans="1:10" x14ac:dyDescent="0.25">
      <c r="A79" s="36"/>
      <c r="B79" s="42"/>
      <c r="C79" s="45" t="s">
        <v>56</v>
      </c>
      <c r="D79" s="46" t="s">
        <v>89</v>
      </c>
      <c r="E79" s="36"/>
      <c r="F79" s="36"/>
      <c r="G79" s="36"/>
      <c r="H79" s="36"/>
      <c r="I79" s="44"/>
      <c r="J79" s="1"/>
    </row>
    <row r="80" spans="1:10" x14ac:dyDescent="0.25">
      <c r="A80" s="36"/>
      <c r="B80" s="48"/>
      <c r="C80" s="45"/>
      <c r="D80" s="46"/>
      <c r="E80" s="36"/>
      <c r="F80" s="36"/>
      <c r="G80" s="36"/>
      <c r="H80" s="36"/>
      <c r="I80" s="44"/>
      <c r="J80" s="1"/>
    </row>
    <row r="81" spans="1:10" x14ac:dyDescent="0.25">
      <c r="A81" s="36"/>
      <c r="B81" s="42" t="s">
        <v>90</v>
      </c>
      <c r="C81" s="43"/>
      <c r="D81" s="36"/>
      <c r="E81" s="36"/>
      <c r="F81" s="36"/>
      <c r="G81" s="36"/>
      <c r="H81" s="36"/>
      <c r="I81" s="44"/>
      <c r="J81" s="1"/>
    </row>
    <row r="82" spans="1:10" x14ac:dyDescent="0.25">
      <c r="A82" s="36"/>
      <c r="B82" s="42"/>
      <c r="C82" s="45" t="s">
        <v>56</v>
      </c>
      <c r="D82" s="49" t="s">
        <v>91</v>
      </c>
      <c r="E82" s="36"/>
      <c r="F82" s="36"/>
      <c r="G82" s="36"/>
      <c r="H82" s="36"/>
      <c r="I82" s="44"/>
      <c r="J82" s="1"/>
    </row>
    <row r="83" spans="1:10" x14ac:dyDescent="0.25">
      <c r="A83" s="36"/>
      <c r="B83" s="51" t="s">
        <v>92</v>
      </c>
      <c r="C83" s="43"/>
      <c r="D83" s="36"/>
      <c r="E83" s="52"/>
      <c r="F83" s="36"/>
      <c r="G83" s="36"/>
      <c r="H83" s="36"/>
      <c r="I83" s="44"/>
      <c r="J83" s="1"/>
    </row>
    <row r="84" spans="1:10" ht="62.25" customHeight="1" x14ac:dyDescent="0.25">
      <c r="A84" s="36"/>
      <c r="B84" s="42"/>
      <c r="C84" s="61" t="s">
        <v>93</v>
      </c>
      <c r="D84" s="61"/>
      <c r="E84" s="61"/>
      <c r="F84" s="36"/>
      <c r="G84" s="36"/>
      <c r="H84" s="36"/>
      <c r="I84" s="44"/>
      <c r="J84" s="1"/>
    </row>
    <row r="85" spans="1:10" x14ac:dyDescent="0.25">
      <c r="A85" s="36"/>
      <c r="B85" s="53" t="s">
        <v>94</v>
      </c>
      <c r="C85" s="43"/>
      <c r="D85" s="36"/>
      <c r="E85" s="52"/>
      <c r="F85" s="36"/>
      <c r="G85" s="36"/>
      <c r="H85" s="36"/>
      <c r="I85" s="44"/>
      <c r="J85" s="1"/>
    </row>
    <row r="86" spans="1:10" x14ac:dyDescent="0.25">
      <c r="A86" s="36"/>
      <c r="B86" s="42"/>
      <c r="C86" s="61" t="s">
        <v>95</v>
      </c>
      <c r="D86" s="61"/>
      <c r="E86" s="61"/>
      <c r="F86" s="36"/>
      <c r="G86" s="36"/>
      <c r="H86" s="36"/>
      <c r="I86" s="44"/>
      <c r="J86" s="1"/>
    </row>
    <row r="87" spans="1:10" x14ac:dyDescent="0.25">
      <c r="A87" s="36"/>
      <c r="B87" s="53" t="s">
        <v>96</v>
      </c>
      <c r="C87" s="54"/>
      <c r="D87" s="55"/>
      <c r="E87" s="55"/>
      <c r="F87" s="36"/>
      <c r="G87" s="36"/>
      <c r="H87" s="36"/>
      <c r="I87" s="44"/>
      <c r="J87" s="1"/>
    </row>
    <row r="88" spans="1:10" x14ac:dyDescent="0.25">
      <c r="A88" s="36"/>
      <c r="B88" s="42"/>
      <c r="C88" s="62" t="s">
        <v>97</v>
      </c>
      <c r="D88" s="62"/>
      <c r="E88" s="62"/>
      <c r="F88" s="36"/>
      <c r="G88" s="36"/>
      <c r="H88" s="36"/>
      <c r="I88" s="44"/>
      <c r="J88" s="1"/>
    </row>
    <row r="89" spans="1:10" x14ac:dyDescent="0.25">
      <c r="A89" s="36"/>
      <c r="B89" s="53" t="s">
        <v>98</v>
      </c>
      <c r="C89" s="43"/>
      <c r="D89" s="36"/>
      <c r="E89" s="36"/>
      <c r="F89" s="36"/>
      <c r="G89" s="36"/>
      <c r="H89" s="36"/>
      <c r="I89" s="44"/>
      <c r="J89" s="1"/>
    </row>
    <row r="90" spans="1:10" ht="15.75" thickBot="1" x14ac:dyDescent="0.3">
      <c r="A90" s="36"/>
      <c r="B90" s="56"/>
      <c r="C90" s="57" t="s">
        <v>99</v>
      </c>
      <c r="D90" s="58"/>
      <c r="E90" s="58"/>
      <c r="F90" s="58"/>
      <c r="G90" s="58"/>
      <c r="H90" s="58"/>
      <c r="I90" s="59"/>
      <c r="J90" s="1"/>
    </row>
    <row r="91" spans="1:1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</row>
  </sheetData>
  <mergeCells count="10">
    <mergeCell ref="A7:B7"/>
    <mergeCell ref="C84:E84"/>
    <mergeCell ref="C86:E86"/>
    <mergeCell ref="C88:E88"/>
    <mergeCell ref="B2:H2"/>
    <mergeCell ref="A4:B4"/>
    <mergeCell ref="C4:E4"/>
    <mergeCell ref="A5:B5"/>
    <mergeCell ref="C5:E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Policia Catamarca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SILVINA ATENCIO</dc:creator>
  <cp:lastModifiedBy>COMPRAS</cp:lastModifiedBy>
  <dcterms:created xsi:type="dcterms:W3CDTF">2021-05-26T13:59:24Z</dcterms:created>
  <dcterms:modified xsi:type="dcterms:W3CDTF">2021-08-10T14:25:07Z</dcterms:modified>
</cp:coreProperties>
</file>