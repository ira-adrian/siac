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Johana\2 TRIMESTRE  2022\SALUD\reactivos\nuevo\"/>
    </mc:Choice>
  </mc:AlternateContent>
  <xr:revisionPtr revIDLastSave="0" documentId="13_ncr:1_{2B5D37EF-AEAB-4BF1-B56D-27493F3EDBE3}" xr6:coauthVersionLast="47" xr6:coauthVersionMax="47" xr10:uidLastSave="{00000000-0000-0000-0000-000000000000}"/>
  <bookViews>
    <workbookView xWindow="-120" yWindow="-120" windowWidth="29040" windowHeight="15840" xr2:uid="{00000000-000D-0000-FFFF-FFFF00000000}"/>
  </bookViews>
  <sheets>
    <sheet name="SAF 011 - NECESIDAD TRIMESTRAL" sheetId="1" r:id="rId1"/>
    <sheet name="NP DPLAB" sheetId="2" r:id="rId2"/>
    <sheet name="APG DPLAB" sheetId="3" r:id="rId3"/>
    <sheet name="NP DPBS" sheetId="6" r:id="rId4"/>
    <sheet name="APG DPBS" sheetId="7" r:id="rId5"/>
    <sheet name="NP DPSMA" sheetId="8" r:id="rId6"/>
    <sheet name="APG DPSMA" sheetId="9" r:id="rId7"/>
    <sheet name="NP DPCUR" sheetId="10" r:id="rId8"/>
    <sheet name="APG DPCUR" sheetId="11" r:id="rId9"/>
  </sheets>
  <definedNames>
    <definedName name="_xlnm._FilterDatabase" localSheetId="0" hidden="1">'SAF 011 - NECESIDAD TRIMESTRAL'!$A$9:$I$9</definedName>
  </definedNames>
  <calcPr calcId="181029"/>
</workbook>
</file>

<file path=xl/calcChain.xml><?xml version="1.0" encoding="utf-8"?>
<calcChain xmlns="http://schemas.openxmlformats.org/spreadsheetml/2006/main">
  <c r="K57" i="6" l="1"/>
  <c r="J57" i="6"/>
  <c r="I57" i="6"/>
  <c r="C57" i="6"/>
  <c r="K14" i="6"/>
  <c r="K15" i="6"/>
  <c r="K16" i="6"/>
  <c r="J14" i="6"/>
  <c r="J15" i="6"/>
  <c r="J16" i="6"/>
  <c r="I14" i="6" l="1"/>
  <c r="I15" i="6"/>
  <c r="I16" i="6"/>
  <c r="I17" i="6"/>
  <c r="C14" i="6"/>
  <c r="C15" i="6"/>
  <c r="C16" i="6"/>
  <c r="C17" i="6"/>
  <c r="K13" i="6"/>
  <c r="J13" i="6"/>
  <c r="I13" i="6"/>
  <c r="C13" i="6"/>
  <c r="C12" i="10" l="1"/>
  <c r="I12" i="10"/>
  <c r="J12" i="10"/>
  <c r="K12" i="10"/>
  <c r="K13" i="10"/>
  <c r="K14" i="10"/>
  <c r="K15" i="10"/>
  <c r="K16" i="10"/>
  <c r="K17" i="10"/>
  <c r="K18" i="10"/>
  <c r="K19" i="10"/>
  <c r="K20" i="10"/>
  <c r="K21" i="10"/>
  <c r="K22" i="10"/>
  <c r="K23" i="10"/>
  <c r="K24" i="10"/>
  <c r="K25" i="10"/>
  <c r="K26" i="10"/>
  <c r="K27" i="10"/>
  <c r="K28" i="10"/>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12" i="8"/>
  <c r="K12"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A41" i="11"/>
  <c r="G7" i="11"/>
  <c r="G6" i="11"/>
  <c r="G5" i="11"/>
  <c r="G4" i="11"/>
  <c r="J28" i="10"/>
  <c r="I28" i="10"/>
  <c r="C28" i="10"/>
  <c r="J27" i="10"/>
  <c r="I27" i="10"/>
  <c r="C27" i="10"/>
  <c r="J26" i="10"/>
  <c r="I26" i="10"/>
  <c r="C26" i="10"/>
  <c r="J25" i="10"/>
  <c r="I25" i="10"/>
  <c r="C25" i="10"/>
  <c r="J24" i="10"/>
  <c r="I24" i="10"/>
  <c r="C24" i="10"/>
  <c r="J23" i="10"/>
  <c r="I23" i="10"/>
  <c r="C23" i="10"/>
  <c r="J22" i="10"/>
  <c r="I22" i="10"/>
  <c r="C22" i="10"/>
  <c r="J21" i="10"/>
  <c r="I21" i="10"/>
  <c r="C21" i="10"/>
  <c r="J20" i="10"/>
  <c r="I20" i="10"/>
  <c r="C20" i="10"/>
  <c r="J19" i="10"/>
  <c r="I19" i="10"/>
  <c r="C19" i="10"/>
  <c r="J18" i="10"/>
  <c r="I18" i="10"/>
  <c r="C18" i="10"/>
  <c r="J17" i="10"/>
  <c r="I17" i="10"/>
  <c r="C17" i="10"/>
  <c r="J16" i="10"/>
  <c r="I16" i="10"/>
  <c r="C16" i="10"/>
  <c r="J15" i="10"/>
  <c r="I15" i="10"/>
  <c r="C15" i="10"/>
  <c r="J14" i="10"/>
  <c r="I14" i="10"/>
  <c r="C14" i="10"/>
  <c r="J13" i="10"/>
  <c r="I13" i="10"/>
  <c r="C13" i="10"/>
  <c r="A41" i="9"/>
  <c r="G7" i="9"/>
  <c r="G6" i="9"/>
  <c r="G5" i="9"/>
  <c r="G4" i="9"/>
  <c r="J45" i="8"/>
  <c r="I45" i="8"/>
  <c r="C45" i="8"/>
  <c r="J44" i="8"/>
  <c r="I44" i="8"/>
  <c r="C44" i="8"/>
  <c r="J43" i="8"/>
  <c r="I43" i="8"/>
  <c r="C43" i="8"/>
  <c r="J42" i="8"/>
  <c r="I42" i="8"/>
  <c r="C42" i="8"/>
  <c r="J41" i="8"/>
  <c r="I41" i="8"/>
  <c r="C41" i="8"/>
  <c r="J40" i="8"/>
  <c r="I40" i="8"/>
  <c r="C40" i="8"/>
  <c r="J39" i="8"/>
  <c r="I39" i="8"/>
  <c r="C39" i="8"/>
  <c r="J38" i="8"/>
  <c r="I38" i="8"/>
  <c r="C38" i="8"/>
  <c r="J37" i="8"/>
  <c r="I37" i="8"/>
  <c r="C37" i="8"/>
  <c r="J36" i="8"/>
  <c r="I36" i="8"/>
  <c r="C36" i="8"/>
  <c r="J35" i="8"/>
  <c r="I35" i="8"/>
  <c r="C35" i="8"/>
  <c r="J34" i="8"/>
  <c r="I34" i="8"/>
  <c r="C34" i="8"/>
  <c r="J33" i="8"/>
  <c r="I33" i="8"/>
  <c r="C33" i="8"/>
  <c r="J32" i="8"/>
  <c r="I32" i="8"/>
  <c r="C32" i="8"/>
  <c r="J31" i="8"/>
  <c r="I31" i="8"/>
  <c r="C31" i="8"/>
  <c r="J30" i="8"/>
  <c r="I30" i="8"/>
  <c r="C30" i="8"/>
  <c r="J29" i="8"/>
  <c r="I29" i="8"/>
  <c r="C29" i="8"/>
  <c r="J28" i="8"/>
  <c r="I28" i="8"/>
  <c r="C28" i="8"/>
  <c r="J27" i="8"/>
  <c r="I27" i="8"/>
  <c r="C27" i="8"/>
  <c r="J26" i="8"/>
  <c r="I26" i="8"/>
  <c r="C26" i="8"/>
  <c r="J25" i="8"/>
  <c r="I25" i="8"/>
  <c r="C25" i="8"/>
  <c r="J24" i="8"/>
  <c r="I24" i="8"/>
  <c r="C24" i="8"/>
  <c r="J23" i="8"/>
  <c r="I23" i="8"/>
  <c r="C23" i="8"/>
  <c r="J22" i="8"/>
  <c r="I22" i="8"/>
  <c r="C22" i="8"/>
  <c r="J21" i="8"/>
  <c r="I21" i="8"/>
  <c r="C21" i="8"/>
  <c r="J20" i="8"/>
  <c r="I20" i="8"/>
  <c r="C20" i="8"/>
  <c r="J19" i="8"/>
  <c r="I19" i="8"/>
  <c r="C19" i="8"/>
  <c r="J18" i="8"/>
  <c r="I18" i="8"/>
  <c r="C18" i="8"/>
  <c r="J17" i="8"/>
  <c r="I17" i="8"/>
  <c r="C17" i="8"/>
  <c r="J16" i="8"/>
  <c r="I16" i="8"/>
  <c r="C16" i="8"/>
  <c r="J15" i="8"/>
  <c r="I15" i="8"/>
  <c r="C15" i="8"/>
  <c r="J14" i="8"/>
  <c r="I14" i="8"/>
  <c r="C14" i="8"/>
  <c r="J13" i="8"/>
  <c r="I13" i="8"/>
  <c r="C13" i="8"/>
  <c r="J12" i="8"/>
  <c r="I12" i="8"/>
  <c r="C12" i="8"/>
  <c r="A41" i="7"/>
  <c r="G7" i="7"/>
  <c r="G6" i="7"/>
  <c r="G5" i="7"/>
  <c r="G4" i="7"/>
  <c r="J56" i="6"/>
  <c r="I56" i="6"/>
  <c r="C56" i="6"/>
  <c r="J55" i="6"/>
  <c r="I55" i="6"/>
  <c r="C55" i="6"/>
  <c r="J54" i="6"/>
  <c r="I54" i="6"/>
  <c r="C54" i="6"/>
  <c r="J53" i="6"/>
  <c r="I53" i="6"/>
  <c r="C53" i="6"/>
  <c r="J52" i="6"/>
  <c r="I52" i="6"/>
  <c r="C52" i="6"/>
  <c r="J51" i="6"/>
  <c r="I51" i="6"/>
  <c r="C51" i="6"/>
  <c r="J50" i="6"/>
  <c r="I50" i="6"/>
  <c r="C50" i="6"/>
  <c r="J49" i="6"/>
  <c r="I49" i="6"/>
  <c r="C49" i="6"/>
  <c r="J48" i="6"/>
  <c r="I48" i="6"/>
  <c r="C48" i="6"/>
  <c r="J47" i="6"/>
  <c r="I47" i="6"/>
  <c r="C47" i="6"/>
  <c r="J46" i="6"/>
  <c r="I46" i="6"/>
  <c r="C46" i="6"/>
  <c r="J45" i="6"/>
  <c r="I45" i="6"/>
  <c r="C45" i="6"/>
  <c r="J44" i="6"/>
  <c r="I44" i="6"/>
  <c r="C44" i="6"/>
  <c r="J43" i="6"/>
  <c r="I43" i="6"/>
  <c r="C43" i="6"/>
  <c r="J42" i="6"/>
  <c r="I42" i="6"/>
  <c r="C42" i="6"/>
  <c r="J41" i="6"/>
  <c r="I41" i="6"/>
  <c r="C41" i="6"/>
  <c r="J40" i="6"/>
  <c r="I40" i="6"/>
  <c r="C40" i="6"/>
  <c r="J39" i="6"/>
  <c r="I39" i="6"/>
  <c r="C39" i="6"/>
  <c r="J38" i="6"/>
  <c r="I38" i="6"/>
  <c r="C38" i="6"/>
  <c r="J37" i="6"/>
  <c r="I37" i="6"/>
  <c r="C37" i="6"/>
  <c r="J36" i="6"/>
  <c r="I36" i="6"/>
  <c r="C36" i="6"/>
  <c r="J35" i="6"/>
  <c r="I35" i="6"/>
  <c r="C35" i="6"/>
  <c r="J34" i="6"/>
  <c r="I34" i="6"/>
  <c r="C34" i="6"/>
  <c r="J33" i="6"/>
  <c r="I33" i="6"/>
  <c r="C33" i="6"/>
  <c r="J32" i="6"/>
  <c r="I32" i="6"/>
  <c r="C32" i="6"/>
  <c r="J31" i="6"/>
  <c r="I31" i="6"/>
  <c r="C31" i="6"/>
  <c r="J30" i="6"/>
  <c r="I30" i="6"/>
  <c r="C30" i="6"/>
  <c r="J29" i="6"/>
  <c r="I29" i="6"/>
  <c r="C29" i="6"/>
  <c r="J28" i="6"/>
  <c r="I28" i="6"/>
  <c r="C28" i="6"/>
  <c r="J27" i="6"/>
  <c r="I27" i="6"/>
  <c r="C27" i="6"/>
  <c r="J26" i="6"/>
  <c r="I26" i="6"/>
  <c r="C26" i="6"/>
  <c r="J25" i="6"/>
  <c r="I25" i="6"/>
  <c r="C25" i="6"/>
  <c r="J24" i="6"/>
  <c r="I24" i="6"/>
  <c r="C24" i="6"/>
  <c r="J23" i="6"/>
  <c r="I23" i="6"/>
  <c r="C23" i="6"/>
  <c r="J22" i="6"/>
  <c r="I22" i="6"/>
  <c r="C22" i="6"/>
  <c r="J21" i="6"/>
  <c r="I21" i="6"/>
  <c r="C21" i="6"/>
  <c r="J20" i="6"/>
  <c r="I20" i="6"/>
  <c r="C20" i="6"/>
  <c r="J19" i="6"/>
  <c r="I19" i="6"/>
  <c r="C19" i="6"/>
  <c r="J18" i="6"/>
  <c r="I18" i="6"/>
  <c r="C18" i="6"/>
  <c r="J17" i="6"/>
  <c r="J12" i="6"/>
  <c r="I12" i="6"/>
  <c r="C12" i="6"/>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C76" i="2"/>
  <c r="C77" i="2"/>
  <c r="C78" i="2"/>
  <c r="C79" i="2"/>
  <c r="C80" i="2"/>
  <c r="C81" i="2"/>
  <c r="C68" i="2"/>
  <c r="C69" i="2"/>
  <c r="C70" i="2"/>
  <c r="C71" i="2"/>
  <c r="C72" i="2"/>
  <c r="C73" i="2"/>
  <c r="C74" i="2"/>
  <c r="C75"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J30" i="10" l="1"/>
  <c r="Q38" i="11" s="1"/>
  <c r="J47" i="8"/>
  <c r="Q15" i="9" s="1"/>
  <c r="Q38" i="9" s="1"/>
  <c r="J59" i="6"/>
  <c r="Q15" i="7" s="1"/>
  <c r="Q38" i="7" s="1"/>
  <c r="J83" i="2" l="1"/>
  <c r="Q15" i="3" s="1"/>
  <c r="A41" i="3"/>
  <c r="G5" i="3" l="1"/>
  <c r="G6" i="3"/>
  <c r="G7" i="3"/>
  <c r="G4" i="3"/>
  <c r="Q38" i="3"/>
  <c r="I173" i="1" l="1"/>
</calcChain>
</file>

<file path=xl/sharedStrings.xml><?xml version="1.0" encoding="utf-8"?>
<sst xmlns="http://schemas.openxmlformats.org/spreadsheetml/2006/main" count="1068" uniqueCount="269">
  <si>
    <t>Pedido de Necesidades Trimestrales</t>
  </si>
  <si>
    <t>JURISDICCION:</t>
  </si>
  <si>
    <t>040 - MINISTERIO DE SALUD</t>
  </si>
  <si>
    <t xml:space="preserve">SAF N°: </t>
  </si>
  <si>
    <t>011 - DIRECCION PROVINCIAL DE ADMINISTRACION - MINISTERIO DE SALUD</t>
  </si>
  <si>
    <t>EJERCICIO:</t>
  </si>
  <si>
    <t>TRIMESTRE:</t>
  </si>
  <si>
    <t>ID</t>
  </si>
  <si>
    <t>CODIGO ITEM</t>
  </si>
  <si>
    <t>RUBRO DE COMPRA</t>
  </si>
  <si>
    <t xml:space="preserve">I.P.P. </t>
  </si>
  <si>
    <t>DESCRIPCION</t>
  </si>
  <si>
    <t>UNIDAD DE MEDIDA</t>
  </si>
  <si>
    <t>CANTIDAD TOTAL</t>
  </si>
  <si>
    <t>PRECIO UNITARIO ESTIMADO</t>
  </si>
  <si>
    <t xml:space="preserve">IMPORTE TOTAL ESTIMADO </t>
  </si>
  <si>
    <t>ESPECIFICACION TECNICA</t>
  </si>
  <si>
    <t>CAJA</t>
  </si>
  <si>
    <t xml:space="preserve">UNIDAD </t>
  </si>
  <si>
    <t>UNIDAD</t>
  </si>
  <si>
    <t>2.5.1.</t>
  </si>
  <si>
    <t>BOTELLA</t>
  </si>
  <si>
    <t>ANTI A MONOCLONAL FRASCO X 10 ML Tipo WIENER</t>
  </si>
  <si>
    <t>FRASCO</t>
  </si>
  <si>
    <t>ANTI B MONOCLONAL FRASCO X 10 ML Tipo WIENER</t>
  </si>
  <si>
    <t>ASO LATEX 50 DET Tipo WIENER</t>
  </si>
  <si>
    <t>CASSETTE</t>
  </si>
  <si>
    <t>CHAGATEST ELISA LISADO-96DET.</t>
  </si>
  <si>
    <t>CHAGATEST ELISA RECOMBINANTE (V4,0)-96 DET.</t>
  </si>
  <si>
    <t>CMV CITOMEGALOVIRUS IGM  METODO ELISA 96 DET.</t>
  </si>
  <si>
    <t>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t>
  </si>
  <si>
    <t>HEPATITIS B ELISA  HBSAG-96DET.</t>
  </si>
  <si>
    <t>HEPATITIS C HCV ELISA 3º GEN. 96 DET.</t>
  </si>
  <si>
    <t>HIV ELISA AG/AC 4° GENERACION -96 DET-</t>
  </si>
  <si>
    <t xml:space="preserve">Unidad </t>
  </si>
  <si>
    <t>HTLV 1 Y 2 ELISA-96DET.</t>
  </si>
  <si>
    <t>HVC REACTIVO x 100 det</t>
  </si>
  <si>
    <t>SARS- COV-2 Igm Control</t>
  </si>
  <si>
    <t>SARS-COV-2 IgG Reactivo x 100 det</t>
  </si>
  <si>
    <t>SARS-COV-2 IgM Calibrador</t>
  </si>
  <si>
    <t>SET DE SUSTRATOS II X 1000 DET Tipo TOSOH</t>
  </si>
  <si>
    <t>solucion ACD ( ANTICOAGULANTE PARA EQUIPO DE AFERESIS)</t>
  </si>
  <si>
    <t>STANDATROL S-E 2 NIVEL 3 FRASCOS X 5 ML N1+3 FRASCOS Tipo WIENER</t>
  </si>
  <si>
    <t>TOXO AD 96 DET Tipo POLYCHACO</t>
  </si>
  <si>
    <t>TOXO HAI 96 DET.</t>
  </si>
  <si>
    <t>TOTAL RUBRO REACTIVOS PARA LABORATORIO</t>
  </si>
  <si>
    <t>PRODUCTOS MEDICO/FARMACEUTICOS/LAB.</t>
  </si>
  <si>
    <t>ALBUMINA AA 6X 120 ML Tipo WIENER</t>
  </si>
  <si>
    <t>ALCOHOL METILICO X 1 L TIPO CICARELLI</t>
  </si>
  <si>
    <t xml:space="preserve">BOTELLA </t>
  </si>
  <si>
    <t>ALP 405 AA LIQUIDA  100 ML Tipo WIENER</t>
  </si>
  <si>
    <t>AMILASA 405 AA LIQUIDA 3X10 ML (30 ML) Tipo WIENER</t>
  </si>
  <si>
    <t>ANTI D(RHO) MONOCLONAL FRASCO X 10 ML Tipo WIENER</t>
  </si>
  <si>
    <t>APTT TEST  6X25 ML (150 DET) TIPO WIENER</t>
  </si>
  <si>
    <t>ARTRITEST DIRECTO 50 DET. Tipo WIENER</t>
  </si>
  <si>
    <t>Biozima chagas reconvinante x 192 Determinaciones. Tipo Lemos</t>
  </si>
  <si>
    <t>Biozima chagas x 192 Determibaciones. Tipo Lemos</t>
  </si>
  <si>
    <t xml:space="preserve">CASSETTE SENSOR 25 DET. OSMETECH OPTI CCA, Tipo OPTI MEDICAL "E-Glu"  </t>
  </si>
  <si>
    <t>CELLPACK PK-30L x 20 LITROS Tipo SYSMEX</t>
  </si>
  <si>
    <t>BIDON</t>
  </si>
  <si>
    <t>CK-MB CONTROL 3 NIVELES 3x3 Tipo WIENER</t>
  </si>
  <si>
    <t>CK-MB NAC UV UNITEST 19 DET x 2,5-ICONTROL Tipo WIENER</t>
  </si>
  <si>
    <t>CK-NAC UV AA liquida 120 ML Tipo WIENER</t>
  </si>
  <si>
    <t>CK-NAC UV unitest 50 ML (20x2,5 ML) Tipo WIENER</t>
  </si>
  <si>
    <t>CMV G x 60dets. MINIVIDAS BIOMERIEUX</t>
  </si>
  <si>
    <t>CMV M x 60dets.  MINIVIDAS BIOMERIEUX</t>
  </si>
  <si>
    <t>COLESTEROL 2 X 500 ML TIPO WIENER</t>
  </si>
  <si>
    <t>COLINESTERASA AA 78 ML Tipo WIENER</t>
  </si>
  <si>
    <t>CONTROL DE HEMATOLOGIA PARA SYSMEX</t>
  </si>
  <si>
    <t xml:space="preserve">CONTROL LIQUIDO TRI-NIVEL, OPTI CHECK, OSMETECH </t>
  </si>
  <si>
    <t>DETERGENTE CONCENTRADO (CD80)</t>
  </si>
  <si>
    <t>DETERGENTE NO IONICO X 500 ML TIPO WIENER</t>
  </si>
  <si>
    <t>DG GEL ABO RH 2D</t>
  </si>
  <si>
    <t>DG GEL COOMBS</t>
  </si>
  <si>
    <t>DG GEL PHENO+KELL</t>
  </si>
  <si>
    <t>DG SOL</t>
  </si>
  <si>
    <t>DIESTRO TRILEVEL</t>
  </si>
  <si>
    <t>Equipo para la deteccion de Anti Hb Core, por metodo de Elisa  en microplacas en equipos de 96 det. Monolisa HBc Plus</t>
  </si>
  <si>
    <t xml:space="preserve">FORMOL X 1 L TIPO BIOPUR </t>
  </si>
  <si>
    <t>FOSFATASA ALCALINA Optimizada 200 DET. Tipo WIENER</t>
  </si>
  <si>
    <t>GAMMA G-test CINETICA AA  Tipo WIENER</t>
  </si>
  <si>
    <t>g-G-test CINETICA AA LIQUIDA 100 ML Tipo WIENER</t>
  </si>
  <si>
    <t xml:space="preserve">CAJA </t>
  </si>
  <si>
    <t>GLUCOCURVE SDA 75 GR X 10 SOBRES  Tipo GLUCOCURVE</t>
  </si>
  <si>
    <t>GOT (AST) UV AA liquida 200 ML Tipo WIENER</t>
  </si>
  <si>
    <t>GPT (ALT) UV AA liquida 200 ML Tipo WIENER</t>
  </si>
  <si>
    <t>HDL COLESTEROL MONOFASE AA PLUS C/CALIBRADOR 60 ML+20 ML (200 D.X0,4 M.) Tipo WIENER</t>
  </si>
  <si>
    <t>HEPATITIS B AG SUPERFICIE HBsAG ELISA X 96 DETERMINACIONES Tipo WIENER</t>
  </si>
  <si>
    <t>KingFisher 96 tip comb for deep-well magnets, 10x10 pcs/box (for Flex, Apex ande Presto)</t>
  </si>
  <si>
    <t xml:space="preserve">KingFisher Plastic Consumables for SARS-COV2 Testing </t>
  </si>
  <si>
    <t>KingFisher TM Plastic for standard and PCR format</t>
  </si>
  <si>
    <t>LDH-P UV AA liquida 100 ML Tipo WIENER</t>
  </si>
  <si>
    <t xml:space="preserve">LDL COLESTEROL REACTIVO PRECIPITANTE TIPO WIENER </t>
  </si>
  <si>
    <t xml:space="preserve">MagMAX TM Viral/Pathogen II (MVP) Nucleic Acid Isolation Kit </t>
  </si>
  <si>
    <t>Measle G x 60 dets. MINIVIDAS BIOMERIEUX</t>
  </si>
  <si>
    <t>Mg-color AA tipo WIENER</t>
  </si>
  <si>
    <t xml:space="preserve">Pack DIESTRO </t>
  </si>
  <si>
    <t>PCR -latex directo 50 DET. Tipo WIENER</t>
  </si>
  <si>
    <t>PROTI U/LCR CONTROL 2 niveles 2X3 ML Tipo WIENER</t>
  </si>
  <si>
    <t>PROTI U/LCR tipo WIENER</t>
  </si>
  <si>
    <t>Rub G x 60dets. MINIVIDAS BIOMERIEUX</t>
  </si>
  <si>
    <t>Rub M x 60dets. MINIVIDAS BIOMERIEUX</t>
  </si>
  <si>
    <t>SERIGROUP A 1/B</t>
  </si>
  <si>
    <t>SERO CYTE POOL 0,8%</t>
  </si>
  <si>
    <t>SOLUPLASTIN 10X2 ML 100 DET. Tipo WIENER</t>
  </si>
  <si>
    <t>STROMATOLYSER-WH 500 ML X3 Tipo SYSMEX</t>
  </si>
  <si>
    <t xml:space="preserve">T4L set de calibradores tipo TOSOH </t>
  </si>
  <si>
    <t>T4L x 100 dets. Tipo TOSOH</t>
  </si>
  <si>
    <t>TG COLOR GPO/PAP AA liquida 400 ML (4X100 ML) Tipo WIENER</t>
  </si>
  <si>
    <t xml:space="preserve">TSH 3ra generacion set de calibradores x 6 niveles tipo TOSOH </t>
  </si>
  <si>
    <t>TSH REACTIVO x 100 dets. Tipo TOSOH</t>
  </si>
  <si>
    <t>TXG x 60 dets. (lgG toxo) MINIVIDAS BIOMERIEUX</t>
  </si>
  <si>
    <t>TXGA x 60 dets. (Avidez toxo) MINIVIDAS BIOMERIEUX</t>
  </si>
  <si>
    <t>TXM x 60 dets. (lgM toxo) MINIVIDAS BIOMERIEUX</t>
  </si>
  <si>
    <t>UREA COLOR 2R 500 DET. Tipo WIENER</t>
  </si>
  <si>
    <t>UREA UV CINETICA AA liquida 500 ML Tipo WIENER</t>
  </si>
  <si>
    <t>URICOSTAT ENZIMATICO AA liquida 250 ML Tipo WIENER</t>
  </si>
  <si>
    <t>V.D.R.L. test 250 DET. Tipo WIENER</t>
  </si>
  <si>
    <t>VIDAS  Anti-Dengue IgM MINIVIDAS BIOMERIEUX</t>
  </si>
  <si>
    <t>VIDAS Anti-Dengue Ig G MINIVIDAS BIOMERIEUX</t>
  </si>
  <si>
    <t>VIDAS DENGUE NS1 Ag MINIVIDAS BIOMERIEUX</t>
  </si>
  <si>
    <t>XS DILUENT (DILUYENTE PARA COUNTER XS20) X 5 LTS Tipo WIENER</t>
  </si>
  <si>
    <t>XS LYSE (LISANTE PARA COUNTER XS 20) x 200 ML Tipo WIENER</t>
  </si>
  <si>
    <t>SEGUNDO</t>
  </si>
  <si>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</si>
  <si>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</si>
  <si>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</si>
  <si>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</si>
  <si>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</si>
  <si>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</si>
  <si>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</si>
  <si>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</si>
  <si>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</si>
  <si>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</si>
  <si>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</si>
  <si>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</si>
  <si>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</si>
  <si>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</si>
  <si>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</si>
  <si>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</si>
  <si>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</si>
  <si>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</si>
  <si>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</si>
  <si>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</si>
  <si>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</si>
  <si>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</si>
  <si>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</si>
  <si>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</si>
  <si>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</si>
  <si>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</si>
  <si>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</si>
  <si>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</si>
  <si>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</si>
  <si>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</si>
  <si>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</si>
  <si>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</si>
  <si>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</si>
  <si>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</si>
  <si>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</si>
  <si>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</si>
  <si>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</si>
  <si>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011 - DIRECCION PROVINCIAL DE ADMINISTRACION DEL MINISTERIO DE SALUD</t>
  </si>
  <si>
    <t>TRES (3) MESES</t>
  </si>
  <si>
    <t>DETALLE TECNICO Y ESPECIFICACIONES</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</si>
  <si>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t>
  </si>
  <si>
    <t>Plazos de entrega</t>
  </si>
  <si>
    <t>veinte (20) dias habiles</t>
  </si>
  <si>
    <t>Calidad Minima esperada</t>
  </si>
  <si>
    <t>Mantenimiento</t>
  </si>
  <si>
    <t>cuarenta y cinco (45) días</t>
  </si>
  <si>
    <t>NO</t>
  </si>
  <si>
    <t>468 - DIRECCION PROVINCIAL DE LABORATORIO</t>
  </si>
  <si>
    <t>1.1</t>
  </si>
  <si>
    <t>COMPUESTOS QUIMICOS</t>
  </si>
  <si>
    <t>ADQUISICION DEL RUBRO REACTIVOS PARA LABORATORIO</t>
  </si>
  <si>
    <t>747 - DIRECCION PROVINCIAL BANCO DE SANGRE</t>
  </si>
  <si>
    <t>2.5.1</t>
  </si>
  <si>
    <t>ACIDO ACETICO GLACIAL 6% P/V 1000 mL TIPO BIOPACK</t>
  </si>
  <si>
    <t>ACIDO CLORHIDRICO SOLUCIÓN 0.5 MOL/L (0,5 N) 1000 ML TIPO BIOPACK</t>
  </si>
  <si>
    <t>ACIDO SULFURICO SOLUCIÓN 1 N (0.5 MOL/L) 1000 ML TIPO BIOPACK</t>
  </si>
  <si>
    <t>AGAR PARA COLIFORMES PARA MICROBIOLOGÍA CHROMOCULT® 500 GR TIPO MERCK</t>
  </si>
  <si>
    <t>AGAR TBX PARA MICROBIOLOGÍA CHROMOCULT® 500 GR TIPO MERCK</t>
  </si>
  <si>
    <t>ANIDRIDO ACÉTICO X 1000 ML TIPO CICARILLI</t>
  </si>
  <si>
    <t>CALDO EC 500 GR (SÓLIDO) TIPO OXOID</t>
  </si>
  <si>
    <t>CALDO EC CON MUG (SÓLIDO) 500 GR TIPO OXOID</t>
  </si>
  <si>
    <t>CALDO VERDE BRILLANTE BILIS 2% 500 GRS. TIPO OXOID</t>
  </si>
  <si>
    <t>COBRE (II) SULFATO 5-HIDRATO P.A. (A.C.S.) 250 GR TIPO BIOPACK</t>
  </si>
  <si>
    <t xml:space="preserve">COCTEL DE EXTRACCION 105 ML R-BIOPHARM PARA KIT RIDASCREEN GLIADINA </t>
  </si>
  <si>
    <t>ÉTER ANHIDRO X 1.000 ML TIPO CICARELLI</t>
  </si>
  <si>
    <t>ÉTER SULFÚRICO X 1.000 ML TIPO CICARELLI</t>
  </si>
  <si>
    <t xml:space="preserve">HIDRÓXIDO DE SÓDIO EN CRISTALES O LENTEJAS X 250 GRS TIPO CICARELLI </t>
  </si>
  <si>
    <t>INDIGO CARMIN (C.I. 73015) 25 GR TIPO BIOPACK</t>
  </si>
  <si>
    <t xml:space="preserve">IODO RESUBLIMADO PRO-ANÁLISIS (ACS) X 100 G TIPO CICARELLI </t>
  </si>
  <si>
    <t>MEDIOS DE CULTIVO Y SUPLEMENTO; NOMBRE DEL PRODUCTO: C.LAURIL SULFATO TRIPTOSA MODI, ESTADO: SOLIDO, PRESENTACION: ENVASE X 500 mGr</t>
  </si>
  <si>
    <t>MEDIOS DE CULTIVO Y SUPLEMENTO; NOMBRE DEL PRODUCTO: CALDO GIOLITTI CANTONI, ESTADO: SOLIDO, PRESENTACION: ENVASE X 500 GR</t>
  </si>
  <si>
    <t>MULLER-KAUFFMANN TETRATHIONATE-NOVOBIOCIN (MKTTN) CALDO 500 GR TIPO BIOKAR</t>
  </si>
  <si>
    <t>N-(1-NAFTIL) ETILENDIAMINA DICLORHIDRATO P.A. (A.C.S.) 25 GR TIPO BIOPACK</t>
  </si>
  <si>
    <t>NITRATO DE POTÁSIO P.A. DROGA SÓLIDA X  500 G. TIPO BIOPACK</t>
  </si>
  <si>
    <t>NITRITO DE SODIO DROGA SÓLIDA X 500 G. TIPO BIOPACK</t>
  </si>
  <si>
    <t>NOVOBIOCINA SAL MONOSODICA PFB 1 GR TIPO CALBIOCHEM/MERCK</t>
  </si>
  <si>
    <t>OXIDO DE CALCIO NATURAL EN GRANALLAS DROGA SÓLIDA X 500 G TIPO CICARELLI</t>
  </si>
  <si>
    <t>PEPTONA DE GELATINA POR DIGESTIÓN PANCR. P/MICROB. 1000 GR TIPO MERCK</t>
  </si>
  <si>
    <t>PERMANGANATO DE POTASIO DRÓGA SÓLIDA PRO-ANÁLISIS X 250 G  TIPO CICARELLI</t>
  </si>
  <si>
    <t>PLOMO SUBACETATO p.a. (A.C.S.) X 250 GR DROGA SÓLIDA TIPO BIOPACK</t>
  </si>
  <si>
    <t>POTASIO HIDROXIDO SOLUCIÓN 0.1 N (0,1 MOL/L) 1000 ML TIPO BIOPACK</t>
  </si>
  <si>
    <t>REATIVO DE FEHLING A X 1000 ML TIPO BIOPACK</t>
  </si>
  <si>
    <t>REATIVO DE FEHLING B X 1000 ML TIPO BIOPACK</t>
  </si>
  <si>
    <t>RIDASCREEN GLIADINA X 96 DET ELISA TIPO R-BIOPHARM</t>
  </si>
  <si>
    <t>SODIO SULFATO ANHIDRO PRO-ANÁLISIS (ACS) X 250 G TIPO CICARELLI</t>
  </si>
  <si>
    <t>SULFANILAMIDA P.A. REAG. PH EUR 100 GR TIPO MERCK</t>
  </si>
  <si>
    <t>TIRAS UNIVERSALES DE PH 0-14 X 100 UNIDADES TIPO BIOPACK</t>
  </si>
  <si>
    <t>AGUA BIDESTILADA X 5 LITROS</t>
  </si>
  <si>
    <t>ARC ANTI HBC II RGT X 100 DET.</t>
  </si>
  <si>
    <t>KIT</t>
  </si>
  <si>
    <t>ARC ANTI HCV RGT X 100 DET.</t>
  </si>
  <si>
    <t xml:space="preserve">ARC BUFFER CONCENTRADO x 4 lts </t>
  </si>
  <si>
    <t xml:space="preserve">ARC CELDAS DE REACCION </t>
  </si>
  <si>
    <t>ARC CMV M RGT X 100</t>
  </si>
  <si>
    <t xml:space="preserve">ARC HBSAG RGT X 100 DET. </t>
  </si>
  <si>
    <t>ARC HIV COMBO RGT X 100 DET</t>
  </si>
  <si>
    <t>ARC PRE TRIGGER x 4 lts</t>
  </si>
  <si>
    <t xml:space="preserve">ARC SIFILIS RGT X 100 </t>
  </si>
  <si>
    <t>ARC TRIGGER x 4 lts</t>
  </si>
  <si>
    <t>KIT PLASMAFERESIS TIPO GRIFOLS</t>
  </si>
  <si>
    <t>KITS PARA PLAQUETOFERESIS CON FILTRO TIPO GRIFOLS</t>
  </si>
  <si>
    <t>PANEL IDENTISERA DIANA TIPO GRIFOLS</t>
  </si>
  <si>
    <t>PANEL SARASCAN DIANA 2 TIPO GRIFOLS</t>
  </si>
  <si>
    <t>PANEL SERIGRUP A1/B TIPO GRIFOLS</t>
  </si>
  <si>
    <t>PANEL SERO cyte 0,8% TIPO GRIFOLS</t>
  </si>
  <si>
    <t>SOLUCION DG SOL X 100ML TIPO GRIFOLS</t>
  </si>
  <si>
    <t>SUERO ANTI HUMANO COOMBS TIPO GRIFOLS</t>
  </si>
  <si>
    <t>TARJETA DE GEL ABO RH 2d TIPO GRIFOLS</t>
  </si>
  <si>
    <t>TARJETA DE GEL COOMBS TIPO GRIFOLS</t>
  </si>
  <si>
    <t>TARJETA DE GEL PHENO TIPO GRIFOLS</t>
  </si>
  <si>
    <t>ARC HIV COMBO CALIBRADOR</t>
  </si>
  <si>
    <t>ARC HBSAG CALIBRADOR</t>
  </si>
  <si>
    <t>ARC ANTI HBC II CALIBRADOR</t>
  </si>
  <si>
    <t>ARC ANTI HCV CALIBRADOR</t>
  </si>
  <si>
    <t>ARC SIFILIS CALIBRADOR</t>
  </si>
  <si>
    <t>ARC CMV M CALIBRADOR</t>
  </si>
  <si>
    <t>Equipos Covidar IGG x 192 determinaciones tipo Lemos</t>
  </si>
  <si>
    <t>488 - DIRECCION PROVINCIAL DE SALUD Y MEDIO AMBIENTE</t>
  </si>
  <si>
    <t>160 - DIRECCION PROVINCIAL CENTRO UNICO DE REFERENCIA</t>
  </si>
  <si>
    <t>Lugares de Entrega:</t>
  </si>
  <si>
    <t xml:space="preserve"> 06/2022</t>
  </si>
  <si>
    <t>Autorizo la realización de los  trámites correspondientes, a fin de proveer a  este Organismo los bienes, servicios o ejecución de obras públicas que se detallan en Nota  de Pedido N° 06/2022 , afectando la erogación resultante a los créditos presupuestarios aprobados a favor de esta Unidad Ejecutora, conforme al siguiente detalle:</t>
  </si>
  <si>
    <t xml:space="preserve"> 09/2022</t>
  </si>
  <si>
    <t>Autorizo la realización de los  trámites correspondientes, a fin de proveer a  este Organismo los bienes, servicios o ejecución de obras públicas que se detallan en Nota  de Pedido N° 09/2022 , afectando la erogación resultante a los créditos presupuestarios aprobados a favor de esta Unidad Ejecutora, conforme al siguiente detalle:</t>
  </si>
  <si>
    <t>TOTAL DE PESOS: VEINTITRES MILLONES DOSCIENTOS DOCE MIL OCHOCIENTOS OCHENTA Y SEIS CON 16/100.-</t>
  </si>
  <si>
    <t>Costo total estimado: DOS MILLONES DOSCIENTOS CINCUENTA Y UN MIL TRESCIENTOS CON 00/100.-</t>
  </si>
  <si>
    <t>TOTAL DE PESOS: DOS MILLONES DOSCIENTOS CINCUENTA Y UN MIL TRESCIENTOS CON 00/100.-</t>
  </si>
  <si>
    <t xml:space="preserve"> 05/2022</t>
  </si>
  <si>
    <t>Costo total estimado: OCHOCIENTOS VEINTISEIS MIL TRESCIENTOS CUARENTA Y OCHO CON 00/100.-</t>
  </si>
  <si>
    <t>Autorizo la realización de los  trámites correspondientes, a fin de proveer a  este Organismo los bienes, servicios o ejecución de obras públicas que se detallan en Nota  de Pedido N° 05/2022 , afectando la erogación resultante a los créditos presupuestarios aprobados a favor de esta Unidad Ejecutora, conforme al siguiente detalle:</t>
  </si>
  <si>
    <t>TOTAL DE PESOS: OCHOCIENTOS VEINTISEIS MIL TRESCIENTOS CUARENTA Y OCHO CON 00/100.-</t>
  </si>
  <si>
    <t>Costo total estimado: TREINTA Y DOS MILLONES CUATROCIENTOS TRECE MIL CUATROCIENTOS SETENTA Y NUEVE CON 00/100.-</t>
  </si>
  <si>
    <t>TOTAL DE PESOS: TREINTA Y DOS MILLONES CUATROCIENTOS TRECE MIL CUATROCIENTOS SETENTA Y NUEVE CON 00/100.-</t>
  </si>
  <si>
    <t>ALBUMINA BOVINA al 30% Tipo WIENER</t>
  </si>
  <si>
    <t>ANTIGENO FEBRIL BRUCELLA (HUDDLESON 1 X 5 ML.)</t>
  </si>
  <si>
    <t>ANTI-AB MONOCLONAL- FRASCO 10 ML TIPO WIENER</t>
  </si>
  <si>
    <t>Trigger TIPO ABBOTT</t>
  </si>
  <si>
    <t>Pre-trigger TIPO ABBOTT</t>
  </si>
  <si>
    <t>Celdas de Reaccion TIPO ABBOTT</t>
  </si>
  <si>
    <t>Buffer TIPO ABBOTT</t>
  </si>
  <si>
    <t>Costo total estimado: VEINTITRES MILLONES CUATROCIENTOS CUARENTA Y DOS MIL QUINIENTOS SETENTA Y OCHO CON 16/100.-</t>
  </si>
  <si>
    <t>ITEMS 8, 13 (100 unid), 14 (100 unid) 15 (100 unid) 16, 17, 37 al 39, 44, 46, 47, 52, 63 al 66, 68 al 70, 82, 83, 85 al 87, 93, 94, 109 al 112, 118, 126 al 130, 133, 134, 138, 142 al 144, 148, 149, 158 (12 unid) - DIR. PROV. BANCO DE SANGRE - BOTO GARAY N° 500 - en el horario de 8:00hs a 12:00hs de lunes a viernes</t>
  </si>
  <si>
    <t>ITEMS 1 al 5, 12, 40 al 42, 55, 56, 71, 72, 84, 88, 89, 99 al 107, 114 al 117, 121 al 123, 132, 139, 146 - DIR. PROV. SALUD Y MEDIO AMBIENTE - OCAMPO N° 257 en el horario de 8:00hs a 12:00hs de lunes a viernes</t>
  </si>
  <si>
    <t>ITEMS 06, 19 al 34 - DIR. PROV. CENTRO UNICO DE REFERENCIA - JULIO HERRERA N° 250 en el horario de 8:00hs a 12:00hs de lunes a viernes</t>
  </si>
  <si>
    <t>ITEMS 7, 9 al 11, 13 (20 unid), 14 (10 unid), 15 (20 unid), 18, 35, 36, 43, 45, 48 al 51, 53, 54, 57 al 62, 67, 73 al 81, 90 al 92, 95 al 98, 101, 108, 113, 119, 120, 124, 125, 131, 135 al 137, 140, 141, 145, 147, 150 al 157, 158 (20 unid), 159 al 163 - DIR. PROV. DE LABORATORIO - CHACABUCO N° 169 - en el horario de 8:00hs a 12:00hs de lunes a viernes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</si>
</sst>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 #,##0.00_-;\-&quot;$&quot;\ * #,##0.00_-;_-&quot;$&quot;\ * &quot;-&quot;??_-;_-@_-"/>
    <numFmt numFmtId="43" formatCode="_-* #,##0.00_-;\-* #,##0.00_-;_-* &quot;-&quot;??_-;_-@_-"/>
    <numFmt numFmtId="164" formatCode="_ &quot;$&quot;\ * #,##0.00_ ;_ &quot;$&quot;\ * \-#,##0.00_ ;_ &quot;$&quot;\ * &quot;-&quot;??_ ;_ @_ "/>
    <numFmt numFmtId="166" formatCode="[$$-2C0A]\ #,##0.00"/>
    <numFmt numFmtId="167" formatCode="_-[$$-2C0A]\ * #,##0.00_-;\-[$$-2C0A]\ * #,##0.00_-;_-[$$-2C0A]\ * &quot;-&quot;??_-;_-@_-"/>
    <numFmt numFmtId="168" formatCode="_-* #,##0.00&quot; €&quot;_-;\-* #,##0.00&quot; €&quot;_-;_-* \-??&quot; €&quot;_-;_-@_-"/>
    <numFmt numFmtId="169" formatCode="dd\-mm\-yy;@"/>
    <numFmt numFmtId="170" formatCode="_(\$* #,##0.00_);_(\$* \(#,##0.00\);_(\$* \-??_);_(@_)"/>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0"/>
      <name val="Times New Roman"/>
      <family val="1"/>
    </font>
    <font>
      <b/>
      <sz val="10"/>
      <color rgb="FF000000"/>
      <name val="Times New Roman"/>
      <family val="1"/>
    </font>
    <font>
      <sz val="10"/>
      <color rgb="FF000000"/>
      <name val="Times New Roman"/>
      <family val="1"/>
    </font>
    <font>
      <sz val="10"/>
      <name val="Calibri"/>
      <family val="2"/>
      <scheme val="minor"/>
    </font>
    <font>
      <sz val="10"/>
      <name val="Arial"/>
      <family val="2"/>
    </font>
    <font>
      <sz val="10"/>
      <color theme="1"/>
      <name val="Calibri"/>
      <family val="2"/>
      <scheme val="minor"/>
    </font>
    <font>
      <b/>
      <sz val="10"/>
      <color rgb="FFFF0000"/>
      <name val="Calibri"/>
      <family val="2"/>
      <scheme val="minor"/>
    </font>
    <font>
      <sz val="10"/>
      <name val="Arial"/>
      <family val="2"/>
    </font>
    <font>
      <b/>
      <sz val="15"/>
      <color rgb="FF666699"/>
      <name val="Calibri"/>
      <family val="2"/>
      <charset val="1"/>
    </font>
    <font>
      <sz val="11"/>
      <color rgb="FF993300"/>
      <name val="Calibri"/>
      <family val="2"/>
      <charset val="1"/>
    </font>
    <font>
      <sz val="10"/>
      <name val="Arial"/>
      <family val="2"/>
    </font>
    <font>
      <sz val="10"/>
      <name val="Arial"/>
      <family val="2"/>
    </font>
    <font>
      <b/>
      <sz val="14"/>
      <name val="Times New Roman"/>
      <family val="1"/>
    </font>
    <font>
      <sz val="10"/>
      <name val="Times New Roman"/>
      <family val="1"/>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4"/>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99"/>
        <bgColor rgb="FFFFFFCC"/>
      </patternFill>
    </fill>
  </fills>
  <borders count="79">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right/>
      <top/>
      <bottom style="thick">
        <color rgb="FF33CCCC"/>
      </bottom>
      <diagonal/>
    </border>
    <border>
      <left style="thin">
        <color auto="1"/>
      </left>
      <right style="thin">
        <color auto="1"/>
      </right>
      <top style="medium">
        <color indexed="64"/>
      </top>
      <bottom style="thin">
        <color indexed="64"/>
      </bottom>
      <diagonal/>
    </border>
    <border>
      <left style="thin">
        <color auto="1"/>
      </left>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thin">
        <color auto="1"/>
      </right>
      <top style="thin">
        <color auto="1"/>
      </top>
      <bottom style="thin">
        <color indexed="64"/>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medium">
        <color rgb="FF3D3D3D"/>
      </left>
      <right/>
      <top style="medium">
        <color auto="1"/>
      </top>
      <bottom style="medium">
        <color auto="1"/>
      </bottom>
      <diagonal/>
    </border>
    <border>
      <left/>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3D3D3D"/>
      </left>
      <right style="medium">
        <color rgb="FF3D3D3D"/>
      </right>
      <top style="medium">
        <color auto="1"/>
      </top>
      <bottom style="medium">
        <color indexed="64"/>
      </bottom>
      <diagonal/>
    </border>
    <border>
      <left style="medium">
        <color rgb="FF3D3D3D"/>
      </left>
      <right style="medium">
        <color indexed="64"/>
      </right>
      <top style="medium">
        <color auto="1"/>
      </top>
      <bottom style="medium">
        <color indexed="64"/>
      </bottom>
      <diagonal/>
    </border>
    <border>
      <left style="medium">
        <color indexed="64"/>
      </left>
      <right style="thin">
        <color auto="1"/>
      </right>
      <top style="thin">
        <color auto="1"/>
      </top>
      <bottom/>
      <diagonal/>
    </border>
    <border>
      <left style="thin">
        <color auto="1"/>
      </left>
      <right style="medium">
        <color auto="1"/>
      </right>
      <top style="thin">
        <color auto="1"/>
      </top>
      <bottom/>
      <diagonal/>
    </border>
  </borders>
  <cellStyleXfs count="34">
    <xf numFmtId="0" fontId="0" fillId="0" borderId="0"/>
    <xf numFmtId="44" fontId="1" fillId="0" borderId="0" applyFont="0" applyFill="0" applyBorder="0" applyAlignment="0" applyProtection="0"/>
    <xf numFmtId="0" fontId="8" fillId="0" borderId="0"/>
    <xf numFmtId="164" fontId="8" fillId="0" borderId="0" applyBorder="0" applyAlignment="0" applyProtection="0"/>
    <xf numFmtId="0" fontId="1" fillId="0" borderId="0"/>
    <xf numFmtId="0" fontId="8" fillId="0" borderId="0"/>
    <xf numFmtId="0" fontId="8" fillId="0" borderId="0"/>
    <xf numFmtId="0" fontId="8" fillId="0" borderId="0"/>
    <xf numFmtId="0" fontId="11" fillId="0" borderId="0"/>
    <xf numFmtId="168" fontId="8" fillId="0" borderId="0" applyBorder="0" applyProtection="0"/>
    <xf numFmtId="0" fontId="12" fillId="0" borderId="8" applyProtection="0"/>
    <xf numFmtId="0" fontId="13" fillId="3" borderId="0" applyBorder="0" applyProtection="0"/>
    <xf numFmtId="0" fontId="8" fillId="0" borderId="0"/>
    <xf numFmtId="0" fontId="8" fillId="0" borderId="0"/>
    <xf numFmtId="168" fontId="8" fillId="0" borderId="0" applyBorder="0" applyProtection="0"/>
    <xf numFmtId="0" fontId="12" fillId="0" borderId="8" applyProtection="0"/>
    <xf numFmtId="164" fontId="8" fillId="0" borderId="0" applyBorder="0" applyAlignment="0" applyProtection="0"/>
    <xf numFmtId="0" fontId="8" fillId="0" borderId="0"/>
    <xf numFmtId="0" fontId="8" fillId="0" borderId="0"/>
    <xf numFmtId="0" fontId="8" fillId="0" borderId="0"/>
    <xf numFmtId="43" fontId="1" fillId="0" borderId="0" applyFont="0" applyFill="0" applyBorder="0" applyAlignment="0" applyProtection="0"/>
    <xf numFmtId="168" fontId="8" fillId="0" borderId="0" applyBorder="0" applyProtection="0"/>
    <xf numFmtId="0" fontId="1" fillId="0" borderId="0"/>
    <xf numFmtId="0" fontId="1" fillId="0" borderId="0"/>
    <xf numFmtId="0" fontId="8" fillId="0" borderId="0"/>
    <xf numFmtId="0" fontId="1" fillId="0" borderId="0"/>
    <xf numFmtId="43" fontId="1" fillId="0" borderId="0" applyFont="0" applyFill="0" applyBorder="0" applyAlignment="0" applyProtection="0"/>
    <xf numFmtId="0" fontId="1" fillId="0" borderId="0"/>
    <xf numFmtId="0" fontId="1" fillId="0" borderId="0"/>
    <xf numFmtId="0" fontId="8" fillId="0" borderId="0"/>
    <xf numFmtId="0" fontId="14" fillId="0" borderId="0"/>
    <xf numFmtId="0" fontId="15" fillId="0" borderId="0"/>
    <xf numFmtId="0" fontId="8" fillId="0" borderId="0"/>
    <xf numFmtId="170" fontId="27" fillId="0" borderId="0" applyBorder="0" applyProtection="0"/>
  </cellStyleXfs>
  <cellXfs count="223">
    <xf numFmtId="0" fontId="0" fillId="0" borderId="0" xfId="0"/>
    <xf numFmtId="3" fontId="3" fillId="2"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3" fontId="3" fillId="0" borderId="0" xfId="0" applyNumberFormat="1" applyFont="1" applyAlignment="1">
      <alignment horizontal="center" vertical="center"/>
    </xf>
    <xf numFmtId="167" fontId="3" fillId="0" borderId="0" xfId="1" applyNumberFormat="1" applyFont="1" applyAlignment="1">
      <alignment horizontal="center" vertical="center"/>
    </xf>
    <xf numFmtId="167" fontId="3" fillId="0" borderId="0" xfId="0" applyNumberFormat="1" applyFont="1" applyAlignment="1">
      <alignment horizontal="center" vertical="center"/>
    </xf>
    <xf numFmtId="0" fontId="6" fillId="0" borderId="0" xfId="0" applyFont="1" applyAlignment="1">
      <alignment horizontal="center" vertical="center" wrapText="1"/>
    </xf>
    <xf numFmtId="3" fontId="6" fillId="0" borderId="0" xfId="0" applyNumberFormat="1" applyFont="1" applyAlignment="1">
      <alignment horizontal="center" vertical="center" wrapText="1"/>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6"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left" vertical="center" wrapText="1"/>
    </xf>
    <xf numFmtId="3"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xf numFmtId="0" fontId="9" fillId="0" borderId="0" xfId="0" applyFont="1" applyFill="1"/>
    <xf numFmtId="0" fontId="9" fillId="0" borderId="0" xfId="0" applyFont="1" applyBorder="1"/>
    <xf numFmtId="0" fontId="9" fillId="0" borderId="2" xfId="0" applyFont="1" applyFill="1" applyBorder="1" applyAlignment="1">
      <alignment horizontal="center" vertical="center"/>
    </xf>
    <xf numFmtId="167" fontId="9" fillId="0" borderId="2" xfId="0" applyNumberFormat="1" applyFont="1" applyFill="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3" fontId="5" fillId="0" borderId="5" xfId="0" applyNumberFormat="1" applyFont="1" applyBorder="1" applyAlignment="1">
      <alignment horizontal="center" vertical="center" wrapText="1"/>
    </xf>
    <xf numFmtId="167" fontId="5" fillId="0" borderId="5" xfId="0" applyNumberFormat="1" applyFont="1" applyBorder="1" applyAlignment="1">
      <alignment horizontal="center" vertical="center" wrapText="1"/>
    </xf>
    <xf numFmtId="167" fontId="4" fillId="0" borderId="5" xfId="1" applyNumberFormat="1" applyFont="1" applyBorder="1" applyAlignment="1">
      <alignment horizontal="center" vertical="center" wrapText="1"/>
    </xf>
    <xf numFmtId="0" fontId="0" fillId="0" borderId="0" xfId="0" applyAlignment="1">
      <alignment wrapText="1"/>
    </xf>
    <xf numFmtId="0" fontId="2" fillId="0" borderId="7" xfId="0" applyFont="1" applyBorder="1" applyAlignment="1">
      <alignment horizontal="center" vertical="center" wrapText="1"/>
    </xf>
    <xf numFmtId="167" fontId="9" fillId="0" borderId="1" xfId="0" applyNumberFormat="1" applyFont="1" applyFill="1" applyBorder="1" applyAlignment="1">
      <alignment horizontal="center" vertical="center"/>
    </xf>
    <xf numFmtId="3" fontId="7" fillId="0" borderId="2" xfId="2" applyNumberFormat="1" applyFont="1" applyFill="1" applyBorder="1" applyAlignment="1">
      <alignment horizontal="center" vertical="center" wrapText="1"/>
    </xf>
    <xf numFmtId="0" fontId="9" fillId="0" borderId="1" xfId="0" applyFont="1" applyFill="1" applyBorder="1" applyAlignment="1">
      <alignment wrapText="1"/>
    </xf>
    <xf numFmtId="0" fontId="9" fillId="0" borderId="1" xfId="0" applyFont="1" applyFill="1" applyBorder="1" applyAlignment="1">
      <alignment horizontal="center" vertical="center"/>
    </xf>
    <xf numFmtId="0" fontId="9" fillId="0" borderId="1" xfId="0" applyFont="1" applyFill="1" applyBorder="1" applyAlignment="1">
      <alignment horizontal="left" vertical="center" wrapText="1"/>
    </xf>
    <xf numFmtId="0" fontId="10" fillId="0" borderId="4"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5" xfId="0" applyFont="1" applyFill="1" applyBorder="1" applyAlignment="1">
      <alignment horizontal="left" vertical="center" wrapText="1"/>
    </xf>
    <xf numFmtId="167" fontId="10" fillId="0" borderId="5" xfId="0" applyNumberFormat="1" applyFont="1" applyFill="1" applyBorder="1" applyAlignment="1">
      <alignment horizontal="center" vertical="center"/>
    </xf>
    <xf numFmtId="3" fontId="7" fillId="0" borderId="5" xfId="2" applyNumberFormat="1" applyFont="1" applyFill="1" applyBorder="1" applyAlignment="1">
      <alignment horizontal="center" vertical="center" wrapText="1"/>
    </xf>
    <xf numFmtId="167" fontId="10" fillId="0" borderId="7" xfId="0" applyNumberFormat="1" applyFont="1" applyFill="1" applyBorder="1" applyAlignment="1">
      <alignment horizontal="center" vertical="center"/>
    </xf>
    <xf numFmtId="0" fontId="10" fillId="0" borderId="6" xfId="0" applyFont="1" applyFill="1" applyBorder="1" applyAlignment="1">
      <alignment wrapText="1"/>
    </xf>
    <xf numFmtId="0" fontId="10" fillId="0" borderId="0" xfId="0" applyFont="1" applyFill="1"/>
    <xf numFmtId="0" fontId="9" fillId="0" borderId="0" xfId="0" applyFont="1" applyBorder="1" applyAlignment="1">
      <alignment horizontal="center" vertical="center"/>
    </xf>
    <xf numFmtId="0" fontId="9" fillId="0" borderId="0" xfId="0" applyFont="1" applyBorder="1" applyAlignment="1">
      <alignment horizontal="left" vertical="center" wrapText="1"/>
    </xf>
    <xf numFmtId="3" fontId="9" fillId="0" borderId="0" xfId="0" applyNumberFormat="1" applyFont="1" applyBorder="1" applyAlignment="1">
      <alignment horizontal="center" vertical="center"/>
    </xf>
    <xf numFmtId="167" fontId="9" fillId="0" borderId="0" xfId="0" applyNumberFormat="1" applyFont="1" applyBorder="1" applyAlignment="1">
      <alignment horizontal="center" vertical="center"/>
    </xf>
    <xf numFmtId="0" fontId="9" fillId="0" borderId="0" xfId="0" applyFont="1" applyBorder="1" applyAlignment="1">
      <alignment wrapText="1"/>
    </xf>
    <xf numFmtId="0" fontId="20" fillId="0" borderId="15" xfId="0" applyFont="1" applyBorder="1" applyAlignment="1">
      <alignment horizontal="center" vertical="center"/>
    </xf>
    <xf numFmtId="0" fontId="19" fillId="0" borderId="16" xfId="0" applyFont="1" applyBorder="1" applyAlignment="1">
      <alignment vertical="center"/>
    </xf>
    <xf numFmtId="0" fontId="19" fillId="0" borderId="17" xfId="0" applyFont="1" applyBorder="1" applyAlignment="1">
      <alignment vertical="center"/>
    </xf>
    <xf numFmtId="0" fontId="19" fillId="0" borderId="0" xfId="0" applyFont="1" applyBorder="1" applyAlignment="1">
      <alignment vertical="center"/>
    </xf>
    <xf numFmtId="0" fontId="19" fillId="0" borderId="18" xfId="0" applyFont="1" applyBorder="1" applyAlignment="1">
      <alignment vertical="center"/>
    </xf>
    <xf numFmtId="0" fontId="21" fillId="0" borderId="23" xfId="0" applyFont="1" applyBorder="1" applyAlignment="1">
      <alignment horizontal="left" vertical="center"/>
    </xf>
    <xf numFmtId="0" fontId="21" fillId="0" borderId="0" xfId="0" applyFont="1" applyBorder="1" applyAlignment="1">
      <alignment horizontal="left" vertical="center"/>
    </xf>
    <xf numFmtId="0" fontId="20" fillId="0" borderId="0" xfId="0" applyFont="1" applyBorder="1" applyAlignment="1">
      <alignment horizontal="left" vertical="center" wrapText="1" indent="1"/>
    </xf>
    <xf numFmtId="0" fontId="20" fillId="0" borderId="18" xfId="0" applyFont="1" applyBorder="1" applyAlignment="1">
      <alignment horizontal="left" vertical="center" wrapText="1" indent="1"/>
    </xf>
    <xf numFmtId="0" fontId="23" fillId="0" borderId="27" xfId="0" applyFont="1" applyBorder="1" applyAlignment="1">
      <alignment horizontal="center" vertical="center"/>
    </xf>
    <xf numFmtId="0" fontId="23" fillId="0" borderId="12" xfId="0" applyFont="1" applyBorder="1" applyAlignment="1">
      <alignment horizontal="center" vertical="center"/>
    </xf>
    <xf numFmtId="3" fontId="25" fillId="0" borderId="32" xfId="0" applyNumberFormat="1" applyFont="1" applyBorder="1" applyAlignment="1"/>
    <xf numFmtId="169" fontId="0" fillId="0" borderId="32" xfId="0" applyNumberFormat="1" applyBorder="1" applyAlignment="1">
      <alignment horizontal="left"/>
    </xf>
    <xf numFmtId="0" fontId="0" fillId="0" borderId="32" xfId="0" applyBorder="1"/>
    <xf numFmtId="0" fontId="0" fillId="0" borderId="23" xfId="0" applyBorder="1"/>
    <xf numFmtId="0" fontId="0" fillId="0" borderId="0" xfId="0" applyBorder="1"/>
    <xf numFmtId="0" fontId="0" fillId="0" borderId="0" xfId="0" applyBorder="1" applyAlignment="1">
      <alignment horizontal="left"/>
    </xf>
    <xf numFmtId="169" fontId="0" fillId="0" borderId="0" xfId="0" applyNumberFormat="1" applyBorder="1" applyAlignment="1">
      <alignment horizontal="left"/>
    </xf>
    <xf numFmtId="0" fontId="0" fillId="0" borderId="16" xfId="0" applyBorder="1"/>
    <xf numFmtId="0" fontId="0" fillId="0" borderId="17" xfId="0" applyBorder="1"/>
    <xf numFmtId="0" fontId="0" fillId="0" borderId="17" xfId="0" applyBorder="1" applyAlignment="1">
      <alignment horizontal="left"/>
    </xf>
    <xf numFmtId="0" fontId="30" fillId="0" borderId="41" xfId="0" applyFont="1" applyBorder="1" applyAlignment="1">
      <alignment horizontal="center" vertical="center"/>
    </xf>
    <xf numFmtId="0" fontId="30" fillId="0" borderId="42" xfId="0" applyFont="1" applyBorder="1" applyAlignment="1">
      <alignment horizontal="center" vertical="center"/>
    </xf>
    <xf numFmtId="0" fontId="30" fillId="0" borderId="42" xfId="0" applyFont="1" applyBorder="1" applyAlignment="1">
      <alignment horizontal="left" vertical="center"/>
    </xf>
    <xf numFmtId="0" fontId="30" fillId="0" borderId="43" xfId="0" applyFont="1" applyBorder="1" applyAlignment="1">
      <alignment horizontal="center" vertical="center"/>
    </xf>
    <xf numFmtId="0" fontId="3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28" fillId="0" borderId="49" xfId="0" applyFont="1" applyBorder="1" applyAlignment="1">
      <alignment horizontal="center" vertical="center"/>
    </xf>
    <xf numFmtId="0" fontId="28" fillId="0" borderId="50" xfId="0" applyFont="1" applyBorder="1" applyAlignment="1">
      <alignment horizontal="center" vertical="center"/>
    </xf>
    <xf numFmtId="0" fontId="0" fillId="0" borderId="52" xfId="0" applyBorder="1" applyAlignment="1">
      <alignment horizontal="center" vertical="center"/>
    </xf>
    <xf numFmtId="0" fontId="28" fillId="0" borderId="51" xfId="0" applyFont="1" applyBorder="1" applyAlignment="1">
      <alignment horizontal="center" vertical="center"/>
    </xf>
    <xf numFmtId="0" fontId="28" fillId="0" borderId="52" xfId="0" applyFont="1"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20" fillId="0" borderId="11" xfId="0" applyFont="1" applyBorder="1" applyAlignment="1">
      <alignment vertical="center"/>
    </xf>
    <xf numFmtId="0" fontId="20" fillId="0" borderId="60" xfId="0" applyFont="1" applyBorder="1" applyAlignment="1">
      <alignment vertical="center"/>
    </xf>
    <xf numFmtId="0" fontId="20" fillId="0" borderId="31" xfId="0" applyFont="1" applyBorder="1" applyAlignment="1">
      <alignment vertical="center"/>
    </xf>
    <xf numFmtId="0" fontId="20" fillId="0" borderId="61" xfId="0" applyFont="1" applyBorder="1" applyAlignment="1">
      <alignment vertical="center"/>
    </xf>
    <xf numFmtId="0" fontId="19" fillId="0" borderId="17" xfId="0" applyFont="1" applyBorder="1" applyAlignment="1">
      <alignment horizontal="center" vertical="center"/>
    </xf>
    <xf numFmtId="0" fontId="21" fillId="0" borderId="0" xfId="0" applyFont="1" applyBorder="1" applyAlignment="1">
      <alignment horizontal="center" vertical="center"/>
    </xf>
    <xf numFmtId="0" fontId="23" fillId="0" borderId="9" xfId="0" applyFont="1" applyBorder="1" applyAlignment="1">
      <alignment horizontal="center" vertical="center"/>
    </xf>
    <xf numFmtId="0" fontId="23" fillId="0" borderId="1" xfId="0" applyFont="1" applyBorder="1" applyAlignment="1">
      <alignment horizontal="center" vertical="center"/>
    </xf>
    <xf numFmtId="0" fontId="0" fillId="0" borderId="0" xfId="0" applyAlignment="1">
      <alignment horizontal="center"/>
    </xf>
    <xf numFmtId="167" fontId="19" fillId="0" borderId="14" xfId="0" applyNumberFormat="1" applyFont="1" applyBorder="1" applyAlignment="1">
      <alignment horizontal="right" vertical="center"/>
    </xf>
    <xf numFmtId="167" fontId="19" fillId="0" borderId="0" xfId="0" applyNumberFormat="1" applyFont="1" applyBorder="1" applyAlignment="1">
      <alignment vertical="center"/>
    </xf>
    <xf numFmtId="167" fontId="20" fillId="0" borderId="60" xfId="0" applyNumberFormat="1" applyFont="1" applyBorder="1" applyAlignment="1">
      <alignment vertical="center"/>
    </xf>
    <xf numFmtId="167" fontId="20" fillId="0" borderId="0" xfId="0" applyNumberFormat="1" applyFont="1" applyBorder="1" applyAlignment="1">
      <alignment horizontal="left" vertical="center" wrapText="1" indent="1"/>
    </xf>
    <xf numFmtId="167" fontId="0" fillId="0" borderId="0" xfId="0" applyNumberFormat="1"/>
    <xf numFmtId="167" fontId="23" fillId="0" borderId="9" xfId="0" applyNumberFormat="1" applyFont="1" applyBorder="1" applyAlignment="1">
      <alignment horizontal="center" vertical="center" wrapText="1"/>
    </xf>
    <xf numFmtId="3" fontId="23" fillId="0" borderId="28" xfId="0" applyNumberFormat="1" applyFont="1" applyBorder="1" applyAlignment="1">
      <alignment horizontal="center" vertical="center"/>
    </xf>
    <xf numFmtId="0" fontId="0" fillId="0" borderId="0" xfId="0" applyFont="1"/>
    <xf numFmtId="0" fontId="23" fillId="0" borderId="1" xfId="0" applyFont="1" applyBorder="1" applyAlignment="1">
      <alignment horizontal="center" vertical="center" wrapText="1"/>
    </xf>
    <xf numFmtId="167" fontId="23" fillId="0" borderId="1" xfId="0" applyNumberFormat="1" applyFont="1" applyBorder="1" applyAlignment="1">
      <alignment horizontal="center" vertical="center" wrapText="1"/>
    </xf>
    <xf numFmtId="3" fontId="23" fillId="0" borderId="29" xfId="0" applyNumberFormat="1" applyFont="1" applyBorder="1" applyAlignment="1">
      <alignment horizontal="center" vertical="center"/>
    </xf>
    <xf numFmtId="167" fontId="0" fillId="0" borderId="18" xfId="0" applyNumberFormat="1" applyBorder="1"/>
    <xf numFmtId="167" fontId="0" fillId="0" borderId="38" xfId="0" applyNumberFormat="1" applyBorder="1"/>
    <xf numFmtId="167" fontId="0" fillId="0" borderId="48" xfId="33" applyNumberFormat="1" applyFont="1" applyBorder="1" applyAlignment="1" applyProtection="1">
      <alignment horizontal="center" vertical="center"/>
    </xf>
    <xf numFmtId="167" fontId="0" fillId="0" borderId="53" xfId="33" applyNumberFormat="1" applyFont="1" applyBorder="1" applyAlignment="1" applyProtection="1">
      <alignment horizontal="center" vertical="center"/>
    </xf>
    <xf numFmtId="167" fontId="0" fillId="0" borderId="57" xfId="33" applyNumberFormat="1" applyFont="1" applyBorder="1" applyAlignment="1" applyProtection="1">
      <alignment horizontal="center" vertical="center"/>
    </xf>
    <xf numFmtId="167" fontId="30" fillId="0" borderId="59" xfId="0" applyNumberFormat="1" applyFont="1" applyBorder="1" applyAlignment="1">
      <alignment horizontal="center" vertical="center"/>
    </xf>
    <xf numFmtId="0" fontId="23" fillId="0" borderId="9" xfId="0" applyFont="1" applyBorder="1" applyAlignment="1">
      <alignment horizontal="center" vertical="center" wrapText="1"/>
    </xf>
    <xf numFmtId="0" fontId="31" fillId="0" borderId="13" xfId="5" applyFont="1" applyFill="1" applyBorder="1" applyAlignment="1">
      <alignment horizontal="center" vertical="center" wrapText="1"/>
    </xf>
    <xf numFmtId="0" fontId="31" fillId="0" borderId="23" xfId="5" applyFont="1" applyFill="1" applyBorder="1" applyAlignment="1">
      <alignment horizontal="center" vertical="center" wrapText="1"/>
    </xf>
    <xf numFmtId="0" fontId="3" fillId="0" borderId="0" xfId="5" applyFont="1" applyFill="1" applyBorder="1" applyAlignment="1">
      <alignment horizontal="left" vertical="center" wrapText="1"/>
    </xf>
    <xf numFmtId="0" fontId="3" fillId="0" borderId="0" xfId="5" applyFont="1" applyFill="1" applyBorder="1" applyAlignment="1">
      <alignment horizontal="left" vertical="center"/>
    </xf>
    <xf numFmtId="0" fontId="3" fillId="0" borderId="0" xfId="5" applyFont="1" applyFill="1" applyBorder="1" applyAlignment="1">
      <alignment horizontal="center" vertical="center"/>
    </xf>
    <xf numFmtId="0" fontId="3" fillId="0" borderId="0" xfId="5" applyFont="1" applyFill="1" applyBorder="1" applyAlignment="1">
      <alignment vertical="center"/>
    </xf>
    <xf numFmtId="0" fontId="3" fillId="0" borderId="0" xfId="5" applyFont="1" applyBorder="1" applyAlignment="1">
      <alignment horizontal="center" vertical="center"/>
    </xf>
    <xf numFmtId="0" fontId="3" fillId="0" borderId="66" xfId="5" applyFont="1" applyBorder="1" applyAlignment="1">
      <alignment horizontal="left" vertical="center"/>
    </xf>
    <xf numFmtId="0" fontId="9" fillId="0" borderId="18" xfId="0" applyFont="1" applyBorder="1" applyAlignment="1">
      <alignment horizontal="left" vertical="center" wrapText="1"/>
    </xf>
    <xf numFmtId="0" fontId="9" fillId="0" borderId="68" xfId="0" applyFont="1" applyBorder="1" applyAlignment="1">
      <alignment horizontal="left" vertical="center" wrapText="1"/>
    </xf>
    <xf numFmtId="0" fontId="23" fillId="0" borderId="69" xfId="0" applyFont="1" applyBorder="1" applyAlignment="1">
      <alignment horizontal="center" vertical="center"/>
    </xf>
    <xf numFmtId="0" fontId="23" fillId="0" borderId="2" xfId="0" applyFont="1" applyBorder="1" applyAlignment="1">
      <alignment horizontal="center" vertical="center"/>
    </xf>
    <xf numFmtId="0" fontId="23" fillId="0" borderId="2" xfId="0" applyFont="1" applyBorder="1" applyAlignment="1">
      <alignment horizontal="center" vertical="center" wrapText="1"/>
    </xf>
    <xf numFmtId="167" fontId="23" fillId="0" borderId="2" xfId="0" applyNumberFormat="1" applyFont="1" applyBorder="1" applyAlignment="1">
      <alignment horizontal="center" vertical="center" wrapText="1"/>
    </xf>
    <xf numFmtId="3" fontId="23" fillId="0" borderId="70" xfId="0" applyNumberFormat="1" applyFont="1" applyBorder="1" applyAlignment="1">
      <alignment horizontal="center" vertical="center"/>
    </xf>
    <xf numFmtId="0" fontId="23" fillId="0" borderId="1" xfId="0" applyFont="1" applyBorder="1" applyAlignment="1">
      <alignment horizontal="center" vertical="center" wrapText="1"/>
    </xf>
    <xf numFmtId="0" fontId="0" fillId="0" borderId="52" xfId="0" applyFont="1" applyBorder="1" applyAlignment="1">
      <alignment horizontal="center" vertical="center"/>
    </xf>
    <xf numFmtId="167" fontId="9" fillId="0" borderId="71" xfId="0" applyNumberFormat="1" applyFont="1" applyFill="1" applyBorder="1" applyAlignment="1">
      <alignment horizontal="center" vertical="center"/>
    </xf>
    <xf numFmtId="0" fontId="9" fillId="0" borderId="6" xfId="0" applyFont="1" applyFill="1" applyBorder="1" applyAlignment="1">
      <alignment wrapText="1"/>
    </xf>
    <xf numFmtId="0" fontId="7" fillId="0" borderId="2" xfId="0" applyFont="1" applyBorder="1" applyAlignment="1">
      <alignment horizontal="center" vertical="center"/>
    </xf>
    <xf numFmtId="0" fontId="7" fillId="0" borderId="2"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Border="1" applyAlignment="1">
      <alignment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2" applyFont="1" applyBorder="1" applyAlignment="1">
      <alignment horizontal="center" vertical="center" wrapText="1"/>
    </xf>
    <xf numFmtId="0" fontId="7" fillId="2" borderId="1" xfId="0" applyFont="1" applyFill="1" applyBorder="1" applyAlignment="1">
      <alignment horizontal="center" vertical="center"/>
    </xf>
    <xf numFmtId="0" fontId="7" fillId="2" borderId="1" xfId="4"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4" applyFont="1" applyFill="1" applyBorder="1" applyAlignment="1">
      <alignment horizontal="left" vertical="center" wrapText="1"/>
    </xf>
    <xf numFmtId="0" fontId="7" fillId="0" borderId="1" xfId="0" applyFont="1" applyFill="1" applyBorder="1" applyAlignment="1">
      <alignment horizontal="center" vertical="center"/>
    </xf>
    <xf numFmtId="0" fontId="7" fillId="0" borderId="1" xfId="2" applyFont="1" applyBorder="1" applyAlignment="1">
      <alignment horizontal="center" vertical="center"/>
    </xf>
    <xf numFmtId="167" fontId="9" fillId="0" borderId="1" xfId="0" applyNumberFormat="1" applyFont="1" applyBorder="1" applyAlignment="1">
      <alignment vertical="center"/>
    </xf>
    <xf numFmtId="0" fontId="9" fillId="0" borderId="3" xfId="0" applyFont="1" applyFill="1" applyBorder="1" applyAlignment="1">
      <alignment horizontal="center" vertical="center"/>
    </xf>
    <xf numFmtId="167" fontId="9" fillId="0" borderId="3" xfId="0" applyNumberFormat="1" applyFont="1" applyFill="1" applyBorder="1" applyAlignment="1">
      <alignment horizontal="center" vertical="center"/>
    </xf>
    <xf numFmtId="0" fontId="7" fillId="0" borderId="2" xfId="0" applyFont="1" applyFill="1" applyBorder="1" applyAlignment="1">
      <alignment horizontal="center" vertical="center"/>
    </xf>
    <xf numFmtId="0" fontId="7" fillId="0" borderId="2" xfId="4" applyFont="1" applyFill="1" applyBorder="1" applyAlignment="1">
      <alignment horizontal="left" vertical="center" wrapText="1"/>
    </xf>
    <xf numFmtId="0" fontId="9" fillId="0" borderId="3" xfId="0" applyFont="1" applyFill="1" applyBorder="1" applyAlignment="1">
      <alignment horizontal="left" vertical="center" wrapText="1"/>
    </xf>
    <xf numFmtId="167" fontId="9" fillId="0" borderId="2" xfId="0" applyNumberFormat="1" applyFont="1" applyBorder="1" applyAlignment="1">
      <alignment vertical="center"/>
    </xf>
    <xf numFmtId="0" fontId="31" fillId="0" borderId="23" xfId="5" applyFont="1" applyBorder="1" applyAlignment="1">
      <alignment horizontal="center" vertical="center" wrapText="1"/>
    </xf>
    <xf numFmtId="0" fontId="31" fillId="0" borderId="65" xfId="5" applyFont="1" applyBorder="1" applyAlignment="1">
      <alignment horizontal="center" vertical="center" wrapText="1"/>
    </xf>
    <xf numFmtId="0" fontId="23" fillId="0" borderId="77" xfId="0" applyFont="1" applyBorder="1" applyAlignment="1">
      <alignment horizontal="center" vertical="center"/>
    </xf>
    <xf numFmtId="0" fontId="23" fillId="0" borderId="3" xfId="0" applyFont="1" applyBorder="1" applyAlignment="1">
      <alignment horizontal="center" vertical="center"/>
    </xf>
    <xf numFmtId="0" fontId="23" fillId="0" borderId="3" xfId="0" applyFont="1" applyBorder="1" applyAlignment="1">
      <alignment horizontal="center" vertical="center" wrapText="1"/>
    </xf>
    <xf numFmtId="167" fontId="23" fillId="0" borderId="3" xfId="0" applyNumberFormat="1" applyFont="1" applyBorder="1" applyAlignment="1">
      <alignment horizontal="center" vertical="center" wrapText="1"/>
    </xf>
    <xf numFmtId="3" fontId="23" fillId="0" borderId="78" xfId="0" applyNumberFormat="1" applyFont="1" applyBorder="1" applyAlignment="1">
      <alignment horizontal="center" vertical="center"/>
    </xf>
    <xf numFmtId="0" fontId="3" fillId="0" borderId="0" xfId="5" applyFont="1" applyFill="1" applyBorder="1" applyAlignment="1">
      <alignment horizontal="left" vertical="center" wrapText="1"/>
    </xf>
    <xf numFmtId="0" fontId="3" fillId="0" borderId="18" xfId="5" applyFont="1" applyFill="1" applyBorder="1" applyAlignment="1">
      <alignment horizontal="left" vertical="center" wrapText="1"/>
    </xf>
    <xf numFmtId="0" fontId="31" fillId="0" borderId="23" xfId="5" applyFont="1" applyFill="1" applyBorder="1" applyAlignment="1">
      <alignment horizontal="center" vertical="center" wrapText="1"/>
    </xf>
    <xf numFmtId="0" fontId="3" fillId="0" borderId="32" xfId="5" applyFont="1" applyFill="1" applyBorder="1" applyAlignment="1">
      <alignment horizontal="left" vertical="center" wrapText="1"/>
    </xf>
    <xf numFmtId="0" fontId="3" fillId="0" borderId="67" xfId="5" applyFont="1" applyFill="1" applyBorder="1" applyAlignment="1">
      <alignment horizontal="left" vertical="center" wrapText="1"/>
    </xf>
    <xf numFmtId="0" fontId="5" fillId="0" borderId="0" xfId="0" applyFont="1" applyBorder="1" applyAlignment="1">
      <alignment horizontal="center" vertical="center" wrapText="1"/>
    </xf>
    <xf numFmtId="0" fontId="16" fillId="0" borderId="0" xfId="0" applyFont="1" applyBorder="1" applyAlignment="1">
      <alignment horizontal="center" vertical="center"/>
    </xf>
    <xf numFmtId="0" fontId="5"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23" fillId="0" borderId="10" xfId="0" applyFont="1" applyBorder="1" applyAlignment="1">
      <alignment horizontal="left" vertical="center" wrapText="1"/>
    </xf>
    <xf numFmtId="0" fontId="23" fillId="0" borderId="62" xfId="0" applyFont="1" applyBorder="1" applyAlignment="1">
      <alignment horizontal="left" vertical="center" wrapText="1"/>
    </xf>
    <xf numFmtId="0" fontId="23" fillId="0" borderId="6" xfId="0" applyFont="1" applyBorder="1" applyAlignment="1">
      <alignment horizontal="left" vertical="center" wrapText="1"/>
    </xf>
    <xf numFmtId="166" fontId="21" fillId="0" borderId="63" xfId="0" applyNumberFormat="1" applyFont="1" applyBorder="1" applyAlignment="1">
      <alignment horizontal="center" vertical="center"/>
    </xf>
    <xf numFmtId="166" fontId="21" fillId="0" borderId="64" xfId="0" applyNumberFormat="1" applyFont="1" applyBorder="1" applyAlignment="1">
      <alignment horizontal="center" vertical="center"/>
    </xf>
    <xf numFmtId="0" fontId="24" fillId="0" borderId="30" xfId="0" applyFont="1" applyBorder="1" applyAlignment="1">
      <alignment horizontal="left" vertical="center" wrapText="1" indent="1"/>
    </xf>
    <xf numFmtId="0" fontId="23" fillId="0" borderId="1" xfId="0" applyFont="1" applyBorder="1" applyAlignment="1">
      <alignment horizontal="center" vertical="center" wrapText="1"/>
    </xf>
    <xf numFmtId="0" fontId="22" fillId="0" borderId="24" xfId="0" applyFont="1" applyBorder="1" applyAlignment="1">
      <alignment horizontal="center" vertical="center"/>
    </xf>
    <xf numFmtId="0" fontId="22" fillId="0" borderId="22" xfId="0" applyFont="1" applyBorder="1" applyAlignment="1">
      <alignment horizontal="center" vertical="center"/>
    </xf>
    <xf numFmtId="0" fontId="22" fillId="0" borderId="25" xfId="0" applyFont="1" applyBorder="1" applyAlignment="1">
      <alignment horizontal="center" vertical="center" wrapText="1"/>
    </xf>
    <xf numFmtId="0" fontId="22" fillId="0" borderId="75" xfId="0" applyFont="1" applyBorder="1" applyAlignment="1">
      <alignment horizontal="center" vertical="center" wrapText="1"/>
    </xf>
    <xf numFmtId="0" fontId="21" fillId="0" borderId="19" xfId="0" applyFont="1" applyBorder="1" applyAlignment="1">
      <alignment horizontal="left" vertical="center" wrapText="1"/>
    </xf>
    <xf numFmtId="0" fontId="21" fillId="0" borderId="21" xfId="0" applyFont="1" applyBorder="1" applyAlignment="1">
      <alignment horizontal="left" vertical="center" wrapText="1"/>
    </xf>
    <xf numFmtId="0" fontId="21" fillId="0" borderId="22" xfId="0" applyFont="1" applyBorder="1" applyAlignment="1">
      <alignment horizontal="left" vertical="center"/>
    </xf>
    <xf numFmtId="0" fontId="18" fillId="0" borderId="13" xfId="0" applyFont="1" applyBorder="1" applyAlignment="1">
      <alignment horizontal="center" vertical="center"/>
    </xf>
    <xf numFmtId="0" fontId="22" fillId="0" borderId="26" xfId="0" applyFont="1" applyBorder="1" applyAlignment="1">
      <alignment horizontal="center" vertical="center" wrapText="1"/>
    </xf>
    <xf numFmtId="0" fontId="22" fillId="0" borderId="76" xfId="0" applyFont="1" applyBorder="1" applyAlignment="1">
      <alignment horizontal="center" vertical="center" wrapText="1"/>
    </xf>
    <xf numFmtId="167" fontId="22" fillId="0" borderId="25" xfId="0" applyNumberFormat="1" applyFont="1" applyBorder="1" applyAlignment="1">
      <alignment horizontal="center" vertical="center" wrapText="1"/>
    </xf>
    <xf numFmtId="167" fontId="22" fillId="0" borderId="75" xfId="0" applyNumberFormat="1" applyFont="1" applyBorder="1" applyAlignment="1">
      <alignment horizontal="center" vertical="center" wrapText="1"/>
    </xf>
    <xf numFmtId="0" fontId="23" fillId="0" borderId="72" xfId="0" applyFont="1" applyBorder="1" applyAlignment="1">
      <alignment horizontal="left" vertical="center" wrapText="1"/>
    </xf>
    <xf numFmtId="0" fontId="23" fillId="0" borderId="73" xfId="0" applyFont="1" applyBorder="1" applyAlignment="1">
      <alignment horizontal="left" vertical="center" wrapText="1"/>
    </xf>
    <xf numFmtId="0" fontId="23" fillId="0" borderId="74" xfId="0" applyFont="1" applyBorder="1" applyAlignment="1">
      <alignment horizontal="left" vertical="center" wrapText="1"/>
    </xf>
    <xf numFmtId="0" fontId="28" fillId="0" borderId="36" xfId="0" applyFont="1" applyBorder="1" applyAlignment="1">
      <alignment horizontal="left"/>
    </xf>
    <xf numFmtId="0" fontId="0" fillId="0" borderId="11" xfId="0" applyFont="1" applyBorder="1" applyAlignment="1">
      <alignment horizontal="center"/>
    </xf>
    <xf numFmtId="3" fontId="25" fillId="0" borderId="31" xfId="0" applyNumberFormat="1" applyFont="1" applyBorder="1" applyAlignment="1">
      <alignment horizontal="center"/>
    </xf>
    <xf numFmtId="0" fontId="26" fillId="0" borderId="15" xfId="0" applyFont="1" applyBorder="1" applyAlignment="1">
      <alignment horizontal="center" vertical="center" wrapText="1"/>
    </xf>
    <xf numFmtId="0" fontId="27" fillId="0" borderId="33" xfId="0" applyFont="1" applyBorder="1"/>
    <xf numFmtId="0" fontId="28" fillId="0" borderId="34" xfId="0" applyFont="1" applyBorder="1" applyAlignment="1">
      <alignment horizontal="left" indent="1"/>
    </xf>
    <xf numFmtId="0" fontId="17" fillId="0" borderId="33" xfId="0" applyFont="1" applyBorder="1" applyAlignment="1">
      <alignment horizontal="left" vertical="center" wrapText="1"/>
    </xf>
    <xf numFmtId="0" fontId="29" fillId="0" borderId="35" xfId="0" applyFont="1" applyBorder="1" applyAlignment="1">
      <alignment horizontal="left"/>
    </xf>
    <xf numFmtId="0" fontId="0" fillId="0" borderId="52" xfId="0" applyFont="1" applyBorder="1" applyAlignment="1">
      <alignment horizontal="center" vertical="center"/>
    </xf>
    <xf numFmtId="49" fontId="28" fillId="0" borderId="37" xfId="0" applyNumberFormat="1" applyFont="1" applyBorder="1" applyAlignment="1">
      <alignment horizontal="justify" vertical="center" wrapText="1"/>
    </xf>
    <xf numFmtId="0" fontId="30" fillId="0" borderId="36" xfId="0" applyFont="1" applyBorder="1" applyAlignment="1">
      <alignment horizontal="center" vertical="center"/>
    </xf>
    <xf numFmtId="0" fontId="30" fillId="0" borderId="33" xfId="0" applyFont="1" applyBorder="1" applyAlignment="1">
      <alignment horizontal="center" vertical="center"/>
    </xf>
    <xf numFmtId="0" fontId="30" fillId="0" borderId="39" xfId="0" applyFont="1" applyBorder="1" applyAlignment="1">
      <alignment horizontal="center" vertical="center" wrapText="1"/>
    </xf>
    <xf numFmtId="167" fontId="30" fillId="0" borderId="40" xfId="0" applyNumberFormat="1" applyFont="1" applyBorder="1" applyAlignment="1">
      <alignment horizontal="center" vertical="center"/>
    </xf>
    <xf numFmtId="0" fontId="0" fillId="0" borderId="46" xfId="0" applyFont="1" applyBorder="1" applyAlignment="1">
      <alignment horizontal="left" vertical="center" wrapText="1"/>
    </xf>
    <xf numFmtId="0" fontId="0" fillId="0" borderId="52" xfId="0" applyFont="1" applyBorder="1" applyAlignment="1">
      <alignment horizontal="left" vertical="center"/>
    </xf>
    <xf numFmtId="0" fontId="0" fillId="0" borderId="52" xfId="0" applyBorder="1" applyAlignment="1">
      <alignment horizontal="center"/>
    </xf>
    <xf numFmtId="0" fontId="25" fillId="0" borderId="20" xfId="0" applyFont="1" applyBorder="1" applyAlignment="1">
      <alignment vertical="center" wrapText="1"/>
    </xf>
    <xf numFmtId="0" fontId="28" fillId="0" borderId="40" xfId="0" applyFont="1" applyBorder="1" applyAlignment="1">
      <alignment vertical="center" wrapText="1"/>
    </xf>
    <xf numFmtId="0" fontId="28" fillId="0" borderId="30" xfId="0" applyFont="1" applyBorder="1" applyAlignment="1">
      <alignment horizontal="left" vertical="center" wrapText="1" indent="1"/>
    </xf>
    <xf numFmtId="0" fontId="0" fillId="0" borderId="52" xfId="0" applyBorder="1" applyAlignment="1">
      <alignment horizontal="left" vertical="center"/>
    </xf>
    <xf numFmtId="0" fontId="0" fillId="0" borderId="55" xfId="0" applyBorder="1" applyAlignment="1">
      <alignment horizontal="left" vertical="center"/>
    </xf>
    <xf numFmtId="0" fontId="25" fillId="0" borderId="58" xfId="0" applyFont="1" applyBorder="1" applyAlignment="1">
      <alignment horizontal="left" vertical="center" wrapText="1"/>
    </xf>
    <xf numFmtId="0" fontId="0" fillId="0" borderId="36" xfId="0" applyBorder="1"/>
    <xf numFmtId="0" fontId="23" fillId="0" borderId="3" xfId="0" applyFont="1" applyBorder="1" applyAlignment="1">
      <alignment horizontal="center" vertical="center" wrapText="1"/>
    </xf>
    <xf numFmtId="0" fontId="24" fillId="0" borderId="20" xfId="0" applyFont="1" applyBorder="1" applyAlignment="1">
      <alignment horizontal="left" vertical="center" wrapText="1" indent="1"/>
    </xf>
    <xf numFmtId="166" fontId="21" fillId="0" borderId="11" xfId="0" applyNumberFormat="1" applyFont="1" applyBorder="1" applyAlignment="1">
      <alignment horizontal="center" vertical="center"/>
    </xf>
    <xf numFmtId="166" fontId="21" fillId="0" borderId="31" xfId="0" applyNumberFormat="1" applyFont="1" applyBorder="1" applyAlignment="1">
      <alignment horizontal="center" vertical="center"/>
    </xf>
    <xf numFmtId="0" fontId="23" fillId="0" borderId="9" xfId="0" applyFont="1" applyBorder="1" applyAlignment="1">
      <alignment horizontal="left" vertical="center" wrapText="1"/>
    </xf>
  </cellXfs>
  <cellStyles count="34">
    <cellStyle name="Encabezado 1" xfId="10" xr:uid="{00000000-0005-0000-0000-000000000000}"/>
    <cellStyle name="Encabezado 1 2" xfId="15" xr:uid="{00000000-0005-0000-0000-000001000000}"/>
    <cellStyle name="Millares 2" xfId="20" xr:uid="{00000000-0005-0000-0000-000002000000}"/>
    <cellStyle name="Millares 2 2" xfId="26" xr:uid="{00000000-0005-0000-0000-000003000000}"/>
    <cellStyle name="Moneda" xfId="1" builtinId="4"/>
    <cellStyle name="Moneda 2" xfId="3" xr:uid="{00000000-0005-0000-0000-000005000000}"/>
    <cellStyle name="Moneda 2 2" xfId="16" xr:uid="{00000000-0005-0000-0000-000006000000}"/>
    <cellStyle name="Moneda 3" xfId="14" xr:uid="{00000000-0005-0000-0000-000007000000}"/>
    <cellStyle name="Moneda 4" xfId="21" xr:uid="{00000000-0005-0000-0000-000008000000}"/>
    <cellStyle name="Moneda 5" xfId="9" xr:uid="{00000000-0005-0000-0000-000009000000}"/>
    <cellStyle name="Moneda_AUTORIZACION Y NOTA DE PEDIDO" xfId="33" xr:uid="{00000000-0005-0000-0000-00000A000000}"/>
    <cellStyle name="Neutral 1" xfId="11" xr:uid="{00000000-0005-0000-0000-00000B000000}"/>
    <cellStyle name="Normal" xfId="0" builtinId="0"/>
    <cellStyle name="Normal 2" xfId="2" xr:uid="{00000000-0005-0000-0000-00000D000000}"/>
    <cellStyle name="Normal 2 2" xfId="5" xr:uid="{00000000-0005-0000-0000-00000E000000}"/>
    <cellStyle name="Normal 2 3" xfId="32" xr:uid="{00000000-0005-0000-0000-00000F000000}"/>
    <cellStyle name="Normal 3" xfId="7" xr:uid="{00000000-0005-0000-0000-000010000000}"/>
    <cellStyle name="Normal 3 2" xfId="12" xr:uid="{00000000-0005-0000-0000-000011000000}"/>
    <cellStyle name="Normal 3 2 2" xfId="18" xr:uid="{00000000-0005-0000-0000-000012000000}"/>
    <cellStyle name="Normal 3 3" xfId="17" xr:uid="{00000000-0005-0000-0000-000013000000}"/>
    <cellStyle name="Normal 3 4" xfId="22" xr:uid="{00000000-0005-0000-0000-000014000000}"/>
    <cellStyle name="Normal 3 4 2" xfId="27" xr:uid="{00000000-0005-0000-0000-000015000000}"/>
    <cellStyle name="Normal 4" xfId="6" xr:uid="{00000000-0005-0000-0000-000016000000}"/>
    <cellStyle name="Normal 4 2" xfId="19" xr:uid="{00000000-0005-0000-0000-000017000000}"/>
    <cellStyle name="Normal 4 3" xfId="23" xr:uid="{00000000-0005-0000-0000-000018000000}"/>
    <cellStyle name="Normal 4 3 2" xfId="28" xr:uid="{00000000-0005-0000-0000-000019000000}"/>
    <cellStyle name="Normal 5" xfId="4" xr:uid="{00000000-0005-0000-0000-00001A000000}"/>
    <cellStyle name="Normal 5 2" xfId="25" xr:uid="{00000000-0005-0000-0000-00001B000000}"/>
    <cellStyle name="Normal 6" xfId="13" xr:uid="{00000000-0005-0000-0000-00001C000000}"/>
    <cellStyle name="Normal 7" xfId="24" xr:uid="{00000000-0005-0000-0000-00001D000000}"/>
    <cellStyle name="Normal 8" xfId="8" xr:uid="{00000000-0005-0000-0000-00001E000000}"/>
    <cellStyle name="Normal 8 2" xfId="29" xr:uid="{00000000-0005-0000-0000-00001F000000}"/>
    <cellStyle name="Normal 8 3" xfId="30" xr:uid="{00000000-0005-0000-0000-000020000000}"/>
    <cellStyle name="Normal 8 4" xfId="31" xr:uid="{00000000-0005-0000-0000-000021000000}"/>
  </cellStyles>
  <dxfs count="44">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6" name="CustomShape 1" hidden="1">
          <a:extLst>
            <a:ext uri="{FF2B5EF4-FFF2-40B4-BE49-F238E27FC236}">
              <a16:creationId xmlns:a16="http://schemas.microsoft.com/office/drawing/2014/main" id="{00000000-0008-0000-0200-000006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7" name="CustomShape 1" hidden="1">
          <a:extLst>
            <a:ext uri="{FF2B5EF4-FFF2-40B4-BE49-F238E27FC236}">
              <a16:creationId xmlns:a16="http://schemas.microsoft.com/office/drawing/2014/main" id="{00000000-0008-0000-0200-000007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8" name="CustomShape 1" hidden="1">
          <a:extLst>
            <a:ext uri="{FF2B5EF4-FFF2-40B4-BE49-F238E27FC236}">
              <a16:creationId xmlns:a16="http://schemas.microsoft.com/office/drawing/2014/main" id="{00000000-0008-0000-0200-000008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9" name="CustomShape 1" hidden="1">
          <a:extLst>
            <a:ext uri="{FF2B5EF4-FFF2-40B4-BE49-F238E27FC236}">
              <a16:creationId xmlns:a16="http://schemas.microsoft.com/office/drawing/2014/main" id="{00000000-0008-0000-0200-000009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4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4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4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4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6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6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6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6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8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8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8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8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91"/>
  <sheetViews>
    <sheetView tabSelected="1" topLeftCell="D1" zoomScale="110" zoomScaleNormal="110" workbookViewId="0">
      <selection activeCell="J19" sqref="J19"/>
    </sheetView>
  </sheetViews>
  <sheetFormatPr baseColWidth="10" defaultRowHeight="15" x14ac:dyDescent="0.25"/>
  <cols>
    <col min="1" max="1" width="4.85546875" style="13" bestFit="1" customWidth="1"/>
    <col min="2" max="2" width="13.85546875" style="13" bestFit="1" customWidth="1"/>
    <col min="3" max="3" width="39.85546875" style="13" customWidth="1"/>
    <col min="4" max="4" width="5.5703125" style="13" bestFit="1" customWidth="1"/>
    <col min="5" max="5" width="95.85546875" style="14" customWidth="1"/>
    <col min="6" max="6" width="13.28515625" style="13" customWidth="1"/>
    <col min="7" max="7" width="12" style="15" customWidth="1"/>
    <col min="8" max="8" width="15.5703125" style="16" bestFit="1" customWidth="1"/>
    <col min="9" max="9" width="16.7109375" style="16" bestFit="1" customWidth="1"/>
    <col min="10" max="10" width="60.5703125" style="29" bestFit="1" customWidth="1"/>
  </cols>
  <sheetData>
    <row r="1" spans="1:11" x14ac:dyDescent="0.25">
      <c r="A1" s="1">
        <v>2022</v>
      </c>
      <c r="B1" s="2"/>
      <c r="C1" s="3"/>
      <c r="D1" s="3"/>
      <c r="E1" s="4"/>
      <c r="F1" s="3"/>
      <c r="G1" s="5"/>
      <c r="H1" s="6"/>
      <c r="I1" s="7"/>
    </row>
    <row r="2" spans="1:11" ht="18.75" x14ac:dyDescent="0.25">
      <c r="A2" s="3"/>
      <c r="B2" s="169" t="s">
        <v>0</v>
      </c>
      <c r="C2" s="169"/>
      <c r="D2" s="169"/>
      <c r="E2" s="169"/>
      <c r="F2" s="169"/>
      <c r="G2" s="169"/>
      <c r="H2" s="169"/>
      <c r="I2" s="7"/>
    </row>
    <row r="3" spans="1:11" x14ac:dyDescent="0.25">
      <c r="A3" s="3"/>
      <c r="B3" s="2"/>
      <c r="C3" s="3"/>
      <c r="D3" s="3"/>
      <c r="E3" s="4"/>
      <c r="F3" s="3"/>
      <c r="G3" s="5"/>
      <c r="H3" s="6"/>
      <c r="I3" s="7"/>
    </row>
    <row r="4" spans="1:11" x14ac:dyDescent="0.25">
      <c r="A4" s="168" t="s">
        <v>1</v>
      </c>
      <c r="B4" s="168"/>
      <c r="C4" s="170" t="s">
        <v>2</v>
      </c>
      <c r="D4" s="170"/>
      <c r="E4" s="170"/>
      <c r="F4" s="8"/>
      <c r="G4" s="9"/>
      <c r="H4" s="6"/>
      <c r="I4" s="7"/>
    </row>
    <row r="5" spans="1:11" x14ac:dyDescent="0.25">
      <c r="A5" s="168" t="s">
        <v>3</v>
      </c>
      <c r="B5" s="168"/>
      <c r="C5" s="171" t="s">
        <v>4</v>
      </c>
      <c r="D5" s="171"/>
      <c r="E5" s="171"/>
      <c r="F5" s="8"/>
      <c r="G5" s="9"/>
      <c r="H5" s="6"/>
      <c r="I5" s="7"/>
    </row>
    <row r="6" spans="1:11" x14ac:dyDescent="0.25">
      <c r="A6" s="168" t="s">
        <v>5</v>
      </c>
      <c r="B6" s="168"/>
      <c r="C6" s="10">
        <v>2022</v>
      </c>
      <c r="D6" s="11"/>
      <c r="E6" s="10"/>
      <c r="F6" s="8"/>
      <c r="G6" s="9"/>
      <c r="H6" s="6"/>
      <c r="I6" s="7"/>
    </row>
    <row r="7" spans="1:11" x14ac:dyDescent="0.25">
      <c r="A7" s="168" t="s">
        <v>6</v>
      </c>
      <c r="B7" s="168"/>
      <c r="C7" s="10" t="s">
        <v>123</v>
      </c>
      <c r="D7" s="11"/>
      <c r="E7" s="10"/>
      <c r="F7" s="8"/>
      <c r="G7" s="9"/>
      <c r="H7" s="6"/>
      <c r="I7" s="7"/>
    </row>
    <row r="8" spans="1:11" ht="15.75" thickBot="1" x14ac:dyDescent="0.3">
      <c r="A8" s="3"/>
      <c r="B8" s="8"/>
      <c r="C8" s="8"/>
      <c r="D8" s="8"/>
      <c r="E8" s="12"/>
      <c r="F8" s="8"/>
      <c r="G8" s="9"/>
      <c r="H8" s="6"/>
      <c r="I8" s="7"/>
    </row>
    <row r="9" spans="1:11" ht="39" thickBot="1" x14ac:dyDescent="0.3">
      <c r="A9" s="22" t="s">
        <v>7</v>
      </c>
      <c r="B9" s="23" t="s">
        <v>8</v>
      </c>
      <c r="C9" s="24" t="s">
        <v>9</v>
      </c>
      <c r="D9" s="23" t="s">
        <v>10</v>
      </c>
      <c r="E9" s="25" t="s">
        <v>11</v>
      </c>
      <c r="F9" s="24" t="s">
        <v>12</v>
      </c>
      <c r="G9" s="26" t="s">
        <v>13</v>
      </c>
      <c r="H9" s="28" t="s">
        <v>14</v>
      </c>
      <c r="I9" s="27" t="s">
        <v>15</v>
      </c>
      <c r="J9" s="30" t="s">
        <v>16</v>
      </c>
      <c r="K9" s="17"/>
    </row>
    <row r="10" spans="1:11" s="18" customFormat="1" ht="12.75" x14ac:dyDescent="0.2">
      <c r="A10" s="20">
        <v>1</v>
      </c>
      <c r="B10" s="20"/>
      <c r="C10" s="20" t="s">
        <v>46</v>
      </c>
      <c r="D10" s="136" t="s">
        <v>176</v>
      </c>
      <c r="E10" s="137" t="s">
        <v>177</v>
      </c>
      <c r="F10" s="136" t="s">
        <v>19</v>
      </c>
      <c r="G10" s="32">
        <v>5</v>
      </c>
      <c r="H10" s="155">
        <v>850</v>
      </c>
      <c r="I10" s="21">
        <v>4250</v>
      </c>
      <c r="J10" s="33"/>
    </row>
    <row r="11" spans="1:11" s="18" customFormat="1" ht="12.75" x14ac:dyDescent="0.2">
      <c r="A11" s="20">
        <v>2</v>
      </c>
      <c r="B11" s="34"/>
      <c r="C11" s="34" t="s">
        <v>46</v>
      </c>
      <c r="D11" s="138" t="s">
        <v>176</v>
      </c>
      <c r="E11" s="139" t="s">
        <v>178</v>
      </c>
      <c r="F11" s="138" t="s">
        <v>19</v>
      </c>
      <c r="G11" s="32">
        <v>3</v>
      </c>
      <c r="H11" s="149">
        <v>1900</v>
      </c>
      <c r="I11" s="21">
        <v>5700</v>
      </c>
      <c r="J11" s="33"/>
    </row>
    <row r="12" spans="1:11" s="18" customFormat="1" ht="12.75" x14ac:dyDescent="0.2">
      <c r="A12" s="20">
        <v>3</v>
      </c>
      <c r="B12" s="34"/>
      <c r="C12" s="34" t="s">
        <v>46</v>
      </c>
      <c r="D12" s="138" t="s">
        <v>176</v>
      </c>
      <c r="E12" s="140" t="s">
        <v>179</v>
      </c>
      <c r="F12" s="138" t="s">
        <v>19</v>
      </c>
      <c r="G12" s="32">
        <v>5</v>
      </c>
      <c r="H12" s="149">
        <v>2000</v>
      </c>
      <c r="I12" s="21">
        <v>10000</v>
      </c>
      <c r="J12" s="33"/>
    </row>
    <row r="13" spans="1:11" s="18" customFormat="1" ht="12.75" x14ac:dyDescent="0.2">
      <c r="A13" s="20">
        <v>4</v>
      </c>
      <c r="B13" s="34"/>
      <c r="C13" s="34" t="s">
        <v>46</v>
      </c>
      <c r="D13" s="138" t="s">
        <v>176</v>
      </c>
      <c r="E13" s="140" t="s">
        <v>180</v>
      </c>
      <c r="F13" s="138" t="s">
        <v>19</v>
      </c>
      <c r="G13" s="32">
        <v>2</v>
      </c>
      <c r="H13" s="149">
        <v>185000</v>
      </c>
      <c r="I13" s="21">
        <v>370000</v>
      </c>
      <c r="J13" s="33"/>
    </row>
    <row r="14" spans="1:11" s="18" customFormat="1" ht="12.75" x14ac:dyDescent="0.2">
      <c r="A14" s="20">
        <v>5</v>
      </c>
      <c r="B14" s="34"/>
      <c r="C14" s="34" t="s">
        <v>46</v>
      </c>
      <c r="D14" s="138" t="s">
        <v>176</v>
      </c>
      <c r="E14" s="140" t="s">
        <v>181</v>
      </c>
      <c r="F14" s="138" t="s">
        <v>19</v>
      </c>
      <c r="G14" s="32">
        <v>3</v>
      </c>
      <c r="H14" s="149">
        <v>97000</v>
      </c>
      <c r="I14" s="21">
        <v>291000</v>
      </c>
      <c r="J14" s="33"/>
    </row>
    <row r="15" spans="1:11" s="18" customFormat="1" ht="12.75" x14ac:dyDescent="0.2">
      <c r="A15" s="20">
        <v>6</v>
      </c>
      <c r="B15" s="34"/>
      <c r="C15" s="34" t="s">
        <v>46</v>
      </c>
      <c r="D15" s="138" t="s">
        <v>176</v>
      </c>
      <c r="E15" s="35" t="s">
        <v>211</v>
      </c>
      <c r="F15" s="34" t="s">
        <v>59</v>
      </c>
      <c r="G15" s="32">
        <v>10</v>
      </c>
      <c r="H15" s="31">
        <v>574</v>
      </c>
      <c r="I15" s="21">
        <v>5740</v>
      </c>
      <c r="J15" s="33"/>
    </row>
    <row r="16" spans="1:11" s="18" customFormat="1" ht="12.75" x14ac:dyDescent="0.2">
      <c r="A16" s="20">
        <v>7</v>
      </c>
      <c r="B16" s="34"/>
      <c r="C16" s="34" t="s">
        <v>46</v>
      </c>
      <c r="D16" s="34" t="s">
        <v>20</v>
      </c>
      <c r="E16" s="35" t="s">
        <v>47</v>
      </c>
      <c r="F16" s="34" t="s">
        <v>17</v>
      </c>
      <c r="G16" s="32">
        <v>5</v>
      </c>
      <c r="H16" s="31">
        <v>4824</v>
      </c>
      <c r="I16" s="21">
        <v>24120</v>
      </c>
      <c r="J16" s="33"/>
    </row>
    <row r="17" spans="1:10" s="18" customFormat="1" ht="12.75" x14ac:dyDescent="0.2">
      <c r="A17" s="20">
        <v>8</v>
      </c>
      <c r="B17" s="34"/>
      <c r="C17" s="34" t="s">
        <v>46</v>
      </c>
      <c r="D17" s="34" t="s">
        <v>20</v>
      </c>
      <c r="E17" s="35" t="s">
        <v>257</v>
      </c>
      <c r="F17" s="34" t="s">
        <v>19</v>
      </c>
      <c r="G17" s="32">
        <v>12</v>
      </c>
      <c r="H17" s="31">
        <v>1251</v>
      </c>
      <c r="I17" s="21">
        <v>15012</v>
      </c>
      <c r="J17" s="33"/>
    </row>
    <row r="18" spans="1:10" s="18" customFormat="1" ht="12.75" x14ac:dyDescent="0.2">
      <c r="A18" s="20">
        <v>9</v>
      </c>
      <c r="B18" s="34"/>
      <c r="C18" s="34" t="s">
        <v>46</v>
      </c>
      <c r="D18" s="34" t="s">
        <v>20</v>
      </c>
      <c r="E18" s="35" t="s">
        <v>48</v>
      </c>
      <c r="F18" s="34" t="s">
        <v>49</v>
      </c>
      <c r="G18" s="32">
        <v>50</v>
      </c>
      <c r="H18" s="31">
        <v>2974</v>
      </c>
      <c r="I18" s="21">
        <v>148700</v>
      </c>
      <c r="J18" s="33"/>
    </row>
    <row r="19" spans="1:10" s="18" customFormat="1" ht="12.75" x14ac:dyDescent="0.2">
      <c r="A19" s="20">
        <v>10</v>
      </c>
      <c r="B19" s="34"/>
      <c r="C19" s="34" t="s">
        <v>46</v>
      </c>
      <c r="D19" s="34" t="s">
        <v>20</v>
      </c>
      <c r="E19" s="35" t="s">
        <v>50</v>
      </c>
      <c r="F19" s="34" t="s">
        <v>17</v>
      </c>
      <c r="G19" s="32">
        <v>20</v>
      </c>
      <c r="H19" s="31">
        <v>3523</v>
      </c>
      <c r="I19" s="21">
        <v>70460</v>
      </c>
      <c r="J19" s="33"/>
    </row>
    <row r="20" spans="1:10" s="18" customFormat="1" ht="12.75" x14ac:dyDescent="0.2">
      <c r="A20" s="20">
        <v>11</v>
      </c>
      <c r="B20" s="34"/>
      <c r="C20" s="34" t="s">
        <v>46</v>
      </c>
      <c r="D20" s="34" t="s">
        <v>20</v>
      </c>
      <c r="E20" s="35" t="s">
        <v>51</v>
      </c>
      <c r="F20" s="34" t="s">
        <v>17</v>
      </c>
      <c r="G20" s="32">
        <v>20</v>
      </c>
      <c r="H20" s="31">
        <v>7709</v>
      </c>
      <c r="I20" s="21">
        <v>154180</v>
      </c>
      <c r="J20" s="33"/>
    </row>
    <row r="21" spans="1:10" s="18" customFormat="1" ht="12.75" x14ac:dyDescent="0.2">
      <c r="A21" s="20">
        <v>12</v>
      </c>
      <c r="B21" s="34"/>
      <c r="C21" s="34" t="s">
        <v>46</v>
      </c>
      <c r="D21" s="138" t="s">
        <v>176</v>
      </c>
      <c r="E21" s="140" t="s">
        <v>182</v>
      </c>
      <c r="F21" s="138" t="s">
        <v>19</v>
      </c>
      <c r="G21" s="32">
        <v>4</v>
      </c>
      <c r="H21" s="149">
        <v>2500</v>
      </c>
      <c r="I21" s="21">
        <v>10000</v>
      </c>
      <c r="J21" s="33"/>
    </row>
    <row r="22" spans="1:10" s="18" customFormat="1" ht="12.75" x14ac:dyDescent="0.2">
      <c r="A22" s="20">
        <v>13</v>
      </c>
      <c r="B22" s="34"/>
      <c r="C22" s="34" t="s">
        <v>46</v>
      </c>
      <c r="D22" s="34" t="s">
        <v>20</v>
      </c>
      <c r="E22" s="35" t="s">
        <v>22</v>
      </c>
      <c r="F22" s="34" t="s">
        <v>23</v>
      </c>
      <c r="G22" s="32">
        <v>120</v>
      </c>
      <c r="H22" s="31">
        <v>1434</v>
      </c>
      <c r="I22" s="21">
        <v>172080</v>
      </c>
      <c r="J22" s="33"/>
    </row>
    <row r="23" spans="1:10" s="18" customFormat="1" ht="12.75" x14ac:dyDescent="0.2">
      <c r="A23" s="20">
        <v>14</v>
      </c>
      <c r="B23" s="34"/>
      <c r="C23" s="34" t="s">
        <v>46</v>
      </c>
      <c r="D23" s="34" t="s">
        <v>20</v>
      </c>
      <c r="E23" s="35" t="s">
        <v>24</v>
      </c>
      <c r="F23" s="34" t="s">
        <v>23</v>
      </c>
      <c r="G23" s="32">
        <v>110</v>
      </c>
      <c r="H23" s="31">
        <v>1434</v>
      </c>
      <c r="I23" s="21">
        <v>157740</v>
      </c>
      <c r="J23" s="33"/>
    </row>
    <row r="24" spans="1:10" s="18" customFormat="1" ht="12.75" x14ac:dyDescent="0.2">
      <c r="A24" s="20">
        <v>15</v>
      </c>
      <c r="B24" s="34"/>
      <c r="C24" s="34" t="s">
        <v>46</v>
      </c>
      <c r="D24" s="34" t="s">
        <v>20</v>
      </c>
      <c r="E24" s="35" t="s">
        <v>52</v>
      </c>
      <c r="F24" s="34" t="s">
        <v>23</v>
      </c>
      <c r="G24" s="32">
        <v>120</v>
      </c>
      <c r="H24" s="31">
        <v>2713</v>
      </c>
      <c r="I24" s="21">
        <v>325560</v>
      </c>
      <c r="J24" s="33"/>
    </row>
    <row r="25" spans="1:10" s="18" customFormat="1" ht="12.75" x14ac:dyDescent="0.2">
      <c r="A25" s="20">
        <v>16</v>
      </c>
      <c r="B25" s="34"/>
      <c r="C25" s="34" t="s">
        <v>46</v>
      </c>
      <c r="D25" s="34" t="s">
        <v>20</v>
      </c>
      <c r="E25" s="35" t="s">
        <v>259</v>
      </c>
      <c r="F25" s="34" t="s">
        <v>19</v>
      </c>
      <c r="G25" s="32">
        <v>100</v>
      </c>
      <c r="H25" s="31">
        <v>888</v>
      </c>
      <c r="I25" s="21">
        <v>88800</v>
      </c>
      <c r="J25" s="33"/>
    </row>
    <row r="26" spans="1:10" s="18" customFormat="1" ht="12.75" x14ac:dyDescent="0.2">
      <c r="A26" s="20">
        <v>17</v>
      </c>
      <c r="B26" s="34"/>
      <c r="C26" s="34" t="s">
        <v>46</v>
      </c>
      <c r="D26" s="34" t="s">
        <v>20</v>
      </c>
      <c r="E26" s="35" t="s">
        <v>258</v>
      </c>
      <c r="F26" s="34" t="s">
        <v>19</v>
      </c>
      <c r="G26" s="32">
        <v>12</v>
      </c>
      <c r="H26" s="31">
        <v>1184</v>
      </c>
      <c r="I26" s="21">
        <v>14208</v>
      </c>
      <c r="J26" s="33"/>
    </row>
    <row r="27" spans="1:10" s="18" customFormat="1" ht="12.75" x14ac:dyDescent="0.2">
      <c r="A27" s="20">
        <v>18</v>
      </c>
      <c r="B27" s="34"/>
      <c r="C27" s="34" t="s">
        <v>46</v>
      </c>
      <c r="D27" s="34" t="s">
        <v>20</v>
      </c>
      <c r="E27" s="35" t="s">
        <v>53</v>
      </c>
      <c r="F27" s="34" t="s">
        <v>17</v>
      </c>
      <c r="G27" s="32">
        <v>30</v>
      </c>
      <c r="H27" s="31">
        <v>8949</v>
      </c>
      <c r="I27" s="21">
        <v>268470</v>
      </c>
      <c r="J27" s="33"/>
    </row>
    <row r="28" spans="1:10" s="18" customFormat="1" ht="12.75" x14ac:dyDescent="0.2">
      <c r="A28" s="20">
        <v>19</v>
      </c>
      <c r="B28" s="34"/>
      <c r="C28" s="34" t="s">
        <v>46</v>
      </c>
      <c r="D28" s="138" t="s">
        <v>176</v>
      </c>
      <c r="E28" s="35" t="s">
        <v>236</v>
      </c>
      <c r="F28" s="34" t="s">
        <v>213</v>
      </c>
      <c r="G28" s="32">
        <v>1</v>
      </c>
      <c r="H28" s="31">
        <v>15850</v>
      </c>
      <c r="I28" s="21">
        <v>15850</v>
      </c>
      <c r="J28" s="33"/>
    </row>
    <row r="29" spans="1:10" s="18" customFormat="1" ht="12.75" x14ac:dyDescent="0.2">
      <c r="A29" s="20">
        <v>20</v>
      </c>
      <c r="B29" s="34"/>
      <c r="C29" s="34" t="s">
        <v>46</v>
      </c>
      <c r="D29" s="138" t="s">
        <v>176</v>
      </c>
      <c r="E29" s="35" t="s">
        <v>212</v>
      </c>
      <c r="F29" s="34" t="s">
        <v>213</v>
      </c>
      <c r="G29" s="32">
        <v>2</v>
      </c>
      <c r="H29" s="31">
        <v>36750</v>
      </c>
      <c r="I29" s="21">
        <v>73500</v>
      </c>
      <c r="J29" s="33"/>
    </row>
    <row r="30" spans="1:10" s="18" customFormat="1" ht="12.75" x14ac:dyDescent="0.2">
      <c r="A30" s="20">
        <v>21</v>
      </c>
      <c r="B30" s="34"/>
      <c r="C30" s="34" t="s">
        <v>46</v>
      </c>
      <c r="D30" s="138" t="s">
        <v>176</v>
      </c>
      <c r="E30" s="35" t="s">
        <v>237</v>
      </c>
      <c r="F30" s="34" t="s">
        <v>213</v>
      </c>
      <c r="G30" s="32">
        <v>1</v>
      </c>
      <c r="H30" s="31">
        <v>15850</v>
      </c>
      <c r="I30" s="21">
        <v>15850</v>
      </c>
      <c r="J30" s="33"/>
    </row>
    <row r="31" spans="1:10" s="18" customFormat="1" ht="12.75" x14ac:dyDescent="0.2">
      <c r="A31" s="20">
        <v>22</v>
      </c>
      <c r="B31" s="34"/>
      <c r="C31" s="34" t="s">
        <v>46</v>
      </c>
      <c r="D31" s="138" t="s">
        <v>176</v>
      </c>
      <c r="E31" s="35" t="s">
        <v>214</v>
      </c>
      <c r="F31" s="34" t="s">
        <v>213</v>
      </c>
      <c r="G31" s="32">
        <v>2</v>
      </c>
      <c r="H31" s="31">
        <v>71500</v>
      </c>
      <c r="I31" s="21">
        <v>143000</v>
      </c>
      <c r="J31" s="33"/>
    </row>
    <row r="32" spans="1:10" s="18" customFormat="1" ht="12.75" x14ac:dyDescent="0.2">
      <c r="A32" s="20">
        <v>23</v>
      </c>
      <c r="B32" s="34"/>
      <c r="C32" s="34" t="s">
        <v>46</v>
      </c>
      <c r="D32" s="138" t="s">
        <v>176</v>
      </c>
      <c r="E32" s="35" t="s">
        <v>215</v>
      </c>
      <c r="F32" s="34" t="s">
        <v>59</v>
      </c>
      <c r="G32" s="32">
        <v>3</v>
      </c>
      <c r="H32" s="31">
        <v>12550</v>
      </c>
      <c r="I32" s="21">
        <v>37650</v>
      </c>
      <c r="J32" s="33"/>
    </row>
    <row r="33" spans="1:10" s="18" customFormat="1" ht="12.75" x14ac:dyDescent="0.2">
      <c r="A33" s="20">
        <v>24</v>
      </c>
      <c r="B33" s="34"/>
      <c r="C33" s="34" t="s">
        <v>46</v>
      </c>
      <c r="D33" s="138" t="s">
        <v>176</v>
      </c>
      <c r="E33" s="35" t="s">
        <v>216</v>
      </c>
      <c r="F33" s="34" t="s">
        <v>17</v>
      </c>
      <c r="G33" s="32">
        <v>3</v>
      </c>
      <c r="H33" s="31">
        <v>28000</v>
      </c>
      <c r="I33" s="21">
        <v>84000</v>
      </c>
      <c r="J33" s="33"/>
    </row>
    <row r="34" spans="1:10" s="18" customFormat="1" ht="12.75" x14ac:dyDescent="0.2">
      <c r="A34" s="20">
        <v>25</v>
      </c>
      <c r="B34" s="34"/>
      <c r="C34" s="34" t="s">
        <v>46</v>
      </c>
      <c r="D34" s="138" t="s">
        <v>176</v>
      </c>
      <c r="E34" s="35" t="s">
        <v>239</v>
      </c>
      <c r="F34" s="34" t="s">
        <v>213</v>
      </c>
      <c r="G34" s="32">
        <v>1</v>
      </c>
      <c r="H34" s="31">
        <v>15039</v>
      </c>
      <c r="I34" s="21">
        <v>15039</v>
      </c>
      <c r="J34" s="33"/>
    </row>
    <row r="35" spans="1:10" s="18" customFormat="1" ht="12.75" x14ac:dyDescent="0.2">
      <c r="A35" s="20">
        <v>26</v>
      </c>
      <c r="B35" s="34"/>
      <c r="C35" s="34" t="s">
        <v>46</v>
      </c>
      <c r="D35" s="138" t="s">
        <v>176</v>
      </c>
      <c r="E35" s="35" t="s">
        <v>217</v>
      </c>
      <c r="F35" s="34" t="s">
        <v>213</v>
      </c>
      <c r="G35" s="32">
        <v>1</v>
      </c>
      <c r="H35" s="31">
        <v>27595</v>
      </c>
      <c r="I35" s="21">
        <v>27595</v>
      </c>
      <c r="J35" s="33"/>
    </row>
    <row r="36" spans="1:10" s="18" customFormat="1" ht="12.75" x14ac:dyDescent="0.2">
      <c r="A36" s="20">
        <v>27</v>
      </c>
      <c r="B36" s="34"/>
      <c r="C36" s="34" t="s">
        <v>46</v>
      </c>
      <c r="D36" s="138" t="s">
        <v>176</v>
      </c>
      <c r="E36" s="35" t="s">
        <v>235</v>
      </c>
      <c r="F36" s="34" t="s">
        <v>213</v>
      </c>
      <c r="G36" s="32">
        <v>1</v>
      </c>
      <c r="H36" s="31">
        <v>15850</v>
      </c>
      <c r="I36" s="21">
        <v>15850</v>
      </c>
      <c r="J36" s="33"/>
    </row>
    <row r="37" spans="1:10" s="18" customFormat="1" ht="12.75" x14ac:dyDescent="0.2">
      <c r="A37" s="20">
        <v>28</v>
      </c>
      <c r="B37" s="34"/>
      <c r="C37" s="34" t="s">
        <v>46</v>
      </c>
      <c r="D37" s="138" t="s">
        <v>176</v>
      </c>
      <c r="E37" s="35" t="s">
        <v>218</v>
      </c>
      <c r="F37" s="34" t="s">
        <v>213</v>
      </c>
      <c r="G37" s="32">
        <v>2</v>
      </c>
      <c r="H37" s="31">
        <v>24480</v>
      </c>
      <c r="I37" s="21">
        <v>48960</v>
      </c>
      <c r="J37" s="33"/>
    </row>
    <row r="38" spans="1:10" s="18" customFormat="1" ht="12.75" x14ac:dyDescent="0.2">
      <c r="A38" s="20">
        <v>29</v>
      </c>
      <c r="B38" s="34"/>
      <c r="C38" s="34" t="s">
        <v>46</v>
      </c>
      <c r="D38" s="138" t="s">
        <v>176</v>
      </c>
      <c r="E38" s="35" t="s">
        <v>234</v>
      </c>
      <c r="F38" s="34" t="s">
        <v>213</v>
      </c>
      <c r="G38" s="32">
        <v>1</v>
      </c>
      <c r="H38" s="31">
        <v>20240</v>
      </c>
      <c r="I38" s="21">
        <v>20240</v>
      </c>
      <c r="J38" s="33"/>
    </row>
    <row r="39" spans="1:10" s="18" customFormat="1" ht="12.75" x14ac:dyDescent="0.2">
      <c r="A39" s="20">
        <v>30</v>
      </c>
      <c r="B39" s="34"/>
      <c r="C39" s="34" t="s">
        <v>46</v>
      </c>
      <c r="D39" s="138" t="s">
        <v>176</v>
      </c>
      <c r="E39" s="35" t="s">
        <v>219</v>
      </c>
      <c r="F39" s="34" t="s">
        <v>213</v>
      </c>
      <c r="G39" s="32">
        <v>4</v>
      </c>
      <c r="H39" s="31">
        <v>42239</v>
      </c>
      <c r="I39" s="21">
        <v>168956</v>
      </c>
      <c r="J39" s="33"/>
    </row>
    <row r="40" spans="1:10" s="18" customFormat="1" ht="12.75" x14ac:dyDescent="0.2">
      <c r="A40" s="20">
        <v>31</v>
      </c>
      <c r="B40" s="34"/>
      <c r="C40" s="34" t="s">
        <v>46</v>
      </c>
      <c r="D40" s="138" t="s">
        <v>176</v>
      </c>
      <c r="E40" s="35" t="s">
        <v>220</v>
      </c>
      <c r="F40" s="34" t="s">
        <v>59</v>
      </c>
      <c r="G40" s="32">
        <v>2</v>
      </c>
      <c r="H40" s="31">
        <v>25500</v>
      </c>
      <c r="I40" s="21">
        <v>51000</v>
      </c>
      <c r="J40" s="33"/>
    </row>
    <row r="41" spans="1:10" s="18" customFormat="1" ht="12.75" x14ac:dyDescent="0.2">
      <c r="A41" s="20">
        <v>32</v>
      </c>
      <c r="B41" s="34"/>
      <c r="C41" s="34" t="s">
        <v>46</v>
      </c>
      <c r="D41" s="138" t="s">
        <v>176</v>
      </c>
      <c r="E41" s="35" t="s">
        <v>238</v>
      </c>
      <c r="F41" s="34" t="s">
        <v>213</v>
      </c>
      <c r="G41" s="32">
        <v>1</v>
      </c>
      <c r="H41" s="31">
        <v>16418</v>
      </c>
      <c r="I41" s="21">
        <v>16418</v>
      </c>
      <c r="J41" s="33"/>
    </row>
    <row r="42" spans="1:10" s="18" customFormat="1" ht="12.75" x14ac:dyDescent="0.2">
      <c r="A42" s="20">
        <v>33</v>
      </c>
      <c r="B42" s="34"/>
      <c r="C42" s="34" t="s">
        <v>46</v>
      </c>
      <c r="D42" s="138" t="s">
        <v>176</v>
      </c>
      <c r="E42" s="35" t="s">
        <v>221</v>
      </c>
      <c r="F42" s="34" t="s">
        <v>213</v>
      </c>
      <c r="G42" s="32">
        <v>2</v>
      </c>
      <c r="H42" s="31">
        <v>32350</v>
      </c>
      <c r="I42" s="21">
        <v>64700</v>
      </c>
      <c r="J42" s="33"/>
    </row>
    <row r="43" spans="1:10" s="18" customFormat="1" ht="12.75" x14ac:dyDescent="0.2">
      <c r="A43" s="20">
        <v>34</v>
      </c>
      <c r="B43" s="34"/>
      <c r="C43" s="34" t="s">
        <v>46</v>
      </c>
      <c r="D43" s="138" t="s">
        <v>176</v>
      </c>
      <c r="E43" s="35" t="s">
        <v>222</v>
      </c>
      <c r="F43" s="34" t="s">
        <v>59</v>
      </c>
      <c r="G43" s="32">
        <v>2</v>
      </c>
      <c r="H43" s="31">
        <v>11000</v>
      </c>
      <c r="I43" s="21">
        <v>22000</v>
      </c>
      <c r="J43" s="33"/>
    </row>
    <row r="44" spans="1:10" s="18" customFormat="1" ht="12.75" x14ac:dyDescent="0.2">
      <c r="A44" s="20">
        <v>35</v>
      </c>
      <c r="B44" s="34"/>
      <c r="C44" s="34" t="s">
        <v>46</v>
      </c>
      <c r="D44" s="34" t="s">
        <v>20</v>
      </c>
      <c r="E44" s="35" t="s">
        <v>54</v>
      </c>
      <c r="F44" s="34" t="s">
        <v>19</v>
      </c>
      <c r="G44" s="32">
        <v>30</v>
      </c>
      <c r="H44" s="31">
        <v>2758</v>
      </c>
      <c r="I44" s="21">
        <v>82740</v>
      </c>
      <c r="J44" s="33"/>
    </row>
    <row r="45" spans="1:10" s="18" customFormat="1" ht="12.75" x14ac:dyDescent="0.2">
      <c r="A45" s="20">
        <v>36</v>
      </c>
      <c r="B45" s="34"/>
      <c r="C45" s="34" t="s">
        <v>46</v>
      </c>
      <c r="D45" s="34" t="s">
        <v>20</v>
      </c>
      <c r="E45" s="35" t="s">
        <v>25</v>
      </c>
      <c r="F45" s="34" t="s">
        <v>19</v>
      </c>
      <c r="G45" s="32">
        <v>20</v>
      </c>
      <c r="H45" s="31">
        <v>5775</v>
      </c>
      <c r="I45" s="21">
        <v>115500</v>
      </c>
      <c r="J45" s="33"/>
    </row>
    <row r="46" spans="1:10" s="18" customFormat="1" ht="12.75" x14ac:dyDescent="0.2">
      <c r="A46" s="20">
        <v>37</v>
      </c>
      <c r="B46" s="34"/>
      <c r="C46" s="34" t="s">
        <v>46</v>
      </c>
      <c r="D46" s="34" t="s">
        <v>20</v>
      </c>
      <c r="E46" s="35" t="s">
        <v>55</v>
      </c>
      <c r="F46" s="34" t="s">
        <v>17</v>
      </c>
      <c r="G46" s="32">
        <v>12</v>
      </c>
      <c r="H46" s="31">
        <v>11502.26</v>
      </c>
      <c r="I46" s="21">
        <v>138027.12</v>
      </c>
      <c r="J46" s="33"/>
    </row>
    <row r="47" spans="1:10" s="18" customFormat="1" ht="12.75" x14ac:dyDescent="0.2">
      <c r="A47" s="20">
        <v>38</v>
      </c>
      <c r="B47" s="34"/>
      <c r="C47" s="34" t="s">
        <v>46</v>
      </c>
      <c r="D47" s="34" t="s">
        <v>20</v>
      </c>
      <c r="E47" s="35" t="s">
        <v>56</v>
      </c>
      <c r="F47" s="34" t="s">
        <v>17</v>
      </c>
      <c r="G47" s="32">
        <v>12</v>
      </c>
      <c r="H47" s="31">
        <v>10577.85</v>
      </c>
      <c r="I47" s="21">
        <v>126934.20000000001</v>
      </c>
      <c r="J47" s="33"/>
    </row>
    <row r="48" spans="1:10" s="18" customFormat="1" ht="12.75" x14ac:dyDescent="0.2">
      <c r="A48" s="20">
        <v>39</v>
      </c>
      <c r="B48" s="34"/>
      <c r="C48" s="34" t="s">
        <v>46</v>
      </c>
      <c r="D48" s="34" t="s">
        <v>20</v>
      </c>
      <c r="E48" s="35" t="s">
        <v>263</v>
      </c>
      <c r="F48" s="34" t="s">
        <v>17</v>
      </c>
      <c r="G48" s="32">
        <v>14</v>
      </c>
      <c r="H48" s="31">
        <v>8300</v>
      </c>
      <c r="I48" s="21">
        <v>116200</v>
      </c>
      <c r="J48" s="33"/>
    </row>
    <row r="49" spans="1:10" s="18" customFormat="1" ht="12.75" x14ac:dyDescent="0.2">
      <c r="A49" s="20">
        <v>40</v>
      </c>
      <c r="B49" s="34"/>
      <c r="C49" s="34" t="s">
        <v>46</v>
      </c>
      <c r="D49" s="138" t="s">
        <v>176</v>
      </c>
      <c r="E49" s="140" t="s">
        <v>183</v>
      </c>
      <c r="F49" s="138" t="s">
        <v>19</v>
      </c>
      <c r="G49" s="32">
        <v>4</v>
      </c>
      <c r="H49" s="149">
        <v>28000</v>
      </c>
      <c r="I49" s="21">
        <v>112000</v>
      </c>
      <c r="J49" s="33"/>
    </row>
    <row r="50" spans="1:10" s="18" customFormat="1" ht="12.75" x14ac:dyDescent="0.2">
      <c r="A50" s="20">
        <v>41</v>
      </c>
      <c r="B50" s="34"/>
      <c r="C50" s="34" t="s">
        <v>46</v>
      </c>
      <c r="D50" s="141" t="s">
        <v>176</v>
      </c>
      <c r="E50" s="140" t="s">
        <v>184</v>
      </c>
      <c r="F50" s="142" t="s">
        <v>19</v>
      </c>
      <c r="G50" s="32">
        <v>2</v>
      </c>
      <c r="H50" s="149">
        <v>75000</v>
      </c>
      <c r="I50" s="21">
        <v>150000</v>
      </c>
      <c r="J50" s="33"/>
    </row>
    <row r="51" spans="1:10" s="18" customFormat="1" ht="12.75" x14ac:dyDescent="0.2">
      <c r="A51" s="20">
        <v>42</v>
      </c>
      <c r="B51" s="34"/>
      <c r="C51" s="34" t="s">
        <v>46</v>
      </c>
      <c r="D51" s="138" t="s">
        <v>176</v>
      </c>
      <c r="E51" s="140" t="s">
        <v>185</v>
      </c>
      <c r="F51" s="138" t="s">
        <v>19</v>
      </c>
      <c r="G51" s="32">
        <v>2</v>
      </c>
      <c r="H51" s="149">
        <v>31200</v>
      </c>
      <c r="I51" s="21">
        <v>62400</v>
      </c>
      <c r="J51" s="33"/>
    </row>
    <row r="52" spans="1:10" s="18" customFormat="1" ht="12.75" x14ac:dyDescent="0.2">
      <c r="A52" s="20">
        <v>43</v>
      </c>
      <c r="B52" s="34"/>
      <c r="C52" s="34" t="s">
        <v>46</v>
      </c>
      <c r="D52" s="34" t="s">
        <v>20</v>
      </c>
      <c r="E52" s="35" t="s">
        <v>57</v>
      </c>
      <c r="F52" s="34" t="s">
        <v>26</v>
      </c>
      <c r="G52" s="32">
        <v>24</v>
      </c>
      <c r="H52" s="31">
        <v>73440</v>
      </c>
      <c r="I52" s="21">
        <v>1762560</v>
      </c>
      <c r="J52" s="33"/>
    </row>
    <row r="53" spans="1:10" s="18" customFormat="1" ht="12.75" x14ac:dyDescent="0.2">
      <c r="A53" s="20">
        <v>44</v>
      </c>
      <c r="B53" s="34"/>
      <c r="C53" s="34" t="s">
        <v>46</v>
      </c>
      <c r="D53" s="34" t="s">
        <v>20</v>
      </c>
      <c r="E53" s="35" t="s">
        <v>262</v>
      </c>
      <c r="F53" s="34" t="s">
        <v>17</v>
      </c>
      <c r="G53" s="32">
        <v>1</v>
      </c>
      <c r="H53" s="31">
        <v>11685</v>
      </c>
      <c r="I53" s="21">
        <v>11685</v>
      </c>
      <c r="J53" s="33"/>
    </row>
    <row r="54" spans="1:10" s="18" customFormat="1" ht="12.75" x14ac:dyDescent="0.2">
      <c r="A54" s="20">
        <v>45</v>
      </c>
      <c r="B54" s="34"/>
      <c r="C54" s="34" t="s">
        <v>46</v>
      </c>
      <c r="D54" s="34" t="s">
        <v>20</v>
      </c>
      <c r="E54" s="35" t="s">
        <v>58</v>
      </c>
      <c r="F54" s="34" t="s">
        <v>59</v>
      </c>
      <c r="G54" s="32">
        <v>20</v>
      </c>
      <c r="H54" s="31">
        <v>11620</v>
      </c>
      <c r="I54" s="21">
        <v>232400</v>
      </c>
      <c r="J54" s="33"/>
    </row>
    <row r="55" spans="1:10" s="18" customFormat="1" ht="12.75" x14ac:dyDescent="0.2">
      <c r="A55" s="20">
        <v>46</v>
      </c>
      <c r="B55" s="34"/>
      <c r="C55" s="34" t="s">
        <v>46</v>
      </c>
      <c r="D55" s="34" t="s">
        <v>20</v>
      </c>
      <c r="E55" s="35" t="s">
        <v>27</v>
      </c>
      <c r="F55" s="34" t="s">
        <v>19</v>
      </c>
      <c r="G55" s="32">
        <v>12</v>
      </c>
      <c r="H55" s="31">
        <v>10206</v>
      </c>
      <c r="I55" s="21">
        <v>122472</v>
      </c>
      <c r="J55" s="33"/>
    </row>
    <row r="56" spans="1:10" s="18" customFormat="1" ht="12.75" x14ac:dyDescent="0.2">
      <c r="A56" s="20">
        <v>47</v>
      </c>
      <c r="B56" s="34"/>
      <c r="C56" s="34" t="s">
        <v>46</v>
      </c>
      <c r="D56" s="34" t="s">
        <v>20</v>
      </c>
      <c r="E56" s="35" t="s">
        <v>28</v>
      </c>
      <c r="F56" s="34" t="s">
        <v>19</v>
      </c>
      <c r="G56" s="32">
        <v>12</v>
      </c>
      <c r="H56" s="31">
        <v>11295</v>
      </c>
      <c r="I56" s="21">
        <v>135540</v>
      </c>
      <c r="J56" s="33"/>
    </row>
    <row r="57" spans="1:10" s="18" customFormat="1" ht="12.75" x14ac:dyDescent="0.2">
      <c r="A57" s="20">
        <v>48</v>
      </c>
      <c r="B57" s="34"/>
      <c r="C57" s="34" t="s">
        <v>46</v>
      </c>
      <c r="D57" s="34" t="s">
        <v>20</v>
      </c>
      <c r="E57" s="35" t="s">
        <v>60</v>
      </c>
      <c r="F57" s="34" t="s">
        <v>17</v>
      </c>
      <c r="G57" s="32">
        <v>4</v>
      </c>
      <c r="H57" s="31">
        <v>5927</v>
      </c>
      <c r="I57" s="21">
        <v>23708</v>
      </c>
      <c r="J57" s="33"/>
    </row>
    <row r="58" spans="1:10" s="18" customFormat="1" ht="12.75" x14ac:dyDescent="0.2">
      <c r="A58" s="20">
        <v>49</v>
      </c>
      <c r="B58" s="34"/>
      <c r="C58" s="34" t="s">
        <v>46</v>
      </c>
      <c r="D58" s="34" t="s">
        <v>20</v>
      </c>
      <c r="E58" s="35" t="s">
        <v>61</v>
      </c>
      <c r="F58" s="34" t="s">
        <v>19</v>
      </c>
      <c r="G58" s="32">
        <v>4</v>
      </c>
      <c r="H58" s="31">
        <v>19623</v>
      </c>
      <c r="I58" s="21">
        <v>78492</v>
      </c>
      <c r="J58" s="33"/>
    </row>
    <row r="59" spans="1:10" s="18" customFormat="1" ht="12.75" x14ac:dyDescent="0.2">
      <c r="A59" s="20">
        <v>50</v>
      </c>
      <c r="B59" s="34"/>
      <c r="C59" s="34" t="s">
        <v>46</v>
      </c>
      <c r="D59" s="34" t="s">
        <v>20</v>
      </c>
      <c r="E59" s="35" t="s">
        <v>62</v>
      </c>
      <c r="F59" s="34" t="s">
        <v>19</v>
      </c>
      <c r="G59" s="32">
        <v>6</v>
      </c>
      <c r="H59" s="31">
        <v>15166</v>
      </c>
      <c r="I59" s="21">
        <v>90996</v>
      </c>
      <c r="J59" s="33"/>
    </row>
    <row r="60" spans="1:10" s="18" customFormat="1" ht="12.75" x14ac:dyDescent="0.2">
      <c r="A60" s="20">
        <v>51</v>
      </c>
      <c r="B60" s="34"/>
      <c r="C60" s="34" t="s">
        <v>46</v>
      </c>
      <c r="D60" s="34" t="s">
        <v>20</v>
      </c>
      <c r="E60" s="35" t="s">
        <v>63</v>
      </c>
      <c r="F60" s="34" t="s">
        <v>19</v>
      </c>
      <c r="G60" s="32">
        <v>6</v>
      </c>
      <c r="H60" s="31">
        <v>9191</v>
      </c>
      <c r="I60" s="21">
        <v>55146</v>
      </c>
      <c r="J60" s="33"/>
    </row>
    <row r="61" spans="1:10" s="18" customFormat="1" ht="12.75" x14ac:dyDescent="0.2">
      <c r="A61" s="20">
        <v>52</v>
      </c>
      <c r="B61" s="34"/>
      <c r="C61" s="34" t="s">
        <v>46</v>
      </c>
      <c r="D61" s="34" t="s">
        <v>20</v>
      </c>
      <c r="E61" s="35" t="s">
        <v>29</v>
      </c>
      <c r="F61" s="34" t="s">
        <v>19</v>
      </c>
      <c r="G61" s="32">
        <v>12</v>
      </c>
      <c r="H61" s="31">
        <v>19749</v>
      </c>
      <c r="I61" s="21">
        <v>236988</v>
      </c>
      <c r="J61" s="33"/>
    </row>
    <row r="62" spans="1:10" s="18" customFormat="1" ht="12.75" x14ac:dyDescent="0.2">
      <c r="A62" s="20">
        <v>53</v>
      </c>
      <c r="B62" s="34"/>
      <c r="C62" s="34" t="s">
        <v>46</v>
      </c>
      <c r="D62" s="34" t="s">
        <v>20</v>
      </c>
      <c r="E62" s="35" t="s">
        <v>64</v>
      </c>
      <c r="F62" s="34" t="s">
        <v>17</v>
      </c>
      <c r="G62" s="32">
        <v>2</v>
      </c>
      <c r="H62" s="31">
        <v>40594</v>
      </c>
      <c r="I62" s="21">
        <v>81188</v>
      </c>
      <c r="J62" s="33"/>
    </row>
    <row r="63" spans="1:10" s="18" customFormat="1" ht="12.75" x14ac:dyDescent="0.2">
      <c r="A63" s="20">
        <v>54</v>
      </c>
      <c r="B63" s="34"/>
      <c r="C63" s="34" t="s">
        <v>46</v>
      </c>
      <c r="D63" s="34" t="s">
        <v>20</v>
      </c>
      <c r="E63" s="35" t="s">
        <v>65</v>
      </c>
      <c r="F63" s="34" t="s">
        <v>17</v>
      </c>
      <c r="G63" s="32">
        <v>2</v>
      </c>
      <c r="H63" s="31">
        <v>37558</v>
      </c>
      <c r="I63" s="21">
        <v>75116</v>
      </c>
      <c r="J63" s="33"/>
    </row>
    <row r="64" spans="1:10" s="18" customFormat="1" ht="12.75" x14ac:dyDescent="0.2">
      <c r="A64" s="20">
        <v>55</v>
      </c>
      <c r="B64" s="34"/>
      <c r="C64" s="34" t="s">
        <v>46</v>
      </c>
      <c r="D64" s="138" t="s">
        <v>176</v>
      </c>
      <c r="E64" s="140" t="s">
        <v>186</v>
      </c>
      <c r="F64" s="138" t="s">
        <v>19</v>
      </c>
      <c r="G64" s="32">
        <v>2</v>
      </c>
      <c r="H64" s="149">
        <v>2500</v>
      </c>
      <c r="I64" s="21">
        <v>5000</v>
      </c>
      <c r="J64" s="33"/>
    </row>
    <row r="65" spans="1:10" s="18" customFormat="1" ht="12.75" x14ac:dyDescent="0.2">
      <c r="A65" s="20">
        <v>56</v>
      </c>
      <c r="B65" s="34"/>
      <c r="C65" s="34" t="s">
        <v>46</v>
      </c>
      <c r="D65" s="138" t="s">
        <v>176</v>
      </c>
      <c r="E65" s="140" t="s">
        <v>187</v>
      </c>
      <c r="F65" s="138" t="s">
        <v>19</v>
      </c>
      <c r="G65" s="32">
        <v>9</v>
      </c>
      <c r="H65" s="149">
        <v>27300</v>
      </c>
      <c r="I65" s="21">
        <v>245700</v>
      </c>
      <c r="J65" s="33"/>
    </row>
    <row r="66" spans="1:10" s="18" customFormat="1" ht="12.75" x14ac:dyDescent="0.2">
      <c r="A66" s="20">
        <v>57</v>
      </c>
      <c r="B66" s="34"/>
      <c r="C66" s="34" t="s">
        <v>46</v>
      </c>
      <c r="D66" s="34" t="s">
        <v>20</v>
      </c>
      <c r="E66" s="35" t="s">
        <v>66</v>
      </c>
      <c r="F66" s="34" t="s">
        <v>49</v>
      </c>
      <c r="G66" s="32">
        <v>10</v>
      </c>
      <c r="H66" s="31">
        <v>11564</v>
      </c>
      <c r="I66" s="21">
        <v>115640</v>
      </c>
      <c r="J66" s="33"/>
    </row>
    <row r="67" spans="1:10" s="18" customFormat="1" ht="12.75" x14ac:dyDescent="0.2">
      <c r="A67" s="20">
        <v>58</v>
      </c>
      <c r="B67" s="34"/>
      <c r="C67" s="34" t="s">
        <v>46</v>
      </c>
      <c r="D67" s="34" t="s">
        <v>20</v>
      </c>
      <c r="E67" s="35" t="s">
        <v>67</v>
      </c>
      <c r="F67" s="34" t="s">
        <v>19</v>
      </c>
      <c r="G67" s="32">
        <v>4</v>
      </c>
      <c r="H67" s="31">
        <v>15800</v>
      </c>
      <c r="I67" s="21">
        <v>63200</v>
      </c>
      <c r="J67" s="33"/>
    </row>
    <row r="68" spans="1:10" s="18" customFormat="1" ht="12.75" x14ac:dyDescent="0.2">
      <c r="A68" s="20">
        <v>59</v>
      </c>
      <c r="B68" s="34"/>
      <c r="C68" s="34" t="s">
        <v>46</v>
      </c>
      <c r="D68" s="34" t="s">
        <v>20</v>
      </c>
      <c r="E68" s="35" t="s">
        <v>68</v>
      </c>
      <c r="F68" s="34" t="s">
        <v>17</v>
      </c>
      <c r="G68" s="32">
        <v>2</v>
      </c>
      <c r="H68" s="31">
        <v>17075</v>
      </c>
      <c r="I68" s="21">
        <v>34150</v>
      </c>
      <c r="J68" s="33"/>
    </row>
    <row r="69" spans="1:10" s="18" customFormat="1" ht="12.75" x14ac:dyDescent="0.2">
      <c r="A69" s="20">
        <v>60</v>
      </c>
      <c r="B69" s="34"/>
      <c r="C69" s="34" t="s">
        <v>46</v>
      </c>
      <c r="D69" s="34" t="s">
        <v>20</v>
      </c>
      <c r="E69" s="35" t="s">
        <v>69</v>
      </c>
      <c r="F69" s="34" t="s">
        <v>17</v>
      </c>
      <c r="G69" s="32">
        <v>3</v>
      </c>
      <c r="H69" s="31">
        <v>40770</v>
      </c>
      <c r="I69" s="21">
        <v>122310</v>
      </c>
      <c r="J69" s="33"/>
    </row>
    <row r="70" spans="1:10" s="18" customFormat="1" ht="12.75" x14ac:dyDescent="0.2">
      <c r="A70" s="20">
        <v>61</v>
      </c>
      <c r="B70" s="34"/>
      <c r="C70" s="34" t="s">
        <v>46</v>
      </c>
      <c r="D70" s="34" t="s">
        <v>20</v>
      </c>
      <c r="E70" s="35" t="s">
        <v>70</v>
      </c>
      <c r="F70" s="34" t="s">
        <v>19</v>
      </c>
      <c r="G70" s="32">
        <v>10</v>
      </c>
      <c r="H70" s="31">
        <v>39210</v>
      </c>
      <c r="I70" s="21">
        <v>392100</v>
      </c>
      <c r="J70" s="33"/>
    </row>
    <row r="71" spans="1:10" s="18" customFormat="1" ht="12.75" x14ac:dyDescent="0.2">
      <c r="A71" s="20">
        <v>62</v>
      </c>
      <c r="B71" s="34"/>
      <c r="C71" s="34" t="s">
        <v>46</v>
      </c>
      <c r="D71" s="34" t="s">
        <v>20</v>
      </c>
      <c r="E71" s="35" t="s">
        <v>71</v>
      </c>
      <c r="F71" s="34" t="s">
        <v>21</v>
      </c>
      <c r="G71" s="32">
        <v>30</v>
      </c>
      <c r="H71" s="31">
        <v>16800</v>
      </c>
      <c r="I71" s="21">
        <v>504000</v>
      </c>
      <c r="J71" s="33"/>
    </row>
    <row r="72" spans="1:10" s="18" customFormat="1" ht="12.75" x14ac:dyDescent="0.2">
      <c r="A72" s="20">
        <v>63</v>
      </c>
      <c r="B72" s="34"/>
      <c r="C72" s="34" t="s">
        <v>46</v>
      </c>
      <c r="D72" s="34" t="s">
        <v>20</v>
      </c>
      <c r="E72" s="35" t="s">
        <v>72</v>
      </c>
      <c r="F72" s="34" t="s">
        <v>19</v>
      </c>
      <c r="G72" s="32">
        <v>1500</v>
      </c>
      <c r="H72" s="31">
        <v>590</v>
      </c>
      <c r="I72" s="21">
        <v>885000</v>
      </c>
      <c r="J72" s="33"/>
    </row>
    <row r="73" spans="1:10" s="18" customFormat="1" ht="12.75" x14ac:dyDescent="0.2">
      <c r="A73" s="20">
        <v>64</v>
      </c>
      <c r="B73" s="34"/>
      <c r="C73" s="34" t="s">
        <v>46</v>
      </c>
      <c r="D73" s="34" t="s">
        <v>20</v>
      </c>
      <c r="E73" s="35" t="s">
        <v>73</v>
      </c>
      <c r="F73" s="34" t="s">
        <v>19</v>
      </c>
      <c r="G73" s="32">
        <v>900</v>
      </c>
      <c r="H73" s="31">
        <v>725</v>
      </c>
      <c r="I73" s="21">
        <v>652500</v>
      </c>
      <c r="J73" s="33"/>
    </row>
    <row r="74" spans="1:10" s="18" customFormat="1" ht="12.75" x14ac:dyDescent="0.2">
      <c r="A74" s="20">
        <v>65</v>
      </c>
      <c r="B74" s="34"/>
      <c r="C74" s="34" t="s">
        <v>46</v>
      </c>
      <c r="D74" s="34" t="s">
        <v>20</v>
      </c>
      <c r="E74" s="35" t="s">
        <v>74</v>
      </c>
      <c r="F74" s="34" t="s">
        <v>19</v>
      </c>
      <c r="G74" s="32">
        <v>900</v>
      </c>
      <c r="H74" s="31">
        <v>795</v>
      </c>
      <c r="I74" s="21">
        <v>715500</v>
      </c>
      <c r="J74" s="33"/>
    </row>
    <row r="75" spans="1:10" s="18" customFormat="1" ht="12.75" x14ac:dyDescent="0.2">
      <c r="A75" s="20">
        <v>66</v>
      </c>
      <c r="B75" s="34"/>
      <c r="C75" s="34" t="s">
        <v>46</v>
      </c>
      <c r="D75" s="34" t="s">
        <v>20</v>
      </c>
      <c r="E75" s="35" t="s">
        <v>75</v>
      </c>
      <c r="F75" s="34" t="s">
        <v>19</v>
      </c>
      <c r="G75" s="32">
        <v>50</v>
      </c>
      <c r="H75" s="31">
        <v>4980</v>
      </c>
      <c r="I75" s="21">
        <v>249000</v>
      </c>
      <c r="J75" s="33"/>
    </row>
    <row r="76" spans="1:10" s="18" customFormat="1" ht="12.75" x14ac:dyDescent="0.2">
      <c r="A76" s="20">
        <v>67</v>
      </c>
      <c r="B76" s="34"/>
      <c r="C76" s="34" t="s">
        <v>46</v>
      </c>
      <c r="D76" s="34" t="s">
        <v>20</v>
      </c>
      <c r="E76" s="35" t="s">
        <v>76</v>
      </c>
      <c r="F76" s="34" t="s">
        <v>17</v>
      </c>
      <c r="G76" s="32">
        <v>3</v>
      </c>
      <c r="H76" s="31">
        <v>53980</v>
      </c>
      <c r="I76" s="21">
        <v>161940</v>
      </c>
      <c r="J76" s="33"/>
    </row>
    <row r="77" spans="1:10" s="18" customFormat="1" ht="25.5" x14ac:dyDescent="0.2">
      <c r="A77" s="20">
        <v>68</v>
      </c>
      <c r="B77" s="34"/>
      <c r="C77" s="34" t="s">
        <v>46</v>
      </c>
      <c r="D77" s="34" t="s">
        <v>20</v>
      </c>
      <c r="E77" s="35" t="s">
        <v>77</v>
      </c>
      <c r="F77" s="34" t="s">
        <v>17</v>
      </c>
      <c r="G77" s="32">
        <v>16</v>
      </c>
      <c r="H77" s="31">
        <v>20160</v>
      </c>
      <c r="I77" s="21">
        <v>322560</v>
      </c>
      <c r="J77" s="33"/>
    </row>
    <row r="78" spans="1:10" s="18" customFormat="1" ht="12.75" x14ac:dyDescent="0.2">
      <c r="A78" s="20">
        <v>69</v>
      </c>
      <c r="B78" s="34"/>
      <c r="C78" s="34" t="s">
        <v>46</v>
      </c>
      <c r="D78" s="34" t="s">
        <v>20</v>
      </c>
      <c r="E78" s="35" t="s">
        <v>240</v>
      </c>
      <c r="F78" s="34" t="s">
        <v>17</v>
      </c>
      <c r="G78" s="32">
        <v>12</v>
      </c>
      <c r="H78" s="31">
        <v>19743.57</v>
      </c>
      <c r="I78" s="21">
        <v>236922.84</v>
      </c>
      <c r="J78" s="33"/>
    </row>
    <row r="79" spans="1:10" s="18" customFormat="1" ht="76.5" x14ac:dyDescent="0.2">
      <c r="A79" s="20">
        <v>70</v>
      </c>
      <c r="B79" s="34"/>
      <c r="C79" s="34" t="s">
        <v>46</v>
      </c>
      <c r="D79" s="34" t="s">
        <v>20</v>
      </c>
      <c r="E79" s="35" t="s">
        <v>30</v>
      </c>
      <c r="F79" s="34" t="s">
        <v>17</v>
      </c>
      <c r="G79" s="32">
        <v>16</v>
      </c>
      <c r="H79" s="31">
        <v>36300</v>
      </c>
      <c r="I79" s="21">
        <v>580800</v>
      </c>
      <c r="J79" s="33"/>
    </row>
    <row r="80" spans="1:10" s="18" customFormat="1" ht="12.75" x14ac:dyDescent="0.2">
      <c r="A80" s="20">
        <v>71</v>
      </c>
      <c r="B80" s="34"/>
      <c r="C80" s="34" t="s">
        <v>46</v>
      </c>
      <c r="D80" s="138" t="s">
        <v>176</v>
      </c>
      <c r="E80" s="140" t="s">
        <v>188</v>
      </c>
      <c r="F80" s="138" t="s">
        <v>19</v>
      </c>
      <c r="G80" s="32">
        <v>2</v>
      </c>
      <c r="H80" s="149">
        <v>3950</v>
      </c>
      <c r="I80" s="21">
        <v>7900</v>
      </c>
      <c r="J80" s="33"/>
    </row>
    <row r="81" spans="1:10" s="18" customFormat="1" ht="12.75" x14ac:dyDescent="0.2">
      <c r="A81" s="20">
        <v>72</v>
      </c>
      <c r="B81" s="34"/>
      <c r="C81" s="34" t="s">
        <v>46</v>
      </c>
      <c r="D81" s="138" t="s">
        <v>176</v>
      </c>
      <c r="E81" s="140" t="s">
        <v>189</v>
      </c>
      <c r="F81" s="138" t="s">
        <v>19</v>
      </c>
      <c r="G81" s="32">
        <v>5</v>
      </c>
      <c r="H81" s="149">
        <v>5900</v>
      </c>
      <c r="I81" s="21">
        <v>29500</v>
      </c>
      <c r="J81" s="33"/>
    </row>
    <row r="82" spans="1:10" s="18" customFormat="1" ht="12.75" x14ac:dyDescent="0.2">
      <c r="A82" s="20">
        <v>73</v>
      </c>
      <c r="B82" s="34"/>
      <c r="C82" s="34" t="s">
        <v>46</v>
      </c>
      <c r="D82" s="34" t="s">
        <v>20</v>
      </c>
      <c r="E82" s="35" t="s">
        <v>78</v>
      </c>
      <c r="F82" s="34" t="s">
        <v>19</v>
      </c>
      <c r="G82" s="32">
        <v>30</v>
      </c>
      <c r="H82" s="31">
        <v>6500</v>
      </c>
      <c r="I82" s="21">
        <v>195000</v>
      </c>
      <c r="J82" s="33"/>
    </row>
    <row r="83" spans="1:10" s="18" customFormat="1" ht="12.75" x14ac:dyDescent="0.2">
      <c r="A83" s="20">
        <v>74</v>
      </c>
      <c r="B83" s="34"/>
      <c r="C83" s="34" t="s">
        <v>46</v>
      </c>
      <c r="D83" s="34" t="s">
        <v>20</v>
      </c>
      <c r="E83" s="35" t="s">
        <v>79</v>
      </c>
      <c r="F83" s="34" t="s">
        <v>17</v>
      </c>
      <c r="G83" s="32">
        <v>10</v>
      </c>
      <c r="H83" s="31">
        <v>7300</v>
      </c>
      <c r="I83" s="21">
        <v>73000</v>
      </c>
      <c r="J83" s="33"/>
    </row>
    <row r="84" spans="1:10" s="18" customFormat="1" ht="12.75" x14ac:dyDescent="0.2">
      <c r="A84" s="20">
        <v>75</v>
      </c>
      <c r="B84" s="34"/>
      <c r="C84" s="34" t="s">
        <v>46</v>
      </c>
      <c r="D84" s="34" t="s">
        <v>20</v>
      </c>
      <c r="E84" s="35" t="s">
        <v>80</v>
      </c>
      <c r="F84" s="34" t="s">
        <v>17</v>
      </c>
      <c r="G84" s="32">
        <v>5</v>
      </c>
      <c r="H84" s="31">
        <v>5896</v>
      </c>
      <c r="I84" s="21">
        <v>29480</v>
      </c>
      <c r="J84" s="33"/>
    </row>
    <row r="85" spans="1:10" s="18" customFormat="1" ht="12.75" x14ac:dyDescent="0.2">
      <c r="A85" s="20">
        <v>76</v>
      </c>
      <c r="B85" s="34"/>
      <c r="C85" s="34" t="s">
        <v>46</v>
      </c>
      <c r="D85" s="34" t="s">
        <v>20</v>
      </c>
      <c r="E85" s="35" t="s">
        <v>81</v>
      </c>
      <c r="F85" s="34" t="s">
        <v>82</v>
      </c>
      <c r="G85" s="32">
        <v>10</v>
      </c>
      <c r="H85" s="31">
        <v>4896</v>
      </c>
      <c r="I85" s="21">
        <v>48960</v>
      </c>
      <c r="J85" s="33"/>
    </row>
    <row r="86" spans="1:10" s="18" customFormat="1" ht="12.75" x14ac:dyDescent="0.2">
      <c r="A86" s="20">
        <v>77</v>
      </c>
      <c r="B86" s="34"/>
      <c r="C86" s="34" t="s">
        <v>46</v>
      </c>
      <c r="D86" s="34" t="s">
        <v>20</v>
      </c>
      <c r="E86" s="35" t="s">
        <v>83</v>
      </c>
      <c r="F86" s="34" t="s">
        <v>17</v>
      </c>
      <c r="G86" s="32">
        <v>50</v>
      </c>
      <c r="H86" s="31">
        <v>993</v>
      </c>
      <c r="I86" s="21">
        <v>49650</v>
      </c>
      <c r="J86" s="33"/>
    </row>
    <row r="87" spans="1:10" s="18" customFormat="1" ht="12.75" x14ac:dyDescent="0.2">
      <c r="A87" s="20">
        <v>78</v>
      </c>
      <c r="B87" s="34"/>
      <c r="C87" s="34" t="s">
        <v>46</v>
      </c>
      <c r="D87" s="34" t="s">
        <v>20</v>
      </c>
      <c r="E87" s="35" t="s">
        <v>84</v>
      </c>
      <c r="F87" s="34" t="s">
        <v>17</v>
      </c>
      <c r="G87" s="32">
        <v>15</v>
      </c>
      <c r="H87" s="31">
        <v>7268</v>
      </c>
      <c r="I87" s="21">
        <v>109020</v>
      </c>
      <c r="J87" s="33"/>
    </row>
    <row r="88" spans="1:10" s="18" customFormat="1" ht="12.75" x14ac:dyDescent="0.2">
      <c r="A88" s="20">
        <v>79</v>
      </c>
      <c r="B88" s="34"/>
      <c r="C88" s="34" t="s">
        <v>46</v>
      </c>
      <c r="D88" s="34" t="s">
        <v>20</v>
      </c>
      <c r="E88" s="35" t="s">
        <v>85</v>
      </c>
      <c r="F88" s="34" t="s">
        <v>17</v>
      </c>
      <c r="G88" s="32">
        <v>10</v>
      </c>
      <c r="H88" s="31">
        <v>7268</v>
      </c>
      <c r="I88" s="21">
        <v>72680</v>
      </c>
      <c r="J88" s="33"/>
    </row>
    <row r="89" spans="1:10" s="18" customFormat="1" ht="12.75" x14ac:dyDescent="0.2">
      <c r="A89" s="20">
        <v>80</v>
      </c>
      <c r="B89" s="34"/>
      <c r="C89" s="34" t="s">
        <v>46</v>
      </c>
      <c r="D89" s="34" t="s">
        <v>20</v>
      </c>
      <c r="E89" s="35" t="s">
        <v>86</v>
      </c>
      <c r="F89" s="34" t="s">
        <v>19</v>
      </c>
      <c r="G89" s="32">
        <v>20</v>
      </c>
      <c r="H89" s="31">
        <v>16886</v>
      </c>
      <c r="I89" s="21">
        <v>337720</v>
      </c>
      <c r="J89" s="33"/>
    </row>
    <row r="90" spans="1:10" s="18" customFormat="1" ht="12.75" x14ac:dyDescent="0.2">
      <c r="A90" s="20">
        <v>81</v>
      </c>
      <c r="B90" s="34"/>
      <c r="C90" s="34" t="s">
        <v>46</v>
      </c>
      <c r="D90" s="34" t="s">
        <v>20</v>
      </c>
      <c r="E90" s="35" t="s">
        <v>87</v>
      </c>
      <c r="F90" s="34" t="s">
        <v>17</v>
      </c>
      <c r="G90" s="32">
        <v>15</v>
      </c>
      <c r="H90" s="31">
        <v>23878</v>
      </c>
      <c r="I90" s="21">
        <v>358170</v>
      </c>
      <c r="J90" s="33"/>
    </row>
    <row r="91" spans="1:10" s="18" customFormat="1" ht="12.75" x14ac:dyDescent="0.2">
      <c r="A91" s="20">
        <v>82</v>
      </c>
      <c r="B91" s="34"/>
      <c r="C91" s="34" t="s">
        <v>46</v>
      </c>
      <c r="D91" s="34" t="s">
        <v>20</v>
      </c>
      <c r="E91" s="35" t="s">
        <v>31</v>
      </c>
      <c r="F91" s="34" t="s">
        <v>19</v>
      </c>
      <c r="G91" s="32">
        <v>12</v>
      </c>
      <c r="H91" s="31">
        <v>14586</v>
      </c>
      <c r="I91" s="21">
        <v>175032</v>
      </c>
      <c r="J91" s="33"/>
    </row>
    <row r="92" spans="1:10" s="18" customFormat="1" ht="12.75" x14ac:dyDescent="0.2">
      <c r="A92" s="20">
        <v>83</v>
      </c>
      <c r="B92" s="34"/>
      <c r="C92" s="34" t="s">
        <v>46</v>
      </c>
      <c r="D92" s="34" t="s">
        <v>20</v>
      </c>
      <c r="E92" s="35" t="s">
        <v>32</v>
      </c>
      <c r="F92" s="34" t="s">
        <v>19</v>
      </c>
      <c r="G92" s="32">
        <v>12</v>
      </c>
      <c r="H92" s="31">
        <v>39806</v>
      </c>
      <c r="I92" s="21">
        <v>477672</v>
      </c>
      <c r="J92" s="33"/>
    </row>
    <row r="93" spans="1:10" s="18" customFormat="1" ht="12.75" x14ac:dyDescent="0.2">
      <c r="A93" s="20">
        <v>84</v>
      </c>
      <c r="B93" s="34"/>
      <c r="C93" s="34" t="s">
        <v>46</v>
      </c>
      <c r="D93" s="138" t="s">
        <v>176</v>
      </c>
      <c r="E93" s="140" t="s">
        <v>190</v>
      </c>
      <c r="F93" s="138" t="s">
        <v>19</v>
      </c>
      <c r="G93" s="32">
        <v>2</v>
      </c>
      <c r="H93" s="149">
        <v>1500</v>
      </c>
      <c r="I93" s="21">
        <v>3000</v>
      </c>
      <c r="J93" s="33"/>
    </row>
    <row r="94" spans="1:10" s="18" customFormat="1" ht="12.75" x14ac:dyDescent="0.2">
      <c r="A94" s="20">
        <v>85</v>
      </c>
      <c r="B94" s="34"/>
      <c r="C94" s="34" t="s">
        <v>46</v>
      </c>
      <c r="D94" s="34" t="s">
        <v>20</v>
      </c>
      <c r="E94" s="35" t="s">
        <v>33</v>
      </c>
      <c r="F94" s="34" t="s">
        <v>34</v>
      </c>
      <c r="G94" s="32">
        <v>48</v>
      </c>
      <c r="H94" s="31">
        <v>23147</v>
      </c>
      <c r="I94" s="21">
        <v>1111056</v>
      </c>
      <c r="J94" s="33"/>
    </row>
    <row r="95" spans="1:10" s="18" customFormat="1" ht="12.75" x14ac:dyDescent="0.2">
      <c r="A95" s="20">
        <v>86</v>
      </c>
      <c r="B95" s="34"/>
      <c r="C95" s="34" t="s">
        <v>46</v>
      </c>
      <c r="D95" s="34" t="s">
        <v>20</v>
      </c>
      <c r="E95" s="35" t="s">
        <v>35</v>
      </c>
      <c r="F95" s="34" t="s">
        <v>19</v>
      </c>
      <c r="G95" s="32">
        <v>12</v>
      </c>
      <c r="H95" s="31">
        <v>25747</v>
      </c>
      <c r="I95" s="21">
        <v>308964</v>
      </c>
      <c r="J95" s="33"/>
    </row>
    <row r="96" spans="1:10" s="18" customFormat="1" ht="12.75" x14ac:dyDescent="0.2">
      <c r="A96" s="20">
        <v>87</v>
      </c>
      <c r="B96" s="34"/>
      <c r="C96" s="34" t="s">
        <v>46</v>
      </c>
      <c r="D96" s="34" t="s">
        <v>20</v>
      </c>
      <c r="E96" s="35" t="s">
        <v>36</v>
      </c>
      <c r="F96" s="34" t="s">
        <v>17</v>
      </c>
      <c r="G96" s="32">
        <v>3</v>
      </c>
      <c r="H96" s="31">
        <v>50545</v>
      </c>
      <c r="I96" s="21">
        <v>151635</v>
      </c>
      <c r="J96" s="33"/>
    </row>
    <row r="97" spans="1:10" s="18" customFormat="1" ht="12.75" x14ac:dyDescent="0.2">
      <c r="A97" s="20">
        <v>88</v>
      </c>
      <c r="B97" s="34"/>
      <c r="C97" s="34" t="s">
        <v>46</v>
      </c>
      <c r="D97" s="138" t="s">
        <v>176</v>
      </c>
      <c r="E97" s="140" t="s">
        <v>191</v>
      </c>
      <c r="F97" s="138" t="s">
        <v>19</v>
      </c>
      <c r="G97" s="32">
        <v>1</v>
      </c>
      <c r="H97" s="149">
        <v>2800</v>
      </c>
      <c r="I97" s="21">
        <v>2800</v>
      </c>
      <c r="J97" s="33"/>
    </row>
    <row r="98" spans="1:10" s="18" customFormat="1" ht="12.75" x14ac:dyDescent="0.2">
      <c r="A98" s="20">
        <v>89</v>
      </c>
      <c r="B98" s="34"/>
      <c r="C98" s="34" t="s">
        <v>46</v>
      </c>
      <c r="D98" s="138" t="s">
        <v>176</v>
      </c>
      <c r="E98" s="140" t="s">
        <v>192</v>
      </c>
      <c r="F98" s="138" t="s">
        <v>19</v>
      </c>
      <c r="G98" s="32">
        <v>1</v>
      </c>
      <c r="H98" s="149">
        <v>15000</v>
      </c>
      <c r="I98" s="21">
        <v>15000</v>
      </c>
      <c r="J98" s="33"/>
    </row>
    <row r="99" spans="1:10" s="18" customFormat="1" ht="12.75" x14ac:dyDescent="0.2">
      <c r="A99" s="20">
        <v>90</v>
      </c>
      <c r="B99" s="34"/>
      <c r="C99" s="34" t="s">
        <v>46</v>
      </c>
      <c r="D99" s="34" t="s">
        <v>20</v>
      </c>
      <c r="E99" s="35" t="s">
        <v>88</v>
      </c>
      <c r="F99" s="34" t="s">
        <v>19</v>
      </c>
      <c r="G99" s="32">
        <v>4</v>
      </c>
      <c r="H99" s="31">
        <v>190000</v>
      </c>
      <c r="I99" s="21">
        <v>760000</v>
      </c>
      <c r="J99" s="33"/>
    </row>
    <row r="100" spans="1:10" s="18" customFormat="1" ht="12.75" x14ac:dyDescent="0.2">
      <c r="A100" s="20">
        <v>91</v>
      </c>
      <c r="B100" s="34"/>
      <c r="C100" s="34" t="s">
        <v>46</v>
      </c>
      <c r="D100" s="34" t="s">
        <v>20</v>
      </c>
      <c r="E100" s="35" t="s">
        <v>89</v>
      </c>
      <c r="F100" s="34" t="s">
        <v>19</v>
      </c>
      <c r="G100" s="32">
        <v>38</v>
      </c>
      <c r="H100" s="31">
        <v>97000</v>
      </c>
      <c r="I100" s="21">
        <v>3686000</v>
      </c>
      <c r="J100" s="33"/>
    </row>
    <row r="101" spans="1:10" s="18" customFormat="1" ht="12.75" x14ac:dyDescent="0.2">
      <c r="A101" s="20">
        <v>92</v>
      </c>
      <c r="B101" s="34"/>
      <c r="C101" s="34" t="s">
        <v>46</v>
      </c>
      <c r="D101" s="34" t="s">
        <v>20</v>
      </c>
      <c r="E101" s="35" t="s">
        <v>90</v>
      </c>
      <c r="F101" s="34" t="s">
        <v>19</v>
      </c>
      <c r="G101" s="32">
        <v>8</v>
      </c>
      <c r="H101" s="31">
        <v>56000</v>
      </c>
      <c r="I101" s="21">
        <v>448000</v>
      </c>
      <c r="J101" s="33"/>
    </row>
    <row r="102" spans="1:10" s="18" customFormat="1" ht="12.75" x14ac:dyDescent="0.2">
      <c r="A102" s="20">
        <v>93</v>
      </c>
      <c r="B102" s="34"/>
      <c r="C102" s="34" t="s">
        <v>46</v>
      </c>
      <c r="D102" s="34" t="s">
        <v>20</v>
      </c>
      <c r="E102" s="35" t="s">
        <v>223</v>
      </c>
      <c r="F102" s="34" t="s">
        <v>19</v>
      </c>
      <c r="G102" s="32">
        <v>48</v>
      </c>
      <c r="H102" s="31">
        <v>35090</v>
      </c>
      <c r="I102" s="21">
        <v>1684320</v>
      </c>
      <c r="J102" s="33"/>
    </row>
    <row r="103" spans="1:10" s="18" customFormat="1" ht="12.75" x14ac:dyDescent="0.2">
      <c r="A103" s="20">
        <v>94</v>
      </c>
      <c r="B103" s="34"/>
      <c r="C103" s="34" t="s">
        <v>46</v>
      </c>
      <c r="D103" s="34" t="s">
        <v>20</v>
      </c>
      <c r="E103" s="35" t="s">
        <v>224</v>
      </c>
      <c r="F103" s="34" t="s">
        <v>18</v>
      </c>
      <c r="G103" s="32">
        <v>144</v>
      </c>
      <c r="H103" s="31">
        <v>35695</v>
      </c>
      <c r="I103" s="21">
        <v>5140080</v>
      </c>
      <c r="J103" s="33"/>
    </row>
    <row r="104" spans="1:10" s="18" customFormat="1" ht="12.75" x14ac:dyDescent="0.2">
      <c r="A104" s="20">
        <v>95</v>
      </c>
      <c r="B104" s="34"/>
      <c r="C104" s="34" t="s">
        <v>46</v>
      </c>
      <c r="D104" s="34" t="s">
        <v>20</v>
      </c>
      <c r="E104" s="35" t="s">
        <v>91</v>
      </c>
      <c r="F104" s="34" t="s">
        <v>17</v>
      </c>
      <c r="G104" s="32">
        <v>5</v>
      </c>
      <c r="H104" s="31">
        <v>5154</v>
      </c>
      <c r="I104" s="21">
        <v>25770</v>
      </c>
      <c r="J104" s="33"/>
    </row>
    <row r="105" spans="1:10" s="18" customFormat="1" ht="12.75" x14ac:dyDescent="0.2">
      <c r="A105" s="20">
        <v>96</v>
      </c>
      <c r="B105" s="34"/>
      <c r="C105" s="34" t="s">
        <v>46</v>
      </c>
      <c r="D105" s="34" t="s">
        <v>20</v>
      </c>
      <c r="E105" s="35" t="s">
        <v>92</v>
      </c>
      <c r="F105" s="34" t="s">
        <v>17</v>
      </c>
      <c r="G105" s="32">
        <v>10</v>
      </c>
      <c r="H105" s="31">
        <v>5592</v>
      </c>
      <c r="I105" s="21">
        <v>55920</v>
      </c>
      <c r="J105" s="33"/>
    </row>
    <row r="106" spans="1:10" s="18" customFormat="1" ht="12.75" x14ac:dyDescent="0.2">
      <c r="A106" s="20">
        <v>97</v>
      </c>
      <c r="B106" s="34"/>
      <c r="C106" s="34" t="s">
        <v>46</v>
      </c>
      <c r="D106" s="34" t="s">
        <v>20</v>
      </c>
      <c r="E106" s="35" t="s">
        <v>93</v>
      </c>
      <c r="F106" s="34" t="s">
        <v>19</v>
      </c>
      <c r="G106" s="32">
        <v>16</v>
      </c>
      <c r="H106" s="31">
        <v>916000</v>
      </c>
      <c r="I106" s="21">
        <v>14656000</v>
      </c>
      <c r="J106" s="33"/>
    </row>
    <row r="107" spans="1:10" s="18" customFormat="1" ht="12.75" x14ac:dyDescent="0.2">
      <c r="A107" s="20">
        <v>98</v>
      </c>
      <c r="B107" s="34"/>
      <c r="C107" s="34" t="s">
        <v>46</v>
      </c>
      <c r="D107" s="34" t="s">
        <v>20</v>
      </c>
      <c r="E107" s="35" t="s">
        <v>94</v>
      </c>
      <c r="F107" s="34" t="s">
        <v>17</v>
      </c>
      <c r="G107" s="32">
        <v>2</v>
      </c>
      <c r="H107" s="31">
        <v>67100</v>
      </c>
      <c r="I107" s="21">
        <v>134200</v>
      </c>
      <c r="J107" s="33"/>
    </row>
    <row r="108" spans="1:10" s="18" customFormat="1" ht="25.5" x14ac:dyDescent="0.2">
      <c r="A108" s="20">
        <v>99</v>
      </c>
      <c r="B108" s="34"/>
      <c r="C108" s="34" t="s">
        <v>46</v>
      </c>
      <c r="D108" s="138" t="s">
        <v>176</v>
      </c>
      <c r="E108" s="140" t="s">
        <v>193</v>
      </c>
      <c r="F108" s="138" t="s">
        <v>19</v>
      </c>
      <c r="G108" s="32">
        <v>2</v>
      </c>
      <c r="H108" s="149">
        <v>22300</v>
      </c>
      <c r="I108" s="21">
        <v>44600</v>
      </c>
      <c r="J108" s="33"/>
    </row>
    <row r="109" spans="1:10" s="18" customFormat="1" ht="25.5" x14ac:dyDescent="0.2">
      <c r="A109" s="20">
        <v>100</v>
      </c>
      <c r="B109" s="34"/>
      <c r="C109" s="34" t="s">
        <v>46</v>
      </c>
      <c r="D109" s="138" t="s">
        <v>176</v>
      </c>
      <c r="E109" s="140" t="s">
        <v>194</v>
      </c>
      <c r="F109" s="138" t="s">
        <v>19</v>
      </c>
      <c r="G109" s="32">
        <v>1</v>
      </c>
      <c r="H109" s="149">
        <v>32300</v>
      </c>
      <c r="I109" s="21">
        <v>32300</v>
      </c>
      <c r="J109" s="33"/>
    </row>
    <row r="110" spans="1:10" s="18" customFormat="1" ht="12.75" x14ac:dyDescent="0.2">
      <c r="A110" s="20">
        <v>101</v>
      </c>
      <c r="B110" s="34"/>
      <c r="C110" s="34" t="s">
        <v>46</v>
      </c>
      <c r="D110" s="34" t="s">
        <v>20</v>
      </c>
      <c r="E110" s="35" t="s">
        <v>95</v>
      </c>
      <c r="F110" s="34" t="s">
        <v>17</v>
      </c>
      <c r="G110" s="32">
        <v>4</v>
      </c>
      <c r="H110" s="31">
        <v>8932</v>
      </c>
      <c r="I110" s="21">
        <v>35728</v>
      </c>
      <c r="J110" s="33"/>
    </row>
    <row r="111" spans="1:10" s="18" customFormat="1" ht="12.75" x14ac:dyDescent="0.2">
      <c r="A111" s="20">
        <v>102</v>
      </c>
      <c r="B111" s="34"/>
      <c r="C111" s="34" t="s">
        <v>46</v>
      </c>
      <c r="D111" s="138" t="s">
        <v>176</v>
      </c>
      <c r="E111" s="140" t="s">
        <v>195</v>
      </c>
      <c r="F111" s="138" t="s">
        <v>19</v>
      </c>
      <c r="G111" s="32">
        <v>3</v>
      </c>
      <c r="H111" s="149">
        <v>40000</v>
      </c>
      <c r="I111" s="21">
        <v>120000</v>
      </c>
      <c r="J111" s="33"/>
    </row>
    <row r="112" spans="1:10" s="18" customFormat="1" ht="12.75" x14ac:dyDescent="0.2">
      <c r="A112" s="20">
        <v>103</v>
      </c>
      <c r="B112" s="34"/>
      <c r="C112" s="34" t="s">
        <v>46</v>
      </c>
      <c r="D112" s="143" t="s">
        <v>176</v>
      </c>
      <c r="E112" s="144" t="s">
        <v>196</v>
      </c>
      <c r="F112" s="143" t="s">
        <v>19</v>
      </c>
      <c r="G112" s="32">
        <v>2</v>
      </c>
      <c r="H112" s="149">
        <v>8500</v>
      </c>
      <c r="I112" s="21">
        <v>17000</v>
      </c>
      <c r="J112" s="33"/>
    </row>
    <row r="113" spans="1:10" s="18" customFormat="1" ht="12.75" x14ac:dyDescent="0.2">
      <c r="A113" s="20">
        <v>104</v>
      </c>
      <c r="B113" s="34"/>
      <c r="C113" s="34" t="s">
        <v>46</v>
      </c>
      <c r="D113" s="143" t="s">
        <v>176</v>
      </c>
      <c r="E113" s="144" t="s">
        <v>197</v>
      </c>
      <c r="F113" s="143" t="s">
        <v>19</v>
      </c>
      <c r="G113" s="32">
        <v>2</v>
      </c>
      <c r="H113" s="149">
        <v>3800</v>
      </c>
      <c r="I113" s="21">
        <v>7600</v>
      </c>
      <c r="J113" s="33"/>
    </row>
    <row r="114" spans="1:10" s="18" customFormat="1" ht="12.75" x14ac:dyDescent="0.2">
      <c r="A114" s="20">
        <v>105</v>
      </c>
      <c r="B114" s="34"/>
      <c r="C114" s="34" t="s">
        <v>46</v>
      </c>
      <c r="D114" s="145" t="s">
        <v>176</v>
      </c>
      <c r="E114" s="146" t="s">
        <v>198</v>
      </c>
      <c r="F114" s="147" t="s">
        <v>19</v>
      </c>
      <c r="G114" s="32">
        <v>2</v>
      </c>
      <c r="H114" s="149">
        <v>2100</v>
      </c>
      <c r="I114" s="21">
        <v>4200</v>
      </c>
      <c r="J114" s="33"/>
    </row>
    <row r="115" spans="1:10" s="18" customFormat="1" ht="12.75" x14ac:dyDescent="0.2">
      <c r="A115" s="20">
        <v>106</v>
      </c>
      <c r="B115" s="34"/>
      <c r="C115" s="34" t="s">
        <v>46</v>
      </c>
      <c r="D115" s="138" t="s">
        <v>176</v>
      </c>
      <c r="E115" s="140" t="s">
        <v>199</v>
      </c>
      <c r="F115" s="138" t="s">
        <v>19</v>
      </c>
      <c r="G115" s="32">
        <v>2</v>
      </c>
      <c r="H115" s="149">
        <v>28500</v>
      </c>
      <c r="I115" s="21">
        <v>57000</v>
      </c>
      <c r="J115" s="33"/>
    </row>
    <row r="116" spans="1:10" s="18" customFormat="1" ht="12.75" x14ac:dyDescent="0.2">
      <c r="A116" s="20">
        <v>107</v>
      </c>
      <c r="B116" s="34"/>
      <c r="C116" s="34" t="s">
        <v>46</v>
      </c>
      <c r="D116" s="145" t="s">
        <v>176</v>
      </c>
      <c r="E116" s="146" t="s">
        <v>200</v>
      </c>
      <c r="F116" s="147" t="s">
        <v>19</v>
      </c>
      <c r="G116" s="32">
        <v>1</v>
      </c>
      <c r="H116" s="149">
        <v>4800</v>
      </c>
      <c r="I116" s="21">
        <v>4800</v>
      </c>
      <c r="J116" s="33"/>
    </row>
    <row r="117" spans="1:10" s="18" customFormat="1" ht="12.75" x14ac:dyDescent="0.2">
      <c r="A117" s="20">
        <v>108</v>
      </c>
      <c r="B117" s="34"/>
      <c r="C117" s="34" t="s">
        <v>46</v>
      </c>
      <c r="D117" s="34" t="s">
        <v>20</v>
      </c>
      <c r="E117" s="35" t="s">
        <v>96</v>
      </c>
      <c r="F117" s="34" t="s">
        <v>19</v>
      </c>
      <c r="G117" s="32">
        <v>10</v>
      </c>
      <c r="H117" s="31">
        <v>26905</v>
      </c>
      <c r="I117" s="21">
        <v>269050</v>
      </c>
      <c r="J117" s="33"/>
    </row>
    <row r="118" spans="1:10" s="18" customFormat="1" ht="12.75" x14ac:dyDescent="0.2">
      <c r="A118" s="20">
        <v>109</v>
      </c>
      <c r="B118" s="34"/>
      <c r="C118" s="34" t="s">
        <v>46</v>
      </c>
      <c r="D118" s="34" t="s">
        <v>20</v>
      </c>
      <c r="E118" s="35" t="s">
        <v>225</v>
      </c>
      <c r="F118" s="34" t="s">
        <v>19</v>
      </c>
      <c r="G118" s="32">
        <v>18</v>
      </c>
      <c r="H118" s="31">
        <v>29160</v>
      </c>
      <c r="I118" s="21">
        <v>524880</v>
      </c>
      <c r="J118" s="33"/>
    </row>
    <row r="119" spans="1:10" s="18" customFormat="1" ht="12.75" x14ac:dyDescent="0.2">
      <c r="A119" s="20">
        <v>110</v>
      </c>
      <c r="B119" s="34"/>
      <c r="C119" s="34" t="s">
        <v>46</v>
      </c>
      <c r="D119" s="34" t="s">
        <v>20</v>
      </c>
      <c r="E119" s="35" t="s">
        <v>226</v>
      </c>
      <c r="F119" s="34" t="s">
        <v>19</v>
      </c>
      <c r="G119" s="32">
        <v>18</v>
      </c>
      <c r="H119" s="31">
        <v>22500</v>
      </c>
      <c r="I119" s="21">
        <v>405000</v>
      </c>
      <c r="J119" s="33"/>
    </row>
    <row r="120" spans="1:10" s="18" customFormat="1" ht="12.75" x14ac:dyDescent="0.2">
      <c r="A120" s="20">
        <v>111</v>
      </c>
      <c r="B120" s="34"/>
      <c r="C120" s="34" t="s">
        <v>46</v>
      </c>
      <c r="D120" s="34" t="s">
        <v>20</v>
      </c>
      <c r="E120" s="35" t="s">
        <v>227</v>
      </c>
      <c r="F120" s="34" t="s">
        <v>18</v>
      </c>
      <c r="G120" s="32">
        <v>18</v>
      </c>
      <c r="H120" s="31">
        <v>15588</v>
      </c>
      <c r="I120" s="21">
        <v>280584</v>
      </c>
      <c r="J120" s="33"/>
    </row>
    <row r="121" spans="1:10" s="18" customFormat="1" ht="12.75" x14ac:dyDescent="0.2">
      <c r="A121" s="20">
        <v>112</v>
      </c>
      <c r="B121" s="34"/>
      <c r="C121" s="34" t="s">
        <v>46</v>
      </c>
      <c r="D121" s="34" t="s">
        <v>20</v>
      </c>
      <c r="E121" s="35" t="s">
        <v>228</v>
      </c>
      <c r="F121" s="34" t="s">
        <v>18</v>
      </c>
      <c r="G121" s="32">
        <v>18</v>
      </c>
      <c r="H121" s="31">
        <v>16500</v>
      </c>
      <c r="I121" s="21">
        <v>297000</v>
      </c>
      <c r="J121" s="33"/>
    </row>
    <row r="122" spans="1:10" s="18" customFormat="1" ht="12.75" x14ac:dyDescent="0.2">
      <c r="A122" s="20">
        <v>113</v>
      </c>
      <c r="B122" s="34"/>
      <c r="C122" s="34" t="s">
        <v>46</v>
      </c>
      <c r="D122" s="34" t="s">
        <v>20</v>
      </c>
      <c r="E122" s="35" t="s">
        <v>97</v>
      </c>
      <c r="F122" s="34" t="s">
        <v>17</v>
      </c>
      <c r="G122" s="32">
        <v>50</v>
      </c>
      <c r="H122" s="31">
        <v>4916</v>
      </c>
      <c r="I122" s="21">
        <v>245800</v>
      </c>
      <c r="J122" s="33"/>
    </row>
    <row r="123" spans="1:10" s="18" customFormat="1" ht="12.75" x14ac:dyDescent="0.2">
      <c r="A123" s="20">
        <v>114</v>
      </c>
      <c r="B123" s="34"/>
      <c r="C123" s="34" t="s">
        <v>46</v>
      </c>
      <c r="D123" s="138" t="s">
        <v>176</v>
      </c>
      <c r="E123" s="140" t="s">
        <v>201</v>
      </c>
      <c r="F123" s="138" t="s">
        <v>19</v>
      </c>
      <c r="G123" s="32">
        <v>1</v>
      </c>
      <c r="H123" s="149">
        <v>38000</v>
      </c>
      <c r="I123" s="21">
        <v>38000</v>
      </c>
      <c r="J123" s="33"/>
    </row>
    <row r="124" spans="1:10" s="18" customFormat="1" ht="12.75" x14ac:dyDescent="0.2">
      <c r="A124" s="20">
        <v>115</v>
      </c>
      <c r="B124" s="34"/>
      <c r="C124" s="34" t="s">
        <v>46</v>
      </c>
      <c r="D124" s="152" t="s">
        <v>176</v>
      </c>
      <c r="E124" s="153" t="s">
        <v>202</v>
      </c>
      <c r="F124" s="152" t="s">
        <v>19</v>
      </c>
      <c r="G124" s="32">
        <v>2</v>
      </c>
      <c r="H124" s="149">
        <v>4100</v>
      </c>
      <c r="I124" s="21">
        <v>8200</v>
      </c>
      <c r="J124" s="135"/>
    </row>
    <row r="125" spans="1:10" s="18" customFormat="1" ht="12.75" x14ac:dyDescent="0.2">
      <c r="A125" s="20">
        <v>116</v>
      </c>
      <c r="B125" s="34"/>
      <c r="C125" s="34" t="s">
        <v>46</v>
      </c>
      <c r="D125" s="138" t="s">
        <v>176</v>
      </c>
      <c r="E125" s="140" t="s">
        <v>203</v>
      </c>
      <c r="F125" s="138" t="s">
        <v>19</v>
      </c>
      <c r="G125" s="32">
        <v>1</v>
      </c>
      <c r="H125" s="149">
        <v>4300</v>
      </c>
      <c r="I125" s="21">
        <v>4300</v>
      </c>
      <c r="J125" s="135"/>
    </row>
    <row r="126" spans="1:10" s="18" customFormat="1" ht="12.75" x14ac:dyDescent="0.2">
      <c r="A126" s="20">
        <v>117</v>
      </c>
      <c r="B126" s="34"/>
      <c r="C126" s="34" t="s">
        <v>46</v>
      </c>
      <c r="D126" s="138" t="s">
        <v>176</v>
      </c>
      <c r="E126" s="140" t="s">
        <v>204</v>
      </c>
      <c r="F126" s="138" t="s">
        <v>19</v>
      </c>
      <c r="G126" s="32">
        <v>2</v>
      </c>
      <c r="H126" s="149">
        <v>2800</v>
      </c>
      <c r="I126" s="21">
        <v>5600</v>
      </c>
      <c r="J126" s="135"/>
    </row>
    <row r="127" spans="1:10" s="18" customFormat="1" ht="12.75" x14ac:dyDescent="0.2">
      <c r="A127" s="20">
        <v>118</v>
      </c>
      <c r="B127" s="34"/>
      <c r="C127" s="34" t="s">
        <v>46</v>
      </c>
      <c r="D127" s="34" t="s">
        <v>20</v>
      </c>
      <c r="E127" s="35" t="s">
        <v>261</v>
      </c>
      <c r="F127" s="34" t="s">
        <v>17</v>
      </c>
      <c r="G127" s="32">
        <v>3</v>
      </c>
      <c r="H127" s="31">
        <v>16980</v>
      </c>
      <c r="I127" s="21">
        <v>50940</v>
      </c>
      <c r="J127" s="135"/>
    </row>
    <row r="128" spans="1:10" s="18" customFormat="1" ht="12.75" x14ac:dyDescent="0.2">
      <c r="A128" s="20">
        <v>119</v>
      </c>
      <c r="B128" s="34"/>
      <c r="C128" s="34" t="s">
        <v>46</v>
      </c>
      <c r="D128" s="34" t="s">
        <v>20</v>
      </c>
      <c r="E128" s="35" t="s">
        <v>98</v>
      </c>
      <c r="F128" s="34" t="s">
        <v>17</v>
      </c>
      <c r="G128" s="32">
        <v>5</v>
      </c>
      <c r="H128" s="31">
        <v>1966</v>
      </c>
      <c r="I128" s="21">
        <v>9830</v>
      </c>
      <c r="J128" s="135"/>
    </row>
    <row r="129" spans="1:10" s="18" customFormat="1" ht="12.75" x14ac:dyDescent="0.2">
      <c r="A129" s="20">
        <v>120</v>
      </c>
      <c r="B129" s="34"/>
      <c r="C129" s="34" t="s">
        <v>46</v>
      </c>
      <c r="D129" s="34" t="s">
        <v>20</v>
      </c>
      <c r="E129" s="35" t="s">
        <v>99</v>
      </c>
      <c r="F129" s="34" t="s">
        <v>17</v>
      </c>
      <c r="G129" s="32">
        <v>5</v>
      </c>
      <c r="H129" s="31">
        <v>1966</v>
      </c>
      <c r="I129" s="21">
        <v>9830</v>
      </c>
      <c r="J129" s="135"/>
    </row>
    <row r="130" spans="1:10" s="18" customFormat="1" ht="12.75" x14ac:dyDescent="0.2">
      <c r="A130" s="20">
        <v>121</v>
      </c>
      <c r="B130" s="34"/>
      <c r="C130" s="34" t="s">
        <v>46</v>
      </c>
      <c r="D130" s="148" t="s">
        <v>176</v>
      </c>
      <c r="E130" s="140" t="s">
        <v>205</v>
      </c>
      <c r="F130" s="142" t="s">
        <v>19</v>
      </c>
      <c r="G130" s="32">
        <v>2</v>
      </c>
      <c r="H130" s="149">
        <v>3600</v>
      </c>
      <c r="I130" s="21">
        <v>7200</v>
      </c>
      <c r="J130" s="135"/>
    </row>
    <row r="131" spans="1:10" s="18" customFormat="1" ht="12.75" x14ac:dyDescent="0.2">
      <c r="A131" s="20">
        <v>122</v>
      </c>
      <c r="B131" s="34"/>
      <c r="C131" s="34" t="s">
        <v>46</v>
      </c>
      <c r="D131" s="141" t="s">
        <v>176</v>
      </c>
      <c r="E131" s="140" t="s">
        <v>206</v>
      </c>
      <c r="F131" s="142" t="s">
        <v>19</v>
      </c>
      <c r="G131" s="32">
        <v>2</v>
      </c>
      <c r="H131" s="149">
        <v>5200</v>
      </c>
      <c r="I131" s="21">
        <v>10400</v>
      </c>
      <c r="J131" s="135"/>
    </row>
    <row r="132" spans="1:10" s="18" customFormat="1" ht="12.75" x14ac:dyDescent="0.2">
      <c r="A132" s="20">
        <v>123</v>
      </c>
      <c r="B132" s="34"/>
      <c r="C132" s="34" t="s">
        <v>46</v>
      </c>
      <c r="D132" s="138" t="s">
        <v>176</v>
      </c>
      <c r="E132" s="140" t="s">
        <v>207</v>
      </c>
      <c r="F132" s="138" t="s">
        <v>19</v>
      </c>
      <c r="G132" s="32">
        <v>3</v>
      </c>
      <c r="H132" s="149">
        <v>135250</v>
      </c>
      <c r="I132" s="21">
        <v>405750</v>
      </c>
      <c r="J132" s="135"/>
    </row>
    <row r="133" spans="1:10" s="18" customFormat="1" ht="12.75" x14ac:dyDescent="0.2">
      <c r="A133" s="20">
        <v>124</v>
      </c>
      <c r="B133" s="34"/>
      <c r="C133" s="34" t="s">
        <v>46</v>
      </c>
      <c r="D133" s="34" t="s">
        <v>20</v>
      </c>
      <c r="E133" s="35" t="s">
        <v>100</v>
      </c>
      <c r="F133" s="34" t="s">
        <v>17</v>
      </c>
      <c r="G133" s="32">
        <v>2</v>
      </c>
      <c r="H133" s="31">
        <v>65800</v>
      </c>
      <c r="I133" s="21">
        <v>131600</v>
      </c>
      <c r="J133" s="135"/>
    </row>
    <row r="134" spans="1:10" s="18" customFormat="1" ht="12.75" x14ac:dyDescent="0.2">
      <c r="A134" s="20">
        <v>125</v>
      </c>
      <c r="B134" s="34"/>
      <c r="C134" s="34" t="s">
        <v>46</v>
      </c>
      <c r="D134" s="34" t="s">
        <v>20</v>
      </c>
      <c r="E134" s="35" t="s">
        <v>101</v>
      </c>
      <c r="F134" s="34" t="s">
        <v>17</v>
      </c>
      <c r="G134" s="32">
        <v>2</v>
      </c>
      <c r="H134" s="31">
        <v>62100</v>
      </c>
      <c r="I134" s="21">
        <v>124200</v>
      </c>
      <c r="J134" s="135"/>
    </row>
    <row r="135" spans="1:10" s="18" customFormat="1" ht="12.75" x14ac:dyDescent="0.2">
      <c r="A135" s="20">
        <v>126</v>
      </c>
      <c r="B135" s="34"/>
      <c r="C135" s="34" t="s">
        <v>46</v>
      </c>
      <c r="D135" s="34" t="s">
        <v>20</v>
      </c>
      <c r="E135" s="35" t="s">
        <v>37</v>
      </c>
      <c r="F135" s="34" t="s">
        <v>17</v>
      </c>
      <c r="G135" s="32">
        <v>1</v>
      </c>
      <c r="H135" s="31">
        <v>17788</v>
      </c>
      <c r="I135" s="21">
        <v>17788</v>
      </c>
      <c r="J135" s="135"/>
    </row>
    <row r="136" spans="1:10" s="18" customFormat="1" ht="12.75" x14ac:dyDescent="0.2">
      <c r="A136" s="20">
        <v>127</v>
      </c>
      <c r="B136" s="34"/>
      <c r="C136" s="34" t="s">
        <v>46</v>
      </c>
      <c r="D136" s="34" t="s">
        <v>20</v>
      </c>
      <c r="E136" s="35" t="s">
        <v>38</v>
      </c>
      <c r="F136" s="34" t="s">
        <v>17</v>
      </c>
      <c r="G136" s="32">
        <v>15</v>
      </c>
      <c r="H136" s="31">
        <v>64700</v>
      </c>
      <c r="I136" s="21">
        <v>970500</v>
      </c>
      <c r="J136" s="135"/>
    </row>
    <row r="137" spans="1:10" s="18" customFormat="1" ht="12.75" x14ac:dyDescent="0.2">
      <c r="A137" s="20">
        <v>128</v>
      </c>
      <c r="B137" s="34"/>
      <c r="C137" s="34" t="s">
        <v>46</v>
      </c>
      <c r="D137" s="34" t="s">
        <v>20</v>
      </c>
      <c r="E137" s="35" t="s">
        <v>39</v>
      </c>
      <c r="F137" s="34" t="s">
        <v>17</v>
      </c>
      <c r="G137" s="32">
        <v>1</v>
      </c>
      <c r="H137" s="31">
        <v>12540</v>
      </c>
      <c r="I137" s="21">
        <v>12540</v>
      </c>
      <c r="J137" s="135"/>
    </row>
    <row r="138" spans="1:10" s="18" customFormat="1" ht="12.75" x14ac:dyDescent="0.2">
      <c r="A138" s="20">
        <v>129</v>
      </c>
      <c r="B138" s="34"/>
      <c r="C138" s="34" t="s">
        <v>46</v>
      </c>
      <c r="D138" s="34" t="s">
        <v>20</v>
      </c>
      <c r="E138" s="35" t="s">
        <v>102</v>
      </c>
      <c r="F138" s="34" t="s">
        <v>19</v>
      </c>
      <c r="G138" s="32">
        <v>9</v>
      </c>
      <c r="H138" s="31">
        <v>12900</v>
      </c>
      <c r="I138" s="21">
        <v>116100</v>
      </c>
      <c r="J138" s="135"/>
    </row>
    <row r="139" spans="1:10" s="18" customFormat="1" ht="12.75" x14ac:dyDescent="0.2">
      <c r="A139" s="20">
        <v>130</v>
      </c>
      <c r="B139" s="34"/>
      <c r="C139" s="34" t="s">
        <v>46</v>
      </c>
      <c r="D139" s="34" t="s">
        <v>20</v>
      </c>
      <c r="E139" s="35" t="s">
        <v>103</v>
      </c>
      <c r="F139" s="34" t="s">
        <v>19</v>
      </c>
      <c r="G139" s="32">
        <v>9</v>
      </c>
      <c r="H139" s="31">
        <v>18500</v>
      </c>
      <c r="I139" s="21">
        <v>166500</v>
      </c>
      <c r="J139" s="135"/>
    </row>
    <row r="140" spans="1:10" s="18" customFormat="1" ht="12.75" x14ac:dyDescent="0.2">
      <c r="A140" s="20">
        <v>131</v>
      </c>
      <c r="B140" s="34"/>
      <c r="C140" s="34" t="s">
        <v>46</v>
      </c>
      <c r="D140" s="34" t="s">
        <v>20</v>
      </c>
      <c r="E140" s="35" t="s">
        <v>40</v>
      </c>
      <c r="F140" s="34" t="s">
        <v>19</v>
      </c>
      <c r="G140" s="32">
        <v>10</v>
      </c>
      <c r="H140" s="31">
        <v>20292</v>
      </c>
      <c r="I140" s="21">
        <v>202920</v>
      </c>
      <c r="J140" s="135"/>
    </row>
    <row r="141" spans="1:10" s="18" customFormat="1" ht="12.75" x14ac:dyDescent="0.2">
      <c r="A141" s="20">
        <v>132</v>
      </c>
      <c r="B141" s="34"/>
      <c r="C141" s="34" t="s">
        <v>46</v>
      </c>
      <c r="D141" s="138" t="s">
        <v>176</v>
      </c>
      <c r="E141" s="140" t="s">
        <v>208</v>
      </c>
      <c r="F141" s="138" t="s">
        <v>19</v>
      </c>
      <c r="G141" s="32">
        <v>2</v>
      </c>
      <c r="H141" s="149">
        <v>3300</v>
      </c>
      <c r="I141" s="21">
        <v>6600</v>
      </c>
      <c r="J141" s="135"/>
    </row>
    <row r="142" spans="1:10" s="18" customFormat="1" ht="12.75" x14ac:dyDescent="0.2">
      <c r="A142" s="20">
        <v>133</v>
      </c>
      <c r="B142" s="34"/>
      <c r="C142" s="34" t="s">
        <v>46</v>
      </c>
      <c r="D142" s="34" t="s">
        <v>20</v>
      </c>
      <c r="E142" s="35" t="s">
        <v>41</v>
      </c>
      <c r="F142" s="34" t="s">
        <v>19</v>
      </c>
      <c r="G142" s="32">
        <v>81</v>
      </c>
      <c r="H142" s="31">
        <v>4350</v>
      </c>
      <c r="I142" s="21">
        <v>352350</v>
      </c>
      <c r="J142" s="135"/>
    </row>
    <row r="143" spans="1:10" s="18" customFormat="1" ht="12.75" x14ac:dyDescent="0.2">
      <c r="A143" s="20">
        <v>134</v>
      </c>
      <c r="B143" s="34"/>
      <c r="C143" s="34" t="s">
        <v>46</v>
      </c>
      <c r="D143" s="34" t="s">
        <v>20</v>
      </c>
      <c r="E143" s="35" t="s">
        <v>229</v>
      </c>
      <c r="F143" s="34" t="s">
        <v>18</v>
      </c>
      <c r="G143" s="32">
        <v>84</v>
      </c>
      <c r="H143" s="31">
        <v>4980</v>
      </c>
      <c r="I143" s="21">
        <v>418320</v>
      </c>
      <c r="J143" s="135"/>
    </row>
    <row r="144" spans="1:10" s="18" customFormat="1" ht="12.75" x14ac:dyDescent="0.2">
      <c r="A144" s="20">
        <v>135</v>
      </c>
      <c r="B144" s="34"/>
      <c r="C144" s="34" t="s">
        <v>46</v>
      </c>
      <c r="D144" s="34" t="s">
        <v>20</v>
      </c>
      <c r="E144" s="35" t="s">
        <v>104</v>
      </c>
      <c r="F144" s="34" t="s">
        <v>17</v>
      </c>
      <c r="G144" s="32">
        <v>30</v>
      </c>
      <c r="H144" s="31">
        <v>6200</v>
      </c>
      <c r="I144" s="21">
        <v>186000</v>
      </c>
      <c r="J144" s="135"/>
    </row>
    <row r="145" spans="1:10" s="18" customFormat="1" ht="12.75" x14ac:dyDescent="0.2">
      <c r="A145" s="20">
        <v>136</v>
      </c>
      <c r="B145" s="34"/>
      <c r="C145" s="34" t="s">
        <v>46</v>
      </c>
      <c r="D145" s="34" t="s">
        <v>20</v>
      </c>
      <c r="E145" s="35" t="s">
        <v>42</v>
      </c>
      <c r="F145" s="34" t="s">
        <v>17</v>
      </c>
      <c r="G145" s="32">
        <v>10</v>
      </c>
      <c r="H145" s="31">
        <v>15767</v>
      </c>
      <c r="I145" s="21">
        <v>157670</v>
      </c>
      <c r="J145" s="135"/>
    </row>
    <row r="146" spans="1:10" s="18" customFormat="1" ht="12.75" x14ac:dyDescent="0.2">
      <c r="A146" s="20">
        <v>137</v>
      </c>
      <c r="B146" s="34"/>
      <c r="C146" s="34" t="s">
        <v>46</v>
      </c>
      <c r="D146" s="34" t="s">
        <v>20</v>
      </c>
      <c r="E146" s="35" t="s">
        <v>105</v>
      </c>
      <c r="F146" s="34" t="s">
        <v>17</v>
      </c>
      <c r="G146" s="32">
        <v>10</v>
      </c>
      <c r="H146" s="31">
        <v>14802</v>
      </c>
      <c r="I146" s="21">
        <v>148020</v>
      </c>
      <c r="J146" s="135"/>
    </row>
    <row r="147" spans="1:10" s="18" customFormat="1" ht="12.75" x14ac:dyDescent="0.2">
      <c r="A147" s="20">
        <v>138</v>
      </c>
      <c r="B147" s="34"/>
      <c r="C147" s="34" t="s">
        <v>46</v>
      </c>
      <c r="D147" s="34" t="s">
        <v>20</v>
      </c>
      <c r="E147" s="35" t="s">
        <v>230</v>
      </c>
      <c r="F147" s="34" t="s">
        <v>19</v>
      </c>
      <c r="G147" s="32">
        <v>24</v>
      </c>
      <c r="H147" s="31">
        <v>1325</v>
      </c>
      <c r="I147" s="21">
        <v>31800</v>
      </c>
      <c r="J147" s="135"/>
    </row>
    <row r="148" spans="1:10" s="18" customFormat="1" ht="12.75" x14ac:dyDescent="0.2">
      <c r="A148" s="20">
        <v>139</v>
      </c>
      <c r="B148" s="34"/>
      <c r="C148" s="34" t="s">
        <v>46</v>
      </c>
      <c r="D148" s="138" t="s">
        <v>176</v>
      </c>
      <c r="E148" s="140" t="s">
        <v>209</v>
      </c>
      <c r="F148" s="138" t="s">
        <v>19</v>
      </c>
      <c r="G148" s="32">
        <v>2</v>
      </c>
      <c r="H148" s="149">
        <v>73000</v>
      </c>
      <c r="I148" s="21">
        <v>146000</v>
      </c>
      <c r="J148" s="135"/>
    </row>
    <row r="149" spans="1:10" s="18" customFormat="1" ht="12.75" x14ac:dyDescent="0.2">
      <c r="A149" s="20">
        <v>140</v>
      </c>
      <c r="B149" s="34"/>
      <c r="C149" s="34" t="s">
        <v>46</v>
      </c>
      <c r="D149" s="34" t="s">
        <v>20</v>
      </c>
      <c r="E149" s="35" t="s">
        <v>106</v>
      </c>
      <c r="F149" s="34" t="s">
        <v>17</v>
      </c>
      <c r="G149" s="32">
        <v>5</v>
      </c>
      <c r="H149" s="31">
        <v>69206</v>
      </c>
      <c r="I149" s="21">
        <v>346030</v>
      </c>
      <c r="J149" s="135"/>
    </row>
    <row r="150" spans="1:10" s="18" customFormat="1" ht="12.75" x14ac:dyDescent="0.2">
      <c r="A150" s="20">
        <v>141</v>
      </c>
      <c r="B150" s="34"/>
      <c r="C150" s="34" t="s">
        <v>46</v>
      </c>
      <c r="D150" s="34" t="s">
        <v>20</v>
      </c>
      <c r="E150" s="35" t="s">
        <v>107</v>
      </c>
      <c r="F150" s="34" t="s">
        <v>17</v>
      </c>
      <c r="G150" s="32">
        <v>10</v>
      </c>
      <c r="H150" s="31">
        <v>38757</v>
      </c>
      <c r="I150" s="21">
        <v>387570</v>
      </c>
      <c r="J150" s="135"/>
    </row>
    <row r="151" spans="1:10" s="18" customFormat="1" ht="12.75" x14ac:dyDescent="0.2">
      <c r="A151" s="20">
        <v>142</v>
      </c>
      <c r="B151" s="34"/>
      <c r="C151" s="34" t="s">
        <v>46</v>
      </c>
      <c r="D151" s="34" t="s">
        <v>20</v>
      </c>
      <c r="E151" s="35" t="s">
        <v>231</v>
      </c>
      <c r="F151" s="34" t="s">
        <v>18</v>
      </c>
      <c r="G151" s="32">
        <v>3000</v>
      </c>
      <c r="H151" s="31">
        <v>665.5</v>
      </c>
      <c r="I151" s="21">
        <v>1996500</v>
      </c>
      <c r="J151" s="135"/>
    </row>
    <row r="152" spans="1:10" s="18" customFormat="1" ht="12.75" x14ac:dyDescent="0.2">
      <c r="A152" s="20">
        <v>143</v>
      </c>
      <c r="B152" s="34"/>
      <c r="C152" s="34" t="s">
        <v>46</v>
      </c>
      <c r="D152" s="34" t="s">
        <v>20</v>
      </c>
      <c r="E152" s="35" t="s">
        <v>232</v>
      </c>
      <c r="F152" s="34" t="s">
        <v>18</v>
      </c>
      <c r="G152" s="32">
        <v>1800</v>
      </c>
      <c r="H152" s="31">
        <v>871.2</v>
      </c>
      <c r="I152" s="21">
        <v>1568160</v>
      </c>
      <c r="J152" s="135"/>
    </row>
    <row r="153" spans="1:10" s="18" customFormat="1" ht="12.75" x14ac:dyDescent="0.2">
      <c r="A153" s="20">
        <v>144</v>
      </c>
      <c r="B153" s="34"/>
      <c r="C153" s="34" t="s">
        <v>46</v>
      </c>
      <c r="D153" s="34" t="s">
        <v>20</v>
      </c>
      <c r="E153" s="35" t="s">
        <v>233</v>
      </c>
      <c r="F153" s="34" t="s">
        <v>19</v>
      </c>
      <c r="G153" s="32">
        <v>1800</v>
      </c>
      <c r="H153" s="31">
        <v>954</v>
      </c>
      <c r="I153" s="21">
        <v>1717200</v>
      </c>
      <c r="J153" s="135"/>
    </row>
    <row r="154" spans="1:10" s="18" customFormat="1" ht="12.75" x14ac:dyDescent="0.2">
      <c r="A154" s="20">
        <v>145</v>
      </c>
      <c r="B154" s="34"/>
      <c r="C154" s="34" t="s">
        <v>46</v>
      </c>
      <c r="D154" s="34" t="s">
        <v>20</v>
      </c>
      <c r="E154" s="35" t="s">
        <v>108</v>
      </c>
      <c r="F154" s="34" t="s">
        <v>17</v>
      </c>
      <c r="G154" s="32">
        <v>20</v>
      </c>
      <c r="H154" s="31">
        <v>12900</v>
      </c>
      <c r="I154" s="21">
        <v>258000</v>
      </c>
      <c r="J154" s="135"/>
    </row>
    <row r="155" spans="1:10" s="18" customFormat="1" ht="12.75" x14ac:dyDescent="0.2">
      <c r="A155" s="20">
        <v>146</v>
      </c>
      <c r="B155" s="34"/>
      <c r="C155" s="34" t="s">
        <v>46</v>
      </c>
      <c r="D155" s="138" t="s">
        <v>176</v>
      </c>
      <c r="E155" s="140" t="s">
        <v>210</v>
      </c>
      <c r="F155" s="138" t="s">
        <v>17</v>
      </c>
      <c r="G155" s="32">
        <v>3</v>
      </c>
      <c r="H155" s="149">
        <v>2500</v>
      </c>
      <c r="I155" s="21">
        <v>7500</v>
      </c>
      <c r="J155" s="135"/>
    </row>
    <row r="156" spans="1:10" s="18" customFormat="1" ht="12.75" x14ac:dyDescent="0.2">
      <c r="A156" s="20">
        <v>147</v>
      </c>
      <c r="B156" s="150"/>
      <c r="C156" s="150" t="s">
        <v>46</v>
      </c>
      <c r="D156" s="150" t="s">
        <v>20</v>
      </c>
      <c r="E156" s="154" t="s">
        <v>43</v>
      </c>
      <c r="F156" s="150" t="s">
        <v>82</v>
      </c>
      <c r="G156" s="32">
        <v>20</v>
      </c>
      <c r="H156" s="151">
        <v>50630</v>
      </c>
      <c r="I156" s="134">
        <v>1012600</v>
      </c>
      <c r="J156" s="135"/>
    </row>
    <row r="157" spans="1:10" s="18" customFormat="1" ht="12.75" x14ac:dyDescent="0.2">
      <c r="A157" s="20">
        <v>148</v>
      </c>
      <c r="B157" s="34"/>
      <c r="C157" s="34" t="s">
        <v>46</v>
      </c>
      <c r="D157" s="34" t="s">
        <v>20</v>
      </c>
      <c r="E157" s="35" t="s">
        <v>44</v>
      </c>
      <c r="F157" s="34" t="s">
        <v>19</v>
      </c>
      <c r="G157" s="32">
        <v>12</v>
      </c>
      <c r="H157" s="31">
        <v>16645</v>
      </c>
      <c r="I157" s="31">
        <v>199740</v>
      </c>
      <c r="J157" s="135"/>
    </row>
    <row r="158" spans="1:10" s="18" customFormat="1" ht="12.75" x14ac:dyDescent="0.2">
      <c r="A158" s="20">
        <v>149</v>
      </c>
      <c r="B158" s="34"/>
      <c r="C158" s="34" t="s">
        <v>46</v>
      </c>
      <c r="D158" s="34" t="s">
        <v>20</v>
      </c>
      <c r="E158" s="35" t="s">
        <v>260</v>
      </c>
      <c r="F158" s="34" t="s">
        <v>17</v>
      </c>
      <c r="G158" s="32">
        <v>4</v>
      </c>
      <c r="H158" s="31">
        <v>7395</v>
      </c>
      <c r="I158" s="31">
        <v>29580</v>
      </c>
      <c r="J158" s="135"/>
    </row>
    <row r="159" spans="1:10" s="18" customFormat="1" ht="12.75" x14ac:dyDescent="0.2">
      <c r="A159" s="20">
        <v>150</v>
      </c>
      <c r="B159" s="34"/>
      <c r="C159" s="34" t="s">
        <v>46</v>
      </c>
      <c r="D159" s="34" t="s">
        <v>20</v>
      </c>
      <c r="E159" s="35" t="s">
        <v>109</v>
      </c>
      <c r="F159" s="34" t="s">
        <v>17</v>
      </c>
      <c r="G159" s="32">
        <v>5</v>
      </c>
      <c r="H159" s="31">
        <v>56206</v>
      </c>
      <c r="I159" s="31">
        <v>281030</v>
      </c>
      <c r="J159" s="135"/>
    </row>
    <row r="160" spans="1:10" s="18" customFormat="1" ht="12.75" x14ac:dyDescent="0.2">
      <c r="A160" s="20">
        <v>151</v>
      </c>
      <c r="B160" s="34"/>
      <c r="C160" s="34" t="s">
        <v>46</v>
      </c>
      <c r="D160" s="34" t="s">
        <v>20</v>
      </c>
      <c r="E160" s="35" t="s">
        <v>110</v>
      </c>
      <c r="F160" s="34" t="s">
        <v>17</v>
      </c>
      <c r="G160" s="32">
        <v>15</v>
      </c>
      <c r="H160" s="31">
        <v>36321</v>
      </c>
      <c r="I160" s="31">
        <v>544815</v>
      </c>
      <c r="J160" s="135"/>
    </row>
    <row r="161" spans="1:10" s="18" customFormat="1" ht="12.75" x14ac:dyDescent="0.2">
      <c r="A161" s="20">
        <v>152</v>
      </c>
      <c r="B161" s="34"/>
      <c r="C161" s="34" t="s">
        <v>46</v>
      </c>
      <c r="D161" s="34" t="s">
        <v>20</v>
      </c>
      <c r="E161" s="35" t="s">
        <v>111</v>
      </c>
      <c r="F161" s="34" t="s">
        <v>17</v>
      </c>
      <c r="G161" s="32">
        <v>2</v>
      </c>
      <c r="H161" s="31">
        <v>39972</v>
      </c>
      <c r="I161" s="31">
        <v>79944</v>
      </c>
      <c r="J161" s="135"/>
    </row>
    <row r="162" spans="1:10" s="18" customFormat="1" ht="12.75" x14ac:dyDescent="0.2">
      <c r="A162" s="20">
        <v>153</v>
      </c>
      <c r="B162" s="34"/>
      <c r="C162" s="34" t="s">
        <v>46</v>
      </c>
      <c r="D162" s="34" t="s">
        <v>20</v>
      </c>
      <c r="E162" s="35" t="s">
        <v>112</v>
      </c>
      <c r="F162" s="34" t="s">
        <v>17</v>
      </c>
      <c r="G162" s="32">
        <v>2</v>
      </c>
      <c r="H162" s="31">
        <v>54300</v>
      </c>
      <c r="I162" s="31">
        <v>108600</v>
      </c>
      <c r="J162" s="135"/>
    </row>
    <row r="163" spans="1:10" s="18" customFormat="1" ht="12.75" x14ac:dyDescent="0.2">
      <c r="A163" s="20">
        <v>154</v>
      </c>
      <c r="B163" s="34"/>
      <c r="C163" s="34" t="s">
        <v>46</v>
      </c>
      <c r="D163" s="34" t="s">
        <v>20</v>
      </c>
      <c r="E163" s="35" t="s">
        <v>113</v>
      </c>
      <c r="F163" s="34" t="s">
        <v>17</v>
      </c>
      <c r="G163" s="32">
        <v>2</v>
      </c>
      <c r="H163" s="31">
        <v>45308</v>
      </c>
      <c r="I163" s="31">
        <v>90616</v>
      </c>
      <c r="J163" s="135"/>
    </row>
    <row r="164" spans="1:10" s="18" customFormat="1" ht="12.75" x14ac:dyDescent="0.2">
      <c r="A164" s="20">
        <v>155</v>
      </c>
      <c r="B164" s="34"/>
      <c r="C164" s="34" t="s">
        <v>46</v>
      </c>
      <c r="D164" s="34" t="s">
        <v>20</v>
      </c>
      <c r="E164" s="35" t="s">
        <v>114</v>
      </c>
      <c r="F164" s="34" t="s">
        <v>19</v>
      </c>
      <c r="G164" s="32">
        <v>20</v>
      </c>
      <c r="H164" s="31">
        <v>8333</v>
      </c>
      <c r="I164" s="31">
        <v>166660</v>
      </c>
      <c r="J164" s="135"/>
    </row>
    <row r="165" spans="1:10" s="18" customFormat="1" ht="12.75" x14ac:dyDescent="0.2">
      <c r="A165" s="20">
        <v>156</v>
      </c>
      <c r="B165" s="34"/>
      <c r="C165" s="34" t="s">
        <v>46</v>
      </c>
      <c r="D165" s="34" t="s">
        <v>20</v>
      </c>
      <c r="E165" s="35" t="s">
        <v>115</v>
      </c>
      <c r="F165" s="34" t="s">
        <v>19</v>
      </c>
      <c r="G165" s="32">
        <v>15</v>
      </c>
      <c r="H165" s="31">
        <v>20320</v>
      </c>
      <c r="I165" s="31">
        <v>304800</v>
      </c>
      <c r="J165" s="135"/>
    </row>
    <row r="166" spans="1:10" s="18" customFormat="1" ht="12.75" x14ac:dyDescent="0.2">
      <c r="A166" s="20">
        <v>157</v>
      </c>
      <c r="B166" s="34"/>
      <c r="C166" s="34" t="s">
        <v>46</v>
      </c>
      <c r="D166" s="34" t="s">
        <v>20</v>
      </c>
      <c r="E166" s="35" t="s">
        <v>116</v>
      </c>
      <c r="F166" s="34" t="s">
        <v>19</v>
      </c>
      <c r="G166" s="32">
        <v>30</v>
      </c>
      <c r="H166" s="31">
        <v>5330</v>
      </c>
      <c r="I166" s="31">
        <v>159900</v>
      </c>
      <c r="J166" s="135"/>
    </row>
    <row r="167" spans="1:10" s="18" customFormat="1" ht="15" customHeight="1" x14ac:dyDescent="0.2">
      <c r="A167" s="20">
        <v>158</v>
      </c>
      <c r="B167" s="34"/>
      <c r="C167" s="34" t="s">
        <v>46</v>
      </c>
      <c r="D167" s="34" t="s">
        <v>20</v>
      </c>
      <c r="E167" s="35" t="s">
        <v>117</v>
      </c>
      <c r="F167" s="34" t="s">
        <v>17</v>
      </c>
      <c r="G167" s="32">
        <v>32</v>
      </c>
      <c r="H167" s="31">
        <v>2674</v>
      </c>
      <c r="I167" s="31">
        <v>85568</v>
      </c>
      <c r="J167" s="135"/>
    </row>
    <row r="168" spans="1:10" s="18" customFormat="1" ht="15" customHeight="1" x14ac:dyDescent="0.2">
      <c r="A168" s="20">
        <v>159</v>
      </c>
      <c r="B168" s="34"/>
      <c r="C168" s="34" t="s">
        <v>46</v>
      </c>
      <c r="D168" s="34" t="s">
        <v>20</v>
      </c>
      <c r="E168" s="35" t="s">
        <v>118</v>
      </c>
      <c r="F168" s="34" t="s">
        <v>17</v>
      </c>
      <c r="G168" s="32">
        <v>2</v>
      </c>
      <c r="H168" s="31">
        <v>92000</v>
      </c>
      <c r="I168" s="31">
        <v>184000</v>
      </c>
      <c r="J168" s="135"/>
    </row>
    <row r="169" spans="1:10" s="18" customFormat="1" ht="15" customHeight="1" x14ac:dyDescent="0.2">
      <c r="A169" s="20">
        <v>160</v>
      </c>
      <c r="B169" s="34"/>
      <c r="C169" s="34" t="s">
        <v>46</v>
      </c>
      <c r="D169" s="34" t="s">
        <v>20</v>
      </c>
      <c r="E169" s="35" t="s">
        <v>119</v>
      </c>
      <c r="F169" s="34" t="s">
        <v>17</v>
      </c>
      <c r="G169" s="32">
        <v>2</v>
      </c>
      <c r="H169" s="31">
        <v>98000</v>
      </c>
      <c r="I169" s="31">
        <v>196000</v>
      </c>
      <c r="J169" s="135"/>
    </row>
    <row r="170" spans="1:10" s="18" customFormat="1" ht="15" customHeight="1" x14ac:dyDescent="0.2">
      <c r="A170" s="20">
        <v>161</v>
      </c>
      <c r="B170" s="34"/>
      <c r="C170" s="34" t="s">
        <v>46</v>
      </c>
      <c r="D170" s="34" t="s">
        <v>20</v>
      </c>
      <c r="E170" s="35" t="s">
        <v>120</v>
      </c>
      <c r="F170" s="34" t="s">
        <v>17</v>
      </c>
      <c r="G170" s="32">
        <v>10</v>
      </c>
      <c r="H170" s="31">
        <v>83000</v>
      </c>
      <c r="I170" s="31">
        <v>830000</v>
      </c>
      <c r="J170" s="135"/>
    </row>
    <row r="171" spans="1:10" s="18" customFormat="1" ht="15" customHeight="1" x14ac:dyDescent="0.2">
      <c r="A171" s="20">
        <v>162</v>
      </c>
      <c r="B171" s="34"/>
      <c r="C171" s="34" t="s">
        <v>46</v>
      </c>
      <c r="D171" s="34" t="s">
        <v>20</v>
      </c>
      <c r="E171" s="35" t="s">
        <v>121</v>
      </c>
      <c r="F171" s="34" t="s">
        <v>59</v>
      </c>
      <c r="G171" s="32">
        <v>10</v>
      </c>
      <c r="H171" s="31">
        <v>4712</v>
      </c>
      <c r="I171" s="31">
        <v>47120</v>
      </c>
      <c r="J171" s="135"/>
    </row>
    <row r="172" spans="1:10" s="18" customFormat="1" ht="15" customHeight="1" thickBot="1" x14ac:dyDescent="0.25">
      <c r="A172" s="20">
        <v>163</v>
      </c>
      <c r="B172" s="34"/>
      <c r="C172" s="34" t="s">
        <v>46</v>
      </c>
      <c r="D172" s="34" t="s">
        <v>20</v>
      </c>
      <c r="E172" s="35" t="s">
        <v>122</v>
      </c>
      <c r="F172" s="34" t="s">
        <v>21</v>
      </c>
      <c r="G172" s="32">
        <v>5</v>
      </c>
      <c r="H172" s="31">
        <v>9540</v>
      </c>
      <c r="I172" s="31">
        <v>47700</v>
      </c>
      <c r="J172" s="135"/>
    </row>
    <row r="173" spans="1:10" s="43" customFormat="1" ht="77.25" customHeight="1" thickBot="1" x14ac:dyDescent="0.25">
      <c r="A173" s="36"/>
      <c r="B173" s="37"/>
      <c r="C173" s="37"/>
      <c r="D173" s="37"/>
      <c r="E173" s="38" t="s">
        <v>45</v>
      </c>
      <c r="F173" s="37"/>
      <c r="G173" s="40"/>
      <c r="H173" s="39"/>
      <c r="I173" s="41">
        <f>SUM(I10:I172)</f>
        <v>58933705.159999996</v>
      </c>
      <c r="J173" s="42"/>
    </row>
    <row r="174" spans="1:10" s="19" customFormat="1" ht="15" customHeight="1" x14ac:dyDescent="0.2">
      <c r="A174" s="44"/>
      <c r="B174" s="44"/>
      <c r="C174" s="44"/>
      <c r="D174" s="44"/>
      <c r="E174" s="45"/>
      <c r="F174" s="44"/>
      <c r="G174" s="46"/>
      <c r="H174" s="47"/>
      <c r="I174" s="47"/>
      <c r="J174" s="48"/>
    </row>
    <row r="175" spans="1:10" s="19" customFormat="1" ht="15.75" customHeight="1" thickBot="1" x14ac:dyDescent="0.25">
      <c r="A175" s="44"/>
      <c r="B175" s="44"/>
      <c r="C175" s="44"/>
      <c r="D175" s="44"/>
      <c r="E175" s="45"/>
      <c r="F175" s="44"/>
      <c r="G175" s="46"/>
      <c r="H175" s="47"/>
      <c r="I175" s="47"/>
      <c r="J175" s="48"/>
    </row>
    <row r="176" spans="1:10" s="19" customFormat="1" ht="108" customHeight="1" x14ac:dyDescent="0.2">
      <c r="A176" s="44"/>
      <c r="B176" s="44"/>
      <c r="C176" s="117" t="s">
        <v>163</v>
      </c>
      <c r="D176" s="166" t="s">
        <v>164</v>
      </c>
      <c r="E176" s="167"/>
      <c r="F176" s="44"/>
      <c r="G176" s="46"/>
      <c r="H176" s="47"/>
      <c r="I176" s="47"/>
      <c r="J176" s="48"/>
    </row>
    <row r="177" spans="1:10" s="19" customFormat="1" ht="15" customHeight="1" x14ac:dyDescent="0.2">
      <c r="A177" s="44"/>
      <c r="B177" s="44"/>
      <c r="C177" s="118"/>
      <c r="D177" s="119"/>
      <c r="E177" s="125"/>
      <c r="F177" s="44"/>
      <c r="G177" s="46"/>
      <c r="H177" s="47"/>
      <c r="I177" s="47"/>
      <c r="J177" s="48"/>
    </row>
    <row r="178" spans="1:10" s="19" customFormat="1" ht="25.5" customHeight="1" x14ac:dyDescent="0.2">
      <c r="A178" s="44"/>
      <c r="B178" s="44"/>
      <c r="C178" s="118" t="s">
        <v>165</v>
      </c>
      <c r="D178" s="120" t="s">
        <v>166</v>
      </c>
      <c r="E178" s="125"/>
      <c r="F178" s="44"/>
      <c r="G178" s="46"/>
      <c r="H178" s="47"/>
      <c r="I178" s="47"/>
      <c r="J178" s="48"/>
    </row>
    <row r="179" spans="1:10" s="19" customFormat="1" ht="15" customHeight="1" x14ac:dyDescent="0.2">
      <c r="A179" s="44"/>
      <c r="B179" s="44"/>
      <c r="C179" s="118"/>
      <c r="D179" s="121"/>
      <c r="E179" s="125"/>
      <c r="F179" s="44"/>
      <c r="G179" s="46"/>
      <c r="H179" s="47"/>
      <c r="I179" s="47"/>
      <c r="J179" s="48"/>
    </row>
    <row r="180" spans="1:10" s="19" customFormat="1" ht="42.75" customHeight="1" x14ac:dyDescent="0.2">
      <c r="A180" s="44"/>
      <c r="B180" s="44"/>
      <c r="C180" s="165" t="s">
        <v>243</v>
      </c>
      <c r="D180" s="163" t="s">
        <v>268</v>
      </c>
      <c r="E180" s="164"/>
      <c r="F180" s="44"/>
      <c r="G180" s="46"/>
      <c r="H180" s="47"/>
      <c r="I180" s="47"/>
      <c r="J180" s="48"/>
    </row>
    <row r="181" spans="1:10" s="19" customFormat="1" ht="43.5" customHeight="1" x14ac:dyDescent="0.2">
      <c r="A181" s="44"/>
      <c r="B181" s="44"/>
      <c r="C181" s="165"/>
      <c r="D181" s="163" t="s">
        <v>265</v>
      </c>
      <c r="E181" s="164"/>
      <c r="F181" s="44"/>
      <c r="G181" s="46"/>
      <c r="H181" s="47"/>
      <c r="I181" s="47"/>
      <c r="J181" s="48"/>
    </row>
    <row r="182" spans="1:10" s="19" customFormat="1" ht="30.75" customHeight="1" x14ac:dyDescent="0.2">
      <c r="A182" s="44"/>
      <c r="B182" s="44"/>
      <c r="C182" s="165"/>
      <c r="D182" s="163" t="s">
        <v>266</v>
      </c>
      <c r="E182" s="164"/>
      <c r="F182" s="44"/>
      <c r="G182" s="46"/>
      <c r="H182" s="47"/>
      <c r="I182" s="47"/>
      <c r="J182" s="48"/>
    </row>
    <row r="183" spans="1:10" s="19" customFormat="1" ht="27" customHeight="1" x14ac:dyDescent="0.2">
      <c r="A183" s="44"/>
      <c r="B183" s="44"/>
      <c r="C183" s="165"/>
      <c r="D183" s="163" t="s">
        <v>267</v>
      </c>
      <c r="E183" s="164"/>
      <c r="F183" s="44"/>
      <c r="G183" s="46"/>
      <c r="H183" s="47"/>
      <c r="I183" s="47"/>
      <c r="J183" s="48"/>
    </row>
    <row r="184" spans="1:10" s="19" customFormat="1" x14ac:dyDescent="0.2">
      <c r="A184" s="44"/>
      <c r="B184" s="44"/>
      <c r="C184" s="118"/>
      <c r="D184" s="122"/>
      <c r="E184" s="125"/>
      <c r="F184" s="44"/>
      <c r="G184" s="46"/>
      <c r="H184" s="47"/>
      <c r="I184" s="47"/>
      <c r="J184" s="48"/>
    </row>
    <row r="185" spans="1:10" s="19" customFormat="1" x14ac:dyDescent="0.2">
      <c r="A185" s="44"/>
      <c r="B185" s="44"/>
      <c r="C185" s="156" t="s">
        <v>167</v>
      </c>
      <c r="D185" s="123"/>
      <c r="E185" s="125"/>
      <c r="F185" s="44"/>
      <c r="G185" s="46"/>
      <c r="H185" s="47"/>
      <c r="I185" s="47"/>
      <c r="J185" s="48"/>
    </row>
    <row r="186" spans="1:10" s="19" customFormat="1" x14ac:dyDescent="0.2">
      <c r="A186" s="44"/>
      <c r="B186" s="44"/>
      <c r="C186" s="156"/>
      <c r="D186" s="123"/>
      <c r="E186" s="125"/>
      <c r="F186" s="44"/>
      <c r="G186" s="46"/>
      <c r="H186" s="47"/>
      <c r="I186" s="47"/>
      <c r="J186" s="48"/>
    </row>
    <row r="187" spans="1:10" s="19" customFormat="1" ht="15.75" thickBot="1" x14ac:dyDescent="0.25">
      <c r="A187" s="44"/>
      <c r="B187" s="44"/>
      <c r="C187" s="157" t="s">
        <v>168</v>
      </c>
      <c r="D187" s="124" t="s">
        <v>169</v>
      </c>
      <c r="E187" s="126"/>
      <c r="F187" s="44"/>
      <c r="G187" s="46"/>
      <c r="H187" s="47"/>
      <c r="I187" s="47"/>
      <c r="J187" s="48"/>
    </row>
    <row r="188" spans="1:10" s="19" customFormat="1" ht="12.75" x14ac:dyDescent="0.2">
      <c r="A188" s="44"/>
      <c r="B188" s="44"/>
      <c r="C188" s="44"/>
      <c r="D188" s="44"/>
      <c r="E188" s="45"/>
      <c r="F188" s="44"/>
      <c r="G188" s="46"/>
      <c r="H188" s="47"/>
      <c r="I188" s="47"/>
      <c r="J188" s="48"/>
    </row>
    <row r="189" spans="1:10" s="19" customFormat="1" ht="12.75" x14ac:dyDescent="0.2">
      <c r="A189" s="44"/>
      <c r="B189" s="44"/>
      <c r="C189" s="44"/>
      <c r="D189" s="44"/>
      <c r="E189" s="45"/>
      <c r="F189" s="44"/>
      <c r="G189" s="46"/>
      <c r="H189" s="47"/>
      <c r="I189" s="47"/>
      <c r="J189" s="48"/>
    </row>
    <row r="190" spans="1:10" s="19" customFormat="1" ht="12.75" x14ac:dyDescent="0.2">
      <c r="A190" s="44"/>
      <c r="B190" s="44"/>
      <c r="C190" s="44"/>
      <c r="D190" s="44"/>
      <c r="E190" s="45"/>
      <c r="F190" s="44"/>
      <c r="G190" s="46"/>
      <c r="H190" s="47"/>
      <c r="I190" s="47"/>
      <c r="J190" s="48"/>
    </row>
    <row r="191" spans="1:10" s="19" customFormat="1" ht="12.75" x14ac:dyDescent="0.2">
      <c r="A191" s="44"/>
      <c r="B191" s="44"/>
      <c r="C191" s="44"/>
      <c r="D191" s="44"/>
      <c r="E191" s="45"/>
      <c r="F191" s="44"/>
      <c r="G191" s="46"/>
      <c r="H191" s="47"/>
      <c r="I191" s="47"/>
      <c r="J191" s="48"/>
    </row>
  </sheetData>
  <sortState xmlns:xlrd2="http://schemas.microsoft.com/office/spreadsheetml/2017/richdata2" ref="A10:J177">
    <sortCondition ref="E10:E177"/>
  </sortState>
  <mergeCells count="13">
    <mergeCell ref="D176:E176"/>
    <mergeCell ref="A7:B7"/>
    <mergeCell ref="B2:H2"/>
    <mergeCell ref="A4:B4"/>
    <mergeCell ref="C4:E4"/>
    <mergeCell ref="A5:B5"/>
    <mergeCell ref="C5:E5"/>
    <mergeCell ref="A6:B6"/>
    <mergeCell ref="D180:E180"/>
    <mergeCell ref="D181:E181"/>
    <mergeCell ref="D182:E182"/>
    <mergeCell ref="D183:E183"/>
    <mergeCell ref="C180:C183"/>
  </mergeCells>
  <conditionalFormatting sqref="B1:B9 E1:E9">
    <cfRule type="duplicateValues" dxfId="43" priority="273"/>
  </conditionalFormatting>
  <conditionalFormatting sqref="E1:E9 B1:B9">
    <cfRule type="duplicateValues" dxfId="42" priority="274"/>
  </conditionalFormatting>
  <conditionalFormatting sqref="B1:B9">
    <cfRule type="duplicateValues" dxfId="41" priority="477"/>
  </conditionalFormatting>
  <conditionalFormatting sqref="E1:E9">
    <cfRule type="duplicateValues" dxfId="40" priority="478"/>
  </conditionalFormatting>
  <conditionalFormatting sqref="E1:E9">
    <cfRule type="duplicateValues" dxfId="39" priority="479"/>
    <cfRule type="duplicateValues" dxfId="38" priority="480"/>
  </conditionalFormatting>
  <conditionalFormatting sqref="C178:C180 C184:C187">
    <cfRule type="duplicateValues" dxfId="37" priority="35"/>
  </conditionalFormatting>
  <conditionalFormatting sqref="C178:C180 C184:C187">
    <cfRule type="duplicateValues" dxfId="36" priority="36"/>
  </conditionalFormatting>
  <conditionalFormatting sqref="C178:C180">
    <cfRule type="duplicateValues" dxfId="35" priority="37"/>
  </conditionalFormatting>
  <conditionalFormatting sqref="C178:C180">
    <cfRule type="duplicateValues" dxfId="34" priority="38"/>
  </conditionalFormatting>
  <conditionalFormatting sqref="E132">
    <cfRule type="duplicateValues" dxfId="33" priority="17"/>
  </conditionalFormatting>
  <conditionalFormatting sqref="E132">
    <cfRule type="duplicateValues" dxfId="32" priority="18"/>
    <cfRule type="duplicateValues" dxfId="31" priority="19"/>
  </conditionalFormatting>
  <conditionalFormatting sqref="E132">
    <cfRule type="duplicateValues" dxfId="30" priority="20"/>
  </conditionalFormatting>
  <conditionalFormatting sqref="E132">
    <cfRule type="duplicateValues" dxfId="29" priority="21"/>
  </conditionalFormatting>
  <conditionalFormatting sqref="E133:E134">
    <cfRule type="duplicateValues" dxfId="28" priority="12"/>
  </conditionalFormatting>
  <conditionalFormatting sqref="E133:E134">
    <cfRule type="duplicateValues" dxfId="27" priority="13"/>
  </conditionalFormatting>
  <conditionalFormatting sqref="E133:E134">
    <cfRule type="duplicateValues" dxfId="26" priority="14"/>
  </conditionalFormatting>
  <conditionalFormatting sqref="E133:E134">
    <cfRule type="duplicateValues" dxfId="25" priority="15"/>
    <cfRule type="duplicateValues" dxfId="24" priority="16"/>
  </conditionalFormatting>
  <conditionalFormatting sqref="E137">
    <cfRule type="duplicateValues" dxfId="23" priority="22"/>
  </conditionalFormatting>
  <conditionalFormatting sqref="E137">
    <cfRule type="duplicateValues" dxfId="22" priority="23"/>
  </conditionalFormatting>
  <conditionalFormatting sqref="E137">
    <cfRule type="duplicateValues" dxfId="21" priority="24"/>
    <cfRule type="duplicateValues" dxfId="20" priority="25"/>
  </conditionalFormatting>
  <conditionalFormatting sqref="E135">
    <cfRule type="duplicateValues" dxfId="19" priority="8"/>
  </conditionalFormatting>
  <conditionalFormatting sqref="E135">
    <cfRule type="duplicateValues" dxfId="18" priority="9"/>
  </conditionalFormatting>
  <conditionalFormatting sqref="E135">
    <cfRule type="duplicateValues" dxfId="17" priority="10"/>
    <cfRule type="duplicateValues" dxfId="16" priority="11"/>
  </conditionalFormatting>
  <conditionalFormatting sqref="E136">
    <cfRule type="duplicateValues" dxfId="15" priority="26"/>
  </conditionalFormatting>
  <conditionalFormatting sqref="E136">
    <cfRule type="duplicateValues" dxfId="14" priority="27"/>
    <cfRule type="duplicateValues" dxfId="13" priority="28"/>
  </conditionalFormatting>
  <conditionalFormatting sqref="E136">
    <cfRule type="duplicateValues" dxfId="12" priority="29"/>
  </conditionalFormatting>
  <conditionalFormatting sqref="E138:E139">
    <cfRule type="duplicateValues" dxfId="11" priority="4"/>
  </conditionalFormatting>
  <conditionalFormatting sqref="E138">
    <cfRule type="duplicateValues" dxfId="10" priority="5"/>
  </conditionalFormatting>
  <conditionalFormatting sqref="E138:E139">
    <cfRule type="duplicateValues" dxfId="9" priority="6"/>
    <cfRule type="duplicateValues" dxfId="8" priority="7"/>
  </conditionalFormatting>
  <conditionalFormatting sqref="E151">
    <cfRule type="duplicateValues" dxfId="7" priority="1"/>
  </conditionalFormatting>
  <conditionalFormatting sqref="E151">
    <cfRule type="duplicateValues" dxfId="6" priority="2"/>
    <cfRule type="duplicateValues" dxfId="5" priority="3"/>
  </conditionalFormatting>
  <conditionalFormatting sqref="E124:E130">
    <cfRule type="duplicateValues" dxfId="4" priority="30"/>
  </conditionalFormatting>
  <conditionalFormatting sqref="E124:E130">
    <cfRule type="duplicateValues" dxfId="3" priority="31"/>
    <cfRule type="duplicateValues" dxfId="2" priority="32"/>
  </conditionalFormatting>
  <conditionalFormatting sqref="E124:E130">
    <cfRule type="duplicateValues" dxfId="1" priority="33"/>
  </conditionalFormatting>
  <conditionalFormatting sqref="E124:E130">
    <cfRule type="duplicateValues" dxfId="0" priority="34"/>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3"/>
  <sheetViews>
    <sheetView topLeftCell="A43" workbookViewId="0">
      <selection activeCell="B53" sqref="B53"/>
    </sheetView>
  </sheetViews>
  <sheetFormatPr baseColWidth="10" defaultRowHeight="15" x14ac:dyDescent="0.25"/>
  <cols>
    <col min="1" max="1" width="5.5703125" customWidth="1"/>
    <col min="2" max="2" width="15.140625" style="98" customWidth="1"/>
    <col min="3" max="3" width="14.140625" customWidth="1"/>
    <col min="4" max="4" width="26" customWidth="1"/>
    <col min="5" max="5" width="8" customWidth="1"/>
    <col min="6" max="6" width="7.85546875" customWidth="1"/>
    <col min="7" max="7" width="52.140625" customWidth="1"/>
    <col min="8" max="8" width="9.28515625" customWidth="1"/>
    <col min="9" max="9" width="15.5703125" customWidth="1"/>
    <col min="10" max="10" width="14.7109375" style="103" customWidth="1"/>
    <col min="11" max="11" width="15.5703125" customWidth="1"/>
  </cols>
  <sheetData>
    <row r="1" spans="1:11" ht="30.75" thickBot="1" x14ac:dyDescent="0.3">
      <c r="A1" s="186" t="s">
        <v>124</v>
      </c>
      <c r="B1" s="186"/>
      <c r="C1" s="186"/>
      <c r="D1" s="186"/>
      <c r="E1" s="186"/>
      <c r="F1" s="186"/>
      <c r="G1" s="186"/>
      <c r="H1" s="186"/>
      <c r="I1" s="186"/>
      <c r="J1" s="99" t="s">
        <v>125</v>
      </c>
      <c r="K1" s="49" t="s">
        <v>244</v>
      </c>
    </row>
    <row r="2" spans="1:11" ht="16.5" thickBot="1" x14ac:dyDescent="0.3">
      <c r="A2" s="50"/>
      <c r="B2" s="94"/>
      <c r="C2" s="51"/>
      <c r="D2" s="52"/>
      <c r="E2" s="52"/>
      <c r="F2" s="52"/>
      <c r="G2" s="52"/>
      <c r="H2" s="52"/>
      <c r="I2" s="52"/>
      <c r="J2" s="100"/>
      <c r="K2" s="53"/>
    </row>
    <row r="3" spans="1:11" ht="16.5" customHeight="1" thickBot="1" x14ac:dyDescent="0.3">
      <c r="A3" s="183" t="s">
        <v>126</v>
      </c>
      <c r="B3" s="183"/>
      <c r="C3" s="183"/>
      <c r="D3" s="90" t="s">
        <v>2</v>
      </c>
      <c r="E3" s="91"/>
      <c r="F3" s="91"/>
      <c r="G3" s="91"/>
      <c r="H3" s="91"/>
      <c r="I3" s="91"/>
      <c r="J3" s="101"/>
      <c r="K3" s="92"/>
    </row>
    <row r="4" spans="1:11" ht="16.5" customHeight="1" thickBot="1" x14ac:dyDescent="0.3">
      <c r="A4" s="184" t="s">
        <v>127</v>
      </c>
      <c r="B4" s="184"/>
      <c r="C4" s="184"/>
      <c r="D4" s="90" t="s">
        <v>161</v>
      </c>
      <c r="E4" s="91"/>
      <c r="F4" s="91"/>
      <c r="G4" s="91"/>
      <c r="H4" s="91"/>
      <c r="I4" s="91"/>
      <c r="J4" s="101"/>
      <c r="K4" s="92"/>
    </row>
    <row r="5" spans="1:11" ht="16.5" thickBot="1" x14ac:dyDescent="0.3">
      <c r="A5" s="184" t="s">
        <v>128</v>
      </c>
      <c r="B5" s="184"/>
      <c r="C5" s="184"/>
      <c r="D5" s="90" t="s">
        <v>171</v>
      </c>
      <c r="E5" s="91"/>
      <c r="F5" s="91"/>
      <c r="G5" s="91"/>
      <c r="H5" s="91"/>
      <c r="I5" s="91"/>
      <c r="J5" s="101"/>
      <c r="K5" s="92"/>
    </row>
    <row r="6" spans="1:11" ht="16.5" thickBot="1" x14ac:dyDescent="0.3">
      <c r="A6" s="183" t="s">
        <v>129</v>
      </c>
      <c r="B6" s="183"/>
      <c r="C6" s="183"/>
      <c r="D6" s="90" t="s">
        <v>171</v>
      </c>
      <c r="E6" s="91"/>
      <c r="F6" s="91"/>
      <c r="G6" s="91"/>
      <c r="H6" s="91"/>
      <c r="I6" s="91"/>
      <c r="J6" s="101"/>
      <c r="K6" s="92"/>
    </row>
    <row r="7" spans="1:11" ht="16.5" thickBot="1" x14ac:dyDescent="0.3">
      <c r="A7" s="184" t="s">
        <v>130</v>
      </c>
      <c r="B7" s="184"/>
      <c r="C7" s="184"/>
      <c r="D7" s="90" t="s">
        <v>162</v>
      </c>
      <c r="E7" s="91"/>
      <c r="F7" s="91"/>
      <c r="G7" s="91"/>
      <c r="H7" s="91"/>
      <c r="I7" s="91"/>
      <c r="J7" s="101"/>
      <c r="K7" s="92"/>
    </row>
    <row r="8" spans="1:11" ht="16.5" customHeight="1" thickBot="1" x14ac:dyDescent="0.3">
      <c r="A8" s="185" t="s">
        <v>131</v>
      </c>
      <c r="B8" s="185"/>
      <c r="C8" s="185"/>
      <c r="D8" s="93" t="s">
        <v>174</v>
      </c>
      <c r="E8" s="91"/>
      <c r="F8" s="91"/>
      <c r="G8" s="91"/>
      <c r="H8" s="91"/>
      <c r="I8" s="91"/>
      <c r="J8" s="101"/>
      <c r="K8" s="92"/>
    </row>
    <row r="9" spans="1:11" ht="16.5" thickBot="1" x14ac:dyDescent="0.3">
      <c r="A9" s="54"/>
      <c r="B9" s="95"/>
      <c r="C9" s="55"/>
      <c r="D9" s="56"/>
      <c r="E9" s="56"/>
      <c r="F9" s="56"/>
      <c r="G9" s="56"/>
      <c r="H9" s="56"/>
      <c r="I9" s="56"/>
      <c r="J9" s="102"/>
      <c r="K9" s="57"/>
    </row>
    <row r="10" spans="1:11" ht="15.75" thickBot="1" x14ac:dyDescent="0.3">
      <c r="A10" s="179" t="s">
        <v>132</v>
      </c>
      <c r="B10" s="181" t="s">
        <v>133</v>
      </c>
      <c r="C10" s="181" t="s">
        <v>134</v>
      </c>
      <c r="D10" s="181"/>
      <c r="E10" s="181"/>
      <c r="F10" s="181"/>
      <c r="G10" s="181"/>
      <c r="H10" s="181" t="s">
        <v>135</v>
      </c>
      <c r="I10" s="181" t="s">
        <v>136</v>
      </c>
      <c r="J10" s="189" t="s">
        <v>137</v>
      </c>
      <c r="K10" s="187" t="s">
        <v>138</v>
      </c>
    </row>
    <row r="11" spans="1:11" ht="36.75" customHeight="1" thickBot="1" x14ac:dyDescent="0.3">
      <c r="A11" s="180"/>
      <c r="B11" s="182"/>
      <c r="C11" s="182"/>
      <c r="D11" s="182"/>
      <c r="E11" s="182"/>
      <c r="F11" s="182"/>
      <c r="G11" s="182"/>
      <c r="H11" s="182"/>
      <c r="I11" s="182"/>
      <c r="J11" s="190"/>
      <c r="K11" s="188"/>
    </row>
    <row r="12" spans="1:11" s="106" customFormat="1" ht="15.75" customHeight="1" x14ac:dyDescent="0.25">
      <c r="A12" s="127">
        <v>1</v>
      </c>
      <c r="B12" s="128"/>
      <c r="C12" s="191" t="str">
        <f>'SAF 011 - NECESIDAD TRIMESTRAL'!E16</f>
        <v>ALBUMINA AA 6X 120 ML Tipo WIENER</v>
      </c>
      <c r="D12" s="192"/>
      <c r="E12" s="192"/>
      <c r="F12" s="192"/>
      <c r="G12" s="193"/>
      <c r="H12" s="128" t="s">
        <v>170</v>
      </c>
      <c r="I12" s="129" t="str">
        <f>'SAF 011 - NECESIDAD TRIMESTRAL'!F16</f>
        <v>CAJA</v>
      </c>
      <c r="J12" s="130">
        <f>'SAF 011 - NECESIDAD TRIMESTRAL'!H16</f>
        <v>4824</v>
      </c>
      <c r="K12" s="131" t="e">
        <f>'SAF 011 - NECESIDAD TRIMESTRAL'!#REF!</f>
        <v>#REF!</v>
      </c>
    </row>
    <row r="13" spans="1:11" s="106" customFormat="1" ht="15.75" customHeight="1" x14ac:dyDescent="0.25">
      <c r="A13" s="127">
        <v>2</v>
      </c>
      <c r="B13" s="128"/>
      <c r="C13" s="172" t="str">
        <f>'SAF 011 - NECESIDAD TRIMESTRAL'!E18</f>
        <v>ALCOHOL METILICO X 1 L TIPO CICARELLI</v>
      </c>
      <c r="D13" s="173"/>
      <c r="E13" s="173"/>
      <c r="F13" s="173"/>
      <c r="G13" s="174"/>
      <c r="H13" s="128" t="s">
        <v>170</v>
      </c>
      <c r="I13" s="129" t="str">
        <f>'SAF 011 - NECESIDAD TRIMESTRAL'!F18</f>
        <v xml:space="preserve">BOTELLA </v>
      </c>
      <c r="J13" s="130">
        <f>'SAF 011 - NECESIDAD TRIMESTRAL'!H18</f>
        <v>2974</v>
      </c>
      <c r="K13" s="131" t="e">
        <f>'SAF 011 - NECESIDAD TRIMESTRAL'!#REF!</f>
        <v>#REF!</v>
      </c>
    </row>
    <row r="14" spans="1:11" s="106" customFormat="1" ht="15.75" customHeight="1" x14ac:dyDescent="0.25">
      <c r="A14" s="127">
        <v>3</v>
      </c>
      <c r="B14" s="128"/>
      <c r="C14" s="172" t="str">
        <f>'SAF 011 - NECESIDAD TRIMESTRAL'!E19</f>
        <v>ALP 405 AA LIQUIDA  100 ML Tipo WIENER</v>
      </c>
      <c r="D14" s="173"/>
      <c r="E14" s="173"/>
      <c r="F14" s="173"/>
      <c r="G14" s="174"/>
      <c r="H14" s="128" t="s">
        <v>170</v>
      </c>
      <c r="I14" s="129" t="str">
        <f>'SAF 011 - NECESIDAD TRIMESTRAL'!F19</f>
        <v>CAJA</v>
      </c>
      <c r="J14" s="130">
        <f>'SAF 011 - NECESIDAD TRIMESTRAL'!H19</f>
        <v>3523</v>
      </c>
      <c r="K14" s="131" t="e">
        <f>'SAF 011 - NECESIDAD TRIMESTRAL'!#REF!</f>
        <v>#REF!</v>
      </c>
    </row>
    <row r="15" spans="1:11" s="106" customFormat="1" ht="15.75" customHeight="1" x14ac:dyDescent="0.25">
      <c r="A15" s="127">
        <v>4</v>
      </c>
      <c r="B15" s="128"/>
      <c r="C15" s="172" t="str">
        <f>'SAF 011 - NECESIDAD TRIMESTRAL'!E20</f>
        <v>AMILASA 405 AA LIQUIDA 3X10 ML (30 ML) Tipo WIENER</v>
      </c>
      <c r="D15" s="173"/>
      <c r="E15" s="173"/>
      <c r="F15" s="173"/>
      <c r="G15" s="174"/>
      <c r="H15" s="128" t="s">
        <v>170</v>
      </c>
      <c r="I15" s="129" t="str">
        <f>'SAF 011 - NECESIDAD TRIMESTRAL'!F20</f>
        <v>CAJA</v>
      </c>
      <c r="J15" s="130">
        <f>'SAF 011 - NECESIDAD TRIMESTRAL'!H20</f>
        <v>7709</v>
      </c>
      <c r="K15" s="131" t="e">
        <f>'SAF 011 - NECESIDAD TRIMESTRAL'!#REF!</f>
        <v>#REF!</v>
      </c>
    </row>
    <row r="16" spans="1:11" s="106" customFormat="1" ht="15.75" customHeight="1" x14ac:dyDescent="0.25">
      <c r="A16" s="127">
        <v>5</v>
      </c>
      <c r="B16" s="128"/>
      <c r="C16" s="172" t="str">
        <f>'SAF 011 - NECESIDAD TRIMESTRAL'!E22</f>
        <v>ANTI A MONOCLONAL FRASCO X 10 ML Tipo WIENER</v>
      </c>
      <c r="D16" s="173"/>
      <c r="E16" s="173"/>
      <c r="F16" s="173"/>
      <c r="G16" s="174"/>
      <c r="H16" s="128" t="s">
        <v>170</v>
      </c>
      <c r="I16" s="129" t="str">
        <f>'SAF 011 - NECESIDAD TRIMESTRAL'!F22</f>
        <v>FRASCO</v>
      </c>
      <c r="J16" s="130">
        <f>'SAF 011 - NECESIDAD TRIMESTRAL'!H22</f>
        <v>1434</v>
      </c>
      <c r="K16" s="131" t="e">
        <f>'SAF 011 - NECESIDAD TRIMESTRAL'!#REF!</f>
        <v>#REF!</v>
      </c>
    </row>
    <row r="17" spans="1:11" s="106" customFormat="1" ht="15.75" customHeight="1" x14ac:dyDescent="0.25">
      <c r="A17" s="127">
        <v>6</v>
      </c>
      <c r="B17" s="128"/>
      <c r="C17" s="172" t="str">
        <f>'SAF 011 - NECESIDAD TRIMESTRAL'!E23</f>
        <v>ANTI B MONOCLONAL FRASCO X 10 ML Tipo WIENER</v>
      </c>
      <c r="D17" s="173"/>
      <c r="E17" s="173"/>
      <c r="F17" s="173"/>
      <c r="G17" s="174"/>
      <c r="H17" s="128" t="s">
        <v>170</v>
      </c>
      <c r="I17" s="129" t="str">
        <f>'SAF 011 - NECESIDAD TRIMESTRAL'!F23</f>
        <v>FRASCO</v>
      </c>
      <c r="J17" s="130">
        <f>'SAF 011 - NECESIDAD TRIMESTRAL'!H23</f>
        <v>1434</v>
      </c>
      <c r="K17" s="131" t="e">
        <f>'SAF 011 - NECESIDAD TRIMESTRAL'!#REF!</f>
        <v>#REF!</v>
      </c>
    </row>
    <row r="18" spans="1:11" s="106" customFormat="1" ht="15.75" customHeight="1" x14ac:dyDescent="0.25">
      <c r="A18" s="127">
        <v>7</v>
      </c>
      <c r="B18" s="128"/>
      <c r="C18" s="172" t="str">
        <f>'SAF 011 - NECESIDAD TRIMESTRAL'!E24</f>
        <v>ANTI D(RHO) MONOCLONAL FRASCO X 10 ML Tipo WIENER</v>
      </c>
      <c r="D18" s="173"/>
      <c r="E18" s="173"/>
      <c r="F18" s="173"/>
      <c r="G18" s="174"/>
      <c r="H18" s="128" t="s">
        <v>170</v>
      </c>
      <c r="I18" s="129" t="str">
        <f>'SAF 011 - NECESIDAD TRIMESTRAL'!F24</f>
        <v>FRASCO</v>
      </c>
      <c r="J18" s="130">
        <f>'SAF 011 - NECESIDAD TRIMESTRAL'!H24</f>
        <v>2713</v>
      </c>
      <c r="K18" s="131" t="e">
        <f>'SAF 011 - NECESIDAD TRIMESTRAL'!#REF!</f>
        <v>#REF!</v>
      </c>
    </row>
    <row r="19" spans="1:11" s="106" customFormat="1" ht="15.75" customHeight="1" x14ac:dyDescent="0.25">
      <c r="A19" s="127">
        <v>8</v>
      </c>
      <c r="B19" s="128"/>
      <c r="C19" s="172" t="str">
        <f>'SAF 011 - NECESIDAD TRIMESTRAL'!E27</f>
        <v>APTT TEST  6X25 ML (150 DET) TIPO WIENER</v>
      </c>
      <c r="D19" s="173"/>
      <c r="E19" s="173"/>
      <c r="F19" s="173"/>
      <c r="G19" s="174"/>
      <c r="H19" s="128" t="s">
        <v>170</v>
      </c>
      <c r="I19" s="129" t="str">
        <f>'SAF 011 - NECESIDAD TRIMESTRAL'!F27</f>
        <v>CAJA</v>
      </c>
      <c r="J19" s="130">
        <f>'SAF 011 - NECESIDAD TRIMESTRAL'!H27</f>
        <v>8949</v>
      </c>
      <c r="K19" s="131" t="e">
        <f>'SAF 011 - NECESIDAD TRIMESTRAL'!#REF!</f>
        <v>#REF!</v>
      </c>
    </row>
    <row r="20" spans="1:11" s="106" customFormat="1" ht="15.75" customHeight="1" x14ac:dyDescent="0.25">
      <c r="A20" s="127">
        <v>9</v>
      </c>
      <c r="B20" s="128"/>
      <c r="C20" s="172" t="str">
        <f>'SAF 011 - NECESIDAD TRIMESTRAL'!E44</f>
        <v>ARTRITEST DIRECTO 50 DET. Tipo WIENER</v>
      </c>
      <c r="D20" s="173"/>
      <c r="E20" s="173"/>
      <c r="F20" s="173"/>
      <c r="G20" s="174"/>
      <c r="H20" s="128" t="s">
        <v>170</v>
      </c>
      <c r="I20" s="129" t="str">
        <f>'SAF 011 - NECESIDAD TRIMESTRAL'!F44</f>
        <v>UNIDAD</v>
      </c>
      <c r="J20" s="130">
        <f>'SAF 011 - NECESIDAD TRIMESTRAL'!H44</f>
        <v>2758</v>
      </c>
      <c r="K20" s="131" t="e">
        <f>'SAF 011 - NECESIDAD TRIMESTRAL'!#REF!</f>
        <v>#REF!</v>
      </c>
    </row>
    <row r="21" spans="1:11" s="106" customFormat="1" ht="15.75" customHeight="1" x14ac:dyDescent="0.25">
      <c r="A21" s="127">
        <v>10</v>
      </c>
      <c r="B21" s="128"/>
      <c r="C21" s="172" t="str">
        <f>'SAF 011 - NECESIDAD TRIMESTRAL'!E45</f>
        <v>ASO LATEX 50 DET Tipo WIENER</v>
      </c>
      <c r="D21" s="173"/>
      <c r="E21" s="173"/>
      <c r="F21" s="173"/>
      <c r="G21" s="174"/>
      <c r="H21" s="128" t="s">
        <v>170</v>
      </c>
      <c r="I21" s="129" t="str">
        <f>'SAF 011 - NECESIDAD TRIMESTRAL'!F45</f>
        <v>UNIDAD</v>
      </c>
      <c r="J21" s="130">
        <f>'SAF 011 - NECESIDAD TRIMESTRAL'!H45</f>
        <v>5775</v>
      </c>
      <c r="K21" s="131" t="e">
        <f>'SAF 011 - NECESIDAD TRIMESTRAL'!#REF!</f>
        <v>#REF!</v>
      </c>
    </row>
    <row r="22" spans="1:11" s="106" customFormat="1" ht="15.75" customHeight="1" x14ac:dyDescent="0.25">
      <c r="A22" s="127">
        <v>11</v>
      </c>
      <c r="B22" s="128"/>
      <c r="C22" s="172" t="str">
        <f>'SAF 011 - NECESIDAD TRIMESTRAL'!E52</f>
        <v xml:space="preserve">CASSETTE SENSOR 25 DET. OSMETECH OPTI CCA, Tipo OPTI MEDICAL "E-Glu"  </v>
      </c>
      <c r="D22" s="173"/>
      <c r="E22" s="173"/>
      <c r="F22" s="173"/>
      <c r="G22" s="174"/>
      <c r="H22" s="128" t="s">
        <v>170</v>
      </c>
      <c r="I22" s="129" t="str">
        <f>'SAF 011 - NECESIDAD TRIMESTRAL'!F52</f>
        <v>CASSETTE</v>
      </c>
      <c r="J22" s="130">
        <f>'SAF 011 - NECESIDAD TRIMESTRAL'!H52</f>
        <v>73440</v>
      </c>
      <c r="K22" s="131" t="e">
        <f>'SAF 011 - NECESIDAD TRIMESTRAL'!#REF!</f>
        <v>#REF!</v>
      </c>
    </row>
    <row r="23" spans="1:11" s="106" customFormat="1" ht="15.75" customHeight="1" x14ac:dyDescent="0.25">
      <c r="A23" s="127">
        <v>12</v>
      </c>
      <c r="B23" s="128"/>
      <c r="C23" s="172" t="str">
        <f>'SAF 011 - NECESIDAD TRIMESTRAL'!E54</f>
        <v>CELLPACK PK-30L x 20 LITROS Tipo SYSMEX</v>
      </c>
      <c r="D23" s="173"/>
      <c r="E23" s="173"/>
      <c r="F23" s="173"/>
      <c r="G23" s="174"/>
      <c r="H23" s="128" t="s">
        <v>170</v>
      </c>
      <c r="I23" s="129" t="str">
        <f>'SAF 011 - NECESIDAD TRIMESTRAL'!F54</f>
        <v>BIDON</v>
      </c>
      <c r="J23" s="130">
        <f>'SAF 011 - NECESIDAD TRIMESTRAL'!H54</f>
        <v>11620</v>
      </c>
      <c r="K23" s="131" t="e">
        <f>'SAF 011 - NECESIDAD TRIMESTRAL'!#REF!</f>
        <v>#REF!</v>
      </c>
    </row>
    <row r="24" spans="1:11" s="106" customFormat="1" ht="15.75" customHeight="1" x14ac:dyDescent="0.25">
      <c r="A24" s="127">
        <v>13</v>
      </c>
      <c r="B24" s="128"/>
      <c r="C24" s="172" t="str">
        <f>'SAF 011 - NECESIDAD TRIMESTRAL'!E57</f>
        <v>CK-MB CONTROL 3 NIVELES 3x3 Tipo WIENER</v>
      </c>
      <c r="D24" s="173"/>
      <c r="E24" s="173"/>
      <c r="F24" s="173"/>
      <c r="G24" s="174"/>
      <c r="H24" s="128" t="s">
        <v>170</v>
      </c>
      <c r="I24" s="129" t="str">
        <f>'SAF 011 - NECESIDAD TRIMESTRAL'!F57</f>
        <v>CAJA</v>
      </c>
      <c r="J24" s="130">
        <f>'SAF 011 - NECESIDAD TRIMESTRAL'!H57</f>
        <v>5927</v>
      </c>
      <c r="K24" s="131" t="e">
        <f>'SAF 011 - NECESIDAD TRIMESTRAL'!#REF!</f>
        <v>#REF!</v>
      </c>
    </row>
    <row r="25" spans="1:11" s="106" customFormat="1" ht="15.75" customHeight="1" x14ac:dyDescent="0.25">
      <c r="A25" s="127">
        <v>14</v>
      </c>
      <c r="B25" s="128"/>
      <c r="C25" s="172" t="str">
        <f>'SAF 011 - NECESIDAD TRIMESTRAL'!E58</f>
        <v>CK-MB NAC UV UNITEST 19 DET x 2,5-ICONTROL Tipo WIENER</v>
      </c>
      <c r="D25" s="173"/>
      <c r="E25" s="173"/>
      <c r="F25" s="173"/>
      <c r="G25" s="174"/>
      <c r="H25" s="128" t="s">
        <v>170</v>
      </c>
      <c r="I25" s="129" t="str">
        <f>'SAF 011 - NECESIDAD TRIMESTRAL'!F58</f>
        <v>UNIDAD</v>
      </c>
      <c r="J25" s="130">
        <f>'SAF 011 - NECESIDAD TRIMESTRAL'!H58</f>
        <v>19623</v>
      </c>
      <c r="K25" s="131" t="e">
        <f>'SAF 011 - NECESIDAD TRIMESTRAL'!#REF!</f>
        <v>#REF!</v>
      </c>
    </row>
    <row r="26" spans="1:11" s="106" customFormat="1" ht="15.75" customHeight="1" x14ac:dyDescent="0.25">
      <c r="A26" s="127">
        <v>15</v>
      </c>
      <c r="B26" s="128"/>
      <c r="C26" s="172" t="str">
        <f>'SAF 011 - NECESIDAD TRIMESTRAL'!E59</f>
        <v>CK-NAC UV AA liquida 120 ML Tipo WIENER</v>
      </c>
      <c r="D26" s="173"/>
      <c r="E26" s="173"/>
      <c r="F26" s="173"/>
      <c r="G26" s="174"/>
      <c r="H26" s="128" t="s">
        <v>170</v>
      </c>
      <c r="I26" s="129" t="str">
        <f>'SAF 011 - NECESIDAD TRIMESTRAL'!F59</f>
        <v>UNIDAD</v>
      </c>
      <c r="J26" s="130">
        <f>'SAF 011 - NECESIDAD TRIMESTRAL'!H59</f>
        <v>15166</v>
      </c>
      <c r="K26" s="131" t="e">
        <f>'SAF 011 - NECESIDAD TRIMESTRAL'!#REF!</f>
        <v>#REF!</v>
      </c>
    </row>
    <row r="27" spans="1:11" s="106" customFormat="1" ht="15.75" customHeight="1" x14ac:dyDescent="0.25">
      <c r="A27" s="127">
        <v>16</v>
      </c>
      <c r="B27" s="128"/>
      <c r="C27" s="172" t="str">
        <f>'SAF 011 - NECESIDAD TRIMESTRAL'!E60</f>
        <v>CK-NAC UV unitest 50 ML (20x2,5 ML) Tipo WIENER</v>
      </c>
      <c r="D27" s="173"/>
      <c r="E27" s="173"/>
      <c r="F27" s="173"/>
      <c r="G27" s="174"/>
      <c r="H27" s="128" t="s">
        <v>170</v>
      </c>
      <c r="I27" s="129" t="str">
        <f>'SAF 011 - NECESIDAD TRIMESTRAL'!F60</f>
        <v>UNIDAD</v>
      </c>
      <c r="J27" s="130">
        <f>'SAF 011 - NECESIDAD TRIMESTRAL'!H60</f>
        <v>9191</v>
      </c>
      <c r="K27" s="131" t="e">
        <f>'SAF 011 - NECESIDAD TRIMESTRAL'!#REF!</f>
        <v>#REF!</v>
      </c>
    </row>
    <row r="28" spans="1:11" s="106" customFormat="1" ht="15.75" customHeight="1" x14ac:dyDescent="0.25">
      <c r="A28" s="127">
        <v>17</v>
      </c>
      <c r="B28" s="128"/>
      <c r="C28" s="172" t="str">
        <f>'SAF 011 - NECESIDAD TRIMESTRAL'!E62</f>
        <v>CMV G x 60dets. MINIVIDAS BIOMERIEUX</v>
      </c>
      <c r="D28" s="173"/>
      <c r="E28" s="173"/>
      <c r="F28" s="173"/>
      <c r="G28" s="174"/>
      <c r="H28" s="128" t="s">
        <v>170</v>
      </c>
      <c r="I28" s="129" t="str">
        <f>'SAF 011 - NECESIDAD TRIMESTRAL'!F62</f>
        <v>CAJA</v>
      </c>
      <c r="J28" s="130">
        <f>'SAF 011 - NECESIDAD TRIMESTRAL'!H62</f>
        <v>40594</v>
      </c>
      <c r="K28" s="131" t="e">
        <f>'SAF 011 - NECESIDAD TRIMESTRAL'!#REF!</f>
        <v>#REF!</v>
      </c>
    </row>
    <row r="29" spans="1:11" s="106" customFormat="1" ht="15.75" customHeight="1" x14ac:dyDescent="0.25">
      <c r="A29" s="127">
        <v>18</v>
      </c>
      <c r="B29" s="128"/>
      <c r="C29" s="172" t="str">
        <f>'SAF 011 - NECESIDAD TRIMESTRAL'!E63</f>
        <v>CMV M x 60dets.  MINIVIDAS BIOMERIEUX</v>
      </c>
      <c r="D29" s="173"/>
      <c r="E29" s="173"/>
      <c r="F29" s="173"/>
      <c r="G29" s="174"/>
      <c r="H29" s="128" t="s">
        <v>170</v>
      </c>
      <c r="I29" s="129" t="str">
        <f>'SAF 011 - NECESIDAD TRIMESTRAL'!F63</f>
        <v>CAJA</v>
      </c>
      <c r="J29" s="130">
        <f>'SAF 011 - NECESIDAD TRIMESTRAL'!H63</f>
        <v>37558</v>
      </c>
      <c r="K29" s="131" t="e">
        <f>'SAF 011 - NECESIDAD TRIMESTRAL'!#REF!</f>
        <v>#REF!</v>
      </c>
    </row>
    <row r="30" spans="1:11" s="106" customFormat="1" ht="15.75" customHeight="1" x14ac:dyDescent="0.25">
      <c r="A30" s="127">
        <v>19</v>
      </c>
      <c r="B30" s="128"/>
      <c r="C30" s="172" t="str">
        <f>'SAF 011 - NECESIDAD TRIMESTRAL'!E66</f>
        <v>COLESTEROL 2 X 500 ML TIPO WIENER</v>
      </c>
      <c r="D30" s="173"/>
      <c r="E30" s="173"/>
      <c r="F30" s="173"/>
      <c r="G30" s="174"/>
      <c r="H30" s="128" t="s">
        <v>170</v>
      </c>
      <c r="I30" s="129" t="str">
        <f>'SAF 011 - NECESIDAD TRIMESTRAL'!F66</f>
        <v xml:space="preserve">BOTELLA </v>
      </c>
      <c r="J30" s="130">
        <f>'SAF 011 - NECESIDAD TRIMESTRAL'!H66</f>
        <v>11564</v>
      </c>
      <c r="K30" s="131" t="e">
        <f>'SAF 011 - NECESIDAD TRIMESTRAL'!#REF!</f>
        <v>#REF!</v>
      </c>
    </row>
    <row r="31" spans="1:11" s="106" customFormat="1" ht="15.75" customHeight="1" x14ac:dyDescent="0.25">
      <c r="A31" s="127">
        <v>20</v>
      </c>
      <c r="B31" s="128"/>
      <c r="C31" s="172" t="str">
        <f>'SAF 011 - NECESIDAD TRIMESTRAL'!E67</f>
        <v>COLINESTERASA AA 78 ML Tipo WIENER</v>
      </c>
      <c r="D31" s="173"/>
      <c r="E31" s="173"/>
      <c r="F31" s="173"/>
      <c r="G31" s="174"/>
      <c r="H31" s="128" t="s">
        <v>170</v>
      </c>
      <c r="I31" s="129" t="str">
        <f>'SAF 011 - NECESIDAD TRIMESTRAL'!F67</f>
        <v>UNIDAD</v>
      </c>
      <c r="J31" s="130">
        <f>'SAF 011 - NECESIDAD TRIMESTRAL'!H67</f>
        <v>15800</v>
      </c>
      <c r="K31" s="131" t="e">
        <f>'SAF 011 - NECESIDAD TRIMESTRAL'!#REF!</f>
        <v>#REF!</v>
      </c>
    </row>
    <row r="32" spans="1:11" s="106" customFormat="1" ht="15.75" customHeight="1" x14ac:dyDescent="0.25">
      <c r="A32" s="127">
        <v>21</v>
      </c>
      <c r="B32" s="128"/>
      <c r="C32" s="172" t="str">
        <f>'SAF 011 - NECESIDAD TRIMESTRAL'!E68</f>
        <v>CONTROL DE HEMATOLOGIA PARA SYSMEX</v>
      </c>
      <c r="D32" s="173"/>
      <c r="E32" s="173"/>
      <c r="F32" s="173"/>
      <c r="G32" s="174"/>
      <c r="H32" s="128" t="s">
        <v>170</v>
      </c>
      <c r="I32" s="129" t="str">
        <f>'SAF 011 - NECESIDAD TRIMESTRAL'!F68</f>
        <v>CAJA</v>
      </c>
      <c r="J32" s="130">
        <f>'SAF 011 - NECESIDAD TRIMESTRAL'!H68</f>
        <v>17075</v>
      </c>
      <c r="K32" s="131" t="e">
        <f>'SAF 011 - NECESIDAD TRIMESTRAL'!#REF!</f>
        <v>#REF!</v>
      </c>
    </row>
    <row r="33" spans="1:11" s="106" customFormat="1" ht="15.75" customHeight="1" x14ac:dyDescent="0.25">
      <c r="A33" s="127">
        <v>22</v>
      </c>
      <c r="B33" s="128"/>
      <c r="C33" s="172" t="str">
        <f>'SAF 011 - NECESIDAD TRIMESTRAL'!E69</f>
        <v xml:space="preserve">CONTROL LIQUIDO TRI-NIVEL, OPTI CHECK, OSMETECH </v>
      </c>
      <c r="D33" s="173"/>
      <c r="E33" s="173"/>
      <c r="F33" s="173"/>
      <c r="G33" s="174"/>
      <c r="H33" s="128" t="s">
        <v>170</v>
      </c>
      <c r="I33" s="129" t="str">
        <f>'SAF 011 - NECESIDAD TRIMESTRAL'!F69</f>
        <v>CAJA</v>
      </c>
      <c r="J33" s="130">
        <f>'SAF 011 - NECESIDAD TRIMESTRAL'!H69</f>
        <v>40770</v>
      </c>
      <c r="K33" s="131" t="e">
        <f>'SAF 011 - NECESIDAD TRIMESTRAL'!#REF!</f>
        <v>#REF!</v>
      </c>
    </row>
    <row r="34" spans="1:11" s="106" customFormat="1" ht="15.75" customHeight="1" x14ac:dyDescent="0.25">
      <c r="A34" s="127">
        <v>23</v>
      </c>
      <c r="B34" s="128"/>
      <c r="C34" s="172" t="str">
        <f>'SAF 011 - NECESIDAD TRIMESTRAL'!E70</f>
        <v>DETERGENTE CONCENTRADO (CD80)</v>
      </c>
      <c r="D34" s="173"/>
      <c r="E34" s="173"/>
      <c r="F34" s="173"/>
      <c r="G34" s="174"/>
      <c r="H34" s="128" t="s">
        <v>170</v>
      </c>
      <c r="I34" s="129" t="str">
        <f>'SAF 011 - NECESIDAD TRIMESTRAL'!F70</f>
        <v>UNIDAD</v>
      </c>
      <c r="J34" s="130">
        <f>'SAF 011 - NECESIDAD TRIMESTRAL'!H70</f>
        <v>39210</v>
      </c>
      <c r="K34" s="131" t="e">
        <f>'SAF 011 - NECESIDAD TRIMESTRAL'!#REF!</f>
        <v>#REF!</v>
      </c>
    </row>
    <row r="35" spans="1:11" s="106" customFormat="1" ht="15.75" customHeight="1" x14ac:dyDescent="0.25">
      <c r="A35" s="127">
        <v>24</v>
      </c>
      <c r="B35" s="128"/>
      <c r="C35" s="172" t="str">
        <f>'SAF 011 - NECESIDAD TRIMESTRAL'!E71</f>
        <v>DETERGENTE NO IONICO X 500 ML TIPO WIENER</v>
      </c>
      <c r="D35" s="173"/>
      <c r="E35" s="173"/>
      <c r="F35" s="173"/>
      <c r="G35" s="174"/>
      <c r="H35" s="128" t="s">
        <v>170</v>
      </c>
      <c r="I35" s="129" t="str">
        <f>'SAF 011 - NECESIDAD TRIMESTRAL'!F71</f>
        <v>BOTELLA</v>
      </c>
      <c r="J35" s="130">
        <f>'SAF 011 - NECESIDAD TRIMESTRAL'!H71</f>
        <v>16800</v>
      </c>
      <c r="K35" s="131" t="e">
        <f>'SAF 011 - NECESIDAD TRIMESTRAL'!#REF!</f>
        <v>#REF!</v>
      </c>
    </row>
    <row r="36" spans="1:11" s="106" customFormat="1" ht="15.75" customHeight="1" x14ac:dyDescent="0.25">
      <c r="A36" s="127">
        <v>25</v>
      </c>
      <c r="B36" s="128"/>
      <c r="C36" s="172" t="str">
        <f>'SAF 011 - NECESIDAD TRIMESTRAL'!E76</f>
        <v>DIESTRO TRILEVEL</v>
      </c>
      <c r="D36" s="173"/>
      <c r="E36" s="173"/>
      <c r="F36" s="173"/>
      <c r="G36" s="174"/>
      <c r="H36" s="128" t="s">
        <v>170</v>
      </c>
      <c r="I36" s="129" t="str">
        <f>'SAF 011 - NECESIDAD TRIMESTRAL'!F76</f>
        <v>CAJA</v>
      </c>
      <c r="J36" s="130">
        <f>'SAF 011 - NECESIDAD TRIMESTRAL'!H76</f>
        <v>53980</v>
      </c>
      <c r="K36" s="131" t="e">
        <f>'SAF 011 - NECESIDAD TRIMESTRAL'!#REF!</f>
        <v>#REF!</v>
      </c>
    </row>
    <row r="37" spans="1:11" s="106" customFormat="1" ht="15.75" customHeight="1" x14ac:dyDescent="0.25">
      <c r="A37" s="127">
        <v>26</v>
      </c>
      <c r="B37" s="128"/>
      <c r="C37" s="172" t="str">
        <f>'SAF 011 - NECESIDAD TRIMESTRAL'!E82</f>
        <v xml:space="preserve">FORMOL X 1 L TIPO BIOPUR </v>
      </c>
      <c r="D37" s="173"/>
      <c r="E37" s="173"/>
      <c r="F37" s="173"/>
      <c r="G37" s="174"/>
      <c r="H37" s="128" t="s">
        <v>170</v>
      </c>
      <c r="I37" s="129" t="str">
        <f>'SAF 011 - NECESIDAD TRIMESTRAL'!F82</f>
        <v>UNIDAD</v>
      </c>
      <c r="J37" s="130">
        <f>'SAF 011 - NECESIDAD TRIMESTRAL'!H82</f>
        <v>6500</v>
      </c>
      <c r="K37" s="131" t="e">
        <f>'SAF 011 - NECESIDAD TRIMESTRAL'!#REF!</f>
        <v>#REF!</v>
      </c>
    </row>
    <row r="38" spans="1:11" s="106" customFormat="1" ht="15.75" customHeight="1" x14ac:dyDescent="0.25">
      <c r="A38" s="127">
        <v>27</v>
      </c>
      <c r="B38" s="128"/>
      <c r="C38" s="172" t="str">
        <f>'SAF 011 - NECESIDAD TRIMESTRAL'!E83</f>
        <v>FOSFATASA ALCALINA Optimizada 200 DET. Tipo WIENER</v>
      </c>
      <c r="D38" s="173"/>
      <c r="E38" s="173"/>
      <c r="F38" s="173"/>
      <c r="G38" s="174"/>
      <c r="H38" s="128" t="s">
        <v>170</v>
      </c>
      <c r="I38" s="129" t="str">
        <f>'SAF 011 - NECESIDAD TRIMESTRAL'!F83</f>
        <v>CAJA</v>
      </c>
      <c r="J38" s="130">
        <f>'SAF 011 - NECESIDAD TRIMESTRAL'!H83</f>
        <v>7300</v>
      </c>
      <c r="K38" s="131" t="e">
        <f>'SAF 011 - NECESIDAD TRIMESTRAL'!#REF!</f>
        <v>#REF!</v>
      </c>
    </row>
    <row r="39" spans="1:11" s="106" customFormat="1" ht="15.75" customHeight="1" x14ac:dyDescent="0.25">
      <c r="A39" s="127">
        <v>28</v>
      </c>
      <c r="B39" s="128"/>
      <c r="C39" s="172" t="str">
        <f>'SAF 011 - NECESIDAD TRIMESTRAL'!E84</f>
        <v>GAMMA G-test CINETICA AA  Tipo WIENER</v>
      </c>
      <c r="D39" s="173"/>
      <c r="E39" s="173"/>
      <c r="F39" s="173"/>
      <c r="G39" s="174"/>
      <c r="H39" s="128" t="s">
        <v>170</v>
      </c>
      <c r="I39" s="129" t="str">
        <f>'SAF 011 - NECESIDAD TRIMESTRAL'!F84</f>
        <v>CAJA</v>
      </c>
      <c r="J39" s="130">
        <f>'SAF 011 - NECESIDAD TRIMESTRAL'!H84</f>
        <v>5896</v>
      </c>
      <c r="K39" s="131" t="e">
        <f>'SAF 011 - NECESIDAD TRIMESTRAL'!#REF!</f>
        <v>#REF!</v>
      </c>
    </row>
    <row r="40" spans="1:11" s="106" customFormat="1" ht="15.75" customHeight="1" x14ac:dyDescent="0.25">
      <c r="A40" s="127">
        <v>29</v>
      </c>
      <c r="B40" s="128"/>
      <c r="C40" s="172" t="str">
        <f>'SAF 011 - NECESIDAD TRIMESTRAL'!E85</f>
        <v>g-G-test CINETICA AA LIQUIDA 100 ML Tipo WIENER</v>
      </c>
      <c r="D40" s="173"/>
      <c r="E40" s="173"/>
      <c r="F40" s="173"/>
      <c r="G40" s="174"/>
      <c r="H40" s="128" t="s">
        <v>170</v>
      </c>
      <c r="I40" s="129" t="str">
        <f>'SAF 011 - NECESIDAD TRIMESTRAL'!F85</f>
        <v xml:space="preserve">CAJA </v>
      </c>
      <c r="J40" s="130">
        <f>'SAF 011 - NECESIDAD TRIMESTRAL'!H85</f>
        <v>4896</v>
      </c>
      <c r="K40" s="131" t="e">
        <f>'SAF 011 - NECESIDAD TRIMESTRAL'!#REF!</f>
        <v>#REF!</v>
      </c>
    </row>
    <row r="41" spans="1:11" s="106" customFormat="1" ht="15.75" customHeight="1" x14ac:dyDescent="0.25">
      <c r="A41" s="127">
        <v>30</v>
      </c>
      <c r="B41" s="128"/>
      <c r="C41" s="172" t="str">
        <f>'SAF 011 - NECESIDAD TRIMESTRAL'!E86</f>
        <v>GLUCOCURVE SDA 75 GR X 10 SOBRES  Tipo GLUCOCURVE</v>
      </c>
      <c r="D41" s="173"/>
      <c r="E41" s="173"/>
      <c r="F41" s="173"/>
      <c r="G41" s="174"/>
      <c r="H41" s="128" t="s">
        <v>170</v>
      </c>
      <c r="I41" s="129" t="str">
        <f>'SAF 011 - NECESIDAD TRIMESTRAL'!F86</f>
        <v>CAJA</v>
      </c>
      <c r="J41" s="130">
        <f>'SAF 011 - NECESIDAD TRIMESTRAL'!H86</f>
        <v>993</v>
      </c>
      <c r="K41" s="131" t="e">
        <f>'SAF 011 - NECESIDAD TRIMESTRAL'!#REF!</f>
        <v>#REF!</v>
      </c>
    </row>
    <row r="42" spans="1:11" s="106" customFormat="1" ht="15.75" customHeight="1" x14ac:dyDescent="0.25">
      <c r="A42" s="127">
        <v>31</v>
      </c>
      <c r="B42" s="128"/>
      <c r="C42" s="172" t="str">
        <f>'SAF 011 - NECESIDAD TRIMESTRAL'!E87</f>
        <v>GOT (AST) UV AA liquida 200 ML Tipo WIENER</v>
      </c>
      <c r="D42" s="173"/>
      <c r="E42" s="173"/>
      <c r="F42" s="173"/>
      <c r="G42" s="174"/>
      <c r="H42" s="128" t="s">
        <v>170</v>
      </c>
      <c r="I42" s="129" t="str">
        <f>'SAF 011 - NECESIDAD TRIMESTRAL'!F87</f>
        <v>CAJA</v>
      </c>
      <c r="J42" s="130">
        <f>'SAF 011 - NECESIDAD TRIMESTRAL'!H87</f>
        <v>7268</v>
      </c>
      <c r="K42" s="131" t="e">
        <f>'SAF 011 - NECESIDAD TRIMESTRAL'!#REF!</f>
        <v>#REF!</v>
      </c>
    </row>
    <row r="43" spans="1:11" s="106" customFormat="1" ht="15.75" customHeight="1" x14ac:dyDescent="0.25">
      <c r="A43" s="127">
        <v>32</v>
      </c>
      <c r="B43" s="128"/>
      <c r="C43" s="172" t="str">
        <f>'SAF 011 - NECESIDAD TRIMESTRAL'!E88</f>
        <v>GPT (ALT) UV AA liquida 200 ML Tipo WIENER</v>
      </c>
      <c r="D43" s="173"/>
      <c r="E43" s="173"/>
      <c r="F43" s="173"/>
      <c r="G43" s="174"/>
      <c r="H43" s="128" t="s">
        <v>170</v>
      </c>
      <c r="I43" s="129" t="str">
        <f>'SAF 011 - NECESIDAD TRIMESTRAL'!F88</f>
        <v>CAJA</v>
      </c>
      <c r="J43" s="130">
        <f>'SAF 011 - NECESIDAD TRIMESTRAL'!H88</f>
        <v>7268</v>
      </c>
      <c r="K43" s="131" t="e">
        <f>'SAF 011 - NECESIDAD TRIMESTRAL'!#REF!</f>
        <v>#REF!</v>
      </c>
    </row>
    <row r="44" spans="1:11" s="106" customFormat="1" ht="15.75" customHeight="1" x14ac:dyDescent="0.25">
      <c r="A44" s="127">
        <v>33</v>
      </c>
      <c r="B44" s="128"/>
      <c r="C44" s="172" t="str">
        <f>'SAF 011 - NECESIDAD TRIMESTRAL'!E89</f>
        <v>HDL COLESTEROL MONOFASE AA PLUS C/CALIBRADOR 60 ML+20 ML (200 D.X0,4 M.) Tipo WIENER</v>
      </c>
      <c r="D44" s="173"/>
      <c r="E44" s="173"/>
      <c r="F44" s="173"/>
      <c r="G44" s="174"/>
      <c r="H44" s="128" t="s">
        <v>170</v>
      </c>
      <c r="I44" s="129" t="str">
        <f>'SAF 011 - NECESIDAD TRIMESTRAL'!F89</f>
        <v>UNIDAD</v>
      </c>
      <c r="J44" s="130">
        <f>'SAF 011 - NECESIDAD TRIMESTRAL'!H89</f>
        <v>16886</v>
      </c>
      <c r="K44" s="131" t="e">
        <f>'SAF 011 - NECESIDAD TRIMESTRAL'!#REF!</f>
        <v>#REF!</v>
      </c>
    </row>
    <row r="45" spans="1:11" s="106" customFormat="1" ht="15.75" customHeight="1" x14ac:dyDescent="0.25">
      <c r="A45" s="127">
        <v>34</v>
      </c>
      <c r="B45" s="128"/>
      <c r="C45" s="172" t="str">
        <f>'SAF 011 - NECESIDAD TRIMESTRAL'!E90</f>
        <v>HEPATITIS B AG SUPERFICIE HBsAG ELISA X 96 DETERMINACIONES Tipo WIENER</v>
      </c>
      <c r="D45" s="173"/>
      <c r="E45" s="173"/>
      <c r="F45" s="173"/>
      <c r="G45" s="174"/>
      <c r="H45" s="128" t="s">
        <v>170</v>
      </c>
      <c r="I45" s="129" t="str">
        <f>'SAF 011 - NECESIDAD TRIMESTRAL'!F90</f>
        <v>CAJA</v>
      </c>
      <c r="J45" s="130">
        <f>'SAF 011 - NECESIDAD TRIMESTRAL'!H90</f>
        <v>23878</v>
      </c>
      <c r="K45" s="131" t="e">
        <f>'SAF 011 - NECESIDAD TRIMESTRAL'!#REF!</f>
        <v>#REF!</v>
      </c>
    </row>
    <row r="46" spans="1:11" s="106" customFormat="1" ht="15.75" customHeight="1" x14ac:dyDescent="0.25">
      <c r="A46" s="127">
        <v>35</v>
      </c>
      <c r="B46" s="128"/>
      <c r="C46" s="172" t="str">
        <f>'SAF 011 - NECESIDAD TRIMESTRAL'!E99</f>
        <v>KingFisher 96 tip comb for deep-well magnets, 10x10 pcs/box (for Flex, Apex ande Presto)</v>
      </c>
      <c r="D46" s="173"/>
      <c r="E46" s="173"/>
      <c r="F46" s="173"/>
      <c r="G46" s="174"/>
      <c r="H46" s="128" t="s">
        <v>170</v>
      </c>
      <c r="I46" s="129" t="str">
        <f>'SAF 011 - NECESIDAD TRIMESTRAL'!F99</f>
        <v>UNIDAD</v>
      </c>
      <c r="J46" s="130">
        <f>'SAF 011 - NECESIDAD TRIMESTRAL'!H99</f>
        <v>190000</v>
      </c>
      <c r="K46" s="131" t="e">
        <f>'SAF 011 - NECESIDAD TRIMESTRAL'!#REF!</f>
        <v>#REF!</v>
      </c>
    </row>
    <row r="47" spans="1:11" s="106" customFormat="1" ht="15.75" customHeight="1" x14ac:dyDescent="0.25">
      <c r="A47" s="127">
        <v>36</v>
      </c>
      <c r="B47" s="128"/>
      <c r="C47" s="172" t="str">
        <f>'SAF 011 - NECESIDAD TRIMESTRAL'!E100</f>
        <v xml:space="preserve">KingFisher Plastic Consumables for SARS-COV2 Testing </v>
      </c>
      <c r="D47" s="173"/>
      <c r="E47" s="173"/>
      <c r="F47" s="173"/>
      <c r="G47" s="174"/>
      <c r="H47" s="128" t="s">
        <v>170</v>
      </c>
      <c r="I47" s="129" t="str">
        <f>'SAF 011 - NECESIDAD TRIMESTRAL'!F100</f>
        <v>UNIDAD</v>
      </c>
      <c r="J47" s="130">
        <f>'SAF 011 - NECESIDAD TRIMESTRAL'!H100</f>
        <v>97000</v>
      </c>
      <c r="K47" s="131" t="e">
        <f>'SAF 011 - NECESIDAD TRIMESTRAL'!#REF!</f>
        <v>#REF!</v>
      </c>
    </row>
    <row r="48" spans="1:11" s="106" customFormat="1" ht="15.75" customHeight="1" x14ac:dyDescent="0.25">
      <c r="A48" s="127">
        <v>37</v>
      </c>
      <c r="B48" s="128"/>
      <c r="C48" s="172" t="str">
        <f>'SAF 011 - NECESIDAD TRIMESTRAL'!E101</f>
        <v>KingFisher TM Plastic for standard and PCR format</v>
      </c>
      <c r="D48" s="173"/>
      <c r="E48" s="173"/>
      <c r="F48" s="173"/>
      <c r="G48" s="174"/>
      <c r="H48" s="128" t="s">
        <v>170</v>
      </c>
      <c r="I48" s="129" t="str">
        <f>'SAF 011 - NECESIDAD TRIMESTRAL'!F101</f>
        <v>UNIDAD</v>
      </c>
      <c r="J48" s="130">
        <f>'SAF 011 - NECESIDAD TRIMESTRAL'!H101</f>
        <v>56000</v>
      </c>
      <c r="K48" s="131" t="e">
        <f>'SAF 011 - NECESIDAD TRIMESTRAL'!#REF!</f>
        <v>#REF!</v>
      </c>
    </row>
    <row r="49" spans="1:11" s="106" customFormat="1" ht="15.75" customHeight="1" x14ac:dyDescent="0.25">
      <c r="A49" s="127">
        <v>38</v>
      </c>
      <c r="B49" s="128"/>
      <c r="C49" s="172" t="str">
        <f>'SAF 011 - NECESIDAD TRIMESTRAL'!E104</f>
        <v>LDH-P UV AA liquida 100 ML Tipo WIENER</v>
      </c>
      <c r="D49" s="173"/>
      <c r="E49" s="173"/>
      <c r="F49" s="173"/>
      <c r="G49" s="174"/>
      <c r="H49" s="128" t="s">
        <v>170</v>
      </c>
      <c r="I49" s="129" t="str">
        <f>'SAF 011 - NECESIDAD TRIMESTRAL'!F104</f>
        <v>CAJA</v>
      </c>
      <c r="J49" s="130">
        <f>'SAF 011 - NECESIDAD TRIMESTRAL'!H104</f>
        <v>5154</v>
      </c>
      <c r="K49" s="131" t="e">
        <f>'SAF 011 - NECESIDAD TRIMESTRAL'!#REF!</f>
        <v>#REF!</v>
      </c>
    </row>
    <row r="50" spans="1:11" s="106" customFormat="1" ht="15.75" customHeight="1" x14ac:dyDescent="0.25">
      <c r="A50" s="127">
        <v>39</v>
      </c>
      <c r="B50" s="128"/>
      <c r="C50" s="172" t="str">
        <f>'SAF 011 - NECESIDAD TRIMESTRAL'!E105</f>
        <v xml:space="preserve">LDL COLESTEROL REACTIVO PRECIPITANTE TIPO WIENER </v>
      </c>
      <c r="D50" s="173"/>
      <c r="E50" s="173"/>
      <c r="F50" s="173"/>
      <c r="G50" s="174"/>
      <c r="H50" s="128" t="s">
        <v>170</v>
      </c>
      <c r="I50" s="129" t="str">
        <f>'SAF 011 - NECESIDAD TRIMESTRAL'!F105</f>
        <v>CAJA</v>
      </c>
      <c r="J50" s="130">
        <f>'SAF 011 - NECESIDAD TRIMESTRAL'!H105</f>
        <v>5592</v>
      </c>
      <c r="K50" s="131" t="e">
        <f>'SAF 011 - NECESIDAD TRIMESTRAL'!#REF!</f>
        <v>#REF!</v>
      </c>
    </row>
    <row r="51" spans="1:11" s="106" customFormat="1" ht="15.75" customHeight="1" x14ac:dyDescent="0.25">
      <c r="A51" s="127">
        <v>40</v>
      </c>
      <c r="B51" s="128"/>
      <c r="C51" s="172" t="str">
        <f>'SAF 011 - NECESIDAD TRIMESTRAL'!E106</f>
        <v xml:space="preserve">MagMAX TM Viral/Pathogen II (MVP) Nucleic Acid Isolation Kit </v>
      </c>
      <c r="D51" s="173"/>
      <c r="E51" s="173"/>
      <c r="F51" s="173"/>
      <c r="G51" s="174"/>
      <c r="H51" s="128" t="s">
        <v>170</v>
      </c>
      <c r="I51" s="129" t="str">
        <f>'SAF 011 - NECESIDAD TRIMESTRAL'!F106</f>
        <v>UNIDAD</v>
      </c>
      <c r="J51" s="130">
        <f>'SAF 011 - NECESIDAD TRIMESTRAL'!H106</f>
        <v>916000</v>
      </c>
      <c r="K51" s="131" t="e">
        <f>'SAF 011 - NECESIDAD TRIMESTRAL'!#REF!</f>
        <v>#REF!</v>
      </c>
    </row>
    <row r="52" spans="1:11" s="106" customFormat="1" ht="15.75" customHeight="1" x14ac:dyDescent="0.25">
      <c r="A52" s="127">
        <v>41</v>
      </c>
      <c r="B52" s="128"/>
      <c r="C52" s="172" t="str">
        <f>'SAF 011 - NECESIDAD TRIMESTRAL'!E107</f>
        <v>Measle G x 60 dets. MINIVIDAS BIOMERIEUX</v>
      </c>
      <c r="D52" s="173"/>
      <c r="E52" s="173"/>
      <c r="F52" s="173"/>
      <c r="G52" s="174"/>
      <c r="H52" s="128" t="s">
        <v>170</v>
      </c>
      <c r="I52" s="129" t="str">
        <f>'SAF 011 - NECESIDAD TRIMESTRAL'!F107</f>
        <v>CAJA</v>
      </c>
      <c r="J52" s="130">
        <f>'SAF 011 - NECESIDAD TRIMESTRAL'!H107</f>
        <v>67100</v>
      </c>
      <c r="K52" s="131" t="e">
        <f>'SAF 011 - NECESIDAD TRIMESTRAL'!#REF!</f>
        <v>#REF!</v>
      </c>
    </row>
    <row r="53" spans="1:11" s="106" customFormat="1" ht="15.75" customHeight="1" x14ac:dyDescent="0.25">
      <c r="A53" s="127">
        <v>42</v>
      </c>
      <c r="B53" s="128"/>
      <c r="C53" s="172" t="str">
        <f>'SAF 011 - NECESIDAD TRIMESTRAL'!E110</f>
        <v>Mg-color AA tipo WIENER</v>
      </c>
      <c r="D53" s="173"/>
      <c r="E53" s="173"/>
      <c r="F53" s="173"/>
      <c r="G53" s="174"/>
      <c r="H53" s="128" t="s">
        <v>170</v>
      </c>
      <c r="I53" s="129" t="str">
        <f>'SAF 011 - NECESIDAD TRIMESTRAL'!F110</f>
        <v>CAJA</v>
      </c>
      <c r="J53" s="130">
        <f>'SAF 011 - NECESIDAD TRIMESTRAL'!H110</f>
        <v>8932</v>
      </c>
      <c r="K53" s="131" t="e">
        <f>'SAF 011 - NECESIDAD TRIMESTRAL'!#REF!</f>
        <v>#REF!</v>
      </c>
    </row>
    <row r="54" spans="1:11" s="106" customFormat="1" ht="15.75" customHeight="1" x14ac:dyDescent="0.25">
      <c r="A54" s="127">
        <v>43</v>
      </c>
      <c r="B54" s="128"/>
      <c r="C54" s="172" t="str">
        <f>'SAF 011 - NECESIDAD TRIMESTRAL'!E117</f>
        <v xml:space="preserve">Pack DIESTRO </v>
      </c>
      <c r="D54" s="173"/>
      <c r="E54" s="173"/>
      <c r="F54" s="173"/>
      <c r="G54" s="174"/>
      <c r="H54" s="128" t="s">
        <v>170</v>
      </c>
      <c r="I54" s="129" t="str">
        <f>'SAF 011 - NECESIDAD TRIMESTRAL'!F117</f>
        <v>UNIDAD</v>
      </c>
      <c r="J54" s="130">
        <f>'SAF 011 - NECESIDAD TRIMESTRAL'!H117</f>
        <v>26905</v>
      </c>
      <c r="K54" s="131" t="e">
        <f>'SAF 011 - NECESIDAD TRIMESTRAL'!#REF!</f>
        <v>#REF!</v>
      </c>
    </row>
    <row r="55" spans="1:11" s="106" customFormat="1" ht="15.75" customHeight="1" x14ac:dyDescent="0.25">
      <c r="A55" s="127">
        <v>44</v>
      </c>
      <c r="B55" s="128"/>
      <c r="C55" s="172" t="str">
        <f>'SAF 011 - NECESIDAD TRIMESTRAL'!E122</f>
        <v>PCR -latex directo 50 DET. Tipo WIENER</v>
      </c>
      <c r="D55" s="173"/>
      <c r="E55" s="173"/>
      <c r="F55" s="173"/>
      <c r="G55" s="174"/>
      <c r="H55" s="128" t="s">
        <v>170</v>
      </c>
      <c r="I55" s="129" t="str">
        <f>'SAF 011 - NECESIDAD TRIMESTRAL'!F122</f>
        <v>CAJA</v>
      </c>
      <c r="J55" s="130">
        <f>'SAF 011 - NECESIDAD TRIMESTRAL'!H122</f>
        <v>4916</v>
      </c>
      <c r="K55" s="131" t="e">
        <f>'SAF 011 - NECESIDAD TRIMESTRAL'!#REF!</f>
        <v>#REF!</v>
      </c>
    </row>
    <row r="56" spans="1:11" s="106" customFormat="1" ht="15.75" customHeight="1" x14ac:dyDescent="0.25">
      <c r="A56" s="127">
        <v>45</v>
      </c>
      <c r="B56" s="128"/>
      <c r="C56" s="172" t="str">
        <f>'SAF 011 - NECESIDAD TRIMESTRAL'!E128</f>
        <v>PROTI U/LCR CONTROL 2 niveles 2X3 ML Tipo WIENER</v>
      </c>
      <c r="D56" s="173"/>
      <c r="E56" s="173"/>
      <c r="F56" s="173"/>
      <c r="G56" s="174"/>
      <c r="H56" s="128" t="s">
        <v>170</v>
      </c>
      <c r="I56" s="129" t="str">
        <f>'SAF 011 - NECESIDAD TRIMESTRAL'!F128</f>
        <v>CAJA</v>
      </c>
      <c r="J56" s="130">
        <f>'SAF 011 - NECESIDAD TRIMESTRAL'!H128</f>
        <v>1966</v>
      </c>
      <c r="K56" s="131" t="e">
        <f>'SAF 011 - NECESIDAD TRIMESTRAL'!#REF!</f>
        <v>#REF!</v>
      </c>
    </row>
    <row r="57" spans="1:11" s="106" customFormat="1" ht="15.75" customHeight="1" x14ac:dyDescent="0.25">
      <c r="A57" s="127">
        <v>46</v>
      </c>
      <c r="B57" s="128"/>
      <c r="C57" s="172" t="str">
        <f>'SAF 011 - NECESIDAD TRIMESTRAL'!E129</f>
        <v>PROTI U/LCR tipo WIENER</v>
      </c>
      <c r="D57" s="173"/>
      <c r="E57" s="173"/>
      <c r="F57" s="173"/>
      <c r="G57" s="174"/>
      <c r="H57" s="128" t="s">
        <v>170</v>
      </c>
      <c r="I57" s="129" t="str">
        <f>'SAF 011 - NECESIDAD TRIMESTRAL'!F129</f>
        <v>CAJA</v>
      </c>
      <c r="J57" s="130">
        <f>'SAF 011 - NECESIDAD TRIMESTRAL'!H129</f>
        <v>1966</v>
      </c>
      <c r="K57" s="131" t="e">
        <f>'SAF 011 - NECESIDAD TRIMESTRAL'!#REF!</f>
        <v>#REF!</v>
      </c>
    </row>
    <row r="58" spans="1:11" s="106" customFormat="1" ht="15.75" customHeight="1" x14ac:dyDescent="0.25">
      <c r="A58" s="127">
        <v>47</v>
      </c>
      <c r="B58" s="128"/>
      <c r="C58" s="172" t="str">
        <f>'SAF 011 - NECESIDAD TRIMESTRAL'!E133</f>
        <v>Rub G x 60dets. MINIVIDAS BIOMERIEUX</v>
      </c>
      <c r="D58" s="173"/>
      <c r="E58" s="173"/>
      <c r="F58" s="173"/>
      <c r="G58" s="174"/>
      <c r="H58" s="128" t="s">
        <v>170</v>
      </c>
      <c r="I58" s="129" t="str">
        <f>'SAF 011 - NECESIDAD TRIMESTRAL'!F133</f>
        <v>CAJA</v>
      </c>
      <c r="J58" s="130">
        <f>'SAF 011 - NECESIDAD TRIMESTRAL'!H133</f>
        <v>65800</v>
      </c>
      <c r="K58" s="131" t="e">
        <f>'SAF 011 - NECESIDAD TRIMESTRAL'!#REF!</f>
        <v>#REF!</v>
      </c>
    </row>
    <row r="59" spans="1:11" s="106" customFormat="1" ht="15.75" customHeight="1" x14ac:dyDescent="0.25">
      <c r="A59" s="127">
        <v>48</v>
      </c>
      <c r="B59" s="128"/>
      <c r="C59" s="172" t="str">
        <f>'SAF 011 - NECESIDAD TRIMESTRAL'!E134</f>
        <v>Rub M x 60dets. MINIVIDAS BIOMERIEUX</v>
      </c>
      <c r="D59" s="173"/>
      <c r="E59" s="173"/>
      <c r="F59" s="173"/>
      <c r="G59" s="174"/>
      <c r="H59" s="128" t="s">
        <v>170</v>
      </c>
      <c r="I59" s="129" t="str">
        <f>'SAF 011 - NECESIDAD TRIMESTRAL'!F134</f>
        <v>CAJA</v>
      </c>
      <c r="J59" s="130">
        <f>'SAF 011 - NECESIDAD TRIMESTRAL'!H134</f>
        <v>62100</v>
      </c>
      <c r="K59" s="131" t="e">
        <f>'SAF 011 - NECESIDAD TRIMESTRAL'!#REF!</f>
        <v>#REF!</v>
      </c>
    </row>
    <row r="60" spans="1:11" s="106" customFormat="1" ht="15.75" customHeight="1" x14ac:dyDescent="0.25">
      <c r="A60" s="127">
        <v>49</v>
      </c>
      <c r="B60" s="128"/>
      <c r="C60" s="172" t="str">
        <f>'SAF 011 - NECESIDAD TRIMESTRAL'!E140</f>
        <v>SET DE SUSTRATOS II X 1000 DET Tipo TOSOH</v>
      </c>
      <c r="D60" s="173"/>
      <c r="E60" s="173"/>
      <c r="F60" s="173"/>
      <c r="G60" s="174"/>
      <c r="H60" s="128" t="s">
        <v>170</v>
      </c>
      <c r="I60" s="129" t="str">
        <f>'SAF 011 - NECESIDAD TRIMESTRAL'!F140</f>
        <v>UNIDAD</v>
      </c>
      <c r="J60" s="130">
        <f>'SAF 011 - NECESIDAD TRIMESTRAL'!H140</f>
        <v>20292</v>
      </c>
      <c r="K60" s="131" t="e">
        <f>'SAF 011 - NECESIDAD TRIMESTRAL'!#REF!</f>
        <v>#REF!</v>
      </c>
    </row>
    <row r="61" spans="1:11" s="106" customFormat="1" ht="15.75" customHeight="1" x14ac:dyDescent="0.25">
      <c r="A61" s="127">
        <v>50</v>
      </c>
      <c r="B61" s="128"/>
      <c r="C61" s="172" t="str">
        <f>'SAF 011 - NECESIDAD TRIMESTRAL'!E144</f>
        <v>SOLUPLASTIN 10X2 ML 100 DET. Tipo WIENER</v>
      </c>
      <c r="D61" s="173"/>
      <c r="E61" s="173"/>
      <c r="F61" s="173"/>
      <c r="G61" s="174"/>
      <c r="H61" s="128" t="s">
        <v>170</v>
      </c>
      <c r="I61" s="129" t="str">
        <f>'SAF 011 - NECESIDAD TRIMESTRAL'!F144</f>
        <v>CAJA</v>
      </c>
      <c r="J61" s="130">
        <f>'SAF 011 - NECESIDAD TRIMESTRAL'!H144</f>
        <v>6200</v>
      </c>
      <c r="K61" s="131" t="e">
        <f>'SAF 011 - NECESIDAD TRIMESTRAL'!#REF!</f>
        <v>#REF!</v>
      </c>
    </row>
    <row r="62" spans="1:11" s="106" customFormat="1" ht="15.75" customHeight="1" x14ac:dyDescent="0.25">
      <c r="A62" s="127">
        <v>51</v>
      </c>
      <c r="B62" s="128"/>
      <c r="C62" s="172" t="str">
        <f>'SAF 011 - NECESIDAD TRIMESTRAL'!E145</f>
        <v>STANDATROL S-E 2 NIVEL 3 FRASCOS X 5 ML N1+3 FRASCOS Tipo WIENER</v>
      </c>
      <c r="D62" s="173"/>
      <c r="E62" s="173"/>
      <c r="F62" s="173"/>
      <c r="G62" s="174"/>
      <c r="H62" s="128" t="s">
        <v>170</v>
      </c>
      <c r="I62" s="129" t="str">
        <f>'SAF 011 - NECESIDAD TRIMESTRAL'!F145</f>
        <v>CAJA</v>
      </c>
      <c r="J62" s="130">
        <f>'SAF 011 - NECESIDAD TRIMESTRAL'!H145</f>
        <v>15767</v>
      </c>
      <c r="K62" s="131" t="e">
        <f>'SAF 011 - NECESIDAD TRIMESTRAL'!#REF!</f>
        <v>#REF!</v>
      </c>
    </row>
    <row r="63" spans="1:11" s="106" customFormat="1" ht="15.75" customHeight="1" x14ac:dyDescent="0.25">
      <c r="A63" s="127">
        <v>52</v>
      </c>
      <c r="B63" s="128"/>
      <c r="C63" s="172" t="str">
        <f>'SAF 011 - NECESIDAD TRIMESTRAL'!E146</f>
        <v>STROMATOLYSER-WH 500 ML X3 Tipo SYSMEX</v>
      </c>
      <c r="D63" s="173"/>
      <c r="E63" s="173"/>
      <c r="F63" s="173"/>
      <c r="G63" s="174"/>
      <c r="H63" s="128" t="s">
        <v>170</v>
      </c>
      <c r="I63" s="129" t="str">
        <f>'SAF 011 - NECESIDAD TRIMESTRAL'!F146</f>
        <v>CAJA</v>
      </c>
      <c r="J63" s="130">
        <f>'SAF 011 - NECESIDAD TRIMESTRAL'!H146</f>
        <v>14802</v>
      </c>
      <c r="K63" s="131" t="e">
        <f>'SAF 011 - NECESIDAD TRIMESTRAL'!#REF!</f>
        <v>#REF!</v>
      </c>
    </row>
    <row r="64" spans="1:11" s="106" customFormat="1" ht="15.75" customHeight="1" x14ac:dyDescent="0.25">
      <c r="A64" s="127">
        <v>53</v>
      </c>
      <c r="B64" s="128"/>
      <c r="C64" s="172" t="str">
        <f>'SAF 011 - NECESIDAD TRIMESTRAL'!E149</f>
        <v xml:space="preserve">T4L set de calibradores tipo TOSOH </v>
      </c>
      <c r="D64" s="173"/>
      <c r="E64" s="173"/>
      <c r="F64" s="173"/>
      <c r="G64" s="174"/>
      <c r="H64" s="128" t="s">
        <v>170</v>
      </c>
      <c r="I64" s="129" t="str">
        <f>'SAF 011 - NECESIDAD TRIMESTRAL'!F149</f>
        <v>CAJA</v>
      </c>
      <c r="J64" s="130">
        <f>'SAF 011 - NECESIDAD TRIMESTRAL'!H149</f>
        <v>69206</v>
      </c>
      <c r="K64" s="131" t="e">
        <f>'SAF 011 - NECESIDAD TRIMESTRAL'!#REF!</f>
        <v>#REF!</v>
      </c>
    </row>
    <row r="65" spans="1:11" s="106" customFormat="1" ht="15" customHeight="1" x14ac:dyDescent="0.25">
      <c r="A65" s="127">
        <v>54</v>
      </c>
      <c r="B65" s="128"/>
      <c r="C65" s="172" t="str">
        <f>'SAF 011 - NECESIDAD TRIMESTRAL'!E150</f>
        <v>T4L x 100 dets. Tipo TOSOH</v>
      </c>
      <c r="D65" s="173"/>
      <c r="E65" s="173"/>
      <c r="F65" s="173"/>
      <c r="G65" s="174"/>
      <c r="H65" s="128" t="s">
        <v>170</v>
      </c>
      <c r="I65" s="129" t="str">
        <f>'SAF 011 - NECESIDAD TRIMESTRAL'!F150</f>
        <v>CAJA</v>
      </c>
      <c r="J65" s="130">
        <f>'SAF 011 - NECESIDAD TRIMESTRAL'!H150</f>
        <v>38757</v>
      </c>
      <c r="K65" s="131" t="e">
        <f>'SAF 011 - NECESIDAD TRIMESTRAL'!#REF!</f>
        <v>#REF!</v>
      </c>
    </row>
    <row r="66" spans="1:11" s="106" customFormat="1" ht="15.75" customHeight="1" x14ac:dyDescent="0.25">
      <c r="A66" s="127">
        <v>55</v>
      </c>
      <c r="B66" s="128"/>
      <c r="C66" s="172" t="str">
        <f>'SAF 011 - NECESIDAD TRIMESTRAL'!E154</f>
        <v>TG COLOR GPO/PAP AA liquida 400 ML (4X100 ML) Tipo WIENER</v>
      </c>
      <c r="D66" s="173"/>
      <c r="E66" s="173"/>
      <c r="F66" s="173"/>
      <c r="G66" s="174"/>
      <c r="H66" s="128" t="s">
        <v>170</v>
      </c>
      <c r="I66" s="129" t="str">
        <f>'SAF 011 - NECESIDAD TRIMESTRAL'!F154</f>
        <v>CAJA</v>
      </c>
      <c r="J66" s="130">
        <f>'SAF 011 - NECESIDAD TRIMESTRAL'!H154</f>
        <v>12900</v>
      </c>
      <c r="K66" s="131" t="e">
        <f>'SAF 011 - NECESIDAD TRIMESTRAL'!#REF!</f>
        <v>#REF!</v>
      </c>
    </row>
    <row r="67" spans="1:11" s="106" customFormat="1" ht="15.75" customHeight="1" x14ac:dyDescent="0.25">
      <c r="A67" s="127">
        <v>56</v>
      </c>
      <c r="B67" s="128"/>
      <c r="C67" s="172" t="str">
        <f>'SAF 011 - NECESIDAD TRIMESTRAL'!E156</f>
        <v>TOXO AD 96 DET Tipo POLYCHACO</v>
      </c>
      <c r="D67" s="173"/>
      <c r="E67" s="173"/>
      <c r="F67" s="173"/>
      <c r="G67" s="174"/>
      <c r="H67" s="128" t="s">
        <v>170</v>
      </c>
      <c r="I67" s="129" t="str">
        <f>'SAF 011 - NECESIDAD TRIMESTRAL'!F156</f>
        <v xml:space="preserve">CAJA </v>
      </c>
      <c r="J67" s="130">
        <f>'SAF 011 - NECESIDAD TRIMESTRAL'!H156</f>
        <v>50630</v>
      </c>
      <c r="K67" s="131" t="e">
        <f>'SAF 011 - NECESIDAD TRIMESTRAL'!#REF!</f>
        <v>#REF!</v>
      </c>
    </row>
    <row r="68" spans="1:11" s="106" customFormat="1" ht="15.75" customHeight="1" x14ac:dyDescent="0.25">
      <c r="A68" s="127">
        <v>57</v>
      </c>
      <c r="B68" s="128"/>
      <c r="C68" s="172" t="str">
        <f>'SAF 011 - NECESIDAD TRIMESTRAL'!E159</f>
        <v xml:space="preserve">TSH 3ra generacion set de calibradores x 6 niveles tipo TOSOH </v>
      </c>
      <c r="D68" s="173"/>
      <c r="E68" s="173"/>
      <c r="F68" s="173"/>
      <c r="G68" s="174"/>
      <c r="H68" s="128" t="s">
        <v>170</v>
      </c>
      <c r="I68" s="129" t="str">
        <f>'SAF 011 - NECESIDAD TRIMESTRAL'!F159</f>
        <v>CAJA</v>
      </c>
      <c r="J68" s="130">
        <f>'SAF 011 - NECESIDAD TRIMESTRAL'!H159</f>
        <v>56206</v>
      </c>
      <c r="K68" s="131" t="e">
        <f>'SAF 011 - NECESIDAD TRIMESTRAL'!#REF!</f>
        <v>#REF!</v>
      </c>
    </row>
    <row r="69" spans="1:11" s="106" customFormat="1" ht="15.75" customHeight="1" x14ac:dyDescent="0.25">
      <c r="A69" s="127">
        <v>58</v>
      </c>
      <c r="B69" s="128"/>
      <c r="C69" s="172" t="str">
        <f>'SAF 011 - NECESIDAD TRIMESTRAL'!E160</f>
        <v>TSH REACTIVO x 100 dets. Tipo TOSOH</v>
      </c>
      <c r="D69" s="173"/>
      <c r="E69" s="173"/>
      <c r="F69" s="173"/>
      <c r="G69" s="174"/>
      <c r="H69" s="128" t="s">
        <v>170</v>
      </c>
      <c r="I69" s="129" t="str">
        <f>'SAF 011 - NECESIDAD TRIMESTRAL'!F160</f>
        <v>CAJA</v>
      </c>
      <c r="J69" s="130">
        <f>'SAF 011 - NECESIDAD TRIMESTRAL'!H160</f>
        <v>36321</v>
      </c>
      <c r="K69" s="131" t="e">
        <f>'SAF 011 - NECESIDAD TRIMESTRAL'!#REF!</f>
        <v>#REF!</v>
      </c>
    </row>
    <row r="70" spans="1:11" s="106" customFormat="1" ht="15.75" customHeight="1" x14ac:dyDescent="0.25">
      <c r="A70" s="127">
        <v>59</v>
      </c>
      <c r="B70" s="128"/>
      <c r="C70" s="172" t="str">
        <f>'SAF 011 - NECESIDAD TRIMESTRAL'!E161</f>
        <v>TXG x 60 dets. (lgG toxo) MINIVIDAS BIOMERIEUX</v>
      </c>
      <c r="D70" s="173"/>
      <c r="E70" s="173"/>
      <c r="F70" s="173"/>
      <c r="G70" s="174"/>
      <c r="H70" s="128" t="s">
        <v>170</v>
      </c>
      <c r="I70" s="129" t="str">
        <f>'SAF 011 - NECESIDAD TRIMESTRAL'!F161</f>
        <v>CAJA</v>
      </c>
      <c r="J70" s="130">
        <f>'SAF 011 - NECESIDAD TRIMESTRAL'!H161</f>
        <v>39972</v>
      </c>
      <c r="K70" s="131" t="e">
        <f>'SAF 011 - NECESIDAD TRIMESTRAL'!#REF!</f>
        <v>#REF!</v>
      </c>
    </row>
    <row r="71" spans="1:11" s="106" customFormat="1" ht="15.75" customHeight="1" x14ac:dyDescent="0.25">
      <c r="A71" s="127">
        <v>60</v>
      </c>
      <c r="B71" s="128"/>
      <c r="C71" s="172" t="str">
        <f>'SAF 011 - NECESIDAD TRIMESTRAL'!E162</f>
        <v>TXGA x 60 dets. (Avidez toxo) MINIVIDAS BIOMERIEUX</v>
      </c>
      <c r="D71" s="173"/>
      <c r="E71" s="173"/>
      <c r="F71" s="173"/>
      <c r="G71" s="174"/>
      <c r="H71" s="128" t="s">
        <v>170</v>
      </c>
      <c r="I71" s="129" t="str">
        <f>'SAF 011 - NECESIDAD TRIMESTRAL'!F162</f>
        <v>CAJA</v>
      </c>
      <c r="J71" s="130">
        <f>'SAF 011 - NECESIDAD TRIMESTRAL'!H162</f>
        <v>54300</v>
      </c>
      <c r="K71" s="131" t="e">
        <f>'SAF 011 - NECESIDAD TRIMESTRAL'!#REF!</f>
        <v>#REF!</v>
      </c>
    </row>
    <row r="72" spans="1:11" s="106" customFormat="1" ht="15.75" customHeight="1" x14ac:dyDescent="0.25">
      <c r="A72" s="127">
        <v>61</v>
      </c>
      <c r="B72" s="128"/>
      <c r="C72" s="172" t="str">
        <f>'SAF 011 - NECESIDAD TRIMESTRAL'!E163</f>
        <v>TXM x 60 dets. (lgM toxo) MINIVIDAS BIOMERIEUX</v>
      </c>
      <c r="D72" s="173"/>
      <c r="E72" s="173"/>
      <c r="F72" s="173"/>
      <c r="G72" s="174"/>
      <c r="H72" s="128" t="s">
        <v>170</v>
      </c>
      <c r="I72" s="129" t="str">
        <f>'SAF 011 - NECESIDAD TRIMESTRAL'!F163</f>
        <v>CAJA</v>
      </c>
      <c r="J72" s="130">
        <f>'SAF 011 - NECESIDAD TRIMESTRAL'!H163</f>
        <v>45308</v>
      </c>
      <c r="K72" s="131" t="e">
        <f>'SAF 011 - NECESIDAD TRIMESTRAL'!#REF!</f>
        <v>#REF!</v>
      </c>
    </row>
    <row r="73" spans="1:11" s="106" customFormat="1" ht="15.75" customHeight="1" x14ac:dyDescent="0.25">
      <c r="A73" s="127">
        <v>62</v>
      </c>
      <c r="B73" s="128"/>
      <c r="C73" s="172" t="str">
        <f>'SAF 011 - NECESIDAD TRIMESTRAL'!E164</f>
        <v>UREA COLOR 2R 500 DET. Tipo WIENER</v>
      </c>
      <c r="D73" s="173"/>
      <c r="E73" s="173"/>
      <c r="F73" s="173"/>
      <c r="G73" s="174"/>
      <c r="H73" s="128" t="s">
        <v>170</v>
      </c>
      <c r="I73" s="129" t="str">
        <f>'SAF 011 - NECESIDAD TRIMESTRAL'!F164</f>
        <v>UNIDAD</v>
      </c>
      <c r="J73" s="130">
        <f>'SAF 011 - NECESIDAD TRIMESTRAL'!H164</f>
        <v>8333</v>
      </c>
      <c r="K73" s="131" t="e">
        <f>'SAF 011 - NECESIDAD TRIMESTRAL'!#REF!</f>
        <v>#REF!</v>
      </c>
    </row>
    <row r="74" spans="1:11" s="106" customFormat="1" ht="15.75" customHeight="1" x14ac:dyDescent="0.25">
      <c r="A74" s="127">
        <v>63</v>
      </c>
      <c r="B74" s="128"/>
      <c r="C74" s="172" t="str">
        <f>'SAF 011 - NECESIDAD TRIMESTRAL'!E165</f>
        <v>UREA UV CINETICA AA liquida 500 ML Tipo WIENER</v>
      </c>
      <c r="D74" s="173"/>
      <c r="E74" s="173"/>
      <c r="F74" s="173"/>
      <c r="G74" s="174"/>
      <c r="H74" s="128" t="s">
        <v>170</v>
      </c>
      <c r="I74" s="129" t="str">
        <f>'SAF 011 - NECESIDAD TRIMESTRAL'!F165</f>
        <v>UNIDAD</v>
      </c>
      <c r="J74" s="130">
        <f>'SAF 011 - NECESIDAD TRIMESTRAL'!H165</f>
        <v>20320</v>
      </c>
      <c r="K74" s="131" t="e">
        <f>'SAF 011 - NECESIDAD TRIMESTRAL'!#REF!</f>
        <v>#REF!</v>
      </c>
    </row>
    <row r="75" spans="1:11" s="106" customFormat="1" ht="16.5" customHeight="1" x14ac:dyDescent="0.25">
      <c r="A75" s="127">
        <v>64</v>
      </c>
      <c r="B75" s="97"/>
      <c r="C75" s="172" t="str">
        <f>'SAF 011 - NECESIDAD TRIMESTRAL'!E166</f>
        <v>URICOSTAT ENZIMATICO AA liquida 250 ML Tipo WIENER</v>
      </c>
      <c r="D75" s="173"/>
      <c r="E75" s="173"/>
      <c r="F75" s="173"/>
      <c r="G75" s="174"/>
      <c r="H75" s="128" t="s">
        <v>170</v>
      </c>
      <c r="I75" s="107" t="str">
        <f>'SAF 011 - NECESIDAD TRIMESTRAL'!F166</f>
        <v>UNIDAD</v>
      </c>
      <c r="J75" s="108">
        <f>'SAF 011 - NECESIDAD TRIMESTRAL'!H166</f>
        <v>5330</v>
      </c>
      <c r="K75" s="109" t="e">
        <f>'SAF 011 - NECESIDAD TRIMESTRAL'!#REF!</f>
        <v>#REF!</v>
      </c>
    </row>
    <row r="76" spans="1:11" s="106" customFormat="1" ht="16.5" customHeight="1" x14ac:dyDescent="0.25">
      <c r="A76" s="127">
        <v>65</v>
      </c>
      <c r="B76" s="97"/>
      <c r="C76" s="172" t="str">
        <f>'SAF 011 - NECESIDAD TRIMESTRAL'!E167</f>
        <v>V.D.R.L. test 250 DET. Tipo WIENER</v>
      </c>
      <c r="D76" s="173"/>
      <c r="E76" s="173"/>
      <c r="F76" s="173"/>
      <c r="G76" s="174"/>
      <c r="H76" s="128" t="s">
        <v>170</v>
      </c>
      <c r="I76" s="107" t="str">
        <f>'SAF 011 - NECESIDAD TRIMESTRAL'!F167</f>
        <v>CAJA</v>
      </c>
      <c r="J76" s="108">
        <f>'SAF 011 - NECESIDAD TRIMESTRAL'!H167</f>
        <v>2674</v>
      </c>
      <c r="K76" s="109" t="e">
        <f>'SAF 011 - NECESIDAD TRIMESTRAL'!#REF!</f>
        <v>#REF!</v>
      </c>
    </row>
    <row r="77" spans="1:11" s="106" customFormat="1" ht="16.5" customHeight="1" x14ac:dyDescent="0.25">
      <c r="A77" s="127">
        <v>66</v>
      </c>
      <c r="B77" s="97"/>
      <c r="C77" s="172" t="str">
        <f>'SAF 011 - NECESIDAD TRIMESTRAL'!E168</f>
        <v>VIDAS  Anti-Dengue IgM MINIVIDAS BIOMERIEUX</v>
      </c>
      <c r="D77" s="173"/>
      <c r="E77" s="173"/>
      <c r="F77" s="173"/>
      <c r="G77" s="174"/>
      <c r="H77" s="128" t="s">
        <v>170</v>
      </c>
      <c r="I77" s="107" t="str">
        <f>'SAF 011 - NECESIDAD TRIMESTRAL'!F168</f>
        <v>CAJA</v>
      </c>
      <c r="J77" s="108">
        <f>'SAF 011 - NECESIDAD TRIMESTRAL'!H168</f>
        <v>92000</v>
      </c>
      <c r="K77" s="109" t="e">
        <f>'SAF 011 - NECESIDAD TRIMESTRAL'!#REF!</f>
        <v>#REF!</v>
      </c>
    </row>
    <row r="78" spans="1:11" s="106" customFormat="1" ht="16.5" customHeight="1" x14ac:dyDescent="0.25">
      <c r="A78" s="127">
        <v>67</v>
      </c>
      <c r="B78" s="97"/>
      <c r="C78" s="172" t="str">
        <f>'SAF 011 - NECESIDAD TRIMESTRAL'!E169</f>
        <v>VIDAS Anti-Dengue Ig G MINIVIDAS BIOMERIEUX</v>
      </c>
      <c r="D78" s="173"/>
      <c r="E78" s="173"/>
      <c r="F78" s="173"/>
      <c r="G78" s="174"/>
      <c r="H78" s="128" t="s">
        <v>170</v>
      </c>
      <c r="I78" s="132" t="str">
        <f>'SAF 011 - NECESIDAD TRIMESTRAL'!F169</f>
        <v>CAJA</v>
      </c>
      <c r="J78" s="108">
        <f>'SAF 011 - NECESIDAD TRIMESTRAL'!H169</f>
        <v>98000</v>
      </c>
      <c r="K78" s="109" t="e">
        <f>'SAF 011 - NECESIDAD TRIMESTRAL'!#REF!</f>
        <v>#REF!</v>
      </c>
    </row>
    <row r="79" spans="1:11" s="106" customFormat="1" ht="16.5" customHeight="1" x14ac:dyDescent="0.25">
      <c r="A79" s="127">
        <v>68</v>
      </c>
      <c r="B79" s="97"/>
      <c r="C79" s="172" t="str">
        <f>'SAF 011 - NECESIDAD TRIMESTRAL'!E170</f>
        <v>VIDAS DENGUE NS1 Ag MINIVIDAS BIOMERIEUX</v>
      </c>
      <c r="D79" s="173"/>
      <c r="E79" s="173"/>
      <c r="F79" s="173"/>
      <c r="G79" s="174"/>
      <c r="H79" s="128" t="s">
        <v>170</v>
      </c>
      <c r="I79" s="132" t="str">
        <f>'SAF 011 - NECESIDAD TRIMESTRAL'!F170</f>
        <v>CAJA</v>
      </c>
      <c r="J79" s="108">
        <f>'SAF 011 - NECESIDAD TRIMESTRAL'!H170</f>
        <v>83000</v>
      </c>
      <c r="K79" s="109" t="e">
        <f>'SAF 011 - NECESIDAD TRIMESTRAL'!#REF!</f>
        <v>#REF!</v>
      </c>
    </row>
    <row r="80" spans="1:11" s="106" customFormat="1" ht="16.5" customHeight="1" x14ac:dyDescent="0.25">
      <c r="A80" s="127">
        <v>69</v>
      </c>
      <c r="B80" s="97"/>
      <c r="C80" s="172" t="str">
        <f>'SAF 011 - NECESIDAD TRIMESTRAL'!E171</f>
        <v>XS DILUENT (DILUYENTE PARA COUNTER XS20) X 5 LTS Tipo WIENER</v>
      </c>
      <c r="D80" s="173"/>
      <c r="E80" s="173"/>
      <c r="F80" s="173"/>
      <c r="G80" s="174"/>
      <c r="H80" s="128" t="s">
        <v>170</v>
      </c>
      <c r="I80" s="107" t="str">
        <f>'SAF 011 - NECESIDAD TRIMESTRAL'!F171</f>
        <v>BIDON</v>
      </c>
      <c r="J80" s="108">
        <f>'SAF 011 - NECESIDAD TRIMESTRAL'!H171</f>
        <v>4712</v>
      </c>
      <c r="K80" s="109" t="e">
        <f>'SAF 011 - NECESIDAD TRIMESTRAL'!#REF!</f>
        <v>#REF!</v>
      </c>
    </row>
    <row r="81" spans="1:11" s="106" customFormat="1" ht="15.75" customHeight="1" x14ac:dyDescent="0.25">
      <c r="A81" s="127">
        <v>70</v>
      </c>
      <c r="B81" s="97"/>
      <c r="C81" s="172" t="str">
        <f>'SAF 011 - NECESIDAD TRIMESTRAL'!E172</f>
        <v>XS LYSE (LISANTE PARA COUNTER XS 20) x 200 ML Tipo WIENER</v>
      </c>
      <c r="D81" s="173"/>
      <c r="E81" s="173"/>
      <c r="F81" s="173"/>
      <c r="G81" s="174"/>
      <c r="H81" s="128" t="s">
        <v>170</v>
      </c>
      <c r="I81" s="107" t="str">
        <f>'SAF 011 - NECESIDAD TRIMESTRAL'!F172</f>
        <v>BOTELLA</v>
      </c>
      <c r="J81" s="108">
        <f>'SAF 011 - NECESIDAD TRIMESTRAL'!H172</f>
        <v>9540</v>
      </c>
      <c r="K81" s="109" t="e">
        <f>'SAF 011 - NECESIDAD TRIMESTRAL'!#REF!</f>
        <v>#REF!</v>
      </c>
    </row>
    <row r="82" spans="1:11" s="106" customFormat="1" x14ac:dyDescent="0.25">
      <c r="A82" s="59"/>
      <c r="B82" s="97"/>
      <c r="C82" s="178"/>
      <c r="D82" s="178"/>
      <c r="E82" s="178"/>
      <c r="F82" s="178"/>
      <c r="G82" s="178"/>
      <c r="H82" s="97"/>
      <c r="I82" s="107"/>
      <c r="J82" s="108"/>
      <c r="K82" s="109"/>
    </row>
    <row r="83" spans="1:11" ht="36" customHeight="1" thickBot="1" x14ac:dyDescent="0.3">
      <c r="A83" s="177" t="s">
        <v>255</v>
      </c>
      <c r="B83" s="177"/>
      <c r="C83" s="177"/>
      <c r="D83" s="177"/>
      <c r="E83" s="177"/>
      <c r="F83" s="177"/>
      <c r="G83" s="177"/>
      <c r="H83" s="177"/>
      <c r="I83" s="177"/>
      <c r="J83" s="175" t="e">
        <f>SUMPRODUCT(J12:J81,K12:K81)</f>
        <v>#REF!</v>
      </c>
      <c r="K83" s="176"/>
    </row>
  </sheetData>
  <mergeCells count="87">
    <mergeCell ref="K10:K11"/>
    <mergeCell ref="C75:G75"/>
    <mergeCell ref="C76:G76"/>
    <mergeCell ref="I10:I11"/>
    <mergeCell ref="J10:J11"/>
    <mergeCell ref="C10:G11"/>
    <mergeCell ref="H10:H11"/>
    <mergeCell ref="C19:G19"/>
    <mergeCell ref="C16:G16"/>
    <mergeCell ref="C17:G17"/>
    <mergeCell ref="C18:G18"/>
    <mergeCell ref="C57:G57"/>
    <mergeCell ref="C22:G22"/>
    <mergeCell ref="C12:G12"/>
    <mergeCell ref="C13:G13"/>
    <mergeCell ref="C14:G14"/>
    <mergeCell ref="A6:C6"/>
    <mergeCell ref="A7:C7"/>
    <mergeCell ref="A8:C8"/>
    <mergeCell ref="A1:I1"/>
    <mergeCell ref="A3:C3"/>
    <mergeCell ref="A4:C4"/>
    <mergeCell ref="A5:C5"/>
    <mergeCell ref="C15:G15"/>
    <mergeCell ref="A10:A11"/>
    <mergeCell ref="B10:B11"/>
    <mergeCell ref="C20:G20"/>
    <mergeCell ref="C60:G60"/>
    <mergeCell ref="C23:G23"/>
    <mergeCell ref="C24:G24"/>
    <mergeCell ref="C25:G25"/>
    <mergeCell ref="C26:G26"/>
    <mergeCell ref="C27:G27"/>
    <mergeCell ref="C21:G21"/>
    <mergeCell ref="C36:G36"/>
    <mergeCell ref="C37:G37"/>
    <mergeCell ref="C38:G38"/>
    <mergeCell ref="C39:G39"/>
    <mergeCell ref="C40:G40"/>
    <mergeCell ref="C61:G61"/>
    <mergeCell ref="C58:G58"/>
    <mergeCell ref="C59:G59"/>
    <mergeCell ref="C28:G28"/>
    <mergeCell ref="C29:G29"/>
    <mergeCell ref="C41:G41"/>
    <mergeCell ref="C42:G42"/>
    <mergeCell ref="C43:G43"/>
    <mergeCell ref="C44:G44"/>
    <mergeCell ref="C45:G45"/>
    <mergeCell ref="C35:G35"/>
    <mergeCell ref="C30:G30"/>
    <mergeCell ref="C31:G31"/>
    <mergeCell ref="C32:G32"/>
    <mergeCell ref="C33:G33"/>
    <mergeCell ref="C34:G34"/>
    <mergeCell ref="C46:G46"/>
    <mergeCell ref="C47:G47"/>
    <mergeCell ref="C48:G48"/>
    <mergeCell ref="C67:G67"/>
    <mergeCell ref="J83:K83"/>
    <mergeCell ref="C66:G66"/>
    <mergeCell ref="C79:G79"/>
    <mergeCell ref="C56:G56"/>
    <mergeCell ref="C65:G65"/>
    <mergeCell ref="C68:G68"/>
    <mergeCell ref="C69:G69"/>
    <mergeCell ref="A83:I83"/>
    <mergeCell ref="C80:G80"/>
    <mergeCell ref="C81:G81"/>
    <mergeCell ref="C82:G82"/>
    <mergeCell ref="C77:G77"/>
    <mergeCell ref="C73:G73"/>
    <mergeCell ref="C74:G74"/>
    <mergeCell ref="C78:G78"/>
    <mergeCell ref="C54:G54"/>
    <mergeCell ref="C49:G49"/>
    <mergeCell ref="C50:G50"/>
    <mergeCell ref="C51:G51"/>
    <mergeCell ref="C52:G52"/>
    <mergeCell ref="C53:G53"/>
    <mergeCell ref="C55:G55"/>
    <mergeCell ref="C70:G70"/>
    <mergeCell ref="C71:G71"/>
    <mergeCell ref="C72:G72"/>
    <mergeCell ref="C62:G62"/>
    <mergeCell ref="C63:G63"/>
    <mergeCell ref="C64:G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2"/>
  <sheetViews>
    <sheetView topLeftCell="A10" workbookViewId="0">
      <selection activeCell="O45" sqref="O45"/>
    </sheetView>
  </sheetViews>
  <sheetFormatPr baseColWidth="10" defaultRowHeight="15" x14ac:dyDescent="0.25"/>
  <cols>
    <col min="1" max="5" width="4.42578125" customWidth="1"/>
    <col min="6" max="6" width="5" bestFit="1" customWidth="1"/>
    <col min="7" max="14" width="4.42578125" customWidth="1"/>
    <col min="15" max="16" width="14.85546875" customWidth="1"/>
    <col min="17" max="17" width="16.140625" style="103" customWidth="1"/>
  </cols>
  <sheetData>
    <row r="1" spans="1:17" ht="15.75" thickBot="1" x14ac:dyDescent="0.3">
      <c r="A1" s="195" t="s">
        <v>5</v>
      </c>
      <c r="B1" s="195"/>
      <c r="C1" s="195"/>
      <c r="D1" s="196">
        <v>2022</v>
      </c>
      <c r="E1" s="196"/>
      <c r="F1" s="60"/>
      <c r="G1" s="60"/>
      <c r="H1" s="61"/>
      <c r="I1" s="61"/>
      <c r="J1" s="61"/>
      <c r="K1" s="61"/>
      <c r="L1" s="61"/>
      <c r="M1" s="61"/>
      <c r="N1" s="61"/>
      <c r="O1" s="62"/>
      <c r="P1" s="197" t="s">
        <v>139</v>
      </c>
      <c r="Q1" s="197"/>
    </row>
    <row r="2" spans="1:17" ht="15.75" thickBot="1" x14ac:dyDescent="0.3">
      <c r="A2" s="63"/>
      <c r="B2" s="64"/>
      <c r="C2" s="64"/>
      <c r="D2" s="64"/>
      <c r="E2" s="64"/>
      <c r="F2" s="64"/>
      <c r="G2" s="65"/>
      <c r="H2" s="66"/>
      <c r="I2" s="66"/>
      <c r="J2" s="66"/>
      <c r="K2" s="66"/>
      <c r="L2" s="66"/>
      <c r="M2" s="66"/>
      <c r="N2" s="66"/>
      <c r="O2" s="64"/>
      <c r="P2" s="197"/>
      <c r="Q2" s="197"/>
    </row>
    <row r="3" spans="1:17" ht="15.75" thickBot="1" x14ac:dyDescent="0.3">
      <c r="A3" s="63"/>
      <c r="B3" s="64"/>
      <c r="C3" s="64"/>
      <c r="D3" s="64"/>
      <c r="E3" s="64"/>
      <c r="F3" s="64"/>
      <c r="G3" s="65"/>
      <c r="H3" s="64"/>
      <c r="I3" s="64"/>
      <c r="J3" s="64"/>
      <c r="K3" s="64"/>
      <c r="L3" s="64"/>
      <c r="M3" s="64"/>
      <c r="N3" s="64"/>
      <c r="O3" s="64"/>
      <c r="P3" s="64"/>
      <c r="Q3" s="110"/>
    </row>
    <row r="4" spans="1:17" ht="15.75" thickBot="1" x14ac:dyDescent="0.3">
      <c r="A4" s="198" t="s">
        <v>140</v>
      </c>
      <c r="B4" s="198"/>
      <c r="C4" s="198"/>
      <c r="D4" s="198"/>
      <c r="E4" s="198"/>
      <c r="F4" s="198"/>
      <c r="G4" s="199" t="str">
        <f>'NP DPLAB'!D3</f>
        <v>040 - MINISTERIO DE SALUD</v>
      </c>
      <c r="H4" s="199"/>
      <c r="I4" s="199"/>
      <c r="J4" s="199"/>
      <c r="K4" s="199"/>
      <c r="L4" s="199"/>
      <c r="M4" s="199"/>
      <c r="N4" s="199"/>
      <c r="O4" s="199"/>
      <c r="P4" s="199"/>
      <c r="Q4" s="199"/>
    </row>
    <row r="5" spans="1:17" ht="15.75" thickBot="1" x14ac:dyDescent="0.3">
      <c r="A5" s="200" t="s">
        <v>127</v>
      </c>
      <c r="B5" s="200"/>
      <c r="C5" s="200"/>
      <c r="D5" s="200"/>
      <c r="E5" s="200"/>
      <c r="F5" s="200"/>
      <c r="G5" s="199" t="str">
        <f>'NP DPLAB'!D4</f>
        <v>011 - DIRECCION PROVINCIAL DE ADMINISTRACION DEL MINISTERIO DE SALUD</v>
      </c>
      <c r="H5" s="199"/>
      <c r="I5" s="199"/>
      <c r="J5" s="199"/>
      <c r="K5" s="199"/>
      <c r="L5" s="199"/>
      <c r="M5" s="199"/>
      <c r="N5" s="199"/>
      <c r="O5" s="199"/>
      <c r="P5" s="199"/>
      <c r="Q5" s="199"/>
    </row>
    <row r="6" spans="1:17" ht="15.75" thickBot="1" x14ac:dyDescent="0.3">
      <c r="A6" s="200" t="s">
        <v>128</v>
      </c>
      <c r="B6" s="200"/>
      <c r="C6" s="200"/>
      <c r="D6" s="200"/>
      <c r="E6" s="200"/>
      <c r="F6" s="200"/>
      <c r="G6" s="199" t="str">
        <f>'NP DPLAB'!D5</f>
        <v>468 - DIRECCION PROVINCIAL DE LABORATORIO</v>
      </c>
      <c r="H6" s="199"/>
      <c r="I6" s="199"/>
      <c r="J6" s="199"/>
      <c r="K6" s="199"/>
      <c r="L6" s="199"/>
      <c r="M6" s="199"/>
      <c r="N6" s="199"/>
      <c r="O6" s="199"/>
      <c r="P6" s="199"/>
      <c r="Q6" s="199"/>
    </row>
    <row r="7" spans="1:17" ht="15.75" thickBot="1" x14ac:dyDescent="0.3">
      <c r="A7" s="200" t="s">
        <v>129</v>
      </c>
      <c r="B7" s="200"/>
      <c r="C7" s="200"/>
      <c r="D7" s="200"/>
      <c r="E7" s="200"/>
      <c r="F7" s="200"/>
      <c r="G7" s="199" t="str">
        <f>'NP DPLAB'!D6</f>
        <v>468 - DIRECCION PROVINCIAL DE LABORATORIO</v>
      </c>
      <c r="H7" s="199"/>
      <c r="I7" s="199"/>
      <c r="J7" s="199"/>
      <c r="K7" s="199"/>
      <c r="L7" s="199"/>
      <c r="M7" s="199"/>
      <c r="N7" s="199"/>
      <c r="O7" s="199"/>
      <c r="P7" s="199"/>
      <c r="Q7" s="199"/>
    </row>
    <row r="8" spans="1:17" ht="15.75" thickBot="1" x14ac:dyDescent="0.3">
      <c r="A8" s="201" t="s">
        <v>141</v>
      </c>
      <c r="B8" s="201"/>
      <c r="C8" s="201"/>
      <c r="D8" s="201"/>
      <c r="E8" s="201"/>
      <c r="F8" s="201"/>
      <c r="G8" s="201"/>
      <c r="H8" s="201"/>
      <c r="I8" s="201"/>
      <c r="J8" s="201"/>
      <c r="K8" s="201"/>
      <c r="L8" s="201"/>
      <c r="M8" s="201"/>
      <c r="N8" s="201"/>
      <c r="O8" s="201"/>
      <c r="P8" s="201"/>
      <c r="Q8" s="201"/>
    </row>
    <row r="9" spans="1:17" x14ac:dyDescent="0.25">
      <c r="A9" s="194" t="s">
        <v>142</v>
      </c>
      <c r="B9" s="194"/>
      <c r="C9" s="194"/>
      <c r="D9" s="194"/>
      <c r="E9" s="194"/>
      <c r="F9" s="194"/>
      <c r="G9" s="194"/>
      <c r="H9" s="194"/>
      <c r="I9" s="194"/>
      <c r="J9" s="194"/>
      <c r="K9" s="194"/>
      <c r="L9" s="194"/>
      <c r="M9" s="194"/>
      <c r="N9" s="194"/>
      <c r="O9" s="194"/>
      <c r="P9" s="194"/>
      <c r="Q9" s="194"/>
    </row>
    <row r="10" spans="1:17" ht="75" customHeight="1" x14ac:dyDescent="0.25">
      <c r="A10" s="203" t="s">
        <v>245</v>
      </c>
      <c r="B10" s="203"/>
      <c r="C10" s="203"/>
      <c r="D10" s="203"/>
      <c r="E10" s="203"/>
      <c r="F10" s="203"/>
      <c r="G10" s="203"/>
      <c r="H10" s="203"/>
      <c r="I10" s="203"/>
      <c r="J10" s="203"/>
      <c r="K10" s="203"/>
      <c r="L10" s="203"/>
      <c r="M10" s="203"/>
      <c r="N10" s="203"/>
      <c r="O10" s="203"/>
      <c r="P10" s="203"/>
      <c r="Q10" s="203"/>
    </row>
    <row r="11" spans="1:17" ht="15.75" thickBot="1" x14ac:dyDescent="0.3">
      <c r="A11" s="67"/>
      <c r="B11" s="68"/>
      <c r="C11" s="68"/>
      <c r="D11" s="68"/>
      <c r="E11" s="68"/>
      <c r="F11" s="68"/>
      <c r="G11" s="69"/>
      <c r="H11" s="68"/>
      <c r="I11" s="68"/>
      <c r="J11" s="68"/>
      <c r="K11" s="68"/>
      <c r="L11" s="68"/>
      <c r="M11" s="68"/>
      <c r="N11" s="68"/>
      <c r="O11" s="68"/>
      <c r="P11" s="68"/>
      <c r="Q11" s="111"/>
    </row>
    <row r="12" spans="1:17" ht="15.75" thickBot="1" x14ac:dyDescent="0.3">
      <c r="A12" s="204" t="s">
        <v>143</v>
      </c>
      <c r="B12" s="204"/>
      <c r="C12" s="204"/>
      <c r="D12" s="204"/>
      <c r="E12" s="204"/>
      <c r="F12" s="204"/>
      <c r="G12" s="204"/>
      <c r="H12" s="204"/>
      <c r="I12" s="204"/>
      <c r="J12" s="204"/>
      <c r="K12" s="204"/>
      <c r="L12" s="204"/>
      <c r="M12" s="204"/>
      <c r="N12" s="204"/>
      <c r="O12" s="204"/>
      <c r="P12" s="204"/>
      <c r="Q12" s="204"/>
    </row>
    <row r="13" spans="1:17" ht="15.75" thickBot="1" x14ac:dyDescent="0.3">
      <c r="A13" s="205" t="s">
        <v>144</v>
      </c>
      <c r="B13" s="205"/>
      <c r="C13" s="205"/>
      <c r="D13" s="205"/>
      <c r="E13" s="205"/>
      <c r="F13" s="205"/>
      <c r="G13" s="205"/>
      <c r="H13" s="205"/>
      <c r="I13" s="205"/>
      <c r="J13" s="205"/>
      <c r="K13" s="205"/>
      <c r="L13" s="205"/>
      <c r="M13" s="205"/>
      <c r="N13" s="205"/>
      <c r="O13" s="206" t="s">
        <v>145</v>
      </c>
      <c r="P13" s="206"/>
      <c r="Q13" s="207" t="s">
        <v>146</v>
      </c>
    </row>
    <row r="14" spans="1:17" ht="15.75" thickBot="1" x14ac:dyDescent="0.3">
      <c r="A14" s="70" t="s">
        <v>147</v>
      </c>
      <c r="B14" s="71" t="s">
        <v>148</v>
      </c>
      <c r="C14" s="71" t="s">
        <v>149</v>
      </c>
      <c r="D14" s="71" t="s">
        <v>150</v>
      </c>
      <c r="E14" s="71" t="s">
        <v>151</v>
      </c>
      <c r="F14" s="71" t="s">
        <v>152</v>
      </c>
      <c r="G14" s="72" t="s">
        <v>153</v>
      </c>
      <c r="H14" s="71" t="s">
        <v>154</v>
      </c>
      <c r="I14" s="71" t="s">
        <v>155</v>
      </c>
      <c r="J14" s="71" t="s">
        <v>156</v>
      </c>
      <c r="K14" s="71" t="s">
        <v>156</v>
      </c>
      <c r="L14" s="71" t="s">
        <v>157</v>
      </c>
      <c r="M14" s="73" t="s">
        <v>158</v>
      </c>
      <c r="N14" s="74" t="s">
        <v>159</v>
      </c>
      <c r="O14" s="206"/>
      <c r="P14" s="206"/>
      <c r="Q14" s="207"/>
    </row>
    <row r="15" spans="1:17" x14ac:dyDescent="0.25">
      <c r="A15" s="75">
        <v>62</v>
      </c>
      <c r="B15" s="76"/>
      <c r="C15" s="76"/>
      <c r="D15" s="76">
        <v>1</v>
      </c>
      <c r="E15" s="76"/>
      <c r="F15" s="76">
        <v>4901</v>
      </c>
      <c r="G15" s="76">
        <v>3</v>
      </c>
      <c r="H15" s="76">
        <v>1</v>
      </c>
      <c r="I15" s="76">
        <v>2</v>
      </c>
      <c r="J15" s="76">
        <v>5</v>
      </c>
      <c r="K15" s="76">
        <v>1</v>
      </c>
      <c r="L15" s="76"/>
      <c r="M15" s="77">
        <v>1</v>
      </c>
      <c r="N15" s="76" t="s">
        <v>172</v>
      </c>
      <c r="O15" s="208" t="s">
        <v>173</v>
      </c>
      <c r="P15" s="208"/>
      <c r="Q15" s="112" t="e">
        <f>'NP DPLAB'!J83</f>
        <v>#REF!</v>
      </c>
    </row>
    <row r="16" spans="1:17" x14ac:dyDescent="0.25">
      <c r="A16" s="78"/>
      <c r="B16" s="79"/>
      <c r="C16" s="79"/>
      <c r="D16" s="79"/>
      <c r="E16" s="79"/>
      <c r="F16" s="79"/>
      <c r="G16" s="79"/>
      <c r="H16" s="79"/>
      <c r="I16" s="79"/>
      <c r="J16" s="79"/>
      <c r="K16" s="79"/>
      <c r="L16" s="79"/>
      <c r="M16" s="80"/>
      <c r="N16" s="81"/>
      <c r="O16" s="209"/>
      <c r="P16" s="209"/>
      <c r="Q16" s="113"/>
    </row>
    <row r="17" spans="1:17" x14ac:dyDescent="0.25">
      <c r="A17" s="78"/>
      <c r="B17" s="79"/>
      <c r="C17" s="79"/>
      <c r="D17" s="79"/>
      <c r="E17" s="79"/>
      <c r="F17" s="79"/>
      <c r="G17" s="79"/>
      <c r="H17" s="79"/>
      <c r="I17" s="79"/>
      <c r="J17" s="79"/>
      <c r="K17" s="79"/>
      <c r="L17" s="79"/>
      <c r="M17" s="80"/>
      <c r="N17" s="81"/>
      <c r="O17" s="210"/>
      <c r="P17" s="210"/>
      <c r="Q17" s="113"/>
    </row>
    <row r="18" spans="1:17" x14ac:dyDescent="0.25">
      <c r="A18" s="78"/>
      <c r="B18" s="79"/>
      <c r="C18" s="79"/>
      <c r="D18" s="79"/>
      <c r="E18" s="79"/>
      <c r="F18" s="79"/>
      <c r="G18" s="79"/>
      <c r="H18" s="79"/>
      <c r="I18" s="79"/>
      <c r="J18" s="79"/>
      <c r="K18" s="79"/>
      <c r="L18" s="79"/>
      <c r="M18" s="80"/>
      <c r="N18" s="81"/>
      <c r="O18" s="202"/>
      <c r="P18" s="202"/>
      <c r="Q18" s="113"/>
    </row>
    <row r="19" spans="1:17" x14ac:dyDescent="0.25">
      <c r="A19" s="78"/>
      <c r="B19" s="79"/>
      <c r="C19" s="79"/>
      <c r="D19" s="79"/>
      <c r="E19" s="79"/>
      <c r="F19" s="79"/>
      <c r="G19" s="79"/>
      <c r="H19" s="79"/>
      <c r="I19" s="79"/>
      <c r="J19" s="79"/>
      <c r="K19" s="79"/>
      <c r="L19" s="79"/>
      <c r="M19" s="80"/>
      <c r="N19" s="81"/>
      <c r="O19" s="202"/>
      <c r="P19" s="202"/>
      <c r="Q19" s="113"/>
    </row>
    <row r="20" spans="1:17" x14ac:dyDescent="0.25">
      <c r="A20" s="78"/>
      <c r="B20" s="79"/>
      <c r="C20" s="79"/>
      <c r="D20" s="79"/>
      <c r="E20" s="79"/>
      <c r="F20" s="79"/>
      <c r="G20" s="79"/>
      <c r="H20" s="79"/>
      <c r="I20" s="79"/>
      <c r="J20" s="79"/>
      <c r="K20" s="79"/>
      <c r="L20" s="79"/>
      <c r="M20" s="80"/>
      <c r="N20" s="81"/>
      <c r="O20" s="202"/>
      <c r="P20" s="202"/>
      <c r="Q20" s="113"/>
    </row>
    <row r="21" spans="1:17" x14ac:dyDescent="0.25">
      <c r="A21" s="78"/>
      <c r="B21" s="79"/>
      <c r="C21" s="79"/>
      <c r="D21" s="79"/>
      <c r="E21" s="79"/>
      <c r="F21" s="79"/>
      <c r="G21" s="79"/>
      <c r="H21" s="79"/>
      <c r="I21" s="79"/>
      <c r="J21" s="79"/>
      <c r="K21" s="79"/>
      <c r="L21" s="79"/>
      <c r="M21" s="80"/>
      <c r="N21" s="81"/>
      <c r="O21" s="202"/>
      <c r="P21" s="202"/>
      <c r="Q21" s="113"/>
    </row>
    <row r="22" spans="1:17" x14ac:dyDescent="0.25">
      <c r="A22" s="78"/>
      <c r="B22" s="79"/>
      <c r="C22" s="79"/>
      <c r="D22" s="79"/>
      <c r="E22" s="79"/>
      <c r="F22" s="79"/>
      <c r="G22" s="79"/>
      <c r="H22" s="79"/>
      <c r="I22" s="79"/>
      <c r="J22" s="79"/>
      <c r="K22" s="79"/>
      <c r="L22" s="79"/>
      <c r="M22" s="80"/>
      <c r="N22" s="81"/>
      <c r="O22" s="202"/>
      <c r="P22" s="202"/>
      <c r="Q22" s="113"/>
    </row>
    <row r="23" spans="1:17" x14ac:dyDescent="0.25">
      <c r="A23" s="78"/>
      <c r="B23" s="79"/>
      <c r="C23" s="79"/>
      <c r="D23" s="79"/>
      <c r="E23" s="79"/>
      <c r="F23" s="79"/>
      <c r="G23" s="79"/>
      <c r="H23" s="79"/>
      <c r="I23" s="79"/>
      <c r="J23" s="79"/>
      <c r="K23" s="79"/>
      <c r="L23" s="79"/>
      <c r="M23" s="80"/>
      <c r="N23" s="81"/>
      <c r="O23" s="202"/>
      <c r="P23" s="202"/>
      <c r="Q23" s="113"/>
    </row>
    <row r="24" spans="1:17" x14ac:dyDescent="0.25">
      <c r="A24" s="78"/>
      <c r="B24" s="79"/>
      <c r="C24" s="79"/>
      <c r="D24" s="79"/>
      <c r="E24" s="79"/>
      <c r="F24" s="79"/>
      <c r="G24" s="79"/>
      <c r="H24" s="79"/>
      <c r="I24" s="79"/>
      <c r="J24" s="79"/>
      <c r="K24" s="79"/>
      <c r="L24" s="79"/>
      <c r="M24" s="80"/>
      <c r="N24" s="81"/>
      <c r="O24" s="202"/>
      <c r="P24" s="202"/>
      <c r="Q24" s="113"/>
    </row>
    <row r="25" spans="1:17" x14ac:dyDescent="0.25">
      <c r="A25" s="78"/>
      <c r="B25" s="79"/>
      <c r="C25" s="79"/>
      <c r="D25" s="79"/>
      <c r="E25" s="79"/>
      <c r="F25" s="79"/>
      <c r="G25" s="79"/>
      <c r="H25" s="79"/>
      <c r="I25" s="79"/>
      <c r="J25" s="79"/>
      <c r="K25" s="79"/>
      <c r="L25" s="79"/>
      <c r="M25" s="80"/>
      <c r="N25" s="81"/>
      <c r="O25" s="202"/>
      <c r="P25" s="202"/>
      <c r="Q25" s="113"/>
    </row>
    <row r="26" spans="1:17" x14ac:dyDescent="0.25">
      <c r="A26" s="78"/>
      <c r="B26" s="79"/>
      <c r="C26" s="79"/>
      <c r="D26" s="79"/>
      <c r="E26" s="79"/>
      <c r="F26" s="79"/>
      <c r="G26" s="79"/>
      <c r="H26" s="79"/>
      <c r="I26" s="79"/>
      <c r="J26" s="79"/>
      <c r="K26" s="79"/>
      <c r="L26" s="79"/>
      <c r="M26" s="80"/>
      <c r="N26" s="81"/>
      <c r="O26" s="202"/>
      <c r="P26" s="202"/>
      <c r="Q26" s="113"/>
    </row>
    <row r="27" spans="1:17" x14ac:dyDescent="0.25">
      <c r="A27" s="78"/>
      <c r="B27" s="79"/>
      <c r="C27" s="79"/>
      <c r="D27" s="79"/>
      <c r="E27" s="79"/>
      <c r="F27" s="79"/>
      <c r="G27" s="79"/>
      <c r="H27" s="79"/>
      <c r="I27" s="79"/>
      <c r="J27" s="79"/>
      <c r="K27" s="79"/>
      <c r="L27" s="79"/>
      <c r="M27" s="80"/>
      <c r="N27" s="81"/>
      <c r="O27" s="202"/>
      <c r="P27" s="202"/>
      <c r="Q27" s="113"/>
    </row>
    <row r="28" spans="1:17" x14ac:dyDescent="0.25">
      <c r="A28" s="78"/>
      <c r="B28" s="79"/>
      <c r="C28" s="79"/>
      <c r="D28" s="79"/>
      <c r="E28" s="79"/>
      <c r="F28" s="79"/>
      <c r="G28" s="79"/>
      <c r="H28" s="79"/>
      <c r="I28" s="79"/>
      <c r="J28" s="79"/>
      <c r="K28" s="79"/>
      <c r="L28" s="79"/>
      <c r="M28" s="80"/>
      <c r="N28" s="81"/>
      <c r="O28" s="202"/>
      <c r="P28" s="202"/>
      <c r="Q28" s="113"/>
    </row>
    <row r="29" spans="1:17" x14ac:dyDescent="0.25">
      <c r="A29" s="78"/>
      <c r="B29" s="79"/>
      <c r="C29" s="79"/>
      <c r="D29" s="79"/>
      <c r="E29" s="79"/>
      <c r="F29" s="79"/>
      <c r="G29" s="79"/>
      <c r="H29" s="79"/>
      <c r="I29" s="79"/>
      <c r="J29" s="79"/>
      <c r="K29" s="79"/>
      <c r="L29" s="79"/>
      <c r="M29" s="80"/>
      <c r="N29" s="81"/>
      <c r="O29" s="202"/>
      <c r="P29" s="202"/>
      <c r="Q29" s="113"/>
    </row>
    <row r="30" spans="1:17" x14ac:dyDescent="0.25">
      <c r="A30" s="78"/>
      <c r="B30" s="79"/>
      <c r="C30" s="79"/>
      <c r="D30" s="79"/>
      <c r="E30" s="79"/>
      <c r="F30" s="79"/>
      <c r="G30" s="79"/>
      <c r="H30" s="79"/>
      <c r="I30" s="79"/>
      <c r="J30" s="79"/>
      <c r="K30" s="79"/>
      <c r="L30" s="79"/>
      <c r="M30" s="80"/>
      <c r="N30" s="81"/>
      <c r="O30" s="202"/>
      <c r="P30" s="202"/>
      <c r="Q30" s="113"/>
    </row>
    <row r="31" spans="1:17" x14ac:dyDescent="0.25">
      <c r="A31" s="78"/>
      <c r="B31" s="79"/>
      <c r="C31" s="79"/>
      <c r="D31" s="79"/>
      <c r="E31" s="79"/>
      <c r="F31" s="79"/>
      <c r="G31" s="79"/>
      <c r="H31" s="79"/>
      <c r="I31" s="79"/>
      <c r="J31" s="79"/>
      <c r="K31" s="79"/>
      <c r="L31" s="79"/>
      <c r="M31" s="80"/>
      <c r="N31" s="81"/>
      <c r="O31" s="202"/>
      <c r="P31" s="202"/>
      <c r="Q31" s="113"/>
    </row>
    <row r="32" spans="1:17" x14ac:dyDescent="0.25">
      <c r="A32" s="78"/>
      <c r="B32" s="79"/>
      <c r="C32" s="79"/>
      <c r="D32" s="79"/>
      <c r="E32" s="79"/>
      <c r="F32" s="81"/>
      <c r="G32" s="79"/>
      <c r="H32" s="79"/>
      <c r="I32" s="79"/>
      <c r="J32" s="79"/>
      <c r="K32" s="79"/>
      <c r="L32" s="79"/>
      <c r="M32" s="80"/>
      <c r="N32" s="81"/>
      <c r="O32" s="209"/>
      <c r="P32" s="209"/>
      <c r="Q32" s="113"/>
    </row>
    <row r="33" spans="1:17" x14ac:dyDescent="0.25">
      <c r="A33" s="78"/>
      <c r="B33" s="79"/>
      <c r="C33" s="79"/>
      <c r="D33" s="79"/>
      <c r="E33" s="79"/>
      <c r="F33" s="79"/>
      <c r="G33" s="79"/>
      <c r="H33" s="79"/>
      <c r="I33" s="79"/>
      <c r="J33" s="79"/>
      <c r="K33" s="79"/>
      <c r="L33" s="79"/>
      <c r="M33" s="80"/>
      <c r="N33" s="81"/>
      <c r="O33" s="209"/>
      <c r="P33" s="209"/>
      <c r="Q33" s="113"/>
    </row>
    <row r="34" spans="1:17" x14ac:dyDescent="0.25">
      <c r="A34" s="78"/>
      <c r="B34" s="79"/>
      <c r="C34" s="79"/>
      <c r="D34" s="79"/>
      <c r="E34" s="79"/>
      <c r="F34" s="81"/>
      <c r="G34" s="79"/>
      <c r="H34" s="79"/>
      <c r="I34" s="79"/>
      <c r="J34" s="79"/>
      <c r="K34" s="79"/>
      <c r="L34" s="79"/>
      <c r="M34" s="80"/>
      <c r="N34" s="81"/>
      <c r="O34" s="209"/>
      <c r="P34" s="209"/>
      <c r="Q34" s="113"/>
    </row>
    <row r="35" spans="1:17" x14ac:dyDescent="0.25">
      <c r="A35" s="78"/>
      <c r="B35" s="79"/>
      <c r="C35" s="79"/>
      <c r="D35" s="79"/>
      <c r="E35" s="79"/>
      <c r="F35" s="81"/>
      <c r="G35" s="79"/>
      <c r="H35" s="79"/>
      <c r="I35" s="79"/>
      <c r="J35" s="79"/>
      <c r="K35" s="79"/>
      <c r="L35" s="79"/>
      <c r="M35" s="80"/>
      <c r="N35" s="81"/>
      <c r="O35" s="209"/>
      <c r="P35" s="209"/>
      <c r="Q35" s="113"/>
    </row>
    <row r="36" spans="1:17" x14ac:dyDescent="0.25">
      <c r="A36" s="82"/>
      <c r="B36" s="83"/>
      <c r="C36" s="83"/>
      <c r="D36" s="83"/>
      <c r="E36" s="83"/>
      <c r="F36" s="84"/>
      <c r="G36" s="83"/>
      <c r="H36" s="83"/>
      <c r="I36" s="83"/>
      <c r="J36" s="83"/>
      <c r="K36" s="83"/>
      <c r="L36" s="83"/>
      <c r="M36" s="85"/>
      <c r="N36" s="86"/>
      <c r="O36" s="214"/>
      <c r="P36" s="214"/>
      <c r="Q36" s="113"/>
    </row>
    <row r="37" spans="1:17" ht="15.75" thickBot="1" x14ac:dyDescent="0.3">
      <c r="A37" s="87"/>
      <c r="B37" s="88"/>
      <c r="C37" s="88"/>
      <c r="D37" s="88"/>
      <c r="E37" s="88"/>
      <c r="F37" s="88"/>
      <c r="G37" s="88"/>
      <c r="H37" s="88"/>
      <c r="I37" s="88"/>
      <c r="J37" s="88"/>
      <c r="K37" s="88"/>
      <c r="L37" s="88"/>
      <c r="M37" s="89"/>
      <c r="N37" s="88"/>
      <c r="O37" s="215"/>
      <c r="P37" s="215"/>
      <c r="Q37" s="114"/>
    </row>
    <row r="38" spans="1:17" ht="30.75" customHeight="1" thickBot="1" x14ac:dyDescent="0.3">
      <c r="A38" s="216" t="s">
        <v>256</v>
      </c>
      <c r="B38" s="216"/>
      <c r="C38" s="216"/>
      <c r="D38" s="216"/>
      <c r="E38" s="216"/>
      <c r="F38" s="216"/>
      <c r="G38" s="216"/>
      <c r="H38" s="216"/>
      <c r="I38" s="216"/>
      <c r="J38" s="216"/>
      <c r="K38" s="216"/>
      <c r="L38" s="216"/>
      <c r="M38" s="216"/>
      <c r="N38" s="216"/>
      <c r="O38" s="216"/>
      <c r="P38" s="216"/>
      <c r="Q38" s="115" t="e">
        <f>SUM(Q15:Q37)</f>
        <v>#REF!</v>
      </c>
    </row>
    <row r="39" spans="1:17" ht="15.75" thickBot="1" x14ac:dyDescent="0.3">
      <c r="A39" s="217"/>
      <c r="B39" s="217"/>
      <c r="C39" s="217"/>
      <c r="D39" s="217"/>
      <c r="E39" s="217"/>
      <c r="F39" s="217"/>
      <c r="G39" s="217"/>
      <c r="H39" s="217"/>
      <c r="I39" s="217"/>
      <c r="J39" s="217"/>
      <c r="K39" s="217"/>
      <c r="L39" s="217"/>
      <c r="M39" s="217"/>
      <c r="N39" s="217"/>
      <c r="O39" s="217"/>
      <c r="P39" s="217"/>
      <c r="Q39" s="217"/>
    </row>
    <row r="40" spans="1:17" ht="15.75" thickBot="1" x14ac:dyDescent="0.3">
      <c r="A40" s="211" t="s">
        <v>160</v>
      </c>
      <c r="B40" s="211"/>
      <c r="C40" s="211"/>
      <c r="D40" s="211"/>
      <c r="E40" s="211"/>
      <c r="F40" s="211"/>
      <c r="G40" s="212"/>
      <c r="H40" s="212"/>
      <c r="I40" s="212"/>
      <c r="J40" s="212"/>
      <c r="K40" s="212"/>
      <c r="L40" s="212"/>
      <c r="M40" s="212"/>
      <c r="N40" s="212"/>
      <c r="O40" s="212"/>
      <c r="P40" s="212"/>
      <c r="Q40" s="212"/>
    </row>
    <row r="41" spans="1:17" ht="15.75" thickBot="1" x14ac:dyDescent="0.3">
      <c r="A41" s="213" t="str">
        <f>'NP DPLAB'!D8</f>
        <v>ADQUISICION DEL RUBRO REACTIVOS PARA LABORATORIO</v>
      </c>
      <c r="B41" s="213"/>
      <c r="C41" s="213"/>
      <c r="D41" s="213"/>
      <c r="E41" s="213"/>
      <c r="F41" s="213"/>
      <c r="G41" s="213"/>
      <c r="H41" s="213"/>
      <c r="I41" s="213"/>
      <c r="J41" s="213"/>
      <c r="K41" s="213"/>
      <c r="L41" s="213"/>
      <c r="M41" s="213"/>
      <c r="N41" s="213"/>
      <c r="O41" s="213"/>
      <c r="P41" s="213"/>
      <c r="Q41" s="213"/>
    </row>
    <row r="42" spans="1:17" ht="15.75" thickBot="1" x14ac:dyDescent="0.3">
      <c r="A42" s="213"/>
      <c r="B42" s="213"/>
      <c r="C42" s="213"/>
      <c r="D42" s="213"/>
      <c r="E42" s="213"/>
      <c r="F42" s="213"/>
      <c r="G42" s="213"/>
      <c r="H42" s="213"/>
      <c r="I42" s="213"/>
      <c r="J42" s="213"/>
      <c r="K42" s="213"/>
      <c r="L42" s="213"/>
      <c r="M42" s="213"/>
      <c r="N42" s="213"/>
      <c r="O42" s="213"/>
      <c r="P42" s="213"/>
      <c r="Q42" s="213"/>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9"/>
  <sheetViews>
    <sheetView topLeftCell="A31" workbookViewId="0">
      <selection activeCell="G66" sqref="G66"/>
    </sheetView>
  </sheetViews>
  <sheetFormatPr baseColWidth="10" defaultRowHeight="15" x14ac:dyDescent="0.25"/>
  <cols>
    <col min="1" max="1" width="5.5703125" style="17" customWidth="1"/>
    <col min="2" max="2" width="15.140625" style="98" customWidth="1"/>
    <col min="3" max="3" width="14.140625" style="17" customWidth="1"/>
    <col min="4" max="4" width="26" style="17" customWidth="1"/>
    <col min="5" max="5" width="8" style="17" customWidth="1"/>
    <col min="6" max="6" width="7.85546875" style="17" customWidth="1"/>
    <col min="7" max="7" width="52.140625" style="17" customWidth="1"/>
    <col min="8" max="8" width="9.28515625" style="17" customWidth="1"/>
    <col min="9" max="9" width="15.5703125" style="17" customWidth="1"/>
    <col min="10" max="10" width="14.7109375" style="103" customWidth="1"/>
    <col min="11" max="11" width="15.5703125" style="17" customWidth="1"/>
    <col min="12" max="16384" width="11.42578125" style="17"/>
  </cols>
  <sheetData>
    <row r="1" spans="1:11" ht="30.75" thickBot="1" x14ac:dyDescent="0.3">
      <c r="A1" s="186" t="s">
        <v>124</v>
      </c>
      <c r="B1" s="186"/>
      <c r="C1" s="186"/>
      <c r="D1" s="186"/>
      <c r="E1" s="186"/>
      <c r="F1" s="186"/>
      <c r="G1" s="186"/>
      <c r="H1" s="186"/>
      <c r="I1" s="186"/>
      <c r="J1" s="99" t="s">
        <v>125</v>
      </c>
      <c r="K1" s="49" t="s">
        <v>246</v>
      </c>
    </row>
    <row r="2" spans="1:11" ht="16.5" thickBot="1" x14ac:dyDescent="0.3">
      <c r="A2" s="50"/>
      <c r="B2" s="94"/>
      <c r="C2" s="51"/>
      <c r="D2" s="52"/>
      <c r="E2" s="52"/>
      <c r="F2" s="52"/>
      <c r="G2" s="52"/>
      <c r="H2" s="52"/>
      <c r="I2" s="52"/>
      <c r="J2" s="100"/>
      <c r="K2" s="53"/>
    </row>
    <row r="3" spans="1:11" ht="16.5" customHeight="1" thickBot="1" x14ac:dyDescent="0.3">
      <c r="A3" s="183" t="s">
        <v>126</v>
      </c>
      <c r="B3" s="183"/>
      <c r="C3" s="183"/>
      <c r="D3" s="90" t="s">
        <v>2</v>
      </c>
      <c r="E3" s="91"/>
      <c r="F3" s="91"/>
      <c r="G3" s="91"/>
      <c r="H3" s="91"/>
      <c r="I3" s="91"/>
      <c r="J3" s="101"/>
      <c r="K3" s="92"/>
    </row>
    <row r="4" spans="1:11" ht="16.5" customHeight="1" thickBot="1" x14ac:dyDescent="0.3">
      <c r="A4" s="184" t="s">
        <v>127</v>
      </c>
      <c r="B4" s="184"/>
      <c r="C4" s="184"/>
      <c r="D4" s="90" t="s">
        <v>161</v>
      </c>
      <c r="E4" s="91"/>
      <c r="F4" s="91"/>
      <c r="G4" s="91"/>
      <c r="H4" s="91"/>
      <c r="I4" s="91"/>
      <c r="J4" s="101"/>
      <c r="K4" s="92"/>
    </row>
    <row r="5" spans="1:11" ht="16.5" thickBot="1" x14ac:dyDescent="0.3">
      <c r="A5" s="184" t="s">
        <v>128</v>
      </c>
      <c r="B5" s="184"/>
      <c r="C5" s="184"/>
      <c r="D5" s="90" t="s">
        <v>175</v>
      </c>
      <c r="E5" s="91"/>
      <c r="F5" s="91"/>
      <c r="G5" s="91"/>
      <c r="H5" s="91"/>
      <c r="I5" s="91"/>
      <c r="J5" s="101"/>
      <c r="K5" s="92"/>
    </row>
    <row r="6" spans="1:11" ht="16.5" thickBot="1" x14ac:dyDescent="0.3">
      <c r="A6" s="183" t="s">
        <v>129</v>
      </c>
      <c r="B6" s="183"/>
      <c r="C6" s="183"/>
      <c r="D6" s="90" t="s">
        <v>175</v>
      </c>
      <c r="E6" s="91"/>
      <c r="F6" s="91"/>
      <c r="G6" s="91"/>
      <c r="H6" s="91"/>
      <c r="I6" s="91"/>
      <c r="J6" s="101"/>
      <c r="K6" s="92"/>
    </row>
    <row r="7" spans="1:11" ht="16.5" thickBot="1" x14ac:dyDescent="0.3">
      <c r="A7" s="184" t="s">
        <v>130</v>
      </c>
      <c r="B7" s="184"/>
      <c r="C7" s="184"/>
      <c r="D7" s="90" t="s">
        <v>162</v>
      </c>
      <c r="E7" s="91"/>
      <c r="F7" s="91"/>
      <c r="G7" s="91"/>
      <c r="H7" s="91"/>
      <c r="I7" s="91"/>
      <c r="J7" s="101"/>
      <c r="K7" s="92"/>
    </row>
    <row r="8" spans="1:11" ht="16.5" customHeight="1" thickBot="1" x14ac:dyDescent="0.3">
      <c r="A8" s="185" t="s">
        <v>131</v>
      </c>
      <c r="B8" s="185"/>
      <c r="C8" s="185"/>
      <c r="D8" s="93" t="s">
        <v>174</v>
      </c>
      <c r="E8" s="91"/>
      <c r="F8" s="91"/>
      <c r="G8" s="91"/>
      <c r="H8" s="91"/>
      <c r="I8" s="91"/>
      <c r="J8" s="101"/>
      <c r="K8" s="92"/>
    </row>
    <row r="9" spans="1:11" ht="16.5" thickBot="1" x14ac:dyDescent="0.3">
      <c r="A9" s="54"/>
      <c r="B9" s="95"/>
      <c r="C9" s="55"/>
      <c r="D9" s="56"/>
      <c r="E9" s="56"/>
      <c r="F9" s="56"/>
      <c r="G9" s="56"/>
      <c r="H9" s="56"/>
      <c r="I9" s="56"/>
      <c r="J9" s="102"/>
      <c r="K9" s="57"/>
    </row>
    <row r="10" spans="1:11" ht="15.75" thickBot="1" x14ac:dyDescent="0.3">
      <c r="A10" s="179" t="s">
        <v>132</v>
      </c>
      <c r="B10" s="181" t="s">
        <v>133</v>
      </c>
      <c r="C10" s="181" t="s">
        <v>134</v>
      </c>
      <c r="D10" s="181"/>
      <c r="E10" s="181"/>
      <c r="F10" s="181"/>
      <c r="G10" s="181"/>
      <c r="H10" s="181" t="s">
        <v>135</v>
      </c>
      <c r="I10" s="181" t="s">
        <v>136</v>
      </c>
      <c r="J10" s="189" t="s">
        <v>137</v>
      </c>
      <c r="K10" s="187" t="s">
        <v>138</v>
      </c>
    </row>
    <row r="11" spans="1:11" ht="36.75" customHeight="1" thickBot="1" x14ac:dyDescent="0.3">
      <c r="A11" s="180"/>
      <c r="B11" s="182"/>
      <c r="C11" s="182"/>
      <c r="D11" s="182"/>
      <c r="E11" s="182"/>
      <c r="F11" s="182"/>
      <c r="G11" s="182"/>
      <c r="H11" s="182"/>
      <c r="I11" s="182"/>
      <c r="J11" s="190"/>
      <c r="K11" s="188"/>
    </row>
    <row r="12" spans="1:11" s="106" customFormat="1" ht="15.75" customHeight="1" x14ac:dyDescent="0.25">
      <c r="A12" s="127">
        <v>1</v>
      </c>
      <c r="B12" s="128"/>
      <c r="C12" s="191" t="str">
        <f>'SAF 011 - NECESIDAD TRIMESTRAL'!E17</f>
        <v>ALBUMINA BOVINA al 30% Tipo WIENER</v>
      </c>
      <c r="D12" s="192"/>
      <c r="E12" s="192"/>
      <c r="F12" s="192"/>
      <c r="G12" s="193"/>
      <c r="H12" s="128" t="s">
        <v>170</v>
      </c>
      <c r="I12" s="129" t="str">
        <f>'SAF 011 - NECESIDAD TRIMESTRAL'!F17</f>
        <v>UNIDAD</v>
      </c>
      <c r="J12" s="130">
        <f>'SAF 011 - NECESIDAD TRIMESTRAL'!H17</f>
        <v>1251</v>
      </c>
      <c r="K12" s="131" t="e">
        <f>'SAF 011 - NECESIDAD TRIMESTRAL'!#REF!</f>
        <v>#REF!</v>
      </c>
    </row>
    <row r="13" spans="1:11" s="106" customFormat="1" ht="15.75" customHeight="1" x14ac:dyDescent="0.25">
      <c r="A13" s="127">
        <v>2</v>
      </c>
      <c r="B13" s="128"/>
      <c r="C13" s="172" t="str">
        <f>'SAF 011 - NECESIDAD TRIMESTRAL'!E22</f>
        <v>ANTI A MONOCLONAL FRASCO X 10 ML Tipo WIENER</v>
      </c>
      <c r="D13" s="173"/>
      <c r="E13" s="173"/>
      <c r="F13" s="173"/>
      <c r="G13" s="174"/>
      <c r="H13" s="128" t="s">
        <v>170</v>
      </c>
      <c r="I13" s="129" t="str">
        <f>'SAF 011 - NECESIDAD TRIMESTRAL'!F22</f>
        <v>FRASCO</v>
      </c>
      <c r="J13" s="130">
        <f>'SAF 011 - NECESIDAD TRIMESTRAL'!H22</f>
        <v>1434</v>
      </c>
      <c r="K13" s="131" t="e">
        <f>'SAF 011 - NECESIDAD TRIMESTRAL'!#REF!</f>
        <v>#REF!</v>
      </c>
    </row>
    <row r="14" spans="1:11" s="106" customFormat="1" ht="15.75" customHeight="1" x14ac:dyDescent="0.25">
      <c r="A14" s="127">
        <v>3</v>
      </c>
      <c r="B14" s="128"/>
      <c r="C14" s="172" t="str">
        <f>'SAF 011 - NECESIDAD TRIMESTRAL'!E23</f>
        <v>ANTI B MONOCLONAL FRASCO X 10 ML Tipo WIENER</v>
      </c>
      <c r="D14" s="173"/>
      <c r="E14" s="173"/>
      <c r="F14" s="173"/>
      <c r="G14" s="174"/>
      <c r="H14" s="128" t="s">
        <v>170</v>
      </c>
      <c r="I14" s="129" t="str">
        <f>'SAF 011 - NECESIDAD TRIMESTRAL'!F23</f>
        <v>FRASCO</v>
      </c>
      <c r="J14" s="130">
        <f>'SAF 011 - NECESIDAD TRIMESTRAL'!H23</f>
        <v>1434</v>
      </c>
      <c r="K14" s="131" t="e">
        <f>'SAF 011 - NECESIDAD TRIMESTRAL'!#REF!</f>
        <v>#REF!</v>
      </c>
    </row>
    <row r="15" spans="1:11" s="106" customFormat="1" ht="15.75" customHeight="1" x14ac:dyDescent="0.25">
      <c r="A15" s="127">
        <v>4</v>
      </c>
      <c r="B15" s="128"/>
      <c r="C15" s="172" t="str">
        <f>'SAF 011 - NECESIDAD TRIMESTRAL'!E24</f>
        <v>ANTI D(RHO) MONOCLONAL FRASCO X 10 ML Tipo WIENER</v>
      </c>
      <c r="D15" s="173"/>
      <c r="E15" s="173"/>
      <c r="F15" s="173"/>
      <c r="G15" s="174"/>
      <c r="H15" s="128" t="s">
        <v>170</v>
      </c>
      <c r="I15" s="129" t="str">
        <f>'SAF 011 - NECESIDAD TRIMESTRAL'!F24</f>
        <v>FRASCO</v>
      </c>
      <c r="J15" s="130">
        <f>'SAF 011 - NECESIDAD TRIMESTRAL'!H24</f>
        <v>2713</v>
      </c>
      <c r="K15" s="131" t="e">
        <f>'SAF 011 - NECESIDAD TRIMESTRAL'!#REF!</f>
        <v>#REF!</v>
      </c>
    </row>
    <row r="16" spans="1:11" s="106" customFormat="1" ht="15" customHeight="1" x14ac:dyDescent="0.25">
      <c r="A16" s="127">
        <v>5</v>
      </c>
      <c r="B16" s="128"/>
      <c r="C16" s="172" t="str">
        <f>'SAF 011 - NECESIDAD TRIMESTRAL'!E25</f>
        <v>ANTI-AB MONOCLONAL- FRASCO 10 ML TIPO WIENER</v>
      </c>
      <c r="D16" s="173"/>
      <c r="E16" s="173"/>
      <c r="F16" s="173"/>
      <c r="G16" s="174"/>
      <c r="H16" s="128" t="s">
        <v>170</v>
      </c>
      <c r="I16" s="129" t="str">
        <f>'SAF 011 - NECESIDAD TRIMESTRAL'!F25</f>
        <v>UNIDAD</v>
      </c>
      <c r="J16" s="130">
        <f>'SAF 011 - NECESIDAD TRIMESTRAL'!H25</f>
        <v>888</v>
      </c>
      <c r="K16" s="131" t="e">
        <f>'SAF 011 - NECESIDAD TRIMESTRAL'!#REF!</f>
        <v>#REF!</v>
      </c>
    </row>
    <row r="17" spans="1:11" s="106" customFormat="1" ht="15.75" customHeight="1" x14ac:dyDescent="0.25">
      <c r="A17" s="127">
        <v>6</v>
      </c>
      <c r="B17" s="128"/>
      <c r="C17" s="172" t="str">
        <f>'SAF 011 - NECESIDAD TRIMESTRAL'!E26</f>
        <v>ANTIGENO FEBRIL BRUCELLA (HUDDLESON 1 X 5 ML.)</v>
      </c>
      <c r="D17" s="173"/>
      <c r="E17" s="173"/>
      <c r="F17" s="173"/>
      <c r="G17" s="174"/>
      <c r="H17" s="128" t="s">
        <v>170</v>
      </c>
      <c r="I17" s="129" t="str">
        <f>'SAF 011 - NECESIDAD TRIMESTRAL'!F26</f>
        <v>UNIDAD</v>
      </c>
      <c r="J17" s="130">
        <f>'SAF 011 - NECESIDAD TRIMESTRAL'!H26</f>
        <v>1184</v>
      </c>
      <c r="K17" s="131" t="e">
        <f>'SAF 011 - NECESIDAD TRIMESTRAL'!#REF!</f>
        <v>#REF!</v>
      </c>
    </row>
    <row r="18" spans="1:11" s="106" customFormat="1" ht="15.75" customHeight="1" x14ac:dyDescent="0.25">
      <c r="A18" s="127">
        <v>7</v>
      </c>
      <c r="B18" s="128"/>
      <c r="C18" s="172" t="str">
        <f>'SAF 011 - NECESIDAD TRIMESTRAL'!E46</f>
        <v>Biozima chagas reconvinante x 192 Determinaciones. Tipo Lemos</v>
      </c>
      <c r="D18" s="173"/>
      <c r="E18" s="173"/>
      <c r="F18" s="173"/>
      <c r="G18" s="174"/>
      <c r="H18" s="128" t="s">
        <v>170</v>
      </c>
      <c r="I18" s="129" t="str">
        <f>'SAF 011 - NECESIDAD TRIMESTRAL'!F46</f>
        <v>CAJA</v>
      </c>
      <c r="J18" s="130">
        <f>'SAF 011 - NECESIDAD TRIMESTRAL'!H46</f>
        <v>11502.26</v>
      </c>
      <c r="K18" s="131" t="e">
        <f>'SAF 011 - NECESIDAD TRIMESTRAL'!#REF!</f>
        <v>#REF!</v>
      </c>
    </row>
    <row r="19" spans="1:11" s="106" customFormat="1" ht="15" customHeight="1" x14ac:dyDescent="0.25">
      <c r="A19" s="127">
        <v>8</v>
      </c>
      <c r="B19" s="128"/>
      <c r="C19" s="172" t="str">
        <f>'SAF 011 - NECESIDAD TRIMESTRAL'!E47</f>
        <v>Biozima chagas x 192 Determibaciones. Tipo Lemos</v>
      </c>
      <c r="D19" s="173"/>
      <c r="E19" s="173"/>
      <c r="F19" s="173"/>
      <c r="G19" s="174"/>
      <c r="H19" s="128" t="s">
        <v>170</v>
      </c>
      <c r="I19" s="129" t="str">
        <f>'SAF 011 - NECESIDAD TRIMESTRAL'!F47</f>
        <v>CAJA</v>
      </c>
      <c r="J19" s="130">
        <f>'SAF 011 - NECESIDAD TRIMESTRAL'!H47</f>
        <v>10577.85</v>
      </c>
      <c r="K19" s="131" t="e">
        <f>'SAF 011 - NECESIDAD TRIMESTRAL'!#REF!</f>
        <v>#REF!</v>
      </c>
    </row>
    <row r="20" spans="1:11" s="106" customFormat="1" ht="15.75" customHeight="1" x14ac:dyDescent="0.25">
      <c r="A20" s="127">
        <v>9</v>
      </c>
      <c r="B20" s="128"/>
      <c r="C20" s="172" t="str">
        <f>'SAF 011 - NECESIDAD TRIMESTRAL'!E48</f>
        <v>Buffer TIPO ABBOTT</v>
      </c>
      <c r="D20" s="173"/>
      <c r="E20" s="173"/>
      <c r="F20" s="173"/>
      <c r="G20" s="174"/>
      <c r="H20" s="128" t="s">
        <v>170</v>
      </c>
      <c r="I20" s="129" t="str">
        <f>'SAF 011 - NECESIDAD TRIMESTRAL'!F48</f>
        <v>CAJA</v>
      </c>
      <c r="J20" s="130">
        <f>'SAF 011 - NECESIDAD TRIMESTRAL'!H48</f>
        <v>8300</v>
      </c>
      <c r="K20" s="131" t="e">
        <f>'SAF 011 - NECESIDAD TRIMESTRAL'!#REF!</f>
        <v>#REF!</v>
      </c>
    </row>
    <row r="21" spans="1:11" s="106" customFormat="1" ht="15.75" customHeight="1" x14ac:dyDescent="0.25">
      <c r="A21" s="127">
        <v>10</v>
      </c>
      <c r="B21" s="128"/>
      <c r="C21" s="172" t="str">
        <f>'SAF 011 - NECESIDAD TRIMESTRAL'!E53</f>
        <v>Celdas de Reaccion TIPO ABBOTT</v>
      </c>
      <c r="D21" s="173"/>
      <c r="E21" s="173"/>
      <c r="F21" s="173"/>
      <c r="G21" s="174"/>
      <c r="H21" s="128" t="s">
        <v>170</v>
      </c>
      <c r="I21" s="129" t="str">
        <f>'SAF 011 - NECESIDAD TRIMESTRAL'!F53</f>
        <v>CAJA</v>
      </c>
      <c r="J21" s="130">
        <f>'SAF 011 - NECESIDAD TRIMESTRAL'!H53</f>
        <v>11685</v>
      </c>
      <c r="K21" s="131" t="e">
        <f>'SAF 011 - NECESIDAD TRIMESTRAL'!#REF!</f>
        <v>#REF!</v>
      </c>
    </row>
    <row r="22" spans="1:11" s="106" customFormat="1" ht="15.75" customHeight="1" x14ac:dyDescent="0.25">
      <c r="A22" s="127">
        <v>11</v>
      </c>
      <c r="B22" s="128"/>
      <c r="C22" s="172" t="str">
        <f>'SAF 011 - NECESIDAD TRIMESTRAL'!E55</f>
        <v>CHAGATEST ELISA LISADO-96DET.</v>
      </c>
      <c r="D22" s="173"/>
      <c r="E22" s="173"/>
      <c r="F22" s="173"/>
      <c r="G22" s="174"/>
      <c r="H22" s="128" t="s">
        <v>170</v>
      </c>
      <c r="I22" s="129" t="str">
        <f>'SAF 011 - NECESIDAD TRIMESTRAL'!F55</f>
        <v>UNIDAD</v>
      </c>
      <c r="J22" s="130">
        <f>'SAF 011 - NECESIDAD TRIMESTRAL'!H55</f>
        <v>10206</v>
      </c>
      <c r="K22" s="131" t="e">
        <f>'SAF 011 - NECESIDAD TRIMESTRAL'!#REF!</f>
        <v>#REF!</v>
      </c>
    </row>
    <row r="23" spans="1:11" s="106" customFormat="1" ht="15.75" customHeight="1" x14ac:dyDescent="0.25">
      <c r="A23" s="127">
        <v>12</v>
      </c>
      <c r="B23" s="128"/>
      <c r="C23" s="172" t="str">
        <f>'SAF 011 - NECESIDAD TRIMESTRAL'!E56</f>
        <v>CHAGATEST ELISA RECOMBINANTE (V4,0)-96 DET.</v>
      </c>
      <c r="D23" s="173"/>
      <c r="E23" s="173"/>
      <c r="F23" s="173"/>
      <c r="G23" s="174"/>
      <c r="H23" s="128" t="s">
        <v>170</v>
      </c>
      <c r="I23" s="129" t="str">
        <f>'SAF 011 - NECESIDAD TRIMESTRAL'!F56</f>
        <v>UNIDAD</v>
      </c>
      <c r="J23" s="130">
        <f>'SAF 011 - NECESIDAD TRIMESTRAL'!H56</f>
        <v>11295</v>
      </c>
      <c r="K23" s="131" t="e">
        <f>'SAF 011 - NECESIDAD TRIMESTRAL'!#REF!</f>
        <v>#REF!</v>
      </c>
    </row>
    <row r="24" spans="1:11" s="106" customFormat="1" ht="15.75" customHeight="1" x14ac:dyDescent="0.25">
      <c r="A24" s="127">
        <v>13</v>
      </c>
      <c r="B24" s="128"/>
      <c r="C24" s="172" t="str">
        <f>'SAF 011 - NECESIDAD TRIMESTRAL'!E61</f>
        <v>CMV CITOMEGALOVIRUS IGM  METODO ELISA 96 DET.</v>
      </c>
      <c r="D24" s="173"/>
      <c r="E24" s="173"/>
      <c r="F24" s="173"/>
      <c r="G24" s="174"/>
      <c r="H24" s="128" t="s">
        <v>170</v>
      </c>
      <c r="I24" s="129" t="str">
        <f>'SAF 011 - NECESIDAD TRIMESTRAL'!F61</f>
        <v>UNIDAD</v>
      </c>
      <c r="J24" s="130">
        <f>'SAF 011 - NECESIDAD TRIMESTRAL'!H61</f>
        <v>19749</v>
      </c>
      <c r="K24" s="131" t="e">
        <f>'SAF 011 - NECESIDAD TRIMESTRAL'!#REF!</f>
        <v>#REF!</v>
      </c>
    </row>
    <row r="25" spans="1:11" s="106" customFormat="1" ht="15.75" customHeight="1" x14ac:dyDescent="0.25">
      <c r="A25" s="127">
        <v>14</v>
      </c>
      <c r="B25" s="128"/>
      <c r="C25" s="172" t="str">
        <f>'SAF 011 - NECESIDAD TRIMESTRAL'!E72</f>
        <v>DG GEL ABO RH 2D</v>
      </c>
      <c r="D25" s="173"/>
      <c r="E25" s="173"/>
      <c r="F25" s="173"/>
      <c r="G25" s="174"/>
      <c r="H25" s="128" t="s">
        <v>170</v>
      </c>
      <c r="I25" s="129" t="str">
        <f>'SAF 011 - NECESIDAD TRIMESTRAL'!F72</f>
        <v>UNIDAD</v>
      </c>
      <c r="J25" s="130">
        <f>'SAF 011 - NECESIDAD TRIMESTRAL'!H72</f>
        <v>590</v>
      </c>
      <c r="K25" s="131" t="e">
        <f>'SAF 011 - NECESIDAD TRIMESTRAL'!#REF!</f>
        <v>#REF!</v>
      </c>
    </row>
    <row r="26" spans="1:11" s="106" customFormat="1" ht="15.75" customHeight="1" x14ac:dyDescent="0.25">
      <c r="A26" s="127">
        <v>15</v>
      </c>
      <c r="B26" s="128"/>
      <c r="C26" s="172" t="str">
        <f>'SAF 011 - NECESIDAD TRIMESTRAL'!E73</f>
        <v>DG GEL COOMBS</v>
      </c>
      <c r="D26" s="173"/>
      <c r="E26" s="173"/>
      <c r="F26" s="173"/>
      <c r="G26" s="174"/>
      <c r="H26" s="128" t="s">
        <v>170</v>
      </c>
      <c r="I26" s="129" t="str">
        <f>'SAF 011 - NECESIDAD TRIMESTRAL'!F73</f>
        <v>UNIDAD</v>
      </c>
      <c r="J26" s="130">
        <f>'SAF 011 - NECESIDAD TRIMESTRAL'!H73</f>
        <v>725</v>
      </c>
      <c r="K26" s="131" t="e">
        <f>'SAF 011 - NECESIDAD TRIMESTRAL'!#REF!</f>
        <v>#REF!</v>
      </c>
    </row>
    <row r="27" spans="1:11" s="106" customFormat="1" ht="15.75" customHeight="1" x14ac:dyDescent="0.25">
      <c r="A27" s="127">
        <v>16</v>
      </c>
      <c r="B27" s="128"/>
      <c r="C27" s="172" t="str">
        <f>'SAF 011 - NECESIDAD TRIMESTRAL'!E74</f>
        <v>DG GEL PHENO+KELL</v>
      </c>
      <c r="D27" s="173"/>
      <c r="E27" s="173"/>
      <c r="F27" s="173"/>
      <c r="G27" s="174"/>
      <c r="H27" s="128" t="s">
        <v>170</v>
      </c>
      <c r="I27" s="129" t="str">
        <f>'SAF 011 - NECESIDAD TRIMESTRAL'!F74</f>
        <v>UNIDAD</v>
      </c>
      <c r="J27" s="130">
        <f>'SAF 011 - NECESIDAD TRIMESTRAL'!H74</f>
        <v>795</v>
      </c>
      <c r="K27" s="131" t="e">
        <f>'SAF 011 - NECESIDAD TRIMESTRAL'!#REF!</f>
        <v>#REF!</v>
      </c>
    </row>
    <row r="28" spans="1:11" s="106" customFormat="1" ht="15.75" customHeight="1" x14ac:dyDescent="0.25">
      <c r="A28" s="127">
        <v>17</v>
      </c>
      <c r="B28" s="128"/>
      <c r="C28" s="172" t="str">
        <f>'SAF 011 - NECESIDAD TRIMESTRAL'!E75</f>
        <v>DG SOL</v>
      </c>
      <c r="D28" s="173"/>
      <c r="E28" s="173"/>
      <c r="F28" s="173"/>
      <c r="G28" s="174"/>
      <c r="H28" s="128" t="s">
        <v>170</v>
      </c>
      <c r="I28" s="129" t="str">
        <f>'SAF 011 - NECESIDAD TRIMESTRAL'!F75</f>
        <v>UNIDAD</v>
      </c>
      <c r="J28" s="130">
        <f>'SAF 011 - NECESIDAD TRIMESTRAL'!H75</f>
        <v>4980</v>
      </c>
      <c r="K28" s="131" t="e">
        <f>'SAF 011 - NECESIDAD TRIMESTRAL'!#REF!</f>
        <v>#REF!</v>
      </c>
    </row>
    <row r="29" spans="1:11" s="106" customFormat="1" ht="24" customHeight="1" x14ac:dyDescent="0.25">
      <c r="A29" s="127">
        <v>18</v>
      </c>
      <c r="B29" s="128"/>
      <c r="C29" s="172" t="str">
        <f>'SAF 011 - NECESIDAD TRIMESTRAL'!E77</f>
        <v>Equipo para la deteccion de Anti Hb Core, por metodo de Elisa  en microplacas en equipos de 96 det. Monolisa HBc Plus</v>
      </c>
      <c r="D29" s="173"/>
      <c r="E29" s="173"/>
      <c r="F29" s="173"/>
      <c r="G29" s="174"/>
      <c r="H29" s="128" t="s">
        <v>170</v>
      </c>
      <c r="I29" s="129" t="str">
        <f>'SAF 011 - NECESIDAD TRIMESTRAL'!F77</f>
        <v>CAJA</v>
      </c>
      <c r="J29" s="130">
        <f>'SAF 011 - NECESIDAD TRIMESTRAL'!H77</f>
        <v>20160</v>
      </c>
      <c r="K29" s="131" t="e">
        <f>'SAF 011 - NECESIDAD TRIMESTRAL'!#REF!</f>
        <v>#REF!</v>
      </c>
    </row>
    <row r="30" spans="1:11" s="106" customFormat="1" ht="15.75" customHeight="1" x14ac:dyDescent="0.25">
      <c r="A30" s="127">
        <v>19</v>
      </c>
      <c r="B30" s="128"/>
      <c r="C30" s="172" t="str">
        <f>'SAF 011 - NECESIDAD TRIMESTRAL'!E78</f>
        <v>Equipos Covidar IGG x 192 determinaciones tipo Lemos</v>
      </c>
      <c r="D30" s="173"/>
      <c r="E30" s="173"/>
      <c r="F30" s="173"/>
      <c r="G30" s="174"/>
      <c r="H30" s="128" t="s">
        <v>170</v>
      </c>
      <c r="I30" s="129" t="str">
        <f>'SAF 011 - NECESIDAD TRIMESTRAL'!F78</f>
        <v>CAJA</v>
      </c>
      <c r="J30" s="130">
        <f>'SAF 011 - NECESIDAD TRIMESTRAL'!H78</f>
        <v>19743.57</v>
      </c>
      <c r="K30" s="131" t="e">
        <f>'SAF 011 - NECESIDAD TRIMESTRAL'!#REF!</f>
        <v>#REF!</v>
      </c>
    </row>
    <row r="31" spans="1:11" s="106" customFormat="1" ht="84" customHeight="1" x14ac:dyDescent="0.25">
      <c r="A31" s="127">
        <v>20</v>
      </c>
      <c r="B31" s="128"/>
      <c r="C31" s="172" t="str">
        <f>'SAF 011 - NECESIDAD TRIMESTRAL'!E79</f>
        <v>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v>
      </c>
      <c r="D31" s="173"/>
      <c r="E31" s="173"/>
      <c r="F31" s="173"/>
      <c r="G31" s="174"/>
      <c r="H31" s="128" t="s">
        <v>170</v>
      </c>
      <c r="I31" s="129" t="str">
        <f>'SAF 011 - NECESIDAD TRIMESTRAL'!F79</f>
        <v>CAJA</v>
      </c>
      <c r="J31" s="130">
        <f>'SAF 011 - NECESIDAD TRIMESTRAL'!H79</f>
        <v>36300</v>
      </c>
      <c r="K31" s="131" t="e">
        <f>'SAF 011 - NECESIDAD TRIMESTRAL'!#REF!</f>
        <v>#REF!</v>
      </c>
    </row>
    <row r="32" spans="1:11" s="106" customFormat="1" ht="15.75" customHeight="1" x14ac:dyDescent="0.25">
      <c r="A32" s="127">
        <v>21</v>
      </c>
      <c r="B32" s="128"/>
      <c r="C32" s="172" t="str">
        <f>'SAF 011 - NECESIDAD TRIMESTRAL'!E91</f>
        <v>HEPATITIS B ELISA  HBSAG-96DET.</v>
      </c>
      <c r="D32" s="173"/>
      <c r="E32" s="173"/>
      <c r="F32" s="173"/>
      <c r="G32" s="174"/>
      <c r="H32" s="128" t="s">
        <v>170</v>
      </c>
      <c r="I32" s="129" t="str">
        <f>'SAF 011 - NECESIDAD TRIMESTRAL'!F91</f>
        <v>UNIDAD</v>
      </c>
      <c r="J32" s="130">
        <f>'SAF 011 - NECESIDAD TRIMESTRAL'!H91</f>
        <v>14586</v>
      </c>
      <c r="K32" s="131" t="e">
        <f>'SAF 011 - NECESIDAD TRIMESTRAL'!#REF!</f>
        <v>#REF!</v>
      </c>
    </row>
    <row r="33" spans="1:11" s="106" customFormat="1" ht="15.75" customHeight="1" x14ac:dyDescent="0.25">
      <c r="A33" s="127">
        <v>22</v>
      </c>
      <c r="B33" s="128"/>
      <c r="C33" s="172" t="str">
        <f>'SAF 011 - NECESIDAD TRIMESTRAL'!E92</f>
        <v>HEPATITIS C HCV ELISA 3º GEN. 96 DET.</v>
      </c>
      <c r="D33" s="173"/>
      <c r="E33" s="173"/>
      <c r="F33" s="173"/>
      <c r="G33" s="174"/>
      <c r="H33" s="128" t="s">
        <v>170</v>
      </c>
      <c r="I33" s="129" t="str">
        <f>'SAF 011 - NECESIDAD TRIMESTRAL'!F92</f>
        <v>UNIDAD</v>
      </c>
      <c r="J33" s="130">
        <f>'SAF 011 - NECESIDAD TRIMESTRAL'!H92</f>
        <v>39806</v>
      </c>
      <c r="K33" s="131" t="e">
        <f>'SAF 011 - NECESIDAD TRIMESTRAL'!#REF!</f>
        <v>#REF!</v>
      </c>
    </row>
    <row r="34" spans="1:11" s="106" customFormat="1" ht="15.75" customHeight="1" x14ac:dyDescent="0.25">
      <c r="A34" s="127">
        <v>23</v>
      </c>
      <c r="B34" s="128"/>
      <c r="C34" s="172" t="str">
        <f>'SAF 011 - NECESIDAD TRIMESTRAL'!E94</f>
        <v>HIV ELISA AG/AC 4° GENERACION -96 DET-</v>
      </c>
      <c r="D34" s="173"/>
      <c r="E34" s="173"/>
      <c r="F34" s="173"/>
      <c r="G34" s="174"/>
      <c r="H34" s="128" t="s">
        <v>170</v>
      </c>
      <c r="I34" s="129" t="str">
        <f>'SAF 011 - NECESIDAD TRIMESTRAL'!F94</f>
        <v xml:space="preserve">Unidad </v>
      </c>
      <c r="J34" s="130">
        <f>'SAF 011 - NECESIDAD TRIMESTRAL'!H94</f>
        <v>23147</v>
      </c>
      <c r="K34" s="131" t="e">
        <f>'SAF 011 - NECESIDAD TRIMESTRAL'!#REF!</f>
        <v>#REF!</v>
      </c>
    </row>
    <row r="35" spans="1:11" s="106" customFormat="1" ht="15.75" customHeight="1" x14ac:dyDescent="0.25">
      <c r="A35" s="127">
        <v>24</v>
      </c>
      <c r="B35" s="128"/>
      <c r="C35" s="172" t="str">
        <f>'SAF 011 - NECESIDAD TRIMESTRAL'!E95</f>
        <v>HTLV 1 Y 2 ELISA-96DET.</v>
      </c>
      <c r="D35" s="173"/>
      <c r="E35" s="173"/>
      <c r="F35" s="173"/>
      <c r="G35" s="174"/>
      <c r="H35" s="128" t="s">
        <v>170</v>
      </c>
      <c r="I35" s="129" t="str">
        <f>'SAF 011 - NECESIDAD TRIMESTRAL'!F95</f>
        <v>UNIDAD</v>
      </c>
      <c r="J35" s="130">
        <f>'SAF 011 - NECESIDAD TRIMESTRAL'!H95</f>
        <v>25747</v>
      </c>
      <c r="K35" s="131" t="e">
        <f>'SAF 011 - NECESIDAD TRIMESTRAL'!#REF!</f>
        <v>#REF!</v>
      </c>
    </row>
    <row r="36" spans="1:11" s="106" customFormat="1" ht="15.75" customHeight="1" x14ac:dyDescent="0.25">
      <c r="A36" s="127">
        <v>25</v>
      </c>
      <c r="B36" s="128"/>
      <c r="C36" s="172" t="str">
        <f>'SAF 011 - NECESIDAD TRIMESTRAL'!E96</f>
        <v>HVC REACTIVO x 100 det</v>
      </c>
      <c r="D36" s="173"/>
      <c r="E36" s="173"/>
      <c r="F36" s="173"/>
      <c r="G36" s="174"/>
      <c r="H36" s="128" t="s">
        <v>170</v>
      </c>
      <c r="I36" s="129" t="str">
        <f>'SAF 011 - NECESIDAD TRIMESTRAL'!F96</f>
        <v>CAJA</v>
      </c>
      <c r="J36" s="130">
        <f>'SAF 011 - NECESIDAD TRIMESTRAL'!H96</f>
        <v>50545</v>
      </c>
      <c r="K36" s="131" t="e">
        <f>'SAF 011 - NECESIDAD TRIMESTRAL'!#REF!</f>
        <v>#REF!</v>
      </c>
    </row>
    <row r="37" spans="1:11" s="106" customFormat="1" ht="15.75" customHeight="1" x14ac:dyDescent="0.25">
      <c r="A37" s="127">
        <v>26</v>
      </c>
      <c r="B37" s="128"/>
      <c r="C37" s="172" t="str">
        <f>'SAF 011 - NECESIDAD TRIMESTRAL'!E102</f>
        <v>KIT PLASMAFERESIS TIPO GRIFOLS</v>
      </c>
      <c r="D37" s="173"/>
      <c r="E37" s="173"/>
      <c r="F37" s="173"/>
      <c r="G37" s="174"/>
      <c r="H37" s="128" t="s">
        <v>170</v>
      </c>
      <c r="I37" s="129" t="str">
        <f>'SAF 011 - NECESIDAD TRIMESTRAL'!F102</f>
        <v>UNIDAD</v>
      </c>
      <c r="J37" s="130">
        <f>'SAF 011 - NECESIDAD TRIMESTRAL'!H102</f>
        <v>35090</v>
      </c>
      <c r="K37" s="131" t="e">
        <f>'SAF 011 - NECESIDAD TRIMESTRAL'!#REF!</f>
        <v>#REF!</v>
      </c>
    </row>
    <row r="38" spans="1:11" s="106" customFormat="1" ht="15.75" customHeight="1" x14ac:dyDescent="0.25">
      <c r="A38" s="127">
        <v>27</v>
      </c>
      <c r="B38" s="128"/>
      <c r="C38" s="172" t="str">
        <f>'SAF 011 - NECESIDAD TRIMESTRAL'!E103</f>
        <v>KITS PARA PLAQUETOFERESIS CON FILTRO TIPO GRIFOLS</v>
      </c>
      <c r="D38" s="173"/>
      <c r="E38" s="173"/>
      <c r="F38" s="173"/>
      <c r="G38" s="174"/>
      <c r="H38" s="128" t="s">
        <v>170</v>
      </c>
      <c r="I38" s="129" t="str">
        <f>'SAF 011 - NECESIDAD TRIMESTRAL'!F103</f>
        <v xml:space="preserve">UNIDAD </v>
      </c>
      <c r="J38" s="130">
        <f>'SAF 011 - NECESIDAD TRIMESTRAL'!H103</f>
        <v>35695</v>
      </c>
      <c r="K38" s="131" t="e">
        <f>'SAF 011 - NECESIDAD TRIMESTRAL'!#REF!</f>
        <v>#REF!</v>
      </c>
    </row>
    <row r="39" spans="1:11" s="106" customFormat="1" ht="15.75" customHeight="1" x14ac:dyDescent="0.25">
      <c r="A39" s="127">
        <v>28</v>
      </c>
      <c r="B39" s="128"/>
      <c r="C39" s="172" t="str">
        <f>'SAF 011 - NECESIDAD TRIMESTRAL'!E118</f>
        <v>PANEL IDENTISERA DIANA TIPO GRIFOLS</v>
      </c>
      <c r="D39" s="173"/>
      <c r="E39" s="173"/>
      <c r="F39" s="173"/>
      <c r="G39" s="174"/>
      <c r="H39" s="128" t="s">
        <v>170</v>
      </c>
      <c r="I39" s="129" t="str">
        <f>'SAF 011 - NECESIDAD TRIMESTRAL'!F118</f>
        <v>UNIDAD</v>
      </c>
      <c r="J39" s="130">
        <f>'SAF 011 - NECESIDAD TRIMESTRAL'!H118</f>
        <v>29160</v>
      </c>
      <c r="K39" s="131" t="e">
        <f>'SAF 011 - NECESIDAD TRIMESTRAL'!#REF!</f>
        <v>#REF!</v>
      </c>
    </row>
    <row r="40" spans="1:11" s="106" customFormat="1" ht="15.75" customHeight="1" x14ac:dyDescent="0.25">
      <c r="A40" s="127">
        <v>29</v>
      </c>
      <c r="B40" s="128"/>
      <c r="C40" s="172" t="str">
        <f>'SAF 011 - NECESIDAD TRIMESTRAL'!E119</f>
        <v>PANEL SARASCAN DIANA 2 TIPO GRIFOLS</v>
      </c>
      <c r="D40" s="173"/>
      <c r="E40" s="173"/>
      <c r="F40" s="173"/>
      <c r="G40" s="174"/>
      <c r="H40" s="128" t="s">
        <v>170</v>
      </c>
      <c r="I40" s="129" t="str">
        <f>'SAF 011 - NECESIDAD TRIMESTRAL'!F119</f>
        <v>UNIDAD</v>
      </c>
      <c r="J40" s="130">
        <f>'SAF 011 - NECESIDAD TRIMESTRAL'!H119</f>
        <v>22500</v>
      </c>
      <c r="K40" s="131" t="e">
        <f>'SAF 011 - NECESIDAD TRIMESTRAL'!#REF!</f>
        <v>#REF!</v>
      </c>
    </row>
    <row r="41" spans="1:11" s="106" customFormat="1" ht="15.75" customHeight="1" x14ac:dyDescent="0.25">
      <c r="A41" s="127">
        <v>30</v>
      </c>
      <c r="B41" s="128"/>
      <c r="C41" s="172" t="str">
        <f>'SAF 011 - NECESIDAD TRIMESTRAL'!E120</f>
        <v>PANEL SERIGRUP A1/B TIPO GRIFOLS</v>
      </c>
      <c r="D41" s="173"/>
      <c r="E41" s="173"/>
      <c r="F41" s="173"/>
      <c r="G41" s="174"/>
      <c r="H41" s="128" t="s">
        <v>170</v>
      </c>
      <c r="I41" s="129" t="str">
        <f>'SAF 011 - NECESIDAD TRIMESTRAL'!F120</f>
        <v xml:space="preserve">UNIDAD </v>
      </c>
      <c r="J41" s="130">
        <f>'SAF 011 - NECESIDAD TRIMESTRAL'!H120</f>
        <v>15588</v>
      </c>
      <c r="K41" s="131" t="e">
        <f>'SAF 011 - NECESIDAD TRIMESTRAL'!#REF!</f>
        <v>#REF!</v>
      </c>
    </row>
    <row r="42" spans="1:11" s="106" customFormat="1" ht="15.75" customHeight="1" x14ac:dyDescent="0.25">
      <c r="A42" s="127">
        <v>31</v>
      </c>
      <c r="B42" s="128"/>
      <c r="C42" s="172" t="str">
        <f>'SAF 011 - NECESIDAD TRIMESTRAL'!E121</f>
        <v>PANEL SERO cyte 0,8% TIPO GRIFOLS</v>
      </c>
      <c r="D42" s="173"/>
      <c r="E42" s="173"/>
      <c r="F42" s="173"/>
      <c r="G42" s="174"/>
      <c r="H42" s="128" t="s">
        <v>170</v>
      </c>
      <c r="I42" s="129" t="str">
        <f>'SAF 011 - NECESIDAD TRIMESTRAL'!F121</f>
        <v xml:space="preserve">UNIDAD </v>
      </c>
      <c r="J42" s="130">
        <f>'SAF 011 - NECESIDAD TRIMESTRAL'!H121</f>
        <v>16500</v>
      </c>
      <c r="K42" s="131" t="e">
        <f>'SAF 011 - NECESIDAD TRIMESTRAL'!#REF!</f>
        <v>#REF!</v>
      </c>
    </row>
    <row r="43" spans="1:11" s="106" customFormat="1" ht="15.75" customHeight="1" x14ac:dyDescent="0.25">
      <c r="A43" s="127">
        <v>32</v>
      </c>
      <c r="B43" s="128"/>
      <c r="C43" s="172" t="str">
        <f>'SAF 011 - NECESIDAD TRIMESTRAL'!E127</f>
        <v>Pre-trigger TIPO ABBOTT</v>
      </c>
      <c r="D43" s="173"/>
      <c r="E43" s="173"/>
      <c r="F43" s="173"/>
      <c r="G43" s="174"/>
      <c r="H43" s="128" t="s">
        <v>170</v>
      </c>
      <c r="I43" s="129" t="str">
        <f>'SAF 011 - NECESIDAD TRIMESTRAL'!F127</f>
        <v>CAJA</v>
      </c>
      <c r="J43" s="130">
        <f>'SAF 011 - NECESIDAD TRIMESTRAL'!H127</f>
        <v>16980</v>
      </c>
      <c r="K43" s="131" t="e">
        <f>'SAF 011 - NECESIDAD TRIMESTRAL'!#REF!</f>
        <v>#REF!</v>
      </c>
    </row>
    <row r="44" spans="1:11" s="106" customFormat="1" ht="15.75" customHeight="1" x14ac:dyDescent="0.25">
      <c r="A44" s="127">
        <v>33</v>
      </c>
      <c r="B44" s="128"/>
      <c r="C44" s="172" t="str">
        <f>'SAF 011 - NECESIDAD TRIMESTRAL'!E135</f>
        <v>SARS- COV-2 Igm Control</v>
      </c>
      <c r="D44" s="173"/>
      <c r="E44" s="173"/>
      <c r="F44" s="173"/>
      <c r="G44" s="174"/>
      <c r="H44" s="128" t="s">
        <v>170</v>
      </c>
      <c r="I44" s="129" t="str">
        <f>'SAF 011 - NECESIDAD TRIMESTRAL'!F135</f>
        <v>CAJA</v>
      </c>
      <c r="J44" s="130">
        <f>'SAF 011 - NECESIDAD TRIMESTRAL'!H135</f>
        <v>17788</v>
      </c>
      <c r="K44" s="131" t="e">
        <f>'SAF 011 - NECESIDAD TRIMESTRAL'!#REF!</f>
        <v>#REF!</v>
      </c>
    </row>
    <row r="45" spans="1:11" s="106" customFormat="1" ht="15.75" customHeight="1" x14ac:dyDescent="0.25">
      <c r="A45" s="127">
        <v>34</v>
      </c>
      <c r="B45" s="128"/>
      <c r="C45" s="172" t="str">
        <f>'SAF 011 - NECESIDAD TRIMESTRAL'!E136</f>
        <v>SARS-COV-2 IgG Reactivo x 100 det</v>
      </c>
      <c r="D45" s="173"/>
      <c r="E45" s="173"/>
      <c r="F45" s="173"/>
      <c r="G45" s="174"/>
      <c r="H45" s="128" t="s">
        <v>170</v>
      </c>
      <c r="I45" s="129" t="str">
        <f>'SAF 011 - NECESIDAD TRIMESTRAL'!F136</f>
        <v>CAJA</v>
      </c>
      <c r="J45" s="130">
        <f>'SAF 011 - NECESIDAD TRIMESTRAL'!H136</f>
        <v>64700</v>
      </c>
      <c r="K45" s="131" t="e">
        <f>'SAF 011 - NECESIDAD TRIMESTRAL'!#REF!</f>
        <v>#REF!</v>
      </c>
    </row>
    <row r="46" spans="1:11" s="106" customFormat="1" ht="15.75" customHeight="1" x14ac:dyDescent="0.25">
      <c r="A46" s="127">
        <v>35</v>
      </c>
      <c r="B46" s="128"/>
      <c r="C46" s="172" t="str">
        <f>'SAF 011 - NECESIDAD TRIMESTRAL'!E137</f>
        <v>SARS-COV-2 IgM Calibrador</v>
      </c>
      <c r="D46" s="173"/>
      <c r="E46" s="173"/>
      <c r="F46" s="173"/>
      <c r="G46" s="174"/>
      <c r="H46" s="128" t="s">
        <v>170</v>
      </c>
      <c r="I46" s="129" t="str">
        <f>'SAF 011 - NECESIDAD TRIMESTRAL'!F137</f>
        <v>CAJA</v>
      </c>
      <c r="J46" s="130">
        <f>'SAF 011 - NECESIDAD TRIMESTRAL'!H137</f>
        <v>12540</v>
      </c>
      <c r="K46" s="131" t="e">
        <f>'SAF 011 - NECESIDAD TRIMESTRAL'!#REF!</f>
        <v>#REF!</v>
      </c>
    </row>
    <row r="47" spans="1:11" s="106" customFormat="1" ht="15.75" customHeight="1" x14ac:dyDescent="0.25">
      <c r="A47" s="127">
        <v>36</v>
      </c>
      <c r="B47" s="128"/>
      <c r="C47" s="172" t="str">
        <f>'SAF 011 - NECESIDAD TRIMESTRAL'!E138</f>
        <v>SERIGROUP A 1/B</v>
      </c>
      <c r="D47" s="173"/>
      <c r="E47" s="173"/>
      <c r="F47" s="173"/>
      <c r="G47" s="174"/>
      <c r="H47" s="128" t="s">
        <v>170</v>
      </c>
      <c r="I47" s="129" t="str">
        <f>'SAF 011 - NECESIDAD TRIMESTRAL'!F138</f>
        <v>UNIDAD</v>
      </c>
      <c r="J47" s="130">
        <f>'SAF 011 - NECESIDAD TRIMESTRAL'!H138</f>
        <v>12900</v>
      </c>
      <c r="K47" s="131" t="e">
        <f>'SAF 011 - NECESIDAD TRIMESTRAL'!#REF!</f>
        <v>#REF!</v>
      </c>
    </row>
    <row r="48" spans="1:11" s="106" customFormat="1" ht="15.75" customHeight="1" x14ac:dyDescent="0.25">
      <c r="A48" s="127">
        <v>37</v>
      </c>
      <c r="B48" s="128"/>
      <c r="C48" s="172" t="str">
        <f>'SAF 011 - NECESIDAD TRIMESTRAL'!E139</f>
        <v>SERO CYTE POOL 0,8%</v>
      </c>
      <c r="D48" s="173"/>
      <c r="E48" s="173"/>
      <c r="F48" s="173"/>
      <c r="G48" s="174"/>
      <c r="H48" s="128" t="s">
        <v>170</v>
      </c>
      <c r="I48" s="129" t="str">
        <f>'SAF 011 - NECESIDAD TRIMESTRAL'!F139</f>
        <v>UNIDAD</v>
      </c>
      <c r="J48" s="130">
        <f>'SAF 011 - NECESIDAD TRIMESTRAL'!H139</f>
        <v>18500</v>
      </c>
      <c r="K48" s="131" t="e">
        <f>'SAF 011 - NECESIDAD TRIMESTRAL'!#REF!</f>
        <v>#REF!</v>
      </c>
    </row>
    <row r="49" spans="1:11" s="106" customFormat="1" ht="15.75" customHeight="1" x14ac:dyDescent="0.25">
      <c r="A49" s="127">
        <v>38</v>
      </c>
      <c r="B49" s="128"/>
      <c r="C49" s="172" t="str">
        <f>'SAF 011 - NECESIDAD TRIMESTRAL'!E142</f>
        <v>solucion ACD ( ANTICOAGULANTE PARA EQUIPO DE AFERESIS)</v>
      </c>
      <c r="D49" s="173"/>
      <c r="E49" s="173"/>
      <c r="F49" s="173"/>
      <c r="G49" s="174"/>
      <c r="H49" s="128" t="s">
        <v>170</v>
      </c>
      <c r="I49" s="129" t="str">
        <f>'SAF 011 - NECESIDAD TRIMESTRAL'!F142</f>
        <v>UNIDAD</v>
      </c>
      <c r="J49" s="130">
        <f>'SAF 011 - NECESIDAD TRIMESTRAL'!H142</f>
        <v>4350</v>
      </c>
      <c r="K49" s="131" t="e">
        <f>'SAF 011 - NECESIDAD TRIMESTRAL'!#REF!</f>
        <v>#REF!</v>
      </c>
    </row>
    <row r="50" spans="1:11" s="106" customFormat="1" ht="15.75" customHeight="1" x14ac:dyDescent="0.25">
      <c r="A50" s="127">
        <v>39</v>
      </c>
      <c r="B50" s="128"/>
      <c r="C50" s="172" t="str">
        <f>'SAF 011 - NECESIDAD TRIMESTRAL'!E143</f>
        <v>SOLUCION DG SOL X 100ML TIPO GRIFOLS</v>
      </c>
      <c r="D50" s="173"/>
      <c r="E50" s="173"/>
      <c r="F50" s="173"/>
      <c r="G50" s="174"/>
      <c r="H50" s="128" t="s">
        <v>170</v>
      </c>
      <c r="I50" s="129" t="str">
        <f>'SAF 011 - NECESIDAD TRIMESTRAL'!F143</f>
        <v xml:space="preserve">UNIDAD </v>
      </c>
      <c r="J50" s="130">
        <f>'SAF 011 - NECESIDAD TRIMESTRAL'!H143</f>
        <v>4980</v>
      </c>
      <c r="K50" s="131" t="e">
        <f>'SAF 011 - NECESIDAD TRIMESTRAL'!#REF!</f>
        <v>#REF!</v>
      </c>
    </row>
    <row r="51" spans="1:11" s="106" customFormat="1" ht="15.75" customHeight="1" x14ac:dyDescent="0.25">
      <c r="A51" s="127">
        <v>40</v>
      </c>
      <c r="B51" s="128"/>
      <c r="C51" s="172" t="str">
        <f>'SAF 011 - NECESIDAD TRIMESTRAL'!E147</f>
        <v>SUERO ANTI HUMANO COOMBS TIPO GRIFOLS</v>
      </c>
      <c r="D51" s="173"/>
      <c r="E51" s="173"/>
      <c r="F51" s="173"/>
      <c r="G51" s="174"/>
      <c r="H51" s="128" t="s">
        <v>170</v>
      </c>
      <c r="I51" s="129" t="str">
        <f>'SAF 011 - NECESIDAD TRIMESTRAL'!F147</f>
        <v>UNIDAD</v>
      </c>
      <c r="J51" s="130">
        <f>'SAF 011 - NECESIDAD TRIMESTRAL'!H147</f>
        <v>1325</v>
      </c>
      <c r="K51" s="131" t="e">
        <f>'SAF 011 - NECESIDAD TRIMESTRAL'!#REF!</f>
        <v>#REF!</v>
      </c>
    </row>
    <row r="52" spans="1:11" s="106" customFormat="1" ht="15.75" customHeight="1" x14ac:dyDescent="0.25">
      <c r="A52" s="127">
        <v>41</v>
      </c>
      <c r="B52" s="128"/>
      <c r="C52" s="172" t="str">
        <f>'SAF 011 - NECESIDAD TRIMESTRAL'!E151</f>
        <v>TARJETA DE GEL ABO RH 2d TIPO GRIFOLS</v>
      </c>
      <c r="D52" s="173"/>
      <c r="E52" s="173"/>
      <c r="F52" s="173"/>
      <c r="G52" s="174"/>
      <c r="H52" s="128" t="s">
        <v>170</v>
      </c>
      <c r="I52" s="129" t="str">
        <f>'SAF 011 - NECESIDAD TRIMESTRAL'!F151</f>
        <v xml:space="preserve">UNIDAD </v>
      </c>
      <c r="J52" s="130">
        <f>'SAF 011 - NECESIDAD TRIMESTRAL'!H151</f>
        <v>665.5</v>
      </c>
      <c r="K52" s="131" t="e">
        <f>'SAF 011 - NECESIDAD TRIMESTRAL'!#REF!</f>
        <v>#REF!</v>
      </c>
    </row>
    <row r="53" spans="1:11" s="106" customFormat="1" ht="15.75" customHeight="1" x14ac:dyDescent="0.25">
      <c r="A53" s="127">
        <v>42</v>
      </c>
      <c r="B53" s="128"/>
      <c r="C53" s="172" t="str">
        <f>'SAF 011 - NECESIDAD TRIMESTRAL'!E152</f>
        <v>TARJETA DE GEL COOMBS TIPO GRIFOLS</v>
      </c>
      <c r="D53" s="173"/>
      <c r="E53" s="173"/>
      <c r="F53" s="173"/>
      <c r="G53" s="174"/>
      <c r="H53" s="128" t="s">
        <v>170</v>
      </c>
      <c r="I53" s="129" t="str">
        <f>'SAF 011 - NECESIDAD TRIMESTRAL'!F152</f>
        <v xml:space="preserve">UNIDAD </v>
      </c>
      <c r="J53" s="130">
        <f>'SAF 011 - NECESIDAD TRIMESTRAL'!H152</f>
        <v>871.2</v>
      </c>
      <c r="K53" s="131" t="e">
        <f>'SAF 011 - NECESIDAD TRIMESTRAL'!#REF!</f>
        <v>#REF!</v>
      </c>
    </row>
    <row r="54" spans="1:11" s="106" customFormat="1" ht="15.75" customHeight="1" x14ac:dyDescent="0.25">
      <c r="A54" s="127">
        <v>43</v>
      </c>
      <c r="B54" s="128"/>
      <c r="C54" s="172" t="str">
        <f>'SAF 011 - NECESIDAD TRIMESTRAL'!E153</f>
        <v>TARJETA DE GEL PHENO TIPO GRIFOLS</v>
      </c>
      <c r="D54" s="173"/>
      <c r="E54" s="173"/>
      <c r="F54" s="173"/>
      <c r="G54" s="174"/>
      <c r="H54" s="128" t="s">
        <v>170</v>
      </c>
      <c r="I54" s="129" t="str">
        <f>'SAF 011 - NECESIDAD TRIMESTRAL'!F153</f>
        <v>UNIDAD</v>
      </c>
      <c r="J54" s="130">
        <f>'SAF 011 - NECESIDAD TRIMESTRAL'!H153</f>
        <v>954</v>
      </c>
      <c r="K54" s="131" t="e">
        <f>'SAF 011 - NECESIDAD TRIMESTRAL'!#REF!</f>
        <v>#REF!</v>
      </c>
    </row>
    <row r="55" spans="1:11" s="106" customFormat="1" ht="15.75" customHeight="1" x14ac:dyDescent="0.25">
      <c r="A55" s="127">
        <v>44</v>
      </c>
      <c r="B55" s="128"/>
      <c r="C55" s="172" t="str">
        <f>'SAF 011 - NECESIDAD TRIMESTRAL'!E157</f>
        <v>TOXO HAI 96 DET.</v>
      </c>
      <c r="D55" s="173"/>
      <c r="E55" s="173"/>
      <c r="F55" s="173"/>
      <c r="G55" s="174"/>
      <c r="H55" s="128" t="s">
        <v>170</v>
      </c>
      <c r="I55" s="129" t="str">
        <f>'SAF 011 - NECESIDAD TRIMESTRAL'!F157</f>
        <v>UNIDAD</v>
      </c>
      <c r="J55" s="130">
        <f>'SAF 011 - NECESIDAD TRIMESTRAL'!H157</f>
        <v>16645</v>
      </c>
      <c r="K55" s="131" t="e">
        <f>'SAF 011 - NECESIDAD TRIMESTRAL'!#REF!</f>
        <v>#REF!</v>
      </c>
    </row>
    <row r="56" spans="1:11" s="106" customFormat="1" ht="15.75" customHeight="1" x14ac:dyDescent="0.25">
      <c r="A56" s="127">
        <v>45</v>
      </c>
      <c r="B56" s="128"/>
      <c r="C56" s="172" t="str">
        <f>'SAF 011 - NECESIDAD TRIMESTRAL'!E158</f>
        <v>Trigger TIPO ABBOTT</v>
      </c>
      <c r="D56" s="173"/>
      <c r="E56" s="173"/>
      <c r="F56" s="173"/>
      <c r="G56" s="174"/>
      <c r="H56" s="128" t="s">
        <v>170</v>
      </c>
      <c r="I56" s="129" t="str">
        <f>'SAF 011 - NECESIDAD TRIMESTRAL'!F158</f>
        <v>CAJA</v>
      </c>
      <c r="J56" s="130">
        <f>'SAF 011 - NECESIDAD TRIMESTRAL'!H158</f>
        <v>7395</v>
      </c>
      <c r="K56" s="131" t="e">
        <f>'SAF 011 - NECESIDAD TRIMESTRAL'!#REF!</f>
        <v>#REF!</v>
      </c>
    </row>
    <row r="57" spans="1:11" s="106" customFormat="1" ht="16.5" customHeight="1" x14ac:dyDescent="0.25">
      <c r="A57" s="127">
        <v>46</v>
      </c>
      <c r="B57" s="97"/>
      <c r="C57" s="172" t="str">
        <f>'SAF 011 - NECESIDAD TRIMESTRAL'!E167</f>
        <v>V.D.R.L. test 250 DET. Tipo WIENER</v>
      </c>
      <c r="D57" s="173"/>
      <c r="E57" s="173"/>
      <c r="F57" s="173"/>
      <c r="G57" s="174"/>
      <c r="H57" s="128" t="s">
        <v>170</v>
      </c>
      <c r="I57" s="132" t="str">
        <f>'SAF 011 - NECESIDAD TRIMESTRAL'!F167</f>
        <v>CAJA</v>
      </c>
      <c r="J57" s="108">
        <f>'SAF 011 - NECESIDAD TRIMESTRAL'!H167</f>
        <v>2674</v>
      </c>
      <c r="K57" s="109" t="e">
        <f>'SAF 011 - NECESIDAD TRIMESTRAL'!#REF!</f>
        <v>#REF!</v>
      </c>
    </row>
    <row r="58" spans="1:11" s="106" customFormat="1" ht="15.75" thickBot="1" x14ac:dyDescent="0.3">
      <c r="A58" s="158"/>
      <c r="B58" s="159"/>
      <c r="C58" s="218"/>
      <c r="D58" s="218"/>
      <c r="E58" s="218"/>
      <c r="F58" s="218"/>
      <c r="G58" s="218"/>
      <c r="H58" s="159"/>
      <c r="I58" s="160"/>
      <c r="J58" s="161"/>
      <c r="K58" s="162"/>
    </row>
    <row r="59" spans="1:11" ht="36" customHeight="1" thickBot="1" x14ac:dyDescent="0.3">
      <c r="A59" s="219" t="s">
        <v>264</v>
      </c>
      <c r="B59" s="219"/>
      <c r="C59" s="219"/>
      <c r="D59" s="219"/>
      <c r="E59" s="219"/>
      <c r="F59" s="219"/>
      <c r="G59" s="219"/>
      <c r="H59" s="219"/>
      <c r="I59" s="219"/>
      <c r="J59" s="220" t="e">
        <f>SUMPRODUCT(J12:J57,K12:K57)</f>
        <v>#REF!</v>
      </c>
      <c r="K59" s="221"/>
    </row>
  </sheetData>
  <mergeCells count="63">
    <mergeCell ref="A7:C7"/>
    <mergeCell ref="A1:I1"/>
    <mergeCell ref="A3:C3"/>
    <mergeCell ref="A4:C4"/>
    <mergeCell ref="A5:C5"/>
    <mergeCell ref="A6:C6"/>
    <mergeCell ref="C13:G13"/>
    <mergeCell ref="C12:G12"/>
    <mergeCell ref="J10:J11"/>
    <mergeCell ref="K10:K11"/>
    <mergeCell ref="A8:C8"/>
    <mergeCell ref="A10:A11"/>
    <mergeCell ref="B10:B11"/>
    <mergeCell ref="C10:G11"/>
    <mergeCell ref="H10:H11"/>
    <mergeCell ref="I10:I11"/>
    <mergeCell ref="C18:G18"/>
    <mergeCell ref="C14:G14"/>
    <mergeCell ref="C15:G15"/>
    <mergeCell ref="C16:G16"/>
    <mergeCell ref="C17:G17"/>
    <mergeCell ref="C24:G24"/>
    <mergeCell ref="C21:G21"/>
    <mergeCell ref="C22:G22"/>
    <mergeCell ref="C23:G23"/>
    <mergeCell ref="C19:G19"/>
    <mergeCell ref="C20:G20"/>
    <mergeCell ref="C29:G29"/>
    <mergeCell ref="C30:G30"/>
    <mergeCell ref="C31:G31"/>
    <mergeCell ref="C25:G25"/>
    <mergeCell ref="C26:G26"/>
    <mergeCell ref="C27:G27"/>
    <mergeCell ref="C28:G28"/>
    <mergeCell ref="C37:G37"/>
    <mergeCell ref="C38:G38"/>
    <mergeCell ref="C35:G35"/>
    <mergeCell ref="C36:G36"/>
    <mergeCell ref="C32:G32"/>
    <mergeCell ref="C33:G33"/>
    <mergeCell ref="C34:G34"/>
    <mergeCell ref="C43:G43"/>
    <mergeCell ref="C40:G40"/>
    <mergeCell ref="C41:G41"/>
    <mergeCell ref="C42:G42"/>
    <mergeCell ref="C39:G39"/>
    <mergeCell ref="C46:G46"/>
    <mergeCell ref="C47:G47"/>
    <mergeCell ref="C48:G48"/>
    <mergeCell ref="C49:G49"/>
    <mergeCell ref="C44:G44"/>
    <mergeCell ref="C45:G45"/>
    <mergeCell ref="C52:G52"/>
    <mergeCell ref="C53:G53"/>
    <mergeCell ref="C54:G54"/>
    <mergeCell ref="C50:G50"/>
    <mergeCell ref="C51:G51"/>
    <mergeCell ref="C58:G58"/>
    <mergeCell ref="A59:I59"/>
    <mergeCell ref="J59:K59"/>
    <mergeCell ref="C57:G57"/>
    <mergeCell ref="C55:G55"/>
    <mergeCell ref="C56:G5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2"/>
  <sheetViews>
    <sheetView workbookViewId="0">
      <selection activeCell="A39" sqref="A39:Q39"/>
    </sheetView>
  </sheetViews>
  <sheetFormatPr baseColWidth="10" defaultRowHeight="15" x14ac:dyDescent="0.25"/>
  <cols>
    <col min="1" max="5" width="4.42578125" style="17" customWidth="1"/>
    <col min="6" max="6" width="5" style="17" bestFit="1" customWidth="1"/>
    <col min="7" max="14" width="4.42578125" style="17" customWidth="1"/>
    <col min="15" max="16" width="14.85546875" style="17" customWidth="1"/>
    <col min="17" max="17" width="16.140625" style="103" customWidth="1"/>
    <col min="18" max="16384" width="11.42578125" style="17"/>
  </cols>
  <sheetData>
    <row r="1" spans="1:17" ht="15.75" thickBot="1" x14ac:dyDescent="0.3">
      <c r="A1" s="195" t="s">
        <v>5</v>
      </c>
      <c r="B1" s="195"/>
      <c r="C1" s="195"/>
      <c r="D1" s="196">
        <v>2022</v>
      </c>
      <c r="E1" s="196"/>
      <c r="F1" s="60"/>
      <c r="G1" s="60"/>
      <c r="H1" s="61"/>
      <c r="I1" s="61"/>
      <c r="J1" s="61"/>
      <c r="K1" s="61"/>
      <c r="L1" s="61"/>
      <c r="M1" s="61"/>
      <c r="N1" s="61"/>
      <c r="O1" s="62"/>
      <c r="P1" s="197" t="s">
        <v>139</v>
      </c>
      <c r="Q1" s="197"/>
    </row>
    <row r="2" spans="1:17" ht="15.75" thickBot="1" x14ac:dyDescent="0.3">
      <c r="A2" s="63"/>
      <c r="B2" s="64"/>
      <c r="C2" s="64"/>
      <c r="D2" s="64"/>
      <c r="E2" s="64"/>
      <c r="F2" s="64"/>
      <c r="G2" s="65"/>
      <c r="H2" s="66"/>
      <c r="I2" s="66"/>
      <c r="J2" s="66"/>
      <c r="K2" s="66"/>
      <c r="L2" s="66"/>
      <c r="M2" s="66"/>
      <c r="N2" s="66"/>
      <c r="O2" s="64"/>
      <c r="P2" s="197"/>
      <c r="Q2" s="197"/>
    </row>
    <row r="3" spans="1:17" ht="15.75" thickBot="1" x14ac:dyDescent="0.3">
      <c r="A3" s="63"/>
      <c r="B3" s="64"/>
      <c r="C3" s="64"/>
      <c r="D3" s="64"/>
      <c r="E3" s="64"/>
      <c r="F3" s="64"/>
      <c r="G3" s="65"/>
      <c r="H3" s="64"/>
      <c r="I3" s="64"/>
      <c r="J3" s="64"/>
      <c r="K3" s="64"/>
      <c r="L3" s="64"/>
      <c r="M3" s="64"/>
      <c r="N3" s="64"/>
      <c r="O3" s="64"/>
      <c r="P3" s="64"/>
      <c r="Q3" s="110"/>
    </row>
    <row r="4" spans="1:17" ht="15.75" thickBot="1" x14ac:dyDescent="0.3">
      <c r="A4" s="198" t="s">
        <v>140</v>
      </c>
      <c r="B4" s="198"/>
      <c r="C4" s="198"/>
      <c r="D4" s="198"/>
      <c r="E4" s="198"/>
      <c r="F4" s="198"/>
      <c r="G4" s="199" t="str">
        <f>'NP DPBS'!D3</f>
        <v>040 - MINISTERIO DE SALUD</v>
      </c>
      <c r="H4" s="199"/>
      <c r="I4" s="199"/>
      <c r="J4" s="199"/>
      <c r="K4" s="199"/>
      <c r="L4" s="199"/>
      <c r="M4" s="199"/>
      <c r="N4" s="199"/>
      <c r="O4" s="199"/>
      <c r="P4" s="199"/>
      <c r="Q4" s="199"/>
    </row>
    <row r="5" spans="1:17" ht="15.75" thickBot="1" x14ac:dyDescent="0.3">
      <c r="A5" s="200" t="s">
        <v>127</v>
      </c>
      <c r="B5" s="200"/>
      <c r="C5" s="200"/>
      <c r="D5" s="200"/>
      <c r="E5" s="200"/>
      <c r="F5" s="200"/>
      <c r="G5" s="199" t="str">
        <f>'NP DPBS'!D4</f>
        <v>011 - DIRECCION PROVINCIAL DE ADMINISTRACION DEL MINISTERIO DE SALUD</v>
      </c>
      <c r="H5" s="199"/>
      <c r="I5" s="199"/>
      <c r="J5" s="199"/>
      <c r="K5" s="199"/>
      <c r="L5" s="199"/>
      <c r="M5" s="199"/>
      <c r="N5" s="199"/>
      <c r="O5" s="199"/>
      <c r="P5" s="199"/>
      <c r="Q5" s="199"/>
    </row>
    <row r="6" spans="1:17" ht="15.75" thickBot="1" x14ac:dyDescent="0.3">
      <c r="A6" s="200" t="s">
        <v>128</v>
      </c>
      <c r="B6" s="200"/>
      <c r="C6" s="200"/>
      <c r="D6" s="200"/>
      <c r="E6" s="200"/>
      <c r="F6" s="200"/>
      <c r="G6" s="199" t="str">
        <f>'NP DPBS'!D5</f>
        <v>747 - DIRECCION PROVINCIAL BANCO DE SANGRE</v>
      </c>
      <c r="H6" s="199"/>
      <c r="I6" s="199"/>
      <c r="J6" s="199"/>
      <c r="K6" s="199"/>
      <c r="L6" s="199"/>
      <c r="M6" s="199"/>
      <c r="N6" s="199"/>
      <c r="O6" s="199"/>
      <c r="P6" s="199"/>
      <c r="Q6" s="199"/>
    </row>
    <row r="7" spans="1:17" ht="15.75" thickBot="1" x14ac:dyDescent="0.3">
      <c r="A7" s="200" t="s">
        <v>129</v>
      </c>
      <c r="B7" s="200"/>
      <c r="C7" s="200"/>
      <c r="D7" s="200"/>
      <c r="E7" s="200"/>
      <c r="F7" s="200"/>
      <c r="G7" s="199" t="str">
        <f>'NP DPBS'!D6</f>
        <v>747 - DIRECCION PROVINCIAL BANCO DE SANGRE</v>
      </c>
      <c r="H7" s="199"/>
      <c r="I7" s="199"/>
      <c r="J7" s="199"/>
      <c r="K7" s="199"/>
      <c r="L7" s="199"/>
      <c r="M7" s="199"/>
      <c r="N7" s="199"/>
      <c r="O7" s="199"/>
      <c r="P7" s="199"/>
      <c r="Q7" s="199"/>
    </row>
    <row r="8" spans="1:17" ht="15.75" thickBot="1" x14ac:dyDescent="0.3">
      <c r="A8" s="201" t="s">
        <v>141</v>
      </c>
      <c r="B8" s="201"/>
      <c r="C8" s="201"/>
      <c r="D8" s="201"/>
      <c r="E8" s="201"/>
      <c r="F8" s="201"/>
      <c r="G8" s="201"/>
      <c r="H8" s="201"/>
      <c r="I8" s="201"/>
      <c r="J8" s="201"/>
      <c r="K8" s="201"/>
      <c r="L8" s="201"/>
      <c r="M8" s="201"/>
      <c r="N8" s="201"/>
      <c r="O8" s="201"/>
      <c r="P8" s="201"/>
      <c r="Q8" s="201"/>
    </row>
    <row r="9" spans="1:17" x14ac:dyDescent="0.25">
      <c r="A9" s="194" t="s">
        <v>142</v>
      </c>
      <c r="B9" s="194"/>
      <c r="C9" s="194"/>
      <c r="D9" s="194"/>
      <c r="E9" s="194"/>
      <c r="F9" s="194"/>
      <c r="G9" s="194"/>
      <c r="H9" s="194"/>
      <c r="I9" s="194"/>
      <c r="J9" s="194"/>
      <c r="K9" s="194"/>
      <c r="L9" s="194"/>
      <c r="M9" s="194"/>
      <c r="N9" s="194"/>
      <c r="O9" s="194"/>
      <c r="P9" s="194"/>
      <c r="Q9" s="194"/>
    </row>
    <row r="10" spans="1:17" ht="75" customHeight="1" x14ac:dyDescent="0.25">
      <c r="A10" s="203" t="s">
        <v>247</v>
      </c>
      <c r="B10" s="203"/>
      <c r="C10" s="203"/>
      <c r="D10" s="203"/>
      <c r="E10" s="203"/>
      <c r="F10" s="203"/>
      <c r="G10" s="203"/>
      <c r="H10" s="203"/>
      <c r="I10" s="203"/>
      <c r="J10" s="203"/>
      <c r="K10" s="203"/>
      <c r="L10" s="203"/>
      <c r="M10" s="203"/>
      <c r="N10" s="203"/>
      <c r="O10" s="203"/>
      <c r="P10" s="203"/>
      <c r="Q10" s="203"/>
    </row>
    <row r="11" spans="1:17" ht="15.75" thickBot="1" x14ac:dyDescent="0.3">
      <c r="A11" s="67"/>
      <c r="B11" s="68"/>
      <c r="C11" s="68"/>
      <c r="D11" s="68"/>
      <c r="E11" s="68"/>
      <c r="F11" s="68"/>
      <c r="G11" s="69"/>
      <c r="H11" s="68"/>
      <c r="I11" s="68"/>
      <c r="J11" s="68"/>
      <c r="K11" s="68"/>
      <c r="L11" s="68"/>
      <c r="M11" s="68"/>
      <c r="N11" s="68"/>
      <c r="O11" s="68"/>
      <c r="P11" s="68"/>
      <c r="Q11" s="111"/>
    </row>
    <row r="12" spans="1:17" ht="15.75" thickBot="1" x14ac:dyDescent="0.3">
      <c r="A12" s="204" t="s">
        <v>143</v>
      </c>
      <c r="B12" s="204"/>
      <c r="C12" s="204"/>
      <c r="D12" s="204"/>
      <c r="E12" s="204"/>
      <c r="F12" s="204"/>
      <c r="G12" s="204"/>
      <c r="H12" s="204"/>
      <c r="I12" s="204"/>
      <c r="J12" s="204"/>
      <c r="K12" s="204"/>
      <c r="L12" s="204"/>
      <c r="M12" s="204"/>
      <c r="N12" s="204"/>
      <c r="O12" s="204"/>
      <c r="P12" s="204"/>
      <c r="Q12" s="204"/>
    </row>
    <row r="13" spans="1:17" ht="15.75" thickBot="1" x14ac:dyDescent="0.3">
      <c r="A13" s="205" t="s">
        <v>144</v>
      </c>
      <c r="B13" s="205"/>
      <c r="C13" s="205"/>
      <c r="D13" s="205"/>
      <c r="E13" s="205"/>
      <c r="F13" s="205"/>
      <c r="G13" s="205"/>
      <c r="H13" s="205"/>
      <c r="I13" s="205"/>
      <c r="J13" s="205"/>
      <c r="K13" s="205"/>
      <c r="L13" s="205"/>
      <c r="M13" s="205"/>
      <c r="N13" s="205"/>
      <c r="O13" s="206" t="s">
        <v>145</v>
      </c>
      <c r="P13" s="206"/>
      <c r="Q13" s="207" t="s">
        <v>146</v>
      </c>
    </row>
    <row r="14" spans="1:17" ht="15.75" thickBot="1" x14ac:dyDescent="0.3">
      <c r="A14" s="70" t="s">
        <v>147</v>
      </c>
      <c r="B14" s="71" t="s">
        <v>148</v>
      </c>
      <c r="C14" s="71" t="s">
        <v>149</v>
      </c>
      <c r="D14" s="71" t="s">
        <v>150</v>
      </c>
      <c r="E14" s="71" t="s">
        <v>151</v>
      </c>
      <c r="F14" s="71" t="s">
        <v>152</v>
      </c>
      <c r="G14" s="72" t="s">
        <v>153</v>
      </c>
      <c r="H14" s="71" t="s">
        <v>154</v>
      </c>
      <c r="I14" s="71" t="s">
        <v>155</v>
      </c>
      <c r="J14" s="71" t="s">
        <v>156</v>
      </c>
      <c r="K14" s="71" t="s">
        <v>156</v>
      </c>
      <c r="L14" s="71" t="s">
        <v>157</v>
      </c>
      <c r="M14" s="73" t="s">
        <v>158</v>
      </c>
      <c r="N14" s="74" t="s">
        <v>159</v>
      </c>
      <c r="O14" s="206"/>
      <c r="P14" s="206"/>
      <c r="Q14" s="207"/>
    </row>
    <row r="15" spans="1:17" x14ac:dyDescent="0.25">
      <c r="A15" s="75">
        <v>27</v>
      </c>
      <c r="B15" s="76"/>
      <c r="C15" s="76"/>
      <c r="D15" s="76">
        <v>1</v>
      </c>
      <c r="E15" s="76"/>
      <c r="F15" s="76">
        <v>4901</v>
      </c>
      <c r="G15" s="76">
        <v>3</v>
      </c>
      <c r="H15" s="76">
        <v>1</v>
      </c>
      <c r="I15" s="76">
        <v>2</v>
      </c>
      <c r="J15" s="76">
        <v>5</v>
      </c>
      <c r="K15" s="76">
        <v>1</v>
      </c>
      <c r="L15" s="76"/>
      <c r="M15" s="77">
        <v>1</v>
      </c>
      <c r="N15" s="76" t="s">
        <v>172</v>
      </c>
      <c r="O15" s="208" t="s">
        <v>173</v>
      </c>
      <c r="P15" s="208"/>
      <c r="Q15" s="112" t="e">
        <f>'NP DPBS'!J59</f>
        <v>#REF!</v>
      </c>
    </row>
    <row r="16" spans="1:17" x14ac:dyDescent="0.25">
      <c r="A16" s="78"/>
      <c r="B16" s="79"/>
      <c r="C16" s="79"/>
      <c r="D16" s="79"/>
      <c r="E16" s="79"/>
      <c r="F16" s="79"/>
      <c r="G16" s="79"/>
      <c r="H16" s="79"/>
      <c r="I16" s="79"/>
      <c r="J16" s="79"/>
      <c r="K16" s="79"/>
      <c r="L16" s="79"/>
      <c r="M16" s="80"/>
      <c r="N16" s="133"/>
      <c r="O16" s="209"/>
      <c r="P16" s="209"/>
      <c r="Q16" s="113"/>
    </row>
    <row r="17" spans="1:17" x14ac:dyDescent="0.25">
      <c r="A17" s="78"/>
      <c r="B17" s="79"/>
      <c r="C17" s="79"/>
      <c r="D17" s="79"/>
      <c r="E17" s="79"/>
      <c r="F17" s="79"/>
      <c r="G17" s="79"/>
      <c r="H17" s="79"/>
      <c r="I17" s="79"/>
      <c r="J17" s="79"/>
      <c r="K17" s="79"/>
      <c r="L17" s="79"/>
      <c r="M17" s="80"/>
      <c r="N17" s="133"/>
      <c r="O17" s="210"/>
      <c r="P17" s="210"/>
      <c r="Q17" s="113"/>
    </row>
    <row r="18" spans="1:17" x14ac:dyDescent="0.25">
      <c r="A18" s="78"/>
      <c r="B18" s="79"/>
      <c r="C18" s="79"/>
      <c r="D18" s="79"/>
      <c r="E18" s="79"/>
      <c r="F18" s="79"/>
      <c r="G18" s="79"/>
      <c r="H18" s="79"/>
      <c r="I18" s="79"/>
      <c r="J18" s="79"/>
      <c r="K18" s="79"/>
      <c r="L18" s="79"/>
      <c r="M18" s="80"/>
      <c r="N18" s="133"/>
      <c r="O18" s="202"/>
      <c r="P18" s="202"/>
      <c r="Q18" s="113"/>
    </row>
    <row r="19" spans="1:17" x14ac:dyDescent="0.25">
      <c r="A19" s="78"/>
      <c r="B19" s="79"/>
      <c r="C19" s="79"/>
      <c r="D19" s="79"/>
      <c r="E19" s="79"/>
      <c r="F19" s="79"/>
      <c r="G19" s="79"/>
      <c r="H19" s="79"/>
      <c r="I19" s="79"/>
      <c r="J19" s="79"/>
      <c r="K19" s="79"/>
      <c r="L19" s="79"/>
      <c r="M19" s="80"/>
      <c r="N19" s="133"/>
      <c r="O19" s="202"/>
      <c r="P19" s="202"/>
      <c r="Q19" s="113"/>
    </row>
    <row r="20" spans="1:17" x14ac:dyDescent="0.25">
      <c r="A20" s="78"/>
      <c r="B20" s="79"/>
      <c r="C20" s="79"/>
      <c r="D20" s="79"/>
      <c r="E20" s="79"/>
      <c r="F20" s="79"/>
      <c r="G20" s="79"/>
      <c r="H20" s="79"/>
      <c r="I20" s="79"/>
      <c r="J20" s="79"/>
      <c r="K20" s="79"/>
      <c r="L20" s="79"/>
      <c r="M20" s="80"/>
      <c r="N20" s="133"/>
      <c r="O20" s="202"/>
      <c r="P20" s="202"/>
      <c r="Q20" s="113"/>
    </row>
    <row r="21" spans="1:17" x14ac:dyDescent="0.25">
      <c r="A21" s="78"/>
      <c r="B21" s="79"/>
      <c r="C21" s="79"/>
      <c r="D21" s="79"/>
      <c r="E21" s="79"/>
      <c r="F21" s="79"/>
      <c r="G21" s="79"/>
      <c r="H21" s="79"/>
      <c r="I21" s="79"/>
      <c r="J21" s="79"/>
      <c r="K21" s="79"/>
      <c r="L21" s="79"/>
      <c r="M21" s="80"/>
      <c r="N21" s="133"/>
      <c r="O21" s="202"/>
      <c r="P21" s="202"/>
      <c r="Q21" s="113"/>
    </row>
    <row r="22" spans="1:17" x14ac:dyDescent="0.25">
      <c r="A22" s="78"/>
      <c r="B22" s="79"/>
      <c r="C22" s="79"/>
      <c r="D22" s="79"/>
      <c r="E22" s="79"/>
      <c r="F22" s="79"/>
      <c r="G22" s="79"/>
      <c r="H22" s="79"/>
      <c r="I22" s="79"/>
      <c r="J22" s="79"/>
      <c r="K22" s="79"/>
      <c r="L22" s="79"/>
      <c r="M22" s="80"/>
      <c r="N22" s="133"/>
      <c r="O22" s="202"/>
      <c r="P22" s="202"/>
      <c r="Q22" s="113"/>
    </row>
    <row r="23" spans="1:17" x14ac:dyDescent="0.25">
      <c r="A23" s="78"/>
      <c r="B23" s="79"/>
      <c r="C23" s="79"/>
      <c r="D23" s="79"/>
      <c r="E23" s="79"/>
      <c r="F23" s="79"/>
      <c r="G23" s="79"/>
      <c r="H23" s="79"/>
      <c r="I23" s="79"/>
      <c r="J23" s="79"/>
      <c r="K23" s="79"/>
      <c r="L23" s="79"/>
      <c r="M23" s="80"/>
      <c r="N23" s="133"/>
      <c r="O23" s="202"/>
      <c r="P23" s="202"/>
      <c r="Q23" s="113"/>
    </row>
    <row r="24" spans="1:17" x14ac:dyDescent="0.25">
      <c r="A24" s="78"/>
      <c r="B24" s="79"/>
      <c r="C24" s="79"/>
      <c r="D24" s="79"/>
      <c r="E24" s="79"/>
      <c r="F24" s="79"/>
      <c r="G24" s="79"/>
      <c r="H24" s="79"/>
      <c r="I24" s="79"/>
      <c r="J24" s="79"/>
      <c r="K24" s="79"/>
      <c r="L24" s="79"/>
      <c r="M24" s="80"/>
      <c r="N24" s="133"/>
      <c r="O24" s="202"/>
      <c r="P24" s="202"/>
      <c r="Q24" s="113"/>
    </row>
    <row r="25" spans="1:17" x14ac:dyDescent="0.25">
      <c r="A25" s="78"/>
      <c r="B25" s="79"/>
      <c r="C25" s="79"/>
      <c r="D25" s="79"/>
      <c r="E25" s="79"/>
      <c r="F25" s="79"/>
      <c r="G25" s="79"/>
      <c r="H25" s="79"/>
      <c r="I25" s="79"/>
      <c r="J25" s="79"/>
      <c r="K25" s="79"/>
      <c r="L25" s="79"/>
      <c r="M25" s="80"/>
      <c r="N25" s="133"/>
      <c r="O25" s="202"/>
      <c r="P25" s="202"/>
      <c r="Q25" s="113"/>
    </row>
    <row r="26" spans="1:17" x14ac:dyDescent="0.25">
      <c r="A26" s="78"/>
      <c r="B26" s="79"/>
      <c r="C26" s="79"/>
      <c r="D26" s="79"/>
      <c r="E26" s="79"/>
      <c r="F26" s="79"/>
      <c r="G26" s="79"/>
      <c r="H26" s="79"/>
      <c r="I26" s="79"/>
      <c r="J26" s="79"/>
      <c r="K26" s="79"/>
      <c r="L26" s="79"/>
      <c r="M26" s="80"/>
      <c r="N26" s="133"/>
      <c r="O26" s="202"/>
      <c r="P26" s="202"/>
      <c r="Q26" s="113"/>
    </row>
    <row r="27" spans="1:17" x14ac:dyDescent="0.25">
      <c r="A27" s="78"/>
      <c r="B27" s="79"/>
      <c r="C27" s="79"/>
      <c r="D27" s="79"/>
      <c r="E27" s="79"/>
      <c r="F27" s="79"/>
      <c r="G27" s="79"/>
      <c r="H27" s="79"/>
      <c r="I27" s="79"/>
      <c r="J27" s="79"/>
      <c r="K27" s="79"/>
      <c r="L27" s="79"/>
      <c r="M27" s="80"/>
      <c r="N27" s="133"/>
      <c r="O27" s="202"/>
      <c r="P27" s="202"/>
      <c r="Q27" s="113"/>
    </row>
    <row r="28" spans="1:17" x14ac:dyDescent="0.25">
      <c r="A28" s="78"/>
      <c r="B28" s="79"/>
      <c r="C28" s="79"/>
      <c r="D28" s="79"/>
      <c r="E28" s="79"/>
      <c r="F28" s="79"/>
      <c r="G28" s="79"/>
      <c r="H28" s="79"/>
      <c r="I28" s="79"/>
      <c r="J28" s="79"/>
      <c r="K28" s="79"/>
      <c r="L28" s="79"/>
      <c r="M28" s="80"/>
      <c r="N28" s="133"/>
      <c r="O28" s="202"/>
      <c r="P28" s="202"/>
      <c r="Q28" s="113"/>
    </row>
    <row r="29" spans="1:17" x14ac:dyDescent="0.25">
      <c r="A29" s="78"/>
      <c r="B29" s="79"/>
      <c r="C29" s="79"/>
      <c r="D29" s="79"/>
      <c r="E29" s="79"/>
      <c r="F29" s="79"/>
      <c r="G29" s="79"/>
      <c r="H29" s="79"/>
      <c r="I29" s="79"/>
      <c r="J29" s="79"/>
      <c r="K29" s="79"/>
      <c r="L29" s="79"/>
      <c r="M29" s="80"/>
      <c r="N29" s="133"/>
      <c r="O29" s="202"/>
      <c r="P29" s="202"/>
      <c r="Q29" s="113"/>
    </row>
    <row r="30" spans="1:17" x14ac:dyDescent="0.25">
      <c r="A30" s="78"/>
      <c r="B30" s="79"/>
      <c r="C30" s="79"/>
      <c r="D30" s="79"/>
      <c r="E30" s="79"/>
      <c r="F30" s="79"/>
      <c r="G30" s="79"/>
      <c r="H30" s="79"/>
      <c r="I30" s="79"/>
      <c r="J30" s="79"/>
      <c r="K30" s="79"/>
      <c r="L30" s="79"/>
      <c r="M30" s="80"/>
      <c r="N30" s="133"/>
      <c r="O30" s="202"/>
      <c r="P30" s="202"/>
      <c r="Q30" s="113"/>
    </row>
    <row r="31" spans="1:17" x14ac:dyDescent="0.25">
      <c r="A31" s="78"/>
      <c r="B31" s="79"/>
      <c r="C31" s="79"/>
      <c r="D31" s="79"/>
      <c r="E31" s="79"/>
      <c r="F31" s="79"/>
      <c r="G31" s="79"/>
      <c r="H31" s="79"/>
      <c r="I31" s="79"/>
      <c r="J31" s="79"/>
      <c r="K31" s="79"/>
      <c r="L31" s="79"/>
      <c r="M31" s="80"/>
      <c r="N31" s="133"/>
      <c r="O31" s="202"/>
      <c r="P31" s="202"/>
      <c r="Q31" s="113"/>
    </row>
    <row r="32" spans="1:17" x14ac:dyDescent="0.25">
      <c r="A32" s="78"/>
      <c r="B32" s="79"/>
      <c r="C32" s="79"/>
      <c r="D32" s="79"/>
      <c r="E32" s="79"/>
      <c r="F32" s="133"/>
      <c r="G32" s="79"/>
      <c r="H32" s="79"/>
      <c r="I32" s="79"/>
      <c r="J32" s="79"/>
      <c r="K32" s="79"/>
      <c r="L32" s="79"/>
      <c r="M32" s="80"/>
      <c r="N32" s="133"/>
      <c r="O32" s="209"/>
      <c r="P32" s="209"/>
      <c r="Q32" s="113"/>
    </row>
    <row r="33" spans="1:17" x14ac:dyDescent="0.25">
      <c r="A33" s="78"/>
      <c r="B33" s="79"/>
      <c r="C33" s="79"/>
      <c r="D33" s="79"/>
      <c r="E33" s="79"/>
      <c r="F33" s="79"/>
      <c r="G33" s="79"/>
      <c r="H33" s="79"/>
      <c r="I33" s="79"/>
      <c r="J33" s="79"/>
      <c r="K33" s="79"/>
      <c r="L33" s="79"/>
      <c r="M33" s="80"/>
      <c r="N33" s="133"/>
      <c r="O33" s="209"/>
      <c r="P33" s="209"/>
      <c r="Q33" s="113"/>
    </row>
    <row r="34" spans="1:17" x14ac:dyDescent="0.25">
      <c r="A34" s="78"/>
      <c r="B34" s="79"/>
      <c r="C34" s="79"/>
      <c r="D34" s="79"/>
      <c r="E34" s="79"/>
      <c r="F34" s="133"/>
      <c r="G34" s="79"/>
      <c r="H34" s="79"/>
      <c r="I34" s="79"/>
      <c r="J34" s="79"/>
      <c r="K34" s="79"/>
      <c r="L34" s="79"/>
      <c r="M34" s="80"/>
      <c r="N34" s="133"/>
      <c r="O34" s="209"/>
      <c r="P34" s="209"/>
      <c r="Q34" s="113"/>
    </row>
    <row r="35" spans="1:17" x14ac:dyDescent="0.25">
      <c r="A35" s="78"/>
      <c r="B35" s="79"/>
      <c r="C35" s="79"/>
      <c r="D35" s="79"/>
      <c r="E35" s="79"/>
      <c r="F35" s="133"/>
      <c r="G35" s="79"/>
      <c r="H35" s="79"/>
      <c r="I35" s="79"/>
      <c r="J35" s="79"/>
      <c r="K35" s="79"/>
      <c r="L35" s="79"/>
      <c r="M35" s="80"/>
      <c r="N35" s="133"/>
      <c r="O35" s="209"/>
      <c r="P35" s="209"/>
      <c r="Q35" s="113"/>
    </row>
    <row r="36" spans="1:17" x14ac:dyDescent="0.25">
      <c r="A36" s="82"/>
      <c r="B36" s="83"/>
      <c r="C36" s="83"/>
      <c r="D36" s="83"/>
      <c r="E36" s="83"/>
      <c r="F36" s="84"/>
      <c r="G36" s="83"/>
      <c r="H36" s="83"/>
      <c r="I36" s="83"/>
      <c r="J36" s="83"/>
      <c r="K36" s="83"/>
      <c r="L36" s="83"/>
      <c r="M36" s="85"/>
      <c r="N36" s="86"/>
      <c r="O36" s="214"/>
      <c r="P36" s="214"/>
      <c r="Q36" s="113"/>
    </row>
    <row r="37" spans="1:17" ht="15.75" thickBot="1" x14ac:dyDescent="0.3">
      <c r="A37" s="87"/>
      <c r="B37" s="88"/>
      <c r="C37" s="88"/>
      <c r="D37" s="88"/>
      <c r="E37" s="88"/>
      <c r="F37" s="88"/>
      <c r="G37" s="88"/>
      <c r="H37" s="88"/>
      <c r="I37" s="88"/>
      <c r="J37" s="88"/>
      <c r="K37" s="88"/>
      <c r="L37" s="88"/>
      <c r="M37" s="89"/>
      <c r="N37" s="88"/>
      <c r="O37" s="215"/>
      <c r="P37" s="215"/>
      <c r="Q37" s="114"/>
    </row>
    <row r="38" spans="1:17" ht="30.75" customHeight="1" thickBot="1" x14ac:dyDescent="0.3">
      <c r="A38" s="216" t="s">
        <v>248</v>
      </c>
      <c r="B38" s="216"/>
      <c r="C38" s="216"/>
      <c r="D38" s="216"/>
      <c r="E38" s="216"/>
      <c r="F38" s="216"/>
      <c r="G38" s="216"/>
      <c r="H38" s="216"/>
      <c r="I38" s="216"/>
      <c r="J38" s="216"/>
      <c r="K38" s="216"/>
      <c r="L38" s="216"/>
      <c r="M38" s="216"/>
      <c r="N38" s="216"/>
      <c r="O38" s="216"/>
      <c r="P38" s="216"/>
      <c r="Q38" s="115" t="e">
        <f>SUM(Q15:Q37)</f>
        <v>#REF!</v>
      </c>
    </row>
    <row r="39" spans="1:17" ht="15.75" thickBot="1" x14ac:dyDescent="0.3">
      <c r="A39" s="217"/>
      <c r="B39" s="217"/>
      <c r="C39" s="217"/>
      <c r="D39" s="217"/>
      <c r="E39" s="217"/>
      <c r="F39" s="217"/>
      <c r="G39" s="217"/>
      <c r="H39" s="217"/>
      <c r="I39" s="217"/>
      <c r="J39" s="217"/>
      <c r="K39" s="217"/>
      <c r="L39" s="217"/>
      <c r="M39" s="217"/>
      <c r="N39" s="217"/>
      <c r="O39" s="217"/>
      <c r="P39" s="217"/>
      <c r="Q39" s="217"/>
    </row>
    <row r="40" spans="1:17" ht="15.75" thickBot="1" x14ac:dyDescent="0.3">
      <c r="A40" s="211" t="s">
        <v>160</v>
      </c>
      <c r="B40" s="211"/>
      <c r="C40" s="211"/>
      <c r="D40" s="211"/>
      <c r="E40" s="211"/>
      <c r="F40" s="211"/>
      <c r="G40" s="212"/>
      <c r="H40" s="212"/>
      <c r="I40" s="212"/>
      <c r="J40" s="212"/>
      <c r="K40" s="212"/>
      <c r="L40" s="212"/>
      <c r="M40" s="212"/>
      <c r="N40" s="212"/>
      <c r="O40" s="212"/>
      <c r="P40" s="212"/>
      <c r="Q40" s="212"/>
    </row>
    <row r="41" spans="1:17" ht="15.75" thickBot="1" x14ac:dyDescent="0.3">
      <c r="A41" s="213" t="str">
        <f>'NP DPBS'!D8</f>
        <v>ADQUISICION DEL RUBRO REACTIVOS PARA LABORATORIO</v>
      </c>
      <c r="B41" s="213"/>
      <c r="C41" s="213"/>
      <c r="D41" s="213"/>
      <c r="E41" s="213"/>
      <c r="F41" s="213"/>
      <c r="G41" s="213"/>
      <c r="H41" s="213"/>
      <c r="I41" s="213"/>
      <c r="J41" s="213"/>
      <c r="K41" s="213"/>
      <c r="L41" s="213"/>
      <c r="M41" s="213"/>
      <c r="N41" s="213"/>
      <c r="O41" s="213"/>
      <c r="P41" s="213"/>
      <c r="Q41" s="213"/>
    </row>
    <row r="42" spans="1:17" ht="15.75" thickBot="1" x14ac:dyDescent="0.3">
      <c r="A42" s="213"/>
      <c r="B42" s="213"/>
      <c r="C42" s="213"/>
      <c r="D42" s="213"/>
      <c r="E42" s="213"/>
      <c r="F42" s="213"/>
      <c r="G42" s="213"/>
      <c r="H42" s="213"/>
      <c r="I42" s="213"/>
      <c r="J42" s="213"/>
      <c r="K42" s="213"/>
      <c r="L42" s="213"/>
      <c r="M42" s="213"/>
      <c r="N42" s="213"/>
      <c r="O42" s="213"/>
      <c r="P42" s="213"/>
      <c r="Q42" s="213"/>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7"/>
  <sheetViews>
    <sheetView topLeftCell="A28" workbookViewId="0">
      <selection activeCell="C40" sqref="C40:G40"/>
    </sheetView>
  </sheetViews>
  <sheetFormatPr baseColWidth="10" defaultRowHeight="15" x14ac:dyDescent="0.25"/>
  <cols>
    <col min="1" max="1" width="5.5703125" style="17" customWidth="1"/>
    <col min="2" max="2" width="15.140625" style="98" customWidth="1"/>
    <col min="3" max="3" width="14.140625" style="17" customWidth="1"/>
    <col min="4" max="4" width="26" style="17" customWidth="1"/>
    <col min="5" max="5" width="8" style="17" customWidth="1"/>
    <col min="6" max="6" width="7.85546875" style="17" customWidth="1"/>
    <col min="7" max="7" width="52.140625" style="17" customWidth="1"/>
    <col min="8" max="8" width="9.28515625" style="17" customWidth="1"/>
    <col min="9" max="9" width="15.5703125" style="17" customWidth="1"/>
    <col min="10" max="10" width="14.7109375" style="103" customWidth="1"/>
    <col min="11" max="11" width="15.5703125" style="17" customWidth="1"/>
    <col min="12" max="16384" width="11.42578125" style="17"/>
  </cols>
  <sheetData>
    <row r="1" spans="1:11" ht="30.75" thickBot="1" x14ac:dyDescent="0.3">
      <c r="A1" s="186" t="s">
        <v>124</v>
      </c>
      <c r="B1" s="186"/>
      <c r="C1" s="186"/>
      <c r="D1" s="186"/>
      <c r="E1" s="186"/>
      <c r="F1" s="186"/>
      <c r="G1" s="186"/>
      <c r="H1" s="186"/>
      <c r="I1" s="186"/>
      <c r="J1" s="99" t="s">
        <v>125</v>
      </c>
      <c r="K1" s="49" t="s">
        <v>244</v>
      </c>
    </row>
    <row r="2" spans="1:11" ht="16.5" thickBot="1" x14ac:dyDescent="0.3">
      <c r="A2" s="50"/>
      <c r="B2" s="94"/>
      <c r="C2" s="51"/>
      <c r="D2" s="52"/>
      <c r="E2" s="52"/>
      <c r="F2" s="52"/>
      <c r="G2" s="52"/>
      <c r="H2" s="52"/>
      <c r="I2" s="52"/>
      <c r="J2" s="100"/>
      <c r="K2" s="53"/>
    </row>
    <row r="3" spans="1:11" ht="16.5" customHeight="1" thickBot="1" x14ac:dyDescent="0.3">
      <c r="A3" s="183" t="s">
        <v>126</v>
      </c>
      <c r="B3" s="183"/>
      <c r="C3" s="183"/>
      <c r="D3" s="90" t="s">
        <v>2</v>
      </c>
      <c r="E3" s="91"/>
      <c r="F3" s="91"/>
      <c r="G3" s="91"/>
      <c r="H3" s="91"/>
      <c r="I3" s="91"/>
      <c r="J3" s="101"/>
      <c r="K3" s="92"/>
    </row>
    <row r="4" spans="1:11" ht="16.5" customHeight="1" thickBot="1" x14ac:dyDescent="0.3">
      <c r="A4" s="184" t="s">
        <v>127</v>
      </c>
      <c r="B4" s="184"/>
      <c r="C4" s="184"/>
      <c r="D4" s="90" t="s">
        <v>161</v>
      </c>
      <c r="E4" s="91"/>
      <c r="F4" s="91"/>
      <c r="G4" s="91"/>
      <c r="H4" s="91"/>
      <c r="I4" s="91"/>
      <c r="J4" s="101"/>
      <c r="K4" s="92"/>
    </row>
    <row r="5" spans="1:11" ht="16.5" thickBot="1" x14ac:dyDescent="0.3">
      <c r="A5" s="184" t="s">
        <v>128</v>
      </c>
      <c r="B5" s="184"/>
      <c r="C5" s="184"/>
      <c r="D5" s="90" t="s">
        <v>241</v>
      </c>
      <c r="E5" s="91"/>
      <c r="F5" s="91"/>
      <c r="G5" s="91"/>
      <c r="H5" s="91"/>
      <c r="I5" s="91"/>
      <c r="J5" s="101"/>
      <c r="K5" s="92"/>
    </row>
    <row r="6" spans="1:11" ht="16.5" thickBot="1" x14ac:dyDescent="0.3">
      <c r="A6" s="183" t="s">
        <v>129</v>
      </c>
      <c r="B6" s="183"/>
      <c r="C6" s="183"/>
      <c r="D6" s="90" t="s">
        <v>241</v>
      </c>
      <c r="E6" s="91"/>
      <c r="F6" s="91"/>
      <c r="G6" s="91"/>
      <c r="H6" s="91"/>
      <c r="I6" s="91"/>
      <c r="J6" s="101"/>
      <c r="K6" s="92"/>
    </row>
    <row r="7" spans="1:11" ht="16.5" thickBot="1" x14ac:dyDescent="0.3">
      <c r="A7" s="184" t="s">
        <v>130</v>
      </c>
      <c r="B7" s="184"/>
      <c r="C7" s="184"/>
      <c r="D7" s="90" t="s">
        <v>162</v>
      </c>
      <c r="E7" s="91"/>
      <c r="F7" s="91"/>
      <c r="G7" s="91"/>
      <c r="H7" s="91"/>
      <c r="I7" s="91"/>
      <c r="J7" s="101"/>
      <c r="K7" s="92"/>
    </row>
    <row r="8" spans="1:11" ht="16.5" customHeight="1" thickBot="1" x14ac:dyDescent="0.3">
      <c r="A8" s="185" t="s">
        <v>131</v>
      </c>
      <c r="B8" s="185"/>
      <c r="C8" s="185"/>
      <c r="D8" s="93" t="s">
        <v>174</v>
      </c>
      <c r="E8" s="91"/>
      <c r="F8" s="91"/>
      <c r="G8" s="91"/>
      <c r="H8" s="91"/>
      <c r="I8" s="91"/>
      <c r="J8" s="101"/>
      <c r="K8" s="92"/>
    </row>
    <row r="9" spans="1:11" ht="16.5" thickBot="1" x14ac:dyDescent="0.3">
      <c r="A9" s="54"/>
      <c r="B9" s="95"/>
      <c r="C9" s="55"/>
      <c r="D9" s="56"/>
      <c r="E9" s="56"/>
      <c r="F9" s="56"/>
      <c r="G9" s="56"/>
      <c r="H9" s="56"/>
      <c r="I9" s="56"/>
      <c r="J9" s="102"/>
      <c r="K9" s="57"/>
    </row>
    <row r="10" spans="1:11" ht="15.75" thickBot="1" x14ac:dyDescent="0.3">
      <c r="A10" s="179" t="s">
        <v>132</v>
      </c>
      <c r="B10" s="181" t="s">
        <v>133</v>
      </c>
      <c r="C10" s="181" t="s">
        <v>134</v>
      </c>
      <c r="D10" s="181"/>
      <c r="E10" s="181"/>
      <c r="F10" s="181"/>
      <c r="G10" s="181"/>
      <c r="H10" s="181" t="s">
        <v>135</v>
      </c>
      <c r="I10" s="181" t="s">
        <v>136</v>
      </c>
      <c r="J10" s="189" t="s">
        <v>137</v>
      </c>
      <c r="K10" s="187" t="s">
        <v>138</v>
      </c>
    </row>
    <row r="11" spans="1:11" ht="36.75" customHeight="1" thickBot="1" x14ac:dyDescent="0.3">
      <c r="A11" s="179"/>
      <c r="B11" s="181"/>
      <c r="C11" s="181"/>
      <c r="D11" s="181"/>
      <c r="E11" s="181"/>
      <c r="F11" s="181"/>
      <c r="G11" s="181"/>
      <c r="H11" s="181"/>
      <c r="I11" s="181"/>
      <c r="J11" s="189"/>
      <c r="K11" s="187"/>
    </row>
    <row r="12" spans="1:11" s="106" customFormat="1" x14ac:dyDescent="0.25">
      <c r="A12" s="58">
        <v>1</v>
      </c>
      <c r="B12" s="96"/>
      <c r="C12" s="222" t="str">
        <f>'SAF 011 - NECESIDAD TRIMESTRAL'!E10</f>
        <v>ACIDO ACETICO GLACIAL 6% P/V 1000 mL TIPO BIOPACK</v>
      </c>
      <c r="D12" s="222"/>
      <c r="E12" s="222"/>
      <c r="F12" s="222"/>
      <c r="G12" s="222"/>
      <c r="H12" s="96" t="s">
        <v>170</v>
      </c>
      <c r="I12" s="116" t="str">
        <f>'SAF 011 - NECESIDAD TRIMESTRAL'!F10</f>
        <v>UNIDAD</v>
      </c>
      <c r="J12" s="104">
        <f>'SAF 011 - NECESIDAD TRIMESTRAL'!H10</f>
        <v>850</v>
      </c>
      <c r="K12" s="105" t="e">
        <f>'SAF 011 - NECESIDAD TRIMESTRAL'!#REF!</f>
        <v>#REF!</v>
      </c>
    </row>
    <row r="13" spans="1:11" s="106" customFormat="1" ht="15.75" customHeight="1" x14ac:dyDescent="0.25">
      <c r="A13" s="127">
        <v>2</v>
      </c>
      <c r="B13" s="128"/>
      <c r="C13" s="172" t="str">
        <f>'SAF 011 - NECESIDAD TRIMESTRAL'!E11</f>
        <v>ACIDO CLORHIDRICO SOLUCIÓN 0.5 MOL/L (0,5 N) 1000 ML TIPO BIOPACK</v>
      </c>
      <c r="D13" s="173"/>
      <c r="E13" s="173"/>
      <c r="F13" s="173"/>
      <c r="G13" s="174"/>
      <c r="H13" s="128" t="s">
        <v>170</v>
      </c>
      <c r="I13" s="129" t="str">
        <f>'SAF 011 - NECESIDAD TRIMESTRAL'!F11</f>
        <v>UNIDAD</v>
      </c>
      <c r="J13" s="130">
        <f>'SAF 011 - NECESIDAD TRIMESTRAL'!H11</f>
        <v>1900</v>
      </c>
      <c r="K13" s="131" t="e">
        <f>'SAF 011 - NECESIDAD TRIMESTRAL'!#REF!</f>
        <v>#REF!</v>
      </c>
    </row>
    <row r="14" spans="1:11" s="106" customFormat="1" ht="15.75" customHeight="1" x14ac:dyDescent="0.25">
      <c r="A14" s="127">
        <v>3</v>
      </c>
      <c r="B14" s="128"/>
      <c r="C14" s="172" t="str">
        <f>'SAF 011 - NECESIDAD TRIMESTRAL'!E12</f>
        <v>ACIDO SULFURICO SOLUCIÓN 1 N (0.5 MOL/L) 1000 ML TIPO BIOPACK</v>
      </c>
      <c r="D14" s="173"/>
      <c r="E14" s="173"/>
      <c r="F14" s="173"/>
      <c r="G14" s="174"/>
      <c r="H14" s="128" t="s">
        <v>170</v>
      </c>
      <c r="I14" s="129" t="str">
        <f>'SAF 011 - NECESIDAD TRIMESTRAL'!F12</f>
        <v>UNIDAD</v>
      </c>
      <c r="J14" s="130">
        <f>'SAF 011 - NECESIDAD TRIMESTRAL'!H12</f>
        <v>2000</v>
      </c>
      <c r="K14" s="131" t="e">
        <f>'SAF 011 - NECESIDAD TRIMESTRAL'!#REF!</f>
        <v>#REF!</v>
      </c>
    </row>
    <row r="15" spans="1:11" s="106" customFormat="1" ht="15.75" customHeight="1" x14ac:dyDescent="0.25">
      <c r="A15" s="127">
        <v>4</v>
      </c>
      <c r="B15" s="128"/>
      <c r="C15" s="172" t="str">
        <f>'SAF 011 - NECESIDAD TRIMESTRAL'!E13</f>
        <v>AGAR PARA COLIFORMES PARA MICROBIOLOGÍA CHROMOCULT® 500 GR TIPO MERCK</v>
      </c>
      <c r="D15" s="173"/>
      <c r="E15" s="173"/>
      <c r="F15" s="173"/>
      <c r="G15" s="174"/>
      <c r="H15" s="128" t="s">
        <v>170</v>
      </c>
      <c r="I15" s="129" t="str">
        <f>'SAF 011 - NECESIDAD TRIMESTRAL'!F13</f>
        <v>UNIDAD</v>
      </c>
      <c r="J15" s="130">
        <f>'SAF 011 - NECESIDAD TRIMESTRAL'!H13</f>
        <v>185000</v>
      </c>
      <c r="K15" s="131" t="e">
        <f>'SAF 011 - NECESIDAD TRIMESTRAL'!#REF!</f>
        <v>#REF!</v>
      </c>
    </row>
    <row r="16" spans="1:11" s="106" customFormat="1" ht="15.75" customHeight="1" x14ac:dyDescent="0.25">
      <c r="A16" s="127">
        <v>5</v>
      </c>
      <c r="B16" s="128"/>
      <c r="C16" s="172" t="str">
        <f>'SAF 011 - NECESIDAD TRIMESTRAL'!E14</f>
        <v>AGAR TBX PARA MICROBIOLOGÍA CHROMOCULT® 500 GR TIPO MERCK</v>
      </c>
      <c r="D16" s="173"/>
      <c r="E16" s="173"/>
      <c r="F16" s="173"/>
      <c r="G16" s="174"/>
      <c r="H16" s="128" t="s">
        <v>170</v>
      </c>
      <c r="I16" s="129" t="str">
        <f>'SAF 011 - NECESIDAD TRIMESTRAL'!F14</f>
        <v>UNIDAD</v>
      </c>
      <c r="J16" s="130">
        <f>'SAF 011 - NECESIDAD TRIMESTRAL'!H14</f>
        <v>97000</v>
      </c>
      <c r="K16" s="131" t="e">
        <f>'SAF 011 - NECESIDAD TRIMESTRAL'!#REF!</f>
        <v>#REF!</v>
      </c>
    </row>
    <row r="17" spans="1:11" s="106" customFormat="1" ht="15.75" customHeight="1" x14ac:dyDescent="0.25">
      <c r="A17" s="127">
        <v>6</v>
      </c>
      <c r="B17" s="128"/>
      <c r="C17" s="172" t="str">
        <f>'SAF 011 - NECESIDAD TRIMESTRAL'!E21</f>
        <v>ANIDRIDO ACÉTICO X 1000 ML TIPO CICARILLI</v>
      </c>
      <c r="D17" s="173"/>
      <c r="E17" s="173"/>
      <c r="F17" s="173"/>
      <c r="G17" s="174"/>
      <c r="H17" s="128" t="s">
        <v>170</v>
      </c>
      <c r="I17" s="129" t="str">
        <f>'SAF 011 - NECESIDAD TRIMESTRAL'!F21</f>
        <v>UNIDAD</v>
      </c>
      <c r="J17" s="130">
        <f>'SAF 011 - NECESIDAD TRIMESTRAL'!H21</f>
        <v>2500</v>
      </c>
      <c r="K17" s="131" t="e">
        <f>'SAF 011 - NECESIDAD TRIMESTRAL'!#REF!</f>
        <v>#REF!</v>
      </c>
    </row>
    <row r="18" spans="1:11" s="106" customFormat="1" ht="15.75" customHeight="1" x14ac:dyDescent="0.25">
      <c r="A18" s="127">
        <v>7</v>
      </c>
      <c r="B18" s="128"/>
      <c r="C18" s="172" t="str">
        <f>'SAF 011 - NECESIDAD TRIMESTRAL'!E49</f>
        <v>CALDO EC 500 GR (SÓLIDO) TIPO OXOID</v>
      </c>
      <c r="D18" s="173"/>
      <c r="E18" s="173"/>
      <c r="F18" s="173"/>
      <c r="G18" s="174"/>
      <c r="H18" s="128" t="s">
        <v>170</v>
      </c>
      <c r="I18" s="129" t="str">
        <f>'SAF 011 - NECESIDAD TRIMESTRAL'!F49</f>
        <v>UNIDAD</v>
      </c>
      <c r="J18" s="130">
        <f>'SAF 011 - NECESIDAD TRIMESTRAL'!H49</f>
        <v>28000</v>
      </c>
      <c r="K18" s="131" t="e">
        <f>'SAF 011 - NECESIDAD TRIMESTRAL'!#REF!</f>
        <v>#REF!</v>
      </c>
    </row>
    <row r="19" spans="1:11" s="106" customFormat="1" ht="15.75" customHeight="1" x14ac:dyDescent="0.25">
      <c r="A19" s="127">
        <v>8</v>
      </c>
      <c r="B19" s="128"/>
      <c r="C19" s="172" t="str">
        <f>'SAF 011 - NECESIDAD TRIMESTRAL'!E50</f>
        <v>CALDO EC CON MUG (SÓLIDO) 500 GR TIPO OXOID</v>
      </c>
      <c r="D19" s="173"/>
      <c r="E19" s="173"/>
      <c r="F19" s="173"/>
      <c r="G19" s="174"/>
      <c r="H19" s="128" t="s">
        <v>170</v>
      </c>
      <c r="I19" s="129" t="str">
        <f>'SAF 011 - NECESIDAD TRIMESTRAL'!F50</f>
        <v>UNIDAD</v>
      </c>
      <c r="J19" s="130">
        <f>'SAF 011 - NECESIDAD TRIMESTRAL'!H50</f>
        <v>75000</v>
      </c>
      <c r="K19" s="131" t="e">
        <f>'SAF 011 - NECESIDAD TRIMESTRAL'!#REF!</f>
        <v>#REF!</v>
      </c>
    </row>
    <row r="20" spans="1:11" s="106" customFormat="1" ht="15.75" customHeight="1" x14ac:dyDescent="0.25">
      <c r="A20" s="127">
        <v>9</v>
      </c>
      <c r="B20" s="128"/>
      <c r="C20" s="172" t="str">
        <f>'SAF 011 - NECESIDAD TRIMESTRAL'!E51</f>
        <v>CALDO VERDE BRILLANTE BILIS 2% 500 GRS. TIPO OXOID</v>
      </c>
      <c r="D20" s="173"/>
      <c r="E20" s="173"/>
      <c r="F20" s="173"/>
      <c r="G20" s="174"/>
      <c r="H20" s="128" t="s">
        <v>170</v>
      </c>
      <c r="I20" s="129" t="str">
        <f>'SAF 011 - NECESIDAD TRIMESTRAL'!F51</f>
        <v>UNIDAD</v>
      </c>
      <c r="J20" s="130">
        <f>'SAF 011 - NECESIDAD TRIMESTRAL'!H51</f>
        <v>31200</v>
      </c>
      <c r="K20" s="131" t="e">
        <f>'SAF 011 - NECESIDAD TRIMESTRAL'!#REF!</f>
        <v>#REF!</v>
      </c>
    </row>
    <row r="21" spans="1:11" s="106" customFormat="1" ht="15.75" customHeight="1" x14ac:dyDescent="0.25">
      <c r="A21" s="127">
        <v>10</v>
      </c>
      <c r="B21" s="128"/>
      <c r="C21" s="172" t="str">
        <f>'SAF 011 - NECESIDAD TRIMESTRAL'!E64</f>
        <v>COBRE (II) SULFATO 5-HIDRATO P.A. (A.C.S.) 250 GR TIPO BIOPACK</v>
      </c>
      <c r="D21" s="173"/>
      <c r="E21" s="173"/>
      <c r="F21" s="173"/>
      <c r="G21" s="174"/>
      <c r="H21" s="128" t="s">
        <v>170</v>
      </c>
      <c r="I21" s="129" t="str">
        <f>'SAF 011 - NECESIDAD TRIMESTRAL'!F64</f>
        <v>UNIDAD</v>
      </c>
      <c r="J21" s="130">
        <f>'SAF 011 - NECESIDAD TRIMESTRAL'!H64</f>
        <v>2500</v>
      </c>
      <c r="K21" s="131" t="e">
        <f>'SAF 011 - NECESIDAD TRIMESTRAL'!#REF!</f>
        <v>#REF!</v>
      </c>
    </row>
    <row r="22" spans="1:11" s="106" customFormat="1" ht="15.75" customHeight="1" x14ac:dyDescent="0.25">
      <c r="A22" s="127">
        <v>11</v>
      </c>
      <c r="B22" s="128"/>
      <c r="C22" s="172" t="str">
        <f>'SAF 011 - NECESIDAD TRIMESTRAL'!E65</f>
        <v xml:space="preserve">COCTEL DE EXTRACCION 105 ML R-BIOPHARM PARA KIT RIDASCREEN GLIADINA </v>
      </c>
      <c r="D22" s="173"/>
      <c r="E22" s="173"/>
      <c r="F22" s="173"/>
      <c r="G22" s="174"/>
      <c r="H22" s="128" t="s">
        <v>170</v>
      </c>
      <c r="I22" s="129" t="str">
        <f>'SAF 011 - NECESIDAD TRIMESTRAL'!F65</f>
        <v>UNIDAD</v>
      </c>
      <c r="J22" s="130">
        <f>'SAF 011 - NECESIDAD TRIMESTRAL'!H65</f>
        <v>27300</v>
      </c>
      <c r="K22" s="131" t="e">
        <f>'SAF 011 - NECESIDAD TRIMESTRAL'!#REF!</f>
        <v>#REF!</v>
      </c>
    </row>
    <row r="23" spans="1:11" s="106" customFormat="1" ht="15.75" customHeight="1" x14ac:dyDescent="0.25">
      <c r="A23" s="127">
        <v>12</v>
      </c>
      <c r="B23" s="128"/>
      <c r="C23" s="172" t="str">
        <f>'SAF 011 - NECESIDAD TRIMESTRAL'!E80</f>
        <v>ÉTER ANHIDRO X 1.000 ML TIPO CICARELLI</v>
      </c>
      <c r="D23" s="173"/>
      <c r="E23" s="173"/>
      <c r="F23" s="173"/>
      <c r="G23" s="174"/>
      <c r="H23" s="128" t="s">
        <v>170</v>
      </c>
      <c r="I23" s="129" t="str">
        <f>'SAF 011 - NECESIDAD TRIMESTRAL'!F80</f>
        <v>UNIDAD</v>
      </c>
      <c r="J23" s="130">
        <f>'SAF 011 - NECESIDAD TRIMESTRAL'!H80</f>
        <v>3950</v>
      </c>
      <c r="K23" s="131" t="e">
        <f>'SAF 011 - NECESIDAD TRIMESTRAL'!#REF!</f>
        <v>#REF!</v>
      </c>
    </row>
    <row r="24" spans="1:11" s="106" customFormat="1" ht="15.75" customHeight="1" x14ac:dyDescent="0.25">
      <c r="A24" s="127">
        <v>13</v>
      </c>
      <c r="B24" s="128"/>
      <c r="C24" s="172" t="str">
        <f>'SAF 011 - NECESIDAD TRIMESTRAL'!E81</f>
        <v>ÉTER SULFÚRICO X 1.000 ML TIPO CICARELLI</v>
      </c>
      <c r="D24" s="173"/>
      <c r="E24" s="173"/>
      <c r="F24" s="173"/>
      <c r="G24" s="174"/>
      <c r="H24" s="128" t="s">
        <v>170</v>
      </c>
      <c r="I24" s="129" t="str">
        <f>'SAF 011 - NECESIDAD TRIMESTRAL'!F81</f>
        <v>UNIDAD</v>
      </c>
      <c r="J24" s="130">
        <f>'SAF 011 - NECESIDAD TRIMESTRAL'!H81</f>
        <v>5900</v>
      </c>
      <c r="K24" s="131" t="e">
        <f>'SAF 011 - NECESIDAD TRIMESTRAL'!#REF!</f>
        <v>#REF!</v>
      </c>
    </row>
    <row r="25" spans="1:11" s="106" customFormat="1" ht="15.75" customHeight="1" x14ac:dyDescent="0.25">
      <c r="A25" s="127">
        <v>14</v>
      </c>
      <c r="B25" s="128"/>
      <c r="C25" s="172" t="str">
        <f>'SAF 011 - NECESIDAD TRIMESTRAL'!E93</f>
        <v xml:space="preserve">HIDRÓXIDO DE SÓDIO EN CRISTALES O LENTEJAS X 250 GRS TIPO CICARELLI </v>
      </c>
      <c r="D25" s="173"/>
      <c r="E25" s="173"/>
      <c r="F25" s="173"/>
      <c r="G25" s="174"/>
      <c r="H25" s="128" t="s">
        <v>170</v>
      </c>
      <c r="I25" s="129" t="str">
        <f>'SAF 011 - NECESIDAD TRIMESTRAL'!F93</f>
        <v>UNIDAD</v>
      </c>
      <c r="J25" s="130">
        <f>'SAF 011 - NECESIDAD TRIMESTRAL'!H93</f>
        <v>1500</v>
      </c>
      <c r="K25" s="131" t="e">
        <f>'SAF 011 - NECESIDAD TRIMESTRAL'!#REF!</f>
        <v>#REF!</v>
      </c>
    </row>
    <row r="26" spans="1:11" s="106" customFormat="1" ht="15.75" customHeight="1" x14ac:dyDescent="0.25">
      <c r="A26" s="127">
        <v>15</v>
      </c>
      <c r="B26" s="128"/>
      <c r="C26" s="172" t="str">
        <f>'SAF 011 - NECESIDAD TRIMESTRAL'!E97</f>
        <v>INDIGO CARMIN (C.I. 73015) 25 GR TIPO BIOPACK</v>
      </c>
      <c r="D26" s="173"/>
      <c r="E26" s="173"/>
      <c r="F26" s="173"/>
      <c r="G26" s="174"/>
      <c r="H26" s="128" t="s">
        <v>170</v>
      </c>
      <c r="I26" s="129" t="str">
        <f>'SAF 011 - NECESIDAD TRIMESTRAL'!F97</f>
        <v>UNIDAD</v>
      </c>
      <c r="J26" s="130">
        <f>'SAF 011 - NECESIDAD TRIMESTRAL'!H97</f>
        <v>2800</v>
      </c>
      <c r="K26" s="131" t="e">
        <f>'SAF 011 - NECESIDAD TRIMESTRAL'!#REF!</f>
        <v>#REF!</v>
      </c>
    </row>
    <row r="27" spans="1:11" s="106" customFormat="1" ht="15.75" customHeight="1" x14ac:dyDescent="0.25">
      <c r="A27" s="127">
        <v>16</v>
      </c>
      <c r="B27" s="128"/>
      <c r="C27" s="172" t="str">
        <f>'SAF 011 - NECESIDAD TRIMESTRAL'!E98</f>
        <v xml:space="preserve">IODO RESUBLIMADO PRO-ANÁLISIS (ACS) X 100 G TIPO CICARELLI </v>
      </c>
      <c r="D27" s="173"/>
      <c r="E27" s="173"/>
      <c r="F27" s="173"/>
      <c r="G27" s="174"/>
      <c r="H27" s="128" t="s">
        <v>170</v>
      </c>
      <c r="I27" s="129" t="str">
        <f>'SAF 011 - NECESIDAD TRIMESTRAL'!F98</f>
        <v>UNIDAD</v>
      </c>
      <c r="J27" s="130">
        <f>'SAF 011 - NECESIDAD TRIMESTRAL'!H98</f>
        <v>15000</v>
      </c>
      <c r="K27" s="131" t="e">
        <f>'SAF 011 - NECESIDAD TRIMESTRAL'!#REF!</f>
        <v>#REF!</v>
      </c>
    </row>
    <row r="28" spans="1:11" s="106" customFormat="1" ht="15.75" customHeight="1" x14ac:dyDescent="0.25">
      <c r="A28" s="127">
        <v>17</v>
      </c>
      <c r="B28" s="128"/>
      <c r="C28" s="172" t="str">
        <f>'SAF 011 - NECESIDAD TRIMESTRAL'!E108</f>
        <v>MEDIOS DE CULTIVO Y SUPLEMENTO; NOMBRE DEL PRODUCTO: C.LAURIL SULFATO TRIPTOSA MODI, ESTADO: SOLIDO, PRESENTACION: ENVASE X 500 mGr</v>
      </c>
      <c r="D28" s="173"/>
      <c r="E28" s="173"/>
      <c r="F28" s="173"/>
      <c r="G28" s="174"/>
      <c r="H28" s="128" t="s">
        <v>170</v>
      </c>
      <c r="I28" s="129" t="str">
        <f>'SAF 011 - NECESIDAD TRIMESTRAL'!F108</f>
        <v>UNIDAD</v>
      </c>
      <c r="J28" s="130">
        <f>'SAF 011 - NECESIDAD TRIMESTRAL'!H108</f>
        <v>22300</v>
      </c>
      <c r="K28" s="131" t="e">
        <f>'SAF 011 - NECESIDAD TRIMESTRAL'!#REF!</f>
        <v>#REF!</v>
      </c>
    </row>
    <row r="29" spans="1:11" s="106" customFormat="1" ht="15.75" customHeight="1" x14ac:dyDescent="0.25">
      <c r="A29" s="127">
        <v>18</v>
      </c>
      <c r="B29" s="128"/>
      <c r="C29" s="172" t="str">
        <f>'SAF 011 - NECESIDAD TRIMESTRAL'!E109</f>
        <v>MEDIOS DE CULTIVO Y SUPLEMENTO; NOMBRE DEL PRODUCTO: CALDO GIOLITTI CANTONI, ESTADO: SOLIDO, PRESENTACION: ENVASE X 500 GR</v>
      </c>
      <c r="D29" s="173"/>
      <c r="E29" s="173"/>
      <c r="F29" s="173"/>
      <c r="G29" s="174"/>
      <c r="H29" s="128" t="s">
        <v>170</v>
      </c>
      <c r="I29" s="129" t="str">
        <f>'SAF 011 - NECESIDAD TRIMESTRAL'!F109</f>
        <v>UNIDAD</v>
      </c>
      <c r="J29" s="130">
        <f>'SAF 011 - NECESIDAD TRIMESTRAL'!H109</f>
        <v>32300</v>
      </c>
      <c r="K29" s="131" t="e">
        <f>'SAF 011 - NECESIDAD TRIMESTRAL'!#REF!</f>
        <v>#REF!</v>
      </c>
    </row>
    <row r="30" spans="1:11" s="106" customFormat="1" ht="15.75" customHeight="1" x14ac:dyDescent="0.25">
      <c r="A30" s="127">
        <v>19</v>
      </c>
      <c r="B30" s="128"/>
      <c r="C30" s="172" t="str">
        <f>'SAF 011 - NECESIDAD TRIMESTRAL'!E111</f>
        <v>MULLER-KAUFFMANN TETRATHIONATE-NOVOBIOCIN (MKTTN) CALDO 500 GR TIPO BIOKAR</v>
      </c>
      <c r="D30" s="173"/>
      <c r="E30" s="173"/>
      <c r="F30" s="173"/>
      <c r="G30" s="174"/>
      <c r="H30" s="128" t="s">
        <v>170</v>
      </c>
      <c r="I30" s="129" t="str">
        <f>'SAF 011 - NECESIDAD TRIMESTRAL'!F111</f>
        <v>UNIDAD</v>
      </c>
      <c r="J30" s="130">
        <f>'SAF 011 - NECESIDAD TRIMESTRAL'!H111</f>
        <v>40000</v>
      </c>
      <c r="K30" s="131" t="e">
        <f>'SAF 011 - NECESIDAD TRIMESTRAL'!#REF!</f>
        <v>#REF!</v>
      </c>
    </row>
    <row r="31" spans="1:11" s="106" customFormat="1" ht="15.75" customHeight="1" x14ac:dyDescent="0.25">
      <c r="A31" s="127">
        <v>20</v>
      </c>
      <c r="B31" s="128"/>
      <c r="C31" s="172" t="str">
        <f>'SAF 011 - NECESIDAD TRIMESTRAL'!E112</f>
        <v>N-(1-NAFTIL) ETILENDIAMINA DICLORHIDRATO P.A. (A.C.S.) 25 GR TIPO BIOPACK</v>
      </c>
      <c r="D31" s="173"/>
      <c r="E31" s="173"/>
      <c r="F31" s="173"/>
      <c r="G31" s="174"/>
      <c r="H31" s="128" t="s">
        <v>170</v>
      </c>
      <c r="I31" s="129" t="str">
        <f>'SAF 011 - NECESIDAD TRIMESTRAL'!F112</f>
        <v>UNIDAD</v>
      </c>
      <c r="J31" s="130">
        <f>'SAF 011 - NECESIDAD TRIMESTRAL'!H112</f>
        <v>8500</v>
      </c>
      <c r="K31" s="131" t="e">
        <f>'SAF 011 - NECESIDAD TRIMESTRAL'!#REF!</f>
        <v>#REF!</v>
      </c>
    </row>
    <row r="32" spans="1:11" s="106" customFormat="1" ht="15.75" customHeight="1" x14ac:dyDescent="0.25">
      <c r="A32" s="127">
        <v>21</v>
      </c>
      <c r="B32" s="128"/>
      <c r="C32" s="172" t="str">
        <f>'SAF 011 - NECESIDAD TRIMESTRAL'!E113</f>
        <v>NITRATO DE POTÁSIO P.A. DROGA SÓLIDA X  500 G. TIPO BIOPACK</v>
      </c>
      <c r="D32" s="173"/>
      <c r="E32" s="173"/>
      <c r="F32" s="173"/>
      <c r="G32" s="174"/>
      <c r="H32" s="128" t="s">
        <v>170</v>
      </c>
      <c r="I32" s="129" t="str">
        <f>'SAF 011 - NECESIDAD TRIMESTRAL'!F113</f>
        <v>UNIDAD</v>
      </c>
      <c r="J32" s="130">
        <f>'SAF 011 - NECESIDAD TRIMESTRAL'!H113</f>
        <v>3800</v>
      </c>
      <c r="K32" s="131" t="e">
        <f>'SAF 011 - NECESIDAD TRIMESTRAL'!#REF!</f>
        <v>#REF!</v>
      </c>
    </row>
    <row r="33" spans="1:11" s="106" customFormat="1" ht="15.75" customHeight="1" x14ac:dyDescent="0.25">
      <c r="A33" s="127">
        <v>22</v>
      </c>
      <c r="B33" s="128"/>
      <c r="C33" s="172" t="str">
        <f>'SAF 011 - NECESIDAD TRIMESTRAL'!E114</f>
        <v>NITRITO DE SODIO DROGA SÓLIDA X 500 G. TIPO BIOPACK</v>
      </c>
      <c r="D33" s="173"/>
      <c r="E33" s="173"/>
      <c r="F33" s="173"/>
      <c r="G33" s="174"/>
      <c r="H33" s="128" t="s">
        <v>170</v>
      </c>
      <c r="I33" s="129" t="str">
        <f>'SAF 011 - NECESIDAD TRIMESTRAL'!F114</f>
        <v>UNIDAD</v>
      </c>
      <c r="J33" s="130">
        <f>'SAF 011 - NECESIDAD TRIMESTRAL'!H114</f>
        <v>2100</v>
      </c>
      <c r="K33" s="131" t="e">
        <f>'SAF 011 - NECESIDAD TRIMESTRAL'!#REF!</f>
        <v>#REF!</v>
      </c>
    </row>
    <row r="34" spans="1:11" s="106" customFormat="1" ht="15.75" customHeight="1" x14ac:dyDescent="0.25">
      <c r="A34" s="127">
        <v>23</v>
      </c>
      <c r="B34" s="128"/>
      <c r="C34" s="172" t="str">
        <f>'SAF 011 - NECESIDAD TRIMESTRAL'!E115</f>
        <v>NOVOBIOCINA SAL MONOSODICA PFB 1 GR TIPO CALBIOCHEM/MERCK</v>
      </c>
      <c r="D34" s="173"/>
      <c r="E34" s="173"/>
      <c r="F34" s="173"/>
      <c r="G34" s="174"/>
      <c r="H34" s="128" t="s">
        <v>170</v>
      </c>
      <c r="I34" s="129" t="str">
        <f>'SAF 011 - NECESIDAD TRIMESTRAL'!F115</f>
        <v>UNIDAD</v>
      </c>
      <c r="J34" s="130">
        <f>'SAF 011 - NECESIDAD TRIMESTRAL'!H115</f>
        <v>28500</v>
      </c>
      <c r="K34" s="131" t="e">
        <f>'SAF 011 - NECESIDAD TRIMESTRAL'!#REF!</f>
        <v>#REF!</v>
      </c>
    </row>
    <row r="35" spans="1:11" s="106" customFormat="1" ht="15.75" customHeight="1" x14ac:dyDescent="0.25">
      <c r="A35" s="127">
        <v>24</v>
      </c>
      <c r="B35" s="128"/>
      <c r="C35" s="172" t="str">
        <f>'SAF 011 - NECESIDAD TRIMESTRAL'!E116</f>
        <v>OXIDO DE CALCIO NATURAL EN GRANALLAS DROGA SÓLIDA X 500 G TIPO CICARELLI</v>
      </c>
      <c r="D35" s="173"/>
      <c r="E35" s="173"/>
      <c r="F35" s="173"/>
      <c r="G35" s="174"/>
      <c r="H35" s="128" t="s">
        <v>170</v>
      </c>
      <c r="I35" s="129" t="str">
        <f>'SAF 011 - NECESIDAD TRIMESTRAL'!F116</f>
        <v>UNIDAD</v>
      </c>
      <c r="J35" s="130">
        <f>'SAF 011 - NECESIDAD TRIMESTRAL'!H116</f>
        <v>4800</v>
      </c>
      <c r="K35" s="131" t="e">
        <f>'SAF 011 - NECESIDAD TRIMESTRAL'!#REF!</f>
        <v>#REF!</v>
      </c>
    </row>
    <row r="36" spans="1:11" s="106" customFormat="1" ht="15.75" customHeight="1" x14ac:dyDescent="0.25">
      <c r="A36" s="127">
        <v>25</v>
      </c>
      <c r="B36" s="128"/>
      <c r="C36" s="172" t="str">
        <f>'SAF 011 - NECESIDAD TRIMESTRAL'!E123</f>
        <v>PEPTONA DE GELATINA POR DIGESTIÓN PANCR. P/MICROB. 1000 GR TIPO MERCK</v>
      </c>
      <c r="D36" s="173"/>
      <c r="E36" s="173"/>
      <c r="F36" s="173"/>
      <c r="G36" s="174"/>
      <c r="H36" s="128" t="s">
        <v>170</v>
      </c>
      <c r="I36" s="129" t="str">
        <f>'SAF 011 - NECESIDAD TRIMESTRAL'!F123</f>
        <v>UNIDAD</v>
      </c>
      <c r="J36" s="130">
        <f>'SAF 011 - NECESIDAD TRIMESTRAL'!H123</f>
        <v>38000</v>
      </c>
      <c r="K36" s="131" t="e">
        <f>'SAF 011 - NECESIDAD TRIMESTRAL'!#REF!</f>
        <v>#REF!</v>
      </c>
    </row>
    <row r="37" spans="1:11" s="106" customFormat="1" ht="15.75" customHeight="1" x14ac:dyDescent="0.25">
      <c r="A37" s="127">
        <v>26</v>
      </c>
      <c r="B37" s="128"/>
      <c r="C37" s="172" t="str">
        <f>'SAF 011 - NECESIDAD TRIMESTRAL'!E124</f>
        <v>PERMANGANATO DE POTASIO DRÓGA SÓLIDA PRO-ANÁLISIS X 250 G  TIPO CICARELLI</v>
      </c>
      <c r="D37" s="173"/>
      <c r="E37" s="173"/>
      <c r="F37" s="173"/>
      <c r="G37" s="174"/>
      <c r="H37" s="128" t="s">
        <v>170</v>
      </c>
      <c r="I37" s="129" t="str">
        <f>'SAF 011 - NECESIDAD TRIMESTRAL'!F124</f>
        <v>UNIDAD</v>
      </c>
      <c r="J37" s="130">
        <f>'SAF 011 - NECESIDAD TRIMESTRAL'!H124</f>
        <v>4100</v>
      </c>
      <c r="K37" s="131" t="e">
        <f>'SAF 011 - NECESIDAD TRIMESTRAL'!#REF!</f>
        <v>#REF!</v>
      </c>
    </row>
    <row r="38" spans="1:11" s="106" customFormat="1" ht="15" customHeight="1" x14ac:dyDescent="0.25">
      <c r="A38" s="127">
        <v>27</v>
      </c>
      <c r="B38" s="128"/>
      <c r="C38" s="172" t="str">
        <f>'SAF 011 - NECESIDAD TRIMESTRAL'!E125</f>
        <v>PLOMO SUBACETATO p.a. (A.C.S.) X 250 GR DROGA SÓLIDA TIPO BIOPACK</v>
      </c>
      <c r="D38" s="173"/>
      <c r="E38" s="173"/>
      <c r="F38" s="173"/>
      <c r="G38" s="174"/>
      <c r="H38" s="128" t="s">
        <v>170</v>
      </c>
      <c r="I38" s="129" t="str">
        <f>'SAF 011 - NECESIDAD TRIMESTRAL'!F125</f>
        <v>UNIDAD</v>
      </c>
      <c r="J38" s="130">
        <f>'SAF 011 - NECESIDAD TRIMESTRAL'!H125</f>
        <v>4300</v>
      </c>
      <c r="K38" s="131" t="e">
        <f>'SAF 011 - NECESIDAD TRIMESTRAL'!#REF!</f>
        <v>#REF!</v>
      </c>
    </row>
    <row r="39" spans="1:11" s="106" customFormat="1" ht="15.75" customHeight="1" x14ac:dyDescent="0.25">
      <c r="A39" s="127">
        <v>28</v>
      </c>
      <c r="B39" s="128"/>
      <c r="C39" s="172" t="str">
        <f>'SAF 011 - NECESIDAD TRIMESTRAL'!E126</f>
        <v>POTASIO HIDROXIDO SOLUCIÓN 0.1 N (0,1 MOL/L) 1000 ML TIPO BIOPACK</v>
      </c>
      <c r="D39" s="173"/>
      <c r="E39" s="173"/>
      <c r="F39" s="173"/>
      <c r="G39" s="174"/>
      <c r="H39" s="128" t="s">
        <v>170</v>
      </c>
      <c r="I39" s="129" t="str">
        <f>'SAF 011 - NECESIDAD TRIMESTRAL'!F126</f>
        <v>UNIDAD</v>
      </c>
      <c r="J39" s="130">
        <f>'SAF 011 - NECESIDAD TRIMESTRAL'!H126</f>
        <v>2800</v>
      </c>
      <c r="K39" s="131" t="e">
        <f>'SAF 011 - NECESIDAD TRIMESTRAL'!#REF!</f>
        <v>#REF!</v>
      </c>
    </row>
    <row r="40" spans="1:11" s="106" customFormat="1" ht="15.75" customHeight="1" x14ac:dyDescent="0.25">
      <c r="A40" s="127">
        <v>29</v>
      </c>
      <c r="B40" s="128"/>
      <c r="C40" s="172" t="str">
        <f>'SAF 011 - NECESIDAD TRIMESTRAL'!E130</f>
        <v>REATIVO DE FEHLING A X 1000 ML TIPO BIOPACK</v>
      </c>
      <c r="D40" s="173"/>
      <c r="E40" s="173"/>
      <c r="F40" s="173"/>
      <c r="G40" s="174"/>
      <c r="H40" s="128" t="s">
        <v>170</v>
      </c>
      <c r="I40" s="129" t="str">
        <f>'SAF 011 - NECESIDAD TRIMESTRAL'!F130</f>
        <v>UNIDAD</v>
      </c>
      <c r="J40" s="130">
        <f>'SAF 011 - NECESIDAD TRIMESTRAL'!H130</f>
        <v>3600</v>
      </c>
      <c r="K40" s="131" t="e">
        <f>'SAF 011 - NECESIDAD TRIMESTRAL'!#REF!</f>
        <v>#REF!</v>
      </c>
    </row>
    <row r="41" spans="1:11" s="106" customFormat="1" ht="15.75" customHeight="1" x14ac:dyDescent="0.25">
      <c r="A41" s="127">
        <v>30</v>
      </c>
      <c r="B41" s="128"/>
      <c r="C41" s="172" t="str">
        <f>'SAF 011 - NECESIDAD TRIMESTRAL'!E131</f>
        <v>REATIVO DE FEHLING B X 1000 ML TIPO BIOPACK</v>
      </c>
      <c r="D41" s="173"/>
      <c r="E41" s="173"/>
      <c r="F41" s="173"/>
      <c r="G41" s="174"/>
      <c r="H41" s="128" t="s">
        <v>170</v>
      </c>
      <c r="I41" s="129" t="str">
        <f>'SAF 011 - NECESIDAD TRIMESTRAL'!F131</f>
        <v>UNIDAD</v>
      </c>
      <c r="J41" s="130">
        <f>'SAF 011 - NECESIDAD TRIMESTRAL'!H131</f>
        <v>5200</v>
      </c>
      <c r="K41" s="131" t="e">
        <f>'SAF 011 - NECESIDAD TRIMESTRAL'!#REF!</f>
        <v>#REF!</v>
      </c>
    </row>
    <row r="42" spans="1:11" s="106" customFormat="1" ht="15.75" customHeight="1" x14ac:dyDescent="0.25">
      <c r="A42" s="127">
        <v>31</v>
      </c>
      <c r="B42" s="128"/>
      <c r="C42" s="172" t="str">
        <f>'SAF 011 - NECESIDAD TRIMESTRAL'!E132</f>
        <v>RIDASCREEN GLIADINA X 96 DET ELISA TIPO R-BIOPHARM</v>
      </c>
      <c r="D42" s="173"/>
      <c r="E42" s="173"/>
      <c r="F42" s="173"/>
      <c r="G42" s="174"/>
      <c r="H42" s="128" t="s">
        <v>170</v>
      </c>
      <c r="I42" s="129" t="str">
        <f>'SAF 011 - NECESIDAD TRIMESTRAL'!F132</f>
        <v>UNIDAD</v>
      </c>
      <c r="J42" s="130">
        <f>'SAF 011 - NECESIDAD TRIMESTRAL'!H132</f>
        <v>135250</v>
      </c>
      <c r="K42" s="131" t="e">
        <f>'SAF 011 - NECESIDAD TRIMESTRAL'!#REF!</f>
        <v>#REF!</v>
      </c>
    </row>
    <row r="43" spans="1:11" s="106" customFormat="1" ht="15.75" customHeight="1" x14ac:dyDescent="0.25">
      <c r="A43" s="127">
        <v>32</v>
      </c>
      <c r="B43" s="128"/>
      <c r="C43" s="172" t="str">
        <f>'SAF 011 - NECESIDAD TRIMESTRAL'!E141</f>
        <v>SODIO SULFATO ANHIDRO PRO-ANÁLISIS (ACS) X 250 G TIPO CICARELLI</v>
      </c>
      <c r="D43" s="173"/>
      <c r="E43" s="173"/>
      <c r="F43" s="173"/>
      <c r="G43" s="174"/>
      <c r="H43" s="128" t="s">
        <v>170</v>
      </c>
      <c r="I43" s="129" t="str">
        <f>'SAF 011 - NECESIDAD TRIMESTRAL'!F141</f>
        <v>UNIDAD</v>
      </c>
      <c r="J43" s="130">
        <f>'SAF 011 - NECESIDAD TRIMESTRAL'!H141</f>
        <v>3300</v>
      </c>
      <c r="K43" s="131" t="e">
        <f>'SAF 011 - NECESIDAD TRIMESTRAL'!#REF!</f>
        <v>#REF!</v>
      </c>
    </row>
    <row r="44" spans="1:11" s="106" customFormat="1" ht="15.75" customHeight="1" x14ac:dyDescent="0.25">
      <c r="A44" s="127">
        <v>33</v>
      </c>
      <c r="B44" s="128"/>
      <c r="C44" s="172" t="str">
        <f>'SAF 011 - NECESIDAD TRIMESTRAL'!E148</f>
        <v>SULFANILAMIDA P.A. REAG. PH EUR 100 GR TIPO MERCK</v>
      </c>
      <c r="D44" s="173"/>
      <c r="E44" s="173"/>
      <c r="F44" s="173"/>
      <c r="G44" s="174"/>
      <c r="H44" s="128" t="s">
        <v>170</v>
      </c>
      <c r="I44" s="129" t="str">
        <f>'SAF 011 - NECESIDAD TRIMESTRAL'!F148</f>
        <v>UNIDAD</v>
      </c>
      <c r="J44" s="130">
        <f>'SAF 011 - NECESIDAD TRIMESTRAL'!H148</f>
        <v>73000</v>
      </c>
      <c r="K44" s="131" t="e">
        <f>'SAF 011 - NECESIDAD TRIMESTRAL'!#REF!</f>
        <v>#REF!</v>
      </c>
    </row>
    <row r="45" spans="1:11" s="106" customFormat="1" ht="15.75" customHeight="1" x14ac:dyDescent="0.25">
      <c r="A45" s="127">
        <v>34</v>
      </c>
      <c r="B45" s="128"/>
      <c r="C45" s="172" t="str">
        <f>'SAF 011 - NECESIDAD TRIMESTRAL'!E155</f>
        <v>TIRAS UNIVERSALES DE PH 0-14 X 100 UNIDADES TIPO BIOPACK</v>
      </c>
      <c r="D45" s="173"/>
      <c r="E45" s="173"/>
      <c r="F45" s="173"/>
      <c r="G45" s="174"/>
      <c r="H45" s="128" t="s">
        <v>170</v>
      </c>
      <c r="I45" s="129" t="str">
        <f>'SAF 011 - NECESIDAD TRIMESTRAL'!F155</f>
        <v>CAJA</v>
      </c>
      <c r="J45" s="130">
        <f>'SAF 011 - NECESIDAD TRIMESTRAL'!H155</f>
        <v>2500</v>
      </c>
      <c r="K45" s="131" t="e">
        <f>'SAF 011 - NECESIDAD TRIMESTRAL'!#REF!</f>
        <v>#REF!</v>
      </c>
    </row>
    <row r="46" spans="1:11" s="106" customFormat="1" x14ac:dyDescent="0.25">
      <c r="A46" s="59"/>
      <c r="B46" s="97"/>
      <c r="C46" s="178"/>
      <c r="D46" s="178"/>
      <c r="E46" s="178"/>
      <c r="F46" s="178"/>
      <c r="G46" s="178"/>
      <c r="H46" s="97"/>
      <c r="I46" s="132"/>
      <c r="J46" s="108"/>
      <c r="K46" s="109"/>
    </row>
    <row r="47" spans="1:11" ht="19.5" thickBot="1" x14ac:dyDescent="0.3">
      <c r="A47" s="177" t="s">
        <v>249</v>
      </c>
      <c r="B47" s="177"/>
      <c r="C47" s="177"/>
      <c r="D47" s="177"/>
      <c r="E47" s="177"/>
      <c r="F47" s="177"/>
      <c r="G47" s="177"/>
      <c r="H47" s="177"/>
      <c r="I47" s="177"/>
      <c r="J47" s="175" t="e">
        <f>SUMPRODUCT(J12:J45,K12:K45)</f>
        <v>#REF!</v>
      </c>
      <c r="K47" s="176"/>
    </row>
  </sheetData>
  <mergeCells count="51">
    <mergeCell ref="A7:C7"/>
    <mergeCell ref="A1:I1"/>
    <mergeCell ref="A3:C3"/>
    <mergeCell ref="A4:C4"/>
    <mergeCell ref="A5:C5"/>
    <mergeCell ref="A6:C6"/>
    <mergeCell ref="C15:G15"/>
    <mergeCell ref="A8:C8"/>
    <mergeCell ref="A10:A11"/>
    <mergeCell ref="B10:B11"/>
    <mergeCell ref="C10:G11"/>
    <mergeCell ref="J10:J11"/>
    <mergeCell ref="K10:K11"/>
    <mergeCell ref="C12:G12"/>
    <mergeCell ref="C13:G13"/>
    <mergeCell ref="C14:G14"/>
    <mergeCell ref="H10:H11"/>
    <mergeCell ref="I10:I11"/>
    <mergeCell ref="C18:G18"/>
    <mergeCell ref="C19:G19"/>
    <mergeCell ref="C20:G20"/>
    <mergeCell ref="C17:G17"/>
    <mergeCell ref="C16:G16"/>
    <mergeCell ref="C25:G25"/>
    <mergeCell ref="C23:G23"/>
    <mergeCell ref="C24:G24"/>
    <mergeCell ref="C22:G22"/>
    <mergeCell ref="C21:G21"/>
    <mergeCell ref="C28:G28"/>
    <mergeCell ref="C29:G29"/>
    <mergeCell ref="C30:G30"/>
    <mergeCell ref="C31:G31"/>
    <mergeCell ref="C26:G26"/>
    <mergeCell ref="C27:G27"/>
    <mergeCell ref="C36:G36"/>
    <mergeCell ref="C37:G37"/>
    <mergeCell ref="C32:G32"/>
    <mergeCell ref="C33:G33"/>
    <mergeCell ref="C34:G34"/>
    <mergeCell ref="C35:G35"/>
    <mergeCell ref="C43:G43"/>
    <mergeCell ref="C41:G41"/>
    <mergeCell ref="C42:G42"/>
    <mergeCell ref="C38:G38"/>
    <mergeCell ref="C39:G39"/>
    <mergeCell ref="C40:G40"/>
    <mergeCell ref="C46:G46"/>
    <mergeCell ref="A47:I47"/>
    <mergeCell ref="J47:K47"/>
    <mergeCell ref="C45:G45"/>
    <mergeCell ref="C44:G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2"/>
  <sheetViews>
    <sheetView topLeftCell="A7" workbookViewId="0">
      <selection activeCell="A11" sqref="A11"/>
    </sheetView>
  </sheetViews>
  <sheetFormatPr baseColWidth="10" defaultRowHeight="15" x14ac:dyDescent="0.25"/>
  <cols>
    <col min="1" max="5" width="4.42578125" style="17" customWidth="1"/>
    <col min="6" max="6" width="5" style="17" bestFit="1" customWidth="1"/>
    <col min="7" max="14" width="4.42578125" style="17" customWidth="1"/>
    <col min="15" max="16" width="14.85546875" style="17" customWidth="1"/>
    <col min="17" max="17" width="16.140625" style="103" customWidth="1"/>
    <col min="18" max="16384" width="11.42578125" style="17"/>
  </cols>
  <sheetData>
    <row r="1" spans="1:17" ht="15.75" thickBot="1" x14ac:dyDescent="0.3">
      <c r="A1" s="195" t="s">
        <v>5</v>
      </c>
      <c r="B1" s="195"/>
      <c r="C1" s="195"/>
      <c r="D1" s="196">
        <v>2022</v>
      </c>
      <c r="E1" s="196"/>
      <c r="F1" s="60"/>
      <c r="G1" s="60"/>
      <c r="H1" s="61"/>
      <c r="I1" s="61"/>
      <c r="J1" s="61"/>
      <c r="K1" s="61"/>
      <c r="L1" s="61"/>
      <c r="M1" s="61"/>
      <c r="N1" s="61"/>
      <c r="O1" s="62"/>
      <c r="P1" s="197" t="s">
        <v>139</v>
      </c>
      <c r="Q1" s="197"/>
    </row>
    <row r="2" spans="1:17" ht="15.75" thickBot="1" x14ac:dyDescent="0.3">
      <c r="A2" s="63"/>
      <c r="B2" s="64"/>
      <c r="C2" s="64"/>
      <c r="D2" s="64"/>
      <c r="E2" s="64"/>
      <c r="F2" s="64"/>
      <c r="G2" s="65"/>
      <c r="H2" s="66"/>
      <c r="I2" s="66"/>
      <c r="J2" s="66"/>
      <c r="K2" s="66"/>
      <c r="L2" s="66"/>
      <c r="M2" s="66"/>
      <c r="N2" s="66"/>
      <c r="O2" s="64"/>
      <c r="P2" s="197"/>
      <c r="Q2" s="197"/>
    </row>
    <row r="3" spans="1:17" ht="15.75" thickBot="1" x14ac:dyDescent="0.3">
      <c r="A3" s="63"/>
      <c r="B3" s="64"/>
      <c r="C3" s="64"/>
      <c r="D3" s="64"/>
      <c r="E3" s="64"/>
      <c r="F3" s="64"/>
      <c r="G3" s="65"/>
      <c r="H3" s="64"/>
      <c r="I3" s="64"/>
      <c r="J3" s="64"/>
      <c r="K3" s="64"/>
      <c r="L3" s="64"/>
      <c r="M3" s="64"/>
      <c r="N3" s="64"/>
      <c r="O3" s="64"/>
      <c r="P3" s="64"/>
      <c r="Q3" s="110"/>
    </row>
    <row r="4" spans="1:17" ht="15.75" thickBot="1" x14ac:dyDescent="0.3">
      <c r="A4" s="198" t="s">
        <v>140</v>
      </c>
      <c r="B4" s="198"/>
      <c r="C4" s="198"/>
      <c r="D4" s="198"/>
      <c r="E4" s="198"/>
      <c r="F4" s="198"/>
      <c r="G4" s="199" t="str">
        <f>'NP DPSMA'!D3</f>
        <v>040 - MINISTERIO DE SALUD</v>
      </c>
      <c r="H4" s="199"/>
      <c r="I4" s="199"/>
      <c r="J4" s="199"/>
      <c r="K4" s="199"/>
      <c r="L4" s="199"/>
      <c r="M4" s="199"/>
      <c r="N4" s="199"/>
      <c r="O4" s="199"/>
      <c r="P4" s="199"/>
      <c r="Q4" s="199"/>
    </row>
    <row r="5" spans="1:17" ht="15.75" thickBot="1" x14ac:dyDescent="0.3">
      <c r="A5" s="200" t="s">
        <v>127</v>
      </c>
      <c r="B5" s="200"/>
      <c r="C5" s="200"/>
      <c r="D5" s="200"/>
      <c r="E5" s="200"/>
      <c r="F5" s="200"/>
      <c r="G5" s="199" t="str">
        <f>'NP DPSMA'!D4</f>
        <v>011 - DIRECCION PROVINCIAL DE ADMINISTRACION DEL MINISTERIO DE SALUD</v>
      </c>
      <c r="H5" s="199"/>
      <c r="I5" s="199"/>
      <c r="J5" s="199"/>
      <c r="K5" s="199"/>
      <c r="L5" s="199"/>
      <c r="M5" s="199"/>
      <c r="N5" s="199"/>
      <c r="O5" s="199"/>
      <c r="P5" s="199"/>
      <c r="Q5" s="199"/>
    </row>
    <row r="6" spans="1:17" ht="15.75" thickBot="1" x14ac:dyDescent="0.3">
      <c r="A6" s="200" t="s">
        <v>128</v>
      </c>
      <c r="B6" s="200"/>
      <c r="C6" s="200"/>
      <c r="D6" s="200"/>
      <c r="E6" s="200"/>
      <c r="F6" s="200"/>
      <c r="G6" s="199" t="str">
        <f>'NP DPSMA'!D5</f>
        <v>488 - DIRECCION PROVINCIAL DE SALUD Y MEDIO AMBIENTE</v>
      </c>
      <c r="H6" s="199"/>
      <c r="I6" s="199"/>
      <c r="J6" s="199"/>
      <c r="K6" s="199"/>
      <c r="L6" s="199"/>
      <c r="M6" s="199"/>
      <c r="N6" s="199"/>
      <c r="O6" s="199"/>
      <c r="P6" s="199"/>
      <c r="Q6" s="199"/>
    </row>
    <row r="7" spans="1:17" ht="15.75" thickBot="1" x14ac:dyDescent="0.3">
      <c r="A7" s="200" t="s">
        <v>129</v>
      </c>
      <c r="B7" s="200"/>
      <c r="C7" s="200"/>
      <c r="D7" s="200"/>
      <c r="E7" s="200"/>
      <c r="F7" s="200"/>
      <c r="G7" s="199" t="str">
        <f>'NP DPSMA'!D6</f>
        <v>488 - DIRECCION PROVINCIAL DE SALUD Y MEDIO AMBIENTE</v>
      </c>
      <c r="H7" s="199"/>
      <c r="I7" s="199"/>
      <c r="J7" s="199"/>
      <c r="K7" s="199"/>
      <c r="L7" s="199"/>
      <c r="M7" s="199"/>
      <c r="N7" s="199"/>
      <c r="O7" s="199"/>
      <c r="P7" s="199"/>
      <c r="Q7" s="199"/>
    </row>
    <row r="8" spans="1:17" ht="15.75" thickBot="1" x14ac:dyDescent="0.3">
      <c r="A8" s="201" t="s">
        <v>141</v>
      </c>
      <c r="B8" s="201"/>
      <c r="C8" s="201"/>
      <c r="D8" s="201"/>
      <c r="E8" s="201"/>
      <c r="F8" s="201"/>
      <c r="G8" s="201"/>
      <c r="H8" s="201"/>
      <c r="I8" s="201"/>
      <c r="J8" s="201"/>
      <c r="K8" s="201"/>
      <c r="L8" s="201"/>
      <c r="M8" s="201"/>
      <c r="N8" s="201"/>
      <c r="O8" s="201"/>
      <c r="P8" s="201"/>
      <c r="Q8" s="201"/>
    </row>
    <row r="9" spans="1:17" x14ac:dyDescent="0.25">
      <c r="A9" s="194" t="s">
        <v>142</v>
      </c>
      <c r="B9" s="194"/>
      <c r="C9" s="194"/>
      <c r="D9" s="194"/>
      <c r="E9" s="194"/>
      <c r="F9" s="194"/>
      <c r="G9" s="194"/>
      <c r="H9" s="194"/>
      <c r="I9" s="194"/>
      <c r="J9" s="194"/>
      <c r="K9" s="194"/>
      <c r="L9" s="194"/>
      <c r="M9" s="194"/>
      <c r="N9" s="194"/>
      <c r="O9" s="194"/>
      <c r="P9" s="194"/>
      <c r="Q9" s="194"/>
    </row>
    <row r="10" spans="1:17" ht="75" customHeight="1" x14ac:dyDescent="0.25">
      <c r="A10" s="203" t="s">
        <v>245</v>
      </c>
      <c r="B10" s="203"/>
      <c r="C10" s="203"/>
      <c r="D10" s="203"/>
      <c r="E10" s="203"/>
      <c r="F10" s="203"/>
      <c r="G10" s="203"/>
      <c r="H10" s="203"/>
      <c r="I10" s="203"/>
      <c r="J10" s="203"/>
      <c r="K10" s="203"/>
      <c r="L10" s="203"/>
      <c r="M10" s="203"/>
      <c r="N10" s="203"/>
      <c r="O10" s="203"/>
      <c r="P10" s="203"/>
      <c r="Q10" s="203"/>
    </row>
    <row r="11" spans="1:17" ht="15.75" thickBot="1" x14ac:dyDescent="0.3">
      <c r="A11" s="67"/>
      <c r="B11" s="68"/>
      <c r="C11" s="68"/>
      <c r="D11" s="68"/>
      <c r="E11" s="68"/>
      <c r="F11" s="68"/>
      <c r="G11" s="69"/>
      <c r="H11" s="68"/>
      <c r="I11" s="68"/>
      <c r="J11" s="68"/>
      <c r="K11" s="68"/>
      <c r="L11" s="68"/>
      <c r="M11" s="68"/>
      <c r="N11" s="68"/>
      <c r="O11" s="68"/>
      <c r="P11" s="68"/>
      <c r="Q11" s="111"/>
    </row>
    <row r="12" spans="1:17" ht="15.75" thickBot="1" x14ac:dyDescent="0.3">
      <c r="A12" s="204" t="s">
        <v>143</v>
      </c>
      <c r="B12" s="204"/>
      <c r="C12" s="204"/>
      <c r="D12" s="204"/>
      <c r="E12" s="204"/>
      <c r="F12" s="204"/>
      <c r="G12" s="204"/>
      <c r="H12" s="204"/>
      <c r="I12" s="204"/>
      <c r="J12" s="204"/>
      <c r="K12" s="204"/>
      <c r="L12" s="204"/>
      <c r="M12" s="204"/>
      <c r="N12" s="204"/>
      <c r="O12" s="204"/>
      <c r="P12" s="204"/>
      <c r="Q12" s="204"/>
    </row>
    <row r="13" spans="1:17" ht="15.75" thickBot="1" x14ac:dyDescent="0.3">
      <c r="A13" s="205" t="s">
        <v>144</v>
      </c>
      <c r="B13" s="205"/>
      <c r="C13" s="205"/>
      <c r="D13" s="205"/>
      <c r="E13" s="205"/>
      <c r="F13" s="205"/>
      <c r="G13" s="205"/>
      <c r="H13" s="205"/>
      <c r="I13" s="205"/>
      <c r="J13" s="205"/>
      <c r="K13" s="205"/>
      <c r="L13" s="205"/>
      <c r="M13" s="205"/>
      <c r="N13" s="205"/>
      <c r="O13" s="206" t="s">
        <v>145</v>
      </c>
      <c r="P13" s="206"/>
      <c r="Q13" s="207" t="s">
        <v>146</v>
      </c>
    </row>
    <row r="14" spans="1:17" ht="15.75" thickBot="1" x14ac:dyDescent="0.3">
      <c r="A14" s="70" t="s">
        <v>147</v>
      </c>
      <c r="B14" s="71" t="s">
        <v>148</v>
      </c>
      <c r="C14" s="71" t="s">
        <v>149</v>
      </c>
      <c r="D14" s="71" t="s">
        <v>150</v>
      </c>
      <c r="E14" s="71" t="s">
        <v>151</v>
      </c>
      <c r="F14" s="71" t="s">
        <v>152</v>
      </c>
      <c r="G14" s="72" t="s">
        <v>153</v>
      </c>
      <c r="H14" s="71" t="s">
        <v>154</v>
      </c>
      <c r="I14" s="71" t="s">
        <v>155</v>
      </c>
      <c r="J14" s="71" t="s">
        <v>156</v>
      </c>
      <c r="K14" s="71" t="s">
        <v>156</v>
      </c>
      <c r="L14" s="71" t="s">
        <v>157</v>
      </c>
      <c r="M14" s="73" t="s">
        <v>158</v>
      </c>
      <c r="N14" s="74" t="s">
        <v>159</v>
      </c>
      <c r="O14" s="206"/>
      <c r="P14" s="206"/>
      <c r="Q14" s="207"/>
    </row>
    <row r="15" spans="1:17" x14ac:dyDescent="0.25">
      <c r="A15" s="75">
        <v>22</v>
      </c>
      <c r="B15" s="76"/>
      <c r="C15" s="76"/>
      <c r="D15" s="76">
        <v>1</v>
      </c>
      <c r="E15" s="76"/>
      <c r="F15" s="76">
        <v>4901</v>
      </c>
      <c r="G15" s="76">
        <v>4</v>
      </c>
      <c r="H15" s="76">
        <v>4</v>
      </c>
      <c r="I15" s="76">
        <v>2</v>
      </c>
      <c r="J15" s="76">
        <v>5</v>
      </c>
      <c r="K15" s="76">
        <v>1</v>
      </c>
      <c r="L15" s="76"/>
      <c r="M15" s="77">
        <v>1</v>
      </c>
      <c r="N15" s="76" t="s">
        <v>172</v>
      </c>
      <c r="O15" s="208" t="s">
        <v>173</v>
      </c>
      <c r="P15" s="208"/>
      <c r="Q15" s="112" t="e">
        <f>'NP DPSMA'!J47</f>
        <v>#REF!</v>
      </c>
    </row>
    <row r="16" spans="1:17" x14ac:dyDescent="0.25">
      <c r="A16" s="78"/>
      <c r="B16" s="79"/>
      <c r="C16" s="79"/>
      <c r="D16" s="79"/>
      <c r="E16" s="79"/>
      <c r="F16" s="79"/>
      <c r="G16" s="79"/>
      <c r="H16" s="79"/>
      <c r="I16" s="79"/>
      <c r="J16" s="79"/>
      <c r="K16" s="79"/>
      <c r="L16" s="79"/>
      <c r="M16" s="80"/>
      <c r="N16" s="133"/>
      <c r="O16" s="209"/>
      <c r="P16" s="209"/>
      <c r="Q16" s="113"/>
    </row>
    <row r="17" spans="1:17" x14ac:dyDescent="0.25">
      <c r="A17" s="78"/>
      <c r="B17" s="79"/>
      <c r="C17" s="79"/>
      <c r="D17" s="79"/>
      <c r="E17" s="79"/>
      <c r="F17" s="79"/>
      <c r="G17" s="79"/>
      <c r="H17" s="79"/>
      <c r="I17" s="79"/>
      <c r="J17" s="79"/>
      <c r="K17" s="79"/>
      <c r="L17" s="79"/>
      <c r="M17" s="80"/>
      <c r="N17" s="133"/>
      <c r="O17" s="210"/>
      <c r="P17" s="210"/>
      <c r="Q17" s="113"/>
    </row>
    <row r="18" spans="1:17" x14ac:dyDescent="0.25">
      <c r="A18" s="78"/>
      <c r="B18" s="79"/>
      <c r="C18" s="79"/>
      <c r="D18" s="79"/>
      <c r="E18" s="79"/>
      <c r="F18" s="79"/>
      <c r="G18" s="79"/>
      <c r="H18" s="79"/>
      <c r="I18" s="79"/>
      <c r="J18" s="79"/>
      <c r="K18" s="79"/>
      <c r="L18" s="79"/>
      <c r="M18" s="80"/>
      <c r="N18" s="133"/>
      <c r="O18" s="202"/>
      <c r="P18" s="202"/>
      <c r="Q18" s="113"/>
    </row>
    <row r="19" spans="1:17" x14ac:dyDescent="0.25">
      <c r="A19" s="78"/>
      <c r="B19" s="79"/>
      <c r="C19" s="79"/>
      <c r="D19" s="79"/>
      <c r="E19" s="79"/>
      <c r="F19" s="79"/>
      <c r="G19" s="79"/>
      <c r="H19" s="79"/>
      <c r="I19" s="79"/>
      <c r="J19" s="79"/>
      <c r="K19" s="79"/>
      <c r="L19" s="79"/>
      <c r="M19" s="80"/>
      <c r="N19" s="133"/>
      <c r="O19" s="202"/>
      <c r="P19" s="202"/>
      <c r="Q19" s="113"/>
    </row>
    <row r="20" spans="1:17" x14ac:dyDescent="0.25">
      <c r="A20" s="78"/>
      <c r="B20" s="79"/>
      <c r="C20" s="79"/>
      <c r="D20" s="79"/>
      <c r="E20" s="79"/>
      <c r="F20" s="79"/>
      <c r="G20" s="79"/>
      <c r="H20" s="79"/>
      <c r="I20" s="79"/>
      <c r="J20" s="79"/>
      <c r="K20" s="79"/>
      <c r="L20" s="79"/>
      <c r="M20" s="80"/>
      <c r="N20" s="133"/>
      <c r="O20" s="202"/>
      <c r="P20" s="202"/>
      <c r="Q20" s="113"/>
    </row>
    <row r="21" spans="1:17" x14ac:dyDescent="0.25">
      <c r="A21" s="78"/>
      <c r="B21" s="79"/>
      <c r="C21" s="79"/>
      <c r="D21" s="79"/>
      <c r="E21" s="79"/>
      <c r="F21" s="79"/>
      <c r="G21" s="79"/>
      <c r="H21" s="79"/>
      <c r="I21" s="79"/>
      <c r="J21" s="79"/>
      <c r="K21" s="79"/>
      <c r="L21" s="79"/>
      <c r="M21" s="80"/>
      <c r="N21" s="133"/>
      <c r="O21" s="202"/>
      <c r="P21" s="202"/>
      <c r="Q21" s="113"/>
    </row>
    <row r="22" spans="1:17" x14ac:dyDescent="0.25">
      <c r="A22" s="78"/>
      <c r="B22" s="79"/>
      <c r="C22" s="79"/>
      <c r="D22" s="79"/>
      <c r="E22" s="79"/>
      <c r="F22" s="79"/>
      <c r="G22" s="79"/>
      <c r="H22" s="79"/>
      <c r="I22" s="79"/>
      <c r="J22" s="79"/>
      <c r="K22" s="79"/>
      <c r="L22" s="79"/>
      <c r="M22" s="80"/>
      <c r="N22" s="133"/>
      <c r="O22" s="202"/>
      <c r="P22" s="202"/>
      <c r="Q22" s="113"/>
    </row>
    <row r="23" spans="1:17" x14ac:dyDescent="0.25">
      <c r="A23" s="78"/>
      <c r="B23" s="79"/>
      <c r="C23" s="79"/>
      <c r="D23" s="79"/>
      <c r="E23" s="79"/>
      <c r="F23" s="79"/>
      <c r="G23" s="79"/>
      <c r="H23" s="79"/>
      <c r="I23" s="79"/>
      <c r="J23" s="79"/>
      <c r="K23" s="79"/>
      <c r="L23" s="79"/>
      <c r="M23" s="80"/>
      <c r="N23" s="133"/>
      <c r="O23" s="202"/>
      <c r="P23" s="202"/>
      <c r="Q23" s="113"/>
    </row>
    <row r="24" spans="1:17" x14ac:dyDescent="0.25">
      <c r="A24" s="78"/>
      <c r="B24" s="79"/>
      <c r="C24" s="79"/>
      <c r="D24" s="79"/>
      <c r="E24" s="79"/>
      <c r="F24" s="79"/>
      <c r="G24" s="79"/>
      <c r="H24" s="79"/>
      <c r="I24" s="79"/>
      <c r="J24" s="79"/>
      <c r="K24" s="79"/>
      <c r="L24" s="79"/>
      <c r="M24" s="80"/>
      <c r="N24" s="133"/>
      <c r="O24" s="202"/>
      <c r="P24" s="202"/>
      <c r="Q24" s="113"/>
    </row>
    <row r="25" spans="1:17" x14ac:dyDescent="0.25">
      <c r="A25" s="78"/>
      <c r="B25" s="79"/>
      <c r="C25" s="79"/>
      <c r="D25" s="79"/>
      <c r="E25" s="79"/>
      <c r="F25" s="79"/>
      <c r="G25" s="79"/>
      <c r="H25" s="79"/>
      <c r="I25" s="79"/>
      <c r="J25" s="79"/>
      <c r="K25" s="79"/>
      <c r="L25" s="79"/>
      <c r="M25" s="80"/>
      <c r="N25" s="133"/>
      <c r="O25" s="202"/>
      <c r="P25" s="202"/>
      <c r="Q25" s="113"/>
    </row>
    <row r="26" spans="1:17" x14ac:dyDescent="0.25">
      <c r="A26" s="78"/>
      <c r="B26" s="79"/>
      <c r="C26" s="79"/>
      <c r="D26" s="79"/>
      <c r="E26" s="79"/>
      <c r="F26" s="79"/>
      <c r="G26" s="79"/>
      <c r="H26" s="79"/>
      <c r="I26" s="79"/>
      <c r="J26" s="79"/>
      <c r="K26" s="79"/>
      <c r="L26" s="79"/>
      <c r="M26" s="80"/>
      <c r="N26" s="133"/>
      <c r="O26" s="202"/>
      <c r="P26" s="202"/>
      <c r="Q26" s="113"/>
    </row>
    <row r="27" spans="1:17" x14ac:dyDescent="0.25">
      <c r="A27" s="78"/>
      <c r="B27" s="79"/>
      <c r="C27" s="79"/>
      <c r="D27" s="79"/>
      <c r="E27" s="79"/>
      <c r="F27" s="79"/>
      <c r="G27" s="79"/>
      <c r="H27" s="79"/>
      <c r="I27" s="79"/>
      <c r="J27" s="79"/>
      <c r="K27" s="79"/>
      <c r="L27" s="79"/>
      <c r="M27" s="80"/>
      <c r="N27" s="133"/>
      <c r="O27" s="202"/>
      <c r="P27" s="202"/>
      <c r="Q27" s="113"/>
    </row>
    <row r="28" spans="1:17" x14ac:dyDescent="0.25">
      <c r="A28" s="78"/>
      <c r="B28" s="79"/>
      <c r="C28" s="79"/>
      <c r="D28" s="79"/>
      <c r="E28" s="79"/>
      <c r="F28" s="79"/>
      <c r="G28" s="79"/>
      <c r="H28" s="79"/>
      <c r="I28" s="79"/>
      <c r="J28" s="79"/>
      <c r="K28" s="79"/>
      <c r="L28" s="79"/>
      <c r="M28" s="80"/>
      <c r="N28" s="133"/>
      <c r="O28" s="202"/>
      <c r="P28" s="202"/>
      <c r="Q28" s="113"/>
    </row>
    <row r="29" spans="1:17" x14ac:dyDescent="0.25">
      <c r="A29" s="78"/>
      <c r="B29" s="79"/>
      <c r="C29" s="79"/>
      <c r="D29" s="79"/>
      <c r="E29" s="79"/>
      <c r="F29" s="79"/>
      <c r="G29" s="79"/>
      <c r="H29" s="79"/>
      <c r="I29" s="79"/>
      <c r="J29" s="79"/>
      <c r="K29" s="79"/>
      <c r="L29" s="79"/>
      <c r="M29" s="80"/>
      <c r="N29" s="133"/>
      <c r="O29" s="202"/>
      <c r="P29" s="202"/>
      <c r="Q29" s="113"/>
    </row>
    <row r="30" spans="1:17" x14ac:dyDescent="0.25">
      <c r="A30" s="78"/>
      <c r="B30" s="79"/>
      <c r="C30" s="79"/>
      <c r="D30" s="79"/>
      <c r="E30" s="79"/>
      <c r="F30" s="79"/>
      <c r="G30" s="79"/>
      <c r="H30" s="79"/>
      <c r="I30" s="79"/>
      <c r="J30" s="79"/>
      <c r="K30" s="79"/>
      <c r="L30" s="79"/>
      <c r="M30" s="80"/>
      <c r="N30" s="133"/>
      <c r="O30" s="202"/>
      <c r="P30" s="202"/>
      <c r="Q30" s="113"/>
    </row>
    <row r="31" spans="1:17" x14ac:dyDescent="0.25">
      <c r="A31" s="78"/>
      <c r="B31" s="79"/>
      <c r="C31" s="79"/>
      <c r="D31" s="79"/>
      <c r="E31" s="79"/>
      <c r="F31" s="79"/>
      <c r="G31" s="79"/>
      <c r="H31" s="79"/>
      <c r="I31" s="79"/>
      <c r="J31" s="79"/>
      <c r="K31" s="79"/>
      <c r="L31" s="79"/>
      <c r="M31" s="80"/>
      <c r="N31" s="133"/>
      <c r="O31" s="202"/>
      <c r="P31" s="202"/>
      <c r="Q31" s="113"/>
    </row>
    <row r="32" spans="1:17" x14ac:dyDescent="0.25">
      <c r="A32" s="78"/>
      <c r="B32" s="79"/>
      <c r="C32" s="79"/>
      <c r="D32" s="79"/>
      <c r="E32" s="79"/>
      <c r="F32" s="133"/>
      <c r="G32" s="79"/>
      <c r="H32" s="79"/>
      <c r="I32" s="79"/>
      <c r="J32" s="79"/>
      <c r="K32" s="79"/>
      <c r="L32" s="79"/>
      <c r="M32" s="80"/>
      <c r="N32" s="133"/>
      <c r="O32" s="209"/>
      <c r="P32" s="209"/>
      <c r="Q32" s="113"/>
    </row>
    <row r="33" spans="1:17" x14ac:dyDescent="0.25">
      <c r="A33" s="78"/>
      <c r="B33" s="79"/>
      <c r="C33" s="79"/>
      <c r="D33" s="79"/>
      <c r="E33" s="79"/>
      <c r="F33" s="79"/>
      <c r="G33" s="79"/>
      <c r="H33" s="79"/>
      <c r="I33" s="79"/>
      <c r="J33" s="79"/>
      <c r="K33" s="79"/>
      <c r="L33" s="79"/>
      <c r="M33" s="80"/>
      <c r="N33" s="133"/>
      <c r="O33" s="209"/>
      <c r="P33" s="209"/>
      <c r="Q33" s="113"/>
    </row>
    <row r="34" spans="1:17" x14ac:dyDescent="0.25">
      <c r="A34" s="78"/>
      <c r="B34" s="79"/>
      <c r="C34" s="79"/>
      <c r="D34" s="79"/>
      <c r="E34" s="79"/>
      <c r="F34" s="133"/>
      <c r="G34" s="79"/>
      <c r="H34" s="79"/>
      <c r="I34" s="79"/>
      <c r="J34" s="79"/>
      <c r="K34" s="79"/>
      <c r="L34" s="79"/>
      <c r="M34" s="80"/>
      <c r="N34" s="133"/>
      <c r="O34" s="209"/>
      <c r="P34" s="209"/>
      <c r="Q34" s="113"/>
    </row>
    <row r="35" spans="1:17" x14ac:dyDescent="0.25">
      <c r="A35" s="78"/>
      <c r="B35" s="79"/>
      <c r="C35" s="79"/>
      <c r="D35" s="79"/>
      <c r="E35" s="79"/>
      <c r="F35" s="133"/>
      <c r="G35" s="79"/>
      <c r="H35" s="79"/>
      <c r="I35" s="79"/>
      <c r="J35" s="79"/>
      <c r="K35" s="79"/>
      <c r="L35" s="79"/>
      <c r="M35" s="80"/>
      <c r="N35" s="133"/>
      <c r="O35" s="209"/>
      <c r="P35" s="209"/>
      <c r="Q35" s="113"/>
    </row>
    <row r="36" spans="1:17" x14ac:dyDescent="0.25">
      <c r="A36" s="82"/>
      <c r="B36" s="83"/>
      <c r="C36" s="83"/>
      <c r="D36" s="83"/>
      <c r="E36" s="83"/>
      <c r="F36" s="84"/>
      <c r="G36" s="83"/>
      <c r="H36" s="83"/>
      <c r="I36" s="83"/>
      <c r="J36" s="83"/>
      <c r="K36" s="83"/>
      <c r="L36" s="83"/>
      <c r="M36" s="85"/>
      <c r="N36" s="86"/>
      <c r="O36" s="214"/>
      <c r="P36" s="214"/>
      <c r="Q36" s="113"/>
    </row>
    <row r="37" spans="1:17" ht="15.75" thickBot="1" x14ac:dyDescent="0.3">
      <c r="A37" s="87"/>
      <c r="B37" s="88"/>
      <c r="C37" s="88"/>
      <c r="D37" s="88"/>
      <c r="E37" s="88"/>
      <c r="F37" s="88"/>
      <c r="G37" s="88"/>
      <c r="H37" s="88"/>
      <c r="I37" s="88"/>
      <c r="J37" s="88"/>
      <c r="K37" s="88"/>
      <c r="L37" s="88"/>
      <c r="M37" s="89"/>
      <c r="N37" s="88"/>
      <c r="O37" s="215"/>
      <c r="P37" s="215"/>
      <c r="Q37" s="114"/>
    </row>
    <row r="38" spans="1:17" ht="30.75" customHeight="1" thickBot="1" x14ac:dyDescent="0.3">
      <c r="A38" s="216" t="s">
        <v>250</v>
      </c>
      <c r="B38" s="216"/>
      <c r="C38" s="216"/>
      <c r="D38" s="216"/>
      <c r="E38" s="216"/>
      <c r="F38" s="216"/>
      <c r="G38" s="216"/>
      <c r="H38" s="216"/>
      <c r="I38" s="216"/>
      <c r="J38" s="216"/>
      <c r="K38" s="216"/>
      <c r="L38" s="216"/>
      <c r="M38" s="216"/>
      <c r="N38" s="216"/>
      <c r="O38" s="216"/>
      <c r="P38" s="216"/>
      <c r="Q38" s="115" t="e">
        <f>SUM(Q15:Q37)</f>
        <v>#REF!</v>
      </c>
    </row>
    <row r="39" spans="1:17" ht="15.75" thickBot="1" x14ac:dyDescent="0.3">
      <c r="A39" s="217"/>
      <c r="B39" s="217"/>
      <c r="C39" s="217"/>
      <c r="D39" s="217"/>
      <c r="E39" s="217"/>
      <c r="F39" s="217"/>
      <c r="G39" s="217"/>
      <c r="H39" s="217"/>
      <c r="I39" s="217"/>
      <c r="J39" s="217"/>
      <c r="K39" s="217"/>
      <c r="L39" s="217"/>
      <c r="M39" s="217"/>
      <c r="N39" s="217"/>
      <c r="O39" s="217"/>
      <c r="P39" s="217"/>
      <c r="Q39" s="217"/>
    </row>
    <row r="40" spans="1:17" ht="15.75" thickBot="1" x14ac:dyDescent="0.3">
      <c r="A40" s="211" t="s">
        <v>160</v>
      </c>
      <c r="B40" s="211"/>
      <c r="C40" s="211"/>
      <c r="D40" s="211"/>
      <c r="E40" s="211"/>
      <c r="F40" s="211"/>
      <c r="G40" s="212"/>
      <c r="H40" s="212"/>
      <c r="I40" s="212"/>
      <c r="J40" s="212"/>
      <c r="K40" s="212"/>
      <c r="L40" s="212"/>
      <c r="M40" s="212"/>
      <c r="N40" s="212"/>
      <c r="O40" s="212"/>
      <c r="P40" s="212"/>
      <c r="Q40" s="212"/>
    </row>
    <row r="41" spans="1:17" ht="15.75" thickBot="1" x14ac:dyDescent="0.3">
      <c r="A41" s="213" t="str">
        <f>'NP DPSMA'!D8</f>
        <v>ADQUISICION DEL RUBRO REACTIVOS PARA LABORATORIO</v>
      </c>
      <c r="B41" s="213"/>
      <c r="C41" s="213"/>
      <c r="D41" s="213"/>
      <c r="E41" s="213"/>
      <c r="F41" s="213"/>
      <c r="G41" s="213"/>
      <c r="H41" s="213"/>
      <c r="I41" s="213"/>
      <c r="J41" s="213"/>
      <c r="K41" s="213"/>
      <c r="L41" s="213"/>
      <c r="M41" s="213"/>
      <c r="N41" s="213"/>
      <c r="O41" s="213"/>
      <c r="P41" s="213"/>
      <c r="Q41" s="213"/>
    </row>
    <row r="42" spans="1:17" ht="15.75" thickBot="1" x14ac:dyDescent="0.3">
      <c r="A42" s="213"/>
      <c r="B42" s="213"/>
      <c r="C42" s="213"/>
      <c r="D42" s="213"/>
      <c r="E42" s="213"/>
      <c r="F42" s="213"/>
      <c r="G42" s="213"/>
      <c r="H42" s="213"/>
      <c r="I42" s="213"/>
      <c r="J42" s="213"/>
      <c r="K42" s="213"/>
      <c r="L42" s="213"/>
      <c r="M42" s="213"/>
      <c r="N42" s="213"/>
      <c r="O42" s="213"/>
      <c r="P42" s="213"/>
      <c r="Q42" s="213"/>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0"/>
  <sheetViews>
    <sheetView workbookViewId="0">
      <selection activeCell="B23" sqref="B23"/>
    </sheetView>
  </sheetViews>
  <sheetFormatPr baseColWidth="10" defaultRowHeight="15" x14ac:dyDescent="0.25"/>
  <cols>
    <col min="1" max="1" width="5.5703125" style="17" customWidth="1"/>
    <col min="2" max="2" width="15.140625" style="98" customWidth="1"/>
    <col min="3" max="3" width="14.140625" style="17" customWidth="1"/>
    <col min="4" max="4" width="26" style="17" customWidth="1"/>
    <col min="5" max="5" width="8" style="17" customWidth="1"/>
    <col min="6" max="6" width="7.85546875" style="17" customWidth="1"/>
    <col min="7" max="7" width="52.140625" style="17" customWidth="1"/>
    <col min="8" max="8" width="9.28515625" style="17" customWidth="1"/>
    <col min="9" max="9" width="15.5703125" style="17" customWidth="1"/>
    <col min="10" max="10" width="14.7109375" style="103" customWidth="1"/>
    <col min="11" max="11" width="15.5703125" style="17" customWidth="1"/>
    <col min="12" max="16384" width="11.42578125" style="17"/>
  </cols>
  <sheetData>
    <row r="1" spans="1:11" ht="30.75" thickBot="1" x14ac:dyDescent="0.3">
      <c r="A1" s="186" t="s">
        <v>124</v>
      </c>
      <c r="B1" s="186"/>
      <c r="C1" s="186"/>
      <c r="D1" s="186"/>
      <c r="E1" s="186"/>
      <c r="F1" s="186"/>
      <c r="G1" s="186"/>
      <c r="H1" s="186"/>
      <c r="I1" s="186"/>
      <c r="J1" s="99" t="s">
        <v>125</v>
      </c>
      <c r="K1" s="49" t="s">
        <v>251</v>
      </c>
    </row>
    <row r="2" spans="1:11" ht="16.5" thickBot="1" x14ac:dyDescent="0.3">
      <c r="A2" s="50"/>
      <c r="B2" s="94"/>
      <c r="C2" s="51"/>
      <c r="D2" s="52"/>
      <c r="E2" s="52"/>
      <c r="F2" s="52"/>
      <c r="G2" s="52"/>
      <c r="H2" s="52"/>
      <c r="I2" s="52"/>
      <c r="J2" s="100"/>
      <c r="K2" s="53"/>
    </row>
    <row r="3" spans="1:11" ht="16.5" customHeight="1" thickBot="1" x14ac:dyDescent="0.3">
      <c r="A3" s="183" t="s">
        <v>126</v>
      </c>
      <c r="B3" s="183"/>
      <c r="C3" s="183"/>
      <c r="D3" s="90" t="s">
        <v>2</v>
      </c>
      <c r="E3" s="91"/>
      <c r="F3" s="91"/>
      <c r="G3" s="91"/>
      <c r="H3" s="91"/>
      <c r="I3" s="91"/>
      <c r="J3" s="101"/>
      <c r="K3" s="92"/>
    </row>
    <row r="4" spans="1:11" ht="16.5" customHeight="1" thickBot="1" x14ac:dyDescent="0.3">
      <c r="A4" s="184" t="s">
        <v>127</v>
      </c>
      <c r="B4" s="184"/>
      <c r="C4" s="184"/>
      <c r="D4" s="90" t="s">
        <v>161</v>
      </c>
      <c r="E4" s="91"/>
      <c r="F4" s="91"/>
      <c r="G4" s="91"/>
      <c r="H4" s="91"/>
      <c r="I4" s="91"/>
      <c r="J4" s="101"/>
      <c r="K4" s="92"/>
    </row>
    <row r="5" spans="1:11" ht="16.5" thickBot="1" x14ac:dyDescent="0.3">
      <c r="A5" s="184" t="s">
        <v>128</v>
      </c>
      <c r="B5" s="184"/>
      <c r="C5" s="184"/>
      <c r="D5" s="90" t="s">
        <v>242</v>
      </c>
      <c r="E5" s="91"/>
      <c r="F5" s="91"/>
      <c r="G5" s="91"/>
      <c r="H5" s="91"/>
      <c r="I5" s="91"/>
      <c r="J5" s="101"/>
      <c r="K5" s="92"/>
    </row>
    <row r="6" spans="1:11" ht="16.5" thickBot="1" x14ac:dyDescent="0.3">
      <c r="A6" s="183" t="s">
        <v>129</v>
      </c>
      <c r="B6" s="183"/>
      <c r="C6" s="183"/>
      <c r="D6" s="90" t="s">
        <v>242</v>
      </c>
      <c r="E6" s="91"/>
      <c r="F6" s="91"/>
      <c r="G6" s="91"/>
      <c r="H6" s="91"/>
      <c r="I6" s="91"/>
      <c r="J6" s="101"/>
      <c r="K6" s="92"/>
    </row>
    <row r="7" spans="1:11" ht="16.5" thickBot="1" x14ac:dyDescent="0.3">
      <c r="A7" s="184" t="s">
        <v>130</v>
      </c>
      <c r="B7" s="184"/>
      <c r="C7" s="184"/>
      <c r="D7" s="90" t="s">
        <v>162</v>
      </c>
      <c r="E7" s="91"/>
      <c r="F7" s="91"/>
      <c r="G7" s="91"/>
      <c r="H7" s="91"/>
      <c r="I7" s="91"/>
      <c r="J7" s="101"/>
      <c r="K7" s="92"/>
    </row>
    <row r="8" spans="1:11" ht="16.5" customHeight="1" thickBot="1" x14ac:dyDescent="0.3">
      <c r="A8" s="185" t="s">
        <v>131</v>
      </c>
      <c r="B8" s="185"/>
      <c r="C8" s="185"/>
      <c r="D8" s="93" t="s">
        <v>174</v>
      </c>
      <c r="E8" s="91"/>
      <c r="F8" s="91"/>
      <c r="G8" s="91"/>
      <c r="H8" s="91"/>
      <c r="I8" s="91"/>
      <c r="J8" s="101"/>
      <c r="K8" s="92"/>
    </row>
    <row r="9" spans="1:11" ht="16.5" thickBot="1" x14ac:dyDescent="0.3">
      <c r="A9" s="54"/>
      <c r="B9" s="95"/>
      <c r="C9" s="55"/>
      <c r="D9" s="56"/>
      <c r="E9" s="56"/>
      <c r="F9" s="56"/>
      <c r="G9" s="56"/>
      <c r="H9" s="56"/>
      <c r="I9" s="56"/>
      <c r="J9" s="102"/>
      <c r="K9" s="57"/>
    </row>
    <row r="10" spans="1:11" ht="15.75" thickBot="1" x14ac:dyDescent="0.3">
      <c r="A10" s="179" t="s">
        <v>132</v>
      </c>
      <c r="B10" s="181" t="s">
        <v>133</v>
      </c>
      <c r="C10" s="181" t="s">
        <v>134</v>
      </c>
      <c r="D10" s="181"/>
      <c r="E10" s="181"/>
      <c r="F10" s="181"/>
      <c r="G10" s="181"/>
      <c r="H10" s="181" t="s">
        <v>135</v>
      </c>
      <c r="I10" s="181" t="s">
        <v>136</v>
      </c>
      <c r="J10" s="189" t="s">
        <v>137</v>
      </c>
      <c r="K10" s="187" t="s">
        <v>138</v>
      </c>
    </row>
    <row r="11" spans="1:11" ht="36.75" customHeight="1" thickBot="1" x14ac:dyDescent="0.3">
      <c r="A11" s="180"/>
      <c r="B11" s="182"/>
      <c r="C11" s="182"/>
      <c r="D11" s="182"/>
      <c r="E11" s="182"/>
      <c r="F11" s="182"/>
      <c r="G11" s="182"/>
      <c r="H11" s="182"/>
      <c r="I11" s="182"/>
      <c r="J11" s="190"/>
      <c r="K11" s="188"/>
    </row>
    <row r="12" spans="1:11" s="106" customFormat="1" ht="15.75" customHeight="1" x14ac:dyDescent="0.25">
      <c r="A12" s="127">
        <v>1</v>
      </c>
      <c r="B12" s="128"/>
      <c r="C12" s="191" t="str">
        <f>'SAF 011 - NECESIDAD TRIMESTRAL'!E15</f>
        <v>AGUA BIDESTILADA X 5 LITROS</v>
      </c>
      <c r="D12" s="192"/>
      <c r="E12" s="192"/>
      <c r="F12" s="192"/>
      <c r="G12" s="193"/>
      <c r="H12" s="128" t="s">
        <v>170</v>
      </c>
      <c r="I12" s="129" t="str">
        <f>'SAF 011 - NECESIDAD TRIMESTRAL'!F15</f>
        <v>BIDON</v>
      </c>
      <c r="J12" s="130">
        <f>'SAF 011 - NECESIDAD TRIMESTRAL'!H15</f>
        <v>574</v>
      </c>
      <c r="K12" s="131" t="e">
        <f>'SAF 011 - NECESIDAD TRIMESTRAL'!#REF!</f>
        <v>#REF!</v>
      </c>
    </row>
    <row r="13" spans="1:11" s="106" customFormat="1" ht="15.75" customHeight="1" x14ac:dyDescent="0.25">
      <c r="A13" s="127">
        <v>2</v>
      </c>
      <c r="B13" s="128"/>
      <c r="C13" s="172" t="str">
        <f>'SAF 011 - NECESIDAD TRIMESTRAL'!E28</f>
        <v>ARC ANTI HBC II CALIBRADOR</v>
      </c>
      <c r="D13" s="173"/>
      <c r="E13" s="173"/>
      <c r="F13" s="173"/>
      <c r="G13" s="174"/>
      <c r="H13" s="128" t="s">
        <v>170</v>
      </c>
      <c r="I13" s="129" t="str">
        <f>'SAF 011 - NECESIDAD TRIMESTRAL'!F28</f>
        <v>KIT</v>
      </c>
      <c r="J13" s="130">
        <f>'SAF 011 - NECESIDAD TRIMESTRAL'!H28</f>
        <v>15850</v>
      </c>
      <c r="K13" s="131" t="e">
        <f>'SAF 011 - NECESIDAD TRIMESTRAL'!#REF!</f>
        <v>#REF!</v>
      </c>
    </row>
    <row r="14" spans="1:11" s="106" customFormat="1" ht="15.75" customHeight="1" x14ac:dyDescent="0.25">
      <c r="A14" s="127">
        <v>3</v>
      </c>
      <c r="B14" s="128"/>
      <c r="C14" s="172" t="str">
        <f>'SAF 011 - NECESIDAD TRIMESTRAL'!E29</f>
        <v>ARC ANTI HBC II RGT X 100 DET.</v>
      </c>
      <c r="D14" s="173"/>
      <c r="E14" s="173"/>
      <c r="F14" s="173"/>
      <c r="G14" s="174"/>
      <c r="H14" s="128" t="s">
        <v>170</v>
      </c>
      <c r="I14" s="129" t="str">
        <f>'SAF 011 - NECESIDAD TRIMESTRAL'!F29</f>
        <v>KIT</v>
      </c>
      <c r="J14" s="130">
        <f>'SAF 011 - NECESIDAD TRIMESTRAL'!H29</f>
        <v>36750</v>
      </c>
      <c r="K14" s="131" t="e">
        <f>'SAF 011 - NECESIDAD TRIMESTRAL'!#REF!</f>
        <v>#REF!</v>
      </c>
    </row>
    <row r="15" spans="1:11" s="106" customFormat="1" ht="15.75" customHeight="1" x14ac:dyDescent="0.25">
      <c r="A15" s="127">
        <v>4</v>
      </c>
      <c r="B15" s="128"/>
      <c r="C15" s="172" t="str">
        <f>'SAF 011 - NECESIDAD TRIMESTRAL'!E30</f>
        <v>ARC ANTI HCV CALIBRADOR</v>
      </c>
      <c r="D15" s="173"/>
      <c r="E15" s="173"/>
      <c r="F15" s="173"/>
      <c r="G15" s="174"/>
      <c r="H15" s="128" t="s">
        <v>170</v>
      </c>
      <c r="I15" s="129" t="str">
        <f>'SAF 011 - NECESIDAD TRIMESTRAL'!F30</f>
        <v>KIT</v>
      </c>
      <c r="J15" s="130">
        <f>'SAF 011 - NECESIDAD TRIMESTRAL'!H30</f>
        <v>15850</v>
      </c>
      <c r="K15" s="131" t="e">
        <f>'SAF 011 - NECESIDAD TRIMESTRAL'!#REF!</f>
        <v>#REF!</v>
      </c>
    </row>
    <row r="16" spans="1:11" s="106" customFormat="1" ht="15.75" customHeight="1" x14ac:dyDescent="0.25">
      <c r="A16" s="127">
        <v>5</v>
      </c>
      <c r="B16" s="128"/>
      <c r="C16" s="172" t="str">
        <f>'SAF 011 - NECESIDAD TRIMESTRAL'!E31</f>
        <v>ARC ANTI HCV RGT X 100 DET.</v>
      </c>
      <c r="D16" s="173"/>
      <c r="E16" s="173"/>
      <c r="F16" s="173"/>
      <c r="G16" s="174"/>
      <c r="H16" s="128" t="s">
        <v>170</v>
      </c>
      <c r="I16" s="129" t="str">
        <f>'SAF 011 - NECESIDAD TRIMESTRAL'!F31</f>
        <v>KIT</v>
      </c>
      <c r="J16" s="130">
        <f>'SAF 011 - NECESIDAD TRIMESTRAL'!H31</f>
        <v>71500</v>
      </c>
      <c r="K16" s="131" t="e">
        <f>'SAF 011 - NECESIDAD TRIMESTRAL'!#REF!</f>
        <v>#REF!</v>
      </c>
    </row>
    <row r="17" spans="1:11" s="106" customFormat="1" ht="15.75" customHeight="1" x14ac:dyDescent="0.25">
      <c r="A17" s="127">
        <v>6</v>
      </c>
      <c r="B17" s="128"/>
      <c r="C17" s="172" t="str">
        <f>'SAF 011 - NECESIDAD TRIMESTRAL'!E32</f>
        <v xml:space="preserve">ARC BUFFER CONCENTRADO x 4 lts </v>
      </c>
      <c r="D17" s="173"/>
      <c r="E17" s="173"/>
      <c r="F17" s="173"/>
      <c r="G17" s="174"/>
      <c r="H17" s="128" t="s">
        <v>170</v>
      </c>
      <c r="I17" s="129" t="str">
        <f>'SAF 011 - NECESIDAD TRIMESTRAL'!F32</f>
        <v>BIDON</v>
      </c>
      <c r="J17" s="130">
        <f>'SAF 011 - NECESIDAD TRIMESTRAL'!H32</f>
        <v>12550</v>
      </c>
      <c r="K17" s="131" t="e">
        <f>'SAF 011 - NECESIDAD TRIMESTRAL'!#REF!</f>
        <v>#REF!</v>
      </c>
    </row>
    <row r="18" spans="1:11" s="106" customFormat="1" ht="15.75" customHeight="1" x14ac:dyDescent="0.25">
      <c r="A18" s="127">
        <v>7</v>
      </c>
      <c r="B18" s="128"/>
      <c r="C18" s="172" t="str">
        <f>'SAF 011 - NECESIDAD TRIMESTRAL'!E33</f>
        <v xml:space="preserve">ARC CELDAS DE REACCION </v>
      </c>
      <c r="D18" s="173"/>
      <c r="E18" s="173"/>
      <c r="F18" s="173"/>
      <c r="G18" s="174"/>
      <c r="H18" s="128" t="s">
        <v>170</v>
      </c>
      <c r="I18" s="129" t="str">
        <f>'SAF 011 - NECESIDAD TRIMESTRAL'!F33</f>
        <v>CAJA</v>
      </c>
      <c r="J18" s="130">
        <f>'SAF 011 - NECESIDAD TRIMESTRAL'!H33</f>
        <v>28000</v>
      </c>
      <c r="K18" s="131" t="e">
        <f>'SAF 011 - NECESIDAD TRIMESTRAL'!#REF!</f>
        <v>#REF!</v>
      </c>
    </row>
    <row r="19" spans="1:11" s="106" customFormat="1" ht="15.75" customHeight="1" x14ac:dyDescent="0.25">
      <c r="A19" s="127">
        <v>8</v>
      </c>
      <c r="B19" s="128"/>
      <c r="C19" s="172" t="str">
        <f>'SAF 011 - NECESIDAD TRIMESTRAL'!E34</f>
        <v>ARC CMV M CALIBRADOR</v>
      </c>
      <c r="D19" s="173"/>
      <c r="E19" s="173"/>
      <c r="F19" s="173"/>
      <c r="G19" s="174"/>
      <c r="H19" s="128" t="s">
        <v>170</v>
      </c>
      <c r="I19" s="129" t="str">
        <f>'SAF 011 - NECESIDAD TRIMESTRAL'!F34</f>
        <v>KIT</v>
      </c>
      <c r="J19" s="130">
        <f>'SAF 011 - NECESIDAD TRIMESTRAL'!H34</f>
        <v>15039</v>
      </c>
      <c r="K19" s="131" t="e">
        <f>'SAF 011 - NECESIDAD TRIMESTRAL'!#REF!</f>
        <v>#REF!</v>
      </c>
    </row>
    <row r="20" spans="1:11" s="106" customFormat="1" ht="15.75" customHeight="1" x14ac:dyDescent="0.25">
      <c r="A20" s="127">
        <v>9</v>
      </c>
      <c r="B20" s="128"/>
      <c r="C20" s="172" t="str">
        <f>'SAF 011 - NECESIDAD TRIMESTRAL'!E35</f>
        <v>ARC CMV M RGT X 100</v>
      </c>
      <c r="D20" s="173"/>
      <c r="E20" s="173"/>
      <c r="F20" s="173"/>
      <c r="G20" s="174"/>
      <c r="H20" s="128" t="s">
        <v>170</v>
      </c>
      <c r="I20" s="129" t="str">
        <f>'SAF 011 - NECESIDAD TRIMESTRAL'!F35</f>
        <v>KIT</v>
      </c>
      <c r="J20" s="130">
        <f>'SAF 011 - NECESIDAD TRIMESTRAL'!H35</f>
        <v>27595</v>
      </c>
      <c r="K20" s="131" t="e">
        <f>'SAF 011 - NECESIDAD TRIMESTRAL'!#REF!</f>
        <v>#REF!</v>
      </c>
    </row>
    <row r="21" spans="1:11" s="106" customFormat="1" ht="15.75" customHeight="1" x14ac:dyDescent="0.25">
      <c r="A21" s="127">
        <v>10</v>
      </c>
      <c r="B21" s="128"/>
      <c r="C21" s="172" t="str">
        <f>'SAF 011 - NECESIDAD TRIMESTRAL'!E36</f>
        <v>ARC HBSAG CALIBRADOR</v>
      </c>
      <c r="D21" s="173"/>
      <c r="E21" s="173"/>
      <c r="F21" s="173"/>
      <c r="G21" s="174"/>
      <c r="H21" s="128" t="s">
        <v>170</v>
      </c>
      <c r="I21" s="129" t="str">
        <f>'SAF 011 - NECESIDAD TRIMESTRAL'!F36</f>
        <v>KIT</v>
      </c>
      <c r="J21" s="130">
        <f>'SAF 011 - NECESIDAD TRIMESTRAL'!H36</f>
        <v>15850</v>
      </c>
      <c r="K21" s="131" t="e">
        <f>'SAF 011 - NECESIDAD TRIMESTRAL'!#REF!</f>
        <v>#REF!</v>
      </c>
    </row>
    <row r="22" spans="1:11" s="106" customFormat="1" ht="15.75" customHeight="1" x14ac:dyDescent="0.25">
      <c r="A22" s="127">
        <v>11</v>
      </c>
      <c r="B22" s="128"/>
      <c r="C22" s="172" t="str">
        <f>'SAF 011 - NECESIDAD TRIMESTRAL'!E37</f>
        <v xml:space="preserve">ARC HBSAG RGT X 100 DET. </v>
      </c>
      <c r="D22" s="173"/>
      <c r="E22" s="173"/>
      <c r="F22" s="173"/>
      <c r="G22" s="174"/>
      <c r="H22" s="128" t="s">
        <v>170</v>
      </c>
      <c r="I22" s="129" t="str">
        <f>'SAF 011 - NECESIDAD TRIMESTRAL'!F37</f>
        <v>KIT</v>
      </c>
      <c r="J22" s="130">
        <f>'SAF 011 - NECESIDAD TRIMESTRAL'!H37</f>
        <v>24480</v>
      </c>
      <c r="K22" s="131" t="e">
        <f>'SAF 011 - NECESIDAD TRIMESTRAL'!#REF!</f>
        <v>#REF!</v>
      </c>
    </row>
    <row r="23" spans="1:11" s="106" customFormat="1" ht="15.75" customHeight="1" x14ac:dyDescent="0.25">
      <c r="A23" s="127">
        <v>12</v>
      </c>
      <c r="B23" s="128"/>
      <c r="C23" s="172" t="str">
        <f>'SAF 011 - NECESIDAD TRIMESTRAL'!E38</f>
        <v>ARC HIV COMBO CALIBRADOR</v>
      </c>
      <c r="D23" s="173"/>
      <c r="E23" s="173"/>
      <c r="F23" s="173"/>
      <c r="G23" s="174"/>
      <c r="H23" s="128" t="s">
        <v>170</v>
      </c>
      <c r="I23" s="129" t="str">
        <f>'SAF 011 - NECESIDAD TRIMESTRAL'!F38</f>
        <v>KIT</v>
      </c>
      <c r="J23" s="130">
        <f>'SAF 011 - NECESIDAD TRIMESTRAL'!H38</f>
        <v>20240</v>
      </c>
      <c r="K23" s="131" t="e">
        <f>'SAF 011 - NECESIDAD TRIMESTRAL'!#REF!</f>
        <v>#REF!</v>
      </c>
    </row>
    <row r="24" spans="1:11" s="106" customFormat="1" ht="15.75" customHeight="1" x14ac:dyDescent="0.25">
      <c r="A24" s="127">
        <v>13</v>
      </c>
      <c r="B24" s="128"/>
      <c r="C24" s="172" t="str">
        <f>'SAF 011 - NECESIDAD TRIMESTRAL'!E39</f>
        <v>ARC HIV COMBO RGT X 100 DET</v>
      </c>
      <c r="D24" s="173"/>
      <c r="E24" s="173"/>
      <c r="F24" s="173"/>
      <c r="G24" s="174"/>
      <c r="H24" s="128" t="s">
        <v>170</v>
      </c>
      <c r="I24" s="129" t="str">
        <f>'SAF 011 - NECESIDAD TRIMESTRAL'!F39</f>
        <v>KIT</v>
      </c>
      <c r="J24" s="130">
        <f>'SAF 011 - NECESIDAD TRIMESTRAL'!H39</f>
        <v>42239</v>
      </c>
      <c r="K24" s="131" t="e">
        <f>'SAF 011 - NECESIDAD TRIMESTRAL'!#REF!</f>
        <v>#REF!</v>
      </c>
    </row>
    <row r="25" spans="1:11" s="106" customFormat="1" ht="15.75" customHeight="1" x14ac:dyDescent="0.25">
      <c r="A25" s="127">
        <v>14</v>
      </c>
      <c r="B25" s="128"/>
      <c r="C25" s="172" t="str">
        <f>'SAF 011 - NECESIDAD TRIMESTRAL'!E40</f>
        <v>ARC PRE TRIGGER x 4 lts</v>
      </c>
      <c r="D25" s="173"/>
      <c r="E25" s="173"/>
      <c r="F25" s="173"/>
      <c r="G25" s="174"/>
      <c r="H25" s="128" t="s">
        <v>170</v>
      </c>
      <c r="I25" s="129" t="str">
        <f>'SAF 011 - NECESIDAD TRIMESTRAL'!F40</f>
        <v>BIDON</v>
      </c>
      <c r="J25" s="130">
        <f>'SAF 011 - NECESIDAD TRIMESTRAL'!H40</f>
        <v>25500</v>
      </c>
      <c r="K25" s="131" t="e">
        <f>'SAF 011 - NECESIDAD TRIMESTRAL'!#REF!</f>
        <v>#REF!</v>
      </c>
    </row>
    <row r="26" spans="1:11" s="106" customFormat="1" ht="15.75" customHeight="1" x14ac:dyDescent="0.25">
      <c r="A26" s="127">
        <v>15</v>
      </c>
      <c r="B26" s="128"/>
      <c r="C26" s="172" t="str">
        <f>'SAF 011 - NECESIDAD TRIMESTRAL'!E41</f>
        <v>ARC SIFILIS CALIBRADOR</v>
      </c>
      <c r="D26" s="173"/>
      <c r="E26" s="173"/>
      <c r="F26" s="173"/>
      <c r="G26" s="174"/>
      <c r="H26" s="128" t="s">
        <v>170</v>
      </c>
      <c r="I26" s="129" t="str">
        <f>'SAF 011 - NECESIDAD TRIMESTRAL'!F41</f>
        <v>KIT</v>
      </c>
      <c r="J26" s="130">
        <f>'SAF 011 - NECESIDAD TRIMESTRAL'!H41</f>
        <v>16418</v>
      </c>
      <c r="K26" s="131" t="e">
        <f>'SAF 011 - NECESIDAD TRIMESTRAL'!#REF!</f>
        <v>#REF!</v>
      </c>
    </row>
    <row r="27" spans="1:11" s="106" customFormat="1" ht="15.75" customHeight="1" x14ac:dyDescent="0.25">
      <c r="A27" s="127">
        <v>16</v>
      </c>
      <c r="B27" s="128"/>
      <c r="C27" s="172" t="str">
        <f>'SAF 011 - NECESIDAD TRIMESTRAL'!E42</f>
        <v xml:space="preserve">ARC SIFILIS RGT X 100 </v>
      </c>
      <c r="D27" s="173"/>
      <c r="E27" s="173"/>
      <c r="F27" s="173"/>
      <c r="G27" s="174"/>
      <c r="H27" s="128" t="s">
        <v>170</v>
      </c>
      <c r="I27" s="129" t="str">
        <f>'SAF 011 - NECESIDAD TRIMESTRAL'!F42</f>
        <v>KIT</v>
      </c>
      <c r="J27" s="130">
        <f>'SAF 011 - NECESIDAD TRIMESTRAL'!H42</f>
        <v>32350</v>
      </c>
      <c r="K27" s="131" t="e">
        <f>'SAF 011 - NECESIDAD TRIMESTRAL'!#REF!</f>
        <v>#REF!</v>
      </c>
    </row>
    <row r="28" spans="1:11" s="106" customFormat="1" ht="15.75" customHeight="1" x14ac:dyDescent="0.25">
      <c r="A28" s="127">
        <v>17</v>
      </c>
      <c r="B28" s="128"/>
      <c r="C28" s="172" t="str">
        <f>'SAF 011 - NECESIDAD TRIMESTRAL'!E43</f>
        <v>ARC TRIGGER x 4 lts</v>
      </c>
      <c r="D28" s="173"/>
      <c r="E28" s="173"/>
      <c r="F28" s="173"/>
      <c r="G28" s="174"/>
      <c r="H28" s="128" t="s">
        <v>170</v>
      </c>
      <c r="I28" s="129" t="str">
        <f>'SAF 011 - NECESIDAD TRIMESTRAL'!F43</f>
        <v>BIDON</v>
      </c>
      <c r="J28" s="130">
        <f>'SAF 011 - NECESIDAD TRIMESTRAL'!H43</f>
        <v>11000</v>
      </c>
      <c r="K28" s="131" t="e">
        <f>'SAF 011 - NECESIDAD TRIMESTRAL'!#REF!</f>
        <v>#REF!</v>
      </c>
    </row>
    <row r="29" spans="1:11" s="106" customFormat="1" x14ac:dyDescent="0.25">
      <c r="A29" s="59"/>
      <c r="B29" s="97"/>
      <c r="C29" s="178"/>
      <c r="D29" s="178"/>
      <c r="E29" s="178"/>
      <c r="F29" s="178"/>
      <c r="G29" s="178"/>
      <c r="H29" s="97"/>
      <c r="I29" s="132"/>
      <c r="J29" s="108"/>
      <c r="K29" s="109"/>
    </row>
    <row r="30" spans="1:11" ht="19.5" thickBot="1" x14ac:dyDescent="0.3">
      <c r="A30" s="177" t="s">
        <v>252</v>
      </c>
      <c r="B30" s="177"/>
      <c r="C30" s="177"/>
      <c r="D30" s="177"/>
      <c r="E30" s="177"/>
      <c r="F30" s="177"/>
      <c r="G30" s="177"/>
      <c r="H30" s="177"/>
      <c r="I30" s="177"/>
      <c r="J30" s="175" t="e">
        <f>SUMPRODUCT(J12:J28,K12:K28)</f>
        <v>#REF!</v>
      </c>
      <c r="K30" s="176"/>
    </row>
  </sheetData>
  <mergeCells count="34">
    <mergeCell ref="A7:C7"/>
    <mergeCell ref="A1:I1"/>
    <mergeCell ref="A3:C3"/>
    <mergeCell ref="A4:C4"/>
    <mergeCell ref="A5:C5"/>
    <mergeCell ref="A6:C6"/>
    <mergeCell ref="C13:G13"/>
    <mergeCell ref="C12:G12"/>
    <mergeCell ref="J10:J11"/>
    <mergeCell ref="K10:K11"/>
    <mergeCell ref="A8:C8"/>
    <mergeCell ref="A10:A11"/>
    <mergeCell ref="B10:B11"/>
    <mergeCell ref="C10:G11"/>
    <mergeCell ref="H10:H11"/>
    <mergeCell ref="I10:I11"/>
    <mergeCell ref="C25:G25"/>
    <mergeCell ref="C14:G14"/>
    <mergeCell ref="C15:G15"/>
    <mergeCell ref="C16:G16"/>
    <mergeCell ref="C17:G17"/>
    <mergeCell ref="C18:G18"/>
    <mergeCell ref="C19:G19"/>
    <mergeCell ref="C20:G20"/>
    <mergeCell ref="C21:G21"/>
    <mergeCell ref="C22:G22"/>
    <mergeCell ref="C23:G23"/>
    <mergeCell ref="C24:G24"/>
    <mergeCell ref="C29:G29"/>
    <mergeCell ref="A30:I30"/>
    <mergeCell ref="J30:K30"/>
    <mergeCell ref="C26:G26"/>
    <mergeCell ref="C27:G27"/>
    <mergeCell ref="C28:G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2"/>
  <sheetViews>
    <sheetView topLeftCell="A10" workbookViewId="0">
      <selection activeCell="Q17" sqref="Q17"/>
    </sheetView>
  </sheetViews>
  <sheetFormatPr baseColWidth="10" defaultRowHeight="15" x14ac:dyDescent="0.25"/>
  <cols>
    <col min="1" max="5" width="4.42578125" style="17" customWidth="1"/>
    <col min="6" max="6" width="5" style="17" bestFit="1" customWidth="1"/>
    <col min="7" max="14" width="4.42578125" style="17" customWidth="1"/>
    <col min="15" max="16" width="14.85546875" style="17" customWidth="1"/>
    <col min="17" max="17" width="16.140625" style="103" customWidth="1"/>
    <col min="18" max="16384" width="11.42578125" style="17"/>
  </cols>
  <sheetData>
    <row r="1" spans="1:17" ht="15.75" thickBot="1" x14ac:dyDescent="0.3">
      <c r="A1" s="195" t="s">
        <v>5</v>
      </c>
      <c r="B1" s="195"/>
      <c r="C1" s="195"/>
      <c r="D1" s="196">
        <v>2022</v>
      </c>
      <c r="E1" s="196"/>
      <c r="F1" s="60"/>
      <c r="G1" s="60"/>
      <c r="H1" s="61"/>
      <c r="I1" s="61"/>
      <c r="J1" s="61"/>
      <c r="K1" s="61"/>
      <c r="L1" s="61"/>
      <c r="M1" s="61"/>
      <c r="N1" s="61"/>
      <c r="O1" s="62"/>
      <c r="P1" s="197" t="s">
        <v>139</v>
      </c>
      <c r="Q1" s="197"/>
    </row>
    <row r="2" spans="1:17" ht="15.75" thickBot="1" x14ac:dyDescent="0.3">
      <c r="A2" s="63"/>
      <c r="B2" s="64"/>
      <c r="C2" s="64"/>
      <c r="D2" s="64"/>
      <c r="E2" s="64"/>
      <c r="F2" s="64"/>
      <c r="G2" s="65"/>
      <c r="H2" s="66"/>
      <c r="I2" s="66"/>
      <c r="J2" s="66"/>
      <c r="K2" s="66"/>
      <c r="L2" s="66"/>
      <c r="M2" s="66"/>
      <c r="N2" s="66"/>
      <c r="O2" s="64"/>
      <c r="P2" s="197"/>
      <c r="Q2" s="197"/>
    </row>
    <row r="3" spans="1:17" ht="15.75" thickBot="1" x14ac:dyDescent="0.3">
      <c r="A3" s="63"/>
      <c r="B3" s="64"/>
      <c r="C3" s="64"/>
      <c r="D3" s="64"/>
      <c r="E3" s="64"/>
      <c r="F3" s="64"/>
      <c r="G3" s="65"/>
      <c r="H3" s="64"/>
      <c r="I3" s="64"/>
      <c r="J3" s="64"/>
      <c r="K3" s="64"/>
      <c r="L3" s="64"/>
      <c r="M3" s="64"/>
      <c r="N3" s="64"/>
      <c r="O3" s="64"/>
      <c r="P3" s="64"/>
      <c r="Q3" s="110"/>
    </row>
    <row r="4" spans="1:17" ht="15.75" thickBot="1" x14ac:dyDescent="0.3">
      <c r="A4" s="198" t="s">
        <v>140</v>
      </c>
      <c r="B4" s="198"/>
      <c r="C4" s="198"/>
      <c r="D4" s="198"/>
      <c r="E4" s="198"/>
      <c r="F4" s="198"/>
      <c r="G4" s="199" t="str">
        <f>'NP DPCUR'!D3</f>
        <v>040 - MINISTERIO DE SALUD</v>
      </c>
      <c r="H4" s="199"/>
      <c r="I4" s="199"/>
      <c r="J4" s="199"/>
      <c r="K4" s="199"/>
      <c r="L4" s="199"/>
      <c r="M4" s="199"/>
      <c r="N4" s="199"/>
      <c r="O4" s="199"/>
      <c r="P4" s="199"/>
      <c r="Q4" s="199"/>
    </row>
    <row r="5" spans="1:17" ht="15.75" thickBot="1" x14ac:dyDescent="0.3">
      <c r="A5" s="200" t="s">
        <v>127</v>
      </c>
      <c r="B5" s="200"/>
      <c r="C5" s="200"/>
      <c r="D5" s="200"/>
      <c r="E5" s="200"/>
      <c r="F5" s="200"/>
      <c r="G5" s="199" t="str">
        <f>'NP DPCUR'!D4</f>
        <v>011 - DIRECCION PROVINCIAL DE ADMINISTRACION DEL MINISTERIO DE SALUD</v>
      </c>
      <c r="H5" s="199"/>
      <c r="I5" s="199"/>
      <c r="J5" s="199"/>
      <c r="K5" s="199"/>
      <c r="L5" s="199"/>
      <c r="M5" s="199"/>
      <c r="N5" s="199"/>
      <c r="O5" s="199"/>
      <c r="P5" s="199"/>
      <c r="Q5" s="199"/>
    </row>
    <row r="6" spans="1:17" ht="15.75" thickBot="1" x14ac:dyDescent="0.3">
      <c r="A6" s="200" t="s">
        <v>128</v>
      </c>
      <c r="B6" s="200"/>
      <c r="C6" s="200"/>
      <c r="D6" s="200"/>
      <c r="E6" s="200"/>
      <c r="F6" s="200"/>
      <c r="G6" s="199" t="str">
        <f>'NP DPCUR'!D5</f>
        <v>160 - DIRECCION PROVINCIAL CENTRO UNICO DE REFERENCIA</v>
      </c>
      <c r="H6" s="199"/>
      <c r="I6" s="199"/>
      <c r="J6" s="199"/>
      <c r="K6" s="199"/>
      <c r="L6" s="199"/>
      <c r="M6" s="199"/>
      <c r="N6" s="199"/>
      <c r="O6" s="199"/>
      <c r="P6" s="199"/>
      <c r="Q6" s="199"/>
    </row>
    <row r="7" spans="1:17" ht="15.75" thickBot="1" x14ac:dyDescent="0.3">
      <c r="A7" s="200" t="s">
        <v>129</v>
      </c>
      <c r="B7" s="200"/>
      <c r="C7" s="200"/>
      <c r="D7" s="200"/>
      <c r="E7" s="200"/>
      <c r="F7" s="200"/>
      <c r="G7" s="199" t="str">
        <f>'NP DPCUR'!D6</f>
        <v>160 - DIRECCION PROVINCIAL CENTRO UNICO DE REFERENCIA</v>
      </c>
      <c r="H7" s="199"/>
      <c r="I7" s="199"/>
      <c r="J7" s="199"/>
      <c r="K7" s="199"/>
      <c r="L7" s="199"/>
      <c r="M7" s="199"/>
      <c r="N7" s="199"/>
      <c r="O7" s="199"/>
      <c r="P7" s="199"/>
      <c r="Q7" s="199"/>
    </row>
    <row r="8" spans="1:17" ht="15.75" thickBot="1" x14ac:dyDescent="0.3">
      <c r="A8" s="201" t="s">
        <v>141</v>
      </c>
      <c r="B8" s="201"/>
      <c r="C8" s="201"/>
      <c r="D8" s="201"/>
      <c r="E8" s="201"/>
      <c r="F8" s="201"/>
      <c r="G8" s="201"/>
      <c r="H8" s="201"/>
      <c r="I8" s="201"/>
      <c r="J8" s="201"/>
      <c r="K8" s="201"/>
      <c r="L8" s="201"/>
      <c r="M8" s="201"/>
      <c r="N8" s="201"/>
      <c r="O8" s="201"/>
      <c r="P8" s="201"/>
      <c r="Q8" s="201"/>
    </row>
    <row r="9" spans="1:17" x14ac:dyDescent="0.25">
      <c r="A9" s="194" t="s">
        <v>142</v>
      </c>
      <c r="B9" s="194"/>
      <c r="C9" s="194"/>
      <c r="D9" s="194"/>
      <c r="E9" s="194"/>
      <c r="F9" s="194"/>
      <c r="G9" s="194"/>
      <c r="H9" s="194"/>
      <c r="I9" s="194"/>
      <c r="J9" s="194"/>
      <c r="K9" s="194"/>
      <c r="L9" s="194"/>
      <c r="M9" s="194"/>
      <c r="N9" s="194"/>
      <c r="O9" s="194"/>
      <c r="P9" s="194"/>
      <c r="Q9" s="194"/>
    </row>
    <row r="10" spans="1:17" ht="75" customHeight="1" x14ac:dyDescent="0.25">
      <c r="A10" s="203" t="s">
        <v>253</v>
      </c>
      <c r="B10" s="203"/>
      <c r="C10" s="203"/>
      <c r="D10" s="203"/>
      <c r="E10" s="203"/>
      <c r="F10" s="203"/>
      <c r="G10" s="203"/>
      <c r="H10" s="203"/>
      <c r="I10" s="203"/>
      <c r="J10" s="203"/>
      <c r="K10" s="203"/>
      <c r="L10" s="203"/>
      <c r="M10" s="203"/>
      <c r="N10" s="203"/>
      <c r="O10" s="203"/>
      <c r="P10" s="203"/>
      <c r="Q10" s="203"/>
    </row>
    <row r="11" spans="1:17" ht="15.75" thickBot="1" x14ac:dyDescent="0.3">
      <c r="A11" s="67"/>
      <c r="B11" s="68"/>
      <c r="C11" s="68"/>
      <c r="D11" s="68"/>
      <c r="E11" s="68"/>
      <c r="F11" s="68"/>
      <c r="G11" s="69"/>
      <c r="H11" s="68"/>
      <c r="I11" s="68"/>
      <c r="J11" s="68"/>
      <c r="K11" s="68"/>
      <c r="L11" s="68"/>
      <c r="M11" s="68"/>
      <c r="N11" s="68"/>
      <c r="O11" s="68"/>
      <c r="P11" s="68"/>
      <c r="Q11" s="111"/>
    </row>
    <row r="12" spans="1:17" ht="15.75" thickBot="1" x14ac:dyDescent="0.3">
      <c r="A12" s="204" t="s">
        <v>143</v>
      </c>
      <c r="B12" s="204"/>
      <c r="C12" s="204"/>
      <c r="D12" s="204"/>
      <c r="E12" s="204"/>
      <c r="F12" s="204"/>
      <c r="G12" s="204"/>
      <c r="H12" s="204"/>
      <c r="I12" s="204"/>
      <c r="J12" s="204"/>
      <c r="K12" s="204"/>
      <c r="L12" s="204"/>
      <c r="M12" s="204"/>
      <c r="N12" s="204"/>
      <c r="O12" s="204"/>
      <c r="P12" s="204"/>
      <c r="Q12" s="204"/>
    </row>
    <row r="13" spans="1:17" ht="15.75" thickBot="1" x14ac:dyDescent="0.3">
      <c r="A13" s="205" t="s">
        <v>144</v>
      </c>
      <c r="B13" s="205"/>
      <c r="C13" s="205"/>
      <c r="D13" s="205"/>
      <c r="E13" s="205"/>
      <c r="F13" s="205"/>
      <c r="G13" s="205"/>
      <c r="H13" s="205"/>
      <c r="I13" s="205"/>
      <c r="J13" s="205"/>
      <c r="K13" s="205"/>
      <c r="L13" s="205"/>
      <c r="M13" s="205"/>
      <c r="N13" s="205"/>
      <c r="O13" s="206" t="s">
        <v>145</v>
      </c>
      <c r="P13" s="206"/>
      <c r="Q13" s="207" t="s">
        <v>146</v>
      </c>
    </row>
    <row r="14" spans="1:17" ht="15.75" thickBot="1" x14ac:dyDescent="0.3">
      <c r="A14" s="70" t="s">
        <v>147</v>
      </c>
      <c r="B14" s="71" t="s">
        <v>148</v>
      </c>
      <c r="C14" s="71" t="s">
        <v>149</v>
      </c>
      <c r="D14" s="71" t="s">
        <v>150</v>
      </c>
      <c r="E14" s="71" t="s">
        <v>151</v>
      </c>
      <c r="F14" s="71" t="s">
        <v>152</v>
      </c>
      <c r="G14" s="72" t="s">
        <v>153</v>
      </c>
      <c r="H14" s="71" t="s">
        <v>154</v>
      </c>
      <c r="I14" s="71" t="s">
        <v>155</v>
      </c>
      <c r="J14" s="71" t="s">
        <v>156</v>
      </c>
      <c r="K14" s="71" t="s">
        <v>156</v>
      </c>
      <c r="L14" s="71" t="s">
        <v>157</v>
      </c>
      <c r="M14" s="73" t="s">
        <v>158</v>
      </c>
      <c r="N14" s="74" t="s">
        <v>159</v>
      </c>
      <c r="O14" s="206"/>
      <c r="P14" s="206"/>
      <c r="Q14" s="207"/>
    </row>
    <row r="15" spans="1:17" x14ac:dyDescent="0.25">
      <c r="A15" s="75">
        <v>35</v>
      </c>
      <c r="B15" s="76"/>
      <c r="C15" s="76"/>
      <c r="D15" s="76">
        <v>1</v>
      </c>
      <c r="E15" s="76"/>
      <c r="F15" s="76">
        <v>4901</v>
      </c>
      <c r="G15" s="76">
        <v>3</v>
      </c>
      <c r="H15" s="76">
        <v>1</v>
      </c>
      <c r="I15" s="76">
        <v>2</v>
      </c>
      <c r="J15" s="76">
        <v>5</v>
      </c>
      <c r="K15" s="76">
        <v>1</v>
      </c>
      <c r="L15" s="76"/>
      <c r="M15" s="77">
        <v>1</v>
      </c>
      <c r="N15" s="76" t="s">
        <v>172</v>
      </c>
      <c r="O15" s="208" t="s">
        <v>173</v>
      </c>
      <c r="P15" s="208"/>
      <c r="Q15" s="112">
        <v>700000</v>
      </c>
    </row>
    <row r="16" spans="1:17" x14ac:dyDescent="0.25">
      <c r="A16" s="78">
        <v>35</v>
      </c>
      <c r="B16" s="79"/>
      <c r="C16" s="79"/>
      <c r="D16" s="79">
        <v>2</v>
      </c>
      <c r="E16" s="79"/>
      <c r="F16" s="79">
        <v>4901</v>
      </c>
      <c r="G16" s="79">
        <v>3</v>
      </c>
      <c r="H16" s="79">
        <v>1</v>
      </c>
      <c r="I16" s="79">
        <v>2</v>
      </c>
      <c r="J16" s="79">
        <v>5</v>
      </c>
      <c r="K16" s="79">
        <v>1</v>
      </c>
      <c r="L16" s="79"/>
      <c r="M16" s="80">
        <v>1</v>
      </c>
      <c r="N16" s="133" t="s">
        <v>172</v>
      </c>
      <c r="O16" s="209" t="s">
        <v>173</v>
      </c>
      <c r="P16" s="209"/>
      <c r="Q16" s="113">
        <v>126348</v>
      </c>
    </row>
    <row r="17" spans="1:17" x14ac:dyDescent="0.25">
      <c r="A17" s="78"/>
      <c r="B17" s="79"/>
      <c r="C17" s="79"/>
      <c r="D17" s="79"/>
      <c r="E17" s="79"/>
      <c r="F17" s="79"/>
      <c r="G17" s="79"/>
      <c r="H17" s="79"/>
      <c r="I17" s="79"/>
      <c r="J17" s="79"/>
      <c r="K17" s="79"/>
      <c r="L17" s="79"/>
      <c r="M17" s="80"/>
      <c r="N17" s="133"/>
      <c r="O17" s="210"/>
      <c r="P17" s="210"/>
      <c r="Q17" s="113"/>
    </row>
    <row r="18" spans="1:17" x14ac:dyDescent="0.25">
      <c r="A18" s="78"/>
      <c r="B18" s="79"/>
      <c r="C18" s="79"/>
      <c r="D18" s="79"/>
      <c r="E18" s="79"/>
      <c r="F18" s="79"/>
      <c r="G18" s="79"/>
      <c r="H18" s="79"/>
      <c r="I18" s="79"/>
      <c r="J18" s="79"/>
      <c r="K18" s="79"/>
      <c r="L18" s="79"/>
      <c r="M18" s="80"/>
      <c r="N18" s="133"/>
      <c r="O18" s="202"/>
      <c r="P18" s="202"/>
      <c r="Q18" s="113"/>
    </row>
    <row r="19" spans="1:17" x14ac:dyDescent="0.25">
      <c r="A19" s="78"/>
      <c r="B19" s="79"/>
      <c r="C19" s="79"/>
      <c r="D19" s="79"/>
      <c r="E19" s="79"/>
      <c r="F19" s="79"/>
      <c r="G19" s="79"/>
      <c r="H19" s="79"/>
      <c r="I19" s="79"/>
      <c r="J19" s="79"/>
      <c r="K19" s="79"/>
      <c r="L19" s="79"/>
      <c r="M19" s="80"/>
      <c r="N19" s="133"/>
      <c r="O19" s="202"/>
      <c r="P19" s="202"/>
      <c r="Q19" s="113"/>
    </row>
    <row r="20" spans="1:17" x14ac:dyDescent="0.25">
      <c r="A20" s="78"/>
      <c r="B20" s="79"/>
      <c r="C20" s="79"/>
      <c r="D20" s="79"/>
      <c r="E20" s="79"/>
      <c r="F20" s="79"/>
      <c r="G20" s="79"/>
      <c r="H20" s="79"/>
      <c r="I20" s="79"/>
      <c r="J20" s="79"/>
      <c r="K20" s="79"/>
      <c r="L20" s="79"/>
      <c r="M20" s="80"/>
      <c r="N20" s="133"/>
      <c r="O20" s="202"/>
      <c r="P20" s="202"/>
      <c r="Q20" s="113"/>
    </row>
    <row r="21" spans="1:17" x14ac:dyDescent="0.25">
      <c r="A21" s="78"/>
      <c r="B21" s="79"/>
      <c r="C21" s="79"/>
      <c r="D21" s="79"/>
      <c r="E21" s="79"/>
      <c r="F21" s="79"/>
      <c r="G21" s="79"/>
      <c r="H21" s="79"/>
      <c r="I21" s="79"/>
      <c r="J21" s="79"/>
      <c r="K21" s="79"/>
      <c r="L21" s="79"/>
      <c r="M21" s="80"/>
      <c r="N21" s="133"/>
      <c r="O21" s="202"/>
      <c r="P21" s="202"/>
      <c r="Q21" s="113"/>
    </row>
    <row r="22" spans="1:17" x14ac:dyDescent="0.25">
      <c r="A22" s="78"/>
      <c r="B22" s="79"/>
      <c r="C22" s="79"/>
      <c r="D22" s="79"/>
      <c r="E22" s="79"/>
      <c r="F22" s="79"/>
      <c r="G22" s="79"/>
      <c r="H22" s="79"/>
      <c r="I22" s="79"/>
      <c r="J22" s="79"/>
      <c r="K22" s="79"/>
      <c r="L22" s="79"/>
      <c r="M22" s="80"/>
      <c r="N22" s="133"/>
      <c r="O22" s="202"/>
      <c r="P22" s="202"/>
      <c r="Q22" s="113"/>
    </row>
    <row r="23" spans="1:17" x14ac:dyDescent="0.25">
      <c r="A23" s="78"/>
      <c r="B23" s="79"/>
      <c r="C23" s="79"/>
      <c r="D23" s="79"/>
      <c r="E23" s="79"/>
      <c r="F23" s="79"/>
      <c r="G23" s="79"/>
      <c r="H23" s="79"/>
      <c r="I23" s="79"/>
      <c r="J23" s="79"/>
      <c r="K23" s="79"/>
      <c r="L23" s="79"/>
      <c r="M23" s="80"/>
      <c r="N23" s="133"/>
      <c r="O23" s="202"/>
      <c r="P23" s="202"/>
      <c r="Q23" s="113"/>
    </row>
    <row r="24" spans="1:17" x14ac:dyDescent="0.25">
      <c r="A24" s="78"/>
      <c r="B24" s="79"/>
      <c r="C24" s="79"/>
      <c r="D24" s="79"/>
      <c r="E24" s="79"/>
      <c r="F24" s="79"/>
      <c r="G24" s="79"/>
      <c r="H24" s="79"/>
      <c r="I24" s="79"/>
      <c r="J24" s="79"/>
      <c r="K24" s="79"/>
      <c r="L24" s="79"/>
      <c r="M24" s="80"/>
      <c r="N24" s="133"/>
      <c r="O24" s="202"/>
      <c r="P24" s="202"/>
      <c r="Q24" s="113"/>
    </row>
    <row r="25" spans="1:17" x14ac:dyDescent="0.25">
      <c r="A25" s="78"/>
      <c r="B25" s="79"/>
      <c r="C25" s="79"/>
      <c r="D25" s="79"/>
      <c r="E25" s="79"/>
      <c r="F25" s="79"/>
      <c r="G25" s="79"/>
      <c r="H25" s="79"/>
      <c r="I25" s="79"/>
      <c r="J25" s="79"/>
      <c r="K25" s="79"/>
      <c r="L25" s="79"/>
      <c r="M25" s="80"/>
      <c r="N25" s="133"/>
      <c r="O25" s="202"/>
      <c r="P25" s="202"/>
      <c r="Q25" s="113"/>
    </row>
    <row r="26" spans="1:17" x14ac:dyDescent="0.25">
      <c r="A26" s="78"/>
      <c r="B26" s="79"/>
      <c r="C26" s="79"/>
      <c r="D26" s="79"/>
      <c r="E26" s="79"/>
      <c r="F26" s="79"/>
      <c r="G26" s="79"/>
      <c r="H26" s="79"/>
      <c r="I26" s="79"/>
      <c r="J26" s="79"/>
      <c r="K26" s="79"/>
      <c r="L26" s="79"/>
      <c r="M26" s="80"/>
      <c r="N26" s="133"/>
      <c r="O26" s="202"/>
      <c r="P26" s="202"/>
      <c r="Q26" s="113"/>
    </row>
    <row r="27" spans="1:17" x14ac:dyDescent="0.25">
      <c r="A27" s="78"/>
      <c r="B27" s="79"/>
      <c r="C27" s="79"/>
      <c r="D27" s="79"/>
      <c r="E27" s="79"/>
      <c r="F27" s="79"/>
      <c r="G27" s="79"/>
      <c r="H27" s="79"/>
      <c r="I27" s="79"/>
      <c r="J27" s="79"/>
      <c r="K27" s="79"/>
      <c r="L27" s="79"/>
      <c r="M27" s="80"/>
      <c r="N27" s="133"/>
      <c r="O27" s="202"/>
      <c r="P27" s="202"/>
      <c r="Q27" s="113"/>
    </row>
    <row r="28" spans="1:17" x14ac:dyDescent="0.25">
      <c r="A28" s="78"/>
      <c r="B28" s="79"/>
      <c r="C28" s="79"/>
      <c r="D28" s="79"/>
      <c r="E28" s="79"/>
      <c r="F28" s="79"/>
      <c r="G28" s="79"/>
      <c r="H28" s="79"/>
      <c r="I28" s="79"/>
      <c r="J28" s="79"/>
      <c r="K28" s="79"/>
      <c r="L28" s="79"/>
      <c r="M28" s="80"/>
      <c r="N28" s="133"/>
      <c r="O28" s="202"/>
      <c r="P28" s="202"/>
      <c r="Q28" s="113"/>
    </row>
    <row r="29" spans="1:17" x14ac:dyDescent="0.25">
      <c r="A29" s="78"/>
      <c r="B29" s="79"/>
      <c r="C29" s="79"/>
      <c r="D29" s="79"/>
      <c r="E29" s="79"/>
      <c r="F29" s="79"/>
      <c r="G29" s="79"/>
      <c r="H29" s="79"/>
      <c r="I29" s="79"/>
      <c r="J29" s="79"/>
      <c r="K29" s="79"/>
      <c r="L29" s="79"/>
      <c r="M29" s="80"/>
      <c r="N29" s="133"/>
      <c r="O29" s="202"/>
      <c r="P29" s="202"/>
      <c r="Q29" s="113"/>
    </row>
    <row r="30" spans="1:17" x14ac:dyDescent="0.25">
      <c r="A30" s="78"/>
      <c r="B30" s="79"/>
      <c r="C30" s="79"/>
      <c r="D30" s="79"/>
      <c r="E30" s="79"/>
      <c r="F30" s="79"/>
      <c r="G30" s="79"/>
      <c r="H30" s="79"/>
      <c r="I30" s="79"/>
      <c r="J30" s="79"/>
      <c r="K30" s="79"/>
      <c r="L30" s="79"/>
      <c r="M30" s="80"/>
      <c r="N30" s="133"/>
      <c r="O30" s="202"/>
      <c r="P30" s="202"/>
      <c r="Q30" s="113"/>
    </row>
    <row r="31" spans="1:17" x14ac:dyDescent="0.25">
      <c r="A31" s="78"/>
      <c r="B31" s="79"/>
      <c r="C31" s="79"/>
      <c r="D31" s="79"/>
      <c r="E31" s="79"/>
      <c r="F31" s="79"/>
      <c r="G31" s="79"/>
      <c r="H31" s="79"/>
      <c r="I31" s="79"/>
      <c r="J31" s="79"/>
      <c r="K31" s="79"/>
      <c r="L31" s="79"/>
      <c r="M31" s="80"/>
      <c r="N31" s="133"/>
      <c r="O31" s="202"/>
      <c r="P31" s="202"/>
      <c r="Q31" s="113"/>
    </row>
    <row r="32" spans="1:17" x14ac:dyDescent="0.25">
      <c r="A32" s="78"/>
      <c r="B32" s="79"/>
      <c r="C32" s="79"/>
      <c r="D32" s="79"/>
      <c r="E32" s="79"/>
      <c r="F32" s="133"/>
      <c r="G32" s="79"/>
      <c r="H32" s="79"/>
      <c r="I32" s="79"/>
      <c r="J32" s="79"/>
      <c r="K32" s="79"/>
      <c r="L32" s="79"/>
      <c r="M32" s="80"/>
      <c r="N32" s="133"/>
      <c r="O32" s="209"/>
      <c r="P32" s="209"/>
      <c r="Q32" s="113"/>
    </row>
    <row r="33" spans="1:17" x14ac:dyDescent="0.25">
      <c r="A33" s="78"/>
      <c r="B33" s="79"/>
      <c r="C33" s="79"/>
      <c r="D33" s="79"/>
      <c r="E33" s="79"/>
      <c r="F33" s="79"/>
      <c r="G33" s="79"/>
      <c r="H33" s="79"/>
      <c r="I33" s="79"/>
      <c r="J33" s="79"/>
      <c r="K33" s="79"/>
      <c r="L33" s="79"/>
      <c r="M33" s="80"/>
      <c r="N33" s="133"/>
      <c r="O33" s="209"/>
      <c r="P33" s="209"/>
      <c r="Q33" s="113"/>
    </row>
    <row r="34" spans="1:17" x14ac:dyDescent="0.25">
      <c r="A34" s="78"/>
      <c r="B34" s="79"/>
      <c r="C34" s="79"/>
      <c r="D34" s="79"/>
      <c r="E34" s="79"/>
      <c r="F34" s="133"/>
      <c r="G34" s="79"/>
      <c r="H34" s="79"/>
      <c r="I34" s="79"/>
      <c r="J34" s="79"/>
      <c r="K34" s="79"/>
      <c r="L34" s="79"/>
      <c r="M34" s="80"/>
      <c r="N34" s="133"/>
      <c r="O34" s="209"/>
      <c r="P34" s="209"/>
      <c r="Q34" s="113"/>
    </row>
    <row r="35" spans="1:17" x14ac:dyDescent="0.25">
      <c r="A35" s="78"/>
      <c r="B35" s="79"/>
      <c r="C35" s="79"/>
      <c r="D35" s="79"/>
      <c r="E35" s="79"/>
      <c r="F35" s="133"/>
      <c r="G35" s="79"/>
      <c r="H35" s="79"/>
      <c r="I35" s="79"/>
      <c r="J35" s="79"/>
      <c r="K35" s="79"/>
      <c r="L35" s="79"/>
      <c r="M35" s="80"/>
      <c r="N35" s="133"/>
      <c r="O35" s="209"/>
      <c r="P35" s="209"/>
      <c r="Q35" s="113"/>
    </row>
    <row r="36" spans="1:17" x14ac:dyDescent="0.25">
      <c r="A36" s="82"/>
      <c r="B36" s="83"/>
      <c r="C36" s="83"/>
      <c r="D36" s="83"/>
      <c r="E36" s="83"/>
      <c r="F36" s="84"/>
      <c r="G36" s="83"/>
      <c r="H36" s="83"/>
      <c r="I36" s="83"/>
      <c r="J36" s="83"/>
      <c r="K36" s="83"/>
      <c r="L36" s="83"/>
      <c r="M36" s="85"/>
      <c r="N36" s="86"/>
      <c r="O36" s="214"/>
      <c r="P36" s="214"/>
      <c r="Q36" s="113"/>
    </row>
    <row r="37" spans="1:17" ht="15.75" thickBot="1" x14ac:dyDescent="0.3">
      <c r="A37" s="87"/>
      <c r="B37" s="88"/>
      <c r="C37" s="88"/>
      <c r="D37" s="88"/>
      <c r="E37" s="88"/>
      <c r="F37" s="88"/>
      <c r="G37" s="88"/>
      <c r="H37" s="88"/>
      <c r="I37" s="88"/>
      <c r="J37" s="88"/>
      <c r="K37" s="88"/>
      <c r="L37" s="88"/>
      <c r="M37" s="89"/>
      <c r="N37" s="88"/>
      <c r="O37" s="215"/>
      <c r="P37" s="215"/>
      <c r="Q37" s="114"/>
    </row>
    <row r="38" spans="1:17" ht="33.75" customHeight="1" thickBot="1" x14ac:dyDescent="0.3">
      <c r="A38" s="216" t="s">
        <v>254</v>
      </c>
      <c r="B38" s="216"/>
      <c r="C38" s="216"/>
      <c r="D38" s="216"/>
      <c r="E38" s="216"/>
      <c r="F38" s="216"/>
      <c r="G38" s="216"/>
      <c r="H38" s="216"/>
      <c r="I38" s="216"/>
      <c r="J38" s="216"/>
      <c r="K38" s="216"/>
      <c r="L38" s="216"/>
      <c r="M38" s="216"/>
      <c r="N38" s="216"/>
      <c r="O38" s="216"/>
      <c r="P38" s="216"/>
      <c r="Q38" s="115">
        <f>SUM(Q15:Q37)</f>
        <v>826348</v>
      </c>
    </row>
    <row r="39" spans="1:17" ht="15.75" thickBot="1" x14ac:dyDescent="0.3">
      <c r="A39" s="217"/>
      <c r="B39" s="217"/>
      <c r="C39" s="217"/>
      <c r="D39" s="217"/>
      <c r="E39" s="217"/>
      <c r="F39" s="217"/>
      <c r="G39" s="217"/>
      <c r="H39" s="217"/>
      <c r="I39" s="217"/>
      <c r="J39" s="217"/>
      <c r="K39" s="217"/>
      <c r="L39" s="217"/>
      <c r="M39" s="217"/>
      <c r="N39" s="217"/>
      <c r="O39" s="217"/>
      <c r="P39" s="217"/>
      <c r="Q39" s="217"/>
    </row>
    <row r="40" spans="1:17" ht="15.75" thickBot="1" x14ac:dyDescent="0.3">
      <c r="A40" s="211" t="s">
        <v>160</v>
      </c>
      <c r="B40" s="211"/>
      <c r="C40" s="211"/>
      <c r="D40" s="211"/>
      <c r="E40" s="211"/>
      <c r="F40" s="211"/>
      <c r="G40" s="212"/>
      <c r="H40" s="212"/>
      <c r="I40" s="212"/>
      <c r="J40" s="212"/>
      <c r="K40" s="212"/>
      <c r="L40" s="212"/>
      <c r="M40" s="212"/>
      <c r="N40" s="212"/>
      <c r="O40" s="212"/>
      <c r="P40" s="212"/>
      <c r="Q40" s="212"/>
    </row>
    <row r="41" spans="1:17" ht="15.75" thickBot="1" x14ac:dyDescent="0.3">
      <c r="A41" s="213" t="str">
        <f>'NP DPCUR'!D8</f>
        <v>ADQUISICION DEL RUBRO REACTIVOS PARA LABORATORIO</v>
      </c>
      <c r="B41" s="213"/>
      <c r="C41" s="213"/>
      <c r="D41" s="213"/>
      <c r="E41" s="213"/>
      <c r="F41" s="213"/>
      <c r="G41" s="213"/>
      <c r="H41" s="213"/>
      <c r="I41" s="213"/>
      <c r="J41" s="213"/>
      <c r="K41" s="213"/>
      <c r="L41" s="213"/>
      <c r="M41" s="213"/>
      <c r="N41" s="213"/>
      <c r="O41" s="213"/>
      <c r="P41" s="213"/>
      <c r="Q41" s="213"/>
    </row>
    <row r="42" spans="1:17" ht="15.75" thickBot="1" x14ac:dyDescent="0.3">
      <c r="A42" s="213"/>
      <c r="B42" s="213"/>
      <c r="C42" s="213"/>
      <c r="D42" s="213"/>
      <c r="E42" s="213"/>
      <c r="F42" s="213"/>
      <c r="G42" s="213"/>
      <c r="H42" s="213"/>
      <c r="I42" s="213"/>
      <c r="J42" s="213"/>
      <c r="K42" s="213"/>
      <c r="L42" s="213"/>
      <c r="M42" s="213"/>
      <c r="N42" s="213"/>
      <c r="O42" s="213"/>
      <c r="P42" s="213"/>
      <c r="Q42" s="213"/>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SAF 011 - NECESIDAD TRIMESTRAL</vt:lpstr>
      <vt:lpstr>NP DPLAB</vt:lpstr>
      <vt:lpstr>APG DPLAB</vt:lpstr>
      <vt:lpstr>NP DPBS</vt:lpstr>
      <vt:lpstr>APG DPBS</vt:lpstr>
      <vt:lpstr>NP DPSMA</vt:lpstr>
      <vt:lpstr>APG DPSMA</vt:lpstr>
      <vt:lpstr>NP DPCUR</vt:lpstr>
      <vt:lpstr>APG DPCUR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dcterms:created xsi:type="dcterms:W3CDTF">2021-11-12T17:27:33Z</dcterms:created>
  <dcterms:modified xsi:type="dcterms:W3CDTF">2022-06-21T11:21:42Z</dcterms:modified>
</cp:coreProperties>
</file>