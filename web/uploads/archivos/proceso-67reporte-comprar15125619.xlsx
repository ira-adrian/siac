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04. Alimentos Perecederos HSJB - SAF 23\3. Analisis\"/>
    </mc:Choice>
  </mc:AlternateContent>
  <xr:revisionPtr revIDLastSave="0" documentId="13_ncr:1_{0061ABA2-A9DF-4CBD-83C4-62972594EF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4" i="2" l="1"/>
  <c r="M54" i="2"/>
  <c r="Q54" i="2"/>
</calcChain>
</file>

<file path=xl/sharedStrings.xml><?xml version="1.0" encoding="utf-8"?>
<sst xmlns="http://schemas.openxmlformats.org/spreadsheetml/2006/main" count="325" uniqueCount="218">
  <si>
    <t>Número expediente:</t>
  </si>
  <si>
    <t>EX-2022-00225432-   -CAT-SCA#MEC</t>
  </si>
  <si>
    <t>Número proceso de compra:</t>
  </si>
  <si>
    <t>100-0016-CDI22</t>
  </si>
  <si>
    <t>Nombre descriptivo proceso de compra:</t>
  </si>
  <si>
    <t>Adquisición de Alimentos Perecederos con destino al Servicio de Nutrición del HSJB</t>
  </si>
  <si>
    <t>Unidad Operativa de Compras:</t>
  </si>
  <si>
    <t>Secretaria de Compras y Abastecimiento</t>
  </si>
  <si>
    <t>Fecha de Apertura:</t>
  </si>
  <si>
    <t>25/02/2022</t>
  </si>
  <si>
    <t>Renglón</t>
  </si>
  <si>
    <t>LOS SAUCES SRL</t>
  </si>
  <si>
    <t>EL PUESTO SRL</t>
  </si>
  <si>
    <t>LUJAIKO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</si>
  <si>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</si>
  <si>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</si>
  <si>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</si>
  <si>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</si>
  <si>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</si>
  <si>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</si>
  <si>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</si>
  <si>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</si>
  <si>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</si>
  <si>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</si>
  <si>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2.1.1-438.37 </t>
  </si>
  <si>
    <t xml:space="preserve">ADEREZOS; TIPO: MAYONESA, ENVASE: BOLSA, CONTENIDO: 2,9 Kg, PRESENTACION: ENVASE 
X 2,9 Kg </t>
  </si>
  <si>
    <t xml:space="preserve">UNIDAD </t>
  </si>
  <si>
    <t xml:space="preserve">MAYONESA MAYODAN 2.900 GRS.  </t>
  </si>
  <si>
    <t xml:space="preserve">2 </t>
  </si>
  <si>
    <t xml:space="preserve">2.1.1-621.20 </t>
  </si>
  <si>
    <t xml:space="preserve">AVES; TIPO: POLLO, PRESENTACION: CAJA X 22 Kg, EVISCERADO: SI, 
ELEM. TRANSPORTE: SIN, MATERIAL ELEM. TRANSPORTE: SIN, LIBRE DE GLUTEN: 
SIN VALOR </t>
  </si>
  <si>
    <t xml:space="preserve">POLLO SOY CHU EN CAJA X 22 KG.  </t>
  </si>
  <si>
    <t xml:space="preserve">CAJON DE POLLO MARCA OPTIMO POR 20 KG CADA UNO 
- PRIMERA CALIDAD </t>
  </si>
  <si>
    <t xml:space="preserve">  AVES; TIPO: POLLO, PRESENTACION: CAJA X 22 Kg, 
EVISCERADO: SI, ELEM. TRANSPORTE: SIN, MATERIAL ELEM. TRANSPORTE: SIN, LIBRE 
DE GLUTEN: SIN VALOR </t>
  </si>
  <si>
    <t xml:space="preserve">3 </t>
  </si>
  <si>
    <t xml:space="preserve">2.1.1-483.37 </t>
  </si>
  <si>
    <t xml:space="preserve">HUEVO DE GALLINA; TAMAÑO: GRANDE, COLOR: COLOR, PRESENTACION: 30 UN 
</t>
  </si>
  <si>
    <t xml:space="preserve">HUEVO DE GALLINA COLOR MAPLE X 30 UND.  </t>
  </si>
  <si>
    <t xml:space="preserve">4 </t>
  </si>
  <si>
    <t xml:space="preserve">2.1.1-621.11 </t>
  </si>
  <si>
    <t xml:space="preserve">AVES; ESPECIE: PECHUGA DE POLLO, PRESENTACION: BOLSA X 2 Kg, 
EVISCERADO: SIN VALOR, TIPO: PECHUGA DE POLLO </t>
  </si>
  <si>
    <t xml:space="preserve">PECHUGA DE POLLO SOY CHU EN BOLSA X 2 KG. 
 </t>
  </si>
  <si>
    <t xml:space="preserve">PECHUGA DE POLLO MARCA OPTIMO BOLSA POR 2 KG - 
PRIMERA CALIDAD </t>
  </si>
  <si>
    <t xml:space="preserve">5 </t>
  </si>
  <si>
    <t xml:space="preserve">2.1.1-590.27 </t>
  </si>
  <si>
    <t xml:space="preserve">PESCADOS Y FRUTOS CONGELADOS; TIPO: FILET DE MERLUZA, ENVASE: POLIESTIRENO, 
PRESENTACION: ENVASE X 1 Kg, ELEM. TRANSPORTE: SIN, MATERIAL ELEM. 
TRANSPORTE: SIN </t>
  </si>
  <si>
    <t xml:space="preserve">6 </t>
  </si>
  <si>
    <t xml:space="preserve">2.1.1-669.27 </t>
  </si>
  <si>
    <t xml:space="preserve">PANES; TIPO: MIÑON, PRESENTACION: GRANEL </t>
  </si>
  <si>
    <t xml:space="preserve">PAN MIÑON X KG.  </t>
  </si>
  <si>
    <t xml:space="preserve">7 </t>
  </si>
  <si>
    <t xml:space="preserve">2.1.1-669.51 </t>
  </si>
  <si>
    <t xml:space="preserve">PANES; TIPO: FRANCES, PRESENTACION: UNIDAD </t>
  </si>
  <si>
    <t xml:space="preserve">PAN ROSETA SIN SAL X UND.  </t>
  </si>
  <si>
    <t xml:space="preserve">8 </t>
  </si>
  <si>
    <t xml:space="preserve">2.1.1-669.1 </t>
  </si>
  <si>
    <t xml:space="preserve">PANES; PRESENTACION: GRANEL, TIPO: SALVADO </t>
  </si>
  <si>
    <t xml:space="preserve">PAN SALVADO X UND.  </t>
  </si>
  <si>
    <t xml:space="preserve">9 </t>
  </si>
  <si>
    <t xml:space="preserve">2.1.1-669.37 </t>
  </si>
  <si>
    <t xml:space="preserve">PANES; TIPO: RALLADO, PRESENTACION: BOLSA X 5 Kg </t>
  </si>
  <si>
    <t xml:space="preserve">PAN RALLADO EN BOLSA X 5 KG.  </t>
  </si>
  <si>
    <t xml:space="preserve">10 </t>
  </si>
  <si>
    <t xml:space="preserve">2.1.1-2430.1 </t>
  </si>
  <si>
    <t xml:space="preserve">PREPIZZA; GUSTO: TOMATE, TAMAÑO: MEDIANO </t>
  </si>
  <si>
    <t xml:space="preserve">11 </t>
  </si>
  <si>
    <t xml:space="preserve">2.1.1-518.32 </t>
  </si>
  <si>
    <t xml:space="preserve">TORTAS; TIPO: PIONONO, PESO: 180 GR </t>
  </si>
  <si>
    <t xml:space="preserve">12 </t>
  </si>
  <si>
    <t xml:space="preserve">2.1.1-6546.34 </t>
  </si>
  <si>
    <t xml:space="preserve">VERDURAS Y HORTALIZAS; VARIEDAD: ACELGA, ESTADO: EN HOJA, PRESENTACION: ATADO, 
PESO: SIN VALOR </t>
  </si>
  <si>
    <t xml:space="preserve">13 </t>
  </si>
  <si>
    <t xml:space="preserve">2.1.1-6546.403 </t>
  </si>
  <si>
    <t xml:space="preserve">VERDURAS Y HORTALIZAS; VARIEDAD: ZANAHORIA, ESTADO: NATURAL, PRESENTACION: BOLSA, PESO: 
NO CORRESPONDE, ELEM. TRANSPORTE: SIN, MATERIAL ELEM. TRANSPORTE: SIN, LIBRE 
DE GLUTEN: SI, ORGANICO: NO </t>
  </si>
  <si>
    <t xml:space="preserve">VERDURA ZANAHORIA EN BOLSA X 25 KG.  </t>
  </si>
  <si>
    <t xml:space="preserve">  VERDURAS Y HORTALIZAS; VARIEDAD: ZANAHORIA, ESTADO: NATURAL, PRESENTACION: 
BOLSA, PESO: NO CORRESPONDE, ELEM. TRANSPORTE: SIN, MATERIAL ELEM. TRANSPORTE: 
SIN, LIBRE DE GLUTEN: SI, ORGANICO: NO </t>
  </si>
  <si>
    <t xml:space="preserve">14 </t>
  </si>
  <si>
    <t xml:space="preserve">2.1.1-6546.151 </t>
  </si>
  <si>
    <t xml:space="preserve">VERDURAS Y HORTALIZAS; VARIEDAD: ZAPALLITO REDONDO, ESTADO: NATURAL, PRESENTACION: CAJON, 
PESO: SIN VALOR </t>
  </si>
  <si>
    <t xml:space="preserve">VERDURA ZAPALLITO REDONDO VERDE EN CAJON X 15 KG.  
</t>
  </si>
  <si>
    <t xml:space="preserve">  VERDURAS Y HORTALIZAS; VARIEDAD: ZAPALLITO REDONDO, ESTADO: NATURAL, 
PRESENTACION: CAJON, PESO: SIN VALOR </t>
  </si>
  <si>
    <t xml:space="preserve">15 </t>
  </si>
  <si>
    <t xml:space="preserve">2.1.1-6546.335 </t>
  </si>
  <si>
    <t xml:space="preserve">VERDURAS Y HORTALIZAS; VARIEDAD: PAPA BLANCA, ESTADO: NATURAL, PRESENTACION: BOLSA, 
PESO: 25 Kg </t>
  </si>
  <si>
    <t xml:space="preserve">VERDURA PAPA BLANCA EN BOLSA X 25 KG. </t>
  </si>
  <si>
    <t xml:space="preserve">16 </t>
  </si>
  <si>
    <t xml:space="preserve">2.1.1-6546.49 </t>
  </si>
  <si>
    <t xml:space="preserve">VERDURAS Y HORTALIZAS; VARIEDAD: CHAUCHA, PRESENTACION: GRANEL, ESTADO: NATURAL, PESO: 
SIN VALOR </t>
  </si>
  <si>
    <t xml:space="preserve">17 </t>
  </si>
  <si>
    <t xml:space="preserve">2.1.1-6546.390 </t>
  </si>
  <si>
    <t xml:space="preserve">VERDURAS Y HORTALIZAS; VARIEDAD: TOMATE REDONDO, ESTADO: NATURAL, PRESENTACION: CAJON, 
PESO: 17 A 22 Kg, ELEM. TRANSPORTE: SIN, MATERIAL ELEM. 
TRANSPORTE: SIN, LIBRE DE GLUTEN: SI, ORGANICO: NO </t>
  </si>
  <si>
    <t xml:space="preserve">VERDURA TOMATE REDONDO EN CAJON X 17 A 22 KG. 
 </t>
  </si>
  <si>
    <t xml:space="preserve">VERDURAS Y HORTALIZAS; VARIEDAD: TOMATE REDONDO, ESTADO: NATURAL, PRESENTACION: CAJON, 
PESO: 17 A 22 Kg, ELEM. TRANSPORTE: SIN, MATERIAL ELEM. 
TRANSPORTE: SIN, LIBRE DE GLUTEN: SI, ORGANICO NO </t>
  </si>
  <si>
    <t xml:space="preserve">18 </t>
  </si>
  <si>
    <t xml:space="preserve">2.1.1-6546.39 </t>
  </si>
  <si>
    <t xml:space="preserve">VERDURAS Y HORTALIZAS; VARIEDAD: CEBOLLA, ESTADO: NATURAL, PRESENTACION: BOLSA, PESO: 
25 Kg </t>
  </si>
  <si>
    <t xml:space="preserve">VERDURA CEBOLLA EN BOLSA X 25 KG.  </t>
  </si>
  <si>
    <t xml:space="preserve">19 </t>
  </si>
  <si>
    <t xml:space="preserve">2.1.1-6546.377 </t>
  </si>
  <si>
    <t xml:space="preserve">VERDURAS Y HORTALIZAS; VARIEDAD: CEBOLLA DE VERDEO, ESTADO: NATURAL, PRESENTACION: 
CAJON, PESO: 10 Kg, ELEM. TRANSPORTE: CAJON, MATERIAL ELEM. TRANSPORTE: 
CARTON, LIBRE DE GLUTEN: NO </t>
  </si>
  <si>
    <t xml:space="preserve">VERDURAS Y HORTALIZAS; VARIEDAD: CEBOLLA DE VERDEO, ESTADO: NATURAL, PRESENTACION: 
CAJON10 Kg CADA UNO , PESO: 10 Kg, ELEM. TRANSPORTE: 
CAJON, MATERIAL ELEM. TRANSPORTE: CARTON, LIBRE DE GLUTEN: NO </t>
  </si>
  <si>
    <t xml:space="preserve">20 </t>
  </si>
  <si>
    <t xml:space="preserve">2.1.1-6546.124 </t>
  </si>
  <si>
    <t xml:space="preserve">VERDURAS Y HORTALIZAS; PESO: SIN VALOR, VARIEDAD: REMOLACHA, ESTADO: NATURAL, 
PRESENTACION: GRANEL </t>
  </si>
  <si>
    <t xml:space="preserve">VERDURA REMOLACHA X KG.  </t>
  </si>
  <si>
    <t xml:space="preserve">21 </t>
  </si>
  <si>
    <t xml:space="preserve">2.1.1-6546.231 </t>
  </si>
  <si>
    <t xml:space="preserve">VERDURAS Y HORTALIZAS; VARIEDAD: ZAPALLO ANCO, ESTADO: NATURAL, PRESENTACION: BOLSA, 
PESO: 20 Kg </t>
  </si>
  <si>
    <t xml:space="preserve">VERDURA ZAPALLO ANQUIN EN BOLSA X 20 KG.  </t>
  </si>
  <si>
    <t xml:space="preserve">22 </t>
  </si>
  <si>
    <t xml:space="preserve">2.1.1-6546.162 </t>
  </si>
  <si>
    <t xml:space="preserve">VERDURAS Y HORTALIZAS; VARIEDAD: ZAPALLO CRIOLLO, ESTADO: NATURAL, PRESENTACION: UNIDAD, 
PESO: SIN VALOR </t>
  </si>
  <si>
    <t xml:space="preserve">VERDURA ZAPALLO CRIOLLO X UND. ENTRE 15 A 20 KG. 
 </t>
  </si>
  <si>
    <t xml:space="preserve">  VERDURAS Y HORTALIZAS; VARIEDAD: ZAPALLO CRIOLLO, ESTADO: NATURAL, 
PRESENTACION: X KG </t>
  </si>
  <si>
    <t xml:space="preserve">23 </t>
  </si>
  <si>
    <t xml:space="preserve">2.1.1-6546.133 </t>
  </si>
  <si>
    <t xml:space="preserve">VERDURAS Y HORTALIZAS; VARIEDAD: PEREJIL, ESTADO: NATURAL, PRESENTACION: ATADO, PESO: 
1 Kg </t>
  </si>
  <si>
    <t xml:space="preserve">24 </t>
  </si>
  <si>
    <t xml:space="preserve">2.1.1-6546.95 </t>
  </si>
  <si>
    <t xml:space="preserve">VERDURAS Y HORTALIZAS; VARIEDAD: MORRON VERDE, ESTADO: NATURAL, PRESENTACION: GRANEL, 
PESO: SIN VALOR </t>
  </si>
  <si>
    <t xml:space="preserve">VERDURA MORRON VERDE X KG.  </t>
  </si>
  <si>
    <t xml:space="preserve">VERDURAS Y HORTALIZAS; VARIEDAD: MORRON VERDE, ESTADO: NATURAL, PRESENTACION: GRANEL 
X 1 KG, PESO: SIN VALOR </t>
  </si>
  <si>
    <t xml:space="preserve">25 </t>
  </si>
  <si>
    <t xml:space="preserve">2.1.1-6546.82 </t>
  </si>
  <si>
    <t xml:space="preserve">VERDURAS Y HORTALIZAS; VARIEDAD: LECHUGA CRIOLLA, ESTADO: NATURAL, PRESENTACION: CAJON, 
PESO: SIN VALOR </t>
  </si>
  <si>
    <t xml:space="preserve">26 </t>
  </si>
  <si>
    <t xml:space="preserve">2.1.1-6539.20 </t>
  </si>
  <si>
    <t xml:space="preserve">FRUTAS; ESTADO: NATURAL, VARIEDAD: MANZANA RED DELICIOSA, PRESENTACION: CAJON, PESO: 
SIN VALOR </t>
  </si>
  <si>
    <t xml:space="preserve">FRUTA MARNZADA ROJA RED EN CAJON X 20 KG.  
</t>
  </si>
  <si>
    <t xml:space="preserve">FRUTAS; ESTADO: NATURAL, VARIEDAD: MANZANA RED DELICIOSA, PRESENTACION: CAJON, PESO: 
SIN VALOR CAJON X 20 KG </t>
  </si>
  <si>
    <t xml:space="preserve">27 </t>
  </si>
  <si>
    <t xml:space="preserve">2.1.1-6539.30 </t>
  </si>
  <si>
    <t xml:space="preserve">FRUTAS; VARIEDAD: BANANA, PRESENTACION: CAJON, ESTADO: NATURAL, PESO: SIN VALOR 
</t>
  </si>
  <si>
    <t xml:space="preserve">FRUTA BANANA EN CAJON X 25 KG.  </t>
  </si>
  <si>
    <t xml:space="preserve">28 </t>
  </si>
  <si>
    <t xml:space="preserve">2.1.1-6539.8 </t>
  </si>
  <si>
    <t xml:space="preserve">FRUTAS; VARIEDAD: NARANJA ESPECIAL, ESTADO: NATURAL, PRESENTACION: CAJON, PESO: SIN 
VALOR </t>
  </si>
  <si>
    <t xml:space="preserve">FRUTA NARANJA EN CAJON / BOLSA X 20 KG.  
</t>
  </si>
  <si>
    <t xml:space="preserve">29 </t>
  </si>
  <si>
    <t xml:space="preserve">2.1.1-6539.32 </t>
  </si>
  <si>
    <t xml:space="preserve">FRUTAS; VARIEDAD: PERA AMARILLA, ESTADO: NATURAL, PRESENTACION: CAJON, PESO: SIN 
VALOR </t>
  </si>
  <si>
    <t xml:space="preserve">FRUTA PERA AMARILLA EN CAJON X 17 KG.  </t>
  </si>
  <si>
    <t xml:space="preserve">30 </t>
  </si>
  <si>
    <t xml:space="preserve">2.1.1-6539.187 </t>
  </si>
  <si>
    <t xml:space="preserve">FRUTAS; VARIEDAD: LIMON, ESTADO: NATURAL, PRESENTACION: CAJON, ELEM. TRANSPORTE: SIN, 
MATERIAL ELEM. TRANSPORTE: SIN, ORGANICO: NO </t>
  </si>
  <si>
    <t xml:space="preserve">FRUTA LIMON EN CAJON X 12 KG.  </t>
  </si>
  <si>
    <t xml:space="preserve">31 </t>
  </si>
  <si>
    <t xml:space="preserve">2.1.1-541.27 </t>
  </si>
  <si>
    <t xml:space="preserve">CARNES; ESPECIE: VACUNA, CORTE: CUADRIL, TIPO: VACUNA </t>
  </si>
  <si>
    <t xml:space="preserve">CARNE ESPECIAL VACUNA CORTE CUADRIL X KG. FETEADOS ENTRE 180 
A 250 GRS. </t>
  </si>
  <si>
    <t xml:space="preserve">PRECIO POR KILO - PRIMERA CALIDAD </t>
  </si>
  <si>
    <t xml:space="preserve">CARNES; ESPECIE: VACUNA, CORTE: CUADRIL, TIPO: VACUNA X KG </t>
  </si>
  <si>
    <t xml:space="preserve">32 </t>
  </si>
  <si>
    <t xml:space="preserve">2.1.1-541.49 </t>
  </si>
  <si>
    <t xml:space="preserve">CARNES; ESPECIE: VACUNA, CORTE: NALGA, TIPO: VACUNA </t>
  </si>
  <si>
    <t xml:space="preserve">CARNE ESPECIAL VACUNA CORTE NALGA X KG. FETEADAS ENTRE 180 
A 250 GRS.  </t>
  </si>
  <si>
    <t xml:space="preserve">CARNES; ESPECIE: VACUNA, CORTE: NALGA, TIPO: VACUNA X KG </t>
  </si>
  <si>
    <t xml:space="preserve">33 </t>
  </si>
  <si>
    <t xml:space="preserve">2.1.1-541.7 </t>
  </si>
  <si>
    <t xml:space="preserve">CARNES; ESPECIE: VACUNA, CORTE: PICADA ESPECIAL, TIPO: VACUNA </t>
  </si>
  <si>
    <t xml:space="preserve">CARNE VACUNA PICADA ESPECIAL X KG  </t>
  </si>
  <si>
    <t xml:space="preserve">PRECIO POR KILO- PRIMERA CALIDAD  </t>
  </si>
  <si>
    <t xml:space="preserve">  CARNES; ESPECIE: VACUNA, CORTE: PICADA ESPECIAL, TIPO: VACUNA 
XKG </t>
  </si>
  <si>
    <t xml:space="preserve">34 </t>
  </si>
  <si>
    <t xml:space="preserve">2.1.1-541.70 </t>
  </si>
  <si>
    <t xml:space="preserve">CARNES; CORTE: CARRE CON LOMO, TIPO: PORCINA, ESPECIE: PORCINA </t>
  </si>
  <si>
    <t xml:space="preserve">CARNE DE CERDO CORTE CARRE CON LOMO X KG.  
</t>
  </si>
  <si>
    <t xml:space="preserve">CARRE SIN HUESO- PRECIO POR KILO - PRIMERA CALIDAD </t>
  </si>
  <si>
    <t xml:space="preserve">  CARNES; CORTE: CARRE CON LOMO, TIPO: PORCINA, ESPECIE: 
PORCINA X KG </t>
  </si>
  <si>
    <t xml:space="preserve">35 </t>
  </si>
  <si>
    <t xml:space="preserve">2.1.1-541.164 </t>
  </si>
  <si>
    <t xml:space="preserve">CARNES; TIPO: PORCINA, CORTE: COSTELETA </t>
  </si>
  <si>
    <t xml:space="preserve">CARNE DE CERDO CORTE COSTELETA X KG. CORTA ENTRE 200 
A 300 GRS. C/U.  </t>
  </si>
  <si>
    <t xml:space="preserve">  CARNES; TIPO: PORCINA, CORTE: COSTELETA X KG </t>
  </si>
  <si>
    <t xml:space="preserve">36 </t>
  </si>
  <si>
    <t xml:space="preserve">2.1.1-542.212 </t>
  </si>
  <si>
    <t xml:space="preserve">QUESOS; TIPO: CUARTIROLO, PRESENTACION: HORMA, ELEM. TRANSPORTE: SIN, MATERIAL ELEM. 
TRANSPORTE: SIN, MATERIAL ENVASE: SIN, CERTIFICADO FORESTAL (GFS): SIN, LIBRE 
DE GLUTEN: SI </t>
  </si>
  <si>
    <t xml:space="preserve">QUESO CREMOSO TREMBLAY EN HORMAS X 3.800 GRS APROX. </t>
  </si>
  <si>
    <t xml:space="preserve">QUESOS; TIPO: CUARTIROLO, PRESENTACION: HORMA, ELEM. TRANSPORTE: SIN, MATERIAL ELEM. 
TRANSPORTE: SIN, MATERIAL ENVASE: SIN, CERTIFICADO FORESTAL (GFS): SIN, LIBRE 
DE GLUTEN: SI MARCA CAMPO TREGAL </t>
  </si>
  <si>
    <t xml:space="preserve">37 </t>
  </si>
  <si>
    <t xml:space="preserve">2.1.1-542.225 </t>
  </si>
  <si>
    <t xml:space="preserve">QUESOS; TIPO: TYBO, PRESENTACION: ENVASE X 1 Kg, ELEM. TRANSPORTE: 
SIN, MATERIAL ELEM. TRANSPORTE: SIN, MATERIAL ENVASE: POLIESTIRENO, CERTIFICADO FORESTAL 
(GFS): SIN, LIBRE DE GLUTEN: SI </t>
  </si>
  <si>
    <t xml:space="preserve">QUESO TYBO TREMBLAY X KG. </t>
  </si>
  <si>
    <t xml:space="preserve">QUESOS; TIPO: TYBO, PRESENTACION: ENVASE X 1 Kg,  MARCA 
TREGAR </t>
  </si>
  <si>
    <t xml:space="preserve">38 </t>
  </si>
  <si>
    <t xml:space="preserve">2.1.1-542.207 </t>
  </si>
  <si>
    <t xml:space="preserve">QUESOS; TIPO: SARDO, PRESENTACION: HORMA X 3 Kg, ELEM. TRANSPORTE: 
SIN, MATERIAL ELEM. TRANSPORTE: SIN, MATERIAL ENVASE: SIN, CERTIFICADO FORESTAL 
(GFS): SIN, LIBRE DE GLUTEN: NO </t>
  </si>
  <si>
    <t xml:space="preserve">QUESO SARDO TREMBLAY EN HORMAS X 3KG. APROX. </t>
  </si>
  <si>
    <t xml:space="preserve">QUESOS; TIPO: SARDO, PRESENTACION: HORMA X 3 Kg MARCA TREGAR 
</t>
  </si>
  <si>
    <t xml:space="preserve">39 </t>
  </si>
  <si>
    <t xml:space="preserve">2.1.1-969.35 </t>
  </si>
  <si>
    <t xml:space="preserve">FIAMBRES; TIPO: JAMON COCIDO ITALIANO, PRESENTACION: AL PESO </t>
  </si>
  <si>
    <t xml:space="preserve">JAMON COCIDO LA PIAMONTESA X KG.  </t>
  </si>
  <si>
    <t xml:space="preserve">FIAMBRES; TIPO: JAMON COCIDO ITALIANO, PRESENTACION: AL PESO X KG 
</t>
  </si>
  <si>
    <t xml:space="preserve">40 </t>
  </si>
  <si>
    <t xml:space="preserve">2.1.1-4975.2 </t>
  </si>
  <si>
    <t xml:space="preserve">RICOTA; ENVASE: PAQUETE, PESO: 1 Kg, SABOR: SIN </t>
  </si>
  <si>
    <t xml:space="preserve">41 </t>
  </si>
  <si>
    <t xml:space="preserve">2.1.1-707.35 </t>
  </si>
  <si>
    <t xml:space="preserve">PASTAS FRESCAS; VARIEDAD: RAVIOL, RELLENO: RICOTA Y POLLO, PRESENTACION: ENVASE 
X 2 PLANCHAS </t>
  </si>
  <si>
    <t xml:space="preserve">PASTA FRESCA DI PASCUALLE RAVIOLES DE RICOTA Y POLLO X 
500 GRS.  </t>
  </si>
  <si>
    <t xml:space="preserve">PASTAS FRESCAS; VARIEDAD: RAVIOL, RELLENO: RICOTA Y POLLO, PRESENTACION: ENVASE 
X 2 PLANCHAS MARCA AMICI </t>
  </si>
  <si>
    <t xml:space="preserve">42 </t>
  </si>
  <si>
    <t xml:space="preserve">2.1.1-2429.1 </t>
  </si>
  <si>
    <t xml:space="preserve">TAPAS P/TARTAS; TIPO: REDONDA, MASA: CASERA, PRESENTACION: BOLSA </t>
  </si>
  <si>
    <t xml:space="preserve">TAPA PARA TARTA DI PASCUALLE REDONDA  </t>
  </si>
  <si>
    <t xml:space="preserve">TAPAS P/TARTAS; TIPO: REDONDA, MASA: CASERA, PRESENTACION: BOLSA   
MARCA AMICI </t>
  </si>
  <si>
    <t xml:space="preserve">43 </t>
  </si>
  <si>
    <t xml:space="preserve">2.1.1-2610.1 </t>
  </si>
  <si>
    <t xml:space="preserve">TAPAS P/EMPANADAS; TIPO: P/HORNO, PRESENTACION: BOLSA X 12 </t>
  </si>
  <si>
    <t xml:space="preserve">TAPA PARA EMPANADAS DI PASCUALLE X 12 UND.  </t>
  </si>
  <si>
    <t xml:space="preserve">TAPAS P/EMPANADAS; TIPO: P/HORNO, PRESENTACION: BOLSA X 12 MARCA AMICI 
</t>
  </si>
  <si>
    <t xml:space="preserve">44 </t>
  </si>
  <si>
    <t xml:space="preserve">2.1.1-456.79 </t>
  </si>
  <si>
    <t xml:space="preserve">YOGHURT; TIPO: DESCREMADO, AGREGADO: SIN, CONSISTENCIA: FIRME, SABOR: VAINILLA, PRESENTACION: 
POTE PLASTICO X 200 GR </t>
  </si>
  <si>
    <t xml:space="preserve">YOGURT FIRME LA SERENISIMA DESCREMADO X 200 GRS. SABOR VAINILLA 
 </t>
  </si>
  <si>
    <t xml:space="preserve">  YOGHURT; TIPO: DESCREMADO, AGREGADO: SIN, CONSISTENCIA: FIRME, SABOR: 
VAINILLA, PRESENTACION: POTE PLASTICO X 200 GR MARCA MANFREY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</si>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</sst>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54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54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54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54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R54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H2" sqref="H2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4" customWidth="1"/>
    <col min="5" max="5" width="74.28515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5.42578125" customWidth="1"/>
    <col min="11" max="11" width="14.28515625" customWidth="1"/>
    <col min="12" max="12" width="17.28515625" customWidth="1"/>
    <col min="13" max="13" width="16.5703125" customWidth="1"/>
    <col min="14" max="14" width="50.42578125" customWidth="1"/>
    <col min="15" max="15" width="14.28515625" customWidth="1"/>
    <col min="16" max="16" width="17.28515625" customWidth="1"/>
    <col min="17" max="17" width="16.5703125" customWidth="1"/>
    <col min="18" max="18" width="90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30" x14ac:dyDescent="0.25">
      <c r="A10" t="s">
        <v>23</v>
      </c>
      <c r="B10" t="s">
        <v>23</v>
      </c>
      <c r="C10" t="s">
        <v>24</v>
      </c>
      <c r="D10" s="4" t="s">
        <v>25</v>
      </c>
      <c r="E10">
        <v>15</v>
      </c>
      <c r="F10" t="s">
        <v>26</v>
      </c>
      <c r="G10" s="3">
        <v>540</v>
      </c>
      <c r="H10" s="3">
        <v>15</v>
      </c>
      <c r="I10" s="5">
        <v>8100</v>
      </c>
      <c r="J10" t="s">
        <v>27</v>
      </c>
      <c r="K10" s="3"/>
      <c r="L10" s="3"/>
      <c r="M10" s="5"/>
      <c r="O10" s="3"/>
      <c r="P10" s="3"/>
      <c r="Q10" s="5"/>
    </row>
    <row r="11" spans="1:18" ht="45" x14ac:dyDescent="0.25">
      <c r="A11" t="s">
        <v>28</v>
      </c>
      <c r="B11" t="s">
        <v>23</v>
      </c>
      <c r="C11" t="s">
        <v>29</v>
      </c>
      <c r="D11" s="4" t="s">
        <v>30</v>
      </c>
      <c r="E11">
        <v>120</v>
      </c>
      <c r="F11" t="s">
        <v>26</v>
      </c>
      <c r="G11" s="3">
        <v>6885</v>
      </c>
      <c r="H11" s="3">
        <v>120</v>
      </c>
      <c r="I11" s="5">
        <v>826200</v>
      </c>
      <c r="J11" t="s">
        <v>31</v>
      </c>
      <c r="K11" s="3">
        <v>6000</v>
      </c>
      <c r="L11" s="3">
        <v>120</v>
      </c>
      <c r="M11" s="5">
        <v>720000</v>
      </c>
      <c r="N11" s="4" t="s">
        <v>32</v>
      </c>
      <c r="O11" s="3">
        <v>7990</v>
      </c>
      <c r="P11" s="3">
        <v>120</v>
      </c>
      <c r="Q11" s="5">
        <v>958800</v>
      </c>
      <c r="R11" s="4" t="s">
        <v>33</v>
      </c>
    </row>
    <row r="12" spans="1:18" ht="30" x14ac:dyDescent="0.25">
      <c r="A12" t="s">
        <v>34</v>
      </c>
      <c r="B12" t="s">
        <v>23</v>
      </c>
      <c r="C12" t="s">
        <v>35</v>
      </c>
      <c r="D12" s="4" t="s">
        <v>36</v>
      </c>
      <c r="E12">
        <v>1000</v>
      </c>
      <c r="F12" t="s">
        <v>26</v>
      </c>
      <c r="G12" s="3">
        <v>690</v>
      </c>
      <c r="H12" s="3">
        <v>1000</v>
      </c>
      <c r="I12" s="5">
        <v>690000</v>
      </c>
      <c r="J12" t="s">
        <v>37</v>
      </c>
      <c r="K12" s="3"/>
      <c r="L12" s="3"/>
      <c r="M12" s="5"/>
      <c r="O12" s="3">
        <v>825</v>
      </c>
      <c r="P12" s="3">
        <v>1000</v>
      </c>
      <c r="Q12" s="5">
        <v>825000</v>
      </c>
      <c r="R12" s="4" t="s">
        <v>36</v>
      </c>
    </row>
    <row r="13" spans="1:18" ht="30" x14ac:dyDescent="0.25">
      <c r="A13" t="s">
        <v>38</v>
      </c>
      <c r="B13" t="s">
        <v>23</v>
      </c>
      <c r="C13" t="s">
        <v>39</v>
      </c>
      <c r="D13" s="4" t="s">
        <v>40</v>
      </c>
      <c r="E13">
        <v>300</v>
      </c>
      <c r="F13" t="s">
        <v>26</v>
      </c>
      <c r="G13" s="3">
        <v>1785</v>
      </c>
      <c r="H13" s="3">
        <v>300</v>
      </c>
      <c r="I13" s="5">
        <v>535500</v>
      </c>
      <c r="J13" s="4" t="s">
        <v>41</v>
      </c>
      <c r="K13" s="3">
        <v>1500</v>
      </c>
      <c r="L13" s="3">
        <v>300</v>
      </c>
      <c r="M13" s="5">
        <v>450000</v>
      </c>
      <c r="N13" s="4" t="s">
        <v>42</v>
      </c>
      <c r="O13" s="3">
        <v>2100</v>
      </c>
      <c r="P13" s="3">
        <v>300</v>
      </c>
      <c r="Q13" s="5">
        <v>630000</v>
      </c>
      <c r="R13" s="4" t="s">
        <v>40</v>
      </c>
    </row>
    <row r="14" spans="1:18" ht="45" x14ac:dyDescent="0.25">
      <c r="A14" t="s">
        <v>43</v>
      </c>
      <c r="B14" t="s">
        <v>23</v>
      </c>
      <c r="C14" t="s">
        <v>44</v>
      </c>
      <c r="D14" s="4" t="s">
        <v>45</v>
      </c>
      <c r="E14">
        <v>300</v>
      </c>
      <c r="F14" t="s">
        <v>26</v>
      </c>
      <c r="G14" s="3"/>
      <c r="H14" s="3"/>
      <c r="I14" s="5"/>
      <c r="K14" s="3"/>
      <c r="L14" s="3"/>
      <c r="M14" s="5"/>
      <c r="O14" s="3"/>
      <c r="P14" s="3"/>
      <c r="Q14" s="5"/>
    </row>
    <row r="15" spans="1:18" x14ac:dyDescent="0.25">
      <c r="A15" t="s">
        <v>46</v>
      </c>
      <c r="B15" t="s">
        <v>23</v>
      </c>
      <c r="C15" t="s">
        <v>47</v>
      </c>
      <c r="D15" t="s">
        <v>48</v>
      </c>
      <c r="E15">
        <v>2000</v>
      </c>
      <c r="F15" t="s">
        <v>26</v>
      </c>
      <c r="G15" s="3">
        <v>200</v>
      </c>
      <c r="H15" s="3">
        <v>2000</v>
      </c>
      <c r="I15" s="5">
        <v>400000</v>
      </c>
      <c r="J15" t="s">
        <v>49</v>
      </c>
      <c r="K15" s="3"/>
      <c r="L15" s="3"/>
      <c r="M15" s="5"/>
      <c r="O15" s="3"/>
      <c r="P15" s="3"/>
      <c r="Q15" s="5"/>
    </row>
    <row r="16" spans="1:18" x14ac:dyDescent="0.25">
      <c r="A16" t="s">
        <v>50</v>
      </c>
      <c r="B16" t="s">
        <v>23</v>
      </c>
      <c r="C16" t="s">
        <v>51</v>
      </c>
      <c r="D16" t="s">
        <v>52</v>
      </c>
      <c r="E16">
        <v>4500</v>
      </c>
      <c r="F16" t="s">
        <v>26</v>
      </c>
      <c r="G16" s="3">
        <v>18</v>
      </c>
      <c r="H16" s="3">
        <v>4500</v>
      </c>
      <c r="I16" s="5">
        <v>81000</v>
      </c>
      <c r="J16" t="s">
        <v>53</v>
      </c>
      <c r="K16" s="3"/>
      <c r="L16" s="3"/>
      <c r="M16" s="5"/>
      <c r="O16" s="3"/>
      <c r="P16" s="3"/>
      <c r="Q16" s="5"/>
    </row>
    <row r="17" spans="1:18" x14ac:dyDescent="0.25">
      <c r="A17" t="s">
        <v>54</v>
      </c>
      <c r="B17" t="s">
        <v>23</v>
      </c>
      <c r="C17" t="s">
        <v>55</v>
      </c>
      <c r="D17" t="s">
        <v>56</v>
      </c>
      <c r="E17">
        <v>5400</v>
      </c>
      <c r="F17" t="s">
        <v>26</v>
      </c>
      <c r="G17" s="3">
        <v>18</v>
      </c>
      <c r="H17" s="3">
        <v>5400</v>
      </c>
      <c r="I17" s="5">
        <v>97200</v>
      </c>
      <c r="J17" t="s">
        <v>57</v>
      </c>
      <c r="K17" s="3"/>
      <c r="L17" s="3"/>
      <c r="M17" s="5"/>
      <c r="O17" s="3"/>
      <c r="P17" s="3"/>
      <c r="Q17" s="5"/>
    </row>
    <row r="18" spans="1:18" x14ac:dyDescent="0.25">
      <c r="A18" t="s">
        <v>58</v>
      </c>
      <c r="B18" t="s">
        <v>23</v>
      </c>
      <c r="C18" t="s">
        <v>59</v>
      </c>
      <c r="D18" t="s">
        <v>60</v>
      </c>
      <c r="E18">
        <v>40</v>
      </c>
      <c r="F18" t="s">
        <v>26</v>
      </c>
      <c r="G18" s="3">
        <v>1000</v>
      </c>
      <c r="H18" s="3">
        <v>40</v>
      </c>
      <c r="I18" s="5">
        <v>40000</v>
      </c>
      <c r="J18" t="s">
        <v>61</v>
      </c>
      <c r="K18" s="3"/>
      <c r="L18" s="3"/>
      <c r="M18" s="5"/>
      <c r="O18" s="3"/>
      <c r="P18" s="3"/>
      <c r="Q18" s="5"/>
    </row>
    <row r="19" spans="1:18" x14ac:dyDescent="0.25">
      <c r="A19" t="s">
        <v>62</v>
      </c>
      <c r="B19" t="s">
        <v>23</v>
      </c>
      <c r="C19" t="s">
        <v>63</v>
      </c>
      <c r="D19" t="s">
        <v>64</v>
      </c>
      <c r="E19">
        <v>300</v>
      </c>
      <c r="F19" t="s">
        <v>26</v>
      </c>
      <c r="G19" s="3"/>
      <c r="H19" s="3"/>
      <c r="I19" s="5"/>
      <c r="K19" s="3"/>
      <c r="L19" s="3"/>
      <c r="M19" s="5"/>
      <c r="O19" s="3"/>
      <c r="P19" s="3"/>
      <c r="Q19" s="5"/>
    </row>
    <row r="20" spans="1:18" x14ac:dyDescent="0.25">
      <c r="A20" t="s">
        <v>65</v>
      </c>
      <c r="B20" t="s">
        <v>23</v>
      </c>
      <c r="C20" t="s">
        <v>66</v>
      </c>
      <c r="D20" t="s">
        <v>67</v>
      </c>
      <c r="E20">
        <v>30</v>
      </c>
      <c r="F20" t="s">
        <v>26</v>
      </c>
      <c r="G20" s="3"/>
      <c r="H20" s="3"/>
      <c r="I20" s="5"/>
      <c r="K20" s="3"/>
      <c r="L20" s="3"/>
      <c r="M20" s="5"/>
      <c r="O20" s="3"/>
      <c r="P20" s="3"/>
      <c r="Q20" s="5"/>
    </row>
    <row r="21" spans="1:18" ht="30" x14ac:dyDescent="0.25">
      <c r="A21" t="s">
        <v>68</v>
      </c>
      <c r="B21" t="s">
        <v>23</v>
      </c>
      <c r="C21" t="s">
        <v>69</v>
      </c>
      <c r="D21" s="4" t="s">
        <v>70</v>
      </c>
      <c r="E21">
        <v>500</v>
      </c>
      <c r="F21" t="s">
        <v>26</v>
      </c>
      <c r="G21" s="3"/>
      <c r="H21" s="3"/>
      <c r="I21" s="5"/>
      <c r="K21" s="3"/>
      <c r="L21" s="3"/>
      <c r="M21" s="5"/>
      <c r="O21" s="3"/>
      <c r="P21" s="3"/>
      <c r="Q21" s="5"/>
    </row>
    <row r="22" spans="1:18" ht="45" x14ac:dyDescent="0.25">
      <c r="A22" t="s">
        <v>71</v>
      </c>
      <c r="B22" t="s">
        <v>23</v>
      </c>
      <c r="C22" t="s">
        <v>72</v>
      </c>
      <c r="D22" s="4" t="s">
        <v>73</v>
      </c>
      <c r="E22">
        <v>150</v>
      </c>
      <c r="F22" t="s">
        <v>26</v>
      </c>
      <c r="G22" s="3">
        <v>1950</v>
      </c>
      <c r="H22" s="3">
        <v>150</v>
      </c>
      <c r="I22" s="5">
        <v>292500</v>
      </c>
      <c r="J22" t="s">
        <v>74</v>
      </c>
      <c r="K22" s="3"/>
      <c r="L22" s="3"/>
      <c r="M22" s="5"/>
      <c r="O22" s="3">
        <v>2990</v>
      </c>
      <c r="P22" s="3">
        <v>150</v>
      </c>
      <c r="Q22" s="5">
        <v>448500</v>
      </c>
      <c r="R22" s="4" t="s">
        <v>75</v>
      </c>
    </row>
    <row r="23" spans="1:18" ht="45" x14ac:dyDescent="0.25">
      <c r="A23" t="s">
        <v>76</v>
      </c>
      <c r="B23" t="s">
        <v>23</v>
      </c>
      <c r="C23" t="s">
        <v>77</v>
      </c>
      <c r="D23" s="4" t="s">
        <v>78</v>
      </c>
      <c r="E23">
        <v>150</v>
      </c>
      <c r="F23" t="s">
        <v>26</v>
      </c>
      <c r="G23" s="3">
        <v>1140</v>
      </c>
      <c r="H23" s="3">
        <v>150</v>
      </c>
      <c r="I23" s="5">
        <v>171000</v>
      </c>
      <c r="J23" s="4" t="s">
        <v>79</v>
      </c>
      <c r="K23" s="3"/>
      <c r="L23" s="3"/>
      <c r="M23" s="5"/>
      <c r="O23" s="3">
        <v>1600</v>
      </c>
      <c r="P23" s="3">
        <v>150</v>
      </c>
      <c r="Q23" s="5">
        <v>240000</v>
      </c>
      <c r="R23" s="4" t="s">
        <v>80</v>
      </c>
    </row>
    <row r="24" spans="1:18" ht="30" x14ac:dyDescent="0.25">
      <c r="A24" t="s">
        <v>81</v>
      </c>
      <c r="B24" t="s">
        <v>23</v>
      </c>
      <c r="C24" t="s">
        <v>82</v>
      </c>
      <c r="D24" s="4" t="s">
        <v>83</v>
      </c>
      <c r="E24">
        <v>150</v>
      </c>
      <c r="F24" t="s">
        <v>26</v>
      </c>
      <c r="G24" s="3">
        <v>935</v>
      </c>
      <c r="H24" s="3">
        <v>150</v>
      </c>
      <c r="I24" s="5">
        <v>140250</v>
      </c>
      <c r="J24" t="s">
        <v>84</v>
      </c>
      <c r="K24" s="3"/>
      <c r="L24" s="3"/>
      <c r="M24" s="5"/>
      <c r="O24" s="3">
        <v>1400</v>
      </c>
      <c r="P24" s="3">
        <v>150</v>
      </c>
      <c r="Q24" s="5">
        <v>210000</v>
      </c>
      <c r="R24" s="4" t="s">
        <v>83</v>
      </c>
    </row>
    <row r="25" spans="1:18" ht="30" x14ac:dyDescent="0.25">
      <c r="A25" t="s">
        <v>85</v>
      </c>
      <c r="B25" t="s">
        <v>23</v>
      </c>
      <c r="C25" t="s">
        <v>86</v>
      </c>
      <c r="D25" s="4" t="s">
        <v>87</v>
      </c>
      <c r="E25">
        <v>300</v>
      </c>
      <c r="F25" t="s">
        <v>26</v>
      </c>
      <c r="G25" s="3"/>
      <c r="H25" s="3"/>
      <c r="I25" s="5"/>
      <c r="K25" s="3"/>
      <c r="L25" s="3"/>
      <c r="M25" s="5"/>
      <c r="O25" s="3"/>
      <c r="P25" s="3"/>
      <c r="Q25" s="5"/>
    </row>
    <row r="26" spans="1:18" ht="60" x14ac:dyDescent="0.25">
      <c r="A26" t="s">
        <v>88</v>
      </c>
      <c r="B26" t="s">
        <v>23</v>
      </c>
      <c r="C26" t="s">
        <v>89</v>
      </c>
      <c r="D26" s="4" t="s">
        <v>90</v>
      </c>
      <c r="E26">
        <v>150</v>
      </c>
      <c r="F26" t="s">
        <v>26</v>
      </c>
      <c r="G26" s="3">
        <v>3900</v>
      </c>
      <c r="H26" s="3">
        <v>150</v>
      </c>
      <c r="I26" s="5">
        <v>585000</v>
      </c>
      <c r="J26" s="4" t="s">
        <v>91</v>
      </c>
      <c r="K26" s="3"/>
      <c r="L26" s="3"/>
      <c r="M26" s="5"/>
      <c r="O26" s="3">
        <v>4500</v>
      </c>
      <c r="P26" s="3">
        <v>150</v>
      </c>
      <c r="Q26" s="5">
        <v>675000</v>
      </c>
      <c r="R26" s="4" t="s">
        <v>92</v>
      </c>
    </row>
    <row r="27" spans="1:18" ht="30" x14ac:dyDescent="0.25">
      <c r="A27" t="s">
        <v>93</v>
      </c>
      <c r="B27" t="s">
        <v>23</v>
      </c>
      <c r="C27" t="s">
        <v>94</v>
      </c>
      <c r="D27" s="4" t="s">
        <v>95</v>
      </c>
      <c r="E27">
        <v>90</v>
      </c>
      <c r="F27" t="s">
        <v>26</v>
      </c>
      <c r="G27" s="3">
        <v>1150</v>
      </c>
      <c r="H27" s="3">
        <v>90</v>
      </c>
      <c r="I27" s="5">
        <v>103500</v>
      </c>
      <c r="J27" t="s">
        <v>96</v>
      </c>
      <c r="K27" s="3"/>
      <c r="L27" s="3"/>
      <c r="M27" s="5"/>
      <c r="O27" s="3">
        <v>1750</v>
      </c>
      <c r="P27" s="3">
        <v>90</v>
      </c>
      <c r="Q27" s="5">
        <v>157500</v>
      </c>
      <c r="R27" s="4" t="s">
        <v>95</v>
      </c>
    </row>
    <row r="28" spans="1:18" ht="45" x14ac:dyDescent="0.25">
      <c r="A28" t="s">
        <v>97</v>
      </c>
      <c r="B28" t="s">
        <v>23</v>
      </c>
      <c r="C28" t="s">
        <v>98</v>
      </c>
      <c r="D28" s="4" t="s">
        <v>99</v>
      </c>
      <c r="E28">
        <v>30</v>
      </c>
      <c r="F28" t="s">
        <v>26</v>
      </c>
      <c r="G28" s="3"/>
      <c r="H28" s="3"/>
      <c r="I28" s="5"/>
      <c r="K28" s="3"/>
      <c r="L28" s="3"/>
      <c r="M28" s="5"/>
      <c r="O28" s="3">
        <v>6500</v>
      </c>
      <c r="P28" s="3">
        <v>30</v>
      </c>
      <c r="Q28" s="5">
        <v>195000</v>
      </c>
      <c r="R28" s="4" t="s">
        <v>100</v>
      </c>
    </row>
    <row r="29" spans="1:18" ht="30" x14ac:dyDescent="0.25">
      <c r="A29" t="s">
        <v>101</v>
      </c>
      <c r="B29" t="s">
        <v>23</v>
      </c>
      <c r="C29" t="s">
        <v>102</v>
      </c>
      <c r="D29" s="4" t="s">
        <v>103</v>
      </c>
      <c r="E29">
        <v>700</v>
      </c>
      <c r="F29" t="s">
        <v>26</v>
      </c>
      <c r="G29" s="3">
        <v>600</v>
      </c>
      <c r="H29" s="3">
        <v>700</v>
      </c>
      <c r="I29" s="5">
        <v>420000</v>
      </c>
      <c r="J29" t="s">
        <v>104</v>
      </c>
      <c r="K29" s="3"/>
      <c r="L29" s="3"/>
      <c r="M29" s="5"/>
      <c r="O29" s="3"/>
      <c r="P29" s="3"/>
      <c r="Q29" s="5"/>
    </row>
    <row r="30" spans="1:18" ht="30" x14ac:dyDescent="0.25">
      <c r="A30" t="s">
        <v>105</v>
      </c>
      <c r="B30" t="s">
        <v>23</v>
      </c>
      <c r="C30" t="s">
        <v>106</v>
      </c>
      <c r="D30" s="4" t="s">
        <v>107</v>
      </c>
      <c r="E30">
        <v>180</v>
      </c>
      <c r="F30" t="s">
        <v>26</v>
      </c>
      <c r="G30" s="3">
        <v>2050</v>
      </c>
      <c r="H30" s="3">
        <v>180</v>
      </c>
      <c r="I30" s="5">
        <v>369000</v>
      </c>
      <c r="J30" t="s">
        <v>108</v>
      </c>
      <c r="K30" s="3"/>
      <c r="L30" s="3"/>
      <c r="M30" s="5"/>
      <c r="O30" s="3">
        <v>1700</v>
      </c>
      <c r="P30" s="3">
        <v>180</v>
      </c>
      <c r="Q30" s="5">
        <v>306000</v>
      </c>
      <c r="R30" s="4" t="s">
        <v>107</v>
      </c>
    </row>
    <row r="31" spans="1:18" ht="30" x14ac:dyDescent="0.25">
      <c r="A31" t="s">
        <v>109</v>
      </c>
      <c r="B31" t="s">
        <v>23</v>
      </c>
      <c r="C31" t="s">
        <v>110</v>
      </c>
      <c r="D31" s="4" t="s">
        <v>111</v>
      </c>
      <c r="E31">
        <v>600</v>
      </c>
      <c r="F31" t="s">
        <v>26</v>
      </c>
      <c r="G31" s="3">
        <v>1950</v>
      </c>
      <c r="H31" s="3">
        <v>600</v>
      </c>
      <c r="I31" s="5">
        <v>1170000</v>
      </c>
      <c r="J31" s="4" t="s">
        <v>112</v>
      </c>
      <c r="K31" s="3"/>
      <c r="L31" s="3"/>
      <c r="M31" s="5"/>
      <c r="O31" s="3">
        <v>110</v>
      </c>
      <c r="P31" s="3">
        <v>600</v>
      </c>
      <c r="Q31" s="5">
        <v>66000</v>
      </c>
      <c r="R31" s="4" t="s">
        <v>113</v>
      </c>
    </row>
    <row r="32" spans="1:18" ht="30" x14ac:dyDescent="0.25">
      <c r="A32" t="s">
        <v>114</v>
      </c>
      <c r="B32" t="s">
        <v>23</v>
      </c>
      <c r="C32" t="s">
        <v>115</v>
      </c>
      <c r="D32" s="4" t="s">
        <v>116</v>
      </c>
      <c r="E32">
        <v>60</v>
      </c>
      <c r="F32" t="s">
        <v>26</v>
      </c>
      <c r="G32" s="3"/>
      <c r="H32" s="3"/>
      <c r="I32" s="5"/>
      <c r="K32" s="3"/>
      <c r="L32" s="3"/>
      <c r="M32" s="5"/>
      <c r="O32" s="3">
        <v>1050</v>
      </c>
      <c r="P32" s="3">
        <v>60</v>
      </c>
      <c r="Q32" s="5">
        <v>63000</v>
      </c>
      <c r="R32" s="4" t="s">
        <v>116</v>
      </c>
    </row>
    <row r="33" spans="1:18" ht="45" x14ac:dyDescent="0.25">
      <c r="A33" t="s">
        <v>117</v>
      </c>
      <c r="B33" t="s">
        <v>23</v>
      </c>
      <c r="C33" t="s">
        <v>118</v>
      </c>
      <c r="D33" s="4" t="s">
        <v>119</v>
      </c>
      <c r="E33">
        <v>200</v>
      </c>
      <c r="F33" t="s">
        <v>26</v>
      </c>
      <c r="G33" s="3">
        <v>340</v>
      </c>
      <c r="H33" s="3">
        <v>200</v>
      </c>
      <c r="I33" s="5">
        <v>68000</v>
      </c>
      <c r="J33" t="s">
        <v>120</v>
      </c>
      <c r="K33" s="3"/>
      <c r="L33" s="3"/>
      <c r="M33" s="5"/>
      <c r="O33" s="3">
        <v>180</v>
      </c>
      <c r="P33" s="3">
        <v>200</v>
      </c>
      <c r="Q33" s="5">
        <v>36000</v>
      </c>
      <c r="R33" s="4" t="s">
        <v>121</v>
      </c>
    </row>
    <row r="34" spans="1:18" ht="30" x14ac:dyDescent="0.25">
      <c r="A34" t="s">
        <v>122</v>
      </c>
      <c r="B34" t="s">
        <v>23</v>
      </c>
      <c r="C34" t="s">
        <v>123</v>
      </c>
      <c r="D34" s="4" t="s">
        <v>124</v>
      </c>
      <c r="E34">
        <v>5</v>
      </c>
      <c r="F34" t="s">
        <v>26</v>
      </c>
      <c r="G34" s="3"/>
      <c r="H34" s="3"/>
      <c r="I34" s="5"/>
      <c r="K34" s="3"/>
      <c r="L34" s="3"/>
      <c r="M34" s="5"/>
      <c r="O34" s="3"/>
      <c r="P34" s="3"/>
      <c r="Q34" s="5"/>
    </row>
    <row r="35" spans="1:18" ht="30" x14ac:dyDescent="0.25">
      <c r="A35" t="s">
        <v>125</v>
      </c>
      <c r="B35" t="s">
        <v>23</v>
      </c>
      <c r="C35" t="s">
        <v>126</v>
      </c>
      <c r="D35" s="4" t="s">
        <v>127</v>
      </c>
      <c r="E35">
        <v>120</v>
      </c>
      <c r="F35" t="s">
        <v>26</v>
      </c>
      <c r="G35" s="3">
        <v>3050</v>
      </c>
      <c r="H35" s="3">
        <v>120</v>
      </c>
      <c r="I35" s="5">
        <v>366000</v>
      </c>
      <c r="J35" s="4" t="s">
        <v>128</v>
      </c>
      <c r="K35" s="3"/>
      <c r="L35" s="3"/>
      <c r="M35" s="5"/>
      <c r="O35" s="3">
        <v>4400</v>
      </c>
      <c r="P35" s="3">
        <v>120</v>
      </c>
      <c r="Q35" s="5">
        <v>528000</v>
      </c>
      <c r="R35" s="4" t="s">
        <v>129</v>
      </c>
    </row>
    <row r="36" spans="1:18" ht="30" x14ac:dyDescent="0.25">
      <c r="A36" t="s">
        <v>130</v>
      </c>
      <c r="B36" t="s">
        <v>23</v>
      </c>
      <c r="C36" t="s">
        <v>131</v>
      </c>
      <c r="D36" s="4" t="s">
        <v>132</v>
      </c>
      <c r="E36">
        <v>120</v>
      </c>
      <c r="F36" t="s">
        <v>26</v>
      </c>
      <c r="G36" s="3">
        <v>3250</v>
      </c>
      <c r="H36" s="3">
        <v>120</v>
      </c>
      <c r="I36" s="5">
        <v>390000</v>
      </c>
      <c r="J36" t="s">
        <v>133</v>
      </c>
      <c r="K36" s="3"/>
      <c r="L36" s="3"/>
      <c r="M36" s="5"/>
      <c r="O36" s="3">
        <v>5600</v>
      </c>
      <c r="P36" s="3">
        <v>120</v>
      </c>
      <c r="Q36" s="5">
        <v>672000</v>
      </c>
      <c r="R36" s="4" t="s">
        <v>132</v>
      </c>
    </row>
    <row r="37" spans="1:18" ht="30" x14ac:dyDescent="0.25">
      <c r="A37" t="s">
        <v>134</v>
      </c>
      <c r="B37" t="s">
        <v>23</v>
      </c>
      <c r="C37" t="s">
        <v>135</v>
      </c>
      <c r="D37" s="4" t="s">
        <v>136</v>
      </c>
      <c r="E37">
        <v>90</v>
      </c>
      <c r="F37" t="s">
        <v>26</v>
      </c>
      <c r="G37" s="3">
        <v>1190</v>
      </c>
      <c r="H37" s="3">
        <v>90</v>
      </c>
      <c r="I37" s="5">
        <v>107100</v>
      </c>
      <c r="J37" s="4" t="s">
        <v>137</v>
      </c>
      <c r="K37" s="3"/>
      <c r="L37" s="3"/>
      <c r="M37" s="5"/>
      <c r="O37" s="3">
        <v>1800</v>
      </c>
      <c r="P37" s="3">
        <v>90</v>
      </c>
      <c r="Q37" s="5">
        <v>162000</v>
      </c>
      <c r="R37" s="4" t="s">
        <v>136</v>
      </c>
    </row>
    <row r="38" spans="1:18" ht="30" x14ac:dyDescent="0.25">
      <c r="A38" t="s">
        <v>138</v>
      </c>
      <c r="B38" t="s">
        <v>23</v>
      </c>
      <c r="C38" t="s">
        <v>139</v>
      </c>
      <c r="D38" s="4" t="s">
        <v>140</v>
      </c>
      <c r="E38">
        <v>90</v>
      </c>
      <c r="F38" t="s">
        <v>26</v>
      </c>
      <c r="G38" s="3">
        <v>3050</v>
      </c>
      <c r="H38" s="3">
        <v>90</v>
      </c>
      <c r="I38" s="5">
        <v>274500</v>
      </c>
      <c r="J38" t="s">
        <v>141</v>
      </c>
      <c r="K38" s="3"/>
      <c r="L38" s="3"/>
      <c r="M38" s="5"/>
      <c r="O38" s="3">
        <v>4400</v>
      </c>
      <c r="P38" s="3">
        <v>90</v>
      </c>
      <c r="Q38" s="5">
        <v>396000</v>
      </c>
      <c r="R38" s="4" t="s">
        <v>140</v>
      </c>
    </row>
    <row r="39" spans="1:18" ht="30" x14ac:dyDescent="0.25">
      <c r="A39" t="s">
        <v>142</v>
      </c>
      <c r="B39" t="s">
        <v>23</v>
      </c>
      <c r="C39" t="s">
        <v>143</v>
      </c>
      <c r="D39" s="4" t="s">
        <v>144</v>
      </c>
      <c r="E39">
        <v>60</v>
      </c>
      <c r="F39" t="s">
        <v>26</v>
      </c>
      <c r="G39" s="3">
        <v>1100</v>
      </c>
      <c r="H39" s="3">
        <v>60</v>
      </c>
      <c r="I39" s="5">
        <v>66000</v>
      </c>
      <c r="J39" t="s">
        <v>145</v>
      </c>
      <c r="K39" s="3"/>
      <c r="L39" s="3"/>
      <c r="M39" s="5"/>
      <c r="O39" s="3">
        <v>1200</v>
      </c>
      <c r="P39" s="3">
        <v>60</v>
      </c>
      <c r="Q39" s="5">
        <v>72000</v>
      </c>
      <c r="R39" s="4" t="s">
        <v>144</v>
      </c>
    </row>
    <row r="40" spans="1:18" ht="30" x14ac:dyDescent="0.25">
      <c r="A40" t="s">
        <v>146</v>
      </c>
      <c r="B40" t="s">
        <v>23</v>
      </c>
      <c r="C40" t="s">
        <v>147</v>
      </c>
      <c r="D40" t="s">
        <v>148</v>
      </c>
      <c r="E40">
        <v>700</v>
      </c>
      <c r="F40" t="s">
        <v>26</v>
      </c>
      <c r="G40" s="3">
        <v>1750</v>
      </c>
      <c r="H40" s="3">
        <v>700</v>
      </c>
      <c r="I40" s="5">
        <v>1225000</v>
      </c>
      <c r="J40" s="4" t="s">
        <v>149</v>
      </c>
      <c r="K40" s="3">
        <v>1350</v>
      </c>
      <c r="L40" s="3">
        <v>700</v>
      </c>
      <c r="M40" s="5">
        <v>945000</v>
      </c>
      <c r="N40" t="s">
        <v>150</v>
      </c>
      <c r="O40" s="3">
        <v>1390</v>
      </c>
      <c r="P40" s="3">
        <v>700</v>
      </c>
      <c r="Q40" s="5">
        <v>973000</v>
      </c>
      <c r="R40" t="s">
        <v>151</v>
      </c>
    </row>
    <row r="41" spans="1:18" ht="30" x14ac:dyDescent="0.25">
      <c r="A41" t="s">
        <v>152</v>
      </c>
      <c r="B41" t="s">
        <v>23</v>
      </c>
      <c r="C41" t="s">
        <v>153</v>
      </c>
      <c r="D41" t="s">
        <v>154</v>
      </c>
      <c r="E41">
        <v>300</v>
      </c>
      <c r="F41" t="s">
        <v>26</v>
      </c>
      <c r="G41" s="3">
        <v>1750</v>
      </c>
      <c r="H41" s="3">
        <v>300</v>
      </c>
      <c r="I41" s="5">
        <v>525000</v>
      </c>
      <c r="J41" s="4" t="s">
        <v>155</v>
      </c>
      <c r="K41" s="3"/>
      <c r="L41" s="3"/>
      <c r="M41" s="5"/>
      <c r="O41" s="3">
        <v>1390</v>
      </c>
      <c r="P41" s="3">
        <v>300</v>
      </c>
      <c r="Q41" s="5">
        <v>417000</v>
      </c>
      <c r="R41" t="s">
        <v>156</v>
      </c>
    </row>
    <row r="42" spans="1:18" ht="30" x14ac:dyDescent="0.25">
      <c r="A42" t="s">
        <v>157</v>
      </c>
      <c r="B42" t="s">
        <v>23</v>
      </c>
      <c r="C42" t="s">
        <v>158</v>
      </c>
      <c r="D42" t="s">
        <v>159</v>
      </c>
      <c r="E42">
        <v>800</v>
      </c>
      <c r="F42" t="s">
        <v>26</v>
      </c>
      <c r="G42" s="3">
        <v>1050</v>
      </c>
      <c r="H42" s="3">
        <v>800</v>
      </c>
      <c r="I42" s="5">
        <v>840000</v>
      </c>
      <c r="J42" t="s">
        <v>160</v>
      </c>
      <c r="K42" s="3">
        <v>1050</v>
      </c>
      <c r="L42" s="3">
        <v>800</v>
      </c>
      <c r="M42" s="5">
        <v>840000</v>
      </c>
      <c r="N42" t="s">
        <v>161</v>
      </c>
      <c r="O42" s="3">
        <v>990</v>
      </c>
      <c r="P42" s="3">
        <v>800</v>
      </c>
      <c r="Q42" s="5">
        <v>792000</v>
      </c>
      <c r="R42" s="4" t="s">
        <v>162</v>
      </c>
    </row>
    <row r="43" spans="1:18" ht="30" x14ac:dyDescent="0.25">
      <c r="A43" t="s">
        <v>163</v>
      </c>
      <c r="B43" t="s">
        <v>23</v>
      </c>
      <c r="C43" t="s">
        <v>164</v>
      </c>
      <c r="D43" t="s">
        <v>165</v>
      </c>
      <c r="E43">
        <v>100</v>
      </c>
      <c r="F43" t="s">
        <v>26</v>
      </c>
      <c r="G43" s="3">
        <v>1050</v>
      </c>
      <c r="H43" s="3">
        <v>100</v>
      </c>
      <c r="I43" s="5">
        <v>105000</v>
      </c>
      <c r="J43" s="4" t="s">
        <v>166</v>
      </c>
      <c r="K43" s="3">
        <v>1200</v>
      </c>
      <c r="L43" s="3">
        <v>100</v>
      </c>
      <c r="M43" s="5">
        <v>120000</v>
      </c>
      <c r="N43" t="s">
        <v>167</v>
      </c>
      <c r="O43" s="3">
        <v>945</v>
      </c>
      <c r="P43" s="3">
        <v>100</v>
      </c>
      <c r="Q43" s="5">
        <v>94500</v>
      </c>
      <c r="R43" s="4" t="s">
        <v>168</v>
      </c>
    </row>
    <row r="44" spans="1:18" ht="30" x14ac:dyDescent="0.25">
      <c r="A44" t="s">
        <v>169</v>
      </c>
      <c r="B44" t="s">
        <v>23</v>
      </c>
      <c r="C44" t="s">
        <v>170</v>
      </c>
      <c r="D44" t="s">
        <v>171</v>
      </c>
      <c r="E44">
        <v>100</v>
      </c>
      <c r="F44" t="s">
        <v>26</v>
      </c>
      <c r="G44" s="3">
        <v>999</v>
      </c>
      <c r="H44" s="3">
        <v>100</v>
      </c>
      <c r="I44" s="5">
        <v>99900</v>
      </c>
      <c r="J44" s="4" t="s">
        <v>172</v>
      </c>
      <c r="K44" s="3">
        <v>1000</v>
      </c>
      <c r="L44" s="3">
        <v>100</v>
      </c>
      <c r="M44" s="5">
        <v>100000</v>
      </c>
      <c r="N44" t="s">
        <v>150</v>
      </c>
      <c r="O44" s="3">
        <v>945</v>
      </c>
      <c r="P44" s="3">
        <v>100</v>
      </c>
      <c r="Q44" s="5">
        <v>94500</v>
      </c>
      <c r="R44" t="s">
        <v>173</v>
      </c>
    </row>
    <row r="45" spans="1:18" ht="45" x14ac:dyDescent="0.25">
      <c r="A45" t="s">
        <v>174</v>
      </c>
      <c r="B45" t="s">
        <v>23</v>
      </c>
      <c r="C45" t="s">
        <v>175</v>
      </c>
      <c r="D45" s="4" t="s">
        <v>176</v>
      </c>
      <c r="E45">
        <v>200</v>
      </c>
      <c r="F45" t="s">
        <v>26</v>
      </c>
      <c r="G45" s="3">
        <v>2950</v>
      </c>
      <c r="H45" s="3">
        <v>200</v>
      </c>
      <c r="I45" s="5">
        <v>590000</v>
      </c>
      <c r="J45" t="s">
        <v>177</v>
      </c>
      <c r="K45" s="3"/>
      <c r="L45" s="3"/>
      <c r="M45" s="5"/>
      <c r="O45" s="3">
        <v>3160</v>
      </c>
      <c r="P45" s="3">
        <v>200</v>
      </c>
      <c r="Q45" s="5">
        <v>632000</v>
      </c>
      <c r="R45" s="4" t="s">
        <v>178</v>
      </c>
    </row>
    <row r="46" spans="1:18" ht="45" x14ac:dyDescent="0.25">
      <c r="A46" t="s">
        <v>179</v>
      </c>
      <c r="B46" t="s">
        <v>23</v>
      </c>
      <c r="C46" t="s">
        <v>180</v>
      </c>
      <c r="D46" s="4" t="s">
        <v>181</v>
      </c>
      <c r="E46">
        <v>120</v>
      </c>
      <c r="F46" t="s">
        <v>26</v>
      </c>
      <c r="G46" s="3">
        <v>1110</v>
      </c>
      <c r="H46" s="3">
        <v>120</v>
      </c>
      <c r="I46" s="5">
        <v>133200</v>
      </c>
      <c r="J46" t="s">
        <v>182</v>
      </c>
      <c r="K46" s="3"/>
      <c r="L46" s="3"/>
      <c r="M46" s="5"/>
      <c r="O46" s="3">
        <v>1100</v>
      </c>
      <c r="P46" s="3">
        <v>120</v>
      </c>
      <c r="Q46" s="5">
        <v>132000</v>
      </c>
      <c r="R46" s="4" t="s">
        <v>183</v>
      </c>
    </row>
    <row r="47" spans="1:18" ht="45" x14ac:dyDescent="0.25">
      <c r="A47" t="s">
        <v>184</v>
      </c>
      <c r="B47" t="s">
        <v>23</v>
      </c>
      <c r="C47" t="s">
        <v>185</v>
      </c>
      <c r="D47" s="4" t="s">
        <v>186</v>
      </c>
      <c r="E47">
        <v>100</v>
      </c>
      <c r="F47" t="s">
        <v>26</v>
      </c>
      <c r="G47" s="3">
        <v>4875</v>
      </c>
      <c r="H47" s="3">
        <v>100</v>
      </c>
      <c r="I47" s="5">
        <v>487500</v>
      </c>
      <c r="J47" t="s">
        <v>187</v>
      </c>
      <c r="K47" s="3"/>
      <c r="L47" s="3"/>
      <c r="M47" s="5"/>
      <c r="O47" s="3">
        <v>4770</v>
      </c>
      <c r="P47" s="3">
        <v>100</v>
      </c>
      <c r="Q47" s="5">
        <v>477000</v>
      </c>
      <c r="R47" s="4" t="s">
        <v>188</v>
      </c>
    </row>
    <row r="48" spans="1:18" ht="30" x14ac:dyDescent="0.25">
      <c r="A48" t="s">
        <v>189</v>
      </c>
      <c r="B48" t="s">
        <v>23</v>
      </c>
      <c r="C48" t="s">
        <v>190</v>
      </c>
      <c r="D48" t="s">
        <v>191</v>
      </c>
      <c r="E48">
        <v>100</v>
      </c>
      <c r="F48" t="s">
        <v>26</v>
      </c>
      <c r="G48" s="3">
        <v>1165</v>
      </c>
      <c r="H48" s="3">
        <v>100</v>
      </c>
      <c r="I48" s="5">
        <v>116500</v>
      </c>
      <c r="J48" t="s">
        <v>192</v>
      </c>
      <c r="K48" s="3"/>
      <c r="L48" s="3"/>
      <c r="M48" s="5"/>
      <c r="O48" s="3">
        <v>1100</v>
      </c>
      <c r="P48" s="3">
        <v>100</v>
      </c>
      <c r="Q48" s="5">
        <v>110000</v>
      </c>
      <c r="R48" s="4" t="s">
        <v>193</v>
      </c>
    </row>
    <row r="49" spans="1:18" x14ac:dyDescent="0.25">
      <c r="A49" t="s">
        <v>194</v>
      </c>
      <c r="B49" t="s">
        <v>23</v>
      </c>
      <c r="C49" t="s">
        <v>195</v>
      </c>
      <c r="D49" t="s">
        <v>196</v>
      </c>
      <c r="E49">
        <v>30</v>
      </c>
      <c r="F49" t="s">
        <v>26</v>
      </c>
      <c r="G49" s="3"/>
      <c r="H49" s="3"/>
      <c r="I49" s="5"/>
      <c r="K49" s="3"/>
      <c r="L49" s="3"/>
      <c r="M49" s="5"/>
      <c r="O49" s="3"/>
      <c r="P49" s="3"/>
      <c r="Q49" s="5"/>
    </row>
    <row r="50" spans="1:18" ht="30" x14ac:dyDescent="0.25">
      <c r="A50" t="s">
        <v>197</v>
      </c>
      <c r="B50" t="s">
        <v>23</v>
      </c>
      <c r="C50" t="s">
        <v>198</v>
      </c>
      <c r="D50" s="4" t="s">
        <v>199</v>
      </c>
      <c r="E50">
        <v>500</v>
      </c>
      <c r="F50" t="s">
        <v>26</v>
      </c>
      <c r="G50" s="3">
        <v>122.5</v>
      </c>
      <c r="H50" s="3">
        <v>500</v>
      </c>
      <c r="I50" s="5">
        <v>61250</v>
      </c>
      <c r="J50" s="4" t="s">
        <v>200</v>
      </c>
      <c r="K50" s="3"/>
      <c r="L50" s="3"/>
      <c r="M50" s="5"/>
      <c r="O50" s="3">
        <v>450</v>
      </c>
      <c r="P50" s="3">
        <v>500</v>
      </c>
      <c r="Q50" s="5">
        <v>225000</v>
      </c>
      <c r="R50" s="4" t="s">
        <v>201</v>
      </c>
    </row>
    <row r="51" spans="1:18" ht="30" x14ac:dyDescent="0.25">
      <c r="A51" t="s">
        <v>202</v>
      </c>
      <c r="B51" t="s">
        <v>23</v>
      </c>
      <c r="C51" t="s">
        <v>203</v>
      </c>
      <c r="D51" t="s">
        <v>204</v>
      </c>
      <c r="E51">
        <v>400</v>
      </c>
      <c r="F51" t="s">
        <v>26</v>
      </c>
      <c r="G51" s="3">
        <v>97</v>
      </c>
      <c r="H51" s="3">
        <v>400</v>
      </c>
      <c r="I51" s="5">
        <v>38800</v>
      </c>
      <c r="J51" t="s">
        <v>205</v>
      </c>
      <c r="K51" s="3"/>
      <c r="L51" s="3"/>
      <c r="M51" s="5"/>
      <c r="O51" s="3">
        <v>169</v>
      </c>
      <c r="P51" s="3">
        <v>400</v>
      </c>
      <c r="Q51" s="5">
        <v>67600</v>
      </c>
      <c r="R51" s="4" t="s">
        <v>206</v>
      </c>
    </row>
    <row r="52" spans="1:18" ht="30" x14ac:dyDescent="0.25">
      <c r="A52" t="s">
        <v>207</v>
      </c>
      <c r="B52" t="s">
        <v>23</v>
      </c>
      <c r="C52" t="s">
        <v>208</v>
      </c>
      <c r="D52" t="s">
        <v>209</v>
      </c>
      <c r="E52">
        <v>300</v>
      </c>
      <c r="F52" t="s">
        <v>26</v>
      </c>
      <c r="G52" s="3">
        <v>75</v>
      </c>
      <c r="H52" s="3">
        <v>300</v>
      </c>
      <c r="I52" s="5">
        <v>22500</v>
      </c>
      <c r="J52" t="s">
        <v>210</v>
      </c>
      <c r="K52" s="3"/>
      <c r="L52" s="3"/>
      <c r="M52" s="5"/>
      <c r="O52" s="3">
        <v>139</v>
      </c>
      <c r="P52" s="3">
        <v>300</v>
      </c>
      <c r="Q52" s="5">
        <v>41700</v>
      </c>
      <c r="R52" s="4" t="s">
        <v>211</v>
      </c>
    </row>
    <row r="53" spans="1:18" ht="45" x14ac:dyDescent="0.25">
      <c r="A53" t="s">
        <v>212</v>
      </c>
      <c r="B53" t="s">
        <v>23</v>
      </c>
      <c r="C53" t="s">
        <v>213</v>
      </c>
      <c r="D53" s="4" t="s">
        <v>214</v>
      </c>
      <c r="E53">
        <v>1000</v>
      </c>
      <c r="F53" t="s">
        <v>26</v>
      </c>
      <c r="G53" s="3">
        <v>125</v>
      </c>
      <c r="H53" s="3">
        <v>1000</v>
      </c>
      <c r="I53" s="5">
        <v>125000</v>
      </c>
      <c r="J53" s="4" t="s">
        <v>215</v>
      </c>
      <c r="K53" s="3"/>
      <c r="L53" s="3"/>
      <c r="M53" s="5"/>
      <c r="O53" s="3">
        <v>75</v>
      </c>
      <c r="P53" s="3">
        <v>1000</v>
      </c>
      <c r="Q53" s="5">
        <v>75000</v>
      </c>
      <c r="R53" s="4" t="s">
        <v>216</v>
      </c>
    </row>
    <row r="54" spans="1:18" x14ac:dyDescent="0.25">
      <c r="C54" t="s">
        <v>217</v>
      </c>
      <c r="D54" s="4"/>
      <c r="G54" s="3"/>
      <c r="H54" s="3"/>
      <c r="I54" s="5">
        <f>SUBTOTAL(109,Table2[Total por renglón])</f>
        <v>11570500</v>
      </c>
      <c r="J54" s="4"/>
      <c r="K54" s="3"/>
      <c r="L54" s="3"/>
      <c r="M54" s="5">
        <f>SUBTOTAL(109,Table3[Total por renglón])</f>
        <v>3175000</v>
      </c>
      <c r="O54" s="3"/>
      <c r="P54" s="3"/>
      <c r="Q54" s="5">
        <f>SUBTOTAL(109,Table4[Total por renglón])</f>
        <v>10772100</v>
      </c>
      <c r="R54" s="4"/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2022-03-02T16:58:45Z</dcterms:created>
  <dcterms:modified xsi:type="dcterms:W3CDTF">2022-05-24T21:12:13Z</dcterms:modified>
</cp:coreProperties>
</file>