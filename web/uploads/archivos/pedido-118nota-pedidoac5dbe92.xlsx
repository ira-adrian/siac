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SUTURAS\mp\"/>
    </mc:Choice>
  </mc:AlternateContent>
  <xr:revisionPtr revIDLastSave="0" documentId="13_ncr:1_{F307EE05-1B4A-480E-B166-A4E82CA5EF7C}" xr6:coauthVersionLast="47" xr6:coauthVersionMax="47" xr10:uidLastSave="{00000000-0000-0000-0000-000000000000}"/>
  <bookViews>
    <workbookView xWindow="7200" yWindow="4215" windowWidth="21600" windowHeight="11385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NotaPedido'!$A$10:$K$34</definedName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K16" i="2" l="1"/>
  <c r="K33" i="2" l="1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31" i="1"/>
  <c r="I30" i="1"/>
  <c r="I29" i="1"/>
  <c r="I28" i="1"/>
  <c r="I27" i="1"/>
  <c r="I26" i="1"/>
  <c r="Q18" i="3" l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7" i="2"/>
  <c r="K18" i="2"/>
  <c r="K19" i="2"/>
  <c r="K20" i="2"/>
  <c r="K21" i="2"/>
  <c r="K23" i="2"/>
  <c r="J34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<sst xmlns="http://schemas.openxmlformats.org/spreadsheetml/2006/main" count="171" uniqueCount="101">
  <si>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</si>
  <si>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</si>
  <si>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</si>
  <si>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</si>
  <si>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</si>
  <si>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</si>
  <si>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</si>
  <si>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</si>
  <si>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</si>
  <si>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</si>
  <si>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</si>
  <si>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</si>
  <si>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</si>
  <si>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</si>
  <si>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</si>
  <si>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</si>
  <si>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</si>
  <si>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</si>
  <si>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</si>
  <si>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</si>
  <si>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</si>
  <si>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</si>
  <si>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</si>
  <si>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</si>
  <si>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</si>
  <si>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</si>
  <si>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</si>
  <si>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</si>
  <si>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</si>
  <si>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</si>
  <si>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</si>
  <si>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</si>
  <si>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</si>
  <si>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</si>
  <si>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</si>
  <si>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</si>
  <si>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</si>
  <si>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</si>
  <si>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</si>
  <si>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</si>
  <si>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</si>
  <si>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</si>
  <si>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</si>
  <si>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</si>
  <si>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</si>
  <si>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</si>
  <si>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</si>
  <si>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</si>
  <si>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</si>
  <si>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</si>
  <si>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</si>
  <si>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</si>
  <si>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</si>
  <si>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</si>
  <si>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</si>
  <si>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</si>
  <si>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</si>
  <si>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</si>
  <si>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</si>
  <si>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</si>
  <si>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</si>
  <si>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</si>
  <si>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</si>
  <si>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</si>
  <si>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</si>
  <si>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</si>
  <si>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</si>
  <si>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20 dias desde la firma del instrumento contractual</t>
  </si>
  <si>
    <t xml:space="preserve">Servicio de Farmacia </t>
  </si>
  <si>
    <t>ANUAL</t>
  </si>
  <si>
    <t xml:space="preserve"> Adquisición de Productos Medicos para SUTURAS</t>
  </si>
  <si>
    <t>Para la adquisición de Adquisición de Productos Medicos para SUTURAS, para ser destinados Servicio de Farmacia, de  la Maternidad Provincial 25 de Mayo.-</t>
  </si>
  <si>
    <t>SUTURAS</t>
  </si>
  <si>
    <t>HILO DE SUTURA CATGUT  CROMICO Nº0 CON AGUJA  CT -1  1/2 CIRC 36.4 mm TIPO ETHICON 812 T  X  UNIDAD</t>
  </si>
  <si>
    <t>HILO DE SUTURA CATGUT CROMICO Nro 1 CON AGUJA CT -1  1/2 CIRC 36.4 mm TIPO ETHICON 813 T X UNIDAD</t>
  </si>
  <si>
    <t>HILO DE SUTURA CATGUT CROMICO Nro 2 CON AGUJA CT   1/2 CIRC 40 mm TIPO ETHICON 916  T X UNIDAD</t>
  </si>
  <si>
    <t>SUTURA QUIRURGICA ACIDO POLIGLICOLICO TRENZADA ABSORBIBLE T/VICRYL N°2-0 J339 H X 1 UNID.</t>
  </si>
  <si>
    <t>SUTURA QUIRURGICA ACIDO POLIGLICOLICO TRENZADA ABSORBIBLE T/VICRYL N°3-0 J 305 H X 1 UNID.</t>
  </si>
  <si>
    <t>SUTURA QUIRURGICA ACIDO POLIGLICOLICO TRENZADA ABSORBIBLE T/VICRYL N°3-0 J338 H X 1 UNID.</t>
  </si>
  <si>
    <t>SUTURA QUIRURGICA ACIDO POLIGLICOLICO TRENZADA ABSORBIBLE T/VICRYL N°4-0 J 304 H X 1 UNID.</t>
  </si>
  <si>
    <t>SUTURA QUIRURGICA ACIDO POLIGLICOLICO TRENZADA ABSORBIBLE T/VICRYL N°5-0 J 303 H X 1 UNID.</t>
  </si>
  <si>
    <t>SUTURA QUIRURGICA ACIDO POLIGLICOLICO TRENZADA ABSORBIBLE T/VICRYL N°6-0 C/A J 302 H X 1 UNID.</t>
  </si>
  <si>
    <t>SUTURA QUIRURGICA POLIPROPILENO NO ABSORBIBLE  2/0  CON AGUJA SC-26 3/08 CIRC 19 mm TIPO PROLENE 8185 T CON UNIDAD</t>
  </si>
  <si>
    <t>SUTURA QUIRURGICA POLIPROPILENO NO ABSORBIBLE  2/0  TIPO PROLENE con aguja recta 8423 T POR UNIDAD</t>
  </si>
  <si>
    <t>SUTURA QUIRURGICA POLIPROPILENO NO ABSORBIBLE  3/0 TIPO PROLENE  8622  H Con aguja recta POR UNIDAD</t>
  </si>
  <si>
    <t>SUTURA QUIRURGICA POLIPROPILENO NO ABSORBIBLE 4/0 TIPO PROLENE  8521 T POR UNIDAD</t>
  </si>
  <si>
    <t>SUTURA QUIRURGICA POLIPROPILENO NO ABSORBIBLE TIPO PROLENE 6/0 P8697 T PLASTICA POR UNIDAD</t>
  </si>
  <si>
    <t>Utiles menores, medicos, quirurgicos y de lab.</t>
  </si>
  <si>
    <t>N°19 /2022</t>
  </si>
  <si>
    <t>"Autorizo la realización de los  trámites correspondientes, a fin de proveer a  este Organismo los bienes y/o servicios que se detallan en Nota  de Pedido N°19 /2022 ,  afectando la erogación resultante a los créditos presupuestarios aprobados a favor de esta Unidad Ejecutora, conforme al siguiente detalle:"</t>
  </si>
  <si>
    <t>HILO DE SUTURA MONOFILAMENTO 4-0 AGUJA PS-1 3/8 CIRC 24 MM X UNIDAD</t>
  </si>
  <si>
    <t>SUTURA QUIRURGICA ACIDO POLIGLICOLICO TRENZADA ABSORBIBLE TIPO VICRYL  1  J 353 H x UNIDAD</t>
  </si>
  <si>
    <t>SUTURA QUIRURGICA ACIDO POLIGLICOLICO TRENZADA ABSORBIBLE TIPO VICRYL 0 J340 H  X UNIDAD</t>
  </si>
  <si>
    <t>SUTURA QUIRURGICA ACIDO POLIGLICOLICO TRENZADA ABSORBIBLE TIPO VICRYL 1 J341  X UNIDAD</t>
  </si>
  <si>
    <t>SUTURA QUIRURGICA POLIPROPILENO NO ABSORBIBLE TIPO PROLENE 0 CT 8424 T X UNIDAD</t>
  </si>
  <si>
    <t>SUTURA QUIRURGICA POLIPROPILENO NO ABSORBIBLE TIPO PROLENE 1 CT   8425 H X UNIDAD</t>
  </si>
  <si>
    <t>SUTURA QUIRURGICA POLIPROPILENO NO ABSORBIBLE  3/0  TIPO PROLENE  8822 T AGUJA CURVA POR UNIDAD</t>
  </si>
  <si>
    <t>SUTURA QUIRURGICA POLIPROPILENO NO ABSORBIBLE TIPO PROLENE 7/0  M 8727 T  POR UNIDAD</t>
  </si>
  <si>
    <t>Especificidades Item N° : 1 A 22</t>
  </si>
  <si>
    <t>Costo total estimado: DOS MILLONES NOVECIENTOS CUARENTA Y CUATRO MIL SEISCIENTOS VEINTE CON 00/100</t>
  </si>
  <si>
    <t>TOTAL DE PESOS: DOS MILLONES NOVECIENTOS CUARENTA Y CUATRO MIL SEISCIENTOS VEINTE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</si>
</sst>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80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1" xfId="0" applyFont="1" applyBorder="1"/>
    <xf numFmtId="0" fontId="20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8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5" xfId="0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9" xfId="0" applyFont="1" applyFill="1" applyBorder="1" applyAlignment="1">
      <alignment vertical="center"/>
    </xf>
    <xf numFmtId="0" fontId="20" fillId="0" borderId="49" xfId="0" applyFont="1" applyFill="1" applyBorder="1" applyAlignment="1"/>
    <xf numFmtId="0" fontId="20" fillId="0" borderId="49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9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9" xfId="0" applyFont="1" applyFill="1" applyBorder="1" applyAlignment="1">
      <alignment horizontal="left" vertical="center" wrapText="1" indent="1"/>
    </xf>
    <xf numFmtId="0" fontId="34" fillId="3" borderId="60" xfId="0" applyFont="1" applyFill="1" applyBorder="1" applyAlignment="1">
      <alignment horizontal="left" vertical="center" wrapText="1" indent="1"/>
    </xf>
    <xf numFmtId="0" fontId="34" fillId="3" borderId="61" xfId="0" applyFont="1" applyFill="1" applyBorder="1" applyAlignment="1">
      <alignment horizontal="left" vertical="center" wrapText="1" indent="1"/>
    </xf>
    <xf numFmtId="166" fontId="37" fillId="3" borderId="43" xfId="0" applyNumberFormat="1" applyFont="1" applyFill="1" applyBorder="1" applyAlignment="1">
      <alignment horizontal="center" vertical="center"/>
    </xf>
    <xf numFmtId="166" fontId="37" fillId="3" borderId="42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  <xf numFmtId="0" fontId="5" fillId="3" borderId="32" xfId="6" applyFont="1" applyFill="1" applyBorder="1" applyAlignment="1">
      <alignment horizontal="center" vertical="center" wrapText="1"/>
    </xf>
    <xf numFmtId="1" fontId="32" fillId="3" borderId="43" xfId="5" applyNumberFormat="1" applyFont="1" applyFill="1" applyBorder="1" applyAlignment="1">
      <alignment horizontal="center" vertical="center" wrapText="1"/>
    </xf>
    <xf numFmtId="168" fontId="0" fillId="3" borderId="3" xfId="0" applyNumberFormat="1" applyFill="1" applyBorder="1" applyAlignment="1">
      <alignment horizontal="center" vertical="center"/>
    </xf>
    <xf numFmtId="165" fontId="19" fillId="3" borderId="0" xfId="4" applyFill="1"/>
    <xf numFmtId="0" fontId="19" fillId="3" borderId="3" xfId="0" applyFont="1" applyFill="1" applyBorder="1" applyAlignment="1">
      <alignment horizontal="center" vertical="center"/>
    </xf>
    <xf numFmtId="0" fontId="3" fillId="3" borderId="3" xfId="7" applyFont="1" applyFill="1" applyBorder="1" applyAlignment="1">
      <alignment horizontal="center" vertical="center" wrapText="1"/>
    </xf>
    <xf numFmtId="0" fontId="6" fillId="3" borderId="3" xfId="7" applyFont="1" applyFill="1" applyBorder="1" applyAlignment="1">
      <alignment horizontal="center" vertical="center" wrapText="1"/>
    </xf>
    <xf numFmtId="0" fontId="20" fillId="3" borderId="0" xfId="0" applyFont="1" applyFill="1"/>
    <xf numFmtId="0" fontId="4" fillId="3" borderId="32" xfId="6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0" fillId="3" borderId="0" xfId="0" applyFill="1"/>
    <xf numFmtId="0" fontId="29" fillId="3" borderId="3" xfId="0" applyFont="1" applyFill="1" applyBorder="1" applyAlignment="1">
      <alignment horizontal="center" vertical="center" wrapText="1"/>
    </xf>
    <xf numFmtId="0" fontId="20" fillId="3" borderId="45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19" fillId="3" borderId="3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8" fillId="3" borderId="43" xfId="7" applyFont="1" applyFill="1" applyBorder="1" applyAlignment="1">
      <alignment horizontal="center" vertical="center" wrapText="1"/>
    </xf>
  </cellXfs>
  <cellStyles count="10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5" xfId="9" xr:uid="{00000000-0005-0000-0000-000009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2"/>
  <sheetViews>
    <sheetView tabSelected="1" zoomScale="80" zoomScaleNormal="80" workbookViewId="0">
      <selection activeCell="O14" sqref="O14"/>
    </sheetView>
  </sheetViews>
  <sheetFormatPr baseColWidth="10" defaultColWidth="11" defaultRowHeight="12.75" x14ac:dyDescent="0.2"/>
  <cols>
    <col min="1" max="1" width="7" style="75" customWidth="1"/>
    <col min="2" max="2" width="16.85546875" style="30" customWidth="1"/>
    <col min="3" max="3" width="25" style="81" customWidth="1"/>
    <col min="4" max="4" width="12.140625" style="30" customWidth="1"/>
    <col min="5" max="5" width="101" style="100" bestFit="1" customWidth="1"/>
    <col min="6" max="6" width="17.85546875" style="30" bestFit="1" customWidth="1"/>
    <col min="7" max="7" width="12.7109375" style="75" customWidth="1"/>
    <col min="8" max="8" width="13.85546875" style="67" customWidth="1"/>
    <col min="9" max="9" width="30" style="79" customWidth="1"/>
    <col min="10" max="16384" width="11" style="18"/>
  </cols>
  <sheetData>
    <row r="2" spans="1:13" ht="27" x14ac:dyDescent="0.35">
      <c r="E2" s="87" t="s">
        <v>0</v>
      </c>
      <c r="F2" s="34"/>
      <c r="G2" s="72"/>
      <c r="I2" s="78"/>
    </row>
    <row r="4" spans="1:13" ht="18" customHeight="1" x14ac:dyDescent="0.25">
      <c r="A4" s="104" t="s">
        <v>1</v>
      </c>
      <c r="B4" s="104"/>
      <c r="C4" s="104"/>
      <c r="D4" s="104"/>
      <c r="E4" s="105" t="s">
        <v>58</v>
      </c>
      <c r="F4" s="105"/>
      <c r="G4" s="105"/>
    </row>
    <row r="5" spans="1:13" ht="18" customHeight="1" x14ac:dyDescent="0.25">
      <c r="A5" s="104" t="s">
        <v>2</v>
      </c>
      <c r="B5" s="104"/>
      <c r="C5" s="104"/>
      <c r="D5" s="104"/>
      <c r="E5" s="105" t="s">
        <v>53</v>
      </c>
      <c r="F5" s="105"/>
      <c r="G5" s="105"/>
    </row>
    <row r="6" spans="1:13" ht="16.5" customHeight="1" x14ac:dyDescent="0.25">
      <c r="A6" s="104" t="s">
        <v>3</v>
      </c>
      <c r="B6" s="104"/>
      <c r="C6" s="104"/>
      <c r="D6" s="104"/>
      <c r="E6" s="88">
        <v>2022</v>
      </c>
      <c r="F6" s="33"/>
      <c r="G6" s="73"/>
    </row>
    <row r="7" spans="1:13" ht="16.5" customHeight="1" x14ac:dyDescent="0.25">
      <c r="A7" s="104" t="s">
        <v>63</v>
      </c>
      <c r="B7" s="104"/>
      <c r="C7" s="104"/>
      <c r="D7" s="104"/>
      <c r="E7" s="88" t="s">
        <v>66</v>
      </c>
      <c r="F7" s="33"/>
      <c r="G7" s="73"/>
    </row>
    <row r="8" spans="1:13" ht="13.5" thickBot="1" x14ac:dyDescent="0.25">
      <c r="E8" s="89"/>
      <c r="F8" s="31"/>
      <c r="G8" s="74"/>
    </row>
    <row r="9" spans="1:13" ht="39" thickBot="1" x14ac:dyDescent="0.25">
      <c r="A9" s="63" t="s">
        <v>4</v>
      </c>
      <c r="B9" s="64" t="s">
        <v>5</v>
      </c>
      <c r="C9" s="64" t="s">
        <v>51</v>
      </c>
      <c r="D9" s="64" t="s">
        <v>52</v>
      </c>
      <c r="E9" s="90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13" s="24" customFormat="1" ht="30" customHeight="1" thickBot="1" x14ac:dyDescent="0.25">
      <c r="A10" s="76">
        <v>1</v>
      </c>
      <c r="B10" s="32"/>
      <c r="C10" s="102" t="s">
        <v>72</v>
      </c>
      <c r="D10" s="163">
        <v>295</v>
      </c>
      <c r="E10" s="32" t="s">
        <v>73</v>
      </c>
      <c r="F10" s="32" t="s">
        <v>11</v>
      </c>
      <c r="G10" s="164">
        <v>300</v>
      </c>
      <c r="H10" s="165">
        <v>345</v>
      </c>
      <c r="I10" s="69">
        <f t="shared" ref="I10:I25" si="0">G10*H10</f>
        <v>103500</v>
      </c>
      <c r="J10" s="166"/>
      <c r="K10" s="166"/>
      <c r="L10" s="166"/>
      <c r="M10" s="166"/>
    </row>
    <row r="11" spans="1:13" s="24" customFormat="1" ht="30" customHeight="1" thickBot="1" x14ac:dyDescent="0.25">
      <c r="A11" s="77">
        <v>2</v>
      </c>
      <c r="B11" s="32"/>
      <c r="C11" s="102" t="s">
        <v>72</v>
      </c>
      <c r="D11" s="163">
        <v>295</v>
      </c>
      <c r="E11" s="167" t="s">
        <v>74</v>
      </c>
      <c r="F11" s="168" t="s">
        <v>11</v>
      </c>
      <c r="G11" s="164">
        <v>500</v>
      </c>
      <c r="H11" s="165">
        <v>345</v>
      </c>
      <c r="I11" s="69">
        <f t="shared" si="0"/>
        <v>172500</v>
      </c>
      <c r="J11" s="166"/>
      <c r="K11" s="166"/>
      <c r="L11" s="166"/>
      <c r="M11" s="166"/>
    </row>
    <row r="12" spans="1:13" ht="30" customHeight="1" thickBot="1" x14ac:dyDescent="0.25">
      <c r="A12" s="76">
        <v>3</v>
      </c>
      <c r="B12" s="32"/>
      <c r="C12" s="102" t="s">
        <v>72</v>
      </c>
      <c r="D12" s="163">
        <v>295</v>
      </c>
      <c r="E12" s="169" t="s">
        <v>75</v>
      </c>
      <c r="F12" s="32" t="s">
        <v>11</v>
      </c>
      <c r="G12" s="164">
        <v>2500</v>
      </c>
      <c r="H12" s="165">
        <v>345</v>
      </c>
      <c r="I12" s="69">
        <f t="shared" si="0"/>
        <v>862500</v>
      </c>
      <c r="J12" s="170"/>
      <c r="K12" s="170"/>
      <c r="L12" s="170"/>
      <c r="M12" s="170"/>
    </row>
    <row r="13" spans="1:13" ht="30" customHeight="1" thickBot="1" x14ac:dyDescent="0.25">
      <c r="A13" s="76">
        <v>4</v>
      </c>
      <c r="B13" s="32"/>
      <c r="C13" s="102" t="s">
        <v>72</v>
      </c>
      <c r="D13" s="163">
        <v>295</v>
      </c>
      <c r="E13" s="169" t="s">
        <v>90</v>
      </c>
      <c r="F13" s="32" t="s">
        <v>11</v>
      </c>
      <c r="G13" s="164">
        <v>50</v>
      </c>
      <c r="H13" s="165">
        <v>240</v>
      </c>
      <c r="I13" s="69">
        <f t="shared" si="0"/>
        <v>12000</v>
      </c>
      <c r="J13" s="170"/>
      <c r="K13" s="170"/>
      <c r="L13" s="170"/>
      <c r="M13" s="170"/>
    </row>
    <row r="14" spans="1:13" ht="30" customHeight="1" thickBot="1" x14ac:dyDescent="0.25">
      <c r="A14" s="76">
        <v>5</v>
      </c>
      <c r="B14" s="32"/>
      <c r="C14" s="102" t="s">
        <v>72</v>
      </c>
      <c r="D14" s="163">
        <v>295</v>
      </c>
      <c r="E14" s="32" t="s">
        <v>76</v>
      </c>
      <c r="F14" s="32" t="s">
        <v>11</v>
      </c>
      <c r="G14" s="164">
        <v>48</v>
      </c>
      <c r="H14" s="165">
        <v>280</v>
      </c>
      <c r="I14" s="69">
        <f t="shared" si="0"/>
        <v>13440</v>
      </c>
      <c r="J14" s="170"/>
      <c r="K14" s="170"/>
      <c r="L14" s="170"/>
      <c r="M14" s="170"/>
    </row>
    <row r="15" spans="1:13" ht="30" customHeight="1" thickBot="1" x14ac:dyDescent="0.25">
      <c r="A15" s="77">
        <v>6</v>
      </c>
      <c r="B15" s="32"/>
      <c r="C15" s="102" t="s">
        <v>72</v>
      </c>
      <c r="D15" s="163">
        <v>295</v>
      </c>
      <c r="E15" s="32" t="s">
        <v>77</v>
      </c>
      <c r="F15" s="32" t="s">
        <v>11</v>
      </c>
      <c r="G15" s="164">
        <v>48</v>
      </c>
      <c r="H15" s="165">
        <v>280</v>
      </c>
      <c r="I15" s="69">
        <f t="shared" si="0"/>
        <v>13440</v>
      </c>
      <c r="J15" s="170"/>
      <c r="K15" s="170"/>
      <c r="L15" s="170"/>
      <c r="M15" s="170"/>
    </row>
    <row r="16" spans="1:13" customFormat="1" ht="30" customHeight="1" thickBot="1" x14ac:dyDescent="0.25">
      <c r="A16" s="76">
        <v>7</v>
      </c>
      <c r="B16" s="32"/>
      <c r="C16" s="102" t="s">
        <v>72</v>
      </c>
      <c r="D16" s="171">
        <v>295</v>
      </c>
      <c r="E16" s="172" t="s">
        <v>78</v>
      </c>
      <c r="F16" s="172" t="s">
        <v>11</v>
      </c>
      <c r="G16" s="164">
        <v>48</v>
      </c>
      <c r="H16" s="165">
        <v>280</v>
      </c>
      <c r="I16" s="69">
        <f t="shared" si="0"/>
        <v>13440</v>
      </c>
      <c r="J16" s="173"/>
      <c r="K16" s="173"/>
      <c r="L16" s="173"/>
      <c r="M16" s="173"/>
    </row>
    <row r="17" spans="1:13" ht="30" customHeight="1" thickBot="1" x14ac:dyDescent="0.25">
      <c r="A17" s="76">
        <v>8</v>
      </c>
      <c r="B17" s="32"/>
      <c r="C17" s="102" t="s">
        <v>72</v>
      </c>
      <c r="D17" s="163">
        <v>295</v>
      </c>
      <c r="E17" s="32" t="s">
        <v>79</v>
      </c>
      <c r="F17" s="32" t="s">
        <v>11</v>
      </c>
      <c r="G17" s="164">
        <v>48</v>
      </c>
      <c r="H17" s="165">
        <v>280</v>
      </c>
      <c r="I17" s="69">
        <f t="shared" si="0"/>
        <v>13440</v>
      </c>
      <c r="J17" s="170"/>
      <c r="K17" s="170"/>
      <c r="L17" s="170"/>
      <c r="M17" s="170"/>
    </row>
    <row r="18" spans="1:13" ht="30" customHeight="1" thickBot="1" x14ac:dyDescent="0.25">
      <c r="A18" s="76">
        <v>9</v>
      </c>
      <c r="B18" s="32"/>
      <c r="C18" s="102" t="s">
        <v>72</v>
      </c>
      <c r="D18" s="163">
        <v>295</v>
      </c>
      <c r="E18" s="167" t="s">
        <v>80</v>
      </c>
      <c r="F18" s="168" t="s">
        <v>11</v>
      </c>
      <c r="G18" s="164">
        <v>48</v>
      </c>
      <c r="H18" s="165">
        <v>280</v>
      </c>
      <c r="I18" s="69">
        <f t="shared" si="0"/>
        <v>13440</v>
      </c>
      <c r="J18" s="170"/>
      <c r="K18" s="170"/>
      <c r="L18" s="170"/>
      <c r="M18" s="170"/>
    </row>
    <row r="19" spans="1:13" ht="30" customHeight="1" thickBot="1" x14ac:dyDescent="0.25">
      <c r="A19" s="77">
        <v>10</v>
      </c>
      <c r="B19" s="32"/>
      <c r="C19" s="102" t="s">
        <v>72</v>
      </c>
      <c r="D19" s="163">
        <v>295</v>
      </c>
      <c r="E19" s="174" t="s">
        <v>81</v>
      </c>
      <c r="F19" s="168" t="s">
        <v>11</v>
      </c>
      <c r="G19" s="164">
        <v>48</v>
      </c>
      <c r="H19" s="165">
        <v>280</v>
      </c>
      <c r="I19" s="69">
        <f t="shared" si="0"/>
        <v>13440</v>
      </c>
      <c r="J19" s="170"/>
      <c r="K19" s="170"/>
      <c r="L19" s="170"/>
      <c r="M19" s="170"/>
    </row>
    <row r="20" spans="1:13" ht="30" customHeight="1" thickBot="1" x14ac:dyDescent="0.25">
      <c r="A20" s="76">
        <v>11</v>
      </c>
      <c r="B20" s="32"/>
      <c r="C20" s="102" t="s">
        <v>72</v>
      </c>
      <c r="D20" s="163">
        <v>295</v>
      </c>
      <c r="E20" s="32" t="s">
        <v>91</v>
      </c>
      <c r="F20" s="32" t="s">
        <v>11</v>
      </c>
      <c r="G20" s="164">
        <v>2016</v>
      </c>
      <c r="H20" s="165">
        <v>235</v>
      </c>
      <c r="I20" s="69">
        <f t="shared" si="0"/>
        <v>473760</v>
      </c>
      <c r="J20" s="170"/>
      <c r="K20" s="170"/>
      <c r="L20" s="170"/>
      <c r="M20" s="170"/>
    </row>
    <row r="21" spans="1:13" ht="30" customHeight="1" thickBot="1" x14ac:dyDescent="0.25">
      <c r="A21" s="76">
        <v>12</v>
      </c>
      <c r="B21" s="32"/>
      <c r="C21" s="102" t="s">
        <v>72</v>
      </c>
      <c r="D21" s="163">
        <v>295</v>
      </c>
      <c r="E21" s="32" t="s">
        <v>92</v>
      </c>
      <c r="F21" s="32" t="s">
        <v>11</v>
      </c>
      <c r="G21" s="164">
        <v>1200</v>
      </c>
      <c r="H21" s="165">
        <v>235</v>
      </c>
      <c r="I21" s="69">
        <f t="shared" si="0"/>
        <v>282000</v>
      </c>
      <c r="J21" s="175"/>
      <c r="K21" s="176"/>
      <c r="L21" s="170"/>
      <c r="M21" s="170"/>
    </row>
    <row r="22" spans="1:13" ht="30" customHeight="1" thickBot="1" x14ac:dyDescent="0.25">
      <c r="A22" s="76">
        <v>13</v>
      </c>
      <c r="B22" s="32"/>
      <c r="C22" s="102" t="s">
        <v>72</v>
      </c>
      <c r="D22" s="163">
        <v>295</v>
      </c>
      <c r="E22" s="32" t="s">
        <v>93</v>
      </c>
      <c r="F22" s="32" t="s">
        <v>11</v>
      </c>
      <c r="G22" s="164">
        <v>3000</v>
      </c>
      <c r="H22" s="165">
        <v>235</v>
      </c>
      <c r="I22" s="69">
        <f t="shared" si="0"/>
        <v>705000</v>
      </c>
      <c r="J22" s="175"/>
      <c r="K22" s="176"/>
      <c r="L22" s="170"/>
      <c r="M22" s="170"/>
    </row>
    <row r="23" spans="1:13" ht="30" customHeight="1" thickBot="1" x14ac:dyDescent="0.25">
      <c r="A23" s="77">
        <v>14</v>
      </c>
      <c r="B23" s="32"/>
      <c r="C23" s="102" t="s">
        <v>72</v>
      </c>
      <c r="D23" s="163">
        <v>295</v>
      </c>
      <c r="E23" s="177" t="s">
        <v>94</v>
      </c>
      <c r="F23" s="168" t="s">
        <v>11</v>
      </c>
      <c r="G23" s="164">
        <v>36</v>
      </c>
      <c r="H23" s="165">
        <v>780</v>
      </c>
      <c r="I23" s="69">
        <f t="shared" si="0"/>
        <v>28080</v>
      </c>
      <c r="J23" s="170"/>
      <c r="K23" s="170"/>
      <c r="L23" s="170"/>
      <c r="M23" s="170"/>
    </row>
    <row r="24" spans="1:13" ht="30" customHeight="1" thickBot="1" x14ac:dyDescent="0.25">
      <c r="A24" s="76">
        <v>15</v>
      </c>
      <c r="B24" s="32"/>
      <c r="C24" s="102" t="s">
        <v>72</v>
      </c>
      <c r="D24" s="163">
        <v>295</v>
      </c>
      <c r="E24" s="178" t="s">
        <v>95</v>
      </c>
      <c r="F24" s="168" t="s">
        <v>11</v>
      </c>
      <c r="G24" s="164">
        <v>36</v>
      </c>
      <c r="H24" s="165">
        <v>765</v>
      </c>
      <c r="I24" s="69">
        <f t="shared" si="0"/>
        <v>27540</v>
      </c>
      <c r="J24" s="170"/>
      <c r="K24" s="170"/>
      <c r="L24" s="170"/>
      <c r="M24" s="170"/>
    </row>
    <row r="25" spans="1:13" ht="30" customHeight="1" thickBot="1" x14ac:dyDescent="0.25">
      <c r="A25" s="76">
        <v>16</v>
      </c>
      <c r="B25" s="32"/>
      <c r="C25" s="102" t="s">
        <v>72</v>
      </c>
      <c r="D25" s="163">
        <v>295</v>
      </c>
      <c r="E25" s="32" t="s">
        <v>82</v>
      </c>
      <c r="F25" s="32" t="s">
        <v>11</v>
      </c>
      <c r="G25" s="164">
        <v>36</v>
      </c>
      <c r="H25" s="165">
        <v>782</v>
      </c>
      <c r="I25" s="69">
        <f t="shared" si="0"/>
        <v>28152</v>
      </c>
      <c r="J25" s="170"/>
      <c r="K25" s="170"/>
      <c r="L25" s="170"/>
      <c r="M25" s="170"/>
    </row>
    <row r="26" spans="1:13" ht="30" customHeight="1" thickBot="1" x14ac:dyDescent="0.25">
      <c r="A26" s="76">
        <v>17</v>
      </c>
      <c r="B26" s="32"/>
      <c r="C26" s="102" t="s">
        <v>72</v>
      </c>
      <c r="D26" s="163">
        <v>295</v>
      </c>
      <c r="E26" s="32" t="s">
        <v>83</v>
      </c>
      <c r="F26" s="32" t="s">
        <v>11</v>
      </c>
      <c r="G26" s="164">
        <v>36</v>
      </c>
      <c r="H26" s="165">
        <v>782</v>
      </c>
      <c r="I26" s="69">
        <f t="shared" ref="I26:I31" si="1">G26*H26</f>
        <v>28152</v>
      </c>
      <c r="J26" s="170"/>
      <c r="K26" s="170"/>
      <c r="L26" s="170"/>
      <c r="M26" s="170"/>
    </row>
    <row r="27" spans="1:13" ht="30" customHeight="1" thickBot="1" x14ac:dyDescent="0.25">
      <c r="A27" s="77">
        <v>18</v>
      </c>
      <c r="B27" s="32"/>
      <c r="C27" s="102" t="s">
        <v>72</v>
      </c>
      <c r="D27" s="163">
        <v>295</v>
      </c>
      <c r="E27" s="179" t="s">
        <v>84</v>
      </c>
      <c r="F27" s="32" t="s">
        <v>11</v>
      </c>
      <c r="G27" s="164">
        <v>36</v>
      </c>
      <c r="H27" s="165">
        <v>782</v>
      </c>
      <c r="I27" s="69">
        <f t="shared" si="1"/>
        <v>28152</v>
      </c>
      <c r="J27" s="170"/>
      <c r="K27" s="170"/>
      <c r="L27" s="170"/>
      <c r="M27" s="170"/>
    </row>
    <row r="28" spans="1:13" ht="30" customHeight="1" thickBot="1" x14ac:dyDescent="0.25">
      <c r="A28" s="76">
        <v>19</v>
      </c>
      <c r="B28" s="32"/>
      <c r="C28" s="102" t="s">
        <v>72</v>
      </c>
      <c r="D28" s="163">
        <v>295</v>
      </c>
      <c r="E28" s="179" t="s">
        <v>96</v>
      </c>
      <c r="F28" s="32" t="s">
        <v>11</v>
      </c>
      <c r="G28" s="164">
        <v>36</v>
      </c>
      <c r="H28" s="165">
        <v>782</v>
      </c>
      <c r="I28" s="69">
        <f t="shared" si="1"/>
        <v>28152</v>
      </c>
      <c r="J28" s="170"/>
      <c r="K28" s="170"/>
      <c r="L28" s="170"/>
      <c r="M28" s="170"/>
    </row>
    <row r="29" spans="1:13" ht="30" customHeight="1" thickBot="1" x14ac:dyDescent="0.25">
      <c r="A29" s="76">
        <v>20</v>
      </c>
      <c r="B29" s="32"/>
      <c r="C29" s="102" t="s">
        <v>72</v>
      </c>
      <c r="D29" s="163">
        <v>295</v>
      </c>
      <c r="E29" s="179" t="s">
        <v>85</v>
      </c>
      <c r="F29" s="32" t="s">
        <v>11</v>
      </c>
      <c r="G29" s="164">
        <v>36</v>
      </c>
      <c r="H29" s="165">
        <v>782</v>
      </c>
      <c r="I29" s="69">
        <f t="shared" si="1"/>
        <v>28152</v>
      </c>
      <c r="J29" s="170"/>
      <c r="K29" s="170"/>
      <c r="L29" s="170"/>
      <c r="M29" s="170"/>
    </row>
    <row r="30" spans="1:13" ht="30" customHeight="1" thickBot="1" x14ac:dyDescent="0.25">
      <c r="A30" s="76">
        <v>21</v>
      </c>
      <c r="B30" s="32"/>
      <c r="C30" s="102" t="s">
        <v>72</v>
      </c>
      <c r="D30" s="163">
        <v>295</v>
      </c>
      <c r="E30" s="179" t="s">
        <v>86</v>
      </c>
      <c r="F30" s="32" t="s">
        <v>11</v>
      </c>
      <c r="G30" s="164">
        <v>36</v>
      </c>
      <c r="H30" s="165">
        <v>780</v>
      </c>
      <c r="I30" s="69">
        <f t="shared" si="1"/>
        <v>28080</v>
      </c>
      <c r="J30" s="170"/>
      <c r="K30" s="170"/>
      <c r="L30" s="170"/>
      <c r="M30" s="170"/>
    </row>
    <row r="31" spans="1:13" ht="30" customHeight="1" x14ac:dyDescent="0.2">
      <c r="A31" s="77">
        <v>22</v>
      </c>
      <c r="B31" s="32"/>
      <c r="C31" s="102" t="s">
        <v>72</v>
      </c>
      <c r="D31" s="163">
        <v>295</v>
      </c>
      <c r="E31" s="179" t="s">
        <v>97</v>
      </c>
      <c r="F31" s="32" t="s">
        <v>11</v>
      </c>
      <c r="G31" s="164">
        <v>36</v>
      </c>
      <c r="H31" s="165">
        <v>785</v>
      </c>
      <c r="I31" s="69">
        <f t="shared" si="1"/>
        <v>28260</v>
      </c>
      <c r="J31" s="170"/>
      <c r="K31" s="170"/>
      <c r="L31" s="170"/>
      <c r="M31" s="170"/>
    </row>
    <row r="32" spans="1:13" ht="15.75" x14ac:dyDescent="0.25">
      <c r="A32" s="39"/>
      <c r="B32" s="68"/>
      <c r="E32" s="91"/>
      <c r="I32" s="80"/>
    </row>
    <row r="33" spans="1:9" x14ac:dyDescent="0.2">
      <c r="A33" s="39"/>
      <c r="B33" s="18"/>
      <c r="D33" s="18"/>
      <c r="E33" s="92"/>
      <c r="F33" s="18"/>
      <c r="I33" s="80"/>
    </row>
    <row r="34" spans="1:9" ht="13.5" customHeight="1" thickBot="1" x14ac:dyDescent="0.25">
      <c r="A34" s="39"/>
      <c r="B34" s="71"/>
      <c r="C34" s="82"/>
      <c r="D34" s="38"/>
      <c r="E34" s="93"/>
      <c r="F34" s="18"/>
      <c r="G34" s="109"/>
      <c r="H34" s="18"/>
      <c r="I34" s="18"/>
    </row>
    <row r="35" spans="1:9" ht="15" customHeight="1" x14ac:dyDescent="0.2">
      <c r="A35" s="39"/>
      <c r="B35" s="112" t="s">
        <v>98</v>
      </c>
      <c r="C35" s="113"/>
      <c r="D35" s="113"/>
      <c r="E35" s="114"/>
      <c r="F35" s="18"/>
      <c r="G35" s="109"/>
      <c r="H35" s="18"/>
      <c r="I35" s="18"/>
    </row>
    <row r="36" spans="1:9" ht="15" customHeight="1" x14ac:dyDescent="0.2">
      <c r="A36" s="39"/>
      <c r="B36" s="40"/>
      <c r="C36" s="83"/>
      <c r="D36" s="18"/>
      <c r="E36" s="94"/>
      <c r="F36" s="18"/>
      <c r="G36" s="109"/>
      <c r="H36" s="18"/>
      <c r="I36" s="18"/>
    </row>
    <row r="37" spans="1:9" ht="15" customHeight="1" x14ac:dyDescent="0.2">
      <c r="A37" s="39"/>
      <c r="B37" s="41" t="s">
        <v>54</v>
      </c>
      <c r="C37" s="83"/>
      <c r="D37" s="18"/>
      <c r="E37" s="94"/>
      <c r="F37" s="18"/>
      <c r="G37" s="109"/>
      <c r="H37" s="18"/>
      <c r="I37" s="18"/>
    </row>
    <row r="38" spans="1:9" ht="27" customHeight="1" x14ac:dyDescent="0.2">
      <c r="A38" s="39"/>
      <c r="B38" s="41"/>
      <c r="C38" s="107" t="s">
        <v>65</v>
      </c>
      <c r="D38" s="107"/>
      <c r="E38" s="108"/>
      <c r="F38" s="18"/>
      <c r="G38" s="109"/>
      <c r="H38" s="18"/>
      <c r="I38" s="18"/>
    </row>
    <row r="39" spans="1:9" ht="15" customHeight="1" x14ac:dyDescent="0.2">
      <c r="A39" s="39"/>
      <c r="B39" s="42" t="s">
        <v>60</v>
      </c>
      <c r="C39" s="106" t="s">
        <v>67</v>
      </c>
      <c r="D39" s="106"/>
      <c r="E39" s="106"/>
      <c r="F39" s="18"/>
      <c r="G39" s="109"/>
      <c r="H39" s="18"/>
      <c r="I39" s="18"/>
    </row>
    <row r="40" spans="1:9" ht="15" customHeight="1" x14ac:dyDescent="0.2">
      <c r="A40" s="39"/>
      <c r="B40" s="111"/>
      <c r="C40" s="111"/>
      <c r="D40" s="111"/>
      <c r="E40" s="111"/>
      <c r="F40" s="18"/>
      <c r="G40" s="109"/>
      <c r="H40" s="18"/>
      <c r="I40" s="18"/>
    </row>
    <row r="41" spans="1:9" ht="24.75" customHeight="1" x14ac:dyDescent="0.2">
      <c r="A41" s="39"/>
      <c r="B41" s="40" t="s">
        <v>61</v>
      </c>
      <c r="C41" s="106" t="s">
        <v>62</v>
      </c>
      <c r="D41" s="106"/>
      <c r="E41" s="110"/>
      <c r="F41" s="18"/>
      <c r="G41" s="109"/>
      <c r="H41" s="18"/>
      <c r="I41" s="18"/>
    </row>
    <row r="42" spans="1:9" ht="15" customHeight="1" x14ac:dyDescent="0.2">
      <c r="A42" s="39"/>
      <c r="B42" s="40"/>
      <c r="C42" s="45"/>
      <c r="D42" s="44"/>
      <c r="E42" s="95"/>
      <c r="F42" s="18"/>
      <c r="G42" s="109"/>
      <c r="H42" s="18"/>
      <c r="I42" s="18"/>
    </row>
    <row r="43" spans="1:9" ht="12.75" customHeight="1" x14ac:dyDescent="0.2">
      <c r="A43" s="39"/>
      <c r="B43" s="41" t="s">
        <v>55</v>
      </c>
      <c r="C43" s="106"/>
      <c r="D43" s="106"/>
      <c r="E43" s="110"/>
      <c r="F43" s="18"/>
      <c r="G43" s="109"/>
      <c r="H43" s="18"/>
      <c r="I43" s="18"/>
    </row>
    <row r="44" spans="1:9" ht="12.75" customHeight="1" x14ac:dyDescent="0.2">
      <c r="A44" s="39"/>
      <c r="B44" s="40"/>
      <c r="C44" s="45"/>
      <c r="D44" s="45"/>
      <c r="E44" s="96"/>
      <c r="F44" s="18"/>
      <c r="G44" s="109"/>
      <c r="H44" s="18"/>
      <c r="I44" s="18"/>
    </row>
    <row r="45" spans="1:9" ht="15" customHeight="1" x14ac:dyDescent="0.2">
      <c r="A45" s="39"/>
      <c r="B45" s="41" t="s">
        <v>56</v>
      </c>
      <c r="C45" s="37"/>
      <c r="D45" s="35"/>
      <c r="E45" s="97"/>
      <c r="F45" s="18"/>
      <c r="G45" s="109"/>
      <c r="H45" s="18"/>
      <c r="I45" s="18"/>
    </row>
    <row r="46" spans="1:9" ht="15" customHeight="1" x14ac:dyDescent="0.2">
      <c r="A46" s="39"/>
      <c r="B46" s="40"/>
      <c r="C46" s="45"/>
      <c r="D46" s="45"/>
      <c r="E46" s="96" t="s">
        <v>64</v>
      </c>
      <c r="F46" s="18"/>
      <c r="G46" s="109"/>
      <c r="H46" s="18"/>
      <c r="I46" s="18"/>
    </row>
    <row r="47" spans="1:9" ht="15" customHeight="1" x14ac:dyDescent="0.2">
      <c r="A47" s="39"/>
      <c r="B47" s="41" t="s">
        <v>57</v>
      </c>
      <c r="C47" s="83"/>
      <c r="D47" s="18"/>
      <c r="E47" s="94"/>
      <c r="F47" s="18"/>
      <c r="G47" s="109"/>
      <c r="H47" s="18"/>
      <c r="I47" s="18"/>
    </row>
    <row r="48" spans="1:9" ht="15" customHeight="1" x14ac:dyDescent="0.2">
      <c r="A48" s="39"/>
      <c r="B48" s="41"/>
      <c r="C48" s="45"/>
      <c r="D48" s="44"/>
      <c r="E48" s="95"/>
      <c r="F48" s="18"/>
      <c r="G48" s="109"/>
      <c r="H48" s="18"/>
      <c r="I48" s="18"/>
    </row>
    <row r="49" spans="1:9" ht="12.75" customHeight="1" thickBot="1" x14ac:dyDescent="0.25">
      <c r="A49" s="39"/>
      <c r="B49" s="43"/>
      <c r="C49" s="84"/>
      <c r="D49" s="36"/>
      <c r="E49" s="98"/>
      <c r="F49" s="18"/>
      <c r="G49" s="109"/>
      <c r="H49" s="18"/>
      <c r="I49" s="18"/>
    </row>
    <row r="50" spans="1:9" ht="12.75" customHeight="1" x14ac:dyDescent="0.2">
      <c r="A50" s="39"/>
      <c r="B50" s="71"/>
      <c r="C50" s="85"/>
      <c r="D50" s="86"/>
      <c r="E50" s="99"/>
      <c r="F50" s="18"/>
      <c r="G50" s="109"/>
      <c r="H50" s="18"/>
      <c r="I50" s="18"/>
    </row>
    <row r="51" spans="1:9" x14ac:dyDescent="0.2">
      <c r="I51" s="80"/>
    </row>
    <row r="52" spans="1:9" x14ac:dyDescent="0.2">
      <c r="I52" s="80"/>
    </row>
    <row r="53" spans="1:9" x14ac:dyDescent="0.2">
      <c r="I53" s="80"/>
    </row>
    <row r="54" spans="1:9" x14ac:dyDescent="0.2">
      <c r="I54" s="80"/>
    </row>
    <row r="55" spans="1:9" x14ac:dyDescent="0.2">
      <c r="I55" s="80"/>
    </row>
    <row r="56" spans="1:9" ht="27" customHeight="1" x14ac:dyDescent="0.2">
      <c r="I56" s="80"/>
    </row>
    <row r="57" spans="1:9" x14ac:dyDescent="0.2">
      <c r="I57" s="80"/>
    </row>
    <row r="58" spans="1:9" x14ac:dyDescent="0.2">
      <c r="I58" s="80"/>
    </row>
    <row r="59" spans="1:9" x14ac:dyDescent="0.2">
      <c r="I59" s="80"/>
    </row>
    <row r="60" spans="1:9" x14ac:dyDescent="0.2">
      <c r="I60" s="80"/>
    </row>
    <row r="61" spans="1:9" x14ac:dyDescent="0.2">
      <c r="I61" s="80"/>
    </row>
    <row r="62" spans="1:9" x14ac:dyDescent="0.2">
      <c r="I62" s="80"/>
    </row>
    <row r="63" spans="1:9" x14ac:dyDescent="0.2">
      <c r="I63" s="80"/>
    </row>
    <row r="64" spans="1:9" x14ac:dyDescent="0.2">
      <c r="I64" s="80"/>
    </row>
    <row r="65" spans="9:9" x14ac:dyDescent="0.2">
      <c r="I65" s="80"/>
    </row>
    <row r="66" spans="9:9" x14ac:dyDescent="0.2">
      <c r="I66" s="80"/>
    </row>
    <row r="67" spans="9:9" x14ac:dyDescent="0.2">
      <c r="I67" s="80"/>
    </row>
    <row r="68" spans="9:9" x14ac:dyDescent="0.2">
      <c r="I68" s="80"/>
    </row>
    <row r="69" spans="9:9" x14ac:dyDescent="0.2">
      <c r="I69" s="80"/>
    </row>
    <row r="70" spans="9:9" x14ac:dyDescent="0.2">
      <c r="I70" s="80"/>
    </row>
    <row r="71" spans="9:9" x14ac:dyDescent="0.2">
      <c r="I71" s="80"/>
    </row>
    <row r="72" spans="9:9" x14ac:dyDescent="0.2">
      <c r="I72" s="80"/>
    </row>
    <row r="73" spans="9:9" x14ac:dyDescent="0.2">
      <c r="I73" s="80"/>
    </row>
    <row r="74" spans="9:9" x14ac:dyDescent="0.2">
      <c r="I74" s="80"/>
    </row>
    <row r="75" spans="9:9" x14ac:dyDescent="0.2">
      <c r="I75" s="80"/>
    </row>
    <row r="76" spans="9:9" x14ac:dyDescent="0.2">
      <c r="I76" s="80"/>
    </row>
    <row r="77" spans="9:9" x14ac:dyDescent="0.2">
      <c r="I77" s="80"/>
    </row>
    <row r="78" spans="9:9" x14ac:dyDescent="0.2">
      <c r="I78" s="80"/>
    </row>
    <row r="79" spans="9:9" x14ac:dyDescent="0.2">
      <c r="I79" s="80"/>
    </row>
    <row r="80" spans="9:9" x14ac:dyDescent="0.2">
      <c r="I80" s="80"/>
    </row>
    <row r="81" spans="9:9" x14ac:dyDescent="0.2">
      <c r="I81" s="80"/>
    </row>
    <row r="82" spans="9:9" x14ac:dyDescent="0.2">
      <c r="I82" s="80"/>
    </row>
    <row r="83" spans="9:9" x14ac:dyDescent="0.2">
      <c r="I83" s="80"/>
    </row>
    <row r="84" spans="9:9" x14ac:dyDescent="0.2">
      <c r="I84" s="80"/>
    </row>
    <row r="85" spans="9:9" x14ac:dyDescent="0.2">
      <c r="I85" s="80"/>
    </row>
    <row r="86" spans="9:9" x14ac:dyDescent="0.2">
      <c r="I86" s="80"/>
    </row>
    <row r="87" spans="9:9" x14ac:dyDescent="0.2">
      <c r="I87" s="80"/>
    </row>
    <row r="88" spans="9:9" x14ac:dyDescent="0.2">
      <c r="I88" s="80"/>
    </row>
    <row r="89" spans="9:9" x14ac:dyDescent="0.2">
      <c r="I89" s="80"/>
    </row>
    <row r="90" spans="9:9" x14ac:dyDescent="0.2">
      <c r="I90" s="80"/>
    </row>
    <row r="91" spans="9:9" x14ac:dyDescent="0.2">
      <c r="I91" s="80"/>
    </row>
    <row r="92" spans="9:9" x14ac:dyDescent="0.2">
      <c r="I92" s="80"/>
    </row>
    <row r="93" spans="9:9" x14ac:dyDescent="0.2">
      <c r="I93" s="80"/>
    </row>
    <row r="94" spans="9:9" x14ac:dyDescent="0.2">
      <c r="I94" s="80"/>
    </row>
    <row r="95" spans="9:9" x14ac:dyDescent="0.2">
      <c r="I95" s="80"/>
    </row>
    <row r="96" spans="9:9" x14ac:dyDescent="0.2">
      <c r="I96" s="80"/>
    </row>
    <row r="97" spans="9:9" x14ac:dyDescent="0.2">
      <c r="I97" s="80"/>
    </row>
    <row r="98" spans="9:9" x14ac:dyDescent="0.2">
      <c r="I98" s="80"/>
    </row>
    <row r="99" spans="9:9" x14ac:dyDescent="0.2">
      <c r="I99" s="80"/>
    </row>
    <row r="100" spans="9:9" x14ac:dyDescent="0.2">
      <c r="I100" s="80"/>
    </row>
    <row r="101" spans="9:9" x14ac:dyDescent="0.2">
      <c r="I101" s="80"/>
    </row>
    <row r="102" spans="9:9" x14ac:dyDescent="0.2">
      <c r="I102" s="80"/>
    </row>
    <row r="103" spans="9:9" x14ac:dyDescent="0.2">
      <c r="I103" s="80"/>
    </row>
    <row r="104" spans="9:9" x14ac:dyDescent="0.2">
      <c r="I104" s="80"/>
    </row>
    <row r="105" spans="9:9" x14ac:dyDescent="0.2">
      <c r="I105" s="80"/>
    </row>
    <row r="106" spans="9:9" x14ac:dyDescent="0.2">
      <c r="I106" s="80"/>
    </row>
    <row r="107" spans="9:9" x14ac:dyDescent="0.2">
      <c r="I107" s="80"/>
    </row>
    <row r="108" spans="9:9" x14ac:dyDescent="0.2">
      <c r="I108" s="80"/>
    </row>
    <row r="109" spans="9:9" x14ac:dyDescent="0.2">
      <c r="I109" s="80"/>
    </row>
    <row r="110" spans="9:9" x14ac:dyDescent="0.2">
      <c r="I110" s="80"/>
    </row>
    <row r="111" spans="9:9" x14ac:dyDescent="0.2">
      <c r="I111" s="80"/>
    </row>
    <row r="112" spans="9:9" x14ac:dyDescent="0.2">
      <c r="I112" s="80"/>
    </row>
    <row r="113" spans="9:9" x14ac:dyDescent="0.2">
      <c r="I113" s="80"/>
    </row>
    <row r="114" spans="9:9" x14ac:dyDescent="0.2">
      <c r="I114" s="80"/>
    </row>
    <row r="115" spans="9:9" x14ac:dyDescent="0.2">
      <c r="I115" s="80"/>
    </row>
    <row r="116" spans="9:9" x14ac:dyDescent="0.2">
      <c r="I116" s="80"/>
    </row>
    <row r="117" spans="9:9" x14ac:dyDescent="0.2">
      <c r="I117" s="80"/>
    </row>
    <row r="118" spans="9:9" x14ac:dyDescent="0.2">
      <c r="I118" s="80"/>
    </row>
    <row r="119" spans="9:9" x14ac:dyDescent="0.2">
      <c r="I119" s="80"/>
    </row>
    <row r="120" spans="9:9" x14ac:dyDescent="0.2">
      <c r="I120" s="80"/>
    </row>
    <row r="121" spans="9:9" x14ac:dyDescent="0.2">
      <c r="I121" s="80"/>
    </row>
    <row r="122" spans="9:9" x14ac:dyDescent="0.2">
      <c r="I122" s="80"/>
    </row>
    <row r="123" spans="9:9" x14ac:dyDescent="0.2">
      <c r="I123" s="80"/>
    </row>
    <row r="124" spans="9:9" x14ac:dyDescent="0.2">
      <c r="I124" s="80"/>
    </row>
    <row r="125" spans="9:9" x14ac:dyDescent="0.2">
      <c r="I125" s="80"/>
    </row>
    <row r="126" spans="9:9" x14ac:dyDescent="0.2">
      <c r="I126" s="80"/>
    </row>
    <row r="127" spans="9:9" x14ac:dyDescent="0.2">
      <c r="I127" s="80"/>
    </row>
    <row r="128" spans="9:9" x14ac:dyDescent="0.2">
      <c r="I128" s="80"/>
    </row>
    <row r="129" spans="9:9" x14ac:dyDescent="0.2">
      <c r="I129" s="80"/>
    </row>
    <row r="130" spans="9:9" x14ac:dyDescent="0.2">
      <c r="I130" s="80"/>
    </row>
    <row r="131" spans="9:9" x14ac:dyDescent="0.2">
      <c r="I131" s="80"/>
    </row>
    <row r="132" spans="9:9" x14ac:dyDescent="0.2">
      <c r="I132" s="80"/>
    </row>
    <row r="133" spans="9:9" x14ac:dyDescent="0.2">
      <c r="I133" s="80"/>
    </row>
    <row r="134" spans="9:9" x14ac:dyDescent="0.2">
      <c r="I134" s="80"/>
    </row>
    <row r="135" spans="9:9" x14ac:dyDescent="0.2">
      <c r="I135" s="80"/>
    </row>
    <row r="136" spans="9:9" x14ac:dyDescent="0.2">
      <c r="I136" s="80"/>
    </row>
    <row r="137" spans="9:9" x14ac:dyDescent="0.2">
      <c r="I137" s="80"/>
    </row>
    <row r="138" spans="9:9" x14ac:dyDescent="0.2">
      <c r="I138" s="80"/>
    </row>
    <row r="139" spans="9:9" x14ac:dyDescent="0.2">
      <c r="I139" s="80"/>
    </row>
    <row r="140" spans="9:9" x14ac:dyDescent="0.2">
      <c r="I140" s="80"/>
    </row>
    <row r="141" spans="9:9" x14ac:dyDescent="0.2">
      <c r="I141" s="80"/>
    </row>
    <row r="142" spans="9:9" x14ac:dyDescent="0.2">
      <c r="I142" s="80"/>
    </row>
    <row r="143" spans="9:9" x14ac:dyDescent="0.2">
      <c r="I143" s="80"/>
    </row>
    <row r="144" spans="9:9" x14ac:dyDescent="0.2">
      <c r="I144" s="80"/>
    </row>
    <row r="145" spans="9:9" x14ac:dyDescent="0.2">
      <c r="I145" s="80"/>
    </row>
    <row r="146" spans="9:9" x14ac:dyDescent="0.2">
      <c r="I146" s="80"/>
    </row>
    <row r="147" spans="9:9" x14ac:dyDescent="0.2">
      <c r="I147" s="80"/>
    </row>
    <row r="148" spans="9:9" x14ac:dyDescent="0.2">
      <c r="I148" s="80"/>
    </row>
    <row r="149" spans="9:9" x14ac:dyDescent="0.2">
      <c r="I149" s="80"/>
    </row>
    <row r="150" spans="9:9" x14ac:dyDescent="0.2">
      <c r="I150" s="80"/>
    </row>
    <row r="151" spans="9:9" x14ac:dyDescent="0.2">
      <c r="I151" s="80"/>
    </row>
    <row r="152" spans="9:9" x14ac:dyDescent="0.2">
      <c r="I152" s="80"/>
    </row>
    <row r="153" spans="9:9" x14ac:dyDescent="0.2">
      <c r="I153" s="80"/>
    </row>
    <row r="154" spans="9:9" x14ac:dyDescent="0.2">
      <c r="I154" s="80"/>
    </row>
    <row r="155" spans="9:9" x14ac:dyDescent="0.2">
      <c r="I155" s="80"/>
    </row>
    <row r="156" spans="9:9" x14ac:dyDescent="0.2">
      <c r="I156" s="80"/>
    </row>
    <row r="157" spans="9:9" x14ac:dyDescent="0.2">
      <c r="I157" s="80"/>
    </row>
    <row r="158" spans="9:9" x14ac:dyDescent="0.2">
      <c r="I158" s="80"/>
    </row>
    <row r="159" spans="9:9" x14ac:dyDescent="0.2">
      <c r="I159" s="80"/>
    </row>
    <row r="160" spans="9:9" x14ac:dyDescent="0.2">
      <c r="I160" s="80"/>
    </row>
    <row r="161" spans="9:9" x14ac:dyDescent="0.2">
      <c r="I161" s="80"/>
    </row>
    <row r="162" spans="9:9" x14ac:dyDescent="0.2">
      <c r="I162" s="80"/>
    </row>
    <row r="163" spans="9:9" x14ac:dyDescent="0.2">
      <c r="I163" s="80"/>
    </row>
    <row r="164" spans="9:9" x14ac:dyDescent="0.2">
      <c r="I164" s="80"/>
    </row>
    <row r="165" spans="9:9" x14ac:dyDescent="0.2">
      <c r="I165" s="80"/>
    </row>
    <row r="166" spans="9:9" x14ac:dyDescent="0.2">
      <c r="I166" s="80"/>
    </row>
    <row r="167" spans="9:9" x14ac:dyDescent="0.2">
      <c r="I167" s="80"/>
    </row>
    <row r="168" spans="9:9" x14ac:dyDescent="0.2">
      <c r="I168" s="80"/>
    </row>
    <row r="169" spans="9:9" x14ac:dyDescent="0.2">
      <c r="I169" s="80"/>
    </row>
    <row r="170" spans="9:9" x14ac:dyDescent="0.2">
      <c r="I170" s="80"/>
    </row>
    <row r="171" spans="9:9" x14ac:dyDescent="0.2">
      <c r="I171" s="80"/>
    </row>
    <row r="172" spans="9:9" x14ac:dyDescent="0.2">
      <c r="I172" s="80"/>
    </row>
  </sheetData>
  <mergeCells count="15">
    <mergeCell ref="J21:K21"/>
    <mergeCell ref="J22:K22"/>
    <mergeCell ref="C39:E39"/>
    <mergeCell ref="C38:E38"/>
    <mergeCell ref="G34:G50"/>
    <mergeCell ref="C41:E41"/>
    <mergeCell ref="B40:E40"/>
    <mergeCell ref="C43:E43"/>
    <mergeCell ref="B35:E35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41"/>
  <sheetViews>
    <sheetView topLeftCell="A34" zoomScale="68" zoomScaleNormal="68" workbookViewId="0">
      <selection activeCell="A34" sqref="A34:I34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30" t="s">
        <v>12</v>
      </c>
      <c r="B1" s="130"/>
      <c r="C1" s="130"/>
      <c r="D1" s="130"/>
      <c r="E1" s="130"/>
      <c r="F1" s="130"/>
      <c r="G1" s="130"/>
      <c r="H1" s="130"/>
      <c r="I1" s="130"/>
      <c r="J1" s="46"/>
      <c r="K1" s="103" t="s">
        <v>88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31" t="s">
        <v>13</v>
      </c>
      <c r="B3" s="131"/>
      <c r="C3" s="131"/>
      <c r="D3" s="132" t="s">
        <v>59</v>
      </c>
      <c r="E3" s="132"/>
      <c r="F3" s="132"/>
      <c r="G3" s="132"/>
      <c r="H3" s="132"/>
      <c r="I3" s="132"/>
      <c r="J3" s="132"/>
      <c r="K3" s="132"/>
    </row>
    <row r="4" spans="1:1013" ht="18.75" customHeight="1" thickBot="1" x14ac:dyDescent="0.25">
      <c r="A4" s="133" t="s">
        <v>14</v>
      </c>
      <c r="B4" s="133"/>
      <c r="C4" s="133"/>
      <c r="D4" s="132" t="s">
        <v>53</v>
      </c>
      <c r="E4" s="132"/>
      <c r="F4" s="132"/>
      <c r="G4" s="132"/>
      <c r="H4" s="132"/>
      <c r="I4" s="132"/>
      <c r="J4" s="132"/>
      <c r="K4" s="132"/>
    </row>
    <row r="5" spans="1:1013" ht="18.75" customHeight="1" thickBot="1" x14ac:dyDescent="0.25">
      <c r="A5" s="133" t="s">
        <v>15</v>
      </c>
      <c r="B5" s="133"/>
      <c r="C5" s="133"/>
      <c r="D5" s="132" t="s">
        <v>50</v>
      </c>
      <c r="E5" s="132"/>
      <c r="F5" s="132"/>
      <c r="G5" s="132"/>
      <c r="H5" s="132"/>
      <c r="I5" s="132"/>
      <c r="J5" s="132"/>
      <c r="K5" s="132"/>
    </row>
    <row r="6" spans="1:1013" ht="16.5" customHeight="1" thickBot="1" x14ac:dyDescent="0.25">
      <c r="A6" s="131" t="s">
        <v>16</v>
      </c>
      <c r="B6" s="131"/>
      <c r="C6" s="131"/>
      <c r="D6" s="132" t="s">
        <v>68</v>
      </c>
      <c r="E6" s="132"/>
      <c r="F6" s="132"/>
      <c r="G6" s="132"/>
      <c r="H6" s="132"/>
      <c r="I6" s="132"/>
      <c r="J6" s="132"/>
      <c r="K6" s="132"/>
    </row>
    <row r="7" spans="1:1013" ht="16.5" customHeight="1" thickBot="1" x14ac:dyDescent="0.25">
      <c r="A7" s="133" t="s">
        <v>17</v>
      </c>
      <c r="B7" s="133"/>
      <c r="C7" s="133"/>
      <c r="D7" s="132" t="s">
        <v>69</v>
      </c>
      <c r="E7" s="132"/>
      <c r="F7" s="132"/>
      <c r="G7" s="132"/>
      <c r="H7" s="132"/>
      <c r="I7" s="132"/>
      <c r="J7" s="132"/>
      <c r="K7" s="132"/>
    </row>
    <row r="8" spans="1:1013" ht="36" customHeight="1" thickBot="1" x14ac:dyDescent="0.25">
      <c r="A8" s="122" t="s">
        <v>18</v>
      </c>
      <c r="B8" s="122"/>
      <c r="C8" s="122"/>
      <c r="D8" s="123" t="s">
        <v>70</v>
      </c>
      <c r="E8" s="123"/>
      <c r="F8" s="123"/>
      <c r="G8" s="123"/>
      <c r="H8" s="123"/>
      <c r="I8" s="123"/>
      <c r="J8" s="123"/>
      <c r="K8" s="123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24" t="s">
        <v>19</v>
      </c>
      <c r="B10" s="126" t="s">
        <v>20</v>
      </c>
      <c r="C10" s="126" t="s">
        <v>21</v>
      </c>
      <c r="D10" s="126"/>
      <c r="E10" s="126"/>
      <c r="F10" s="126"/>
      <c r="G10" s="126"/>
      <c r="H10" s="126" t="s">
        <v>22</v>
      </c>
      <c r="I10" s="126" t="s">
        <v>23</v>
      </c>
      <c r="J10" s="126" t="s">
        <v>24</v>
      </c>
      <c r="K10" s="128" t="s">
        <v>25</v>
      </c>
    </row>
    <row r="11" spans="1:1013" ht="24" customHeight="1" thickBot="1" x14ac:dyDescent="0.25">
      <c r="A11" s="125"/>
      <c r="B11" s="127"/>
      <c r="C11" s="127"/>
      <c r="D11" s="127"/>
      <c r="E11" s="127"/>
      <c r="F11" s="127"/>
      <c r="G11" s="127"/>
      <c r="H11" s="127"/>
      <c r="I11" s="127"/>
      <c r="J11" s="127"/>
      <c r="K11" s="129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15" t="str">
        <f>'Necesidades Trimestrales'!E10</f>
        <v>HILO DE SUTURA CATGUT  CROMICO Nº0 CON AGUJA  CT -1  1/2 CIRC 36.4 mm TIPO ETHICON 812 T  X  UNIDAD</v>
      </c>
      <c r="D12" s="115"/>
      <c r="E12" s="115"/>
      <c r="F12" s="115"/>
      <c r="G12" s="115"/>
      <c r="H12" s="52" t="s">
        <v>26</v>
      </c>
      <c r="I12" s="53" t="str">
        <f>'Necesidades Trimestrales'!F10</f>
        <v>UNIDAD</v>
      </c>
      <c r="J12" s="58">
        <f>'Necesidades Trimestrales'!H10</f>
        <v>345</v>
      </c>
      <c r="K12" s="61">
        <f>'Necesidades Trimestrales'!G10</f>
        <v>300</v>
      </c>
      <c r="M12" s="101"/>
      <c r="Q12" s="101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15" t="str">
        <f>'Necesidades Trimestrales'!E11</f>
        <v>HILO DE SUTURA CATGUT CROMICO Nro 1 CON AGUJA CT -1  1/2 CIRC 36.4 mm TIPO ETHICON 813 T X UNIDAD</v>
      </c>
      <c r="D13" s="115"/>
      <c r="E13" s="115"/>
      <c r="F13" s="115"/>
      <c r="G13" s="115"/>
      <c r="H13" s="52" t="s">
        <v>26</v>
      </c>
      <c r="I13" s="53" t="str">
        <f>'Necesidades Trimestrales'!F11</f>
        <v>UNIDAD</v>
      </c>
      <c r="J13" s="58">
        <f>'Necesidades Trimestrales'!H11</f>
        <v>345</v>
      </c>
      <c r="K13" s="61">
        <f>'Necesidades Trimestrales'!G11</f>
        <v>500</v>
      </c>
      <c r="M13" s="101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15" t="str">
        <f>'Necesidades Trimestrales'!E12</f>
        <v>HILO DE SUTURA CATGUT CROMICO Nro 2 CON AGUJA CT   1/2 CIRC 40 mm TIPO ETHICON 916  T X UNIDAD</v>
      </c>
      <c r="D14" s="115"/>
      <c r="E14" s="115"/>
      <c r="F14" s="115"/>
      <c r="G14" s="115"/>
      <c r="H14" s="52" t="s">
        <v>26</v>
      </c>
      <c r="I14" s="53" t="str">
        <f>'Necesidades Trimestrales'!F12</f>
        <v>UNIDAD</v>
      </c>
      <c r="J14" s="58">
        <f>'Necesidades Trimestrales'!H12</f>
        <v>345</v>
      </c>
      <c r="K14" s="61">
        <f>'Necesidades Trimestrales'!G12</f>
        <v>2500</v>
      </c>
      <c r="M14" s="101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15" t="str">
        <f>'Necesidades Trimestrales'!E13</f>
        <v>HILO DE SUTURA MONOFILAMENTO 4-0 AGUJA PS-1 3/8 CIRC 24 MM X UNIDAD</v>
      </c>
      <c r="D15" s="115"/>
      <c r="E15" s="115"/>
      <c r="F15" s="115"/>
      <c r="G15" s="115"/>
      <c r="H15" s="52" t="s">
        <v>26</v>
      </c>
      <c r="I15" s="53" t="str">
        <f>'Necesidades Trimestrales'!F13</f>
        <v>UNIDAD</v>
      </c>
      <c r="J15" s="58">
        <f>'Necesidades Trimestrales'!H13</f>
        <v>240</v>
      </c>
      <c r="K15" s="61">
        <f>'Necesidades Trimestrales'!G13</f>
        <v>50</v>
      </c>
      <c r="M15" s="101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15" t="str">
        <f>'Necesidades Trimestrales'!E14</f>
        <v>SUTURA QUIRURGICA ACIDO POLIGLICOLICO TRENZADA ABSORBIBLE T/VICRYL N°2-0 J339 H X 1 UNID.</v>
      </c>
      <c r="D16" s="115"/>
      <c r="E16" s="115"/>
      <c r="F16" s="115"/>
      <c r="G16" s="115"/>
      <c r="H16" s="52" t="s">
        <v>26</v>
      </c>
      <c r="I16" s="53" t="str">
        <f>'Necesidades Trimestrales'!F14</f>
        <v>UNIDAD</v>
      </c>
      <c r="J16" s="58">
        <f>'Necesidades Trimestrales'!H14</f>
        <v>280</v>
      </c>
      <c r="K16" s="61">
        <f>'Necesidades Trimestrales'!G14</f>
        <v>48</v>
      </c>
      <c r="M16" s="101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15" t="str">
        <f>'Necesidades Trimestrales'!E15</f>
        <v>SUTURA QUIRURGICA ACIDO POLIGLICOLICO TRENZADA ABSORBIBLE T/VICRYL N°3-0 J 305 H X 1 UNID.</v>
      </c>
      <c r="D17" s="115"/>
      <c r="E17" s="115"/>
      <c r="F17" s="115"/>
      <c r="G17" s="115"/>
      <c r="H17" s="52" t="s">
        <v>26</v>
      </c>
      <c r="I17" s="53" t="str">
        <f>'Necesidades Trimestrales'!F15</f>
        <v>UNIDAD</v>
      </c>
      <c r="J17" s="58">
        <f>'Necesidades Trimestrales'!H15</f>
        <v>280</v>
      </c>
      <c r="K17" s="61">
        <f>'Necesidades Trimestrales'!G15</f>
        <v>48</v>
      </c>
      <c r="M17" s="101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15" t="str">
        <f>'Necesidades Trimestrales'!E16</f>
        <v>SUTURA QUIRURGICA ACIDO POLIGLICOLICO TRENZADA ABSORBIBLE T/VICRYL N°3-0 J338 H X 1 UNID.</v>
      </c>
      <c r="D18" s="115"/>
      <c r="E18" s="115"/>
      <c r="F18" s="115"/>
      <c r="G18" s="115"/>
      <c r="H18" s="52" t="s">
        <v>26</v>
      </c>
      <c r="I18" s="53" t="str">
        <f>'Necesidades Trimestrales'!F16</f>
        <v>UNIDAD</v>
      </c>
      <c r="J18" s="58">
        <f>'Necesidades Trimestrales'!H16</f>
        <v>280</v>
      </c>
      <c r="K18" s="61">
        <f>'Necesidades Trimestrales'!G16</f>
        <v>48</v>
      </c>
      <c r="M18" s="101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15" t="str">
        <f>'Necesidades Trimestrales'!E17</f>
        <v>SUTURA QUIRURGICA ACIDO POLIGLICOLICO TRENZADA ABSORBIBLE T/VICRYL N°4-0 J 304 H X 1 UNID.</v>
      </c>
      <c r="D19" s="115"/>
      <c r="E19" s="115"/>
      <c r="F19" s="115"/>
      <c r="G19" s="115"/>
      <c r="H19" s="52" t="s">
        <v>26</v>
      </c>
      <c r="I19" s="53" t="str">
        <f>'Necesidades Trimestrales'!F17</f>
        <v>UNIDAD</v>
      </c>
      <c r="J19" s="58">
        <f>'Necesidades Trimestrales'!H17</f>
        <v>280</v>
      </c>
      <c r="K19" s="61">
        <f>'Necesidades Trimestrales'!G17</f>
        <v>48</v>
      </c>
      <c r="M19" s="101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15" t="str">
        <f>'Necesidades Trimestrales'!E18</f>
        <v>SUTURA QUIRURGICA ACIDO POLIGLICOLICO TRENZADA ABSORBIBLE T/VICRYL N°5-0 J 303 H X 1 UNID.</v>
      </c>
      <c r="D20" s="115"/>
      <c r="E20" s="115"/>
      <c r="F20" s="115"/>
      <c r="G20" s="115"/>
      <c r="H20" s="52" t="s">
        <v>26</v>
      </c>
      <c r="I20" s="53" t="s">
        <v>11</v>
      </c>
      <c r="J20" s="58">
        <f>'Necesidades Trimestrales'!H18</f>
        <v>280</v>
      </c>
      <c r="K20" s="61">
        <f>'Necesidades Trimestrales'!G18</f>
        <v>48</v>
      </c>
      <c r="M20" s="101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15" t="str">
        <f>'Necesidades Trimestrales'!E19</f>
        <v>SUTURA QUIRURGICA ACIDO POLIGLICOLICO TRENZADA ABSORBIBLE T/VICRYL N°6-0 C/A J 302 H X 1 UNID.</v>
      </c>
      <c r="D21" s="115"/>
      <c r="E21" s="115"/>
      <c r="F21" s="115"/>
      <c r="G21" s="115"/>
      <c r="H21" s="52" t="s">
        <v>26</v>
      </c>
      <c r="I21" s="53" t="str">
        <f>'Necesidades Trimestrales'!F19</f>
        <v>UNIDAD</v>
      </c>
      <c r="J21" s="58">
        <f>'Necesidades Trimestrales'!H19</f>
        <v>280</v>
      </c>
      <c r="K21" s="61">
        <f>'Necesidades Trimestrales'!G19</f>
        <v>48</v>
      </c>
      <c r="M21" s="101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15" t="str">
        <f>'Necesidades Trimestrales'!E20</f>
        <v>SUTURA QUIRURGICA ACIDO POLIGLICOLICO TRENZADA ABSORBIBLE TIPO VICRYL  1  J 353 H x UNIDAD</v>
      </c>
      <c r="D22" s="115"/>
      <c r="E22" s="115"/>
      <c r="F22" s="115"/>
      <c r="G22" s="115"/>
      <c r="H22" s="52" t="s">
        <v>26</v>
      </c>
      <c r="I22" s="53" t="str">
        <f>'Necesidades Trimestrales'!F20</f>
        <v>UNIDAD</v>
      </c>
      <c r="J22" s="58">
        <f>'Necesidades Trimestrales'!H20</f>
        <v>235</v>
      </c>
      <c r="K22" s="61">
        <f>'Necesidades Trimestrales'!G20</f>
        <v>2016</v>
      </c>
      <c r="M22" s="101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15" t="str">
        <f>'Necesidades Trimestrales'!E21</f>
        <v>SUTURA QUIRURGICA ACIDO POLIGLICOLICO TRENZADA ABSORBIBLE TIPO VICRYL 0 J340 H  X UNIDAD</v>
      </c>
      <c r="D23" s="115"/>
      <c r="E23" s="115"/>
      <c r="F23" s="115"/>
      <c r="G23" s="115"/>
      <c r="H23" s="52" t="s">
        <v>26</v>
      </c>
      <c r="I23" s="53" t="str">
        <f>'Necesidades Trimestrales'!F21</f>
        <v>UNIDAD</v>
      </c>
      <c r="J23" s="58">
        <f>'Necesidades Trimestrales'!H21</f>
        <v>235</v>
      </c>
      <c r="K23" s="61">
        <f>'Necesidades Trimestrales'!G21</f>
        <v>1200</v>
      </c>
      <c r="M23" s="101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15" t="str">
        <f>'Necesidades Trimestrales'!E22</f>
        <v>SUTURA QUIRURGICA ACIDO POLIGLICOLICO TRENZADA ABSORBIBLE TIPO VICRYL 1 J341  X UNIDAD</v>
      </c>
      <c r="D24" s="115"/>
      <c r="E24" s="115"/>
      <c r="F24" s="115"/>
      <c r="G24" s="115"/>
      <c r="H24" s="52" t="s">
        <v>26</v>
      </c>
      <c r="I24" s="53" t="str">
        <f>'Necesidades Trimestrales'!F22</f>
        <v>UNIDAD</v>
      </c>
      <c r="J24" s="58">
        <f>'Necesidades Trimestrales'!H22</f>
        <v>235</v>
      </c>
      <c r="K24" s="61">
        <f>'Necesidades Trimestrales'!G22</f>
        <v>3000</v>
      </c>
      <c r="M24" s="101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15" t="str">
        <f>'Necesidades Trimestrales'!E23</f>
        <v>SUTURA QUIRURGICA POLIPROPILENO NO ABSORBIBLE TIPO PROLENE 0 CT 8424 T X UNIDAD</v>
      </c>
      <c r="D25" s="115"/>
      <c r="E25" s="115"/>
      <c r="F25" s="115"/>
      <c r="G25" s="115"/>
      <c r="H25" s="52" t="s">
        <v>26</v>
      </c>
      <c r="I25" s="53" t="str">
        <f>'Necesidades Trimestrales'!F23</f>
        <v>UNIDAD</v>
      </c>
      <c r="J25" s="58">
        <f>'Necesidades Trimestrales'!H23</f>
        <v>780</v>
      </c>
      <c r="K25" s="61">
        <f>'Necesidades Trimestrales'!G23</f>
        <v>36</v>
      </c>
      <c r="M25" s="101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15" t="str">
        <f>'Necesidades Trimestrales'!E24</f>
        <v>SUTURA QUIRURGICA POLIPROPILENO NO ABSORBIBLE TIPO PROLENE 1 CT   8425 H X UNIDAD</v>
      </c>
      <c r="D26" s="115"/>
      <c r="E26" s="115"/>
      <c r="F26" s="115"/>
      <c r="G26" s="115"/>
      <c r="H26" s="52" t="s">
        <v>26</v>
      </c>
      <c r="I26" s="53" t="str">
        <f>'Necesidades Trimestrales'!F24</f>
        <v>UNIDAD</v>
      </c>
      <c r="J26" s="58">
        <f>'Necesidades Trimestrales'!H24</f>
        <v>765</v>
      </c>
      <c r="K26" s="61">
        <f>'Necesidades Trimestrales'!G24</f>
        <v>36</v>
      </c>
      <c r="M26" s="101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15" t="str">
        <f>'Necesidades Trimestrales'!E25</f>
        <v>SUTURA QUIRURGICA POLIPROPILENO NO ABSORBIBLE  2/0  CON AGUJA SC-26 3/08 CIRC 19 mm TIPO PROLENE 8185 T CON UNIDAD</v>
      </c>
      <c r="D27" s="115"/>
      <c r="E27" s="115"/>
      <c r="F27" s="115"/>
      <c r="G27" s="115"/>
      <c r="H27" s="52" t="s">
        <v>26</v>
      </c>
      <c r="I27" s="53" t="str">
        <f>'Necesidades Trimestrales'!F25</f>
        <v>UNIDAD</v>
      </c>
      <c r="J27" s="58">
        <f>'Necesidades Trimestrales'!H25</f>
        <v>782</v>
      </c>
      <c r="K27" s="61">
        <f>'Necesidades Trimestrales'!G25</f>
        <v>36</v>
      </c>
      <c r="M27" s="101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15" t="str">
        <f>'Necesidades Trimestrales'!E26</f>
        <v>SUTURA QUIRURGICA POLIPROPILENO NO ABSORBIBLE  2/0  TIPO PROLENE con aguja recta 8423 T POR UNIDAD</v>
      </c>
      <c r="D28" s="115"/>
      <c r="E28" s="115"/>
      <c r="F28" s="115"/>
      <c r="G28" s="115"/>
      <c r="H28" s="52" t="s">
        <v>26</v>
      </c>
      <c r="I28" s="53" t="str">
        <f>'Necesidades Trimestrales'!F26</f>
        <v>UNIDAD</v>
      </c>
      <c r="J28" s="58">
        <f>'Necesidades Trimestrales'!H26</f>
        <v>782</v>
      </c>
      <c r="K28" s="61">
        <f>'Necesidades Trimestrales'!G26</f>
        <v>36</v>
      </c>
      <c r="M28" s="101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15" t="str">
        <f>'Necesidades Trimestrales'!E27</f>
        <v>SUTURA QUIRURGICA POLIPROPILENO NO ABSORBIBLE  3/0 TIPO PROLENE  8622  H Con aguja recta POR UNIDAD</v>
      </c>
      <c r="D29" s="115"/>
      <c r="E29" s="115"/>
      <c r="F29" s="115"/>
      <c r="G29" s="115"/>
      <c r="H29" s="52" t="s">
        <v>26</v>
      </c>
      <c r="I29" s="53" t="str">
        <f>'Necesidades Trimestrales'!F27</f>
        <v>UNIDAD</v>
      </c>
      <c r="J29" s="58">
        <f>'Necesidades Trimestrales'!H27</f>
        <v>782</v>
      </c>
      <c r="K29" s="61">
        <f>'Necesidades Trimestrales'!G27</f>
        <v>36</v>
      </c>
      <c r="M29" s="101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15" t="str">
        <f>'Necesidades Trimestrales'!E28</f>
        <v>SUTURA QUIRURGICA POLIPROPILENO NO ABSORBIBLE  3/0  TIPO PROLENE  8822 T AGUJA CURVA POR UNIDAD</v>
      </c>
      <c r="D30" s="115"/>
      <c r="E30" s="115"/>
      <c r="F30" s="115"/>
      <c r="G30" s="115"/>
      <c r="H30" s="52" t="s">
        <v>26</v>
      </c>
      <c r="I30" s="53" t="str">
        <f>'Necesidades Trimestrales'!F28</f>
        <v>UNIDAD</v>
      </c>
      <c r="J30" s="58">
        <f>'Necesidades Trimestrales'!H28</f>
        <v>782</v>
      </c>
      <c r="K30" s="61">
        <f>'Necesidades Trimestrales'!G28</f>
        <v>36</v>
      </c>
      <c r="M30" s="101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15" t="str">
        <f>'Necesidades Trimestrales'!E29</f>
        <v>SUTURA QUIRURGICA POLIPROPILENO NO ABSORBIBLE 4/0 TIPO PROLENE  8521 T POR UNIDAD</v>
      </c>
      <c r="D31" s="115"/>
      <c r="E31" s="115"/>
      <c r="F31" s="115"/>
      <c r="G31" s="115"/>
      <c r="H31" s="52" t="s">
        <v>26</v>
      </c>
      <c r="I31" s="53" t="str">
        <f>'Necesidades Trimestrales'!F29</f>
        <v>UNIDAD</v>
      </c>
      <c r="J31" s="58">
        <f>'Necesidades Trimestrales'!H29</f>
        <v>782</v>
      </c>
      <c r="K31" s="61">
        <f>'Necesidades Trimestrales'!G29</f>
        <v>36</v>
      </c>
      <c r="M31" s="101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15" t="str">
        <f>'Necesidades Trimestrales'!E30</f>
        <v>SUTURA QUIRURGICA POLIPROPILENO NO ABSORBIBLE TIPO PROLENE 6/0 P8697 T PLASTICA POR UNIDAD</v>
      </c>
      <c r="D32" s="115"/>
      <c r="E32" s="115"/>
      <c r="F32" s="115"/>
      <c r="G32" s="115"/>
      <c r="H32" s="52" t="s">
        <v>26</v>
      </c>
      <c r="I32" s="53" t="str">
        <f>'Necesidades Trimestrales'!F30</f>
        <v>UNIDAD</v>
      </c>
      <c r="J32" s="58">
        <f>'Necesidades Trimestrales'!H30</f>
        <v>780</v>
      </c>
      <c r="K32" s="61">
        <f>'Necesidades Trimestrales'!G30</f>
        <v>36</v>
      </c>
      <c r="M32" s="101"/>
    </row>
    <row r="33" spans="1:13" ht="43.5" customHeight="1" x14ac:dyDescent="0.25">
      <c r="A33" s="51">
        <f>'Necesidades Trimestrales'!A31</f>
        <v>22</v>
      </c>
      <c r="B33" s="54">
        <f>'Necesidades Trimestrales'!B31</f>
        <v>0</v>
      </c>
      <c r="C33" s="115" t="str">
        <f>'Necesidades Trimestrales'!E31</f>
        <v>SUTURA QUIRURGICA POLIPROPILENO NO ABSORBIBLE TIPO PROLENE 7/0  M 8727 T  POR UNIDAD</v>
      </c>
      <c r="D33" s="115"/>
      <c r="E33" s="115"/>
      <c r="F33" s="115"/>
      <c r="G33" s="115"/>
      <c r="H33" s="52" t="s">
        <v>26</v>
      </c>
      <c r="I33" s="53" t="str">
        <f>'Necesidades Trimestrales'!F31</f>
        <v>UNIDAD</v>
      </c>
      <c r="J33" s="58">
        <f>'Necesidades Trimestrales'!H31</f>
        <v>785</v>
      </c>
      <c r="K33" s="61">
        <f>'Necesidades Trimestrales'!G31</f>
        <v>36</v>
      </c>
      <c r="M33" s="101"/>
    </row>
    <row r="34" spans="1:13" ht="41.25" customHeight="1" thickBot="1" x14ac:dyDescent="0.25">
      <c r="A34" s="117" t="s">
        <v>99</v>
      </c>
      <c r="B34" s="118"/>
      <c r="C34" s="118"/>
      <c r="D34" s="118"/>
      <c r="E34" s="118"/>
      <c r="F34" s="118"/>
      <c r="G34" s="118"/>
      <c r="H34" s="118"/>
      <c r="I34" s="119"/>
      <c r="J34" s="120">
        <f>SUMPRODUCT(J12:J33*K12:K33)</f>
        <v>2944620</v>
      </c>
      <c r="K34" s="121"/>
    </row>
    <row r="35" spans="1:13" ht="12.75" customHeight="1" x14ac:dyDescent="0.2"/>
    <row r="37" spans="1:13" ht="12.75" customHeight="1" x14ac:dyDescent="0.2">
      <c r="J37" s="116"/>
      <c r="K37" s="116"/>
    </row>
    <row r="38" spans="1:13" ht="12.75" customHeight="1" x14ac:dyDescent="0.2">
      <c r="D38" s="56"/>
      <c r="E38" s="56"/>
      <c r="F38" s="56"/>
      <c r="G38" s="56"/>
      <c r="H38" s="56"/>
      <c r="I38" s="56"/>
    </row>
    <row r="39" spans="1:13" ht="15" x14ac:dyDescent="0.2">
      <c r="D39" s="56"/>
      <c r="E39" s="56"/>
      <c r="F39" s="56"/>
      <c r="G39" s="56"/>
      <c r="H39" s="56"/>
      <c r="I39" s="56"/>
    </row>
    <row r="40" spans="1:13" ht="30" customHeight="1" x14ac:dyDescent="0.2">
      <c r="D40" s="56"/>
      <c r="E40" s="56"/>
      <c r="F40" s="56"/>
      <c r="G40" s="56"/>
      <c r="H40" s="56"/>
      <c r="I40" s="56"/>
    </row>
    <row r="41" spans="1:13" ht="15" customHeight="1" x14ac:dyDescent="0.2">
      <c r="D41" s="57"/>
      <c r="E41" s="56"/>
      <c r="F41" s="56"/>
      <c r="G41" s="56"/>
      <c r="H41" s="56"/>
      <c r="I41" s="56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37:K37"/>
    <mergeCell ref="A34:I34"/>
    <mergeCell ref="J34:K34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1" t="s">
        <v>3</v>
      </c>
      <c r="B1" s="151"/>
      <c r="C1" s="151"/>
      <c r="D1" s="152">
        <v>2022</v>
      </c>
      <c r="E1" s="152"/>
      <c r="F1" s="4"/>
      <c r="G1" s="4"/>
      <c r="H1" s="5"/>
      <c r="I1" s="5"/>
      <c r="J1" s="5"/>
      <c r="K1" s="5"/>
      <c r="L1" s="5"/>
      <c r="M1" s="5"/>
      <c r="N1" s="5"/>
      <c r="P1" s="153" t="s">
        <v>27</v>
      </c>
      <c r="Q1" s="153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3"/>
      <c r="Q2" s="153"/>
    </row>
    <row r="4" spans="1:17" s="6" customFormat="1" ht="18" customHeight="1" thickBot="1" x14ac:dyDescent="0.25">
      <c r="A4" s="154" t="s">
        <v>28</v>
      </c>
      <c r="B4" s="154"/>
      <c r="C4" s="154"/>
      <c r="D4" s="154"/>
      <c r="E4" s="154"/>
      <c r="F4" s="154"/>
      <c r="G4" s="155" t="str">
        <f>' NotaPedido'!D3</f>
        <v>40- Ministerio de Salud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s="6" customFormat="1" ht="18" customHeight="1" thickBot="1" x14ac:dyDescent="0.25">
      <c r="A5" s="159" t="s">
        <v>14</v>
      </c>
      <c r="B5" s="160"/>
      <c r="C5" s="160"/>
      <c r="D5" s="160"/>
      <c r="E5" s="160"/>
      <c r="F5" s="161"/>
      <c r="G5" s="155" t="str">
        <f>' NotaPedido'!D4</f>
        <v>28- Maternidad Provincial 25 de Mayo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s="6" customFormat="1" ht="18" customHeight="1" thickBot="1" x14ac:dyDescent="0.25">
      <c r="A6" s="159" t="s">
        <v>15</v>
      </c>
      <c r="B6" s="160"/>
      <c r="C6" s="160"/>
      <c r="D6" s="160"/>
      <c r="E6" s="160"/>
      <c r="F6" s="161"/>
      <c r="G6" s="155" t="str">
        <f>' NotaPedido'!D5</f>
        <v xml:space="preserve">169- Direccion Asistencial 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s="6" customFormat="1" ht="18" customHeight="1" thickBot="1" x14ac:dyDescent="0.25">
      <c r="A7" s="159" t="s">
        <v>16</v>
      </c>
      <c r="B7" s="160"/>
      <c r="C7" s="160"/>
      <c r="D7" s="160"/>
      <c r="E7" s="160"/>
      <c r="F7" s="161"/>
      <c r="G7" s="155" t="str">
        <f>' NotaPedido'!D6</f>
        <v xml:space="preserve">Servicio de Farmacia 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 x14ac:dyDescent="0.25">
      <c r="A8" s="162" t="s">
        <v>29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8" customHeight="1" x14ac:dyDescent="0.2">
      <c r="A9" s="156" t="s">
        <v>30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7"/>
    </row>
    <row r="10" spans="1:17" ht="54.75" customHeight="1" x14ac:dyDescent="0.2">
      <c r="A10" s="157" t="s">
        <v>89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8" t="s">
        <v>31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thickBot="1" x14ac:dyDescent="0.25">
      <c r="A13" s="134" t="s">
        <v>32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33</v>
      </c>
      <c r="P13" s="135"/>
      <c r="Q13" s="136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35"/>
      <c r="P14" s="135"/>
      <c r="Q14" s="136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9</v>
      </c>
      <c r="K15" s="22">
        <v>5</v>
      </c>
      <c r="L15" s="22"/>
      <c r="M15" s="23">
        <v>1</v>
      </c>
      <c r="N15" s="22" t="s">
        <v>48</v>
      </c>
      <c r="O15" s="143" t="s">
        <v>87</v>
      </c>
      <c r="P15" s="144"/>
      <c r="Q15" s="29">
        <v>2944620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45"/>
      <c r="P16" s="146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37"/>
      <c r="P17" s="138"/>
      <c r="Q17" s="29"/>
    </row>
    <row r="18" spans="1:17" ht="31.5" customHeight="1" thickBot="1" x14ac:dyDescent="0.25">
      <c r="A18" s="140" t="s">
        <v>100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7">
        <f>SUM(Q15:Q16)</f>
        <v>2944620</v>
      </c>
    </row>
    <row r="19" spans="1:17" ht="18" customHeight="1" thickBot="1" x14ac:dyDescent="0.25">
      <c r="A19" s="141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1:17" ht="17.25" customHeight="1" thickBot="1" x14ac:dyDescent="0.25">
      <c r="A20" s="147" t="s">
        <v>49</v>
      </c>
      <c r="B20" s="148"/>
      <c r="C20" s="148"/>
      <c r="D20" s="148"/>
      <c r="E20" s="148"/>
      <c r="F20" s="149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7" ht="18" customHeight="1" thickBot="1" x14ac:dyDescent="0.25">
      <c r="A21" s="139" t="s">
        <v>71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  <row r="22" spans="1:17" ht="39.75" customHeight="1" thickBot="1" x14ac:dyDescent="0.25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2022-02-25T13:43:59Z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