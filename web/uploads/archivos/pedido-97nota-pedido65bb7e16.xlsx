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1° trimestre 2022\Articulos de limpieza\"/>
    </mc:Choice>
  </mc:AlternateContent>
  <bookViews>
    <workbookView xWindow="0" yWindow="0" windowWidth="28800" windowHeight="12435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Trimestrales'!$A$9:$I$37</definedName>
    <definedName name="_xlnm.Print_Area" localSheetId="2">'Autor Gastar'!$A$1:$Q$27</definedName>
    <definedName name="_xlnm.Print_Area" localSheetId="1">NotaPedido!$A$1:$K$40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2" l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I39" i="2" l="1"/>
  <c r="C39" i="2"/>
  <c r="B39" i="2"/>
  <c r="I36" i="2" l="1"/>
  <c r="I37" i="2"/>
  <c r="I38" i="2"/>
  <c r="C36" i="2"/>
  <c r="C37" i="2"/>
  <c r="C38" i="2"/>
  <c r="B36" i="2"/>
  <c r="B37" i="2"/>
  <c r="B38" i="2"/>
  <c r="A36" i="2"/>
  <c r="A37" i="2"/>
  <c r="A38" i="2"/>
  <c r="I34" i="1"/>
  <c r="I35" i="1"/>
  <c r="I36" i="1"/>
  <c r="D34" i="1"/>
  <c r="D35" i="1"/>
  <c r="D36" i="1"/>
  <c r="Q23" i="3" l="1"/>
  <c r="I27" i="1"/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2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0" i="2"/>
  <c r="C31" i="2"/>
  <c r="C32" i="2"/>
  <c r="C33" i="2"/>
  <c r="C34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0" i="2"/>
  <c r="B31" i="2"/>
  <c r="B32" i="2"/>
  <c r="B33" i="2"/>
  <c r="B34" i="2"/>
  <c r="B35" i="2"/>
  <c r="C35" i="2" l="1"/>
  <c r="I35" i="2" l="1"/>
  <c r="I18" i="2"/>
  <c r="I17" i="2"/>
  <c r="I16" i="2"/>
  <c r="I15" i="2"/>
  <c r="I14" i="2"/>
  <c r="I13" i="2"/>
  <c r="K12" i="2"/>
  <c r="J12" i="2"/>
  <c r="I12" i="2"/>
  <c r="C12" i="2"/>
  <c r="B12" i="2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25" i="2"/>
  <c r="I24" i="2"/>
  <c r="I23" i="2"/>
  <c r="I22" i="2"/>
  <c r="I21" i="2"/>
  <c r="I20" i="2"/>
  <c r="I19" i="2"/>
  <c r="I32" i="2"/>
  <c r="I31" i="2"/>
  <c r="I30" i="2"/>
  <c r="I28" i="2"/>
  <c r="I27" i="2"/>
  <c r="I26" i="2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30" i="1"/>
  <c r="D30" i="1"/>
  <c r="I29" i="1"/>
  <c r="D29" i="1"/>
  <c r="I28" i="1"/>
  <c r="D28" i="1"/>
  <c r="I26" i="1"/>
  <c r="D26" i="1"/>
  <c r="I25" i="1"/>
  <c r="D25" i="1"/>
  <c r="I24" i="1"/>
  <c r="D24" i="1"/>
  <c r="J40" i="2" l="1"/>
  <c r="D33" i="1"/>
  <c r="D32" i="1"/>
  <c r="D31" i="1"/>
  <c r="I34" i="2" l="1"/>
  <c r="A26" i="3" l="1"/>
  <c r="A10" i="3"/>
  <c r="I33" i="2"/>
  <c r="I33" i="1"/>
  <c r="I32" i="1"/>
  <c r="I31" i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<sst xmlns="http://schemas.openxmlformats.org/spreadsheetml/2006/main" count="311" uniqueCount="170">
  <si>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</si>
  <si>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</si>
  <si>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</si>
  <si>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</si>
  <si>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</si>
  <si>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</si>
  <si>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</si>
  <si>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</si>
  <si>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</si>
  <si>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</si>
  <si>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</si>
  <si>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</si>
  <si>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</si>
  <si>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</si>
  <si>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</si>
  <si>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</si>
  <si>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</si>
  <si>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</si>
  <si>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</si>
  <si>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</si>
  <si>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</si>
  <si>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</si>
  <si>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</si>
  <si>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</si>
  <si>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</si>
  <si>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</si>
  <si>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</si>
  <si>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</si>
  <si>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</si>
  <si>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</si>
  <si>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</si>
  <si>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</si>
  <si>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</si>
  <si>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</si>
  <si>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</si>
  <si>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</si>
  <si>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</si>
  <si>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</si>
  <si>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</si>
  <si>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</si>
  <si>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</si>
  <si>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</si>
  <si>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</si>
  <si>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</si>
  <si>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</si>
  <si>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</si>
  <si>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</si>
  <si>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</si>
  <si>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</si>
  <si>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</si>
  <si>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</si>
  <si>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</si>
  <si>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</si>
  <si>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</si>
  <si>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</si>
  <si>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Horario de entrega: de 8 a 12 hs</t>
  </si>
  <si>
    <t>Productos de Papel y Cartón</t>
  </si>
  <si>
    <t>2.9.1-6952.19</t>
  </si>
  <si>
    <t>2.9.1-6952.20</t>
  </si>
  <si>
    <t>2.5.4-505.90</t>
  </si>
  <si>
    <t>2.9.1-544.3</t>
  </si>
  <si>
    <t>2.9.1-544.4</t>
  </si>
  <si>
    <t>2.9.1-544.7</t>
  </si>
  <si>
    <t>2.9.1-544.66</t>
  </si>
  <si>
    <t>2.9.1-6960.27</t>
  </si>
  <si>
    <t>2.9.1-6960.51</t>
  </si>
  <si>
    <t>2.9.1-6961.23</t>
  </si>
  <si>
    <t>2.9.1-1083.8</t>
  </si>
  <si>
    <t>2.9.1-1164.1</t>
  </si>
  <si>
    <t>2.5.4-506.50</t>
  </si>
  <si>
    <t>2.9.1-6951.60</t>
  </si>
  <si>
    <t>2.9.1-6951.197</t>
  </si>
  <si>
    <t>2.9.1-4784.55</t>
  </si>
  <si>
    <t>2.3.4-786.34</t>
  </si>
  <si>
    <t>2.3.4-783.54</t>
  </si>
  <si>
    <t>2.3.4-783.84</t>
  </si>
  <si>
    <t>2.9.1-713.6</t>
  </si>
  <si>
    <t>2.9.1-2029.14</t>
  </si>
  <si>
    <t>ELEMENTOS DE LIMPIEZA</t>
  </si>
  <si>
    <t>CEPILLOS; TIPO: DE ROPA, MATERIAL: CERDA</t>
  </si>
  <si>
    <t>CEPILLOS; TIPO: DE MANO Y UÑA, MATERIAL: CERDA</t>
  </si>
  <si>
    <t>DESINFECTANTES; PRINCIPIO ACTIVO: ANTIBACTERIANO, CONTROL: BACTERIAS Y HONGOS, PRESENTACION: ENVASE X 390 CM3</t>
  </si>
  <si>
    <t>DESODORANTES DE AMBIENTE; PRESENTACION: UNIDAD, FRAGANCIA: VISTA AL MAR, CONTENIDO: 440 CM3, FORMATO: AEROSOL, LIBRE DE CFC: SI</t>
  </si>
  <si>
    <t>DESODORANTES DE AMBIENTE; FRAGANCIA: CASA DE CAMPO, PRESENTACION: UNIDAD, FORMATO: AEROSOL, CONTENIDO: 440 CM3, LIBRE DE CFC: SI</t>
  </si>
  <si>
    <t>DESODORANTES DE AMBIENTE; PRESENTACION: UNIDAD, CONTENIDO: 440 CM3, FORMATO: AEROSOL, FRAGANCIA: FLORECER SILVESTRE, LIBRE DE CFC: SI</t>
  </si>
  <si>
    <t>DESODORANTES DE AMBIENTE; FORMATO: AEROSOL, FRAGANCIA: JAZMIN, PRESENTACION: ENVASE X 185 GR, LIBRE DE CFC: NO CORRESPONDE</t>
  </si>
  <si>
    <t>ELEM. LIMPIEZA P/INDUMENTARIA; TIPO: JABON EN PAN, PRESENTACION: 200 GR</t>
  </si>
  <si>
    <t>ELEM. LIMPIEZA P/INDUMENTARIA; TIPO: JABON EN POLVO BAJA ESPUMA, PRESENTACION: ENVASE X 6 Kg</t>
  </si>
  <si>
    <t>ELEM. P/LIMPIEZA SANITARIOS; TIPO: SODA CAUSTICA, PRESENTACION: ENVASE X 1 Kg</t>
  </si>
  <si>
    <t>ESPONJA DE ACERO; PESO: 25 GR, MATERIAL: ACERO</t>
  </si>
  <si>
    <t>ESPONJAS; MATERIAL: POLIURETANO POLIETER, USO: P/COCINA, ADITAMENTO: FIBRA POLIESTER SUAVE, FORMA: PRISMATICA, LARGO X ANCHO X ESP: 10 X 6 X 3,5 Cm, COLOR: AMARILLO</t>
  </si>
  <si>
    <t>INSECTICIDAS; PRINCIPIO ACTIVO: BETA CYFLUTRINA, USO P/CONTROL: MOSCAS Y MOSQUITOS, ACCION: RESIDUAL, PRESENTACION: AEROSOL X 440 CM3, CONTROL: MOSCAS Y MOSQUITOS, CAPACIDAD: 440 CM3</t>
  </si>
  <si>
    <t>LIMPIADORES; TIPO: DESENGRASANTE, PRESENTACION: ENVASE X 5 L</t>
  </si>
  <si>
    <t>LIMPIADORES; TIPO: CREMOSO, PRESENTACION: ENVASE X 750 CM3</t>
  </si>
  <si>
    <t>LIMPIADORES MULTIUSO; COMPUESTOS BIODEGRADABLES: SI, PRESENTACION: ENVASE X 5 L, TIPO: JABON LIQUIDO TOCADOR</t>
  </si>
  <si>
    <t>PAPEL HIGIENICO; PRESENTACION: PAQUETE X 4 UN, TIPO: ROLLO PRECORTADO, HOJA: DOBLE, ANCHO: 10 Cm, LARGO: 30 M, TIPO DE HOJA: DOBLE, MATERIAL HOJA: DOBLE</t>
  </si>
  <si>
    <t>TOALLAS DE PAPEL; MATERIAL: PAPEL ECOLOGICO, GRAMAJE: 30 GR/CM2, DIMENSION: 18,4 X 24 Cm, PRESENTACION: X 10</t>
  </si>
  <si>
    <t>TOALLAS DE PAPEL; MATERIAL: FIBRA CELULOSICA, GRAMAJE: 20 GR/M2, DIMENSION: 25 Cm, PRESENTACION: 2 X BOBINA X 400 M</t>
  </si>
  <si>
    <t>TRAPOS DE PISO; DIMENSION: 48 X 60 Cm, COLOR: GRIS</t>
  </si>
  <si>
    <t>TRAPOS REPASADORES; MATERIAL: ALGODON, DIMENSION: 60 X 60 Cm</t>
  </si>
  <si>
    <t>LIMPIADORES; TIPO: LAVANDINA, PRESENTACION: ENVASE X 5 L</t>
  </si>
  <si>
    <t xml:space="preserve">unidad </t>
  </si>
  <si>
    <t>unidad</t>
  </si>
  <si>
    <t xml:space="preserve">bolsa </t>
  </si>
  <si>
    <t>paquete</t>
  </si>
  <si>
    <t>caja</t>
  </si>
  <si>
    <t xml:space="preserve">Adquisición de elementos de limpieza </t>
  </si>
  <si>
    <t>Insecticidas, Fumigantes y Otros</t>
  </si>
  <si>
    <t>Elementos de Limpieza</t>
  </si>
  <si>
    <t>Descripción técnica</t>
  </si>
  <si>
    <t>Calidad Minima esperada</t>
  </si>
  <si>
    <t>Mantenimiento</t>
  </si>
  <si>
    <t>Garantia</t>
  </si>
  <si>
    <t>Especificidades Item N° 3.</t>
  </si>
  <si>
    <t>LAVANDINA LIQUIDA POR 5 LITROS</t>
  </si>
  <si>
    <t>Lugares de entrega:</t>
  </si>
  <si>
    <t>8 a 12 Hs</t>
  </si>
  <si>
    <t>SI</t>
  </si>
  <si>
    <t>2.9.1-6951.30</t>
  </si>
  <si>
    <t xml:space="preserve">SECTOR ECONOMATO-MATERNIDAD PROVINCIAL 25 DE MAYO , HERNADO DE PEDRAZA 1650- </t>
  </si>
  <si>
    <t xml:space="preserve">Hora de entrega: </t>
  </si>
  <si>
    <t xml:space="preserve">Plazo de Entrega : </t>
  </si>
  <si>
    <t xml:space="preserve">171-Direccion de Admisnitracion </t>
  </si>
  <si>
    <t>Servicio de Economato y Nutricion</t>
  </si>
  <si>
    <t>Bidon</t>
  </si>
  <si>
    <t xml:space="preserve">Bidon </t>
  </si>
  <si>
    <t xml:space="preserve">30 dias </t>
  </si>
  <si>
    <t xml:space="preserve">Plazo de mantenimiento de oferta: 30 dias </t>
  </si>
  <si>
    <t>Plazo de entrega:  10 dias habiles desde la firma de instrumento contractual.</t>
  </si>
  <si>
    <t>Lugar de entrega: Servicio de economato de Maternidad Provincial 25 de Mayo- Hernando de Pedraza Nº 1.650</t>
  </si>
  <si>
    <t>Especificidades Item N° 23</t>
  </si>
  <si>
    <t>2.9.1-6951.12</t>
  </si>
  <si>
    <t>LIMPIADORES; PRESENTACION: ENVASE X 5 L, TIPO: DETERGENTE</t>
  </si>
  <si>
    <t>bidon</t>
  </si>
  <si>
    <t>2.3.4-938.59</t>
  </si>
  <si>
    <t>SERVILLETAS DE PAPEL; TIPO: ROLLO, MOTIVO: SIN, DIMENSION: 25 X 10 Cm, PRESENTACION: ENVASE X 3 UN</t>
  </si>
  <si>
    <t>2.3.4</t>
  </si>
  <si>
    <t>10 dias desde la firma de instrumento contractual.</t>
  </si>
  <si>
    <t>2.9.1-1654.13</t>
  </si>
  <si>
    <t>2.9.1-678.11</t>
  </si>
  <si>
    <t>2.9.1-2029.11</t>
  </si>
  <si>
    <t>TRAPOS; TIPO: MICROFIBRA MULTIUSO, PRESENTACION: UNIDAD</t>
  </si>
  <si>
    <t>TRAPOS REJILLA; DIMENSION: 40 X 45 Cm, MATERIAL: ALGODON</t>
  </si>
  <si>
    <t>TRAPOS REPASADORES; MATERIAL: MICROFIBRA, DIMENSION: 30 X 40 Cm</t>
  </si>
  <si>
    <t>2.9.1-646.86</t>
  </si>
  <si>
    <t>BOLSAS DE RESIDUOS; DIMENSION: 100 X 60 Cm, PRESENTACION: UNIDAD, ESPESOR: 40 Mn</t>
  </si>
  <si>
    <t>Plazos y lugares de entrega</t>
  </si>
  <si>
    <t>10 DIAS HABILES DESDE LA FIRMA DEL INSTRUMENTO CONTRACTUAL</t>
  </si>
  <si>
    <t>Especificidades Item N° 28</t>
  </si>
  <si>
    <t>Especificidades Item N° 25</t>
  </si>
  <si>
    <t>SECTOR ECONOMATO  - MATERNIDAD PROVINCIAL 25 DE MAYO - H. DE PEDRAZA 1650</t>
  </si>
  <si>
    <t>30 dias</t>
  </si>
  <si>
    <t>1º Trimestre</t>
  </si>
  <si>
    <t>1º TRIMESTRE AÑO 2022</t>
  </si>
  <si>
    <t>Entrega de Mercaderia: Item 1 al 28</t>
  </si>
  <si>
    <t>TRAPOS; TIPO: MICROFIBRA  tamaño 40cm x 40 cm.</t>
  </si>
  <si>
    <t>BOLSA DE CONSORCIO CON FUELLE  COLOR VERDE DE BAJA DENSIDAD.NO DE ARRASTRE.A</t>
  </si>
  <si>
    <t>2.5.8</t>
  </si>
  <si>
    <t>Pructos de material plastico</t>
  </si>
  <si>
    <t>Paquete</t>
  </si>
  <si>
    <t>Especificidades Item N° 20.</t>
  </si>
  <si>
    <t>Toallas de papel: paquete por 2 unidades cada uno</t>
  </si>
  <si>
    <t>Costo total estimado: UN MILLON SETECIENTOS CUARENTA Y UN MIL CIENTO OCHO CON 75/100</t>
  </si>
  <si>
    <t>TOTAL DE PESOS: UN MILLON SETECIENTOS CUARENTA Y UN MIL CIENTO OCHO CON 75/100</t>
  </si>
  <si>
    <t>08/2022</t>
  </si>
  <si>
    <t xml:space="preserve">TIPO LISOFORD O AYUDIN </t>
  </si>
  <si>
    <t>Especificidades Item N° 1.</t>
  </si>
  <si>
    <t>Especificidades Item N° 2.</t>
  </si>
  <si>
    <t>Material del Mango: plastico, Medida aproximadas del mango: 15 cm de largo x 5 cm de ancho x 5 cm de alto</t>
  </si>
  <si>
    <t>Material del Mango: plastico, Medida aproximadas del mango: 8 cm de largo x 2 cm de ancho x 4 cm de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</si>
</sst>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\ #,##0.00;[Red]\-&quot;$&quot;\ #,##0.0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4"/>
      <name val="Arial"/>
      <family val="2"/>
    </font>
    <font>
      <u/>
      <sz val="10"/>
      <name val="Times New Roman"/>
      <family val="1"/>
    </font>
    <font>
      <sz val="9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C6EFCE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/>
    <xf numFmtId="165" fontId="19" fillId="0" borderId="0" applyBorder="0" applyProtection="0"/>
    <xf numFmtId="0" fontId="6" fillId="0" borderId="1" applyProtection="0"/>
    <xf numFmtId="164" fontId="7" fillId="0" borderId="0" applyBorder="0" applyProtection="0"/>
    <xf numFmtId="0" fontId="8" fillId="2" borderId="0" applyBorder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32" fillId="7" borderId="0" applyNumberFormat="0" applyBorder="0" applyAlignment="0" applyProtection="0"/>
  </cellStyleXfs>
  <cellXfs count="218">
    <xf numFmtId="0" fontId="0" fillId="0" borderId="0" xfId="0"/>
    <xf numFmtId="0" fontId="0" fillId="0" borderId="0" xfId="0" applyBorder="1"/>
    <xf numFmtId="0" fontId="7" fillId="0" borderId="0" xfId="0" applyFont="1" applyBorder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10" fillId="0" borderId="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7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20" fillId="0" borderId="0" xfId="0" applyFont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wrapText="1"/>
    </xf>
    <xf numFmtId="0" fontId="20" fillId="0" borderId="0" xfId="0" applyFont="1" applyBorder="1"/>
    <xf numFmtId="0" fontId="24" fillId="0" borderId="9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3" fontId="9" fillId="4" borderId="14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18" fillId="0" borderId="35" xfId="0" applyNumberFormat="1" applyFont="1" applyBorder="1" applyAlignment="1">
      <alignment horizontal="right" vertical="center"/>
    </xf>
    <xf numFmtId="0" fontId="24" fillId="0" borderId="40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166" fontId="9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7" fillId="0" borderId="45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166" fontId="28" fillId="3" borderId="14" xfId="1" applyNumberFormat="1" applyFont="1" applyFill="1" applyBorder="1" applyAlignment="1" applyProtection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166" fontId="28" fillId="3" borderId="43" xfId="1" applyNumberFormat="1" applyFont="1" applyFill="1" applyBorder="1" applyAlignment="1" applyProtection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5" fillId="3" borderId="0" xfId="0" applyFont="1" applyFill="1" applyAlignment="1">
      <alignment horizontal="left" wrapText="1" indent="1"/>
    </xf>
    <xf numFmtId="0" fontId="24" fillId="4" borderId="0" xfId="0" applyFont="1" applyFill="1" applyAlignment="1">
      <alignment horizontal="left" wrapText="1"/>
    </xf>
    <xf numFmtId="167" fontId="0" fillId="0" borderId="0" xfId="0" applyNumberFormat="1"/>
    <xf numFmtId="0" fontId="20" fillId="4" borderId="0" xfId="0" applyFont="1" applyFill="1" applyBorder="1"/>
    <xf numFmtId="0" fontId="0" fillId="0" borderId="39" xfId="0" applyBorder="1" applyAlignment="1">
      <alignment horizontal="center" vertical="center"/>
    </xf>
    <xf numFmtId="0" fontId="5" fillId="4" borderId="39" xfId="6" applyFill="1" applyBorder="1" applyAlignment="1">
      <alignment horizontal="center" vertical="center" wrapText="1"/>
    </xf>
    <xf numFmtId="0" fontId="5" fillId="4" borderId="39" xfId="6" applyFill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29" fillId="0" borderId="0" xfId="0" applyFont="1" applyBorder="1" applyAlignment="1">
      <alignment vertical="center"/>
    </xf>
    <xf numFmtId="0" fontId="30" fillId="0" borderId="2" xfId="0" applyFont="1" applyBorder="1"/>
    <xf numFmtId="0" fontId="20" fillId="0" borderId="3" xfId="0" applyFont="1" applyBorder="1"/>
    <xf numFmtId="0" fontId="20" fillId="0" borderId="4" xfId="0" applyFont="1" applyBorder="1"/>
    <xf numFmtId="0" fontId="20" fillId="0" borderId="49" xfId="0" applyFont="1" applyBorder="1"/>
    <xf numFmtId="0" fontId="20" fillId="0" borderId="50" xfId="0" applyFont="1" applyBorder="1"/>
    <xf numFmtId="0" fontId="30" fillId="0" borderId="49" xfId="0" applyFont="1" applyBorder="1" applyAlignment="1">
      <alignment horizontal="left" indent="3"/>
    </xf>
    <xf numFmtId="0" fontId="20" fillId="0" borderId="49" xfId="0" applyFont="1" applyBorder="1" applyAlignment="1">
      <alignment horizontal="left" indent="3"/>
    </xf>
    <xf numFmtId="0" fontId="20" fillId="0" borderId="0" xfId="0" applyFont="1" applyAlignment="1">
      <alignment horizontal="center" wrapText="1"/>
    </xf>
    <xf numFmtId="0" fontId="20" fillId="0" borderId="50" xfId="0" applyFont="1" applyBorder="1" applyAlignment="1">
      <alignment horizontal="center" wrapText="1"/>
    </xf>
    <xf numFmtId="0" fontId="30" fillId="0" borderId="51" xfId="0" applyFont="1" applyBorder="1" applyAlignment="1">
      <alignment horizontal="left" indent="3"/>
    </xf>
    <xf numFmtId="0" fontId="20" fillId="0" borderId="0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27" fillId="4" borderId="44" xfId="0" applyFont="1" applyFill="1" applyBorder="1" applyAlignment="1">
      <alignment horizontal="center" vertical="center" wrapText="1"/>
    </xf>
    <xf numFmtId="0" fontId="27" fillId="4" borderId="45" xfId="0" applyFont="1" applyFill="1" applyBorder="1" applyAlignment="1">
      <alignment horizontal="center" vertical="center" wrapText="1"/>
    </xf>
    <xf numFmtId="0" fontId="5" fillId="4" borderId="39" xfId="5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8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4" fillId="4" borderId="39" xfId="6" applyFont="1" applyFill="1" applyBorder="1" applyAlignment="1">
      <alignment horizontal="center" vertical="center"/>
    </xf>
    <xf numFmtId="0" fontId="4" fillId="4" borderId="39" xfId="6" applyFont="1" applyFill="1" applyBorder="1" applyAlignment="1">
      <alignment horizontal="center" vertical="center" wrapText="1"/>
    </xf>
    <xf numFmtId="0" fontId="20" fillId="0" borderId="54" xfId="0" applyFont="1" applyBorder="1"/>
    <xf numFmtId="0" fontId="20" fillId="0" borderId="47" xfId="0" applyFont="1" applyBorder="1"/>
    <xf numFmtId="0" fontId="20" fillId="0" borderId="55" xfId="0" applyFont="1" applyBorder="1"/>
    <xf numFmtId="0" fontId="20" fillId="4" borderId="0" xfId="0" applyFont="1" applyFill="1" applyBorder="1" applyAlignment="1">
      <alignment horizontal="left"/>
    </xf>
    <xf numFmtId="0" fontId="20" fillId="0" borderId="0" xfId="0" applyFont="1" applyAlignment="1"/>
    <xf numFmtId="0" fontId="20" fillId="4" borderId="0" xfId="0" applyFont="1" applyFill="1" applyBorder="1" applyAlignment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/>
    <xf numFmtId="0" fontId="20" fillId="0" borderId="2" xfId="0" applyFont="1" applyBorder="1"/>
    <xf numFmtId="0" fontId="20" fillId="0" borderId="50" xfId="0" applyFont="1" applyBorder="1" applyAlignment="1"/>
    <xf numFmtId="0" fontId="20" fillId="0" borderId="51" xfId="0" applyFont="1" applyBorder="1"/>
    <xf numFmtId="0" fontId="20" fillId="0" borderId="56" xfId="0" applyFont="1" applyBorder="1"/>
    <xf numFmtId="0" fontId="20" fillId="0" borderId="52" xfId="0" applyFont="1" applyBorder="1"/>
    <xf numFmtId="0" fontId="26" fillId="0" borderId="0" xfId="0" applyFont="1" applyBorder="1"/>
    <xf numFmtId="0" fontId="26" fillId="0" borderId="3" xfId="0" applyFont="1" applyBorder="1"/>
    <xf numFmtId="0" fontId="3" fillId="4" borderId="39" xfId="5" applyFont="1" applyFill="1" applyBorder="1" applyAlignment="1">
      <alignment horizontal="center" vertical="center" wrapText="1"/>
    </xf>
    <xf numFmtId="0" fontId="3" fillId="4" borderId="39" xfId="6" applyFont="1" applyFill="1" applyBorder="1" applyAlignment="1">
      <alignment horizontal="center" vertical="center" wrapText="1"/>
    </xf>
    <xf numFmtId="0" fontId="0" fillId="0" borderId="57" xfId="0" applyBorder="1"/>
    <xf numFmtId="0" fontId="27" fillId="0" borderId="5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wrapText="1"/>
    </xf>
    <xf numFmtId="0" fontId="20" fillId="0" borderId="50" xfId="0" applyFont="1" applyBorder="1" applyAlignment="1">
      <alignment horizontal="center" wrapText="1"/>
    </xf>
    <xf numFmtId="0" fontId="20" fillId="0" borderId="50" xfId="0" applyFont="1" applyBorder="1" applyAlignment="1">
      <alignment horizontal="center"/>
    </xf>
    <xf numFmtId="0" fontId="27" fillId="0" borderId="59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left" indent="3"/>
    </xf>
    <xf numFmtId="0" fontId="20" fillId="0" borderId="39" xfId="0" applyFont="1" applyBorder="1"/>
    <xf numFmtId="0" fontId="27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3" fontId="9" fillId="0" borderId="43" xfId="0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 wrapText="1"/>
    </xf>
    <xf numFmtId="0" fontId="20" fillId="0" borderId="0" xfId="0" applyFont="1"/>
    <xf numFmtId="0" fontId="30" fillId="0" borderId="2" xfId="0" applyFont="1" applyBorder="1"/>
    <xf numFmtId="0" fontId="20" fillId="0" borderId="3" xfId="0" applyFont="1" applyBorder="1"/>
    <xf numFmtId="0" fontId="20" fillId="0" borderId="4" xfId="0" applyFont="1" applyBorder="1"/>
    <xf numFmtId="0" fontId="20" fillId="0" borderId="49" xfId="0" applyFont="1" applyBorder="1"/>
    <xf numFmtId="0" fontId="20" fillId="0" borderId="0" xfId="0" applyFont="1" applyBorder="1"/>
    <xf numFmtId="0" fontId="20" fillId="0" borderId="50" xfId="0" applyFont="1" applyBorder="1"/>
    <xf numFmtId="0" fontId="30" fillId="0" borderId="49" xfId="0" applyFont="1" applyBorder="1" applyAlignment="1">
      <alignment horizontal="left" indent="3"/>
    </xf>
    <xf numFmtId="0" fontId="20" fillId="0" borderId="49" xfId="0" applyFont="1" applyBorder="1" applyAlignment="1">
      <alignment horizontal="left" indent="3"/>
    </xf>
    <xf numFmtId="0" fontId="20" fillId="0" borderId="56" xfId="0" applyFont="1" applyBorder="1"/>
    <xf numFmtId="0" fontId="20" fillId="0" borderId="52" xfId="0" applyFont="1" applyBorder="1"/>
    <xf numFmtId="0" fontId="20" fillId="0" borderId="0" xfId="0" applyFont="1" applyFill="1" applyBorder="1"/>
    <xf numFmtId="0" fontId="20" fillId="0" borderId="50" xfId="0" applyFont="1" applyFill="1" applyBorder="1"/>
    <xf numFmtId="0" fontId="20" fillId="0" borderId="0" xfId="0" applyFont="1" applyFill="1" applyBorder="1" applyAlignment="1">
      <alignment horizontal="center" wrapText="1"/>
    </xf>
    <xf numFmtId="0" fontId="20" fillId="0" borderId="50" xfId="0" applyFont="1" applyFill="1" applyBorder="1" applyAlignment="1">
      <alignment horizontal="center" wrapText="1"/>
    </xf>
    <xf numFmtId="0" fontId="9" fillId="0" borderId="43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wrapText="1"/>
    </xf>
    <xf numFmtId="0" fontId="20" fillId="0" borderId="49" xfId="0" applyFont="1" applyBorder="1" applyAlignment="1">
      <alignment wrapText="1"/>
    </xf>
    <xf numFmtId="0" fontId="31" fillId="0" borderId="60" xfId="0" applyFont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0" fillId="0" borderId="43" xfId="0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50" xfId="0" applyFont="1" applyBorder="1" applyAlignment="1">
      <alignment horizontal="center" wrapText="1"/>
    </xf>
    <xf numFmtId="0" fontId="20" fillId="0" borderId="50" xfId="0" applyFont="1" applyBorder="1" applyAlignment="1">
      <alignment horizontal="center"/>
    </xf>
    <xf numFmtId="0" fontId="20" fillId="0" borderId="0" xfId="0" applyFont="1" applyBorder="1" applyAlignment="1">
      <alignment horizontal="center" wrapText="1"/>
    </xf>
    <xf numFmtId="167" fontId="33" fillId="0" borderId="0" xfId="0" applyNumberFormat="1" applyFont="1" applyFill="1" applyAlignment="1">
      <alignment horizontal="left" wrapText="1"/>
    </xf>
    <xf numFmtId="167" fontId="34" fillId="0" borderId="2" xfId="0" applyNumberFormat="1" applyFont="1" applyFill="1" applyBorder="1" applyAlignment="1">
      <alignment horizontal="center" vertical="center" wrapText="1"/>
    </xf>
    <xf numFmtId="167" fontId="2" fillId="0" borderId="39" xfId="7" applyNumberFormat="1" applyFont="1" applyFill="1" applyBorder="1" applyAlignment="1">
      <alignment horizontal="center"/>
    </xf>
    <xf numFmtId="0" fontId="2" fillId="0" borderId="0" xfId="7" applyFont="1" applyFill="1"/>
    <xf numFmtId="167" fontId="2" fillId="0" borderId="53" xfId="7" applyNumberFormat="1" applyFont="1" applyFill="1" applyBorder="1" applyAlignment="1">
      <alignment horizontal="center" vertical="center"/>
    </xf>
    <xf numFmtId="167" fontId="33" fillId="0" borderId="0" xfId="0" applyNumberFormat="1" applyFont="1" applyFill="1"/>
    <xf numFmtId="167" fontId="33" fillId="0" borderId="0" xfId="0" applyNumberFormat="1" applyFont="1" applyFill="1" applyAlignment="1"/>
    <xf numFmtId="0" fontId="2" fillId="4" borderId="39" xfId="6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indent="3"/>
    </xf>
    <xf numFmtId="0" fontId="1" fillId="4" borderId="39" xfId="6" applyFont="1" applyFill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167" fontId="1" fillId="0" borderId="60" xfId="7" applyNumberFormat="1" applyFont="1" applyFill="1" applyBorder="1" applyAlignment="1">
      <alignment horizontal="center" vertical="center" wrapText="1"/>
    </xf>
    <xf numFmtId="8" fontId="23" fillId="0" borderId="61" xfId="0" applyNumberFormat="1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50" xfId="0" applyFont="1" applyBorder="1" applyAlignment="1">
      <alignment horizontal="center"/>
    </xf>
    <xf numFmtId="49" fontId="11" fillId="0" borderId="6" xfId="0" applyNumberFormat="1" applyFont="1" applyFill="1" applyBorder="1" applyAlignment="1">
      <alignment horizontal="center" vertical="center"/>
    </xf>
    <xf numFmtId="0" fontId="20" fillId="0" borderId="50" xfId="0" applyFont="1" applyBorder="1" applyAlignment="1">
      <alignment horizontal="center" wrapText="1"/>
    </xf>
    <xf numFmtId="0" fontId="28" fillId="0" borderId="50" xfId="0" applyFont="1" applyBorder="1" applyAlignment="1">
      <alignment horizontal="center" wrapText="1"/>
    </xf>
    <xf numFmtId="0" fontId="20" fillId="0" borderId="50" xfId="0" applyFont="1" applyBorder="1" applyAlignment="1">
      <alignment horizontal="center"/>
    </xf>
    <xf numFmtId="0" fontId="22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center"/>
    </xf>
    <xf numFmtId="0" fontId="25" fillId="3" borderId="0" xfId="0" applyFont="1" applyFill="1" applyBorder="1" applyAlignment="1">
      <alignment horizontal="left" wrapText="1" indent="1"/>
    </xf>
    <xf numFmtId="0" fontId="20" fillId="0" borderId="52" xfId="0" applyFont="1" applyBorder="1" applyAlignment="1">
      <alignment horizontal="center"/>
    </xf>
    <xf numFmtId="0" fontId="20" fillId="0" borderId="49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/>
    </xf>
    <xf numFmtId="0" fontId="20" fillId="0" borderId="50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0" fillId="0" borderId="49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 wrapText="1" indent="1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67" fontId="26" fillId="4" borderId="9" xfId="0" applyNumberFormat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9" fillId="4" borderId="46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7" fillId="0" borderId="6" xfId="0" applyFont="1" applyBorder="1"/>
    <xf numFmtId="0" fontId="16" fillId="4" borderId="6" xfId="0" applyFont="1" applyFill="1" applyBorder="1" applyAlignment="1">
      <alignment horizontal="left" indent="1"/>
    </xf>
    <xf numFmtId="0" fontId="9" fillId="0" borderId="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  <xf numFmtId="0" fontId="16" fillId="0" borderId="18" xfId="0" applyFont="1" applyBorder="1"/>
    <xf numFmtId="0" fontId="16" fillId="0" borderId="19" xfId="0" applyFont="1" applyFill="1" applyBorder="1" applyAlignment="1">
      <alignment horizontal="left" vertical="center" wrapText="1" indent="1"/>
    </xf>
    <xf numFmtId="0" fontId="18" fillId="0" borderId="1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4" fillId="0" borderId="15" xfId="0" applyFont="1" applyBorder="1" applyAlignment="1">
      <alignment vertical="center" wrapText="1"/>
    </xf>
    <xf numFmtId="0" fontId="14" fillId="0" borderId="3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3" borderId="35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18" fillId="0" borderId="35" xfId="0" applyFont="1" applyBorder="1" applyAlignment="1">
      <alignment horizontal="left" vertical="center" wrapText="1"/>
    </xf>
    <xf numFmtId="0" fontId="0" fillId="0" borderId="17" xfId="0" applyBorder="1"/>
  </cellXfs>
  <cellStyles count="8">
    <cellStyle name="20% - Énfasis2" xfId="5" builtinId="34"/>
    <cellStyle name="20% - Énfasis4" xfId="6" builtinId="42"/>
    <cellStyle name="Buena" xfId="7" builtinId="26"/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2"/>
  <sheetViews>
    <sheetView topLeftCell="A155" zoomScale="90" zoomScaleNormal="90" workbookViewId="0">
      <selection activeCell="E194" sqref="E194"/>
    </sheetView>
  </sheetViews>
  <sheetFormatPr baseColWidth="10" defaultColWidth="11" defaultRowHeight="12.75" x14ac:dyDescent="0.2"/>
  <cols>
    <col min="1" max="1" width="4.5703125" style="37" customWidth="1"/>
    <col min="2" max="2" width="19.5703125" style="37" bestFit="1" customWidth="1"/>
    <col min="3" max="3" width="26" style="37" bestFit="1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150" customWidth="1"/>
    <col min="9" max="9" width="18.5703125" style="37" customWidth="1"/>
    <col min="10" max="16384" width="11" style="37"/>
  </cols>
  <sheetData>
    <row r="2" spans="1:11" ht="27" x14ac:dyDescent="0.35">
      <c r="B2" s="166" t="s">
        <v>0</v>
      </c>
      <c r="C2" s="166"/>
      <c r="D2" s="166"/>
      <c r="E2" s="166"/>
      <c r="F2" s="166"/>
      <c r="G2" s="166"/>
      <c r="H2" s="166"/>
    </row>
    <row r="4" spans="1:11" ht="18" customHeight="1" x14ac:dyDescent="0.25">
      <c r="A4" s="165" t="s">
        <v>1</v>
      </c>
      <c r="B4" s="165"/>
      <c r="C4" s="167" t="s">
        <v>52</v>
      </c>
      <c r="D4" s="167"/>
      <c r="E4" s="167"/>
      <c r="F4" s="38"/>
      <c r="G4" s="39"/>
      <c r="H4" s="145"/>
    </row>
    <row r="5" spans="1:11" ht="18" customHeight="1" x14ac:dyDescent="0.25">
      <c r="A5" s="165" t="s">
        <v>2</v>
      </c>
      <c r="B5" s="165"/>
      <c r="C5" s="167" t="s">
        <v>54</v>
      </c>
      <c r="D5" s="167"/>
      <c r="E5" s="167"/>
      <c r="F5" s="38"/>
      <c r="G5" s="39"/>
      <c r="H5" s="145"/>
    </row>
    <row r="6" spans="1:11" ht="16.5" customHeight="1" x14ac:dyDescent="0.25">
      <c r="A6" s="165" t="s">
        <v>3</v>
      </c>
      <c r="B6" s="165"/>
      <c r="C6" s="61">
        <v>2022</v>
      </c>
      <c r="D6" s="62"/>
      <c r="E6" s="62"/>
      <c r="F6" s="38"/>
      <c r="G6" s="39"/>
      <c r="H6" s="145"/>
    </row>
    <row r="7" spans="1:11" ht="16.5" customHeight="1" x14ac:dyDescent="0.25">
      <c r="A7" s="165" t="s">
        <v>4</v>
      </c>
      <c r="B7" s="165"/>
      <c r="C7" s="61" t="s">
        <v>152</v>
      </c>
      <c r="D7" s="62"/>
      <c r="E7" s="62"/>
      <c r="F7" s="38"/>
      <c r="G7" s="39"/>
      <c r="H7" s="145"/>
    </row>
    <row r="8" spans="1:11" ht="13.5" thickBot="1" x14ac:dyDescent="0.25">
      <c r="B8" s="38"/>
      <c r="C8" s="39"/>
      <c r="D8" s="38"/>
      <c r="E8" s="38"/>
      <c r="F8" s="38"/>
      <c r="G8" s="39"/>
      <c r="H8" s="145"/>
    </row>
    <row r="9" spans="1:11" ht="39" thickBot="1" x14ac:dyDescent="0.25">
      <c r="A9" s="41" t="s">
        <v>5</v>
      </c>
      <c r="B9" s="59" t="s">
        <v>6</v>
      </c>
      <c r="C9" s="41" t="s">
        <v>7</v>
      </c>
      <c r="D9" s="49" t="s">
        <v>8</v>
      </c>
      <c r="E9" s="47" t="s">
        <v>9</v>
      </c>
      <c r="F9" s="48" t="s">
        <v>10</v>
      </c>
      <c r="G9" s="47" t="s">
        <v>11</v>
      </c>
      <c r="H9" s="146" t="s">
        <v>12</v>
      </c>
      <c r="I9" s="47" t="s">
        <v>13</v>
      </c>
    </row>
    <row r="10" spans="1:11" ht="45.75" customHeight="1" x14ac:dyDescent="0.25">
      <c r="A10" s="54">
        <v>1</v>
      </c>
      <c r="B10" s="60" t="s">
        <v>57</v>
      </c>
      <c r="C10" s="54" t="s">
        <v>78</v>
      </c>
      <c r="D10" s="55" t="str">
        <f t="shared" ref="D10:D16" si="0">LEFT(B10,5)</f>
        <v>2.9.1</v>
      </c>
      <c r="E10" s="66" t="s">
        <v>79</v>
      </c>
      <c r="F10" s="66" t="s">
        <v>101</v>
      </c>
      <c r="G10" s="66">
        <v>15</v>
      </c>
      <c r="H10" s="147">
        <v>89.95</v>
      </c>
      <c r="I10" s="56">
        <f t="shared" ref="I10:I16" si="1">G10*H10</f>
        <v>1349.25</v>
      </c>
    </row>
    <row r="11" spans="1:11" ht="31.9" customHeight="1" x14ac:dyDescent="0.25">
      <c r="A11" s="57">
        <v>2</v>
      </c>
      <c r="B11" s="55" t="s">
        <v>58</v>
      </c>
      <c r="C11" s="54" t="s">
        <v>78</v>
      </c>
      <c r="D11" s="55" t="str">
        <f t="shared" si="0"/>
        <v>2.9.1</v>
      </c>
      <c r="E11" s="66" t="s">
        <v>80</v>
      </c>
      <c r="F11" s="66" t="s">
        <v>102</v>
      </c>
      <c r="G11" s="66">
        <v>15</v>
      </c>
      <c r="H11" s="147">
        <v>82</v>
      </c>
      <c r="I11" s="58">
        <f t="shared" si="1"/>
        <v>1230</v>
      </c>
      <c r="K11" s="120"/>
    </row>
    <row r="12" spans="1:11" ht="31.9" customHeight="1" x14ac:dyDescent="0.25">
      <c r="A12" s="57">
        <v>3</v>
      </c>
      <c r="B12" s="55" t="s">
        <v>59</v>
      </c>
      <c r="C12" s="54" t="s">
        <v>78</v>
      </c>
      <c r="D12" s="55" t="str">
        <f t="shared" si="0"/>
        <v>2.5.4</v>
      </c>
      <c r="E12" s="154" t="s">
        <v>81</v>
      </c>
      <c r="F12" s="67" t="s">
        <v>101</v>
      </c>
      <c r="G12" s="67">
        <v>100</v>
      </c>
      <c r="H12" s="147">
        <v>195</v>
      </c>
      <c r="I12" s="58">
        <f t="shared" si="1"/>
        <v>19500</v>
      </c>
      <c r="K12" s="120"/>
    </row>
    <row r="13" spans="1:11" ht="31.9" customHeight="1" x14ac:dyDescent="0.25">
      <c r="A13" s="57">
        <v>4</v>
      </c>
      <c r="B13" s="55" t="s">
        <v>60</v>
      </c>
      <c r="C13" s="54" t="s">
        <v>78</v>
      </c>
      <c r="D13" s="55" t="str">
        <f t="shared" si="0"/>
        <v>2.9.1</v>
      </c>
      <c r="E13" s="154" t="s">
        <v>82</v>
      </c>
      <c r="F13" s="66" t="s">
        <v>101</v>
      </c>
      <c r="G13" s="66">
        <v>30</v>
      </c>
      <c r="H13" s="147">
        <v>151</v>
      </c>
      <c r="I13" s="58">
        <f t="shared" si="1"/>
        <v>4530</v>
      </c>
      <c r="K13" s="120"/>
    </row>
    <row r="14" spans="1:11" ht="31.9" customHeight="1" x14ac:dyDescent="0.25">
      <c r="A14" s="54">
        <v>5</v>
      </c>
      <c r="B14" s="55" t="s">
        <v>61</v>
      </c>
      <c r="C14" s="54" t="s">
        <v>78</v>
      </c>
      <c r="D14" s="55" t="str">
        <f t="shared" si="0"/>
        <v>2.9.1</v>
      </c>
      <c r="E14" s="154" t="s">
        <v>83</v>
      </c>
      <c r="F14" s="66" t="s">
        <v>102</v>
      </c>
      <c r="G14" s="66">
        <v>30</v>
      </c>
      <c r="H14" s="147">
        <v>151</v>
      </c>
      <c r="I14" s="58">
        <f t="shared" si="1"/>
        <v>4530</v>
      </c>
      <c r="K14" s="120"/>
    </row>
    <row r="15" spans="1:11" ht="31.9" customHeight="1" x14ac:dyDescent="0.25">
      <c r="A15" s="54">
        <v>6</v>
      </c>
      <c r="B15" s="55" t="s">
        <v>62</v>
      </c>
      <c r="C15" s="54" t="s">
        <v>78</v>
      </c>
      <c r="D15" s="55" t="str">
        <f t="shared" si="0"/>
        <v>2.9.1</v>
      </c>
      <c r="E15" s="154" t="s">
        <v>84</v>
      </c>
      <c r="F15" s="66" t="s">
        <v>102</v>
      </c>
      <c r="G15" s="66">
        <v>30</v>
      </c>
      <c r="H15" s="147">
        <v>151</v>
      </c>
      <c r="I15" s="58">
        <f t="shared" si="1"/>
        <v>4530</v>
      </c>
      <c r="K15" s="120"/>
    </row>
    <row r="16" spans="1:11" ht="31.9" customHeight="1" thickBot="1" x14ac:dyDescent="0.3">
      <c r="A16" s="57">
        <v>7</v>
      </c>
      <c r="B16" s="55" t="s">
        <v>63</v>
      </c>
      <c r="C16" s="54" t="s">
        <v>78</v>
      </c>
      <c r="D16" s="55" t="str">
        <f t="shared" si="0"/>
        <v>2.9.1</v>
      </c>
      <c r="E16" s="154" t="s">
        <v>85</v>
      </c>
      <c r="F16" s="66" t="s">
        <v>102</v>
      </c>
      <c r="G16" s="66">
        <v>30</v>
      </c>
      <c r="H16" s="147">
        <v>167</v>
      </c>
      <c r="I16" s="58">
        <f t="shared" si="1"/>
        <v>5010</v>
      </c>
      <c r="K16" s="120"/>
    </row>
    <row r="17" spans="1:11" ht="45.75" customHeight="1" x14ac:dyDescent="0.25">
      <c r="A17" s="54">
        <v>8</v>
      </c>
      <c r="B17" s="60" t="s">
        <v>64</v>
      </c>
      <c r="C17" s="54" t="s">
        <v>78</v>
      </c>
      <c r="D17" s="55" t="str">
        <f t="shared" ref="D17:D23" si="2">LEFT(B17,5)</f>
        <v>2.9.1</v>
      </c>
      <c r="E17" s="154" t="s">
        <v>86</v>
      </c>
      <c r="F17" s="66" t="s">
        <v>102</v>
      </c>
      <c r="G17" s="66">
        <v>30</v>
      </c>
      <c r="H17" s="148">
        <v>47.5</v>
      </c>
      <c r="I17" s="56">
        <f t="shared" ref="I17:I23" si="3">G17*H17</f>
        <v>1425</v>
      </c>
      <c r="K17" s="120"/>
    </row>
    <row r="18" spans="1:11" ht="31.9" customHeight="1" x14ac:dyDescent="0.25">
      <c r="A18" s="57">
        <v>9</v>
      </c>
      <c r="B18" s="55" t="s">
        <v>65</v>
      </c>
      <c r="C18" s="54" t="s">
        <v>78</v>
      </c>
      <c r="D18" s="55" t="str">
        <f t="shared" si="2"/>
        <v>2.9.1</v>
      </c>
      <c r="E18" s="154" t="s">
        <v>87</v>
      </c>
      <c r="F18" s="66" t="s">
        <v>103</v>
      </c>
      <c r="G18" s="66">
        <v>100</v>
      </c>
      <c r="H18" s="147">
        <v>729</v>
      </c>
      <c r="I18" s="58">
        <f t="shared" si="3"/>
        <v>72900</v>
      </c>
      <c r="K18" s="120"/>
    </row>
    <row r="19" spans="1:11" ht="31.9" customHeight="1" x14ac:dyDescent="0.25">
      <c r="A19" s="57">
        <v>10</v>
      </c>
      <c r="B19" s="55" t="s">
        <v>66</v>
      </c>
      <c r="C19" s="54" t="s">
        <v>78</v>
      </c>
      <c r="D19" s="55" t="str">
        <f t="shared" si="2"/>
        <v>2.9.1</v>
      </c>
      <c r="E19" s="154" t="s">
        <v>88</v>
      </c>
      <c r="F19" s="66" t="s">
        <v>103</v>
      </c>
      <c r="G19" s="66">
        <v>15</v>
      </c>
      <c r="H19" s="147">
        <v>186.3</v>
      </c>
      <c r="I19" s="58">
        <f t="shared" si="3"/>
        <v>2794.5</v>
      </c>
      <c r="K19" s="120"/>
    </row>
    <row r="20" spans="1:11" ht="31.9" customHeight="1" x14ac:dyDescent="0.25">
      <c r="A20" s="57">
        <v>11</v>
      </c>
      <c r="B20" s="55" t="s">
        <v>67</v>
      </c>
      <c r="C20" s="54" t="s">
        <v>78</v>
      </c>
      <c r="D20" s="55" t="str">
        <f t="shared" si="2"/>
        <v>2.9.1</v>
      </c>
      <c r="E20" s="154" t="s">
        <v>89</v>
      </c>
      <c r="F20" s="66" t="s">
        <v>102</v>
      </c>
      <c r="G20" s="66">
        <v>30</v>
      </c>
      <c r="H20" s="147">
        <v>44</v>
      </c>
      <c r="I20" s="58">
        <f t="shared" si="3"/>
        <v>1320</v>
      </c>
      <c r="K20" s="120"/>
    </row>
    <row r="21" spans="1:11" ht="40.5" customHeight="1" x14ac:dyDescent="0.25">
      <c r="A21" s="54">
        <v>12</v>
      </c>
      <c r="B21" s="55" t="s">
        <v>68</v>
      </c>
      <c r="C21" s="54" t="s">
        <v>78</v>
      </c>
      <c r="D21" s="55" t="str">
        <f t="shared" si="2"/>
        <v>2.9.1</v>
      </c>
      <c r="E21" s="154" t="s">
        <v>90</v>
      </c>
      <c r="F21" s="66" t="s">
        <v>102</v>
      </c>
      <c r="G21" s="66">
        <v>60</v>
      </c>
      <c r="H21" s="147">
        <v>35</v>
      </c>
      <c r="I21" s="58">
        <f t="shared" si="3"/>
        <v>2100</v>
      </c>
      <c r="K21" s="120"/>
    </row>
    <row r="22" spans="1:11" ht="39" customHeight="1" x14ac:dyDescent="0.25">
      <c r="A22" s="54">
        <v>13</v>
      </c>
      <c r="B22" s="55" t="s">
        <v>69</v>
      </c>
      <c r="C22" s="54" t="s">
        <v>78</v>
      </c>
      <c r="D22" s="55" t="str">
        <f t="shared" si="2"/>
        <v>2.5.4</v>
      </c>
      <c r="E22" s="154" t="s">
        <v>91</v>
      </c>
      <c r="F22" s="66" t="s">
        <v>102</v>
      </c>
      <c r="G22" s="66">
        <v>80</v>
      </c>
      <c r="H22" s="147">
        <v>145</v>
      </c>
      <c r="I22" s="58">
        <f t="shared" si="3"/>
        <v>11600</v>
      </c>
      <c r="K22" s="120"/>
    </row>
    <row r="23" spans="1:11" ht="31.9" customHeight="1" thickBot="1" x14ac:dyDescent="0.3">
      <c r="A23" s="57">
        <v>14</v>
      </c>
      <c r="B23" s="55" t="s">
        <v>70</v>
      </c>
      <c r="C23" s="54" t="s">
        <v>78</v>
      </c>
      <c r="D23" s="55" t="str">
        <f t="shared" si="2"/>
        <v>2.9.1</v>
      </c>
      <c r="E23" s="154" t="s">
        <v>92</v>
      </c>
      <c r="F23" s="89" t="s">
        <v>124</v>
      </c>
      <c r="G23" s="66">
        <v>80</v>
      </c>
      <c r="H23" s="147">
        <v>250</v>
      </c>
      <c r="I23" s="58">
        <f t="shared" si="3"/>
        <v>20000</v>
      </c>
      <c r="K23" s="120"/>
    </row>
    <row r="24" spans="1:11" ht="45.75" customHeight="1" x14ac:dyDescent="0.25">
      <c r="A24" s="54">
        <v>15</v>
      </c>
      <c r="B24" s="60" t="s">
        <v>71</v>
      </c>
      <c r="C24" s="54" t="s">
        <v>78</v>
      </c>
      <c r="D24" s="55" t="str">
        <f t="shared" ref="D24:D30" si="4">LEFT(B24,5)</f>
        <v>2.9.1</v>
      </c>
      <c r="E24" s="154" t="s">
        <v>93</v>
      </c>
      <c r="F24" s="66" t="s">
        <v>102</v>
      </c>
      <c r="G24" s="66">
        <v>30</v>
      </c>
      <c r="H24" s="147">
        <v>143</v>
      </c>
      <c r="I24" s="56">
        <f t="shared" ref="I24:I30" si="5">G24*H24</f>
        <v>4290</v>
      </c>
      <c r="K24" s="120"/>
    </row>
    <row r="25" spans="1:11" ht="31.9" customHeight="1" x14ac:dyDescent="0.25">
      <c r="A25" s="57">
        <v>16</v>
      </c>
      <c r="B25" s="55" t="s">
        <v>72</v>
      </c>
      <c r="C25" s="54" t="s">
        <v>78</v>
      </c>
      <c r="D25" s="55" t="str">
        <f t="shared" si="4"/>
        <v>2.9.1</v>
      </c>
      <c r="E25" s="66" t="s">
        <v>94</v>
      </c>
      <c r="F25" s="89" t="s">
        <v>124</v>
      </c>
      <c r="G25" s="66">
        <v>150</v>
      </c>
      <c r="H25" s="147">
        <v>280</v>
      </c>
      <c r="I25" s="58">
        <f t="shared" si="5"/>
        <v>42000</v>
      </c>
      <c r="K25" s="120"/>
    </row>
    <row r="26" spans="1:11" ht="31.9" customHeight="1" x14ac:dyDescent="0.25">
      <c r="A26" s="57">
        <v>17</v>
      </c>
      <c r="B26" s="55" t="s">
        <v>73</v>
      </c>
      <c r="C26" s="54" t="s">
        <v>78</v>
      </c>
      <c r="D26" s="55" t="str">
        <f t="shared" si="4"/>
        <v>2.3.4</v>
      </c>
      <c r="E26" s="66" t="s">
        <v>95</v>
      </c>
      <c r="F26" s="66" t="s">
        <v>104</v>
      </c>
      <c r="G26" s="66">
        <v>80</v>
      </c>
      <c r="H26" s="147">
        <v>105</v>
      </c>
      <c r="I26" s="58">
        <f t="shared" si="5"/>
        <v>8400</v>
      </c>
      <c r="K26" s="120"/>
    </row>
    <row r="27" spans="1:11" ht="31.9" customHeight="1" x14ac:dyDescent="0.25">
      <c r="A27" s="57">
        <v>18</v>
      </c>
      <c r="B27" t="s">
        <v>134</v>
      </c>
      <c r="C27" s="54" t="s">
        <v>78</v>
      </c>
      <c r="D27" s="55" t="s">
        <v>136</v>
      </c>
      <c r="E27" s="109" t="s">
        <v>135</v>
      </c>
      <c r="F27" s="106" t="s">
        <v>104</v>
      </c>
      <c r="G27" s="66">
        <v>200</v>
      </c>
      <c r="H27" s="147">
        <v>88</v>
      </c>
      <c r="I27" s="58">
        <f t="shared" si="5"/>
        <v>17600</v>
      </c>
      <c r="K27" s="120"/>
    </row>
    <row r="28" spans="1:11" ht="31.9" customHeight="1" x14ac:dyDescent="0.25">
      <c r="A28" s="54">
        <v>19</v>
      </c>
      <c r="B28" s="55" t="s">
        <v>74</v>
      </c>
      <c r="C28" s="54" t="s">
        <v>78</v>
      </c>
      <c r="D28" s="55" t="str">
        <f t="shared" si="4"/>
        <v>2.3.4</v>
      </c>
      <c r="E28" s="66" t="s">
        <v>96</v>
      </c>
      <c r="F28" s="66" t="s">
        <v>105</v>
      </c>
      <c r="G28" s="66">
        <v>550</v>
      </c>
      <c r="H28" s="147">
        <v>1270</v>
      </c>
      <c r="I28" s="58">
        <f t="shared" si="5"/>
        <v>698500</v>
      </c>
      <c r="K28" s="120"/>
    </row>
    <row r="29" spans="1:11" ht="31.9" customHeight="1" x14ac:dyDescent="0.25">
      <c r="A29" s="54">
        <v>20</v>
      </c>
      <c r="B29" s="55" t="s">
        <v>75</v>
      </c>
      <c r="C29" s="54" t="s">
        <v>78</v>
      </c>
      <c r="D29" s="55" t="str">
        <f t="shared" si="4"/>
        <v>2.3.4</v>
      </c>
      <c r="E29" s="66" t="s">
        <v>97</v>
      </c>
      <c r="F29" s="152" t="s">
        <v>159</v>
      </c>
      <c r="G29" s="66">
        <v>400</v>
      </c>
      <c r="H29" s="147">
        <v>1158</v>
      </c>
      <c r="I29" s="58">
        <f t="shared" si="5"/>
        <v>463200</v>
      </c>
      <c r="K29" s="120"/>
    </row>
    <row r="30" spans="1:11" ht="31.9" customHeight="1" thickBot="1" x14ac:dyDescent="0.3">
      <c r="A30" s="57">
        <v>21</v>
      </c>
      <c r="B30" s="55" t="s">
        <v>76</v>
      </c>
      <c r="C30" s="54" t="s">
        <v>78</v>
      </c>
      <c r="D30" s="55" t="str">
        <f t="shared" si="4"/>
        <v>2.9.1</v>
      </c>
      <c r="E30" s="106" t="s">
        <v>98</v>
      </c>
      <c r="F30" s="66" t="s">
        <v>102</v>
      </c>
      <c r="G30" s="66">
        <v>50</v>
      </c>
      <c r="H30" s="147">
        <v>58</v>
      </c>
      <c r="I30" s="58">
        <f t="shared" si="5"/>
        <v>2900</v>
      </c>
      <c r="K30" s="120"/>
    </row>
    <row r="31" spans="1:11" ht="31.9" customHeight="1" x14ac:dyDescent="0.25">
      <c r="A31" s="54">
        <v>22</v>
      </c>
      <c r="B31" s="60" t="s">
        <v>77</v>
      </c>
      <c r="C31" s="54" t="s">
        <v>78</v>
      </c>
      <c r="D31" s="55" t="str">
        <f t="shared" ref="D31:D36" si="6">LEFT(B31,5)</f>
        <v>2.9.1</v>
      </c>
      <c r="E31" s="66" t="s">
        <v>99</v>
      </c>
      <c r="F31" s="66" t="s">
        <v>102</v>
      </c>
      <c r="G31" s="66">
        <v>50</v>
      </c>
      <c r="H31" s="147">
        <v>108</v>
      </c>
      <c r="I31" s="56">
        <f t="shared" ref="I31:I36" si="7">G31*H31</f>
        <v>5400</v>
      </c>
      <c r="K31" s="120"/>
    </row>
    <row r="32" spans="1:11" ht="30" x14ac:dyDescent="0.25">
      <c r="A32" s="57">
        <v>23</v>
      </c>
      <c r="B32" s="82" t="s">
        <v>118</v>
      </c>
      <c r="C32" s="83" t="s">
        <v>78</v>
      </c>
      <c r="D32" s="82" t="str">
        <f t="shared" si="6"/>
        <v>2.9.1</v>
      </c>
      <c r="E32" s="67" t="s">
        <v>100</v>
      </c>
      <c r="F32" s="88" t="s">
        <v>125</v>
      </c>
      <c r="G32" s="67">
        <v>400</v>
      </c>
      <c r="H32" s="147">
        <v>200</v>
      </c>
      <c r="I32" s="58">
        <f t="shared" si="7"/>
        <v>80000</v>
      </c>
      <c r="K32" s="120"/>
    </row>
    <row r="33" spans="1:11" ht="30" x14ac:dyDescent="0.2">
      <c r="A33" s="57">
        <v>24</v>
      </c>
      <c r="B33" s="140" t="s">
        <v>131</v>
      </c>
      <c r="C33" s="54" t="s">
        <v>78</v>
      </c>
      <c r="D33" s="108" t="str">
        <f t="shared" si="6"/>
        <v>2.9.1</v>
      </c>
      <c r="E33" s="107" t="s">
        <v>132</v>
      </c>
      <c r="F33" s="105" t="s">
        <v>133</v>
      </c>
      <c r="G33" s="84">
        <v>70</v>
      </c>
      <c r="H33" s="149">
        <v>250</v>
      </c>
      <c r="I33" s="58">
        <f t="shared" si="7"/>
        <v>17500</v>
      </c>
      <c r="K33" s="120"/>
    </row>
    <row r="34" spans="1:11" ht="20.25" customHeight="1" x14ac:dyDescent="0.25">
      <c r="A34" s="112">
        <v>25</v>
      </c>
      <c r="B34" s="113" t="s">
        <v>138</v>
      </c>
      <c r="C34" s="114" t="s">
        <v>78</v>
      </c>
      <c r="D34" s="115" t="str">
        <f t="shared" si="6"/>
        <v>2.9.1</v>
      </c>
      <c r="E34" s="114" t="s">
        <v>141</v>
      </c>
      <c r="F34" s="141" t="s">
        <v>101</v>
      </c>
      <c r="G34" s="141">
        <v>250</v>
      </c>
      <c r="H34" s="147">
        <v>140</v>
      </c>
      <c r="I34" s="58">
        <f t="shared" si="7"/>
        <v>35000</v>
      </c>
      <c r="K34" s="120"/>
    </row>
    <row r="35" spans="1:11" ht="20.25" customHeight="1" x14ac:dyDescent="0.25">
      <c r="A35" s="112">
        <v>26</v>
      </c>
      <c r="B35" s="113" t="s">
        <v>139</v>
      </c>
      <c r="C35" s="114" t="s">
        <v>78</v>
      </c>
      <c r="D35" s="115" t="str">
        <f t="shared" si="6"/>
        <v>2.9.1</v>
      </c>
      <c r="E35" s="114" t="s">
        <v>142</v>
      </c>
      <c r="F35" s="141" t="s">
        <v>102</v>
      </c>
      <c r="G35" s="141">
        <v>500</v>
      </c>
      <c r="H35" s="147">
        <v>80</v>
      </c>
      <c r="I35" s="58">
        <f t="shared" si="7"/>
        <v>40000</v>
      </c>
      <c r="K35" s="120"/>
    </row>
    <row r="36" spans="1:11" ht="20.25" customHeight="1" x14ac:dyDescent="0.25">
      <c r="A36" s="112">
        <v>27</v>
      </c>
      <c r="B36" s="113" t="s">
        <v>140</v>
      </c>
      <c r="C36" s="114" t="s">
        <v>78</v>
      </c>
      <c r="D36" s="115" t="str">
        <f t="shared" si="6"/>
        <v>2.9.1</v>
      </c>
      <c r="E36" s="114" t="s">
        <v>143</v>
      </c>
      <c r="F36" s="141" t="s">
        <v>102</v>
      </c>
      <c r="G36" s="141">
        <v>150</v>
      </c>
      <c r="H36" s="147">
        <v>90</v>
      </c>
      <c r="I36" s="58">
        <f t="shared" si="7"/>
        <v>13500</v>
      </c>
      <c r="K36" s="120"/>
    </row>
    <row r="37" spans="1:11" s="120" customFormat="1" ht="20.25" customHeight="1" x14ac:dyDescent="0.2">
      <c r="A37" s="119">
        <v>28</v>
      </c>
      <c r="B37" s="155" t="s">
        <v>144</v>
      </c>
      <c r="C37" s="155" t="s">
        <v>78</v>
      </c>
      <c r="D37" s="138" t="s">
        <v>157</v>
      </c>
      <c r="E37" s="138" t="s">
        <v>145</v>
      </c>
      <c r="F37" s="155" t="s">
        <v>102</v>
      </c>
      <c r="G37" s="155">
        <v>4000</v>
      </c>
      <c r="H37" s="156">
        <v>40</v>
      </c>
      <c r="I37" s="157">
        <v>160000</v>
      </c>
    </row>
    <row r="38" spans="1:11" ht="20.25" customHeight="1" x14ac:dyDescent="0.2"/>
    <row r="39" spans="1:11" x14ac:dyDescent="0.2">
      <c r="B39" s="64"/>
    </row>
    <row r="40" spans="1:11" hidden="1" x14ac:dyDescent="0.2">
      <c r="B40" s="64"/>
    </row>
    <row r="41" spans="1:11" hidden="1" x14ac:dyDescent="0.2">
      <c r="B41" s="64"/>
    </row>
    <row r="42" spans="1:11" hidden="1" x14ac:dyDescent="0.2">
      <c r="B42" s="64"/>
    </row>
    <row r="43" spans="1:11" hidden="1" x14ac:dyDescent="0.2">
      <c r="B43" s="64"/>
    </row>
    <row r="44" spans="1:11" ht="13.5" thickBot="1" x14ac:dyDescent="0.25">
      <c r="B44" s="64"/>
    </row>
    <row r="45" spans="1:11" ht="15.75" x14ac:dyDescent="0.25">
      <c r="B45" s="64"/>
      <c r="C45" s="98"/>
      <c r="D45" s="104" t="s">
        <v>154</v>
      </c>
      <c r="E45" s="104"/>
      <c r="F45" s="72"/>
    </row>
    <row r="46" spans="1:11" ht="15.75" x14ac:dyDescent="0.25">
      <c r="B46" s="64"/>
      <c r="C46" s="73"/>
      <c r="D46" s="103"/>
      <c r="E46" s="103"/>
      <c r="F46" s="74"/>
    </row>
    <row r="47" spans="1:11" x14ac:dyDescent="0.2">
      <c r="B47" s="64"/>
      <c r="C47" s="73"/>
      <c r="D47" s="64" t="s">
        <v>128</v>
      </c>
      <c r="E47" s="40"/>
      <c r="F47" s="74"/>
    </row>
    <row r="48" spans="1:11" x14ac:dyDescent="0.2">
      <c r="B48" s="64"/>
      <c r="C48" s="73"/>
      <c r="D48" s="40"/>
      <c r="E48" s="40"/>
      <c r="F48" s="74"/>
    </row>
    <row r="49" spans="2:8" x14ac:dyDescent="0.2">
      <c r="B49" s="64"/>
      <c r="C49" s="73"/>
      <c r="D49" s="96" t="s">
        <v>127</v>
      </c>
      <c r="E49" s="93"/>
      <c r="F49" s="74"/>
    </row>
    <row r="50" spans="2:8" x14ac:dyDescent="0.2">
      <c r="B50" s="64"/>
      <c r="C50" s="73"/>
      <c r="D50" s="40"/>
      <c r="E50" s="40"/>
      <c r="F50" s="74"/>
    </row>
    <row r="51" spans="2:8" x14ac:dyDescent="0.2">
      <c r="B51" s="64"/>
      <c r="C51" s="73"/>
      <c r="D51" s="97" t="s">
        <v>129</v>
      </c>
      <c r="E51" s="95"/>
      <c r="F51" s="99"/>
      <c r="G51" s="94"/>
      <c r="H51" s="151"/>
    </row>
    <row r="52" spans="2:8" x14ac:dyDescent="0.2">
      <c r="B52" s="64"/>
      <c r="C52" s="73"/>
      <c r="D52" s="40"/>
      <c r="E52" s="40"/>
      <c r="F52" s="74"/>
    </row>
    <row r="53" spans="2:8" x14ac:dyDescent="0.2">
      <c r="B53" s="64"/>
      <c r="C53" s="73"/>
      <c r="D53" s="64" t="s">
        <v>55</v>
      </c>
      <c r="E53" s="40"/>
      <c r="F53" s="74"/>
    </row>
    <row r="54" spans="2:8" ht="13.5" thickBot="1" x14ac:dyDescent="0.25">
      <c r="B54" s="64"/>
      <c r="C54" s="100"/>
      <c r="D54" s="101"/>
      <c r="E54" s="101"/>
      <c r="F54" s="102"/>
    </row>
    <row r="55" spans="2:8" x14ac:dyDescent="0.2">
      <c r="B55" s="64"/>
      <c r="C55" s="90"/>
      <c r="D55" s="91"/>
      <c r="E55" s="91"/>
      <c r="F55" s="92"/>
    </row>
    <row r="56" spans="2:8" s="120" customFormat="1" ht="13.5" thickBot="1" x14ac:dyDescent="0.25">
      <c r="B56" s="64"/>
      <c r="C56" s="125"/>
      <c r="D56" s="125"/>
      <c r="E56" s="125"/>
      <c r="F56" s="125"/>
      <c r="H56" s="150"/>
    </row>
    <row r="57" spans="2:8" s="120" customFormat="1" x14ac:dyDescent="0.2">
      <c r="B57" s="64"/>
      <c r="C57" s="121" t="s">
        <v>166</v>
      </c>
      <c r="D57" s="122"/>
      <c r="E57" s="122"/>
      <c r="F57" s="123"/>
      <c r="H57" s="150"/>
    </row>
    <row r="58" spans="2:8" s="120" customFormat="1" x14ac:dyDescent="0.2">
      <c r="B58" s="64"/>
      <c r="C58" s="124"/>
      <c r="F58" s="126"/>
      <c r="H58" s="150"/>
    </row>
    <row r="59" spans="2:8" x14ac:dyDescent="0.2">
      <c r="C59" s="127" t="s">
        <v>109</v>
      </c>
      <c r="D59" s="120"/>
      <c r="E59" s="120"/>
      <c r="F59" s="126"/>
    </row>
    <row r="60" spans="2:8" ht="13.5" x14ac:dyDescent="0.25">
      <c r="C60" s="127"/>
      <c r="D60" s="163" t="s">
        <v>168</v>
      </c>
      <c r="E60" s="162"/>
      <c r="F60" s="162"/>
    </row>
    <row r="61" spans="2:8" ht="15" x14ac:dyDescent="0.25">
      <c r="C61" s="127"/>
      <c r="D61" s="86"/>
      <c r="E61" s="159"/>
      <c r="F61" s="158"/>
    </row>
    <row r="62" spans="2:8" x14ac:dyDescent="0.2">
      <c r="C62" s="127" t="s">
        <v>121</v>
      </c>
      <c r="D62" s="120"/>
      <c r="E62" s="85" t="s">
        <v>137</v>
      </c>
      <c r="F62" s="126"/>
    </row>
    <row r="63" spans="2:8" x14ac:dyDescent="0.2">
      <c r="C63" s="128"/>
      <c r="D63" s="164"/>
      <c r="E63" s="164"/>
      <c r="F63" s="164"/>
    </row>
    <row r="64" spans="2:8" x14ac:dyDescent="0.2">
      <c r="C64" s="127" t="s">
        <v>115</v>
      </c>
      <c r="D64" s="164" t="s">
        <v>119</v>
      </c>
      <c r="E64" s="164"/>
      <c r="F64" s="164"/>
    </row>
    <row r="65" spans="3:8" ht="12.75" customHeight="1" x14ac:dyDescent="0.2">
      <c r="C65" s="127"/>
      <c r="D65" s="80"/>
      <c r="E65" s="80"/>
      <c r="F65" s="160"/>
    </row>
    <row r="66" spans="3:8" x14ac:dyDescent="0.2">
      <c r="C66" s="127" t="s">
        <v>120</v>
      </c>
      <c r="D66" s="80"/>
      <c r="E66" s="80" t="s">
        <v>116</v>
      </c>
      <c r="F66" s="160"/>
    </row>
    <row r="67" spans="3:8" x14ac:dyDescent="0.2">
      <c r="C67" s="127"/>
      <c r="D67" s="80"/>
      <c r="E67" s="80"/>
      <c r="F67" s="160"/>
    </row>
    <row r="68" spans="3:8" x14ac:dyDescent="0.2">
      <c r="C68" s="127" t="s">
        <v>110</v>
      </c>
      <c r="D68" s="120"/>
      <c r="E68" s="120"/>
      <c r="F68" s="126"/>
    </row>
    <row r="69" spans="3:8" x14ac:dyDescent="0.2">
      <c r="C69" s="128"/>
      <c r="D69" s="162"/>
      <c r="E69" s="162"/>
      <c r="F69" s="162"/>
    </row>
    <row r="70" spans="3:8" x14ac:dyDescent="0.2">
      <c r="C70" s="127" t="s">
        <v>111</v>
      </c>
      <c r="D70" s="139"/>
      <c r="E70" s="139" t="s">
        <v>126</v>
      </c>
      <c r="F70" s="158"/>
    </row>
    <row r="71" spans="3:8" x14ac:dyDescent="0.2">
      <c r="C71" s="128"/>
      <c r="D71" s="162"/>
      <c r="E71" s="162"/>
      <c r="F71" s="162"/>
    </row>
    <row r="72" spans="3:8" x14ac:dyDescent="0.2">
      <c r="C72" s="127" t="s">
        <v>112</v>
      </c>
      <c r="D72" s="120"/>
      <c r="E72" s="120"/>
      <c r="F72" s="126"/>
    </row>
    <row r="73" spans="3:8" ht="13.5" thickBot="1" x14ac:dyDescent="0.25">
      <c r="C73" s="79"/>
      <c r="D73" s="168"/>
      <c r="E73" s="168"/>
      <c r="F73" s="168"/>
    </row>
    <row r="74" spans="3:8" ht="13.5" thickBot="1" x14ac:dyDescent="0.25">
      <c r="C74" s="125"/>
      <c r="D74" s="125"/>
      <c r="E74" s="125"/>
      <c r="F74" s="125"/>
    </row>
    <row r="75" spans="3:8" x14ac:dyDescent="0.2">
      <c r="C75" s="121" t="s">
        <v>167</v>
      </c>
      <c r="D75" s="122"/>
      <c r="E75" s="122"/>
      <c r="F75" s="123"/>
    </row>
    <row r="76" spans="3:8" x14ac:dyDescent="0.2">
      <c r="C76" s="124"/>
      <c r="D76" s="120"/>
      <c r="E76" s="120"/>
      <c r="F76" s="126"/>
    </row>
    <row r="77" spans="3:8" s="120" customFormat="1" x14ac:dyDescent="0.2">
      <c r="C77" s="127" t="s">
        <v>109</v>
      </c>
      <c r="F77" s="126"/>
      <c r="H77" s="150"/>
    </row>
    <row r="78" spans="3:8" s="120" customFormat="1" ht="13.5" x14ac:dyDescent="0.25">
      <c r="C78" s="127"/>
      <c r="D78" s="163" t="s">
        <v>169</v>
      </c>
      <c r="E78" s="162"/>
      <c r="F78" s="162"/>
      <c r="H78" s="150"/>
    </row>
    <row r="79" spans="3:8" ht="15" x14ac:dyDescent="0.25">
      <c r="C79" s="127"/>
      <c r="D79" s="86"/>
      <c r="E79" s="159"/>
      <c r="F79" s="158"/>
    </row>
    <row r="80" spans="3:8" x14ac:dyDescent="0.2">
      <c r="C80" s="127" t="s">
        <v>121</v>
      </c>
      <c r="D80" s="120"/>
      <c r="E80" s="85" t="s">
        <v>137</v>
      </c>
      <c r="F80" s="126"/>
    </row>
    <row r="81" spans="3:6" x14ac:dyDescent="0.2">
      <c r="C81" s="128"/>
      <c r="D81" s="164"/>
      <c r="E81" s="164"/>
      <c r="F81" s="164"/>
    </row>
    <row r="82" spans="3:6" x14ac:dyDescent="0.2">
      <c r="C82" s="127" t="s">
        <v>115</v>
      </c>
      <c r="D82" s="164" t="s">
        <v>119</v>
      </c>
      <c r="E82" s="164"/>
      <c r="F82" s="164"/>
    </row>
    <row r="83" spans="3:6" x14ac:dyDescent="0.2">
      <c r="C83" s="127"/>
      <c r="D83" s="80"/>
      <c r="E83" s="80"/>
      <c r="F83" s="160"/>
    </row>
    <row r="84" spans="3:6" x14ac:dyDescent="0.2">
      <c r="C84" s="127" t="s">
        <v>120</v>
      </c>
      <c r="D84" s="80"/>
      <c r="E84" s="80" t="s">
        <v>116</v>
      </c>
      <c r="F84" s="160"/>
    </row>
    <row r="85" spans="3:6" x14ac:dyDescent="0.2">
      <c r="C85" s="127"/>
      <c r="D85" s="80"/>
      <c r="E85" s="80"/>
      <c r="F85" s="160"/>
    </row>
    <row r="86" spans="3:6" x14ac:dyDescent="0.2">
      <c r="C86" s="127" t="s">
        <v>110</v>
      </c>
      <c r="D86" s="120"/>
      <c r="E86" s="120"/>
      <c r="F86" s="126"/>
    </row>
    <row r="87" spans="3:6" x14ac:dyDescent="0.2">
      <c r="C87" s="128"/>
      <c r="D87" s="162"/>
      <c r="E87" s="162"/>
      <c r="F87" s="162"/>
    </row>
    <row r="88" spans="3:6" x14ac:dyDescent="0.2">
      <c r="C88" s="127" t="s">
        <v>111</v>
      </c>
      <c r="D88" s="139"/>
      <c r="E88" s="139" t="s">
        <v>126</v>
      </c>
      <c r="F88" s="158"/>
    </row>
    <row r="89" spans="3:6" x14ac:dyDescent="0.2">
      <c r="C89" s="128"/>
      <c r="D89" s="162"/>
      <c r="E89" s="162"/>
      <c r="F89" s="162"/>
    </row>
    <row r="90" spans="3:6" x14ac:dyDescent="0.2">
      <c r="C90" s="127" t="s">
        <v>112</v>
      </c>
      <c r="D90" s="120"/>
      <c r="E90" s="120"/>
      <c r="F90" s="126"/>
    </row>
    <row r="91" spans="3:6" ht="13.5" thickBot="1" x14ac:dyDescent="0.25">
      <c r="C91" s="79"/>
      <c r="D91" s="168"/>
      <c r="E91" s="168"/>
      <c r="F91" s="168"/>
    </row>
    <row r="92" spans="3:6" x14ac:dyDescent="0.2">
      <c r="C92" s="125"/>
      <c r="D92" s="125"/>
      <c r="E92" s="125"/>
      <c r="F92" s="125"/>
    </row>
    <row r="93" spans="3:6" ht="13.5" thickBot="1" x14ac:dyDescent="0.25"/>
    <row r="94" spans="3:6" x14ac:dyDescent="0.2">
      <c r="C94" s="70" t="s">
        <v>113</v>
      </c>
      <c r="D94" s="71"/>
      <c r="E94" s="71"/>
      <c r="F94" s="72"/>
    </row>
    <row r="95" spans="3:6" x14ac:dyDescent="0.2">
      <c r="C95" s="73"/>
      <c r="F95" s="74"/>
    </row>
    <row r="96" spans="3:6" x14ac:dyDescent="0.2">
      <c r="C96" s="75" t="s">
        <v>109</v>
      </c>
      <c r="F96" s="74"/>
    </row>
    <row r="97" spans="3:6" ht="13.5" x14ac:dyDescent="0.25">
      <c r="C97" s="75"/>
      <c r="D97" s="163" t="s">
        <v>165</v>
      </c>
      <c r="E97" s="162"/>
      <c r="F97" s="162"/>
    </row>
    <row r="98" spans="3:6" ht="15" x14ac:dyDescent="0.25">
      <c r="C98" s="75"/>
      <c r="D98" s="86"/>
      <c r="E98" s="87"/>
      <c r="F98" s="78"/>
    </row>
    <row r="99" spans="3:6" x14ac:dyDescent="0.2">
      <c r="C99" s="75" t="s">
        <v>121</v>
      </c>
      <c r="E99" s="85" t="s">
        <v>137</v>
      </c>
      <c r="F99" s="74"/>
    </row>
    <row r="100" spans="3:6" x14ac:dyDescent="0.2">
      <c r="C100" s="76"/>
      <c r="D100" s="164"/>
      <c r="E100" s="164"/>
      <c r="F100" s="164"/>
    </row>
    <row r="101" spans="3:6" x14ac:dyDescent="0.2">
      <c r="C101" s="75" t="s">
        <v>115</v>
      </c>
      <c r="D101" s="164" t="s">
        <v>119</v>
      </c>
      <c r="E101" s="164"/>
      <c r="F101" s="164"/>
    </row>
    <row r="102" spans="3:6" x14ac:dyDescent="0.2">
      <c r="C102" s="75"/>
      <c r="D102" s="80"/>
      <c r="E102" s="80"/>
      <c r="F102" s="81"/>
    </row>
    <row r="103" spans="3:6" x14ac:dyDescent="0.2">
      <c r="C103" s="75" t="s">
        <v>120</v>
      </c>
      <c r="D103" s="80"/>
      <c r="E103" s="80" t="s">
        <v>116</v>
      </c>
      <c r="F103" s="81"/>
    </row>
    <row r="104" spans="3:6" x14ac:dyDescent="0.2">
      <c r="C104" s="75"/>
      <c r="D104" s="80"/>
      <c r="E104" s="80"/>
      <c r="F104" s="81"/>
    </row>
    <row r="105" spans="3:6" x14ac:dyDescent="0.2">
      <c r="C105" s="75" t="s">
        <v>110</v>
      </c>
      <c r="F105" s="74"/>
    </row>
    <row r="106" spans="3:6" x14ac:dyDescent="0.2">
      <c r="C106" s="76"/>
      <c r="D106" s="162"/>
      <c r="E106" s="162"/>
      <c r="F106" s="162"/>
    </row>
    <row r="107" spans="3:6" x14ac:dyDescent="0.2">
      <c r="C107" s="75" t="s">
        <v>111</v>
      </c>
      <c r="D107" s="77"/>
      <c r="E107" s="77" t="s">
        <v>126</v>
      </c>
      <c r="F107" s="78"/>
    </row>
    <row r="108" spans="3:6" x14ac:dyDescent="0.2">
      <c r="C108" s="76"/>
      <c r="D108" s="162"/>
      <c r="E108" s="162"/>
      <c r="F108" s="162"/>
    </row>
    <row r="109" spans="3:6" x14ac:dyDescent="0.2">
      <c r="C109" s="75" t="s">
        <v>112</v>
      </c>
      <c r="F109" s="74"/>
    </row>
    <row r="110" spans="3:6" ht="13.5" thickBot="1" x14ac:dyDescent="0.25">
      <c r="C110" s="79"/>
      <c r="D110" s="168"/>
      <c r="E110" s="168"/>
      <c r="F110" s="168"/>
    </row>
    <row r="111" spans="3:6" ht="13.5" thickBot="1" x14ac:dyDescent="0.25">
      <c r="C111" s="153"/>
      <c r="D111" s="80"/>
      <c r="E111" s="80"/>
      <c r="F111" s="80"/>
    </row>
    <row r="112" spans="3:6" x14ac:dyDescent="0.2">
      <c r="C112" s="121" t="s">
        <v>160</v>
      </c>
      <c r="D112" s="122"/>
      <c r="E112" s="122"/>
      <c r="F112" s="123"/>
    </row>
    <row r="113" spans="3:6" x14ac:dyDescent="0.2">
      <c r="C113" s="124"/>
      <c r="D113" s="120"/>
      <c r="E113" s="120"/>
      <c r="F113" s="126"/>
    </row>
    <row r="114" spans="3:6" x14ac:dyDescent="0.2">
      <c r="C114" s="127" t="s">
        <v>109</v>
      </c>
      <c r="D114" s="120"/>
      <c r="E114" s="120"/>
      <c r="F114" s="126"/>
    </row>
    <row r="115" spans="3:6" ht="13.5" x14ac:dyDescent="0.25">
      <c r="C115" s="127"/>
      <c r="D115" s="163" t="s">
        <v>161</v>
      </c>
      <c r="E115" s="162"/>
      <c r="F115" s="162"/>
    </row>
    <row r="116" spans="3:6" ht="15" x14ac:dyDescent="0.25">
      <c r="C116" s="127"/>
      <c r="D116" s="86"/>
      <c r="E116" s="144"/>
      <c r="F116" s="142"/>
    </row>
    <row r="117" spans="3:6" x14ac:dyDescent="0.2">
      <c r="C117" s="127" t="s">
        <v>121</v>
      </c>
      <c r="D117" s="120"/>
      <c r="E117" s="85" t="s">
        <v>137</v>
      </c>
      <c r="F117" s="126"/>
    </row>
    <row r="118" spans="3:6" x14ac:dyDescent="0.2">
      <c r="C118" s="128"/>
      <c r="D118" s="164"/>
      <c r="E118" s="164"/>
      <c r="F118" s="164"/>
    </row>
    <row r="119" spans="3:6" x14ac:dyDescent="0.2">
      <c r="C119" s="127" t="s">
        <v>115</v>
      </c>
      <c r="D119" s="164" t="s">
        <v>119</v>
      </c>
      <c r="E119" s="164"/>
      <c r="F119" s="164"/>
    </row>
    <row r="120" spans="3:6" x14ac:dyDescent="0.2">
      <c r="C120" s="127"/>
      <c r="D120" s="80"/>
      <c r="E120" s="80"/>
      <c r="F120" s="143"/>
    </row>
    <row r="121" spans="3:6" ht="51" customHeight="1" x14ac:dyDescent="0.2">
      <c r="C121" s="127" t="s">
        <v>120</v>
      </c>
      <c r="D121" s="80"/>
      <c r="E121" s="80" t="s">
        <v>116</v>
      </c>
      <c r="F121" s="143"/>
    </row>
    <row r="122" spans="3:6" x14ac:dyDescent="0.2">
      <c r="C122" s="127"/>
      <c r="D122" s="80"/>
      <c r="E122" s="80"/>
      <c r="F122" s="143"/>
    </row>
    <row r="123" spans="3:6" x14ac:dyDescent="0.2">
      <c r="C123" s="127" t="s">
        <v>110</v>
      </c>
      <c r="D123" s="120"/>
      <c r="E123" s="120"/>
      <c r="F123" s="126"/>
    </row>
    <row r="124" spans="3:6" x14ac:dyDescent="0.2">
      <c r="C124" s="128"/>
      <c r="D124" s="162"/>
      <c r="E124" s="162"/>
      <c r="F124" s="162"/>
    </row>
    <row r="125" spans="3:6" x14ac:dyDescent="0.2">
      <c r="C125" s="127" t="s">
        <v>111</v>
      </c>
      <c r="D125" s="139"/>
      <c r="E125" s="139" t="s">
        <v>126</v>
      </c>
      <c r="F125" s="142"/>
    </row>
    <row r="126" spans="3:6" x14ac:dyDescent="0.2">
      <c r="C126" s="128"/>
      <c r="D126" s="162"/>
      <c r="E126" s="162"/>
      <c r="F126" s="162"/>
    </row>
    <row r="127" spans="3:6" x14ac:dyDescent="0.2">
      <c r="C127" s="127" t="s">
        <v>112</v>
      </c>
      <c r="D127" s="120"/>
      <c r="E127" s="120"/>
      <c r="F127" s="126"/>
    </row>
    <row r="128" spans="3:6" ht="13.5" thickBot="1" x14ac:dyDescent="0.25">
      <c r="C128" s="79"/>
      <c r="D128" s="168"/>
      <c r="E128" s="168"/>
      <c r="F128" s="168"/>
    </row>
    <row r="129" spans="3:6" x14ac:dyDescent="0.2">
      <c r="C129" s="153"/>
      <c r="D129" s="80"/>
      <c r="E129" s="80"/>
      <c r="F129" s="80"/>
    </row>
    <row r="130" spans="3:6" ht="13.5" thickBot="1" x14ac:dyDescent="0.25"/>
    <row r="131" spans="3:6" x14ac:dyDescent="0.2">
      <c r="C131" s="70" t="s">
        <v>130</v>
      </c>
      <c r="D131" s="71"/>
      <c r="E131" s="71"/>
      <c r="F131" s="72"/>
    </row>
    <row r="132" spans="3:6" x14ac:dyDescent="0.2">
      <c r="C132" s="73"/>
      <c r="F132" s="74"/>
    </row>
    <row r="133" spans="3:6" x14ac:dyDescent="0.2">
      <c r="C133" s="75" t="s">
        <v>109</v>
      </c>
      <c r="F133" s="74"/>
    </row>
    <row r="134" spans="3:6" ht="13.5" x14ac:dyDescent="0.25">
      <c r="C134" s="75"/>
      <c r="D134" s="163" t="s">
        <v>114</v>
      </c>
      <c r="E134" s="162"/>
      <c r="F134" s="162"/>
    </row>
    <row r="135" spans="3:6" ht="15" x14ac:dyDescent="0.25">
      <c r="C135" s="75"/>
      <c r="D135" s="86"/>
      <c r="E135" s="87"/>
      <c r="F135" s="78"/>
    </row>
    <row r="136" spans="3:6" x14ac:dyDescent="0.2">
      <c r="C136" s="75" t="s">
        <v>121</v>
      </c>
      <c r="E136" s="85" t="s">
        <v>137</v>
      </c>
      <c r="F136" s="74"/>
    </row>
    <row r="137" spans="3:6" x14ac:dyDescent="0.2">
      <c r="C137" s="76"/>
      <c r="D137" s="164"/>
      <c r="E137" s="164"/>
      <c r="F137" s="164"/>
    </row>
    <row r="138" spans="3:6" x14ac:dyDescent="0.2">
      <c r="C138" s="75" t="s">
        <v>115</v>
      </c>
      <c r="D138" s="164" t="s">
        <v>119</v>
      </c>
      <c r="E138" s="164"/>
      <c r="F138" s="164"/>
    </row>
    <row r="139" spans="3:6" x14ac:dyDescent="0.2">
      <c r="C139" s="75"/>
      <c r="D139" s="80"/>
      <c r="E139" s="80"/>
      <c r="F139" s="81"/>
    </row>
    <row r="140" spans="3:6" x14ac:dyDescent="0.2">
      <c r="C140" s="75" t="s">
        <v>120</v>
      </c>
      <c r="D140" s="80"/>
      <c r="E140" s="80" t="s">
        <v>116</v>
      </c>
      <c r="F140" s="81"/>
    </row>
    <row r="141" spans="3:6" x14ac:dyDescent="0.2">
      <c r="C141" s="75"/>
      <c r="D141" s="80"/>
      <c r="E141" s="80"/>
      <c r="F141" s="81"/>
    </row>
    <row r="142" spans="3:6" x14ac:dyDescent="0.2">
      <c r="C142" s="75" t="s">
        <v>110</v>
      </c>
      <c r="F142" s="74"/>
    </row>
    <row r="143" spans="3:6" x14ac:dyDescent="0.2">
      <c r="C143" s="76"/>
      <c r="D143" s="162"/>
      <c r="E143" s="162"/>
      <c r="F143" s="162"/>
    </row>
    <row r="144" spans="3:6" x14ac:dyDescent="0.2">
      <c r="C144" s="75" t="s">
        <v>111</v>
      </c>
      <c r="D144" s="77"/>
      <c r="E144" s="77" t="s">
        <v>126</v>
      </c>
      <c r="F144" s="78"/>
    </row>
    <row r="145" spans="3:6" x14ac:dyDescent="0.2">
      <c r="C145" s="76"/>
      <c r="D145" s="162"/>
      <c r="E145" s="162"/>
      <c r="F145" s="162"/>
    </row>
    <row r="146" spans="3:6" x14ac:dyDescent="0.2">
      <c r="C146" s="75" t="s">
        <v>112</v>
      </c>
      <c r="F146" s="74"/>
    </row>
    <row r="147" spans="3:6" ht="13.5" thickBot="1" x14ac:dyDescent="0.25">
      <c r="C147" s="79"/>
      <c r="D147" s="168"/>
      <c r="E147" s="168"/>
      <c r="F147" s="168"/>
    </row>
    <row r="149" spans="3:6" ht="13.5" thickBot="1" x14ac:dyDescent="0.25"/>
    <row r="150" spans="3:6" x14ac:dyDescent="0.2">
      <c r="C150" s="121" t="s">
        <v>149</v>
      </c>
      <c r="D150" s="122"/>
      <c r="E150" s="122"/>
      <c r="F150" s="123"/>
    </row>
    <row r="151" spans="3:6" x14ac:dyDescent="0.2">
      <c r="C151" s="124"/>
      <c r="D151" s="120"/>
      <c r="E151" s="120"/>
      <c r="F151" s="126"/>
    </row>
    <row r="152" spans="3:6" x14ac:dyDescent="0.2">
      <c r="C152" s="127" t="s">
        <v>109</v>
      </c>
      <c r="D152" s="120"/>
      <c r="E152" s="120"/>
      <c r="F152" s="126"/>
    </row>
    <row r="153" spans="3:6" ht="13.5" x14ac:dyDescent="0.25">
      <c r="C153" s="127"/>
      <c r="D153" s="163" t="s">
        <v>155</v>
      </c>
      <c r="E153" s="162"/>
      <c r="F153" s="162"/>
    </row>
    <row r="154" spans="3:6" ht="15" x14ac:dyDescent="0.25">
      <c r="C154" s="127"/>
      <c r="D154" s="86"/>
      <c r="E154" s="87"/>
      <c r="F154" s="110"/>
    </row>
    <row r="155" spans="3:6" x14ac:dyDescent="0.2">
      <c r="C155" s="127" t="s">
        <v>121</v>
      </c>
      <c r="D155" s="120"/>
      <c r="E155" s="85" t="s">
        <v>137</v>
      </c>
      <c r="F155" s="126"/>
    </row>
    <row r="156" spans="3:6" x14ac:dyDescent="0.2">
      <c r="C156" s="128"/>
      <c r="D156" s="164"/>
      <c r="E156" s="164"/>
      <c r="F156" s="164"/>
    </row>
    <row r="157" spans="3:6" x14ac:dyDescent="0.2">
      <c r="C157" s="127" t="s">
        <v>115</v>
      </c>
      <c r="D157" s="164" t="s">
        <v>119</v>
      </c>
      <c r="E157" s="164"/>
      <c r="F157" s="164"/>
    </row>
    <row r="158" spans="3:6" x14ac:dyDescent="0.2">
      <c r="C158" s="127"/>
      <c r="D158" s="80"/>
      <c r="E158" s="80"/>
      <c r="F158" s="111"/>
    </row>
    <row r="159" spans="3:6" x14ac:dyDescent="0.2">
      <c r="C159" s="127" t="s">
        <v>120</v>
      </c>
      <c r="D159" s="80"/>
      <c r="E159" s="80" t="s">
        <v>116</v>
      </c>
      <c r="F159" s="111"/>
    </row>
    <row r="160" spans="3:6" x14ac:dyDescent="0.2">
      <c r="C160" s="127"/>
      <c r="D160" s="80"/>
      <c r="E160" s="80"/>
      <c r="F160" s="111"/>
    </row>
    <row r="161" spans="3:6" x14ac:dyDescent="0.2">
      <c r="C161" s="127" t="s">
        <v>110</v>
      </c>
      <c r="D161" s="120"/>
      <c r="E161" s="120"/>
      <c r="F161" s="126"/>
    </row>
    <row r="162" spans="3:6" x14ac:dyDescent="0.2">
      <c r="C162" s="128"/>
      <c r="D162" s="162"/>
      <c r="E162" s="162"/>
      <c r="F162" s="162"/>
    </row>
    <row r="163" spans="3:6" x14ac:dyDescent="0.2">
      <c r="C163" s="127" t="s">
        <v>111</v>
      </c>
      <c r="D163" s="139"/>
      <c r="E163" s="139" t="s">
        <v>126</v>
      </c>
      <c r="F163" s="110"/>
    </row>
    <row r="164" spans="3:6" x14ac:dyDescent="0.2">
      <c r="C164" s="128"/>
      <c r="D164" s="162"/>
      <c r="E164" s="162"/>
      <c r="F164" s="162"/>
    </row>
    <row r="165" spans="3:6" x14ac:dyDescent="0.2">
      <c r="C165" s="127" t="s">
        <v>112</v>
      </c>
      <c r="D165" s="120"/>
      <c r="E165" s="120"/>
      <c r="F165" s="126"/>
    </row>
    <row r="166" spans="3:6" ht="13.5" thickBot="1" x14ac:dyDescent="0.25">
      <c r="C166" s="79"/>
      <c r="D166" s="168"/>
      <c r="E166" s="168"/>
      <c r="F166" s="168"/>
    </row>
    <row r="168" spans="3:6" ht="13.5" thickBot="1" x14ac:dyDescent="0.25"/>
    <row r="169" spans="3:6" x14ac:dyDescent="0.2">
      <c r="C169" s="121" t="s">
        <v>148</v>
      </c>
      <c r="D169" s="122"/>
      <c r="E169" s="122"/>
      <c r="F169" s="123"/>
    </row>
    <row r="170" spans="3:6" x14ac:dyDescent="0.2">
      <c r="C170" s="124"/>
      <c r="D170" s="125"/>
      <c r="E170" s="125"/>
      <c r="F170" s="126"/>
    </row>
    <row r="171" spans="3:6" x14ac:dyDescent="0.2">
      <c r="C171" s="127" t="s">
        <v>109</v>
      </c>
      <c r="D171" s="125"/>
      <c r="E171" s="125"/>
      <c r="F171" s="126"/>
    </row>
    <row r="172" spans="3:6" x14ac:dyDescent="0.2">
      <c r="C172" s="169" t="s">
        <v>156</v>
      </c>
      <c r="D172" s="170"/>
      <c r="E172" s="170"/>
      <c r="F172" s="171"/>
    </row>
    <row r="173" spans="3:6" x14ac:dyDescent="0.2">
      <c r="C173" s="127" t="s">
        <v>146</v>
      </c>
      <c r="D173" s="131"/>
      <c r="E173" s="131"/>
      <c r="F173" s="132"/>
    </row>
    <row r="174" spans="3:6" x14ac:dyDescent="0.2">
      <c r="C174" s="128"/>
      <c r="D174" s="172" t="s">
        <v>147</v>
      </c>
      <c r="E174" s="172"/>
      <c r="F174" s="172"/>
    </row>
    <row r="175" spans="3:6" x14ac:dyDescent="0.2">
      <c r="C175" s="174" t="s">
        <v>150</v>
      </c>
      <c r="D175" s="175"/>
      <c r="E175" s="175"/>
      <c r="F175" s="172"/>
    </row>
    <row r="176" spans="3:6" x14ac:dyDescent="0.2">
      <c r="C176" s="127" t="s">
        <v>110</v>
      </c>
      <c r="D176" s="131"/>
      <c r="E176" s="131"/>
      <c r="F176" s="132"/>
    </row>
    <row r="177" spans="3:6" x14ac:dyDescent="0.2">
      <c r="C177" s="176"/>
      <c r="D177" s="177"/>
      <c r="E177" s="177"/>
      <c r="F177" s="136"/>
    </row>
    <row r="178" spans="3:6" x14ac:dyDescent="0.2">
      <c r="C178" s="127" t="s">
        <v>111</v>
      </c>
      <c r="D178" s="133"/>
      <c r="E178" s="133"/>
      <c r="F178" s="134"/>
    </row>
    <row r="179" spans="3:6" x14ac:dyDescent="0.2">
      <c r="C179" s="137"/>
      <c r="D179" s="178" t="s">
        <v>151</v>
      </c>
      <c r="E179" s="178"/>
      <c r="F179" s="162"/>
    </row>
    <row r="180" spans="3:6" x14ac:dyDescent="0.2">
      <c r="C180" s="127" t="s">
        <v>112</v>
      </c>
      <c r="D180" s="178"/>
      <c r="E180" s="178"/>
      <c r="F180" s="162"/>
    </row>
    <row r="181" spans="3:6" x14ac:dyDescent="0.2">
      <c r="C181" s="127"/>
      <c r="D181" s="173"/>
      <c r="E181" s="173"/>
      <c r="F181" s="173"/>
    </row>
    <row r="182" spans="3:6" ht="13.5" thickBot="1" x14ac:dyDescent="0.25">
      <c r="C182" s="100"/>
      <c r="D182" s="129"/>
      <c r="E182" s="129"/>
      <c r="F182" s="130"/>
    </row>
  </sheetData>
  <mergeCells count="49">
    <mergeCell ref="D89:F89"/>
    <mergeCell ref="D91:F91"/>
    <mergeCell ref="D164:F164"/>
    <mergeCell ref="D166:F166"/>
    <mergeCell ref="C172:F172"/>
    <mergeCell ref="D174:F174"/>
    <mergeCell ref="D181:F181"/>
    <mergeCell ref="C175:F175"/>
    <mergeCell ref="C177:E177"/>
    <mergeCell ref="D179:F180"/>
    <mergeCell ref="D153:F153"/>
    <mergeCell ref="D156:F156"/>
    <mergeCell ref="D157:F157"/>
    <mergeCell ref="D162:F162"/>
    <mergeCell ref="D145:F145"/>
    <mergeCell ref="D147:F147"/>
    <mergeCell ref="D108:F108"/>
    <mergeCell ref="D134:F134"/>
    <mergeCell ref="D137:F137"/>
    <mergeCell ref="D138:F138"/>
    <mergeCell ref="D143:F143"/>
    <mergeCell ref="D110:F110"/>
    <mergeCell ref="D115:F115"/>
    <mergeCell ref="D118:F118"/>
    <mergeCell ref="D119:F119"/>
    <mergeCell ref="D124:F124"/>
    <mergeCell ref="D126:F126"/>
    <mergeCell ref="D128:F128"/>
    <mergeCell ref="B2:H2"/>
    <mergeCell ref="A4:B4"/>
    <mergeCell ref="C4:E4"/>
    <mergeCell ref="A5:B5"/>
    <mergeCell ref="C5:E5"/>
    <mergeCell ref="D106:F106"/>
    <mergeCell ref="D97:F97"/>
    <mergeCell ref="D100:F100"/>
    <mergeCell ref="A6:B6"/>
    <mergeCell ref="A7:B7"/>
    <mergeCell ref="D101:F101"/>
    <mergeCell ref="D60:F60"/>
    <mergeCell ref="D63:F63"/>
    <mergeCell ref="D64:F64"/>
    <mergeCell ref="D69:F69"/>
    <mergeCell ref="D71:F71"/>
    <mergeCell ref="D73:F73"/>
    <mergeCell ref="D78:F78"/>
    <mergeCell ref="D81:F81"/>
    <mergeCell ref="D82:F82"/>
    <mergeCell ref="D87:F8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0"/>
  <sheetViews>
    <sheetView topLeftCell="A19" zoomScale="90" zoomScaleNormal="90" workbookViewId="0">
      <selection activeCell="A40" sqref="A40:I4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73.28515625" style="2" customWidth="1"/>
    <col min="13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79" t="s">
        <v>14</v>
      </c>
      <c r="B1" s="179"/>
      <c r="C1" s="179"/>
      <c r="D1" s="179"/>
      <c r="E1" s="179"/>
      <c r="F1" s="179"/>
      <c r="G1" s="179"/>
      <c r="H1" s="179"/>
      <c r="I1" s="179"/>
      <c r="J1" s="3" t="s">
        <v>15</v>
      </c>
      <c r="K1" s="161" t="s">
        <v>164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80" t="s">
        <v>48</v>
      </c>
      <c r="B3" s="180"/>
      <c r="C3" s="180"/>
      <c r="D3" s="181" t="str">
        <f>'Necesidades Trimestrales'!C4</f>
        <v>40 - Ministerio de Salud</v>
      </c>
      <c r="E3" s="181"/>
      <c r="F3" s="181"/>
      <c r="G3" s="181"/>
      <c r="H3" s="181"/>
      <c r="I3" s="181"/>
      <c r="J3" s="181"/>
      <c r="K3" s="181"/>
    </row>
    <row r="4" spans="1:11" ht="18.75" customHeight="1" thickBot="1" x14ac:dyDescent="0.25">
      <c r="A4" s="182" t="s">
        <v>49</v>
      </c>
      <c r="B4" s="182"/>
      <c r="C4" s="182"/>
      <c r="D4" s="181" t="str">
        <f>'Necesidades Trimestrales'!C5</f>
        <v>28 - MATERNIDAD PROVINCIAL 25 DE MAYO</v>
      </c>
      <c r="E4" s="181"/>
      <c r="F4" s="181"/>
      <c r="G4" s="181"/>
      <c r="H4" s="181"/>
      <c r="I4" s="181"/>
      <c r="J4" s="181"/>
      <c r="K4" s="181"/>
    </row>
    <row r="5" spans="1:11" ht="18.75" customHeight="1" thickBot="1" x14ac:dyDescent="0.25">
      <c r="A5" s="182" t="s">
        <v>27</v>
      </c>
      <c r="B5" s="182"/>
      <c r="C5" s="182"/>
      <c r="D5" s="181" t="s">
        <v>122</v>
      </c>
      <c r="E5" s="181"/>
      <c r="F5" s="181"/>
      <c r="G5" s="181"/>
      <c r="H5" s="181"/>
      <c r="I5" s="181"/>
      <c r="J5" s="181"/>
      <c r="K5" s="181"/>
    </row>
    <row r="6" spans="1:11" ht="16.5" customHeight="1" thickBot="1" x14ac:dyDescent="0.25">
      <c r="A6" s="180" t="s">
        <v>50</v>
      </c>
      <c r="B6" s="180"/>
      <c r="C6" s="180"/>
      <c r="D6" s="181" t="s">
        <v>123</v>
      </c>
      <c r="E6" s="181"/>
      <c r="F6" s="181"/>
      <c r="G6" s="181"/>
      <c r="H6" s="181"/>
      <c r="I6" s="181"/>
      <c r="J6" s="181"/>
      <c r="K6" s="181"/>
    </row>
    <row r="7" spans="1:11" ht="16.5" customHeight="1" x14ac:dyDescent="0.2">
      <c r="A7" s="182" t="s">
        <v>16</v>
      </c>
      <c r="B7" s="182"/>
      <c r="C7" s="182"/>
      <c r="D7" s="181" t="s">
        <v>153</v>
      </c>
      <c r="E7" s="181"/>
      <c r="F7" s="181"/>
      <c r="G7" s="181"/>
      <c r="H7" s="181"/>
      <c r="I7" s="181"/>
      <c r="J7" s="181"/>
      <c r="K7" s="181"/>
    </row>
    <row r="8" spans="1:11" ht="16.5" customHeight="1" x14ac:dyDescent="0.2">
      <c r="A8" s="183" t="s">
        <v>17</v>
      </c>
      <c r="B8" s="183"/>
      <c r="C8" s="183"/>
      <c r="D8" s="184" t="s">
        <v>106</v>
      </c>
      <c r="E8" s="184"/>
      <c r="F8" s="184"/>
      <c r="G8" s="184"/>
      <c r="H8" s="184"/>
      <c r="I8" s="184"/>
      <c r="J8" s="184"/>
      <c r="K8" s="18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85" t="s">
        <v>18</v>
      </c>
      <c r="B10" s="186" t="s">
        <v>19</v>
      </c>
      <c r="C10" s="186" t="s">
        <v>20</v>
      </c>
      <c r="D10" s="186"/>
      <c r="E10" s="186"/>
      <c r="F10" s="186"/>
      <c r="G10" s="186"/>
      <c r="H10" s="186" t="s">
        <v>21</v>
      </c>
      <c r="I10" s="186" t="s">
        <v>22</v>
      </c>
      <c r="J10" s="186" t="s">
        <v>23</v>
      </c>
      <c r="K10" s="187" t="s">
        <v>24</v>
      </c>
    </row>
    <row r="11" spans="1:11" ht="24" customHeight="1" thickBot="1" x14ac:dyDescent="0.25">
      <c r="A11" s="185"/>
      <c r="B11" s="186"/>
      <c r="C11" s="186"/>
      <c r="D11" s="186"/>
      <c r="E11" s="186"/>
      <c r="F11" s="186"/>
      <c r="G11" s="186"/>
      <c r="H11" s="186"/>
      <c r="I11" s="186"/>
      <c r="J11" s="186"/>
      <c r="K11" s="187"/>
    </row>
    <row r="12" spans="1:11" ht="30" customHeight="1" thickBot="1" x14ac:dyDescent="0.25">
      <c r="A12" s="8">
        <f>'Necesidades Trimestrales'!A10</f>
        <v>1</v>
      </c>
      <c r="B12" s="50" t="str">
        <f>'Necesidades Trimestrales'!B10</f>
        <v>2.9.1-6952.19</v>
      </c>
      <c r="C12" s="189" t="str">
        <f>'Necesidades Trimestrales'!E10</f>
        <v>CEPILLOS; TIPO: DE ROPA, MATERIAL: CERDA</v>
      </c>
      <c r="D12" s="189"/>
      <c r="E12" s="189"/>
      <c r="F12" s="189"/>
      <c r="G12" s="189"/>
      <c r="H12" s="42" t="s">
        <v>51</v>
      </c>
      <c r="I12" s="43" t="str">
        <f>'Necesidades Trimestrales'!F10</f>
        <v xml:space="preserve">unidad </v>
      </c>
      <c r="J12" s="51">
        <f>'Necesidades Trimestrales'!H10</f>
        <v>89.95</v>
      </c>
      <c r="K12" s="44">
        <f>'Necesidades Trimestrales'!G10</f>
        <v>15</v>
      </c>
    </row>
    <row r="13" spans="1:11" ht="30" customHeight="1" thickBot="1" x14ac:dyDescent="0.25">
      <c r="A13" s="8">
        <f>'Necesidades Trimestrales'!A11</f>
        <v>2</v>
      </c>
      <c r="B13" s="50" t="str">
        <f>'Necesidades Trimestrales'!B11</f>
        <v>2.9.1-6952.20</v>
      </c>
      <c r="C13" s="189" t="str">
        <f>'Necesidades Trimestrales'!E11</f>
        <v>CEPILLOS; TIPO: DE MANO Y UÑA, MATERIAL: CERDA</v>
      </c>
      <c r="D13" s="189"/>
      <c r="E13" s="189"/>
      <c r="F13" s="189"/>
      <c r="G13" s="189"/>
      <c r="H13" s="42" t="s">
        <v>51</v>
      </c>
      <c r="I13" s="43" t="str">
        <f>'Necesidades Trimestrales'!F11</f>
        <v>unidad</v>
      </c>
      <c r="J13" s="51">
        <f>'Necesidades Trimestrales'!H11</f>
        <v>82</v>
      </c>
      <c r="K13" s="44">
        <f>'Necesidades Trimestrales'!G11</f>
        <v>15</v>
      </c>
    </row>
    <row r="14" spans="1:11" ht="30" customHeight="1" thickBot="1" x14ac:dyDescent="0.25">
      <c r="A14" s="8">
        <f>'Necesidades Trimestrales'!A12</f>
        <v>3</v>
      </c>
      <c r="B14" s="50" t="str">
        <f>'Necesidades Trimestrales'!B12</f>
        <v>2.5.4-505.90</v>
      </c>
      <c r="C14" s="189" t="str">
        <f>'Necesidades Trimestrales'!E12</f>
        <v>DESINFECTANTES; PRINCIPIO ACTIVO: ANTIBACTERIANO, CONTROL: BACTERIAS Y HONGOS, PRESENTACION: ENVASE X 390 CM3</v>
      </c>
      <c r="D14" s="189"/>
      <c r="E14" s="189"/>
      <c r="F14" s="189"/>
      <c r="G14" s="189"/>
      <c r="H14" s="42" t="s">
        <v>117</v>
      </c>
      <c r="I14" s="43" t="str">
        <f>'Necesidades Trimestrales'!F12</f>
        <v xml:space="preserve">unidad </v>
      </c>
      <c r="J14" s="51">
        <f>'Necesidades Trimestrales'!H12</f>
        <v>195</v>
      </c>
      <c r="K14" s="44">
        <f>'Necesidades Trimestrales'!G12</f>
        <v>100</v>
      </c>
    </row>
    <row r="15" spans="1:11" ht="30" customHeight="1" thickBot="1" x14ac:dyDescent="0.25">
      <c r="A15" s="8">
        <f>'Necesidades Trimestrales'!A13</f>
        <v>4</v>
      </c>
      <c r="B15" s="50" t="str">
        <f>'Necesidades Trimestrales'!B13</f>
        <v>2.9.1-544.3</v>
      </c>
      <c r="C15" s="189" t="str">
        <f>'Necesidades Trimestrales'!E13</f>
        <v>DESODORANTES DE AMBIENTE; PRESENTACION: UNIDAD, FRAGANCIA: VISTA AL MAR, CONTENIDO: 440 CM3, FORMATO: AEROSOL, LIBRE DE CFC: SI</v>
      </c>
      <c r="D15" s="189"/>
      <c r="E15" s="189"/>
      <c r="F15" s="189"/>
      <c r="G15" s="189"/>
      <c r="H15" s="42" t="s">
        <v>51</v>
      </c>
      <c r="I15" s="43" t="str">
        <f>'Necesidades Trimestrales'!F13</f>
        <v xml:space="preserve">unidad </v>
      </c>
      <c r="J15" s="51">
        <f>'Necesidades Trimestrales'!H13</f>
        <v>151</v>
      </c>
      <c r="K15" s="44">
        <f>'Necesidades Trimestrales'!G13</f>
        <v>30</v>
      </c>
    </row>
    <row r="16" spans="1:11" ht="30" customHeight="1" thickBot="1" x14ac:dyDescent="0.25">
      <c r="A16" s="8">
        <f>'Necesidades Trimestrales'!A14</f>
        <v>5</v>
      </c>
      <c r="B16" s="50" t="str">
        <f>'Necesidades Trimestrales'!B14</f>
        <v>2.9.1-544.4</v>
      </c>
      <c r="C16" s="189" t="str">
        <f>'Necesidades Trimestrales'!E14</f>
        <v>DESODORANTES DE AMBIENTE; FRAGANCIA: CASA DE CAMPO, PRESENTACION: UNIDAD, FORMATO: AEROSOL, CONTENIDO: 440 CM3, LIBRE DE CFC: SI</v>
      </c>
      <c r="D16" s="189"/>
      <c r="E16" s="189"/>
      <c r="F16" s="189"/>
      <c r="G16" s="189"/>
      <c r="H16" s="42" t="s">
        <v>51</v>
      </c>
      <c r="I16" s="43" t="str">
        <f>'Necesidades Trimestrales'!F14</f>
        <v>unidad</v>
      </c>
      <c r="J16" s="51">
        <f>'Necesidades Trimestrales'!H14</f>
        <v>151</v>
      </c>
      <c r="K16" s="44">
        <f>'Necesidades Trimestrales'!G14</f>
        <v>30</v>
      </c>
    </row>
    <row r="17" spans="1:1024" ht="30" customHeight="1" thickBot="1" x14ac:dyDescent="0.25">
      <c r="A17" s="8">
        <f>'Necesidades Trimestrales'!A15</f>
        <v>6</v>
      </c>
      <c r="B17" s="50" t="str">
        <f>'Necesidades Trimestrales'!B15</f>
        <v>2.9.1-544.7</v>
      </c>
      <c r="C17" s="189" t="str">
        <f>'Necesidades Trimestrales'!E15</f>
        <v>DESODORANTES DE AMBIENTE; PRESENTACION: UNIDAD, CONTENIDO: 440 CM3, FORMATO: AEROSOL, FRAGANCIA: FLORECER SILVESTRE, LIBRE DE CFC: SI</v>
      </c>
      <c r="D17" s="189"/>
      <c r="E17" s="189"/>
      <c r="F17" s="189"/>
      <c r="G17" s="189"/>
      <c r="H17" s="42" t="s">
        <v>51</v>
      </c>
      <c r="I17" s="43" t="str">
        <f>'Necesidades Trimestrales'!F15</f>
        <v>unidad</v>
      </c>
      <c r="J17" s="51">
        <f>'Necesidades Trimestrales'!H15</f>
        <v>151</v>
      </c>
      <c r="K17" s="44">
        <f>'Necesidades Trimestrales'!G15</f>
        <v>30</v>
      </c>
    </row>
    <row r="18" spans="1:1024" ht="30" customHeight="1" thickBot="1" x14ac:dyDescent="0.25">
      <c r="A18" s="8">
        <f>'Necesidades Trimestrales'!A16</f>
        <v>7</v>
      </c>
      <c r="B18" s="50" t="str">
        <f>'Necesidades Trimestrales'!B16</f>
        <v>2.9.1-544.66</v>
      </c>
      <c r="C18" s="189" t="str">
        <f>'Necesidades Trimestrales'!E16</f>
        <v>DESODORANTES DE AMBIENTE; FORMATO: AEROSOL, FRAGANCIA: JAZMIN, PRESENTACION: ENVASE X 185 GR, LIBRE DE CFC: NO CORRESPONDE</v>
      </c>
      <c r="D18" s="189"/>
      <c r="E18" s="189"/>
      <c r="F18" s="189"/>
      <c r="G18" s="189"/>
      <c r="H18" s="42" t="s">
        <v>51</v>
      </c>
      <c r="I18" s="43" t="str">
        <f>'Necesidades Trimestrales'!F16</f>
        <v>unidad</v>
      </c>
      <c r="J18" s="51">
        <f>'Necesidades Trimestrales'!H16</f>
        <v>167</v>
      </c>
      <c r="K18" s="44">
        <f>'Necesidades Trimestrales'!G16</f>
        <v>30</v>
      </c>
    </row>
    <row r="19" spans="1:1024" ht="30" customHeight="1" thickBot="1" x14ac:dyDescent="0.25">
      <c r="A19" s="8">
        <f>'Necesidades Trimestrales'!A17</f>
        <v>8</v>
      </c>
      <c r="B19" s="50" t="str">
        <f>'Necesidades Trimestrales'!B17</f>
        <v>2.9.1-6960.27</v>
      </c>
      <c r="C19" s="189" t="str">
        <f>'Necesidades Trimestrales'!E17</f>
        <v>ELEM. LIMPIEZA P/INDUMENTARIA; TIPO: JABON EN PAN, PRESENTACION: 200 GR</v>
      </c>
      <c r="D19" s="189"/>
      <c r="E19" s="189"/>
      <c r="F19" s="189"/>
      <c r="G19" s="189"/>
      <c r="H19" s="42" t="s">
        <v>51</v>
      </c>
      <c r="I19" s="43" t="str">
        <f>'Necesidades Trimestrales'!F17</f>
        <v>unidad</v>
      </c>
      <c r="J19" s="51">
        <f>'Necesidades Trimestrales'!H17</f>
        <v>47.5</v>
      </c>
      <c r="K19" s="44">
        <f>'Necesidades Trimestrales'!G17</f>
        <v>30</v>
      </c>
      <c r="L19"/>
      <c r="M19"/>
      <c r="N19"/>
      <c r="P19"/>
      <c r="Q19"/>
      <c r="R19"/>
      <c r="S19"/>
      <c r="T19" s="63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30" customHeight="1" thickBot="1" x14ac:dyDescent="0.25">
      <c r="A20" s="8">
        <f>'Necesidades Trimestrales'!A18</f>
        <v>9</v>
      </c>
      <c r="B20" s="50" t="str">
        <f>'Necesidades Trimestrales'!B18</f>
        <v>2.9.1-6960.51</v>
      </c>
      <c r="C20" s="189" t="str">
        <f>'Necesidades Trimestrales'!E18</f>
        <v>ELEM. LIMPIEZA P/INDUMENTARIA; TIPO: JABON EN POLVO BAJA ESPUMA, PRESENTACION: ENVASE X 6 Kg</v>
      </c>
      <c r="D20" s="189"/>
      <c r="E20" s="189"/>
      <c r="F20" s="189"/>
      <c r="G20" s="189"/>
      <c r="H20" s="42" t="s">
        <v>51</v>
      </c>
      <c r="I20" s="43" t="str">
        <f>'Necesidades Trimestrales'!F18</f>
        <v xml:space="preserve">bolsa </v>
      </c>
      <c r="J20" s="51">
        <f>'Necesidades Trimestrales'!H18</f>
        <v>729</v>
      </c>
      <c r="K20" s="44">
        <f>'Necesidades Trimestrales'!G18</f>
        <v>100</v>
      </c>
    </row>
    <row r="21" spans="1:1024" ht="30" customHeight="1" thickBot="1" x14ac:dyDescent="0.25">
      <c r="A21" s="8">
        <f>'Necesidades Trimestrales'!A19</f>
        <v>10</v>
      </c>
      <c r="B21" s="50" t="str">
        <f>'Necesidades Trimestrales'!B19</f>
        <v>2.9.1-6961.23</v>
      </c>
      <c r="C21" s="189" t="str">
        <f>'Necesidades Trimestrales'!E19</f>
        <v>ELEM. P/LIMPIEZA SANITARIOS; TIPO: SODA CAUSTICA, PRESENTACION: ENVASE X 1 Kg</v>
      </c>
      <c r="D21" s="189"/>
      <c r="E21" s="189"/>
      <c r="F21" s="189"/>
      <c r="G21" s="189"/>
      <c r="H21" s="42" t="s">
        <v>51</v>
      </c>
      <c r="I21" s="43" t="str">
        <f>'Necesidades Trimestrales'!F19</f>
        <v xml:space="preserve">bolsa </v>
      </c>
      <c r="J21" s="51">
        <f>'Necesidades Trimestrales'!H19</f>
        <v>186.3</v>
      </c>
      <c r="K21" s="44">
        <f>'Necesidades Trimestrales'!G19</f>
        <v>15</v>
      </c>
    </row>
    <row r="22" spans="1:1024" ht="30" customHeight="1" thickBot="1" x14ac:dyDescent="0.25">
      <c r="A22" s="8">
        <f>'Necesidades Trimestrales'!A20</f>
        <v>11</v>
      </c>
      <c r="B22" s="50" t="str">
        <f>'Necesidades Trimestrales'!B20</f>
        <v>2.9.1-1083.8</v>
      </c>
      <c r="C22" s="189" t="str">
        <f>'Necesidades Trimestrales'!E20</f>
        <v>ESPONJA DE ACERO; PESO: 25 GR, MATERIAL: ACERO</v>
      </c>
      <c r="D22" s="189"/>
      <c r="E22" s="189"/>
      <c r="F22" s="189"/>
      <c r="G22" s="189"/>
      <c r="H22" s="42" t="s">
        <v>51</v>
      </c>
      <c r="I22" s="43" t="str">
        <f>'Necesidades Trimestrales'!F20</f>
        <v>unidad</v>
      </c>
      <c r="J22" s="51">
        <f>'Necesidades Trimestrales'!H20</f>
        <v>44</v>
      </c>
      <c r="K22" s="44">
        <f>'Necesidades Trimestrales'!G20</f>
        <v>30</v>
      </c>
    </row>
    <row r="23" spans="1:1024" ht="30" customHeight="1" thickBot="1" x14ac:dyDescent="0.25">
      <c r="A23" s="8">
        <f>'Necesidades Trimestrales'!A21</f>
        <v>12</v>
      </c>
      <c r="B23" s="50" t="str">
        <f>'Necesidades Trimestrales'!B21</f>
        <v>2.9.1-1164.1</v>
      </c>
      <c r="C23" s="189" t="str">
        <f>'Necesidades Trimestrales'!E21</f>
        <v>ESPONJAS; MATERIAL: POLIURETANO POLIETER, USO: P/COCINA, ADITAMENTO: FIBRA POLIESTER SUAVE, FORMA: PRISMATICA, LARGO X ANCHO X ESP: 10 X 6 X 3,5 Cm, COLOR: AMARILLO</v>
      </c>
      <c r="D23" s="189"/>
      <c r="E23" s="189"/>
      <c r="F23" s="189"/>
      <c r="G23" s="189"/>
      <c r="H23" s="42" t="s">
        <v>51</v>
      </c>
      <c r="I23" s="43" t="str">
        <f>'Necesidades Trimestrales'!F21</f>
        <v>unidad</v>
      </c>
      <c r="J23" s="51">
        <f>'Necesidades Trimestrales'!H21</f>
        <v>35</v>
      </c>
      <c r="K23" s="44">
        <f>'Necesidades Trimestrales'!G21</f>
        <v>60</v>
      </c>
    </row>
    <row r="24" spans="1:1024" ht="30" customHeight="1" thickBot="1" x14ac:dyDescent="0.25">
      <c r="A24" s="8">
        <f>'Necesidades Trimestrales'!A22</f>
        <v>13</v>
      </c>
      <c r="B24" s="50" t="str">
        <f>'Necesidades Trimestrales'!B22</f>
        <v>2.5.4-506.50</v>
      </c>
      <c r="C24" s="189" t="str">
        <f>'Necesidades Trimestrales'!E22</f>
        <v>INSECTICIDAS; PRINCIPIO ACTIVO: BETA CYFLUTRINA, USO P/CONTROL: MOSCAS Y MOSQUITOS, ACCION: RESIDUAL, PRESENTACION: AEROSOL X 440 CM3, CONTROL: MOSCAS Y MOSQUITOS, CAPACIDAD: 440 CM3</v>
      </c>
      <c r="D24" s="189"/>
      <c r="E24" s="189"/>
      <c r="F24" s="189"/>
      <c r="G24" s="189"/>
      <c r="H24" s="42" t="s">
        <v>51</v>
      </c>
      <c r="I24" s="43" t="str">
        <f>'Necesidades Trimestrales'!F22</f>
        <v>unidad</v>
      </c>
      <c r="J24" s="51">
        <f>'Necesidades Trimestrales'!H22</f>
        <v>145</v>
      </c>
      <c r="K24" s="44">
        <f>'Necesidades Trimestrales'!G22</f>
        <v>80</v>
      </c>
    </row>
    <row r="25" spans="1:1024" ht="30" customHeight="1" thickBot="1" x14ac:dyDescent="0.25">
      <c r="A25" s="8">
        <f>'Necesidades Trimestrales'!A23</f>
        <v>14</v>
      </c>
      <c r="B25" s="50" t="str">
        <f>'Necesidades Trimestrales'!B23</f>
        <v>2.9.1-6951.60</v>
      </c>
      <c r="C25" s="189" t="str">
        <f>'Necesidades Trimestrales'!E23</f>
        <v>LIMPIADORES; TIPO: DESENGRASANTE, PRESENTACION: ENVASE X 5 L</v>
      </c>
      <c r="D25" s="189"/>
      <c r="E25" s="189"/>
      <c r="F25" s="189"/>
      <c r="G25" s="189"/>
      <c r="H25" s="42" t="s">
        <v>51</v>
      </c>
      <c r="I25" s="43" t="str">
        <f>'Necesidades Trimestrales'!F23</f>
        <v>Bidon</v>
      </c>
      <c r="J25" s="51">
        <f>'Necesidades Trimestrales'!H23</f>
        <v>250</v>
      </c>
      <c r="K25" s="44">
        <f>'Necesidades Trimestrales'!G23</f>
        <v>80</v>
      </c>
    </row>
    <row r="26" spans="1:1024" ht="30" customHeight="1" thickBot="1" x14ac:dyDescent="0.25">
      <c r="A26" s="8">
        <f>'Necesidades Trimestrales'!A24</f>
        <v>15</v>
      </c>
      <c r="B26" s="50" t="str">
        <f>'Necesidades Trimestrales'!B24</f>
        <v>2.9.1-6951.197</v>
      </c>
      <c r="C26" s="189" t="str">
        <f>'Necesidades Trimestrales'!E24</f>
        <v>LIMPIADORES; TIPO: CREMOSO, PRESENTACION: ENVASE X 750 CM3</v>
      </c>
      <c r="D26" s="189"/>
      <c r="E26" s="189"/>
      <c r="F26" s="189"/>
      <c r="G26" s="189"/>
      <c r="H26" s="42" t="s">
        <v>51</v>
      </c>
      <c r="I26" s="43" t="str">
        <f>'Necesidades Trimestrales'!F24</f>
        <v>unidad</v>
      </c>
      <c r="J26" s="51">
        <f>'Necesidades Trimestrales'!H24</f>
        <v>143</v>
      </c>
      <c r="K26" s="44">
        <f>'Necesidades Trimestrales'!G24</f>
        <v>30</v>
      </c>
    </row>
    <row r="27" spans="1:1024" ht="30" customHeight="1" thickBot="1" x14ac:dyDescent="0.25">
      <c r="A27" s="8">
        <f>'Necesidades Trimestrales'!A25</f>
        <v>16</v>
      </c>
      <c r="B27" s="50" t="str">
        <f>'Necesidades Trimestrales'!B25</f>
        <v>2.9.1-4784.55</v>
      </c>
      <c r="C27" s="189" t="str">
        <f>'Necesidades Trimestrales'!E25</f>
        <v>LIMPIADORES MULTIUSO; COMPUESTOS BIODEGRADABLES: SI, PRESENTACION: ENVASE X 5 L, TIPO: JABON LIQUIDO TOCADOR</v>
      </c>
      <c r="D27" s="189"/>
      <c r="E27" s="189"/>
      <c r="F27" s="189"/>
      <c r="G27" s="189"/>
      <c r="H27" s="42" t="s">
        <v>51</v>
      </c>
      <c r="I27" s="43" t="str">
        <f>'Necesidades Trimestrales'!F25</f>
        <v>Bidon</v>
      </c>
      <c r="J27" s="51">
        <f>'Necesidades Trimestrales'!H25</f>
        <v>280</v>
      </c>
      <c r="K27" s="44">
        <f>'Necesidades Trimestrales'!G25</f>
        <v>150</v>
      </c>
    </row>
    <row r="28" spans="1:1024" ht="30" customHeight="1" thickBot="1" x14ac:dyDescent="0.25">
      <c r="A28" s="8">
        <f>'Necesidades Trimestrales'!A26</f>
        <v>17</v>
      </c>
      <c r="B28" s="50" t="str">
        <f>'Necesidades Trimestrales'!B26</f>
        <v>2.3.4-786.34</v>
      </c>
      <c r="C28" s="189" t="str">
        <f>'Necesidades Trimestrales'!E26</f>
        <v>PAPEL HIGIENICO; PRESENTACION: PAQUETE X 4 UN, TIPO: ROLLO PRECORTADO, HOJA: DOBLE, ANCHO: 10 Cm, LARGO: 30 M, TIPO DE HOJA: DOBLE, MATERIAL HOJA: DOBLE</v>
      </c>
      <c r="D28" s="189"/>
      <c r="E28" s="189"/>
      <c r="F28" s="189"/>
      <c r="G28" s="189"/>
      <c r="H28" s="42" t="s">
        <v>51</v>
      </c>
      <c r="I28" s="43" t="str">
        <f>'Necesidades Trimestrales'!F26</f>
        <v>paquete</v>
      </c>
      <c r="J28" s="51">
        <f>'Necesidades Trimestrales'!H26</f>
        <v>105</v>
      </c>
      <c r="K28" s="44">
        <f>'Necesidades Trimestrales'!G26</f>
        <v>80</v>
      </c>
    </row>
    <row r="29" spans="1:1024" ht="30" customHeight="1" thickBot="1" x14ac:dyDescent="0.25">
      <c r="A29" s="8">
        <f>'Necesidades Trimestrales'!A27</f>
        <v>18</v>
      </c>
      <c r="B29" t="s">
        <v>134</v>
      </c>
      <c r="C29" s="190" t="s">
        <v>135</v>
      </c>
      <c r="D29" s="191"/>
      <c r="E29" s="191"/>
      <c r="F29" s="191"/>
      <c r="G29" s="192"/>
      <c r="H29" s="42" t="s">
        <v>51</v>
      </c>
      <c r="I29" s="43" t="str">
        <f>'Necesidades Trimestrales'!F27</f>
        <v>paquete</v>
      </c>
      <c r="J29" s="51">
        <f>'Necesidades Trimestrales'!H27</f>
        <v>88</v>
      </c>
      <c r="K29" s="44">
        <f>'Necesidades Trimestrales'!G27</f>
        <v>200</v>
      </c>
    </row>
    <row r="30" spans="1:1024" ht="30" customHeight="1" thickBot="1" x14ac:dyDescent="0.25">
      <c r="A30" s="8">
        <f>'Necesidades Trimestrales'!A28</f>
        <v>19</v>
      </c>
      <c r="B30" s="50" t="str">
        <f>'Necesidades Trimestrales'!B28</f>
        <v>2.3.4-783.54</v>
      </c>
      <c r="C30" s="189" t="str">
        <f>'Necesidades Trimestrales'!E28</f>
        <v>TOALLAS DE PAPEL; MATERIAL: PAPEL ECOLOGICO, GRAMAJE: 30 GR/CM2, DIMENSION: 18,4 X 24 Cm, PRESENTACION: X 10</v>
      </c>
      <c r="D30" s="189"/>
      <c r="E30" s="189"/>
      <c r="F30" s="189"/>
      <c r="G30" s="189"/>
      <c r="H30" s="42" t="s">
        <v>51</v>
      </c>
      <c r="I30" s="43" t="str">
        <f>'Necesidades Trimestrales'!F28</f>
        <v>caja</v>
      </c>
      <c r="J30" s="51">
        <f>'Necesidades Trimestrales'!H28</f>
        <v>1270</v>
      </c>
      <c r="K30" s="44">
        <f>'Necesidades Trimestrales'!G28</f>
        <v>550</v>
      </c>
    </row>
    <row r="31" spans="1:1024" ht="30" customHeight="1" thickBot="1" x14ac:dyDescent="0.25">
      <c r="A31" s="8">
        <f>'Necesidades Trimestrales'!A29</f>
        <v>20</v>
      </c>
      <c r="B31" s="50" t="str">
        <f>'Necesidades Trimestrales'!B29</f>
        <v>2.3.4-783.84</v>
      </c>
      <c r="C31" s="189" t="str">
        <f>'Necesidades Trimestrales'!E29</f>
        <v>TOALLAS DE PAPEL; MATERIAL: FIBRA CELULOSICA, GRAMAJE: 20 GR/M2, DIMENSION: 25 Cm, PRESENTACION: 2 X BOBINA X 400 M</v>
      </c>
      <c r="D31" s="189"/>
      <c r="E31" s="189"/>
      <c r="F31" s="189"/>
      <c r="G31" s="189"/>
      <c r="H31" s="42" t="s">
        <v>117</v>
      </c>
      <c r="I31" s="43" t="str">
        <f>'Necesidades Trimestrales'!F29</f>
        <v>Paquete</v>
      </c>
      <c r="J31" s="51">
        <f>'Necesidades Trimestrales'!H29</f>
        <v>1158</v>
      </c>
      <c r="K31" s="44">
        <f>'Necesidades Trimestrales'!G29</f>
        <v>400</v>
      </c>
    </row>
    <row r="32" spans="1:1024" ht="30" customHeight="1" thickBot="1" x14ac:dyDescent="0.25">
      <c r="A32" s="8">
        <f>'Necesidades Trimestrales'!A30</f>
        <v>21</v>
      </c>
      <c r="B32" s="50" t="str">
        <f>'Necesidades Trimestrales'!B30</f>
        <v>2.9.1-713.6</v>
      </c>
      <c r="C32" s="189" t="str">
        <f>'Necesidades Trimestrales'!E30</f>
        <v>TRAPOS DE PISO; DIMENSION: 48 X 60 Cm, COLOR: GRIS</v>
      </c>
      <c r="D32" s="189"/>
      <c r="E32" s="189"/>
      <c r="F32" s="189"/>
      <c r="G32" s="189"/>
      <c r="H32" s="42" t="s">
        <v>51</v>
      </c>
      <c r="I32" s="43" t="str">
        <f>'Necesidades Trimestrales'!F30</f>
        <v>unidad</v>
      </c>
      <c r="J32" s="51">
        <f>'Necesidades Trimestrales'!H30</f>
        <v>58</v>
      </c>
      <c r="K32" s="44">
        <f>'Necesidades Trimestrales'!G30</f>
        <v>50</v>
      </c>
    </row>
    <row r="33" spans="1:15" ht="30" customHeight="1" thickBot="1" x14ac:dyDescent="0.25">
      <c r="A33" s="8">
        <f>'Necesidades Trimestrales'!A31</f>
        <v>22</v>
      </c>
      <c r="B33" s="50" t="str">
        <f>'Necesidades Trimestrales'!B31</f>
        <v>2.9.1-2029.14</v>
      </c>
      <c r="C33" s="189" t="str">
        <f>'Necesidades Trimestrales'!E31</f>
        <v>TRAPOS REPASADORES; MATERIAL: ALGODON, DIMENSION: 60 X 60 Cm</v>
      </c>
      <c r="D33" s="189"/>
      <c r="E33" s="189"/>
      <c r="F33" s="189"/>
      <c r="G33" s="189"/>
      <c r="H33" s="42" t="s">
        <v>51</v>
      </c>
      <c r="I33" s="43" t="str">
        <f>'Necesidades Trimestrales'!F31</f>
        <v>unidad</v>
      </c>
      <c r="J33" s="51">
        <f>'Necesidades Trimestrales'!H31</f>
        <v>108</v>
      </c>
      <c r="K33" s="44">
        <f>'Necesidades Trimestrales'!G31</f>
        <v>50</v>
      </c>
    </row>
    <row r="34" spans="1:15" ht="30" customHeight="1" thickBot="1" x14ac:dyDescent="0.25">
      <c r="A34" s="8">
        <f>'Necesidades Trimestrales'!A32</f>
        <v>23</v>
      </c>
      <c r="B34" s="50" t="str">
        <f>'Necesidades Trimestrales'!B32</f>
        <v>2.9.1-6951.30</v>
      </c>
      <c r="C34" s="189" t="str">
        <f>'Necesidades Trimestrales'!E32</f>
        <v>LIMPIADORES; TIPO: LAVANDINA, PRESENTACION: ENVASE X 5 L</v>
      </c>
      <c r="D34" s="189"/>
      <c r="E34" s="189"/>
      <c r="F34" s="189"/>
      <c r="G34" s="189"/>
      <c r="H34" s="42" t="s">
        <v>117</v>
      </c>
      <c r="I34" s="43" t="str">
        <f>'Necesidades Trimestrales'!F32</f>
        <v xml:space="preserve">Bidon </v>
      </c>
      <c r="J34" s="51">
        <f>'Necesidades Trimestrales'!H32</f>
        <v>200</v>
      </c>
      <c r="K34" s="44">
        <f>'Necesidades Trimestrales'!G32</f>
        <v>400</v>
      </c>
      <c r="O34" s="69"/>
    </row>
    <row r="35" spans="1:15" ht="30" customHeight="1" thickBot="1" x14ac:dyDescent="0.25">
      <c r="A35" s="8">
        <f>'Necesidades Trimestrales'!A33</f>
        <v>24</v>
      </c>
      <c r="B35" s="50" t="str">
        <f>'Necesidades Trimestrales'!B33</f>
        <v>2.9.1-6951.12</v>
      </c>
      <c r="C35" s="190" t="str">
        <f>'Necesidades Trimestrales'!E33</f>
        <v>LIMPIADORES; PRESENTACION: ENVASE X 5 L, TIPO: DETERGENTE</v>
      </c>
      <c r="D35" s="191"/>
      <c r="E35" s="191"/>
      <c r="F35" s="191"/>
      <c r="G35" s="192"/>
      <c r="H35" s="42" t="s">
        <v>51</v>
      </c>
      <c r="I35" s="43" t="str">
        <f>'Necesidades Trimestrales'!F33</f>
        <v>bidon</v>
      </c>
      <c r="J35" s="51">
        <f>'Necesidades Trimestrales'!H33</f>
        <v>250</v>
      </c>
      <c r="K35" s="44">
        <f>'Necesidades Trimestrales'!G33</f>
        <v>70</v>
      </c>
    </row>
    <row r="36" spans="1:15" ht="30" customHeight="1" thickBot="1" x14ac:dyDescent="0.25">
      <c r="A36" s="8">
        <f>'Necesidades Trimestrales'!A34</f>
        <v>25</v>
      </c>
      <c r="B36" s="50" t="str">
        <f>'Necesidades Trimestrales'!B34</f>
        <v>2.9.1-1654.13</v>
      </c>
      <c r="C36" s="190" t="str">
        <f>'Necesidades Trimestrales'!E34</f>
        <v>TRAPOS; TIPO: MICROFIBRA MULTIUSO, PRESENTACION: UNIDAD</v>
      </c>
      <c r="D36" s="191"/>
      <c r="E36" s="191"/>
      <c r="F36" s="191"/>
      <c r="G36" s="192"/>
      <c r="H36" s="117" t="s">
        <v>117</v>
      </c>
      <c r="I36" s="43" t="str">
        <f>'Necesidades Trimestrales'!F34</f>
        <v xml:space="preserve">unidad </v>
      </c>
      <c r="J36" s="51">
        <f>'Necesidades Trimestrales'!H34</f>
        <v>140</v>
      </c>
      <c r="K36" s="44">
        <f>'Necesidades Trimestrales'!G34</f>
        <v>250</v>
      </c>
    </row>
    <row r="37" spans="1:15" ht="30" customHeight="1" thickBot="1" x14ac:dyDescent="0.25">
      <c r="A37" s="8">
        <f>'Necesidades Trimestrales'!A35</f>
        <v>26</v>
      </c>
      <c r="B37" s="50" t="str">
        <f>'Necesidades Trimestrales'!B35</f>
        <v>2.9.1-678.11</v>
      </c>
      <c r="C37" s="190" t="str">
        <f>'Necesidades Trimestrales'!E35</f>
        <v>TRAPOS REJILLA; DIMENSION: 40 X 45 Cm, MATERIAL: ALGODON</v>
      </c>
      <c r="D37" s="191"/>
      <c r="E37" s="191"/>
      <c r="F37" s="191"/>
      <c r="G37" s="192"/>
      <c r="H37" s="117" t="s">
        <v>51</v>
      </c>
      <c r="I37" s="43" t="str">
        <f>'Necesidades Trimestrales'!F35</f>
        <v>unidad</v>
      </c>
      <c r="J37" s="51">
        <f>'Necesidades Trimestrales'!H35</f>
        <v>80</v>
      </c>
      <c r="K37" s="44">
        <f>'Necesidades Trimestrales'!G35</f>
        <v>500</v>
      </c>
    </row>
    <row r="38" spans="1:15" ht="30" customHeight="1" thickBot="1" x14ac:dyDescent="0.25">
      <c r="A38" s="8">
        <f>'Necesidades Trimestrales'!A36</f>
        <v>27</v>
      </c>
      <c r="B38" s="50" t="str">
        <f>'Necesidades Trimestrales'!B36</f>
        <v>2.9.1-2029.11</v>
      </c>
      <c r="C38" s="190" t="str">
        <f>'Necesidades Trimestrales'!E36</f>
        <v>TRAPOS REPASADORES; MATERIAL: MICROFIBRA, DIMENSION: 30 X 40 Cm</v>
      </c>
      <c r="D38" s="191"/>
      <c r="E38" s="191"/>
      <c r="F38" s="191"/>
      <c r="G38" s="192"/>
      <c r="H38" s="117" t="s">
        <v>51</v>
      </c>
      <c r="I38" s="43" t="str">
        <f>'Necesidades Trimestrales'!F36</f>
        <v>unidad</v>
      </c>
      <c r="J38" s="51">
        <f>'Necesidades Trimestrales'!H36</f>
        <v>90</v>
      </c>
      <c r="K38" s="44">
        <f>'Necesidades Trimestrales'!G36</f>
        <v>150</v>
      </c>
    </row>
    <row r="39" spans="1:15" ht="30" customHeight="1" thickBot="1" x14ac:dyDescent="0.25">
      <c r="A39" s="116">
        <v>28</v>
      </c>
      <c r="B39" s="50" t="str">
        <f>'Necesidades Trimestrales'!B37</f>
        <v>2.9.1-646.86</v>
      </c>
      <c r="C39" s="190" t="str">
        <f>'Necesidades Trimestrales'!E37</f>
        <v>BOLSAS DE RESIDUOS; DIMENSION: 100 X 60 Cm, PRESENTACION: UNIDAD, ESPESOR: 40 Mn</v>
      </c>
      <c r="D39" s="191"/>
      <c r="E39" s="191"/>
      <c r="F39" s="191"/>
      <c r="G39" s="192"/>
      <c r="H39" s="135" t="s">
        <v>117</v>
      </c>
      <c r="I39" s="43" t="str">
        <f>'Necesidades Trimestrales'!F37</f>
        <v>unidad</v>
      </c>
      <c r="J39" s="51">
        <f>'Necesidades Trimestrales'!H37</f>
        <v>40</v>
      </c>
      <c r="K39" s="44">
        <f>'Necesidades Trimestrales'!G37</f>
        <v>4000</v>
      </c>
      <c r="L39" s="118"/>
    </row>
    <row r="40" spans="1:15" ht="16.5" thickBot="1" x14ac:dyDescent="0.25">
      <c r="A40" s="181" t="s">
        <v>162</v>
      </c>
      <c r="B40" s="181"/>
      <c r="C40" s="181"/>
      <c r="D40" s="181"/>
      <c r="E40" s="181"/>
      <c r="F40" s="181"/>
      <c r="G40" s="181"/>
      <c r="H40" s="181"/>
      <c r="I40" s="181"/>
      <c r="J40" s="188">
        <f>SUMPRODUCT(K12:K39,J12:J39)</f>
        <v>1741108.75</v>
      </c>
      <c r="K40" s="188"/>
    </row>
  </sheetData>
  <mergeCells count="50">
    <mergeCell ref="C16:G16"/>
    <mergeCell ref="C17:G17"/>
    <mergeCell ref="C18:G18"/>
    <mergeCell ref="C12:G12"/>
    <mergeCell ref="C13:G13"/>
    <mergeCell ref="C14:G14"/>
    <mergeCell ref="C15:G15"/>
    <mergeCell ref="C31:G31"/>
    <mergeCell ref="C32:G32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A40:I40"/>
    <mergeCell ref="J40:K40"/>
    <mergeCell ref="C33:G33"/>
    <mergeCell ref="C34:G34"/>
    <mergeCell ref="C35:G35"/>
    <mergeCell ref="C36:G36"/>
    <mergeCell ref="C37:G37"/>
    <mergeCell ref="C38:G38"/>
    <mergeCell ref="C39:G3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4" zoomScale="85" zoomScaleNormal="85" workbookViewId="0">
      <selection activeCell="A10" sqref="A10:Q1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93" t="s">
        <v>3</v>
      </c>
      <c r="B1" s="193"/>
      <c r="C1" s="193"/>
      <c r="D1" s="194">
        <f>'Necesidades Trimestrales'!C6</f>
        <v>2022</v>
      </c>
      <c r="E1" s="194"/>
      <c r="F1" s="10"/>
      <c r="G1" s="10"/>
      <c r="H1" s="11"/>
      <c r="I1" s="11"/>
      <c r="J1" s="11"/>
      <c r="K1" s="11"/>
      <c r="L1" s="11"/>
      <c r="M1" s="11"/>
      <c r="N1" s="11"/>
      <c r="P1" s="195" t="s">
        <v>25</v>
      </c>
      <c r="Q1" s="19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95"/>
      <c r="Q2" s="195"/>
    </row>
    <row r="4" spans="1:17" s="12" customFormat="1" ht="18" customHeight="1" thickBot="1" x14ac:dyDescent="0.25">
      <c r="A4" s="196" t="s">
        <v>26</v>
      </c>
      <c r="B4" s="196"/>
      <c r="C4" s="196"/>
      <c r="D4" s="196"/>
      <c r="E4" s="196"/>
      <c r="F4" s="196"/>
      <c r="G4" s="197" t="str">
        <f>NotaPedido!D3</f>
        <v>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12" customFormat="1" ht="18" customHeight="1" thickBot="1" x14ac:dyDescent="0.25">
      <c r="A5" s="198" t="s">
        <v>49</v>
      </c>
      <c r="B5" s="199"/>
      <c r="C5" s="199"/>
      <c r="D5" s="199"/>
      <c r="E5" s="199"/>
      <c r="F5" s="200"/>
      <c r="G5" s="197" t="str">
        <f>NotaPedido!D4</f>
        <v>28 - MATERNIDAD PROVINCIAL 25 DE MAYO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12" customFormat="1" ht="18" customHeight="1" thickBot="1" x14ac:dyDescent="0.25">
      <c r="A6" s="198" t="s">
        <v>27</v>
      </c>
      <c r="B6" s="199"/>
      <c r="C6" s="199"/>
      <c r="D6" s="199"/>
      <c r="E6" s="199"/>
      <c r="F6" s="200"/>
      <c r="G6" s="197" t="str">
        <f>NotaPedido!D5</f>
        <v xml:space="preserve">171-Direccion de Admisnitracion 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12" customFormat="1" ht="18" customHeight="1" thickBot="1" x14ac:dyDescent="0.25">
      <c r="A7" s="198" t="s">
        <v>50</v>
      </c>
      <c r="B7" s="199"/>
      <c r="C7" s="199"/>
      <c r="D7" s="199"/>
      <c r="E7" s="199"/>
      <c r="F7" s="200"/>
      <c r="G7" s="197" t="str">
        <f>NotaPedido!D6</f>
        <v>Servicio de Economato y Nutricion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8" customHeight="1" thickBot="1" x14ac:dyDescent="0.25">
      <c r="A8" s="201" t="s">
        <v>28</v>
      </c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</row>
    <row r="9" spans="1:17" ht="18" customHeight="1" x14ac:dyDescent="0.2">
      <c r="A9" s="202" t="s">
        <v>29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1"/>
      <c r="P9" s="1"/>
      <c r="Q9" s="13"/>
    </row>
    <row r="10" spans="1:17" ht="54.75" customHeight="1" x14ac:dyDescent="0.2">
      <c r="A10" s="20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08/2022,  afectando la erogación resultante a los créditos presupuestarios aprobados a favor de esta Unidad Ejecutora, conforme al siguiente detalle: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204" t="s">
        <v>30</v>
      </c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</row>
    <row r="13" spans="1:17" ht="15.75" customHeight="1" x14ac:dyDescent="0.2">
      <c r="A13" s="205" t="s">
        <v>31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6" t="s">
        <v>32</v>
      </c>
      <c r="P13" s="206"/>
      <c r="Q13" s="207" t="s">
        <v>33</v>
      </c>
    </row>
    <row r="14" spans="1:17" ht="15.75" customHeight="1" thickBot="1" x14ac:dyDescent="0.25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206"/>
      <c r="P14" s="206"/>
      <c r="Q14" s="207"/>
    </row>
    <row r="15" spans="1:17" ht="17.25" customHeight="1" thickBot="1" x14ac:dyDescent="0.25">
      <c r="A15" s="52">
        <v>42</v>
      </c>
      <c r="B15" s="53"/>
      <c r="C15" s="53"/>
      <c r="D15" s="53">
        <v>3</v>
      </c>
      <c r="E15" s="53"/>
      <c r="F15" s="53">
        <v>4901</v>
      </c>
      <c r="G15" s="53">
        <v>3</v>
      </c>
      <c r="H15" s="53">
        <v>1</v>
      </c>
      <c r="I15" s="24">
        <v>2</v>
      </c>
      <c r="J15" s="24">
        <v>3</v>
      </c>
      <c r="K15" s="24">
        <v>4</v>
      </c>
      <c r="L15" s="25"/>
      <c r="M15" s="65">
        <v>1</v>
      </c>
      <c r="N15" s="68" t="s">
        <v>53</v>
      </c>
      <c r="O15" s="208" t="s">
        <v>56</v>
      </c>
      <c r="P15" s="208"/>
      <c r="Q15" s="27">
        <v>1187700</v>
      </c>
    </row>
    <row r="16" spans="1:17" ht="17.25" customHeight="1" thickBot="1" x14ac:dyDescent="0.25">
      <c r="A16" s="52">
        <v>42</v>
      </c>
      <c r="B16" s="53"/>
      <c r="C16" s="53"/>
      <c r="D16" s="53">
        <v>3</v>
      </c>
      <c r="E16" s="53"/>
      <c r="F16" s="53">
        <v>4901</v>
      </c>
      <c r="G16" s="53">
        <v>3</v>
      </c>
      <c r="H16" s="53">
        <v>1</v>
      </c>
      <c r="I16" s="24">
        <v>2</v>
      </c>
      <c r="J16" s="24">
        <v>5</v>
      </c>
      <c r="K16" s="24">
        <v>4</v>
      </c>
      <c r="L16" s="25"/>
      <c r="M16" s="65">
        <v>1</v>
      </c>
      <c r="N16" s="68" t="s">
        <v>53</v>
      </c>
      <c r="O16" s="208" t="s">
        <v>107</v>
      </c>
      <c r="P16" s="208"/>
      <c r="Q16" s="27">
        <v>31100</v>
      </c>
    </row>
    <row r="17" spans="1:19" ht="17.25" customHeight="1" thickBot="1" x14ac:dyDescent="0.25">
      <c r="A17" s="52">
        <v>42</v>
      </c>
      <c r="B17" s="53"/>
      <c r="C17" s="53"/>
      <c r="D17" s="53">
        <v>3</v>
      </c>
      <c r="E17" s="53"/>
      <c r="F17" s="53">
        <v>4901</v>
      </c>
      <c r="G17" s="53">
        <v>3</v>
      </c>
      <c r="H17" s="53">
        <v>1</v>
      </c>
      <c r="I17" s="29">
        <v>2</v>
      </c>
      <c r="J17" s="29">
        <v>9</v>
      </c>
      <c r="K17" s="29">
        <v>1</v>
      </c>
      <c r="L17" s="29"/>
      <c r="M17" s="31">
        <v>1</v>
      </c>
      <c r="N17" s="32" t="s">
        <v>53</v>
      </c>
      <c r="O17" s="209" t="s">
        <v>108</v>
      </c>
      <c r="P17" s="209"/>
      <c r="Q17" s="27">
        <v>362308.75</v>
      </c>
      <c r="S17" s="45"/>
    </row>
    <row r="18" spans="1:19" ht="17.25" customHeight="1" x14ac:dyDescent="0.2">
      <c r="A18" s="52">
        <v>42</v>
      </c>
      <c r="B18" s="53"/>
      <c r="C18" s="53"/>
      <c r="D18" s="53">
        <v>3</v>
      </c>
      <c r="E18" s="53"/>
      <c r="F18" s="53">
        <v>4901</v>
      </c>
      <c r="G18" s="53">
        <v>3</v>
      </c>
      <c r="H18" s="53">
        <v>1</v>
      </c>
      <c r="I18" s="29">
        <v>2</v>
      </c>
      <c r="J18" s="29">
        <v>5</v>
      </c>
      <c r="K18" s="29">
        <v>8</v>
      </c>
      <c r="L18" s="29"/>
      <c r="M18" s="31">
        <v>1</v>
      </c>
      <c r="N18" s="32" t="s">
        <v>53</v>
      </c>
      <c r="O18" s="209" t="s">
        <v>158</v>
      </c>
      <c r="P18" s="209"/>
      <c r="Q18" s="27">
        <v>160000</v>
      </c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208"/>
      <c r="P19" s="208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208"/>
      <c r="P20" s="208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209"/>
      <c r="P21" s="209"/>
      <c r="Q21" s="27"/>
      <c r="R21" s="1"/>
    </row>
    <row r="22" spans="1:19" ht="17.25" customHeight="1" thickBot="1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215"/>
      <c r="P22" s="215"/>
      <c r="Q22" s="36"/>
    </row>
    <row r="23" spans="1:19" ht="34.5" customHeight="1" thickBot="1" x14ac:dyDescent="0.25">
      <c r="A23" s="216" t="s">
        <v>163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46">
        <f>SUM(Q15:Q22)</f>
        <v>1741108.75</v>
      </c>
    </row>
    <row r="24" spans="1:19" ht="18" customHeight="1" thickBot="1" x14ac:dyDescent="0.25">
      <c r="A24" s="217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</row>
    <row r="25" spans="1:19" ht="17.25" customHeight="1" thickBot="1" x14ac:dyDescent="0.25">
      <c r="A25" s="210" t="s">
        <v>47</v>
      </c>
      <c r="B25" s="211"/>
      <c r="C25" s="211"/>
      <c r="D25" s="211"/>
      <c r="E25" s="211"/>
      <c r="F25" s="212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</row>
    <row r="26" spans="1:19" ht="18" customHeight="1" thickBot="1" x14ac:dyDescent="0.25">
      <c r="A26" s="214" t="str">
        <f>"Para la "&amp; NotaPedido!D8 &amp;" para ser destinados a " &amp; NotaPedido!D6 &amp;"  de la Maternidad Provincial 25 de Mayo del Ministerio de Salud."</f>
        <v>Para la Adquisición de elementos de limpieza  para ser destinados a Servicio de Economato y Nutricion  de la Maternidad Provincial 25 de Mayo del Ministerio de Salud.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</row>
    <row r="27" spans="1:19" ht="15" customHeight="1" x14ac:dyDescent="0.2">
      <c r="A27" s="214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ARIEL</cp:lastModifiedBy>
  <cp:revision>2</cp:revision>
  <cp:lastPrinted>2021-02-17T15:38:36Z</cp:lastPrinted>
  <dcterms:created xsi:type="dcterms:W3CDTF">2020-07-17T23:44:49Z</dcterms:created>
  <dcterms:modified xsi:type="dcterms:W3CDTF">2022-02-11T12:17:31Z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