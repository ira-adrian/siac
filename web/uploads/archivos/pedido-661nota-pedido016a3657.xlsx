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NotaPedido!$A$1:$K$76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J76" i="2" l="1"/>
  <c r="G6" i="3" l="1"/>
  <c r="G7" i="3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<sst xmlns="http://schemas.openxmlformats.org/spreadsheetml/2006/main" count="440" uniqueCount="221">
  <si>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</si>
  <si>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</si>
  <si>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</si>
  <si>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</si>
  <si>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</si>
  <si>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</si>
  <si>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</si>
  <si>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</si>
  <si>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</si>
  <si>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</si>
  <si>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</si>
  <si>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</si>
  <si>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</si>
  <si>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</si>
  <si>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</si>
  <si>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</si>
  <si>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</si>
  <si>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</si>
  <si>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</si>
  <si>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</si>
  <si>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</si>
  <si>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</si>
  <si>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</si>
  <si>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</si>
  <si>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</si>
  <si>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</si>
  <si>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</si>
  <si>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</si>
  <si>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</si>
  <si>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</si>
  <si>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</si>
  <si>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</si>
  <si>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</si>
  <si>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</si>
  <si>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</si>
  <si>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</si>
  <si>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</si>
  <si>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</si>
  <si>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</si>
  <si>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</si>
  <si>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</si>
  <si>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</si>
  <si>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</si>
  <si>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</si>
  <si>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</si>
  <si>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</si>
  <si>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</si>
  <si>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</si>
  <si>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</si>
  <si>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</si>
  <si>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</si>
  <si>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</si>
  <si>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</si>
  <si>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</si>
  <si>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</si>
  <si>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</si>
  <si>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</si>
  <si>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</si>
  <si>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</si>
  <si>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</si>
  <si>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</si>
  <si>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</si>
  <si>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>3.1</t>
  </si>
  <si>
    <t>1.1</t>
  </si>
  <si>
    <t>Anual</t>
  </si>
  <si>
    <t>2.5.2-4704.30</t>
  </si>
  <si>
    <t>PROD. MEDICO/FARMACEUTICOS/LAB</t>
  </si>
  <si>
    <t>GOTAS OFTALMOLOGICAS; TIPO: MONODROGA, DROGA GENERICA: ACIDO POLIACRILICO 0,2%, FORMA FARMACEUTICA: GEL X 10 GR</t>
  </si>
  <si>
    <t>ENVASE</t>
  </si>
  <si>
    <t>2.5.2-1868.1</t>
  </si>
  <si>
    <t>ANSIOLITICOS; TIPO: MONODROGA, DROGA GENERICA: ALPRAZOLAM, FORMA FARMACEUTICA: COMPRIMIDO, PRESENTACION: 0,5 mGr</t>
  </si>
  <si>
    <t>COMPRIMIDO</t>
  </si>
  <si>
    <t>2.5.2-1871.89</t>
  </si>
  <si>
    <t>NEUROLEPTICOS; TIPO: MONODROGA, DROGA GENERICA: ARIPIPRAZOL, FORMA FARMACEUTICA: COMPRIMIDO, PRESENTACION: ENVASE X 10 mGr</t>
  </si>
  <si>
    <t>2.5.2-1866.12</t>
  </si>
  <si>
    <t>ANTIPARKINSONIANOS; TIPO: MONODROGA, DROGA GENERICA: BIPERIDENO, FORMA FARMACEUTICA: COMPRIMIDO, PRESENTACION: 2 mGr</t>
  </si>
  <si>
    <t>2.5.2-1725.152</t>
  </si>
  <si>
    <t>ANTIINFLAMATORIOS NO ESTEROIDE; TIPO: MONODROGA - DROGA GENERICA BROMFENAC 0,09%; FORMA FARMACEUTICA: GOTAS; PRESENTACION: SIN DEFINIR</t>
  </si>
  <si>
    <t>GOTERO</t>
  </si>
  <si>
    <t>2.5.2-2688.9</t>
  </si>
  <si>
    <t>ESTIMULANTES CENTRALES; TIPO: MONODROGA, FORMA FARMACEUTICA: AMPOLLA, DROGA GENERICA: CAFEINA, PRESENTACION: AL 25%</t>
  </si>
  <si>
    <t>AMPOLLA</t>
  </si>
  <si>
    <t>2.5.2-1871.34</t>
  </si>
  <si>
    <t>NEUROLEPTICOS; TIPO: MONODROGA, DROGA GENERICA: CARBONATO DE LITIO, FORMA FARMACEUTICA: COMPRIMIDO, PRESENTACION: 300 mGr</t>
  </si>
  <si>
    <t>2.5.2-4704.57</t>
  </si>
  <si>
    <t>GOTAS OFTALMOLOGICAS; TIPO: ASOCIACION, DROGA GENERICA: CARBOXIMETILCELULOSA 1%, FORMA FARMACEUTICA: GOTAS</t>
  </si>
  <si>
    <t>2.5.2-1838.4</t>
  </si>
  <si>
    <t>INOTROPICOS; TIPO: MONODROGA, DROGA GENERICA: CICLOPENTOLATO AL 1%, FORMA FARMACEUTICA: GOTAS, PRESENTACION: 5 mL</t>
  </si>
  <si>
    <t>2.5.2-4704.39</t>
  </si>
  <si>
    <t>GOTAS OFTALMOLOGICAS; TIPO: ASOCIACION, DROGA GENERICA: CIPROFLOXACINA + DEXAMETASONA, FORMA FARMACEUTICA: ENVASE X 5 mL</t>
  </si>
  <si>
    <t>2.5.2-1821.521</t>
  </si>
  <si>
    <t>ANTIBIOTICOS; TIPO: ASOCIACION - DROGA GENERICA CIPROFLOXACINA 0,3% + DEXAMETASONA 0,1%; FORMA FARMACEUTICA: UNGÜENTO OFTALMOLOGICO</t>
  </si>
  <si>
    <t>2.5.2-1868.64</t>
  </si>
  <si>
    <t>ANSIOLITICOS; TIPO: MONODROGA, DROGA GENERICA: CITALOPRAM 20 mGr, FORMA FARMACEUTICA: COMPRIMIDO, PRESENTACION: UNIDAD</t>
  </si>
  <si>
    <t>2.5.2-1868.62</t>
  </si>
  <si>
    <t>ANSIOLITICOS; TIPO: MONODROGA, DROGA GENERICA: CLONAZEPAN 0,5 mGr, FORMA FARMACEUTICA: COMPRIMIDO, PRESENTACION: UNIDAD</t>
  </si>
  <si>
    <t>2.5.2-1868.37</t>
  </si>
  <si>
    <t>ANSIOLITICOS; TIPO: MONODROGA, DROGA GENERICA: CLONAZEPAN 2 MG, FORMA FARMACEUTICA: COMPRIMIDOS, PRESENTACION: UNIDAD</t>
  </si>
  <si>
    <t>2.5.2-1868.45</t>
  </si>
  <si>
    <t>ANSIOLITICOS; TIPO: MONODROGA, DROGA GENERICA: CLORPROMAZINA, FORMA FARMACEUTICA: AMPOLLA, PRESENTACION: 25 mGr</t>
  </si>
  <si>
    <t>2.5.2-1868.51</t>
  </si>
  <si>
    <t>ANSIOLITICOS; TIPO: MONODROGA, DROGA GENERICA: CLORPROMAZINA, FORMA FARMACEUTICA: AMPOLLA, PRESENTACION: 50 mGr</t>
  </si>
  <si>
    <t>2.5.2-1871.11</t>
  </si>
  <si>
    <t>NEUROLEPTICOS; DROGA GENERICA: CLOTIAPINA, FORMA FARMACEUTICA: COMPRIMIDO, PRESENTACION: 40 mGr, TIPO: MONODROGA</t>
  </si>
  <si>
    <t>2.5.2-7316.16</t>
  </si>
  <si>
    <t>ANTIPSICOTICOS; PRESENTACION: COMPRIMIDO, TIPO: MONODROGA, DROGA GENERICA: CLOZAPINA 25 mGr</t>
  </si>
  <si>
    <t>2.5.2-1868.68</t>
  </si>
  <si>
    <t>ANSIOLITICOS; TIPO: MONODROGA, DROGA GENERICA: DIAZEPAN 10 mGr, FORMA FARMACEUTICA: AMPOLLA, PRESENTACION: ENVASE X 2 mL</t>
  </si>
  <si>
    <t>2.5.2-1868.6</t>
  </si>
  <si>
    <t>ANSIOLITICOS; TIPO: MONODROGA, FORMA FARMACEUTICA: COMPRIMIDO, PRESENTACION: 10 mGr, DROGA GENERICA: DIAZEPAN</t>
  </si>
  <si>
    <t>2.5.2-1868.55</t>
  </si>
  <si>
    <t>ANSIOLITICOS; TIPO: MONODROGA, DROGA GENERICA: DIVALPROATO DE SODIO 500 MG, FORMA FARMACEUTICA: COMPRIMIDO, PRESENTACION: UNIDAD</t>
  </si>
  <si>
    <t>2.5.2-4704.5</t>
  </si>
  <si>
    <t>GOTAS OFTALMOLÓGICAS; TIPO: ASOCIACIÓN; DROGA GENÉRICA: DORZOLAMIDA 20MG + TIMOLOL 5MG; FORMA FARMACEÚTICA: FRASCO X 5 ML</t>
  </si>
  <si>
    <t>2.5.2-1821.339</t>
  </si>
  <si>
    <t>ANTIBIOTICOS P/PERSONAS; TIPO: MONODROGA, DROGA GENERICA: ERITROMICINA 1%, FORMA FARMACEUTICA: GOTA, PRESENTACION: ENVASE X 5 mL</t>
  </si>
  <si>
    <t>2.5.2-1834.3</t>
  </si>
  <si>
    <t>ANTIARRITMICOS; DROGA GENERICA: FENITOINA, FORMA FARMACEUTICA: COMPRIMIDO, PRESENTACION: 100 mGr, TIPO: MONODROGA</t>
  </si>
  <si>
    <t>2.5.2-1834.9</t>
  </si>
  <si>
    <t>ANTIARRITMICOS; TIPO: MONODROGA, DROGA GENERICA: FENITOINA SODICA 100 MG, FORMA FARMACEUTICA: AMPOLLA, PRESENTACION: 2 mL</t>
  </si>
  <si>
    <t>2.5.2-2233.33</t>
  </si>
  <si>
    <t>ANTICONVULSIVANTES; TIPO: MONODROGA, DROGA GENERICA: FENOBARBITAL 100 MG, FORMA FARMACEUTICA: COMPRIMIDO, PRESENTACION: UNIDAD</t>
  </si>
  <si>
    <t>2.5.2-1865.2</t>
  </si>
  <si>
    <r>
      <rPr>
        <sz val="10"/>
        <rFont val="Arial"/>
        <family val="2"/>
      </rPr>
      <t>ANTIEPILEPTICOS;</t>
    </r>
    <r>
      <rPr>
        <sz val="10"/>
        <color rgb="FF000000"/>
        <rFont val="Arial"/>
        <family val="2"/>
      </rPr>
      <t xml:space="preserve"> TIPO: MONODROGA, FORMA FARMACEUTICA: AMPOLLA, PRESENTACION: 200 mGr, DROGA GENERICA: FENOBARBITAL</t>
    </r>
  </si>
  <si>
    <t>2.5.2-2690.1</t>
  </si>
  <si>
    <t>ANTAGONISTAS BENZODIAZEPINICOS; TIPO: MONODROGA, DROGA GENERICA: FLUMAZENIL, FORMA FARMACEUTICA: AMPOLLA, PRESENTACION: 0,5 mGr</t>
  </si>
  <si>
    <t>2.5.2-1883.178</t>
  </si>
  <si>
    <t>ANESTESICOS LOCALES; TIPO: MONODROGA, DROGA GENERICA: FLUORESCEINA SODICA 0,25 %, FORMA FARMACEUTICA: GOTAS OFTALMICAS, PRESENTACION: GOTERO X 5 mL</t>
  </si>
  <si>
    <t>2.5.2-1869.13</t>
  </si>
  <si>
    <t>ANTIDEPRESIVOS; TIPO: MONODROGA, DROGA GENERICA: FLUOXETINA, FORMA FARMACEUTICA: COMPRIMIDO, PRESENTACION: 20 mGr</t>
  </si>
  <si>
    <t>CAPSULAS</t>
  </si>
  <si>
    <t>2.5.2-1821.361</t>
  </si>
  <si>
    <t>ANTIBIOTICOS P/PERSONAS; TIPO: MONODROGA, DROGA GENERICA: GATIFLOXACINA 0,3 %, FORMA FARMACEUTICA: GOTAS, PRESENTACION: ENVASE X 5 mL</t>
  </si>
  <si>
    <t>2.5.2-1871.88</t>
  </si>
  <si>
    <t>NEUROLEPTICOS; TIPO: MONODROGA, DROGA GENERICA: HALOPERIDOL 10 mGr, FORMA FARMACEUTICA: COMPRIMIDOS, PRESENTACION: UNIDAD</t>
  </si>
  <si>
    <t>2.5.2-1871.103</t>
  </si>
  <si>
    <t>NEUROLEPTICOS; TIPO: MONODROGA, DROGA GENERICA: HALOPERIDOL 2 MG, FORMA FARMACEUTICA: GOTAS, PRESENTACION: ENVASE X 20 mL</t>
  </si>
  <si>
    <t>2.5.2-1871.101</t>
  </si>
  <si>
    <t>NEUROLEPTICOS; TIPO: MONODROGA, DROGA GENERICA: HALOPERIDOL 5 MG, FORMA FARMACEUTICA: AMPOLLA, PRESENTACION: ENVASE X 1 mL</t>
  </si>
  <si>
    <t>2.5.2-1871.102</t>
  </si>
  <si>
    <t>NEUROLEPTICOS; TIPO: MONODROGA, DROGA GENERICA: HALOPERIDOL DECANOATO 150 MG, FORMA FARMACEUTICA: AMPOLLA, PRESENTACION: ENVASE X 3 mL</t>
  </si>
  <si>
    <t>2.5.2-1865.26</t>
  </si>
  <si>
    <t>ANTIEPILEPTICOS; TIPO: MONODROGA, FORMA FARMACEUTICA: COMPRIMIDO, PRESENTACION: 100 mGr, DROGA GENERICA: LAMOTRIGINA</t>
  </si>
  <si>
    <t>2.5.2-4704.48</t>
  </si>
  <si>
    <t>GOTAS OFTALMOLOGICAS; TIPO: MONODROGA, DROGA GENERICA: LATANOPROST 50 µgr/ML, FORMA FARMACEUTICA: FRASCO X 2,5 mL</t>
  </si>
  <si>
    <t>2.5.2-1865.60</t>
  </si>
  <si>
    <t>ANTIEPILÉPTICOS; TIPO: MONODROGA, DROGA GENÉRICA: LEVETIRACETAM, FORMA FARMACEÚTICA: COMPRIMIDO, PRESENTACION: 500 MG</t>
  </si>
  <si>
    <t>2.5.2-1871.99</t>
  </si>
  <si>
    <t>NEUROLEPTICOS; TIPO: MONODROGA, DROGA GENERICA: LEVOMEPROMAZINA 25 MG, FORMA FARMACEUTICA: AMPOLLA, PRESENTACION: ENVASE X 1 mL</t>
  </si>
  <si>
    <t>2.5.2-1871.7</t>
  </si>
  <si>
    <t>NEUROLEPTICOS; TIPO: MONODROGA, DROGA GENERICA: LEVOMEPROMAZINA, FORMA FARMACEUTICA: COMPRIMIDO, PRESENTACION: 25 mGr</t>
  </si>
  <si>
    <t>2.5.2-1868.7</t>
  </si>
  <si>
    <t>2.5.2-1868.10</t>
  </si>
  <si>
    <t>2.5.2-1868.24</t>
  </si>
  <si>
    <t>2.5.2-2806.4</t>
  </si>
  <si>
    <t>2.5.2-1883.164</t>
  </si>
  <si>
    <t>ANESTESICOS LOCALES; TIPO: MONODROGA, DROGA GENERICA: NEOSTIGMINA 0,5 mGr/ML, FORMA FARMACEUTICA: AMPOLLA, PRESENTACION: ENVASE X 1 mL</t>
  </si>
  <si>
    <t>2.5.2-1869.19</t>
  </si>
  <si>
    <t>ANTIDEPRESIVOS; TIPO: MONODROGA, DROGA GENERICA: OLANZAPINA, FORMA FARMACEUTICA: COMPRIMIDO, PRESENTACION: 10 mGr</t>
  </si>
  <si>
    <t>2.5.2-1869.11</t>
  </si>
  <si>
    <t>ANTIDEPRESIVOS; TIPO: MONODROGA, DROGA GENERICA: PAROXETINA, FORMA FARMACEUTICA: COMPRIMIDO, PRESENTACION: 20 mGr</t>
  </si>
  <si>
    <t>2.5.2-2476.33</t>
  </si>
  <si>
    <t>ANTIALERGICOS-ANTIHISTAMINICOS; TIPO: ASOCIACION, DROGA GENERICA: PREDNISOLONA+FENILEFRINA, FORMA FARMACEUTICA: GOTAS OFTALMICAS, PRESENTACION: FRASCO GOTERO X 10 mL</t>
  </si>
  <si>
    <t>2.5.2-1868.82</t>
  </si>
  <si>
    <t>ANSIOLITICOS; TIPO: MONODROGA, DROGA GENERICA: PREGABALINA 75 MG, FORMA FARMACEUTICA: COMPRIMIDO, PRESENTACION: UNIDAD</t>
  </si>
  <si>
    <t>2.5.2-1883.163</t>
  </si>
  <si>
    <t>ANESTESICOS LOCALES; TIPO: MONODROGA, DROGA GENERICA: CLORHIDRATO PROPARACAINA 0.5, FORMA FARMACEUTICA: GOTAS OFTALMICAS, PRESENTACION: UNIDAD</t>
  </si>
  <si>
    <t>2.5.2-7404.9</t>
  </si>
  <si>
    <t>COAGULANTES P/PERSONAS; TIPO: MONODROGA, DROGA GENERICA: PROTAMINA SULFATO 10 MGR, / ML, FORMA FARMACEUTICA: AMPOLLA, PRESENTACION: 5 ML</t>
  </si>
  <si>
    <t>2.5.2-7316.5</t>
  </si>
  <si>
    <t>ANTIPSICOTICOS; PRESENTACION: COMPRIMIDOS, TIPO: MONODROGA, DROGA GENERICA: QUETIAPINA 100 mGr</t>
  </si>
  <si>
    <t>2.5.2-1871.27</t>
  </si>
  <si>
    <t>NEUROLEPTICOS; TIPO: MONODROGA, DROGA GENERICA: RISPERIDONA, FORMA FARMACEUTICA: COMPRIMIDO, PRESENTACION: 1 mGr</t>
  </si>
  <si>
    <t>2.5.2-1871.26</t>
  </si>
  <si>
    <t>NEUROLEPTICOS; TIPO: MONODROGA, DROGA GENERICA: RISPERIDONA, FORMA FARMACEUTICA: COMPRIMIDO, PRESENTACION: 2 mGr</t>
  </si>
  <si>
    <t>2.5.2-1871.24</t>
  </si>
  <si>
    <t>NEUROLEPTICOS; TIPO: MONODROGA, DROGA GENERICA: RISPERIDONA, FORMA FARMACEUTICA: COMPRIMIDO, PRESENTACION: 3 mGr</t>
  </si>
  <si>
    <t>2.5.2-1869.14</t>
  </si>
  <si>
    <t>ANTIDEPRESIVOS; TIPO: MONODROGA, DROGA GENERICA: SERTRALINA, FORMA FARMACEUTICA: COMPRIMIDO, PRESENTACION: 50 mGr</t>
  </si>
  <si>
    <t>2.5.2-1821.112</t>
  </si>
  <si>
    <t>ANTIBIOTICOS P/PERSONAS; TIPO: MONODROGA, DROGA GENERICA: TOBRAMICINA AL 0,3 %, FORMA FARMACEUTICA: GOTAS, PRESENTACION: 5 mL</t>
  </si>
  <si>
    <t>2.5.2-1821.281</t>
  </si>
  <si>
    <t>ANTIBIOTICOS P/PERSONAS; TIPO: ASOCIACION, DROGA GENERICA: TOBRAMICINA+DEXAMETASONA, FORMA FARMACEUTICA: GOTAS OFTALMICAS, PRESENTACION: GOTERO X 5 mL</t>
  </si>
  <si>
    <t>2.5.2-1837.52</t>
  </si>
  <si>
    <t>HIPOTENSORES; TIPO: MONODROGA, DROGA GENERICA: TRAVOPROST 0,04% COLIRIO, FORMA FARMACEUTICA: GOTAS, PRESENTACION: SEGUN PLIEGO</t>
  </si>
  <si>
    <t>2.5.2-4704.15</t>
  </si>
  <si>
    <t>GOTAS OFTALMOLOGICAS; TIPO: ASOCIACION, DROGA GENERICA: FENILEFRINA + TROPICAMIDA, FORMA FARMACEUTICA: ENVASE X 5 mL</t>
  </si>
  <si>
    <t>2.5.2-1865.10</t>
  </si>
  <si>
    <t>ANTIEPILEPTICOS; TIPO: MONODROGA, DROGA GENERICA: VALPROATO DE MAGNESIO, FORMA FARMACEUTICA: COMPRIMIDO, PRESENTACION: 400 mGr</t>
  </si>
  <si>
    <t>2.5.2-1869.21</t>
  </si>
  <si>
    <t>ANTIDEPRESIVOS; DROGA GENERICA: VENLAFAXINA, FORMA FARMACEUTICA: COMPRIMIDO, PRESENTACION: 75 mGr, TIPO: MONODROGA</t>
  </si>
  <si>
    <t>2.5.2-1868.14</t>
  </si>
  <si>
    <t>ANSIOLITICOS; TIPO: MONODROGA, DROGA GENERICA: ZOLPIDEN, FORMA FARMACEUTICA: COMPRIMIDOS, PRESENTACION: 10 mGr</t>
  </si>
  <si>
    <t>2.5.2-1894.101</t>
  </si>
  <si>
    <t>CITOSTATICOS; TIPO: MONODROGA, DROGA GENERICA: BEVACIZUMAB 100 MG, FORMA FARMACEUTICA: VIAL X 4 mL, PRESENTACION: UNIDAD</t>
  </si>
  <si>
    <t>Adquisición de Medicamentos para Farmacia</t>
  </si>
  <si>
    <t>Especificidades Item N° 05:</t>
  </si>
  <si>
    <t>TIPO BERLOFEN X 5 ML</t>
  </si>
  <si>
    <t>TIPO ALIVIAMAX GTS X 10 ML</t>
  </si>
  <si>
    <t>Especificidades Item N° 8:</t>
  </si>
  <si>
    <t>Especificidades Item N° 11:</t>
  </si>
  <si>
    <t>TIPO QUIDEX x 3,5 gr</t>
  </si>
  <si>
    <t>Especificidades Item N° 22:</t>
  </si>
  <si>
    <t>TIPO ALIVIAPRES GOTAS</t>
  </si>
  <si>
    <t>Especificidades Item N° 59:</t>
  </si>
  <si>
    <t xml:space="preserve"> TRAVOPROST 0,04% COLIRIO x 5 ml </t>
  </si>
  <si>
    <t>Especificidades Item N° 60:</t>
  </si>
  <si>
    <t>TIPO FOTORRETIN</t>
  </si>
  <si>
    <t>Especificidades Item N° 63:</t>
  </si>
  <si>
    <t>CAJA X 60 TIPO SABRIL</t>
  </si>
  <si>
    <t>SI</t>
  </si>
  <si>
    <t xml:space="preserve">PLAZO DE MANTENIMIENTO DE LA OFERTA: 45 DIAS HABILES </t>
  </si>
  <si>
    <t>PLAZO DE ENTREGA: 15 DIAS HABILES - SERVICIO DE FARMACIA - AVDA. ILLIA Y MARIANO MORENO - DE LUNES A VIERNES DE 08:00 A 11:00 HORAS DEBIENDO CORRER LOS GASTOS DE FLETES, ACARREO, CARGA, DESCARGA Y SEGURO A CARGO DEL ADJUDICATARIO.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</si>
  <si>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</si>
  <si>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>Costo total estimado: CUATRO MILLONES NOVECIENTOS VEINTITRES MIL CIENTO OCHENTA Y DOS CON 31/100.--</t>
  </si>
  <si>
    <t>TOTAL DE PESOS: CUATRO MILLONES NOVECIENTOS VEINTITRES MIL CIENTO OCHENTA Y DOS CON 31/100.---</t>
  </si>
  <si>
    <t>149 - 2022</t>
  </si>
  <si>
    <t>ANSIOLÍTICOS; TIPO: MONODROGA, FORMA FARMACEÚTICA: COMPRIMIDO, DROGA GENÉRICA: LORAZEPAM, PRESENTACIÓN: 1 MG</t>
  </si>
  <si>
    <t>ANSIOLITICOS; TIPO: MONODROGA, FORMA FARMACEUTICA: COMPRIMIDO, PRESENTACION: 2 MGR, DROGA GENERICA: LORAZEPAM</t>
  </si>
  <si>
    <t>ANSIOLITICOS; TIPO: MONODROGA, DROGA GENERICA: LORAZEPAM, FORMA FARMACEUTICA: AMPOLLA, PRESENTACION: 4 MGR / 2 ML</t>
  </si>
  <si>
    <t>ANTAGONISTAS DE NARCOTICOS; TIPO: MONODROGA, DROGA GENERICA: NALOXONA 0,4 mGr, FORMA FARMACEUTICA: AMPOLLA, PRESENTACION: ENVASE X 1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</si>
</sst>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* #,##0.00_-;\-&quot;$&quot;* #,##0.00_-;_-&quot;$&quot;* &quot;-&quot;??_-;_-@_-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b/>
      <sz val="9"/>
      <color rgb="FF000000"/>
      <name val="Times New Roman"/>
      <family val="1"/>
    </font>
    <font>
      <sz val="8"/>
      <name val="Arial"/>
      <family val="2"/>
    </font>
    <font>
      <b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4" fillId="5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/>
    </xf>
    <xf numFmtId="3" fontId="14" fillId="5" borderId="14" xfId="0" applyNumberFormat="1" applyFont="1" applyFill="1" applyBorder="1" applyAlignment="1">
      <alignment horizontal="center" vertical="center"/>
    </xf>
    <xf numFmtId="44" fontId="14" fillId="5" borderId="14" xfId="1" applyNumberFormat="1" applyFill="1" applyBorder="1" applyAlignment="1">
      <alignment horizontal="center" vertical="center"/>
    </xf>
    <xf numFmtId="169" fontId="14" fillId="4" borderId="14" xfId="1" applyNumberFormat="1" applyFill="1" applyBorder="1" applyAlignment="1" applyProtection="1">
      <alignment horizontal="center" vertical="center" wrapText="1"/>
    </xf>
    <xf numFmtId="0" fontId="0" fillId="5" borderId="14" xfId="0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5" fillId="5" borderId="14" xfId="0" applyFont="1" applyFill="1" applyBorder="1" applyAlignment="1">
      <alignment horizontal="left" vertical="center"/>
    </xf>
    <xf numFmtId="0" fontId="25" fillId="5" borderId="14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horizontal="center" vertical="center" wrapText="1"/>
    </xf>
    <xf numFmtId="44" fontId="14" fillId="0" borderId="14" xfId="1" applyNumberFormat="1" applyBorder="1" applyAlignment="1">
      <alignment horizontal="center" vertical="center"/>
    </xf>
    <xf numFmtId="169" fontId="14" fillId="0" borderId="14" xfId="1" applyNumberFormat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0" fillId="5" borderId="14" xfId="0" applyFill="1" applyBorder="1" applyAlignment="1">
      <alignment vertical="center"/>
    </xf>
    <xf numFmtId="0" fontId="26" fillId="4" borderId="0" xfId="0" applyFont="1" applyFill="1" applyAlignment="1">
      <alignment horizontal="left" wrapText="1" indent="1"/>
    </xf>
    <xf numFmtId="0" fontId="21" fillId="0" borderId="0" xfId="0" applyFont="1" applyAlignment="1">
      <alignment horizontal="center" wrapText="1"/>
    </xf>
    <xf numFmtId="0" fontId="26" fillId="0" borderId="14" xfId="0" applyFont="1" applyBorder="1" applyAlignment="1">
      <alignment horizontal="center" vertical="center" wrapText="1"/>
    </xf>
    <xf numFmtId="0" fontId="20" fillId="0" borderId="3" xfId="0" applyFont="1" applyBorder="1"/>
    <xf numFmtId="0" fontId="20" fillId="0" borderId="0" xfId="0" applyFont="1" applyBorder="1"/>
    <xf numFmtId="0" fontId="20" fillId="0" borderId="0" xfId="0" applyFont="1" applyBorder="1" applyAlignment="1">
      <alignment horizontal="center" wrapText="1"/>
    </xf>
    <xf numFmtId="0" fontId="20" fillId="0" borderId="8" xfId="0" applyFont="1" applyBorder="1"/>
    <xf numFmtId="0" fontId="20" fillId="0" borderId="0" xfId="0" applyFont="1"/>
    <xf numFmtId="0" fontId="14" fillId="0" borderId="14" xfId="0" applyFont="1" applyBorder="1" applyAlignment="1">
      <alignment horizontal="left" vertical="center"/>
    </xf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21" fillId="6" borderId="20" xfId="0" applyFont="1" applyFill="1" applyBorder="1" applyAlignment="1">
      <alignment horizontal="center" vertical="center" wrapText="1"/>
    </xf>
    <xf numFmtId="0" fontId="21" fillId="6" borderId="48" xfId="0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7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7"/>
  <sheetViews>
    <sheetView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9" customWidth="1"/>
    <col min="2" max="2" width="13.140625" style="39" customWidth="1"/>
    <col min="3" max="3" width="32.42578125" style="98" customWidth="1"/>
    <col min="4" max="4" width="8.42578125" style="39" customWidth="1"/>
    <col min="5" max="5" width="79" style="39" customWidth="1"/>
    <col min="6" max="6" width="13.28515625" style="39" customWidth="1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4" t="s">
        <v>0</v>
      </c>
      <c r="C2" s="104"/>
      <c r="D2" s="104"/>
      <c r="E2" s="104"/>
      <c r="F2" s="104"/>
      <c r="G2" s="104"/>
      <c r="H2" s="104"/>
    </row>
    <row r="4" spans="1:9" ht="18" customHeight="1" x14ac:dyDescent="0.25">
      <c r="A4" s="105" t="s">
        <v>1</v>
      </c>
      <c r="B4" s="105"/>
      <c r="C4" s="106" t="s">
        <v>57</v>
      </c>
      <c r="D4" s="106"/>
      <c r="E4" s="106"/>
      <c r="F4" s="40"/>
      <c r="G4" s="41"/>
      <c r="H4" s="40"/>
    </row>
    <row r="5" spans="1:9" ht="18" customHeight="1" x14ac:dyDescent="0.25">
      <c r="A5" s="105" t="s">
        <v>2</v>
      </c>
      <c r="B5" s="105"/>
      <c r="C5" s="106" t="s">
        <v>58</v>
      </c>
      <c r="D5" s="106"/>
      <c r="E5" s="106"/>
      <c r="F5" s="40"/>
      <c r="G5" s="41"/>
      <c r="H5" s="40"/>
    </row>
    <row r="6" spans="1:9" ht="16.5" customHeight="1" x14ac:dyDescent="0.2">
      <c r="A6" s="105" t="s">
        <v>3</v>
      </c>
      <c r="B6" s="105"/>
      <c r="C6" s="91">
        <v>2023</v>
      </c>
      <c r="D6" s="56"/>
      <c r="E6" s="56"/>
      <c r="F6" s="40"/>
      <c r="G6" s="41"/>
      <c r="H6" s="40"/>
    </row>
    <row r="7" spans="1:9" ht="16.5" customHeight="1" x14ac:dyDescent="0.2">
      <c r="A7" s="105" t="s">
        <v>4</v>
      </c>
      <c r="B7" s="105"/>
      <c r="C7" s="91">
        <v>1</v>
      </c>
      <c r="D7" s="56"/>
      <c r="E7" s="56"/>
      <c r="F7" s="40"/>
      <c r="G7" s="41"/>
      <c r="H7" s="40"/>
    </row>
    <row r="8" spans="1:9" ht="13.5" thickBot="1" x14ac:dyDescent="0.25">
      <c r="B8" s="40"/>
      <c r="C8" s="92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93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71">
        <v>1</v>
      </c>
      <c r="B10" s="72" t="s">
        <v>65</v>
      </c>
      <c r="C10" s="73" t="s">
        <v>66</v>
      </c>
      <c r="D10" s="74">
        <v>252</v>
      </c>
      <c r="E10" s="75" t="s">
        <v>67</v>
      </c>
      <c r="F10" s="76" t="s">
        <v>68</v>
      </c>
      <c r="G10" s="77">
        <v>30</v>
      </c>
      <c r="H10" s="78">
        <v>1996</v>
      </c>
      <c r="I10" s="79">
        <v>59880</v>
      </c>
    </row>
    <row r="11" spans="1:9" ht="42.75" customHeight="1" thickBot="1" x14ac:dyDescent="0.25">
      <c r="A11" s="71">
        <v>2</v>
      </c>
      <c r="B11" s="80" t="s">
        <v>69</v>
      </c>
      <c r="C11" s="81" t="s">
        <v>66</v>
      </c>
      <c r="D11" s="74">
        <v>252</v>
      </c>
      <c r="E11" s="82" t="s">
        <v>70</v>
      </c>
      <c r="F11" s="71" t="s">
        <v>71</v>
      </c>
      <c r="G11" s="77">
        <v>3600</v>
      </c>
      <c r="H11" s="78">
        <v>5.0199999999999996</v>
      </c>
      <c r="I11" s="79">
        <v>18072</v>
      </c>
    </row>
    <row r="12" spans="1:9" ht="38.25" customHeight="1" thickBot="1" x14ac:dyDescent="0.25">
      <c r="A12" s="71">
        <v>3</v>
      </c>
      <c r="B12" s="72" t="s">
        <v>72</v>
      </c>
      <c r="C12" s="81" t="s">
        <v>66</v>
      </c>
      <c r="D12" s="74">
        <v>252</v>
      </c>
      <c r="E12" s="75" t="s">
        <v>73</v>
      </c>
      <c r="F12" s="76" t="s">
        <v>71</v>
      </c>
      <c r="G12" s="77">
        <v>60</v>
      </c>
      <c r="H12" s="78">
        <v>40</v>
      </c>
      <c r="I12" s="79">
        <v>2400</v>
      </c>
    </row>
    <row r="13" spans="1:9" ht="42.75" customHeight="1" thickBot="1" x14ac:dyDescent="0.25">
      <c r="A13" s="71">
        <v>4</v>
      </c>
      <c r="B13" s="80" t="s">
        <v>74</v>
      </c>
      <c r="C13" s="81" t="s">
        <v>66</v>
      </c>
      <c r="D13" s="74">
        <v>252</v>
      </c>
      <c r="E13" s="82" t="s">
        <v>75</v>
      </c>
      <c r="F13" s="71" t="s">
        <v>71</v>
      </c>
      <c r="G13" s="77">
        <v>600</v>
      </c>
      <c r="H13" s="78">
        <v>5.6</v>
      </c>
      <c r="I13" s="79">
        <v>3360</v>
      </c>
    </row>
    <row r="14" spans="1:9" ht="31.9" customHeight="1" thickBot="1" x14ac:dyDescent="0.25">
      <c r="A14" s="71">
        <v>5</v>
      </c>
      <c r="B14" s="72" t="s">
        <v>76</v>
      </c>
      <c r="C14" s="81" t="s">
        <v>66</v>
      </c>
      <c r="D14" s="74">
        <v>252</v>
      </c>
      <c r="E14" s="75" t="s">
        <v>77</v>
      </c>
      <c r="F14" s="76" t="s">
        <v>78</v>
      </c>
      <c r="G14" s="77">
        <v>60</v>
      </c>
      <c r="H14" s="78">
        <v>1516</v>
      </c>
      <c r="I14" s="79">
        <v>90960</v>
      </c>
    </row>
    <row r="15" spans="1:9" ht="31.9" customHeight="1" thickBot="1" x14ac:dyDescent="0.25">
      <c r="A15" s="71">
        <v>6</v>
      </c>
      <c r="B15" s="72" t="s">
        <v>79</v>
      </c>
      <c r="C15" s="81" t="s">
        <v>66</v>
      </c>
      <c r="D15" s="74">
        <v>252</v>
      </c>
      <c r="E15" s="75" t="s">
        <v>80</v>
      </c>
      <c r="F15" s="76" t="s">
        <v>81</v>
      </c>
      <c r="G15" s="77">
        <v>100</v>
      </c>
      <c r="H15" s="78">
        <v>85</v>
      </c>
      <c r="I15" s="79">
        <v>8500</v>
      </c>
    </row>
    <row r="16" spans="1:9" ht="31.9" customHeight="1" thickBot="1" x14ac:dyDescent="0.25">
      <c r="A16" s="71">
        <v>7</v>
      </c>
      <c r="B16" s="80" t="s">
        <v>82</v>
      </c>
      <c r="C16" s="81" t="s">
        <v>66</v>
      </c>
      <c r="D16" s="74">
        <v>252</v>
      </c>
      <c r="E16" s="82" t="s">
        <v>83</v>
      </c>
      <c r="F16" s="71" t="s">
        <v>71</v>
      </c>
      <c r="G16" s="77">
        <v>300</v>
      </c>
      <c r="H16" s="78">
        <v>20.96</v>
      </c>
      <c r="I16" s="79">
        <v>6288</v>
      </c>
    </row>
    <row r="17" spans="1:9" ht="31.9" customHeight="1" thickBot="1" x14ac:dyDescent="0.25">
      <c r="A17" s="71">
        <v>8</v>
      </c>
      <c r="B17" s="80" t="s">
        <v>84</v>
      </c>
      <c r="C17" s="81" t="s">
        <v>66</v>
      </c>
      <c r="D17" s="74">
        <v>252</v>
      </c>
      <c r="E17" s="73" t="s">
        <v>85</v>
      </c>
      <c r="F17" s="71" t="s">
        <v>78</v>
      </c>
      <c r="G17" s="77">
        <v>30</v>
      </c>
      <c r="H17" s="78">
        <v>845</v>
      </c>
      <c r="I17" s="79">
        <v>25350</v>
      </c>
    </row>
    <row r="18" spans="1:9" ht="31.9" customHeight="1" thickBot="1" x14ac:dyDescent="0.25">
      <c r="A18" s="71">
        <v>9</v>
      </c>
      <c r="B18" s="72" t="s">
        <v>86</v>
      </c>
      <c r="C18" s="81" t="s">
        <v>66</v>
      </c>
      <c r="D18" s="74">
        <v>252</v>
      </c>
      <c r="E18" s="82" t="s">
        <v>87</v>
      </c>
      <c r="F18" s="71" t="s">
        <v>78</v>
      </c>
      <c r="G18" s="77">
        <v>50</v>
      </c>
      <c r="H18" s="78">
        <v>1242</v>
      </c>
      <c r="I18" s="79">
        <v>62100</v>
      </c>
    </row>
    <row r="19" spans="1:9" ht="31.9" customHeight="1" thickBot="1" x14ac:dyDescent="0.25">
      <c r="A19" s="71">
        <v>10</v>
      </c>
      <c r="B19" s="80" t="s">
        <v>88</v>
      </c>
      <c r="C19" s="81" t="s">
        <v>66</v>
      </c>
      <c r="D19" s="74">
        <v>252</v>
      </c>
      <c r="E19" s="82" t="s">
        <v>89</v>
      </c>
      <c r="F19" s="71" t="s">
        <v>78</v>
      </c>
      <c r="G19" s="77">
        <v>100</v>
      </c>
      <c r="H19" s="78">
        <v>760</v>
      </c>
      <c r="I19" s="79">
        <v>76000</v>
      </c>
    </row>
    <row r="20" spans="1:9" ht="31.9" customHeight="1" thickBot="1" x14ac:dyDescent="0.25">
      <c r="A20" s="71">
        <v>11</v>
      </c>
      <c r="B20" s="72" t="s">
        <v>90</v>
      </c>
      <c r="C20" s="81" t="s">
        <v>66</v>
      </c>
      <c r="D20" s="74">
        <v>252</v>
      </c>
      <c r="E20" s="82" t="s">
        <v>91</v>
      </c>
      <c r="F20" s="76" t="s">
        <v>68</v>
      </c>
      <c r="G20" s="77">
        <v>60</v>
      </c>
      <c r="H20" s="78">
        <v>1623.4</v>
      </c>
      <c r="I20" s="79">
        <v>97404</v>
      </c>
    </row>
    <row r="21" spans="1:9" ht="31.9" customHeight="1" thickBot="1" x14ac:dyDescent="0.25">
      <c r="A21" s="71">
        <v>12</v>
      </c>
      <c r="B21" s="80" t="s">
        <v>92</v>
      </c>
      <c r="C21" s="81" t="s">
        <v>66</v>
      </c>
      <c r="D21" s="74">
        <v>252</v>
      </c>
      <c r="E21" s="82" t="s">
        <v>93</v>
      </c>
      <c r="F21" s="71" t="s">
        <v>71</v>
      </c>
      <c r="G21" s="77">
        <v>50</v>
      </c>
      <c r="H21" s="78">
        <v>95</v>
      </c>
      <c r="I21" s="79">
        <v>4750</v>
      </c>
    </row>
    <row r="22" spans="1:9" ht="31.9" customHeight="1" thickBot="1" x14ac:dyDescent="0.25">
      <c r="A22" s="71">
        <v>13</v>
      </c>
      <c r="B22" s="72" t="s">
        <v>94</v>
      </c>
      <c r="C22" s="81" t="s">
        <v>66</v>
      </c>
      <c r="D22" s="74">
        <v>252</v>
      </c>
      <c r="E22" s="75" t="s">
        <v>95</v>
      </c>
      <c r="F22" s="76" t="s">
        <v>71</v>
      </c>
      <c r="G22" s="77">
        <v>10000</v>
      </c>
      <c r="H22" s="78">
        <v>5.5</v>
      </c>
      <c r="I22" s="79">
        <v>55000</v>
      </c>
    </row>
    <row r="23" spans="1:9" ht="31.9" customHeight="1" thickBot="1" x14ac:dyDescent="0.25">
      <c r="A23" s="71">
        <v>14</v>
      </c>
      <c r="B23" s="80" t="s">
        <v>96</v>
      </c>
      <c r="C23" s="81" t="s">
        <v>66</v>
      </c>
      <c r="D23" s="74">
        <v>252</v>
      </c>
      <c r="E23" s="82" t="s">
        <v>97</v>
      </c>
      <c r="F23" s="71" t="s">
        <v>71</v>
      </c>
      <c r="G23" s="77">
        <v>2000</v>
      </c>
      <c r="H23" s="78">
        <v>5.0999999999999996</v>
      </c>
      <c r="I23" s="79">
        <v>10200</v>
      </c>
    </row>
    <row r="24" spans="1:9" ht="31.9" customHeight="1" thickBot="1" x14ac:dyDescent="0.25">
      <c r="A24" s="71">
        <v>15</v>
      </c>
      <c r="B24" s="72" t="s">
        <v>98</v>
      </c>
      <c r="C24" s="81" t="s">
        <v>66</v>
      </c>
      <c r="D24" s="74">
        <v>252</v>
      </c>
      <c r="E24" s="75" t="s">
        <v>99</v>
      </c>
      <c r="F24" s="76" t="s">
        <v>81</v>
      </c>
      <c r="G24" s="77">
        <v>400</v>
      </c>
      <c r="H24" s="78">
        <v>85</v>
      </c>
      <c r="I24" s="79">
        <v>34000</v>
      </c>
    </row>
    <row r="25" spans="1:9" ht="31.9" customHeight="1" thickBot="1" x14ac:dyDescent="0.25">
      <c r="A25" s="71">
        <v>16</v>
      </c>
      <c r="B25" s="72" t="s">
        <v>100</v>
      </c>
      <c r="C25" s="81" t="s">
        <v>66</v>
      </c>
      <c r="D25" s="74">
        <v>252</v>
      </c>
      <c r="E25" s="75" t="s">
        <v>101</v>
      </c>
      <c r="F25" s="76" t="s">
        <v>81</v>
      </c>
      <c r="G25" s="77">
        <v>1000</v>
      </c>
      <c r="H25" s="78">
        <v>85</v>
      </c>
      <c r="I25" s="79">
        <v>85000</v>
      </c>
    </row>
    <row r="26" spans="1:9" ht="31.9" customHeight="1" thickBot="1" x14ac:dyDescent="0.25">
      <c r="A26" s="71">
        <v>17</v>
      </c>
      <c r="B26" s="72" t="s">
        <v>102</v>
      </c>
      <c r="C26" s="81" t="s">
        <v>66</v>
      </c>
      <c r="D26" s="74">
        <v>252</v>
      </c>
      <c r="E26" s="75" t="s">
        <v>103</v>
      </c>
      <c r="F26" s="76" t="s">
        <v>71</v>
      </c>
      <c r="G26" s="77">
        <v>500</v>
      </c>
      <c r="H26" s="78">
        <v>85</v>
      </c>
      <c r="I26" s="79">
        <v>42500</v>
      </c>
    </row>
    <row r="27" spans="1:9" ht="31.9" customHeight="1" thickBot="1" x14ac:dyDescent="0.25">
      <c r="A27" s="71">
        <v>18</v>
      </c>
      <c r="B27" s="72" t="s">
        <v>104</v>
      </c>
      <c r="C27" s="81" t="s">
        <v>66</v>
      </c>
      <c r="D27" s="74">
        <v>252</v>
      </c>
      <c r="E27" s="75" t="s">
        <v>105</v>
      </c>
      <c r="F27" s="76" t="s">
        <v>71</v>
      </c>
      <c r="G27" s="77">
        <v>200</v>
      </c>
      <c r="H27" s="78">
        <v>165</v>
      </c>
      <c r="I27" s="79">
        <v>33000</v>
      </c>
    </row>
    <row r="28" spans="1:9" ht="31.9" customHeight="1" thickBot="1" x14ac:dyDescent="0.25">
      <c r="A28" s="71">
        <v>19</v>
      </c>
      <c r="B28" s="72" t="s">
        <v>106</v>
      </c>
      <c r="C28" s="81" t="s">
        <v>66</v>
      </c>
      <c r="D28" s="74">
        <v>252</v>
      </c>
      <c r="E28" s="75" t="s">
        <v>107</v>
      </c>
      <c r="F28" s="76" t="s">
        <v>81</v>
      </c>
      <c r="G28" s="77">
        <v>2400</v>
      </c>
      <c r="H28" s="78">
        <v>89</v>
      </c>
      <c r="I28" s="79">
        <v>213600</v>
      </c>
    </row>
    <row r="29" spans="1:9" ht="31.9" customHeight="1" thickBot="1" x14ac:dyDescent="0.25">
      <c r="A29" s="71">
        <v>20</v>
      </c>
      <c r="B29" s="72" t="s">
        <v>108</v>
      </c>
      <c r="C29" s="81" t="s">
        <v>66</v>
      </c>
      <c r="D29" s="74">
        <v>252</v>
      </c>
      <c r="E29" s="75" t="s">
        <v>109</v>
      </c>
      <c r="F29" s="76" t="s">
        <v>71</v>
      </c>
      <c r="G29" s="77">
        <v>700</v>
      </c>
      <c r="H29" s="78">
        <v>6.5</v>
      </c>
      <c r="I29" s="79">
        <v>4550</v>
      </c>
    </row>
    <row r="30" spans="1:9" ht="31.9" customHeight="1" thickBot="1" x14ac:dyDescent="0.25">
      <c r="A30" s="71">
        <v>21</v>
      </c>
      <c r="B30" s="72" t="s">
        <v>110</v>
      </c>
      <c r="C30" s="81" t="s">
        <v>66</v>
      </c>
      <c r="D30" s="74">
        <v>252</v>
      </c>
      <c r="E30" s="75" t="s">
        <v>111</v>
      </c>
      <c r="F30" s="76" t="s">
        <v>71</v>
      </c>
      <c r="G30" s="77">
        <v>2000</v>
      </c>
      <c r="H30" s="78">
        <v>141</v>
      </c>
      <c r="I30" s="79">
        <v>282000</v>
      </c>
    </row>
    <row r="31" spans="1:9" ht="31.9" customHeight="1" thickBot="1" x14ac:dyDescent="0.25">
      <c r="A31" s="71">
        <v>22</v>
      </c>
      <c r="B31" s="72" t="s">
        <v>112</v>
      </c>
      <c r="C31" s="81" t="s">
        <v>66</v>
      </c>
      <c r="D31" s="74">
        <v>252</v>
      </c>
      <c r="E31" s="83" t="s">
        <v>113</v>
      </c>
      <c r="F31" s="76" t="s">
        <v>78</v>
      </c>
      <c r="G31" s="77">
        <v>60</v>
      </c>
      <c r="H31" s="78">
        <v>2200</v>
      </c>
      <c r="I31" s="79">
        <v>132000</v>
      </c>
    </row>
    <row r="32" spans="1:9" ht="31.9" customHeight="1" thickBot="1" x14ac:dyDescent="0.25">
      <c r="A32" s="71">
        <v>23</v>
      </c>
      <c r="B32" s="80" t="s">
        <v>114</v>
      </c>
      <c r="C32" s="81" t="s">
        <v>66</v>
      </c>
      <c r="D32" s="74">
        <v>252</v>
      </c>
      <c r="E32" s="82" t="s">
        <v>115</v>
      </c>
      <c r="F32" s="71" t="s">
        <v>78</v>
      </c>
      <c r="G32" s="77">
        <v>12</v>
      </c>
      <c r="H32" s="78">
        <v>2025.08</v>
      </c>
      <c r="I32" s="79">
        <v>24300.959999999999</v>
      </c>
    </row>
    <row r="33" spans="1:9" ht="31.9" customHeight="1" thickBot="1" x14ac:dyDescent="0.25">
      <c r="A33" s="71">
        <v>24</v>
      </c>
      <c r="B33" s="72" t="s">
        <v>116</v>
      </c>
      <c r="C33" s="81" t="s">
        <v>66</v>
      </c>
      <c r="D33" s="74">
        <v>252</v>
      </c>
      <c r="E33" s="75" t="s">
        <v>117</v>
      </c>
      <c r="F33" s="76" t="s">
        <v>71</v>
      </c>
      <c r="G33" s="77">
        <v>4000</v>
      </c>
      <c r="H33" s="78">
        <v>32</v>
      </c>
      <c r="I33" s="79">
        <v>128000</v>
      </c>
    </row>
    <row r="34" spans="1:9" ht="31.9" customHeight="1" thickBot="1" x14ac:dyDescent="0.25">
      <c r="A34" s="71">
        <v>25</v>
      </c>
      <c r="B34" s="72" t="s">
        <v>118</v>
      </c>
      <c r="C34" s="81" t="s">
        <v>66</v>
      </c>
      <c r="D34" s="74">
        <v>252</v>
      </c>
      <c r="E34" s="75" t="s">
        <v>119</v>
      </c>
      <c r="F34" s="76" t="s">
        <v>81</v>
      </c>
      <c r="G34" s="77">
        <v>4000</v>
      </c>
      <c r="H34" s="78">
        <v>55</v>
      </c>
      <c r="I34" s="79">
        <v>220000</v>
      </c>
    </row>
    <row r="35" spans="1:9" ht="41.25" customHeight="1" thickBot="1" x14ac:dyDescent="0.25">
      <c r="A35" s="71">
        <v>26</v>
      </c>
      <c r="B35" s="81" t="s">
        <v>120</v>
      </c>
      <c r="C35" s="81" t="s">
        <v>66</v>
      </c>
      <c r="D35" s="74">
        <v>252</v>
      </c>
      <c r="E35" s="73" t="s">
        <v>121</v>
      </c>
      <c r="F35" s="71" t="s">
        <v>71</v>
      </c>
      <c r="G35" s="77">
        <v>300</v>
      </c>
      <c r="H35" s="78">
        <v>44.23</v>
      </c>
      <c r="I35" s="79">
        <v>13268.999999999998</v>
      </c>
    </row>
    <row r="36" spans="1:9" ht="43.5" customHeight="1" thickBot="1" x14ac:dyDescent="0.25">
      <c r="A36" s="71">
        <v>27</v>
      </c>
      <c r="B36" s="84" t="s">
        <v>122</v>
      </c>
      <c r="C36" s="81" t="s">
        <v>66</v>
      </c>
      <c r="D36" s="74">
        <v>252</v>
      </c>
      <c r="E36" s="85" t="s">
        <v>123</v>
      </c>
      <c r="F36" s="71" t="s">
        <v>81</v>
      </c>
      <c r="G36" s="77">
        <v>300</v>
      </c>
      <c r="H36" s="78">
        <v>590</v>
      </c>
      <c r="I36" s="79">
        <v>177000</v>
      </c>
    </row>
    <row r="37" spans="1:9" ht="42.75" customHeight="1" thickBot="1" x14ac:dyDescent="0.25">
      <c r="A37" s="71">
        <v>28</v>
      </c>
      <c r="B37" s="72" t="s">
        <v>124</v>
      </c>
      <c r="C37" s="81" t="s">
        <v>66</v>
      </c>
      <c r="D37" s="74">
        <v>252</v>
      </c>
      <c r="E37" s="75" t="s">
        <v>125</v>
      </c>
      <c r="F37" s="76" t="s">
        <v>81</v>
      </c>
      <c r="G37" s="77">
        <v>600</v>
      </c>
      <c r="H37" s="78">
        <v>145</v>
      </c>
      <c r="I37" s="79">
        <v>87000</v>
      </c>
    </row>
    <row r="38" spans="1:9" ht="42" customHeight="1" thickBot="1" x14ac:dyDescent="0.25">
      <c r="A38" s="71">
        <v>29</v>
      </c>
      <c r="B38" s="72" t="s">
        <v>126</v>
      </c>
      <c r="C38" s="81" t="s">
        <v>66</v>
      </c>
      <c r="D38" s="74">
        <v>252</v>
      </c>
      <c r="E38" s="82" t="s">
        <v>127</v>
      </c>
      <c r="F38" s="76" t="s">
        <v>78</v>
      </c>
      <c r="G38" s="77">
        <v>50</v>
      </c>
      <c r="H38" s="78">
        <v>1424</v>
      </c>
      <c r="I38" s="79">
        <v>71200</v>
      </c>
    </row>
    <row r="39" spans="1:9" ht="45" customHeight="1" thickBot="1" x14ac:dyDescent="0.25">
      <c r="A39" s="71">
        <v>30</v>
      </c>
      <c r="B39" s="80" t="s">
        <v>128</v>
      </c>
      <c r="C39" s="81" t="s">
        <v>66</v>
      </c>
      <c r="D39" s="74">
        <v>252</v>
      </c>
      <c r="E39" s="82" t="s">
        <v>129</v>
      </c>
      <c r="F39" s="71" t="s">
        <v>130</v>
      </c>
      <c r="G39" s="77">
        <v>150</v>
      </c>
      <c r="H39" s="78">
        <v>6.8</v>
      </c>
      <c r="I39" s="79">
        <v>1020</v>
      </c>
    </row>
    <row r="40" spans="1:9" ht="45.75" customHeight="1" thickBot="1" x14ac:dyDescent="0.25">
      <c r="A40" s="71">
        <v>31</v>
      </c>
      <c r="B40" s="80" t="s">
        <v>131</v>
      </c>
      <c r="C40" s="81" t="s">
        <v>66</v>
      </c>
      <c r="D40" s="74">
        <v>252</v>
      </c>
      <c r="E40" s="82" t="s">
        <v>132</v>
      </c>
      <c r="F40" s="71" t="s">
        <v>78</v>
      </c>
      <c r="G40" s="77">
        <v>30</v>
      </c>
      <c r="H40" s="78">
        <v>3353</v>
      </c>
      <c r="I40" s="79">
        <v>100590</v>
      </c>
    </row>
    <row r="41" spans="1:9" ht="38.25" customHeight="1" thickBot="1" x14ac:dyDescent="0.25">
      <c r="A41" s="71">
        <v>32</v>
      </c>
      <c r="B41" s="80" t="s">
        <v>133</v>
      </c>
      <c r="C41" s="81" t="s">
        <v>66</v>
      </c>
      <c r="D41" s="74">
        <v>252</v>
      </c>
      <c r="E41" s="82" t="s">
        <v>134</v>
      </c>
      <c r="F41" s="71" t="s">
        <v>71</v>
      </c>
      <c r="G41" s="77">
        <v>750</v>
      </c>
      <c r="H41" s="78">
        <v>21</v>
      </c>
      <c r="I41" s="79">
        <v>15750</v>
      </c>
    </row>
    <row r="42" spans="1:9" ht="40.5" customHeight="1" thickBot="1" x14ac:dyDescent="0.25">
      <c r="A42" s="71">
        <v>33</v>
      </c>
      <c r="B42" s="80" t="s">
        <v>135</v>
      </c>
      <c r="C42" s="81" t="s">
        <v>66</v>
      </c>
      <c r="D42" s="74">
        <v>252</v>
      </c>
      <c r="E42" s="82" t="s">
        <v>136</v>
      </c>
      <c r="F42" s="71" t="s">
        <v>78</v>
      </c>
      <c r="G42" s="77">
        <v>120</v>
      </c>
      <c r="H42" s="78">
        <v>360</v>
      </c>
      <c r="I42" s="79">
        <v>43200</v>
      </c>
    </row>
    <row r="43" spans="1:9" ht="64.5" customHeight="1" thickBot="1" x14ac:dyDescent="0.25">
      <c r="A43" s="71">
        <v>34</v>
      </c>
      <c r="B43" s="72" t="s">
        <v>137</v>
      </c>
      <c r="C43" s="81" t="s">
        <v>66</v>
      </c>
      <c r="D43" s="74">
        <v>252</v>
      </c>
      <c r="E43" s="75" t="s">
        <v>138</v>
      </c>
      <c r="F43" s="76" t="s">
        <v>81</v>
      </c>
      <c r="G43" s="77">
        <v>1200</v>
      </c>
      <c r="H43" s="78">
        <v>55</v>
      </c>
      <c r="I43" s="79">
        <v>66000</v>
      </c>
    </row>
    <row r="44" spans="1:9" ht="52.5" customHeight="1" thickBot="1" x14ac:dyDescent="0.25">
      <c r="A44" s="71">
        <v>35</v>
      </c>
      <c r="B44" s="72" t="s">
        <v>139</v>
      </c>
      <c r="C44" s="81" t="s">
        <v>66</v>
      </c>
      <c r="D44" s="74">
        <v>252</v>
      </c>
      <c r="E44" s="75" t="s">
        <v>140</v>
      </c>
      <c r="F44" s="76" t="s">
        <v>81</v>
      </c>
      <c r="G44" s="77">
        <v>50</v>
      </c>
      <c r="H44" s="78">
        <v>1270</v>
      </c>
      <c r="I44" s="79">
        <v>63500</v>
      </c>
    </row>
    <row r="45" spans="1:9" ht="45.75" customHeight="1" thickBot="1" x14ac:dyDescent="0.25">
      <c r="A45" s="71">
        <v>36</v>
      </c>
      <c r="B45" s="72" t="s">
        <v>141</v>
      </c>
      <c r="C45" s="81" t="s">
        <v>66</v>
      </c>
      <c r="D45" s="74">
        <v>252</v>
      </c>
      <c r="E45" s="75" t="s">
        <v>142</v>
      </c>
      <c r="F45" s="76" t="s">
        <v>71</v>
      </c>
      <c r="G45" s="77">
        <v>500</v>
      </c>
      <c r="H45" s="78">
        <v>21</v>
      </c>
      <c r="I45" s="79">
        <v>10500</v>
      </c>
    </row>
    <row r="46" spans="1:9" ht="53.25" customHeight="1" thickBot="1" x14ac:dyDescent="0.25">
      <c r="A46" s="71">
        <v>37</v>
      </c>
      <c r="B46" s="80" t="s">
        <v>143</v>
      </c>
      <c r="C46" s="81" t="s">
        <v>66</v>
      </c>
      <c r="D46" s="74">
        <v>252</v>
      </c>
      <c r="E46" s="82" t="s">
        <v>144</v>
      </c>
      <c r="F46" s="71" t="s">
        <v>78</v>
      </c>
      <c r="G46" s="77">
        <v>50</v>
      </c>
      <c r="H46" s="78">
        <v>1750</v>
      </c>
      <c r="I46" s="79">
        <v>87500</v>
      </c>
    </row>
    <row r="47" spans="1:9" ht="51.75" customHeight="1" thickBot="1" x14ac:dyDescent="0.25">
      <c r="A47" s="71">
        <v>38</v>
      </c>
      <c r="B47" s="80" t="s">
        <v>145</v>
      </c>
      <c r="C47" s="81" t="s">
        <v>66</v>
      </c>
      <c r="D47" s="74">
        <v>252</v>
      </c>
      <c r="E47" s="85" t="s">
        <v>146</v>
      </c>
      <c r="F47" s="71" t="s">
        <v>71</v>
      </c>
      <c r="G47" s="77">
        <v>50</v>
      </c>
      <c r="H47" s="78">
        <v>35</v>
      </c>
      <c r="I47" s="79">
        <v>1750</v>
      </c>
    </row>
    <row r="48" spans="1:9" ht="46.5" customHeight="1" thickBot="1" x14ac:dyDescent="0.25">
      <c r="A48" s="71">
        <v>39</v>
      </c>
      <c r="B48" s="80" t="s">
        <v>147</v>
      </c>
      <c r="C48" s="81" t="s">
        <v>66</v>
      </c>
      <c r="D48" s="74">
        <v>252</v>
      </c>
      <c r="E48" s="73" t="s">
        <v>148</v>
      </c>
      <c r="F48" s="71" t="s">
        <v>81</v>
      </c>
      <c r="G48" s="77">
        <v>1000</v>
      </c>
      <c r="H48" s="78">
        <v>395</v>
      </c>
      <c r="I48" s="79">
        <v>395000</v>
      </c>
    </row>
    <row r="49" spans="1:9" ht="37.5" customHeight="1" thickBot="1" x14ac:dyDescent="0.25">
      <c r="A49" s="71">
        <v>40</v>
      </c>
      <c r="B49" s="72" t="s">
        <v>149</v>
      </c>
      <c r="C49" s="81" t="s">
        <v>66</v>
      </c>
      <c r="D49" s="74">
        <v>252</v>
      </c>
      <c r="E49" s="75" t="s">
        <v>150</v>
      </c>
      <c r="F49" s="76" t="s">
        <v>71</v>
      </c>
      <c r="G49" s="77">
        <v>1000</v>
      </c>
      <c r="H49" s="78">
        <v>9.1999999999999993</v>
      </c>
      <c r="I49" s="79">
        <v>9200</v>
      </c>
    </row>
    <row r="50" spans="1:9" ht="31.9" customHeight="1" thickBot="1" x14ac:dyDescent="0.25">
      <c r="A50" s="71">
        <v>41</v>
      </c>
      <c r="B50" s="72" t="s">
        <v>151</v>
      </c>
      <c r="C50" s="99" t="s">
        <v>66</v>
      </c>
      <c r="D50" s="86">
        <v>252</v>
      </c>
      <c r="E50" s="75" t="s">
        <v>217</v>
      </c>
      <c r="F50" s="76" t="s">
        <v>71</v>
      </c>
      <c r="G50" s="77">
        <v>2000</v>
      </c>
      <c r="H50" s="87">
        <v>4.5</v>
      </c>
      <c r="I50" s="88">
        <v>9000</v>
      </c>
    </row>
    <row r="51" spans="1:9" ht="50.25" customHeight="1" thickBot="1" x14ac:dyDescent="0.25">
      <c r="A51" s="71">
        <v>42</v>
      </c>
      <c r="B51" s="72" t="s">
        <v>152</v>
      </c>
      <c r="C51" s="99" t="s">
        <v>66</v>
      </c>
      <c r="D51" s="86">
        <v>252</v>
      </c>
      <c r="E51" s="75" t="s">
        <v>218</v>
      </c>
      <c r="F51" s="76" t="s">
        <v>71</v>
      </c>
      <c r="G51" s="77">
        <v>3000</v>
      </c>
      <c r="H51" s="87">
        <v>4.9000000000000004</v>
      </c>
      <c r="I51" s="88">
        <v>14700.000000000002</v>
      </c>
    </row>
    <row r="52" spans="1:9" ht="52.5" customHeight="1" thickBot="1" x14ac:dyDescent="0.25">
      <c r="A52" s="71">
        <v>43</v>
      </c>
      <c r="B52" s="72" t="s">
        <v>153</v>
      </c>
      <c r="C52" s="99" t="s">
        <v>66</v>
      </c>
      <c r="D52" s="86">
        <v>252</v>
      </c>
      <c r="E52" s="75" t="s">
        <v>219</v>
      </c>
      <c r="F52" s="76" t="s">
        <v>81</v>
      </c>
      <c r="G52" s="77">
        <v>1000</v>
      </c>
      <c r="H52" s="87">
        <v>390</v>
      </c>
      <c r="I52" s="88">
        <v>390000</v>
      </c>
    </row>
    <row r="53" spans="1:9" ht="46.5" customHeight="1" thickBot="1" x14ac:dyDescent="0.25">
      <c r="A53" s="71">
        <v>44</v>
      </c>
      <c r="B53" s="72" t="s">
        <v>154</v>
      </c>
      <c r="C53" s="81" t="s">
        <v>66</v>
      </c>
      <c r="D53" s="74">
        <v>252</v>
      </c>
      <c r="E53" s="75" t="s">
        <v>220</v>
      </c>
      <c r="F53" s="76" t="s">
        <v>81</v>
      </c>
      <c r="G53" s="77">
        <v>300</v>
      </c>
      <c r="H53" s="78">
        <v>155</v>
      </c>
      <c r="I53" s="79">
        <v>46500</v>
      </c>
    </row>
    <row r="54" spans="1:9" ht="47.25" customHeight="1" thickBot="1" x14ac:dyDescent="0.25">
      <c r="A54" s="71">
        <v>45</v>
      </c>
      <c r="B54" s="72" t="s">
        <v>155</v>
      </c>
      <c r="C54" s="81" t="s">
        <v>66</v>
      </c>
      <c r="D54" s="74">
        <v>252</v>
      </c>
      <c r="E54" s="75" t="s">
        <v>156</v>
      </c>
      <c r="F54" s="76" t="s">
        <v>81</v>
      </c>
      <c r="G54" s="77">
        <v>100</v>
      </c>
      <c r="H54" s="78">
        <v>60</v>
      </c>
      <c r="I54" s="79">
        <v>6000</v>
      </c>
    </row>
    <row r="55" spans="1:9" ht="31.9" customHeight="1" thickBot="1" x14ac:dyDescent="0.25">
      <c r="A55" s="71">
        <v>46</v>
      </c>
      <c r="B55" s="80" t="s">
        <v>157</v>
      </c>
      <c r="C55" s="81" t="s">
        <v>66</v>
      </c>
      <c r="D55" s="74">
        <v>252</v>
      </c>
      <c r="E55" s="82" t="s">
        <v>158</v>
      </c>
      <c r="F55" s="71" t="s">
        <v>71</v>
      </c>
      <c r="G55" s="77">
        <v>1500</v>
      </c>
      <c r="H55" s="78">
        <v>35</v>
      </c>
      <c r="I55" s="79">
        <v>52500</v>
      </c>
    </row>
    <row r="56" spans="1:9" ht="41.25" customHeight="1" thickBot="1" x14ac:dyDescent="0.25">
      <c r="A56" s="71">
        <v>47</v>
      </c>
      <c r="B56" s="80" t="s">
        <v>159</v>
      </c>
      <c r="C56" s="81" t="s">
        <v>66</v>
      </c>
      <c r="D56" s="74">
        <v>252</v>
      </c>
      <c r="E56" s="82" t="s">
        <v>160</v>
      </c>
      <c r="F56" s="71" t="s">
        <v>71</v>
      </c>
      <c r="G56" s="77">
        <v>1000</v>
      </c>
      <c r="H56" s="78">
        <v>11.5</v>
      </c>
      <c r="I56" s="79">
        <v>11500</v>
      </c>
    </row>
    <row r="57" spans="1:9" ht="60.75" customHeight="1" thickBot="1" x14ac:dyDescent="0.25">
      <c r="A57" s="71">
        <v>48</v>
      </c>
      <c r="B57" s="72" t="s">
        <v>161</v>
      </c>
      <c r="C57" s="81" t="s">
        <v>66</v>
      </c>
      <c r="D57" s="74">
        <v>252</v>
      </c>
      <c r="E57" s="75" t="s">
        <v>162</v>
      </c>
      <c r="F57" s="76" t="s">
        <v>78</v>
      </c>
      <c r="G57" s="77">
        <v>60</v>
      </c>
      <c r="H57" s="78">
        <v>2200</v>
      </c>
      <c r="I57" s="79">
        <v>132000</v>
      </c>
    </row>
    <row r="58" spans="1:9" ht="31.9" customHeight="1" thickBot="1" x14ac:dyDescent="0.25">
      <c r="A58" s="71">
        <v>49</v>
      </c>
      <c r="B58" s="80" t="s">
        <v>163</v>
      </c>
      <c r="C58" s="81" t="s">
        <v>66</v>
      </c>
      <c r="D58" s="74">
        <v>252</v>
      </c>
      <c r="E58" s="82" t="s">
        <v>164</v>
      </c>
      <c r="F58" s="71" t="s">
        <v>71</v>
      </c>
      <c r="G58" s="77">
        <v>4000</v>
      </c>
      <c r="H58" s="78">
        <v>15.8</v>
      </c>
      <c r="I58" s="79">
        <v>63200</v>
      </c>
    </row>
    <row r="59" spans="1:9" ht="43.5" customHeight="1" thickBot="1" x14ac:dyDescent="0.25">
      <c r="A59" s="71">
        <v>50</v>
      </c>
      <c r="B59" s="72" t="s">
        <v>165</v>
      </c>
      <c r="C59" s="81" t="s">
        <v>66</v>
      </c>
      <c r="D59" s="74">
        <v>252</v>
      </c>
      <c r="E59" s="75" t="s">
        <v>166</v>
      </c>
      <c r="F59" s="76" t="s">
        <v>78</v>
      </c>
      <c r="G59" s="77">
        <v>75</v>
      </c>
      <c r="H59" s="78">
        <v>660</v>
      </c>
      <c r="I59" s="79">
        <v>49500</v>
      </c>
    </row>
    <row r="60" spans="1:9" ht="39.75" customHeight="1" thickBot="1" x14ac:dyDescent="0.25">
      <c r="A60" s="71">
        <v>51</v>
      </c>
      <c r="B60" s="80" t="s">
        <v>167</v>
      </c>
      <c r="C60" s="81" t="s">
        <v>66</v>
      </c>
      <c r="D60" s="74">
        <v>252</v>
      </c>
      <c r="E60" s="73" t="s">
        <v>168</v>
      </c>
      <c r="F60" s="71" t="s">
        <v>81</v>
      </c>
      <c r="G60" s="77">
        <v>200</v>
      </c>
      <c r="H60" s="78">
        <v>1200</v>
      </c>
      <c r="I60" s="79">
        <v>240000</v>
      </c>
    </row>
    <row r="61" spans="1:9" ht="31.9" customHeight="1" thickBot="1" x14ac:dyDescent="0.25">
      <c r="A61" s="71">
        <v>52</v>
      </c>
      <c r="B61" s="80" t="s">
        <v>169</v>
      </c>
      <c r="C61" s="81" t="s">
        <v>66</v>
      </c>
      <c r="D61" s="74">
        <v>252</v>
      </c>
      <c r="E61" s="82" t="s">
        <v>170</v>
      </c>
      <c r="F61" s="71" t="s">
        <v>71</v>
      </c>
      <c r="G61" s="77">
        <v>2000</v>
      </c>
      <c r="H61" s="78">
        <v>16.2</v>
      </c>
      <c r="I61" s="79">
        <v>32400</v>
      </c>
    </row>
    <row r="62" spans="1:9" ht="36" customHeight="1" thickBot="1" x14ac:dyDescent="0.25">
      <c r="A62" s="71">
        <v>53</v>
      </c>
      <c r="B62" s="72" t="s">
        <v>171</v>
      </c>
      <c r="C62" s="81" t="s">
        <v>66</v>
      </c>
      <c r="D62" s="74">
        <v>252</v>
      </c>
      <c r="E62" s="75" t="s">
        <v>172</v>
      </c>
      <c r="F62" s="76" t="s">
        <v>71</v>
      </c>
      <c r="G62" s="77">
        <v>1500</v>
      </c>
      <c r="H62" s="78">
        <v>5.85</v>
      </c>
      <c r="I62" s="79">
        <v>8775</v>
      </c>
    </row>
    <row r="63" spans="1:9" ht="41.25" customHeight="1" thickBot="1" x14ac:dyDescent="0.25">
      <c r="A63" s="71">
        <v>54</v>
      </c>
      <c r="B63" s="72" t="s">
        <v>173</v>
      </c>
      <c r="C63" s="81" t="s">
        <v>66</v>
      </c>
      <c r="D63" s="74">
        <v>252</v>
      </c>
      <c r="E63" s="75" t="s">
        <v>174</v>
      </c>
      <c r="F63" s="76" t="s">
        <v>71</v>
      </c>
      <c r="G63" s="77">
        <v>1800</v>
      </c>
      <c r="H63" s="78">
        <v>7.4119999999999999</v>
      </c>
      <c r="I63" s="79">
        <v>13341.6</v>
      </c>
    </row>
    <row r="64" spans="1:9" ht="39.75" customHeight="1" thickBot="1" x14ac:dyDescent="0.25">
      <c r="A64" s="71">
        <v>55</v>
      </c>
      <c r="B64" s="72" t="s">
        <v>175</v>
      </c>
      <c r="C64" s="81" t="s">
        <v>66</v>
      </c>
      <c r="D64" s="74">
        <v>252</v>
      </c>
      <c r="E64" s="75" t="s">
        <v>176</v>
      </c>
      <c r="F64" s="76" t="s">
        <v>71</v>
      </c>
      <c r="G64" s="77">
        <v>1000</v>
      </c>
      <c r="H64" s="78">
        <v>8.9120000000000008</v>
      </c>
      <c r="I64" s="79">
        <v>8912</v>
      </c>
    </row>
    <row r="65" spans="1:9" ht="45.75" customHeight="1" thickBot="1" x14ac:dyDescent="0.25">
      <c r="A65" s="71">
        <v>56</v>
      </c>
      <c r="B65" s="72" t="s">
        <v>177</v>
      </c>
      <c r="C65" s="81" t="s">
        <v>66</v>
      </c>
      <c r="D65" s="74">
        <v>252</v>
      </c>
      <c r="E65" s="75" t="s">
        <v>178</v>
      </c>
      <c r="F65" s="71" t="s">
        <v>71</v>
      </c>
      <c r="G65" s="77">
        <v>2000</v>
      </c>
      <c r="H65" s="78">
        <v>9.65</v>
      </c>
      <c r="I65" s="79">
        <v>19300</v>
      </c>
    </row>
    <row r="66" spans="1:9" ht="51.75" customHeight="1" thickBot="1" x14ac:dyDescent="0.25">
      <c r="A66" s="71">
        <v>57</v>
      </c>
      <c r="B66" s="72" t="s">
        <v>179</v>
      </c>
      <c r="C66" s="81" t="s">
        <v>66</v>
      </c>
      <c r="D66" s="74">
        <v>252</v>
      </c>
      <c r="E66" s="75" t="s">
        <v>180</v>
      </c>
      <c r="F66" s="76" t="s">
        <v>78</v>
      </c>
      <c r="G66" s="77">
        <v>100</v>
      </c>
      <c r="H66" s="78">
        <v>398</v>
      </c>
      <c r="I66" s="79">
        <v>39800</v>
      </c>
    </row>
    <row r="67" spans="1:9" ht="54" customHeight="1" thickBot="1" x14ac:dyDescent="0.25">
      <c r="A67" s="71">
        <v>58</v>
      </c>
      <c r="B67" s="72" t="s">
        <v>181</v>
      </c>
      <c r="C67" s="81" t="s">
        <v>66</v>
      </c>
      <c r="D67" s="74">
        <v>252</v>
      </c>
      <c r="E67" s="75" t="s">
        <v>182</v>
      </c>
      <c r="F67" s="76" t="s">
        <v>78</v>
      </c>
      <c r="G67" s="77">
        <v>100</v>
      </c>
      <c r="H67" s="78">
        <v>387.52</v>
      </c>
      <c r="I67" s="79">
        <v>38752</v>
      </c>
    </row>
    <row r="68" spans="1:9" ht="45" customHeight="1" thickBot="1" x14ac:dyDescent="0.25">
      <c r="A68" s="71">
        <v>59</v>
      </c>
      <c r="B68" s="80" t="s">
        <v>183</v>
      </c>
      <c r="C68" s="81" t="s">
        <v>66</v>
      </c>
      <c r="D68" s="74">
        <v>252</v>
      </c>
      <c r="E68" s="73" t="s">
        <v>184</v>
      </c>
      <c r="F68" s="71" t="s">
        <v>78</v>
      </c>
      <c r="G68" s="77">
        <v>20</v>
      </c>
      <c r="H68" s="78">
        <v>3890</v>
      </c>
      <c r="I68" s="79">
        <v>77800</v>
      </c>
    </row>
    <row r="69" spans="1:9" ht="45" customHeight="1" thickBot="1" x14ac:dyDescent="0.25">
      <c r="A69" s="71">
        <v>60</v>
      </c>
      <c r="B69" s="89" t="s">
        <v>185</v>
      </c>
      <c r="C69" s="81" t="s">
        <v>66</v>
      </c>
      <c r="D69" s="74">
        <v>252</v>
      </c>
      <c r="E69" s="85" t="s">
        <v>186</v>
      </c>
      <c r="F69" s="71" t="s">
        <v>78</v>
      </c>
      <c r="G69" s="77">
        <v>75</v>
      </c>
      <c r="H69" s="78">
        <v>934.17</v>
      </c>
      <c r="I69" s="79">
        <v>70062.75</v>
      </c>
    </row>
    <row r="70" spans="1:9" ht="45" customHeight="1" thickBot="1" x14ac:dyDescent="0.25">
      <c r="A70" s="71">
        <v>61</v>
      </c>
      <c r="B70" s="80" t="s">
        <v>187</v>
      </c>
      <c r="C70" s="81" t="s">
        <v>66</v>
      </c>
      <c r="D70" s="74">
        <v>252</v>
      </c>
      <c r="E70" s="82" t="s">
        <v>188</v>
      </c>
      <c r="F70" s="71" t="s">
        <v>71</v>
      </c>
      <c r="G70" s="77">
        <v>300</v>
      </c>
      <c r="H70" s="78">
        <v>140.46</v>
      </c>
      <c r="I70" s="79">
        <v>42138</v>
      </c>
    </row>
    <row r="71" spans="1:9" ht="45.75" customHeight="1" thickBot="1" x14ac:dyDescent="0.25">
      <c r="A71" s="71">
        <v>62</v>
      </c>
      <c r="B71" s="72" t="s">
        <v>189</v>
      </c>
      <c r="C71" s="81" t="s">
        <v>66</v>
      </c>
      <c r="D71" s="74">
        <v>252</v>
      </c>
      <c r="E71" s="85" t="s">
        <v>190</v>
      </c>
      <c r="F71" s="71" t="s">
        <v>71</v>
      </c>
      <c r="G71" s="77">
        <v>60</v>
      </c>
      <c r="H71" s="78">
        <v>14.8</v>
      </c>
      <c r="I71" s="79">
        <v>888</v>
      </c>
    </row>
    <row r="72" spans="1:9" ht="37.5" customHeight="1" thickBot="1" x14ac:dyDescent="0.25">
      <c r="A72" s="71">
        <v>63</v>
      </c>
      <c r="B72" s="80" t="s">
        <v>191</v>
      </c>
      <c r="C72" s="81" t="s">
        <v>66</v>
      </c>
      <c r="D72" s="74">
        <v>252</v>
      </c>
      <c r="E72" s="82" t="s">
        <v>192</v>
      </c>
      <c r="F72" s="71" t="s">
        <v>71</v>
      </c>
      <c r="G72" s="77">
        <v>30</v>
      </c>
      <c r="H72" s="78">
        <v>8.9</v>
      </c>
      <c r="I72" s="79">
        <v>267</v>
      </c>
    </row>
    <row r="73" spans="1:9" ht="35.25" customHeight="1" thickBot="1" x14ac:dyDescent="0.25">
      <c r="A73" s="71">
        <v>64</v>
      </c>
      <c r="B73" s="90" t="s">
        <v>193</v>
      </c>
      <c r="C73" s="81" t="s">
        <v>66</v>
      </c>
      <c r="D73" s="74">
        <v>252</v>
      </c>
      <c r="E73" s="85" t="s">
        <v>194</v>
      </c>
      <c r="F73" s="71" t="s">
        <v>81</v>
      </c>
      <c r="G73" s="77">
        <v>24</v>
      </c>
      <c r="H73" s="78">
        <v>28923</v>
      </c>
      <c r="I73" s="79">
        <v>694152</v>
      </c>
    </row>
    <row r="74" spans="1:9" ht="13.5" thickBot="1" x14ac:dyDescent="0.25"/>
    <row r="75" spans="1:9" ht="56.25" customHeight="1" thickBot="1" x14ac:dyDescent="0.25">
      <c r="C75" s="109" t="s">
        <v>213</v>
      </c>
      <c r="D75" s="110"/>
      <c r="E75" s="110"/>
      <c r="F75" s="111"/>
    </row>
    <row r="76" spans="1:9" ht="34.5" customHeight="1" thickBot="1" x14ac:dyDescent="0.25">
      <c r="C76" s="112" t="s">
        <v>211</v>
      </c>
      <c r="D76" s="113"/>
      <c r="E76" s="113"/>
      <c r="F76" s="114"/>
    </row>
    <row r="77" spans="1:9" ht="39.75" customHeight="1" thickBot="1" x14ac:dyDescent="0.25">
      <c r="C77" s="115" t="s">
        <v>212</v>
      </c>
      <c r="D77" s="116"/>
      <c r="E77" s="116"/>
      <c r="F77" s="117"/>
    </row>
    <row r="79" spans="1:9" ht="13.5" thickBot="1" x14ac:dyDescent="0.25"/>
    <row r="80" spans="1:9" x14ac:dyDescent="0.2">
      <c r="B80" s="42" t="s">
        <v>196</v>
      </c>
      <c r="C80" s="94"/>
      <c r="D80" s="43"/>
      <c r="E80" s="44"/>
    </row>
    <row r="81" spans="2:5" ht="5.25" customHeight="1" x14ac:dyDescent="0.2">
      <c r="B81" s="45"/>
      <c r="C81" s="95"/>
      <c r="D81" s="46"/>
      <c r="E81" s="47"/>
    </row>
    <row r="82" spans="2:5" x14ac:dyDescent="0.2">
      <c r="B82" s="48" t="s">
        <v>14</v>
      </c>
      <c r="C82" s="95"/>
      <c r="D82" s="46"/>
      <c r="E82" s="47"/>
    </row>
    <row r="83" spans="2:5" ht="41.25" customHeight="1" x14ac:dyDescent="0.2">
      <c r="B83" s="48"/>
      <c r="C83" s="102" t="s">
        <v>197</v>
      </c>
      <c r="D83" s="102"/>
      <c r="E83" s="103"/>
    </row>
    <row r="84" spans="2:5" x14ac:dyDescent="0.2">
      <c r="B84" s="48" t="s">
        <v>15</v>
      </c>
      <c r="C84" s="95"/>
      <c r="D84" s="46"/>
      <c r="E84" s="47"/>
    </row>
    <row r="85" spans="2:5" x14ac:dyDescent="0.2">
      <c r="B85" s="49"/>
      <c r="C85" s="107"/>
      <c r="D85" s="107"/>
      <c r="E85" s="107"/>
    </row>
    <row r="86" spans="2:5" x14ac:dyDescent="0.2">
      <c r="B86" s="49"/>
      <c r="C86" s="108"/>
      <c r="D86" s="108"/>
      <c r="E86" s="108"/>
    </row>
    <row r="87" spans="2:5" x14ac:dyDescent="0.2">
      <c r="B87" s="48" t="s">
        <v>16</v>
      </c>
      <c r="C87" s="95"/>
      <c r="D87" s="46"/>
      <c r="E87" s="47"/>
    </row>
    <row r="88" spans="2:5" ht="26.25" customHeight="1" x14ac:dyDescent="0.2">
      <c r="B88" s="49"/>
      <c r="C88" s="101"/>
      <c r="D88" s="101"/>
      <c r="E88" s="101"/>
    </row>
    <row r="89" spans="2:5" x14ac:dyDescent="0.2">
      <c r="B89" s="48" t="s">
        <v>17</v>
      </c>
      <c r="C89" s="96"/>
      <c r="D89" s="50"/>
      <c r="E89" s="51"/>
    </row>
    <row r="90" spans="2:5" ht="26.25" customHeight="1" x14ac:dyDescent="0.2">
      <c r="B90" s="49"/>
      <c r="C90" s="118"/>
      <c r="D90" s="118"/>
      <c r="E90" s="118"/>
    </row>
    <row r="91" spans="2:5" x14ac:dyDescent="0.2">
      <c r="B91" s="48" t="s">
        <v>18</v>
      </c>
      <c r="C91" s="95"/>
      <c r="D91" s="46"/>
      <c r="E91" s="47"/>
    </row>
    <row r="92" spans="2:5" ht="23.25" customHeight="1" x14ac:dyDescent="0.2">
      <c r="B92" s="48"/>
      <c r="C92" s="100"/>
      <c r="D92" s="100"/>
      <c r="E92" s="100"/>
    </row>
    <row r="93" spans="2:5" x14ac:dyDescent="0.2">
      <c r="B93" s="52"/>
      <c r="C93" s="97"/>
      <c r="D93" s="53"/>
      <c r="E93" s="54"/>
    </row>
    <row r="95" spans="2:5" x14ac:dyDescent="0.2">
      <c r="B95" s="42" t="s">
        <v>199</v>
      </c>
      <c r="C95" s="94"/>
      <c r="D95" s="43"/>
      <c r="E95" s="44"/>
    </row>
    <row r="96" spans="2:5" ht="7.5" customHeight="1" x14ac:dyDescent="0.2">
      <c r="B96" s="45"/>
      <c r="C96" s="95"/>
      <c r="D96" s="46"/>
      <c r="E96" s="47"/>
    </row>
    <row r="97" spans="2:5" x14ac:dyDescent="0.2">
      <c r="B97" s="48" t="s">
        <v>14</v>
      </c>
      <c r="C97" s="95"/>
      <c r="D97" s="46"/>
      <c r="E97" s="47"/>
    </row>
    <row r="98" spans="2:5" ht="39" customHeight="1" x14ac:dyDescent="0.2">
      <c r="B98" s="48"/>
      <c r="C98" s="102" t="s">
        <v>198</v>
      </c>
      <c r="D98" s="102"/>
      <c r="E98" s="103"/>
    </row>
    <row r="99" spans="2:5" x14ac:dyDescent="0.2">
      <c r="B99" s="48" t="s">
        <v>15</v>
      </c>
      <c r="C99" s="95"/>
      <c r="D99" s="46"/>
      <c r="E99" s="47"/>
    </row>
    <row r="100" spans="2:5" x14ac:dyDescent="0.2">
      <c r="B100" s="49"/>
      <c r="C100" s="100"/>
      <c r="D100" s="100"/>
      <c r="E100" s="100"/>
    </row>
    <row r="101" spans="2:5" ht="18.75" customHeight="1" x14ac:dyDescent="0.2">
      <c r="B101" s="49"/>
      <c r="C101" s="100"/>
      <c r="D101" s="100"/>
      <c r="E101" s="100"/>
    </row>
    <row r="102" spans="2:5" x14ac:dyDescent="0.2">
      <c r="B102" s="48" t="s">
        <v>16</v>
      </c>
      <c r="C102" s="95"/>
      <c r="D102" s="46"/>
      <c r="E102" s="47"/>
    </row>
    <row r="103" spans="2:5" x14ac:dyDescent="0.2">
      <c r="B103" s="49"/>
      <c r="C103" s="101"/>
      <c r="D103" s="101"/>
      <c r="E103" s="101"/>
    </row>
    <row r="104" spans="2:5" x14ac:dyDescent="0.2">
      <c r="B104" s="48" t="s">
        <v>17</v>
      </c>
      <c r="C104" s="96"/>
      <c r="D104" s="50"/>
      <c r="E104" s="51"/>
    </row>
    <row r="105" spans="2:5" x14ac:dyDescent="0.2">
      <c r="B105" s="49"/>
      <c r="C105" s="101"/>
      <c r="D105" s="101"/>
      <c r="E105" s="101"/>
    </row>
    <row r="106" spans="2:5" x14ac:dyDescent="0.2">
      <c r="B106" s="48" t="s">
        <v>18</v>
      </c>
      <c r="C106" s="95"/>
      <c r="D106" s="46"/>
      <c r="E106" s="47"/>
    </row>
    <row r="107" spans="2:5" ht="26.25" customHeight="1" x14ac:dyDescent="0.2">
      <c r="B107" s="48"/>
      <c r="C107" s="100"/>
      <c r="D107" s="100"/>
      <c r="E107" s="100"/>
    </row>
    <row r="108" spans="2:5" x14ac:dyDescent="0.2">
      <c r="B108" s="52"/>
      <c r="C108" s="97"/>
      <c r="D108" s="53"/>
      <c r="E108" s="54"/>
    </row>
    <row r="109" spans="2:5" ht="13.5" thickBot="1" x14ac:dyDescent="0.25"/>
    <row r="110" spans="2:5" x14ac:dyDescent="0.2">
      <c r="B110" s="42" t="s">
        <v>200</v>
      </c>
      <c r="C110" s="94"/>
      <c r="D110" s="43"/>
      <c r="E110" s="44"/>
    </row>
    <row r="111" spans="2:5" x14ac:dyDescent="0.2">
      <c r="B111" s="45"/>
      <c r="C111" s="95"/>
      <c r="D111" s="46"/>
      <c r="E111" s="47"/>
    </row>
    <row r="112" spans="2:5" x14ac:dyDescent="0.2">
      <c r="B112" s="48" t="s">
        <v>14</v>
      </c>
      <c r="C112" s="95"/>
      <c r="D112" s="46"/>
      <c r="E112" s="47"/>
    </row>
    <row r="113" spans="2:5" ht="29.25" customHeight="1" x14ac:dyDescent="0.2">
      <c r="B113" s="48"/>
      <c r="C113" s="102" t="s">
        <v>201</v>
      </c>
      <c r="D113" s="102"/>
      <c r="E113" s="103"/>
    </row>
    <row r="114" spans="2:5" x14ac:dyDescent="0.2">
      <c r="B114" s="48" t="s">
        <v>15</v>
      </c>
      <c r="C114" s="95"/>
      <c r="D114" s="46"/>
      <c r="E114" s="47"/>
    </row>
    <row r="115" spans="2:5" x14ac:dyDescent="0.2">
      <c r="B115" s="49"/>
      <c r="C115" s="100"/>
      <c r="D115" s="100"/>
      <c r="E115" s="100"/>
    </row>
    <row r="116" spans="2:5" ht="18.75" customHeight="1" x14ac:dyDescent="0.2">
      <c r="B116" s="49"/>
      <c r="C116" s="100"/>
      <c r="D116" s="100"/>
      <c r="E116" s="100"/>
    </row>
    <row r="117" spans="2:5" x14ac:dyDescent="0.2">
      <c r="B117" s="48" t="s">
        <v>16</v>
      </c>
      <c r="C117" s="95"/>
      <c r="D117" s="46"/>
      <c r="E117" s="47"/>
    </row>
    <row r="118" spans="2:5" ht="26.25" customHeight="1" x14ac:dyDescent="0.2">
      <c r="B118" s="49"/>
      <c r="C118" s="101"/>
      <c r="D118" s="101"/>
      <c r="E118" s="101"/>
    </row>
    <row r="119" spans="2:5" x14ac:dyDescent="0.2">
      <c r="B119" s="48" t="s">
        <v>17</v>
      </c>
      <c r="C119" s="96"/>
      <c r="D119" s="50"/>
      <c r="E119" s="51"/>
    </row>
    <row r="120" spans="2:5" ht="22.5" customHeight="1" x14ac:dyDescent="0.2">
      <c r="B120" s="49"/>
      <c r="C120" s="101"/>
      <c r="D120" s="101"/>
      <c r="E120" s="101"/>
    </row>
    <row r="121" spans="2:5" x14ac:dyDescent="0.2">
      <c r="B121" s="48" t="s">
        <v>18</v>
      </c>
      <c r="C121" s="95"/>
      <c r="D121" s="46"/>
      <c r="E121" s="47"/>
    </row>
    <row r="122" spans="2:5" ht="19.5" customHeight="1" x14ac:dyDescent="0.2">
      <c r="B122" s="48"/>
      <c r="C122" s="100"/>
      <c r="D122" s="100"/>
      <c r="E122" s="100"/>
    </row>
    <row r="123" spans="2:5" ht="13.5" thickBot="1" x14ac:dyDescent="0.25">
      <c r="B123" s="52"/>
      <c r="C123" s="97"/>
      <c r="D123" s="53"/>
      <c r="E123" s="54"/>
    </row>
    <row r="125" spans="2:5" ht="13.5" thickBot="1" x14ac:dyDescent="0.25"/>
    <row r="126" spans="2:5" x14ac:dyDescent="0.2">
      <c r="B126" s="42" t="s">
        <v>202</v>
      </c>
      <c r="C126" s="94"/>
      <c r="D126" s="43"/>
      <c r="E126" s="44"/>
    </row>
    <row r="127" spans="2:5" x14ac:dyDescent="0.2">
      <c r="B127" s="45"/>
      <c r="C127" s="95"/>
      <c r="D127" s="46"/>
      <c r="E127" s="47"/>
    </row>
    <row r="128" spans="2:5" x14ac:dyDescent="0.2">
      <c r="B128" s="48" t="s">
        <v>14</v>
      </c>
      <c r="C128" s="95"/>
      <c r="D128" s="46"/>
      <c r="E128" s="47"/>
    </row>
    <row r="129" spans="2:5" ht="27" customHeight="1" x14ac:dyDescent="0.2">
      <c r="B129" s="48"/>
      <c r="C129" s="102" t="s">
        <v>203</v>
      </c>
      <c r="D129" s="102"/>
      <c r="E129" s="103"/>
    </row>
    <row r="130" spans="2:5" x14ac:dyDescent="0.2">
      <c r="B130" s="48" t="s">
        <v>15</v>
      </c>
      <c r="C130" s="95"/>
      <c r="D130" s="46"/>
      <c r="E130" s="47"/>
    </row>
    <row r="131" spans="2:5" x14ac:dyDescent="0.2">
      <c r="B131" s="49"/>
      <c r="C131" s="100"/>
      <c r="D131" s="100"/>
      <c r="E131" s="100"/>
    </row>
    <row r="132" spans="2:5" x14ac:dyDescent="0.2">
      <c r="B132" s="49"/>
      <c r="C132" s="100"/>
      <c r="D132" s="100"/>
      <c r="E132" s="100"/>
    </row>
    <row r="133" spans="2:5" x14ac:dyDescent="0.2">
      <c r="B133" s="48" t="s">
        <v>16</v>
      </c>
      <c r="C133" s="95"/>
      <c r="D133" s="46"/>
      <c r="E133" s="47"/>
    </row>
    <row r="134" spans="2:5" ht="18" customHeight="1" x14ac:dyDescent="0.2">
      <c r="B134" s="49"/>
      <c r="C134" s="101"/>
      <c r="D134" s="101"/>
      <c r="E134" s="101"/>
    </row>
    <row r="135" spans="2:5" x14ac:dyDescent="0.2">
      <c r="B135" s="48" t="s">
        <v>17</v>
      </c>
      <c r="C135" s="96"/>
      <c r="D135" s="50"/>
      <c r="E135" s="51"/>
    </row>
    <row r="136" spans="2:5" ht="23.25" customHeight="1" x14ac:dyDescent="0.2">
      <c r="B136" s="49"/>
      <c r="C136" s="101"/>
      <c r="D136" s="101"/>
      <c r="E136" s="101"/>
    </row>
    <row r="137" spans="2:5" x14ac:dyDescent="0.2">
      <c r="B137" s="48" t="s">
        <v>18</v>
      </c>
      <c r="C137" s="95"/>
      <c r="D137" s="46"/>
      <c r="E137" s="47"/>
    </row>
    <row r="138" spans="2:5" ht="33.75" customHeight="1" x14ac:dyDescent="0.2">
      <c r="B138" s="48"/>
      <c r="C138" s="100"/>
      <c r="D138" s="100"/>
      <c r="E138" s="100"/>
    </row>
    <row r="139" spans="2:5" ht="13.5" thickBot="1" x14ac:dyDescent="0.25">
      <c r="B139" s="52"/>
      <c r="C139" s="97"/>
      <c r="D139" s="53"/>
      <c r="E139" s="54"/>
    </row>
    <row r="141" spans="2:5" ht="13.5" thickBot="1" x14ac:dyDescent="0.25"/>
    <row r="142" spans="2:5" x14ac:dyDescent="0.2">
      <c r="B142" s="42" t="s">
        <v>204</v>
      </c>
      <c r="C142" s="94"/>
      <c r="D142" s="43"/>
      <c r="E142" s="44"/>
    </row>
    <row r="143" spans="2:5" x14ac:dyDescent="0.2">
      <c r="B143" s="45"/>
      <c r="C143" s="95"/>
      <c r="D143" s="46"/>
      <c r="E143" s="47"/>
    </row>
    <row r="144" spans="2:5" x14ac:dyDescent="0.2">
      <c r="B144" s="48" t="s">
        <v>14</v>
      </c>
      <c r="C144" s="95"/>
      <c r="D144" s="46"/>
      <c r="E144" s="47"/>
    </row>
    <row r="145" spans="2:5" ht="27" customHeight="1" x14ac:dyDescent="0.2">
      <c r="B145" s="48"/>
      <c r="C145" s="102" t="s">
        <v>205</v>
      </c>
      <c r="D145" s="102"/>
      <c r="E145" s="103"/>
    </row>
    <row r="146" spans="2:5" x14ac:dyDescent="0.2">
      <c r="B146" s="48" t="s">
        <v>15</v>
      </c>
      <c r="C146" s="95"/>
      <c r="D146" s="46"/>
      <c r="E146" s="47"/>
    </row>
    <row r="147" spans="2:5" x14ac:dyDescent="0.2">
      <c r="B147" s="49"/>
      <c r="C147" s="100"/>
      <c r="D147" s="100"/>
      <c r="E147" s="100"/>
    </row>
    <row r="148" spans="2:5" x14ac:dyDescent="0.2">
      <c r="B148" s="49"/>
      <c r="C148" s="100"/>
      <c r="D148" s="100"/>
      <c r="E148" s="100"/>
    </row>
    <row r="149" spans="2:5" x14ac:dyDescent="0.2">
      <c r="B149" s="48" t="s">
        <v>16</v>
      </c>
      <c r="C149" s="95"/>
      <c r="D149" s="46"/>
      <c r="E149" s="47"/>
    </row>
    <row r="150" spans="2:5" x14ac:dyDescent="0.2">
      <c r="B150" s="49"/>
      <c r="C150" s="101"/>
      <c r="D150" s="101"/>
      <c r="E150" s="101"/>
    </row>
    <row r="151" spans="2:5" x14ac:dyDescent="0.2">
      <c r="B151" s="48" t="s">
        <v>17</v>
      </c>
      <c r="C151" s="96"/>
      <c r="D151" s="50"/>
      <c r="E151" s="51"/>
    </row>
    <row r="152" spans="2:5" x14ac:dyDescent="0.2">
      <c r="B152" s="49"/>
      <c r="C152" s="101"/>
      <c r="D152" s="101"/>
      <c r="E152" s="101"/>
    </row>
    <row r="153" spans="2:5" x14ac:dyDescent="0.2">
      <c r="B153" s="48" t="s">
        <v>18</v>
      </c>
      <c r="C153" s="95"/>
      <c r="D153" s="46"/>
      <c r="E153" s="47"/>
    </row>
    <row r="154" spans="2:5" x14ac:dyDescent="0.2">
      <c r="B154" s="48"/>
      <c r="C154" s="100"/>
      <c r="D154" s="100"/>
      <c r="E154" s="100"/>
    </row>
    <row r="155" spans="2:5" ht="13.5" thickBot="1" x14ac:dyDescent="0.25">
      <c r="B155" s="52"/>
      <c r="C155" s="97"/>
      <c r="D155" s="53"/>
      <c r="E155" s="54"/>
    </row>
    <row r="157" spans="2:5" ht="13.5" thickBot="1" x14ac:dyDescent="0.25"/>
    <row r="158" spans="2:5" x14ac:dyDescent="0.2">
      <c r="B158" s="42" t="s">
        <v>206</v>
      </c>
      <c r="C158" s="94"/>
      <c r="D158" s="43"/>
      <c r="E158" s="44"/>
    </row>
    <row r="159" spans="2:5" x14ac:dyDescent="0.2">
      <c r="B159" s="45"/>
      <c r="C159" s="95"/>
      <c r="D159" s="46"/>
      <c r="E159" s="47"/>
    </row>
    <row r="160" spans="2:5" x14ac:dyDescent="0.2">
      <c r="B160" s="48" t="s">
        <v>14</v>
      </c>
      <c r="C160" s="95"/>
      <c r="D160" s="46"/>
      <c r="E160" s="47"/>
    </row>
    <row r="161" spans="2:5" ht="35.25" customHeight="1" x14ac:dyDescent="0.2">
      <c r="B161" s="48"/>
      <c r="C161" s="102" t="s">
        <v>207</v>
      </c>
      <c r="D161" s="102"/>
      <c r="E161" s="103"/>
    </row>
    <row r="162" spans="2:5" x14ac:dyDescent="0.2">
      <c r="B162" s="48" t="s">
        <v>15</v>
      </c>
      <c r="C162" s="95"/>
      <c r="D162" s="46"/>
      <c r="E162" s="47"/>
    </row>
    <row r="163" spans="2:5" x14ac:dyDescent="0.2">
      <c r="B163" s="49"/>
      <c r="C163" s="100"/>
      <c r="D163" s="100"/>
      <c r="E163" s="100"/>
    </row>
    <row r="164" spans="2:5" x14ac:dyDescent="0.2">
      <c r="B164" s="49"/>
      <c r="C164" s="100"/>
      <c r="D164" s="100"/>
      <c r="E164" s="100"/>
    </row>
    <row r="165" spans="2:5" x14ac:dyDescent="0.2">
      <c r="B165" s="48" t="s">
        <v>16</v>
      </c>
      <c r="C165" s="95"/>
      <c r="D165" s="46"/>
      <c r="E165" s="47"/>
    </row>
    <row r="166" spans="2:5" x14ac:dyDescent="0.2">
      <c r="B166" s="49"/>
      <c r="C166" s="101"/>
      <c r="D166" s="101"/>
      <c r="E166" s="101"/>
    </row>
    <row r="167" spans="2:5" x14ac:dyDescent="0.2">
      <c r="B167" s="48" t="s">
        <v>17</v>
      </c>
      <c r="C167" s="96"/>
      <c r="D167" s="50"/>
      <c r="E167" s="51"/>
    </row>
    <row r="168" spans="2:5" ht="18.75" customHeight="1" x14ac:dyDescent="0.2">
      <c r="B168" s="49"/>
      <c r="C168" s="101"/>
      <c r="D168" s="101"/>
      <c r="E168" s="101"/>
    </row>
    <row r="169" spans="2:5" x14ac:dyDescent="0.2">
      <c r="B169" s="48" t="s">
        <v>18</v>
      </c>
      <c r="C169" s="95"/>
      <c r="D169" s="46"/>
      <c r="E169" s="47"/>
    </row>
    <row r="170" spans="2:5" x14ac:dyDescent="0.2">
      <c r="B170" s="48"/>
      <c r="C170" s="100"/>
      <c r="D170" s="100"/>
      <c r="E170" s="100"/>
    </row>
    <row r="171" spans="2:5" ht="13.5" thickBot="1" x14ac:dyDescent="0.25">
      <c r="B171" s="52"/>
      <c r="C171" s="97"/>
      <c r="D171" s="53"/>
      <c r="E171" s="54"/>
    </row>
    <row r="173" spans="2:5" ht="13.5" thickBot="1" x14ac:dyDescent="0.25"/>
    <row r="174" spans="2:5" x14ac:dyDescent="0.2">
      <c r="B174" s="42" t="s">
        <v>208</v>
      </c>
      <c r="C174" s="94"/>
      <c r="D174" s="43"/>
      <c r="E174" s="44"/>
    </row>
    <row r="175" spans="2:5" x14ac:dyDescent="0.2">
      <c r="B175" s="45"/>
      <c r="C175" s="95"/>
      <c r="D175" s="46"/>
      <c r="E175" s="47"/>
    </row>
    <row r="176" spans="2:5" x14ac:dyDescent="0.2">
      <c r="B176" s="48" t="s">
        <v>14</v>
      </c>
      <c r="C176" s="95"/>
      <c r="D176" s="46"/>
      <c r="E176" s="47"/>
    </row>
    <row r="177" spans="2:5" ht="33" customHeight="1" x14ac:dyDescent="0.2">
      <c r="B177" s="48"/>
      <c r="C177" s="102" t="s">
        <v>209</v>
      </c>
      <c r="D177" s="102"/>
      <c r="E177" s="103"/>
    </row>
    <row r="178" spans="2:5" x14ac:dyDescent="0.2">
      <c r="B178" s="48" t="s">
        <v>15</v>
      </c>
      <c r="C178" s="95"/>
      <c r="D178" s="46"/>
      <c r="E178" s="47"/>
    </row>
    <row r="179" spans="2:5" x14ac:dyDescent="0.2">
      <c r="B179" s="49"/>
      <c r="C179" s="100"/>
      <c r="D179" s="100"/>
      <c r="E179" s="100"/>
    </row>
    <row r="180" spans="2:5" x14ac:dyDescent="0.2">
      <c r="B180" s="49"/>
      <c r="C180" s="100"/>
      <c r="D180" s="100"/>
      <c r="E180" s="100"/>
    </row>
    <row r="181" spans="2:5" x14ac:dyDescent="0.2">
      <c r="B181" s="48" t="s">
        <v>16</v>
      </c>
      <c r="C181" s="95"/>
      <c r="D181" s="46"/>
      <c r="E181" s="47"/>
    </row>
    <row r="182" spans="2:5" x14ac:dyDescent="0.2">
      <c r="B182" s="49"/>
      <c r="C182" s="101"/>
      <c r="D182" s="101"/>
      <c r="E182" s="101"/>
    </row>
    <row r="183" spans="2:5" x14ac:dyDescent="0.2">
      <c r="B183" s="48" t="s">
        <v>17</v>
      </c>
      <c r="C183" s="96"/>
      <c r="D183" s="50"/>
      <c r="E183" s="51"/>
    </row>
    <row r="184" spans="2:5" x14ac:dyDescent="0.2">
      <c r="B184" s="49"/>
      <c r="C184" s="101"/>
      <c r="D184" s="101"/>
      <c r="E184" s="101"/>
    </row>
    <row r="185" spans="2:5" x14ac:dyDescent="0.2">
      <c r="B185" s="48" t="s">
        <v>18</v>
      </c>
      <c r="C185" s="95"/>
      <c r="D185" s="46"/>
      <c r="E185" s="47"/>
    </row>
    <row r="186" spans="2:5" x14ac:dyDescent="0.2">
      <c r="B186" s="48"/>
      <c r="C186" s="100"/>
      <c r="D186" s="100"/>
      <c r="E186" s="100"/>
    </row>
    <row r="187" spans="2:5" ht="13.5" thickBot="1" x14ac:dyDescent="0.25">
      <c r="B187" s="52"/>
      <c r="C187" s="97"/>
      <c r="D187" s="53"/>
      <c r="E187" s="54"/>
    </row>
  </sheetData>
  <mergeCells count="52">
    <mergeCell ref="C101:E101"/>
    <mergeCell ref="C103:E103"/>
    <mergeCell ref="C105:E105"/>
    <mergeCell ref="C107:E107"/>
    <mergeCell ref="C88:E88"/>
    <mergeCell ref="C90:E90"/>
    <mergeCell ref="C92:E92"/>
    <mergeCell ref="C98:E98"/>
    <mergeCell ref="C100:E100"/>
    <mergeCell ref="A6:B6"/>
    <mergeCell ref="A7:B7"/>
    <mergeCell ref="C83:E83"/>
    <mergeCell ref="C85:E85"/>
    <mergeCell ref="C86:E86"/>
    <mergeCell ref="C75:F75"/>
    <mergeCell ref="C76:F76"/>
    <mergeCell ref="C77:F77"/>
    <mergeCell ref="B2:H2"/>
    <mergeCell ref="A4:B4"/>
    <mergeCell ref="C4:E4"/>
    <mergeCell ref="A5:B5"/>
    <mergeCell ref="C5:E5"/>
    <mergeCell ref="C113:E113"/>
    <mergeCell ref="C115:E115"/>
    <mergeCell ref="C116:E116"/>
    <mergeCell ref="C118:E118"/>
    <mergeCell ref="C120:E120"/>
    <mergeCell ref="C122:E122"/>
    <mergeCell ref="C129:E129"/>
    <mergeCell ref="C131:E131"/>
    <mergeCell ref="C132:E132"/>
    <mergeCell ref="C134:E134"/>
    <mergeCell ref="C136:E136"/>
    <mergeCell ref="C138:E138"/>
    <mergeCell ref="C145:E145"/>
    <mergeCell ref="C147:E147"/>
    <mergeCell ref="C148:E148"/>
    <mergeCell ref="C150:E150"/>
    <mergeCell ref="C152:E152"/>
    <mergeCell ref="C154:E154"/>
    <mergeCell ref="C161:E161"/>
    <mergeCell ref="C163:E163"/>
    <mergeCell ref="C164:E164"/>
    <mergeCell ref="C166:E166"/>
    <mergeCell ref="C168:E168"/>
    <mergeCell ref="C170:E170"/>
    <mergeCell ref="C177:E177"/>
    <mergeCell ref="C179:E179"/>
    <mergeCell ref="C180:E180"/>
    <mergeCell ref="C182:E182"/>
    <mergeCell ref="C184:E184"/>
    <mergeCell ref="C186:E18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6"/>
  <sheetViews>
    <sheetView zoomScale="70" zoomScaleNormal="70" workbookViewId="0">
      <selection activeCell="D6" sqref="D6:K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20.28515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9" t="s">
        <v>19</v>
      </c>
      <c r="B1" s="119"/>
      <c r="C1" s="119"/>
      <c r="D1" s="119"/>
      <c r="E1" s="119"/>
      <c r="F1" s="119"/>
      <c r="G1" s="119"/>
      <c r="H1" s="119"/>
      <c r="I1" s="119"/>
      <c r="J1" s="3" t="s">
        <v>20</v>
      </c>
      <c r="K1" s="57" t="s">
        <v>216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0" t="s">
        <v>53</v>
      </c>
      <c r="B3" s="120"/>
      <c r="C3" s="120"/>
      <c r="D3" s="121" t="str">
        <f>'Necesidades Trimestrales'!C4</f>
        <v>40 - Ministerio de Salud</v>
      </c>
      <c r="E3" s="121"/>
      <c r="F3" s="121"/>
      <c r="G3" s="121"/>
      <c r="H3" s="121"/>
      <c r="I3" s="121"/>
      <c r="J3" s="121"/>
      <c r="K3" s="121"/>
    </row>
    <row r="4" spans="1:11" ht="18.75" customHeight="1" thickBot="1" x14ac:dyDescent="0.25">
      <c r="A4" s="122" t="s">
        <v>54</v>
      </c>
      <c r="B4" s="122"/>
      <c r="C4" s="122"/>
      <c r="D4" s="121" t="str">
        <f>'Necesidades Trimestrales'!C5</f>
        <v>23 - Hospital Interzonal San Juan Bautista</v>
      </c>
      <c r="E4" s="121"/>
      <c r="F4" s="121"/>
      <c r="G4" s="121"/>
      <c r="H4" s="121"/>
      <c r="I4" s="121"/>
      <c r="J4" s="121"/>
      <c r="K4" s="121"/>
    </row>
    <row r="5" spans="1:11" ht="18.75" customHeight="1" thickBot="1" x14ac:dyDescent="0.25">
      <c r="A5" s="122" t="s">
        <v>32</v>
      </c>
      <c r="B5" s="122"/>
      <c r="C5" s="122"/>
      <c r="D5" s="121" t="s">
        <v>59</v>
      </c>
      <c r="E5" s="121"/>
      <c r="F5" s="121"/>
      <c r="G5" s="121"/>
      <c r="H5" s="121"/>
      <c r="I5" s="121"/>
      <c r="J5" s="121"/>
      <c r="K5" s="121"/>
    </row>
    <row r="6" spans="1:11" ht="16.5" customHeight="1" thickBot="1" x14ac:dyDescent="0.25">
      <c r="A6" s="120" t="s">
        <v>55</v>
      </c>
      <c r="B6" s="120"/>
      <c r="C6" s="120"/>
      <c r="D6" s="121" t="s">
        <v>60</v>
      </c>
      <c r="E6" s="121"/>
      <c r="F6" s="121"/>
      <c r="G6" s="121"/>
      <c r="H6" s="121"/>
      <c r="I6" s="121"/>
      <c r="J6" s="121"/>
      <c r="K6" s="121"/>
    </row>
    <row r="7" spans="1:11" ht="16.5" customHeight="1" x14ac:dyDescent="0.2">
      <c r="A7" s="122" t="s">
        <v>21</v>
      </c>
      <c r="B7" s="122"/>
      <c r="C7" s="122"/>
      <c r="D7" s="121" t="s">
        <v>64</v>
      </c>
      <c r="E7" s="121"/>
      <c r="F7" s="121"/>
      <c r="G7" s="121"/>
      <c r="H7" s="121"/>
      <c r="I7" s="121"/>
      <c r="J7" s="121"/>
      <c r="K7" s="121"/>
    </row>
    <row r="8" spans="1:11" ht="16.5" customHeight="1" x14ac:dyDescent="0.2">
      <c r="A8" s="123" t="s">
        <v>22</v>
      </c>
      <c r="B8" s="123"/>
      <c r="C8" s="123"/>
      <c r="D8" s="124" t="s">
        <v>195</v>
      </c>
      <c r="E8" s="124"/>
      <c r="F8" s="124"/>
      <c r="G8" s="124"/>
      <c r="H8" s="124"/>
      <c r="I8" s="124"/>
      <c r="J8" s="124"/>
      <c r="K8" s="12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5" t="s">
        <v>23</v>
      </c>
      <c r="B10" s="126" t="s">
        <v>24</v>
      </c>
      <c r="C10" s="126" t="s">
        <v>25</v>
      </c>
      <c r="D10" s="126"/>
      <c r="E10" s="126"/>
      <c r="F10" s="126"/>
      <c r="G10" s="126"/>
      <c r="H10" s="126" t="s">
        <v>26</v>
      </c>
      <c r="I10" s="126" t="s">
        <v>27</v>
      </c>
      <c r="J10" s="126" t="s">
        <v>28</v>
      </c>
      <c r="K10" s="127" t="s">
        <v>29</v>
      </c>
    </row>
    <row r="11" spans="1:11" ht="24" customHeight="1" thickBot="1" x14ac:dyDescent="0.25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7"/>
    </row>
    <row r="12" spans="1:11" ht="33.75" customHeight="1" thickBot="1" x14ac:dyDescent="0.25">
      <c r="A12" s="8">
        <v>1</v>
      </c>
      <c r="B12" s="58" t="str">
        <f>'Necesidades Trimestrales'!B10</f>
        <v>2.5.2-4704.30</v>
      </c>
      <c r="C12" s="130" t="str">
        <f>'Necesidades Trimestrales'!E10</f>
        <v>GOTAS OFTALMOLOGICAS; TIPO: MONODROGA, DROGA GENERICA: ACIDO POLIACRILICO 0,2%, FORMA FARMACEUTICA: GEL X 10 GR</v>
      </c>
      <c r="D12" s="130"/>
      <c r="E12" s="130"/>
      <c r="F12" s="130"/>
      <c r="G12" s="130"/>
      <c r="H12" s="59" t="s">
        <v>56</v>
      </c>
      <c r="I12" s="60" t="str">
        <f>'Necesidades Trimestrales'!F10</f>
        <v>ENVASE</v>
      </c>
      <c r="J12" s="61">
        <f>'Necesidades Trimestrales'!H10</f>
        <v>1996</v>
      </c>
      <c r="K12" s="62">
        <f>'Necesidades Trimestrales'!G10</f>
        <v>30</v>
      </c>
    </row>
    <row r="13" spans="1:11" ht="42.75" customHeight="1" thickBot="1" x14ac:dyDescent="0.25">
      <c r="A13" s="8">
        <v>2</v>
      </c>
      <c r="B13" s="58" t="str">
        <f>'Necesidades Trimestrales'!B11</f>
        <v>2.5.2-1868.1</v>
      </c>
      <c r="C13" s="130" t="str">
        <f>'Necesidades Trimestrales'!E11</f>
        <v>ANSIOLITICOS; TIPO: MONODROGA, DROGA GENERICA: ALPRAZOLAM, FORMA FARMACEUTICA: COMPRIMIDO, PRESENTACION: 0,5 mGr</v>
      </c>
      <c r="D13" s="130"/>
      <c r="E13" s="130"/>
      <c r="F13" s="130"/>
      <c r="G13" s="130"/>
      <c r="H13" s="59" t="s">
        <v>56</v>
      </c>
      <c r="I13" s="60" t="str">
        <f>'Necesidades Trimestrales'!F11</f>
        <v>COMPRIMIDO</v>
      </c>
      <c r="J13" s="61">
        <f>'Necesidades Trimestrales'!H11</f>
        <v>5.0199999999999996</v>
      </c>
      <c r="K13" s="62">
        <f>'Necesidades Trimestrales'!G11</f>
        <v>3600</v>
      </c>
    </row>
    <row r="14" spans="1:11" ht="43.5" customHeight="1" thickBot="1" x14ac:dyDescent="0.25">
      <c r="A14" s="8">
        <v>3</v>
      </c>
      <c r="B14" s="58" t="str">
        <f>'Necesidades Trimestrales'!B12</f>
        <v>2.5.2-1871.89</v>
      </c>
      <c r="C14" s="130" t="str">
        <f>'Necesidades Trimestrales'!E12</f>
        <v>NEUROLEPTICOS; TIPO: MONODROGA, DROGA GENERICA: ARIPIPRAZOL, FORMA FARMACEUTICA: COMPRIMIDO, PRESENTACION: ENVASE X 10 mGr</v>
      </c>
      <c r="D14" s="130"/>
      <c r="E14" s="130"/>
      <c r="F14" s="130"/>
      <c r="G14" s="130"/>
      <c r="H14" s="59" t="s">
        <v>56</v>
      </c>
      <c r="I14" s="60" t="str">
        <f>'Necesidades Trimestrales'!F12</f>
        <v>COMPRIMIDO</v>
      </c>
      <c r="J14" s="61">
        <f>'Necesidades Trimestrales'!H12</f>
        <v>40</v>
      </c>
      <c r="K14" s="62">
        <f>'Necesidades Trimestrales'!G12</f>
        <v>60</v>
      </c>
    </row>
    <row r="15" spans="1:11" ht="34.5" customHeight="1" thickBot="1" x14ac:dyDescent="0.25">
      <c r="A15" s="8">
        <v>4</v>
      </c>
      <c r="B15" s="58" t="str">
        <f>'Necesidades Trimestrales'!B13</f>
        <v>2.5.2-1866.12</v>
      </c>
      <c r="C15" s="130" t="str">
        <f>'Necesidades Trimestrales'!E13</f>
        <v>ANTIPARKINSONIANOS; TIPO: MONODROGA, DROGA GENERICA: BIPERIDENO, FORMA FARMACEUTICA: COMPRIMIDO, PRESENTACION: 2 mGr</v>
      </c>
      <c r="D15" s="130"/>
      <c r="E15" s="130"/>
      <c r="F15" s="130"/>
      <c r="G15" s="130"/>
      <c r="H15" s="59" t="s">
        <v>56</v>
      </c>
      <c r="I15" s="60" t="str">
        <f>'Necesidades Trimestrales'!F13</f>
        <v>COMPRIMIDO</v>
      </c>
      <c r="J15" s="61">
        <f>'Necesidades Trimestrales'!H13</f>
        <v>5.6</v>
      </c>
      <c r="K15" s="62">
        <f>'Necesidades Trimestrales'!G13</f>
        <v>600</v>
      </c>
    </row>
    <row r="16" spans="1:11" ht="38.25" customHeight="1" thickBot="1" x14ac:dyDescent="0.25">
      <c r="A16" s="8">
        <v>5</v>
      </c>
      <c r="B16" s="58" t="str">
        <f>'Necesidades Trimestrales'!B14</f>
        <v>2.5.2-1725.152</v>
      </c>
      <c r="C16" s="130" t="str">
        <f>'Necesidades Trimestrales'!E14</f>
        <v>ANTIINFLAMATORIOS NO ESTEROIDE; TIPO: MONODROGA - DROGA GENERICA BROMFENAC 0,09%; FORMA FARMACEUTICA: GOTAS; PRESENTACION: SIN DEFINIR</v>
      </c>
      <c r="D16" s="130"/>
      <c r="E16" s="130"/>
      <c r="F16" s="130"/>
      <c r="G16" s="130"/>
      <c r="H16" s="59" t="s">
        <v>210</v>
      </c>
      <c r="I16" s="60" t="str">
        <f>'Necesidades Trimestrales'!F14</f>
        <v>GOTERO</v>
      </c>
      <c r="J16" s="61">
        <f>'Necesidades Trimestrales'!H14</f>
        <v>1516</v>
      </c>
      <c r="K16" s="62">
        <f>'Necesidades Trimestrales'!G14</f>
        <v>60</v>
      </c>
    </row>
    <row r="17" spans="1:11" ht="34.5" customHeight="1" thickBot="1" x14ac:dyDescent="0.25">
      <c r="A17" s="8">
        <v>6</v>
      </c>
      <c r="B17" s="58" t="str">
        <f>'Necesidades Trimestrales'!B15</f>
        <v>2.5.2-2688.9</v>
      </c>
      <c r="C17" s="130" t="str">
        <f>'Necesidades Trimestrales'!E15</f>
        <v>ESTIMULANTES CENTRALES; TIPO: MONODROGA, FORMA FARMACEUTICA: AMPOLLA, DROGA GENERICA: CAFEINA, PRESENTACION: AL 25%</v>
      </c>
      <c r="D17" s="130"/>
      <c r="E17" s="130"/>
      <c r="F17" s="130"/>
      <c r="G17" s="130"/>
      <c r="H17" s="59" t="s">
        <v>56</v>
      </c>
      <c r="I17" s="60" t="str">
        <f>'Necesidades Trimestrales'!F15</f>
        <v>AMPOLLA</v>
      </c>
      <c r="J17" s="61">
        <f>'Necesidades Trimestrales'!H15</f>
        <v>85</v>
      </c>
      <c r="K17" s="62">
        <f>'Necesidades Trimestrales'!G15</f>
        <v>100</v>
      </c>
    </row>
    <row r="18" spans="1:11" ht="32.25" customHeight="1" thickBot="1" x14ac:dyDescent="0.25">
      <c r="A18" s="8">
        <v>7</v>
      </c>
      <c r="B18" s="58" t="str">
        <f>'Necesidades Trimestrales'!B16</f>
        <v>2.5.2-1871.34</v>
      </c>
      <c r="C18" s="130" t="str">
        <f>'Necesidades Trimestrales'!E16</f>
        <v>NEUROLEPTICOS; TIPO: MONODROGA, DROGA GENERICA: CARBONATO DE LITIO, FORMA FARMACEUTICA: COMPRIMIDO, PRESENTACION: 300 mGr</v>
      </c>
      <c r="D18" s="130"/>
      <c r="E18" s="130"/>
      <c r="F18" s="130"/>
      <c r="G18" s="130"/>
      <c r="H18" s="59" t="s">
        <v>56</v>
      </c>
      <c r="I18" s="60" t="str">
        <f>'Necesidades Trimestrales'!F16</f>
        <v>COMPRIMIDO</v>
      </c>
      <c r="J18" s="61">
        <f>'Necesidades Trimestrales'!H16</f>
        <v>20.96</v>
      </c>
      <c r="K18" s="62">
        <f>'Necesidades Trimestrales'!G16</f>
        <v>300</v>
      </c>
    </row>
    <row r="19" spans="1:11" ht="40.5" customHeight="1" thickBot="1" x14ac:dyDescent="0.25">
      <c r="A19" s="8">
        <v>8</v>
      </c>
      <c r="B19" s="58" t="str">
        <f>'Necesidades Trimestrales'!B17</f>
        <v>2.5.2-4704.57</v>
      </c>
      <c r="C19" s="130" t="str">
        <f>'Necesidades Trimestrales'!E17</f>
        <v>GOTAS OFTALMOLOGICAS; TIPO: ASOCIACION, DROGA GENERICA: CARBOXIMETILCELULOSA 1%, FORMA FARMACEUTICA: GOTAS</v>
      </c>
      <c r="D19" s="130"/>
      <c r="E19" s="130"/>
      <c r="F19" s="130"/>
      <c r="G19" s="130"/>
      <c r="H19" s="59" t="s">
        <v>210</v>
      </c>
      <c r="I19" s="60" t="str">
        <f>'Necesidades Trimestrales'!F17</f>
        <v>GOTERO</v>
      </c>
      <c r="J19" s="61">
        <f>'Necesidades Trimestrales'!H17</f>
        <v>845</v>
      </c>
      <c r="K19" s="62">
        <f>'Necesidades Trimestrales'!G17</f>
        <v>30</v>
      </c>
    </row>
    <row r="20" spans="1:11" ht="49.5" customHeight="1" thickBot="1" x14ac:dyDescent="0.25">
      <c r="A20" s="8">
        <v>9</v>
      </c>
      <c r="B20" s="58" t="str">
        <f>'Necesidades Trimestrales'!B18</f>
        <v>2.5.2-1838.4</v>
      </c>
      <c r="C20" s="130" t="str">
        <f>'Necesidades Trimestrales'!E18</f>
        <v>INOTROPICOS; TIPO: MONODROGA, DROGA GENERICA: CICLOPENTOLATO AL 1%, FORMA FARMACEUTICA: GOTAS, PRESENTACION: 5 mL</v>
      </c>
      <c r="D20" s="130"/>
      <c r="E20" s="130"/>
      <c r="F20" s="130"/>
      <c r="G20" s="130"/>
      <c r="H20" s="59" t="s">
        <v>56</v>
      </c>
      <c r="I20" s="60" t="str">
        <f>'Necesidades Trimestrales'!F18</f>
        <v>GOTERO</v>
      </c>
      <c r="J20" s="61">
        <f>'Necesidades Trimestrales'!H18</f>
        <v>1242</v>
      </c>
      <c r="K20" s="62">
        <f>'Necesidades Trimestrales'!G18</f>
        <v>50</v>
      </c>
    </row>
    <row r="21" spans="1:11" ht="45" customHeight="1" thickBot="1" x14ac:dyDescent="0.25">
      <c r="A21" s="8">
        <v>10</v>
      </c>
      <c r="B21" s="58" t="str">
        <f>'Necesidades Trimestrales'!B19</f>
        <v>2.5.2-4704.39</v>
      </c>
      <c r="C21" s="130" t="str">
        <f>'Necesidades Trimestrales'!E19</f>
        <v>GOTAS OFTALMOLOGICAS; TIPO: ASOCIACION, DROGA GENERICA: CIPROFLOXACINA + DEXAMETASONA, FORMA FARMACEUTICA: ENVASE X 5 mL</v>
      </c>
      <c r="D21" s="130"/>
      <c r="E21" s="130"/>
      <c r="F21" s="130"/>
      <c r="G21" s="130"/>
      <c r="H21" s="59" t="s">
        <v>56</v>
      </c>
      <c r="I21" s="60" t="str">
        <f>'Necesidades Trimestrales'!F19</f>
        <v>GOTERO</v>
      </c>
      <c r="J21" s="61">
        <f>'Necesidades Trimestrales'!H19</f>
        <v>760</v>
      </c>
      <c r="K21" s="62">
        <f>'Necesidades Trimestrales'!G19</f>
        <v>100</v>
      </c>
    </row>
    <row r="22" spans="1:11" ht="30.75" customHeight="1" thickBot="1" x14ac:dyDescent="0.25">
      <c r="A22" s="8">
        <v>11</v>
      </c>
      <c r="B22" s="58" t="str">
        <f>'Necesidades Trimestrales'!B20</f>
        <v>2.5.2-1821.521</v>
      </c>
      <c r="C22" s="130" t="str">
        <f>'Necesidades Trimestrales'!E20</f>
        <v>ANTIBIOTICOS; TIPO: ASOCIACION - DROGA GENERICA CIPROFLOXACINA 0,3% + DEXAMETASONA 0,1%; FORMA FARMACEUTICA: UNGÜENTO OFTALMOLOGICO</v>
      </c>
      <c r="D22" s="130"/>
      <c r="E22" s="130"/>
      <c r="F22" s="130"/>
      <c r="G22" s="130"/>
      <c r="H22" s="59" t="s">
        <v>210</v>
      </c>
      <c r="I22" s="60" t="str">
        <f>'Necesidades Trimestrales'!F20</f>
        <v>ENVASE</v>
      </c>
      <c r="J22" s="61">
        <f>'Necesidades Trimestrales'!H20</f>
        <v>1623.4</v>
      </c>
      <c r="K22" s="62">
        <f>'Necesidades Trimestrales'!G20</f>
        <v>60</v>
      </c>
    </row>
    <row r="23" spans="1:11" ht="37.5" customHeight="1" thickBot="1" x14ac:dyDescent="0.25">
      <c r="A23" s="8">
        <v>12</v>
      </c>
      <c r="B23" s="58" t="str">
        <f>'Necesidades Trimestrales'!B21</f>
        <v>2.5.2-1868.64</v>
      </c>
      <c r="C23" s="130" t="str">
        <f>'Necesidades Trimestrales'!E21</f>
        <v>ANSIOLITICOS; TIPO: MONODROGA, DROGA GENERICA: CITALOPRAM 20 mGr, FORMA FARMACEUTICA: COMPRIMIDO, PRESENTACION: UNIDAD</v>
      </c>
      <c r="D23" s="130"/>
      <c r="E23" s="130"/>
      <c r="F23" s="130"/>
      <c r="G23" s="130"/>
      <c r="H23" s="59" t="s">
        <v>56</v>
      </c>
      <c r="I23" s="60" t="str">
        <f>'Necesidades Trimestrales'!F21</f>
        <v>COMPRIMIDO</v>
      </c>
      <c r="J23" s="61">
        <f>'Necesidades Trimestrales'!H21</f>
        <v>95</v>
      </c>
      <c r="K23" s="62">
        <f>'Necesidades Trimestrales'!G21</f>
        <v>50</v>
      </c>
    </row>
    <row r="24" spans="1:11" ht="38.25" customHeight="1" thickBot="1" x14ac:dyDescent="0.25">
      <c r="A24" s="8">
        <v>13</v>
      </c>
      <c r="B24" s="58" t="str">
        <f>'Necesidades Trimestrales'!B22</f>
        <v>2.5.2-1868.62</v>
      </c>
      <c r="C24" s="130" t="str">
        <f>'Necesidades Trimestrales'!E22</f>
        <v>ANSIOLITICOS; TIPO: MONODROGA, DROGA GENERICA: CLONAZEPAN 0,5 mGr, FORMA FARMACEUTICA: COMPRIMIDO, PRESENTACION: UNIDAD</v>
      </c>
      <c r="D24" s="130"/>
      <c r="E24" s="130"/>
      <c r="F24" s="130"/>
      <c r="G24" s="130"/>
      <c r="H24" s="59" t="s">
        <v>56</v>
      </c>
      <c r="I24" s="60" t="str">
        <f>'Necesidades Trimestrales'!F22</f>
        <v>COMPRIMIDO</v>
      </c>
      <c r="J24" s="61">
        <f>'Necesidades Trimestrales'!H22</f>
        <v>5.5</v>
      </c>
      <c r="K24" s="62">
        <f>'Necesidades Trimestrales'!G22</f>
        <v>10000</v>
      </c>
    </row>
    <row r="25" spans="1:11" ht="45" customHeight="1" thickBot="1" x14ac:dyDescent="0.25">
      <c r="A25" s="8">
        <v>14</v>
      </c>
      <c r="B25" s="58" t="str">
        <f>'Necesidades Trimestrales'!B23</f>
        <v>2.5.2-1868.37</v>
      </c>
      <c r="C25" s="130" t="str">
        <f>'Necesidades Trimestrales'!E23</f>
        <v>ANSIOLITICOS; TIPO: MONODROGA, DROGA GENERICA: CLONAZEPAN 2 MG, FORMA FARMACEUTICA: COMPRIMIDOS, PRESENTACION: UNIDAD</v>
      </c>
      <c r="D25" s="130"/>
      <c r="E25" s="130"/>
      <c r="F25" s="130"/>
      <c r="G25" s="130"/>
      <c r="H25" s="59" t="s">
        <v>56</v>
      </c>
      <c r="I25" s="60" t="str">
        <f>'Necesidades Trimestrales'!F23</f>
        <v>COMPRIMIDO</v>
      </c>
      <c r="J25" s="61">
        <f>'Necesidades Trimestrales'!H23</f>
        <v>5.0999999999999996</v>
      </c>
      <c r="K25" s="62">
        <f>'Necesidades Trimestrales'!G23</f>
        <v>2000</v>
      </c>
    </row>
    <row r="26" spans="1:11" ht="37.5" customHeight="1" thickBot="1" x14ac:dyDescent="0.25">
      <c r="A26" s="8">
        <v>15</v>
      </c>
      <c r="B26" s="58" t="str">
        <f>'Necesidades Trimestrales'!B24</f>
        <v>2.5.2-1868.45</v>
      </c>
      <c r="C26" s="130" t="str">
        <f>'Necesidades Trimestrales'!E24</f>
        <v>ANSIOLITICOS; TIPO: MONODROGA, DROGA GENERICA: CLORPROMAZINA, FORMA FARMACEUTICA: AMPOLLA, PRESENTACION: 25 mGr</v>
      </c>
      <c r="D26" s="130"/>
      <c r="E26" s="130"/>
      <c r="F26" s="130"/>
      <c r="G26" s="130"/>
      <c r="H26" s="59" t="s">
        <v>56</v>
      </c>
      <c r="I26" s="60" t="str">
        <f>'Necesidades Trimestrales'!F24</f>
        <v>AMPOLLA</v>
      </c>
      <c r="J26" s="61">
        <f>'Necesidades Trimestrales'!H24</f>
        <v>85</v>
      </c>
      <c r="K26" s="62">
        <f>'Necesidades Trimestrales'!G24</f>
        <v>400</v>
      </c>
    </row>
    <row r="27" spans="1:11" ht="45" customHeight="1" thickBot="1" x14ac:dyDescent="0.25">
      <c r="A27" s="8">
        <v>16</v>
      </c>
      <c r="B27" s="58" t="str">
        <f>'Necesidades Trimestrales'!B25</f>
        <v>2.5.2-1868.51</v>
      </c>
      <c r="C27" s="130" t="str">
        <f>'Necesidades Trimestrales'!E25</f>
        <v>ANSIOLITICOS; TIPO: MONODROGA, DROGA GENERICA: CLORPROMAZINA, FORMA FARMACEUTICA: AMPOLLA, PRESENTACION: 50 mGr</v>
      </c>
      <c r="D27" s="130"/>
      <c r="E27" s="130"/>
      <c r="F27" s="130"/>
      <c r="G27" s="130"/>
      <c r="H27" s="59" t="s">
        <v>56</v>
      </c>
      <c r="I27" s="60" t="str">
        <f>'Necesidades Trimestrales'!F25</f>
        <v>AMPOLLA</v>
      </c>
      <c r="J27" s="61">
        <f>'Necesidades Trimestrales'!H25</f>
        <v>85</v>
      </c>
      <c r="K27" s="62">
        <f>'Necesidades Trimestrales'!G25</f>
        <v>1000</v>
      </c>
    </row>
    <row r="28" spans="1:11" ht="42" customHeight="1" thickBot="1" x14ac:dyDescent="0.25">
      <c r="A28" s="8">
        <v>17</v>
      </c>
      <c r="B28" s="58" t="str">
        <f>'Necesidades Trimestrales'!B26</f>
        <v>2.5.2-1871.11</v>
      </c>
      <c r="C28" s="130" t="str">
        <f>'Necesidades Trimestrales'!E26</f>
        <v>NEUROLEPTICOS; DROGA GENERICA: CLOTIAPINA, FORMA FARMACEUTICA: COMPRIMIDO, PRESENTACION: 40 mGr, TIPO: MONODROGA</v>
      </c>
      <c r="D28" s="130"/>
      <c r="E28" s="130"/>
      <c r="F28" s="130"/>
      <c r="G28" s="130"/>
      <c r="H28" s="59" t="s">
        <v>56</v>
      </c>
      <c r="I28" s="60" t="str">
        <f>'Necesidades Trimestrales'!F26</f>
        <v>COMPRIMIDO</v>
      </c>
      <c r="J28" s="61">
        <f>'Necesidades Trimestrales'!H26</f>
        <v>85</v>
      </c>
      <c r="K28" s="62">
        <f>'Necesidades Trimestrales'!G26</f>
        <v>500</v>
      </c>
    </row>
    <row r="29" spans="1:11" ht="49.5" customHeight="1" thickBot="1" x14ac:dyDescent="0.25">
      <c r="A29" s="8">
        <v>18</v>
      </c>
      <c r="B29" s="58" t="str">
        <f>'Necesidades Trimestrales'!B27</f>
        <v>2.5.2-7316.16</v>
      </c>
      <c r="C29" s="130" t="str">
        <f>'Necesidades Trimestrales'!E27</f>
        <v>ANTIPSICOTICOS; PRESENTACION: COMPRIMIDO, TIPO: MONODROGA, DROGA GENERICA: CLOZAPINA 25 mGr</v>
      </c>
      <c r="D29" s="130"/>
      <c r="E29" s="130"/>
      <c r="F29" s="130"/>
      <c r="G29" s="130"/>
      <c r="H29" s="59" t="s">
        <v>56</v>
      </c>
      <c r="I29" s="60" t="str">
        <f>'Necesidades Trimestrales'!F27</f>
        <v>COMPRIMIDO</v>
      </c>
      <c r="J29" s="61">
        <f>'Necesidades Trimestrales'!H27</f>
        <v>165</v>
      </c>
      <c r="K29" s="62">
        <f>'Necesidades Trimestrales'!G27</f>
        <v>200</v>
      </c>
    </row>
    <row r="30" spans="1:11" ht="52.5" customHeight="1" thickBot="1" x14ac:dyDescent="0.25">
      <c r="A30" s="8">
        <v>19</v>
      </c>
      <c r="B30" s="58" t="str">
        <f>'Necesidades Trimestrales'!B28</f>
        <v>2.5.2-1868.68</v>
      </c>
      <c r="C30" s="130" t="str">
        <f>'Necesidades Trimestrales'!E28</f>
        <v>ANSIOLITICOS; TIPO: MONODROGA, DROGA GENERICA: DIAZEPAN 10 mGr, FORMA FARMACEUTICA: AMPOLLA, PRESENTACION: ENVASE X 2 mL</v>
      </c>
      <c r="D30" s="130"/>
      <c r="E30" s="130"/>
      <c r="F30" s="130"/>
      <c r="G30" s="130"/>
      <c r="H30" s="59" t="s">
        <v>56</v>
      </c>
      <c r="I30" s="60" t="str">
        <f>'Necesidades Trimestrales'!F28</f>
        <v>AMPOLLA</v>
      </c>
      <c r="J30" s="61">
        <f>'Necesidades Trimestrales'!H28</f>
        <v>89</v>
      </c>
      <c r="K30" s="62">
        <f>'Necesidades Trimestrales'!G28</f>
        <v>2400</v>
      </c>
    </row>
    <row r="31" spans="1:11" ht="39.75" customHeight="1" thickBot="1" x14ac:dyDescent="0.25">
      <c r="A31" s="8">
        <v>20</v>
      </c>
      <c r="B31" s="58" t="str">
        <f>'Necesidades Trimestrales'!B29</f>
        <v>2.5.2-1868.6</v>
      </c>
      <c r="C31" s="130" t="str">
        <f>'Necesidades Trimestrales'!E29</f>
        <v>ANSIOLITICOS; TIPO: MONODROGA, FORMA FARMACEUTICA: COMPRIMIDO, PRESENTACION: 10 mGr, DROGA GENERICA: DIAZEPAN</v>
      </c>
      <c r="D31" s="130"/>
      <c r="E31" s="130"/>
      <c r="F31" s="130"/>
      <c r="G31" s="130"/>
      <c r="H31" s="59" t="s">
        <v>56</v>
      </c>
      <c r="I31" s="60" t="str">
        <f>'Necesidades Trimestrales'!F29</f>
        <v>COMPRIMIDO</v>
      </c>
      <c r="J31" s="61">
        <f>'Necesidades Trimestrales'!H29</f>
        <v>6.5</v>
      </c>
      <c r="K31" s="62">
        <f>'Necesidades Trimestrales'!G29</f>
        <v>700</v>
      </c>
    </row>
    <row r="32" spans="1:11" ht="45.75" customHeight="1" thickBot="1" x14ac:dyDescent="0.25">
      <c r="A32" s="8">
        <v>21</v>
      </c>
      <c r="B32" s="58" t="str">
        <f>'Necesidades Trimestrales'!B30</f>
        <v>2.5.2-1868.55</v>
      </c>
      <c r="C32" s="130" t="str">
        <f>'Necesidades Trimestrales'!E30</f>
        <v>ANSIOLITICOS; TIPO: MONODROGA, DROGA GENERICA: DIVALPROATO DE SODIO 500 MG, FORMA FARMACEUTICA: COMPRIMIDO, PRESENTACION: UNIDAD</v>
      </c>
      <c r="D32" s="130"/>
      <c r="E32" s="130"/>
      <c r="F32" s="130"/>
      <c r="G32" s="130"/>
      <c r="H32" s="59" t="s">
        <v>56</v>
      </c>
      <c r="I32" s="60" t="str">
        <f>'Necesidades Trimestrales'!F30</f>
        <v>COMPRIMIDO</v>
      </c>
      <c r="J32" s="61">
        <f>'Necesidades Trimestrales'!H30</f>
        <v>141</v>
      </c>
      <c r="K32" s="62">
        <f>'Necesidades Trimestrales'!G30</f>
        <v>2000</v>
      </c>
    </row>
    <row r="33" spans="1:11" ht="35.25" customHeight="1" thickBot="1" x14ac:dyDescent="0.25">
      <c r="A33" s="8">
        <v>22</v>
      </c>
      <c r="B33" s="58" t="str">
        <f>'Necesidades Trimestrales'!B31</f>
        <v>2.5.2-4704.5</v>
      </c>
      <c r="C33" s="130" t="str">
        <f>'Necesidades Trimestrales'!E31</f>
        <v>GOTAS OFTALMOLÓGICAS; TIPO: ASOCIACIÓN; DROGA GENÉRICA: DORZOLAMIDA 20MG + TIMOLOL 5MG; FORMA FARMACEÚTICA: FRASCO X 5 ML</v>
      </c>
      <c r="D33" s="130"/>
      <c r="E33" s="130"/>
      <c r="F33" s="130"/>
      <c r="G33" s="130"/>
      <c r="H33" s="59" t="s">
        <v>210</v>
      </c>
      <c r="I33" s="60" t="str">
        <f>'Necesidades Trimestrales'!F31</f>
        <v>GOTERO</v>
      </c>
      <c r="J33" s="61">
        <f>'Necesidades Trimestrales'!H31</f>
        <v>2200</v>
      </c>
      <c r="K33" s="62">
        <f>'Necesidades Trimestrales'!G31</f>
        <v>60</v>
      </c>
    </row>
    <row r="34" spans="1:11" ht="51" customHeight="1" thickBot="1" x14ac:dyDescent="0.25">
      <c r="A34" s="8">
        <v>23</v>
      </c>
      <c r="B34" s="58" t="str">
        <f>'Necesidades Trimestrales'!B32</f>
        <v>2.5.2-1821.339</v>
      </c>
      <c r="C34" s="130" t="str">
        <f>'Necesidades Trimestrales'!E32</f>
        <v>ANTIBIOTICOS P/PERSONAS; TIPO: MONODROGA, DROGA GENERICA: ERITROMICINA 1%, FORMA FARMACEUTICA: GOTA, PRESENTACION: ENVASE X 5 mL</v>
      </c>
      <c r="D34" s="130"/>
      <c r="E34" s="130"/>
      <c r="F34" s="130"/>
      <c r="G34" s="130"/>
      <c r="H34" s="59" t="s">
        <v>56</v>
      </c>
      <c r="I34" s="60" t="str">
        <f>'Necesidades Trimestrales'!F32</f>
        <v>GOTERO</v>
      </c>
      <c r="J34" s="61">
        <f>'Necesidades Trimestrales'!H32</f>
        <v>2025.08</v>
      </c>
      <c r="K34" s="62">
        <f>'Necesidades Trimestrales'!G32</f>
        <v>12</v>
      </c>
    </row>
    <row r="35" spans="1:11" ht="42.75" customHeight="1" thickBot="1" x14ac:dyDescent="0.25">
      <c r="A35" s="8">
        <v>24</v>
      </c>
      <c r="B35" s="58" t="str">
        <f>'Necesidades Trimestrales'!B33</f>
        <v>2.5.2-1834.3</v>
      </c>
      <c r="C35" s="130" t="str">
        <f>'Necesidades Trimestrales'!E33</f>
        <v>ANTIARRITMICOS; DROGA GENERICA: FENITOINA, FORMA FARMACEUTICA: COMPRIMIDO, PRESENTACION: 100 mGr, TIPO: MONODROGA</v>
      </c>
      <c r="D35" s="130"/>
      <c r="E35" s="130"/>
      <c r="F35" s="130"/>
      <c r="G35" s="130"/>
      <c r="H35" s="59" t="s">
        <v>56</v>
      </c>
      <c r="I35" s="60" t="str">
        <f>'Necesidades Trimestrales'!F33</f>
        <v>COMPRIMIDO</v>
      </c>
      <c r="J35" s="61">
        <f>'Necesidades Trimestrales'!H33</f>
        <v>32</v>
      </c>
      <c r="K35" s="62">
        <f>'Necesidades Trimestrales'!G33</f>
        <v>4000</v>
      </c>
    </row>
    <row r="36" spans="1:11" ht="42" customHeight="1" thickBot="1" x14ac:dyDescent="0.25">
      <c r="A36" s="8">
        <v>25</v>
      </c>
      <c r="B36" s="58" t="str">
        <f>'Necesidades Trimestrales'!B34</f>
        <v>2.5.2-1834.9</v>
      </c>
      <c r="C36" s="130" t="str">
        <f>'Necesidades Trimestrales'!E34</f>
        <v>ANTIARRITMICOS; TIPO: MONODROGA, DROGA GENERICA: FENITOINA SODICA 100 MG, FORMA FARMACEUTICA: AMPOLLA, PRESENTACION: 2 mL</v>
      </c>
      <c r="D36" s="130"/>
      <c r="E36" s="130"/>
      <c r="F36" s="130"/>
      <c r="G36" s="130"/>
      <c r="H36" s="59" t="s">
        <v>56</v>
      </c>
      <c r="I36" s="60" t="str">
        <f>'Necesidades Trimestrales'!F34</f>
        <v>AMPOLLA</v>
      </c>
      <c r="J36" s="61">
        <f>'Necesidades Trimestrales'!H34</f>
        <v>55</v>
      </c>
      <c r="K36" s="62">
        <f>'Necesidades Trimestrales'!G34</f>
        <v>4000</v>
      </c>
    </row>
    <row r="37" spans="1:11" ht="39.75" customHeight="1" thickBot="1" x14ac:dyDescent="0.25">
      <c r="A37" s="8">
        <v>26</v>
      </c>
      <c r="B37" s="58" t="str">
        <f>'Necesidades Trimestrales'!B35</f>
        <v>2.5.2-2233.33</v>
      </c>
      <c r="C37" s="130" t="str">
        <f>'Necesidades Trimestrales'!E35</f>
        <v>ANTICONVULSIVANTES; TIPO: MONODROGA, DROGA GENERICA: FENOBARBITAL 100 MG, FORMA FARMACEUTICA: COMPRIMIDO, PRESENTACION: UNIDAD</v>
      </c>
      <c r="D37" s="130"/>
      <c r="E37" s="130"/>
      <c r="F37" s="130"/>
      <c r="G37" s="130"/>
      <c r="H37" s="59" t="s">
        <v>56</v>
      </c>
      <c r="I37" s="60" t="str">
        <f>'Necesidades Trimestrales'!F35</f>
        <v>COMPRIMIDO</v>
      </c>
      <c r="J37" s="61">
        <f>'Necesidades Trimestrales'!H35</f>
        <v>44.23</v>
      </c>
      <c r="K37" s="62">
        <f>'Necesidades Trimestrales'!G35</f>
        <v>300</v>
      </c>
    </row>
    <row r="38" spans="1:11" ht="42" customHeight="1" thickBot="1" x14ac:dyDescent="0.25">
      <c r="A38" s="8">
        <v>27</v>
      </c>
      <c r="B38" s="58" t="str">
        <f>'Necesidades Trimestrales'!B36</f>
        <v>2.5.2-1865.2</v>
      </c>
      <c r="C38" s="130" t="str">
        <f>'Necesidades Trimestrales'!E36</f>
        <v>ANTIEPILEPTICOS; TIPO: MONODROGA, FORMA FARMACEUTICA: AMPOLLA, PRESENTACION: 200 mGr, DROGA GENERICA: FENOBARBITAL</v>
      </c>
      <c r="D38" s="130"/>
      <c r="E38" s="130"/>
      <c r="F38" s="130"/>
      <c r="G38" s="130"/>
      <c r="H38" s="59" t="s">
        <v>56</v>
      </c>
      <c r="I38" s="60" t="str">
        <f>'Necesidades Trimestrales'!F36</f>
        <v>AMPOLLA</v>
      </c>
      <c r="J38" s="61">
        <f>'Necesidades Trimestrales'!H36</f>
        <v>590</v>
      </c>
      <c r="K38" s="62">
        <f>'Necesidades Trimestrales'!G36</f>
        <v>300</v>
      </c>
    </row>
    <row r="39" spans="1:11" ht="36" customHeight="1" thickBot="1" x14ac:dyDescent="0.25">
      <c r="A39" s="8">
        <v>28</v>
      </c>
      <c r="B39" s="58" t="str">
        <f>'Necesidades Trimestrales'!B37</f>
        <v>2.5.2-2690.1</v>
      </c>
      <c r="C39" s="130" t="str">
        <f>'Necesidades Trimestrales'!E37</f>
        <v>ANTAGONISTAS BENZODIAZEPINICOS; TIPO: MONODROGA, DROGA GENERICA: FLUMAZENIL, FORMA FARMACEUTICA: AMPOLLA, PRESENTACION: 0,5 mGr</v>
      </c>
      <c r="D39" s="130"/>
      <c r="E39" s="130"/>
      <c r="F39" s="130"/>
      <c r="G39" s="130"/>
      <c r="H39" s="59" t="s">
        <v>56</v>
      </c>
      <c r="I39" s="60" t="str">
        <f>'Necesidades Trimestrales'!F37</f>
        <v>AMPOLLA</v>
      </c>
      <c r="J39" s="61">
        <f>'Necesidades Trimestrales'!H37</f>
        <v>145</v>
      </c>
      <c r="K39" s="62">
        <f>'Necesidades Trimestrales'!G37</f>
        <v>600</v>
      </c>
    </row>
    <row r="40" spans="1:11" ht="51" customHeight="1" thickBot="1" x14ac:dyDescent="0.25">
      <c r="A40" s="8">
        <v>29</v>
      </c>
      <c r="B40" s="58" t="str">
        <f>'Necesidades Trimestrales'!B38</f>
        <v>2.5.2-1883.178</v>
      </c>
      <c r="C40" s="130" t="str">
        <f>'Necesidades Trimestrales'!E38</f>
        <v>ANESTESICOS LOCALES; TIPO: MONODROGA, DROGA GENERICA: FLUORESCEINA SODICA 0,25 %, FORMA FARMACEUTICA: GOTAS OFTALMICAS, PRESENTACION: GOTERO X 5 mL</v>
      </c>
      <c r="D40" s="130"/>
      <c r="E40" s="130"/>
      <c r="F40" s="130"/>
      <c r="G40" s="130"/>
      <c r="H40" s="59" t="s">
        <v>56</v>
      </c>
      <c r="I40" s="60" t="str">
        <f>'Necesidades Trimestrales'!F38</f>
        <v>GOTERO</v>
      </c>
      <c r="J40" s="61">
        <f>'Necesidades Trimestrales'!H38</f>
        <v>1424</v>
      </c>
      <c r="K40" s="62">
        <f>'Necesidades Trimestrales'!G38</f>
        <v>50</v>
      </c>
    </row>
    <row r="41" spans="1:11" ht="42" customHeight="1" thickBot="1" x14ac:dyDescent="0.25">
      <c r="A41" s="8">
        <v>30</v>
      </c>
      <c r="B41" s="58" t="str">
        <f>'Necesidades Trimestrales'!B39</f>
        <v>2.5.2-1869.13</v>
      </c>
      <c r="C41" s="130" t="str">
        <f>'Necesidades Trimestrales'!E39</f>
        <v>ANTIDEPRESIVOS; TIPO: MONODROGA, DROGA GENERICA: FLUOXETINA, FORMA FARMACEUTICA: COMPRIMIDO, PRESENTACION: 20 mGr</v>
      </c>
      <c r="D41" s="130"/>
      <c r="E41" s="130"/>
      <c r="F41" s="130"/>
      <c r="G41" s="130"/>
      <c r="H41" s="59" t="s">
        <v>56</v>
      </c>
      <c r="I41" s="60" t="str">
        <f>'Necesidades Trimestrales'!F39</f>
        <v>CAPSULAS</v>
      </c>
      <c r="J41" s="61">
        <f>'Necesidades Trimestrales'!H39</f>
        <v>6.8</v>
      </c>
      <c r="K41" s="62">
        <f>'Necesidades Trimestrales'!G39</f>
        <v>150</v>
      </c>
    </row>
    <row r="42" spans="1:11" ht="48" customHeight="1" thickBot="1" x14ac:dyDescent="0.25">
      <c r="A42" s="8">
        <v>31</v>
      </c>
      <c r="B42" s="58" t="str">
        <f>'Necesidades Trimestrales'!B40</f>
        <v>2.5.2-1821.361</v>
      </c>
      <c r="C42" s="130" t="str">
        <f>'Necesidades Trimestrales'!E40</f>
        <v>ANTIBIOTICOS P/PERSONAS; TIPO: MONODROGA, DROGA GENERICA: GATIFLOXACINA 0,3 %, FORMA FARMACEUTICA: GOTAS, PRESENTACION: ENVASE X 5 mL</v>
      </c>
      <c r="D42" s="130"/>
      <c r="E42" s="130"/>
      <c r="F42" s="130"/>
      <c r="G42" s="130"/>
      <c r="H42" s="59" t="s">
        <v>56</v>
      </c>
      <c r="I42" s="60" t="str">
        <f>'Necesidades Trimestrales'!F40</f>
        <v>GOTERO</v>
      </c>
      <c r="J42" s="61">
        <f>'Necesidades Trimestrales'!H40</f>
        <v>3353</v>
      </c>
      <c r="K42" s="62">
        <f>'Necesidades Trimestrales'!G40</f>
        <v>30</v>
      </c>
    </row>
    <row r="43" spans="1:11" ht="38.25" customHeight="1" thickBot="1" x14ac:dyDescent="0.25">
      <c r="A43" s="8">
        <v>32</v>
      </c>
      <c r="B43" s="58" t="str">
        <f>'Necesidades Trimestrales'!B41</f>
        <v>2.5.2-1871.88</v>
      </c>
      <c r="C43" s="130" t="str">
        <f>'Necesidades Trimestrales'!E41</f>
        <v>NEUROLEPTICOS; TIPO: MONODROGA, DROGA GENERICA: HALOPERIDOL 10 mGr, FORMA FARMACEUTICA: COMPRIMIDOS, PRESENTACION: UNIDAD</v>
      </c>
      <c r="D43" s="130"/>
      <c r="E43" s="130"/>
      <c r="F43" s="130"/>
      <c r="G43" s="130"/>
      <c r="H43" s="59" t="s">
        <v>56</v>
      </c>
      <c r="I43" s="60" t="str">
        <f>'Necesidades Trimestrales'!F41</f>
        <v>COMPRIMIDO</v>
      </c>
      <c r="J43" s="61">
        <f>'Necesidades Trimestrales'!H41</f>
        <v>21</v>
      </c>
      <c r="K43" s="62">
        <f>'Necesidades Trimestrales'!G41</f>
        <v>750</v>
      </c>
    </row>
    <row r="44" spans="1:11" ht="36" customHeight="1" thickBot="1" x14ac:dyDescent="0.25">
      <c r="A44" s="8">
        <v>33</v>
      </c>
      <c r="B44" s="58" t="str">
        <f>'Necesidades Trimestrales'!B42</f>
        <v>2.5.2-1871.103</v>
      </c>
      <c r="C44" s="130" t="str">
        <f>'Necesidades Trimestrales'!E42</f>
        <v>NEUROLEPTICOS; TIPO: MONODROGA, DROGA GENERICA: HALOPERIDOL 2 MG, FORMA FARMACEUTICA: GOTAS, PRESENTACION: ENVASE X 20 mL</v>
      </c>
      <c r="D44" s="130"/>
      <c r="E44" s="130"/>
      <c r="F44" s="130"/>
      <c r="G44" s="130"/>
      <c r="H44" s="59" t="s">
        <v>56</v>
      </c>
      <c r="I44" s="60" t="str">
        <f>'Necesidades Trimestrales'!F42</f>
        <v>GOTERO</v>
      </c>
      <c r="J44" s="61">
        <f>'Necesidades Trimestrales'!H42</f>
        <v>360</v>
      </c>
      <c r="K44" s="62">
        <f>'Necesidades Trimestrales'!G42</f>
        <v>120</v>
      </c>
    </row>
    <row r="45" spans="1:11" ht="38.25" customHeight="1" thickBot="1" x14ac:dyDescent="0.25">
      <c r="A45" s="8">
        <v>34</v>
      </c>
      <c r="B45" s="58" t="str">
        <f>'Necesidades Trimestrales'!B43</f>
        <v>2.5.2-1871.101</v>
      </c>
      <c r="C45" s="130" t="str">
        <f>'Necesidades Trimestrales'!E43</f>
        <v>NEUROLEPTICOS; TIPO: MONODROGA, DROGA GENERICA: HALOPERIDOL 5 MG, FORMA FARMACEUTICA: AMPOLLA, PRESENTACION: ENVASE X 1 mL</v>
      </c>
      <c r="D45" s="130"/>
      <c r="E45" s="130"/>
      <c r="F45" s="130"/>
      <c r="G45" s="130"/>
      <c r="H45" s="59" t="s">
        <v>56</v>
      </c>
      <c r="I45" s="60" t="str">
        <f>'Necesidades Trimestrales'!F43</f>
        <v>AMPOLLA</v>
      </c>
      <c r="J45" s="61">
        <f>'Necesidades Trimestrales'!H43</f>
        <v>55</v>
      </c>
      <c r="K45" s="62">
        <f>'Necesidades Trimestrales'!G43</f>
        <v>1200</v>
      </c>
    </row>
    <row r="46" spans="1:11" ht="39.75" customHeight="1" thickBot="1" x14ac:dyDescent="0.25">
      <c r="A46" s="8">
        <v>35</v>
      </c>
      <c r="B46" s="58" t="str">
        <f>'Necesidades Trimestrales'!B44</f>
        <v>2.5.2-1871.102</v>
      </c>
      <c r="C46" s="130" t="str">
        <f>'Necesidades Trimestrales'!E44</f>
        <v>NEUROLEPTICOS; TIPO: MONODROGA, DROGA GENERICA: HALOPERIDOL DECANOATO 150 MG, FORMA FARMACEUTICA: AMPOLLA, PRESENTACION: ENVASE X 3 mL</v>
      </c>
      <c r="D46" s="130"/>
      <c r="E46" s="130"/>
      <c r="F46" s="130"/>
      <c r="G46" s="130"/>
      <c r="H46" s="59" t="s">
        <v>56</v>
      </c>
      <c r="I46" s="60" t="str">
        <f>'Necesidades Trimestrales'!F44</f>
        <v>AMPOLLA</v>
      </c>
      <c r="J46" s="61">
        <f>'Necesidades Trimestrales'!H44</f>
        <v>1270</v>
      </c>
      <c r="K46" s="62">
        <f>'Necesidades Trimestrales'!G44</f>
        <v>50</v>
      </c>
    </row>
    <row r="47" spans="1:11" ht="43.5" customHeight="1" thickBot="1" x14ac:dyDescent="0.25">
      <c r="A47" s="8">
        <v>36</v>
      </c>
      <c r="B47" s="58" t="str">
        <f>'Necesidades Trimestrales'!B45</f>
        <v>2.5.2-1865.26</v>
      </c>
      <c r="C47" s="130" t="str">
        <f>'Necesidades Trimestrales'!E45</f>
        <v>ANTIEPILEPTICOS; TIPO: MONODROGA, FORMA FARMACEUTICA: COMPRIMIDO, PRESENTACION: 100 mGr, DROGA GENERICA: LAMOTRIGINA</v>
      </c>
      <c r="D47" s="130"/>
      <c r="E47" s="130"/>
      <c r="F47" s="130"/>
      <c r="G47" s="130"/>
      <c r="H47" s="59" t="s">
        <v>56</v>
      </c>
      <c r="I47" s="60" t="str">
        <f>'Necesidades Trimestrales'!F45</f>
        <v>COMPRIMIDO</v>
      </c>
      <c r="J47" s="61">
        <f>'Necesidades Trimestrales'!H45</f>
        <v>21</v>
      </c>
      <c r="K47" s="62">
        <f>'Necesidades Trimestrales'!G45</f>
        <v>500</v>
      </c>
    </row>
    <row r="48" spans="1:11" ht="36" customHeight="1" thickBot="1" x14ac:dyDescent="0.25">
      <c r="A48" s="8">
        <v>37</v>
      </c>
      <c r="B48" s="58" t="str">
        <f>'Necesidades Trimestrales'!B46</f>
        <v>2.5.2-4704.48</v>
      </c>
      <c r="C48" s="130" t="str">
        <f>'Necesidades Trimestrales'!E46</f>
        <v>GOTAS OFTALMOLOGICAS; TIPO: MONODROGA, DROGA GENERICA: LATANOPROST 50 µgr/ML, FORMA FARMACEUTICA: FRASCO X 2,5 mL</v>
      </c>
      <c r="D48" s="130"/>
      <c r="E48" s="130"/>
      <c r="F48" s="130"/>
      <c r="G48" s="130"/>
      <c r="H48" s="59" t="s">
        <v>56</v>
      </c>
      <c r="I48" s="60" t="str">
        <f>'Necesidades Trimestrales'!F46</f>
        <v>GOTERO</v>
      </c>
      <c r="J48" s="61">
        <f>'Necesidades Trimestrales'!H46</f>
        <v>1750</v>
      </c>
      <c r="K48" s="62">
        <f>'Necesidades Trimestrales'!G46</f>
        <v>50</v>
      </c>
    </row>
    <row r="49" spans="1:11" ht="45" customHeight="1" thickBot="1" x14ac:dyDescent="0.25">
      <c r="A49" s="8">
        <v>38</v>
      </c>
      <c r="B49" s="58" t="str">
        <f>'Necesidades Trimestrales'!B47</f>
        <v>2.5.2-1865.60</v>
      </c>
      <c r="C49" s="130" t="str">
        <f>'Necesidades Trimestrales'!E47</f>
        <v>ANTIEPILÉPTICOS; TIPO: MONODROGA, DROGA GENÉRICA: LEVETIRACETAM, FORMA FARMACEÚTICA: COMPRIMIDO, PRESENTACION: 500 MG</v>
      </c>
      <c r="D49" s="130"/>
      <c r="E49" s="130"/>
      <c r="F49" s="130"/>
      <c r="G49" s="130"/>
      <c r="H49" s="59" t="s">
        <v>56</v>
      </c>
      <c r="I49" s="60" t="str">
        <f>'Necesidades Trimestrales'!F47</f>
        <v>COMPRIMIDO</v>
      </c>
      <c r="J49" s="61">
        <f>'Necesidades Trimestrales'!H47</f>
        <v>35</v>
      </c>
      <c r="K49" s="62">
        <f>'Necesidades Trimestrales'!G47</f>
        <v>50</v>
      </c>
    </row>
    <row r="50" spans="1:11" ht="38.25" customHeight="1" thickBot="1" x14ac:dyDescent="0.25">
      <c r="A50" s="8">
        <v>39</v>
      </c>
      <c r="B50" s="58" t="str">
        <f>'Necesidades Trimestrales'!B48</f>
        <v>2.5.2-1871.99</v>
      </c>
      <c r="C50" s="130" t="str">
        <f>'Necesidades Trimestrales'!E48</f>
        <v>NEUROLEPTICOS; TIPO: MONODROGA, DROGA GENERICA: LEVOMEPROMAZINA 25 MG, FORMA FARMACEUTICA: AMPOLLA, PRESENTACION: ENVASE X 1 mL</v>
      </c>
      <c r="D50" s="130"/>
      <c r="E50" s="130"/>
      <c r="F50" s="130"/>
      <c r="G50" s="130"/>
      <c r="H50" s="59" t="s">
        <v>56</v>
      </c>
      <c r="I50" s="60" t="str">
        <f>'Necesidades Trimestrales'!F48</f>
        <v>AMPOLLA</v>
      </c>
      <c r="J50" s="61">
        <f>'Necesidades Trimestrales'!H48</f>
        <v>395</v>
      </c>
      <c r="K50" s="62">
        <f>'Necesidades Trimestrales'!G48</f>
        <v>1000</v>
      </c>
    </row>
    <row r="51" spans="1:11" ht="45.75" customHeight="1" thickBot="1" x14ac:dyDescent="0.25">
      <c r="A51" s="8">
        <v>40</v>
      </c>
      <c r="B51" s="58" t="str">
        <f>'Necesidades Trimestrales'!B49</f>
        <v>2.5.2-1871.7</v>
      </c>
      <c r="C51" s="130" t="str">
        <f>'Necesidades Trimestrales'!E49</f>
        <v>NEUROLEPTICOS; TIPO: MONODROGA, DROGA GENERICA: LEVOMEPROMAZINA, FORMA FARMACEUTICA: COMPRIMIDO, PRESENTACION: 25 mGr</v>
      </c>
      <c r="D51" s="130"/>
      <c r="E51" s="130"/>
      <c r="F51" s="130"/>
      <c r="G51" s="130"/>
      <c r="H51" s="59" t="s">
        <v>56</v>
      </c>
      <c r="I51" s="60" t="str">
        <f>'Necesidades Trimestrales'!F49</f>
        <v>COMPRIMIDO</v>
      </c>
      <c r="J51" s="61">
        <f>'Necesidades Trimestrales'!H49</f>
        <v>9.1999999999999993</v>
      </c>
      <c r="K51" s="62">
        <f>'Necesidades Trimestrales'!G49</f>
        <v>1000</v>
      </c>
    </row>
    <row r="52" spans="1:11" ht="39.75" customHeight="1" thickBot="1" x14ac:dyDescent="0.25">
      <c r="A52" s="8">
        <v>41</v>
      </c>
      <c r="B52" s="58" t="str">
        <f>'Necesidades Trimestrales'!B50</f>
        <v>2.5.2-1868.7</v>
      </c>
      <c r="C52" s="130" t="str">
        <f>'Necesidades Trimestrales'!E50</f>
        <v>ANSIOLÍTICOS; TIPO: MONODROGA, FORMA FARMACEÚTICA: COMPRIMIDO, DROGA GENÉRICA: LORAZEPAM, PRESENTACIÓN: 1 MG</v>
      </c>
      <c r="D52" s="130"/>
      <c r="E52" s="130"/>
      <c r="F52" s="130"/>
      <c r="G52" s="130"/>
      <c r="H52" s="59" t="s">
        <v>56</v>
      </c>
      <c r="I52" s="60" t="str">
        <f>'Necesidades Trimestrales'!F50</f>
        <v>COMPRIMIDO</v>
      </c>
      <c r="J52" s="61">
        <f>'Necesidades Trimestrales'!H50</f>
        <v>4.5</v>
      </c>
      <c r="K52" s="62">
        <f>'Necesidades Trimestrales'!G50</f>
        <v>2000</v>
      </c>
    </row>
    <row r="53" spans="1:11" ht="39.75" customHeight="1" thickBot="1" x14ac:dyDescent="0.25">
      <c r="A53" s="8">
        <v>42</v>
      </c>
      <c r="B53" s="58" t="str">
        <f>'Necesidades Trimestrales'!B51</f>
        <v>2.5.2-1868.10</v>
      </c>
      <c r="C53" s="130" t="str">
        <f>'Necesidades Trimestrales'!E51</f>
        <v>ANSIOLITICOS; TIPO: MONODROGA, FORMA FARMACEUTICA: COMPRIMIDO, PRESENTACION: 2 MGR, DROGA GENERICA: LORAZEPAM</v>
      </c>
      <c r="D53" s="130"/>
      <c r="E53" s="130"/>
      <c r="F53" s="130"/>
      <c r="G53" s="130"/>
      <c r="H53" s="59" t="s">
        <v>56</v>
      </c>
      <c r="I53" s="60" t="str">
        <f>'Necesidades Trimestrales'!F51</f>
        <v>COMPRIMIDO</v>
      </c>
      <c r="J53" s="61">
        <f>'Necesidades Trimestrales'!H51</f>
        <v>4.9000000000000004</v>
      </c>
      <c r="K53" s="62">
        <f>'Necesidades Trimestrales'!G51</f>
        <v>3000</v>
      </c>
    </row>
    <row r="54" spans="1:11" ht="37.5" customHeight="1" thickBot="1" x14ac:dyDescent="0.25">
      <c r="A54" s="8">
        <v>43</v>
      </c>
      <c r="B54" s="58" t="str">
        <f>'Necesidades Trimestrales'!B52</f>
        <v>2.5.2-1868.24</v>
      </c>
      <c r="C54" s="130" t="str">
        <f>'Necesidades Trimestrales'!E52</f>
        <v>ANSIOLITICOS; TIPO: MONODROGA, DROGA GENERICA: LORAZEPAM, FORMA FARMACEUTICA: AMPOLLA, PRESENTACION: 4 MGR / 2 ML</v>
      </c>
      <c r="D54" s="130"/>
      <c r="E54" s="130"/>
      <c r="F54" s="130"/>
      <c r="G54" s="130"/>
      <c r="H54" s="59" t="s">
        <v>56</v>
      </c>
      <c r="I54" s="60" t="str">
        <f>'Necesidades Trimestrales'!F52</f>
        <v>AMPOLLA</v>
      </c>
      <c r="J54" s="61">
        <f>'Necesidades Trimestrales'!H52</f>
        <v>390</v>
      </c>
      <c r="K54" s="62">
        <f>'Necesidades Trimestrales'!G52</f>
        <v>1000</v>
      </c>
    </row>
    <row r="55" spans="1:11" ht="42.75" customHeight="1" thickBot="1" x14ac:dyDescent="0.25">
      <c r="A55" s="8">
        <v>44</v>
      </c>
      <c r="B55" s="58" t="str">
        <f>'Necesidades Trimestrales'!B53</f>
        <v>2.5.2-2806.4</v>
      </c>
      <c r="C55" s="130" t="str">
        <f>'Necesidades Trimestrales'!E53</f>
        <v>ANTAGONISTAS DE NARCOTICOS; TIPO: MONODROGA, DROGA GENERICA: NALOXONA 0,4 mGr, FORMA FARMACEUTICA: AMPOLLA, PRESENTACION: ENVASE X 1 Ml</v>
      </c>
      <c r="D55" s="130"/>
      <c r="E55" s="130"/>
      <c r="F55" s="130"/>
      <c r="G55" s="130"/>
      <c r="H55" s="59" t="s">
        <v>56</v>
      </c>
      <c r="I55" s="60" t="str">
        <f>'Necesidades Trimestrales'!F53</f>
        <v>AMPOLLA</v>
      </c>
      <c r="J55" s="61">
        <f>'Necesidades Trimestrales'!H53</f>
        <v>155</v>
      </c>
      <c r="K55" s="62">
        <f>'Necesidades Trimestrales'!G53</f>
        <v>300</v>
      </c>
    </row>
    <row r="56" spans="1:11" ht="34.5" customHeight="1" thickBot="1" x14ac:dyDescent="0.25">
      <c r="A56" s="8">
        <v>45</v>
      </c>
      <c r="B56" s="58" t="str">
        <f>'Necesidades Trimestrales'!B54</f>
        <v>2.5.2-1883.164</v>
      </c>
      <c r="C56" s="130" t="str">
        <f>'Necesidades Trimestrales'!E54</f>
        <v>ANESTESICOS LOCALES; TIPO: MONODROGA, DROGA GENERICA: NEOSTIGMINA 0,5 mGr/ML, FORMA FARMACEUTICA: AMPOLLA, PRESENTACION: ENVASE X 1 mL</v>
      </c>
      <c r="D56" s="130"/>
      <c r="E56" s="130"/>
      <c r="F56" s="130"/>
      <c r="G56" s="130"/>
      <c r="H56" s="59" t="s">
        <v>56</v>
      </c>
      <c r="I56" s="60" t="str">
        <f>'Necesidades Trimestrales'!F54</f>
        <v>AMPOLLA</v>
      </c>
      <c r="J56" s="61">
        <f>'Necesidades Trimestrales'!H54</f>
        <v>60</v>
      </c>
      <c r="K56" s="62">
        <f>'Necesidades Trimestrales'!G54</f>
        <v>100</v>
      </c>
    </row>
    <row r="57" spans="1:11" ht="37.5" customHeight="1" thickBot="1" x14ac:dyDescent="0.25">
      <c r="A57" s="8">
        <v>46</v>
      </c>
      <c r="B57" s="58" t="str">
        <f>'Necesidades Trimestrales'!B55</f>
        <v>2.5.2-1869.19</v>
      </c>
      <c r="C57" s="130" t="str">
        <f>'Necesidades Trimestrales'!E55</f>
        <v>ANTIDEPRESIVOS; TIPO: MONODROGA, DROGA GENERICA: OLANZAPINA, FORMA FARMACEUTICA: COMPRIMIDO, PRESENTACION: 10 mGr</v>
      </c>
      <c r="D57" s="130"/>
      <c r="E57" s="130"/>
      <c r="F57" s="130"/>
      <c r="G57" s="130"/>
      <c r="H57" s="59" t="s">
        <v>56</v>
      </c>
      <c r="I57" s="60" t="str">
        <f>'Necesidades Trimestrales'!F55</f>
        <v>COMPRIMIDO</v>
      </c>
      <c r="J57" s="61">
        <f>'Necesidades Trimestrales'!H55</f>
        <v>35</v>
      </c>
      <c r="K57" s="62">
        <f>'Necesidades Trimestrales'!G55</f>
        <v>1500</v>
      </c>
    </row>
    <row r="58" spans="1:11" ht="40.5" customHeight="1" thickBot="1" x14ac:dyDescent="0.25">
      <c r="A58" s="8">
        <v>47</v>
      </c>
      <c r="B58" s="58" t="str">
        <f>'Necesidades Trimestrales'!B56</f>
        <v>2.5.2-1869.11</v>
      </c>
      <c r="C58" s="130" t="str">
        <f>'Necesidades Trimestrales'!E56</f>
        <v>ANTIDEPRESIVOS; TIPO: MONODROGA, DROGA GENERICA: PAROXETINA, FORMA FARMACEUTICA: COMPRIMIDO, PRESENTACION: 20 mGr</v>
      </c>
      <c r="D58" s="130"/>
      <c r="E58" s="130"/>
      <c r="F58" s="130"/>
      <c r="G58" s="130"/>
      <c r="H58" s="59" t="s">
        <v>56</v>
      </c>
      <c r="I58" s="60" t="str">
        <f>'Necesidades Trimestrales'!F56</f>
        <v>COMPRIMIDO</v>
      </c>
      <c r="J58" s="61">
        <f>'Necesidades Trimestrales'!H56</f>
        <v>11.5</v>
      </c>
      <c r="K58" s="62">
        <f>'Necesidades Trimestrales'!G56</f>
        <v>1000</v>
      </c>
    </row>
    <row r="59" spans="1:11" ht="47.25" customHeight="1" thickBot="1" x14ac:dyDescent="0.25">
      <c r="A59" s="8">
        <v>48</v>
      </c>
      <c r="B59" s="58" t="str">
        <f>'Necesidades Trimestrales'!B57</f>
        <v>2.5.2-2476.33</v>
      </c>
      <c r="C59" s="130" t="str">
        <f>'Necesidades Trimestrales'!E57</f>
        <v>ANTIALERGICOS-ANTIHISTAMINICOS; TIPO: ASOCIACION, DROGA GENERICA: PREDNISOLONA+FENILEFRINA, FORMA FARMACEUTICA: GOTAS OFTALMICAS, PRESENTACION: FRASCO GOTERO X 10 mL</v>
      </c>
      <c r="D59" s="130"/>
      <c r="E59" s="130"/>
      <c r="F59" s="130"/>
      <c r="G59" s="130"/>
      <c r="H59" s="59" t="s">
        <v>56</v>
      </c>
      <c r="I59" s="60" t="str">
        <f>'Necesidades Trimestrales'!F57</f>
        <v>GOTERO</v>
      </c>
      <c r="J59" s="61">
        <f>'Necesidades Trimestrales'!H57</f>
        <v>2200</v>
      </c>
      <c r="K59" s="62">
        <f>'Necesidades Trimestrales'!G57</f>
        <v>60</v>
      </c>
    </row>
    <row r="60" spans="1:11" ht="47.25" customHeight="1" thickBot="1" x14ac:dyDescent="0.25">
      <c r="A60" s="8">
        <v>49</v>
      </c>
      <c r="B60" s="58" t="str">
        <f>'Necesidades Trimestrales'!B58</f>
        <v>2.5.2-1868.82</v>
      </c>
      <c r="C60" s="130" t="str">
        <f>'Necesidades Trimestrales'!E58</f>
        <v>ANSIOLITICOS; TIPO: MONODROGA, DROGA GENERICA: PREGABALINA 75 MG, FORMA FARMACEUTICA: COMPRIMIDO, PRESENTACION: UNIDAD</v>
      </c>
      <c r="D60" s="130"/>
      <c r="E60" s="130"/>
      <c r="F60" s="130"/>
      <c r="G60" s="130"/>
      <c r="H60" s="59" t="s">
        <v>56</v>
      </c>
      <c r="I60" s="60" t="str">
        <f>'Necesidades Trimestrales'!F58</f>
        <v>COMPRIMIDO</v>
      </c>
      <c r="J60" s="61">
        <f>'Necesidades Trimestrales'!H58</f>
        <v>15.8</v>
      </c>
      <c r="K60" s="62">
        <f>'Necesidades Trimestrales'!G58</f>
        <v>4000</v>
      </c>
    </row>
    <row r="61" spans="1:11" ht="45.75" customHeight="1" thickBot="1" x14ac:dyDescent="0.25">
      <c r="A61" s="8">
        <v>50</v>
      </c>
      <c r="B61" s="58" t="str">
        <f>'Necesidades Trimestrales'!B59</f>
        <v>2.5.2-1883.163</v>
      </c>
      <c r="C61" s="130" t="str">
        <f>'Necesidades Trimestrales'!E59</f>
        <v>ANESTESICOS LOCALES; TIPO: MONODROGA, DROGA GENERICA: CLORHIDRATO PROPARACAINA 0.5, FORMA FARMACEUTICA: GOTAS OFTALMICAS, PRESENTACION: UNIDAD</v>
      </c>
      <c r="D61" s="130"/>
      <c r="E61" s="130"/>
      <c r="F61" s="130"/>
      <c r="G61" s="130"/>
      <c r="H61" s="59" t="s">
        <v>56</v>
      </c>
      <c r="I61" s="60" t="str">
        <f>'Necesidades Trimestrales'!F59</f>
        <v>GOTERO</v>
      </c>
      <c r="J61" s="61">
        <f>'Necesidades Trimestrales'!H59</f>
        <v>660</v>
      </c>
      <c r="K61" s="62">
        <f>'Necesidades Trimestrales'!G59</f>
        <v>75</v>
      </c>
    </row>
    <row r="62" spans="1:11" ht="48" customHeight="1" thickBot="1" x14ac:dyDescent="0.25">
      <c r="A62" s="8">
        <v>51</v>
      </c>
      <c r="B62" s="58" t="str">
        <f>'Necesidades Trimestrales'!B60</f>
        <v>2.5.2-7404.9</v>
      </c>
      <c r="C62" s="130" t="str">
        <f>'Necesidades Trimestrales'!E60</f>
        <v>COAGULANTES P/PERSONAS; TIPO: MONODROGA, DROGA GENERICA: PROTAMINA SULFATO 10 MGR, / ML, FORMA FARMACEUTICA: AMPOLLA, PRESENTACION: 5 ML</v>
      </c>
      <c r="D62" s="130"/>
      <c r="E62" s="130"/>
      <c r="F62" s="130"/>
      <c r="G62" s="130"/>
      <c r="H62" s="59" t="s">
        <v>56</v>
      </c>
      <c r="I62" s="60" t="str">
        <f>'Necesidades Trimestrales'!F60</f>
        <v>AMPOLLA</v>
      </c>
      <c r="J62" s="61">
        <f>'Necesidades Trimestrales'!H60</f>
        <v>1200</v>
      </c>
      <c r="K62" s="62">
        <f>'Necesidades Trimestrales'!G60</f>
        <v>200</v>
      </c>
    </row>
    <row r="63" spans="1:11" ht="43.5" customHeight="1" thickBot="1" x14ac:dyDescent="0.25">
      <c r="A63" s="8">
        <v>52</v>
      </c>
      <c r="B63" s="58" t="str">
        <f>'Necesidades Trimestrales'!B61</f>
        <v>2.5.2-7316.5</v>
      </c>
      <c r="C63" s="130" t="str">
        <f>'Necesidades Trimestrales'!E61</f>
        <v>ANTIPSICOTICOS; PRESENTACION: COMPRIMIDOS, TIPO: MONODROGA, DROGA GENERICA: QUETIAPINA 100 mGr</v>
      </c>
      <c r="D63" s="130"/>
      <c r="E63" s="130"/>
      <c r="F63" s="130"/>
      <c r="G63" s="130"/>
      <c r="H63" s="59" t="s">
        <v>56</v>
      </c>
      <c r="I63" s="60" t="str">
        <f>'Necesidades Trimestrales'!F61</f>
        <v>COMPRIMIDO</v>
      </c>
      <c r="J63" s="61">
        <f>'Necesidades Trimestrales'!H61</f>
        <v>16.2</v>
      </c>
      <c r="K63" s="62">
        <f>'Necesidades Trimestrales'!G61</f>
        <v>2000</v>
      </c>
    </row>
    <row r="64" spans="1:11" ht="45" customHeight="1" thickBot="1" x14ac:dyDescent="0.25">
      <c r="A64" s="8">
        <v>53</v>
      </c>
      <c r="B64" s="58" t="str">
        <f>'Necesidades Trimestrales'!B62</f>
        <v>2.5.2-1871.27</v>
      </c>
      <c r="C64" s="130" t="str">
        <f>'Necesidades Trimestrales'!E62</f>
        <v>NEUROLEPTICOS; TIPO: MONODROGA, DROGA GENERICA: RISPERIDONA, FORMA FARMACEUTICA: COMPRIMIDO, PRESENTACION: 1 mGr</v>
      </c>
      <c r="D64" s="130"/>
      <c r="E64" s="130"/>
      <c r="F64" s="130"/>
      <c r="G64" s="130"/>
      <c r="H64" s="59" t="s">
        <v>56</v>
      </c>
      <c r="I64" s="60" t="str">
        <f>'Necesidades Trimestrales'!F62</f>
        <v>COMPRIMIDO</v>
      </c>
      <c r="J64" s="61">
        <f>'Necesidades Trimestrales'!H62</f>
        <v>5.85</v>
      </c>
      <c r="K64" s="62">
        <f>'Necesidades Trimestrales'!G62</f>
        <v>1500</v>
      </c>
    </row>
    <row r="65" spans="1:1024" ht="50.25" customHeight="1" thickBot="1" x14ac:dyDescent="0.25">
      <c r="A65" s="8">
        <v>54</v>
      </c>
      <c r="B65" s="58" t="str">
        <f>'Necesidades Trimestrales'!B63</f>
        <v>2.5.2-1871.26</v>
      </c>
      <c r="C65" s="130" t="str">
        <f>'Necesidades Trimestrales'!E63</f>
        <v>NEUROLEPTICOS; TIPO: MONODROGA, DROGA GENERICA: RISPERIDONA, FORMA FARMACEUTICA: COMPRIMIDO, PRESENTACION: 2 mGr</v>
      </c>
      <c r="D65" s="130"/>
      <c r="E65" s="130"/>
      <c r="F65" s="130"/>
      <c r="G65" s="130"/>
      <c r="H65" s="59" t="s">
        <v>56</v>
      </c>
      <c r="I65" s="60" t="str">
        <f>'Necesidades Trimestrales'!F63</f>
        <v>COMPRIMIDO</v>
      </c>
      <c r="J65" s="61">
        <f>'Necesidades Trimestrales'!H63</f>
        <v>7.4119999999999999</v>
      </c>
      <c r="K65" s="62">
        <f>'Necesidades Trimestrales'!G63</f>
        <v>1800</v>
      </c>
    </row>
    <row r="66" spans="1:1024" ht="34.5" customHeight="1" thickBot="1" x14ac:dyDescent="0.25">
      <c r="A66" s="8">
        <v>55</v>
      </c>
      <c r="B66" s="58" t="str">
        <f>'Necesidades Trimestrales'!B64</f>
        <v>2.5.2-1871.24</v>
      </c>
      <c r="C66" s="130" t="str">
        <f>'Necesidades Trimestrales'!E64</f>
        <v>NEUROLEPTICOS; TIPO: MONODROGA, DROGA GENERICA: RISPERIDONA, FORMA FARMACEUTICA: COMPRIMIDO, PRESENTACION: 3 mGr</v>
      </c>
      <c r="D66" s="130"/>
      <c r="E66" s="130"/>
      <c r="F66" s="130"/>
      <c r="G66" s="130"/>
      <c r="H66" s="59" t="s">
        <v>56</v>
      </c>
      <c r="I66" s="60" t="str">
        <f>'Necesidades Trimestrales'!F64</f>
        <v>COMPRIMIDO</v>
      </c>
      <c r="J66" s="61">
        <f>'Necesidades Trimestrales'!H64</f>
        <v>8.9120000000000008</v>
      </c>
      <c r="K66" s="62">
        <f>'Necesidades Trimestrales'!G64</f>
        <v>1000</v>
      </c>
    </row>
    <row r="67" spans="1:1024" ht="40.5" customHeight="1" thickBot="1" x14ac:dyDescent="0.25">
      <c r="A67" s="8">
        <v>56</v>
      </c>
      <c r="B67" s="58" t="str">
        <f>'Necesidades Trimestrales'!B65</f>
        <v>2.5.2-1869.14</v>
      </c>
      <c r="C67" s="130" t="str">
        <f>'Necesidades Trimestrales'!E65</f>
        <v>ANTIDEPRESIVOS; TIPO: MONODROGA, DROGA GENERICA: SERTRALINA, FORMA FARMACEUTICA: COMPRIMIDO, PRESENTACION: 50 mGr</v>
      </c>
      <c r="D67" s="130"/>
      <c r="E67" s="130"/>
      <c r="F67" s="130"/>
      <c r="G67" s="130"/>
      <c r="H67" s="59" t="s">
        <v>56</v>
      </c>
      <c r="I67" s="60" t="str">
        <f>'Necesidades Trimestrales'!F65</f>
        <v>COMPRIMIDO</v>
      </c>
      <c r="J67" s="61">
        <f>'Necesidades Trimestrales'!H65</f>
        <v>9.65</v>
      </c>
      <c r="K67" s="62">
        <f>'Necesidades Trimestrales'!G65</f>
        <v>2000</v>
      </c>
    </row>
    <row r="68" spans="1:1024" ht="45" customHeight="1" thickBot="1" x14ac:dyDescent="0.25">
      <c r="A68" s="8">
        <v>57</v>
      </c>
      <c r="B68" s="58" t="str">
        <f>'Necesidades Trimestrales'!B66</f>
        <v>2.5.2-1821.112</v>
      </c>
      <c r="C68" s="130" t="str">
        <f>'Necesidades Trimestrales'!E66</f>
        <v>ANTIBIOTICOS P/PERSONAS; TIPO: MONODROGA, DROGA GENERICA: TOBRAMICINA AL 0,3 %, FORMA FARMACEUTICA: GOTAS, PRESENTACION: 5 mL</v>
      </c>
      <c r="D68" s="130"/>
      <c r="E68" s="130"/>
      <c r="F68" s="130"/>
      <c r="G68" s="130"/>
      <c r="H68" s="59" t="s">
        <v>56</v>
      </c>
      <c r="I68" s="60" t="str">
        <f>'Necesidades Trimestrales'!F66</f>
        <v>GOTERO</v>
      </c>
      <c r="J68" s="61">
        <f>'Necesidades Trimestrales'!H66</f>
        <v>398</v>
      </c>
      <c r="K68" s="62">
        <f>'Necesidades Trimestrales'!G66</f>
        <v>100</v>
      </c>
    </row>
    <row r="69" spans="1:1024" ht="52.5" customHeight="1" thickBot="1" x14ac:dyDescent="0.25">
      <c r="A69" s="8">
        <v>58</v>
      </c>
      <c r="B69" s="58" t="str">
        <f>'Necesidades Trimestrales'!B67</f>
        <v>2.5.2-1821.281</v>
      </c>
      <c r="C69" s="130" t="str">
        <f>'Necesidades Trimestrales'!E67</f>
        <v>ANTIBIOTICOS P/PERSONAS; TIPO: ASOCIACION, DROGA GENERICA: TOBRAMICINA+DEXAMETASONA, FORMA FARMACEUTICA: GOTAS OFTALMICAS, PRESENTACION: GOTERO X 5 mL</v>
      </c>
      <c r="D69" s="130"/>
      <c r="E69" s="130"/>
      <c r="F69" s="130"/>
      <c r="G69" s="130"/>
      <c r="H69" s="59" t="s">
        <v>56</v>
      </c>
      <c r="I69" s="60" t="str">
        <f>'Necesidades Trimestrales'!F67</f>
        <v>GOTERO</v>
      </c>
      <c r="J69" s="61">
        <f>'Necesidades Trimestrales'!H67</f>
        <v>387.52</v>
      </c>
      <c r="K69" s="62">
        <f>'Necesidades Trimestrales'!G67</f>
        <v>100</v>
      </c>
    </row>
    <row r="70" spans="1:1024" ht="47.25" customHeight="1" thickBot="1" x14ac:dyDescent="0.25">
      <c r="A70" s="8">
        <v>59</v>
      </c>
      <c r="B70" s="58" t="str">
        <f>'Necesidades Trimestrales'!B68</f>
        <v>2.5.2-1837.52</v>
      </c>
      <c r="C70" s="130" t="str">
        <f>'Necesidades Trimestrales'!E68</f>
        <v>HIPOTENSORES; TIPO: MONODROGA, DROGA GENERICA: TRAVOPROST 0,04% COLIRIO, FORMA FARMACEUTICA: GOTAS, PRESENTACION: SEGUN PLIEGO</v>
      </c>
      <c r="D70" s="130"/>
      <c r="E70" s="130"/>
      <c r="F70" s="130"/>
      <c r="G70" s="130"/>
      <c r="H70" s="59" t="s">
        <v>210</v>
      </c>
      <c r="I70" s="60" t="str">
        <f>'Necesidades Trimestrales'!F68</f>
        <v>GOTERO</v>
      </c>
      <c r="J70" s="61">
        <f>'Necesidades Trimestrales'!H68</f>
        <v>3890</v>
      </c>
      <c r="K70" s="62">
        <f>'Necesidades Trimestrales'!G68</f>
        <v>20</v>
      </c>
    </row>
    <row r="71" spans="1:1024" ht="46.5" customHeight="1" thickBot="1" x14ac:dyDescent="0.25">
      <c r="A71" s="8">
        <v>60</v>
      </c>
      <c r="B71" s="58" t="str">
        <f>'Necesidades Trimestrales'!B69</f>
        <v>2.5.2-4704.15</v>
      </c>
      <c r="C71" s="130" t="str">
        <f>'Necesidades Trimestrales'!E69</f>
        <v>GOTAS OFTALMOLOGICAS; TIPO: ASOCIACION, DROGA GENERICA: FENILEFRINA + TROPICAMIDA, FORMA FARMACEUTICA: ENVASE X 5 mL</v>
      </c>
      <c r="D71" s="130"/>
      <c r="E71" s="130"/>
      <c r="F71" s="130"/>
      <c r="G71" s="130"/>
      <c r="H71" s="59" t="s">
        <v>210</v>
      </c>
      <c r="I71" s="60" t="str">
        <f>'Necesidades Trimestrales'!F69</f>
        <v>GOTERO</v>
      </c>
      <c r="J71" s="61">
        <f>'Necesidades Trimestrales'!H69</f>
        <v>934.17</v>
      </c>
      <c r="K71" s="62">
        <f>'Necesidades Trimestrales'!G69</f>
        <v>75</v>
      </c>
    </row>
    <row r="72" spans="1:1024" ht="54.75" customHeight="1" thickBot="1" x14ac:dyDescent="0.25">
      <c r="A72" s="8">
        <v>61</v>
      </c>
      <c r="B72" s="58" t="str">
        <f>'Necesidades Trimestrales'!B70</f>
        <v>2.5.2-1865.10</v>
      </c>
      <c r="C72" s="130" t="str">
        <f>'Necesidades Trimestrales'!E70</f>
        <v>ANTIEPILEPTICOS; TIPO: MONODROGA, DROGA GENERICA: VALPROATO DE MAGNESIO, FORMA FARMACEUTICA: COMPRIMIDO, PRESENTACION: 400 mGr</v>
      </c>
      <c r="D72" s="130"/>
      <c r="E72" s="130"/>
      <c r="F72" s="130"/>
      <c r="G72" s="130"/>
      <c r="H72" s="59" t="s">
        <v>56</v>
      </c>
      <c r="I72" s="60" t="str">
        <f>'Necesidades Trimestrales'!F70</f>
        <v>COMPRIMIDO</v>
      </c>
      <c r="J72" s="61">
        <f>'Necesidades Trimestrales'!H70</f>
        <v>140.46</v>
      </c>
      <c r="K72" s="62">
        <f>'Necesidades Trimestrales'!G70</f>
        <v>300</v>
      </c>
    </row>
    <row r="73" spans="1:1024" ht="40.5" customHeight="1" thickBot="1" x14ac:dyDescent="0.25">
      <c r="A73" s="8">
        <v>62</v>
      </c>
      <c r="B73" s="58" t="str">
        <f>'Necesidades Trimestrales'!B71</f>
        <v>2.5.2-1869.21</v>
      </c>
      <c r="C73" s="130" t="str">
        <f>'Necesidades Trimestrales'!E71</f>
        <v>ANTIDEPRESIVOS; DROGA GENERICA: VENLAFAXINA, FORMA FARMACEUTICA: COMPRIMIDO, PRESENTACION: 75 mGr, TIPO: MONODROGA</v>
      </c>
      <c r="D73" s="130"/>
      <c r="E73" s="130"/>
      <c r="F73" s="130"/>
      <c r="G73" s="130"/>
      <c r="H73" s="59" t="s">
        <v>56</v>
      </c>
      <c r="I73" s="60" t="str">
        <f>'Necesidades Trimestrales'!F71</f>
        <v>COMPRIMIDO</v>
      </c>
      <c r="J73" s="61">
        <f>'Necesidades Trimestrales'!H71</f>
        <v>14.8</v>
      </c>
      <c r="K73" s="62">
        <f>'Necesidades Trimestrales'!G71</f>
        <v>60</v>
      </c>
    </row>
    <row r="74" spans="1:1024" ht="40.5" customHeight="1" thickBot="1" x14ac:dyDescent="0.25">
      <c r="A74" s="8">
        <v>63</v>
      </c>
      <c r="B74" s="58" t="str">
        <f>'Necesidades Trimestrales'!B72</f>
        <v>2.5.2-1868.14</v>
      </c>
      <c r="C74" s="130" t="str">
        <f>'Necesidades Trimestrales'!E72</f>
        <v>ANSIOLITICOS; TIPO: MONODROGA, DROGA GENERICA: ZOLPIDEN, FORMA FARMACEUTICA: COMPRIMIDOS, PRESENTACION: 10 mGr</v>
      </c>
      <c r="D74" s="130"/>
      <c r="E74" s="130"/>
      <c r="F74" s="130"/>
      <c r="G74" s="130"/>
      <c r="H74" s="59" t="s">
        <v>210</v>
      </c>
      <c r="I74" s="60" t="str">
        <f>'Necesidades Trimestrales'!F72</f>
        <v>COMPRIMIDO</v>
      </c>
      <c r="J74" s="61">
        <f>'Necesidades Trimestrales'!H72</f>
        <v>8.9</v>
      </c>
      <c r="K74" s="62">
        <f>'Necesidades Trimestrales'!G72</f>
        <v>30</v>
      </c>
    </row>
    <row r="75" spans="1:1024" ht="51" customHeight="1" thickBot="1" x14ac:dyDescent="0.25">
      <c r="A75" s="8">
        <v>64</v>
      </c>
      <c r="B75" s="58" t="str">
        <f>'Necesidades Trimestrales'!B73</f>
        <v>2.5.2-1894.101</v>
      </c>
      <c r="C75" s="130" t="str">
        <f>'Necesidades Trimestrales'!E73</f>
        <v>CITOSTATICOS; TIPO: MONODROGA, DROGA GENERICA: BEVACIZUMAB 100 MG, FORMA FARMACEUTICA: VIAL X 4 mL, PRESENTACION: UNIDAD</v>
      </c>
      <c r="D75" s="130"/>
      <c r="E75" s="130"/>
      <c r="F75" s="130"/>
      <c r="G75" s="130"/>
      <c r="H75" s="59" t="s">
        <v>56</v>
      </c>
      <c r="I75" s="60" t="str">
        <f>'Necesidades Trimestrales'!F73</f>
        <v>AMPOLLA</v>
      </c>
      <c r="J75" s="61">
        <f>'Necesidades Trimestrales'!H73</f>
        <v>28923</v>
      </c>
      <c r="K75" s="62">
        <f>'Necesidades Trimestrales'!G73</f>
        <v>24</v>
      </c>
    </row>
    <row r="76" spans="1:1024" ht="20.25" customHeight="1" thickBot="1" x14ac:dyDescent="0.25">
      <c r="A76" s="128" t="s">
        <v>214</v>
      </c>
      <c r="B76" s="128"/>
      <c r="C76" s="128"/>
      <c r="D76" s="128"/>
      <c r="E76" s="128"/>
      <c r="F76" s="128"/>
      <c r="G76" s="128"/>
      <c r="H76" s="128"/>
      <c r="I76" s="128"/>
      <c r="J76" s="129">
        <f>SUMPRODUCT(J12:J75,K12:K75)</f>
        <v>4923182.3100000005</v>
      </c>
      <c r="K76" s="129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</sheetData>
  <mergeCells count="86"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C41:G41"/>
    <mergeCell ref="C42:G42"/>
    <mergeCell ref="C43:G43"/>
    <mergeCell ref="C44:G44"/>
    <mergeCell ref="C45:G45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26:G26"/>
    <mergeCell ref="C27:G27"/>
    <mergeCell ref="C28:G28"/>
    <mergeCell ref="C29:G29"/>
    <mergeCell ref="C30:G30"/>
    <mergeCell ref="A76:I76"/>
    <mergeCell ref="J76:K7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0" zoomScale="130" zoomScaleNormal="130" workbookViewId="0">
      <selection activeCell="I32" sqref="I3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1" t="s">
        <v>3</v>
      </c>
      <c r="B1" s="131"/>
      <c r="C1" s="131"/>
      <c r="D1" s="132">
        <f>'Necesidades Trimestrales'!C6</f>
        <v>2023</v>
      </c>
      <c r="E1" s="132"/>
      <c r="F1" s="10"/>
      <c r="G1" s="10"/>
      <c r="H1" s="11"/>
      <c r="I1" s="11"/>
      <c r="J1" s="11"/>
      <c r="K1" s="11"/>
      <c r="L1" s="11"/>
      <c r="M1" s="11"/>
      <c r="N1" s="11"/>
      <c r="P1" s="133" t="s">
        <v>30</v>
      </c>
      <c r="Q1" s="133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3"/>
      <c r="Q2" s="133"/>
    </row>
    <row r="4" spans="1:17" s="12" customFormat="1" ht="18" customHeight="1" thickBot="1" x14ac:dyDescent="0.25">
      <c r="A4" s="134" t="s">
        <v>31</v>
      </c>
      <c r="B4" s="134"/>
      <c r="C4" s="134"/>
      <c r="D4" s="134"/>
      <c r="E4" s="134"/>
      <c r="F4" s="134"/>
      <c r="G4" s="135" t="str">
        <f>NotaPedido!D3</f>
        <v>40 - Ministerio de Salud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7" s="12" customFormat="1" ht="18" customHeight="1" thickBot="1" x14ac:dyDescent="0.25">
      <c r="A5" s="136" t="s">
        <v>54</v>
      </c>
      <c r="B5" s="137"/>
      <c r="C5" s="137"/>
      <c r="D5" s="137"/>
      <c r="E5" s="137"/>
      <c r="F5" s="138"/>
      <c r="G5" s="135" t="str">
        <f>NotaPedido!D4</f>
        <v>23 - Hospital Interzonal San Juan Bautista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7" s="12" customFormat="1" ht="18" customHeight="1" thickBot="1" x14ac:dyDescent="0.25">
      <c r="A6" s="136" t="s">
        <v>32</v>
      </c>
      <c r="B6" s="137"/>
      <c r="C6" s="137"/>
      <c r="D6" s="137"/>
      <c r="E6" s="137"/>
      <c r="F6" s="138"/>
      <c r="G6" s="135" t="str">
        <f>NotaPedido!D5</f>
        <v>168 - Direccion Asistencial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12" customFormat="1" ht="18" customHeight="1" thickBot="1" x14ac:dyDescent="0.25">
      <c r="A7" s="136" t="s">
        <v>55</v>
      </c>
      <c r="B7" s="137"/>
      <c r="C7" s="137"/>
      <c r="D7" s="137"/>
      <c r="E7" s="137"/>
      <c r="F7" s="138"/>
      <c r="G7" s="135" t="str">
        <f>NotaPedido!D6</f>
        <v>Servicio de Farmacia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7" ht="18" customHeight="1" thickBot="1" x14ac:dyDescent="0.25">
      <c r="A8" s="139" t="s">
        <v>33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ht="18" customHeight="1" x14ac:dyDescent="0.2">
      <c r="A9" s="140" t="s">
        <v>34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"/>
      <c r="P9" s="1"/>
      <c r="Q9" s="13"/>
    </row>
    <row r="10" spans="1:17" ht="54.75" customHeight="1" x14ac:dyDescent="0.2">
      <c r="A10" s="141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149 - 2022,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2" t="s">
        <v>35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 x14ac:dyDescent="0.2">
      <c r="A13" s="143" t="s">
        <v>36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37</v>
      </c>
      <c r="P13" s="144"/>
      <c r="Q13" s="145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44"/>
      <c r="P14" s="144"/>
      <c r="Q14" s="145"/>
    </row>
    <row r="15" spans="1:17" ht="17.25" customHeight="1" x14ac:dyDescent="0.2">
      <c r="A15" s="65">
        <v>33</v>
      </c>
      <c r="B15" s="66"/>
      <c r="C15" s="66"/>
      <c r="D15" s="66">
        <v>2</v>
      </c>
      <c r="E15" s="66"/>
      <c r="F15" s="66">
        <v>4901</v>
      </c>
      <c r="G15" s="66">
        <v>3</v>
      </c>
      <c r="H15" s="67" t="s">
        <v>62</v>
      </c>
      <c r="I15" s="68">
        <v>2</v>
      </c>
      <c r="J15" s="68">
        <v>5</v>
      </c>
      <c r="K15" s="68">
        <v>2</v>
      </c>
      <c r="L15" s="66"/>
      <c r="M15" s="69">
        <v>1</v>
      </c>
      <c r="N15" s="67" t="s">
        <v>63</v>
      </c>
      <c r="O15" s="146" t="s">
        <v>61</v>
      </c>
      <c r="P15" s="146"/>
      <c r="Q15" s="23">
        <v>4923182.3099999996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3"/>
      <c r="I16" s="25"/>
      <c r="J16" s="25"/>
      <c r="K16" s="25"/>
      <c r="L16" s="25"/>
      <c r="M16" s="26"/>
      <c r="N16" s="64"/>
      <c r="O16" s="147"/>
      <c r="P16" s="147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3"/>
      <c r="I17" s="25"/>
      <c r="J17" s="25"/>
      <c r="K17" s="25"/>
      <c r="L17" s="25"/>
      <c r="M17" s="26"/>
      <c r="N17" s="64"/>
      <c r="O17" s="147"/>
      <c r="P17" s="147"/>
      <c r="Q17" s="28"/>
      <c r="S17" s="70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3"/>
      <c r="I18" s="25"/>
      <c r="J18" s="25"/>
      <c r="K18" s="25"/>
      <c r="L18" s="25"/>
      <c r="M18" s="26"/>
      <c r="N18" s="64"/>
      <c r="O18" s="148"/>
      <c r="P18" s="149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49"/>
      <c r="P19" s="149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49"/>
      <c r="P20" s="149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55"/>
      <c r="P21" s="155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56"/>
      <c r="P22" s="156"/>
      <c r="Q22" s="37"/>
    </row>
    <row r="23" spans="1:19" ht="20.25" customHeight="1" x14ac:dyDescent="0.2">
      <c r="A23" s="157" t="s">
        <v>215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38">
        <f>SUM(Q15:Q22)</f>
        <v>4923182.3099999996</v>
      </c>
    </row>
    <row r="24" spans="1:19" ht="18" customHeight="1" thickBot="1" x14ac:dyDescent="0.25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</row>
    <row r="25" spans="1:19" ht="17.25" customHeight="1" thickBot="1" x14ac:dyDescent="0.25">
      <c r="A25" s="150" t="s">
        <v>52</v>
      </c>
      <c r="B25" s="151"/>
      <c r="C25" s="151"/>
      <c r="D25" s="151"/>
      <c r="E25" s="151"/>
      <c r="F25" s="152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</row>
    <row r="26" spans="1:19" ht="18" customHeight="1" thickBot="1" x14ac:dyDescent="0.25">
      <c r="A26" s="154" t="str">
        <f>"Para la "&amp; NotaPedido!D8 &amp;" para ser destinados al " &amp; NotaPedido!D6 &amp;"  del HISJB del Ministerio de Salud."</f>
        <v>Para la Adquisición de Medicamentos para Farmacia para ser destinados al Servicio de Farmacia  del HISJB del Ministerio de Salud.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</row>
    <row r="27" spans="1:19" ht="15" customHeight="1" x14ac:dyDescent="0.2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2022-12-14T11:21:44Z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