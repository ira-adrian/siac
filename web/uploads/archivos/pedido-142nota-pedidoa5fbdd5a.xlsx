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GJDH\Alimentos\no perecederos 2do Trim.2022\"/>
    </mc:Choice>
  </mc:AlternateContent>
  <xr:revisionPtr revIDLastSave="0" documentId="13_ncr:1_{8DE0006D-708D-42CA-B785-63C46A4000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2" sheetId="2" r:id="rId1"/>
  </sheets>
  <definedNames>
    <definedName name="_xlnm._FilterDatabase" localSheetId="0" hidden="1">Hoja2!$A$10:$L$43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4" i="2" l="1"/>
  <c r="L15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11" i="2"/>
  <c r="L13" i="2"/>
  <c r="L12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11" i="2"/>
  <c r="D35" i="2"/>
  <c r="D36" i="2"/>
  <c r="D37" i="2"/>
  <c r="D38" i="2"/>
  <c r="D39" i="2"/>
  <c r="D40" i="2"/>
  <c r="D41" i="2"/>
  <c r="D42" i="2"/>
  <c r="D43" i="2"/>
  <c r="D14" i="2"/>
  <c r="D12" i="2"/>
  <c r="D13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I45" i="2" l="1"/>
  <c r="D11" i="2"/>
</calcChain>
</file>

<file path=xl/sharedStrings.xml><?xml version="1.0" encoding="utf-8"?>
<sst xmlns="http://schemas.openxmlformats.org/spreadsheetml/2006/main" count="195" uniqueCount="103">
  <si>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</si>
  <si>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</si>
  <si>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</si>
  <si>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</si>
  <si>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</si>
  <si>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</si>
  <si>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</si>
  <si>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</si>
  <si>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</si>
  <si>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</si>
  <si>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</si>
  <si>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</si>
  <si>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</si>
  <si>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</si>
  <si>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</si>
  <si>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Plazos y lugares de entrega</t>
  </si>
  <si>
    <t>Calidad Minima esperada</t>
  </si>
  <si>
    <t>Mantenimiento</t>
  </si>
  <si>
    <t>30 (treinta)  días habiles</t>
  </si>
  <si>
    <t>Garantia</t>
  </si>
  <si>
    <t>12 -Ministerio de Gobierno, Justicia y Derechos Humanos.</t>
  </si>
  <si>
    <t>06 - Secretaria de Gestion Administrativa del Ministerio de Gobierno, Justicia y Derechos Humanos</t>
  </si>
  <si>
    <t>KG</t>
  </si>
  <si>
    <t>Que cumpla íntegramente con lo solicitado y buena calidad</t>
  </si>
  <si>
    <t>ALIMENTOS NO PERECEDEROS</t>
  </si>
  <si>
    <t>LITROS</t>
  </si>
  <si>
    <t>2.1.1-439.65</t>
  </si>
  <si>
    <t>2.1.1-481.38</t>
  </si>
  <si>
    <t>2.1.1-2868.59</t>
  </si>
  <si>
    <t>2.1.1-2868.54</t>
  </si>
  <si>
    <t>2.1.1-435.60</t>
  </si>
  <si>
    <t>2.1.1-482.80</t>
  </si>
  <si>
    <t>2.1.1-706.6</t>
  </si>
  <si>
    <t>2.1.1-511.8</t>
  </si>
  <si>
    <t>2.1.1-2615.15</t>
  </si>
  <si>
    <t>2.1.1-455.24</t>
  </si>
  <si>
    <t>2.1.1-454.25</t>
  </si>
  <si>
    <t>2.1.1-6547.84</t>
  </si>
  <si>
    <t>2.1.1-708.42</t>
  </si>
  <si>
    <t>2.1.1-708.23</t>
  </si>
  <si>
    <t>2.1.1-6546.269</t>
  </si>
  <si>
    <t>2.1.1-6539.54</t>
  </si>
  <si>
    <t>2.1.1-731.14</t>
  </si>
  <si>
    <t>2.1.1-509.10</t>
  </si>
  <si>
    <t>2.1.1-510.5</t>
  </si>
  <si>
    <t>2.1.1-2868.55</t>
  </si>
  <si>
    <t>2.1.1-482.81</t>
  </si>
  <si>
    <t>2.1.1-705.93</t>
  </si>
  <si>
    <t>2.1.1-513.9</t>
  </si>
  <si>
    <t>2.1.1-517.86</t>
  </si>
  <si>
    <t>HARINAS; TIPO: DE TRIGO 000, PRESENTACION: ENVASE X 1 Kg, MATERIAL ENVASE: PAPEL, CERTICADO FORESTAL (GFS): SIN, ELEM. TRANSPORTE: SIN, MATERIAL ELEM. TRANSPORTE: SIN, LIBRE DE GLUTEN: NO</t>
  </si>
  <si>
    <t>TE; SAQUITOS 2G P/CAJA: 50, PESO: SIN VALOR, TIPO: SIN VALOR, PRESENTACION: EN SAQUITOS</t>
  </si>
  <si>
    <t>DULCE DE LECHE; TIPO: COMUN, ENVASE: PLASTICO, CAPACIDAD: 1 Kg, PRESENTACION: ENVASE PLASTICO X 1 Kg</t>
  </si>
  <si>
    <t>CONSERVAS PESCADO Y FRUTOS MAR; TIPO: ATUN, ESTADO: EN ACEITE, PESO: 300 GR, ENVASE: LATA, ELEM. TRANSPORTE: SIN, MATERIAL ELEM. TRANSPORTE: SIN</t>
  </si>
  <si>
    <t>CONSERVAS PESCADO Y FRUTOS MAR; ESTADO: AL NATURAL, PESO: 380 GR, ENVASE: LATA, TIPO: CABALLA, ESPECIE: CABALLA</t>
  </si>
  <si>
    <t>VERDURAS Y HORTALIZAS; VARIEDAD: CHOCLO, ESTADO: GRANO, PRESENTACION: LATA, PESO: 350 GR</t>
  </si>
  <si>
    <t>FRUTAS; VARIEDAD: DURAZNO, PRESENTACION: ENVASE X 820 GR, ESTADO: NATURAL, PESO: 820 GR</t>
  </si>
  <si>
    <t>CONSERVAS DE CARNE; ENVASE: LATA, TIPO: PICADILLO, PESO: 100 GR, VARIEDAD: SIN VALOR</t>
  </si>
  <si>
    <t>PURE; TIPO: DE TOMATE, ENVASE: CAJA DE CARTON, PESO: 530 GR</t>
  </si>
  <si>
    <t>GELATINAS; ENVASE: CAJA DE CARTON, PESO: 30 GR, TIPO: BAJAS CALORIAS, SABOR: FRUTILLA</t>
  </si>
  <si>
    <t>FLANES; PESO: 60 GR, ENVASE: CAJA CARTON, ESTADO PREPARACION: CON COCCION, SABOR: VAINILLA, TIPO: SIN VALOR, PRESENTACION: 60 GR</t>
  </si>
  <si>
    <t>POSTRES; ESTADO PREPARACION: CON COCCION, TIPO: POLVO, ENVASE: CAJA DE CARTON, PESO: 80 GR, SABOR: VAINILLA, LIBRE DE GLUTEN: SI</t>
  </si>
  <si>
    <t>CACAO; TIPO: INSTANTANEO, PRESENTACION: ENVASE X 800 GR, FORMA DE PRESENTACION: POLVO, MATERIAL ENVASE: CARTON, CERTICADO FORESTAL (GFS): CON, LIBRE DE GLUTEN: SI</t>
  </si>
  <si>
    <t>2.1.1-788.206</t>
  </si>
  <si>
    <t>2.1.1-514.2</t>
  </si>
  <si>
    <t>2.1.1-514.15</t>
  </si>
  <si>
    <t>2.1.1-2431.13</t>
  </si>
  <si>
    <t>2.1.1-2431.20</t>
  </si>
  <si>
    <t>2.1.1-2113.1</t>
  </si>
  <si>
    <t>2.1.1-2113.2</t>
  </si>
  <si>
    <t>DULCES; TIPO: DE BATATA, PRESENTACION: LATA, PESO: 5</t>
  </si>
  <si>
    <t>DULCES; TIPO: DE MEMBRILLO, PRESENTACION: LATA, PESO: 5 Kg</t>
  </si>
  <si>
    <t>2.1.1-9508.2</t>
  </si>
  <si>
    <t>CHUPETINES; TIPO: BOLITA, PRESENTACION: ENVASE X 50 UN, PESO: 10 GR</t>
  </si>
  <si>
    <t>2.1.1-788.226</t>
  </si>
  <si>
    <r>
      <rPr>
        <b/>
        <sz val="10"/>
        <rFont val="Times New Roman"/>
        <family val="1"/>
      </rPr>
      <t>a) LUGAR DE ENTREGA</t>
    </r>
    <r>
      <rPr>
        <sz val="10"/>
        <rFont val="Times New Roman"/>
        <family val="1"/>
      </rPr>
      <t xml:space="preserve">:  Hogar de Protección Integral de Victimas de Violencia de Género "WARMI"- Pasaje Dr Gallo S/N frente a la Guardia de Maternidad Provincial - Capital - De 08 a 12 horas. 
</t>
    </r>
    <r>
      <rPr>
        <b/>
        <sz val="10"/>
        <rFont val="Times New Roman"/>
        <family val="1"/>
      </rPr>
      <t>b) FORMA DE LA ENTREGA</t>
    </r>
    <r>
      <rPr>
        <sz val="10"/>
        <rFont val="Times New Roman"/>
        <family val="1"/>
      </rPr>
      <t xml:space="preserve">: Libre de flete, acarreo y embalaje, como así también, de todo riesgo de pérdida o destrucción total o parcial, por causas ajenas a la Institución.
</t>
    </r>
    <r>
      <rPr>
        <b/>
        <sz val="10"/>
        <rFont val="Times New Roman"/>
        <family val="1"/>
      </rPr>
      <t>c)  PLAZO DE ENTREGA</t>
    </r>
    <r>
      <rPr>
        <sz val="10"/>
        <rFont val="Times New Roman"/>
        <family val="1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en el Reglamento Parcial N° 2 de la ley 4938.</t>
    </r>
  </si>
  <si>
    <t>ACEITES COMESTIBLES; TIPO: GIRASOL, PRESENTACION: ENVASE X 1,5 L, MATERIAL ENVASE: PLASTICO 1 (PET), ELEM. TRANSPORTE: SIN, MATERIAL ELEM. TRANSPORTE : SIN, LIBRE DE GLUTEN: NO</t>
  </si>
  <si>
    <t>AZUCARES; TIPO: "A" COMUN, ESTADO: MOLIDA, PESO: 1 Kg, MATERIAL ENVASE: PLASTICO, CERTIFICADO FORESTAL (GFS): SIN, ELEM. TRANSPORTE: SIN, MATERIAL ELEM. TRANSPORTE: SIN</t>
  </si>
  <si>
    <t>FIDEOS SECOS; VARIEDAD: MOSTACHOLES, RELLENO: SIN, PRESENTACION: ENVASE X 500 GR, MATERIAL ENVASE: PVC, ELEM. TRANSPORTE: CAJA, MATERIAL ELEM. TRANSPORTE: CARTON, CERTIFICADO FORESTAL (GFS): SIN, LIBRE DE GLUTEN: NO</t>
  </si>
  <si>
    <t>FIDEOS SECOS; VARIEDAD: TALLARIN, RELLENO: SIN, PRESENTACION: ENVASE X 500 GR, MATERIAL ENVASE: PLASTICO 1 (PET), ELEM. TRANSPORTE: SIN, MATERIAL ELEM. TRANSPORTE: SIN, CERTIFICADO FORESTAL (GFS): SIN, LIBRE DE GLUTEN: NO</t>
  </si>
  <si>
    <t>FIDEOS SECOS; VARIEDAD: SOPERO, RELLENO: SIN, PRESENTACION: ENVASE X 500 GR, MATERIAL ENVASE: PLASTICO 1 (PET), ELEM. TRANSPORTE: SIN, MATERIAL ELEM. TRANSPORTE: SIN, CERTIFICADO FORESTAL (GFS): SIN, LIBRE DE GLUTEN: NO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</si>
  <si>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</si>
  <si>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MATE COCIDO; ENVASE: CAJA CARTON, PRESENTACION: ENSOBRADO, SAQUITOS P/CAJA: 100 UN, PESO X SAQ.: 3 GR</t>
  </si>
  <si>
    <t>YERBAS; PALO: CON, PESO: 1 Kg, MATERIAL ENVASE : PAPEL, CERTIFICADO FORESTAL (GFS): CON, ELEM. TRANSPORTE: SIN, MATERIAL ELEM. TRANSPORTE: SIN, LIBRE DE GLUTEN: SI</t>
  </si>
  <si>
    <t>LEGUMBRES; VARIEDAD: ARVEJAS, ESTADO: CONSERVA, PRESENTACION: LATA, PESO: 350 GR, MATERIAL ENVASE: METAL, ELEM. TRANSPORTE: SIN, MATERIAL ELEM. TRANSPORTE: SIN, LIBRE DE GLUTEN: NO</t>
  </si>
  <si>
    <t>HARINAS; TIPO: LEUDANTE, PRESENTACION: ENVASE X 1 Kg, MATERIAL ENVASE: PAPEL, CERTICADO FORESTAL (GFS): SIN, ELEM. TRANSPORTE: SIN, MATERIAL ELEM. TRANSPORTE: SIN, LIBRE DE GLUTEN: NO</t>
  </si>
  <si>
    <t>LECHE; ESTADO: POLVO, TIPO: ENTERA, PROCESO: PASTEURIZADA, AGREGADO: VITAMINAS A Y D, PRESENTACION: ENVASE X 800 GR, MATERIAL ENVASE: CARTON, ELEM. TRANSPORTE: SIN, MATERIAL ELEM. TRANSPORTE: SIN, CERTIFICADO FORESTAL (GFS): SIN, LIBRE DE GLUTEN: SI</t>
  </si>
  <si>
    <t>GALLETITAS; VARIEDAD: SALADA, RELLENO: SIN, PRESENTACION: ENVASE X 100 GR, ELEM. TRANSPORTE: SIN, MATERIAL ELEM. TRANSPORTE: SIN, LIBRE DE GLUTEN: SI</t>
  </si>
  <si>
    <t>GALLETITAS; VARIEDAD: SURTIDAS DULCES, RELLENO: SIN, PRESENTACION: ENVASE X 400 GR, ELEM. TRANSPORTE: CAJA, MATERIAL ELEM. TRANSPORTE: CARTON, LIBRE DE GLUTEN: NO</t>
  </si>
  <si>
    <t>SAL DE MESA; CONSISTENCIA: FINA, PESO: 500 GR, TIPO: SIN VALOR, ENVASE: PAQUETE</t>
  </si>
  <si>
    <t>SAL DE MESA; CONSISTENCIA: GRUESA, ENVASE: BOLSA, PESO: 1 Kg, TIPO: SIN VALOR</t>
  </si>
  <si>
    <t>CALDOS; GUSTO: VERDURA, TIPO: DESHIDRATADO, PRESENTACION: ENVASE X 12 UN</t>
  </si>
  <si>
    <t>CALDOS; GUSTO: GALLINA, TIPO: CONCENTRADO, PRESENTACION: ENVASE X 12 CUBOS</t>
  </si>
  <si>
    <t>50 BOTELLAS DE 1,5 L.o 75 BOTELLAS DE 1,5 L</t>
  </si>
  <si>
    <t>ARROZ; TIPO GRANO: LARGO-FINO, TIPO: BLANCO, PROCESO: SIN CASCARA, PRESENTACION: BOLSA X 1Kg, MATERIAL ENVASE: PLASTICO, CERTIFICADO FORESTAL (GFS): SIN, ELEM. TRANSPORTE: SIN, MATERIAL ELEM. TRANSPORTE: SIN, LIBRE DE GLUTEN: SI</t>
  </si>
  <si>
    <r>
      <t>TE; SAQUITOS 2G P/CAJA: 50,</t>
    </r>
    <r>
      <rPr>
        <b/>
        <sz val="11"/>
        <color rgb="FFFF0000"/>
        <rFont val="Calibri"/>
        <family val="2"/>
        <scheme val="minor"/>
      </rPr>
      <t xml:space="preserve"> PESO: SIN VALOR, TIPO: SIN VALOR</t>
    </r>
    <r>
      <rPr>
        <sz val="11"/>
        <color theme="1"/>
        <rFont val="Calibri"/>
        <family val="2"/>
        <scheme val="minor"/>
      </rPr>
      <t>, PRESENTACION: EN SAQUITOS</t>
    </r>
  </si>
  <si>
    <r>
      <t xml:space="preserve">GALLETITAS; VARIEDAD: SURTIDAS DULCES, RELLENO: SIN, PRESENTACION: ENVASE X 400 GR, </t>
    </r>
    <r>
      <rPr>
        <sz val="11"/>
        <rFont val="Calibri"/>
        <family val="2"/>
        <scheme val="minor"/>
      </rPr>
      <t>ELEM. TRANSPORTE: CAJA, MATERIAL ELEM. TRANSPORTE: CARTON</t>
    </r>
    <r>
      <rPr>
        <sz val="11"/>
        <color theme="1"/>
        <rFont val="Calibri"/>
        <family val="2"/>
        <scheme val="minor"/>
      </rPr>
      <t>, LIBRE DE GLUTEN: NO</t>
    </r>
  </si>
  <si>
    <t xml:space="preserve"> no viene de 100 gramos?? SUGERIR 2.1.1-731.19</t>
  </si>
  <si>
    <t>NO ACLARA EL TIPO: CLASICO, BOLDO, ETC</t>
  </si>
  <si>
    <t>NO ACLARA EL TIPO: COMUN, CASERO, DIETETICO</t>
  </si>
  <si>
    <t>no aclara si es comun o dietetico</t>
  </si>
  <si>
    <t>no aclara si es baja en sodio o comun</t>
  </si>
  <si>
    <t>5 que gramos o kg?? Sabor chocolate o vainilla?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</si>
</sst>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 [$$-2C0A]\ * #,##0.00_ ;_ [$$-2C0A]\ * \-#,##0.00_ ;_ [$$-2C0A]\ * &quot;-&quot;??_ ;_ @_ "/>
    <numFmt numFmtId="168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u/>
      <sz val="10"/>
      <name val="Times New Roman"/>
      <family val="1"/>
    </font>
    <font>
      <b/>
      <u/>
      <sz val="10"/>
      <name val="Times New Roman"/>
      <family val="1"/>
    </font>
    <font>
      <b/>
      <u/>
      <sz val="11"/>
      <name val="Times New Roman"/>
      <family val="1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4">
    <xf numFmtId="0" fontId="0" fillId="0" borderId="0" xfId="0"/>
    <xf numFmtId="0" fontId="0" fillId="0" borderId="1" xfId="0" applyBorder="1"/>
    <xf numFmtId="0" fontId="0" fillId="0" borderId="0" xfId="0" applyBorder="1"/>
    <xf numFmtId="0" fontId="2" fillId="0" borderId="0" xfId="0" applyFont="1"/>
    <xf numFmtId="165" fontId="2" fillId="0" borderId="0" xfId="0" applyNumberFormat="1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165" fontId="1" fillId="0" borderId="0" xfId="1" applyNumberFormat="1" applyAlignment="1">
      <alignment horizontal="center" vertical="center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2" fillId="0" borderId="6" xfId="0" applyFont="1" applyFill="1" applyBorder="1" applyAlignment="1">
      <alignment horizontal="left" wrapText="1"/>
    </xf>
    <xf numFmtId="0" fontId="0" fillId="0" borderId="0" xfId="0" applyFont="1" applyAlignment="1">
      <alignment horizontal="center"/>
    </xf>
    <xf numFmtId="0" fontId="11" fillId="0" borderId="2" xfId="0" applyFont="1" applyBorder="1" applyAlignment="1">
      <alignment horizontal="left" vertical="center"/>
    </xf>
    <xf numFmtId="0" fontId="2" fillId="0" borderId="3" xfId="0" applyFont="1" applyBorder="1"/>
    <xf numFmtId="165" fontId="12" fillId="0" borderId="0" xfId="1" applyNumberFormat="1" applyFont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2" fillId="0" borderId="0" xfId="0" applyFont="1" applyFill="1" applyBorder="1"/>
    <xf numFmtId="0" fontId="2" fillId="0" borderId="7" xfId="0" applyFont="1" applyBorder="1"/>
    <xf numFmtId="0" fontId="2" fillId="0" borderId="8" xfId="0" applyFont="1" applyBorder="1"/>
    <xf numFmtId="0" fontId="10" fillId="0" borderId="2" xfId="0" applyFont="1" applyBorder="1" applyAlignment="1">
      <alignment horizontal="left" vertical="center"/>
    </xf>
    <xf numFmtId="0" fontId="2" fillId="0" borderId="5" xfId="0" applyFont="1" applyBorder="1" applyAlignment="1">
      <alignment horizontal="left" indent="3"/>
    </xf>
    <xf numFmtId="0" fontId="10" fillId="0" borderId="5" xfId="0" applyFont="1" applyBorder="1" applyAlignment="1"/>
    <xf numFmtId="0" fontId="2" fillId="0" borderId="0" xfId="0" applyFont="1" applyBorder="1"/>
    <xf numFmtId="0" fontId="9" fillId="0" borderId="5" xfId="0" applyFont="1" applyBorder="1" applyAlignment="1">
      <alignment horizontal="left" indent="3"/>
    </xf>
    <xf numFmtId="0" fontId="2" fillId="0" borderId="7" xfId="0" applyFont="1" applyBorder="1" applyAlignment="1">
      <alignment horizontal="left" indent="3"/>
    </xf>
    <xf numFmtId="0" fontId="1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14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5" fontId="1" fillId="0" borderId="1" xfId="1" applyNumberForma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64" fontId="12" fillId="0" borderId="1" xfId="1" applyNumberFormat="1" applyFont="1" applyFill="1" applyBorder="1" applyAlignment="1" applyProtection="1">
      <alignment horizontal="right" vertical="center"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2" fillId="0" borderId="1" xfId="0" applyFont="1" applyBorder="1"/>
    <xf numFmtId="0" fontId="0" fillId="2" borderId="1" xfId="0" applyFill="1" applyBorder="1" applyAlignment="1">
      <alignment horizontal="center"/>
    </xf>
    <xf numFmtId="165" fontId="1" fillId="0" borderId="1" xfId="1" applyNumberFormat="1" applyBorder="1" applyAlignment="1">
      <alignment horizontal="center" vertical="center"/>
    </xf>
    <xf numFmtId="3" fontId="15" fillId="2" borderId="1" xfId="0" applyNumberFormat="1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12" fillId="2" borderId="0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3" fontId="15" fillId="2" borderId="0" xfId="0" applyNumberFormat="1" applyFont="1" applyFill="1" applyBorder="1" applyAlignment="1">
      <alignment horizontal="center" vertical="center"/>
    </xf>
    <xf numFmtId="165" fontId="1" fillId="0" borderId="0" xfId="1" applyNumberFormat="1" applyBorder="1" applyAlignment="1">
      <alignment horizontal="center" vertical="center"/>
    </xf>
    <xf numFmtId="164" fontId="12" fillId="0" borderId="0" xfId="1" applyNumberFormat="1" applyFont="1" applyFill="1" applyBorder="1" applyAlignment="1" applyProtection="1">
      <alignment horizontal="right" vertical="center" wrapText="1"/>
    </xf>
    <xf numFmtId="0" fontId="5" fillId="3" borderId="0" xfId="0" applyFont="1" applyFill="1" applyAlignment="1">
      <alignment horizontal="center" wrapText="1"/>
    </xf>
    <xf numFmtId="0" fontId="7" fillId="3" borderId="0" xfId="0" applyFont="1" applyFill="1" applyAlignment="1">
      <alignment horizontal="center" wrapText="1"/>
    </xf>
    <xf numFmtId="0" fontId="7" fillId="3" borderId="0" xfId="0" applyFont="1" applyFill="1" applyAlignment="1">
      <alignment horizontal="left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3" borderId="10" xfId="0" applyFill="1" applyBorder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16" fillId="0" borderId="10" xfId="0" applyFont="1" applyFill="1" applyBorder="1" applyAlignment="1">
      <alignment horizontal="center" vertical="center"/>
    </xf>
    <xf numFmtId="164" fontId="12" fillId="0" borderId="0" xfId="1" applyNumberFormat="1" applyFont="1" applyFill="1" applyBorder="1" applyAlignment="1" applyProtection="1">
      <alignment horizontal="left" vertical="center" wrapText="1"/>
    </xf>
    <xf numFmtId="0" fontId="0" fillId="3" borderId="1" xfId="0" applyFill="1" applyBorder="1" applyAlignment="1">
      <alignment wrapText="1"/>
    </xf>
    <xf numFmtId="165" fontId="7" fillId="0" borderId="0" xfId="0" applyNumberFormat="1" applyFont="1" applyBorder="1" applyAlignment="1">
      <alignment horizontal="left" vertical="center" wrapText="1"/>
    </xf>
    <xf numFmtId="165" fontId="2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17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3" borderId="1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4" fillId="3" borderId="1" xfId="0" applyFont="1" applyFill="1" applyBorder="1" applyAlignment="1">
      <alignment horizontal="center" vertical="center" wrapText="1"/>
    </xf>
    <xf numFmtId="164" fontId="12" fillId="3" borderId="1" xfId="1" applyNumberFormat="1" applyFont="1" applyFill="1" applyBorder="1" applyAlignment="1" applyProtection="1">
      <alignment horizontal="right" vertical="center" wrapText="1"/>
    </xf>
    <xf numFmtId="3" fontId="15" fillId="3" borderId="12" xfId="0" applyNumberFormat="1" applyFont="1" applyFill="1" applyBorder="1" applyAlignment="1">
      <alignment horizontal="center" vertical="center"/>
    </xf>
    <xf numFmtId="44" fontId="1" fillId="3" borderId="14" xfId="2" applyNumberFormat="1" applyFont="1" applyFill="1" applyBorder="1" applyAlignment="1">
      <alignment horizontal="center" vertical="center"/>
    </xf>
    <xf numFmtId="44" fontId="1" fillId="3" borderId="1" xfId="2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44" fontId="1" fillId="3" borderId="1" xfId="2" applyNumberFormat="1" applyFont="1" applyFill="1" applyBorder="1" applyAlignment="1">
      <alignment vertical="center"/>
    </xf>
    <xf numFmtId="44" fontId="1" fillId="3" borderId="15" xfId="2" applyNumberFormat="1" applyFont="1" applyFill="1" applyBorder="1" applyAlignment="1">
      <alignment vertical="center"/>
    </xf>
    <xf numFmtId="3" fontId="15" fillId="3" borderId="13" xfId="0" applyNumberFormat="1" applyFon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164" fontId="13" fillId="3" borderId="1" xfId="1" applyNumberFormat="1" applyFont="1" applyFill="1" applyBorder="1" applyAlignment="1">
      <alignment horizontal="center" vertical="center"/>
    </xf>
    <xf numFmtId="3" fontId="15" fillId="3" borderId="17" xfId="0" applyNumberFormat="1" applyFont="1" applyFill="1" applyBorder="1" applyAlignment="1">
      <alignment horizontal="center" vertical="center"/>
    </xf>
    <xf numFmtId="44" fontId="0" fillId="3" borderId="1" xfId="0" applyNumberFormat="1" applyFill="1" applyBorder="1"/>
    <xf numFmtId="3" fontId="15" fillId="3" borderId="1" xfId="0" applyNumberFormat="1" applyFont="1" applyFill="1" applyBorder="1" applyAlignment="1">
      <alignment horizontal="center" vertical="center"/>
    </xf>
    <xf numFmtId="165" fontId="1" fillId="3" borderId="1" xfId="1" applyNumberForma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wrapText="1"/>
    </xf>
    <xf numFmtId="0" fontId="2" fillId="0" borderId="6" xfId="0" applyFont="1" applyFill="1" applyBorder="1" applyAlignment="1">
      <alignment horizontal="left" wrapText="1"/>
    </xf>
    <xf numFmtId="0" fontId="2" fillId="0" borderId="6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/>
    </xf>
    <xf numFmtId="0" fontId="5" fillId="3" borderId="0" xfId="0" applyFont="1" applyFill="1" applyBorder="1" applyAlignment="1">
      <alignment horizontal="left" wrapText="1" indent="1"/>
    </xf>
    <xf numFmtId="168" fontId="0" fillId="0" borderId="0" xfId="0" applyNumberFormat="1"/>
    <xf numFmtId="0" fontId="0" fillId="3" borderId="10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</cellXfs>
  <cellStyles count="3">
    <cellStyle name="Millares" xfId="2" builtinId="3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60"/>
  <sheetViews>
    <sheetView tabSelected="1" zoomScaleNormal="100" workbookViewId="0">
      <selection activeCell="C50" sqref="C50:E50"/>
    </sheetView>
  </sheetViews>
  <sheetFormatPr baseColWidth="10" defaultRowHeight="15" x14ac:dyDescent="0.25"/>
  <cols>
    <col min="1" max="1" width="5" customWidth="1"/>
    <col min="2" max="2" width="14.5703125" style="22" customWidth="1"/>
    <col min="3" max="3" width="31.42578125" customWidth="1"/>
    <col min="4" max="4" width="6.42578125" style="22" customWidth="1"/>
    <col min="5" max="5" width="72.7109375" customWidth="1"/>
    <col min="6" max="6" width="9.28515625" customWidth="1"/>
    <col min="7" max="7" width="11.42578125" style="24"/>
    <col min="8" max="8" width="12.5703125" customWidth="1"/>
    <col min="9" max="9" width="14.42578125" customWidth="1"/>
    <col min="10" max="10" width="21.7109375" style="75" customWidth="1"/>
    <col min="11" max="11" width="72.7109375" style="66" customWidth="1"/>
    <col min="12" max="12" width="11.85546875" style="64" bestFit="1" customWidth="1"/>
  </cols>
  <sheetData>
    <row r="3" spans="1:13" ht="27" x14ac:dyDescent="0.35">
      <c r="A3" s="3"/>
      <c r="B3" s="106" t="s">
        <v>0</v>
      </c>
      <c r="C3" s="106"/>
      <c r="D3" s="106"/>
      <c r="E3" s="106"/>
      <c r="F3" s="106"/>
      <c r="G3" s="106"/>
      <c r="H3" s="106"/>
      <c r="I3" s="4"/>
      <c r="J3" s="74"/>
    </row>
    <row r="4" spans="1:13" x14ac:dyDescent="0.25">
      <c r="A4" s="3"/>
      <c r="B4" s="7"/>
      <c r="C4" s="5"/>
      <c r="D4" s="7"/>
      <c r="E4" s="6"/>
      <c r="F4" s="3"/>
      <c r="G4" s="7"/>
      <c r="H4" s="8"/>
      <c r="I4" s="4"/>
      <c r="J4" s="74"/>
    </row>
    <row r="5" spans="1:13" ht="15.75" x14ac:dyDescent="0.25">
      <c r="A5" s="105" t="s">
        <v>1</v>
      </c>
      <c r="B5" s="105"/>
      <c r="C5" s="107" t="s">
        <v>20</v>
      </c>
      <c r="D5" s="107"/>
      <c r="E5" s="107"/>
      <c r="F5" s="9"/>
      <c r="G5" s="10"/>
      <c r="H5" s="8"/>
      <c r="I5" s="4"/>
      <c r="J5" s="74"/>
    </row>
    <row r="6" spans="1:13" ht="15.75" x14ac:dyDescent="0.25">
      <c r="A6" s="105" t="s">
        <v>2</v>
      </c>
      <c r="B6" s="105"/>
      <c r="C6" s="107" t="s">
        <v>21</v>
      </c>
      <c r="D6" s="107"/>
      <c r="E6" s="107"/>
      <c r="F6" s="9"/>
      <c r="G6" s="10"/>
      <c r="H6" s="8"/>
      <c r="I6" s="4"/>
      <c r="J6" s="74"/>
    </row>
    <row r="7" spans="1:13" ht="15.75" x14ac:dyDescent="0.25">
      <c r="A7" s="105" t="s">
        <v>3</v>
      </c>
      <c r="B7" s="105"/>
      <c r="C7" s="61">
        <v>2022</v>
      </c>
      <c r="D7" s="62"/>
      <c r="E7" s="63"/>
      <c r="F7" s="9"/>
      <c r="G7" s="10"/>
      <c r="H7" s="8"/>
      <c r="I7" s="4"/>
      <c r="J7" s="74"/>
    </row>
    <row r="8" spans="1:13" ht="15.75" x14ac:dyDescent="0.25">
      <c r="A8" s="105" t="s">
        <v>4</v>
      </c>
      <c r="B8" s="105"/>
      <c r="C8" s="61">
        <v>2</v>
      </c>
      <c r="D8" s="62"/>
      <c r="E8" s="63"/>
      <c r="F8" s="9"/>
      <c r="G8" s="10"/>
      <c r="H8" s="8"/>
      <c r="I8" s="4"/>
      <c r="J8" s="74"/>
    </row>
    <row r="9" spans="1:13" x14ac:dyDescent="0.25">
      <c r="A9" s="3"/>
      <c r="B9" s="10"/>
      <c r="C9" s="10"/>
      <c r="D9" s="10"/>
      <c r="E9" s="9"/>
      <c r="F9" s="9"/>
      <c r="G9" s="10"/>
      <c r="H9" s="8"/>
      <c r="I9" s="4"/>
      <c r="J9" s="74"/>
    </row>
    <row r="10" spans="1:13" ht="45.75" thickBot="1" x14ac:dyDescent="0.3">
      <c r="A10" s="41" t="s">
        <v>5</v>
      </c>
      <c r="B10" s="42" t="s">
        <v>6</v>
      </c>
      <c r="C10" s="41" t="s">
        <v>7</v>
      </c>
      <c r="D10" s="41" t="s">
        <v>8</v>
      </c>
      <c r="E10" s="41" t="s">
        <v>9</v>
      </c>
      <c r="F10" s="41" t="s">
        <v>10</v>
      </c>
      <c r="G10" s="43" t="s">
        <v>11</v>
      </c>
      <c r="H10" s="44" t="s">
        <v>12</v>
      </c>
      <c r="I10" s="45" t="s">
        <v>13</v>
      </c>
      <c r="J10" s="73"/>
    </row>
    <row r="11" spans="1:13" ht="48" customHeight="1" x14ac:dyDescent="0.25">
      <c r="A11" s="46">
        <v>1</v>
      </c>
      <c r="B11" s="81" t="s">
        <v>26</v>
      </c>
      <c r="C11" s="80" t="s">
        <v>24</v>
      </c>
      <c r="D11" s="84" t="str">
        <f>+LEFT(B11,5)</f>
        <v>2.1.1</v>
      </c>
      <c r="E11" s="69" t="s">
        <v>76</v>
      </c>
      <c r="F11" s="70" t="s">
        <v>25</v>
      </c>
      <c r="G11" s="86">
        <v>75</v>
      </c>
      <c r="H11" s="87">
        <v>300</v>
      </c>
      <c r="I11" s="85">
        <f>G11*H11</f>
        <v>22500</v>
      </c>
      <c r="J11" s="71" t="s">
        <v>93</v>
      </c>
      <c r="K11" s="66" t="s">
        <v>76</v>
      </c>
      <c r="L11" s="64" t="b">
        <f>K11=E11</f>
        <v>1</v>
      </c>
      <c r="M11" s="108">
        <v>300</v>
      </c>
    </row>
    <row r="12" spans="1:13" ht="49.5" customHeight="1" x14ac:dyDescent="0.25">
      <c r="A12" s="46">
        <v>2</v>
      </c>
      <c r="B12" s="68" t="s">
        <v>27</v>
      </c>
      <c r="C12" s="80" t="s">
        <v>24</v>
      </c>
      <c r="D12" s="84" t="str">
        <f t="shared" ref="D12:D43" si="0">+LEFT(B12,5)</f>
        <v>2.1.1</v>
      </c>
      <c r="E12" s="69" t="s">
        <v>77</v>
      </c>
      <c r="F12" s="78" t="s">
        <v>22</v>
      </c>
      <c r="G12" s="86">
        <v>120</v>
      </c>
      <c r="H12" s="88">
        <v>120</v>
      </c>
      <c r="I12" s="85">
        <f t="shared" ref="I12:I43" si="1">G12*H12</f>
        <v>14400</v>
      </c>
      <c r="J12" s="71"/>
      <c r="K12" s="66" t="s">
        <v>77</v>
      </c>
      <c r="L12" s="64" t="b">
        <f>K12=E12</f>
        <v>1</v>
      </c>
      <c r="M12" s="108">
        <v>120</v>
      </c>
    </row>
    <row r="13" spans="1:13" ht="48.75" customHeight="1" x14ac:dyDescent="0.25">
      <c r="A13" s="46">
        <v>3</v>
      </c>
      <c r="B13" s="68" t="s">
        <v>28</v>
      </c>
      <c r="C13" s="80" t="s">
        <v>24</v>
      </c>
      <c r="D13" s="84" t="str">
        <f t="shared" si="0"/>
        <v>2.1.1</v>
      </c>
      <c r="E13" s="72" t="s">
        <v>78</v>
      </c>
      <c r="F13" s="110" t="s">
        <v>14</v>
      </c>
      <c r="G13" s="86">
        <v>90</v>
      </c>
      <c r="H13" s="88">
        <v>80</v>
      </c>
      <c r="I13" s="85">
        <f t="shared" si="1"/>
        <v>7200</v>
      </c>
      <c r="J13" s="71"/>
      <c r="K13" s="66" t="s">
        <v>78</v>
      </c>
      <c r="L13" s="64" t="b">
        <f>K13=E13</f>
        <v>1</v>
      </c>
      <c r="M13" s="108">
        <v>80</v>
      </c>
    </row>
    <row r="14" spans="1:13" ht="49.5" customHeight="1" x14ac:dyDescent="0.25">
      <c r="A14" s="46">
        <v>4</v>
      </c>
      <c r="B14" s="78" t="s">
        <v>45</v>
      </c>
      <c r="C14" s="80" t="s">
        <v>24</v>
      </c>
      <c r="D14" s="84" t="str">
        <f t="shared" ref="D14" si="2">+LEFT(B14,5)</f>
        <v>2.1.1</v>
      </c>
      <c r="E14" s="72" t="s">
        <v>79</v>
      </c>
      <c r="F14" s="111" t="s">
        <v>14</v>
      </c>
      <c r="G14" s="89">
        <v>120</v>
      </c>
      <c r="H14" s="90">
        <v>100</v>
      </c>
      <c r="I14" s="85">
        <f t="shared" si="1"/>
        <v>12000</v>
      </c>
      <c r="J14" s="71"/>
      <c r="K14" s="66" t="s">
        <v>79</v>
      </c>
      <c r="L14" s="64" t="b">
        <f t="shared" ref="L14:L43" si="3">K14=E14</f>
        <v>1</v>
      </c>
      <c r="M14" s="108">
        <v>100</v>
      </c>
    </row>
    <row r="15" spans="1:13" ht="48" customHeight="1" x14ac:dyDescent="0.25">
      <c r="A15" s="46">
        <v>5</v>
      </c>
      <c r="B15" s="68" t="s">
        <v>29</v>
      </c>
      <c r="C15" s="80" t="s">
        <v>24</v>
      </c>
      <c r="D15" s="84" t="str">
        <f t="shared" si="0"/>
        <v>2.1.1</v>
      </c>
      <c r="E15" s="72" t="s">
        <v>80</v>
      </c>
      <c r="F15" s="110" t="s">
        <v>14</v>
      </c>
      <c r="G15" s="86">
        <v>90</v>
      </c>
      <c r="H15" s="88">
        <v>80</v>
      </c>
      <c r="I15" s="85">
        <f t="shared" si="1"/>
        <v>7200</v>
      </c>
      <c r="J15" s="71"/>
      <c r="K15" s="66" t="s">
        <v>80</v>
      </c>
      <c r="L15" s="64" t="b">
        <f t="shared" si="3"/>
        <v>1</v>
      </c>
      <c r="M15" s="108">
        <v>80</v>
      </c>
    </row>
    <row r="16" spans="1:13" ht="62.25" customHeight="1" x14ac:dyDescent="0.25">
      <c r="A16" s="46">
        <v>6</v>
      </c>
      <c r="B16" s="68" t="s">
        <v>30</v>
      </c>
      <c r="C16" s="80" t="s">
        <v>24</v>
      </c>
      <c r="D16" s="84" t="str">
        <f t="shared" si="0"/>
        <v>2.1.1</v>
      </c>
      <c r="E16" s="77" t="s">
        <v>94</v>
      </c>
      <c r="F16" s="112" t="s">
        <v>14</v>
      </c>
      <c r="G16" s="86">
        <v>90</v>
      </c>
      <c r="H16" s="88">
        <v>150</v>
      </c>
      <c r="I16" s="85">
        <f t="shared" si="1"/>
        <v>13500</v>
      </c>
      <c r="J16" s="71"/>
      <c r="K16" s="66" t="s">
        <v>81</v>
      </c>
      <c r="L16" s="64" t="b">
        <v>1</v>
      </c>
      <c r="M16" s="108">
        <v>150</v>
      </c>
    </row>
    <row r="17" spans="1:13" ht="48.75" customHeight="1" x14ac:dyDescent="0.25">
      <c r="A17" s="46">
        <v>7</v>
      </c>
      <c r="B17" s="68" t="s">
        <v>31</v>
      </c>
      <c r="C17" s="80" t="s">
        <v>24</v>
      </c>
      <c r="D17" s="84" t="str">
        <f t="shared" si="0"/>
        <v>2.1.1</v>
      </c>
      <c r="E17" s="72" t="s">
        <v>50</v>
      </c>
      <c r="F17" s="110" t="s">
        <v>14</v>
      </c>
      <c r="G17" s="86">
        <v>45</v>
      </c>
      <c r="H17" s="88">
        <v>100</v>
      </c>
      <c r="I17" s="85">
        <f t="shared" si="1"/>
        <v>4500</v>
      </c>
      <c r="J17" s="71"/>
      <c r="K17" s="66" t="s">
        <v>50</v>
      </c>
      <c r="L17" s="64" t="b">
        <f t="shared" si="3"/>
        <v>1</v>
      </c>
      <c r="M17" s="108">
        <v>100</v>
      </c>
    </row>
    <row r="18" spans="1:13" ht="32.25" customHeight="1" x14ac:dyDescent="0.25">
      <c r="A18" s="46">
        <v>8</v>
      </c>
      <c r="B18" s="68" t="s">
        <v>32</v>
      </c>
      <c r="C18" s="80" t="s">
        <v>24</v>
      </c>
      <c r="D18" s="84" t="str">
        <f t="shared" si="0"/>
        <v>2.1.1</v>
      </c>
      <c r="E18" s="72" t="s">
        <v>82</v>
      </c>
      <c r="F18" s="110" t="s">
        <v>14</v>
      </c>
      <c r="G18" s="86">
        <v>10</v>
      </c>
      <c r="H18" s="88">
        <v>250</v>
      </c>
      <c r="I18" s="85">
        <f t="shared" si="1"/>
        <v>2500</v>
      </c>
      <c r="J18" s="71"/>
      <c r="K18" s="66" t="s">
        <v>82</v>
      </c>
      <c r="L18" s="64" t="b">
        <f t="shared" si="3"/>
        <v>1</v>
      </c>
      <c r="M18" s="108">
        <v>250</v>
      </c>
    </row>
    <row r="19" spans="1:13" ht="35.25" customHeight="1" x14ac:dyDescent="0.25">
      <c r="A19" s="46">
        <v>9</v>
      </c>
      <c r="B19" s="68" t="s">
        <v>33</v>
      </c>
      <c r="C19" s="80" t="s">
        <v>24</v>
      </c>
      <c r="D19" s="84" t="str">
        <f t="shared" si="0"/>
        <v>2.1.1</v>
      </c>
      <c r="E19" s="76" t="s">
        <v>95</v>
      </c>
      <c r="F19" s="110" t="s">
        <v>14</v>
      </c>
      <c r="G19" s="86">
        <v>20</v>
      </c>
      <c r="H19" s="88">
        <v>200</v>
      </c>
      <c r="I19" s="85">
        <f t="shared" si="1"/>
        <v>4000</v>
      </c>
      <c r="J19" s="71" t="s">
        <v>98</v>
      </c>
      <c r="K19" s="66" t="s">
        <v>51</v>
      </c>
      <c r="L19" s="64" t="b">
        <f t="shared" si="3"/>
        <v>1</v>
      </c>
      <c r="M19" s="108">
        <v>200</v>
      </c>
    </row>
    <row r="20" spans="1:13" ht="50.25" customHeight="1" x14ac:dyDescent="0.25">
      <c r="A20" s="46">
        <v>10</v>
      </c>
      <c r="B20" s="68" t="s">
        <v>34</v>
      </c>
      <c r="C20" s="80" t="s">
        <v>24</v>
      </c>
      <c r="D20" s="84" t="str">
        <f t="shared" si="0"/>
        <v>2.1.1</v>
      </c>
      <c r="E20" s="72" t="s">
        <v>62</v>
      </c>
      <c r="F20" s="110" t="s">
        <v>14</v>
      </c>
      <c r="G20" s="86">
        <v>36</v>
      </c>
      <c r="H20" s="90">
        <v>500</v>
      </c>
      <c r="I20" s="85">
        <f t="shared" si="1"/>
        <v>18000</v>
      </c>
      <c r="J20" s="71"/>
      <c r="K20" s="66" t="s">
        <v>62</v>
      </c>
      <c r="L20" s="64" t="b">
        <f t="shared" si="3"/>
        <v>1</v>
      </c>
      <c r="M20" s="108">
        <v>500</v>
      </c>
    </row>
    <row r="21" spans="1:13" ht="32.25" customHeight="1" x14ac:dyDescent="0.25">
      <c r="A21" s="46">
        <v>11</v>
      </c>
      <c r="B21" s="68" t="s">
        <v>35</v>
      </c>
      <c r="C21" s="80" t="s">
        <v>24</v>
      </c>
      <c r="D21" s="84" t="str">
        <f t="shared" si="0"/>
        <v>2.1.1</v>
      </c>
      <c r="E21" s="72" t="s">
        <v>52</v>
      </c>
      <c r="F21" s="109" t="s">
        <v>22</v>
      </c>
      <c r="G21" s="86">
        <v>12</v>
      </c>
      <c r="H21" s="90">
        <v>350</v>
      </c>
      <c r="I21" s="85">
        <f t="shared" si="1"/>
        <v>4200</v>
      </c>
      <c r="J21" s="71"/>
      <c r="K21" s="66" t="s">
        <v>52</v>
      </c>
      <c r="L21" s="64" t="b">
        <f t="shared" si="3"/>
        <v>1</v>
      </c>
      <c r="M21" s="108">
        <v>350</v>
      </c>
    </row>
    <row r="22" spans="1:13" ht="50.25" customHeight="1" x14ac:dyDescent="0.25">
      <c r="A22" s="46">
        <v>12</v>
      </c>
      <c r="B22" s="68" t="s">
        <v>36</v>
      </c>
      <c r="C22" s="80" t="s">
        <v>24</v>
      </c>
      <c r="D22" s="84" t="str">
        <f t="shared" si="0"/>
        <v>2.1.1</v>
      </c>
      <c r="E22" s="72" t="s">
        <v>83</v>
      </c>
      <c r="F22" s="109" t="s">
        <v>22</v>
      </c>
      <c r="G22" s="86">
        <v>30</v>
      </c>
      <c r="H22" s="90">
        <v>600</v>
      </c>
      <c r="I22" s="85">
        <f t="shared" si="1"/>
        <v>18000</v>
      </c>
      <c r="J22" s="71"/>
      <c r="K22" s="66" t="s">
        <v>83</v>
      </c>
      <c r="L22" s="64" t="b">
        <f t="shared" si="3"/>
        <v>1</v>
      </c>
      <c r="M22" s="108">
        <v>600</v>
      </c>
    </row>
    <row r="23" spans="1:13" ht="49.5" customHeight="1" x14ac:dyDescent="0.25">
      <c r="A23" s="46">
        <v>13</v>
      </c>
      <c r="B23" s="68" t="s">
        <v>37</v>
      </c>
      <c r="C23" s="80" t="s">
        <v>24</v>
      </c>
      <c r="D23" s="84" t="str">
        <f t="shared" si="0"/>
        <v>2.1.1</v>
      </c>
      <c r="E23" s="72" t="s">
        <v>84</v>
      </c>
      <c r="F23" s="110" t="s">
        <v>14</v>
      </c>
      <c r="G23" s="86">
        <v>45</v>
      </c>
      <c r="H23" s="90">
        <v>100</v>
      </c>
      <c r="I23" s="85">
        <f t="shared" si="1"/>
        <v>4500</v>
      </c>
      <c r="J23" s="71"/>
      <c r="K23" s="66" t="s">
        <v>84</v>
      </c>
      <c r="L23" s="64" t="b">
        <f t="shared" si="3"/>
        <v>1</v>
      </c>
      <c r="M23" s="108">
        <v>100</v>
      </c>
    </row>
    <row r="24" spans="1:13" ht="45" x14ac:dyDescent="0.25">
      <c r="A24" s="46">
        <v>14</v>
      </c>
      <c r="B24" s="68" t="s">
        <v>38</v>
      </c>
      <c r="C24" s="80" t="s">
        <v>24</v>
      </c>
      <c r="D24" s="84" t="str">
        <f t="shared" si="0"/>
        <v>2.1.1</v>
      </c>
      <c r="E24" s="72" t="s">
        <v>53</v>
      </c>
      <c r="F24" s="110" t="s">
        <v>14</v>
      </c>
      <c r="G24" s="86">
        <v>90</v>
      </c>
      <c r="H24" s="90">
        <v>180</v>
      </c>
      <c r="I24" s="85">
        <f t="shared" si="1"/>
        <v>16200</v>
      </c>
      <c r="J24" s="71"/>
      <c r="K24" s="66" t="s">
        <v>53</v>
      </c>
      <c r="L24" s="64" t="b">
        <f t="shared" si="3"/>
        <v>1</v>
      </c>
      <c r="M24" s="108">
        <v>180</v>
      </c>
    </row>
    <row r="25" spans="1:13" ht="30" x14ac:dyDescent="0.25">
      <c r="A25" s="46">
        <v>15</v>
      </c>
      <c r="B25" s="68" t="s">
        <v>39</v>
      </c>
      <c r="C25" s="80" t="s">
        <v>24</v>
      </c>
      <c r="D25" s="84" t="str">
        <f t="shared" si="0"/>
        <v>2.1.1</v>
      </c>
      <c r="E25" s="72" t="s">
        <v>54</v>
      </c>
      <c r="F25" s="110" t="s">
        <v>14</v>
      </c>
      <c r="G25" s="86">
        <v>75</v>
      </c>
      <c r="H25" s="90">
        <v>230</v>
      </c>
      <c r="I25" s="85">
        <f t="shared" si="1"/>
        <v>17250</v>
      </c>
      <c r="J25" s="71"/>
      <c r="K25" s="66" t="s">
        <v>54</v>
      </c>
      <c r="L25" s="64" t="b">
        <f t="shared" si="3"/>
        <v>1</v>
      </c>
      <c r="M25" s="108">
        <v>230</v>
      </c>
    </row>
    <row r="26" spans="1:13" ht="42" customHeight="1" x14ac:dyDescent="0.25">
      <c r="A26" s="46">
        <v>16</v>
      </c>
      <c r="B26" s="68" t="s">
        <v>40</v>
      </c>
      <c r="C26" s="80" t="s">
        <v>24</v>
      </c>
      <c r="D26" s="84" t="str">
        <f t="shared" si="0"/>
        <v>2.1.1</v>
      </c>
      <c r="E26" s="72" t="s">
        <v>55</v>
      </c>
      <c r="F26" s="110" t="s">
        <v>14</v>
      </c>
      <c r="G26" s="86">
        <v>45</v>
      </c>
      <c r="H26" s="90">
        <v>150</v>
      </c>
      <c r="I26" s="85">
        <f t="shared" si="1"/>
        <v>6750</v>
      </c>
      <c r="J26" s="71"/>
      <c r="K26" s="66" t="s">
        <v>55</v>
      </c>
      <c r="L26" s="64" t="b">
        <f t="shared" si="3"/>
        <v>1</v>
      </c>
      <c r="M26" s="108">
        <v>150</v>
      </c>
    </row>
    <row r="27" spans="1:13" ht="30" x14ac:dyDescent="0.25">
      <c r="A27" s="46">
        <v>17</v>
      </c>
      <c r="B27" s="68" t="s">
        <v>41</v>
      </c>
      <c r="C27" s="80" t="s">
        <v>24</v>
      </c>
      <c r="D27" s="84" t="str">
        <f t="shared" si="0"/>
        <v>2.1.1</v>
      </c>
      <c r="E27" s="72" t="s">
        <v>56</v>
      </c>
      <c r="F27" s="110" t="s">
        <v>14</v>
      </c>
      <c r="G27" s="86">
        <v>75</v>
      </c>
      <c r="H27" s="90">
        <v>280</v>
      </c>
      <c r="I27" s="85">
        <f t="shared" si="1"/>
        <v>21000</v>
      </c>
      <c r="J27" s="71"/>
      <c r="K27" s="66" t="s">
        <v>56</v>
      </c>
      <c r="L27" s="64" t="b">
        <f t="shared" si="3"/>
        <v>1</v>
      </c>
      <c r="M27" s="108">
        <v>280</v>
      </c>
    </row>
    <row r="28" spans="1:13" ht="37.5" customHeight="1" x14ac:dyDescent="0.25">
      <c r="A28" s="46">
        <v>18</v>
      </c>
      <c r="B28" s="68" t="s">
        <v>42</v>
      </c>
      <c r="C28" s="80" t="s">
        <v>24</v>
      </c>
      <c r="D28" s="84" t="str">
        <f t="shared" si="0"/>
        <v>2.1.1</v>
      </c>
      <c r="E28" s="76" t="s">
        <v>57</v>
      </c>
      <c r="F28" s="110" t="s">
        <v>14</v>
      </c>
      <c r="G28" s="86">
        <v>150</v>
      </c>
      <c r="H28" s="91">
        <v>100</v>
      </c>
      <c r="I28" s="85">
        <f t="shared" si="1"/>
        <v>15000</v>
      </c>
      <c r="J28" s="71" t="s">
        <v>97</v>
      </c>
      <c r="K28" s="66" t="s">
        <v>57</v>
      </c>
      <c r="L28" s="64" t="b">
        <f t="shared" si="3"/>
        <v>1</v>
      </c>
      <c r="M28" s="108">
        <v>100</v>
      </c>
    </row>
    <row r="29" spans="1:13" ht="20.25" customHeight="1" x14ac:dyDescent="0.25">
      <c r="A29" s="46">
        <v>19</v>
      </c>
      <c r="B29" s="68" t="s">
        <v>43</v>
      </c>
      <c r="C29" s="80" t="s">
        <v>24</v>
      </c>
      <c r="D29" s="84" t="str">
        <f t="shared" si="0"/>
        <v>2.1.1</v>
      </c>
      <c r="E29" s="72" t="s">
        <v>58</v>
      </c>
      <c r="F29" s="110" t="s">
        <v>14</v>
      </c>
      <c r="G29" s="86">
        <v>75</v>
      </c>
      <c r="H29" s="90">
        <v>120</v>
      </c>
      <c r="I29" s="85">
        <f t="shared" si="1"/>
        <v>9000</v>
      </c>
      <c r="J29" s="71"/>
      <c r="K29" s="66" t="s">
        <v>58</v>
      </c>
      <c r="L29" s="64" t="b">
        <f t="shared" si="3"/>
        <v>1</v>
      </c>
      <c r="M29" s="108">
        <v>120</v>
      </c>
    </row>
    <row r="30" spans="1:13" ht="31.5" customHeight="1" thickBot="1" x14ac:dyDescent="0.3">
      <c r="A30" s="46">
        <v>20</v>
      </c>
      <c r="B30" s="82" t="s">
        <v>44</v>
      </c>
      <c r="C30" s="80" t="s">
        <v>24</v>
      </c>
      <c r="D30" s="84" t="str">
        <f t="shared" si="0"/>
        <v>2.1.1</v>
      </c>
      <c r="E30" s="72" t="s">
        <v>59</v>
      </c>
      <c r="F30" s="110" t="s">
        <v>14</v>
      </c>
      <c r="G30" s="92">
        <v>45</v>
      </c>
      <c r="H30" s="90">
        <v>100</v>
      </c>
      <c r="I30" s="85">
        <f t="shared" si="1"/>
        <v>4500</v>
      </c>
      <c r="J30" s="71"/>
      <c r="K30" s="66" t="s">
        <v>59</v>
      </c>
      <c r="L30" s="64" t="b">
        <f t="shared" si="3"/>
        <v>1</v>
      </c>
      <c r="M30" s="108">
        <v>100</v>
      </c>
    </row>
    <row r="31" spans="1:13" ht="49.5" customHeight="1" x14ac:dyDescent="0.25">
      <c r="A31" s="46">
        <v>21</v>
      </c>
      <c r="B31" s="83" t="s">
        <v>46</v>
      </c>
      <c r="C31" s="80" t="s">
        <v>24</v>
      </c>
      <c r="D31" s="84" t="str">
        <f t="shared" si="0"/>
        <v>2.1.1</v>
      </c>
      <c r="E31" s="72" t="s">
        <v>85</v>
      </c>
      <c r="F31" s="111" t="s">
        <v>14</v>
      </c>
      <c r="G31" s="89">
        <v>45</v>
      </c>
      <c r="H31" s="90">
        <v>120</v>
      </c>
      <c r="I31" s="85">
        <f t="shared" si="1"/>
        <v>5400</v>
      </c>
      <c r="J31" s="71"/>
      <c r="K31" s="66" t="s">
        <v>85</v>
      </c>
      <c r="L31" s="64" t="b">
        <f t="shared" si="3"/>
        <v>1</v>
      </c>
      <c r="M31" s="108">
        <v>120</v>
      </c>
    </row>
    <row r="32" spans="1:13" ht="65.25" customHeight="1" x14ac:dyDescent="0.25">
      <c r="A32" s="46">
        <v>22</v>
      </c>
      <c r="B32" s="83" t="s">
        <v>47</v>
      </c>
      <c r="C32" s="80" t="s">
        <v>24</v>
      </c>
      <c r="D32" s="84" t="str">
        <f t="shared" si="0"/>
        <v>2.1.1</v>
      </c>
      <c r="E32" s="72" t="s">
        <v>86</v>
      </c>
      <c r="F32" s="113" t="s">
        <v>14</v>
      </c>
      <c r="G32" s="89">
        <v>75</v>
      </c>
      <c r="H32" s="90">
        <v>750</v>
      </c>
      <c r="I32" s="85">
        <f t="shared" si="1"/>
        <v>56250</v>
      </c>
      <c r="J32" s="71"/>
      <c r="K32" s="66" t="s">
        <v>86</v>
      </c>
      <c r="L32" s="64" t="b">
        <f t="shared" si="3"/>
        <v>1</v>
      </c>
      <c r="M32" s="108">
        <v>750</v>
      </c>
    </row>
    <row r="33" spans="1:13" ht="40.5" customHeight="1" x14ac:dyDescent="0.25">
      <c r="A33" s="46">
        <v>23</v>
      </c>
      <c r="B33" s="83" t="s">
        <v>48</v>
      </c>
      <c r="C33" s="80" t="s">
        <v>24</v>
      </c>
      <c r="D33" s="84" t="str">
        <f t="shared" si="0"/>
        <v>2.1.1</v>
      </c>
      <c r="E33" s="39" t="s">
        <v>60</v>
      </c>
      <c r="F33" s="113" t="s">
        <v>14</v>
      </c>
      <c r="G33" s="89">
        <v>45</v>
      </c>
      <c r="H33" s="90">
        <v>100</v>
      </c>
      <c r="I33" s="85">
        <f t="shared" si="1"/>
        <v>4500</v>
      </c>
      <c r="J33" s="71" t="s">
        <v>99</v>
      </c>
      <c r="K33" s="66" t="s">
        <v>60</v>
      </c>
      <c r="L33" s="64" t="b">
        <f t="shared" si="3"/>
        <v>1</v>
      </c>
      <c r="M33" s="108">
        <v>100</v>
      </c>
    </row>
    <row r="34" spans="1:13" ht="39.75" customHeight="1" x14ac:dyDescent="0.25">
      <c r="A34" s="46">
        <v>24</v>
      </c>
      <c r="B34" s="83" t="s">
        <v>49</v>
      </c>
      <c r="C34" s="80" t="s">
        <v>24</v>
      </c>
      <c r="D34" s="84" t="str">
        <f t="shared" si="0"/>
        <v>2.1.1</v>
      </c>
      <c r="E34" s="76" t="s">
        <v>61</v>
      </c>
      <c r="F34" s="113" t="s">
        <v>14</v>
      </c>
      <c r="G34" s="78">
        <v>75</v>
      </c>
      <c r="H34" s="90">
        <v>100</v>
      </c>
      <c r="I34" s="85">
        <f t="shared" si="1"/>
        <v>7500</v>
      </c>
      <c r="J34" s="71" t="s">
        <v>100</v>
      </c>
      <c r="K34" s="66" t="s">
        <v>61</v>
      </c>
      <c r="L34" s="64" t="b">
        <f t="shared" si="3"/>
        <v>1</v>
      </c>
      <c r="M34" s="108">
        <v>100</v>
      </c>
    </row>
    <row r="35" spans="1:13" ht="31.5" customHeight="1" x14ac:dyDescent="0.25">
      <c r="A35" s="46">
        <v>25</v>
      </c>
      <c r="B35" s="81" t="s">
        <v>74</v>
      </c>
      <c r="C35" s="80" t="s">
        <v>24</v>
      </c>
      <c r="D35" s="84" t="str">
        <f t="shared" si="0"/>
        <v>2.1.1</v>
      </c>
      <c r="E35" s="77" t="s">
        <v>87</v>
      </c>
      <c r="F35" s="113" t="s">
        <v>14</v>
      </c>
      <c r="G35" s="93">
        <v>150</v>
      </c>
      <c r="H35" s="94">
        <v>130</v>
      </c>
      <c r="I35" s="85">
        <f t="shared" si="1"/>
        <v>19500</v>
      </c>
      <c r="J35" s="71"/>
      <c r="K35" s="66" t="s">
        <v>87</v>
      </c>
      <c r="L35" s="64" t="b">
        <f t="shared" si="3"/>
        <v>1</v>
      </c>
      <c r="M35" s="108">
        <v>130</v>
      </c>
    </row>
    <row r="36" spans="1:13" ht="52.5" customHeight="1" x14ac:dyDescent="0.25">
      <c r="A36" s="46">
        <v>26</v>
      </c>
      <c r="B36" s="83" t="s">
        <v>63</v>
      </c>
      <c r="C36" s="80" t="s">
        <v>24</v>
      </c>
      <c r="D36" s="84" t="str">
        <f t="shared" si="0"/>
        <v>2.1.1</v>
      </c>
      <c r="E36" s="72" t="s">
        <v>96</v>
      </c>
      <c r="F36" s="113" t="s">
        <v>14</v>
      </c>
      <c r="G36" s="95">
        <v>128</v>
      </c>
      <c r="H36" s="94">
        <v>250</v>
      </c>
      <c r="I36" s="85">
        <f t="shared" si="1"/>
        <v>32000</v>
      </c>
      <c r="J36" s="71"/>
      <c r="K36" s="66" t="s">
        <v>88</v>
      </c>
      <c r="L36" s="64" t="b">
        <f t="shared" si="3"/>
        <v>1</v>
      </c>
      <c r="M36" s="108">
        <v>250</v>
      </c>
    </row>
    <row r="37" spans="1:13" ht="37.5" customHeight="1" x14ac:dyDescent="0.25">
      <c r="A37" s="46">
        <v>27</v>
      </c>
      <c r="B37" s="78" t="s">
        <v>64</v>
      </c>
      <c r="C37" s="80" t="s">
        <v>24</v>
      </c>
      <c r="D37" s="84" t="str">
        <f t="shared" si="0"/>
        <v>2.1.1</v>
      </c>
      <c r="E37" s="48" t="s">
        <v>89</v>
      </c>
      <c r="F37" s="113" t="s">
        <v>14</v>
      </c>
      <c r="G37" s="95">
        <v>36</v>
      </c>
      <c r="H37" s="94">
        <v>100</v>
      </c>
      <c r="I37" s="85">
        <f t="shared" si="1"/>
        <v>3600</v>
      </c>
      <c r="J37" s="71" t="s">
        <v>101</v>
      </c>
      <c r="K37" s="66" t="s">
        <v>89</v>
      </c>
      <c r="L37" s="64" t="b">
        <f t="shared" si="3"/>
        <v>1</v>
      </c>
      <c r="M37" s="108">
        <v>100</v>
      </c>
    </row>
    <row r="38" spans="1:13" ht="30.75" customHeight="1" x14ac:dyDescent="0.25">
      <c r="A38" s="46">
        <v>28</v>
      </c>
      <c r="B38" s="78" t="s">
        <v>65</v>
      </c>
      <c r="C38" s="80" t="s">
        <v>24</v>
      </c>
      <c r="D38" s="84" t="str">
        <f t="shared" si="0"/>
        <v>2.1.1</v>
      </c>
      <c r="E38" s="72" t="s">
        <v>90</v>
      </c>
      <c r="F38" s="113" t="s">
        <v>14</v>
      </c>
      <c r="G38" s="95">
        <v>36</v>
      </c>
      <c r="H38" s="94">
        <v>150</v>
      </c>
      <c r="I38" s="85">
        <f t="shared" si="1"/>
        <v>5400</v>
      </c>
      <c r="J38" s="71"/>
      <c r="K38" s="66" t="s">
        <v>90</v>
      </c>
      <c r="L38" s="64" t="b">
        <f t="shared" si="3"/>
        <v>1</v>
      </c>
      <c r="M38" s="108">
        <v>150</v>
      </c>
    </row>
    <row r="39" spans="1:13" ht="30.75" customHeight="1" x14ac:dyDescent="0.25">
      <c r="A39" s="46">
        <v>29</v>
      </c>
      <c r="B39" s="78" t="s">
        <v>66</v>
      </c>
      <c r="C39" s="80" t="s">
        <v>24</v>
      </c>
      <c r="D39" s="84" t="str">
        <f t="shared" si="0"/>
        <v>2.1.1</v>
      </c>
      <c r="E39" s="72" t="s">
        <v>91</v>
      </c>
      <c r="F39" s="113" t="s">
        <v>14</v>
      </c>
      <c r="G39" s="95">
        <v>15</v>
      </c>
      <c r="H39" s="94">
        <v>350</v>
      </c>
      <c r="I39" s="85">
        <f t="shared" si="1"/>
        <v>5250</v>
      </c>
      <c r="J39" s="71"/>
      <c r="K39" s="66" t="s">
        <v>91</v>
      </c>
      <c r="L39" s="64" t="b">
        <f t="shared" si="3"/>
        <v>1</v>
      </c>
      <c r="M39" s="108">
        <v>350</v>
      </c>
    </row>
    <row r="40" spans="1:13" ht="33.75" customHeight="1" x14ac:dyDescent="0.25">
      <c r="A40" s="46">
        <v>30</v>
      </c>
      <c r="B40" s="83" t="s">
        <v>67</v>
      </c>
      <c r="C40" s="80" t="s">
        <v>24</v>
      </c>
      <c r="D40" s="84" t="str">
        <f t="shared" si="0"/>
        <v>2.1.1</v>
      </c>
      <c r="E40" s="72" t="s">
        <v>92</v>
      </c>
      <c r="F40" s="113" t="s">
        <v>14</v>
      </c>
      <c r="G40" s="95">
        <v>15</v>
      </c>
      <c r="H40" s="94">
        <v>350</v>
      </c>
      <c r="I40" s="85">
        <f t="shared" si="1"/>
        <v>5250</v>
      </c>
      <c r="J40" s="71"/>
      <c r="K40" s="66" t="s">
        <v>92</v>
      </c>
      <c r="L40" s="64" t="b">
        <f t="shared" si="3"/>
        <v>1</v>
      </c>
      <c r="M40" s="108">
        <v>350</v>
      </c>
    </row>
    <row r="41" spans="1:13" ht="38.25" x14ac:dyDescent="0.25">
      <c r="A41" s="46">
        <v>31</v>
      </c>
      <c r="B41" s="78" t="s">
        <v>68</v>
      </c>
      <c r="C41" s="80" t="s">
        <v>24</v>
      </c>
      <c r="D41" s="84" t="str">
        <f t="shared" si="0"/>
        <v>2.1.1</v>
      </c>
      <c r="E41" s="1" t="s">
        <v>70</v>
      </c>
      <c r="F41" s="113" t="s">
        <v>14</v>
      </c>
      <c r="G41" s="95">
        <v>6</v>
      </c>
      <c r="H41" s="96">
        <v>1200</v>
      </c>
      <c r="I41" s="85">
        <f t="shared" si="1"/>
        <v>7200</v>
      </c>
      <c r="J41" s="71" t="s">
        <v>102</v>
      </c>
      <c r="K41" s="66" t="s">
        <v>70</v>
      </c>
      <c r="L41" s="64" t="b">
        <f t="shared" si="3"/>
        <v>1</v>
      </c>
      <c r="M41" s="108">
        <v>1200</v>
      </c>
    </row>
    <row r="42" spans="1:13" ht="24" customHeight="1" x14ac:dyDescent="0.25">
      <c r="A42" s="46">
        <v>32</v>
      </c>
      <c r="B42" s="78" t="s">
        <v>69</v>
      </c>
      <c r="C42" s="80" t="s">
        <v>24</v>
      </c>
      <c r="D42" s="84" t="str">
        <f t="shared" si="0"/>
        <v>2.1.1</v>
      </c>
      <c r="E42" s="79" t="s">
        <v>71</v>
      </c>
      <c r="F42" s="113" t="s">
        <v>14</v>
      </c>
      <c r="G42" s="95">
        <v>6</v>
      </c>
      <c r="H42" s="96">
        <v>1000</v>
      </c>
      <c r="I42" s="85">
        <f t="shared" si="1"/>
        <v>6000</v>
      </c>
      <c r="J42" s="71"/>
      <c r="K42" s="66" t="s">
        <v>71</v>
      </c>
      <c r="L42" s="64" t="b">
        <f t="shared" si="3"/>
        <v>1</v>
      </c>
      <c r="M42" s="108">
        <v>1000</v>
      </c>
    </row>
    <row r="43" spans="1:13" ht="24" customHeight="1" x14ac:dyDescent="0.25">
      <c r="A43" s="46">
        <v>33</v>
      </c>
      <c r="B43" s="83" t="s">
        <v>72</v>
      </c>
      <c r="C43" s="80" t="s">
        <v>24</v>
      </c>
      <c r="D43" s="84" t="str">
        <f t="shared" si="0"/>
        <v>2.1.1</v>
      </c>
      <c r="E43" s="79" t="s">
        <v>73</v>
      </c>
      <c r="F43" s="113" t="s">
        <v>14</v>
      </c>
      <c r="G43" s="97">
        <v>9</v>
      </c>
      <c r="H43" s="98">
        <v>600</v>
      </c>
      <c r="I43" s="85">
        <f t="shared" si="1"/>
        <v>5400</v>
      </c>
      <c r="J43" s="71"/>
      <c r="K43" s="66" t="s">
        <v>73</v>
      </c>
      <c r="L43" s="64" t="b">
        <f t="shared" si="3"/>
        <v>1</v>
      </c>
      <c r="M43" s="108">
        <v>600</v>
      </c>
    </row>
    <row r="44" spans="1:13" ht="24" customHeight="1" x14ac:dyDescent="0.25">
      <c r="A44" s="50"/>
      <c r="B44" s="51"/>
      <c r="C44" s="38"/>
      <c r="D44" s="40"/>
      <c r="E44" s="1"/>
      <c r="F44" s="49"/>
      <c r="G44" s="53"/>
      <c r="H44" s="52"/>
      <c r="I44" s="47"/>
      <c r="J44" s="71"/>
    </row>
    <row r="45" spans="1:13" ht="24" customHeight="1" x14ac:dyDescent="0.25">
      <c r="A45" s="50"/>
      <c r="B45" s="51"/>
      <c r="C45" s="38"/>
      <c r="D45" s="40"/>
      <c r="E45" s="1"/>
      <c r="F45" s="49"/>
      <c r="G45" s="53"/>
      <c r="H45" s="52"/>
      <c r="I45" s="85">
        <f>SUM(I11:I44)</f>
        <v>385450</v>
      </c>
      <c r="J45" s="71"/>
    </row>
    <row r="46" spans="1:13" ht="24" customHeight="1" x14ac:dyDescent="0.25">
      <c r="A46" s="35"/>
      <c r="B46" s="54"/>
      <c r="C46" s="55"/>
      <c r="D46" s="56"/>
      <c r="E46" s="2"/>
      <c r="F46" s="57"/>
      <c r="G46" s="58"/>
      <c r="H46" s="59"/>
      <c r="I46" s="60"/>
      <c r="J46" s="71"/>
    </row>
    <row r="48" spans="1:13" ht="15.75" thickBot="1" x14ac:dyDescent="0.3"/>
    <row r="49" spans="1:12" s="3" customFormat="1" ht="39.75" customHeight="1" x14ac:dyDescent="0.2">
      <c r="A49" s="17"/>
      <c r="B49" s="25" t="s">
        <v>15</v>
      </c>
      <c r="C49" s="18"/>
      <c r="D49" s="26"/>
      <c r="E49" s="19"/>
      <c r="G49" s="7"/>
      <c r="H49" s="27"/>
      <c r="I49" s="4"/>
      <c r="J49" s="74"/>
      <c r="K49" s="67"/>
      <c r="L49" s="65"/>
    </row>
    <row r="50" spans="1:12" s="3" customFormat="1" ht="100.5" customHeight="1" x14ac:dyDescent="0.2">
      <c r="A50" s="17"/>
      <c r="B50" s="20"/>
      <c r="C50" s="102" t="s">
        <v>75</v>
      </c>
      <c r="D50" s="102"/>
      <c r="E50" s="103"/>
      <c r="G50" s="7"/>
      <c r="H50" s="27"/>
      <c r="I50" s="4"/>
      <c r="J50" s="74"/>
      <c r="K50" s="67"/>
      <c r="L50" s="65"/>
    </row>
    <row r="51" spans="1:12" s="3" customFormat="1" ht="12.75" x14ac:dyDescent="0.2">
      <c r="A51" s="17"/>
      <c r="B51" s="20"/>
      <c r="C51" s="101"/>
      <c r="D51" s="101"/>
      <c r="E51" s="101"/>
      <c r="G51" s="7"/>
      <c r="H51" s="27"/>
      <c r="I51" s="4"/>
      <c r="J51" s="74"/>
      <c r="K51" s="67"/>
      <c r="L51" s="65"/>
    </row>
    <row r="52" spans="1:12" s="3" customFormat="1" ht="12.75" x14ac:dyDescent="0.2">
      <c r="A52" s="17"/>
      <c r="B52" s="28" t="s">
        <v>16</v>
      </c>
      <c r="C52" s="14"/>
      <c r="D52" s="29"/>
      <c r="E52" s="23"/>
      <c r="G52" s="7"/>
      <c r="H52" s="27"/>
      <c r="I52" s="4"/>
      <c r="J52" s="74"/>
      <c r="K52" s="67"/>
      <c r="L52" s="65"/>
    </row>
    <row r="53" spans="1:12" s="3" customFormat="1" ht="12.75" customHeight="1" x14ac:dyDescent="0.2">
      <c r="A53" s="17"/>
      <c r="B53" s="20"/>
      <c r="C53" s="104" t="s">
        <v>23</v>
      </c>
      <c r="D53" s="104"/>
      <c r="E53" s="104"/>
      <c r="G53" s="7"/>
      <c r="H53" s="27"/>
      <c r="I53" s="4"/>
      <c r="J53" s="74"/>
      <c r="K53" s="67"/>
      <c r="L53" s="65"/>
    </row>
    <row r="54" spans="1:12" s="3" customFormat="1" ht="13.5" thickBot="1" x14ac:dyDescent="0.25">
      <c r="B54" s="30"/>
      <c r="C54" s="15"/>
      <c r="D54" s="31"/>
      <c r="E54" s="16"/>
      <c r="G54" s="7"/>
      <c r="H54" s="27"/>
      <c r="I54" s="4"/>
      <c r="J54" s="74"/>
      <c r="K54" s="67"/>
      <c r="L54" s="65"/>
    </row>
    <row r="55" spans="1:12" s="3" customFormat="1" ht="13.5" thickBot="1" x14ac:dyDescent="0.25">
      <c r="C55" s="5"/>
      <c r="E55" s="6"/>
      <c r="G55" s="7"/>
      <c r="H55" s="27"/>
      <c r="I55" s="4"/>
      <c r="J55" s="74"/>
      <c r="K55" s="67"/>
      <c r="L55" s="65"/>
    </row>
    <row r="56" spans="1:12" s="3" customFormat="1" ht="12.75" x14ac:dyDescent="0.2">
      <c r="B56" s="32" t="s">
        <v>17</v>
      </c>
      <c r="C56" s="11"/>
      <c r="D56" s="11"/>
      <c r="E56" s="21"/>
      <c r="G56" s="7"/>
      <c r="H56" s="27"/>
      <c r="I56" s="4"/>
      <c r="J56" s="74"/>
      <c r="K56" s="67"/>
      <c r="L56" s="65"/>
    </row>
    <row r="57" spans="1:12" s="3" customFormat="1" ht="30" customHeight="1" x14ac:dyDescent="0.2">
      <c r="B57" s="33"/>
      <c r="C57" s="99" t="s">
        <v>18</v>
      </c>
      <c r="D57" s="99"/>
      <c r="E57" s="100"/>
      <c r="G57" s="7"/>
      <c r="H57" s="27"/>
      <c r="I57" s="4"/>
      <c r="J57" s="74"/>
      <c r="K57" s="67"/>
      <c r="L57" s="65"/>
    </row>
    <row r="58" spans="1:12" s="3" customFormat="1" ht="24.75" customHeight="1" x14ac:dyDescent="0.2">
      <c r="B58" s="34" t="s">
        <v>19</v>
      </c>
      <c r="C58" s="12"/>
      <c r="D58" s="35"/>
      <c r="E58" s="13"/>
      <c r="G58" s="7"/>
      <c r="H58" s="27"/>
      <c r="I58" s="4"/>
      <c r="J58" s="74"/>
      <c r="K58" s="67"/>
      <c r="L58" s="65"/>
    </row>
    <row r="59" spans="1:12" s="3" customFormat="1" ht="12.75" x14ac:dyDescent="0.2">
      <c r="B59" s="36"/>
      <c r="C59" s="101"/>
      <c r="D59" s="101"/>
      <c r="E59" s="101"/>
      <c r="G59" s="7"/>
      <c r="H59" s="27"/>
      <c r="I59" s="4"/>
      <c r="J59" s="74"/>
      <c r="K59" s="67"/>
      <c r="L59" s="65"/>
    </row>
    <row r="60" spans="1:12" s="3" customFormat="1" ht="13.5" thickBot="1" x14ac:dyDescent="0.25">
      <c r="B60" s="37"/>
      <c r="C60" s="15"/>
      <c r="D60" s="31"/>
      <c r="E60" s="16"/>
      <c r="G60" s="7"/>
      <c r="H60" s="27"/>
      <c r="I60" s="4"/>
      <c r="J60" s="74"/>
      <c r="K60" s="67"/>
      <c r="L60" s="65"/>
    </row>
  </sheetData>
  <autoFilter ref="A10:L43" xr:uid="{00000000-0001-0000-0000-000000000000}"/>
  <mergeCells count="12">
    <mergeCell ref="A8:B8"/>
    <mergeCell ref="A7:B7"/>
    <mergeCell ref="B3:H3"/>
    <mergeCell ref="A5:B5"/>
    <mergeCell ref="C5:E5"/>
    <mergeCell ref="A6:B6"/>
    <mergeCell ref="C6:E6"/>
    <mergeCell ref="C57:E57"/>
    <mergeCell ref="C59:E59"/>
    <mergeCell ref="C50:E50"/>
    <mergeCell ref="C51:E51"/>
    <mergeCell ref="C53:E53"/>
  </mergeCells>
  <pageMargins left="0.70866141732283472" right="0.70866141732283472" top="0.74803149606299213" bottom="0.74803149606299213" header="0.31496062992125984" footer="0.31496062992125984"/>
  <pageSetup paperSize="5" scale="7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COMPRAR</cp:lastModifiedBy>
  <cp:lastPrinted>2022-03-04T13:42:48Z</cp:lastPrinted>
  <dcterms:created xsi:type="dcterms:W3CDTF">2021-12-14T12:26:47Z</dcterms:created>
  <dcterms:modified xsi:type="dcterms:W3CDTF">2022-03-09T14:13:27Z</dcterms:modified>
</cp:coreProperties>
</file>