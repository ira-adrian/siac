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13_ncr:1_{52CA015D-55AE-4B9F-80F9-D4A17C24BCA6}" xr6:coauthVersionLast="47" xr6:coauthVersionMax="47" xr10:uidLastSave="{00000000-0000-0000-0000-000000000000}"/>
  <bookViews>
    <workbookView xWindow="-120" yWindow="-120" windowWidth="29040" windowHeight="15840" xr2:uid="{AADB0136-8602-4A8D-BCB1-A3994A9EE96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1" l="1"/>
  <c r="I26" i="1"/>
  <c r="D26" i="1"/>
  <c r="I25" i="1"/>
  <c r="I24" i="1"/>
  <c r="I23" i="1"/>
  <c r="I22" i="1"/>
  <c r="D22" i="1"/>
  <c r="I21" i="1"/>
  <c r="D21" i="1"/>
  <c r="I20" i="1"/>
  <c r="I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I11" i="1"/>
  <c r="D11" i="1"/>
  <c r="I10" i="1"/>
  <c r="D10" i="1"/>
  <c r="I9" i="1"/>
  <c r="D9" i="1"/>
  <c r="A9" i="1"/>
  <c r="I8" i="1"/>
  <c r="D8" i="1"/>
  <c r="I28" i="1" l="1"/>
</calcChain>
</file>

<file path=xl/sharedStrings.xml><?xml version="1.0" encoding="utf-8"?>
<sst xmlns="http://schemas.openxmlformats.org/spreadsheetml/2006/main" count="135" uniqueCount="91">
  <si>
    <t>JURISDICCION:</t>
  </si>
  <si>
    <t>30 - MINISTERIO DE ECONOMIA</t>
  </si>
  <si>
    <t xml:space="preserve">SAF N°: </t>
  </si>
  <si>
    <t>SAF 9 - DIRECCION PROVINCIAL DE ADMINISTRACION DE LA SECRETARIA DE FINANZAS PUBLICAS</t>
  </si>
  <si>
    <t>UNIDAD EJECUTORA</t>
  </si>
  <si>
    <t>SECRETARIA DE COMPRA Y ABASTECIMIENTO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</si>
  <si>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</si>
  <si>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</si>
  <si>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</si>
  <si>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</si>
  <si>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</si>
  <si>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</si>
  <si>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</si>
  <si>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</si>
  <si>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</si>
  <si>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</si>
  <si>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</si>
  <si>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2.9.2-660.1</t>
  </si>
  <si>
    <t>LIBRERIA,PAP. Y UTILES OFICINA</t>
  </si>
  <si>
    <t>CLIPS P/PAPEL; NUMERO: 3, MATERIAL: METAL, CANT. X CAJA: 100, PRESENTACION: CAJA X 100</t>
  </si>
  <si>
    <t>CAJA</t>
  </si>
  <si>
    <t>2.9.2-1616.137</t>
  </si>
  <si>
    <t>MARCADORES; TIPO: INDELEBLE, TRAZO: GRUESO, PUNTA: REDONDA, COLOR: NEGRO, RECARGABLE: NO</t>
  </si>
  <si>
    <t>UNIDAD</t>
  </si>
  <si>
    <t>2.9.2-1611.22</t>
  </si>
  <si>
    <t>FOLIOS TRANSPARENTES; TAMAÑO: OFICIO, PERFORACIONES: 11, MATERIAL: POLIPROPILENO</t>
  </si>
  <si>
    <t>PAQUETE</t>
  </si>
  <si>
    <t>2.3.1-6590.551</t>
  </si>
  <si>
    <t>SOBRES DE PAPEL; TIPO: MADERA, TAMAÑO: A4, GRAMAJE: 80 GR/M2, PRESENTACION: ENVASE X 100 UN, CERTIFICADO FORESTAL (GFS): CON, PORC. FIBRAS RECICLADAS: 0 %, CERT. FIBRA ALTERNATIVA (FCA): CON</t>
  </si>
  <si>
    <t>2.9.2-700.2</t>
  </si>
  <si>
    <t>2.9.2.</t>
  </si>
  <si>
    <t>BROCHES P/ABROCHADORA; NUMERO: 21/6, PRESENTACION: CAJA X 1000 UNIDADES</t>
  </si>
  <si>
    <t>2.9.2-700.28</t>
  </si>
  <si>
    <t>BROCHES P/ABROCHADORA; NUMERO: 10/50, PRESENTACION: CAJA X 1000 UNIDADES</t>
  </si>
  <si>
    <t>2.9.2-1358.353</t>
  </si>
  <si>
    <t>CARPETAS; MATERIAL PLASTICO - TAMAÑO A4.</t>
  </si>
  <si>
    <t>2.9.2-1358.354</t>
  </si>
  <si>
    <t>CARPETAS; MATERIAL PLASTICO - TAMAÑO OFICIO.</t>
  </si>
  <si>
    <t>2.9.2-1100.18</t>
  </si>
  <si>
    <t>ALFILERES; MATERIAL: ACERO 1010, ESPESOR: SIN VALOR, LARGO: SIN VALOR, PRESENTACION: CAJA X 90 GR, NUMERO: 3</t>
  </si>
  <si>
    <t>2.9.2-660.13</t>
  </si>
  <si>
    <t>CLIPS P/PAPEL; NUMERO: 5, CANT. X CAJA: 100, MATERIAL: METAL, PRESENTACION: CAJA X 100</t>
  </si>
  <si>
    <t>2.9.2-323.4</t>
  </si>
  <si>
    <t>CORRECTORES DE ESCRITURA; CAPACIDAD: 7 mL, ENVASE: LAPIZ (PUNTA METAL), PRESENTACION: LAPIZ (PUNTA METAL) X 7 mL</t>
  </si>
  <si>
    <t>2.9.2-873.1</t>
  </si>
  <si>
    <t>2.3.4</t>
  </si>
  <si>
    <t>PINCHES P/PAPELES; ALTURA 125mm - BASE METAL</t>
  </si>
  <si>
    <t>2.9.2-661.9</t>
  </si>
  <si>
    <t>2,9,2</t>
  </si>
  <si>
    <t>2.9.2-848.11</t>
  </si>
  <si>
    <t>LAPIZ; TIPO: HB, COLOR: NEGRO</t>
  </si>
  <si>
    <t>2.3.1-6587.139</t>
  </si>
  <si>
    <t>PAPELES ENCUADERNADOS; CANT. DE HOJAS: 100, TAMAÑO: 23 X 35 Cm, TIPO: LIBRO DE ACTAS</t>
  </si>
  <si>
    <t>2.9.2-1062.12</t>
  </si>
  <si>
    <t>2.3.1</t>
  </si>
  <si>
    <t>PAPELES ANOTADOR AUTOADHESIVOS; PRESENTACION: 100 HOJAS, LARGO X ANCHO: 76 X 76 mm</t>
  </si>
  <si>
    <t>2.3.1-6587.346</t>
  </si>
  <si>
    <t>PAPELES ENCUADERNADOS; CANT. DE HOJAS: 100, TAMAÑO: A4, TIPO: CUADERNO ESPIRALADO TAPA DURA, CERTIFICADO FORESTAL (GFS): SIN, PORC. FIBRAS RECICLADAS: 0 %, CERT. FIBRA ALTERNATIVA (FCA): SIN</t>
  </si>
  <si>
    <t>2.3.1-6587.334</t>
  </si>
  <si>
    <t>PAPELES ENCUADERNADOS; CANT. DE HOJAS: 84 HOJAS, TAMAÑO: 16 X 21 Cm, TIPO: RAYADO ESPIRALADO, CERTIFICADO FORESTAL (GFS): CON, PORC. FIBRAS RECICLADAS: 0 %, CERT. FIBRA ALTERNATIVA (FCA): SIN</t>
  </si>
  <si>
    <t>2.9.2-1354.21</t>
  </si>
  <si>
    <t>RESALTADORES; PUNTA: BISELADA, ACCESORIO: SIN, COLOR: SIN VALOR, TIPO PUNTA: BISELADA</t>
  </si>
  <si>
    <t>2.9.2-758.25</t>
  </si>
  <si>
    <t>2.9.2</t>
  </si>
  <si>
    <t>TIJERAS P/CORTAR PAPELES; LONG.DE CUERPO: 22 Cm, MATERIAL: ACERO INOXIDABLE, CUCHILLA: REDONDEADAS, MANGO: ERGONOMETRICO DE PLASTICO</t>
  </si>
  <si>
    <t>Costo total estimado Rubro:</t>
  </si>
  <si>
    <t xml:space="preserve">Especificidades de Items </t>
  </si>
  <si>
    <t>Especificidades Item N°7 :</t>
  </si>
  <si>
    <t>Descripción técnica:</t>
  </si>
  <si>
    <t>CARPETAS; MATERIAL PLASTICO - TAMAÑO A4 - BASE OPACA - TAPA TRANSPARENTE - COLOR NEGRO</t>
  </si>
  <si>
    <t>Especificidades Item N°8 :</t>
  </si>
  <si>
    <t>CARPETAS; MATERIAL PLASTICO - TAMAÑO OFICIO - BASE OPACA - TAPA TRANSPARENTE - COLOR: NEGRO</t>
  </si>
  <si>
    <t>Especificidades Item N°16 :</t>
  </si>
  <si>
    <t>COLOR AMARILLO Y NARANJA, CANTIDADES IGUALES</t>
  </si>
  <si>
    <t>Especificidades Item N°17 :</t>
  </si>
  <si>
    <t>HOJA RAYADA CANTIDAD 20, HOJA CUADRICULADA CANTIDAD 10.</t>
  </si>
  <si>
    <t>Especificidades Item N°19 :</t>
  </si>
  <si>
    <t>Plazo y Lugar de entrega:</t>
  </si>
  <si>
    <t xml:space="preserve"> </t>
  </si>
  <si>
    <t xml:space="preserve">El plazo de entrega no podrá ser superior a los Diez (10) días hábiles a partir de la fecha de recepción de la respectiva Orden de Compra. La entrega de dichos bienes se realizará en la Secretaria de Compras y Abastecimiento, sito en Avda. Venezuela S/N° - Pabellon 21 C.A.P.E. en la ciudad de San Fernando del Valle de Catamarca de 8:00hs. a 13:00hs. debiendo correr los gastos de fletes, acarreo, carga, descarga y seguro a cargo del adjudicatario. Se presentará Remito que deberá cumplimentar lo dispuesto por la R.G. AFIP  1415/03, sin excepción. </t>
  </si>
  <si>
    <t>Calidad Minima esperada:</t>
  </si>
  <si>
    <t>PRIMERA CALIDAD</t>
  </si>
  <si>
    <t>Mantenimiento:</t>
  </si>
  <si>
    <t>Treinta (30) días hábiles.-</t>
  </si>
  <si>
    <t>Garantia:</t>
  </si>
  <si>
    <t>COLOR AMARILLO, VERDE, NARANJA Y ROSA, CANTIDADES IGUALES. CAJA POR 10 UNIDADES</t>
  </si>
  <si>
    <t>Especificidades Item N°14 :</t>
  </si>
  <si>
    <t>CAJA POR 12 UNIDADES</t>
  </si>
  <si>
    <t>GOMAS DE BORRAR; DIMENSION: 4 X 1 X 1 Cm, MATERIAL: CAUCHO, CANT. X CAJA: 30,
 USO: LAPIZ Y TINTA, PRESENTACION: CAJA X 30</t>
  </si>
  <si>
    <t>Especificidades Item N°3 :</t>
  </si>
  <si>
    <t>PAQUETE POR 100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</si>
</sst>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5" formatCode="_-[$$-2C0A]\ * #,##0.00_-;\-[$$-2C0A]\ * #,##0.00_-;_-[$$-2C0A]\ * &quot;-&quot;??_-;_-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0"/>
      <name val="Arial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rgb="FF333333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sz val="11"/>
      <name val="Times New Roman"/>
      <family val="1"/>
    </font>
    <font>
      <sz val="10"/>
      <color theme="1"/>
      <name val="Arial"/>
      <family val="2"/>
    </font>
    <font>
      <sz val="9"/>
      <color rgb="FF000000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6" tint="0.59999389629810485"/>
        <bgColor rgb="FFC0C0C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0"/>
        <bgColor rgb="FFC0C0C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84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horizontal="left" wrapText="1"/>
    </xf>
    <xf numFmtId="0" fontId="4" fillId="4" borderId="0" xfId="0" applyFont="1" applyFill="1"/>
    <xf numFmtId="0" fontId="5" fillId="4" borderId="0" xfId="0" applyFont="1" applyFill="1" applyAlignment="1">
      <alignment horizontal="left" wrapText="1"/>
    </xf>
    <xf numFmtId="0" fontId="5" fillId="4" borderId="0" xfId="0" applyFont="1" applyFill="1" applyAlignment="1">
      <alignment horizontal="center" wrapText="1"/>
    </xf>
    <xf numFmtId="164" fontId="5" fillId="4" borderId="0" xfId="0" applyNumberFormat="1" applyFont="1" applyFill="1" applyAlignment="1">
      <alignment horizontal="center" wrapText="1"/>
    </xf>
    <xf numFmtId="0" fontId="6" fillId="4" borderId="2" xfId="0" applyFont="1" applyFill="1" applyBorder="1"/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left" vertical="top" wrapText="1"/>
    </xf>
    <xf numFmtId="0" fontId="6" fillId="0" borderId="3" xfId="0" applyFont="1" applyBorder="1"/>
    <xf numFmtId="0" fontId="5" fillId="0" borderId="4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wrapText="1"/>
    </xf>
    <xf numFmtId="164" fontId="5" fillId="4" borderId="4" xfId="0" applyNumberFormat="1" applyFont="1" applyFill="1" applyBorder="1" applyAlignment="1">
      <alignment horizontal="center" wrapText="1"/>
    </xf>
    <xf numFmtId="0" fontId="6" fillId="4" borderId="5" xfId="0" applyFont="1" applyFill="1" applyBorder="1"/>
    <xf numFmtId="0" fontId="0" fillId="0" borderId="6" xfId="0" applyBorder="1" applyAlignment="1">
      <alignment horizontal="left"/>
    </xf>
    <xf numFmtId="0" fontId="9" fillId="0" borderId="6" xfId="0" applyFont="1" applyBorder="1" applyAlignment="1">
      <alignment horizontal="center" vertical="center" wrapText="1"/>
    </xf>
    <xf numFmtId="165" fontId="7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/>
    </xf>
    <xf numFmtId="0" fontId="12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164" fontId="3" fillId="5" borderId="8" xfId="0" applyNumberFormat="1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11" xfId="0" applyFont="1" applyBorder="1"/>
    <xf numFmtId="165" fontId="15" fillId="9" borderId="12" xfId="0" applyNumberFormat="1" applyFont="1" applyFill="1" applyBorder="1"/>
    <xf numFmtId="0" fontId="7" fillId="6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8" fillId="7" borderId="6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17" fillId="0" borderId="13" xfId="0" applyFont="1" applyBorder="1"/>
    <xf numFmtId="0" fontId="0" fillId="0" borderId="14" xfId="0" applyBorder="1"/>
    <xf numFmtId="0" fontId="0" fillId="0" borderId="15" xfId="0" applyBorder="1"/>
    <xf numFmtId="0" fontId="2" fillId="0" borderId="1" xfId="0" applyFont="1" applyBorder="1"/>
    <xf numFmtId="0" fontId="0" fillId="0" borderId="2" xfId="0" applyBorder="1"/>
    <xf numFmtId="0" fontId="2" fillId="0" borderId="3" xfId="0" applyFont="1" applyBorder="1" applyAlignment="1">
      <alignment vertical="center"/>
    </xf>
    <xf numFmtId="0" fontId="11" fillId="8" borderId="4" xfId="0" applyFont="1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17" fillId="0" borderId="1" xfId="0" applyFont="1" applyBorder="1"/>
    <xf numFmtId="0" fontId="2" fillId="0" borderId="3" xfId="0" applyFont="1" applyBorder="1" applyAlignment="1">
      <alignment horizontal="left" vertical="center"/>
    </xf>
    <xf numFmtId="0" fontId="0" fillId="8" borderId="4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0" fillId="0" borderId="3" xfId="0" applyBorder="1"/>
    <xf numFmtId="0" fontId="0" fillId="8" borderId="4" xfId="0" applyFill="1" applyBorder="1" applyAlignment="1">
      <alignment horizontal="left"/>
    </xf>
    <xf numFmtId="0" fontId="0" fillId="8" borderId="5" xfId="0" applyFill="1" applyBorder="1" applyAlignment="1">
      <alignment horizontal="left"/>
    </xf>
    <xf numFmtId="0" fontId="0" fillId="10" borderId="6" xfId="0" applyFill="1" applyBorder="1"/>
    <xf numFmtId="0" fontId="10" fillId="10" borderId="6" xfId="0" applyFont="1" applyFill="1" applyBorder="1" applyAlignment="1">
      <alignment horizontal="center" vertical="center" wrapText="1"/>
    </xf>
    <xf numFmtId="3" fontId="7" fillId="10" borderId="6" xfId="0" applyNumberFormat="1" applyFont="1" applyFill="1" applyBorder="1" applyAlignment="1">
      <alignment horizontal="center" vertical="center"/>
    </xf>
    <xf numFmtId="44" fontId="7" fillId="10" borderId="6" xfId="1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1" fillId="10" borderId="6" xfId="2" applyFill="1" applyBorder="1" applyAlignment="1">
      <alignment horizontal="left" vertical="center" wrapText="1"/>
    </xf>
    <xf numFmtId="0" fontId="11" fillId="10" borderId="6" xfId="0" applyFont="1" applyFill="1" applyBorder="1" applyAlignment="1">
      <alignment vertical="center" wrapText="1"/>
    </xf>
    <xf numFmtId="0" fontId="7" fillId="10" borderId="6" xfId="0" applyFont="1" applyFill="1" applyBorder="1" applyAlignment="1">
      <alignment horizontal="left" vertical="center" wrapText="1"/>
    </xf>
    <xf numFmtId="0" fontId="13" fillId="10" borderId="6" xfId="0" applyFont="1" applyFill="1" applyBorder="1" applyAlignment="1">
      <alignment horizontal="left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0" fillId="10" borderId="6" xfId="0" applyFill="1" applyBorder="1" applyAlignment="1">
      <alignment wrapText="1"/>
    </xf>
    <xf numFmtId="0" fontId="14" fillId="10" borderId="6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/>
    </xf>
    <xf numFmtId="44" fontId="8" fillId="10" borderId="6" xfId="1" applyFont="1" applyFill="1" applyBorder="1" applyAlignment="1">
      <alignment horizontal="center" vertical="center"/>
    </xf>
  </cellXfs>
  <cellStyles count="3">
    <cellStyle name="20% - Énfasis4" xfId="2" builtinId="42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95C7-98F5-4B9D-B922-919D1DB7EDFB}">
  <dimension ref="A1:I68"/>
  <sheetViews>
    <sheetView tabSelected="1" topLeftCell="A7" workbookViewId="0">
      <selection activeCell="E21" sqref="E21"/>
    </sheetView>
  </sheetViews>
  <sheetFormatPr baseColWidth="10" defaultRowHeight="15" x14ac:dyDescent="0.25"/>
  <cols>
    <col min="2" max="2" width="15.28515625" customWidth="1"/>
    <col min="3" max="3" width="30.28515625" customWidth="1"/>
    <col min="5" max="5" width="86.42578125" customWidth="1"/>
    <col min="9" max="9" width="14.42578125" bestFit="1" customWidth="1"/>
  </cols>
  <sheetData>
    <row r="1" spans="1:9" x14ac:dyDescent="0.25">
      <c r="A1" s="1" t="s">
        <v>0</v>
      </c>
      <c r="B1" s="2"/>
      <c r="C1" s="3" t="s">
        <v>1</v>
      </c>
      <c r="D1" s="4"/>
      <c r="E1" s="4"/>
      <c r="F1" s="5"/>
      <c r="G1" s="6"/>
      <c r="H1" s="7"/>
      <c r="I1" s="8"/>
    </row>
    <row r="2" spans="1:9" x14ac:dyDescent="0.25">
      <c r="A2" s="1" t="s">
        <v>2</v>
      </c>
      <c r="B2" s="2"/>
      <c r="C2" s="3" t="s">
        <v>3</v>
      </c>
      <c r="D2" s="4"/>
      <c r="E2" s="4"/>
      <c r="F2" s="5"/>
      <c r="G2" s="6"/>
      <c r="H2" s="7"/>
      <c r="I2" s="8"/>
    </row>
    <row r="3" spans="1:9" x14ac:dyDescent="0.25">
      <c r="A3" s="1" t="s">
        <v>4</v>
      </c>
      <c r="B3" s="9"/>
      <c r="C3" s="10" t="s">
        <v>5</v>
      </c>
      <c r="D3" s="10"/>
      <c r="E3" s="10"/>
      <c r="F3" s="5"/>
      <c r="G3" s="6"/>
      <c r="H3" s="7"/>
      <c r="I3" s="8"/>
    </row>
    <row r="4" spans="1:9" x14ac:dyDescent="0.25">
      <c r="A4" s="1" t="s">
        <v>6</v>
      </c>
      <c r="B4" s="2"/>
      <c r="C4" s="11">
        <v>2022</v>
      </c>
      <c r="D4" s="12"/>
      <c r="E4" s="13"/>
      <c r="F4" s="5"/>
      <c r="G4" s="6"/>
      <c r="H4" s="7"/>
      <c r="I4" s="8"/>
    </row>
    <row r="5" spans="1:9" x14ac:dyDescent="0.25">
      <c r="A5" s="1" t="s">
        <v>7</v>
      </c>
      <c r="B5" s="2"/>
      <c r="C5" s="11">
        <v>3</v>
      </c>
      <c r="D5" s="12"/>
      <c r="E5" s="13"/>
      <c r="F5" s="5"/>
      <c r="G5" s="6"/>
      <c r="H5" s="7"/>
      <c r="I5" s="8"/>
    </row>
    <row r="6" spans="1:9" ht="15.75" thickBot="1" x14ac:dyDescent="0.3">
      <c r="A6" s="14"/>
      <c r="B6" s="15"/>
      <c r="C6" s="16"/>
      <c r="D6" s="16"/>
      <c r="E6" s="17"/>
      <c r="F6" s="18"/>
      <c r="G6" s="16"/>
      <c r="H6" s="19"/>
      <c r="I6" s="20"/>
    </row>
    <row r="7" spans="1:9" ht="60" x14ac:dyDescent="0.25">
      <c r="A7" s="32" t="s">
        <v>8</v>
      </c>
      <c r="B7" s="33" t="s">
        <v>9</v>
      </c>
      <c r="C7" s="33" t="s">
        <v>10</v>
      </c>
      <c r="D7" s="34" t="s">
        <v>11</v>
      </c>
      <c r="E7" s="35" t="s">
        <v>12</v>
      </c>
      <c r="F7" s="32" t="s">
        <v>13</v>
      </c>
      <c r="G7" s="33" t="s">
        <v>14</v>
      </c>
      <c r="H7" s="36" t="s">
        <v>15</v>
      </c>
      <c r="I7" s="34" t="s">
        <v>16</v>
      </c>
    </row>
    <row r="8" spans="1:9" x14ac:dyDescent="0.25">
      <c r="A8" s="41">
        <v>1</v>
      </c>
      <c r="B8" s="21" t="s">
        <v>17</v>
      </c>
      <c r="C8" s="27" t="s">
        <v>18</v>
      </c>
      <c r="D8" s="22" t="str">
        <f t="shared" ref="D8:D18" si="0">LEFT(B8,5)</f>
        <v>2.9.2</v>
      </c>
      <c r="E8" s="69" t="s">
        <v>19</v>
      </c>
      <c r="F8" s="70" t="s">
        <v>20</v>
      </c>
      <c r="G8" s="71">
        <v>30</v>
      </c>
      <c r="H8" s="72">
        <v>85</v>
      </c>
      <c r="I8" s="23">
        <f t="shared" ref="I8:I27" si="1">+G8*H8</f>
        <v>2550</v>
      </c>
    </row>
    <row r="9" spans="1:9" ht="25.5" x14ac:dyDescent="0.25">
      <c r="A9" s="41">
        <f>1+A8</f>
        <v>2</v>
      </c>
      <c r="B9" s="21" t="s">
        <v>21</v>
      </c>
      <c r="C9" s="27" t="s">
        <v>18</v>
      </c>
      <c r="D9" s="22" t="str">
        <f t="shared" si="0"/>
        <v>2.9.2</v>
      </c>
      <c r="E9" s="73" t="s">
        <v>22</v>
      </c>
      <c r="F9" s="74" t="s">
        <v>23</v>
      </c>
      <c r="G9" s="71">
        <v>5</v>
      </c>
      <c r="H9" s="72">
        <v>250</v>
      </c>
      <c r="I9" s="23">
        <f t="shared" si="1"/>
        <v>1250</v>
      </c>
    </row>
    <row r="10" spans="1:9" ht="30" x14ac:dyDescent="0.25">
      <c r="A10" s="41">
        <v>3</v>
      </c>
      <c r="B10" s="24" t="s">
        <v>24</v>
      </c>
      <c r="C10" s="24" t="s">
        <v>18</v>
      </c>
      <c r="D10" s="42" t="str">
        <f t="shared" si="0"/>
        <v>2.9.2</v>
      </c>
      <c r="E10" s="75" t="s">
        <v>25</v>
      </c>
      <c r="F10" s="74" t="s">
        <v>26</v>
      </c>
      <c r="G10" s="71">
        <v>3</v>
      </c>
      <c r="H10" s="72">
        <v>1500</v>
      </c>
      <c r="I10" s="23">
        <f t="shared" si="1"/>
        <v>4500</v>
      </c>
    </row>
    <row r="11" spans="1:9" ht="38.25" x14ac:dyDescent="0.25">
      <c r="A11" s="41">
        <v>4</v>
      </c>
      <c r="B11" s="25" t="s">
        <v>27</v>
      </c>
      <c r="C11" s="27" t="s">
        <v>18</v>
      </c>
      <c r="D11" s="22" t="str">
        <f t="shared" si="0"/>
        <v>2.3.1</v>
      </c>
      <c r="E11" s="76" t="s">
        <v>28</v>
      </c>
      <c r="F11" s="74" t="s">
        <v>26</v>
      </c>
      <c r="G11" s="71">
        <v>5</v>
      </c>
      <c r="H11" s="72">
        <v>1300</v>
      </c>
      <c r="I11" s="23">
        <f t="shared" si="1"/>
        <v>6500</v>
      </c>
    </row>
    <row r="12" spans="1:9" x14ac:dyDescent="0.25">
      <c r="A12" s="41">
        <v>5</v>
      </c>
      <c r="B12" s="26" t="s">
        <v>29</v>
      </c>
      <c r="C12" s="43" t="s">
        <v>18</v>
      </c>
      <c r="D12" s="42" t="s">
        <v>30</v>
      </c>
      <c r="E12" s="77" t="s">
        <v>31</v>
      </c>
      <c r="F12" s="70" t="s">
        <v>20</v>
      </c>
      <c r="G12" s="71">
        <v>20</v>
      </c>
      <c r="H12" s="72">
        <v>195</v>
      </c>
      <c r="I12" s="23">
        <f t="shared" si="1"/>
        <v>3900</v>
      </c>
    </row>
    <row r="13" spans="1:9" x14ac:dyDescent="0.25">
      <c r="A13" s="41">
        <v>6</v>
      </c>
      <c r="B13" s="27" t="s">
        <v>32</v>
      </c>
      <c r="C13" s="27" t="s">
        <v>18</v>
      </c>
      <c r="D13" s="22" t="str">
        <f t="shared" si="0"/>
        <v>2.9.2</v>
      </c>
      <c r="E13" s="73" t="s">
        <v>33</v>
      </c>
      <c r="F13" s="70" t="s">
        <v>20</v>
      </c>
      <c r="G13" s="71">
        <v>20</v>
      </c>
      <c r="H13" s="72">
        <v>142</v>
      </c>
      <c r="I13" s="23">
        <f t="shared" si="1"/>
        <v>2840</v>
      </c>
    </row>
    <row r="14" spans="1:9" x14ac:dyDescent="0.25">
      <c r="A14" s="41">
        <v>7</v>
      </c>
      <c r="B14" s="28" t="s">
        <v>34</v>
      </c>
      <c r="C14" s="28" t="s">
        <v>18</v>
      </c>
      <c r="D14" s="29" t="str">
        <f t="shared" si="0"/>
        <v>2.9.2</v>
      </c>
      <c r="E14" s="78" t="s">
        <v>35</v>
      </c>
      <c r="F14" s="74" t="s">
        <v>23</v>
      </c>
      <c r="G14" s="79">
        <v>120</v>
      </c>
      <c r="H14" s="72">
        <v>80</v>
      </c>
      <c r="I14" s="23">
        <f t="shared" si="1"/>
        <v>9600</v>
      </c>
    </row>
    <row r="15" spans="1:9" x14ac:dyDescent="0.25">
      <c r="A15" s="41">
        <v>8</v>
      </c>
      <c r="B15" s="28" t="s">
        <v>36</v>
      </c>
      <c r="C15" s="28" t="s">
        <v>18</v>
      </c>
      <c r="D15" s="29" t="str">
        <f t="shared" si="0"/>
        <v>2.9.2</v>
      </c>
      <c r="E15" s="78" t="s">
        <v>37</v>
      </c>
      <c r="F15" s="74" t="s">
        <v>23</v>
      </c>
      <c r="G15" s="79">
        <v>120</v>
      </c>
      <c r="H15" s="72">
        <v>95</v>
      </c>
      <c r="I15" s="23">
        <f t="shared" si="1"/>
        <v>11400</v>
      </c>
    </row>
    <row r="16" spans="1:9" ht="25.5" x14ac:dyDescent="0.25">
      <c r="A16" s="41">
        <v>9</v>
      </c>
      <c r="B16" s="25" t="s">
        <v>38</v>
      </c>
      <c r="C16" s="27" t="s">
        <v>18</v>
      </c>
      <c r="D16" s="22" t="str">
        <f t="shared" si="0"/>
        <v>2.9.2</v>
      </c>
      <c r="E16" s="73" t="s">
        <v>39</v>
      </c>
      <c r="F16" s="74" t="s">
        <v>20</v>
      </c>
      <c r="G16" s="71">
        <v>5</v>
      </c>
      <c r="H16" s="72">
        <v>800</v>
      </c>
      <c r="I16" s="23">
        <f t="shared" si="1"/>
        <v>4000</v>
      </c>
    </row>
    <row r="17" spans="1:9" ht="25.5" x14ac:dyDescent="0.25">
      <c r="A17" s="41">
        <v>10</v>
      </c>
      <c r="B17" s="27" t="s">
        <v>40</v>
      </c>
      <c r="C17" s="27" t="s">
        <v>18</v>
      </c>
      <c r="D17" s="22" t="str">
        <f t="shared" si="0"/>
        <v>2.9.2</v>
      </c>
      <c r="E17" s="73" t="s">
        <v>41</v>
      </c>
      <c r="F17" s="70" t="s">
        <v>20</v>
      </c>
      <c r="G17" s="71">
        <v>30</v>
      </c>
      <c r="H17" s="72">
        <v>98</v>
      </c>
      <c r="I17" s="23">
        <f t="shared" si="1"/>
        <v>2940</v>
      </c>
    </row>
    <row r="18" spans="1:9" ht="25.5" x14ac:dyDescent="0.25">
      <c r="A18" s="41">
        <v>11</v>
      </c>
      <c r="B18" s="27" t="s">
        <v>42</v>
      </c>
      <c r="C18" s="27" t="s">
        <v>18</v>
      </c>
      <c r="D18" s="22" t="str">
        <f t="shared" si="0"/>
        <v>2.9.2</v>
      </c>
      <c r="E18" s="73" t="s">
        <v>43</v>
      </c>
      <c r="F18" s="74" t="s">
        <v>23</v>
      </c>
      <c r="G18" s="71">
        <v>20</v>
      </c>
      <c r="H18" s="72">
        <v>200</v>
      </c>
      <c r="I18" s="23">
        <f t="shared" si="1"/>
        <v>4000</v>
      </c>
    </row>
    <row r="19" spans="1:9" x14ac:dyDescent="0.25">
      <c r="A19" s="41">
        <v>12</v>
      </c>
      <c r="B19" s="25" t="s">
        <v>44</v>
      </c>
      <c r="C19" s="44" t="s">
        <v>18</v>
      </c>
      <c r="D19" s="30" t="s">
        <v>45</v>
      </c>
      <c r="E19" s="73" t="s">
        <v>46</v>
      </c>
      <c r="F19" s="74" t="s">
        <v>23</v>
      </c>
      <c r="G19" s="71">
        <v>2</v>
      </c>
      <c r="H19" s="72">
        <v>350</v>
      </c>
      <c r="I19" s="23">
        <f t="shared" si="1"/>
        <v>700</v>
      </c>
    </row>
    <row r="20" spans="1:9" ht="27" customHeight="1" x14ac:dyDescent="0.25">
      <c r="A20" s="41">
        <v>13</v>
      </c>
      <c r="B20" s="31" t="s">
        <v>47</v>
      </c>
      <c r="C20" s="45" t="s">
        <v>18</v>
      </c>
      <c r="D20" s="45" t="s">
        <v>48</v>
      </c>
      <c r="E20" s="80" t="s">
        <v>88</v>
      </c>
      <c r="F20" s="81" t="s">
        <v>20</v>
      </c>
      <c r="G20" s="82">
        <v>1</v>
      </c>
      <c r="H20" s="83">
        <v>3000</v>
      </c>
      <c r="I20" s="23">
        <f t="shared" si="1"/>
        <v>3000</v>
      </c>
    </row>
    <row r="21" spans="1:9" x14ac:dyDescent="0.25">
      <c r="A21" s="41">
        <v>14</v>
      </c>
      <c r="B21" s="27" t="s">
        <v>49</v>
      </c>
      <c r="C21" s="27" t="s">
        <v>18</v>
      </c>
      <c r="D21" s="30" t="str">
        <f>LEFT(B20,5)</f>
        <v>2.9.2</v>
      </c>
      <c r="E21" s="73" t="s">
        <v>50</v>
      </c>
      <c r="F21" s="74" t="s">
        <v>20</v>
      </c>
      <c r="G21" s="71">
        <v>3</v>
      </c>
      <c r="H21" s="72">
        <v>960</v>
      </c>
      <c r="I21" s="23">
        <f t="shared" si="1"/>
        <v>2880</v>
      </c>
    </row>
    <row r="22" spans="1:9" ht="30" x14ac:dyDescent="0.25">
      <c r="A22" s="41">
        <v>15</v>
      </c>
      <c r="B22" s="24" t="s">
        <v>51</v>
      </c>
      <c r="C22" s="24" t="s">
        <v>18</v>
      </c>
      <c r="D22" s="42" t="str">
        <f t="shared" ref="D22" si="2">LEFT(B22,5)</f>
        <v>2.3.1</v>
      </c>
      <c r="E22" s="75" t="s">
        <v>52</v>
      </c>
      <c r="F22" s="74" t="s">
        <v>23</v>
      </c>
      <c r="G22" s="71">
        <v>2</v>
      </c>
      <c r="H22" s="72">
        <v>1200</v>
      </c>
      <c r="I22" s="23">
        <f t="shared" si="1"/>
        <v>2400</v>
      </c>
    </row>
    <row r="23" spans="1:9" ht="25.5" x14ac:dyDescent="0.25">
      <c r="A23" s="41">
        <v>16</v>
      </c>
      <c r="B23" s="27" t="s">
        <v>53</v>
      </c>
      <c r="C23" s="27" t="s">
        <v>18</v>
      </c>
      <c r="D23" s="30" t="s">
        <v>54</v>
      </c>
      <c r="E23" s="73" t="s">
        <v>55</v>
      </c>
      <c r="F23" s="74" t="s">
        <v>26</v>
      </c>
      <c r="G23" s="82">
        <v>30</v>
      </c>
      <c r="H23" s="83">
        <v>220</v>
      </c>
      <c r="I23" s="23">
        <f t="shared" si="1"/>
        <v>6600</v>
      </c>
    </row>
    <row r="24" spans="1:9" ht="38.25" x14ac:dyDescent="0.25">
      <c r="A24" s="41">
        <v>17</v>
      </c>
      <c r="B24" s="27" t="s">
        <v>56</v>
      </c>
      <c r="C24" s="27" t="s">
        <v>18</v>
      </c>
      <c r="D24" s="22" t="s">
        <v>54</v>
      </c>
      <c r="E24" s="73" t="s">
        <v>57</v>
      </c>
      <c r="F24" s="74" t="s">
        <v>23</v>
      </c>
      <c r="G24" s="82">
        <v>30</v>
      </c>
      <c r="H24" s="83">
        <v>1200</v>
      </c>
      <c r="I24" s="23">
        <f t="shared" si="1"/>
        <v>36000</v>
      </c>
    </row>
    <row r="25" spans="1:9" ht="38.25" x14ac:dyDescent="0.25">
      <c r="A25" s="41">
        <v>18</v>
      </c>
      <c r="B25" s="27" t="s">
        <v>58</v>
      </c>
      <c r="C25" s="27" t="s">
        <v>18</v>
      </c>
      <c r="D25" s="22" t="s">
        <v>54</v>
      </c>
      <c r="E25" s="73" t="s">
        <v>59</v>
      </c>
      <c r="F25" s="74" t="s">
        <v>23</v>
      </c>
      <c r="G25" s="82">
        <v>15</v>
      </c>
      <c r="H25" s="83">
        <v>300</v>
      </c>
      <c r="I25" s="23">
        <f t="shared" si="1"/>
        <v>4500</v>
      </c>
    </row>
    <row r="26" spans="1:9" ht="25.5" x14ac:dyDescent="0.25">
      <c r="A26" s="41">
        <v>19</v>
      </c>
      <c r="B26" s="27" t="s">
        <v>60</v>
      </c>
      <c r="C26" s="27" t="s">
        <v>18</v>
      </c>
      <c r="D26" s="22" t="str">
        <f t="shared" ref="D26" si="3">LEFT(B26,5)</f>
        <v>2.9.2</v>
      </c>
      <c r="E26" s="73" t="s">
        <v>61</v>
      </c>
      <c r="F26" s="74" t="s">
        <v>20</v>
      </c>
      <c r="G26" s="82">
        <v>8</v>
      </c>
      <c r="H26" s="83">
        <v>1500</v>
      </c>
      <c r="I26" s="23">
        <f t="shared" si="1"/>
        <v>12000</v>
      </c>
    </row>
    <row r="27" spans="1:9" ht="25.5" x14ac:dyDescent="0.25">
      <c r="A27" s="41">
        <v>20</v>
      </c>
      <c r="B27" s="27" t="s">
        <v>62</v>
      </c>
      <c r="C27" s="27" t="s">
        <v>18</v>
      </c>
      <c r="D27" s="46" t="s">
        <v>63</v>
      </c>
      <c r="E27" s="73" t="s">
        <v>64</v>
      </c>
      <c r="F27" s="74" t="s">
        <v>23</v>
      </c>
      <c r="G27" s="82">
        <v>5</v>
      </c>
      <c r="H27" s="83">
        <v>400</v>
      </c>
      <c r="I27" s="23">
        <f t="shared" si="1"/>
        <v>2000</v>
      </c>
    </row>
    <row r="28" spans="1:9" ht="15.75" thickBot="1" x14ac:dyDescent="0.3">
      <c r="A28" s="37" t="s">
        <v>65</v>
      </c>
      <c r="B28" s="38"/>
      <c r="C28" s="38"/>
      <c r="D28" s="38"/>
      <c r="E28" s="38"/>
      <c r="F28" s="38"/>
      <c r="G28" s="38"/>
      <c r="H28" s="39"/>
      <c r="I28" s="40">
        <f>SUM(I8:I27)</f>
        <v>123560</v>
      </c>
    </row>
    <row r="31" spans="1:9" ht="15.75" thickBot="1" x14ac:dyDescent="0.3"/>
    <row r="32" spans="1:9" ht="15.75" thickBot="1" x14ac:dyDescent="0.3">
      <c r="B32" s="47" t="s">
        <v>66</v>
      </c>
      <c r="C32" s="48"/>
      <c r="D32" s="48"/>
      <c r="E32" s="49"/>
    </row>
    <row r="33" spans="2:5" x14ac:dyDescent="0.25">
      <c r="B33" s="50" t="s">
        <v>89</v>
      </c>
      <c r="C33" s="51"/>
      <c r="D33" s="51"/>
      <c r="E33" s="52"/>
    </row>
    <row r="34" spans="2:5" x14ac:dyDescent="0.25">
      <c r="B34" s="53"/>
      <c r="E34" s="54"/>
    </row>
    <row r="35" spans="2:5" x14ac:dyDescent="0.25">
      <c r="B35" s="53" t="s">
        <v>68</v>
      </c>
      <c r="E35" s="54"/>
    </row>
    <row r="36" spans="2:5" ht="15.75" thickBot="1" x14ac:dyDescent="0.3">
      <c r="B36" s="55"/>
      <c r="C36" s="56" t="s">
        <v>90</v>
      </c>
      <c r="D36" s="57"/>
      <c r="E36" s="58"/>
    </row>
    <row r="37" spans="2:5" x14ac:dyDescent="0.25">
      <c r="B37" s="50" t="s">
        <v>67</v>
      </c>
      <c r="C37" s="51"/>
      <c r="D37" s="51"/>
      <c r="E37" s="52"/>
    </row>
    <row r="38" spans="2:5" x14ac:dyDescent="0.25">
      <c r="B38" s="53"/>
      <c r="E38" s="54"/>
    </row>
    <row r="39" spans="2:5" x14ac:dyDescent="0.25">
      <c r="B39" s="53" t="s">
        <v>68</v>
      </c>
      <c r="E39" s="54"/>
    </row>
    <row r="40" spans="2:5" ht="15.75" thickBot="1" x14ac:dyDescent="0.3">
      <c r="B40" s="55"/>
      <c r="C40" s="56" t="s">
        <v>69</v>
      </c>
      <c r="D40" s="57"/>
      <c r="E40" s="58"/>
    </row>
    <row r="41" spans="2:5" x14ac:dyDescent="0.25">
      <c r="B41" s="50" t="s">
        <v>70</v>
      </c>
      <c r="C41" s="51"/>
      <c r="D41" s="51"/>
      <c r="E41" s="52"/>
    </row>
    <row r="42" spans="2:5" x14ac:dyDescent="0.25">
      <c r="B42" s="53"/>
      <c r="E42" s="54"/>
    </row>
    <row r="43" spans="2:5" x14ac:dyDescent="0.25">
      <c r="B43" s="53" t="s">
        <v>68</v>
      </c>
      <c r="E43" s="54"/>
    </row>
    <row r="44" spans="2:5" ht="15.75" thickBot="1" x14ac:dyDescent="0.3">
      <c r="B44" s="55"/>
      <c r="C44" s="56" t="s">
        <v>71</v>
      </c>
      <c r="D44" s="57"/>
      <c r="E44" s="58"/>
    </row>
    <row r="45" spans="2:5" x14ac:dyDescent="0.25">
      <c r="B45" s="50" t="s">
        <v>86</v>
      </c>
      <c r="C45" s="51"/>
      <c r="D45" s="51"/>
      <c r="E45" s="52"/>
    </row>
    <row r="46" spans="2:5" x14ac:dyDescent="0.25">
      <c r="B46" s="53"/>
      <c r="E46" s="54"/>
    </row>
    <row r="47" spans="2:5" x14ac:dyDescent="0.25">
      <c r="B47" s="53" t="s">
        <v>68</v>
      </c>
      <c r="E47" s="54"/>
    </row>
    <row r="48" spans="2:5" ht="16.5" customHeight="1" thickBot="1" x14ac:dyDescent="0.3">
      <c r="B48" s="55"/>
      <c r="C48" s="56" t="s">
        <v>87</v>
      </c>
      <c r="D48" s="57"/>
      <c r="E48" s="58"/>
    </row>
    <row r="49" spans="2:5" x14ac:dyDescent="0.25">
      <c r="B49" s="50" t="s">
        <v>72</v>
      </c>
      <c r="C49" s="51"/>
      <c r="D49" s="51"/>
      <c r="E49" s="52"/>
    </row>
    <row r="50" spans="2:5" x14ac:dyDescent="0.25">
      <c r="B50" s="53"/>
      <c r="E50" s="54"/>
    </row>
    <row r="51" spans="2:5" x14ac:dyDescent="0.25">
      <c r="B51" s="53" t="s">
        <v>68</v>
      </c>
      <c r="E51" s="54"/>
    </row>
    <row r="52" spans="2:5" ht="15.75" thickBot="1" x14ac:dyDescent="0.3">
      <c r="B52" s="55"/>
      <c r="C52" s="56" t="s">
        <v>73</v>
      </c>
      <c r="D52" s="57"/>
      <c r="E52" s="58"/>
    </row>
    <row r="53" spans="2:5" x14ac:dyDescent="0.25">
      <c r="B53" s="50" t="s">
        <v>74</v>
      </c>
      <c r="C53" s="51"/>
      <c r="D53" s="51"/>
      <c r="E53" s="52"/>
    </row>
    <row r="54" spans="2:5" x14ac:dyDescent="0.25">
      <c r="B54" s="53"/>
      <c r="E54" s="54"/>
    </row>
    <row r="55" spans="2:5" x14ac:dyDescent="0.25">
      <c r="B55" s="53" t="s">
        <v>68</v>
      </c>
      <c r="E55" s="54"/>
    </row>
    <row r="56" spans="2:5" ht="15.75" thickBot="1" x14ac:dyDescent="0.3">
      <c r="B56" s="55"/>
      <c r="C56" s="56" t="s">
        <v>75</v>
      </c>
      <c r="D56" s="57"/>
      <c r="E56" s="58"/>
    </row>
    <row r="57" spans="2:5" x14ac:dyDescent="0.25">
      <c r="B57" s="50" t="s">
        <v>76</v>
      </c>
      <c r="C57" s="51"/>
      <c r="D57" s="51"/>
      <c r="E57" s="52"/>
    </row>
    <row r="58" spans="2:5" x14ac:dyDescent="0.25">
      <c r="B58" s="53"/>
      <c r="E58" s="54"/>
    </row>
    <row r="59" spans="2:5" x14ac:dyDescent="0.25">
      <c r="B59" s="53" t="s">
        <v>68</v>
      </c>
      <c r="E59" s="54"/>
    </row>
    <row r="60" spans="2:5" ht="15.75" thickBot="1" x14ac:dyDescent="0.3">
      <c r="B60" s="55"/>
      <c r="C60" s="56" t="s">
        <v>85</v>
      </c>
      <c r="D60" s="57"/>
      <c r="E60" s="58"/>
    </row>
    <row r="61" spans="2:5" ht="22.5" customHeight="1" x14ac:dyDescent="0.25">
      <c r="B61" s="59" t="s">
        <v>77</v>
      </c>
      <c r="E61" s="54"/>
    </row>
    <row r="62" spans="2:5" ht="57.75" customHeight="1" thickBot="1" x14ac:dyDescent="0.3">
      <c r="B62" s="60" t="s">
        <v>78</v>
      </c>
      <c r="C62" s="61" t="s">
        <v>79</v>
      </c>
      <c r="D62" s="62"/>
      <c r="E62" s="63"/>
    </row>
    <row r="63" spans="2:5" x14ac:dyDescent="0.25">
      <c r="B63" s="59" t="s">
        <v>80</v>
      </c>
      <c r="E63" s="54"/>
    </row>
    <row r="64" spans="2:5" ht="15.75" customHeight="1" thickBot="1" x14ac:dyDescent="0.3">
      <c r="B64" s="55"/>
      <c r="C64" s="64" t="s">
        <v>81</v>
      </c>
      <c r="D64" s="64"/>
      <c r="E64" s="65"/>
    </row>
    <row r="65" spans="2:5" x14ac:dyDescent="0.25">
      <c r="B65" s="59" t="s">
        <v>82</v>
      </c>
      <c r="E65" s="54"/>
    </row>
    <row r="66" spans="2:5" ht="15.75" thickBot="1" x14ac:dyDescent="0.3">
      <c r="B66" s="60"/>
      <c r="C66" s="64" t="s">
        <v>83</v>
      </c>
      <c r="D66" s="64"/>
      <c r="E66" s="65"/>
    </row>
    <row r="67" spans="2:5" x14ac:dyDescent="0.25">
      <c r="B67" s="50" t="s">
        <v>84</v>
      </c>
      <c r="C67" s="51"/>
      <c r="D67" s="51"/>
      <c r="E67" s="52"/>
    </row>
    <row r="68" spans="2:5" ht="15.75" thickBot="1" x14ac:dyDescent="0.3">
      <c r="B68" s="66"/>
      <c r="C68" s="67"/>
      <c r="D68" s="67"/>
      <c r="E68" s="68"/>
    </row>
  </sheetData>
  <mergeCells count="18">
    <mergeCell ref="C40:E40"/>
    <mergeCell ref="C48:E48"/>
    <mergeCell ref="C36:E36"/>
    <mergeCell ref="C56:E56"/>
    <mergeCell ref="C60:E60"/>
    <mergeCell ref="C62:E62"/>
    <mergeCell ref="C68:E68"/>
    <mergeCell ref="C52:E52"/>
    <mergeCell ref="C44:E44"/>
    <mergeCell ref="A4:B4"/>
    <mergeCell ref="A5:B5"/>
    <mergeCell ref="A28:H28"/>
    <mergeCell ref="A1:B1"/>
    <mergeCell ref="C1:E1"/>
    <mergeCell ref="A2:B2"/>
    <mergeCell ref="C2:E2"/>
    <mergeCell ref="A3:B3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SARTOR</dc:creator>
  <cp:lastModifiedBy>RODOLFO SARTOR</cp:lastModifiedBy>
  <dcterms:created xsi:type="dcterms:W3CDTF">2022-06-29T13:09:42Z</dcterms:created>
  <dcterms:modified xsi:type="dcterms:W3CDTF">2022-06-29T13:47:09Z</dcterms:modified>
</cp:coreProperties>
</file>