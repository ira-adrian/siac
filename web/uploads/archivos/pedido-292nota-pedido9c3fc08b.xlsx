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5257D0EA-E5E2-462B-B285-83D2E68E7062}" xr6:coauthVersionLast="46" xr6:coauthVersionMax="46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NotaPedido!$A$1:$K$58</definedName>
  </definedNames>
  <calcPr calcId="181029"/>
</workbook>
</file>

<file path=xl/calcChain.xml><?xml version="1.0" encoding="utf-8"?>
<calcChain xmlns="http://schemas.openxmlformats.org/spreadsheetml/2006/main">
  <c r="A26" i="3" l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10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58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<sst xmlns="http://schemas.openxmlformats.org/spreadsheetml/2006/main" count="299" uniqueCount="160">
  <si>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</si>
  <si>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</si>
  <si>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</si>
  <si>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</si>
  <si>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</si>
  <si>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</si>
  <si>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</si>
  <si>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</si>
  <si>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</si>
  <si>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</si>
  <si>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</si>
  <si>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</si>
  <si>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</si>
  <si>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</si>
  <si>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</si>
  <si>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</si>
  <si>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</si>
  <si>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</si>
  <si>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</si>
  <si>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</si>
  <si>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</si>
  <si>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</si>
  <si>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</si>
  <si>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</si>
  <si>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</si>
  <si>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</si>
  <si>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</si>
  <si>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</si>
  <si>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</si>
  <si>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</si>
  <si>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</si>
  <si>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</si>
  <si>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</si>
  <si>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</si>
  <si>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</si>
  <si>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</si>
  <si>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</si>
  <si>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</si>
  <si>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</si>
  <si>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</si>
  <si>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</si>
  <si>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</si>
  <si>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</si>
  <si>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</si>
  <si>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</si>
  <si>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</si>
  <si>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</si>
  <si>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</si>
  <si>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</si>
  <si>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</si>
  <si>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</si>
  <si>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</si>
  <si>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</si>
  <si>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</si>
  <si>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</si>
  <si>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3.1</t>
  </si>
  <si>
    <t>1.1</t>
  </si>
  <si>
    <t>2.1.1-439.60</t>
  </si>
  <si>
    <t>ALIMENTOS</t>
  </si>
  <si>
    <t>ACEITES COMESTIBLES; TIPO: MEZCLA, PRESENTACION: ENVASE X 900 CM3, MATERIAL ENVASE: PLASTICO 1 (PET), ELEM. TRANSPORTE: SIN, MATERIAL ELEM. TRANSPORTE : SIN, LIBRE DE GLUTEN: SI</t>
  </si>
  <si>
    <t>UNIDAD</t>
  </si>
  <si>
    <t>2.1.1-481.38</t>
  </si>
  <si>
    <t>AZUCARES; TIPO: "A" COMUN, ESTADO: MOLIDA, PESO: 1 Kg, MATERIAL ENVASE: PLASTICO, CERTIFICADO FORESTAL (GFS): SIN, ELEM. TRANSPORTE: SIN, MATERIAL ELEM. TRANSPORTE: SIN</t>
  </si>
  <si>
    <t>2.1.1-705.116</t>
  </si>
  <si>
    <t>LECHE; ESTADO: LIQUIDO, TIPO: DESCREMADA, PROCESO: LARGA VIDA, AGREGADO: VITAMINAS A Y D, PRESENTACION: ENVASE X 1 L, MATERIAL ENVASE: PLASTICO, ELEM. TRANSPORTE: SIN, MATERIAL ELEM. TRANSPORTE: SIN, CERTIFICADO FORESTAL (GFS): SIN, LIBRE DE GLUTEN: SIN VALOR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</si>
  <si>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</si>
  <si>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</si>
  <si>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2.1.1-511.8</t>
  </si>
  <si>
    <t>TE; SAQUITOS 2G P/CAJA: 50, PESO: SIN VALOR, TIPO: SIN VALOR, PRESENTACION: EN SAQUITOS</t>
  </si>
  <si>
    <t>2.1.1-454.25</t>
  </si>
  <si>
    <t>YERBAS; PALO: CON, PESO: 1 Kg, MATERIAL ENVASE : PAPEL, CERTIFICADO FORESTAL (GFS): CON, ELEM. TRANSPORTE: SIN, MATERIAL ELEM. TRANSPORTE: SIN, LIBRE DE GLUTEN: SI</t>
  </si>
  <si>
    <t>2.1.1-2126.13</t>
  </si>
  <si>
    <t>SEMOLAS; TIPO: VITINA, PRESENTACION: BOLSA, PESO: 500 GR, MATERIAL ENVASE: PLASTICO 1 (PET), CERTICADO FORESTAL (GFS): SIN, LIBRE DE GLUTEN: NO</t>
  </si>
  <si>
    <t>2.1.1-2868.53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</si>
  <si>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</si>
  <si>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2.1.1-613.9</t>
  </si>
  <si>
    <t>FECULA DE MAIZ; ENVASE: BOLSA, PESO: 500 GR, LIBRE DE GLUTEN: SI</t>
  </si>
  <si>
    <t>2.1.1-6547.57</t>
  </si>
  <si>
    <t>LEGUMBRES; VARIEDAD: LENTEJAS SECAS, ESTADO: SECO, PRESENTACION: BOLSA, PESO: 500 GR</t>
  </si>
  <si>
    <t>2.1.1-514.2</t>
  </si>
  <si>
    <t>SAL DE MESA; CONSISTENCIA: FINA, PESO: 500 GR, TIPO: SIN VALOR, ENVASE: PAQUETE</t>
  </si>
  <si>
    <t>2.1.1-514.15</t>
  </si>
  <si>
    <t>SAL DE MESA; CONSISTENCIA: GRUESA, ENVASE: BOLSA, PESO: 1 Kg, TIPO: SIN VALOR</t>
  </si>
  <si>
    <t>2.1.1-482.61</t>
  </si>
  <si>
    <t>HARINAS; TIPO: LEUDANTE, PRESENTACION: ENVASE X 1 Kg, MATERIAL ENVASE: PAPEL, CERTICADO FORESTAL (GFS): SIN, ELEM. TRANSPORTE: PALLET RETORNABLE, MATERIAL ELEM. TRANSPORTE: MADERA</t>
  </si>
  <si>
    <t>2.1.1-482.69</t>
  </si>
  <si>
    <t>HARINAS; TIPO: MAIZ, PRESENTACION: ENVASE X 1 Kg, MATERIAL ENVASE: PAPEL, CERTICADO FORESTAL (GFS): SIN, ELEM. TRANSPORTE: SIN, MATERIAL ELEM. TRANSPORTE: SIN, LIBRE DE GLUTEN: NO</t>
  </si>
  <si>
    <t>2.1.1-706.6</t>
  </si>
  <si>
    <t>MATE COCIDO; ENVASE: CAJA CARTON, PRESENTACION: ENSOBRADO, SAQUITOS P/CAJA: 100 UN, PESO X SAQ.: 3 GR</t>
  </si>
  <si>
    <t>2.1.1-595.2</t>
  </si>
  <si>
    <t>EDULCORANTES; PRESENTACION: LIQUIDO, ENVASE: BOTELLA PLASTICA, CONTENIDO: 500 CM3</t>
  </si>
  <si>
    <t>2.1.1-2868.86</t>
  </si>
  <si>
    <t>FIDEOS SECOS; VARIEDAD: SPAGHETTI AL HUEVO, RELLENO: SIN, PRESENTACION: PAQUETE X 500 GR, MATERIAL ENVASE: PLASTICO 1 (PET), ELEM. TRANSPORTE: SIN, MATERIAL ELEM. TRANSPORTE: SIN, CERTIFICADO FORESTAL (GFS): SIN, LIBRE DE GLUTEN: NO</t>
  </si>
  <si>
    <t>2.1.1-482.80</t>
  </si>
  <si>
    <t>HARINAS; TIPO: DE TRIGO 000, PRESENTACION: ENVASE X 1 Kg, MATERIAL ENVASE: PAPEL, CERTICADO FORESTAL (GFS): SIN, ELEM. TRANSPORTE: SIN, MATERIAL ELEM. TRANSPORTE: SIN, LIBRE DE GLUTEN: NO</t>
  </si>
  <si>
    <t>2.1.1-435.38</t>
  </si>
  <si>
    <t>ARROZ; TIPO GRANO: DOBLE, TIPO: BLANCO, PROCESO: PARBOLIZADO, PRESENTACION: ENVASE X 1 Kg, MATERIAL ENVASE: CARTON, CERTIFICADO FORESTAL (GFS): SIN, ELEM. TRANSPORTE: SIN, MATERIAL ELEM. TRANSPORTE: SIN</t>
  </si>
  <si>
    <t>2.1.1-510.5</t>
  </si>
  <si>
    <t>GELATINAS; ENVASE: CAJA DE CARTON, PESO: 30 GR, TIPO: BAJAS CALORIAS, SABOR: FRUTILLA</t>
  </si>
  <si>
    <t>2.1.1-435.50</t>
  </si>
  <si>
    <t>ARROZ; TIPO GRANO: ENTERO, TIPO: BLANCO, PROCESO: FORTIFICADO, PRESENTACION: ENVASE X 1 Kg, MATERIAL ENVASE: PLASTICO 1 (PET), CERTIFICADO FORESTAL (GFS): SIN, ELEM. TRANSPORTE: SIN, MATERIAL ELEM. TRANSPORTE: SIN, LIBRE DE GLUTEN: NO</t>
  </si>
  <si>
    <t>2.1.1-517.86</t>
  </si>
  <si>
    <t>POSTRES; ESTADO PREPARACION: CON COCCION, TIPO: POLVO, ENVASE: CAJA DE CARTON, PESO: 80 GR, SABOR: VAINILLA, LIBRE DE GLUTEN: SI</t>
  </si>
  <si>
    <t>2.1.1-5917.8</t>
  </si>
  <si>
    <t>CEREALES; TIPO: TRIGO BURGOL, PRESENTACION: ENVASE X 1 Kg</t>
  </si>
  <si>
    <t>2.1.1-6539.114</t>
  </si>
  <si>
    <t>FRUTAS; VARIEDAD: CIRUELA ( SIN CAROZO ), ESTADO: DESECADA, PRESENTACION: ENVASE X 10 Kg, PESO: 10 Kg</t>
  </si>
  <si>
    <t>2.1.1-6539.178</t>
  </si>
  <si>
    <t>FRUTAS; VARIEDAD: DURAZNO ( SIN CAROZO ), ESTADO: DESECADA, PRESENTACION: ENVASE X 5 Kg, ELEM. TRANSPORTE: SIN, MATERIAL ELEM. TRANSPORTE: SIN</t>
  </si>
  <si>
    <t>2.1.1-513.9</t>
  </si>
  <si>
    <t>FLANES; PESO: 60 GR, ENVASE: CAJA CARTON, ESTADO PREPARACION: CON COCCION, SABOR: VAINILLA, TIPO: SIN VALOR, PRESENTACION: 60 GR</t>
  </si>
  <si>
    <t>2.1.1-519.27</t>
  </si>
  <si>
    <t>VINAGRES; TIPO: VINO, PRESENTACION: ENVASE X 1 L, MATERIAL ENVASE: PLASTICO 1 (PET), LIBRE DE GLUTEN: NO</t>
  </si>
  <si>
    <t>2.1.1-2124.3</t>
  </si>
  <si>
    <t>AVENAS; TIPO: ARROLLADA, ESTADO: NATURAL, PRESENTACION: BOLSA, PESO: 1 Kg</t>
  </si>
  <si>
    <t>2.1.1-6547.84</t>
  </si>
  <si>
    <t>LEGUMBRES; VARIEDAD: ARVEJAS, ESTADO: CONSERVA, PRESENTACION: LATA, PESO: 350 GR, MATERIAL ENVASE: METAL, ELEM. TRANSPORTE: SIN, MATERIAL ELEM. TRANSPORTE: SIN, LIBRE DE GLUTEN: NO</t>
  </si>
  <si>
    <t>2.1.1-708.43</t>
  </si>
  <si>
    <t>CONSERVAS PESCADO Y FRUTOS MAR; TIPO: ATUN, ESTADO: AL NATURAL, PESO: 170 GR, ENVASE: LATA, ELEM. TRANSPORTE: SIN, MATERIAL ELEM. TRANSPORTE: SIN</t>
  </si>
  <si>
    <t>2.1.1-6546.183</t>
  </si>
  <si>
    <t>VERDURAS Y HORTALIZAS; VARIEDAD: TOMATE PERITA, ESTADO: NATURAL, PRESENTACION: LATA, PESO: 380 GR</t>
  </si>
  <si>
    <t>2.1.1-6539.46</t>
  </si>
  <si>
    <t>FRUTAS; VARIEDAD: DURAZNO, ESTADO: CONSERVA, PRESENTACION: ENVASE X 800 GR, PESO: 800 GR</t>
  </si>
  <si>
    <t>2.1.1-597.41</t>
  </si>
  <si>
    <t>CONSERVAS DE FRUTAS; VARIEDAD: COCTEL, ENVASE: LATA, PESO: 800 GR, ELEM. TRANSPORTE: SIN, MATERIAL ELEM. TRANSPORTE: SIN, LIBRE DE GLUTEN: NO</t>
  </si>
  <si>
    <t>2.1.1-6558.8</t>
  </si>
  <si>
    <t>JARDINERA; PRESENTACION: ENVASE X 350 GR, PESO: SIN VALOR, MATERIAL ENVASE: METAL, ELEM. TRANSPORTE: SIN, MATERIAL ELEM. TRANSPORTE: SIN</t>
  </si>
  <si>
    <t>2.1.1-6546.269</t>
  </si>
  <si>
    <t>VERDURAS Y HORTALIZAS; VARIEDAD: CHOCLO, ESTADO: GRANO, PRESENTACION: LATA, PESO: 350 GR</t>
  </si>
  <si>
    <t>2.1.1-6546.81</t>
  </si>
  <si>
    <t>VERDURAS Y HORTALIZAS; VARIEDAD: TOMATE, ESTADO: PURE NATURAL, PRESENTACION: CAJA, PESO: 500 GR</t>
  </si>
  <si>
    <t>2.1.1-2113.1</t>
  </si>
  <si>
    <t>DULCES; TIPO: DE BATATA, PRESENTACION: LATA, PESO: 5</t>
  </si>
  <si>
    <t>2.1.1-2113.2</t>
  </si>
  <si>
    <t>DULCES; TIPO: DE MEMBRILLO, PRESENTACION: LATA, PESO: 5 Kg</t>
  </si>
  <si>
    <t>2.1.1-489.66</t>
  </si>
  <si>
    <t>ESPECIAS: TIPO: OREGANO, PRESENTACION: BOLSA DE 1 KG.</t>
  </si>
  <si>
    <t>2.1.1-489.67</t>
  </si>
  <si>
    <t>ESPECIAS; TIPO: PIMENTON, PRESENTACION: BOLSA DE 1 Kg</t>
  </si>
  <si>
    <t>2.1.1-489.53</t>
  </si>
  <si>
    <t>ESPECIAS; TIPO: NUEZ MOSCADA, PRESENTACION: POLVO</t>
  </si>
  <si>
    <t>KG</t>
  </si>
  <si>
    <t>2.1.1-489.132</t>
  </si>
  <si>
    <t>ESPECIAS; TIPO: PIMIENTA BLANCA, PRESENTACION: ENVASE X 1 Kg</t>
  </si>
  <si>
    <t>2.1.1-788.229</t>
  </si>
  <si>
    <t>GALLETITAS; VARIEDAD: VAINILLA, RELLENO: SIN, PRESENTACION: ENVASE X 792 GR, ELEM. TRANSPORTE: SIN, MATERIAL ELEM. TRANSPORTE: SIN, LIBRE DE GLUTEN: NO</t>
  </si>
  <si>
    <t>2.1.1-788.224</t>
  </si>
  <si>
    <t>GALLETITAS; VARIEDAD: SALADA, RELLENO: SIN, PRESENTACION: ENVASE X 275 GR, ELEM. TRANSPORTE: SIN, MATERIAL ELEM. TRANSPORTE: SIN, LIBRE DE GLUTEN: SI</t>
  </si>
  <si>
    <t>2.1.1-455.16</t>
  </si>
  <si>
    <t>DULCE DE LECHE; ENVASE: DE CARTON, CAPACIDAD: 5000 GR, TIPO: DE REPOSTERIA, PRESENTACION: ENVASE DE CARTON X 5 Kg</t>
  </si>
  <si>
    <t>PLAZO DE ENTREGA: 10 DIAS - LUGAR DE ENTREGA: SERVICIO DE NUTRICION - HOSPITAL INTERZONAL SAN JUAN BAUTISTA - AV. ILLIA ESQ. MARIANO MORENO</t>
  </si>
  <si>
    <t>MANTENIMIENTO DE OFERTA: 45 DIAS HABILES</t>
  </si>
  <si>
    <t>Servicio de Nutricion</t>
  </si>
  <si>
    <t>Alimentos para personas</t>
  </si>
  <si>
    <t>019 - 2021</t>
  </si>
  <si>
    <t>VERDURAS Y HORTALIZAS; VARIEDAD: CHOCLO, ESTADO: CREMOSO, PRESENTACION: LATA, PESO: 350 GR, ELEM. TRANSPORTE: SIN, MATERIAL ELEM. TRANSPORTE: SIN, LIBRE DE GLUTEN: NO</t>
  </si>
  <si>
    <t>2.1.1-6546.336</t>
  </si>
  <si>
    <t>Costo total estimado: PESOS DOS MILLONES DIECINUEVE MIL CIENTO ONCE CON 18/100.---</t>
  </si>
  <si>
    <t>Adquisición de Alimentos no Perecederos</t>
  </si>
  <si>
    <t>TOTAL DE PESOS:  DOS MILLONES DIECINUEVE MIL CIENTO ONCE CON 18/100.------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</si>
</sst>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10"/>
      <name val="Times New Roman"/>
      <family val="1"/>
    </font>
    <font>
      <b/>
      <sz val="9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1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2" xfId="0" applyBorder="1"/>
    <xf numFmtId="0" fontId="0" fillId="0" borderId="17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18" xfId="0" applyBorder="1"/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66" fontId="0" fillId="0" borderId="26" xfId="3" applyNumberFormat="1" applyFont="1" applyBorder="1" applyAlignment="1" applyProtection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3" fillId="0" borderId="36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center" vertical="center" wrapText="1"/>
    </xf>
    <xf numFmtId="0" fontId="23" fillId="0" borderId="6" xfId="0" applyFont="1" applyFill="1" applyBorder="1" applyAlignment="1">
      <alignment vertical="center" wrapText="1"/>
    </xf>
    <xf numFmtId="0" fontId="21" fillId="3" borderId="6" xfId="0" applyFont="1" applyFill="1" applyBorder="1" applyAlignment="1">
      <alignment horizontal="center" vertical="center" wrapText="1"/>
    </xf>
    <xf numFmtId="166" fontId="20" fillId="3" borderId="6" xfId="1" applyNumberFormat="1" applyFont="1" applyFill="1" applyBorder="1" applyAlignment="1" applyProtection="1">
      <alignment horizontal="center" vertical="center" wrapText="1"/>
    </xf>
    <xf numFmtId="166" fontId="20" fillId="3" borderId="6" xfId="1" applyNumberFormat="1" applyFont="1" applyFill="1" applyBorder="1" applyAlignment="1" applyProtection="1">
      <alignment horizontal="right" vertical="center" wrapText="1"/>
    </xf>
    <xf numFmtId="0" fontId="22" fillId="3" borderId="0" xfId="0" applyFont="1" applyFill="1" applyAlignment="1">
      <alignment horizontal="left" wrapText="1" indent="1"/>
    </xf>
    <xf numFmtId="0" fontId="19" fillId="4" borderId="0" xfId="0" applyFont="1" applyFill="1" applyAlignment="1">
      <alignment horizontal="left" wrapText="1"/>
    </xf>
    <xf numFmtId="0" fontId="6" fillId="3" borderId="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3" fontId="4" fillId="4" borderId="11" xfId="0" applyNumberFormat="1" applyFont="1" applyFill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3" borderId="23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0" fillId="4" borderId="24" xfId="0" applyFont="1" applyFill="1" applyBorder="1" applyAlignment="1">
      <alignment horizontal="center" vertical="center"/>
    </xf>
    <xf numFmtId="0" fontId="0" fillId="3" borderId="25" xfId="0" applyFont="1" applyFill="1" applyBorder="1" applyAlignment="1">
      <alignment horizontal="center" vertical="center"/>
    </xf>
    <xf numFmtId="166" fontId="0" fillId="0" borderId="0" xfId="0" applyNumberFormat="1"/>
    <xf numFmtId="166" fontId="4" fillId="4" borderId="11" xfId="1" applyNumberFormat="1" applyFont="1" applyFill="1" applyBorder="1" applyAlignment="1" applyProtection="1">
      <alignment horizontal="center" vertical="center" wrapText="1"/>
    </xf>
    <xf numFmtId="0" fontId="25" fillId="0" borderId="40" xfId="0" applyFont="1" applyBorder="1" applyAlignment="1">
      <alignment horizontal="left" vertical="center" wrapText="1"/>
    </xf>
    <xf numFmtId="0" fontId="25" fillId="0" borderId="41" xfId="0" applyFont="1" applyBorder="1" applyAlignment="1">
      <alignment horizontal="left" vertical="center" wrapText="1"/>
    </xf>
    <xf numFmtId="0" fontId="25" fillId="0" borderId="42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3" borderId="0" xfId="0" applyFont="1" applyFill="1" applyBorder="1" applyAlignment="1">
      <alignment horizontal="left" wrapText="1" indent="1"/>
    </xf>
    <xf numFmtId="0" fontId="4" fillId="4" borderId="11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 indent="1"/>
    </xf>
    <xf numFmtId="167" fontId="7" fillId="0" borderId="6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/>
    </xf>
    <xf numFmtId="0" fontId="9" fillId="0" borderId="12" xfId="0" applyFont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3" borderId="36" xfId="0" applyFont="1" applyFill="1" applyBorder="1" applyAlignment="1">
      <alignment horizontal="left" vertical="center" wrapText="1" indent="1"/>
    </xf>
    <xf numFmtId="0" fontId="0" fillId="0" borderId="30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26" fillId="0" borderId="36" xfId="0" applyFont="1" applyBorder="1" applyAlignment="1">
      <alignment horizontal="left" vertical="center" wrapText="1"/>
    </xf>
    <xf numFmtId="0" fontId="0" fillId="0" borderId="14" xfId="0" applyBorder="1"/>
    <xf numFmtId="0" fontId="24" fillId="0" borderId="24" xfId="0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/>
    </xf>
    <xf numFmtId="0" fontId="14" fillId="0" borderId="30" xfId="0" applyFont="1" applyBorder="1" applyAlignment="1">
      <alignment horizontal="left" vertical="center"/>
    </xf>
    <xf numFmtId="0" fontId="11" fillId="0" borderId="15" xfId="0" applyFont="1" applyBorder="1"/>
    <xf numFmtId="0" fontId="11" fillId="0" borderId="16" xfId="0" applyFont="1" applyBorder="1" applyAlignment="1">
      <alignment horizontal="left" vertical="center" wrapText="1" indent="1"/>
    </xf>
    <xf numFmtId="0" fontId="13" fillId="0" borderId="1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indent="1"/>
    </xf>
    <xf numFmtId="0" fontId="12" fillId="0" borderId="3" xfId="0" applyFont="1" applyBorder="1" applyAlignment="1">
      <alignment horizontal="left"/>
    </xf>
    <xf numFmtId="0" fontId="0" fillId="0" borderId="12" xfId="0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2" fillId="0" borderId="3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9"/>
  <sheetViews>
    <sheetView topLeftCell="A50" zoomScale="85" zoomScaleNormal="85" workbookViewId="0">
      <selection activeCell="C62" sqref="C62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69" t="s">
        <v>0</v>
      </c>
      <c r="C2" s="69"/>
      <c r="D2" s="69"/>
      <c r="E2" s="69"/>
      <c r="F2" s="69"/>
      <c r="G2" s="69"/>
      <c r="H2" s="69"/>
    </row>
    <row r="4" spans="1:9" ht="18" customHeight="1" x14ac:dyDescent="0.25">
      <c r="A4" s="70" t="s">
        <v>1</v>
      </c>
      <c r="B4" s="70"/>
      <c r="C4" s="71" t="s">
        <v>52</v>
      </c>
      <c r="D4" s="71"/>
      <c r="E4" s="71"/>
      <c r="F4" s="40"/>
      <c r="G4" s="41"/>
      <c r="H4" s="40"/>
    </row>
    <row r="5" spans="1:9" ht="18" customHeight="1" x14ac:dyDescent="0.25">
      <c r="A5" s="70" t="s">
        <v>2</v>
      </c>
      <c r="B5" s="70"/>
      <c r="C5" s="71" t="s">
        <v>53</v>
      </c>
      <c r="D5" s="71"/>
      <c r="E5" s="71"/>
      <c r="F5" s="40"/>
      <c r="G5" s="41"/>
      <c r="H5" s="40"/>
    </row>
    <row r="6" spans="1:9" ht="16.5" customHeight="1" x14ac:dyDescent="0.25">
      <c r="A6" s="70" t="s">
        <v>3</v>
      </c>
      <c r="B6" s="70"/>
      <c r="C6" s="50">
        <v>2021</v>
      </c>
      <c r="D6" s="51"/>
      <c r="E6" s="51"/>
      <c r="F6" s="40"/>
      <c r="G6" s="41"/>
      <c r="H6" s="40"/>
    </row>
    <row r="7" spans="1:9" ht="16.5" customHeight="1" x14ac:dyDescent="0.25">
      <c r="A7" s="70" t="s">
        <v>4</v>
      </c>
      <c r="B7" s="70"/>
      <c r="C7" s="50">
        <v>2</v>
      </c>
      <c r="D7" s="51"/>
      <c r="E7" s="51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42" t="s">
        <v>5</v>
      </c>
      <c r="B9" s="42" t="s">
        <v>6</v>
      </c>
      <c r="C9" s="42" t="s">
        <v>7</v>
      </c>
      <c r="D9" s="42" t="s">
        <v>8</v>
      </c>
      <c r="E9" s="42" t="s">
        <v>9</v>
      </c>
      <c r="F9" s="42" t="s">
        <v>10</v>
      </c>
      <c r="G9" s="42" t="s">
        <v>11</v>
      </c>
      <c r="H9" s="42" t="s">
        <v>12</v>
      </c>
      <c r="I9" s="42" t="s">
        <v>13</v>
      </c>
    </row>
    <row r="10" spans="1:9" ht="64.5" customHeight="1" thickBot="1" x14ac:dyDescent="0.25">
      <c r="A10" s="43">
        <v>1</v>
      </c>
      <c r="B10" s="47" t="s">
        <v>57</v>
      </c>
      <c r="C10" s="44" t="s">
        <v>58</v>
      </c>
      <c r="D10" s="45" t="str">
        <f>LEFT(B10,5)</f>
        <v>2.1.1</v>
      </c>
      <c r="E10" s="46" t="s">
        <v>59</v>
      </c>
      <c r="F10" s="47" t="s">
        <v>60</v>
      </c>
      <c r="G10" s="47">
        <v>750</v>
      </c>
      <c r="H10" s="48">
        <v>155</v>
      </c>
      <c r="I10" s="49">
        <f t="shared" ref="I10:I55" si="0">G10*H10</f>
        <v>116250</v>
      </c>
    </row>
    <row r="11" spans="1:9" ht="52.5" customHeight="1" thickBot="1" x14ac:dyDescent="0.25">
      <c r="A11" s="43">
        <v>2</v>
      </c>
      <c r="B11" s="47" t="s">
        <v>61</v>
      </c>
      <c r="C11" s="44" t="s">
        <v>58</v>
      </c>
      <c r="D11" s="45" t="str">
        <f t="shared" ref="D11:D55" si="1">LEFT(B11,5)</f>
        <v>2.1.1</v>
      </c>
      <c r="E11" s="46" t="s">
        <v>62</v>
      </c>
      <c r="F11" s="47" t="s">
        <v>60</v>
      </c>
      <c r="G11" s="47">
        <v>1200</v>
      </c>
      <c r="H11" s="48">
        <v>550</v>
      </c>
      <c r="I11" s="49">
        <f t="shared" si="0"/>
        <v>660000</v>
      </c>
    </row>
    <row r="12" spans="1:9" ht="82.5" customHeight="1" thickBot="1" x14ac:dyDescent="0.25">
      <c r="A12" s="43">
        <v>3</v>
      </c>
      <c r="B12" s="47" t="s">
        <v>63</v>
      </c>
      <c r="C12" s="44" t="s">
        <v>58</v>
      </c>
      <c r="D12" s="45" t="str">
        <f t="shared" si="1"/>
        <v>2.1.1</v>
      </c>
      <c r="E12" s="46" t="s">
        <v>64</v>
      </c>
      <c r="F12" s="47" t="s">
        <v>60</v>
      </c>
      <c r="G12" s="47">
        <v>1800</v>
      </c>
      <c r="H12" s="48">
        <v>114</v>
      </c>
      <c r="I12" s="49">
        <f t="shared" si="0"/>
        <v>205200</v>
      </c>
    </row>
    <row r="13" spans="1:9" ht="75" customHeight="1" thickBot="1" x14ac:dyDescent="0.25">
      <c r="A13" s="43">
        <v>4</v>
      </c>
      <c r="B13" s="47" t="s">
        <v>65</v>
      </c>
      <c r="C13" s="44" t="s">
        <v>58</v>
      </c>
      <c r="D13" s="45" t="str">
        <f t="shared" si="1"/>
        <v>2.1.1</v>
      </c>
      <c r="E13" s="46" t="s">
        <v>66</v>
      </c>
      <c r="F13" s="47" t="s">
        <v>60</v>
      </c>
      <c r="G13" s="47">
        <v>150</v>
      </c>
      <c r="H13" s="48">
        <v>45</v>
      </c>
      <c r="I13" s="49">
        <f t="shared" si="0"/>
        <v>6750</v>
      </c>
    </row>
    <row r="14" spans="1:9" ht="60.75" customHeight="1" thickBot="1" x14ac:dyDescent="0.25">
      <c r="A14" s="43">
        <v>5</v>
      </c>
      <c r="B14" s="47" t="s">
        <v>67</v>
      </c>
      <c r="C14" s="44" t="s">
        <v>58</v>
      </c>
      <c r="D14" s="45" t="str">
        <f t="shared" si="1"/>
        <v>2.1.1</v>
      </c>
      <c r="E14" s="46" t="s">
        <v>68</v>
      </c>
      <c r="F14" s="47" t="s">
        <v>60</v>
      </c>
      <c r="G14" s="47">
        <v>1950</v>
      </c>
      <c r="H14" s="48">
        <v>125</v>
      </c>
      <c r="I14" s="49">
        <f t="shared" si="0"/>
        <v>243750</v>
      </c>
    </row>
    <row r="15" spans="1:9" ht="63" customHeight="1" thickBot="1" x14ac:dyDescent="0.25">
      <c r="A15" s="43">
        <v>6</v>
      </c>
      <c r="B15" s="47" t="s">
        <v>69</v>
      </c>
      <c r="C15" s="44" t="s">
        <v>58</v>
      </c>
      <c r="D15" s="45" t="str">
        <f t="shared" si="1"/>
        <v>2.1.1</v>
      </c>
      <c r="E15" s="46" t="s">
        <v>70</v>
      </c>
      <c r="F15" s="47" t="s">
        <v>60</v>
      </c>
      <c r="G15" s="47">
        <v>75</v>
      </c>
      <c r="H15" s="48">
        <v>250</v>
      </c>
      <c r="I15" s="49">
        <f t="shared" si="0"/>
        <v>18750</v>
      </c>
    </row>
    <row r="16" spans="1:9" ht="56.25" customHeight="1" thickBot="1" x14ac:dyDescent="0.25">
      <c r="A16" s="43">
        <v>7</v>
      </c>
      <c r="B16" s="47" t="s">
        <v>71</v>
      </c>
      <c r="C16" s="44" t="s">
        <v>58</v>
      </c>
      <c r="D16" s="45" t="str">
        <f t="shared" si="1"/>
        <v>2.1.1</v>
      </c>
      <c r="E16" s="46" t="s">
        <v>72</v>
      </c>
      <c r="F16" s="47" t="s">
        <v>60</v>
      </c>
      <c r="G16" s="47">
        <v>21</v>
      </c>
      <c r="H16" s="48">
        <v>79.72</v>
      </c>
      <c r="I16" s="49">
        <f t="shared" si="0"/>
        <v>1674.12</v>
      </c>
    </row>
    <row r="17" spans="1:9" ht="66" customHeight="1" thickBot="1" x14ac:dyDescent="0.25">
      <c r="A17" s="43">
        <v>8</v>
      </c>
      <c r="B17" s="47" t="s">
        <v>73</v>
      </c>
      <c r="C17" s="44" t="s">
        <v>58</v>
      </c>
      <c r="D17" s="45" t="str">
        <f t="shared" si="1"/>
        <v>2.1.1</v>
      </c>
      <c r="E17" s="46" t="s">
        <v>74</v>
      </c>
      <c r="F17" s="47" t="s">
        <v>60</v>
      </c>
      <c r="G17" s="47">
        <v>126</v>
      </c>
      <c r="H17" s="48">
        <v>45</v>
      </c>
      <c r="I17" s="49">
        <f t="shared" si="0"/>
        <v>5670</v>
      </c>
    </row>
    <row r="18" spans="1:9" ht="31.9" customHeight="1" thickBot="1" x14ac:dyDescent="0.25">
      <c r="A18" s="43">
        <v>9</v>
      </c>
      <c r="B18" s="47" t="s">
        <v>75</v>
      </c>
      <c r="C18" s="44" t="s">
        <v>58</v>
      </c>
      <c r="D18" s="45" t="str">
        <f t="shared" si="1"/>
        <v>2.1.1</v>
      </c>
      <c r="E18" s="46" t="s">
        <v>76</v>
      </c>
      <c r="F18" s="47" t="s">
        <v>60</v>
      </c>
      <c r="G18" s="47">
        <v>51</v>
      </c>
      <c r="H18" s="48">
        <v>94.78</v>
      </c>
      <c r="I18" s="49">
        <f t="shared" si="0"/>
        <v>4833.78</v>
      </c>
    </row>
    <row r="19" spans="1:9" ht="31.9" customHeight="1" thickBot="1" x14ac:dyDescent="0.25">
      <c r="A19" s="43">
        <v>10</v>
      </c>
      <c r="B19" s="47" t="s">
        <v>77</v>
      </c>
      <c r="C19" s="44" t="s">
        <v>58</v>
      </c>
      <c r="D19" s="45" t="str">
        <f t="shared" si="1"/>
        <v>2.1.1</v>
      </c>
      <c r="E19" s="46" t="s">
        <v>78</v>
      </c>
      <c r="F19" s="47" t="s">
        <v>60</v>
      </c>
      <c r="G19" s="47">
        <v>39</v>
      </c>
      <c r="H19" s="48">
        <v>99</v>
      </c>
      <c r="I19" s="49">
        <f t="shared" si="0"/>
        <v>3861</v>
      </c>
    </row>
    <row r="20" spans="1:9" ht="31.9" customHeight="1" thickBot="1" x14ac:dyDescent="0.25">
      <c r="A20" s="43">
        <v>11</v>
      </c>
      <c r="B20" s="47" t="s">
        <v>79</v>
      </c>
      <c r="C20" s="44" t="s">
        <v>58</v>
      </c>
      <c r="D20" s="45" t="str">
        <f t="shared" si="1"/>
        <v>2.1.1</v>
      </c>
      <c r="E20" s="46" t="s">
        <v>80</v>
      </c>
      <c r="F20" s="47" t="s">
        <v>60</v>
      </c>
      <c r="G20" s="47">
        <v>99</v>
      </c>
      <c r="H20" s="48">
        <v>44.75</v>
      </c>
      <c r="I20" s="49">
        <f t="shared" si="0"/>
        <v>4430.25</v>
      </c>
    </row>
    <row r="21" spans="1:9" ht="31.9" customHeight="1" thickBot="1" x14ac:dyDescent="0.25">
      <c r="A21" s="43">
        <v>12</v>
      </c>
      <c r="B21" s="47" t="s">
        <v>81</v>
      </c>
      <c r="C21" s="44" t="s">
        <v>58</v>
      </c>
      <c r="D21" s="45" t="str">
        <f t="shared" si="1"/>
        <v>2.1.1</v>
      </c>
      <c r="E21" s="46" t="s">
        <v>82</v>
      </c>
      <c r="F21" s="47" t="s">
        <v>60</v>
      </c>
      <c r="G21" s="47">
        <v>15</v>
      </c>
      <c r="H21" s="48">
        <v>52.02</v>
      </c>
      <c r="I21" s="49">
        <f t="shared" si="0"/>
        <v>780.30000000000007</v>
      </c>
    </row>
    <row r="22" spans="1:9" ht="31.9" customHeight="1" thickBot="1" x14ac:dyDescent="0.25">
      <c r="A22" s="43">
        <v>13</v>
      </c>
      <c r="B22" s="47" t="s">
        <v>83</v>
      </c>
      <c r="C22" s="44" t="s">
        <v>58</v>
      </c>
      <c r="D22" s="45" t="str">
        <f t="shared" si="1"/>
        <v>2.1.1</v>
      </c>
      <c r="E22" s="46" t="s">
        <v>84</v>
      </c>
      <c r="F22" s="47" t="s">
        <v>60</v>
      </c>
      <c r="G22" s="47">
        <v>51</v>
      </c>
      <c r="H22" s="48">
        <v>62.58</v>
      </c>
      <c r="I22" s="49">
        <f t="shared" si="0"/>
        <v>3191.58</v>
      </c>
    </row>
    <row r="23" spans="1:9" ht="67.5" customHeight="1" thickBot="1" x14ac:dyDescent="0.25">
      <c r="A23" s="43">
        <v>14</v>
      </c>
      <c r="B23" s="47" t="s">
        <v>85</v>
      </c>
      <c r="C23" s="44" t="s">
        <v>58</v>
      </c>
      <c r="D23" s="45" t="str">
        <f t="shared" si="1"/>
        <v>2.1.1</v>
      </c>
      <c r="E23" s="46" t="s">
        <v>86</v>
      </c>
      <c r="F23" s="47" t="s">
        <v>60</v>
      </c>
      <c r="G23" s="47">
        <v>30</v>
      </c>
      <c r="H23" s="48">
        <v>60.02</v>
      </c>
      <c r="I23" s="49">
        <f t="shared" si="0"/>
        <v>1800.6000000000001</v>
      </c>
    </row>
    <row r="24" spans="1:9" ht="46.5" customHeight="1" thickBot="1" x14ac:dyDescent="0.25">
      <c r="A24" s="43">
        <v>15</v>
      </c>
      <c r="B24" s="47" t="s">
        <v>87</v>
      </c>
      <c r="C24" s="44" t="s">
        <v>58</v>
      </c>
      <c r="D24" s="45" t="str">
        <f t="shared" si="1"/>
        <v>2.1.1</v>
      </c>
      <c r="E24" s="46" t="s">
        <v>88</v>
      </c>
      <c r="F24" s="47" t="s">
        <v>60</v>
      </c>
      <c r="G24" s="47">
        <v>75</v>
      </c>
      <c r="H24" s="48">
        <v>205.63</v>
      </c>
      <c r="I24" s="49">
        <f t="shared" si="0"/>
        <v>15422.25</v>
      </c>
    </row>
    <row r="25" spans="1:9" ht="48" customHeight="1" thickBot="1" x14ac:dyDescent="0.25">
      <c r="A25" s="43">
        <v>16</v>
      </c>
      <c r="B25" s="47" t="s">
        <v>89</v>
      </c>
      <c r="C25" s="44" t="s">
        <v>58</v>
      </c>
      <c r="D25" s="45" t="str">
        <f t="shared" si="1"/>
        <v>2.1.1</v>
      </c>
      <c r="E25" s="46" t="s">
        <v>90</v>
      </c>
      <c r="F25" s="47" t="s">
        <v>60</v>
      </c>
      <c r="G25" s="47">
        <v>51</v>
      </c>
      <c r="H25" s="48">
        <v>174</v>
      </c>
      <c r="I25" s="49">
        <f t="shared" si="0"/>
        <v>8874</v>
      </c>
    </row>
    <row r="26" spans="1:9" ht="76.5" customHeight="1" thickBot="1" x14ac:dyDescent="0.25">
      <c r="A26" s="43">
        <v>17</v>
      </c>
      <c r="B26" s="47" t="s">
        <v>91</v>
      </c>
      <c r="C26" s="44" t="s">
        <v>58</v>
      </c>
      <c r="D26" s="45" t="str">
        <f t="shared" si="1"/>
        <v>2.1.1</v>
      </c>
      <c r="E26" s="46" t="s">
        <v>92</v>
      </c>
      <c r="F26" s="47" t="s">
        <v>60</v>
      </c>
      <c r="G26" s="47">
        <v>150</v>
      </c>
      <c r="H26" s="48">
        <v>45</v>
      </c>
      <c r="I26" s="49">
        <f t="shared" si="0"/>
        <v>6750</v>
      </c>
    </row>
    <row r="27" spans="1:9" ht="50.25" customHeight="1" thickBot="1" x14ac:dyDescent="0.25">
      <c r="A27" s="43">
        <v>18</v>
      </c>
      <c r="B27" s="47" t="s">
        <v>93</v>
      </c>
      <c r="C27" s="44" t="s">
        <v>58</v>
      </c>
      <c r="D27" s="45" t="str">
        <f t="shared" si="1"/>
        <v>2.1.1</v>
      </c>
      <c r="E27" s="46" t="s">
        <v>94</v>
      </c>
      <c r="F27" s="47" t="s">
        <v>60</v>
      </c>
      <c r="G27" s="47">
        <v>30</v>
      </c>
      <c r="H27" s="48">
        <v>45</v>
      </c>
      <c r="I27" s="49">
        <f t="shared" si="0"/>
        <v>1350</v>
      </c>
    </row>
    <row r="28" spans="1:9" ht="76.5" customHeight="1" thickBot="1" x14ac:dyDescent="0.25">
      <c r="A28" s="43">
        <v>19</v>
      </c>
      <c r="B28" s="47" t="s">
        <v>95</v>
      </c>
      <c r="C28" s="44" t="s">
        <v>58</v>
      </c>
      <c r="D28" s="45" t="str">
        <f t="shared" si="1"/>
        <v>2.1.1</v>
      </c>
      <c r="E28" s="46" t="s">
        <v>96</v>
      </c>
      <c r="F28" s="47" t="s">
        <v>60</v>
      </c>
      <c r="G28" s="47">
        <v>351</v>
      </c>
      <c r="H28" s="48">
        <v>150</v>
      </c>
      <c r="I28" s="49">
        <f t="shared" si="0"/>
        <v>52650</v>
      </c>
    </row>
    <row r="29" spans="1:9" ht="50.25" customHeight="1" thickBot="1" x14ac:dyDescent="0.25">
      <c r="A29" s="43">
        <v>20</v>
      </c>
      <c r="B29" s="47" t="s">
        <v>97</v>
      </c>
      <c r="C29" s="44" t="s">
        <v>58</v>
      </c>
      <c r="D29" s="45" t="str">
        <f t="shared" si="1"/>
        <v>2.1.1</v>
      </c>
      <c r="E29" s="46" t="s">
        <v>98</v>
      </c>
      <c r="F29" s="47" t="s">
        <v>60</v>
      </c>
      <c r="G29" s="47">
        <v>399</v>
      </c>
      <c r="H29" s="48">
        <v>59.87</v>
      </c>
      <c r="I29" s="49">
        <f t="shared" si="0"/>
        <v>23888.129999999997</v>
      </c>
    </row>
    <row r="30" spans="1:9" ht="31.9" customHeight="1" thickBot="1" x14ac:dyDescent="0.25">
      <c r="A30" s="43">
        <v>21</v>
      </c>
      <c r="B30" s="47" t="s">
        <v>99</v>
      </c>
      <c r="C30" s="44" t="s">
        <v>58</v>
      </c>
      <c r="D30" s="45" t="str">
        <f t="shared" si="1"/>
        <v>2.1.1</v>
      </c>
      <c r="E30" s="46" t="s">
        <v>100</v>
      </c>
      <c r="F30" s="47" t="s">
        <v>60</v>
      </c>
      <c r="G30" s="47">
        <v>51</v>
      </c>
      <c r="H30" s="48">
        <v>99</v>
      </c>
      <c r="I30" s="49">
        <f t="shared" si="0"/>
        <v>5049</v>
      </c>
    </row>
    <row r="31" spans="1:9" ht="31.9" customHeight="1" thickBot="1" x14ac:dyDescent="0.25">
      <c r="A31" s="43">
        <v>22</v>
      </c>
      <c r="B31" s="47" t="s">
        <v>101</v>
      </c>
      <c r="C31" s="44" t="s">
        <v>58</v>
      </c>
      <c r="D31" s="45" t="str">
        <f t="shared" si="1"/>
        <v>2.1.1</v>
      </c>
      <c r="E31" s="46" t="s">
        <v>102</v>
      </c>
      <c r="F31" s="47" t="s">
        <v>60</v>
      </c>
      <c r="G31" s="47">
        <v>99</v>
      </c>
      <c r="H31" s="48">
        <v>79.08</v>
      </c>
      <c r="I31" s="49">
        <f t="shared" si="0"/>
        <v>7828.92</v>
      </c>
    </row>
    <row r="32" spans="1:9" ht="31.9" customHeight="1" thickBot="1" x14ac:dyDescent="0.25">
      <c r="A32" s="43">
        <v>23</v>
      </c>
      <c r="B32" s="47" t="s">
        <v>103</v>
      </c>
      <c r="C32" s="44" t="s">
        <v>58</v>
      </c>
      <c r="D32" s="45" t="str">
        <f t="shared" si="1"/>
        <v>2.1.1</v>
      </c>
      <c r="E32" s="46" t="s">
        <v>104</v>
      </c>
      <c r="F32" s="47" t="s">
        <v>60</v>
      </c>
      <c r="G32" s="47">
        <v>12</v>
      </c>
      <c r="H32" s="48">
        <v>250</v>
      </c>
      <c r="I32" s="49">
        <f t="shared" si="0"/>
        <v>3000</v>
      </c>
    </row>
    <row r="33" spans="1:9" ht="31.9" customHeight="1" thickBot="1" x14ac:dyDescent="0.25">
      <c r="A33" s="43">
        <v>24</v>
      </c>
      <c r="B33" s="47" t="s">
        <v>105</v>
      </c>
      <c r="C33" s="44" t="s">
        <v>58</v>
      </c>
      <c r="D33" s="45" t="str">
        <f t="shared" si="1"/>
        <v>2.1.1</v>
      </c>
      <c r="E33" s="46" t="s">
        <v>106</v>
      </c>
      <c r="F33" s="47" t="s">
        <v>60</v>
      </c>
      <c r="G33" s="47">
        <v>3</v>
      </c>
      <c r="H33" s="48">
        <v>5900</v>
      </c>
      <c r="I33" s="49">
        <f t="shared" si="0"/>
        <v>17700</v>
      </c>
    </row>
    <row r="34" spans="1:9" ht="61.5" customHeight="1" thickBot="1" x14ac:dyDescent="0.25">
      <c r="A34" s="43">
        <v>25</v>
      </c>
      <c r="B34" s="47" t="s">
        <v>107</v>
      </c>
      <c r="C34" s="44" t="s">
        <v>58</v>
      </c>
      <c r="D34" s="45" t="str">
        <f t="shared" si="1"/>
        <v>2.1.1</v>
      </c>
      <c r="E34" s="46" t="s">
        <v>108</v>
      </c>
      <c r="F34" s="47" t="s">
        <v>60</v>
      </c>
      <c r="G34" s="47">
        <v>3</v>
      </c>
      <c r="H34" s="48">
        <v>5185</v>
      </c>
      <c r="I34" s="49">
        <f t="shared" si="0"/>
        <v>15555</v>
      </c>
    </row>
    <row r="35" spans="1:9" ht="48" customHeight="1" thickBot="1" x14ac:dyDescent="0.25">
      <c r="A35" s="43">
        <v>26</v>
      </c>
      <c r="B35" s="47" t="s">
        <v>109</v>
      </c>
      <c r="C35" s="44" t="s">
        <v>58</v>
      </c>
      <c r="D35" s="45" t="str">
        <f t="shared" si="1"/>
        <v>2.1.1</v>
      </c>
      <c r="E35" s="46" t="s">
        <v>110</v>
      </c>
      <c r="F35" s="47" t="s">
        <v>60</v>
      </c>
      <c r="G35" s="47">
        <v>12</v>
      </c>
      <c r="H35" s="48">
        <v>65</v>
      </c>
      <c r="I35" s="49">
        <f t="shared" si="0"/>
        <v>780</v>
      </c>
    </row>
    <row r="36" spans="1:9" ht="50.25" customHeight="1" thickBot="1" x14ac:dyDescent="0.25">
      <c r="A36" s="43">
        <v>27</v>
      </c>
      <c r="B36" s="47" t="s">
        <v>111</v>
      </c>
      <c r="C36" s="44" t="s">
        <v>58</v>
      </c>
      <c r="D36" s="45" t="str">
        <f t="shared" si="1"/>
        <v>2.1.1</v>
      </c>
      <c r="E36" s="46" t="s">
        <v>112</v>
      </c>
      <c r="F36" s="47" t="s">
        <v>60</v>
      </c>
      <c r="G36" s="47">
        <v>21</v>
      </c>
      <c r="H36" s="48">
        <v>93.6</v>
      </c>
      <c r="I36" s="49">
        <f t="shared" si="0"/>
        <v>1965.6</v>
      </c>
    </row>
    <row r="37" spans="1:9" ht="53.25" customHeight="1" thickBot="1" x14ac:dyDescent="0.25">
      <c r="A37" s="43">
        <v>28</v>
      </c>
      <c r="B37" s="47" t="s">
        <v>113</v>
      </c>
      <c r="C37" s="44" t="s">
        <v>58</v>
      </c>
      <c r="D37" s="45" t="str">
        <f t="shared" si="1"/>
        <v>2.1.1</v>
      </c>
      <c r="E37" s="46" t="s">
        <v>114</v>
      </c>
      <c r="F37" s="47" t="s">
        <v>60</v>
      </c>
      <c r="G37" s="47">
        <v>12</v>
      </c>
      <c r="H37" s="48">
        <v>235.19</v>
      </c>
      <c r="I37" s="49">
        <f t="shared" si="0"/>
        <v>2822.2799999999997</v>
      </c>
    </row>
    <row r="38" spans="1:9" ht="51.75" customHeight="1" thickBot="1" x14ac:dyDescent="0.25">
      <c r="A38" s="43">
        <v>29</v>
      </c>
      <c r="B38" s="47" t="s">
        <v>115</v>
      </c>
      <c r="C38" s="44" t="s">
        <v>58</v>
      </c>
      <c r="D38" s="45" t="str">
        <f t="shared" si="1"/>
        <v>2.1.1</v>
      </c>
      <c r="E38" s="46" t="s">
        <v>116</v>
      </c>
      <c r="F38" s="47" t="s">
        <v>60</v>
      </c>
      <c r="G38" s="47">
        <v>300</v>
      </c>
      <c r="H38" s="48">
        <v>235.19</v>
      </c>
      <c r="I38" s="49">
        <f t="shared" si="0"/>
        <v>70557</v>
      </c>
    </row>
    <row r="39" spans="1:9" ht="67.5" customHeight="1" thickBot="1" x14ac:dyDescent="0.25">
      <c r="A39" s="43">
        <v>30</v>
      </c>
      <c r="B39" s="47" t="s">
        <v>117</v>
      </c>
      <c r="C39" s="44" t="s">
        <v>58</v>
      </c>
      <c r="D39" s="45" t="str">
        <f t="shared" si="1"/>
        <v>2.1.1</v>
      </c>
      <c r="E39" s="46" t="s">
        <v>118</v>
      </c>
      <c r="F39" s="47" t="s">
        <v>60</v>
      </c>
      <c r="G39" s="47">
        <v>99</v>
      </c>
      <c r="H39" s="48">
        <v>89</v>
      </c>
      <c r="I39" s="49">
        <f t="shared" si="0"/>
        <v>8811</v>
      </c>
    </row>
    <row r="40" spans="1:9" ht="50.25" customHeight="1" thickBot="1" x14ac:dyDescent="0.25">
      <c r="A40" s="43">
        <v>31</v>
      </c>
      <c r="B40" s="47" t="s">
        <v>119</v>
      </c>
      <c r="C40" s="44" t="s">
        <v>58</v>
      </c>
      <c r="D40" s="45" t="str">
        <f t="shared" si="1"/>
        <v>2.1.1</v>
      </c>
      <c r="E40" s="46" t="s">
        <v>120</v>
      </c>
      <c r="F40" s="47" t="s">
        <v>60</v>
      </c>
      <c r="G40" s="47">
        <v>300</v>
      </c>
      <c r="H40" s="48">
        <v>68.78</v>
      </c>
      <c r="I40" s="49">
        <f t="shared" si="0"/>
        <v>20634</v>
      </c>
    </row>
    <row r="41" spans="1:9" ht="45.75" customHeight="1" thickBot="1" x14ac:dyDescent="0.25">
      <c r="A41" s="43">
        <v>32</v>
      </c>
      <c r="B41" s="47" t="s">
        <v>121</v>
      </c>
      <c r="C41" s="44" t="s">
        <v>58</v>
      </c>
      <c r="D41" s="45" t="str">
        <f t="shared" si="1"/>
        <v>2.1.1</v>
      </c>
      <c r="E41" s="46" t="s">
        <v>122</v>
      </c>
      <c r="F41" s="47" t="s">
        <v>60</v>
      </c>
      <c r="G41" s="47">
        <v>600</v>
      </c>
      <c r="H41" s="48">
        <v>235</v>
      </c>
      <c r="I41" s="49">
        <f t="shared" si="0"/>
        <v>141000</v>
      </c>
    </row>
    <row r="42" spans="1:9" ht="56.25" customHeight="1" thickBot="1" x14ac:dyDescent="0.25">
      <c r="A42" s="43">
        <v>33</v>
      </c>
      <c r="B42" s="47" t="s">
        <v>123</v>
      </c>
      <c r="C42" s="44" t="s">
        <v>58</v>
      </c>
      <c r="D42" s="45" t="str">
        <f t="shared" si="1"/>
        <v>2.1.1</v>
      </c>
      <c r="E42" s="46" t="s">
        <v>124</v>
      </c>
      <c r="F42" s="47" t="s">
        <v>60</v>
      </c>
      <c r="G42" s="47">
        <v>600</v>
      </c>
      <c r="H42" s="48">
        <v>315</v>
      </c>
      <c r="I42" s="49">
        <f t="shared" si="0"/>
        <v>189000</v>
      </c>
    </row>
    <row r="43" spans="1:9" ht="45" customHeight="1" thickBot="1" x14ac:dyDescent="0.25">
      <c r="A43" s="43">
        <v>34</v>
      </c>
      <c r="B43" s="47" t="s">
        <v>125</v>
      </c>
      <c r="C43" s="44" t="s">
        <v>58</v>
      </c>
      <c r="D43" s="45" t="str">
        <f t="shared" si="1"/>
        <v>2.1.1</v>
      </c>
      <c r="E43" s="46" t="s">
        <v>126</v>
      </c>
      <c r="F43" s="47" t="s">
        <v>60</v>
      </c>
      <c r="G43" s="47">
        <v>201</v>
      </c>
      <c r="H43" s="48">
        <v>48</v>
      </c>
      <c r="I43" s="49">
        <f t="shared" si="0"/>
        <v>9648</v>
      </c>
    </row>
    <row r="44" spans="1:9" ht="41.25" customHeight="1" thickBot="1" x14ac:dyDescent="0.25">
      <c r="A44" s="43">
        <v>35</v>
      </c>
      <c r="B44" s="47" t="s">
        <v>127</v>
      </c>
      <c r="C44" s="44" t="s">
        <v>58</v>
      </c>
      <c r="D44" s="45" t="str">
        <f t="shared" si="1"/>
        <v>2.1.1</v>
      </c>
      <c r="E44" s="46" t="s">
        <v>128</v>
      </c>
      <c r="F44" s="47" t="s">
        <v>60</v>
      </c>
      <c r="G44" s="47">
        <v>201</v>
      </c>
      <c r="H44" s="48">
        <v>80.209999999999994</v>
      </c>
      <c r="I44" s="49">
        <f t="shared" si="0"/>
        <v>16122.21</v>
      </c>
    </row>
    <row r="45" spans="1:9" ht="45" customHeight="1" thickBot="1" x14ac:dyDescent="0.25">
      <c r="A45" s="43">
        <v>36</v>
      </c>
      <c r="B45" s="47" t="s">
        <v>129</v>
      </c>
      <c r="C45" s="44" t="s">
        <v>58</v>
      </c>
      <c r="D45" s="45" t="str">
        <f t="shared" si="1"/>
        <v>2.1.1</v>
      </c>
      <c r="E45" s="46" t="s">
        <v>130</v>
      </c>
      <c r="F45" s="47" t="s">
        <v>60</v>
      </c>
      <c r="G45" s="47">
        <v>300</v>
      </c>
      <c r="H45" s="48">
        <v>48</v>
      </c>
      <c r="I45" s="49">
        <f t="shared" si="0"/>
        <v>14400</v>
      </c>
    </row>
    <row r="46" spans="1:9" ht="31.9" customHeight="1" thickBot="1" x14ac:dyDescent="0.25">
      <c r="A46" s="43">
        <v>37</v>
      </c>
      <c r="B46" s="47" t="s">
        <v>131</v>
      </c>
      <c r="C46" s="44" t="s">
        <v>58</v>
      </c>
      <c r="D46" s="45" t="str">
        <f t="shared" si="1"/>
        <v>2.1.1</v>
      </c>
      <c r="E46" s="46" t="s">
        <v>132</v>
      </c>
      <c r="F46" s="47" t="s">
        <v>60</v>
      </c>
      <c r="G46" s="47">
        <v>39</v>
      </c>
      <c r="H46" s="48">
        <v>942</v>
      </c>
      <c r="I46" s="49">
        <f t="shared" si="0"/>
        <v>36738</v>
      </c>
    </row>
    <row r="47" spans="1:9" ht="31.9" customHeight="1" thickBot="1" x14ac:dyDescent="0.25">
      <c r="A47" s="43">
        <v>38</v>
      </c>
      <c r="B47" s="47" t="s">
        <v>133</v>
      </c>
      <c r="C47" s="44" t="s">
        <v>58</v>
      </c>
      <c r="D47" s="45" t="str">
        <f t="shared" si="1"/>
        <v>2.1.1</v>
      </c>
      <c r="E47" s="46" t="s">
        <v>134</v>
      </c>
      <c r="F47" s="47" t="s">
        <v>60</v>
      </c>
      <c r="G47" s="47">
        <v>39</v>
      </c>
      <c r="H47" s="48">
        <v>1086</v>
      </c>
      <c r="I47" s="49">
        <f t="shared" si="0"/>
        <v>42354</v>
      </c>
    </row>
    <row r="48" spans="1:9" ht="54" customHeight="1" thickBot="1" x14ac:dyDescent="0.25">
      <c r="A48" s="43">
        <v>39</v>
      </c>
      <c r="B48" s="47" t="s">
        <v>156</v>
      </c>
      <c r="C48" s="44" t="s">
        <v>58</v>
      </c>
      <c r="D48" s="45" t="str">
        <f t="shared" si="1"/>
        <v>2.1.1</v>
      </c>
      <c r="E48" s="46" t="s">
        <v>155</v>
      </c>
      <c r="F48" s="47" t="s">
        <v>60</v>
      </c>
      <c r="G48" s="47">
        <v>51</v>
      </c>
      <c r="H48" s="48">
        <v>54.06</v>
      </c>
      <c r="I48" s="49">
        <f t="shared" si="0"/>
        <v>2757.06</v>
      </c>
    </row>
    <row r="49" spans="1:9" ht="31.9" customHeight="1" thickBot="1" x14ac:dyDescent="0.25">
      <c r="A49" s="43">
        <v>40</v>
      </c>
      <c r="B49" s="47" t="s">
        <v>135</v>
      </c>
      <c r="C49" s="44" t="s">
        <v>58</v>
      </c>
      <c r="D49" s="45" t="str">
        <f t="shared" si="1"/>
        <v>2.1.1</v>
      </c>
      <c r="E49" s="46" t="s">
        <v>136</v>
      </c>
      <c r="F49" s="47" t="s">
        <v>60</v>
      </c>
      <c r="G49" s="47">
        <v>9</v>
      </c>
      <c r="H49" s="48">
        <v>380</v>
      </c>
      <c r="I49" s="49">
        <f t="shared" si="0"/>
        <v>3420</v>
      </c>
    </row>
    <row r="50" spans="1:9" ht="31.9" customHeight="1" thickBot="1" x14ac:dyDescent="0.25">
      <c r="A50" s="43">
        <v>41</v>
      </c>
      <c r="B50" s="47" t="s">
        <v>137</v>
      </c>
      <c r="C50" s="44" t="s">
        <v>58</v>
      </c>
      <c r="D50" s="45" t="str">
        <f t="shared" si="1"/>
        <v>2.1.1</v>
      </c>
      <c r="E50" s="46" t="s">
        <v>138</v>
      </c>
      <c r="F50" s="47" t="s">
        <v>60</v>
      </c>
      <c r="G50" s="47">
        <v>9</v>
      </c>
      <c r="H50" s="48">
        <v>350</v>
      </c>
      <c r="I50" s="49">
        <f t="shared" si="0"/>
        <v>3150</v>
      </c>
    </row>
    <row r="51" spans="1:9" ht="31.9" customHeight="1" thickBot="1" x14ac:dyDescent="0.25">
      <c r="A51" s="43">
        <v>42</v>
      </c>
      <c r="B51" s="47" t="s">
        <v>139</v>
      </c>
      <c r="C51" s="44" t="s">
        <v>58</v>
      </c>
      <c r="D51" s="45" t="str">
        <f t="shared" si="1"/>
        <v>2.1.1</v>
      </c>
      <c r="E51" s="46" t="s">
        <v>140</v>
      </c>
      <c r="F51" s="47" t="s">
        <v>141</v>
      </c>
      <c r="G51" s="47">
        <v>3</v>
      </c>
      <c r="H51" s="48">
        <v>1300</v>
      </c>
      <c r="I51" s="49">
        <f t="shared" si="0"/>
        <v>3900</v>
      </c>
    </row>
    <row r="52" spans="1:9" ht="31.9" customHeight="1" thickBot="1" x14ac:dyDescent="0.25">
      <c r="A52" s="43">
        <v>43</v>
      </c>
      <c r="B52" s="47" t="s">
        <v>142</v>
      </c>
      <c r="C52" s="44" t="s">
        <v>58</v>
      </c>
      <c r="D52" s="45" t="str">
        <f t="shared" si="1"/>
        <v>2.1.1</v>
      </c>
      <c r="E52" s="46" t="s">
        <v>143</v>
      </c>
      <c r="F52" s="47" t="s">
        <v>60</v>
      </c>
      <c r="G52" s="47">
        <v>3</v>
      </c>
      <c r="H52" s="48">
        <v>759.99</v>
      </c>
      <c r="I52" s="49">
        <f t="shared" si="0"/>
        <v>2279.9700000000003</v>
      </c>
    </row>
    <row r="53" spans="1:9" ht="62.25" customHeight="1" thickBot="1" x14ac:dyDescent="0.25">
      <c r="A53" s="43">
        <v>44</v>
      </c>
      <c r="B53" s="47" t="s">
        <v>144</v>
      </c>
      <c r="C53" s="44" t="s">
        <v>58</v>
      </c>
      <c r="D53" s="45" t="str">
        <f t="shared" si="1"/>
        <v>2.1.1</v>
      </c>
      <c r="E53" s="46" t="s">
        <v>145</v>
      </c>
      <c r="F53" s="47" t="s">
        <v>60</v>
      </c>
      <c r="G53" s="47">
        <v>51</v>
      </c>
      <c r="H53" s="48">
        <v>162</v>
      </c>
      <c r="I53" s="49">
        <f t="shared" si="0"/>
        <v>8262</v>
      </c>
    </row>
    <row r="54" spans="1:9" ht="63.75" customHeight="1" thickBot="1" x14ac:dyDescent="0.25">
      <c r="A54" s="43">
        <v>45</v>
      </c>
      <c r="B54" s="47" t="s">
        <v>146</v>
      </c>
      <c r="C54" s="44" t="s">
        <v>58</v>
      </c>
      <c r="D54" s="45" t="str">
        <f t="shared" si="1"/>
        <v>2.1.1</v>
      </c>
      <c r="E54" s="46" t="s">
        <v>147</v>
      </c>
      <c r="F54" s="47" t="s">
        <v>60</v>
      </c>
      <c r="G54" s="47">
        <v>30</v>
      </c>
      <c r="H54" s="48">
        <v>162</v>
      </c>
      <c r="I54" s="49">
        <f t="shared" si="0"/>
        <v>4860</v>
      </c>
    </row>
    <row r="55" spans="1:9" ht="31.9" customHeight="1" thickBot="1" x14ac:dyDescent="0.25">
      <c r="A55" s="43">
        <v>46</v>
      </c>
      <c r="B55" s="47" t="s">
        <v>148</v>
      </c>
      <c r="C55" s="44" t="s">
        <v>58</v>
      </c>
      <c r="D55" s="45" t="str">
        <f t="shared" si="1"/>
        <v>2.1.1</v>
      </c>
      <c r="E55" s="46" t="s">
        <v>149</v>
      </c>
      <c r="F55" s="47" t="s">
        <v>60</v>
      </c>
      <c r="G55" s="47">
        <v>3</v>
      </c>
      <c r="H55" s="48">
        <v>213.71</v>
      </c>
      <c r="I55" s="49">
        <f t="shared" si="0"/>
        <v>641.13</v>
      </c>
    </row>
    <row r="56" spans="1:9" ht="13.5" thickBot="1" x14ac:dyDescent="0.25"/>
    <row r="57" spans="1:9" ht="33.6" customHeight="1" thickTop="1" thickBot="1" x14ac:dyDescent="0.25">
      <c r="B57" s="66" t="s">
        <v>150</v>
      </c>
      <c r="C57" s="67"/>
      <c r="D57" s="67"/>
      <c r="E57" s="68"/>
    </row>
    <row r="58" spans="1:9" ht="33.6" customHeight="1" thickTop="1" thickBot="1" x14ac:dyDescent="0.25">
      <c r="B58" s="66" t="s">
        <v>151</v>
      </c>
      <c r="C58" s="67"/>
      <c r="D58" s="67"/>
      <c r="E58" s="68"/>
    </row>
    <row r="59" spans="1:9" ht="13.5" thickTop="1" x14ac:dyDescent="0.2"/>
  </sheetData>
  <mergeCells count="9">
    <mergeCell ref="B57:E57"/>
    <mergeCell ref="B58:E58"/>
    <mergeCell ref="B2:H2"/>
    <mergeCell ref="A4:B4"/>
    <mergeCell ref="C4:E4"/>
    <mergeCell ref="A5:B5"/>
    <mergeCell ref="C5:E5"/>
    <mergeCell ref="A6:B6"/>
    <mergeCell ref="A7:B7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58"/>
  <sheetViews>
    <sheetView tabSelected="1" zoomScale="70" zoomScaleNormal="70" workbookViewId="0">
      <selection activeCell="C17" sqref="C17:G17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80" t="s">
        <v>14</v>
      </c>
      <c r="B1" s="80"/>
      <c r="C1" s="80"/>
      <c r="D1" s="80"/>
      <c r="E1" s="80"/>
      <c r="F1" s="80"/>
      <c r="G1" s="80"/>
      <c r="H1" s="80"/>
      <c r="I1" s="80"/>
      <c r="J1" s="3" t="s">
        <v>15</v>
      </c>
      <c r="K1" s="52" t="s">
        <v>154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81" t="s">
        <v>48</v>
      </c>
      <c r="B3" s="81"/>
      <c r="C3" s="81"/>
      <c r="D3" s="82" t="str">
        <f>'Necesidades Trimestrales'!C4</f>
        <v>40 - Ministerio de Salud</v>
      </c>
      <c r="E3" s="82"/>
      <c r="F3" s="82"/>
      <c r="G3" s="82"/>
      <c r="H3" s="82"/>
      <c r="I3" s="82"/>
      <c r="J3" s="82"/>
      <c r="K3" s="82"/>
    </row>
    <row r="4" spans="1:11" ht="18.75" customHeight="1" thickBot="1" x14ac:dyDescent="0.25">
      <c r="A4" s="83" t="s">
        <v>49</v>
      </c>
      <c r="B4" s="83"/>
      <c r="C4" s="83"/>
      <c r="D4" s="82" t="str">
        <f>'Necesidades Trimestrales'!C5</f>
        <v>23 - Hospital Interzonal San Juan Bautista</v>
      </c>
      <c r="E4" s="82"/>
      <c r="F4" s="82"/>
      <c r="G4" s="82"/>
      <c r="H4" s="82"/>
      <c r="I4" s="82"/>
      <c r="J4" s="82"/>
      <c r="K4" s="82"/>
    </row>
    <row r="5" spans="1:11" ht="18.75" customHeight="1" thickBot="1" x14ac:dyDescent="0.25">
      <c r="A5" s="83" t="s">
        <v>27</v>
      </c>
      <c r="B5" s="83"/>
      <c r="C5" s="83"/>
      <c r="D5" s="82" t="s">
        <v>54</v>
      </c>
      <c r="E5" s="82"/>
      <c r="F5" s="82"/>
      <c r="G5" s="82"/>
      <c r="H5" s="82"/>
      <c r="I5" s="82"/>
      <c r="J5" s="82"/>
      <c r="K5" s="82"/>
    </row>
    <row r="6" spans="1:11" ht="16.5" customHeight="1" thickBot="1" x14ac:dyDescent="0.25">
      <c r="A6" s="81" t="s">
        <v>50</v>
      </c>
      <c r="B6" s="81"/>
      <c r="C6" s="81"/>
      <c r="D6" s="82" t="s">
        <v>152</v>
      </c>
      <c r="E6" s="82"/>
      <c r="F6" s="82"/>
      <c r="G6" s="82"/>
      <c r="H6" s="82"/>
      <c r="I6" s="82"/>
      <c r="J6" s="82"/>
      <c r="K6" s="82"/>
    </row>
    <row r="7" spans="1:11" ht="16.5" customHeight="1" x14ac:dyDescent="0.2">
      <c r="A7" s="83" t="s">
        <v>16</v>
      </c>
      <c r="B7" s="83"/>
      <c r="C7" s="83"/>
      <c r="D7" s="82" t="str">
        <f>'Necesidades Trimestrales'!C7 &amp; "° Trimestre - Año " &amp; 'Necesidades Trimestrales'!C6</f>
        <v>2° Trimestre - Año 2021</v>
      </c>
      <c r="E7" s="82"/>
      <c r="F7" s="82"/>
      <c r="G7" s="82"/>
      <c r="H7" s="82"/>
      <c r="I7" s="82"/>
      <c r="J7" s="82"/>
      <c r="K7" s="82"/>
    </row>
    <row r="8" spans="1:11" ht="16.5" customHeight="1" x14ac:dyDescent="0.2">
      <c r="A8" s="75" t="s">
        <v>17</v>
      </c>
      <c r="B8" s="75"/>
      <c r="C8" s="75"/>
      <c r="D8" s="76" t="s">
        <v>158</v>
      </c>
      <c r="E8" s="76"/>
      <c r="F8" s="76"/>
      <c r="G8" s="76"/>
      <c r="H8" s="76"/>
      <c r="I8" s="76"/>
      <c r="J8" s="76"/>
      <c r="K8" s="76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77" t="s">
        <v>18</v>
      </c>
      <c r="B10" s="78" t="s">
        <v>19</v>
      </c>
      <c r="C10" s="78" t="s">
        <v>20</v>
      </c>
      <c r="D10" s="78"/>
      <c r="E10" s="78"/>
      <c r="F10" s="78"/>
      <c r="G10" s="78"/>
      <c r="H10" s="78" t="s">
        <v>21</v>
      </c>
      <c r="I10" s="78" t="s">
        <v>22</v>
      </c>
      <c r="J10" s="78" t="s">
        <v>23</v>
      </c>
      <c r="K10" s="79" t="s">
        <v>24</v>
      </c>
    </row>
    <row r="11" spans="1:11" ht="24" customHeight="1" thickBot="1" x14ac:dyDescent="0.25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9"/>
    </row>
    <row r="12" spans="1:11" ht="34.9" customHeight="1" thickBot="1" x14ac:dyDescent="0.25">
      <c r="A12" s="8">
        <v>1</v>
      </c>
      <c r="B12" s="53" t="str">
        <f>'Necesidades Trimestrales'!B10</f>
        <v>2.1.1-439.60</v>
      </c>
      <c r="C12" s="72" t="str">
        <f>'Necesidades Trimestrales'!E10</f>
        <v>ACEITES COMESTIBLES; TIPO: MEZCLA, PRESENTACION: ENVASE X 900 CM3, MATERIAL ENVASE: PLASTICO 1 (PET), ELEM. TRANSPORTE: SIN, MATERIAL ELEM. TRANSPORTE : SIN, LIBRE DE GLUTEN: SI</v>
      </c>
      <c r="D12" s="72"/>
      <c r="E12" s="72"/>
      <c r="F12" s="72"/>
      <c r="G12" s="72"/>
      <c r="H12" s="54" t="s">
        <v>51</v>
      </c>
      <c r="I12" s="55" t="str">
        <f>'Necesidades Trimestrales'!F10</f>
        <v>UNIDAD</v>
      </c>
      <c r="J12" s="65">
        <f>'Necesidades Trimestrales'!H10</f>
        <v>155</v>
      </c>
      <c r="K12" s="56">
        <f>'Necesidades Trimestrales'!G10</f>
        <v>750</v>
      </c>
    </row>
    <row r="13" spans="1:11" ht="34.9" customHeight="1" thickBot="1" x14ac:dyDescent="0.25">
      <c r="A13" s="8">
        <v>2</v>
      </c>
      <c r="B13" s="53" t="str">
        <f>'Necesidades Trimestrales'!B11</f>
        <v>2.1.1-481.38</v>
      </c>
      <c r="C13" s="72" t="str">
        <f>'Necesidades Trimestrales'!E11</f>
        <v>AZUCARES; TIPO: "A" COMUN, ESTADO: MOLIDA, PESO: 1 Kg, MATERIAL ENVASE: PLASTICO, CERTIFICADO FORESTAL (GFS): SIN, ELEM. TRANSPORTE: SIN, MATERIAL ELEM. TRANSPORTE: SIN</v>
      </c>
      <c r="D13" s="72"/>
      <c r="E13" s="72"/>
      <c r="F13" s="72"/>
      <c r="G13" s="72"/>
      <c r="H13" s="54" t="s">
        <v>51</v>
      </c>
      <c r="I13" s="55" t="str">
        <f>'Necesidades Trimestrales'!F11</f>
        <v>UNIDAD</v>
      </c>
      <c r="J13" s="65">
        <f>'Necesidades Trimestrales'!H11</f>
        <v>550</v>
      </c>
      <c r="K13" s="56">
        <f>'Necesidades Trimestrales'!G11</f>
        <v>1200</v>
      </c>
    </row>
    <row r="14" spans="1:11" ht="50.45" customHeight="1" thickBot="1" x14ac:dyDescent="0.25">
      <c r="A14" s="8">
        <v>3</v>
      </c>
      <c r="B14" s="53" t="str">
        <f>'Necesidades Trimestrales'!B12</f>
        <v>2.1.1-705.116</v>
      </c>
      <c r="C14" s="72" t="str">
        <f>'Necesidades Trimestrales'!E12</f>
        <v>LECHE; ESTADO: LIQUIDO, TIPO: DESCREMADA, PROCESO: LARGA VIDA, AGREGADO: VITAMINAS A Y D, PRESENTACION: ENVASE X 1 L, MATERIAL ENVASE: PLASTICO, ELEM. TRANSPORTE: SIN, MATERIAL ELEM. TRANSPORTE: SIN, CERTIFICADO FORESTAL (GFS): SIN, LIBRE DE GLUTEN: SIN VALOR</v>
      </c>
      <c r="D14" s="72"/>
      <c r="E14" s="72"/>
      <c r="F14" s="72"/>
      <c r="G14" s="72"/>
      <c r="H14" s="54" t="s">
        <v>51</v>
      </c>
      <c r="I14" s="55" t="str">
        <f>'Necesidades Trimestrales'!F12</f>
        <v>UNIDAD</v>
      </c>
      <c r="J14" s="65">
        <f>'Necesidades Trimestrales'!H12</f>
        <v>114</v>
      </c>
      <c r="K14" s="56">
        <f>'Necesidades Trimestrales'!G12</f>
        <v>1800</v>
      </c>
    </row>
    <row r="15" spans="1:11" ht="50.45" customHeight="1" thickBot="1" x14ac:dyDescent="0.25">
      <c r="A15" s="8">
        <v>4</v>
      </c>
      <c r="B15" s="53" t="str">
        <f>'Necesidades Trimestrales'!B13</f>
        <v>2.1.1-2868.55</v>
      </c>
      <c r="C15" s="72" t="str">
        <f>'Necesidades Trimestrales'!E13</f>
        <v>FIDEOS SECOS; VARIEDAD: TALLARIN, RELLENO: SIN, PRESENTACION: ENVASE X 500 GR, MATERIAL ENVASE: PLASTICO 1 (PET), ELEM. TRANSPORTE: SIN, MATERIAL ELEM. TRANSPORTE: SIN, CERTIFICADO FORESTAL (GFS): SIN, LIBRE DE GLUTEN: NO</v>
      </c>
      <c r="D15" s="72"/>
      <c r="E15" s="72"/>
      <c r="F15" s="72"/>
      <c r="G15" s="72"/>
      <c r="H15" s="54" t="s">
        <v>51</v>
      </c>
      <c r="I15" s="55" t="str">
        <f>'Necesidades Trimestrales'!F13</f>
        <v>UNIDAD</v>
      </c>
      <c r="J15" s="65">
        <f>'Necesidades Trimestrales'!H13</f>
        <v>45</v>
      </c>
      <c r="K15" s="56">
        <f>'Necesidades Trimestrales'!G13</f>
        <v>150</v>
      </c>
    </row>
    <row r="16" spans="1:11" ht="34.9" customHeight="1" thickBot="1" x14ac:dyDescent="0.25">
      <c r="A16" s="8">
        <v>5</v>
      </c>
      <c r="B16" s="53" t="str">
        <f>'Necesidades Trimestrales'!B14</f>
        <v>2.1.1-511.8</v>
      </c>
      <c r="C16" s="72" t="str">
        <f>'Necesidades Trimestrales'!E14</f>
        <v>TE; SAQUITOS 2G P/CAJA: 50, PESO: SIN VALOR, TIPO: SIN VALOR, PRESENTACION: EN SAQUITOS</v>
      </c>
      <c r="D16" s="72"/>
      <c r="E16" s="72"/>
      <c r="F16" s="72"/>
      <c r="G16" s="72"/>
      <c r="H16" s="54" t="s">
        <v>51</v>
      </c>
      <c r="I16" s="55" t="str">
        <f>'Necesidades Trimestrales'!F14</f>
        <v>UNIDAD</v>
      </c>
      <c r="J16" s="65">
        <f>'Necesidades Trimestrales'!H14</f>
        <v>125</v>
      </c>
      <c r="K16" s="56">
        <f>'Necesidades Trimestrales'!G14</f>
        <v>1950</v>
      </c>
    </row>
    <row r="17" spans="1:11" ht="34.9" customHeight="1" thickBot="1" x14ac:dyDescent="0.25">
      <c r="A17" s="8">
        <v>6</v>
      </c>
      <c r="B17" s="53" t="str">
        <f>'Necesidades Trimestrales'!B15</f>
        <v>2.1.1-454.25</v>
      </c>
      <c r="C17" s="72" t="str">
        <f>'Necesidades Trimestrales'!E15</f>
        <v>YERBAS; PALO: CON, PESO: 1 Kg, MATERIAL ENVASE : PAPEL, CERTIFICADO FORESTAL (GFS): CON, ELEM. TRANSPORTE: SIN, MATERIAL ELEM. TRANSPORTE: SIN, LIBRE DE GLUTEN: SI</v>
      </c>
      <c r="D17" s="72"/>
      <c r="E17" s="72"/>
      <c r="F17" s="72"/>
      <c r="G17" s="72"/>
      <c r="H17" s="54" t="s">
        <v>51</v>
      </c>
      <c r="I17" s="55" t="str">
        <f>'Necesidades Trimestrales'!F15</f>
        <v>UNIDAD</v>
      </c>
      <c r="J17" s="65">
        <f>'Necesidades Trimestrales'!H15</f>
        <v>250</v>
      </c>
      <c r="K17" s="56">
        <f>'Necesidades Trimestrales'!G15</f>
        <v>75</v>
      </c>
    </row>
    <row r="18" spans="1:11" ht="34.9" customHeight="1" thickBot="1" x14ac:dyDescent="0.25">
      <c r="A18" s="8">
        <v>7</v>
      </c>
      <c r="B18" s="53" t="str">
        <f>'Necesidades Trimestrales'!B16</f>
        <v>2.1.1-2126.13</v>
      </c>
      <c r="C18" s="72" t="str">
        <f>'Necesidades Trimestrales'!E16</f>
        <v>SEMOLAS; TIPO: VITINA, PRESENTACION: BOLSA, PESO: 500 GR, MATERIAL ENVASE: PLASTICO 1 (PET), CERTICADO FORESTAL (GFS): SIN, LIBRE DE GLUTEN: NO</v>
      </c>
      <c r="D18" s="72"/>
      <c r="E18" s="72"/>
      <c r="F18" s="72"/>
      <c r="G18" s="72"/>
      <c r="H18" s="54" t="s">
        <v>51</v>
      </c>
      <c r="I18" s="55" t="str">
        <f>'Necesidades Trimestrales'!F16</f>
        <v>UNIDAD</v>
      </c>
      <c r="J18" s="65">
        <f>'Necesidades Trimestrales'!H16</f>
        <v>79.72</v>
      </c>
      <c r="K18" s="56">
        <f>'Necesidades Trimestrales'!G16</f>
        <v>21</v>
      </c>
    </row>
    <row r="19" spans="1:11" ht="50.45" customHeight="1" thickBot="1" x14ac:dyDescent="0.25">
      <c r="A19" s="8">
        <v>8</v>
      </c>
      <c r="B19" s="53" t="str">
        <f>'Necesidades Trimestrales'!B17</f>
        <v>2.1.1-2868.53</v>
      </c>
      <c r="C19" s="72" t="str">
        <f>'Necesidades Trimestrales'!E17</f>
        <v>FIDEOS SECOS; VARIEDAD: TIRABUZON, RELLENO: SIN, PRESENTACION: ENVASE X 500 GR, MATERIAL ENVASE: PLASTICO 1 (PET), ELEM. TRANSPORTE: SIN, MATERIAL ELEM. TRANSPORTE: SIN, CERTIFICADO FORESTAL (GFS): SIN, LIBRE DE GLUTEN: NO</v>
      </c>
      <c r="D19" s="72"/>
      <c r="E19" s="72"/>
      <c r="F19" s="72"/>
      <c r="G19" s="72"/>
      <c r="H19" s="54" t="s">
        <v>51</v>
      </c>
      <c r="I19" s="55" t="str">
        <f>'Necesidades Trimestrales'!F17</f>
        <v>UNIDAD</v>
      </c>
      <c r="J19" s="65">
        <f>'Necesidades Trimestrales'!H17</f>
        <v>45</v>
      </c>
      <c r="K19" s="56">
        <f>'Necesidades Trimestrales'!G17</f>
        <v>126</v>
      </c>
    </row>
    <row r="20" spans="1:11" ht="34.9" customHeight="1" thickBot="1" x14ac:dyDescent="0.25">
      <c r="A20" s="8">
        <v>9</v>
      </c>
      <c r="B20" s="53" t="str">
        <f>'Necesidades Trimestrales'!B18</f>
        <v>2.1.1-613.9</v>
      </c>
      <c r="C20" s="72" t="str">
        <f>'Necesidades Trimestrales'!E18</f>
        <v>FECULA DE MAIZ; ENVASE: BOLSA, PESO: 500 GR, LIBRE DE GLUTEN: SI</v>
      </c>
      <c r="D20" s="72"/>
      <c r="E20" s="72"/>
      <c r="F20" s="72"/>
      <c r="G20" s="72"/>
      <c r="H20" s="54" t="s">
        <v>51</v>
      </c>
      <c r="I20" s="55" t="str">
        <f>'Necesidades Trimestrales'!F18</f>
        <v>UNIDAD</v>
      </c>
      <c r="J20" s="65">
        <f>'Necesidades Trimestrales'!H18</f>
        <v>94.78</v>
      </c>
      <c r="K20" s="56">
        <f>'Necesidades Trimestrales'!G18</f>
        <v>51</v>
      </c>
    </row>
    <row r="21" spans="1:11" ht="34.9" customHeight="1" thickBot="1" x14ac:dyDescent="0.25">
      <c r="A21" s="8">
        <v>10</v>
      </c>
      <c r="B21" s="53" t="str">
        <f>'Necesidades Trimestrales'!B19</f>
        <v>2.1.1-6547.57</v>
      </c>
      <c r="C21" s="72" t="str">
        <f>'Necesidades Trimestrales'!E19</f>
        <v>LEGUMBRES; VARIEDAD: LENTEJAS SECAS, ESTADO: SECO, PRESENTACION: BOLSA, PESO: 500 GR</v>
      </c>
      <c r="D21" s="72"/>
      <c r="E21" s="72"/>
      <c r="F21" s="72"/>
      <c r="G21" s="72"/>
      <c r="H21" s="54" t="s">
        <v>51</v>
      </c>
      <c r="I21" s="55" t="str">
        <f>'Necesidades Trimestrales'!F19</f>
        <v>UNIDAD</v>
      </c>
      <c r="J21" s="65">
        <f>'Necesidades Trimestrales'!H19</f>
        <v>99</v>
      </c>
      <c r="K21" s="56">
        <f>'Necesidades Trimestrales'!G19</f>
        <v>39</v>
      </c>
    </row>
    <row r="22" spans="1:11" ht="34.9" customHeight="1" thickBot="1" x14ac:dyDescent="0.25">
      <c r="A22" s="8">
        <v>11</v>
      </c>
      <c r="B22" s="53" t="str">
        <f>'Necesidades Trimestrales'!B20</f>
        <v>2.1.1-514.2</v>
      </c>
      <c r="C22" s="72" t="str">
        <f>'Necesidades Trimestrales'!E20</f>
        <v>SAL DE MESA; CONSISTENCIA: FINA, PESO: 500 GR, TIPO: SIN VALOR, ENVASE: PAQUETE</v>
      </c>
      <c r="D22" s="72"/>
      <c r="E22" s="72"/>
      <c r="F22" s="72"/>
      <c r="G22" s="72"/>
      <c r="H22" s="54" t="s">
        <v>51</v>
      </c>
      <c r="I22" s="55" t="str">
        <f>'Necesidades Trimestrales'!F20</f>
        <v>UNIDAD</v>
      </c>
      <c r="J22" s="65">
        <f>'Necesidades Trimestrales'!H20</f>
        <v>44.75</v>
      </c>
      <c r="K22" s="56">
        <f>'Necesidades Trimestrales'!G20</f>
        <v>99</v>
      </c>
    </row>
    <row r="23" spans="1:11" ht="34.9" customHeight="1" thickBot="1" x14ac:dyDescent="0.25">
      <c r="A23" s="8">
        <v>12</v>
      </c>
      <c r="B23" s="53" t="str">
        <f>'Necesidades Trimestrales'!B21</f>
        <v>2.1.1-514.15</v>
      </c>
      <c r="C23" s="72" t="str">
        <f>'Necesidades Trimestrales'!E21</f>
        <v>SAL DE MESA; CONSISTENCIA: GRUESA, ENVASE: BOLSA, PESO: 1 Kg, TIPO: SIN VALOR</v>
      </c>
      <c r="D23" s="72"/>
      <c r="E23" s="72"/>
      <c r="F23" s="72"/>
      <c r="G23" s="72"/>
      <c r="H23" s="54" t="s">
        <v>51</v>
      </c>
      <c r="I23" s="55" t="str">
        <f>'Necesidades Trimestrales'!F21</f>
        <v>UNIDAD</v>
      </c>
      <c r="J23" s="65">
        <f>'Necesidades Trimestrales'!H21</f>
        <v>52.02</v>
      </c>
      <c r="K23" s="56">
        <f>'Necesidades Trimestrales'!G21</f>
        <v>15</v>
      </c>
    </row>
    <row r="24" spans="1:11" ht="50.45" customHeight="1" thickBot="1" x14ac:dyDescent="0.25">
      <c r="A24" s="8">
        <v>13</v>
      </c>
      <c r="B24" s="53" t="str">
        <f>'Necesidades Trimestrales'!B22</f>
        <v>2.1.1-482.61</v>
      </c>
      <c r="C24" s="72" t="str">
        <f>'Necesidades Trimestrales'!E22</f>
        <v>HARINAS; TIPO: LEUDANTE, PRESENTACION: ENVASE X 1 Kg, MATERIAL ENVASE: PAPEL, CERTICADO FORESTAL (GFS): SIN, ELEM. TRANSPORTE: PALLET RETORNABLE, MATERIAL ELEM. TRANSPORTE: MADERA</v>
      </c>
      <c r="D24" s="72"/>
      <c r="E24" s="72"/>
      <c r="F24" s="72"/>
      <c r="G24" s="72"/>
      <c r="H24" s="54" t="s">
        <v>51</v>
      </c>
      <c r="I24" s="55" t="str">
        <f>'Necesidades Trimestrales'!F22</f>
        <v>UNIDAD</v>
      </c>
      <c r="J24" s="65">
        <f>'Necesidades Trimestrales'!H22</f>
        <v>62.58</v>
      </c>
      <c r="K24" s="56">
        <f>'Necesidades Trimestrales'!G22</f>
        <v>51</v>
      </c>
    </row>
    <row r="25" spans="1:11" ht="50.45" customHeight="1" thickBot="1" x14ac:dyDescent="0.25">
      <c r="A25" s="8">
        <v>14</v>
      </c>
      <c r="B25" s="53" t="str">
        <f>'Necesidades Trimestrales'!B23</f>
        <v>2.1.1-482.69</v>
      </c>
      <c r="C25" s="72" t="str">
        <f>'Necesidades Trimestrales'!E23</f>
        <v>HARINAS; TIPO: MAIZ, PRESENTACION: ENVASE X 1 Kg, MATERIAL ENVASE: PAPEL, CERTICADO FORESTAL (GFS): SIN, ELEM. TRANSPORTE: SIN, MATERIAL ELEM. TRANSPORTE: SIN, LIBRE DE GLUTEN: NO</v>
      </c>
      <c r="D25" s="72"/>
      <c r="E25" s="72"/>
      <c r="F25" s="72"/>
      <c r="G25" s="72"/>
      <c r="H25" s="54" t="s">
        <v>51</v>
      </c>
      <c r="I25" s="55" t="str">
        <f>'Necesidades Trimestrales'!F23</f>
        <v>UNIDAD</v>
      </c>
      <c r="J25" s="65">
        <f>'Necesidades Trimestrales'!H23</f>
        <v>60.02</v>
      </c>
      <c r="K25" s="56">
        <f>'Necesidades Trimestrales'!G23</f>
        <v>30</v>
      </c>
    </row>
    <row r="26" spans="1:11" ht="34.9" customHeight="1" thickBot="1" x14ac:dyDescent="0.25">
      <c r="A26" s="8">
        <v>15</v>
      </c>
      <c r="B26" s="53" t="str">
        <f>'Necesidades Trimestrales'!B24</f>
        <v>2.1.1-706.6</v>
      </c>
      <c r="C26" s="72" t="str">
        <f>'Necesidades Trimestrales'!E24</f>
        <v>MATE COCIDO; ENVASE: CAJA CARTON, PRESENTACION: ENSOBRADO, SAQUITOS P/CAJA: 100 UN, PESO X SAQ.: 3 GR</v>
      </c>
      <c r="D26" s="72"/>
      <c r="E26" s="72"/>
      <c r="F26" s="72"/>
      <c r="G26" s="72"/>
      <c r="H26" s="54" t="s">
        <v>51</v>
      </c>
      <c r="I26" s="55" t="str">
        <f>'Necesidades Trimestrales'!F24</f>
        <v>UNIDAD</v>
      </c>
      <c r="J26" s="65">
        <f>'Necesidades Trimestrales'!H24</f>
        <v>205.63</v>
      </c>
      <c r="K26" s="56">
        <f>'Necesidades Trimestrales'!G24</f>
        <v>75</v>
      </c>
    </row>
    <row r="27" spans="1:11" ht="34.9" customHeight="1" thickBot="1" x14ac:dyDescent="0.25">
      <c r="A27" s="8">
        <v>16</v>
      </c>
      <c r="B27" s="53" t="str">
        <f>'Necesidades Trimestrales'!B25</f>
        <v>2.1.1-595.2</v>
      </c>
      <c r="C27" s="72" t="str">
        <f>'Necesidades Trimestrales'!E25</f>
        <v>EDULCORANTES; PRESENTACION: LIQUIDO, ENVASE: BOTELLA PLASTICA, CONTENIDO: 500 CM3</v>
      </c>
      <c r="D27" s="72"/>
      <c r="E27" s="72"/>
      <c r="F27" s="72"/>
      <c r="G27" s="72"/>
      <c r="H27" s="54" t="s">
        <v>51</v>
      </c>
      <c r="I27" s="55" t="str">
        <f>'Necesidades Trimestrales'!F25</f>
        <v>UNIDAD</v>
      </c>
      <c r="J27" s="65">
        <f>'Necesidades Trimestrales'!H25</f>
        <v>174</v>
      </c>
      <c r="K27" s="56">
        <f>'Necesidades Trimestrales'!G25</f>
        <v>51</v>
      </c>
    </row>
    <row r="28" spans="1:11" ht="50.45" customHeight="1" thickBot="1" x14ac:dyDescent="0.25">
      <c r="A28" s="8">
        <v>17</v>
      </c>
      <c r="B28" s="53" t="str">
        <f>'Necesidades Trimestrales'!B26</f>
        <v>2.1.1-2868.86</v>
      </c>
      <c r="C28" s="72" t="str">
        <f>'Necesidades Trimestrales'!E26</f>
        <v>FIDEOS SECOS; VARIEDAD: SPAGHETTI AL HUEVO, RELLENO: SIN, PRESENTACION: PAQUETE X 500 GR, MATERIAL ENVASE: PLASTICO 1 (PET), ELEM. TRANSPORTE: SIN, MATERIAL ELEM. TRANSPORTE: SIN, CERTIFICADO FORESTAL (GFS): SIN, LIBRE DE GLUTEN: NO</v>
      </c>
      <c r="D28" s="72"/>
      <c r="E28" s="72"/>
      <c r="F28" s="72"/>
      <c r="G28" s="72"/>
      <c r="H28" s="54" t="s">
        <v>51</v>
      </c>
      <c r="I28" s="55" t="str">
        <f>'Necesidades Trimestrales'!F26</f>
        <v>UNIDAD</v>
      </c>
      <c r="J28" s="65">
        <f>'Necesidades Trimestrales'!H26</f>
        <v>45</v>
      </c>
      <c r="K28" s="56">
        <f>'Necesidades Trimestrales'!G26</f>
        <v>150</v>
      </c>
    </row>
    <row r="29" spans="1:11" ht="50.45" customHeight="1" thickBot="1" x14ac:dyDescent="0.25">
      <c r="A29" s="8">
        <v>18</v>
      </c>
      <c r="B29" s="53" t="str">
        <f>'Necesidades Trimestrales'!B27</f>
        <v>2.1.1-482.80</v>
      </c>
      <c r="C29" s="72" t="str">
        <f>'Necesidades Trimestrales'!E27</f>
        <v>HARINAS; TIPO: DE TRIGO 000, PRESENTACION: ENVASE X 1 Kg, MATERIAL ENVASE: PAPEL, CERTICADO FORESTAL (GFS): SIN, ELEM. TRANSPORTE: SIN, MATERIAL ELEM. TRANSPORTE: SIN, LIBRE DE GLUTEN: NO</v>
      </c>
      <c r="D29" s="72"/>
      <c r="E29" s="72"/>
      <c r="F29" s="72"/>
      <c r="G29" s="72"/>
      <c r="H29" s="54" t="s">
        <v>51</v>
      </c>
      <c r="I29" s="55" t="str">
        <f>'Necesidades Trimestrales'!F27</f>
        <v>UNIDAD</v>
      </c>
      <c r="J29" s="65">
        <f>'Necesidades Trimestrales'!H27</f>
        <v>45</v>
      </c>
      <c r="K29" s="56">
        <f>'Necesidades Trimestrales'!G27</f>
        <v>30</v>
      </c>
    </row>
    <row r="30" spans="1:11" ht="50.45" customHeight="1" thickBot="1" x14ac:dyDescent="0.25">
      <c r="A30" s="8">
        <v>19</v>
      </c>
      <c r="B30" s="53" t="str">
        <f>'Necesidades Trimestrales'!B28</f>
        <v>2.1.1-435.38</v>
      </c>
      <c r="C30" s="72" t="str">
        <f>'Necesidades Trimestrales'!E28</f>
        <v>ARROZ; TIPO GRANO: DOBLE, TIPO: BLANCO, PROCESO: PARBOLIZADO, PRESENTACION: ENVASE X 1 Kg, MATERIAL ENVASE: CARTON, CERTIFICADO FORESTAL (GFS): SIN, ELEM. TRANSPORTE: SIN, MATERIAL ELEM. TRANSPORTE: SIN</v>
      </c>
      <c r="D30" s="72"/>
      <c r="E30" s="72"/>
      <c r="F30" s="72"/>
      <c r="G30" s="72"/>
      <c r="H30" s="54" t="s">
        <v>51</v>
      </c>
      <c r="I30" s="55" t="str">
        <f>'Necesidades Trimestrales'!F28</f>
        <v>UNIDAD</v>
      </c>
      <c r="J30" s="65">
        <f>'Necesidades Trimestrales'!H28</f>
        <v>150</v>
      </c>
      <c r="K30" s="56">
        <f>'Necesidades Trimestrales'!G28</f>
        <v>351</v>
      </c>
    </row>
    <row r="31" spans="1:11" ht="34.9" customHeight="1" thickBot="1" x14ac:dyDescent="0.25">
      <c r="A31" s="8">
        <v>20</v>
      </c>
      <c r="B31" s="53" t="str">
        <f>'Necesidades Trimestrales'!B29</f>
        <v>2.1.1-510.5</v>
      </c>
      <c r="C31" s="72" t="str">
        <f>'Necesidades Trimestrales'!E29</f>
        <v>GELATINAS; ENVASE: CAJA DE CARTON, PESO: 30 GR, TIPO: BAJAS CALORIAS, SABOR: FRUTILLA</v>
      </c>
      <c r="D31" s="72"/>
      <c r="E31" s="72"/>
      <c r="F31" s="72"/>
      <c r="G31" s="72"/>
      <c r="H31" s="54" t="s">
        <v>51</v>
      </c>
      <c r="I31" s="55" t="str">
        <f>'Necesidades Trimestrales'!F29</f>
        <v>UNIDAD</v>
      </c>
      <c r="J31" s="65">
        <f>'Necesidades Trimestrales'!H29</f>
        <v>59.87</v>
      </c>
      <c r="K31" s="56">
        <f>'Necesidades Trimestrales'!G29</f>
        <v>399</v>
      </c>
    </row>
    <row r="32" spans="1:11" ht="50.45" customHeight="1" thickBot="1" x14ac:dyDescent="0.25">
      <c r="A32" s="8">
        <v>21</v>
      </c>
      <c r="B32" s="53" t="str">
        <f>'Necesidades Trimestrales'!B30</f>
        <v>2.1.1-435.50</v>
      </c>
      <c r="C32" s="72" t="str">
        <f>'Necesidades Trimestrales'!E30</f>
        <v>ARROZ; TIPO GRANO: ENTERO, TIPO: BLANCO, PROCESO: FORTIFICADO, PRESENTACION: ENVASE X 1 Kg, MATERIAL ENVASE: PLASTICO 1 (PET), CERTIFICADO FORESTAL (GFS): SIN, ELEM. TRANSPORTE: SIN, MATERIAL ELEM. TRANSPORTE: SIN, LIBRE DE GLUTEN: NO</v>
      </c>
      <c r="D32" s="72"/>
      <c r="E32" s="72"/>
      <c r="F32" s="72"/>
      <c r="G32" s="72"/>
      <c r="H32" s="54" t="s">
        <v>51</v>
      </c>
      <c r="I32" s="55" t="str">
        <f>'Necesidades Trimestrales'!F30</f>
        <v>UNIDAD</v>
      </c>
      <c r="J32" s="65">
        <f>'Necesidades Trimestrales'!H30</f>
        <v>99</v>
      </c>
      <c r="K32" s="56">
        <f>'Necesidades Trimestrales'!G30</f>
        <v>51</v>
      </c>
    </row>
    <row r="33" spans="1:11" ht="34.9" customHeight="1" thickBot="1" x14ac:dyDescent="0.25">
      <c r="A33" s="8">
        <v>22</v>
      </c>
      <c r="B33" s="53" t="str">
        <f>'Necesidades Trimestrales'!B31</f>
        <v>2.1.1-517.86</v>
      </c>
      <c r="C33" s="72" t="str">
        <f>'Necesidades Trimestrales'!E31</f>
        <v>POSTRES; ESTADO PREPARACION: CON COCCION, TIPO: POLVO, ENVASE: CAJA DE CARTON, PESO: 80 GR, SABOR: VAINILLA, LIBRE DE GLUTEN: SI</v>
      </c>
      <c r="D33" s="72"/>
      <c r="E33" s="72"/>
      <c r="F33" s="72"/>
      <c r="G33" s="72"/>
      <c r="H33" s="54" t="s">
        <v>51</v>
      </c>
      <c r="I33" s="55" t="str">
        <f>'Necesidades Trimestrales'!F31</f>
        <v>UNIDAD</v>
      </c>
      <c r="J33" s="65">
        <f>'Necesidades Trimestrales'!H31</f>
        <v>79.08</v>
      </c>
      <c r="K33" s="56">
        <f>'Necesidades Trimestrales'!G31</f>
        <v>99</v>
      </c>
    </row>
    <row r="34" spans="1:11" ht="34.9" customHeight="1" thickBot="1" x14ac:dyDescent="0.25">
      <c r="A34" s="8">
        <v>23</v>
      </c>
      <c r="B34" s="53" t="str">
        <f>'Necesidades Trimestrales'!B32</f>
        <v>2.1.1-5917.8</v>
      </c>
      <c r="C34" s="72" t="str">
        <f>'Necesidades Trimestrales'!E32</f>
        <v>CEREALES; TIPO: TRIGO BURGOL, PRESENTACION: ENVASE X 1 Kg</v>
      </c>
      <c r="D34" s="72"/>
      <c r="E34" s="72"/>
      <c r="F34" s="72"/>
      <c r="G34" s="72"/>
      <c r="H34" s="54" t="s">
        <v>51</v>
      </c>
      <c r="I34" s="55" t="str">
        <f>'Necesidades Trimestrales'!F32</f>
        <v>UNIDAD</v>
      </c>
      <c r="J34" s="65">
        <f>'Necesidades Trimestrales'!H32</f>
        <v>250</v>
      </c>
      <c r="K34" s="56">
        <f>'Necesidades Trimestrales'!G32</f>
        <v>12</v>
      </c>
    </row>
    <row r="35" spans="1:11" ht="34.9" customHeight="1" thickBot="1" x14ac:dyDescent="0.25">
      <c r="A35" s="8">
        <v>24</v>
      </c>
      <c r="B35" s="53" t="str">
        <f>'Necesidades Trimestrales'!B33</f>
        <v>2.1.1-6539.114</v>
      </c>
      <c r="C35" s="72" t="str">
        <f>'Necesidades Trimestrales'!E33</f>
        <v>FRUTAS; VARIEDAD: CIRUELA ( SIN CAROZO ), ESTADO: DESECADA, PRESENTACION: ENVASE X 10 Kg, PESO: 10 Kg</v>
      </c>
      <c r="D35" s="72"/>
      <c r="E35" s="72"/>
      <c r="F35" s="72"/>
      <c r="G35" s="72"/>
      <c r="H35" s="54" t="s">
        <v>51</v>
      </c>
      <c r="I35" s="55" t="str">
        <f>'Necesidades Trimestrales'!F33</f>
        <v>UNIDAD</v>
      </c>
      <c r="J35" s="65">
        <f>'Necesidades Trimestrales'!H33</f>
        <v>5900</v>
      </c>
      <c r="K35" s="56">
        <f>'Necesidades Trimestrales'!G33</f>
        <v>3</v>
      </c>
    </row>
    <row r="36" spans="1:11" ht="34.9" customHeight="1" thickBot="1" x14ac:dyDescent="0.25">
      <c r="A36" s="8">
        <v>25</v>
      </c>
      <c r="B36" s="53" t="str">
        <f>'Necesidades Trimestrales'!B34</f>
        <v>2.1.1-6539.178</v>
      </c>
      <c r="C36" s="72" t="str">
        <f>'Necesidades Trimestrales'!E34</f>
        <v>FRUTAS; VARIEDAD: DURAZNO ( SIN CAROZO ), ESTADO: DESECADA, PRESENTACION: ENVASE X 5 Kg, ELEM. TRANSPORTE: SIN, MATERIAL ELEM. TRANSPORTE: SIN</v>
      </c>
      <c r="D36" s="72"/>
      <c r="E36" s="72"/>
      <c r="F36" s="72"/>
      <c r="G36" s="72"/>
      <c r="H36" s="54" t="s">
        <v>51</v>
      </c>
      <c r="I36" s="55" t="str">
        <f>'Necesidades Trimestrales'!F34</f>
        <v>UNIDAD</v>
      </c>
      <c r="J36" s="65">
        <f>'Necesidades Trimestrales'!H34</f>
        <v>5185</v>
      </c>
      <c r="K36" s="56">
        <f>'Necesidades Trimestrales'!G34</f>
        <v>3</v>
      </c>
    </row>
    <row r="37" spans="1:11" ht="34.9" customHeight="1" thickBot="1" x14ac:dyDescent="0.25">
      <c r="A37" s="8">
        <v>26</v>
      </c>
      <c r="B37" s="53" t="str">
        <f>'Necesidades Trimestrales'!B35</f>
        <v>2.1.1-513.9</v>
      </c>
      <c r="C37" s="72" t="str">
        <f>'Necesidades Trimestrales'!E35</f>
        <v>FLANES; PESO: 60 GR, ENVASE: CAJA CARTON, ESTADO PREPARACION: CON COCCION, SABOR: VAINILLA, TIPO: SIN VALOR, PRESENTACION: 60 GR</v>
      </c>
      <c r="D37" s="72"/>
      <c r="E37" s="72"/>
      <c r="F37" s="72"/>
      <c r="G37" s="72"/>
      <c r="H37" s="54" t="s">
        <v>51</v>
      </c>
      <c r="I37" s="55" t="str">
        <f>'Necesidades Trimestrales'!F35</f>
        <v>UNIDAD</v>
      </c>
      <c r="J37" s="65">
        <f>'Necesidades Trimestrales'!H35</f>
        <v>65</v>
      </c>
      <c r="K37" s="56">
        <f>'Necesidades Trimestrales'!G35</f>
        <v>12</v>
      </c>
    </row>
    <row r="38" spans="1:11" ht="34.9" customHeight="1" thickBot="1" x14ac:dyDescent="0.25">
      <c r="A38" s="8">
        <v>27</v>
      </c>
      <c r="B38" s="53" t="str">
        <f>'Necesidades Trimestrales'!B36</f>
        <v>2.1.1-519.27</v>
      </c>
      <c r="C38" s="72" t="str">
        <f>'Necesidades Trimestrales'!E36</f>
        <v>VINAGRES; TIPO: VINO, PRESENTACION: ENVASE X 1 L, MATERIAL ENVASE: PLASTICO 1 (PET), LIBRE DE GLUTEN: NO</v>
      </c>
      <c r="D38" s="72"/>
      <c r="E38" s="72"/>
      <c r="F38" s="72"/>
      <c r="G38" s="72"/>
      <c r="H38" s="54" t="s">
        <v>51</v>
      </c>
      <c r="I38" s="55" t="str">
        <f>'Necesidades Trimestrales'!F36</f>
        <v>UNIDAD</v>
      </c>
      <c r="J38" s="65">
        <f>'Necesidades Trimestrales'!H36</f>
        <v>93.6</v>
      </c>
      <c r="K38" s="56">
        <f>'Necesidades Trimestrales'!G36</f>
        <v>21</v>
      </c>
    </row>
    <row r="39" spans="1:11" ht="34.9" customHeight="1" thickBot="1" x14ac:dyDescent="0.25">
      <c r="A39" s="8">
        <v>28</v>
      </c>
      <c r="B39" s="53" t="str">
        <f>'Necesidades Trimestrales'!B37</f>
        <v>2.1.1-2124.3</v>
      </c>
      <c r="C39" s="72" t="str">
        <f>'Necesidades Trimestrales'!E37</f>
        <v>AVENAS; TIPO: ARROLLADA, ESTADO: NATURAL, PRESENTACION: BOLSA, PESO: 1 Kg</v>
      </c>
      <c r="D39" s="72"/>
      <c r="E39" s="72"/>
      <c r="F39" s="72"/>
      <c r="G39" s="72"/>
      <c r="H39" s="54" t="s">
        <v>51</v>
      </c>
      <c r="I39" s="55" t="str">
        <f>'Necesidades Trimestrales'!F37</f>
        <v>UNIDAD</v>
      </c>
      <c r="J39" s="65">
        <f>'Necesidades Trimestrales'!H37</f>
        <v>235.19</v>
      </c>
      <c r="K39" s="56">
        <f>'Necesidades Trimestrales'!G37</f>
        <v>12</v>
      </c>
    </row>
    <row r="40" spans="1:11" ht="34.9" customHeight="1" thickBot="1" x14ac:dyDescent="0.25">
      <c r="A40" s="8">
        <v>29</v>
      </c>
      <c r="B40" s="53" t="str">
        <f>'Necesidades Trimestrales'!B38</f>
        <v>2.1.1-6547.84</v>
      </c>
      <c r="C40" s="72" t="str">
        <f>'Necesidades Trimestrales'!E38</f>
        <v>LEGUMBRES; VARIEDAD: ARVEJAS, ESTADO: CONSERVA, PRESENTACION: LATA, PESO: 350 GR, MATERIAL ENVASE: METAL, ELEM. TRANSPORTE: SIN, MATERIAL ELEM. TRANSPORTE: SIN, LIBRE DE GLUTEN: NO</v>
      </c>
      <c r="D40" s="72"/>
      <c r="E40" s="72"/>
      <c r="F40" s="72"/>
      <c r="G40" s="72"/>
      <c r="H40" s="54" t="s">
        <v>51</v>
      </c>
      <c r="I40" s="55" t="str">
        <f>'Necesidades Trimestrales'!F38</f>
        <v>UNIDAD</v>
      </c>
      <c r="J40" s="65">
        <f>'Necesidades Trimestrales'!H38</f>
        <v>235.19</v>
      </c>
      <c r="K40" s="56">
        <f>'Necesidades Trimestrales'!G38</f>
        <v>300</v>
      </c>
    </row>
    <row r="41" spans="1:11" ht="34.9" customHeight="1" thickBot="1" x14ac:dyDescent="0.25">
      <c r="A41" s="8">
        <v>30</v>
      </c>
      <c r="B41" s="53" t="str">
        <f>'Necesidades Trimestrales'!B39</f>
        <v>2.1.1-708.43</v>
      </c>
      <c r="C41" s="72" t="str">
        <f>'Necesidades Trimestrales'!E39</f>
        <v>CONSERVAS PESCADO Y FRUTOS MAR; TIPO: ATUN, ESTADO: AL NATURAL, PESO: 170 GR, ENVASE: LATA, ELEM. TRANSPORTE: SIN, MATERIAL ELEM. TRANSPORTE: SIN</v>
      </c>
      <c r="D41" s="72"/>
      <c r="E41" s="72"/>
      <c r="F41" s="72"/>
      <c r="G41" s="72"/>
      <c r="H41" s="54" t="s">
        <v>51</v>
      </c>
      <c r="I41" s="55" t="str">
        <f>'Necesidades Trimestrales'!F39</f>
        <v>UNIDAD</v>
      </c>
      <c r="J41" s="65">
        <f>'Necesidades Trimestrales'!H39</f>
        <v>89</v>
      </c>
      <c r="K41" s="56">
        <f>'Necesidades Trimestrales'!G39</f>
        <v>99</v>
      </c>
    </row>
    <row r="42" spans="1:11" ht="34.9" customHeight="1" thickBot="1" x14ac:dyDescent="0.25">
      <c r="A42" s="8">
        <v>31</v>
      </c>
      <c r="B42" s="53" t="str">
        <f>'Necesidades Trimestrales'!B40</f>
        <v>2.1.1-6546.183</v>
      </c>
      <c r="C42" s="72" t="str">
        <f>'Necesidades Trimestrales'!E40</f>
        <v>VERDURAS Y HORTALIZAS; VARIEDAD: TOMATE PERITA, ESTADO: NATURAL, PRESENTACION: LATA, PESO: 380 GR</v>
      </c>
      <c r="D42" s="72"/>
      <c r="E42" s="72"/>
      <c r="F42" s="72"/>
      <c r="G42" s="72"/>
      <c r="H42" s="54" t="s">
        <v>51</v>
      </c>
      <c r="I42" s="55" t="str">
        <f>'Necesidades Trimestrales'!F40</f>
        <v>UNIDAD</v>
      </c>
      <c r="J42" s="65">
        <f>'Necesidades Trimestrales'!H40</f>
        <v>68.78</v>
      </c>
      <c r="K42" s="56">
        <f>'Necesidades Trimestrales'!G40</f>
        <v>300</v>
      </c>
    </row>
    <row r="43" spans="1:11" ht="34.9" customHeight="1" thickBot="1" x14ac:dyDescent="0.25">
      <c r="A43" s="8">
        <v>32</v>
      </c>
      <c r="B43" s="53" t="str">
        <f>'Necesidades Trimestrales'!B41</f>
        <v>2.1.1-6539.46</v>
      </c>
      <c r="C43" s="72" t="str">
        <f>'Necesidades Trimestrales'!E41</f>
        <v>FRUTAS; VARIEDAD: DURAZNO, ESTADO: CONSERVA, PRESENTACION: ENVASE X 800 GR, PESO: 800 GR</v>
      </c>
      <c r="D43" s="72"/>
      <c r="E43" s="72"/>
      <c r="F43" s="72"/>
      <c r="G43" s="72"/>
      <c r="H43" s="54" t="s">
        <v>51</v>
      </c>
      <c r="I43" s="55" t="str">
        <f>'Necesidades Trimestrales'!F41</f>
        <v>UNIDAD</v>
      </c>
      <c r="J43" s="65">
        <f>'Necesidades Trimestrales'!H41</f>
        <v>235</v>
      </c>
      <c r="K43" s="56">
        <f>'Necesidades Trimestrales'!G41</f>
        <v>600</v>
      </c>
    </row>
    <row r="44" spans="1:11" ht="34.9" customHeight="1" thickBot="1" x14ac:dyDescent="0.25">
      <c r="A44" s="8">
        <v>33</v>
      </c>
      <c r="B44" s="53" t="str">
        <f>'Necesidades Trimestrales'!B42</f>
        <v>2.1.1-597.41</v>
      </c>
      <c r="C44" s="72" t="str">
        <f>'Necesidades Trimestrales'!E42</f>
        <v>CONSERVAS DE FRUTAS; VARIEDAD: COCTEL, ENVASE: LATA, PESO: 800 GR, ELEM. TRANSPORTE: SIN, MATERIAL ELEM. TRANSPORTE: SIN, LIBRE DE GLUTEN: NO</v>
      </c>
      <c r="D44" s="72"/>
      <c r="E44" s="72"/>
      <c r="F44" s="72"/>
      <c r="G44" s="72"/>
      <c r="H44" s="54" t="s">
        <v>51</v>
      </c>
      <c r="I44" s="55" t="str">
        <f>'Necesidades Trimestrales'!F42</f>
        <v>UNIDAD</v>
      </c>
      <c r="J44" s="65">
        <f>'Necesidades Trimestrales'!H42</f>
        <v>315</v>
      </c>
      <c r="K44" s="56">
        <f>'Necesidades Trimestrales'!G42</f>
        <v>600</v>
      </c>
    </row>
    <row r="45" spans="1:11" ht="34.9" customHeight="1" thickBot="1" x14ac:dyDescent="0.25">
      <c r="A45" s="8">
        <v>34</v>
      </c>
      <c r="B45" s="53" t="str">
        <f>'Necesidades Trimestrales'!B43</f>
        <v>2.1.1-6558.8</v>
      </c>
      <c r="C45" s="72" t="str">
        <f>'Necesidades Trimestrales'!E43</f>
        <v>JARDINERA; PRESENTACION: ENVASE X 350 GR, PESO: SIN VALOR, MATERIAL ENVASE: METAL, ELEM. TRANSPORTE: SIN, MATERIAL ELEM. TRANSPORTE: SIN</v>
      </c>
      <c r="D45" s="72"/>
      <c r="E45" s="72"/>
      <c r="F45" s="72"/>
      <c r="G45" s="72"/>
      <c r="H45" s="54" t="s">
        <v>51</v>
      </c>
      <c r="I45" s="55" t="str">
        <f>'Necesidades Trimestrales'!F43</f>
        <v>UNIDAD</v>
      </c>
      <c r="J45" s="65">
        <f>'Necesidades Trimestrales'!H43</f>
        <v>48</v>
      </c>
      <c r="K45" s="56">
        <f>'Necesidades Trimestrales'!G43</f>
        <v>201</v>
      </c>
    </row>
    <row r="46" spans="1:11" ht="34.9" customHeight="1" thickBot="1" x14ac:dyDescent="0.25">
      <c r="A46" s="8">
        <v>35</v>
      </c>
      <c r="B46" s="53" t="str">
        <f>'Necesidades Trimestrales'!B44</f>
        <v>2.1.1-6546.269</v>
      </c>
      <c r="C46" s="72" t="str">
        <f>'Necesidades Trimestrales'!E44</f>
        <v>VERDURAS Y HORTALIZAS; VARIEDAD: CHOCLO, ESTADO: GRANO, PRESENTACION: LATA, PESO: 350 GR</v>
      </c>
      <c r="D46" s="72"/>
      <c r="E46" s="72"/>
      <c r="F46" s="72"/>
      <c r="G46" s="72"/>
      <c r="H46" s="54" t="s">
        <v>51</v>
      </c>
      <c r="I46" s="55" t="str">
        <f>'Necesidades Trimestrales'!F44</f>
        <v>UNIDAD</v>
      </c>
      <c r="J46" s="65">
        <f>'Necesidades Trimestrales'!H44</f>
        <v>80.209999999999994</v>
      </c>
      <c r="K46" s="56">
        <f>'Necesidades Trimestrales'!G44</f>
        <v>201</v>
      </c>
    </row>
    <row r="47" spans="1:11" ht="34.9" customHeight="1" thickBot="1" x14ac:dyDescent="0.25">
      <c r="A47" s="8">
        <v>36</v>
      </c>
      <c r="B47" s="53" t="str">
        <f>'Necesidades Trimestrales'!B45</f>
        <v>2.1.1-6546.81</v>
      </c>
      <c r="C47" s="72" t="str">
        <f>'Necesidades Trimestrales'!E45</f>
        <v>VERDURAS Y HORTALIZAS; VARIEDAD: TOMATE, ESTADO: PURE NATURAL, PRESENTACION: CAJA, PESO: 500 GR</v>
      </c>
      <c r="D47" s="72"/>
      <c r="E47" s="72"/>
      <c r="F47" s="72"/>
      <c r="G47" s="72"/>
      <c r="H47" s="54" t="s">
        <v>51</v>
      </c>
      <c r="I47" s="55" t="str">
        <f>'Necesidades Trimestrales'!F45</f>
        <v>UNIDAD</v>
      </c>
      <c r="J47" s="65">
        <f>'Necesidades Trimestrales'!H45</f>
        <v>48</v>
      </c>
      <c r="K47" s="56">
        <f>'Necesidades Trimestrales'!G45</f>
        <v>300</v>
      </c>
    </row>
    <row r="48" spans="1:11" ht="34.9" customHeight="1" thickBot="1" x14ac:dyDescent="0.25">
      <c r="A48" s="8">
        <v>37</v>
      </c>
      <c r="B48" s="53" t="str">
        <f>'Necesidades Trimestrales'!B46</f>
        <v>2.1.1-2113.1</v>
      </c>
      <c r="C48" s="72" t="str">
        <f>'Necesidades Trimestrales'!E46</f>
        <v>DULCES; TIPO: DE BATATA, PRESENTACION: LATA, PESO: 5</v>
      </c>
      <c r="D48" s="72"/>
      <c r="E48" s="72"/>
      <c r="F48" s="72"/>
      <c r="G48" s="72"/>
      <c r="H48" s="54" t="s">
        <v>51</v>
      </c>
      <c r="I48" s="55" t="str">
        <f>'Necesidades Trimestrales'!F46</f>
        <v>UNIDAD</v>
      </c>
      <c r="J48" s="65">
        <f>'Necesidades Trimestrales'!H46</f>
        <v>942</v>
      </c>
      <c r="K48" s="56">
        <f>'Necesidades Trimestrales'!G46</f>
        <v>39</v>
      </c>
    </row>
    <row r="49" spans="1:1024" ht="34.9" customHeight="1" thickBot="1" x14ac:dyDescent="0.25">
      <c r="A49" s="8">
        <v>38</v>
      </c>
      <c r="B49" s="53" t="str">
        <f>'Necesidades Trimestrales'!B47</f>
        <v>2.1.1-2113.2</v>
      </c>
      <c r="C49" s="72" t="str">
        <f>'Necesidades Trimestrales'!E47</f>
        <v>DULCES; TIPO: DE MEMBRILLO, PRESENTACION: LATA, PESO: 5 Kg</v>
      </c>
      <c r="D49" s="72"/>
      <c r="E49" s="72"/>
      <c r="F49" s="72"/>
      <c r="G49" s="72"/>
      <c r="H49" s="54" t="s">
        <v>51</v>
      </c>
      <c r="I49" s="55" t="str">
        <f>'Necesidades Trimestrales'!F47</f>
        <v>UNIDAD</v>
      </c>
      <c r="J49" s="65">
        <f>'Necesidades Trimestrales'!H47</f>
        <v>1086</v>
      </c>
      <c r="K49" s="56">
        <f>'Necesidades Trimestrales'!G47</f>
        <v>39</v>
      </c>
    </row>
    <row r="50" spans="1:1024" ht="34.9" customHeight="1" thickBot="1" x14ac:dyDescent="0.25">
      <c r="A50" s="8">
        <v>39</v>
      </c>
      <c r="B50" s="53" t="str">
        <f>'Necesidades Trimestrales'!B48</f>
        <v>2.1.1-6546.336</v>
      </c>
      <c r="C50" s="72" t="str">
        <f>'Necesidades Trimestrales'!E48</f>
        <v>VERDURAS Y HORTALIZAS; VARIEDAD: CHOCLO, ESTADO: CREMOSO, PRESENTACION: LATA, PESO: 350 GR, ELEM. TRANSPORTE: SIN, MATERIAL ELEM. TRANSPORTE: SIN, LIBRE DE GLUTEN: NO</v>
      </c>
      <c r="D50" s="72"/>
      <c r="E50" s="72"/>
      <c r="F50" s="72"/>
      <c r="G50" s="72"/>
      <c r="H50" s="54" t="s">
        <v>51</v>
      </c>
      <c r="I50" s="55" t="str">
        <f>'Necesidades Trimestrales'!F48</f>
        <v>UNIDAD</v>
      </c>
      <c r="J50" s="65">
        <f>'Necesidades Trimestrales'!H48</f>
        <v>54.06</v>
      </c>
      <c r="K50" s="56">
        <f>'Necesidades Trimestrales'!G48</f>
        <v>51</v>
      </c>
    </row>
    <row r="51" spans="1:1024" ht="34.9" customHeight="1" thickBot="1" x14ac:dyDescent="0.25">
      <c r="A51" s="8">
        <v>40</v>
      </c>
      <c r="B51" s="53" t="str">
        <f>'Necesidades Trimestrales'!B49</f>
        <v>2.1.1-489.66</v>
      </c>
      <c r="C51" s="72" t="str">
        <f>'Necesidades Trimestrales'!E49</f>
        <v>ESPECIAS: TIPO: OREGANO, PRESENTACION: BOLSA DE 1 KG.</v>
      </c>
      <c r="D51" s="72"/>
      <c r="E51" s="72"/>
      <c r="F51" s="72"/>
      <c r="G51" s="72"/>
      <c r="H51" s="54" t="s">
        <v>51</v>
      </c>
      <c r="I51" s="55" t="str">
        <f>'Necesidades Trimestrales'!F49</f>
        <v>UNIDAD</v>
      </c>
      <c r="J51" s="65">
        <f>'Necesidades Trimestrales'!H49</f>
        <v>380</v>
      </c>
      <c r="K51" s="56">
        <f>'Necesidades Trimestrales'!G49</f>
        <v>9</v>
      </c>
    </row>
    <row r="52" spans="1:1024" ht="34.9" customHeight="1" thickBot="1" x14ac:dyDescent="0.25">
      <c r="A52" s="8">
        <v>41</v>
      </c>
      <c r="B52" s="53" t="str">
        <f>'Necesidades Trimestrales'!B50</f>
        <v>2.1.1-489.67</v>
      </c>
      <c r="C52" s="72" t="str">
        <f>'Necesidades Trimestrales'!E50</f>
        <v>ESPECIAS; TIPO: PIMENTON, PRESENTACION: BOLSA DE 1 Kg</v>
      </c>
      <c r="D52" s="72"/>
      <c r="E52" s="72"/>
      <c r="F52" s="72"/>
      <c r="G52" s="72"/>
      <c r="H52" s="54" t="s">
        <v>51</v>
      </c>
      <c r="I52" s="55" t="str">
        <f>'Necesidades Trimestrales'!F50</f>
        <v>UNIDAD</v>
      </c>
      <c r="J52" s="65">
        <f>'Necesidades Trimestrales'!H50</f>
        <v>350</v>
      </c>
      <c r="K52" s="56">
        <f>'Necesidades Trimestrales'!G50</f>
        <v>9</v>
      </c>
    </row>
    <row r="53" spans="1:1024" ht="34.9" customHeight="1" thickBot="1" x14ac:dyDescent="0.25">
      <c r="A53" s="8">
        <v>42</v>
      </c>
      <c r="B53" s="53" t="str">
        <f>'Necesidades Trimestrales'!B51</f>
        <v>2.1.1-489.53</v>
      </c>
      <c r="C53" s="72" t="str">
        <f>'Necesidades Trimestrales'!E51</f>
        <v>ESPECIAS; TIPO: NUEZ MOSCADA, PRESENTACION: POLVO</v>
      </c>
      <c r="D53" s="72"/>
      <c r="E53" s="72"/>
      <c r="F53" s="72"/>
      <c r="G53" s="72"/>
      <c r="H53" s="54" t="s">
        <v>51</v>
      </c>
      <c r="I53" s="55" t="str">
        <f>'Necesidades Trimestrales'!F51</f>
        <v>KG</v>
      </c>
      <c r="J53" s="65">
        <f>'Necesidades Trimestrales'!H51</f>
        <v>1300</v>
      </c>
      <c r="K53" s="56">
        <f>'Necesidades Trimestrales'!G51</f>
        <v>3</v>
      </c>
    </row>
    <row r="54" spans="1:1024" ht="34.9" customHeight="1" thickBot="1" x14ac:dyDescent="0.25">
      <c r="A54" s="8">
        <v>43</v>
      </c>
      <c r="B54" s="53" t="str">
        <f>'Necesidades Trimestrales'!B52</f>
        <v>2.1.1-489.132</v>
      </c>
      <c r="C54" s="72" t="str">
        <f>'Necesidades Trimestrales'!E52</f>
        <v>ESPECIAS; TIPO: PIMIENTA BLANCA, PRESENTACION: ENVASE X 1 Kg</v>
      </c>
      <c r="D54" s="72"/>
      <c r="E54" s="72"/>
      <c r="F54" s="72"/>
      <c r="G54" s="72"/>
      <c r="H54" s="54" t="s">
        <v>51</v>
      </c>
      <c r="I54" s="55" t="str">
        <f>'Necesidades Trimestrales'!F52</f>
        <v>UNIDAD</v>
      </c>
      <c r="J54" s="65">
        <f>'Necesidades Trimestrales'!H52</f>
        <v>759.99</v>
      </c>
      <c r="K54" s="56">
        <f>'Necesidades Trimestrales'!G52</f>
        <v>3</v>
      </c>
    </row>
    <row r="55" spans="1:1024" ht="34.9" customHeight="1" thickBot="1" x14ac:dyDescent="0.25">
      <c r="A55" s="8">
        <v>44</v>
      </c>
      <c r="B55" s="53" t="str">
        <f>'Necesidades Trimestrales'!B53</f>
        <v>2.1.1-788.229</v>
      </c>
      <c r="C55" s="72" t="str">
        <f>'Necesidades Trimestrales'!E53</f>
        <v>GALLETITAS; VARIEDAD: VAINILLA, RELLENO: SIN, PRESENTACION: ENVASE X 792 GR, ELEM. TRANSPORTE: SIN, MATERIAL ELEM. TRANSPORTE: SIN, LIBRE DE GLUTEN: NO</v>
      </c>
      <c r="D55" s="72"/>
      <c r="E55" s="72"/>
      <c r="F55" s="72"/>
      <c r="G55" s="72"/>
      <c r="H55" s="54" t="s">
        <v>51</v>
      </c>
      <c r="I55" s="55" t="str">
        <f>'Necesidades Trimestrales'!F53</f>
        <v>UNIDAD</v>
      </c>
      <c r="J55" s="65">
        <f>'Necesidades Trimestrales'!H53</f>
        <v>162</v>
      </c>
      <c r="K55" s="56">
        <f>'Necesidades Trimestrales'!G53</f>
        <v>51</v>
      </c>
    </row>
    <row r="56" spans="1:1024" ht="34.9" customHeight="1" thickBot="1" x14ac:dyDescent="0.25">
      <c r="A56" s="8">
        <v>45</v>
      </c>
      <c r="B56" s="53" t="str">
        <f>'Necesidades Trimestrales'!B54</f>
        <v>2.1.1-788.224</v>
      </c>
      <c r="C56" s="72" t="str">
        <f>'Necesidades Trimestrales'!E54</f>
        <v>GALLETITAS; VARIEDAD: SALADA, RELLENO: SIN, PRESENTACION: ENVASE X 275 GR, ELEM. TRANSPORTE: SIN, MATERIAL ELEM. TRANSPORTE: SIN, LIBRE DE GLUTEN: SI</v>
      </c>
      <c r="D56" s="72"/>
      <c r="E56" s="72"/>
      <c r="F56" s="72"/>
      <c r="G56" s="72"/>
      <c r="H56" s="54" t="s">
        <v>51</v>
      </c>
      <c r="I56" s="55" t="str">
        <f>'Necesidades Trimestrales'!F54</f>
        <v>UNIDAD</v>
      </c>
      <c r="J56" s="65">
        <f>'Necesidades Trimestrales'!H54</f>
        <v>162</v>
      </c>
      <c r="K56" s="56">
        <f>'Necesidades Trimestrales'!G54</f>
        <v>30</v>
      </c>
    </row>
    <row r="57" spans="1:1024" ht="34.9" customHeight="1" thickBot="1" x14ac:dyDescent="0.25">
      <c r="A57" s="8">
        <v>46</v>
      </c>
      <c r="B57" s="53" t="str">
        <f>'Necesidades Trimestrales'!B55</f>
        <v>2.1.1-455.16</v>
      </c>
      <c r="C57" s="72" t="str">
        <f>'Necesidades Trimestrales'!E55</f>
        <v>DULCE DE LECHE; ENVASE: DE CARTON, CAPACIDAD: 5000 GR, TIPO: DE REPOSTERIA, PRESENTACION: ENVASE DE CARTON X 5 Kg</v>
      </c>
      <c r="D57" s="72"/>
      <c r="E57" s="72"/>
      <c r="F57" s="72"/>
      <c r="G57" s="72"/>
      <c r="H57" s="54" t="s">
        <v>51</v>
      </c>
      <c r="I57" s="55" t="str">
        <f>'Necesidades Trimestrales'!F55</f>
        <v>UNIDAD</v>
      </c>
      <c r="J57" s="65">
        <f>'Necesidades Trimestrales'!H55</f>
        <v>213.71</v>
      </c>
      <c r="K57" s="56">
        <f>'Necesidades Trimestrales'!G55</f>
        <v>3</v>
      </c>
    </row>
    <row r="58" spans="1:1024" ht="20.25" customHeight="1" thickBot="1" x14ac:dyDescent="0.25">
      <c r="A58" s="73" t="s">
        <v>157</v>
      </c>
      <c r="B58" s="73"/>
      <c r="C58" s="73"/>
      <c r="D58" s="73"/>
      <c r="E58" s="73"/>
      <c r="F58" s="73"/>
      <c r="G58" s="73"/>
      <c r="H58" s="73"/>
      <c r="I58" s="73"/>
      <c r="J58" s="74">
        <f>SUMPRODUCT(J12:J57,K12:K57)</f>
        <v>2019111.1800000002</v>
      </c>
      <c r="K58" s="74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</row>
  </sheetData>
  <mergeCells count="68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8:I58"/>
    <mergeCell ref="J58:K58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6:G56"/>
    <mergeCell ref="C57:G57"/>
    <mergeCell ref="C51:G51"/>
    <mergeCell ref="C52:G52"/>
    <mergeCell ref="C53:G53"/>
    <mergeCell ref="C54:G54"/>
    <mergeCell ref="C55:G55"/>
  </mergeCells>
  <printOptions horizontalCentered="1"/>
  <pageMargins left="0.19685039370078741" right="0.19685039370078741" top="0.67" bottom="0.6" header="0.51181102362204722" footer="0.51181102362204722"/>
  <pageSetup paperSize="9" scale="8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opLeftCell="A13" zoomScale="130" zoomScaleNormal="130" workbookViewId="0">
      <selection activeCell="S24" sqref="S24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1" width="4.42578125" customWidth="1"/>
    <col min="12" max="12" width="5.28515625" customWidth="1"/>
    <col min="13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08" t="s">
        <v>3</v>
      </c>
      <c r="B1" s="108"/>
      <c r="C1" s="108"/>
      <c r="D1" s="109">
        <f>'Necesidades Trimestrales'!C6</f>
        <v>2021</v>
      </c>
      <c r="E1" s="109"/>
      <c r="F1" s="10"/>
      <c r="G1" s="10"/>
      <c r="H1" s="11"/>
      <c r="I1" s="11"/>
      <c r="J1" s="11"/>
      <c r="K1" s="11"/>
      <c r="L1" s="11"/>
      <c r="M1" s="11"/>
      <c r="N1" s="11"/>
      <c r="P1" s="110" t="s">
        <v>25</v>
      </c>
      <c r="Q1" s="110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10"/>
      <c r="Q2" s="110"/>
    </row>
    <row r="4" spans="1:17" s="12" customFormat="1" ht="18" customHeight="1" thickBot="1" x14ac:dyDescent="0.25">
      <c r="A4" s="111" t="s">
        <v>26</v>
      </c>
      <c r="B4" s="111"/>
      <c r="C4" s="111"/>
      <c r="D4" s="111"/>
      <c r="E4" s="111"/>
      <c r="F4" s="111"/>
      <c r="G4" s="106" t="str">
        <f>NotaPedido!D3</f>
        <v>40 - Ministerio de Salud</v>
      </c>
      <c r="H4" s="106"/>
      <c r="I4" s="106"/>
      <c r="J4" s="106"/>
      <c r="K4" s="106"/>
      <c r="L4" s="106"/>
      <c r="M4" s="106"/>
      <c r="N4" s="106"/>
      <c r="O4" s="106"/>
      <c r="P4" s="106"/>
      <c r="Q4" s="106"/>
    </row>
    <row r="5" spans="1:17" s="12" customFormat="1" ht="18" customHeight="1" thickBot="1" x14ac:dyDescent="0.25">
      <c r="A5" s="103" t="s">
        <v>49</v>
      </c>
      <c r="B5" s="104"/>
      <c r="C5" s="104"/>
      <c r="D5" s="104"/>
      <c r="E5" s="104"/>
      <c r="F5" s="105"/>
      <c r="G5" s="106" t="str">
        <f>NotaPedido!D4</f>
        <v>23 - Hospital Interzonal San Juan Bautista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</row>
    <row r="6" spans="1:17" s="12" customFormat="1" ht="18" customHeight="1" thickBot="1" x14ac:dyDescent="0.25">
      <c r="A6" s="103" t="s">
        <v>27</v>
      </c>
      <c r="B6" s="104"/>
      <c r="C6" s="104"/>
      <c r="D6" s="104"/>
      <c r="E6" s="104"/>
      <c r="F6" s="105"/>
      <c r="G6" s="106" t="str">
        <f>NotaPedido!D5</f>
        <v>168 - Direccion Asistencial</v>
      </c>
      <c r="H6" s="106"/>
      <c r="I6" s="106"/>
      <c r="J6" s="106"/>
      <c r="K6" s="106"/>
      <c r="L6" s="106"/>
      <c r="M6" s="106"/>
      <c r="N6" s="106"/>
      <c r="O6" s="106"/>
      <c r="P6" s="106"/>
      <c r="Q6" s="106"/>
    </row>
    <row r="7" spans="1:17" s="12" customFormat="1" ht="18" customHeight="1" thickBot="1" x14ac:dyDescent="0.25">
      <c r="A7" s="103" t="s">
        <v>50</v>
      </c>
      <c r="B7" s="104"/>
      <c r="C7" s="104"/>
      <c r="D7" s="104"/>
      <c r="E7" s="104"/>
      <c r="F7" s="105"/>
      <c r="G7" s="106" t="str">
        <f>NotaPedido!D6</f>
        <v>Servicio de Nutricion</v>
      </c>
      <c r="H7" s="106"/>
      <c r="I7" s="106"/>
      <c r="J7" s="106"/>
      <c r="K7" s="106"/>
      <c r="L7" s="106"/>
      <c r="M7" s="106"/>
      <c r="N7" s="106"/>
      <c r="O7" s="106"/>
      <c r="P7" s="106"/>
      <c r="Q7" s="106"/>
    </row>
    <row r="8" spans="1:17" ht="18" customHeight="1" thickBot="1" x14ac:dyDescent="0.25">
      <c r="A8" s="107" t="s">
        <v>28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</row>
    <row r="9" spans="1:17" ht="18" customHeight="1" x14ac:dyDescent="0.2">
      <c r="A9" s="97" t="s">
        <v>29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1"/>
      <c r="P9" s="1"/>
      <c r="Q9" s="13"/>
    </row>
    <row r="10" spans="1:17" ht="54.75" customHeight="1" x14ac:dyDescent="0.2">
      <c r="A10" s="98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019 - 2021,  afectando la erogación resultante a los créditos presupuestarios aprobados a favor de esta Unidad Ejecutora, conforme al siguiente detalle:</v>
      </c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99" t="s">
        <v>30</v>
      </c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</row>
    <row r="13" spans="1:17" ht="15.75" customHeight="1" x14ac:dyDescent="0.2">
      <c r="A13" s="100" t="s">
        <v>31</v>
      </c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1" t="s">
        <v>32</v>
      </c>
      <c r="P13" s="101"/>
      <c r="Q13" s="102" t="s">
        <v>33</v>
      </c>
    </row>
    <row r="14" spans="1:17" ht="15.75" customHeight="1" x14ac:dyDescent="0.2">
      <c r="A14" s="18" t="s">
        <v>34</v>
      </c>
      <c r="B14" s="19" t="s">
        <v>35</v>
      </c>
      <c r="C14" s="19" t="s">
        <v>36</v>
      </c>
      <c r="D14" s="19" t="s">
        <v>37</v>
      </c>
      <c r="E14" s="19" t="s">
        <v>38</v>
      </c>
      <c r="F14" s="19" t="s">
        <v>39</v>
      </c>
      <c r="G14" s="20" t="s">
        <v>40</v>
      </c>
      <c r="H14" s="19" t="s">
        <v>41</v>
      </c>
      <c r="I14" s="19" t="s">
        <v>42</v>
      </c>
      <c r="J14" s="19" t="s">
        <v>43</v>
      </c>
      <c r="K14" s="19" t="s">
        <v>43</v>
      </c>
      <c r="L14" s="19" t="s">
        <v>44</v>
      </c>
      <c r="M14" s="21" t="s">
        <v>45</v>
      </c>
      <c r="N14" s="22" t="s">
        <v>46</v>
      </c>
      <c r="O14" s="101"/>
      <c r="P14" s="101"/>
      <c r="Q14" s="102"/>
    </row>
    <row r="15" spans="1:17" ht="17.25" customHeight="1" x14ac:dyDescent="0.2">
      <c r="A15" s="59">
        <v>33</v>
      </c>
      <c r="B15" s="60"/>
      <c r="C15" s="60"/>
      <c r="D15" s="60">
        <v>2</v>
      </c>
      <c r="E15" s="60"/>
      <c r="F15" s="60">
        <v>4901</v>
      </c>
      <c r="G15" s="60">
        <v>3</v>
      </c>
      <c r="H15" s="61" t="s">
        <v>55</v>
      </c>
      <c r="I15" s="62">
        <v>2</v>
      </c>
      <c r="J15" s="62">
        <v>1</v>
      </c>
      <c r="K15" s="62">
        <v>1</v>
      </c>
      <c r="L15" s="60"/>
      <c r="M15" s="63">
        <v>1</v>
      </c>
      <c r="N15" s="61" t="s">
        <v>56</v>
      </c>
      <c r="O15" s="94" t="s">
        <v>153</v>
      </c>
      <c r="P15" s="94"/>
      <c r="Q15" s="23">
        <v>2019111.18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57"/>
      <c r="I16" s="25"/>
      <c r="J16" s="25"/>
      <c r="K16" s="25"/>
      <c r="L16" s="25"/>
      <c r="M16" s="26"/>
      <c r="N16" s="58"/>
      <c r="O16" s="95"/>
      <c r="P16" s="95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57"/>
      <c r="I17" s="25"/>
      <c r="J17" s="25"/>
      <c r="K17" s="25"/>
      <c r="L17" s="25"/>
      <c r="M17" s="26"/>
      <c r="N17" s="58"/>
      <c r="O17" s="95"/>
      <c r="P17" s="95"/>
      <c r="Q17" s="28"/>
      <c r="S17" s="64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57"/>
      <c r="I18" s="25"/>
      <c r="J18" s="25"/>
      <c r="K18" s="25"/>
      <c r="L18" s="25"/>
      <c r="M18" s="26"/>
      <c r="N18" s="58"/>
      <c r="O18" s="96"/>
      <c r="P18" s="89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89"/>
      <c r="P19" s="89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89"/>
      <c r="P20" s="89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90"/>
      <c r="P21" s="90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91"/>
      <c r="P22" s="91"/>
      <c r="Q22" s="37"/>
    </row>
    <row r="23" spans="1:19" ht="20.25" customHeight="1" x14ac:dyDescent="0.2">
      <c r="A23" s="92" t="s">
        <v>159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38">
        <f>SUM(Q15:Q22)</f>
        <v>2019111.18</v>
      </c>
    </row>
    <row r="24" spans="1:19" ht="18" customHeight="1" thickBot="1" x14ac:dyDescent="0.25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</row>
    <row r="25" spans="1:19" ht="17.25" customHeight="1" thickBot="1" x14ac:dyDescent="0.25">
      <c r="A25" s="84" t="s">
        <v>47</v>
      </c>
      <c r="B25" s="85"/>
      <c r="C25" s="85"/>
      <c r="D25" s="85"/>
      <c r="E25" s="85"/>
      <c r="F25" s="86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</row>
    <row r="26" spans="1:19" ht="18" customHeight="1" thickBot="1" x14ac:dyDescent="0.25">
      <c r="A26" s="88" t="str">
        <f>"Para la "&amp; NotaPedido!D8 &amp;" para ser destinados al " &amp; NotaPedido!D6 &amp;" del HISJB del Ministerio de Salud."</f>
        <v>Para la Adquisición de Alimentos no Perecederos para ser destinados al Servicio de Nutricion del HISJB del Ministerio de Salud.</v>
      </c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</row>
    <row r="27" spans="1:19" ht="15" customHeight="1" x14ac:dyDescent="0.2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26" right="0.28000000000000003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2021-03-23T13:07:44Z</cp:lastPrinted>
  <dcterms:created xsi:type="dcterms:W3CDTF">2020-07-17T23:44:49Z</dcterms:created>
  <dcterms:modified xsi:type="dcterms:W3CDTF">2021-08-13T14:12:11Z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