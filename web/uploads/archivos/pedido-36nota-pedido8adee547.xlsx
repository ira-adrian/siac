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6340808A-048E-4CFD-8552-0761D7E3AD37}"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Gastar'!$A$1:$Q$25</definedName>
    <definedName name="_xlnm.Print_Area" localSheetId="0">'Necesidades Trimestrales'!$A$1:$I$12</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3" i="2" l="1"/>
  <c r="J13" i="2"/>
  <c r="I13" i="2"/>
  <c r="C13" i="2"/>
  <c r="B13" i="2"/>
  <c r="I11" i="1"/>
  <c r="Q16" i="3" s="1"/>
  <c r="K12" i="2" l="1"/>
  <c r="J12" i="2"/>
  <c r="J14" i="2" s="1"/>
  <c r="I12" i="2"/>
  <c r="C12" i="2"/>
  <c r="B12" i="2"/>
  <c r="I10" i="1" l="1"/>
  <c r="Q15" i="3" s="1"/>
  <c r="Q21" i="3" l="1"/>
  <c r="D7" i="2" l="1"/>
  <c r="D3" i="2"/>
  <c r="G4" i="3" s="1"/>
  <c r="D4" i="2"/>
  <c r="G5" i="3" s="1"/>
  <c r="A10" i="3" l="1"/>
  <c r="D1" i="3"/>
</calcChain>
</file>

<file path=xl/sharedStrings.xml><?xml version="1.0" encoding="utf-8"?>
<sst xmlns="http://schemas.openxmlformats.org/spreadsheetml/2006/main" count="104" uniqueCount="89">
  <si>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</si>
  <si>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</si>
  <si>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</si>
  <si>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</si>
  <si>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</si>
  <si>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</si>
  <si>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</si>
  <si>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</si>
  <si>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</si>
  <si>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</si>
  <si>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</si>
  <si>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</si>
  <si>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</si>
  <si>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</si>
  <si>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</si>
  <si>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</si>
  <si>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</si>
  <si>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</si>
  <si>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</si>
  <si>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</si>
  <si>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</si>
  <si>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</si>
  <si>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</si>
  <si>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</si>
  <si>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</si>
  <si>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</si>
  <si>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</si>
  <si>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</si>
  <si>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</si>
  <si>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</si>
  <si>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</si>
  <si>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</si>
  <si>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</si>
  <si>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</si>
  <si>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</si>
  <si>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</si>
  <si>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</si>
  <si>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</si>
  <si>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</si>
  <si>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</si>
  <si>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</si>
  <si>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</si>
  <si>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</si>
  <si>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</si>
  <si>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</si>
  <si>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</si>
  <si>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</si>
  <si>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</si>
  <si>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</si>
  <si>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</si>
  <si>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</si>
  <si>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</si>
  <si>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</si>
  <si>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</si>
  <si>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</si>
  <si>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</si>
  <si>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25- Direccion Provincial de Gestion Administrativa y RRHH</t>
  </si>
  <si>
    <t>NO</t>
  </si>
  <si>
    <t>Alta</t>
  </si>
  <si>
    <t>S/E</t>
  </si>
  <si>
    <t>UNIDADES</t>
  </si>
  <si>
    <t>Estructuras Metalicas Acabadas</t>
  </si>
  <si>
    <t>2.5.8-1922.26</t>
  </si>
  <si>
    <t>FERRETERIA</t>
  </si>
  <si>
    <t>2.5.8</t>
  </si>
  <si>
    <t>NAILON; ANCHO: 4,5 M, ESPESOR: 200 Mn</t>
  </si>
  <si>
    <t>16- Direccion Provincial de Accion Social Directa-</t>
  </si>
  <si>
    <t>02- Programa Vivir Mejor- PRO.VI.ME</t>
  </si>
  <si>
    <t>Plazo de Mantinimiento 60 dias</t>
  </si>
  <si>
    <t>Productos de Material Plastico</t>
  </si>
  <si>
    <t>MATERIALES DE CONSTRUCCION</t>
  </si>
  <si>
    <t>2.7.2</t>
  </si>
  <si>
    <t>2.7.2-2722.5</t>
  </si>
  <si>
    <t>CHAPAS DE ZINC; ANCHO: 1,10 M, LARGO: 3,05 M, ESPESOR: CALIBRE BWG 24</t>
  </si>
  <si>
    <t>45- Ministerio de Desarrollo Social</t>
  </si>
  <si>
    <t>Especificidades Item N° 1.</t>
  </si>
  <si>
    <t>Especificidades Item N° 2.</t>
  </si>
  <si>
    <t>SI</t>
  </si>
  <si>
    <t>16- Direccion Provincial de Accion Social Directa</t>
  </si>
  <si>
    <t>Rollo de nailon, por 4,5 metros de ancho, 50 metros de largo y 200 micrones de espesor.</t>
  </si>
  <si>
    <r>
      <rPr>
        <u/>
        <sz val="10"/>
        <rFont val="Times New Roman"/>
        <family val="1"/>
      </rPr>
      <t xml:space="preserve">Lugar y Forma de Entrega: </t>
    </r>
    <r>
      <rPr>
        <sz val="10"/>
        <rFont val="Times New Roman"/>
        <family val="1"/>
      </rPr>
      <t>La entrega de los bienes se deberá realizar en el Depósito perteneciente al Ministerio de Desarrollo Social, sitio Área Industrial "El Pantanillo" de la Ciudad de San Fernando del Valle de Catamarca.</t>
    </r>
  </si>
  <si>
    <r>
      <t>Plazo de Entrega</t>
    </r>
    <r>
      <rPr>
        <sz val="10"/>
        <rFont val="Times New Roman"/>
        <family val="1"/>
      </rPr>
      <t>:</t>
    </r>
    <r>
      <rPr>
        <u/>
        <sz val="10"/>
        <rFont val="Times New Roman"/>
        <family val="1"/>
      </rPr>
      <t xml:space="preserve"> </t>
    </r>
    <r>
      <rPr>
        <sz val="10"/>
        <rFont val="Times New Roman"/>
        <family val="1"/>
      </rPr>
      <t>Dentro de los 05 (cinco) dias habiles de Notificada la Orden de Compra.</t>
    </r>
  </si>
  <si>
    <r>
      <rPr>
        <u/>
        <sz val="10"/>
        <rFont val="Times New Roman"/>
        <family val="1"/>
      </rPr>
      <t>Lugar y Forma de Entrega</t>
    </r>
    <r>
      <rPr>
        <sz val="10"/>
        <rFont val="Times New Roman"/>
        <family val="1"/>
      </rPr>
      <t>: La entrega de los bienes se deberá realizar en el Depósito perteneciente al Ministerio de Desarrollo Social, sitio Área Industrial "El Pantanillo" de la Ciudad de San Fernando del Valle de Catamarca.</t>
    </r>
  </si>
  <si>
    <r>
      <t xml:space="preserve">Plazo de Entrega: </t>
    </r>
    <r>
      <rPr>
        <sz val="10"/>
        <rFont val="Times New Roman"/>
        <family val="1"/>
      </rPr>
      <t>Dentro de los 05 (cinco) dias habiles de Notificada la Orden de Compra.</t>
    </r>
  </si>
  <si>
    <t>Costo total estimado: NUEVE MILLONES CIENTO VEINTICINCO MIL CON 00/100.-</t>
  </si>
  <si>
    <t>TOTAL DE PESOS:  NUEVE MILLONES CIENTO VEINTICINCO MIL CON 00/100.-</t>
  </si>
  <si>
    <t>027/2022</t>
  </si>
  <si>
    <t>Adquisición de Naylon y chapas para Asistir a Personas de Escasos Recursos</t>
  </si>
  <si>
    <t>Adquisición Naylon y chapas para Asistir a Personas de Escasos 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</si>
</sst>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59">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medium">
        <color rgb="FF3D3D3D"/>
      </right>
      <top style="thin">
        <color rgb="FF3D3D3D"/>
      </top>
      <bottom style="thin">
        <color rgb="FF3D3D3D"/>
      </bottom>
      <diagonal/>
    </border>
    <border>
      <left style="medium">
        <color rgb="FF3D3D3D"/>
      </left>
      <right style="thin">
        <color rgb="FF3D3D3D"/>
      </right>
      <top/>
      <bottom style="thin">
        <color indexed="64"/>
      </bottom>
      <diagonal/>
    </border>
    <border>
      <left style="thin">
        <color rgb="FF3D3D3D"/>
      </left>
      <right style="thin">
        <color rgb="FF3D3D3D"/>
      </right>
      <top/>
      <bottom style="thin">
        <color indexed="64"/>
      </bottom>
      <diagonal/>
    </border>
    <border>
      <left style="thin">
        <color rgb="FF3D3D3D"/>
      </left>
      <right/>
      <top/>
      <bottom style="thin">
        <color indexed="64"/>
      </bottom>
      <diagonal/>
    </border>
    <border>
      <left style="thin">
        <color auto="1"/>
      </left>
      <right style="medium">
        <color indexed="64"/>
      </right>
      <top style="thin">
        <color auto="1"/>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3">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4" xfId="0" applyBorder="1"/>
    <xf numFmtId="0" fontId="0" fillId="0" borderId="30" xfId="0" applyBorder="1"/>
    <xf numFmtId="0" fontId="0" fillId="0" borderId="16" xfId="0" applyBorder="1"/>
    <xf numFmtId="0" fontId="0" fillId="0" borderId="16" xfId="0" applyBorder="1" applyAlignment="1">
      <alignment horizontal="left"/>
    </xf>
    <xf numFmtId="0" fontId="0" fillId="0" borderId="31" xfId="0" applyBorder="1"/>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4" xfId="0" applyFont="1" applyBorder="1" applyAlignment="1">
      <alignment horizontal="left" vertical="center"/>
    </xf>
    <xf numFmtId="0" fontId="14" fillId="0" borderId="35" xfId="0" applyFont="1" applyBorder="1" applyAlignment="1">
      <alignment horizontal="center" vertical="center"/>
    </xf>
    <xf numFmtId="0" fontId="14" fillId="0" borderId="29"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166" fontId="14" fillId="0" borderId="45" xfId="0" applyNumberFormat="1" applyFont="1" applyBorder="1" applyAlignment="1">
      <alignment horizontal="center" vertical="center"/>
    </xf>
    <xf numFmtId="0" fontId="16" fillId="0" borderId="0" xfId="0" applyFont="1"/>
    <xf numFmtId="166" fontId="0" fillId="0" borderId="49" xfId="3" applyNumberFormat="1" applyFont="1" applyBorder="1" applyAlignment="1" applyProtection="1">
      <alignment horizontal="center" vertical="center"/>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25" xfId="0" applyFont="1" applyFill="1" applyBorder="1" applyAlignment="1">
      <alignment horizontal="center" vertical="center" wrapText="1"/>
    </xf>
    <xf numFmtId="0" fontId="20" fillId="0" borderId="18" xfId="0" applyFont="1" applyFill="1" applyBorder="1" applyAlignment="1">
      <alignment horizontal="center" vertical="center" wrapText="1"/>
    </xf>
    <xf numFmtId="0" fontId="22" fillId="0" borderId="2" xfId="0" applyFont="1" applyFill="1" applyBorder="1" applyAlignment="1">
      <alignment horizontal="center" vertical="center" wrapText="1"/>
    </xf>
    <xf numFmtId="0" fontId="21" fillId="0" borderId="4" xfId="0" applyFont="1" applyFill="1" applyBorder="1" applyAlignment="1">
      <alignment horizontal="center" vertical="center"/>
    </xf>
    <xf numFmtId="0" fontId="0" fillId="0" borderId="5" xfId="0" applyFill="1" applyBorder="1"/>
    <xf numFmtId="0" fontId="22" fillId="0" borderId="5" xfId="0" applyFont="1" applyFill="1" applyBorder="1" applyAlignment="1">
      <alignment horizontal="center" vertical="center" wrapText="1"/>
    </xf>
    <xf numFmtId="0" fontId="19" fillId="0" borderId="5" xfId="0" applyFont="1" applyFill="1" applyBorder="1" applyAlignment="1">
      <alignment horizontal="center" wrapText="1"/>
    </xf>
    <xf numFmtId="166" fontId="16" fillId="0" borderId="0" xfId="0" applyNumberFormat="1" applyFont="1" applyFill="1"/>
    <xf numFmtId="0" fontId="23" fillId="0" borderId="6" xfId="0" applyFont="1" applyFill="1" applyBorder="1"/>
    <xf numFmtId="0" fontId="16" fillId="0" borderId="7" xfId="0" applyFont="1" applyFill="1" applyBorder="1"/>
    <xf numFmtId="0" fontId="16" fillId="0" borderId="8" xfId="0" applyFont="1" applyFill="1" applyBorder="1"/>
    <xf numFmtId="0" fontId="16" fillId="0" borderId="9" xfId="0" applyFont="1" applyFill="1" applyBorder="1"/>
    <xf numFmtId="0" fontId="16" fillId="0" borderId="0" xfId="0" applyFont="1" applyFill="1" applyBorder="1"/>
    <xf numFmtId="0" fontId="16" fillId="0" borderId="10" xfId="0" applyFont="1" applyFill="1" applyBorder="1"/>
    <xf numFmtId="0" fontId="23" fillId="0" borderId="9" xfId="0" applyFont="1" applyFill="1" applyBorder="1" applyAlignment="1">
      <alignment horizontal="left" indent="3"/>
    </xf>
    <xf numFmtId="0" fontId="16" fillId="0" borderId="9" xfId="0" applyFont="1" applyFill="1" applyBorder="1" applyAlignment="1">
      <alignment horizontal="left" indent="3"/>
    </xf>
    <xf numFmtId="0" fontId="16" fillId="0" borderId="0" xfId="0" applyFont="1" applyFill="1" applyBorder="1" applyAlignment="1">
      <alignment horizontal="left"/>
    </xf>
    <xf numFmtId="0" fontId="16" fillId="0" borderId="10" xfId="0" applyFont="1" applyFill="1" applyBorder="1" applyAlignment="1">
      <alignment horizontal="left"/>
    </xf>
    <xf numFmtId="0" fontId="16" fillId="0" borderId="0" xfId="0" applyFont="1" applyFill="1" applyBorder="1" applyAlignment="1">
      <alignment horizontal="center" wrapText="1"/>
    </xf>
    <xf numFmtId="0" fontId="16" fillId="0" borderId="10" xfId="0" applyFont="1" applyFill="1" applyBorder="1" applyAlignment="1">
      <alignment horizontal="center" wrapText="1"/>
    </xf>
    <xf numFmtId="0" fontId="16" fillId="0" borderId="11" xfId="0" applyFont="1" applyFill="1" applyBorder="1" applyAlignment="1">
      <alignment horizontal="left" indent="3"/>
    </xf>
    <xf numFmtId="0" fontId="16" fillId="0" borderId="12" xfId="0" applyFont="1" applyFill="1" applyBorder="1"/>
    <xf numFmtId="0" fontId="16" fillId="0" borderId="13" xfId="0" applyFont="1" applyFill="1" applyBorder="1"/>
    <xf numFmtId="166" fontId="21" fillId="0" borderId="5" xfId="1" applyNumberFormat="1" applyFont="1" applyFill="1" applyBorder="1" applyAlignment="1" applyProtection="1">
      <alignment horizontal="right" vertical="center" wrapText="1"/>
    </xf>
    <xf numFmtId="166" fontId="21" fillId="0" borderId="53" xfId="1" applyNumberFormat="1" applyFont="1" applyFill="1" applyBorder="1" applyAlignment="1" applyProtection="1">
      <alignment horizontal="right" vertical="center" wrapText="1"/>
    </xf>
    <xf numFmtId="0" fontId="20" fillId="0" borderId="54" xfId="0" applyFont="1" applyFill="1" applyBorder="1" applyAlignment="1">
      <alignment horizontal="center" vertical="center" wrapText="1"/>
    </xf>
    <xf numFmtId="0" fontId="20" fillId="0" borderId="55" xfId="0" applyFont="1" applyFill="1" applyBorder="1" applyAlignment="1">
      <alignment horizontal="center" vertical="center" wrapText="1"/>
    </xf>
    <xf numFmtId="0" fontId="20" fillId="0" borderId="56" xfId="0" applyFont="1" applyFill="1" applyBorder="1" applyAlignment="1">
      <alignment horizontal="center" vertical="center" wrapText="1"/>
    </xf>
    <xf numFmtId="0" fontId="21" fillId="0" borderId="57" xfId="0" applyFont="1" applyFill="1" applyBorder="1" applyAlignment="1">
      <alignment horizontal="center" vertical="center"/>
    </xf>
    <xf numFmtId="0" fontId="0" fillId="0" borderId="2" xfId="0" applyFill="1" applyBorder="1"/>
    <xf numFmtId="0" fontId="0" fillId="0" borderId="2" xfId="0" applyFill="1" applyBorder="1" applyAlignment="1">
      <alignment horizontal="center"/>
    </xf>
    <xf numFmtId="0" fontId="19" fillId="0" borderId="2" xfId="0" applyFont="1" applyFill="1" applyBorder="1" applyAlignment="1">
      <alignment horizontal="center" wrapText="1"/>
    </xf>
    <xf numFmtId="166" fontId="21" fillId="0" borderId="2" xfId="1" applyNumberFormat="1" applyFont="1" applyFill="1" applyBorder="1" applyAlignment="1" applyProtection="1">
      <alignment horizontal="right" vertical="center" wrapText="1"/>
    </xf>
    <xf numFmtId="166" fontId="21" fillId="0" borderId="58" xfId="1" applyNumberFormat="1" applyFont="1" applyFill="1" applyBorder="1" applyAlignment="1" applyProtection="1">
      <alignment horizontal="right" vertical="center" wrapText="1"/>
    </xf>
    <xf numFmtId="0" fontId="0" fillId="0" borderId="5" xfId="0" applyFill="1" applyBorder="1" applyAlignment="1">
      <alignment horizontal="center"/>
    </xf>
    <xf numFmtId="0" fontId="5" fillId="0" borderId="14" xfId="0" applyFont="1" applyFill="1" applyBorder="1" applyAlignment="1">
      <alignment horizontal="right" vertical="center"/>
    </xf>
    <xf numFmtId="0" fontId="6" fillId="0" borderId="15" xfId="0" applyFont="1" applyFill="1" applyBorder="1" applyAlignment="1">
      <alignment horizontal="center" vertical="center"/>
    </xf>
    <xf numFmtId="0" fontId="5" fillId="0" borderId="16"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4" xfId="0" applyFont="1" applyFill="1" applyBorder="1" applyAlignment="1">
      <alignment horizontal="center" vertical="center"/>
    </xf>
    <xf numFmtId="0" fontId="4" fillId="0" borderId="23" xfId="0" applyFont="1" applyFill="1" applyBorder="1" applyAlignment="1">
      <alignment horizontal="left" vertical="center"/>
    </xf>
    <xf numFmtId="0" fontId="4" fillId="0" borderId="23" xfId="0" applyFont="1" applyFill="1" applyBorder="1" applyAlignment="1">
      <alignment horizontal="center" vertical="center"/>
    </xf>
    <xf numFmtId="0" fontId="4" fillId="0" borderId="23" xfId="0" applyFont="1" applyFill="1" applyBorder="1" applyAlignment="1">
      <alignment horizontal="center" vertical="center" wrapText="1"/>
    </xf>
    <xf numFmtId="166" fontId="4" fillId="0" borderId="23" xfId="1" applyNumberFormat="1" applyFont="1" applyFill="1" applyBorder="1" applyAlignment="1" applyProtection="1">
      <alignment horizontal="right" vertical="center" wrapText="1"/>
    </xf>
    <xf numFmtId="3" fontId="4" fillId="0" borderId="23"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0" fillId="0" borderId="50" xfId="0" applyFont="1" applyFill="1" applyBorder="1" applyAlignment="1">
      <alignment horizontal="center" vertical="center"/>
    </xf>
    <xf numFmtId="0" fontId="0" fillId="0" borderId="51" xfId="0" applyFont="1" applyFill="1" applyBorder="1" applyAlignment="1">
      <alignment horizontal="center" vertical="center"/>
    </xf>
    <xf numFmtId="0" fontId="0" fillId="0" borderId="37" xfId="0" applyFont="1" applyFill="1" applyBorder="1" applyAlignment="1">
      <alignment horizontal="center" vertical="center"/>
    </xf>
    <xf numFmtId="0" fontId="0" fillId="0" borderId="52"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51" xfId="0" applyFont="1" applyFill="1" applyBorder="1" applyAlignment="1">
      <alignment horizontal="center" vertical="center"/>
    </xf>
    <xf numFmtId="0" fontId="16" fillId="0" borderId="10" xfId="0" applyFont="1" applyFill="1" applyBorder="1" applyAlignment="1">
      <alignment horizontal="center"/>
    </xf>
    <xf numFmtId="0" fontId="16" fillId="0" borderId="10" xfId="0" applyFont="1" applyFill="1" applyBorder="1" applyAlignment="1">
      <alignment horizontal="center" wrapText="1"/>
    </xf>
    <xf numFmtId="0" fontId="23" fillId="0" borderId="0" xfId="0" applyFont="1" applyFill="1" applyBorder="1" applyAlignment="1">
      <alignment horizontal="left"/>
    </xf>
    <xf numFmtId="0" fontId="16" fillId="0" borderId="0" xfId="0" applyFont="1" applyFill="1" applyBorder="1" applyAlignment="1">
      <alignment horizontal="left"/>
    </xf>
    <xf numFmtId="0" fontId="16" fillId="0" borderId="10" xfId="0" applyFont="1" applyFill="1" applyBorder="1" applyAlignment="1">
      <alignment horizontal="left"/>
    </xf>
    <xf numFmtId="0" fontId="16" fillId="0" borderId="0" xfId="0" applyFont="1" applyFill="1" applyBorder="1" applyAlignment="1">
      <alignment horizontal="left" vertical="center" wrapText="1"/>
    </xf>
    <xf numFmtId="0" fontId="16" fillId="0" borderId="10" xfId="0" applyFont="1" applyFill="1" applyBorder="1" applyAlignment="1">
      <alignment horizontal="left" vertical="center" wrapText="1"/>
    </xf>
    <xf numFmtId="0" fontId="18" fillId="0" borderId="0" xfId="0" applyFont="1" applyFill="1" applyBorder="1" applyAlignment="1">
      <alignment horizontal="left" vertical="center" wrapText="1"/>
    </xf>
    <xf numFmtId="0" fontId="17" fillId="0" borderId="0" xfId="0" applyFont="1" applyFill="1" applyBorder="1" applyAlignment="1">
      <alignment horizontal="center"/>
    </xf>
    <xf numFmtId="0" fontId="24" fillId="0" borderId="0" xfId="0" applyFont="1" applyFill="1" applyBorder="1" applyAlignment="1">
      <alignment horizontal="left" wrapText="1" indent="1"/>
    </xf>
    <xf numFmtId="0" fontId="6" fillId="0" borderId="18" xfId="0" applyFont="1" applyFill="1" applyBorder="1" applyAlignment="1">
      <alignment horizontal="left" vertical="center" wrapText="1" indent="1"/>
    </xf>
    <xf numFmtId="167" fontId="25" fillId="0" borderId="18" xfId="0" applyNumberFormat="1" applyFont="1" applyFill="1" applyBorder="1" applyAlignment="1">
      <alignment horizontal="center" vertical="center"/>
    </xf>
    <xf numFmtId="0" fontId="4" fillId="0" borderId="23" xfId="0" applyFont="1" applyFill="1" applyBorder="1" applyAlignment="1">
      <alignment horizontal="left" vertical="center" wrapText="1"/>
    </xf>
    <xf numFmtId="0" fontId="7" fillId="0" borderId="20" xfId="0" applyFont="1" applyFill="1" applyBorder="1" applyAlignment="1">
      <alignment horizontal="left" vertical="center"/>
    </xf>
    <xf numFmtId="0" fontId="6" fillId="0" borderId="21" xfId="0" applyFont="1" applyFill="1" applyBorder="1" applyAlignment="1">
      <alignment horizontal="left" vertical="center" wrapText="1" indent="1"/>
    </xf>
    <xf numFmtId="0" fontId="8" fillId="0" borderId="20" xfId="0" applyFont="1" applyFill="1" applyBorder="1" applyAlignment="1">
      <alignment horizontal="center" vertical="center"/>
    </xf>
    <xf numFmtId="0" fontId="8" fillId="0" borderId="22" xfId="0" applyFont="1" applyFill="1" applyBorder="1" applyAlignment="1">
      <alignment horizontal="center" vertical="center" wrapText="1"/>
    </xf>
    <xf numFmtId="0" fontId="8" fillId="0" borderId="21" xfId="0" applyFont="1" applyFill="1" applyBorder="1" applyAlignment="1">
      <alignment horizontal="center" vertical="center" wrapText="1"/>
    </xf>
    <xf numFmtId="0" fontId="5" fillId="0" borderId="0" xfId="0" applyFont="1" applyFill="1" applyBorder="1" applyAlignment="1">
      <alignment horizontal="center" vertical="center"/>
    </xf>
    <xf numFmtId="0" fontId="7" fillId="0" borderId="17" xfId="0" applyFont="1" applyFill="1" applyBorder="1" applyAlignment="1">
      <alignment horizontal="left" vertical="center" wrapText="1"/>
    </xf>
    <xf numFmtId="0" fontId="7" fillId="0" borderId="19" xfId="0" applyFont="1" applyFill="1" applyBorder="1" applyAlignment="1">
      <alignment horizontal="left" vertical="center" wrapText="1"/>
    </xf>
    <xf numFmtId="0" fontId="10" fillId="0" borderId="25" xfId="0" applyFont="1" applyBorder="1" applyAlignment="1">
      <alignment vertical="center" wrapText="1"/>
    </xf>
    <xf numFmtId="0" fontId="10" fillId="0" borderId="46" xfId="0" applyFont="1" applyBorder="1" applyAlignment="1">
      <alignment vertical="center" wrapText="1"/>
    </xf>
    <xf numFmtId="0" fontId="10" fillId="0" borderId="21" xfId="0" applyFont="1" applyBorder="1" applyAlignment="1">
      <alignment vertical="center" wrapText="1"/>
    </xf>
    <xf numFmtId="0" fontId="12" fillId="0" borderId="32" xfId="0" applyFont="1" applyBorder="1" applyAlignment="1">
      <alignment vertical="center" wrapText="1"/>
    </xf>
    <xf numFmtId="0" fontId="12" fillId="0" borderId="45" xfId="0" applyFont="1" applyFill="1" applyBorder="1" applyAlignment="1">
      <alignment horizontal="left" vertical="center" wrapText="1" indent="1"/>
    </xf>
    <xf numFmtId="0" fontId="0" fillId="0" borderId="39" xfId="0" applyFont="1" applyBorder="1" applyAlignment="1">
      <alignment horizontal="left" vertical="center"/>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7" xfId="0" applyBorder="1"/>
    <xf numFmtId="0" fontId="26" fillId="0" borderId="3" xfId="0" applyFont="1" applyBorder="1" applyAlignment="1">
      <alignment horizontal="left" vertical="center" wrapText="1"/>
    </xf>
    <xf numFmtId="0" fontId="0" fillId="0" borderId="3" xfId="0" applyFont="1" applyBorder="1" applyAlignment="1">
      <alignment horizontal="left" vertical="center" wrapText="1"/>
    </xf>
    <xf numFmtId="0" fontId="26" fillId="0" borderId="34" xfId="0" applyFont="1" applyBorder="1" applyAlignment="1">
      <alignment horizontal="left" vertical="center" wrapText="1"/>
    </xf>
    <xf numFmtId="0" fontId="0" fillId="0" borderId="34" xfId="0" applyFont="1" applyBorder="1" applyAlignment="1">
      <alignment horizontal="left" vertical="center" wrapText="1"/>
    </xf>
    <xf numFmtId="0" fontId="12" fillId="0" borderId="28" xfId="0" applyFont="1" applyBorder="1"/>
    <xf numFmtId="0" fontId="12" fillId="0" borderId="29" xfId="0" applyFont="1" applyBorder="1" applyAlignment="1">
      <alignment horizontal="left" vertical="center" wrapText="1" indent="1"/>
    </xf>
    <xf numFmtId="0" fontId="14" fillId="0" borderId="27" xfId="0" applyFont="1" applyBorder="1" applyAlignment="1">
      <alignment horizontal="center" vertical="center"/>
    </xf>
    <xf numFmtId="0" fontId="14" fillId="0" borderId="15" xfId="0" applyFont="1" applyBorder="1" applyAlignment="1">
      <alignment horizontal="center" vertical="center"/>
    </xf>
    <xf numFmtId="0" fontId="14" fillId="0" borderId="27" xfId="0" applyFont="1" applyBorder="1" applyAlignment="1">
      <alignment horizontal="center" vertical="center" wrapText="1"/>
    </xf>
    <xf numFmtId="0" fontId="14" fillId="0" borderId="32" xfId="0" applyFont="1" applyBorder="1" applyAlignment="1">
      <alignment horizontal="center" vertical="center"/>
    </xf>
    <xf numFmtId="0" fontId="4" fillId="0" borderId="17"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2" fillId="0" borderId="15" xfId="0" applyFont="1" applyBorder="1" applyAlignment="1">
      <alignment horizontal="left" indent="1"/>
    </xf>
    <xf numFmtId="0" fontId="13" fillId="0" borderId="15" xfId="0" applyFont="1" applyBorder="1" applyAlignment="1">
      <alignment horizontal="left"/>
    </xf>
    <xf numFmtId="0" fontId="0" fillId="0" borderId="25" xfId="0" applyFont="1" applyBorder="1" applyAlignment="1">
      <alignment horizontal="center"/>
    </xf>
    <xf numFmtId="3" fontId="10" fillId="0" borderId="26" xfId="0" applyNumberFormat="1" applyFont="1" applyBorder="1" applyAlignment="1">
      <alignment horizontal="center"/>
    </xf>
    <xf numFmtId="0" fontId="11" fillId="0" borderId="15" xfId="0" applyFont="1" applyBorder="1" applyAlignment="1">
      <alignment horizontal="center" vertical="center" wrapText="1"/>
    </xf>
    <xf numFmtId="0" fontId="2" fillId="0" borderId="15"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4"/>
  <sheetViews>
    <sheetView tabSelected="1" zoomScaleNormal="100" workbookViewId="0">
      <selection activeCell="C25" sqref="C25:E25"/>
    </sheetView>
  </sheetViews>
  <sheetFormatPr baseColWidth="10" defaultColWidth="11" defaultRowHeight="12.75" x14ac:dyDescent="0.2"/>
  <cols>
    <col min="1" max="1" width="4.5703125" style="32" customWidth="1"/>
    <col min="2" max="2" width="21.7109375" style="32" customWidth="1"/>
    <col min="3" max="3" width="36.7109375" style="32" customWidth="1"/>
    <col min="4" max="4" width="12.28515625" style="32" bestFit="1" customWidth="1"/>
    <col min="5" max="5" width="135.42578125" style="32" customWidth="1"/>
    <col min="6" max="6" width="11" style="32"/>
    <col min="7" max="8" width="10.42578125" style="32" bestFit="1" customWidth="1"/>
    <col min="9" max="9" width="15.7109375" style="32" bestFit="1" customWidth="1"/>
    <col min="10" max="16384" width="11" style="32"/>
  </cols>
  <sheetData>
    <row r="1" spans="1:9" x14ac:dyDescent="0.2">
      <c r="A1" s="34"/>
      <c r="B1" s="34"/>
      <c r="C1" s="34"/>
      <c r="D1" s="34"/>
      <c r="E1" s="34"/>
      <c r="F1" s="34"/>
      <c r="G1" s="34"/>
      <c r="H1" s="34"/>
      <c r="I1" s="34"/>
    </row>
    <row r="2" spans="1:9" ht="27" x14ac:dyDescent="0.35">
      <c r="A2" s="34"/>
      <c r="B2" s="101" t="s">
        <v>0</v>
      </c>
      <c r="C2" s="101"/>
      <c r="D2" s="101"/>
      <c r="E2" s="101"/>
      <c r="F2" s="101"/>
      <c r="G2" s="101"/>
      <c r="H2" s="101"/>
      <c r="I2" s="34"/>
    </row>
    <row r="3" spans="1:9" x14ac:dyDescent="0.2">
      <c r="A3" s="34"/>
      <c r="B3" s="34"/>
      <c r="C3" s="34"/>
      <c r="D3" s="34"/>
      <c r="E3" s="34"/>
      <c r="F3" s="34"/>
      <c r="G3" s="34"/>
      <c r="H3" s="34"/>
      <c r="I3" s="34"/>
    </row>
    <row r="4" spans="1:9" ht="18" customHeight="1" x14ac:dyDescent="0.25">
      <c r="A4" s="100" t="s">
        <v>1</v>
      </c>
      <c r="B4" s="100"/>
      <c r="C4" s="102" t="s">
        <v>74</v>
      </c>
      <c r="D4" s="102"/>
      <c r="E4" s="102"/>
      <c r="F4" s="35"/>
      <c r="G4" s="36"/>
      <c r="H4" s="35"/>
      <c r="I4" s="34"/>
    </row>
    <row r="5" spans="1:9" ht="18" customHeight="1" x14ac:dyDescent="0.25">
      <c r="A5" s="100" t="s">
        <v>2</v>
      </c>
      <c r="B5" s="100"/>
      <c r="C5" s="102" t="s">
        <v>56</v>
      </c>
      <c r="D5" s="102"/>
      <c r="E5" s="102"/>
      <c r="F5" s="35"/>
      <c r="G5" s="36"/>
      <c r="H5" s="35"/>
      <c r="I5" s="34"/>
    </row>
    <row r="6" spans="1:9" ht="16.5" customHeight="1" x14ac:dyDescent="0.25">
      <c r="A6" s="100" t="s">
        <v>3</v>
      </c>
      <c r="B6" s="100"/>
      <c r="C6" s="37">
        <v>2022</v>
      </c>
      <c r="D6" s="38"/>
      <c r="E6" s="38"/>
      <c r="F6" s="35"/>
      <c r="G6" s="36"/>
      <c r="H6" s="35"/>
      <c r="I6" s="34"/>
    </row>
    <row r="7" spans="1:9" ht="16.5" customHeight="1" x14ac:dyDescent="0.25">
      <c r="A7" s="100" t="s">
        <v>4</v>
      </c>
      <c r="B7" s="100"/>
      <c r="C7" s="37">
        <v>1</v>
      </c>
      <c r="D7" s="38"/>
      <c r="E7" s="38"/>
      <c r="F7" s="35"/>
      <c r="G7" s="36"/>
      <c r="H7" s="35"/>
      <c r="I7" s="34"/>
    </row>
    <row r="8" spans="1:9" ht="13.5" thickBot="1" x14ac:dyDescent="0.25">
      <c r="A8" s="34"/>
      <c r="B8" s="35"/>
      <c r="C8" s="36"/>
      <c r="D8" s="35"/>
      <c r="E8" s="35"/>
      <c r="F8" s="35"/>
      <c r="G8" s="36"/>
      <c r="H8" s="35"/>
      <c r="I8" s="34"/>
    </row>
    <row r="9" spans="1:9" ht="39" thickBot="1" x14ac:dyDescent="0.25">
      <c r="A9" s="39" t="s">
        <v>5</v>
      </c>
      <c r="B9" s="40" t="s">
        <v>6</v>
      </c>
      <c r="C9" s="40" t="s">
        <v>7</v>
      </c>
      <c r="D9" s="40" t="s">
        <v>8</v>
      </c>
      <c r="E9" s="40" t="s">
        <v>9</v>
      </c>
      <c r="F9" s="64" t="s">
        <v>10</v>
      </c>
      <c r="G9" s="65" t="s">
        <v>11</v>
      </c>
      <c r="H9" s="65" t="s">
        <v>12</v>
      </c>
      <c r="I9" s="66" t="s">
        <v>13</v>
      </c>
    </row>
    <row r="10" spans="1:9" x14ac:dyDescent="0.2">
      <c r="A10" s="67">
        <v>1</v>
      </c>
      <c r="B10" s="68" t="s">
        <v>62</v>
      </c>
      <c r="C10" s="68" t="s">
        <v>63</v>
      </c>
      <c r="D10" s="69" t="s">
        <v>64</v>
      </c>
      <c r="E10" s="68" t="s">
        <v>65</v>
      </c>
      <c r="F10" s="41" t="s">
        <v>60</v>
      </c>
      <c r="G10" s="70">
        <v>400</v>
      </c>
      <c r="H10" s="71">
        <v>20000</v>
      </c>
      <c r="I10" s="72">
        <f t="shared" ref="I10:I11" si="0">+H10*G10</f>
        <v>8000000</v>
      </c>
    </row>
    <row r="11" spans="1:9" ht="13.5" thickBot="1" x14ac:dyDescent="0.25">
      <c r="A11" s="42">
        <v>2</v>
      </c>
      <c r="B11" s="43" t="s">
        <v>72</v>
      </c>
      <c r="C11" s="43" t="s">
        <v>70</v>
      </c>
      <c r="D11" s="73" t="s">
        <v>71</v>
      </c>
      <c r="E11" s="43" t="s">
        <v>73</v>
      </c>
      <c r="F11" s="44" t="s">
        <v>60</v>
      </c>
      <c r="G11" s="45">
        <v>150</v>
      </c>
      <c r="H11" s="62">
        <v>7500</v>
      </c>
      <c r="I11" s="63">
        <f t="shared" si="0"/>
        <v>1125000</v>
      </c>
    </row>
    <row r="12" spans="1:9" x14ac:dyDescent="0.2">
      <c r="A12" s="34"/>
      <c r="B12" s="34"/>
      <c r="C12" s="34"/>
      <c r="D12" s="34"/>
      <c r="E12" s="34"/>
      <c r="F12" s="34"/>
      <c r="G12" s="34"/>
      <c r="H12" s="34"/>
      <c r="I12" s="46"/>
    </row>
    <row r="13" spans="1:9" x14ac:dyDescent="0.2">
      <c r="A13" s="34"/>
      <c r="B13" s="34"/>
      <c r="C13" s="34"/>
      <c r="D13" s="34"/>
      <c r="E13" s="34"/>
      <c r="F13" s="34"/>
      <c r="G13" s="34"/>
      <c r="H13" s="34"/>
      <c r="I13" s="46"/>
    </row>
    <row r="14" spans="1:9" x14ac:dyDescent="0.2">
      <c r="A14" s="34"/>
      <c r="B14" s="47" t="s">
        <v>75</v>
      </c>
      <c r="C14" s="48"/>
      <c r="D14" s="48"/>
      <c r="E14" s="49"/>
      <c r="F14" s="34"/>
      <c r="G14" s="34"/>
      <c r="H14" s="34"/>
      <c r="I14" s="34"/>
    </row>
    <row r="15" spans="1:9" ht="5.25" customHeight="1" x14ac:dyDescent="0.2">
      <c r="A15" s="34"/>
      <c r="B15" s="50"/>
      <c r="C15" s="51"/>
      <c r="D15" s="51"/>
      <c r="E15" s="52"/>
      <c r="F15" s="34"/>
      <c r="G15" s="34"/>
      <c r="H15" s="34"/>
      <c r="I15" s="34"/>
    </row>
    <row r="16" spans="1:9" x14ac:dyDescent="0.2">
      <c r="A16" s="34"/>
      <c r="B16" s="53" t="s">
        <v>14</v>
      </c>
      <c r="C16" s="51" t="s">
        <v>79</v>
      </c>
      <c r="D16" s="51"/>
      <c r="E16" s="52"/>
      <c r="F16" s="34"/>
      <c r="G16" s="34"/>
      <c r="H16" s="34"/>
      <c r="I16" s="34"/>
    </row>
    <row r="17" spans="1:9" x14ac:dyDescent="0.2">
      <c r="A17" s="34"/>
      <c r="B17" s="53"/>
      <c r="C17" s="94"/>
      <c r="D17" s="94"/>
      <c r="E17" s="94"/>
      <c r="F17" s="34"/>
      <c r="G17" s="34"/>
      <c r="H17" s="34"/>
      <c r="I17" s="34"/>
    </row>
    <row r="18" spans="1:9" x14ac:dyDescent="0.2">
      <c r="A18" s="34"/>
      <c r="B18" s="53" t="s">
        <v>15</v>
      </c>
      <c r="C18" s="51"/>
      <c r="D18" s="51"/>
      <c r="E18" s="52"/>
      <c r="F18" s="34"/>
      <c r="G18" s="34"/>
      <c r="H18" s="34"/>
      <c r="I18" s="34"/>
    </row>
    <row r="19" spans="1:9" x14ac:dyDescent="0.2">
      <c r="A19" s="34"/>
      <c r="B19" s="54"/>
      <c r="C19" s="95" t="s">
        <v>81</v>
      </c>
      <c r="D19" s="96"/>
      <c r="E19" s="97"/>
      <c r="F19" s="34"/>
      <c r="G19" s="34"/>
      <c r="H19" s="34"/>
      <c r="I19" s="34"/>
    </row>
    <row r="20" spans="1:9" ht="50.25" customHeight="1" x14ac:dyDescent="0.2">
      <c r="A20" s="34"/>
      <c r="B20" s="54"/>
      <c r="C20" s="98" t="s">
        <v>82</v>
      </c>
      <c r="D20" s="98"/>
      <c r="E20" s="99"/>
      <c r="F20" s="34"/>
      <c r="G20" s="34"/>
      <c r="H20" s="34"/>
      <c r="I20" s="34"/>
    </row>
    <row r="21" spans="1:9" x14ac:dyDescent="0.2">
      <c r="A21" s="34"/>
      <c r="B21" s="54"/>
      <c r="C21" s="55"/>
      <c r="D21" s="55"/>
      <c r="E21" s="56"/>
      <c r="F21" s="34"/>
      <c r="G21" s="34"/>
      <c r="H21" s="34"/>
      <c r="I21" s="34"/>
    </row>
    <row r="22" spans="1:9" x14ac:dyDescent="0.2">
      <c r="A22" s="34"/>
      <c r="B22" s="53" t="s">
        <v>16</v>
      </c>
      <c r="C22" s="51"/>
      <c r="D22" s="51"/>
      <c r="E22" s="52"/>
      <c r="F22" s="34"/>
      <c r="G22" s="34"/>
      <c r="H22" s="34"/>
      <c r="I22" s="34"/>
    </row>
    <row r="23" spans="1:9" ht="26.25" customHeight="1" x14ac:dyDescent="0.2">
      <c r="A23" s="34"/>
      <c r="B23" s="54"/>
      <c r="C23" s="94" t="s">
        <v>58</v>
      </c>
      <c r="D23" s="94"/>
      <c r="E23" s="94"/>
      <c r="F23" s="34"/>
      <c r="G23" s="34"/>
      <c r="H23" s="34"/>
      <c r="I23" s="34"/>
    </row>
    <row r="24" spans="1:9" x14ac:dyDescent="0.2">
      <c r="A24" s="34"/>
      <c r="B24" s="53" t="s">
        <v>17</v>
      </c>
      <c r="C24" s="57"/>
      <c r="D24" s="57"/>
      <c r="E24" s="58"/>
      <c r="F24" s="34"/>
      <c r="G24" s="34"/>
      <c r="H24" s="34"/>
      <c r="I24" s="34"/>
    </row>
    <row r="25" spans="1:9" ht="26.25" customHeight="1" x14ac:dyDescent="0.2">
      <c r="A25" s="34"/>
      <c r="B25" s="54"/>
      <c r="C25" s="94" t="s">
        <v>68</v>
      </c>
      <c r="D25" s="94"/>
      <c r="E25" s="94"/>
      <c r="F25" s="34"/>
      <c r="G25" s="34"/>
      <c r="H25" s="34"/>
      <c r="I25" s="34"/>
    </row>
    <row r="26" spans="1:9" x14ac:dyDescent="0.2">
      <c r="A26" s="34"/>
      <c r="B26" s="53" t="s">
        <v>18</v>
      </c>
      <c r="C26" s="51"/>
      <c r="D26" s="51"/>
      <c r="E26" s="52"/>
      <c r="F26" s="34"/>
      <c r="G26" s="34"/>
      <c r="H26" s="34"/>
      <c r="I26" s="34"/>
    </row>
    <row r="27" spans="1:9" ht="23.25" customHeight="1" x14ac:dyDescent="0.2">
      <c r="A27" s="34"/>
      <c r="B27" s="53"/>
      <c r="C27" s="93" t="s">
        <v>59</v>
      </c>
      <c r="D27" s="93"/>
      <c r="E27" s="93"/>
      <c r="F27" s="34"/>
      <c r="G27" s="34"/>
      <c r="H27" s="34"/>
      <c r="I27" s="34"/>
    </row>
    <row r="28" spans="1:9" x14ac:dyDescent="0.2">
      <c r="A28" s="34"/>
      <c r="B28" s="59"/>
      <c r="C28" s="60"/>
      <c r="D28" s="60"/>
      <c r="E28" s="61"/>
      <c r="F28" s="34"/>
      <c r="G28" s="34"/>
      <c r="H28" s="34"/>
      <c r="I28" s="34"/>
    </row>
    <row r="29" spans="1:9" ht="13.5" thickBot="1" x14ac:dyDescent="0.25">
      <c r="A29" s="34"/>
      <c r="B29" s="34"/>
      <c r="C29" s="34"/>
      <c r="D29" s="34"/>
      <c r="E29" s="34"/>
      <c r="F29" s="34"/>
      <c r="G29" s="34"/>
      <c r="H29" s="34"/>
      <c r="I29" s="34"/>
    </row>
    <row r="30" spans="1:9" x14ac:dyDescent="0.2">
      <c r="B30" s="47" t="s">
        <v>76</v>
      </c>
      <c r="C30" s="48"/>
      <c r="D30" s="48"/>
      <c r="E30" s="49"/>
    </row>
    <row r="31" spans="1:9" x14ac:dyDescent="0.2">
      <c r="B31" s="50"/>
      <c r="C31" s="51"/>
      <c r="D31" s="51"/>
      <c r="E31" s="52"/>
    </row>
    <row r="32" spans="1:9" x14ac:dyDescent="0.2">
      <c r="B32" s="53" t="s">
        <v>14</v>
      </c>
      <c r="C32" s="51"/>
      <c r="D32" s="51"/>
      <c r="E32" s="52"/>
    </row>
    <row r="33" spans="2:5" x14ac:dyDescent="0.2">
      <c r="B33" s="53"/>
      <c r="C33" s="94"/>
      <c r="D33" s="94"/>
      <c r="E33" s="94"/>
    </row>
    <row r="34" spans="2:5" x14ac:dyDescent="0.2">
      <c r="B34" s="53" t="s">
        <v>15</v>
      </c>
      <c r="C34" s="51"/>
      <c r="D34" s="51"/>
      <c r="E34" s="52"/>
    </row>
    <row r="35" spans="2:5" x14ac:dyDescent="0.2">
      <c r="B35" s="54"/>
      <c r="C35" s="95" t="s">
        <v>83</v>
      </c>
      <c r="D35" s="96"/>
      <c r="E35" s="97"/>
    </row>
    <row r="36" spans="2:5" x14ac:dyDescent="0.2">
      <c r="B36" s="54"/>
      <c r="C36" s="98" t="s">
        <v>80</v>
      </c>
      <c r="D36" s="98"/>
      <c r="E36" s="99"/>
    </row>
    <row r="37" spans="2:5" x14ac:dyDescent="0.2">
      <c r="B37" s="54"/>
      <c r="C37" s="55"/>
      <c r="D37" s="55"/>
      <c r="E37" s="56"/>
    </row>
    <row r="38" spans="2:5" x14ac:dyDescent="0.2">
      <c r="B38" s="53" t="s">
        <v>16</v>
      </c>
      <c r="C38" s="51"/>
      <c r="D38" s="51"/>
      <c r="E38" s="52"/>
    </row>
    <row r="39" spans="2:5" x14ac:dyDescent="0.2">
      <c r="B39" s="54"/>
      <c r="C39" s="94" t="s">
        <v>58</v>
      </c>
      <c r="D39" s="94"/>
      <c r="E39" s="94"/>
    </row>
    <row r="40" spans="2:5" x14ac:dyDescent="0.2">
      <c r="B40" s="53" t="s">
        <v>17</v>
      </c>
      <c r="C40" s="57"/>
      <c r="D40" s="57"/>
      <c r="E40" s="58"/>
    </row>
    <row r="41" spans="2:5" x14ac:dyDescent="0.2">
      <c r="B41" s="54"/>
      <c r="C41" s="94" t="s">
        <v>68</v>
      </c>
      <c r="D41" s="94"/>
      <c r="E41" s="94"/>
    </row>
    <row r="42" spans="2:5" x14ac:dyDescent="0.2">
      <c r="B42" s="53" t="s">
        <v>18</v>
      </c>
      <c r="C42" s="51"/>
      <c r="D42" s="51"/>
      <c r="E42" s="52"/>
    </row>
    <row r="43" spans="2:5" x14ac:dyDescent="0.2">
      <c r="B43" s="53"/>
      <c r="C43" s="93" t="s">
        <v>59</v>
      </c>
      <c r="D43" s="93"/>
      <c r="E43" s="93"/>
    </row>
    <row r="44" spans="2:5" ht="13.5" thickBot="1" x14ac:dyDescent="0.25">
      <c r="B44" s="59"/>
      <c r="C44" s="60"/>
      <c r="D44" s="60"/>
      <c r="E44" s="61"/>
    </row>
  </sheetData>
  <mergeCells count="19">
    <mergeCell ref="B2:H2"/>
    <mergeCell ref="A4:B4"/>
    <mergeCell ref="C4:E4"/>
    <mergeCell ref="A5:B5"/>
    <mergeCell ref="C5:E5"/>
    <mergeCell ref="C23:E23"/>
    <mergeCell ref="C25:E25"/>
    <mergeCell ref="C27:E27"/>
    <mergeCell ref="A6:B6"/>
    <mergeCell ref="A7:B7"/>
    <mergeCell ref="C17:E17"/>
    <mergeCell ref="C19:E19"/>
    <mergeCell ref="C20:E20"/>
    <mergeCell ref="C43:E43"/>
    <mergeCell ref="C33:E33"/>
    <mergeCell ref="C35:E35"/>
    <mergeCell ref="C36:E36"/>
    <mergeCell ref="C39:E39"/>
    <mergeCell ref="C41:E41"/>
  </mergeCells>
  <pageMargins left="0" right="0" top="0.74803149606299213" bottom="0" header="0.51181102362204722" footer="0.51181102362204722"/>
  <pageSetup paperSize="5" scale="68"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topLeftCell="A4" zoomScale="110" zoomScaleNormal="110" workbookViewId="0">
      <selection activeCell="D8" sqref="D8:K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1" t="s">
        <v>19</v>
      </c>
      <c r="B1" s="111"/>
      <c r="C1" s="111"/>
      <c r="D1" s="111"/>
      <c r="E1" s="111"/>
      <c r="F1" s="111"/>
      <c r="G1" s="111"/>
      <c r="H1" s="111"/>
      <c r="I1" s="111"/>
      <c r="J1" s="74" t="s">
        <v>20</v>
      </c>
      <c r="K1" s="75" t="s">
        <v>86</v>
      </c>
    </row>
    <row r="2" spans="1:11" ht="18.75" customHeight="1" thickBot="1" x14ac:dyDescent="0.25">
      <c r="A2" s="76"/>
      <c r="B2" s="76"/>
      <c r="C2" s="76"/>
      <c r="D2" s="77"/>
      <c r="E2" s="77"/>
      <c r="F2" s="77"/>
      <c r="G2" s="77"/>
      <c r="H2" s="77"/>
      <c r="I2" s="77"/>
      <c r="J2" s="77"/>
      <c r="K2" s="77"/>
    </row>
    <row r="3" spans="1:11" ht="18.75" customHeight="1" thickBot="1" x14ac:dyDescent="0.25">
      <c r="A3" s="112" t="s">
        <v>53</v>
      </c>
      <c r="B3" s="112"/>
      <c r="C3" s="112"/>
      <c r="D3" s="103" t="str">
        <f>'Necesidades Trimestrales'!C4</f>
        <v>45- Ministerio de Desarrollo Social</v>
      </c>
      <c r="E3" s="103"/>
      <c r="F3" s="103"/>
      <c r="G3" s="103"/>
      <c r="H3" s="103"/>
      <c r="I3" s="103"/>
      <c r="J3" s="103"/>
      <c r="K3" s="103"/>
    </row>
    <row r="4" spans="1:11" ht="18.75" customHeight="1" thickBot="1" x14ac:dyDescent="0.25">
      <c r="A4" s="113" t="s">
        <v>54</v>
      </c>
      <c r="B4" s="113"/>
      <c r="C4" s="113"/>
      <c r="D4" s="103" t="str">
        <f>'Necesidades Trimestrales'!C5</f>
        <v>25- Direccion Provincial de Gestion Administrativa y RRHH</v>
      </c>
      <c r="E4" s="103"/>
      <c r="F4" s="103"/>
      <c r="G4" s="103"/>
      <c r="H4" s="103"/>
      <c r="I4" s="103"/>
      <c r="J4" s="103"/>
      <c r="K4" s="103"/>
    </row>
    <row r="5" spans="1:11" ht="18.75" customHeight="1" thickBot="1" x14ac:dyDescent="0.25">
      <c r="A5" s="113" t="s">
        <v>32</v>
      </c>
      <c r="B5" s="113"/>
      <c r="C5" s="113"/>
      <c r="D5" s="103" t="s">
        <v>66</v>
      </c>
      <c r="E5" s="103"/>
      <c r="F5" s="103"/>
      <c r="G5" s="103"/>
      <c r="H5" s="103"/>
      <c r="I5" s="103"/>
      <c r="J5" s="103"/>
      <c r="K5" s="103"/>
    </row>
    <row r="6" spans="1:11" ht="16.5" customHeight="1" thickBot="1" x14ac:dyDescent="0.25">
      <c r="A6" s="112" t="s">
        <v>55</v>
      </c>
      <c r="B6" s="112"/>
      <c r="C6" s="112"/>
      <c r="D6" s="103" t="s">
        <v>67</v>
      </c>
      <c r="E6" s="103"/>
      <c r="F6" s="103"/>
      <c r="G6" s="103"/>
      <c r="H6" s="103"/>
      <c r="I6" s="103"/>
      <c r="J6" s="103"/>
      <c r="K6" s="103"/>
    </row>
    <row r="7" spans="1:11" ht="16.5" customHeight="1" x14ac:dyDescent="0.2">
      <c r="A7" s="113" t="s">
        <v>21</v>
      </c>
      <c r="B7" s="113"/>
      <c r="C7" s="113"/>
      <c r="D7" s="103" t="str">
        <f>'Necesidades Trimestrales'!C7 &amp; "° Trimestre - Año " &amp; 'Necesidades Trimestrales'!C6</f>
        <v>1° Trimestre - Año 2022</v>
      </c>
      <c r="E7" s="103"/>
      <c r="F7" s="103"/>
      <c r="G7" s="103"/>
      <c r="H7" s="103"/>
      <c r="I7" s="103"/>
      <c r="J7" s="103"/>
      <c r="K7" s="103"/>
    </row>
    <row r="8" spans="1:11" ht="15.75" x14ac:dyDescent="0.2">
      <c r="A8" s="106" t="s">
        <v>22</v>
      </c>
      <c r="B8" s="106"/>
      <c r="C8" s="106"/>
      <c r="D8" s="107" t="s">
        <v>88</v>
      </c>
      <c r="E8" s="107"/>
      <c r="F8" s="107"/>
      <c r="G8" s="107"/>
      <c r="H8" s="107"/>
      <c r="I8" s="107"/>
      <c r="J8" s="107"/>
      <c r="K8" s="107"/>
    </row>
    <row r="9" spans="1:11" ht="15.75" x14ac:dyDescent="0.2">
      <c r="A9" s="78"/>
      <c r="B9" s="78"/>
      <c r="C9" s="78"/>
      <c r="D9" s="79"/>
      <c r="E9" s="79"/>
      <c r="F9" s="79"/>
      <c r="G9" s="79"/>
      <c r="H9" s="79"/>
      <c r="I9" s="79"/>
      <c r="J9" s="79"/>
      <c r="K9" s="79"/>
    </row>
    <row r="10" spans="1:11" ht="18.75" customHeight="1" x14ac:dyDescent="0.2">
      <c r="A10" s="108" t="s">
        <v>23</v>
      </c>
      <c r="B10" s="109" t="s">
        <v>24</v>
      </c>
      <c r="C10" s="109" t="s">
        <v>25</v>
      </c>
      <c r="D10" s="109"/>
      <c r="E10" s="109"/>
      <c r="F10" s="109"/>
      <c r="G10" s="109"/>
      <c r="H10" s="109" t="s">
        <v>26</v>
      </c>
      <c r="I10" s="109" t="s">
        <v>27</v>
      </c>
      <c r="J10" s="109" t="s">
        <v>28</v>
      </c>
      <c r="K10" s="110" t="s">
        <v>29</v>
      </c>
    </row>
    <row r="11" spans="1:11" ht="24" customHeight="1" thickBot="1" x14ac:dyDescent="0.25">
      <c r="A11" s="108"/>
      <c r="B11" s="109"/>
      <c r="C11" s="109"/>
      <c r="D11" s="109"/>
      <c r="E11" s="109"/>
      <c r="F11" s="109"/>
      <c r="G11" s="109"/>
      <c r="H11" s="109"/>
      <c r="I11" s="109"/>
      <c r="J11" s="109"/>
      <c r="K11" s="110"/>
    </row>
    <row r="12" spans="1:11" ht="20.25" customHeight="1" thickBot="1" x14ac:dyDescent="0.25">
      <c r="A12" s="80">
        <v>1</v>
      </c>
      <c r="B12" s="81" t="str">
        <f>'Necesidades Trimestrales'!B10</f>
        <v>2.5.8-1922.26</v>
      </c>
      <c r="C12" s="105" t="str">
        <f>'Necesidades Trimestrales'!E10</f>
        <v>NAILON; ANCHO: 4,5 M, ESPESOR: 200 Mn</v>
      </c>
      <c r="D12" s="105"/>
      <c r="E12" s="105"/>
      <c r="F12" s="105"/>
      <c r="G12" s="105"/>
      <c r="H12" s="82" t="s">
        <v>77</v>
      </c>
      <c r="I12" s="83" t="str">
        <f>'Necesidades Trimestrales'!F10</f>
        <v>UNIDADES</v>
      </c>
      <c r="J12" s="84">
        <f>'Necesidades Trimestrales'!H10</f>
        <v>20000</v>
      </c>
      <c r="K12" s="85">
        <f>'Necesidades Trimestrales'!G10</f>
        <v>400</v>
      </c>
    </row>
    <row r="13" spans="1:11" ht="27.75" customHeight="1" thickBot="1" x14ac:dyDescent="0.25">
      <c r="A13" s="80">
        <v>2</v>
      </c>
      <c r="B13" s="81" t="str">
        <f>'Necesidades Trimestrales'!B11</f>
        <v>2.7.2-2722.5</v>
      </c>
      <c r="C13" s="105" t="str">
        <f>'Necesidades Trimestrales'!E11</f>
        <v>CHAPAS DE ZINC; ANCHO: 1,10 M, LARGO: 3,05 M, ESPESOR: CALIBRE BWG 24</v>
      </c>
      <c r="D13" s="105"/>
      <c r="E13" s="105"/>
      <c r="F13" s="105"/>
      <c r="G13" s="105"/>
      <c r="H13" s="82" t="s">
        <v>57</v>
      </c>
      <c r="I13" s="83" t="str">
        <f>'Necesidades Trimestrales'!F11</f>
        <v>UNIDADES</v>
      </c>
      <c r="J13" s="84">
        <f>'Necesidades Trimestrales'!H11</f>
        <v>7500</v>
      </c>
      <c r="K13" s="85">
        <f>'Necesidades Trimestrales'!G11</f>
        <v>150</v>
      </c>
    </row>
    <row r="14" spans="1:11" ht="26.25" customHeight="1" thickBot="1" x14ac:dyDescent="0.25">
      <c r="A14" s="103" t="s">
        <v>84</v>
      </c>
      <c r="B14" s="103"/>
      <c r="C14" s="103"/>
      <c r="D14" s="103"/>
      <c r="E14" s="103"/>
      <c r="F14" s="103"/>
      <c r="G14" s="103"/>
      <c r="H14" s="103"/>
      <c r="I14" s="103"/>
      <c r="J14" s="104">
        <f>+J12*K12+J13*K13</f>
        <v>9125000</v>
      </c>
      <c r="K14" s="104"/>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2:G12"/>
    <mergeCell ref="C13:G13"/>
    <mergeCell ref="A8:C8"/>
    <mergeCell ref="D8:K8"/>
    <mergeCell ref="A10:A11"/>
    <mergeCell ref="B10:B11"/>
    <mergeCell ref="C10:G11"/>
    <mergeCell ref="H10:H11"/>
    <mergeCell ref="I10:I11"/>
    <mergeCell ref="J10:J11"/>
    <mergeCell ref="K10:K11"/>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zoomScale="130" zoomScaleNormal="130" workbookViewId="0">
      <selection activeCell="A24" sqref="A24:Q25"/>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4.28515625" bestFit="1" customWidth="1"/>
  </cols>
  <sheetData>
    <row r="1" spans="1:17" ht="15.75" customHeight="1" x14ac:dyDescent="0.25">
      <c r="A1" s="139" t="s">
        <v>3</v>
      </c>
      <c r="B1" s="139"/>
      <c r="C1" s="139"/>
      <c r="D1" s="140">
        <f>'Necesidades Trimestrales'!C6</f>
        <v>2022</v>
      </c>
      <c r="E1" s="140"/>
      <c r="F1" s="4"/>
      <c r="G1" s="4"/>
      <c r="H1" s="5"/>
      <c r="I1" s="5"/>
      <c r="J1" s="5"/>
      <c r="K1" s="5"/>
      <c r="L1" s="5"/>
      <c r="M1" s="5"/>
      <c r="N1" s="5"/>
      <c r="P1" s="141" t="s">
        <v>30</v>
      </c>
      <c r="Q1" s="141"/>
    </row>
    <row r="2" spans="1:17" ht="15.75" customHeight="1" x14ac:dyDescent="0.2">
      <c r="H2" s="5"/>
      <c r="I2" s="5"/>
      <c r="J2" s="5"/>
      <c r="K2" s="5"/>
      <c r="L2" s="5"/>
      <c r="M2" s="5"/>
      <c r="N2" s="5"/>
      <c r="P2" s="141"/>
      <c r="Q2" s="141"/>
    </row>
    <row r="4" spans="1:17" s="6" customFormat="1" ht="18" customHeight="1" thickBot="1" x14ac:dyDescent="0.25">
      <c r="A4" s="142" t="s">
        <v>31</v>
      </c>
      <c r="B4" s="142"/>
      <c r="C4" s="142"/>
      <c r="D4" s="142"/>
      <c r="E4" s="142"/>
      <c r="F4" s="142"/>
      <c r="G4" s="137" t="str">
        <f>' NotaPedido'!D3</f>
        <v>45- Ministerio de Desarrollo Social</v>
      </c>
      <c r="H4" s="137"/>
      <c r="I4" s="137"/>
      <c r="J4" s="137"/>
      <c r="K4" s="137"/>
      <c r="L4" s="137"/>
      <c r="M4" s="137"/>
      <c r="N4" s="137"/>
      <c r="O4" s="137"/>
      <c r="P4" s="137"/>
      <c r="Q4" s="137"/>
    </row>
    <row r="5" spans="1:17" s="6" customFormat="1" ht="18" customHeight="1" thickBot="1" x14ac:dyDescent="0.25">
      <c r="A5" s="134" t="s">
        <v>54</v>
      </c>
      <c r="B5" s="135"/>
      <c r="C5" s="135"/>
      <c r="D5" s="135"/>
      <c r="E5" s="135"/>
      <c r="F5" s="136"/>
      <c r="G5" s="137" t="str">
        <f>' NotaPedido'!D4</f>
        <v>25- Direccion Provincial de Gestion Administrativa y RRHH</v>
      </c>
      <c r="H5" s="137"/>
      <c r="I5" s="137"/>
      <c r="J5" s="137"/>
      <c r="K5" s="137"/>
      <c r="L5" s="137"/>
      <c r="M5" s="137"/>
      <c r="N5" s="137"/>
      <c r="O5" s="137"/>
      <c r="P5" s="137"/>
      <c r="Q5" s="137"/>
    </row>
    <row r="6" spans="1:17" s="6" customFormat="1" ht="18" customHeight="1" thickBot="1" x14ac:dyDescent="0.25">
      <c r="A6" s="134" t="s">
        <v>32</v>
      </c>
      <c r="B6" s="135"/>
      <c r="C6" s="135"/>
      <c r="D6" s="135"/>
      <c r="E6" s="135"/>
      <c r="F6" s="136"/>
      <c r="G6" s="137" t="s">
        <v>78</v>
      </c>
      <c r="H6" s="137"/>
      <c r="I6" s="137"/>
      <c r="J6" s="137"/>
      <c r="K6" s="137"/>
      <c r="L6" s="137"/>
      <c r="M6" s="137"/>
      <c r="N6" s="137"/>
      <c r="O6" s="137"/>
      <c r="P6" s="137"/>
      <c r="Q6" s="137"/>
    </row>
    <row r="7" spans="1:17" s="6" customFormat="1" ht="18" customHeight="1" thickBot="1" x14ac:dyDescent="0.25">
      <c r="A7" s="134" t="s">
        <v>55</v>
      </c>
      <c r="B7" s="135"/>
      <c r="C7" s="135"/>
      <c r="D7" s="135"/>
      <c r="E7" s="135"/>
      <c r="F7" s="136"/>
      <c r="G7" s="137" t="s">
        <v>67</v>
      </c>
      <c r="H7" s="137"/>
      <c r="I7" s="137"/>
      <c r="J7" s="137"/>
      <c r="K7" s="137"/>
      <c r="L7" s="137"/>
      <c r="M7" s="137"/>
      <c r="N7" s="137"/>
      <c r="O7" s="137"/>
      <c r="P7" s="137"/>
      <c r="Q7" s="137"/>
    </row>
    <row r="8" spans="1:17" ht="18" customHeight="1" thickBot="1" x14ac:dyDescent="0.25">
      <c r="A8" s="138" t="s">
        <v>33</v>
      </c>
      <c r="B8" s="138"/>
      <c r="C8" s="138"/>
      <c r="D8" s="138"/>
      <c r="E8" s="138"/>
      <c r="F8" s="138"/>
      <c r="G8" s="138"/>
      <c r="H8" s="138"/>
      <c r="I8" s="138"/>
      <c r="J8" s="138"/>
      <c r="K8" s="138"/>
      <c r="L8" s="138"/>
      <c r="M8" s="138"/>
      <c r="N8" s="138"/>
      <c r="O8" s="138"/>
      <c r="P8" s="138"/>
      <c r="Q8" s="138"/>
    </row>
    <row r="9" spans="1:17" ht="18" customHeight="1" x14ac:dyDescent="0.2">
      <c r="A9" s="128" t="s">
        <v>34</v>
      </c>
      <c r="B9" s="128"/>
      <c r="C9" s="128"/>
      <c r="D9" s="128"/>
      <c r="E9" s="128"/>
      <c r="F9" s="128"/>
      <c r="G9" s="128"/>
      <c r="H9" s="128"/>
      <c r="I9" s="128"/>
      <c r="J9" s="128"/>
      <c r="K9" s="128"/>
      <c r="L9" s="128"/>
      <c r="M9" s="128"/>
      <c r="N9" s="128"/>
      <c r="O9" s="1"/>
      <c r="P9" s="1"/>
      <c r="Q9" s="7"/>
    </row>
    <row r="10" spans="1:17" ht="54.75" customHeight="1" x14ac:dyDescent="0.2">
      <c r="A10" s="129"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027/2022,  afectando la erogación resultante a los créditos presupuestarios aprobados a favor de esta Unidad Ejecutora, conforme al siguiente detalle:</v>
      </c>
      <c r="B10" s="129"/>
      <c r="C10" s="129"/>
      <c r="D10" s="129"/>
      <c r="E10" s="129"/>
      <c r="F10" s="129"/>
      <c r="G10" s="129"/>
      <c r="H10" s="129"/>
      <c r="I10" s="129"/>
      <c r="J10" s="129"/>
      <c r="K10" s="129"/>
      <c r="L10" s="129"/>
      <c r="M10" s="129"/>
      <c r="N10" s="129"/>
      <c r="O10" s="129"/>
      <c r="P10" s="129"/>
      <c r="Q10" s="129"/>
    </row>
    <row r="11" spans="1:17" ht="9" customHeight="1" x14ac:dyDescent="0.2">
      <c r="A11" s="8"/>
      <c r="B11" s="9"/>
      <c r="C11" s="9"/>
      <c r="D11" s="9"/>
      <c r="E11" s="9"/>
      <c r="F11" s="9"/>
      <c r="G11" s="10"/>
      <c r="H11" s="9"/>
      <c r="I11" s="9"/>
      <c r="J11" s="9"/>
      <c r="K11" s="9"/>
      <c r="L11" s="9"/>
      <c r="M11" s="9"/>
      <c r="N11" s="9"/>
      <c r="O11" s="9"/>
      <c r="P11" s="9"/>
      <c r="Q11" s="11"/>
    </row>
    <row r="12" spans="1:17" ht="15.75" customHeight="1" x14ac:dyDescent="0.2">
      <c r="A12" s="130" t="s">
        <v>35</v>
      </c>
      <c r="B12" s="130"/>
      <c r="C12" s="130"/>
      <c r="D12" s="130"/>
      <c r="E12" s="130"/>
      <c r="F12" s="130"/>
      <c r="G12" s="130"/>
      <c r="H12" s="130"/>
      <c r="I12" s="130"/>
      <c r="J12" s="130"/>
      <c r="K12" s="130"/>
      <c r="L12" s="130"/>
      <c r="M12" s="130"/>
      <c r="N12" s="130"/>
      <c r="O12" s="130"/>
      <c r="P12" s="130"/>
      <c r="Q12" s="130"/>
    </row>
    <row r="13" spans="1:17" ht="15.75" customHeight="1" x14ac:dyDescent="0.2">
      <c r="A13" s="131" t="s">
        <v>36</v>
      </c>
      <c r="B13" s="131"/>
      <c r="C13" s="131"/>
      <c r="D13" s="131"/>
      <c r="E13" s="131"/>
      <c r="F13" s="131"/>
      <c r="G13" s="131"/>
      <c r="H13" s="131"/>
      <c r="I13" s="131"/>
      <c r="J13" s="131"/>
      <c r="K13" s="131"/>
      <c r="L13" s="131"/>
      <c r="M13" s="131"/>
      <c r="N13" s="131"/>
      <c r="O13" s="132" t="s">
        <v>37</v>
      </c>
      <c r="P13" s="132"/>
      <c r="Q13" s="133" t="s">
        <v>38</v>
      </c>
    </row>
    <row r="14" spans="1:17" ht="15.75" customHeight="1" x14ac:dyDescent="0.2">
      <c r="A14" s="12" t="s">
        <v>39</v>
      </c>
      <c r="B14" s="13" t="s">
        <v>40</v>
      </c>
      <c r="C14" s="13" t="s">
        <v>41</v>
      </c>
      <c r="D14" s="13" t="s">
        <v>42</v>
      </c>
      <c r="E14" s="13" t="s">
        <v>43</v>
      </c>
      <c r="F14" s="13" t="s">
        <v>44</v>
      </c>
      <c r="G14" s="14" t="s">
        <v>45</v>
      </c>
      <c r="H14" s="13" t="s">
        <v>46</v>
      </c>
      <c r="I14" s="13" t="s">
        <v>47</v>
      </c>
      <c r="J14" s="13" t="s">
        <v>48</v>
      </c>
      <c r="K14" s="13" t="s">
        <v>48</v>
      </c>
      <c r="L14" s="13" t="s">
        <v>49</v>
      </c>
      <c r="M14" s="15" t="s">
        <v>50</v>
      </c>
      <c r="N14" s="16" t="s">
        <v>51</v>
      </c>
      <c r="O14" s="132"/>
      <c r="P14" s="132"/>
      <c r="Q14" s="133"/>
    </row>
    <row r="15" spans="1:17" ht="17.25" customHeight="1" x14ac:dyDescent="0.2">
      <c r="A15" s="86">
        <v>16</v>
      </c>
      <c r="B15" s="86"/>
      <c r="C15" s="86"/>
      <c r="D15" s="86">
        <v>2</v>
      </c>
      <c r="E15" s="86"/>
      <c r="F15" s="86">
        <v>4901</v>
      </c>
      <c r="G15" s="91">
        <v>3</v>
      </c>
      <c r="H15" s="91">
        <v>2</v>
      </c>
      <c r="I15" s="86">
        <v>2</v>
      </c>
      <c r="J15" s="86">
        <v>5</v>
      </c>
      <c r="K15" s="86">
        <v>8</v>
      </c>
      <c r="L15" s="86"/>
      <c r="M15" s="86">
        <v>1</v>
      </c>
      <c r="N15" s="86">
        <v>1.1000000000000001</v>
      </c>
      <c r="O15" s="124" t="s">
        <v>69</v>
      </c>
      <c r="P15" s="125"/>
      <c r="Q15" s="33">
        <f>+'Necesidades Trimestrales'!I10</f>
        <v>8000000</v>
      </c>
    </row>
    <row r="16" spans="1:17" ht="17.25" customHeight="1" x14ac:dyDescent="0.2">
      <c r="A16" s="87">
        <v>16</v>
      </c>
      <c r="B16" s="88"/>
      <c r="C16" s="88"/>
      <c r="D16" s="88">
        <v>2</v>
      </c>
      <c r="E16" s="88"/>
      <c r="F16" s="88">
        <v>4901</v>
      </c>
      <c r="G16" s="92">
        <v>3</v>
      </c>
      <c r="H16" s="92">
        <v>2</v>
      </c>
      <c r="I16" s="89">
        <v>2</v>
      </c>
      <c r="J16" s="89">
        <v>7</v>
      </c>
      <c r="K16" s="89">
        <v>2</v>
      </c>
      <c r="L16" s="88"/>
      <c r="M16" s="90">
        <v>1</v>
      </c>
      <c r="N16" s="88">
        <v>1.1000000000000001</v>
      </c>
      <c r="O16" s="126" t="s">
        <v>61</v>
      </c>
      <c r="P16" s="127"/>
      <c r="Q16" s="21">
        <f>+'Necesidades Trimestrales'!I11</f>
        <v>1125000</v>
      </c>
    </row>
    <row r="17" spans="1:18" ht="17.25" customHeight="1" x14ac:dyDescent="0.2">
      <c r="A17" s="17"/>
      <c r="B17" s="18"/>
      <c r="C17" s="18"/>
      <c r="D17" s="18"/>
      <c r="E17" s="18"/>
      <c r="F17" s="20"/>
      <c r="G17" s="18"/>
      <c r="H17" s="18"/>
      <c r="I17" s="18"/>
      <c r="J17" s="18"/>
      <c r="K17" s="18"/>
      <c r="L17" s="18"/>
      <c r="M17" s="19"/>
      <c r="N17" s="20"/>
      <c r="O17" s="119"/>
      <c r="P17" s="119"/>
      <c r="Q17" s="21"/>
    </row>
    <row r="18" spans="1:18" ht="17.25" customHeight="1" x14ac:dyDescent="0.2">
      <c r="A18" s="17"/>
      <c r="B18" s="18"/>
      <c r="C18" s="18"/>
      <c r="D18" s="18"/>
      <c r="E18" s="18"/>
      <c r="F18" s="20"/>
      <c r="G18" s="18"/>
      <c r="H18" s="18"/>
      <c r="I18" s="18"/>
      <c r="J18" s="18"/>
      <c r="K18" s="18"/>
      <c r="L18" s="18"/>
      <c r="M18" s="19"/>
      <c r="N18" s="20"/>
      <c r="O18" s="119"/>
      <c r="P18" s="119"/>
      <c r="Q18" s="21"/>
    </row>
    <row r="19" spans="1:18" ht="17.25" customHeight="1" x14ac:dyDescent="0.2">
      <c r="A19" s="22"/>
      <c r="B19" s="23"/>
      <c r="C19" s="23"/>
      <c r="D19" s="23"/>
      <c r="E19" s="23"/>
      <c r="F19" s="24"/>
      <c r="G19" s="23"/>
      <c r="H19" s="23"/>
      <c r="I19" s="23"/>
      <c r="J19" s="23"/>
      <c r="K19" s="23"/>
      <c r="L19" s="23"/>
      <c r="M19" s="25"/>
      <c r="N19" s="26"/>
      <c r="O19" s="120"/>
      <c r="P19" s="120"/>
      <c r="Q19" s="21"/>
      <c r="R19" s="1"/>
    </row>
    <row r="20" spans="1:18" ht="17.25" customHeight="1" x14ac:dyDescent="0.2">
      <c r="A20" s="27"/>
      <c r="B20" s="28"/>
      <c r="C20" s="28"/>
      <c r="D20" s="28"/>
      <c r="E20" s="28"/>
      <c r="F20" s="28"/>
      <c r="G20" s="28"/>
      <c r="H20" s="28"/>
      <c r="I20" s="28"/>
      <c r="J20" s="28"/>
      <c r="K20" s="28"/>
      <c r="L20" s="28"/>
      <c r="M20" s="29"/>
      <c r="N20" s="28"/>
      <c r="O20" s="121"/>
      <c r="P20" s="121"/>
      <c r="Q20" s="30"/>
    </row>
    <row r="21" spans="1:18" ht="20.25" customHeight="1" x14ac:dyDescent="0.2">
      <c r="A21" s="122" t="s">
        <v>85</v>
      </c>
      <c r="B21" s="122"/>
      <c r="C21" s="122"/>
      <c r="D21" s="122"/>
      <c r="E21" s="122"/>
      <c r="F21" s="122"/>
      <c r="G21" s="122"/>
      <c r="H21" s="122"/>
      <c r="I21" s="122"/>
      <c r="J21" s="122"/>
      <c r="K21" s="122"/>
      <c r="L21" s="122"/>
      <c r="M21" s="122"/>
      <c r="N21" s="122"/>
      <c r="O21" s="122"/>
      <c r="P21" s="122"/>
      <c r="Q21" s="31">
        <f>SUM(Q15:Q20)</f>
        <v>9125000</v>
      </c>
    </row>
    <row r="22" spans="1:18" ht="18" customHeight="1" thickBot="1" x14ac:dyDescent="0.25">
      <c r="A22" s="123"/>
      <c r="B22" s="123"/>
      <c r="C22" s="123"/>
      <c r="D22" s="123"/>
      <c r="E22" s="123"/>
      <c r="F22" s="123"/>
      <c r="G22" s="123"/>
      <c r="H22" s="123"/>
      <c r="I22" s="123"/>
      <c r="J22" s="123"/>
      <c r="K22" s="123"/>
      <c r="L22" s="123"/>
      <c r="M22" s="123"/>
      <c r="N22" s="123"/>
      <c r="O22" s="123"/>
      <c r="P22" s="123"/>
      <c r="Q22" s="123"/>
    </row>
    <row r="23" spans="1:18" ht="17.25" customHeight="1" thickBot="1" x14ac:dyDescent="0.25">
      <c r="A23" s="114" t="s">
        <v>52</v>
      </c>
      <c r="B23" s="115"/>
      <c r="C23" s="115"/>
      <c r="D23" s="115"/>
      <c r="E23" s="115"/>
      <c r="F23" s="116"/>
      <c r="G23" s="117"/>
      <c r="H23" s="117"/>
      <c r="I23" s="117"/>
      <c r="J23" s="117"/>
      <c r="K23" s="117"/>
      <c r="L23" s="117"/>
      <c r="M23" s="117"/>
      <c r="N23" s="117"/>
      <c r="O23" s="117"/>
      <c r="P23" s="117"/>
      <c r="Q23" s="117"/>
    </row>
    <row r="24" spans="1:18" ht="18" customHeight="1" thickBot="1" x14ac:dyDescent="0.25">
      <c r="A24" s="118" t="s">
        <v>87</v>
      </c>
      <c r="B24" s="118"/>
      <c r="C24" s="118"/>
      <c r="D24" s="118"/>
      <c r="E24" s="118"/>
      <c r="F24" s="118"/>
      <c r="G24" s="118"/>
      <c r="H24" s="118"/>
      <c r="I24" s="118"/>
      <c r="J24" s="118"/>
      <c r="K24" s="118"/>
      <c r="L24" s="118"/>
      <c r="M24" s="118"/>
      <c r="N24" s="118"/>
      <c r="O24" s="118"/>
      <c r="P24" s="118"/>
      <c r="Q24" s="118"/>
    </row>
    <row r="25" spans="1:18" x14ac:dyDescent="0.2">
      <c r="A25" s="118"/>
      <c r="B25" s="118"/>
      <c r="C25" s="118"/>
      <c r="D25" s="118"/>
      <c r="E25" s="118"/>
      <c r="F25" s="118"/>
      <c r="G25" s="118"/>
      <c r="H25" s="118"/>
      <c r="I25" s="118"/>
      <c r="J25" s="118"/>
      <c r="K25" s="118"/>
      <c r="L25" s="118"/>
      <c r="M25" s="118"/>
      <c r="N25" s="118"/>
      <c r="O25" s="118"/>
      <c r="P25" s="118"/>
      <c r="Q25" s="118"/>
    </row>
  </sheetData>
  <mergeCells count="29">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3:F23"/>
    <mergeCell ref="G23:Q23"/>
    <mergeCell ref="A24:Q25"/>
    <mergeCell ref="O18:P18"/>
    <mergeCell ref="O19:P19"/>
    <mergeCell ref="O20:P20"/>
    <mergeCell ref="A21:P21"/>
    <mergeCell ref="A22:Q22"/>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2022-01-24T10:48:42Z</cp:lastPrinted>
  <dcterms:created xsi:type="dcterms:W3CDTF">2020-07-17T23:44:49Z</dcterms:created>
  <dcterms:modified xsi:type="dcterms:W3CDTF">2022-02-04T12:32:22Z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