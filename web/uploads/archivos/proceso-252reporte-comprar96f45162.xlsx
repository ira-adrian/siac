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RIAN\Downloads\"/>
    </mc:Choice>
  </mc:AlternateContent>
  <xr:revisionPtr revIDLastSave="0" documentId="13_ncr:1_{E3392A78-514E-49A2-A597-A37FC49928B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uadro comparativo" sheetId="2" r:id="rId1"/>
  </sheets>
  <definedNames>
    <definedName name="Datos">'Cuadro comparativo'!$E$1:$E$5</definedName>
    <definedName name="DatosTitulos">'Cuadro comparativo'!$D$1:$D$5</definedName>
    <definedName name="PROVEEDOR">'Cuadro comparativo'!$G$8:$J$8,'Cuadro comparativo'!$K$8:$N$8</definedName>
    <definedName name="Titles">'Cuadro comparativo'!$A$8:$F$8</definedName>
  </definedNames>
  <calcPr calcId="181029"/>
</workbook>
</file>

<file path=xl/calcChain.xml><?xml version="1.0" encoding="utf-8"?>
<calcChain xmlns="http://schemas.openxmlformats.org/spreadsheetml/2006/main">
  <c r="I59" i="2" l="1"/>
  <c r="M59" i="2"/>
</calcChain>
</file>

<file path=xl/sharedStrings.xml><?xml version="1.0" encoding="utf-8"?>
<sst xmlns="http://schemas.openxmlformats.org/spreadsheetml/2006/main" count="316" uniqueCount="203">
  <si>
    <t>Número expediente:</t>
  </si>
  <si>
    <t>EX-2022-02084255-   -CAT-DPCBS#MEC</t>
  </si>
  <si>
    <t>Número proceso de compra:</t>
  </si>
  <si>
    <t>100-0197-CDI22</t>
  </si>
  <si>
    <t>Nombre descriptivo proceso de compra:</t>
  </si>
  <si>
    <t>ADQUISICIÓN DE TINTAS Y TONERS - CONSOLIDADO - MGJDH, MP y HSJB</t>
  </si>
  <si>
    <t>Unidad Operativa de Compras:</t>
  </si>
  <si>
    <t>Secretaria de Compras y Abastecimiento</t>
  </si>
  <si>
    <t>Fecha de Apertura:</t>
  </si>
  <si>
    <t>04/11/2022</t>
  </si>
  <si>
    <t>Renglón</t>
  </si>
  <si>
    <t>MIGUEL ANGEL MURO</t>
  </si>
  <si>
    <t>GAMIN S.R.L.</t>
  </si>
  <si>
    <t>Alternativa</t>
  </si>
  <si>
    <t>Código</t>
  </si>
  <si>
    <t>Descripción</t>
  </si>
  <si>
    <t>Cantidad solicitada</t>
  </si>
  <si>
    <t>Unidad de medida</t>
  </si>
  <si>
    <t>Precio unitario</t>
  </si>
  <si>
    <t>Cantidad ofertada</t>
  </si>
  <si>
    <t>Total por renglón</t>
  </si>
  <si>
    <t>Especificacion técnica</t>
  </si>
  <si>
    <t xml:space="preserve">1 </t>
  </si>
  <si>
    <t xml:space="preserve">2.9.6-401.1282 </t>
  </si>
  <si>
    <t xml:space="preserve">CARTUCHOS DE TONER; CODIGO: CE505A, USO: HEWLETT PACKARD </t>
  </si>
  <si>
    <t xml:space="preserve">UNIDAD </t>
  </si>
  <si>
    <t xml:space="preserve">CARTUCHOS DE TONER; CODIGO: CE505A, USO: HEWLETT PACKARD, TONER ALTERNATIVO, 
COLOR: NEGRO, MARCA: GNEISS </t>
  </si>
  <si>
    <t xml:space="preserve">CARTUCHO DE TONER ALTERNATIVO CE505A, COLOR: NEGRO, MARCA: GLOBAL </t>
  </si>
  <si>
    <t xml:space="preserve">2 </t>
  </si>
  <si>
    <t xml:space="preserve">2.9.6-401.1486 </t>
  </si>
  <si>
    <t xml:space="preserve">CARTUCHOS DE TONER; CODIGO: HP 53A, USO: HP </t>
  </si>
  <si>
    <t xml:space="preserve">CARTUCHOS DE TONER; CODIGO: HP 53A, USO: HP, TONER ALTERNATIVO, 
COLOR: NEGRO, MARCA: GNEISS </t>
  </si>
  <si>
    <t xml:space="preserve">"CARTUCHOS DE TONER; CODIGO: HP 53A, USO: HP- ""TONER ALTERNATIVO 
NEGRO 53A, PARA  IMPRESORA LASER HP LASERJET P2015d.""" MARCA: 
GLOBAL </t>
  </si>
  <si>
    <t xml:space="preserve">3 </t>
  </si>
  <si>
    <t xml:space="preserve">2.9.6-401.2377 </t>
  </si>
  <si>
    <t xml:space="preserve">CARTUCHOS DE TONER; CODIGO: CF279A, USO: HEWLETT PACKARD </t>
  </si>
  <si>
    <t xml:space="preserve">CARTUCHOS DE TONER; CODIGO: CF279A, USO: HEWLETT PACKARD, TONER ALTERNATIVO, 
COLOR: NEGRO. MARCA: GNEISS </t>
  </si>
  <si>
    <t xml:space="preserve">4 </t>
  </si>
  <si>
    <t xml:space="preserve">2.9.6-401.1563 </t>
  </si>
  <si>
    <t xml:space="preserve">CARTUCHOS DE TONER; CODIGO: HP 85A, USO: HP </t>
  </si>
  <si>
    <t xml:space="preserve">CARTUCHOS DE TONER; CODIGO: HP 85A, USO: HP, TONER ALTERNATIVO, 
COLOR: NEGRO, MARCA: GNEISS </t>
  </si>
  <si>
    <t xml:space="preserve">5 </t>
  </si>
  <si>
    <t xml:space="preserve">2.9.6-401.2228 </t>
  </si>
  <si>
    <t xml:space="preserve">CARTUCHOS DE TONER; CODIGO: CF217A, USO: HP LASERJET MFP </t>
  </si>
  <si>
    <t xml:space="preserve">CARTUCHOS DE TONER; CODIGO: CF217A, USO: HP LASERJET MFP, TONER 
ALTERNATIVO, COLOR: NEGRO, MARCA: GNEISS </t>
  </si>
  <si>
    <t xml:space="preserve">6 </t>
  </si>
  <si>
    <t xml:space="preserve">2.9.6-401.2378 </t>
  </si>
  <si>
    <t xml:space="preserve">CARTUCHOS DE TONER; CODIGO: W1105A, USO: HEWLETT PACKARD </t>
  </si>
  <si>
    <t xml:space="preserve">CARTUCHOS DE TONER; CODIGO: W1105A, USO: HEWLETT PACKARD, TONER ALTERNATIVO, 
COLOR: NEGRO, MARCA: GNEISS </t>
  </si>
  <si>
    <t xml:space="preserve">"CARTUCHOS DE TONER; CODIGO: W1105A, USO: HEWLETT PACKARD- ""TONER ALTERNATIVO 
NEGRO 105A, PARA  IMPRESORA LASER HP LASER 107W."""MARCA: GLOBAL 
</t>
  </si>
  <si>
    <t xml:space="preserve">7 </t>
  </si>
  <si>
    <t xml:space="preserve">2.9.6-401.1442 </t>
  </si>
  <si>
    <t xml:space="preserve">CARTUCHOS DE TONER; CODIGO: 42A, USO: HEWLETT PACKARD </t>
  </si>
  <si>
    <t xml:space="preserve">CARTUCHOS DE TONER; CODIGO: 42A, USO: HEWLETT PACKARD, TONER ALTERNATIVO, 
COLOR: NEGRO, MARCA: GNEISS </t>
  </si>
  <si>
    <t xml:space="preserve">8 </t>
  </si>
  <si>
    <t xml:space="preserve">2.9.6-401.2067 </t>
  </si>
  <si>
    <t xml:space="preserve">CARTUCHOS DE TONER; CODIGO: 106R02773, USO: XEROX </t>
  </si>
  <si>
    <t xml:space="preserve">9 </t>
  </si>
  <si>
    <t xml:space="preserve">2.9.6-1355.1988 </t>
  </si>
  <si>
    <t xml:space="preserve">CARTUCHOS DE TINTA; CODIGO: 664, USO: HEWLET PACKARD </t>
  </si>
  <si>
    <t xml:space="preserve">CARTUCHOS DE TINTA; CODIGO: 664, USO: HEWLET PACKARD, CARTUCHO ALTERNATIVO, 
COLOR: COLOR, MARCA: GNEISS </t>
  </si>
  <si>
    <t xml:space="preserve">CARTUCHOS DE TINTA; CODIGO: 664, USO: HEWLET PACKARD- TINTA COLOR 
- ALTERNATIVO, MARCA: GLOBAL </t>
  </si>
  <si>
    <t xml:space="preserve">10 </t>
  </si>
  <si>
    <t xml:space="preserve">CARTUCHOS DE TINTA; CODIGO: 664, USO: HEWLET PACKARD, CARTUCHO ALTERNATIVO 
, COLOR: NEGRO, MARCA: GNEISS </t>
  </si>
  <si>
    <t xml:space="preserve">CARTUCHOS DE TINTA; CODIGO: 664, USO: HEWLET PACKARD- TINTA NEGRO 
- ALTERNATIVO, MARCA: GLOBAL </t>
  </si>
  <si>
    <t xml:space="preserve">11 </t>
  </si>
  <si>
    <t xml:space="preserve">2.9.6-401.1289 </t>
  </si>
  <si>
    <t xml:space="preserve">CARTUCHOS DE TONER; CODIGO: T 1640, USO: TOSHIBA ESTUDIO 166 
</t>
  </si>
  <si>
    <t xml:space="preserve">12 </t>
  </si>
  <si>
    <t xml:space="preserve">2.9.6-401.2045 </t>
  </si>
  <si>
    <t xml:space="preserve">CARTUCHOS DE TONER; CODIGO: TN 1060, USO: BROTHER </t>
  </si>
  <si>
    <t xml:space="preserve">CARTUCHOS DE TONER; CODIGO: TN 1060, USO: BROTHER, TONER ALTERNATIVO, 
COLOR: NEGRO , MARCA: GNEISS </t>
  </si>
  <si>
    <t xml:space="preserve">CARTUCHOS DE TONER; CODIGO: TN 1060, USO: BROTHER- TONER NEGRO 
- ALTERNATIVO, MARCA: GLOBAL  </t>
  </si>
  <si>
    <t xml:space="preserve">13 </t>
  </si>
  <si>
    <t xml:space="preserve">2.9.6-401.1765 </t>
  </si>
  <si>
    <t xml:space="preserve">CARTUCHOS DE TONER; CODIGO: 106R01531, USO: XEROX </t>
  </si>
  <si>
    <t xml:space="preserve">14 </t>
  </si>
  <si>
    <t xml:space="preserve">2.9.6-1355.1938 </t>
  </si>
  <si>
    <t xml:space="preserve">CARTUCHOS DE TINTA; CODIGO: T664120, USO: EPSON </t>
  </si>
  <si>
    <t xml:space="preserve">CARTUCHOS DE TINTA; CODIGO: T664120, USO: EPSON, TINTA ORIGINAL, 70ML, 
COLOR: NEGRO, MARCA: EPSON </t>
  </si>
  <si>
    <t xml:space="preserve">15 </t>
  </si>
  <si>
    <t xml:space="preserve">2.9.6-1355.1939 </t>
  </si>
  <si>
    <t xml:space="preserve">CARTUCHOS DE TINTA; CODIGO: T664220, USO: EPSON </t>
  </si>
  <si>
    <t xml:space="preserve">CARTUCHOS DE TINTA; CODIGO: T664220, USO: EPSON, TINTA ORIGINAL, 70ML, 
COLOR: NEGRO, MARCA: EPSON </t>
  </si>
  <si>
    <t xml:space="preserve">16 </t>
  </si>
  <si>
    <t xml:space="preserve">2.9.6-1355.1940 </t>
  </si>
  <si>
    <t xml:space="preserve">CARTUCHOS DE TINTA; CODIGO: T664320, USO: EPSON </t>
  </si>
  <si>
    <t xml:space="preserve">CARTUCHOS DE TINTA; CODIGO: T664320, USO: EPSON, TINTA ORIGINAL, COLOR: 
NEGRO, 70ML, MARCA: EPSON </t>
  </si>
  <si>
    <t xml:space="preserve">17 </t>
  </si>
  <si>
    <t xml:space="preserve">2.9.6-1355.1941 </t>
  </si>
  <si>
    <t xml:space="preserve">CARTUCHOS DE TINTA; CODIGO: T664420, USO: EPSON </t>
  </si>
  <si>
    <t xml:space="preserve">CARTUCHOS DE TINTA; CODIGO: T664420, USO: EPSON, TINTA ORIGINAL, COLOR: 
NEGRO, 70ML, MARCA: EPSON </t>
  </si>
  <si>
    <t xml:space="preserve">18 </t>
  </si>
  <si>
    <t xml:space="preserve">2.9.6-401.1362 </t>
  </si>
  <si>
    <t xml:space="preserve">CARTUCHOS DE TONER; CODIGO: CE285A, USO: HEWLETT PACKARD </t>
  </si>
  <si>
    <t xml:space="preserve">CARTUCHOS DE TONER; CODIGO: CE285A, USO: HEWLETT PACKARD, TONER ALTERNATIVO, 
COLOR: NEGRO, MARCA: GNEISS </t>
  </si>
  <si>
    <t xml:space="preserve">CARTUCHOS DE TONER; CODIGO: CE285A, USO: HEWLETT PACKARD-Tipo HP-NEGRO -Alternativo, 
MARCA: GLOBAL </t>
  </si>
  <si>
    <t xml:space="preserve">19 </t>
  </si>
  <si>
    <t xml:space="preserve">2.9.6-1355.2065 </t>
  </si>
  <si>
    <t xml:space="preserve">CARTUCHOS DE TINTA; CODIGO: 667XL - NEGRO, USO: HP </t>
  </si>
  <si>
    <t xml:space="preserve">CARTUCHOS DE TINTA; CODIGO: 667XL - NEGRO, USO: HP, CARTUCHO 
ORIGINAL, COLOR: NEGRO, MARCA: HP </t>
  </si>
  <si>
    <t xml:space="preserve">20 </t>
  </si>
  <si>
    <t xml:space="preserve">2.9.6-1355.2066 </t>
  </si>
  <si>
    <t xml:space="preserve">CARTUCHOS DE TINTA; CODIGO: 667XL - TRICOLOR, USO: HP </t>
  </si>
  <si>
    <t xml:space="preserve">CARTUCHOS DE TINTA; CODIGO: 667XL - TRICOLOR, USO: HP, CARTUCHO 
ORIGINAL, COLOR: TRICOLOR, MARCA: HP </t>
  </si>
  <si>
    <t xml:space="preserve">21 </t>
  </si>
  <si>
    <t xml:space="preserve">2.9.6-1355.1368 </t>
  </si>
  <si>
    <t xml:space="preserve">CARTUCHOS DE TINTA; CODIGO: 840C 6615, USO: HEWLETT PACKARD </t>
  </si>
  <si>
    <t xml:space="preserve">CARTUCHOS DE TINTA; CODIGO: 840C 6615, USO: HEWLETT PACKARD, CARTUCHO 
ALTERNATIVO, COLOR: NEGRO, MARCA: GNEISS </t>
  </si>
  <si>
    <t xml:space="preserve">22 </t>
  </si>
  <si>
    <t xml:space="preserve">2.9.6-1355.1369 </t>
  </si>
  <si>
    <t xml:space="preserve">CARTUCHOS DE TINTA; CODIGO: 840C 6625, USO: DESK JET  
</t>
  </si>
  <si>
    <t xml:space="preserve">CARTUCHOS DE TINTA; CODIGO: 840C 6625, USO: DESK JET, CARTUCHO 
ALTERNATIVO, COLOR: COLOR, MARCA: GNEISS </t>
  </si>
  <si>
    <t xml:space="preserve">23 </t>
  </si>
  <si>
    <t xml:space="preserve">2.9.6-1355.1409 </t>
  </si>
  <si>
    <t xml:space="preserve">CARTUCHOS DE TINTA; CODIGO: HP 21, USO: HEWLETT PACKARD </t>
  </si>
  <si>
    <t xml:space="preserve">CARTUCHOS DE TINTA; CODIGO: HP 21, USO: HEWLETT PACKARD, CARTUCHO 
ALTERNATIVO, COLOR: NEGRO, MARCA: GNEISS </t>
  </si>
  <si>
    <t xml:space="preserve">24 </t>
  </si>
  <si>
    <t xml:space="preserve">2.9.6-1355.1140 </t>
  </si>
  <si>
    <t xml:space="preserve">CARTUCHOS DE TINTA; CODIGO: C9352AL, DESCRIPCION: SIN VALOR, COLOR: SIN 
VALOR, USO: HEWLETT PACKARD </t>
  </si>
  <si>
    <t xml:space="preserve">CARTUCHOS DE TINTA; CODIGO: C9352AL, DESCRIPCION: SIN VALOR, COLOR: SIN 
VALOR, USO: HEWLETT PACKARD, CARTUCHO ALTERNATIVO, COLOR: COLOR, MARCA: GNEISS 
</t>
  </si>
  <si>
    <t xml:space="preserve">25 </t>
  </si>
  <si>
    <t xml:space="preserve">2.9.6-401.2193 </t>
  </si>
  <si>
    <t xml:space="preserve">CARTUCHOS DE TONER; CODIGO: SP 310 DNW, USO: LASER RICOH 
</t>
  </si>
  <si>
    <t xml:space="preserve">26 </t>
  </si>
  <si>
    <t xml:space="preserve">2.9.6-401.932 </t>
  </si>
  <si>
    <t xml:space="preserve">CARTUCHOS DE TONER; CODIGO: Q7551A, COLOR: NEGRO, DESCRIPCION: CARTUCHO TONER, 
USO: HEWLETT PACKARD </t>
  </si>
  <si>
    <t xml:space="preserve">CARTUCHOS DE TONER; CODIGO: Q7551A, COLOR: NEGRO, DESCRIPCION: CARTUCHO TONER, 
USO: HEWLETT PACKARD, TONER ORIGINAL, COLOR: NEGRO, MARCA: HP </t>
  </si>
  <si>
    <t xml:space="preserve">27 </t>
  </si>
  <si>
    <t xml:space="preserve">2.9.6-401.2024 </t>
  </si>
  <si>
    <t xml:space="preserve">CARTUCHOS DE TONER; CODIGO: MLT-D111S, USO: SAMSUNG </t>
  </si>
  <si>
    <t xml:space="preserve">CARTUCHOS DE TONER; CODIGO: MLT-D111S, USO: SAMSUNG, TONER ORIGINAL, COLOR: 
NEGRO, MARCA: SAMSUNG </t>
  </si>
  <si>
    <t xml:space="preserve">28 </t>
  </si>
  <si>
    <t xml:space="preserve">2.9.6-401.2093 </t>
  </si>
  <si>
    <t xml:space="preserve">CARTUCHOS DE TONER; CODIGO: SP5210DN, USO: LANIER RICOH </t>
  </si>
  <si>
    <t xml:space="preserve">29 </t>
  </si>
  <si>
    <t xml:space="preserve">2.9.6-1355.1631 </t>
  </si>
  <si>
    <t xml:space="preserve">CARTUCHOS DE TINTA; CODIGO: CH561HL, USO: HEWLETT PACKARD </t>
  </si>
  <si>
    <t xml:space="preserve">CARTUCHOS DE TINTA; CODIGO: CH561HL, USO: HEWLETT PACKARD, CARTUCHO ALTERNATIVO, 
COLOR: NEGRO, MARCA: GNEISS </t>
  </si>
  <si>
    <t xml:space="preserve">CARTUCHOS DE TINTA; CODIGO: CH561HL, USO: HEWLETT PACKARD-TINTA NEGRA - 
ALTERNATIVO, MARCA: GLOBAL </t>
  </si>
  <si>
    <t xml:space="preserve">30 </t>
  </si>
  <si>
    <t xml:space="preserve">2.9.6-1355.1630 </t>
  </si>
  <si>
    <t xml:space="preserve">CARTUCHOS DE TINTA; CODIGO: CH562HL, USO: HEWLETT PACKARD </t>
  </si>
  <si>
    <t xml:space="preserve">CARTUCHOS DE TINTA; CODIGO: CH562HL, USO: HEWLETT PACKARD, CARTUCHO ALTERNATIVO, 
COLOR: COLOR, MARCA: GNEISS </t>
  </si>
  <si>
    <t xml:space="preserve">CARTUCHOS DE TINTA; CODIGO: CH562HL, USO: HEWLETT PACKARD-TINTA COLOR - 
ALTERNATIVO, MARCA: GLOBAL </t>
  </si>
  <si>
    <t xml:space="preserve">31 </t>
  </si>
  <si>
    <t xml:space="preserve">2.9.6-401.1172 </t>
  </si>
  <si>
    <t xml:space="preserve">CARTUCHOS DE TONER; CODIGO: CC364A, USO: HEWLETT PACKARD </t>
  </si>
  <si>
    <t xml:space="preserve">32 </t>
  </si>
  <si>
    <t xml:space="preserve">2.9.6-1355.1808 </t>
  </si>
  <si>
    <t xml:space="preserve">CARTUCHOS DE TINTA; CODIGO: HP662, USO: HP </t>
  </si>
  <si>
    <t xml:space="preserve">CARTUCHOS DE TINTA; CODIGO: HP662, USO: HP, CARTUCHO ALTERNATIVO, COLOR: 
NEGRO, MARCA: GNEISS </t>
  </si>
  <si>
    <t xml:space="preserve">33 </t>
  </si>
  <si>
    <t xml:space="preserve">CARTUCHOS DE TINTA; CODIGO: HP662, USO: HP, CARTUCHO ALTERNATIVO, COLOR: 
COLOR, MARCA: GNEISS </t>
  </si>
  <si>
    <t xml:space="preserve">34 </t>
  </si>
  <si>
    <t xml:space="preserve">2.9.6-401.2128 </t>
  </si>
  <si>
    <t xml:space="preserve">CARTUCHOS DE TONER; CODIGO: CF226A, USO: HEWLETT PACKARD </t>
  </si>
  <si>
    <t xml:space="preserve">35 </t>
  </si>
  <si>
    <t xml:space="preserve">CARTUCHOS DE TONER; CODIGO: W1105A, USO: HEWLETT PACKARD, TONER ALTERNTIVO, 
COLOR: NEGRO, MARCA: GNEISS </t>
  </si>
  <si>
    <t xml:space="preserve">36 </t>
  </si>
  <si>
    <t xml:space="preserve">2.9.6-401.1136 </t>
  </si>
  <si>
    <t xml:space="preserve">CARTUCHOS DE TONER; CODIGO: T1200, USO: TOSHIBA </t>
  </si>
  <si>
    <t xml:space="preserve">37 </t>
  </si>
  <si>
    <t xml:space="preserve">38 </t>
  </si>
  <si>
    <t xml:space="preserve">2.9.6-401.2379 </t>
  </si>
  <si>
    <t xml:space="preserve">CARTUCHOS DE TONER; CODIGO: T-4530A, USO: TOSHIBA </t>
  </si>
  <si>
    <t xml:space="preserve">39 </t>
  </si>
  <si>
    <t xml:space="preserve">2.9.6-401.2328 </t>
  </si>
  <si>
    <t xml:space="preserve">CARTUCHOS DE TONER; CODIGO: 74710U, USO: TOSHIBA </t>
  </si>
  <si>
    <t xml:space="preserve">40 </t>
  </si>
  <si>
    <t xml:space="preserve">2.9.6-401.2161 </t>
  </si>
  <si>
    <t xml:space="preserve">CARTUCHOS DE TONER; CODIGO: 841768, USO: RICOH </t>
  </si>
  <si>
    <t xml:space="preserve">41 </t>
  </si>
  <si>
    <t xml:space="preserve">2.9.6-401.2285 </t>
  </si>
  <si>
    <t xml:space="preserve">CARTUCHOS DE TONER; CODIGO: MP 301, USO: RICOH </t>
  </si>
  <si>
    <t xml:space="preserve">42 </t>
  </si>
  <si>
    <t xml:space="preserve">2.9.6-401.2380 </t>
  </si>
  <si>
    <t xml:space="preserve">CARTUCHOS DE TONER; CODIGO: 408284, USO: RICOH </t>
  </si>
  <si>
    <t xml:space="preserve">43 </t>
  </si>
  <si>
    <t xml:space="preserve">2.9.6-1355.1114 </t>
  </si>
  <si>
    <t xml:space="preserve">CARTUCHOS DE TINTA; CODIGO: HP74, DESCRIPCION: CARTUCHO DE TINTA, COLOR: 
NEGRO, USO: HEWLETT PACKARD </t>
  </si>
  <si>
    <t xml:space="preserve">CARTUCHOS DE TINTA; CODIGO: HP74, DESCRIPCION: CARTUCHO DE TINTA, COLOR: 
NEGRO, USO: HEWLETT PACKARD, CARTUCHO ALTERNATIVO, COLOR: NEGRO, MARCA: GNEISS 
</t>
  </si>
  <si>
    <t xml:space="preserve">CARTUCHOS DE TINTA; CODIGO: HP74, DESCRIPCION: CARTUCHO DE TINTA, COLOR: 
NEGRO, USO: HEWLETT PACKARD-TINTA NEGRA - ALTERNATIVO, MARCA: GLOBAL </t>
  </si>
  <si>
    <t xml:space="preserve">44 </t>
  </si>
  <si>
    <t xml:space="preserve">2.9.6-1355.1113 </t>
  </si>
  <si>
    <t xml:space="preserve">CARTUCHOS DE TINTA; CODIGO: HP75, DESCRIPCION: CARTUCHO DE TINTA, COLOR: 
TRICOLOR, USO: HEWLETT PACKARD </t>
  </si>
  <si>
    <t xml:space="preserve">CARTUCHOS DE TINTA; CODIGO: HP75, DESCRIPCION: CARTUCHO DE TINTA, COLOR: 
TRICOLOR, USO: HEWLETT PACKARD, CARTUCHO ALTERNATIVO, COLOR: COLOR, MARCA: GNEISS 
</t>
  </si>
  <si>
    <t xml:space="preserve">CARTUCHOS DE TINTA; CODIGO: HP75, DESCRIPCION: CARTUCHO DE TINTA, COLOR: 
COLOR, USO: HEWLETT PACKARD-TINTA NEGRA - ALTERNATIVO, MARCA: GLOBAL </t>
  </si>
  <si>
    <t xml:space="preserve">45 </t>
  </si>
  <si>
    <t xml:space="preserve">2.9.6-401.2386 </t>
  </si>
  <si>
    <t xml:space="preserve">CARTUCHOS DE TONER; CODIGO: 56F4X00, USO: LEXMARK </t>
  </si>
  <si>
    <t xml:space="preserve">46 </t>
  </si>
  <si>
    <t xml:space="preserve">47 </t>
  </si>
  <si>
    <t xml:space="preserve">2.9.6-401.1859 </t>
  </si>
  <si>
    <t xml:space="preserve">CARTUCHOS DE TONER; CODIGO: MLT-D101S, USO: SAMSUNG 2165 </t>
  </si>
  <si>
    <t xml:space="preserve">CARTUCHOS DE TONER; CODIGO: MLT-D101S, USO: SAMSUNG 2165, TONER ALTERNATIVO, 
COLOR: NEGRO, MARCA: GNEISS </t>
  </si>
  <si>
    <t xml:space="preserve">48 </t>
  </si>
  <si>
    <t xml:space="preserve">2.9.6-401.2383 </t>
  </si>
  <si>
    <t xml:space="preserve">CARTUCHOS DE TONER; CODIGO: EDP CODE 817222, USO: DUPLICADORA RICOH 
</t>
  </si>
  <si>
    <t xml:space="preserve">49 </t>
  </si>
  <si>
    <t xml:space="preserve">2.9.6-3365.85 </t>
  </si>
  <si>
    <t xml:space="preserve">REP. Y ACC. P/IMPRENTA; REPUESTO: MASTER, USO: RICOH </t>
  </si>
  <si>
    <t xml:space="preserve">Total: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</si>
</sst>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#,##0.00"/>
    <numFmt numFmtId="165" formatCode="\$\ #,##0.0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2ADD0"/>
        <bgColor rgb="FFA2ADD0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 applyNumberFormat="1" applyFill="1" applyAlignment="1" applyProtection="1"/>
    <xf numFmtId="0" fontId="1" fillId="2" borderId="0" xfId="0" applyNumberFormat="1" applyFont="1" applyFill="1" applyAlignment="1" applyProtection="1">
      <alignment horizontal="center"/>
    </xf>
    <xf numFmtId="0" fontId="1" fillId="2" borderId="0" xfId="0" applyNumberFormat="1" applyFont="1" applyFill="1" applyAlignment="1" applyProtection="1">
      <alignment horizontal="left"/>
    </xf>
    <xf numFmtId="164" fontId="0" fillId="0" borderId="0" xfId="0" applyNumberFormat="1" applyFill="1" applyAlignment="1" applyProtection="1"/>
    <xf numFmtId="165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9:F59" totalsRowCount="1">
  <tableColumns count="6">
    <tableColumn id="1" xr3:uid="{00000000-0010-0000-0000-000001000000}" name="Renglón"/>
    <tableColumn id="2" xr3:uid="{00000000-0010-0000-0000-000002000000}" name="Alternativa"/>
    <tableColumn id="3" xr3:uid="{00000000-0010-0000-0000-000003000000}" name="Código" totalsRowLabel="Total: "/>
    <tableColumn id="4" xr3:uid="{00000000-0010-0000-0000-000004000000}" name="Descripción"/>
    <tableColumn id="5" xr3:uid="{00000000-0010-0000-0000-000005000000}" name="Cantidad solicitada"/>
    <tableColumn id="6" xr3:uid="{00000000-0010-0000-0000-000006000000}" name="Unidad de medida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G9:J59" totalsRowCount="1">
  <tableColumns count="4">
    <tableColumn id="1" xr3:uid="{00000000-0010-0000-0100-000001000000}" name="Precio unitario"/>
    <tableColumn id="2" xr3:uid="{00000000-0010-0000-0100-000002000000}" name="Cantidad ofertada"/>
    <tableColumn id="3" xr3:uid="{00000000-0010-0000-0100-000003000000}" name="Total por renglón" totalsRowFunction="sum"/>
    <tableColumn id="4" xr3:uid="{00000000-0010-0000-0100-000004000000}" name="Especificacion técnica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K9:N59" totalsRowCount="1">
  <tableColumns count="4">
    <tableColumn id="1" xr3:uid="{00000000-0010-0000-0200-000001000000}" name="Precio unitario"/>
    <tableColumn id="2" xr3:uid="{00000000-0010-0000-0200-000002000000}" name="Cantidad ofertada"/>
    <tableColumn id="3" xr3:uid="{00000000-0010-0000-0200-000003000000}" name="Total por renglón" totalsRowFunction="sum"/>
    <tableColumn id="4" xr3:uid="{00000000-0010-0000-0200-000004000000}" name="Especificacion técnic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9"/>
  <sheetViews>
    <sheetView tabSelected="1" workbookViewId="0">
      <pane xSplit="3" ySplit="9" topLeftCell="D10" activePane="bottomRight" state="frozenSplit"/>
      <selection pane="topRight"/>
      <selection pane="bottomLeft"/>
      <selection pane="bottomRight" activeCell="D11" sqref="D11"/>
    </sheetView>
  </sheetViews>
  <sheetFormatPr baseColWidth="10" defaultColWidth="9.140625" defaultRowHeight="15" x14ac:dyDescent="0.25"/>
  <cols>
    <col min="1" max="1" width="8.85546875" customWidth="1"/>
    <col min="2" max="2" width="11.28515625" customWidth="1"/>
    <col min="3" max="3" width="15.7109375" customWidth="1"/>
    <col min="4" max="4" width="81.85546875" customWidth="1"/>
    <col min="5" max="5" width="65.28515625" customWidth="1"/>
    <col min="6" max="6" width="17.42578125" customWidth="1"/>
    <col min="7" max="7" width="14.28515625" customWidth="1"/>
    <col min="8" max="8" width="17.28515625" customWidth="1"/>
    <col min="9" max="9" width="16.5703125" customWidth="1"/>
    <col min="10" max="10" width="83.85546875" customWidth="1"/>
    <col min="11" max="11" width="14.28515625" customWidth="1"/>
    <col min="12" max="12" width="17.28515625" customWidth="1"/>
    <col min="13" max="13" width="16.5703125" customWidth="1"/>
    <col min="14" max="14" width="85" customWidth="1"/>
  </cols>
  <sheetData>
    <row r="1" spans="1:14" x14ac:dyDescent="0.25">
      <c r="D1" s="2" t="s">
        <v>0</v>
      </c>
      <c r="E1" s="2" t="s">
        <v>1</v>
      </c>
    </row>
    <row r="2" spans="1:14" x14ac:dyDescent="0.25">
      <c r="D2" s="2" t="s">
        <v>2</v>
      </c>
      <c r="E2" s="2" t="s">
        <v>3</v>
      </c>
    </row>
    <row r="3" spans="1:14" x14ac:dyDescent="0.25">
      <c r="D3" s="2" t="s">
        <v>4</v>
      </c>
      <c r="E3" s="2" t="s">
        <v>5</v>
      </c>
    </row>
    <row r="4" spans="1:14" x14ac:dyDescent="0.25">
      <c r="D4" s="2" t="s">
        <v>6</v>
      </c>
      <c r="E4" s="2" t="s">
        <v>7</v>
      </c>
    </row>
    <row r="5" spans="1:14" x14ac:dyDescent="0.25">
      <c r="D5" s="2" t="s">
        <v>8</v>
      </c>
      <c r="E5" s="2" t="s">
        <v>9</v>
      </c>
    </row>
    <row r="8" spans="1:14" x14ac:dyDescent="0.25">
      <c r="A8" s="1" t="s">
        <v>10</v>
      </c>
      <c r="B8" s="1"/>
      <c r="C8" s="1"/>
      <c r="D8" s="1"/>
      <c r="E8" s="1"/>
      <c r="F8" s="1"/>
      <c r="G8" s="1" t="s">
        <v>11</v>
      </c>
      <c r="H8" s="1"/>
      <c r="I8" s="1"/>
      <c r="J8" s="1"/>
      <c r="K8" s="1" t="s">
        <v>12</v>
      </c>
      <c r="L8" s="1"/>
      <c r="M8" s="1"/>
      <c r="N8" s="1"/>
    </row>
    <row r="9" spans="1:14" x14ac:dyDescent="0.25">
      <c r="A9" t="s">
        <v>10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s="3" t="s">
        <v>18</v>
      </c>
      <c r="H9" s="3" t="s">
        <v>19</v>
      </c>
      <c r="I9" t="s">
        <v>20</v>
      </c>
      <c r="J9" t="s">
        <v>21</v>
      </c>
      <c r="K9" s="3" t="s">
        <v>18</v>
      </c>
      <c r="L9" s="3" t="s">
        <v>19</v>
      </c>
      <c r="M9" t="s">
        <v>20</v>
      </c>
      <c r="N9" t="s">
        <v>21</v>
      </c>
    </row>
    <row r="10" spans="1:14" ht="30" x14ac:dyDescent="0.25">
      <c r="A10" t="s">
        <v>22</v>
      </c>
      <c r="B10" t="s">
        <v>22</v>
      </c>
      <c r="C10" t="s">
        <v>23</v>
      </c>
      <c r="D10" t="s">
        <v>24</v>
      </c>
      <c r="E10">
        <v>70</v>
      </c>
      <c r="F10" t="s">
        <v>25</v>
      </c>
      <c r="G10" s="3">
        <v>3980</v>
      </c>
      <c r="H10" s="3">
        <v>70</v>
      </c>
      <c r="I10" s="4">
        <v>278600</v>
      </c>
      <c r="J10" s="5" t="s">
        <v>26</v>
      </c>
      <c r="K10" s="3">
        <v>4010</v>
      </c>
      <c r="L10" s="3">
        <v>70</v>
      </c>
      <c r="M10" s="4">
        <v>280700</v>
      </c>
      <c r="N10" t="s">
        <v>27</v>
      </c>
    </row>
    <row r="11" spans="1:14" ht="45" x14ac:dyDescent="0.25">
      <c r="A11" t="s">
        <v>28</v>
      </c>
      <c r="B11" t="s">
        <v>22</v>
      </c>
      <c r="C11" t="s">
        <v>29</v>
      </c>
      <c r="D11" t="s">
        <v>30</v>
      </c>
      <c r="E11">
        <v>30</v>
      </c>
      <c r="F11" t="s">
        <v>25</v>
      </c>
      <c r="G11" s="3">
        <v>4890</v>
      </c>
      <c r="H11" s="3">
        <v>30</v>
      </c>
      <c r="I11" s="4">
        <v>146700</v>
      </c>
      <c r="J11" s="5" t="s">
        <v>31</v>
      </c>
      <c r="K11" s="3">
        <v>4910</v>
      </c>
      <c r="L11" s="3">
        <v>30</v>
      </c>
      <c r="M11" s="4">
        <v>147300</v>
      </c>
      <c r="N11" s="5" t="s">
        <v>32</v>
      </c>
    </row>
    <row r="12" spans="1:14" ht="30" x14ac:dyDescent="0.25">
      <c r="A12" t="s">
        <v>33</v>
      </c>
      <c r="B12" t="s">
        <v>22</v>
      </c>
      <c r="C12" t="s">
        <v>34</v>
      </c>
      <c r="D12" t="s">
        <v>35</v>
      </c>
      <c r="E12">
        <v>75</v>
      </c>
      <c r="F12" t="s">
        <v>25</v>
      </c>
      <c r="G12" s="3">
        <v>3000</v>
      </c>
      <c r="H12" s="3">
        <v>75</v>
      </c>
      <c r="I12" s="4">
        <v>225000</v>
      </c>
      <c r="J12" s="5" t="s">
        <v>36</v>
      </c>
      <c r="K12" s="3"/>
      <c r="L12" s="3"/>
      <c r="M12" s="4"/>
    </row>
    <row r="13" spans="1:14" ht="30" x14ac:dyDescent="0.25">
      <c r="A13" t="s">
        <v>37</v>
      </c>
      <c r="B13" t="s">
        <v>22</v>
      </c>
      <c r="C13" t="s">
        <v>38</v>
      </c>
      <c r="D13" t="s">
        <v>39</v>
      </c>
      <c r="E13">
        <v>40</v>
      </c>
      <c r="F13" t="s">
        <v>25</v>
      </c>
      <c r="G13" s="3">
        <v>3000</v>
      </c>
      <c r="H13" s="3">
        <v>40</v>
      </c>
      <c r="I13" s="4">
        <v>120000</v>
      </c>
      <c r="J13" s="5" t="s">
        <v>40</v>
      </c>
      <c r="K13" s="3"/>
      <c r="L13" s="3"/>
      <c r="M13" s="4"/>
    </row>
    <row r="14" spans="1:14" ht="30" x14ac:dyDescent="0.25">
      <c r="A14" t="s">
        <v>41</v>
      </c>
      <c r="B14" t="s">
        <v>22</v>
      </c>
      <c r="C14" t="s">
        <v>42</v>
      </c>
      <c r="D14" t="s">
        <v>43</v>
      </c>
      <c r="E14">
        <v>15</v>
      </c>
      <c r="F14" t="s">
        <v>25</v>
      </c>
      <c r="G14" s="3">
        <v>3300</v>
      </c>
      <c r="H14" s="3">
        <v>15</v>
      </c>
      <c r="I14" s="4">
        <v>49500</v>
      </c>
      <c r="J14" s="5" t="s">
        <v>44</v>
      </c>
      <c r="K14" s="3"/>
      <c r="L14" s="3"/>
      <c r="M14" s="4"/>
    </row>
    <row r="15" spans="1:14" ht="45" x14ac:dyDescent="0.25">
      <c r="A15" t="s">
        <v>45</v>
      </c>
      <c r="B15" t="s">
        <v>22</v>
      </c>
      <c r="C15" t="s">
        <v>46</v>
      </c>
      <c r="D15" t="s">
        <v>47</v>
      </c>
      <c r="E15">
        <v>25</v>
      </c>
      <c r="F15" t="s">
        <v>25</v>
      </c>
      <c r="G15" s="3">
        <v>4400</v>
      </c>
      <c r="H15" s="3">
        <v>25</v>
      </c>
      <c r="I15" s="4">
        <v>110000</v>
      </c>
      <c r="J15" s="5" t="s">
        <v>48</v>
      </c>
      <c r="K15" s="3">
        <v>4500</v>
      </c>
      <c r="L15" s="3">
        <v>25</v>
      </c>
      <c r="M15" s="4">
        <v>112500</v>
      </c>
      <c r="N15" s="5" t="s">
        <v>49</v>
      </c>
    </row>
    <row r="16" spans="1:14" ht="30" x14ac:dyDescent="0.25">
      <c r="A16" t="s">
        <v>50</v>
      </c>
      <c r="B16" t="s">
        <v>22</v>
      </c>
      <c r="C16" t="s">
        <v>51</v>
      </c>
      <c r="D16" t="s">
        <v>52</v>
      </c>
      <c r="E16">
        <v>10</v>
      </c>
      <c r="F16" t="s">
        <v>25</v>
      </c>
      <c r="G16" s="3">
        <v>12000</v>
      </c>
      <c r="H16" s="3">
        <v>10</v>
      </c>
      <c r="I16" s="4">
        <v>120000</v>
      </c>
      <c r="J16" s="5" t="s">
        <v>53</v>
      </c>
      <c r="K16" s="3"/>
      <c r="L16" s="3"/>
      <c r="M16" s="4"/>
    </row>
    <row r="17" spans="1:14" x14ac:dyDescent="0.25">
      <c r="A17" t="s">
        <v>54</v>
      </c>
      <c r="B17" t="s">
        <v>22</v>
      </c>
      <c r="C17" t="s">
        <v>55</v>
      </c>
      <c r="D17" t="s">
        <v>56</v>
      </c>
      <c r="E17">
        <v>62</v>
      </c>
      <c r="F17" t="s">
        <v>25</v>
      </c>
      <c r="G17" s="3"/>
      <c r="H17" s="3"/>
      <c r="I17" s="4"/>
      <c r="K17" s="3"/>
      <c r="L17" s="3"/>
      <c r="M17" s="4"/>
    </row>
    <row r="18" spans="1:14" ht="30" x14ac:dyDescent="0.25">
      <c r="A18" t="s">
        <v>57</v>
      </c>
      <c r="B18" t="s">
        <v>22</v>
      </c>
      <c r="C18" t="s">
        <v>58</v>
      </c>
      <c r="D18" t="s">
        <v>59</v>
      </c>
      <c r="E18">
        <v>26</v>
      </c>
      <c r="F18" t="s">
        <v>25</v>
      </c>
      <c r="G18" s="3">
        <v>5700</v>
      </c>
      <c r="H18" s="3">
        <v>26</v>
      </c>
      <c r="I18" s="4">
        <v>148200</v>
      </c>
      <c r="J18" s="5" t="s">
        <v>60</v>
      </c>
      <c r="K18" s="3">
        <v>5780</v>
      </c>
      <c r="L18" s="3">
        <v>26</v>
      </c>
      <c r="M18" s="4">
        <v>150280</v>
      </c>
      <c r="N18" s="5" t="s">
        <v>61</v>
      </c>
    </row>
    <row r="19" spans="1:14" ht="30" x14ac:dyDescent="0.25">
      <c r="A19" t="s">
        <v>62</v>
      </c>
      <c r="B19" t="s">
        <v>22</v>
      </c>
      <c r="C19" t="s">
        <v>58</v>
      </c>
      <c r="D19" t="s">
        <v>59</v>
      </c>
      <c r="E19">
        <v>30</v>
      </c>
      <c r="F19" t="s">
        <v>25</v>
      </c>
      <c r="G19" s="3">
        <v>5900</v>
      </c>
      <c r="H19" s="3">
        <v>30</v>
      </c>
      <c r="I19" s="4">
        <v>177000</v>
      </c>
      <c r="J19" s="5" t="s">
        <v>63</v>
      </c>
      <c r="K19" s="3">
        <v>5990</v>
      </c>
      <c r="L19" s="3">
        <v>30</v>
      </c>
      <c r="M19" s="4">
        <v>179700</v>
      </c>
      <c r="N19" s="5" t="s">
        <v>64</v>
      </c>
    </row>
    <row r="20" spans="1:14" ht="30" x14ac:dyDescent="0.25">
      <c r="A20" t="s">
        <v>65</v>
      </c>
      <c r="B20" t="s">
        <v>22</v>
      </c>
      <c r="C20" t="s">
        <v>66</v>
      </c>
      <c r="D20" s="5" t="s">
        <v>67</v>
      </c>
      <c r="E20">
        <v>3</v>
      </c>
      <c r="F20" t="s">
        <v>25</v>
      </c>
      <c r="G20" s="3"/>
      <c r="H20" s="3"/>
      <c r="I20" s="4"/>
      <c r="K20" s="3"/>
      <c r="L20" s="3"/>
      <c r="M20" s="4"/>
    </row>
    <row r="21" spans="1:14" ht="30" x14ac:dyDescent="0.25">
      <c r="A21" t="s">
        <v>68</v>
      </c>
      <c r="B21" t="s">
        <v>22</v>
      </c>
      <c r="C21" t="s">
        <v>69</v>
      </c>
      <c r="D21" t="s">
        <v>70</v>
      </c>
      <c r="E21">
        <v>60</v>
      </c>
      <c r="F21" t="s">
        <v>25</v>
      </c>
      <c r="G21" s="3">
        <v>2040</v>
      </c>
      <c r="H21" s="3">
        <v>60</v>
      </c>
      <c r="I21" s="4">
        <v>122400</v>
      </c>
      <c r="J21" s="5" t="s">
        <v>71</v>
      </c>
      <c r="K21" s="3">
        <v>2100</v>
      </c>
      <c r="L21" s="3">
        <v>60</v>
      </c>
      <c r="M21" s="4">
        <v>126000</v>
      </c>
      <c r="N21" s="5" t="s">
        <v>72</v>
      </c>
    </row>
    <row r="22" spans="1:14" x14ac:dyDescent="0.25">
      <c r="A22" t="s">
        <v>73</v>
      </c>
      <c r="B22" t="s">
        <v>22</v>
      </c>
      <c r="C22" t="s">
        <v>74</v>
      </c>
      <c r="D22" t="s">
        <v>75</v>
      </c>
      <c r="E22">
        <v>5</v>
      </c>
      <c r="F22" t="s">
        <v>25</v>
      </c>
      <c r="G22" s="3"/>
      <c r="H22" s="3"/>
      <c r="I22" s="4"/>
      <c r="K22" s="3"/>
      <c r="L22" s="3"/>
      <c r="M22" s="4"/>
    </row>
    <row r="23" spans="1:14" ht="30" x14ac:dyDescent="0.25">
      <c r="A23" t="s">
        <v>76</v>
      </c>
      <c r="B23" t="s">
        <v>22</v>
      </c>
      <c r="C23" t="s">
        <v>77</v>
      </c>
      <c r="D23" t="s">
        <v>78</v>
      </c>
      <c r="E23">
        <v>1</v>
      </c>
      <c r="F23" t="s">
        <v>25</v>
      </c>
      <c r="G23" s="3">
        <v>4750</v>
      </c>
      <c r="H23" s="3">
        <v>1</v>
      </c>
      <c r="I23" s="4">
        <v>4750</v>
      </c>
      <c r="J23" s="5" t="s">
        <v>79</v>
      </c>
      <c r="K23" s="3"/>
      <c r="L23" s="3"/>
      <c r="M23" s="4"/>
    </row>
    <row r="24" spans="1:14" ht="30" x14ac:dyDescent="0.25">
      <c r="A24" t="s">
        <v>80</v>
      </c>
      <c r="B24" t="s">
        <v>22</v>
      </c>
      <c r="C24" t="s">
        <v>81</v>
      </c>
      <c r="D24" t="s">
        <v>82</v>
      </c>
      <c r="E24">
        <v>1</v>
      </c>
      <c r="F24" t="s">
        <v>25</v>
      </c>
      <c r="G24" s="3">
        <v>4750</v>
      </c>
      <c r="H24" s="3">
        <v>1</v>
      </c>
      <c r="I24" s="4">
        <v>4750</v>
      </c>
      <c r="J24" s="5" t="s">
        <v>83</v>
      </c>
      <c r="K24" s="3"/>
      <c r="L24" s="3"/>
      <c r="M24" s="4"/>
    </row>
    <row r="25" spans="1:14" ht="30" x14ac:dyDescent="0.25">
      <c r="A25" t="s">
        <v>84</v>
      </c>
      <c r="B25" t="s">
        <v>22</v>
      </c>
      <c r="C25" t="s">
        <v>85</v>
      </c>
      <c r="D25" t="s">
        <v>86</v>
      </c>
      <c r="E25">
        <v>1</v>
      </c>
      <c r="F25" t="s">
        <v>25</v>
      </c>
      <c r="G25" s="3">
        <v>4750</v>
      </c>
      <c r="H25" s="3">
        <v>1</v>
      </c>
      <c r="I25" s="4">
        <v>4750</v>
      </c>
      <c r="J25" s="5" t="s">
        <v>87</v>
      </c>
      <c r="K25" s="3"/>
      <c r="L25" s="3"/>
      <c r="M25" s="4"/>
    </row>
    <row r="26" spans="1:14" ht="30" x14ac:dyDescent="0.25">
      <c r="A26" t="s">
        <v>88</v>
      </c>
      <c r="B26" t="s">
        <v>22</v>
      </c>
      <c r="C26" t="s">
        <v>89</v>
      </c>
      <c r="D26" t="s">
        <v>90</v>
      </c>
      <c r="E26">
        <v>1</v>
      </c>
      <c r="F26" t="s">
        <v>25</v>
      </c>
      <c r="G26" s="3">
        <v>4750</v>
      </c>
      <c r="H26" s="3">
        <v>1</v>
      </c>
      <c r="I26" s="4">
        <v>4750</v>
      </c>
      <c r="J26" s="5" t="s">
        <v>91</v>
      </c>
      <c r="K26" s="3"/>
      <c r="L26" s="3"/>
      <c r="M26" s="4"/>
    </row>
    <row r="27" spans="1:14" ht="45" x14ac:dyDescent="0.25">
      <c r="A27" t="s">
        <v>92</v>
      </c>
      <c r="B27" t="s">
        <v>22</v>
      </c>
      <c r="C27" t="s">
        <v>93</v>
      </c>
      <c r="D27" t="s">
        <v>94</v>
      </c>
      <c r="E27">
        <v>15</v>
      </c>
      <c r="F27" t="s">
        <v>25</v>
      </c>
      <c r="G27" s="3">
        <v>3100</v>
      </c>
      <c r="H27" s="3">
        <v>15</v>
      </c>
      <c r="I27" s="4">
        <v>46500</v>
      </c>
      <c r="J27" s="5" t="s">
        <v>95</v>
      </c>
      <c r="K27" s="3">
        <v>3199</v>
      </c>
      <c r="L27" s="3">
        <v>15</v>
      </c>
      <c r="M27" s="4">
        <v>47985</v>
      </c>
      <c r="N27" s="5" t="s">
        <v>96</v>
      </c>
    </row>
    <row r="28" spans="1:14" ht="30" x14ac:dyDescent="0.25">
      <c r="A28" t="s">
        <v>97</v>
      </c>
      <c r="B28" t="s">
        <v>22</v>
      </c>
      <c r="C28" t="s">
        <v>98</v>
      </c>
      <c r="D28" t="s">
        <v>99</v>
      </c>
      <c r="E28">
        <v>10</v>
      </c>
      <c r="F28" t="s">
        <v>25</v>
      </c>
      <c r="G28" s="3">
        <v>14000</v>
      </c>
      <c r="H28" s="3">
        <v>10</v>
      </c>
      <c r="I28" s="4">
        <v>140000</v>
      </c>
      <c r="J28" s="5" t="s">
        <v>100</v>
      </c>
      <c r="K28" s="3"/>
      <c r="L28" s="3"/>
      <c r="M28" s="4"/>
    </row>
    <row r="29" spans="1:14" ht="30" x14ac:dyDescent="0.25">
      <c r="A29" t="s">
        <v>101</v>
      </c>
      <c r="B29" t="s">
        <v>22</v>
      </c>
      <c r="C29" t="s">
        <v>102</v>
      </c>
      <c r="D29" t="s">
        <v>103</v>
      </c>
      <c r="E29">
        <v>10</v>
      </c>
      <c r="F29" t="s">
        <v>25</v>
      </c>
      <c r="G29" s="3">
        <v>14500</v>
      </c>
      <c r="H29" s="3">
        <v>10</v>
      </c>
      <c r="I29" s="4">
        <v>145000</v>
      </c>
      <c r="J29" s="5" t="s">
        <v>104</v>
      </c>
      <c r="K29" s="3"/>
      <c r="L29" s="3"/>
      <c r="M29" s="4"/>
    </row>
    <row r="30" spans="1:14" ht="30" x14ac:dyDescent="0.25">
      <c r="A30" t="s">
        <v>105</v>
      </c>
      <c r="B30" t="s">
        <v>22</v>
      </c>
      <c r="C30" t="s">
        <v>106</v>
      </c>
      <c r="D30" t="s">
        <v>107</v>
      </c>
      <c r="E30">
        <v>4</v>
      </c>
      <c r="F30" t="s">
        <v>25</v>
      </c>
      <c r="G30" s="3">
        <v>4800</v>
      </c>
      <c r="H30" s="3">
        <v>4</v>
      </c>
      <c r="I30" s="4">
        <v>19200</v>
      </c>
      <c r="J30" s="5" t="s">
        <v>108</v>
      </c>
      <c r="K30" s="3"/>
      <c r="L30" s="3"/>
      <c r="M30" s="4"/>
    </row>
    <row r="31" spans="1:14" ht="30" x14ac:dyDescent="0.25">
      <c r="A31" t="s">
        <v>109</v>
      </c>
      <c r="B31" t="s">
        <v>22</v>
      </c>
      <c r="C31" t="s">
        <v>110</v>
      </c>
      <c r="D31" s="5" t="s">
        <v>111</v>
      </c>
      <c r="E31">
        <v>4</v>
      </c>
      <c r="F31" t="s">
        <v>25</v>
      </c>
      <c r="G31" s="3">
        <v>5200</v>
      </c>
      <c r="H31" s="3">
        <v>4</v>
      </c>
      <c r="I31" s="4">
        <v>20800</v>
      </c>
      <c r="J31" s="5" t="s">
        <v>112</v>
      </c>
      <c r="K31" s="3"/>
      <c r="L31" s="3"/>
      <c r="M31" s="4"/>
    </row>
    <row r="32" spans="1:14" ht="30" x14ac:dyDescent="0.25">
      <c r="A32" t="s">
        <v>113</v>
      </c>
      <c r="B32" t="s">
        <v>22</v>
      </c>
      <c r="C32" t="s">
        <v>114</v>
      </c>
      <c r="D32" t="s">
        <v>115</v>
      </c>
      <c r="E32">
        <v>20</v>
      </c>
      <c r="F32" t="s">
        <v>25</v>
      </c>
      <c r="G32" s="3">
        <v>3100</v>
      </c>
      <c r="H32" s="3">
        <v>20</v>
      </c>
      <c r="I32" s="4">
        <v>62000</v>
      </c>
      <c r="J32" s="5" t="s">
        <v>116</v>
      </c>
      <c r="K32" s="3"/>
      <c r="L32" s="3"/>
      <c r="M32" s="4"/>
    </row>
    <row r="33" spans="1:14" ht="45" x14ac:dyDescent="0.25">
      <c r="A33" t="s">
        <v>117</v>
      </c>
      <c r="B33" t="s">
        <v>22</v>
      </c>
      <c r="C33" t="s">
        <v>118</v>
      </c>
      <c r="D33" s="5" t="s">
        <v>119</v>
      </c>
      <c r="E33">
        <v>20</v>
      </c>
      <c r="F33" t="s">
        <v>25</v>
      </c>
      <c r="G33" s="3">
        <v>3435</v>
      </c>
      <c r="H33" s="3">
        <v>20</v>
      </c>
      <c r="I33" s="4">
        <v>68700</v>
      </c>
      <c r="J33" s="5" t="s">
        <v>120</v>
      </c>
      <c r="K33" s="3"/>
      <c r="L33" s="3"/>
      <c r="M33" s="4"/>
    </row>
    <row r="34" spans="1:14" ht="30" x14ac:dyDescent="0.25">
      <c r="A34" t="s">
        <v>121</v>
      </c>
      <c r="B34" t="s">
        <v>22</v>
      </c>
      <c r="C34" t="s">
        <v>122</v>
      </c>
      <c r="D34" s="5" t="s">
        <v>123</v>
      </c>
      <c r="E34">
        <v>8</v>
      </c>
      <c r="F34" t="s">
        <v>25</v>
      </c>
      <c r="G34" s="3"/>
      <c r="H34" s="3"/>
      <c r="I34" s="4"/>
      <c r="K34" s="3"/>
      <c r="L34" s="3"/>
      <c r="M34" s="4"/>
    </row>
    <row r="35" spans="1:14" ht="45" x14ac:dyDescent="0.25">
      <c r="A35" t="s">
        <v>124</v>
      </c>
      <c r="B35" t="s">
        <v>22</v>
      </c>
      <c r="C35" t="s">
        <v>125</v>
      </c>
      <c r="D35" s="5" t="s">
        <v>126</v>
      </c>
      <c r="E35">
        <v>2</v>
      </c>
      <c r="F35" t="s">
        <v>25</v>
      </c>
      <c r="G35" s="3">
        <v>11000</v>
      </c>
      <c r="H35" s="3">
        <v>2</v>
      </c>
      <c r="I35" s="4">
        <v>22000</v>
      </c>
      <c r="J35" s="5" t="s">
        <v>127</v>
      </c>
      <c r="K35" s="3"/>
      <c r="L35" s="3"/>
      <c r="M35" s="4"/>
    </row>
    <row r="36" spans="1:14" ht="30" x14ac:dyDescent="0.25">
      <c r="A36" t="s">
        <v>128</v>
      </c>
      <c r="B36" t="s">
        <v>22</v>
      </c>
      <c r="C36" t="s">
        <v>129</v>
      </c>
      <c r="D36" t="s">
        <v>130</v>
      </c>
      <c r="E36">
        <v>8</v>
      </c>
      <c r="F36" t="s">
        <v>25</v>
      </c>
      <c r="G36" s="3">
        <v>26000</v>
      </c>
      <c r="H36" s="3">
        <v>8</v>
      </c>
      <c r="I36" s="4">
        <v>208000</v>
      </c>
      <c r="J36" s="5" t="s">
        <v>131</v>
      </c>
      <c r="K36" s="3"/>
      <c r="L36" s="3"/>
      <c r="M36" s="4"/>
    </row>
    <row r="37" spans="1:14" x14ac:dyDescent="0.25">
      <c r="A37" t="s">
        <v>132</v>
      </c>
      <c r="B37" t="s">
        <v>22</v>
      </c>
      <c r="C37" t="s">
        <v>133</v>
      </c>
      <c r="D37" t="s">
        <v>134</v>
      </c>
      <c r="E37">
        <v>3</v>
      </c>
      <c r="F37" t="s">
        <v>25</v>
      </c>
      <c r="G37" s="3"/>
      <c r="H37" s="3"/>
      <c r="I37" s="4"/>
      <c r="K37" s="3"/>
      <c r="L37" s="3"/>
      <c r="M37" s="4"/>
    </row>
    <row r="38" spans="1:14" ht="45" x14ac:dyDescent="0.25">
      <c r="A38" t="s">
        <v>135</v>
      </c>
      <c r="B38" t="s">
        <v>22</v>
      </c>
      <c r="C38" t="s">
        <v>136</v>
      </c>
      <c r="D38" t="s">
        <v>137</v>
      </c>
      <c r="E38">
        <v>8</v>
      </c>
      <c r="F38" t="s">
        <v>25</v>
      </c>
      <c r="G38" s="3">
        <v>4700</v>
      </c>
      <c r="H38" s="3">
        <v>8</v>
      </c>
      <c r="I38" s="4">
        <v>37600</v>
      </c>
      <c r="J38" s="5" t="s">
        <v>138</v>
      </c>
      <c r="K38" s="3">
        <v>4930</v>
      </c>
      <c r="L38" s="3">
        <v>8</v>
      </c>
      <c r="M38" s="4">
        <v>39440</v>
      </c>
      <c r="N38" s="5" t="s">
        <v>139</v>
      </c>
    </row>
    <row r="39" spans="1:14" ht="45" x14ac:dyDescent="0.25">
      <c r="A39" t="s">
        <v>140</v>
      </c>
      <c r="B39" t="s">
        <v>22</v>
      </c>
      <c r="C39" t="s">
        <v>141</v>
      </c>
      <c r="D39" t="s">
        <v>142</v>
      </c>
      <c r="E39">
        <v>8</v>
      </c>
      <c r="F39" t="s">
        <v>25</v>
      </c>
      <c r="G39" s="3">
        <v>4700</v>
      </c>
      <c r="H39" s="3">
        <v>8</v>
      </c>
      <c r="I39" s="4">
        <v>37600</v>
      </c>
      <c r="J39" s="5" t="s">
        <v>143</v>
      </c>
      <c r="K39" s="3">
        <v>4930</v>
      </c>
      <c r="L39" s="3">
        <v>8</v>
      </c>
      <c r="M39" s="4">
        <v>39440</v>
      </c>
      <c r="N39" s="5" t="s">
        <v>144</v>
      </c>
    </row>
    <row r="40" spans="1:14" x14ac:dyDescent="0.25">
      <c r="A40" t="s">
        <v>145</v>
      </c>
      <c r="B40" t="s">
        <v>22</v>
      </c>
      <c r="C40" t="s">
        <v>146</v>
      </c>
      <c r="D40" t="s">
        <v>147</v>
      </c>
      <c r="E40">
        <v>4</v>
      </c>
      <c r="F40" t="s">
        <v>25</v>
      </c>
      <c r="G40" s="3"/>
      <c r="H40" s="3"/>
      <c r="I40" s="4"/>
      <c r="K40" s="3"/>
      <c r="L40" s="3"/>
      <c r="M40" s="4"/>
    </row>
    <row r="41" spans="1:14" ht="30" x14ac:dyDescent="0.25">
      <c r="A41" t="s">
        <v>148</v>
      </c>
      <c r="B41" t="s">
        <v>22</v>
      </c>
      <c r="C41" t="s">
        <v>149</v>
      </c>
      <c r="D41" t="s">
        <v>150</v>
      </c>
      <c r="E41">
        <v>15</v>
      </c>
      <c r="F41" t="s">
        <v>25</v>
      </c>
      <c r="G41" s="3">
        <v>4800</v>
      </c>
      <c r="H41" s="3">
        <v>15</v>
      </c>
      <c r="I41" s="4">
        <v>72000</v>
      </c>
      <c r="J41" s="5" t="s">
        <v>151</v>
      </c>
      <c r="K41" s="3"/>
      <c r="L41" s="3"/>
      <c r="M41" s="4"/>
    </row>
    <row r="42" spans="1:14" ht="30" x14ac:dyDescent="0.25">
      <c r="A42" t="s">
        <v>152</v>
      </c>
      <c r="B42" t="s">
        <v>22</v>
      </c>
      <c r="C42" t="s">
        <v>149</v>
      </c>
      <c r="D42" t="s">
        <v>150</v>
      </c>
      <c r="E42">
        <v>15</v>
      </c>
      <c r="F42" t="s">
        <v>25</v>
      </c>
      <c r="G42" s="3">
        <v>4800</v>
      </c>
      <c r="H42" s="3">
        <v>15</v>
      </c>
      <c r="I42" s="4">
        <v>72000</v>
      </c>
      <c r="J42" s="5" t="s">
        <v>153</v>
      </c>
      <c r="K42" s="3"/>
      <c r="L42" s="3"/>
      <c r="M42" s="4"/>
    </row>
    <row r="43" spans="1:14" x14ac:dyDescent="0.25">
      <c r="A43" t="s">
        <v>154</v>
      </c>
      <c r="B43" t="s">
        <v>22</v>
      </c>
      <c r="C43" t="s">
        <v>155</v>
      </c>
      <c r="D43" t="s">
        <v>156</v>
      </c>
      <c r="E43">
        <v>4</v>
      </c>
      <c r="F43" t="s">
        <v>25</v>
      </c>
      <c r="G43" s="3"/>
      <c r="H43" s="3"/>
      <c r="I43" s="4"/>
      <c r="K43" s="3"/>
      <c r="L43" s="3"/>
      <c r="M43" s="4"/>
    </row>
    <row r="44" spans="1:14" ht="30" x14ac:dyDescent="0.25">
      <c r="A44" t="s">
        <v>157</v>
      </c>
      <c r="B44" t="s">
        <v>22</v>
      </c>
      <c r="C44" t="s">
        <v>46</v>
      </c>
      <c r="D44" t="s">
        <v>47</v>
      </c>
      <c r="E44">
        <v>16</v>
      </c>
      <c r="F44" t="s">
        <v>25</v>
      </c>
      <c r="G44" s="3">
        <v>4400</v>
      </c>
      <c r="H44" s="3">
        <v>16</v>
      </c>
      <c r="I44" s="4">
        <v>70400</v>
      </c>
      <c r="J44" s="5" t="s">
        <v>158</v>
      </c>
      <c r="K44" s="3"/>
      <c r="L44" s="3"/>
      <c r="M44" s="4"/>
    </row>
    <row r="45" spans="1:14" x14ac:dyDescent="0.25">
      <c r="A45" t="s">
        <v>159</v>
      </c>
      <c r="B45" t="s">
        <v>22</v>
      </c>
      <c r="C45" t="s">
        <v>160</v>
      </c>
      <c r="D45" t="s">
        <v>161</v>
      </c>
      <c r="E45">
        <v>6</v>
      </c>
      <c r="F45" t="s">
        <v>25</v>
      </c>
      <c r="G45" s="3"/>
      <c r="H45" s="3"/>
      <c r="I45" s="4"/>
      <c r="K45" s="3"/>
      <c r="L45" s="3"/>
      <c r="M45" s="4"/>
    </row>
    <row r="46" spans="1:14" ht="30" x14ac:dyDescent="0.25">
      <c r="A46" t="s">
        <v>162</v>
      </c>
      <c r="B46" t="s">
        <v>22</v>
      </c>
      <c r="C46" t="s">
        <v>66</v>
      </c>
      <c r="D46" s="5" t="s">
        <v>67</v>
      </c>
      <c r="E46">
        <v>7</v>
      </c>
      <c r="F46" t="s">
        <v>25</v>
      </c>
      <c r="G46" s="3"/>
      <c r="H46" s="3"/>
      <c r="I46" s="4"/>
      <c r="K46" s="3"/>
      <c r="L46" s="3"/>
      <c r="M46" s="4"/>
    </row>
    <row r="47" spans="1:14" x14ac:dyDescent="0.25">
      <c r="A47" t="s">
        <v>163</v>
      </c>
      <c r="B47" t="s">
        <v>22</v>
      </c>
      <c r="C47" t="s">
        <v>164</v>
      </c>
      <c r="D47" t="s">
        <v>165</v>
      </c>
      <c r="E47">
        <v>3</v>
      </c>
      <c r="F47" t="s">
        <v>25</v>
      </c>
      <c r="G47" s="3"/>
      <c r="H47" s="3"/>
      <c r="I47" s="4"/>
      <c r="K47" s="3"/>
      <c r="L47" s="3"/>
      <c r="M47" s="4"/>
    </row>
    <row r="48" spans="1:14" x14ac:dyDescent="0.25">
      <c r="A48" t="s">
        <v>166</v>
      </c>
      <c r="B48" t="s">
        <v>22</v>
      </c>
      <c r="C48" t="s">
        <v>167</v>
      </c>
      <c r="D48" t="s">
        <v>168</v>
      </c>
      <c r="E48">
        <v>3</v>
      </c>
      <c r="F48" t="s">
        <v>25</v>
      </c>
      <c r="G48" s="3"/>
      <c r="H48" s="3"/>
      <c r="I48" s="4"/>
      <c r="K48" s="3"/>
      <c r="L48" s="3"/>
      <c r="M48" s="4"/>
    </row>
    <row r="49" spans="1:14" x14ac:dyDescent="0.25">
      <c r="A49" t="s">
        <v>169</v>
      </c>
      <c r="B49" t="s">
        <v>22</v>
      </c>
      <c r="C49" t="s">
        <v>170</v>
      </c>
      <c r="D49" t="s">
        <v>171</v>
      </c>
      <c r="E49">
        <v>2</v>
      </c>
      <c r="F49" t="s">
        <v>25</v>
      </c>
      <c r="G49" s="3"/>
      <c r="H49" s="3"/>
      <c r="I49" s="4"/>
      <c r="K49" s="3"/>
      <c r="L49" s="3"/>
      <c r="M49" s="4"/>
    </row>
    <row r="50" spans="1:14" x14ac:dyDescent="0.25">
      <c r="A50" t="s">
        <v>172</v>
      </c>
      <c r="B50" t="s">
        <v>22</v>
      </c>
      <c r="C50" t="s">
        <v>173</v>
      </c>
      <c r="D50" t="s">
        <v>174</v>
      </c>
      <c r="E50">
        <v>4</v>
      </c>
      <c r="F50" t="s">
        <v>25</v>
      </c>
      <c r="G50" s="3"/>
      <c r="H50" s="3"/>
      <c r="I50" s="4"/>
      <c r="K50" s="3"/>
      <c r="L50" s="3"/>
      <c r="M50" s="4"/>
    </row>
    <row r="51" spans="1:14" x14ac:dyDescent="0.25">
      <c r="A51" t="s">
        <v>175</v>
      </c>
      <c r="B51" t="s">
        <v>22</v>
      </c>
      <c r="C51" t="s">
        <v>176</v>
      </c>
      <c r="D51" t="s">
        <v>177</v>
      </c>
      <c r="E51">
        <v>3</v>
      </c>
      <c r="F51" t="s">
        <v>25</v>
      </c>
      <c r="G51" s="3"/>
      <c r="H51" s="3"/>
      <c r="I51" s="4"/>
      <c r="K51" s="3"/>
      <c r="L51" s="3"/>
      <c r="M51" s="4"/>
    </row>
    <row r="52" spans="1:14" ht="60" x14ac:dyDescent="0.25">
      <c r="A52" t="s">
        <v>178</v>
      </c>
      <c r="B52" t="s">
        <v>22</v>
      </c>
      <c r="C52" t="s">
        <v>179</v>
      </c>
      <c r="D52" s="5" t="s">
        <v>180</v>
      </c>
      <c r="E52">
        <v>4</v>
      </c>
      <c r="F52" t="s">
        <v>25</v>
      </c>
      <c r="G52" s="3">
        <v>3900</v>
      </c>
      <c r="H52" s="3">
        <v>4</v>
      </c>
      <c r="I52" s="4">
        <v>15600</v>
      </c>
      <c r="J52" s="5" t="s">
        <v>181</v>
      </c>
      <c r="K52" s="3">
        <v>4010</v>
      </c>
      <c r="L52" s="3">
        <v>4</v>
      </c>
      <c r="M52" s="4">
        <v>16040</v>
      </c>
      <c r="N52" s="5" t="s">
        <v>182</v>
      </c>
    </row>
    <row r="53" spans="1:14" ht="60" x14ac:dyDescent="0.25">
      <c r="A53" t="s">
        <v>183</v>
      </c>
      <c r="B53" t="s">
        <v>22</v>
      </c>
      <c r="C53" t="s">
        <v>184</v>
      </c>
      <c r="D53" s="5" t="s">
        <v>185</v>
      </c>
      <c r="E53">
        <v>4</v>
      </c>
      <c r="F53" t="s">
        <v>25</v>
      </c>
      <c r="G53" s="3">
        <v>4300</v>
      </c>
      <c r="H53" s="3">
        <v>4</v>
      </c>
      <c r="I53" s="4">
        <v>17200</v>
      </c>
      <c r="J53" s="5" t="s">
        <v>186</v>
      </c>
      <c r="K53" s="3">
        <v>4480</v>
      </c>
      <c r="L53" s="3">
        <v>4</v>
      </c>
      <c r="M53" s="4">
        <v>17920</v>
      </c>
      <c r="N53" s="5" t="s">
        <v>187</v>
      </c>
    </row>
    <row r="54" spans="1:14" x14ac:dyDescent="0.25">
      <c r="A54" t="s">
        <v>188</v>
      </c>
      <c r="B54" t="s">
        <v>22</v>
      </c>
      <c r="C54" t="s">
        <v>189</v>
      </c>
      <c r="D54" t="s">
        <v>190</v>
      </c>
      <c r="E54">
        <v>20</v>
      </c>
      <c r="F54" t="s">
        <v>25</v>
      </c>
      <c r="G54" s="3"/>
      <c r="H54" s="3"/>
      <c r="I54" s="4"/>
      <c r="K54" s="3"/>
      <c r="L54" s="3"/>
      <c r="M54" s="4"/>
    </row>
    <row r="55" spans="1:14" ht="30" x14ac:dyDescent="0.25">
      <c r="A55" t="s">
        <v>191</v>
      </c>
      <c r="B55" t="s">
        <v>22</v>
      </c>
      <c r="C55" t="s">
        <v>93</v>
      </c>
      <c r="D55" t="s">
        <v>94</v>
      </c>
      <c r="E55">
        <v>35</v>
      </c>
      <c r="F55" t="s">
        <v>25</v>
      </c>
      <c r="G55" s="3">
        <v>3000</v>
      </c>
      <c r="H55" s="3">
        <v>35</v>
      </c>
      <c r="I55" s="4">
        <v>105000</v>
      </c>
      <c r="J55" s="5" t="s">
        <v>95</v>
      </c>
      <c r="K55" s="3"/>
      <c r="L55" s="3"/>
      <c r="M55" s="4"/>
    </row>
    <row r="56" spans="1:14" ht="30" x14ac:dyDescent="0.25">
      <c r="A56" t="s">
        <v>192</v>
      </c>
      <c r="B56" t="s">
        <v>22</v>
      </c>
      <c r="C56" t="s">
        <v>193</v>
      </c>
      <c r="D56" t="s">
        <v>194</v>
      </c>
      <c r="E56">
        <v>10</v>
      </c>
      <c r="F56" t="s">
        <v>25</v>
      </c>
      <c r="G56" s="3">
        <v>4600</v>
      </c>
      <c r="H56" s="3">
        <v>10</v>
      </c>
      <c r="I56" s="4">
        <v>46000</v>
      </c>
      <c r="J56" s="5" t="s">
        <v>195</v>
      </c>
      <c r="K56" s="3"/>
      <c r="L56" s="3"/>
      <c r="M56" s="4"/>
    </row>
    <row r="57" spans="1:14" ht="30" x14ac:dyDescent="0.25">
      <c r="A57" t="s">
        <v>196</v>
      </c>
      <c r="B57" t="s">
        <v>22</v>
      </c>
      <c r="C57" t="s">
        <v>197</v>
      </c>
      <c r="D57" s="5" t="s">
        <v>198</v>
      </c>
      <c r="E57">
        <v>30</v>
      </c>
      <c r="F57" t="s">
        <v>25</v>
      </c>
      <c r="G57" s="3"/>
      <c r="H57" s="3"/>
      <c r="I57" s="4"/>
      <c r="K57" s="3"/>
      <c r="L57" s="3"/>
      <c r="M57" s="4"/>
    </row>
    <row r="58" spans="1:14" x14ac:dyDescent="0.25">
      <c r="A58" t="s">
        <v>199</v>
      </c>
      <c r="B58" t="s">
        <v>22</v>
      </c>
      <c r="C58" t="s">
        <v>200</v>
      </c>
      <c r="D58" t="s">
        <v>201</v>
      </c>
      <c r="E58">
        <v>5</v>
      </c>
      <c r="F58" t="s">
        <v>25</v>
      </c>
      <c r="G58" s="3"/>
      <c r="H58" s="3"/>
      <c r="I58" s="4"/>
      <c r="K58" s="3"/>
      <c r="L58" s="3"/>
      <c r="M58" s="4"/>
    </row>
    <row r="59" spans="1:14" x14ac:dyDescent="0.25">
      <c r="C59" t="s">
        <v>202</v>
      </c>
      <c r="G59" s="3"/>
      <c r="H59" s="3"/>
      <c r="I59" s="4">
        <f>SUBTOTAL(109,Table2[Total por renglón])</f>
        <v>2722000</v>
      </c>
      <c r="K59" s="3"/>
      <c r="L59" s="3"/>
      <c r="M59" s="4">
        <f>SUBTOTAL(109,Table3[Total por renglón])</f>
        <v>1157305</v>
      </c>
    </row>
  </sheetData>
  <mergeCells count="3">
    <mergeCell ref="G8:J8"/>
    <mergeCell ref="K8:N8"/>
    <mergeCell ref="A8:F8"/>
  </mergeCells>
  <pageMargins left="0.75" right="0.75" top="0.75" bottom="0.5" header="0.5" footer="0.75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4</vt:i4>
      </vt:variant>
    </vt:vector>
  </HeadingPairs>
  <TitlesOfParts>
    <vt:vector size="5" baseType="lpstr">
      <vt:lpstr>Cuadro comparativo</vt:lpstr>
      <vt:lpstr>Datos</vt:lpstr>
      <vt:lpstr>DatosTitulos</vt:lpstr>
      <vt:lpstr>PROVEEDOR</vt:lpstr>
      <vt:lpstr>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ADRIAN</cp:lastModifiedBy>
  <dcterms:created xsi:type="dcterms:W3CDTF">2022-11-10T11:35:04Z</dcterms:created>
  <dcterms:modified xsi:type="dcterms:W3CDTF">2022-11-10T11:35:20Z</dcterms:modified>
</cp:coreProperties>
</file>