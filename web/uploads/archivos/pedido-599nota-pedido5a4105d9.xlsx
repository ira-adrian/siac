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DESIERTOS 3 TRIMESTRE\"/>
    </mc:Choice>
  </mc:AlternateContent>
  <xr:revisionPtr revIDLastSave="0" documentId="13_ncr:1_{0477FE11-7E97-40F8-BD62-B71CCD9B1CF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 " sheetId="4" r:id="rId1"/>
    <sheet name=" NotaPedido" sheetId="2" r:id="rId2"/>
    <sheet name="Autor Gastar" sheetId="3" r:id="rId3"/>
  </sheets>
  <definedNames>
    <definedName name="_xlnm._FilterDatabase" localSheetId="0" hidden="1">'Necesidades Trimestrales '!$A$9:$I$13</definedName>
    <definedName name="_xlnm.Print_Area" localSheetId="1">' NotaPedido'!$A$1:$K$16</definedName>
    <definedName name="_xlnm.Print_Area" localSheetId="2">'Autor Gastar'!$A$1:$Q$27</definedName>
    <definedName name="_xlnm.Print_Area" localSheetId="0">'Necesidades Trimestrales 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2" i="2"/>
  <c r="J13" i="2"/>
  <c r="J14" i="2"/>
  <c r="J12" i="2"/>
  <c r="I13" i="2"/>
  <c r="I14" i="2"/>
  <c r="I15" i="2"/>
  <c r="I12" i="2"/>
  <c r="C13" i="2"/>
  <c r="C14" i="2"/>
  <c r="C15" i="2"/>
  <c r="C12" i="2"/>
  <c r="B13" i="2"/>
  <c r="B14" i="2"/>
  <c r="B15" i="2"/>
  <c r="B12" i="2"/>
  <c r="I11" i="4"/>
  <c r="I12" i="4"/>
  <c r="I13" i="4"/>
  <c r="I10" i="4" l="1"/>
  <c r="G4" i="3" l="1"/>
  <c r="D4" i="2"/>
  <c r="D3" i="2"/>
  <c r="J16" i="2" l="1"/>
  <c r="Q23" i="3" l="1"/>
  <c r="A10" i="3" l="1"/>
  <c r="G6" i="3" l="1"/>
  <c r="G7" i="3"/>
  <c r="G5" i="3"/>
</calcChain>
</file>

<file path=xl/sharedStrings.xml><?xml version="1.0" encoding="utf-8"?>
<sst xmlns="http://schemas.openxmlformats.org/spreadsheetml/2006/main" count="93" uniqueCount="81">
  <si>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</si>
  <si>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</si>
  <si>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</si>
  <si>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</si>
  <si>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</si>
  <si>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</si>
  <si>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</si>
  <si>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</si>
  <si>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</si>
  <si>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</si>
  <si>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</si>
  <si>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</si>
  <si>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</si>
  <si>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</si>
  <si>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</si>
  <si>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</si>
  <si>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</si>
  <si>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</si>
  <si>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</si>
  <si>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</si>
  <si>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</si>
  <si>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</si>
  <si>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</si>
  <si>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</si>
  <si>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</si>
  <si>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</si>
  <si>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</si>
  <si>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</si>
  <si>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</si>
  <si>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</si>
  <si>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</si>
  <si>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</si>
  <si>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</si>
  <si>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</si>
  <si>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</si>
  <si>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</si>
  <si>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</si>
  <si>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</si>
  <si>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</si>
  <si>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</si>
  <si>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</si>
  <si>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</si>
  <si>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</si>
  <si>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</si>
  <si>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</si>
  <si>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</si>
  <si>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</si>
  <si>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</si>
  <si>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</si>
  <si>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</si>
  <si>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</si>
  <si>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</si>
  <si>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</si>
  <si>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</si>
  <si>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UNIDAD</t>
  </si>
  <si>
    <t>COMPRIMIDO</t>
  </si>
  <si>
    <t>AMPOLLA</t>
  </si>
  <si>
    <t>Semestral</t>
  </si>
  <si>
    <t>xxx/2022</t>
  </si>
  <si>
    <t>2.5.2-4817.30</t>
  </si>
  <si>
    <t>ANTIHIPERTENSIVOS; TIPO: MONODROGA, DROGA GENERICA: CLONIDINA, FORMA FARMACEUTICA: AMPOLLA, PRESENTACION: 0,15 mGr</t>
  </si>
  <si>
    <t>2.5.2-4817.44</t>
  </si>
  <si>
    <t>ANTIHIPERTENSIVOS; TIPO: MONODROGA, DROGA GENERICA: NIFEDIPINA 30 MG, FORMA FARMACEUTICA: COMPRIMIDO, PRESENTACION: UNIDAD</t>
  </si>
  <si>
    <t>PROD. MEDICO/FARMACEUTICOS/LAB</t>
  </si>
  <si>
    <t>Productos Farmacéuticos y Medicinales</t>
  </si>
  <si>
    <t>Adquisición de DESIERTOS Y FRACASADOS TERCER TRIMESTRE</t>
  </si>
  <si>
    <t>ANTIEPILEPTICOS; TIPO: MONODROGA, FORMA FARMACEUTICA: AMPOLLA, PRESENTACION: 200 mGr, DROGA GENERICA: FENOBARBITAL</t>
  </si>
  <si>
    <t>2.5.2-1865.2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</si>
  <si>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</si>
  <si>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SUPLEMENTOS DIETARIOS; TIPO: ASOCIACION, DROGA GENERICA: S. PARENTERAL NEONATAL 0-500 ML, PRESENTACION: UNIDAD, ACCESORIO: CON FILTRO</t>
  </si>
  <si>
    <t>2.1.1-4227.19</t>
  </si>
  <si>
    <t xml:space="preserve">  28- Maternidad Provincial 25 de Mayo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</si>
  <si>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Del ITEMS 1 al 4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</si>
  <si>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10 DIAS HABILES</t>
    </r>
  </si>
  <si>
    <r>
      <t>Mantenimiento</t>
    </r>
    <r>
      <rPr>
        <sz val="10"/>
        <rFont val="Times New Roman"/>
        <family val="1"/>
      </rPr>
      <t>: 45 DIAS HABILES</t>
    </r>
  </si>
  <si>
    <t>169-Direccion Asistencial</t>
  </si>
  <si>
    <t>Servicio de Farmacia</t>
  </si>
  <si>
    <r>
      <rPr>
        <u/>
        <sz val="10"/>
        <rFont val="Times New Roman"/>
        <family val="1"/>
      </rPr>
      <t>Lugar de Entrega: SERVICIO DE FARMACIA</t>
    </r>
    <r>
      <rPr>
        <sz val="10"/>
        <rFont val="Times New Roman"/>
        <family val="1"/>
      </rPr>
      <t xml:space="preserve"> DE 08:00 A 12:00HS., DEBIENDO CORRER LOS GASTOS DE FLETES, ACARREO, CARGA, DESCARGA Y SEGURO A CARGO DEL ADJUDICATARIO.HERNANDO DE PEDRAZA 1650,</t>
    </r>
  </si>
  <si>
    <t>Para la adquisición de Desiertos y Fracasados 3° trimestre  destinados a la Maternidad Provincial 25 de Mayo</t>
  </si>
  <si>
    <t>Costo total estimado: DOS MILLONES SETECIENTOS OCHENTA Y TRES MIL CUATROCIENTOS  CON 00/100.</t>
  </si>
  <si>
    <t>TOTAL DE PESOS: DOS MILLONES SETECIENTOS OCHENTA Y TRES MIL CUATROCIENTOS 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</si>
</sst>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&quot;$&quot;\ * #,##0.00_-;\-&quot;$&quot;\ * #,##0.00_-;_-&quot;$&quot;\ * &quot;-&quot;??_-;_-@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2"/>
      <name val="Arial"/>
      <family val="2"/>
    </font>
    <font>
      <u/>
      <sz val="10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9">
    <xf numFmtId="0" fontId="0" fillId="0" borderId="0"/>
    <xf numFmtId="166" fontId="1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5" fillId="0" borderId="0"/>
    <xf numFmtId="0" fontId="15" fillId="0" borderId="0"/>
    <xf numFmtId="0" fontId="15" fillId="0" borderId="0"/>
    <xf numFmtId="0" fontId="1" fillId="0" borderId="0"/>
  </cellStyleXfs>
  <cellXfs count="133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2" xfId="0" applyBorder="1"/>
    <xf numFmtId="0" fontId="0" fillId="0" borderId="15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6" xfId="0" applyBorder="1"/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7" fontId="0" fillId="0" borderId="29" xfId="3" applyNumberFormat="1" applyFont="1" applyBorder="1" applyAlignment="1" applyProtection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6" fillId="3" borderId="2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0" fillId="3" borderId="0" xfId="0" applyFill="1"/>
    <xf numFmtId="0" fontId="6" fillId="3" borderId="4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 indent="1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6" fillId="3" borderId="0" xfId="5" applyFont="1" applyFill="1"/>
    <xf numFmtId="164" fontId="16" fillId="3" borderId="0" xfId="5" applyNumberFormat="1" applyFont="1" applyFill="1"/>
    <xf numFmtId="0" fontId="19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center" wrapText="1"/>
    </xf>
    <xf numFmtId="0" fontId="21" fillId="4" borderId="0" xfId="5" applyFont="1" applyFill="1" applyAlignment="1">
      <alignment horizontal="left" wrapText="1" indent="1"/>
    </xf>
    <xf numFmtId="0" fontId="20" fillId="3" borderId="0" xfId="5" applyFont="1" applyFill="1" applyAlignment="1">
      <alignment horizontal="left" wrapText="1"/>
    </xf>
    <xf numFmtId="0" fontId="16" fillId="3" borderId="0" xfId="5" applyFont="1" applyFill="1" applyAlignment="1">
      <alignment horizontal="center" vertical="center"/>
    </xf>
    <xf numFmtId="0" fontId="16" fillId="3" borderId="0" xfId="5" applyFont="1" applyFill="1" applyAlignment="1">
      <alignment vertical="center"/>
    </xf>
    <xf numFmtId="0" fontId="22" fillId="3" borderId="38" xfId="5" applyFont="1" applyFill="1" applyBorder="1" applyAlignment="1">
      <alignment horizontal="center" vertical="center" wrapText="1"/>
    </xf>
    <xf numFmtId="164" fontId="22" fillId="3" borderId="38" xfId="5" applyNumberFormat="1" applyFont="1" applyFill="1" applyBorder="1" applyAlignment="1">
      <alignment horizontal="center" vertical="center" wrapText="1"/>
    </xf>
    <xf numFmtId="0" fontId="19" fillId="3" borderId="0" xfId="5" applyFont="1" applyFill="1" applyAlignment="1">
      <alignment horizontal="left" vertical="center" wrapText="1"/>
    </xf>
    <xf numFmtId="0" fontId="16" fillId="3" borderId="0" xfId="5" applyFont="1" applyFill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167" fontId="5" fillId="3" borderId="6" xfId="1" applyNumberFormat="1" applyFont="1" applyFill="1" applyBorder="1" applyAlignment="1" applyProtection="1">
      <alignment horizontal="right" vertical="center" wrapText="1"/>
    </xf>
    <xf numFmtId="3" fontId="5" fillId="3" borderId="6" xfId="0" applyNumberFormat="1" applyFont="1" applyFill="1" applyBorder="1" applyAlignment="1">
      <alignment horizontal="center" vertical="center"/>
    </xf>
    <xf numFmtId="0" fontId="15" fillId="3" borderId="38" xfId="0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16" fillId="3" borderId="40" xfId="0" applyFont="1" applyFill="1" applyBorder="1"/>
    <xf numFmtId="0" fontId="16" fillId="3" borderId="41" xfId="0" applyFont="1" applyFill="1" applyBorder="1"/>
    <xf numFmtId="0" fontId="16" fillId="3" borderId="42" xfId="0" applyFont="1" applyFill="1" applyBorder="1"/>
    <xf numFmtId="0" fontId="16" fillId="3" borderId="43" xfId="6" applyFont="1" applyFill="1" applyBorder="1" applyAlignment="1">
      <alignment horizontal="left" wrapText="1"/>
    </xf>
    <xf numFmtId="0" fontId="16" fillId="3" borderId="0" xfId="6" applyFont="1" applyFill="1" applyAlignment="1">
      <alignment horizontal="left" wrapText="1"/>
    </xf>
    <xf numFmtId="0" fontId="16" fillId="3" borderId="44" xfId="6" applyFont="1" applyFill="1" applyBorder="1" applyAlignment="1">
      <alignment horizontal="left" wrapText="1"/>
    </xf>
    <xf numFmtId="0" fontId="27" fillId="0" borderId="43" xfId="7" applyFont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  <xf numFmtId="0" fontId="16" fillId="3" borderId="44" xfId="0" applyFont="1" applyFill="1" applyBorder="1" applyAlignment="1">
      <alignment horizontal="center" wrapText="1"/>
    </xf>
    <xf numFmtId="0" fontId="26" fillId="3" borderId="45" xfId="0" applyFont="1" applyFill="1" applyBorder="1"/>
    <xf numFmtId="0" fontId="16" fillId="3" borderId="46" xfId="0" applyFont="1" applyFill="1" applyBorder="1"/>
    <xf numFmtId="0" fontId="16" fillId="3" borderId="47" xfId="0" applyFont="1" applyFill="1" applyBorder="1"/>
    <xf numFmtId="0" fontId="15" fillId="3" borderId="38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center" vertical="center" wrapText="1"/>
    </xf>
    <xf numFmtId="44" fontId="15" fillId="3" borderId="38" xfId="1" applyNumberFormat="1" applyFill="1" applyBorder="1" applyAlignment="1">
      <alignment horizontal="center" vertical="center"/>
    </xf>
    <xf numFmtId="0" fontId="0" fillId="3" borderId="38" xfId="0" applyFill="1" applyBorder="1" applyAlignment="1">
      <alignment vertical="center" wrapText="1"/>
    </xf>
    <xf numFmtId="170" fontId="15" fillId="3" borderId="38" xfId="0" applyNumberFormat="1" applyFont="1" applyFill="1" applyBorder="1" applyAlignment="1">
      <alignment horizontal="center" vertical="center"/>
    </xf>
    <xf numFmtId="164" fontId="15" fillId="4" borderId="38" xfId="1" applyNumberFormat="1" applyFill="1" applyBorder="1" applyAlignment="1" applyProtection="1">
      <alignment horizontal="right" vertical="center" wrapText="1"/>
    </xf>
    <xf numFmtId="3" fontId="15" fillId="3" borderId="38" xfId="5" applyNumberFormat="1" applyFill="1" applyBorder="1" applyAlignment="1">
      <alignment horizontal="center" vertical="center"/>
    </xf>
    <xf numFmtId="0" fontId="15" fillId="3" borderId="38" xfId="5" applyFill="1" applyBorder="1" applyAlignment="1">
      <alignment horizontal="left" vertical="center"/>
    </xf>
    <xf numFmtId="0" fontId="23" fillId="3" borderId="38" xfId="5" applyFont="1" applyFill="1" applyBorder="1" applyAlignment="1">
      <alignment horizontal="center" vertical="center" wrapText="1"/>
    </xf>
    <xf numFmtId="0" fontId="15" fillId="3" borderId="38" xfId="5" applyFill="1" applyBorder="1" applyAlignment="1">
      <alignment vertical="center" wrapText="1"/>
    </xf>
    <xf numFmtId="0" fontId="15" fillId="3" borderId="38" xfId="5" applyFill="1" applyBorder="1" applyAlignment="1">
      <alignment horizontal="center" vertical="center"/>
    </xf>
    <xf numFmtId="44" fontId="15" fillId="3" borderId="38" xfId="1" applyNumberFormat="1" applyFill="1" applyBorder="1" applyAlignment="1">
      <alignment horizontal="right" vertical="center"/>
    </xf>
    <xf numFmtId="0" fontId="0" fillId="3" borderId="38" xfId="0" applyFill="1" applyBorder="1" applyAlignment="1">
      <alignment horizontal="center" vertical="center" wrapText="1"/>
    </xf>
    <xf numFmtId="0" fontId="16" fillId="3" borderId="43" xfId="0" applyFont="1" applyFill="1" applyBorder="1"/>
    <xf numFmtId="0" fontId="16" fillId="3" borderId="0" xfId="0" applyFont="1" applyFill="1"/>
    <xf numFmtId="0" fontId="16" fillId="3" borderId="44" xfId="0" applyFont="1" applyFill="1" applyBorder="1"/>
    <xf numFmtId="0" fontId="16" fillId="3" borderId="43" xfId="6" applyFont="1" applyFill="1" applyBorder="1" applyAlignment="1">
      <alignment horizontal="left" wrapText="1"/>
    </xf>
    <xf numFmtId="0" fontId="16" fillId="3" borderId="0" xfId="6" applyFont="1" applyFill="1" applyAlignment="1">
      <alignment horizontal="left" wrapText="1"/>
    </xf>
    <xf numFmtId="0" fontId="16" fillId="3" borderId="44" xfId="6" applyFont="1" applyFill="1" applyBorder="1" applyAlignment="1">
      <alignment horizontal="left" wrapText="1"/>
    </xf>
    <xf numFmtId="0" fontId="18" fillId="3" borderId="0" xfId="5" applyFont="1" applyFill="1" applyAlignment="1">
      <alignment horizontal="left" vertical="center" wrapText="1"/>
    </xf>
    <xf numFmtId="0" fontId="17" fillId="3" borderId="0" xfId="5" applyFont="1" applyFill="1" applyAlignment="1">
      <alignment horizontal="center"/>
    </xf>
    <xf numFmtId="0" fontId="21" fillId="4" borderId="0" xfId="5" applyFont="1" applyFill="1" applyAlignment="1">
      <alignment horizontal="left" wrapText="1" indent="1"/>
    </xf>
    <xf numFmtId="0" fontId="5" fillId="3" borderId="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 indent="1"/>
    </xf>
    <xf numFmtId="168" fontId="8" fillId="3" borderId="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/>
    </xf>
    <xf numFmtId="0" fontId="12" fillId="0" borderId="13" xfId="0" applyFont="1" applyBorder="1"/>
    <xf numFmtId="0" fontId="14" fillId="0" borderId="1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10" fillId="0" borderId="10" xfId="0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0" fillId="0" borderId="31" xfId="0" applyBorder="1" applyAlignment="1">
      <alignment horizontal="left" vertical="center"/>
    </xf>
    <xf numFmtId="0" fontId="0" fillId="0" borderId="12" xfId="0" applyBorder="1"/>
    <xf numFmtId="0" fontId="7" fillId="3" borderId="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 wrapText="1" indent="1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24" fillId="3" borderId="22" xfId="0" applyFont="1" applyFill="1" applyBorder="1" applyAlignment="1">
      <alignment horizontal="left" vertical="center" wrapText="1"/>
    </xf>
    <xf numFmtId="167" fontId="0" fillId="3" borderId="24" xfId="3" applyNumberFormat="1" applyFont="1" applyFill="1" applyBorder="1" applyAlignment="1" applyProtection="1">
      <alignment horizontal="center" vertical="center"/>
    </xf>
    <xf numFmtId="0" fontId="12" fillId="3" borderId="14" xfId="0" applyFont="1" applyFill="1" applyBorder="1" applyAlignment="1">
      <alignment horizontal="left" vertical="center" wrapText="1" indent="1"/>
    </xf>
    <xf numFmtId="0" fontId="3" fillId="3" borderId="3" xfId="0" applyFont="1" applyFill="1" applyBorder="1"/>
    <xf numFmtId="0" fontId="12" fillId="3" borderId="3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left" vertical="center" wrapText="1" indent="1"/>
    </xf>
    <xf numFmtId="167" fontId="14" fillId="3" borderId="34" xfId="0" applyNumberFormat="1" applyFont="1" applyFill="1" applyBorder="1" applyAlignment="1">
      <alignment horizontal="center" vertical="center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3"/>
  <sheetViews>
    <sheetView tabSelected="1" topLeftCell="A5" zoomScale="80" zoomScaleNormal="80" workbookViewId="0">
      <selection activeCell="K11" sqref="K11"/>
    </sheetView>
  </sheetViews>
  <sheetFormatPr baseColWidth="10" defaultColWidth="11" defaultRowHeight="12.75" x14ac:dyDescent="0.2"/>
  <cols>
    <col min="1" max="1" width="4.5703125" style="38" customWidth="1"/>
    <col min="2" max="2" width="14" style="49" customWidth="1"/>
    <col min="3" max="3" width="35.85546875" style="38" bestFit="1" customWidth="1"/>
    <col min="4" max="4" width="8.5703125" style="38" customWidth="1"/>
    <col min="5" max="5" width="71.85546875" style="38" customWidth="1"/>
    <col min="6" max="6" width="14.7109375" style="38" customWidth="1"/>
    <col min="7" max="7" width="10.42578125" style="38" bestFit="1" customWidth="1"/>
    <col min="8" max="8" width="15.7109375" style="38" customWidth="1"/>
    <col min="9" max="9" width="18.42578125" style="39" customWidth="1"/>
    <col min="10" max="16384" width="11" style="38"/>
  </cols>
  <sheetData>
    <row r="2" spans="1:10" ht="27" x14ac:dyDescent="0.35">
      <c r="B2" s="91" t="s">
        <v>0</v>
      </c>
      <c r="C2" s="91"/>
      <c r="D2" s="91"/>
      <c r="E2" s="91"/>
      <c r="F2" s="91"/>
      <c r="G2" s="91"/>
      <c r="H2" s="91"/>
    </row>
    <row r="3" spans="1:10" ht="12" customHeight="1" x14ac:dyDescent="0.2"/>
    <row r="4" spans="1:10" ht="18" customHeight="1" x14ac:dyDescent="0.25">
      <c r="A4" s="90" t="s">
        <v>1</v>
      </c>
      <c r="B4" s="90"/>
      <c r="C4" s="92" t="s">
        <v>51</v>
      </c>
      <c r="D4" s="92"/>
      <c r="E4" s="92"/>
      <c r="F4" s="40"/>
      <c r="G4" s="41"/>
      <c r="H4" s="40"/>
    </row>
    <row r="5" spans="1:10" ht="18" customHeight="1" x14ac:dyDescent="0.25">
      <c r="A5" s="90" t="s">
        <v>2</v>
      </c>
      <c r="B5" s="90"/>
      <c r="C5" s="92" t="s">
        <v>71</v>
      </c>
      <c r="D5" s="92"/>
      <c r="E5" s="92"/>
      <c r="F5" s="40"/>
      <c r="G5" s="41"/>
      <c r="H5" s="40"/>
    </row>
    <row r="6" spans="1:10" ht="16.5" customHeight="1" x14ac:dyDescent="0.25">
      <c r="A6" s="90" t="s">
        <v>3</v>
      </c>
      <c r="B6" s="90"/>
      <c r="C6" s="42">
        <v>2022</v>
      </c>
      <c r="D6" s="43"/>
      <c r="E6" s="43"/>
      <c r="F6" s="40"/>
      <c r="G6" s="41"/>
      <c r="H6" s="40"/>
    </row>
    <row r="7" spans="1:10" ht="16.5" customHeight="1" x14ac:dyDescent="0.25">
      <c r="A7" s="90" t="s">
        <v>4</v>
      </c>
      <c r="B7" s="90"/>
      <c r="C7" s="42">
        <v>4</v>
      </c>
      <c r="D7" s="43"/>
      <c r="E7" s="43"/>
      <c r="F7" s="40"/>
      <c r="G7" s="41"/>
      <c r="H7" s="40"/>
    </row>
    <row r="8" spans="1:10" x14ac:dyDescent="0.2">
      <c r="B8" s="48"/>
      <c r="C8" s="41"/>
      <c r="D8" s="40"/>
      <c r="E8" s="40"/>
      <c r="F8" s="40"/>
      <c r="G8" s="41"/>
      <c r="H8" s="40"/>
    </row>
    <row r="9" spans="1:10" s="44" customFormat="1" ht="38.25" x14ac:dyDescent="0.2">
      <c r="A9" s="46" t="s">
        <v>5</v>
      </c>
      <c r="B9" s="46" t="s">
        <v>6</v>
      </c>
      <c r="C9" s="46" t="s">
        <v>7</v>
      </c>
      <c r="D9" s="46" t="s">
        <v>8</v>
      </c>
      <c r="E9" s="46" t="s">
        <v>9</v>
      </c>
      <c r="F9" s="46" t="s">
        <v>10</v>
      </c>
      <c r="G9" s="46" t="s">
        <v>11</v>
      </c>
      <c r="H9" s="46" t="s">
        <v>12</v>
      </c>
      <c r="I9" s="47" t="s">
        <v>13</v>
      </c>
    </row>
    <row r="10" spans="1:10" s="45" customFormat="1" ht="46.5" customHeight="1" x14ac:dyDescent="0.2">
      <c r="A10" s="57">
        <v>1</v>
      </c>
      <c r="B10" s="78" t="s">
        <v>59</v>
      </c>
      <c r="C10" s="78" t="s">
        <v>63</v>
      </c>
      <c r="D10" s="79">
        <v>252</v>
      </c>
      <c r="E10" s="80" t="s">
        <v>60</v>
      </c>
      <c r="F10" s="81" t="s">
        <v>56</v>
      </c>
      <c r="G10" s="77">
        <v>300</v>
      </c>
      <c r="H10" s="73">
        <v>75</v>
      </c>
      <c r="I10" s="76">
        <f t="shared" ref="I10:I13" si="0">+G10*H10</f>
        <v>22500</v>
      </c>
    </row>
    <row r="11" spans="1:10" s="45" customFormat="1" ht="48" customHeight="1" x14ac:dyDescent="0.2">
      <c r="A11" s="56">
        <v>2</v>
      </c>
      <c r="B11" s="78" t="s">
        <v>61</v>
      </c>
      <c r="C11" s="78" t="s">
        <v>63</v>
      </c>
      <c r="D11" s="79">
        <v>252</v>
      </c>
      <c r="E11" s="80" t="s">
        <v>62</v>
      </c>
      <c r="F11" s="81" t="s">
        <v>55</v>
      </c>
      <c r="G11" s="77">
        <v>300</v>
      </c>
      <c r="H11" s="82">
        <v>23</v>
      </c>
      <c r="I11" s="76">
        <f t="shared" si="0"/>
        <v>6900</v>
      </c>
    </row>
    <row r="12" spans="1:10" s="45" customFormat="1" ht="56.25" customHeight="1" x14ac:dyDescent="0.2">
      <c r="A12" s="56">
        <v>3</v>
      </c>
      <c r="B12" s="71" t="s">
        <v>67</v>
      </c>
      <c r="C12" s="78" t="s">
        <v>63</v>
      </c>
      <c r="D12" s="79">
        <v>252</v>
      </c>
      <c r="E12" s="83" t="s">
        <v>66</v>
      </c>
      <c r="F12" s="56" t="s">
        <v>56</v>
      </c>
      <c r="G12" s="77">
        <v>200</v>
      </c>
      <c r="H12" s="73">
        <v>480</v>
      </c>
      <c r="I12" s="76">
        <f t="shared" si="0"/>
        <v>96000</v>
      </c>
      <c r="J12" s="58"/>
    </row>
    <row r="13" spans="1:10" s="45" customFormat="1" ht="69" customHeight="1" x14ac:dyDescent="0.2">
      <c r="A13" s="56">
        <v>4</v>
      </c>
      <c r="B13" s="71" t="s">
        <v>70</v>
      </c>
      <c r="C13" s="71" t="s">
        <v>63</v>
      </c>
      <c r="D13" s="72">
        <v>252</v>
      </c>
      <c r="E13" s="74" t="s">
        <v>69</v>
      </c>
      <c r="F13" s="56" t="s">
        <v>54</v>
      </c>
      <c r="G13" s="77">
        <v>300</v>
      </c>
      <c r="H13" s="75">
        <v>8860</v>
      </c>
      <c r="I13" s="76">
        <f t="shared" si="0"/>
        <v>2658000</v>
      </c>
      <c r="J13" s="58"/>
    </row>
    <row r="14" spans="1:10" ht="13.5" thickBot="1" x14ac:dyDescent="0.25"/>
    <row r="15" spans="1:10" x14ac:dyDescent="0.2">
      <c r="B15" s="59" t="s">
        <v>72</v>
      </c>
      <c r="C15" s="60"/>
      <c r="D15" s="60"/>
      <c r="E15" s="61"/>
    </row>
    <row r="16" spans="1:10" x14ac:dyDescent="0.2">
      <c r="B16" s="84"/>
      <c r="C16" s="85"/>
      <c r="D16" s="85"/>
      <c r="E16" s="86"/>
    </row>
    <row r="17" spans="2:5" x14ac:dyDescent="0.2">
      <c r="B17" s="87" t="s">
        <v>77</v>
      </c>
      <c r="C17" s="88"/>
      <c r="D17" s="88"/>
      <c r="E17" s="89"/>
    </row>
    <row r="18" spans="2:5" x14ac:dyDescent="0.2">
      <c r="B18" s="87"/>
      <c r="C18" s="88"/>
      <c r="D18" s="88"/>
      <c r="E18" s="89"/>
    </row>
    <row r="19" spans="2:5" x14ac:dyDescent="0.2">
      <c r="B19" s="62"/>
      <c r="C19" s="63"/>
      <c r="D19" s="63"/>
      <c r="E19" s="64"/>
    </row>
    <row r="20" spans="2:5" x14ac:dyDescent="0.2">
      <c r="B20" s="87" t="s">
        <v>73</v>
      </c>
      <c r="C20" s="88"/>
      <c r="D20" s="88"/>
      <c r="E20" s="89"/>
    </row>
    <row r="21" spans="2:5" x14ac:dyDescent="0.2">
      <c r="B21" s="62"/>
      <c r="C21" s="63"/>
      <c r="D21" s="63"/>
      <c r="E21" s="64"/>
    </row>
    <row r="22" spans="2:5" ht="45" x14ac:dyDescent="0.2">
      <c r="B22" s="65" t="s">
        <v>68</v>
      </c>
      <c r="C22" s="66"/>
      <c r="D22" s="66"/>
      <c r="E22" s="67"/>
    </row>
    <row r="23" spans="2:5" ht="13.5" thickBot="1" x14ac:dyDescent="0.25">
      <c r="B23" s="68" t="s">
        <v>74</v>
      </c>
      <c r="C23" s="69"/>
      <c r="D23" s="69"/>
      <c r="E23" s="70"/>
    </row>
  </sheetData>
  <mergeCells count="9">
    <mergeCell ref="B17:E18"/>
    <mergeCell ref="B20:E20"/>
    <mergeCell ref="A6:B6"/>
    <mergeCell ref="A7:B7"/>
    <mergeCell ref="B2:H2"/>
    <mergeCell ref="A4:B4"/>
    <mergeCell ref="C4:E4"/>
    <mergeCell ref="A5:B5"/>
    <mergeCell ref="C5:E5"/>
  </mergeCells>
  <conditionalFormatting sqref="B22">
    <cfRule type="duplicateValues" dxfId="3" priority="1"/>
  </conditionalFormatting>
  <conditionalFormatting sqref="B22">
    <cfRule type="duplicateValues" dxfId="2" priority="2"/>
  </conditionalFormatting>
  <conditionalFormatting sqref="B22">
    <cfRule type="duplicateValues" dxfId="1" priority="3"/>
  </conditionalFormatting>
  <conditionalFormatting sqref="B22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topLeftCell="A8" zoomScale="90" zoomScaleNormal="90" workbookViewId="0">
      <selection activeCell="C15" sqref="C15:G15"/>
    </sheetView>
  </sheetViews>
  <sheetFormatPr baseColWidth="10" defaultColWidth="9.140625" defaultRowHeight="12.75" x14ac:dyDescent="0.2"/>
  <cols>
    <col min="1" max="1" width="5.5703125" style="29" customWidth="1"/>
    <col min="2" max="2" width="15.140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48.5703125" style="29" customWidth="1"/>
    <col min="8" max="8" width="9.28515625" style="29" customWidth="1"/>
    <col min="9" max="9" width="15.5703125" style="29" customWidth="1"/>
    <col min="10" max="10" width="14.7109375" style="29" customWidth="1"/>
    <col min="11" max="11" width="15.570312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30"/>
  </cols>
  <sheetData>
    <row r="1" spans="1:11" ht="16.5" thickBot="1" x14ac:dyDescent="0.25">
      <c r="A1" s="94" t="s">
        <v>14</v>
      </c>
      <c r="B1" s="94"/>
      <c r="C1" s="94"/>
      <c r="D1" s="94"/>
      <c r="E1" s="94"/>
      <c r="F1" s="94"/>
      <c r="G1" s="94"/>
      <c r="H1" s="94"/>
      <c r="I1" s="94"/>
      <c r="J1" s="28" t="s">
        <v>15</v>
      </c>
      <c r="K1" s="116" t="s">
        <v>58</v>
      </c>
    </row>
    <row r="2" spans="1:11" ht="16.5" thickBot="1" x14ac:dyDescent="0.25">
      <c r="A2" s="31"/>
      <c r="B2" s="31"/>
      <c r="C2" s="31"/>
      <c r="D2" s="32"/>
      <c r="E2" s="32"/>
      <c r="F2" s="32"/>
      <c r="G2" s="32"/>
      <c r="H2" s="32"/>
      <c r="I2" s="32"/>
      <c r="J2" s="32"/>
      <c r="K2" s="32"/>
    </row>
    <row r="3" spans="1:11" ht="16.5" thickBot="1" x14ac:dyDescent="0.25">
      <c r="A3" s="95" t="s">
        <v>48</v>
      </c>
      <c r="B3" s="95"/>
      <c r="C3" s="95"/>
      <c r="D3" s="96" t="str">
        <f>+'Necesidades Trimestrales '!C4</f>
        <v>040 - Ministerio de Salud</v>
      </c>
      <c r="E3" s="96"/>
      <c r="F3" s="96"/>
      <c r="G3" s="96"/>
      <c r="H3" s="96"/>
      <c r="I3" s="96"/>
      <c r="J3" s="96"/>
      <c r="K3" s="96"/>
    </row>
    <row r="4" spans="1:11" ht="16.5" thickBot="1" x14ac:dyDescent="0.25">
      <c r="A4" s="117" t="s">
        <v>49</v>
      </c>
      <c r="B4" s="117"/>
      <c r="C4" s="117"/>
      <c r="D4" s="96" t="str">
        <f>+'Necesidades Trimestrales '!C5</f>
        <v xml:space="preserve">  28- Maternidad Provincial 25 de Mayo</v>
      </c>
      <c r="E4" s="96"/>
      <c r="F4" s="96"/>
      <c r="G4" s="96"/>
      <c r="H4" s="96"/>
      <c r="I4" s="96"/>
      <c r="J4" s="96"/>
      <c r="K4" s="96"/>
    </row>
    <row r="5" spans="1:11" ht="16.5" thickBot="1" x14ac:dyDescent="0.25">
      <c r="A5" s="117" t="s">
        <v>27</v>
      </c>
      <c r="B5" s="117"/>
      <c r="C5" s="117"/>
      <c r="D5" s="96" t="s">
        <v>75</v>
      </c>
      <c r="E5" s="96"/>
      <c r="F5" s="96"/>
      <c r="G5" s="96"/>
      <c r="H5" s="96"/>
      <c r="I5" s="96"/>
      <c r="J5" s="96"/>
      <c r="K5" s="96"/>
    </row>
    <row r="6" spans="1:11" ht="16.5" thickBot="1" x14ac:dyDescent="0.25">
      <c r="A6" s="95" t="s">
        <v>50</v>
      </c>
      <c r="B6" s="95"/>
      <c r="C6" s="95"/>
      <c r="D6" s="96" t="s">
        <v>76</v>
      </c>
      <c r="E6" s="96"/>
      <c r="F6" s="96"/>
      <c r="G6" s="96"/>
      <c r="H6" s="96"/>
      <c r="I6" s="96"/>
      <c r="J6" s="96"/>
      <c r="K6" s="96"/>
    </row>
    <row r="7" spans="1:11" ht="16.5" thickBot="1" x14ac:dyDescent="0.25">
      <c r="A7" s="117" t="s">
        <v>16</v>
      </c>
      <c r="B7" s="117"/>
      <c r="C7" s="117"/>
      <c r="D7" s="96" t="s">
        <v>57</v>
      </c>
      <c r="E7" s="96"/>
      <c r="F7" s="96"/>
      <c r="G7" s="96"/>
      <c r="H7" s="96"/>
      <c r="I7" s="96"/>
      <c r="J7" s="96"/>
      <c r="K7" s="96"/>
    </row>
    <row r="8" spans="1:11" ht="16.5" thickBot="1" x14ac:dyDescent="0.25">
      <c r="A8" s="118" t="s">
        <v>17</v>
      </c>
      <c r="B8" s="118"/>
      <c r="C8" s="118"/>
      <c r="D8" s="119" t="s">
        <v>65</v>
      </c>
      <c r="E8" s="119"/>
      <c r="F8" s="119"/>
      <c r="G8" s="119"/>
      <c r="H8" s="119"/>
      <c r="I8" s="119"/>
      <c r="J8" s="119"/>
      <c r="K8" s="119"/>
    </row>
    <row r="9" spans="1:11" ht="16.5" thickBot="1" x14ac:dyDescent="0.25">
      <c r="A9" s="33"/>
      <c r="B9" s="33"/>
      <c r="C9" s="33"/>
      <c r="D9" s="34"/>
      <c r="E9" s="34"/>
      <c r="F9" s="34"/>
      <c r="G9" s="34"/>
      <c r="H9" s="34"/>
      <c r="I9" s="34"/>
      <c r="J9" s="34"/>
      <c r="K9" s="34"/>
    </row>
    <row r="10" spans="1:11" ht="33.75" customHeight="1" thickBot="1" x14ac:dyDescent="0.25">
      <c r="A10" s="98" t="s">
        <v>18</v>
      </c>
      <c r="B10" s="99" t="s">
        <v>19</v>
      </c>
      <c r="C10" s="99" t="s">
        <v>20</v>
      </c>
      <c r="D10" s="99"/>
      <c r="E10" s="99"/>
      <c r="F10" s="99"/>
      <c r="G10" s="99"/>
      <c r="H10" s="99" t="s">
        <v>21</v>
      </c>
      <c r="I10" s="99" t="s">
        <v>22</v>
      </c>
      <c r="J10" s="99" t="s">
        <v>23</v>
      </c>
      <c r="K10" s="99" t="s">
        <v>24</v>
      </c>
    </row>
    <row r="11" spans="1:11" ht="33.75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99"/>
    </row>
    <row r="12" spans="1:11" ht="41.25" customHeight="1" thickBot="1" x14ac:dyDescent="0.25">
      <c r="A12" s="50">
        <v>1</v>
      </c>
      <c r="B12" s="51" t="str">
        <f>+'Necesidades Trimestrales '!B10</f>
        <v>2.5.2-4817.30</v>
      </c>
      <c r="C12" s="93" t="str">
        <f>+'Necesidades Trimestrales '!E10</f>
        <v>ANTIHIPERTENSIVOS; TIPO: MONODROGA, DROGA GENERICA: CLONIDINA, FORMA FARMACEUTICA: AMPOLLA, PRESENTACION: 0,15 mGr</v>
      </c>
      <c r="D12" s="93"/>
      <c r="E12" s="93"/>
      <c r="F12" s="93"/>
      <c r="G12" s="93"/>
      <c r="H12" s="52" t="s">
        <v>53</v>
      </c>
      <c r="I12" s="53" t="str">
        <f>+'Necesidades Trimestrales '!F10</f>
        <v>AMPOLLA</v>
      </c>
      <c r="J12" s="54">
        <f>+'Necesidades Trimestrales '!H10</f>
        <v>75</v>
      </c>
      <c r="K12" s="55">
        <f>+'Necesidades Trimestrales '!G10</f>
        <v>300</v>
      </c>
    </row>
    <row r="13" spans="1:11" ht="41.25" customHeight="1" thickBot="1" x14ac:dyDescent="0.25">
      <c r="A13" s="50">
        <v>2</v>
      </c>
      <c r="B13" s="51" t="str">
        <f>+'Necesidades Trimestrales '!B11</f>
        <v>2.5.2-4817.44</v>
      </c>
      <c r="C13" s="93" t="str">
        <f>+'Necesidades Trimestrales '!E11</f>
        <v>ANTIHIPERTENSIVOS; TIPO: MONODROGA, DROGA GENERICA: NIFEDIPINA 30 MG, FORMA FARMACEUTICA: COMPRIMIDO, PRESENTACION: UNIDAD</v>
      </c>
      <c r="D13" s="93"/>
      <c r="E13" s="93"/>
      <c r="F13" s="93"/>
      <c r="G13" s="93"/>
      <c r="H13" s="52" t="s">
        <v>53</v>
      </c>
      <c r="I13" s="53" t="str">
        <f>+'Necesidades Trimestrales '!F11</f>
        <v>COMPRIMIDO</v>
      </c>
      <c r="J13" s="54">
        <f>+'Necesidades Trimestrales '!H11</f>
        <v>23</v>
      </c>
      <c r="K13" s="55">
        <f>+'Necesidades Trimestrales '!G11</f>
        <v>300</v>
      </c>
    </row>
    <row r="14" spans="1:11" ht="41.25" customHeight="1" thickBot="1" x14ac:dyDescent="0.25">
      <c r="A14" s="50">
        <v>3</v>
      </c>
      <c r="B14" s="51" t="str">
        <f>+'Necesidades Trimestrales '!B12</f>
        <v>2.5.2-1865.2</v>
      </c>
      <c r="C14" s="93" t="str">
        <f>+'Necesidades Trimestrales '!E12</f>
        <v>ANTIEPILEPTICOS; TIPO: MONODROGA, FORMA FARMACEUTICA: AMPOLLA, PRESENTACION: 200 mGr, DROGA GENERICA: FENOBARBITAL</v>
      </c>
      <c r="D14" s="93"/>
      <c r="E14" s="93"/>
      <c r="F14" s="93"/>
      <c r="G14" s="93"/>
      <c r="H14" s="52" t="s">
        <v>53</v>
      </c>
      <c r="I14" s="53" t="str">
        <f>+'Necesidades Trimestrales '!F12</f>
        <v>AMPOLLA</v>
      </c>
      <c r="J14" s="54">
        <f>+'Necesidades Trimestrales '!H12</f>
        <v>480</v>
      </c>
      <c r="K14" s="55">
        <f>+'Necesidades Trimestrales '!G12</f>
        <v>200</v>
      </c>
    </row>
    <row r="15" spans="1:11" ht="41.25" customHeight="1" thickBot="1" x14ac:dyDescent="0.25">
      <c r="A15" s="50">
        <v>4</v>
      </c>
      <c r="B15" s="51" t="str">
        <f>+'Necesidades Trimestrales '!B13</f>
        <v>2.1.1-4227.19</v>
      </c>
      <c r="C15" s="93" t="str">
        <f>+'Necesidades Trimestrales '!E13</f>
        <v>SUPLEMENTOS DIETARIOS; TIPO: ASOCIACION, DROGA GENERICA: S. PARENTERAL NEONATAL 0-500 ML, PRESENTACION: UNIDAD, ACCESORIO: CON FILTRO</v>
      </c>
      <c r="D15" s="93"/>
      <c r="E15" s="93"/>
      <c r="F15" s="93"/>
      <c r="G15" s="93"/>
      <c r="H15" s="52" t="s">
        <v>53</v>
      </c>
      <c r="I15" s="53" t="str">
        <f>+'Necesidades Trimestrales '!F13</f>
        <v>UNIDAD</v>
      </c>
      <c r="J15" s="54">
        <v>8860</v>
      </c>
      <c r="K15" s="55">
        <f>+'Necesidades Trimestrales '!G13</f>
        <v>300</v>
      </c>
    </row>
    <row r="16" spans="1:11" ht="16.5" thickBot="1" x14ac:dyDescent="0.25">
      <c r="A16" s="96" t="s">
        <v>79</v>
      </c>
      <c r="B16" s="96"/>
      <c r="C16" s="96"/>
      <c r="D16" s="96"/>
      <c r="E16" s="96"/>
      <c r="F16" s="96"/>
      <c r="G16" s="96"/>
      <c r="H16" s="96"/>
      <c r="I16" s="96"/>
      <c r="J16" s="97">
        <f>SUMPRODUCT(J12:J15,K12:K15)</f>
        <v>2783400</v>
      </c>
      <c r="K16" s="97"/>
    </row>
  </sheetData>
  <mergeCells count="26">
    <mergeCell ref="C13:G13"/>
    <mergeCell ref="C14:G14"/>
    <mergeCell ref="C15:G15"/>
    <mergeCell ref="A16:I16"/>
    <mergeCell ref="J16:K16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17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0" t="s">
        <v>3</v>
      </c>
      <c r="B1" s="100"/>
      <c r="C1" s="100"/>
      <c r="D1" s="101">
        <v>2022</v>
      </c>
      <c r="E1" s="101"/>
      <c r="F1" s="2"/>
      <c r="G1" s="2"/>
      <c r="H1" s="3"/>
      <c r="I1" s="3"/>
      <c r="J1" s="3"/>
      <c r="K1" s="3"/>
      <c r="L1" s="3"/>
      <c r="M1" s="3"/>
      <c r="N1" s="3"/>
      <c r="P1" s="102" t="s">
        <v>25</v>
      </c>
      <c r="Q1" s="102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02"/>
      <c r="Q2" s="102"/>
    </row>
    <row r="4" spans="1:17" s="4" customFormat="1" ht="18" customHeight="1" thickBot="1" x14ac:dyDescent="0.25">
      <c r="A4" s="125" t="s">
        <v>26</v>
      </c>
      <c r="B4" s="125"/>
      <c r="C4" s="125"/>
      <c r="D4" s="125"/>
      <c r="E4" s="125"/>
      <c r="F4" s="125"/>
      <c r="G4" s="126" t="str">
        <f>+'Necesidades Trimestrales '!C4</f>
        <v>040 -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4" customFormat="1" ht="18" customHeight="1" thickBot="1" x14ac:dyDescent="0.25">
      <c r="A5" s="127" t="s">
        <v>49</v>
      </c>
      <c r="B5" s="128"/>
      <c r="C5" s="128"/>
      <c r="D5" s="128"/>
      <c r="E5" s="128"/>
      <c r="F5" s="129"/>
      <c r="G5" s="126" t="str">
        <f>' NotaPedido'!D4</f>
        <v xml:space="preserve">  28- Maternidad Provincial 25 de Mayo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4" customFormat="1" ht="18" customHeight="1" thickBot="1" x14ac:dyDescent="0.25">
      <c r="A6" s="127" t="s">
        <v>27</v>
      </c>
      <c r="B6" s="128"/>
      <c r="C6" s="128"/>
      <c r="D6" s="128"/>
      <c r="E6" s="128"/>
      <c r="F6" s="129"/>
      <c r="G6" s="126" t="str">
        <f>' NotaPedido'!D5</f>
        <v>169-Direccion Asistencial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4" customFormat="1" ht="18" customHeight="1" thickBot="1" x14ac:dyDescent="0.25">
      <c r="A7" s="127" t="s">
        <v>50</v>
      </c>
      <c r="B7" s="128"/>
      <c r="C7" s="128"/>
      <c r="D7" s="128"/>
      <c r="E7" s="128"/>
      <c r="F7" s="129"/>
      <c r="G7" s="126" t="str">
        <f>' NotaPedido'!D6</f>
        <v>Servicio de Farmacia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03" t="s">
        <v>28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</row>
    <row r="9" spans="1:17" ht="18" customHeight="1" x14ac:dyDescent="0.2">
      <c r="A9" s="104" t="s">
        <v>29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Q9" s="5"/>
    </row>
    <row r="10" spans="1:17" ht="54.75" customHeight="1" x14ac:dyDescent="0.2">
      <c r="A10" s="12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05" t="s">
        <v>30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</row>
    <row r="13" spans="1:17" ht="15.75" customHeight="1" x14ac:dyDescent="0.2">
      <c r="A13" s="106" t="s">
        <v>31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7" t="s">
        <v>32</v>
      </c>
      <c r="P13" s="107"/>
      <c r="Q13" s="108" t="s">
        <v>33</v>
      </c>
    </row>
    <row r="14" spans="1:17" ht="15.75" customHeight="1" x14ac:dyDescent="0.2">
      <c r="A14" s="10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2" t="s">
        <v>40</v>
      </c>
      <c r="H14" s="11" t="s">
        <v>41</v>
      </c>
      <c r="I14" s="11" t="s">
        <v>42</v>
      </c>
      <c r="J14" s="11" t="s">
        <v>43</v>
      </c>
      <c r="K14" s="11" t="s">
        <v>43</v>
      </c>
      <c r="L14" s="11" t="s">
        <v>44</v>
      </c>
      <c r="M14" s="13" t="s">
        <v>45</v>
      </c>
      <c r="N14" s="14" t="s">
        <v>46</v>
      </c>
      <c r="O14" s="107"/>
      <c r="P14" s="107"/>
      <c r="Q14" s="108"/>
    </row>
    <row r="15" spans="1:17" ht="17.25" customHeight="1" x14ac:dyDescent="0.2">
      <c r="A15" s="120">
        <v>42</v>
      </c>
      <c r="B15" s="35"/>
      <c r="C15" s="35"/>
      <c r="D15" s="35">
        <v>2</v>
      </c>
      <c r="E15" s="35"/>
      <c r="F15" s="35">
        <v>4901</v>
      </c>
      <c r="G15" s="35">
        <v>3</v>
      </c>
      <c r="H15" s="35">
        <v>310</v>
      </c>
      <c r="I15" s="121">
        <v>2</v>
      </c>
      <c r="J15" s="121">
        <v>5</v>
      </c>
      <c r="K15" s="121">
        <v>2</v>
      </c>
      <c r="L15" s="35"/>
      <c r="M15" s="36">
        <v>1</v>
      </c>
      <c r="N15" s="37" t="s">
        <v>52</v>
      </c>
      <c r="O15" s="122" t="s">
        <v>64</v>
      </c>
      <c r="P15" s="122"/>
      <c r="Q15" s="123">
        <v>2783400</v>
      </c>
    </row>
    <row r="16" spans="1:17" ht="17.25" customHeight="1" x14ac:dyDescent="0.2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8"/>
      <c r="O16" s="109"/>
      <c r="P16" s="109"/>
      <c r="Q16" s="19"/>
    </row>
    <row r="17" spans="1:17" ht="17.25" customHeight="1" x14ac:dyDescent="0.2">
      <c r="A17" s="15"/>
      <c r="B17" s="16"/>
      <c r="C17" s="16"/>
      <c r="D17" s="16"/>
      <c r="E17" s="16"/>
      <c r="F17" s="18"/>
      <c r="G17" s="16"/>
      <c r="H17" s="16"/>
      <c r="I17" s="16"/>
      <c r="J17" s="16"/>
      <c r="K17" s="16"/>
      <c r="L17" s="16"/>
      <c r="M17" s="17"/>
      <c r="N17" s="18"/>
      <c r="O17" s="109"/>
      <c r="P17" s="109"/>
      <c r="Q17" s="19"/>
    </row>
    <row r="18" spans="1:17" ht="17.25" customHeight="1" x14ac:dyDescent="0.2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8"/>
      <c r="O18" s="109"/>
      <c r="P18" s="109"/>
      <c r="Q18" s="19"/>
    </row>
    <row r="19" spans="1:17" ht="17.25" customHeight="1" x14ac:dyDescent="0.2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09"/>
      <c r="P19" s="109"/>
      <c r="Q19" s="19"/>
    </row>
    <row r="20" spans="1:17" ht="17.25" customHeight="1" x14ac:dyDescent="0.2">
      <c r="A20" s="15"/>
      <c r="B20" s="16"/>
      <c r="C20" s="16"/>
      <c r="D20" s="16"/>
      <c r="E20" s="16"/>
      <c r="F20" s="18"/>
      <c r="G20" s="16"/>
      <c r="H20" s="16"/>
      <c r="I20" s="16"/>
      <c r="J20" s="16"/>
      <c r="K20" s="16"/>
      <c r="L20" s="16"/>
      <c r="M20" s="17"/>
      <c r="N20" s="18"/>
      <c r="O20" s="109"/>
      <c r="P20" s="109"/>
      <c r="Q20" s="19"/>
    </row>
    <row r="21" spans="1:17" ht="17.25" customHeight="1" x14ac:dyDescent="0.2">
      <c r="A21" s="20"/>
      <c r="B21" s="21"/>
      <c r="C21" s="21"/>
      <c r="D21" s="21"/>
      <c r="E21" s="21"/>
      <c r="F21" s="18"/>
      <c r="G21" s="21"/>
      <c r="H21" s="21"/>
      <c r="I21" s="21"/>
      <c r="J21" s="21"/>
      <c r="K21" s="21"/>
      <c r="L21" s="21"/>
      <c r="M21" s="22"/>
      <c r="N21" s="23"/>
      <c r="O21" s="109"/>
      <c r="P21" s="109"/>
      <c r="Q21" s="19"/>
    </row>
    <row r="22" spans="1:17" ht="17.25" customHeight="1" x14ac:dyDescent="0.2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5"/>
      <c r="O22" s="114"/>
      <c r="P22" s="114"/>
      <c r="Q22" s="27"/>
    </row>
    <row r="23" spans="1:17" ht="29.25" customHeight="1" x14ac:dyDescent="0.2">
      <c r="A23" s="130" t="s">
        <v>80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2">
        <f>SUM(Q15:Q22)</f>
        <v>2783400</v>
      </c>
    </row>
    <row r="24" spans="1:17" ht="18" customHeight="1" thickBot="1" x14ac:dyDescent="0.25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</row>
    <row r="25" spans="1:17" ht="17.25" customHeight="1" thickBot="1" x14ac:dyDescent="0.25">
      <c r="A25" s="110" t="s">
        <v>47</v>
      </c>
      <c r="B25" s="111"/>
      <c r="C25" s="111"/>
      <c r="D25" s="111"/>
      <c r="E25" s="111"/>
      <c r="F25" s="112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</row>
    <row r="26" spans="1:17" ht="18" customHeight="1" thickBot="1" x14ac:dyDescent="0.25">
      <c r="A26" s="131" t="s">
        <v>78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  <row r="27" spans="1:17" ht="15" customHeight="1" x14ac:dyDescent="0.2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2022-11-03T13:35:26Z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