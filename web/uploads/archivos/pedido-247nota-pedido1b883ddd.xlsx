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45" windowWidth="16605" windowHeight="9435" tabRatio="500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0" i="1"/>
  <c r="I12"/>
  <c r="I13" l="1"/>
  <c r="I11"/>
  <c r="D11"/>
  <c r="I13" i="2"/>
  <c r="J13"/>
  <c r="K13"/>
  <c r="I14"/>
  <c r="J14"/>
  <c r="K14"/>
  <c r="C13"/>
  <c r="C14"/>
  <c r="B13"/>
  <c r="B14"/>
  <c r="K12"/>
  <c r="I12"/>
  <c r="J12"/>
  <c r="C12"/>
  <c r="B12"/>
  <c r="I14" i="1" l="1"/>
  <c r="O15" i="3"/>
  <c r="A19"/>
  <c r="A10"/>
  <c r="J15" i="2" l="1"/>
  <c r="Q15" i="3" l="1"/>
  <c r="Q16" s="1"/>
  <c r="G6" l="1"/>
  <c r="G7"/>
  <c r="D3" i="2"/>
  <c r="G4" i="3" s="1"/>
  <c r="D4" i="2"/>
  <c r="G5" i="3" s="1"/>
  <c r="D1" l="1"/>
</calcChain>
</file>

<file path=xl/sharedStrings.xml><?xml version="1.0" encoding="utf-8"?>
<sst xmlns="http://schemas.openxmlformats.org/spreadsheetml/2006/main" count="102" uniqueCount="88">
  <si>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</si>
  <si>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</si>
  <si>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</si>
  <si>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</si>
  <si>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</si>
  <si>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</si>
  <si>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</si>
  <si>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</si>
  <si>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</si>
  <si>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</si>
  <si>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</si>
  <si>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</si>
  <si>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</si>
  <si>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</si>
  <si>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</si>
  <si>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</si>
  <si>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</si>
  <si>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</si>
  <si>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</si>
  <si>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</si>
  <si>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</si>
  <si>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</si>
  <si>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</si>
  <si>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</si>
  <si>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</si>
  <si>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</si>
  <si>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</si>
  <si>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</si>
  <si>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</si>
  <si>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</si>
  <si>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</si>
  <si>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</si>
  <si>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</si>
  <si>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</si>
  <si>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</si>
  <si>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</si>
  <si>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</si>
  <si>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</si>
  <si>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</si>
  <si>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</si>
  <si>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</si>
  <si>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</si>
  <si>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</si>
  <si>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</si>
  <si>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</si>
  <si>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</si>
  <si>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</si>
  <si>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</si>
  <si>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</si>
  <si>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</si>
  <si>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</si>
  <si>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</si>
  <si>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</si>
  <si>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</si>
  <si>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</si>
  <si>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90 - Ministerio de Seguridad</t>
  </si>
  <si>
    <t>Policía de la Provincia de Catamarca</t>
  </si>
  <si>
    <t>1.1</t>
  </si>
  <si>
    <t>SI</t>
  </si>
  <si>
    <t>7- Dirección Provincial de Administración de la Policía de la Provincia de Catamarca</t>
  </si>
  <si>
    <r>
      <t>AUTORIZACIÓN</t>
    </r>
    <r>
      <rPr>
        <b/>
        <sz val="10"/>
        <rFont val="Century Gothic"/>
        <family val="2"/>
      </rPr>
      <t>:</t>
    </r>
  </si>
  <si>
    <t>TOTAL DE PESOS:   Treinta y Cuatro Mil Novecientos Cincuenta con 00/100.-</t>
  </si>
  <si>
    <t>Especificidades:</t>
  </si>
  <si>
    <r>
      <t xml:space="preserve">a) </t>
    </r>
    <r>
      <rPr>
        <b/>
        <sz val="10"/>
        <rFont val="Century Gothic"/>
        <family val="2"/>
      </rPr>
      <t>LUGAR DE ENTREGA: Departamento Logística, sito en Av. Felix Avellaneda RP N° 33  KM 2</t>
    </r>
    <r>
      <rPr>
        <sz val="10"/>
        <rFont val="Century Gothic"/>
        <family val="2"/>
      </rPr>
      <t>., SUMALAO - VALLE VIEJO. De 08 a 12 horas. 
b)</t>
    </r>
    <r>
      <rPr>
        <b/>
        <sz val="10"/>
        <rFont val="Century Gothic"/>
        <family val="2"/>
      </rPr>
      <t xml:space="preserve"> FORMA DE LA ENTREGA</t>
    </r>
    <r>
      <rPr>
        <sz val="10"/>
        <rFont val="Century Gothic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80° de del Reglamento Parcial N° 2 de la ley 4938.</t>
    </r>
  </si>
  <si>
    <t>Adquisición de Uniformes de Fajina para el personal policial.</t>
  </si>
  <si>
    <t>División Intendencia, Departamento Logística</t>
  </si>
  <si>
    <t>Costo total estimado: Pesos Cinco Millones Doscientos Mil con 00/100.-</t>
  </si>
  <si>
    <t>3er trimestre Año 2021.-</t>
  </si>
  <si>
    <t>81/2021</t>
  </si>
  <si>
    <t>Que Cumpla con lo Solicitado de Forma Integra. Presentar Muestras para todos los  ítems, en su empaque original, en el cual puedan observase en forma clara la marca del mismo y sus características.
c.1) La recepción de las muestras se realizará en el Departamento Logística (D-4) de la Policía de Catamarca, hasta momentos antes de la apertura, sito en Ruta Provincial Nº 33, Sumalao - Valle Viejo. Provincia de Catamarca.
c.2) Debidamente rotuladas por ítems e identificando claramente el oferente cotizante. No se aceptaran muestras distintas a lo cotizado.</t>
  </si>
  <si>
    <t xml:space="preserve">ALIMENTOS </t>
  </si>
  <si>
    <t>2.1.2</t>
  </si>
  <si>
    <t>ALIMENTOS</t>
  </si>
  <si>
    <t>2.1.2-2888.16</t>
  </si>
  <si>
    <t>ALIMENTOS Y FORRAJES; TIPO: MAIZ, PRESENTACION: GRANEL, CAPACIDAD: SIN VALOR, DESTINATARIO: GANADO EQUINO, USO: GANADO EQUINO</t>
  </si>
  <si>
    <t>ALIMENTOS P/PERROS; PRESENTACION: BOLSA X 15 KG, CAPACIDAD: 15 KG, SABOR: POLLO-PESCADO-CARNE, TIPO: PERRO ADULTO</t>
  </si>
  <si>
    <t>2.1.2-2875.1</t>
  </si>
  <si>
    <t>Descripción técnica Item 1</t>
  </si>
  <si>
    <t>Descripción técnica Item 2</t>
  </si>
  <si>
    <t xml:space="preserve">Descripción técnica Item 3 </t>
  </si>
  <si>
    <t>Descripción técnica Item 4</t>
  </si>
  <si>
    <t>2.1.2-2888.37</t>
  </si>
  <si>
    <t>ALIMENTOS Y FORRAJES; TIPO: HENO DE ALFALFA, PRESENTACION: FARDO X 18 A 25 Kg, USO: GANADO EQUINO</t>
  </si>
  <si>
    <t xml:space="preserve"> maríz quebrado envasado en bolsas de 30 kg.</t>
  </si>
  <si>
    <t xml:space="preserve">AVENA VENTILADA. BOLSAS POR 35 KG. </t>
  </si>
  <si>
    <t>2.1.2-2888.40</t>
  </si>
  <si>
    <t>ALIMENTOS P/GANADO ; TIPO: AVENA FORRAJERA, PRESENTACION: A GRANEL, USO: GANADO EQUINO</t>
  </si>
  <si>
    <t xml:space="preserve"> Alimento para canes: Deberá contener: Proteína bruta (Min) 30%, estrato etero (Min) 20%, fibra cruda (Max) 3%, Minerales totales (Max) 7%, Humedad (Max.) 10%, Calcio (Min) 1,20%, Calcio (Max) 1,30%, Fosforo (min)0,90% (max) 1,10%, Vitamina A 20.000 ui/Kg, Vitamina D 2500 ui/Kg, vitamina E 250 mg/kg, Vitamina C 150 mg/kg, Omega 3 (Min) 0,40%, Omega 6 (Min) 2,40%, Glucosamina 280 mg/kg, Condroitin sulfato 250 mg/kg, Betaina 500 mg/kg y Energía metabolizable 4.380 Kcal/Kg.</t>
  </si>
</sst>
</file>

<file path=xl/styles.xml><?xml version="1.0" encoding="utf-8"?>
<styleSheet xmlns="http://schemas.openxmlformats.org/spreadsheetml/2006/main">
  <numFmts count="8">
    <numFmt numFmtId="44" formatCode="_ &quot;$&quot;\ * #,##0.00_ ;_ &quot;$&quot;\ * \-#,##0.00_ ;_ &quot;$&quot;\ * &quot;-&quot;??_ ;_ @_ 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&quot;$&quot;\ #,##0.00"/>
  </numFmts>
  <fonts count="22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4" fillId="0" borderId="0"/>
  </cellStyleXfs>
  <cellXfs count="149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7" fillId="3" borderId="43" xfId="0" applyFont="1" applyFill="1" applyBorder="1" applyAlignment="1">
      <alignment horizontal="center" vertical="center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0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8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6" fontId="5" fillId="3" borderId="33" xfId="3" applyNumberFormat="1" applyFont="1" applyFill="1" applyBorder="1" applyAlignment="1" applyProtection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69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69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7" xfId="0" applyFont="1" applyFill="1" applyBorder="1" applyAlignment="1"/>
    <xf numFmtId="0" fontId="9" fillId="5" borderId="0" xfId="0" applyFont="1" applyFill="1" applyBorder="1" applyAlignment="1"/>
    <xf numFmtId="0" fontId="5" fillId="5" borderId="0" xfId="0" applyFont="1" applyFill="1" applyBorder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50" xfId="0" applyFont="1" applyFill="1" applyBorder="1" applyAlignment="1">
      <alignment horizontal="center" vertical="center" wrapText="1"/>
    </xf>
    <xf numFmtId="0" fontId="7" fillId="3" borderId="51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21" fillId="0" borderId="52" xfId="0" applyFont="1" applyBorder="1" applyAlignment="1">
      <alignment horizontal="center" vertical="center"/>
    </xf>
    <xf numFmtId="49" fontId="5" fillId="0" borderId="54" xfId="0" applyNumberFormat="1" applyFont="1" applyBorder="1" applyAlignment="1">
      <alignment vertical="center"/>
    </xf>
    <xf numFmtId="49" fontId="21" fillId="0" borderId="54" xfId="0" applyNumberFormat="1" applyFont="1" applyBorder="1" applyAlignment="1">
      <alignment vertical="center" wrapText="1"/>
    </xf>
    <xf numFmtId="0" fontId="8" fillId="3" borderId="54" xfId="0" applyFont="1" applyFill="1" applyBorder="1" applyAlignment="1">
      <alignment horizontal="center" vertical="center" wrapText="1"/>
    </xf>
    <xf numFmtId="49" fontId="21" fillId="0" borderId="54" xfId="0" applyNumberFormat="1" applyFont="1" applyBorder="1" applyAlignment="1">
      <alignment vertical="top" wrapText="1"/>
    </xf>
    <xf numFmtId="0" fontId="21" fillId="0" borderId="54" xfId="0" applyFont="1" applyBorder="1" applyAlignment="1">
      <alignment horizontal="center" vertical="center" wrapText="1"/>
    </xf>
    <xf numFmtId="49" fontId="5" fillId="3" borderId="55" xfId="0" applyNumberFormat="1" applyFont="1" applyFill="1" applyBorder="1"/>
    <xf numFmtId="0" fontId="9" fillId="5" borderId="5" xfId="0" applyFont="1" applyFill="1" applyBorder="1" applyAlignment="1">
      <alignment horizontal="left"/>
    </xf>
    <xf numFmtId="0" fontId="5" fillId="5" borderId="8" xfId="0" applyFont="1" applyFill="1" applyBorder="1" applyAlignment="1">
      <alignment vertical="center" wrapText="1"/>
    </xf>
    <xf numFmtId="0" fontId="9" fillId="5" borderId="0" xfId="0" applyFont="1" applyFill="1" applyBorder="1" applyAlignment="1">
      <alignment horizontal="right"/>
    </xf>
    <xf numFmtId="44" fontId="21" fillId="0" borderId="56" xfId="1" applyNumberFormat="1" applyFont="1" applyBorder="1" applyAlignment="1">
      <alignment horizontal="center" vertical="center"/>
    </xf>
    <xf numFmtId="166" fontId="5" fillId="3" borderId="56" xfId="1" applyNumberFormat="1" applyFont="1" applyFill="1" applyBorder="1" applyAlignment="1" applyProtection="1">
      <alignment horizontal="right" vertical="center" wrapText="1"/>
    </xf>
    <xf numFmtId="0" fontId="9" fillId="5" borderId="5" xfId="0" applyFont="1" applyFill="1" applyBorder="1" applyAlignment="1"/>
    <xf numFmtId="0" fontId="5" fillId="5" borderId="0" xfId="0" applyFont="1" applyFill="1" applyBorder="1" applyAlignment="1">
      <alignment vertical="center" wrapText="1"/>
    </xf>
    <xf numFmtId="4" fontId="5" fillId="3" borderId="0" xfId="0" applyNumberFormat="1" applyFont="1" applyFill="1"/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center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 vertical="center" wrapText="1"/>
    </xf>
    <xf numFmtId="0" fontId="19" fillId="4" borderId="0" xfId="0" applyFont="1" applyFill="1" applyBorder="1" applyAlignment="1">
      <alignment horizontal="left" wrapText="1" indent="1"/>
    </xf>
    <xf numFmtId="0" fontId="9" fillId="5" borderId="5" xfId="0" applyFont="1" applyFill="1" applyBorder="1" applyAlignment="1">
      <alignment horizontal="right"/>
    </xf>
    <xf numFmtId="0" fontId="9" fillId="5" borderId="0" xfId="0" applyFont="1" applyFill="1" applyBorder="1" applyAlignment="1">
      <alignment horizontal="right"/>
    </xf>
    <xf numFmtId="0" fontId="5" fillId="5" borderId="8" xfId="0" applyFont="1" applyFill="1" applyBorder="1" applyAlignment="1">
      <alignment horizontal="left" wrapText="1"/>
    </xf>
    <xf numFmtId="0" fontId="5" fillId="5" borderId="9" xfId="0" applyFont="1" applyFill="1" applyBorder="1" applyAlignment="1">
      <alignment horizontal="left" wrapText="1"/>
    </xf>
    <xf numFmtId="0" fontId="12" fillId="3" borderId="38" xfId="0" applyFont="1" applyFill="1" applyBorder="1" applyAlignment="1">
      <alignment horizontal="left" vertical="center" wrapText="1" indent="1"/>
    </xf>
    <xf numFmtId="167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2" fillId="3" borderId="44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8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5" xfId="0" applyNumberFormat="1" applyFont="1" applyFill="1" applyBorder="1" applyAlignment="1">
      <alignment horizontal="left" vertical="center" wrapText="1"/>
    </xf>
    <xf numFmtId="0" fontId="15" fillId="3" borderId="53" xfId="0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47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16" fillId="3" borderId="22" xfId="0" applyFont="1" applyFill="1" applyBorder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indent="1"/>
    </xf>
    <xf numFmtId="0" fontId="10" fillId="3" borderId="11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8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36"/>
  <sheetViews>
    <sheetView tabSelected="1" topLeftCell="A7" zoomScale="80" zoomScaleNormal="80" workbookViewId="0">
      <selection activeCell="D18" sqref="D18"/>
    </sheetView>
  </sheetViews>
  <sheetFormatPr baseColWidth="10" defaultColWidth="11" defaultRowHeight="13.5"/>
  <cols>
    <col min="1" max="1" width="4.5703125" style="1" customWidth="1"/>
    <col min="2" max="2" width="17.140625" style="1" customWidth="1"/>
    <col min="3" max="3" width="27.42578125" style="1" customWidth="1"/>
    <col min="4" max="4" width="8.42578125" style="1" customWidth="1"/>
    <col min="5" max="5" width="94.28515625" style="1" customWidth="1"/>
    <col min="6" max="6" width="11" style="1"/>
    <col min="7" max="7" width="12.7109375" style="1" customWidth="1"/>
    <col min="8" max="8" width="14.5703125" style="1" customWidth="1"/>
    <col min="9" max="9" width="19.85546875" style="1" customWidth="1"/>
    <col min="10" max="16384" width="11" style="1"/>
  </cols>
  <sheetData>
    <row r="2" spans="1:9" ht="28.5">
      <c r="B2" s="90" t="s">
        <v>0</v>
      </c>
      <c r="C2" s="90"/>
      <c r="D2" s="90"/>
      <c r="E2" s="90"/>
      <c r="F2" s="90"/>
      <c r="G2" s="90"/>
      <c r="H2" s="90"/>
    </row>
    <row r="4" spans="1:9" ht="18" customHeight="1">
      <c r="A4" s="91" t="s">
        <v>1</v>
      </c>
      <c r="B4" s="91"/>
      <c r="C4" s="92" t="s">
        <v>55</v>
      </c>
      <c r="D4" s="92"/>
      <c r="E4" s="92"/>
      <c r="F4" s="2"/>
      <c r="G4" s="6"/>
      <c r="H4" s="2"/>
    </row>
    <row r="5" spans="1:9" ht="18" customHeight="1">
      <c r="A5" s="91" t="s">
        <v>2</v>
      </c>
      <c r="B5" s="91"/>
      <c r="C5" s="92" t="s">
        <v>59</v>
      </c>
      <c r="D5" s="92"/>
      <c r="E5" s="92"/>
      <c r="F5" s="2"/>
      <c r="G5" s="6"/>
      <c r="H5" s="2"/>
    </row>
    <row r="6" spans="1:9" ht="16.5" customHeight="1">
      <c r="A6" s="91" t="s">
        <v>3</v>
      </c>
      <c r="B6" s="91"/>
      <c r="C6" s="7">
        <v>2021</v>
      </c>
      <c r="D6" s="8"/>
      <c r="E6" s="8"/>
      <c r="F6" s="2"/>
      <c r="G6" s="6"/>
      <c r="H6" s="2"/>
    </row>
    <row r="7" spans="1:9" ht="16.5" customHeight="1">
      <c r="A7" s="91" t="s">
        <v>4</v>
      </c>
      <c r="B7" s="91"/>
      <c r="C7" s="7">
        <v>2</v>
      </c>
      <c r="D7" s="8"/>
      <c r="E7" s="8"/>
      <c r="F7" s="2"/>
      <c r="G7" s="6"/>
      <c r="H7" s="2"/>
    </row>
    <row r="8" spans="1:9" ht="14.25" thickBot="1">
      <c r="B8" s="2"/>
      <c r="C8" s="6"/>
      <c r="D8" s="2"/>
      <c r="E8" s="2"/>
      <c r="F8" s="2"/>
      <c r="G8" s="6"/>
      <c r="H8" s="2"/>
    </row>
    <row r="9" spans="1:9" ht="39.75" thickTop="1" thickBot="1">
      <c r="A9" s="64" t="s">
        <v>5</v>
      </c>
      <c r="B9" s="66" t="s">
        <v>6</v>
      </c>
      <c r="C9" s="65" t="s">
        <v>7</v>
      </c>
      <c r="D9" s="3" t="s">
        <v>8</v>
      </c>
      <c r="E9" s="3" t="s">
        <v>9</v>
      </c>
      <c r="F9" s="3" t="s">
        <v>10</v>
      </c>
      <c r="G9" s="3" t="s">
        <v>11</v>
      </c>
      <c r="H9" s="3" t="s">
        <v>12</v>
      </c>
      <c r="I9" s="3" t="s">
        <v>13</v>
      </c>
    </row>
    <row r="10" spans="1:9" ht="28.5" customHeight="1" thickBot="1">
      <c r="A10" s="68">
        <v>1</v>
      </c>
      <c r="B10" s="69" t="s">
        <v>76</v>
      </c>
      <c r="C10" s="70" t="s">
        <v>72</v>
      </c>
      <c r="D10" s="71" t="s">
        <v>71</v>
      </c>
      <c r="E10" s="72" t="s">
        <v>75</v>
      </c>
      <c r="F10" s="71" t="s">
        <v>14</v>
      </c>
      <c r="G10" s="73">
        <v>255</v>
      </c>
      <c r="H10" s="78">
        <v>6500</v>
      </c>
      <c r="I10" s="79">
        <f>G10*H10</f>
        <v>1657500</v>
      </c>
    </row>
    <row r="11" spans="1:9" ht="29.25" customHeight="1" thickBot="1">
      <c r="A11" s="68">
        <v>2</v>
      </c>
      <c r="B11" s="69" t="s">
        <v>81</v>
      </c>
      <c r="C11" s="70" t="s">
        <v>72</v>
      </c>
      <c r="D11" s="71" t="str">
        <f>LEFT(B11,5)</f>
        <v>2.1.2</v>
      </c>
      <c r="E11" s="72" t="s">
        <v>82</v>
      </c>
      <c r="F11" s="71" t="s">
        <v>14</v>
      </c>
      <c r="G11" s="73">
        <v>3000</v>
      </c>
      <c r="H11" s="78">
        <v>950</v>
      </c>
      <c r="I11" s="79">
        <f>G11*H11</f>
        <v>2850000</v>
      </c>
    </row>
    <row r="12" spans="1:9" ht="29.25" customHeight="1" thickBot="1">
      <c r="A12" s="68">
        <v>3</v>
      </c>
      <c r="B12" s="69" t="s">
        <v>73</v>
      </c>
      <c r="C12" s="70" t="s">
        <v>70</v>
      </c>
      <c r="D12" s="71" t="s">
        <v>71</v>
      </c>
      <c r="E12" s="72" t="s">
        <v>74</v>
      </c>
      <c r="F12" s="71" t="s">
        <v>14</v>
      </c>
      <c r="G12" s="73">
        <v>300</v>
      </c>
      <c r="H12" s="78">
        <v>1680</v>
      </c>
      <c r="I12" s="79">
        <f>G12*H12</f>
        <v>504000</v>
      </c>
    </row>
    <row r="13" spans="1:9" ht="29.25" customHeight="1" thickBot="1">
      <c r="A13" s="68">
        <v>4</v>
      </c>
      <c r="B13" s="69" t="s">
        <v>85</v>
      </c>
      <c r="C13" s="70" t="s">
        <v>70</v>
      </c>
      <c r="D13" s="71" t="s">
        <v>71</v>
      </c>
      <c r="E13" s="72" t="s">
        <v>86</v>
      </c>
      <c r="F13" s="71" t="s">
        <v>14</v>
      </c>
      <c r="G13" s="73">
        <v>300</v>
      </c>
      <c r="H13" s="78">
        <v>2415</v>
      </c>
      <c r="I13" s="79">
        <f>G13*H13</f>
        <v>724500</v>
      </c>
    </row>
    <row r="14" spans="1:9" ht="18.75" customHeight="1" thickBot="1">
      <c r="B14" s="67"/>
      <c r="I14" s="9">
        <f>SUM(I10:I13)</f>
        <v>5736000</v>
      </c>
    </row>
    <row r="15" spans="1:9">
      <c r="B15" s="40" t="s">
        <v>62</v>
      </c>
      <c r="C15" s="41"/>
      <c r="D15" s="41"/>
      <c r="E15" s="42"/>
    </row>
    <row r="16" spans="1:9">
      <c r="B16" s="75"/>
      <c r="C16" s="77" t="s">
        <v>77</v>
      </c>
      <c r="D16" s="43"/>
      <c r="E16" s="44"/>
      <c r="I16" s="82"/>
    </row>
    <row r="17" spans="2:5" ht="69.75" customHeight="1">
      <c r="B17" s="75"/>
      <c r="C17" s="43"/>
      <c r="D17" s="86" t="s">
        <v>87</v>
      </c>
      <c r="E17" s="87"/>
    </row>
    <row r="18" spans="2:5" ht="21" customHeight="1">
      <c r="B18" s="75"/>
      <c r="C18" s="77" t="s">
        <v>78</v>
      </c>
      <c r="D18" s="43"/>
      <c r="E18" s="44"/>
    </row>
    <row r="19" spans="2:5" ht="18" customHeight="1">
      <c r="B19" s="75"/>
      <c r="C19" s="43"/>
      <c r="D19" s="86"/>
      <c r="E19" s="87"/>
    </row>
    <row r="20" spans="2:5" ht="19.5" customHeight="1">
      <c r="B20" s="93" t="s">
        <v>79</v>
      </c>
      <c r="C20" s="94"/>
      <c r="D20" s="43"/>
      <c r="E20" s="44"/>
    </row>
    <row r="21" spans="2:5" ht="18.75" customHeight="1">
      <c r="B21" s="80"/>
      <c r="C21" s="81"/>
      <c r="D21" s="86" t="s">
        <v>83</v>
      </c>
      <c r="E21" s="87"/>
    </row>
    <row r="22" spans="2:5">
      <c r="B22" s="93" t="s">
        <v>80</v>
      </c>
      <c r="C22" s="94"/>
      <c r="D22" s="43"/>
      <c r="E22" s="44"/>
    </row>
    <row r="23" spans="2:5" ht="18.75" customHeight="1" thickBot="1">
      <c r="B23" s="45"/>
      <c r="C23" s="76"/>
      <c r="D23" s="95" t="s">
        <v>84</v>
      </c>
      <c r="E23" s="96"/>
    </row>
    <row r="24" spans="2:5" ht="14.25" thickBot="1">
      <c r="B24" s="46"/>
      <c r="C24" s="47"/>
      <c r="D24" s="47"/>
      <c r="E24" s="47"/>
    </row>
    <row r="25" spans="2:5">
      <c r="B25" s="48" t="s">
        <v>15</v>
      </c>
      <c r="C25" s="49"/>
      <c r="D25" s="41"/>
      <c r="E25" s="50"/>
    </row>
    <row r="26" spans="2:5" ht="85.5" customHeight="1">
      <c r="B26" s="51"/>
      <c r="C26" s="83" t="s">
        <v>63</v>
      </c>
      <c r="D26" s="83"/>
      <c r="E26" s="84"/>
    </row>
    <row r="27" spans="2:5">
      <c r="B27" s="51"/>
      <c r="C27" s="85"/>
      <c r="D27" s="85"/>
      <c r="E27" s="85"/>
    </row>
    <row r="28" spans="2:5">
      <c r="B28" s="52" t="s">
        <v>16</v>
      </c>
      <c r="C28" s="53"/>
      <c r="D28" s="43"/>
      <c r="E28" s="54"/>
    </row>
    <row r="29" spans="2:5" ht="89.25" customHeight="1">
      <c r="B29" s="51"/>
      <c r="C29" s="83" t="s">
        <v>69</v>
      </c>
      <c r="D29" s="83"/>
      <c r="E29" s="84"/>
    </row>
    <row r="30" spans="2:5" ht="15.75" customHeight="1" thickBot="1">
      <c r="B30" s="55"/>
      <c r="C30" s="56"/>
      <c r="D30" s="56"/>
      <c r="E30" s="57"/>
    </row>
    <row r="31" spans="2:5" ht="14.25" thickBot="1">
      <c r="B31" s="43"/>
      <c r="C31" s="43"/>
      <c r="D31" s="43"/>
      <c r="E31" s="43"/>
    </row>
    <row r="32" spans="2:5">
      <c r="B32" s="48" t="s">
        <v>17</v>
      </c>
      <c r="C32" s="58"/>
      <c r="D32" s="58"/>
      <c r="E32" s="59"/>
    </row>
    <row r="33" spans="2:5">
      <c r="B33" s="60"/>
      <c r="C33" s="86"/>
      <c r="D33" s="86"/>
      <c r="E33" s="87"/>
    </row>
    <row r="34" spans="2:5">
      <c r="B34" s="61" t="s">
        <v>18</v>
      </c>
      <c r="C34" s="43"/>
      <c r="D34" s="43"/>
      <c r="E34" s="44"/>
    </row>
    <row r="35" spans="2:5">
      <c r="B35" s="62"/>
      <c r="C35" s="88"/>
      <c r="D35" s="88"/>
      <c r="E35" s="89"/>
    </row>
    <row r="36" spans="2:5" ht="14.25" thickBot="1">
      <c r="B36" s="63"/>
      <c r="C36" s="56"/>
      <c r="D36" s="56"/>
      <c r="E36" s="57"/>
    </row>
  </sheetData>
  <mergeCells count="18">
    <mergeCell ref="B22:C22"/>
    <mergeCell ref="D17:E17"/>
    <mergeCell ref="D23:E23"/>
    <mergeCell ref="A6:B6"/>
    <mergeCell ref="A7:B7"/>
    <mergeCell ref="D19:E19"/>
    <mergeCell ref="B20:C20"/>
    <mergeCell ref="D21:E21"/>
    <mergeCell ref="B2:H2"/>
    <mergeCell ref="A4:B4"/>
    <mergeCell ref="C4:E4"/>
    <mergeCell ref="A5:B5"/>
    <mergeCell ref="C5:E5"/>
    <mergeCell ref="C26:E26"/>
    <mergeCell ref="C27:E27"/>
    <mergeCell ref="C29:E29"/>
    <mergeCell ref="C33:E33"/>
    <mergeCell ref="C35:E3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/>
  <cols>
    <col min="1" max="1" width="5.42578125" style="29" customWidth="1"/>
    <col min="2" max="2" width="12.28515625" style="29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77.42578125" style="29" customWidth="1"/>
    <col min="8" max="8" width="8.42578125" style="29" customWidth="1"/>
    <col min="9" max="9" width="12" style="29" customWidth="1"/>
    <col min="10" max="10" width="11.42578125" style="29" customWidth="1"/>
    <col min="11" max="11" width="10.85546875" style="29" customWidth="1"/>
    <col min="12" max="14" width="5.85546875" style="29" customWidth="1"/>
    <col min="15" max="15" width="12.5703125" style="29" customWidth="1"/>
    <col min="16" max="1024" width="9.140625" style="29"/>
    <col min="1025" max="16384" width="9.140625" style="1"/>
  </cols>
  <sheetData>
    <row r="1" spans="1:1024" ht="18" customHeight="1">
      <c r="A1" s="112" t="s">
        <v>19</v>
      </c>
      <c r="B1" s="112"/>
      <c r="C1" s="112"/>
      <c r="D1" s="112"/>
      <c r="E1" s="112"/>
      <c r="F1" s="112"/>
      <c r="G1" s="112"/>
      <c r="H1" s="112"/>
      <c r="I1" s="112"/>
      <c r="J1" s="27" t="s">
        <v>20</v>
      </c>
      <c r="K1" s="28" t="s">
        <v>68</v>
      </c>
    </row>
    <row r="2" spans="1:1024" ht="18.75" customHeight="1" thickBot="1">
      <c r="A2" s="30"/>
      <c r="B2" s="30"/>
      <c r="C2" s="30"/>
      <c r="D2" s="31"/>
      <c r="E2" s="31"/>
      <c r="F2" s="31"/>
      <c r="G2" s="31"/>
      <c r="H2" s="31"/>
      <c r="I2" s="31"/>
      <c r="J2" s="31"/>
      <c r="K2" s="31"/>
    </row>
    <row r="3" spans="1:1024" ht="18.75" customHeight="1" thickBot="1">
      <c r="A3" s="113" t="s">
        <v>52</v>
      </c>
      <c r="B3" s="113"/>
      <c r="C3" s="113"/>
      <c r="D3" s="116" t="str">
        <f>'Necesidades Trimestrales'!C4</f>
        <v>90 - Ministerio de Seguridad</v>
      </c>
      <c r="E3" s="116"/>
      <c r="F3" s="116"/>
      <c r="G3" s="116"/>
      <c r="H3" s="116"/>
      <c r="I3" s="116"/>
      <c r="J3" s="116"/>
      <c r="K3" s="116"/>
    </row>
    <row r="4" spans="1:1024" ht="18.75" customHeight="1" thickBot="1">
      <c r="A4" s="115" t="s">
        <v>53</v>
      </c>
      <c r="B4" s="115"/>
      <c r="C4" s="115"/>
      <c r="D4" s="116" t="str">
        <f>'Necesidades Trimestrales'!C5</f>
        <v>7- Dirección Provincial de Administración de la Policía de la Provincia de Catamarca</v>
      </c>
      <c r="E4" s="116"/>
      <c r="F4" s="116"/>
      <c r="G4" s="116"/>
      <c r="H4" s="116"/>
      <c r="I4" s="116"/>
      <c r="J4" s="116"/>
      <c r="K4" s="116"/>
    </row>
    <row r="5" spans="1:1024" ht="18.75" customHeight="1" thickBot="1">
      <c r="A5" s="115" t="s">
        <v>32</v>
      </c>
      <c r="B5" s="115"/>
      <c r="C5" s="115"/>
      <c r="D5" s="116" t="s">
        <v>56</v>
      </c>
      <c r="E5" s="116"/>
      <c r="F5" s="116"/>
      <c r="G5" s="116"/>
      <c r="H5" s="116"/>
      <c r="I5" s="116"/>
      <c r="J5" s="116"/>
      <c r="K5" s="116"/>
    </row>
    <row r="6" spans="1:1024" ht="16.5" customHeight="1" thickBot="1">
      <c r="A6" s="113" t="s">
        <v>54</v>
      </c>
      <c r="B6" s="113"/>
      <c r="C6" s="113"/>
      <c r="D6" s="114" t="s">
        <v>65</v>
      </c>
      <c r="E6" s="100"/>
      <c r="F6" s="100"/>
      <c r="G6" s="100"/>
      <c r="H6" s="100"/>
      <c r="I6" s="100"/>
      <c r="J6" s="100"/>
      <c r="K6" s="101"/>
    </row>
    <row r="7" spans="1:1024" ht="16.5" customHeight="1" thickBot="1">
      <c r="A7" s="115" t="s">
        <v>21</v>
      </c>
      <c r="B7" s="115"/>
      <c r="C7" s="115"/>
      <c r="D7" s="116" t="s">
        <v>67</v>
      </c>
      <c r="E7" s="116"/>
      <c r="F7" s="116"/>
      <c r="G7" s="116"/>
      <c r="H7" s="116"/>
      <c r="I7" s="116"/>
      <c r="J7" s="116"/>
      <c r="K7" s="116"/>
    </row>
    <row r="8" spans="1:1024" ht="16.5" customHeight="1" thickBot="1">
      <c r="A8" s="108" t="s">
        <v>22</v>
      </c>
      <c r="B8" s="108"/>
      <c r="C8" s="108"/>
      <c r="D8" s="99" t="s">
        <v>64</v>
      </c>
      <c r="E8" s="100"/>
      <c r="F8" s="100"/>
      <c r="G8" s="100"/>
      <c r="H8" s="100"/>
      <c r="I8" s="100"/>
      <c r="J8" s="100"/>
      <c r="K8" s="101"/>
    </row>
    <row r="9" spans="1:1024" ht="18" thickBot="1">
      <c r="A9" s="32"/>
      <c r="B9" s="32"/>
      <c r="C9" s="32"/>
      <c r="D9" s="33"/>
      <c r="E9" s="33"/>
      <c r="F9" s="33"/>
      <c r="G9" s="33"/>
      <c r="H9" s="33"/>
      <c r="I9" s="33"/>
      <c r="J9" s="33"/>
      <c r="K9" s="33"/>
    </row>
    <row r="10" spans="1:1024" ht="14.25" customHeight="1" thickBot="1">
      <c r="A10" s="102" t="s">
        <v>23</v>
      </c>
      <c r="B10" s="103" t="s">
        <v>24</v>
      </c>
      <c r="C10" s="104" t="s">
        <v>25</v>
      </c>
      <c r="D10" s="105"/>
      <c r="E10" s="105"/>
      <c r="F10" s="105"/>
      <c r="G10" s="106"/>
      <c r="H10" s="107" t="s">
        <v>26</v>
      </c>
      <c r="I10" s="105" t="s">
        <v>27</v>
      </c>
      <c r="J10" s="105" t="s">
        <v>28</v>
      </c>
      <c r="K10" s="106" t="s">
        <v>29</v>
      </c>
    </row>
    <row r="11" spans="1:1024" ht="14.25" customHeight="1" thickBot="1">
      <c r="A11" s="102"/>
      <c r="B11" s="103"/>
      <c r="C11" s="104"/>
      <c r="D11" s="105"/>
      <c r="E11" s="105"/>
      <c r="F11" s="105"/>
      <c r="G11" s="106"/>
      <c r="H11" s="107"/>
      <c r="I11" s="105"/>
      <c r="J11" s="105"/>
      <c r="K11" s="106"/>
    </row>
    <row r="12" spans="1:1024" ht="22.5" customHeight="1" thickBot="1">
      <c r="A12" s="34">
        <v>1</v>
      </c>
      <c r="B12" s="74" t="e">
        <f>'Necesidades Trimestrales'!#REF!</f>
        <v>#REF!</v>
      </c>
      <c r="C12" s="109" t="e">
        <f>'Necesidades Trimestrales'!#REF!</f>
        <v>#REF!</v>
      </c>
      <c r="D12" s="110"/>
      <c r="E12" s="110"/>
      <c r="F12" s="110"/>
      <c r="G12" s="111"/>
      <c r="H12" s="35" t="s">
        <v>58</v>
      </c>
      <c r="I12" s="36" t="e">
        <f>'Necesidades Trimestrales'!#REF!</f>
        <v>#REF!</v>
      </c>
      <c r="J12" s="37" t="e">
        <f>'Necesidades Trimestrales'!#REF!</f>
        <v>#REF!</v>
      </c>
      <c r="K12" s="38" t="e">
        <f>'Necesidades Trimestrales'!#REF!</f>
        <v>#REF!</v>
      </c>
    </row>
    <row r="13" spans="1:1024" ht="22.5" customHeight="1" thickBot="1">
      <c r="A13" s="34"/>
      <c r="B13" s="74" t="e">
        <f>'Necesidades Trimestrales'!#REF!</f>
        <v>#REF!</v>
      </c>
      <c r="C13" s="109" t="e">
        <f>'Necesidades Trimestrales'!#REF!</f>
        <v>#REF!</v>
      </c>
      <c r="D13" s="110"/>
      <c r="E13" s="110"/>
      <c r="F13" s="110"/>
      <c r="G13" s="111"/>
      <c r="H13" s="35" t="s">
        <v>58</v>
      </c>
      <c r="I13" s="36" t="e">
        <f>'Necesidades Trimestrales'!#REF!</f>
        <v>#REF!</v>
      </c>
      <c r="J13" s="37" t="e">
        <f>'Necesidades Trimestrales'!#REF!</f>
        <v>#REF!</v>
      </c>
      <c r="K13" s="38" t="e">
        <f>'Necesidades Trimestrales'!#REF!</f>
        <v>#REF!</v>
      </c>
    </row>
    <row r="14" spans="1:1024" ht="19.5" customHeight="1">
      <c r="A14" s="34">
        <v>3</v>
      </c>
      <c r="B14" s="74" t="e">
        <f>'Necesidades Trimestrales'!#REF!</f>
        <v>#REF!</v>
      </c>
      <c r="C14" s="109" t="e">
        <f>'Necesidades Trimestrales'!#REF!</f>
        <v>#REF!</v>
      </c>
      <c r="D14" s="110"/>
      <c r="E14" s="110"/>
      <c r="F14" s="110"/>
      <c r="G14" s="111"/>
      <c r="H14" s="35" t="s">
        <v>58</v>
      </c>
      <c r="I14" s="36" t="e">
        <f>'Necesidades Trimestrales'!#REF!</f>
        <v>#REF!</v>
      </c>
      <c r="J14" s="37" t="e">
        <f>'Necesidades Trimestrales'!#REF!</f>
        <v>#REF!</v>
      </c>
      <c r="K14" s="38" t="e">
        <f>'Necesidades Trimestrales'!#REF!</f>
        <v>#REF!</v>
      </c>
    </row>
    <row r="15" spans="1:1024" ht="15.75" thickBot="1">
      <c r="A15" s="97" t="s">
        <v>66</v>
      </c>
      <c r="B15" s="97"/>
      <c r="C15" s="97"/>
      <c r="D15" s="97"/>
      <c r="E15" s="97"/>
      <c r="F15" s="97"/>
      <c r="G15" s="97"/>
      <c r="H15" s="97"/>
      <c r="I15" s="97"/>
      <c r="J15" s="98">
        <f>'Necesidades Trimestrales'!I14</f>
        <v>5736000</v>
      </c>
      <c r="K15" s="98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>
      <c r="J16" s="39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"/>
  <sheetViews>
    <sheetView topLeftCell="A7" workbookViewId="0">
      <selection activeCell="O15" sqref="O15:P15"/>
    </sheetView>
  </sheetViews>
  <sheetFormatPr baseColWidth="10" defaultColWidth="11" defaultRowHeight="13.5"/>
  <cols>
    <col min="1" max="6" width="4.4257812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>
      <c r="A1" s="145" t="s">
        <v>3</v>
      </c>
      <c r="B1" s="145"/>
      <c r="C1" s="145"/>
      <c r="D1" s="146">
        <f>'Necesidades Trimestrales'!C6</f>
        <v>2021</v>
      </c>
      <c r="E1" s="146"/>
      <c r="F1" s="10"/>
      <c r="G1" s="10"/>
      <c r="H1" s="11"/>
      <c r="I1" s="11"/>
      <c r="J1" s="11"/>
      <c r="K1" s="11"/>
      <c r="L1" s="11"/>
      <c r="M1" s="11"/>
      <c r="N1" s="11"/>
      <c r="P1" s="147" t="s">
        <v>30</v>
      </c>
      <c r="Q1" s="147"/>
    </row>
    <row r="2" spans="1:17" ht="15.75" customHeight="1">
      <c r="H2" s="11"/>
      <c r="I2" s="11"/>
      <c r="J2" s="11"/>
      <c r="K2" s="11"/>
      <c r="L2" s="11"/>
      <c r="M2" s="11"/>
      <c r="N2" s="11"/>
      <c r="P2" s="147"/>
      <c r="Q2" s="147"/>
    </row>
    <row r="4" spans="1:17" ht="18" customHeight="1" thickBot="1">
      <c r="A4" s="148" t="s">
        <v>31</v>
      </c>
      <c r="B4" s="148"/>
      <c r="C4" s="148"/>
      <c r="D4" s="148"/>
      <c r="E4" s="148"/>
      <c r="F4" s="148"/>
      <c r="G4" s="143" t="str">
        <f>' NotaPedido'!D3</f>
        <v>90 - Ministerio de Seguridad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</row>
    <row r="5" spans="1:17" ht="18" customHeight="1" thickBot="1">
      <c r="A5" s="140" t="s">
        <v>53</v>
      </c>
      <c r="B5" s="141"/>
      <c r="C5" s="141"/>
      <c r="D5" s="141"/>
      <c r="E5" s="141"/>
      <c r="F5" s="142"/>
      <c r="G5" s="143" t="str">
        <f>' NotaPedido'!D4</f>
        <v>7- Dirección Provincial de Administración de la Policía de la Provincia de Catamarca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7" ht="18" customHeight="1" thickBot="1">
      <c r="A6" s="140" t="s">
        <v>32</v>
      </c>
      <c r="B6" s="141"/>
      <c r="C6" s="141"/>
      <c r="D6" s="141"/>
      <c r="E6" s="141"/>
      <c r="F6" s="142"/>
      <c r="G6" s="143" t="str">
        <f>' NotaPedido'!D5</f>
        <v>Policía de la Provincia de Catamarca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17" ht="18" customHeight="1" thickBot="1">
      <c r="A7" s="140" t="s">
        <v>54</v>
      </c>
      <c r="B7" s="141"/>
      <c r="C7" s="141"/>
      <c r="D7" s="141"/>
      <c r="E7" s="141"/>
      <c r="F7" s="142"/>
      <c r="G7" s="143" t="str">
        <f>' NotaPedido'!D6</f>
        <v>División Intendencia, Departamento Logística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17" ht="18" customHeight="1" thickBot="1">
      <c r="A8" s="144" t="s">
        <v>60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7" ht="18" customHeight="1">
      <c r="A9" s="134" t="s">
        <v>33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4"/>
      <c r="P9" s="4"/>
      <c r="Q9" s="12"/>
    </row>
    <row r="10" spans="1:17" ht="66.75" customHeight="1">
      <c r="A10" s="135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</row>
    <row r="11" spans="1:17" ht="9" customHeight="1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7" ht="15.75" customHeight="1">
      <c r="A12" s="136" t="s">
        <v>34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</row>
    <row r="13" spans="1:17" ht="15.75" customHeight="1">
      <c r="A13" s="137" t="s">
        <v>35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8" t="s">
        <v>36</v>
      </c>
      <c r="P13" s="138"/>
      <c r="Q13" s="139" t="s">
        <v>37</v>
      </c>
    </row>
    <row r="14" spans="1:17" ht="15.75" customHeight="1" thickBot="1">
      <c r="A14" s="17" t="s">
        <v>38</v>
      </c>
      <c r="B14" s="18" t="s">
        <v>39</v>
      </c>
      <c r="C14" s="18" t="s">
        <v>40</v>
      </c>
      <c r="D14" s="18" t="s">
        <v>41</v>
      </c>
      <c r="E14" s="18" t="s">
        <v>42</v>
      </c>
      <c r="F14" s="18" t="s">
        <v>43</v>
      </c>
      <c r="G14" s="19" t="s">
        <v>44</v>
      </c>
      <c r="H14" s="18" t="s">
        <v>45</v>
      </c>
      <c r="I14" s="18" t="s">
        <v>46</v>
      </c>
      <c r="J14" s="18" t="s">
        <v>47</v>
      </c>
      <c r="K14" s="18" t="s">
        <v>47</v>
      </c>
      <c r="L14" s="18" t="s">
        <v>48</v>
      </c>
      <c r="M14" s="20" t="s">
        <v>49</v>
      </c>
      <c r="N14" s="21" t="s">
        <v>50</v>
      </c>
      <c r="O14" s="138"/>
      <c r="P14" s="138"/>
      <c r="Q14" s="139"/>
    </row>
    <row r="15" spans="1:17" ht="26.25" customHeight="1">
      <c r="A15" s="22">
        <v>16</v>
      </c>
      <c r="B15" s="23">
        <v>0</v>
      </c>
      <c r="C15" s="23">
        <v>0</v>
      </c>
      <c r="D15" s="23">
        <v>1</v>
      </c>
      <c r="E15" s="23">
        <v>0</v>
      </c>
      <c r="F15" s="23">
        <v>10</v>
      </c>
      <c r="G15" s="23">
        <v>2</v>
      </c>
      <c r="H15" s="23">
        <v>210</v>
      </c>
      <c r="I15" s="23">
        <v>2</v>
      </c>
      <c r="J15" s="23">
        <v>9</v>
      </c>
      <c r="K15" s="23">
        <v>1</v>
      </c>
      <c r="L15" s="23">
        <v>0</v>
      </c>
      <c r="M15" s="24">
        <v>1</v>
      </c>
      <c r="N15" s="23" t="s">
        <v>57</v>
      </c>
      <c r="O15" s="117" t="e">
        <f>'Necesidades Trimestrales'!#REF!</f>
        <v>#REF!</v>
      </c>
      <c r="P15" s="118"/>
      <c r="Q15" s="25">
        <f>' NotaPedido'!J15</f>
        <v>5736000</v>
      </c>
    </row>
    <row r="16" spans="1:17" ht="33" customHeight="1" thickBot="1">
      <c r="A16" s="130" t="s">
        <v>61</v>
      </c>
      <c r="B16" s="130"/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26">
        <f>Q15</f>
        <v>5736000</v>
      </c>
    </row>
    <row r="17" spans="1:17" ht="18" customHeight="1" thickBot="1">
      <c r="A17" s="131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3"/>
    </row>
    <row r="18" spans="1:17" ht="17.25" customHeight="1" thickBot="1">
      <c r="A18" s="119" t="s">
        <v>51</v>
      </c>
      <c r="B18" s="120"/>
      <c r="C18" s="120"/>
      <c r="D18" s="120"/>
      <c r="E18" s="120"/>
      <c r="F18" s="121"/>
      <c r="G18" s="122"/>
      <c r="H18" s="123"/>
      <c r="I18" s="123"/>
      <c r="J18" s="123"/>
      <c r="K18" s="123"/>
      <c r="L18" s="123"/>
      <c r="M18" s="123"/>
      <c r="N18" s="123"/>
      <c r="O18" s="123"/>
      <c r="P18" s="123"/>
      <c r="Q18" s="123"/>
    </row>
    <row r="19" spans="1:17" ht="18" customHeight="1">
      <c r="A19" s="124" t="str">
        <f>' NotaPedido'!D8</f>
        <v>Adquisición de Uniformes de Fajina para el personal policial.</v>
      </c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6"/>
    </row>
    <row r="20" spans="1:17" ht="15" customHeight="1" thickBot="1">
      <c r="A20" s="127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9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Policia</cp:lastModifiedBy>
  <cp:revision>2</cp:revision>
  <cp:lastPrinted>2020-07-17T22:18:48Z</cp:lastPrinted>
  <dcterms:created xsi:type="dcterms:W3CDTF">2020-07-17T23:44:49Z</dcterms:created>
  <dcterms:modified xsi:type="dcterms:W3CDTF">2022-05-06T15:32:16Z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