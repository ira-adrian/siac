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1760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44525"/>
</workbook>
</file>

<file path=xl/calcChain.xml><?xml version="1.0" encoding="utf-8"?>
<calcChain xmlns="http://schemas.openxmlformats.org/spreadsheetml/2006/main">
  <c r="A41" i="3" l="1"/>
  <c r="Q15" i="3"/>
  <c r="J26" i="2"/>
  <c r="M26" i="2"/>
  <c r="M13" i="2"/>
  <c r="M14" i="2"/>
  <c r="M15" i="2"/>
  <c r="M16" i="2"/>
  <c r="M17" i="2"/>
  <c r="M18" i="2"/>
  <c r="M19" i="2"/>
  <c r="M20" i="2"/>
  <c r="M21" i="2"/>
  <c r="M22" i="2"/>
  <c r="M23" i="2"/>
  <c r="M24" i="2"/>
  <c r="M12" i="2"/>
  <c r="K13" i="2"/>
  <c r="K14" i="2"/>
  <c r="K15" i="2"/>
  <c r="K16" i="2"/>
  <c r="K17" i="2"/>
  <c r="K18" i="2"/>
  <c r="K19" i="2"/>
  <c r="K20" i="2"/>
  <c r="K21" i="2"/>
  <c r="K22" i="2"/>
  <c r="K23" i="2"/>
  <c r="K24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G6" i="3" l="1"/>
  <c r="G7" i="3"/>
  <c r="D4" i="2"/>
  <c r="G5" i="3" s="1"/>
  <c r="D3" i="2"/>
  <c r="G4" i="3" s="1"/>
  <c r="Q38" i="3" l="1"/>
  <c r="AW22" i="1"/>
  <c r="AY22" i="1" s="1"/>
  <c r="T22" i="1"/>
  <c r="AW21" i="1"/>
  <c r="AY21" i="1" s="1"/>
  <c r="T21" i="1"/>
  <c r="AW20" i="1"/>
  <c r="AY20" i="1" s="1"/>
  <c r="T20" i="1"/>
  <c r="AW19" i="1"/>
  <c r="AY19" i="1" s="1"/>
  <c r="T19" i="1"/>
  <c r="AW18" i="1"/>
  <c r="AY18" i="1" s="1"/>
  <c r="T18" i="1"/>
  <c r="AW17" i="1"/>
  <c r="AY17" i="1" s="1"/>
  <c r="T17" i="1"/>
  <c r="AW16" i="1"/>
  <c r="AY16" i="1" s="1"/>
  <c r="T16" i="1"/>
  <c r="AW15" i="1"/>
  <c r="AY15" i="1" s="1"/>
  <c r="T15" i="1"/>
  <c r="AW14" i="1"/>
  <c r="AY14" i="1" s="1"/>
  <c r="T14" i="1"/>
  <c r="AW13" i="1"/>
  <c r="AY13" i="1" s="1"/>
  <c r="T13" i="1"/>
  <c r="AW12" i="1"/>
  <c r="AY12" i="1" s="1"/>
  <c r="T12" i="1"/>
  <c r="AW11" i="1"/>
  <c r="AY11" i="1" s="1"/>
  <c r="T11" i="1"/>
  <c r="AW10" i="1"/>
  <c r="AY10" i="1" s="1"/>
  <c r="T10" i="1"/>
  <c r="AY23" i="1" l="1"/>
</calcChain>
</file>

<file path=xl/sharedStrings.xml><?xml version="1.0" encoding="utf-8"?>
<sst xmlns="http://schemas.openxmlformats.org/spreadsheetml/2006/main" count="187" uniqueCount="136">
  <si>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</si>
  <si>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</si>
  <si>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</si>
  <si>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</si>
  <si>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</si>
  <si>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</si>
  <si>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</si>
  <si>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</si>
  <si>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</si>
  <si>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</si>
  <si>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</si>
  <si>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</si>
  <si>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</si>
  <si>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</si>
  <si>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</si>
  <si>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</si>
  <si>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</si>
  <si>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</si>
  <si>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</si>
  <si>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</si>
  <si>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</si>
  <si>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</si>
  <si>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</si>
  <si>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</si>
  <si>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</si>
  <si>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</si>
  <si>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</si>
  <si>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</si>
  <si>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</si>
  <si>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</si>
  <si>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</si>
  <si>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</si>
  <si>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</si>
  <si>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</si>
  <si>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</si>
  <si>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</si>
  <si>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</si>
  <si>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</si>
  <si>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</si>
  <si>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</si>
  <si>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</si>
  <si>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</si>
  <si>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</si>
  <si>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</si>
  <si>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</si>
  <si>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</si>
  <si>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</si>
  <si>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</si>
  <si>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</si>
  <si>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</si>
  <si>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</si>
  <si>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</si>
  <si>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</si>
  <si>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</si>
  <si>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</si>
  <si>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</si>
  <si>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</si>
  <si>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</si>
  <si>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</si>
  <si>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</si>
  <si>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</si>
  <si>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</si>
  <si>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PROD. MEDICO/FARMACEUTICOS/LAB</t>
  </si>
  <si>
    <t>2.5.2</t>
  </si>
  <si>
    <t>AMPOLLA</t>
  </si>
  <si>
    <t>COMPRIMIDO</t>
  </si>
  <si>
    <t>APOSITO HIDROCOLOIDE CUADRADO 10 X 10 CM</t>
  </si>
  <si>
    <t xml:space="preserve">BETAMETASONA G 12 MG ( 6 MG ACETATO/6 MG FOSFATO ) AMPOLLA </t>
  </si>
  <si>
    <t>DEXAMETASONA 8 MG AMPOLLA x 2 ml</t>
  </si>
  <si>
    <t>ERGONOVINA AMPOLLA x 2 ml</t>
  </si>
  <si>
    <t xml:space="preserve">ISOXUPRINA 10 MG/ 2 ML. AMPOLLA </t>
  </si>
  <si>
    <t>LEVOTIROXINA 100 MG COMPRIMIDOS</t>
  </si>
  <si>
    <t>LEVOTIROXINA 25 MG COMPRIMIDOS</t>
  </si>
  <si>
    <t>LEVOTIROXINA 75 MG COMPRIMIDOS</t>
  </si>
  <si>
    <t>METILPREDNISOLONA 500 MG FCO AMPOLLA</t>
  </si>
  <si>
    <t>METILPREDNISONA 40 MG COMPRIMIDO</t>
  </si>
  <si>
    <t>NITROFURAZONA 0,2 % APOSITOS  X 20 UNIDADES</t>
  </si>
  <si>
    <t>OXCITOCINA 10 UI INYECTABLE x 1 ml</t>
  </si>
  <si>
    <t xml:space="preserve">VASELINA SOLIDA X 1KG </t>
  </si>
  <si>
    <t>TOTAL RUBRO TERAPIA DERMATOLOGICA/SISTEMA GENITOURINARIO Y HORMONAS SEXUALES /HORMONAS SISTEMICAS /CORTICOIDES SISTEMICOS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</si>
  <si>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</si>
  <si>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</si>
  <si>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</si>
  <si>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</si>
  <si>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</si>
  <si>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</si>
  <si>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</si>
  <si>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</si>
  <si>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</si>
  <si>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</si>
  <si>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</si>
  <si>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</si>
  <si>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</si>
  <si>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</si>
  <si>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</si>
  <si>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</si>
  <si>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</si>
  <si>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</si>
  <si>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</si>
  <si>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</si>
  <si>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</si>
  <si>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</si>
  <si>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</si>
  <si>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</si>
  <si>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</si>
  <si>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</si>
  <si>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</si>
  <si>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</si>
  <si>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</si>
  <si>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</si>
  <si>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</si>
  <si>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</si>
  <si>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</si>
  <si>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</si>
  <si>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</si>
  <si>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</si>
  <si>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</si>
  <si>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</si>
  <si>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</si>
  <si>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</si>
  <si>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</si>
  <si>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</si>
  <si>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</si>
  <si>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</si>
  <si>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</si>
  <si>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</si>
  <si>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</si>
  <si>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</si>
  <si>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PRODUCTOS FARMACEUTICOS Y MEDICINALES</t>
  </si>
  <si>
    <t xml:space="preserve"> 04/2022</t>
  </si>
  <si>
    <t>ADQUISICION DEL RUBRO TERAPIA DERMATOLOGICA/SISTEMA GENITOURINARIO Y HORMONAS SEXUALES /HORMONAS SISTEMICAS /CORTICOIDES SISTEMICOS</t>
  </si>
  <si>
    <t>SI</t>
  </si>
  <si>
    <t>Costo total estimado: SEIS MILLONES SEISCIENTOS CUARENTA Y SIETE MIL CUATROCIENTOS NOVENTA Y UNO CON 40/100.-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</si>
  <si>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</si>
  <si>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>TOTAL DE PESOS: SEIS MILLONES SEISCIENTOS CUARENTA Y SIETE MIL CUATROCIENTOS NOVENTA Y UNO CON 40/100.-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</si>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</sst>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_ &quot;$&quot;\ * #,##0.00_ ;_ &quot;$&quot;\ * \-#,##0.00_ ;_ &quot;$&quot;\ * &quot;-&quot;??_ ;_ @_ "/>
    <numFmt numFmtId="169" formatCode="dd\-mm\-yy;@"/>
    <numFmt numFmtId="170" formatCode="_(\$* #,##0.00_);_(\$* \(#,##0.00\);_(\$* \-??_);_(@_)"/>
    <numFmt numFmtId="171" formatCode="[$$-2C0A]\ #,##0.00;[$$-2C0A]&quot; -&quot;#,##0.00"/>
    <numFmt numFmtId="172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168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70" fontId="20" fillId="0" borderId="0" applyBorder="0" applyProtection="0"/>
    <xf numFmtId="0" fontId="24" fillId="0" borderId="62" applyProtection="0"/>
    <xf numFmtId="0" fontId="24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9" fillId="0" borderId="0" applyBorder="0" applyAlignment="0" applyProtection="0"/>
    <xf numFmtId="172" fontId="9" fillId="0" borderId="0" applyBorder="0" applyProtection="0"/>
    <xf numFmtId="172" fontId="9" fillId="0" borderId="0" applyBorder="0" applyProtection="0"/>
    <xf numFmtId="172" fontId="9" fillId="0" borderId="0" applyBorder="0" applyProtection="0"/>
    <xf numFmtId="0" fontId="25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8" fillId="0" borderId="0" xfId="0" applyFont="1"/>
    <xf numFmtId="3" fontId="10" fillId="0" borderId="9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3" fontId="18" fillId="0" borderId="34" xfId="0" applyNumberFormat="1" applyFont="1" applyBorder="1" applyAlignment="1"/>
    <xf numFmtId="169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4" xfId="0" applyFont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1" fontId="0" fillId="0" borderId="55" xfId="7" applyNumberFormat="1" applyFont="1" applyBorder="1" applyAlignment="1" applyProtection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1" fontId="0" fillId="0" borderId="59" xfId="7" applyNumberFormat="1" applyFont="1" applyBorder="1" applyAlignment="1" applyProtection="1">
      <alignment horizontal="center" vertical="center"/>
    </xf>
    <xf numFmtId="171" fontId="23" fillId="0" borderId="61" xfId="0" applyNumberFormat="1" applyFont="1" applyBorder="1" applyAlignment="1">
      <alignment horizontal="center" vertical="center"/>
    </xf>
    <xf numFmtId="0" fontId="26" fillId="0" borderId="12" xfId="5" applyFont="1" applyFill="1" applyBorder="1" applyAlignment="1">
      <alignment horizontal="center" vertical="center" wrapText="1"/>
    </xf>
    <xf numFmtId="0" fontId="26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3" xfId="5" applyFont="1" applyFill="1" applyBorder="1" applyAlignment="1">
      <alignment horizontal="center" wrapText="1"/>
    </xf>
    <xf numFmtId="0" fontId="26" fillId="0" borderId="23" xfId="5" applyFont="1" applyBorder="1" applyAlignment="1">
      <alignment horizontal="center" wrapText="1"/>
    </xf>
    <xf numFmtId="0" fontId="26" fillId="0" borderId="63" xfId="5" applyFont="1" applyBorder="1" applyAlignment="1">
      <alignment horizontal="center" wrapText="1"/>
    </xf>
    <xf numFmtId="0" fontId="0" fillId="0" borderId="17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7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30" xfId="0" applyNumberFormat="1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3" fontId="28" fillId="0" borderId="70" xfId="0" applyNumberFormat="1" applyFont="1" applyBorder="1" applyAlignment="1">
      <alignment horizontal="center" vertical="center"/>
    </xf>
    <xf numFmtId="166" fontId="12" fillId="0" borderId="13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28" fillId="0" borderId="11" xfId="0" applyNumberFormat="1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 wrapText="1"/>
    </xf>
    <xf numFmtId="166" fontId="28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7" fillId="0" borderId="0" xfId="0" applyNumberFormat="1" applyFont="1"/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2" fillId="0" borderId="0" xfId="0" applyFont="1"/>
    <xf numFmtId="166" fontId="29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7" xfId="5" applyFont="1" applyFill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3" fillId="0" borderId="66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4" xfId="5" applyFont="1" applyFill="1" applyBorder="1" applyAlignment="1">
      <alignment horizontal="left" vertical="center" wrapText="1"/>
    </xf>
    <xf numFmtId="0" fontId="3" fillId="0" borderId="65" xfId="5" applyFont="1" applyFill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28" fillId="0" borderId="67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/>
    </xf>
    <xf numFmtId="166" fontId="15" fillId="0" borderId="25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 indent="1"/>
    </xf>
    <xf numFmtId="167" fontId="13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8" fillId="0" borderId="3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20" fillId="0" borderId="35" xfId="0" applyFont="1" applyBorder="1"/>
    <xf numFmtId="0" fontId="21" fillId="0" borderId="36" xfId="0" applyFont="1" applyBorder="1" applyAlignment="1">
      <alignment horizontal="left" indent="1"/>
    </xf>
    <xf numFmtId="0" fontId="16" fillId="0" borderId="35" xfId="0" applyFont="1" applyBorder="1" applyAlignment="1">
      <alignment horizontal="left" vertical="center" wrapText="1"/>
    </xf>
    <xf numFmtId="0" fontId="22" fillId="0" borderId="37" xfId="0" applyFont="1" applyBorder="1" applyAlignment="1">
      <alignment horizontal="left"/>
    </xf>
    <xf numFmtId="0" fontId="0" fillId="0" borderId="54" xfId="0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justify" vertical="center" wrapText="1"/>
    </xf>
    <xf numFmtId="0" fontId="23" fillId="0" borderId="3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center"/>
    </xf>
    <xf numFmtId="0" fontId="18" fillId="0" borderId="19" xfId="0" applyFont="1" applyBorder="1" applyAlignment="1">
      <alignment vertical="center" wrapText="1"/>
    </xf>
    <xf numFmtId="0" fontId="21" fillId="0" borderId="42" xfId="0" applyFont="1" applyBorder="1" applyAlignment="1">
      <alignment vertical="center" wrapText="1"/>
    </xf>
    <xf numFmtId="0" fontId="21" fillId="0" borderId="31" xfId="0" applyFont="1" applyBorder="1" applyAlignment="1">
      <alignment horizontal="left" vertical="center" wrapText="1" indent="1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0" fillId="0" borderId="38" xfId="0" applyBorder="1"/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abSelected="1" topLeftCell="A19" zoomScaleNormal="100" workbookViewId="0">
      <selection activeCell="D25" sqref="D25:E25"/>
    </sheetView>
  </sheetViews>
  <sheetFormatPr baseColWidth="10" defaultRowHeight="15" x14ac:dyDescent="0.25"/>
  <cols>
    <col min="1" max="1" width="4.85546875" style="62" bestFit="1" customWidth="1"/>
    <col min="2" max="2" width="13" style="62" bestFit="1" customWidth="1"/>
    <col min="3" max="3" width="36.42578125" style="62" bestFit="1" customWidth="1"/>
    <col min="4" max="4" width="5.5703125" style="62" bestFit="1" customWidth="1"/>
    <col min="5" max="5" width="75.5703125" style="63" bestFit="1" customWidth="1"/>
    <col min="6" max="6" width="12" style="62" bestFit="1" customWidth="1"/>
    <col min="7" max="7" width="17.140625" style="62" hidden="1" customWidth="1"/>
    <col min="8" max="8" width="10.85546875" style="62" hidden="1" customWidth="1"/>
    <col min="9" max="9" width="8" style="62" hidden="1" customWidth="1"/>
    <col min="10" max="10" width="14.5703125" style="62" hidden="1" customWidth="1"/>
    <col min="11" max="11" width="9.42578125" style="62" hidden="1" customWidth="1"/>
    <col min="12" max="12" width="14" style="62" hidden="1" customWidth="1"/>
    <col min="13" max="13" width="8.28515625" style="62" hidden="1" customWidth="1"/>
    <col min="14" max="14" width="14.140625" style="62" hidden="1" customWidth="1"/>
    <col min="15" max="15" width="4.5703125" style="62" hidden="1" customWidth="1"/>
    <col min="16" max="16" width="12.42578125" style="62" hidden="1" customWidth="1"/>
    <col min="17" max="17" width="14.7109375" style="62" hidden="1" customWidth="1"/>
    <col min="18" max="18" width="13.42578125" style="62" hidden="1" customWidth="1"/>
    <col min="19" max="19" width="10.5703125" style="64" hidden="1" customWidth="1"/>
    <col min="20" max="20" width="13.85546875" style="65" hidden="1" customWidth="1"/>
    <col min="21" max="21" width="14.7109375" style="62" hidden="1" customWidth="1"/>
    <col min="22" max="22" width="12.85546875" style="62" hidden="1" customWidth="1"/>
    <col min="23" max="23" width="6" style="62" hidden="1" customWidth="1"/>
    <col min="24" max="24" width="12.5703125" style="62" hidden="1" customWidth="1"/>
    <col min="25" max="25" width="10.140625" style="62" hidden="1" customWidth="1"/>
    <col min="26" max="26" width="13.5703125" style="62" hidden="1" customWidth="1"/>
    <col min="27" max="28" width="14.42578125" style="62" hidden="1" customWidth="1"/>
    <col min="29" max="29" width="5.7109375" style="62" hidden="1" customWidth="1"/>
    <col min="30" max="30" width="12.28515625" style="62" hidden="1" customWidth="1"/>
    <col min="31" max="31" width="10.140625" style="62" hidden="1" customWidth="1"/>
    <col min="32" max="32" width="13.5703125" style="62" hidden="1" customWidth="1"/>
    <col min="33" max="33" width="12.140625" style="62" hidden="1" customWidth="1"/>
    <col min="34" max="34" width="13" style="62" hidden="1" customWidth="1"/>
    <col min="35" max="36" width="10.5703125" style="62" hidden="1" customWidth="1"/>
    <col min="37" max="37" width="5" style="62" hidden="1" customWidth="1"/>
    <col min="38" max="38" width="11.28515625" style="62" hidden="1" customWidth="1"/>
    <col min="39" max="39" width="6.5703125" style="62" hidden="1" customWidth="1"/>
    <col min="40" max="40" width="13.5703125" style="65" hidden="1" customWidth="1"/>
    <col min="41" max="41" width="14.85546875" style="62" hidden="1" customWidth="1"/>
    <col min="42" max="42" width="13.5703125" style="62" hidden="1" customWidth="1"/>
    <col min="43" max="43" width="13.85546875" style="62" hidden="1" customWidth="1"/>
    <col min="44" max="44" width="12.85546875" style="65" hidden="1" customWidth="1"/>
    <col min="45" max="45" width="15.28515625" style="66" hidden="1" customWidth="1"/>
    <col min="46" max="46" width="15.28515625" style="62" hidden="1" customWidth="1"/>
    <col min="47" max="47" width="7.28515625" style="66" hidden="1" customWidth="1"/>
    <col min="48" max="48" width="13.85546875" style="62" hidden="1" customWidth="1"/>
    <col min="49" max="49" width="10.42578125" style="64" bestFit="1" customWidth="1"/>
    <col min="50" max="50" width="11.42578125" style="65" bestFit="1" customWidth="1"/>
    <col min="51" max="51" width="16.28515625" style="65" bestFit="1" customWidth="1"/>
    <col min="52" max="52" width="23.7109375" hidden="1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49" customFormat="1" ht="18.75" x14ac:dyDescent="0.3">
      <c r="A2" s="147"/>
      <c r="B2" s="157" t="s">
        <v>0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48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156" t="s">
        <v>1</v>
      </c>
      <c r="B4" s="156"/>
      <c r="C4" s="120" t="s">
        <v>2</v>
      </c>
      <c r="D4" s="120"/>
      <c r="E4" s="120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56" t="s">
        <v>3</v>
      </c>
      <c r="B5" s="156"/>
      <c r="C5" s="120" t="s">
        <v>4</v>
      </c>
      <c r="D5" s="120"/>
      <c r="E5" s="120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156" t="s">
        <v>5</v>
      </c>
      <c r="B6" s="156"/>
      <c r="C6" s="121">
        <v>2022</v>
      </c>
      <c r="D6" s="122"/>
      <c r="E6" s="121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156" t="s">
        <v>6</v>
      </c>
      <c r="B7" s="156"/>
      <c r="C7" s="121" t="s">
        <v>7</v>
      </c>
      <c r="D7" s="122"/>
      <c r="E7" s="121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8" customFormat="1" ht="12.75" x14ac:dyDescent="0.2">
      <c r="A10" s="45">
        <v>1</v>
      </c>
      <c r="B10" s="45"/>
      <c r="C10" s="49" t="s">
        <v>62</v>
      </c>
      <c r="D10" s="49" t="s">
        <v>63</v>
      </c>
      <c r="E10" s="61" t="s">
        <v>66</v>
      </c>
      <c r="F10" s="45" t="s">
        <v>60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7">
        <v>50</v>
      </c>
      <c r="T10" s="46">
        <f>+S10*AX10</f>
        <v>27564.999999999996</v>
      </c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6"/>
      <c r="AO10" s="45"/>
      <c r="AP10" s="45"/>
      <c r="AQ10" s="45"/>
      <c r="AR10" s="46"/>
      <c r="AS10" s="48"/>
      <c r="AT10" s="45"/>
      <c r="AU10" s="48"/>
      <c r="AV10" s="45"/>
      <c r="AW10" s="35">
        <f t="shared" ref="AW10:AW22" si="0">+AQ10+AO10+AM10+AK10+AI10+AG10+AE10+AC10+AA10+Y10+W10+U10+S10+Q10+O10+M10+K10+I10+AS10+G10+AU10</f>
        <v>50</v>
      </c>
      <c r="AX10" s="46">
        <v>551.29999999999995</v>
      </c>
      <c r="AY10" s="46">
        <f t="shared" ref="AY10:AY22" si="1">+AW10*AX10</f>
        <v>27564.999999999996</v>
      </c>
      <c r="AZ10" s="32"/>
    </row>
    <row r="11" spans="1:52" s="38" customFormat="1" ht="12.75" x14ac:dyDescent="0.2">
      <c r="A11" s="45">
        <v>2</v>
      </c>
      <c r="B11" s="30"/>
      <c r="C11" s="55" t="s">
        <v>62</v>
      </c>
      <c r="D11" s="55" t="s">
        <v>63</v>
      </c>
      <c r="E11" s="51" t="s">
        <v>67</v>
      </c>
      <c r="F11" s="30" t="s">
        <v>64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52">
        <v>5000</v>
      </c>
      <c r="T11" s="46">
        <f t="shared" ref="T11:T22" si="2">+S11*AX11</f>
        <v>1900000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53"/>
      <c r="AO11" s="30"/>
      <c r="AP11" s="30"/>
      <c r="AQ11" s="30"/>
      <c r="AR11" s="53"/>
      <c r="AS11" s="54"/>
      <c r="AT11" s="30"/>
      <c r="AU11" s="54"/>
      <c r="AV11" s="30"/>
      <c r="AW11" s="31">
        <f t="shared" si="0"/>
        <v>5000</v>
      </c>
      <c r="AX11" s="53">
        <v>380</v>
      </c>
      <c r="AY11" s="46">
        <f t="shared" si="1"/>
        <v>1900000</v>
      </c>
      <c r="AZ11" s="32"/>
    </row>
    <row r="12" spans="1:52" s="38" customFormat="1" ht="12.75" x14ac:dyDescent="0.2">
      <c r="A12" s="45">
        <v>3</v>
      </c>
      <c r="B12" s="30"/>
      <c r="C12" s="55" t="s">
        <v>62</v>
      </c>
      <c r="D12" s="55" t="s">
        <v>63</v>
      </c>
      <c r="E12" s="51" t="s">
        <v>68</v>
      </c>
      <c r="F12" s="30" t="s">
        <v>64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52">
        <v>60000</v>
      </c>
      <c r="T12" s="46">
        <f t="shared" si="2"/>
        <v>3720000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53"/>
      <c r="AO12" s="30"/>
      <c r="AP12" s="30"/>
      <c r="AQ12" s="30"/>
      <c r="AR12" s="53"/>
      <c r="AS12" s="54"/>
      <c r="AT12" s="30"/>
      <c r="AU12" s="54"/>
      <c r="AV12" s="30"/>
      <c r="AW12" s="31">
        <f t="shared" si="0"/>
        <v>60000</v>
      </c>
      <c r="AX12" s="53">
        <v>62</v>
      </c>
      <c r="AY12" s="46">
        <f t="shared" si="1"/>
        <v>3720000</v>
      </c>
      <c r="AZ12" s="32"/>
    </row>
    <row r="13" spans="1:52" s="38" customFormat="1" ht="12.75" x14ac:dyDescent="0.2">
      <c r="A13" s="45">
        <v>4</v>
      </c>
      <c r="B13" s="30"/>
      <c r="C13" s="55" t="s">
        <v>62</v>
      </c>
      <c r="D13" s="55" t="s">
        <v>63</v>
      </c>
      <c r="E13" s="51" t="s">
        <v>69</v>
      </c>
      <c r="F13" s="30" t="s">
        <v>64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52">
        <v>1000</v>
      </c>
      <c r="T13" s="46">
        <f t="shared" si="2"/>
        <v>60320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53"/>
      <c r="AO13" s="30"/>
      <c r="AP13" s="30"/>
      <c r="AQ13" s="30"/>
      <c r="AR13" s="53"/>
      <c r="AS13" s="54"/>
      <c r="AT13" s="30"/>
      <c r="AU13" s="54"/>
      <c r="AV13" s="30"/>
      <c r="AW13" s="31">
        <f t="shared" si="0"/>
        <v>1000</v>
      </c>
      <c r="AX13" s="53">
        <v>60.32</v>
      </c>
      <c r="AY13" s="46">
        <f t="shared" si="1"/>
        <v>60320</v>
      </c>
      <c r="AZ13" s="32"/>
    </row>
    <row r="14" spans="1:52" s="38" customFormat="1" ht="12.75" x14ac:dyDescent="0.2">
      <c r="A14" s="45">
        <v>5</v>
      </c>
      <c r="B14" s="30"/>
      <c r="C14" s="55" t="s">
        <v>62</v>
      </c>
      <c r="D14" s="55" t="s">
        <v>63</v>
      </c>
      <c r="E14" s="51" t="s">
        <v>70</v>
      </c>
      <c r="F14" s="30" t="s">
        <v>64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2">
        <v>2000</v>
      </c>
      <c r="T14" s="46">
        <f t="shared" si="2"/>
        <v>90000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53"/>
      <c r="AO14" s="30"/>
      <c r="AP14" s="30"/>
      <c r="AQ14" s="30"/>
      <c r="AR14" s="53"/>
      <c r="AS14" s="54"/>
      <c r="AT14" s="30"/>
      <c r="AU14" s="54"/>
      <c r="AV14" s="30"/>
      <c r="AW14" s="31">
        <f t="shared" si="0"/>
        <v>2000</v>
      </c>
      <c r="AX14" s="53">
        <v>45</v>
      </c>
      <c r="AY14" s="46">
        <f t="shared" si="1"/>
        <v>90000</v>
      </c>
      <c r="AZ14" s="32"/>
    </row>
    <row r="15" spans="1:52" s="38" customFormat="1" ht="12.75" x14ac:dyDescent="0.2">
      <c r="A15" s="45">
        <v>6</v>
      </c>
      <c r="B15" s="30"/>
      <c r="C15" s="55" t="s">
        <v>62</v>
      </c>
      <c r="D15" s="55" t="s">
        <v>63</v>
      </c>
      <c r="E15" s="51" t="s">
        <v>71</v>
      </c>
      <c r="F15" s="30" t="s">
        <v>65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52">
        <v>10000</v>
      </c>
      <c r="T15" s="46">
        <f t="shared" si="2"/>
        <v>178000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53"/>
      <c r="AO15" s="30"/>
      <c r="AP15" s="30"/>
      <c r="AQ15" s="30"/>
      <c r="AR15" s="53"/>
      <c r="AS15" s="54"/>
      <c r="AT15" s="30"/>
      <c r="AU15" s="54"/>
      <c r="AV15" s="30"/>
      <c r="AW15" s="31">
        <f t="shared" si="0"/>
        <v>10000</v>
      </c>
      <c r="AX15" s="53">
        <v>17.8</v>
      </c>
      <c r="AY15" s="46">
        <f t="shared" si="1"/>
        <v>178000</v>
      </c>
      <c r="AZ15" s="32"/>
    </row>
    <row r="16" spans="1:52" s="38" customFormat="1" ht="12.75" x14ac:dyDescent="0.2">
      <c r="A16" s="45">
        <v>7</v>
      </c>
      <c r="B16" s="30"/>
      <c r="C16" s="55" t="s">
        <v>62</v>
      </c>
      <c r="D16" s="55" t="s">
        <v>63</v>
      </c>
      <c r="E16" s="51" t="s">
        <v>72</v>
      </c>
      <c r="F16" s="30" t="s">
        <v>65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52">
        <v>10000</v>
      </c>
      <c r="T16" s="46">
        <f t="shared" si="2"/>
        <v>74500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53"/>
      <c r="AO16" s="30"/>
      <c r="AP16" s="30"/>
      <c r="AQ16" s="30"/>
      <c r="AR16" s="53"/>
      <c r="AS16" s="54"/>
      <c r="AT16" s="30"/>
      <c r="AU16" s="54"/>
      <c r="AV16" s="30"/>
      <c r="AW16" s="31">
        <f t="shared" si="0"/>
        <v>10000</v>
      </c>
      <c r="AX16" s="53">
        <v>7.45</v>
      </c>
      <c r="AY16" s="46">
        <f t="shared" si="1"/>
        <v>74500</v>
      </c>
      <c r="AZ16" s="32"/>
    </row>
    <row r="17" spans="1:52" s="38" customFormat="1" ht="12.75" x14ac:dyDescent="0.2">
      <c r="A17" s="45">
        <v>8</v>
      </c>
      <c r="B17" s="30"/>
      <c r="C17" s="55" t="s">
        <v>62</v>
      </c>
      <c r="D17" s="55" t="s">
        <v>63</v>
      </c>
      <c r="E17" s="51" t="s">
        <v>73</v>
      </c>
      <c r="F17" s="30" t="s">
        <v>65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52">
        <v>20000</v>
      </c>
      <c r="T17" s="46">
        <f t="shared" si="2"/>
        <v>238000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53"/>
      <c r="AO17" s="30"/>
      <c r="AP17" s="30"/>
      <c r="AQ17" s="30"/>
      <c r="AR17" s="53"/>
      <c r="AS17" s="54"/>
      <c r="AT17" s="30"/>
      <c r="AU17" s="54"/>
      <c r="AV17" s="30"/>
      <c r="AW17" s="31">
        <f t="shared" si="0"/>
        <v>20000</v>
      </c>
      <c r="AX17" s="53">
        <v>11.9</v>
      </c>
      <c r="AY17" s="46">
        <f t="shared" si="1"/>
        <v>238000</v>
      </c>
      <c r="AZ17" s="32"/>
    </row>
    <row r="18" spans="1:52" s="38" customFormat="1" ht="12.75" x14ac:dyDescent="0.2">
      <c r="A18" s="45">
        <v>9</v>
      </c>
      <c r="B18" s="30"/>
      <c r="C18" s="55" t="s">
        <v>62</v>
      </c>
      <c r="D18" s="55" t="s">
        <v>63</v>
      </c>
      <c r="E18" s="51" t="s">
        <v>74</v>
      </c>
      <c r="F18" s="30" t="s">
        <v>64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52">
        <v>20</v>
      </c>
      <c r="T18" s="46">
        <f t="shared" si="2"/>
        <v>23660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53"/>
      <c r="AO18" s="30"/>
      <c r="AP18" s="30"/>
      <c r="AQ18" s="30"/>
      <c r="AR18" s="53"/>
      <c r="AS18" s="54"/>
      <c r="AT18" s="30"/>
      <c r="AU18" s="54"/>
      <c r="AV18" s="30"/>
      <c r="AW18" s="31">
        <f t="shared" si="0"/>
        <v>20</v>
      </c>
      <c r="AX18" s="53">
        <v>1183</v>
      </c>
      <c r="AY18" s="46">
        <f t="shared" si="1"/>
        <v>23660</v>
      </c>
      <c r="AZ18" s="32"/>
    </row>
    <row r="19" spans="1:52" s="38" customFormat="1" ht="12.75" x14ac:dyDescent="0.2">
      <c r="A19" s="45">
        <v>10</v>
      </c>
      <c r="B19" s="30"/>
      <c r="C19" s="55" t="s">
        <v>62</v>
      </c>
      <c r="D19" s="55" t="s">
        <v>63</v>
      </c>
      <c r="E19" s="51" t="s">
        <v>75</v>
      </c>
      <c r="F19" s="30" t="s">
        <v>65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52">
        <v>1500</v>
      </c>
      <c r="T19" s="46">
        <f t="shared" si="2"/>
        <v>105300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53"/>
      <c r="AO19" s="30"/>
      <c r="AP19" s="30"/>
      <c r="AQ19" s="30"/>
      <c r="AR19" s="53"/>
      <c r="AS19" s="54"/>
      <c r="AT19" s="30"/>
      <c r="AU19" s="54"/>
      <c r="AV19" s="30"/>
      <c r="AW19" s="31">
        <f t="shared" si="0"/>
        <v>1500</v>
      </c>
      <c r="AX19" s="53">
        <v>70.2</v>
      </c>
      <c r="AY19" s="46">
        <f t="shared" si="1"/>
        <v>105300</v>
      </c>
      <c r="AZ19" s="32"/>
    </row>
    <row r="20" spans="1:52" s="38" customFormat="1" ht="12.75" x14ac:dyDescent="0.2">
      <c r="A20" s="45">
        <v>11</v>
      </c>
      <c r="B20" s="30"/>
      <c r="C20" s="55" t="s">
        <v>62</v>
      </c>
      <c r="D20" s="55" t="s">
        <v>63</v>
      </c>
      <c r="E20" s="51" t="s">
        <v>76</v>
      </c>
      <c r="F20" s="30" t="s">
        <v>61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52">
        <v>200</v>
      </c>
      <c r="T20" s="46">
        <f t="shared" si="2"/>
        <v>118908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53"/>
      <c r="AO20" s="30"/>
      <c r="AP20" s="30"/>
      <c r="AQ20" s="30"/>
      <c r="AR20" s="53"/>
      <c r="AS20" s="54"/>
      <c r="AT20" s="30"/>
      <c r="AU20" s="54"/>
      <c r="AV20" s="30"/>
      <c r="AW20" s="31">
        <f t="shared" si="0"/>
        <v>200</v>
      </c>
      <c r="AX20" s="53">
        <v>594.54</v>
      </c>
      <c r="AY20" s="46">
        <f t="shared" si="1"/>
        <v>118908</v>
      </c>
      <c r="AZ20" s="32"/>
    </row>
    <row r="21" spans="1:52" s="38" customFormat="1" ht="12.75" x14ac:dyDescent="0.2">
      <c r="A21" s="45">
        <v>12</v>
      </c>
      <c r="B21" s="30"/>
      <c r="C21" s="55" t="s">
        <v>62</v>
      </c>
      <c r="D21" s="55" t="s">
        <v>63</v>
      </c>
      <c r="E21" s="51" t="s">
        <v>77</v>
      </c>
      <c r="F21" s="30" t="s">
        <v>64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52">
        <v>1000</v>
      </c>
      <c r="T21" s="46">
        <f t="shared" si="2"/>
        <v>65000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53"/>
      <c r="AO21" s="30"/>
      <c r="AP21" s="30"/>
      <c r="AQ21" s="30"/>
      <c r="AR21" s="53"/>
      <c r="AS21" s="54"/>
      <c r="AT21" s="30"/>
      <c r="AU21" s="54"/>
      <c r="AV21" s="30"/>
      <c r="AW21" s="31">
        <f t="shared" si="0"/>
        <v>1000</v>
      </c>
      <c r="AX21" s="53">
        <v>65</v>
      </c>
      <c r="AY21" s="46">
        <f t="shared" si="1"/>
        <v>65000</v>
      </c>
      <c r="AZ21" s="32"/>
    </row>
    <row r="22" spans="1:52" s="38" customFormat="1" ht="13.5" thickBot="1" x14ac:dyDescent="0.25">
      <c r="A22" s="45">
        <v>13</v>
      </c>
      <c r="B22" s="55"/>
      <c r="C22" s="55" t="s">
        <v>62</v>
      </c>
      <c r="D22" s="55" t="s">
        <v>63</v>
      </c>
      <c r="E22" s="56" t="s">
        <v>78</v>
      </c>
      <c r="F22" s="55" t="s">
        <v>60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7">
        <v>30</v>
      </c>
      <c r="T22" s="50">
        <f t="shared" si="2"/>
        <v>46238.400000000001</v>
      </c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8"/>
      <c r="AO22" s="55"/>
      <c r="AP22" s="55"/>
      <c r="AQ22" s="55"/>
      <c r="AR22" s="58"/>
      <c r="AS22" s="59"/>
      <c r="AT22" s="55"/>
      <c r="AU22" s="59"/>
      <c r="AV22" s="55"/>
      <c r="AW22" s="33">
        <f t="shared" si="0"/>
        <v>30</v>
      </c>
      <c r="AX22" s="58">
        <v>1541.28</v>
      </c>
      <c r="AY22" s="50">
        <f t="shared" si="1"/>
        <v>46238.400000000001</v>
      </c>
      <c r="AZ22" s="32"/>
    </row>
    <row r="23" spans="1:52" s="44" customFormat="1" ht="26.25" thickBot="1" x14ac:dyDescent="0.25">
      <c r="A23" s="42"/>
      <c r="B23" s="37"/>
      <c r="C23" s="37"/>
      <c r="D23" s="37"/>
      <c r="E23" s="36" t="s">
        <v>79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9"/>
      <c r="T23" s="40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40"/>
      <c r="AO23" s="37"/>
      <c r="AP23" s="37"/>
      <c r="AQ23" s="37"/>
      <c r="AR23" s="40"/>
      <c r="AS23" s="41"/>
      <c r="AT23" s="37"/>
      <c r="AU23" s="41"/>
      <c r="AV23" s="37"/>
      <c r="AW23" s="34"/>
      <c r="AX23" s="40"/>
      <c r="AY23" s="60">
        <f>+SUM(AY10:AY22)</f>
        <v>6647491.4000000004</v>
      </c>
      <c r="AZ23" s="43"/>
    </row>
    <row r="24" spans="1:52" ht="15.75" thickBot="1" x14ac:dyDescent="0.3"/>
    <row r="25" spans="1:52" ht="150" customHeight="1" x14ac:dyDescent="0.25">
      <c r="C25" s="112" t="s">
        <v>117</v>
      </c>
      <c r="D25" s="158" t="s">
        <v>118</v>
      </c>
      <c r="E25" s="159"/>
    </row>
    <row r="26" spans="1:52" x14ac:dyDescent="0.25">
      <c r="C26" s="113"/>
      <c r="D26" s="114"/>
      <c r="E26" s="118"/>
    </row>
    <row r="27" spans="1:52" x14ac:dyDescent="0.25">
      <c r="C27" s="115" t="s">
        <v>119</v>
      </c>
      <c r="D27" s="152" t="s">
        <v>135</v>
      </c>
      <c r="E27" s="153"/>
    </row>
    <row r="28" spans="1:52" x14ac:dyDescent="0.25">
      <c r="C28" s="115"/>
      <c r="D28" s="114"/>
      <c r="E28" s="118"/>
    </row>
    <row r="29" spans="1:52" ht="27" customHeight="1" x14ac:dyDescent="0.25">
      <c r="C29" s="115" t="s">
        <v>120</v>
      </c>
      <c r="D29" s="152" t="s">
        <v>121</v>
      </c>
      <c r="E29" s="153"/>
    </row>
    <row r="30" spans="1:52" x14ac:dyDescent="0.25">
      <c r="C30" s="115"/>
      <c r="D30" s="114"/>
      <c r="E30" s="118"/>
    </row>
    <row r="31" spans="1:52" x14ac:dyDescent="0.25">
      <c r="C31" s="116" t="s">
        <v>122</v>
      </c>
      <c r="D31" s="119"/>
      <c r="E31" s="118"/>
    </row>
    <row r="32" spans="1:52" x14ac:dyDescent="0.25">
      <c r="C32" s="116"/>
      <c r="D32" s="119"/>
      <c r="E32" s="118"/>
    </row>
    <row r="33" spans="3:5" ht="15.75" thickBot="1" x14ac:dyDescent="0.3">
      <c r="C33" s="117" t="s">
        <v>123</v>
      </c>
      <c r="D33" s="154" t="s">
        <v>124</v>
      </c>
      <c r="E33" s="155"/>
    </row>
  </sheetData>
  <mergeCells count="9">
    <mergeCell ref="D29:E29"/>
    <mergeCell ref="D33:E33"/>
    <mergeCell ref="A7:B7"/>
    <mergeCell ref="A6:B6"/>
    <mergeCell ref="B2:AX2"/>
    <mergeCell ref="A4:B4"/>
    <mergeCell ref="A5:B5"/>
    <mergeCell ref="D25:E25"/>
    <mergeCell ref="D27:E27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27:C33">
    <cfRule type="duplicateValues" dxfId="3" priority="1"/>
  </conditionalFormatting>
  <conditionalFormatting sqref="C27:C33">
    <cfRule type="duplicateValues" dxfId="2" priority="2"/>
  </conditionalFormatting>
  <conditionalFormatting sqref="C27:C33">
    <cfRule type="duplicateValues" dxfId="1" priority="3"/>
  </conditionalFormatting>
  <conditionalFormatting sqref="C27:C3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D1"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45" customWidth="1"/>
    <col min="11" max="11" width="15.5703125" customWidth="1"/>
    <col min="13" max="13" width="14.5703125" style="146" bestFit="1" customWidth="1"/>
  </cols>
  <sheetData>
    <row r="1" spans="1:13" ht="30.75" thickBot="1" x14ac:dyDescent="0.3">
      <c r="A1" s="162" t="s">
        <v>80</v>
      </c>
      <c r="B1" s="162"/>
      <c r="C1" s="162"/>
      <c r="D1" s="162"/>
      <c r="E1" s="162"/>
      <c r="F1" s="162"/>
      <c r="G1" s="162"/>
      <c r="H1" s="162"/>
      <c r="I1" s="162"/>
      <c r="J1" s="139" t="s">
        <v>81</v>
      </c>
      <c r="K1" s="67" t="s">
        <v>129</v>
      </c>
    </row>
    <row r="2" spans="1:13" ht="16.5" thickBot="1" x14ac:dyDescent="0.3">
      <c r="A2" s="68"/>
      <c r="B2" s="69"/>
      <c r="C2" s="69"/>
      <c r="D2" s="70"/>
      <c r="E2" s="70"/>
      <c r="F2" s="70"/>
      <c r="G2" s="70"/>
      <c r="H2" s="70"/>
      <c r="I2" s="70"/>
      <c r="J2" s="140"/>
      <c r="K2" s="71"/>
    </row>
    <row r="3" spans="1:13" ht="16.5" thickBot="1" x14ac:dyDescent="0.3">
      <c r="A3" s="163" t="s">
        <v>82</v>
      </c>
      <c r="B3" s="163"/>
      <c r="C3" s="163"/>
      <c r="D3" s="161" t="str">
        <f>'SAF 011'!C4</f>
        <v>040 - MINISTERIO DE SALUD</v>
      </c>
      <c r="E3" s="161"/>
      <c r="F3" s="161"/>
      <c r="G3" s="161"/>
      <c r="H3" s="161"/>
      <c r="I3" s="161"/>
      <c r="J3" s="161"/>
      <c r="K3" s="161"/>
    </row>
    <row r="4" spans="1:13" ht="16.5" thickBot="1" x14ac:dyDescent="0.3">
      <c r="A4" s="160" t="s">
        <v>83</v>
      </c>
      <c r="B4" s="160"/>
      <c r="C4" s="160"/>
      <c r="D4" s="161" t="str">
        <f>'SAF 011'!C5</f>
        <v>011 - DIRECCION PROVINCIAL DE ADMINISTRACION - MINISTERIO DE SALUD</v>
      </c>
      <c r="E4" s="161"/>
      <c r="F4" s="161"/>
      <c r="G4" s="161"/>
      <c r="H4" s="161"/>
      <c r="I4" s="161"/>
      <c r="J4" s="161"/>
      <c r="K4" s="161"/>
    </row>
    <row r="5" spans="1:13" ht="16.5" thickBot="1" x14ac:dyDescent="0.3">
      <c r="A5" s="160" t="s">
        <v>84</v>
      </c>
      <c r="B5" s="160"/>
      <c r="C5" s="160"/>
      <c r="D5" s="161" t="s">
        <v>125</v>
      </c>
      <c r="E5" s="161"/>
      <c r="F5" s="161"/>
      <c r="G5" s="161"/>
      <c r="H5" s="161"/>
      <c r="I5" s="161"/>
      <c r="J5" s="161"/>
      <c r="K5" s="161"/>
    </row>
    <row r="6" spans="1:13" ht="16.5" thickBot="1" x14ac:dyDescent="0.3">
      <c r="A6" s="163" t="s">
        <v>85</v>
      </c>
      <c r="B6" s="163"/>
      <c r="C6" s="163"/>
      <c r="D6" s="161" t="s">
        <v>125</v>
      </c>
      <c r="E6" s="161"/>
      <c r="F6" s="161"/>
      <c r="G6" s="161"/>
      <c r="H6" s="161"/>
      <c r="I6" s="161"/>
      <c r="J6" s="161"/>
      <c r="K6" s="161"/>
    </row>
    <row r="7" spans="1:13" ht="16.5" thickBot="1" x14ac:dyDescent="0.3">
      <c r="A7" s="160" t="s">
        <v>86</v>
      </c>
      <c r="B7" s="160"/>
      <c r="C7" s="160"/>
      <c r="D7" s="161" t="s">
        <v>126</v>
      </c>
      <c r="E7" s="161"/>
      <c r="F7" s="161"/>
      <c r="G7" s="161"/>
      <c r="H7" s="161"/>
      <c r="I7" s="161"/>
      <c r="J7" s="161"/>
      <c r="K7" s="161"/>
    </row>
    <row r="8" spans="1:13" ht="35.25" customHeight="1" thickBot="1" x14ac:dyDescent="0.3">
      <c r="A8" s="164" t="s">
        <v>87</v>
      </c>
      <c r="B8" s="164"/>
      <c r="C8" s="164"/>
      <c r="D8" s="165" t="s">
        <v>130</v>
      </c>
      <c r="E8" s="165"/>
      <c r="F8" s="165"/>
      <c r="G8" s="165"/>
      <c r="H8" s="165"/>
      <c r="I8" s="165"/>
      <c r="J8" s="165"/>
      <c r="K8" s="165"/>
    </row>
    <row r="9" spans="1:13" ht="16.5" thickBot="1" x14ac:dyDescent="0.3">
      <c r="A9" s="72"/>
      <c r="B9" s="73"/>
      <c r="C9" s="73"/>
      <c r="D9" s="74"/>
      <c r="E9" s="74"/>
      <c r="F9" s="74"/>
      <c r="G9" s="74"/>
      <c r="H9" s="74"/>
      <c r="I9" s="74"/>
      <c r="J9" s="141"/>
      <c r="K9" s="75"/>
    </row>
    <row r="10" spans="1:13" ht="15.75" thickBot="1" x14ac:dyDescent="0.3">
      <c r="A10" s="169" t="s">
        <v>88</v>
      </c>
      <c r="B10" s="170" t="s">
        <v>89</v>
      </c>
      <c r="C10" s="170" t="s">
        <v>90</v>
      </c>
      <c r="D10" s="170"/>
      <c r="E10" s="170"/>
      <c r="F10" s="170"/>
      <c r="G10" s="170"/>
      <c r="H10" s="170" t="s">
        <v>91</v>
      </c>
      <c r="I10" s="170" t="s">
        <v>92</v>
      </c>
      <c r="J10" s="173" t="s">
        <v>93</v>
      </c>
      <c r="K10" s="171" t="s">
        <v>94</v>
      </c>
    </row>
    <row r="11" spans="1:13" ht="28.5" customHeight="1" thickBot="1" x14ac:dyDescent="0.3">
      <c r="A11" s="169"/>
      <c r="B11" s="170"/>
      <c r="C11" s="170"/>
      <c r="D11" s="170"/>
      <c r="E11" s="170"/>
      <c r="F11" s="170"/>
      <c r="G11" s="170"/>
      <c r="H11" s="170"/>
      <c r="I11" s="170"/>
      <c r="J11" s="173"/>
      <c r="K11" s="171"/>
    </row>
    <row r="12" spans="1:13" s="123" customFormat="1" x14ac:dyDescent="0.25">
      <c r="A12" s="124">
        <v>1</v>
      </c>
      <c r="B12" s="125"/>
      <c r="C12" s="172" t="str">
        <f>'SAF 011'!E10</f>
        <v>APOSITO HIDROCOLOIDE CUADRADO 10 X 10 CM</v>
      </c>
      <c r="D12" s="172"/>
      <c r="E12" s="172"/>
      <c r="F12" s="172"/>
      <c r="G12" s="172"/>
      <c r="H12" s="128" t="s">
        <v>131</v>
      </c>
      <c r="I12" s="129" t="str">
        <f>'SAF 011'!F10</f>
        <v>UNIDAD</v>
      </c>
      <c r="J12" s="142">
        <f>'SAF 011'!AX10</f>
        <v>551.29999999999995</v>
      </c>
      <c r="K12" s="130">
        <f>'SAF 011'!S10</f>
        <v>50</v>
      </c>
      <c r="M12" s="146">
        <f>+J12*K12</f>
        <v>27564.999999999996</v>
      </c>
    </row>
    <row r="13" spans="1:13" s="123" customFormat="1" ht="16.5" customHeight="1" x14ac:dyDescent="0.25">
      <c r="A13" s="126">
        <v>2</v>
      </c>
      <c r="B13" s="127"/>
      <c r="C13" s="166" t="str">
        <f>'SAF 011'!E11</f>
        <v xml:space="preserve">BETAMETASONA G 12 MG ( 6 MG ACETATO/6 MG FOSFATO ) AMPOLLA </v>
      </c>
      <c r="D13" s="167"/>
      <c r="E13" s="167"/>
      <c r="F13" s="167"/>
      <c r="G13" s="168"/>
      <c r="H13" s="131" t="s">
        <v>131</v>
      </c>
      <c r="I13" s="132" t="str">
        <f>'SAF 011'!F11</f>
        <v>AMPOLLA</v>
      </c>
      <c r="J13" s="143">
        <f>'SAF 011'!AX11</f>
        <v>380</v>
      </c>
      <c r="K13" s="133">
        <f>'SAF 011'!S11</f>
        <v>5000</v>
      </c>
      <c r="M13" s="146">
        <f t="shared" ref="M13:M24" si="0">+J13*K13</f>
        <v>1900000</v>
      </c>
    </row>
    <row r="14" spans="1:13" s="123" customFormat="1" ht="16.5" customHeight="1" x14ac:dyDescent="0.25">
      <c r="A14" s="126">
        <v>3</v>
      </c>
      <c r="B14" s="127"/>
      <c r="C14" s="166" t="str">
        <f>'SAF 011'!E12</f>
        <v>DEXAMETASONA 8 MG AMPOLLA x 2 ml</v>
      </c>
      <c r="D14" s="167"/>
      <c r="E14" s="167"/>
      <c r="F14" s="167"/>
      <c r="G14" s="168"/>
      <c r="H14" s="131" t="s">
        <v>131</v>
      </c>
      <c r="I14" s="132" t="str">
        <f>'SAF 011'!F12</f>
        <v>AMPOLLA</v>
      </c>
      <c r="J14" s="143">
        <f>'SAF 011'!AX12</f>
        <v>62</v>
      </c>
      <c r="K14" s="133">
        <f>'SAF 011'!S12</f>
        <v>60000</v>
      </c>
      <c r="M14" s="146">
        <f t="shared" si="0"/>
        <v>3720000</v>
      </c>
    </row>
    <row r="15" spans="1:13" s="123" customFormat="1" ht="16.5" customHeight="1" x14ac:dyDescent="0.25">
      <c r="A15" s="126">
        <v>4</v>
      </c>
      <c r="B15" s="127"/>
      <c r="C15" s="166" t="str">
        <f>'SAF 011'!E13</f>
        <v>ERGONOVINA AMPOLLA x 2 ml</v>
      </c>
      <c r="D15" s="167"/>
      <c r="E15" s="167"/>
      <c r="F15" s="167"/>
      <c r="G15" s="168"/>
      <c r="H15" s="131" t="s">
        <v>131</v>
      </c>
      <c r="I15" s="132" t="str">
        <f>'SAF 011'!F13</f>
        <v>AMPOLLA</v>
      </c>
      <c r="J15" s="143">
        <f>'SAF 011'!AX13</f>
        <v>60.32</v>
      </c>
      <c r="K15" s="133">
        <f>'SAF 011'!S13</f>
        <v>1000</v>
      </c>
      <c r="M15" s="146">
        <f t="shared" si="0"/>
        <v>60320</v>
      </c>
    </row>
    <row r="16" spans="1:13" s="123" customFormat="1" ht="16.5" customHeight="1" x14ac:dyDescent="0.25">
      <c r="A16" s="126">
        <v>5</v>
      </c>
      <c r="B16" s="127"/>
      <c r="C16" s="166" t="str">
        <f>'SAF 011'!E14</f>
        <v xml:space="preserve">ISOXUPRINA 10 MG/ 2 ML. AMPOLLA </v>
      </c>
      <c r="D16" s="167"/>
      <c r="E16" s="167"/>
      <c r="F16" s="167"/>
      <c r="G16" s="168"/>
      <c r="H16" s="131" t="s">
        <v>131</v>
      </c>
      <c r="I16" s="132" t="str">
        <f>'SAF 011'!F14</f>
        <v>AMPOLLA</v>
      </c>
      <c r="J16" s="143">
        <f>'SAF 011'!AX14</f>
        <v>45</v>
      </c>
      <c r="K16" s="133">
        <f>'SAF 011'!S14</f>
        <v>2000</v>
      </c>
      <c r="M16" s="146">
        <f t="shared" si="0"/>
        <v>90000</v>
      </c>
    </row>
    <row r="17" spans="1:13" s="123" customFormat="1" ht="16.5" customHeight="1" x14ac:dyDescent="0.25">
      <c r="A17" s="126">
        <v>6</v>
      </c>
      <c r="B17" s="127"/>
      <c r="C17" s="166" t="str">
        <f>'SAF 011'!E15</f>
        <v>LEVOTIROXINA 100 MG COMPRIMIDOS</v>
      </c>
      <c r="D17" s="167"/>
      <c r="E17" s="167"/>
      <c r="F17" s="167"/>
      <c r="G17" s="168"/>
      <c r="H17" s="131" t="s">
        <v>131</v>
      </c>
      <c r="I17" s="132" t="str">
        <f>'SAF 011'!F15</f>
        <v>COMPRIMIDO</v>
      </c>
      <c r="J17" s="143">
        <f>'SAF 011'!AX15</f>
        <v>17.8</v>
      </c>
      <c r="K17" s="133">
        <f>'SAF 011'!S15</f>
        <v>10000</v>
      </c>
      <c r="M17" s="146">
        <f t="shared" si="0"/>
        <v>178000</v>
      </c>
    </row>
    <row r="18" spans="1:13" s="123" customFormat="1" ht="16.5" customHeight="1" x14ac:dyDescent="0.25">
      <c r="A18" s="126">
        <v>7</v>
      </c>
      <c r="B18" s="127"/>
      <c r="C18" s="166" t="str">
        <f>'SAF 011'!E16</f>
        <v>LEVOTIROXINA 25 MG COMPRIMIDOS</v>
      </c>
      <c r="D18" s="167"/>
      <c r="E18" s="167"/>
      <c r="F18" s="167"/>
      <c r="G18" s="168"/>
      <c r="H18" s="131" t="s">
        <v>131</v>
      </c>
      <c r="I18" s="132" t="str">
        <f>'SAF 011'!F16</f>
        <v>COMPRIMIDO</v>
      </c>
      <c r="J18" s="143">
        <f>'SAF 011'!AX16</f>
        <v>7.45</v>
      </c>
      <c r="K18" s="133">
        <f>'SAF 011'!S16</f>
        <v>10000</v>
      </c>
      <c r="M18" s="146">
        <f t="shared" si="0"/>
        <v>74500</v>
      </c>
    </row>
    <row r="19" spans="1:13" s="123" customFormat="1" ht="16.5" customHeight="1" x14ac:dyDescent="0.25">
      <c r="A19" s="126">
        <v>8</v>
      </c>
      <c r="B19" s="127"/>
      <c r="C19" s="166" t="str">
        <f>'SAF 011'!E17</f>
        <v>LEVOTIROXINA 75 MG COMPRIMIDOS</v>
      </c>
      <c r="D19" s="167"/>
      <c r="E19" s="167"/>
      <c r="F19" s="167"/>
      <c r="G19" s="168"/>
      <c r="H19" s="131" t="s">
        <v>131</v>
      </c>
      <c r="I19" s="132" t="str">
        <f>'SAF 011'!F17</f>
        <v>COMPRIMIDO</v>
      </c>
      <c r="J19" s="143">
        <f>'SAF 011'!AX17</f>
        <v>11.9</v>
      </c>
      <c r="K19" s="133">
        <f>'SAF 011'!S17</f>
        <v>20000</v>
      </c>
      <c r="M19" s="146">
        <f t="shared" si="0"/>
        <v>238000</v>
      </c>
    </row>
    <row r="20" spans="1:13" s="123" customFormat="1" ht="16.5" customHeight="1" x14ac:dyDescent="0.25">
      <c r="A20" s="126">
        <v>9</v>
      </c>
      <c r="B20" s="127"/>
      <c r="C20" s="166" t="str">
        <f>'SAF 011'!E18</f>
        <v>METILPREDNISOLONA 500 MG FCO AMPOLLA</v>
      </c>
      <c r="D20" s="167"/>
      <c r="E20" s="167"/>
      <c r="F20" s="167"/>
      <c r="G20" s="168"/>
      <c r="H20" s="131" t="s">
        <v>131</v>
      </c>
      <c r="I20" s="132" t="str">
        <f>'SAF 011'!F18</f>
        <v>AMPOLLA</v>
      </c>
      <c r="J20" s="143">
        <f>'SAF 011'!AX18</f>
        <v>1183</v>
      </c>
      <c r="K20" s="133">
        <f>'SAF 011'!S18</f>
        <v>20</v>
      </c>
      <c r="M20" s="146">
        <f t="shared" si="0"/>
        <v>23660</v>
      </c>
    </row>
    <row r="21" spans="1:13" s="123" customFormat="1" ht="16.5" customHeight="1" x14ac:dyDescent="0.25">
      <c r="A21" s="126">
        <v>10</v>
      </c>
      <c r="B21" s="127"/>
      <c r="C21" s="166" t="str">
        <f>'SAF 011'!E19</f>
        <v>METILPREDNISONA 40 MG COMPRIMIDO</v>
      </c>
      <c r="D21" s="167"/>
      <c r="E21" s="167"/>
      <c r="F21" s="167"/>
      <c r="G21" s="168"/>
      <c r="H21" s="131" t="s">
        <v>131</v>
      </c>
      <c r="I21" s="132" t="str">
        <f>'SAF 011'!F19</f>
        <v>COMPRIMIDO</v>
      </c>
      <c r="J21" s="143">
        <f>'SAF 011'!AX19</f>
        <v>70.2</v>
      </c>
      <c r="K21" s="133">
        <f>'SAF 011'!S19</f>
        <v>1500</v>
      </c>
      <c r="M21" s="146">
        <f t="shared" si="0"/>
        <v>105300</v>
      </c>
    </row>
    <row r="22" spans="1:13" s="123" customFormat="1" ht="16.5" customHeight="1" x14ac:dyDescent="0.25">
      <c r="A22" s="126">
        <v>11</v>
      </c>
      <c r="B22" s="127"/>
      <c r="C22" s="166" t="str">
        <f>'SAF 011'!E20</f>
        <v>NITROFURAZONA 0,2 % APOSITOS  X 20 UNIDADES</v>
      </c>
      <c r="D22" s="167"/>
      <c r="E22" s="167"/>
      <c r="F22" s="167"/>
      <c r="G22" s="168"/>
      <c r="H22" s="131" t="s">
        <v>131</v>
      </c>
      <c r="I22" s="132" t="str">
        <f>'SAF 011'!F20</f>
        <v>CAJA</v>
      </c>
      <c r="J22" s="143">
        <f>'SAF 011'!AX20</f>
        <v>594.54</v>
      </c>
      <c r="K22" s="133">
        <f>'SAF 011'!S20</f>
        <v>200</v>
      </c>
      <c r="M22" s="146">
        <f t="shared" si="0"/>
        <v>118908</v>
      </c>
    </row>
    <row r="23" spans="1:13" s="123" customFormat="1" ht="16.5" customHeight="1" x14ac:dyDescent="0.25">
      <c r="A23" s="126">
        <v>12</v>
      </c>
      <c r="B23" s="127"/>
      <c r="C23" s="166" t="str">
        <f>'SAF 011'!E21</f>
        <v>OXCITOCINA 10 UI INYECTABLE x 1 ml</v>
      </c>
      <c r="D23" s="167"/>
      <c r="E23" s="167"/>
      <c r="F23" s="167"/>
      <c r="G23" s="168"/>
      <c r="H23" s="131" t="s">
        <v>131</v>
      </c>
      <c r="I23" s="132" t="str">
        <f>'SAF 011'!F21</f>
        <v>AMPOLLA</v>
      </c>
      <c r="J23" s="143">
        <f>'SAF 011'!AX21</f>
        <v>65</v>
      </c>
      <c r="K23" s="133">
        <f>'SAF 011'!S21</f>
        <v>1000</v>
      </c>
      <c r="M23" s="146">
        <f t="shared" si="0"/>
        <v>65000</v>
      </c>
    </row>
    <row r="24" spans="1:13" s="123" customFormat="1" ht="15" customHeight="1" x14ac:dyDescent="0.25">
      <c r="A24" s="126">
        <v>13</v>
      </c>
      <c r="B24" s="127"/>
      <c r="C24" s="166" t="str">
        <f>'SAF 011'!E22</f>
        <v xml:space="preserve">VASELINA SOLIDA X 1KG </v>
      </c>
      <c r="D24" s="167"/>
      <c r="E24" s="167"/>
      <c r="F24" s="167"/>
      <c r="G24" s="168"/>
      <c r="H24" s="131" t="s">
        <v>131</v>
      </c>
      <c r="I24" s="132" t="str">
        <f>'SAF 011'!F22</f>
        <v>UNIDAD</v>
      </c>
      <c r="J24" s="143">
        <f>'SAF 011'!AX22</f>
        <v>1541.28</v>
      </c>
      <c r="K24" s="133">
        <f>'SAF 011'!S22</f>
        <v>30</v>
      </c>
      <c r="M24" s="146">
        <f t="shared" si="0"/>
        <v>46238.400000000001</v>
      </c>
    </row>
    <row r="25" spans="1:13" s="123" customFormat="1" ht="15.75" thickBot="1" x14ac:dyDescent="0.3">
      <c r="A25" s="134"/>
      <c r="B25" s="135"/>
      <c r="C25" s="176"/>
      <c r="D25" s="176"/>
      <c r="E25" s="176"/>
      <c r="F25" s="176"/>
      <c r="G25" s="176"/>
      <c r="H25" s="136"/>
      <c r="I25" s="137"/>
      <c r="J25" s="144"/>
      <c r="K25" s="138"/>
      <c r="M25" s="146"/>
    </row>
    <row r="26" spans="1:13" s="150" customFormat="1" ht="39" customHeight="1" thickBot="1" x14ac:dyDescent="0.3">
      <c r="A26" s="174" t="s">
        <v>132</v>
      </c>
      <c r="B26" s="174"/>
      <c r="C26" s="174"/>
      <c r="D26" s="174"/>
      <c r="E26" s="174"/>
      <c r="F26" s="174"/>
      <c r="G26" s="174"/>
      <c r="H26" s="174"/>
      <c r="I26" s="174"/>
      <c r="J26" s="175">
        <f>+M26</f>
        <v>6647491.4000000004</v>
      </c>
      <c r="K26" s="175"/>
      <c r="M26" s="151">
        <f>SUM(M12:M25)</f>
        <v>6647491.4000000004</v>
      </c>
    </row>
  </sheetData>
  <mergeCells count="36">
    <mergeCell ref="A26:I26"/>
    <mergeCell ref="J26:K26"/>
    <mergeCell ref="C17:G17"/>
    <mergeCell ref="C18:G18"/>
    <mergeCell ref="C19:G19"/>
    <mergeCell ref="C20:G20"/>
    <mergeCell ref="C24:G24"/>
    <mergeCell ref="C25:G25"/>
    <mergeCell ref="C21:G21"/>
    <mergeCell ref="C22:G22"/>
    <mergeCell ref="C23:G23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K20" sqref="K20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8" t="s">
        <v>5</v>
      </c>
      <c r="B1" s="178"/>
      <c r="C1" s="178"/>
      <c r="D1" s="179">
        <v>2022</v>
      </c>
      <c r="E1" s="179"/>
      <c r="F1" s="76"/>
      <c r="G1" s="76"/>
      <c r="H1" s="77"/>
      <c r="I1" s="77"/>
      <c r="J1" s="77"/>
      <c r="K1" s="77"/>
      <c r="L1" s="77"/>
      <c r="M1" s="77"/>
      <c r="N1" s="77"/>
      <c r="O1" s="78"/>
      <c r="P1" s="180" t="s">
        <v>95</v>
      </c>
      <c r="Q1" s="180"/>
    </row>
    <row r="2" spans="1:17" ht="15.75" thickBot="1" x14ac:dyDescent="0.3">
      <c r="A2" s="79"/>
      <c r="B2" s="80"/>
      <c r="C2" s="80"/>
      <c r="D2" s="80"/>
      <c r="E2" s="80"/>
      <c r="F2" s="80"/>
      <c r="G2" s="81"/>
      <c r="H2" s="82"/>
      <c r="I2" s="82"/>
      <c r="J2" s="82"/>
      <c r="K2" s="82"/>
      <c r="L2" s="82"/>
      <c r="M2" s="82"/>
      <c r="N2" s="82"/>
      <c r="O2" s="80"/>
      <c r="P2" s="180"/>
      <c r="Q2" s="180"/>
    </row>
    <row r="3" spans="1:17" ht="15.75" thickBot="1" x14ac:dyDescent="0.3">
      <c r="A3" s="79"/>
      <c r="B3" s="80"/>
      <c r="C3" s="80"/>
      <c r="D3" s="80"/>
      <c r="E3" s="80"/>
      <c r="F3" s="80"/>
      <c r="G3" s="81"/>
      <c r="H3" s="80"/>
      <c r="I3" s="80"/>
      <c r="J3" s="80"/>
      <c r="K3" s="80"/>
      <c r="L3" s="80"/>
      <c r="M3" s="80"/>
      <c r="N3" s="80"/>
      <c r="O3" s="80"/>
      <c r="P3" s="80"/>
      <c r="Q3" s="83"/>
    </row>
    <row r="4" spans="1:17" ht="15.75" thickBot="1" x14ac:dyDescent="0.3">
      <c r="A4" s="181" t="s">
        <v>96</v>
      </c>
      <c r="B4" s="181"/>
      <c r="C4" s="181"/>
      <c r="D4" s="181"/>
      <c r="E4" s="181"/>
      <c r="F4" s="181"/>
      <c r="G4" s="182" t="str">
        <f>NP!D3</f>
        <v>040 - MINISTERIO DE SALUD</v>
      </c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7" ht="15.75" thickBot="1" x14ac:dyDescent="0.3">
      <c r="A5" s="183" t="s">
        <v>83</v>
      </c>
      <c r="B5" s="183"/>
      <c r="C5" s="183"/>
      <c r="D5" s="183"/>
      <c r="E5" s="183"/>
      <c r="F5" s="183"/>
      <c r="G5" s="182" t="str">
        <f>NP!D4</f>
        <v>011 - DIRECCION PROVINCIAL DE ADMINISTRACION - MINISTERIO DE SALUD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pans="1:17" ht="15.75" thickBot="1" x14ac:dyDescent="0.3">
      <c r="A6" s="183" t="s">
        <v>84</v>
      </c>
      <c r="B6" s="183"/>
      <c r="C6" s="183"/>
      <c r="D6" s="183"/>
      <c r="E6" s="183"/>
      <c r="F6" s="183"/>
      <c r="G6" s="182" t="str">
        <f>NP!D5</f>
        <v>DIRECCION PROVINCIAL DE FARMACIA E INSUMOS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 spans="1:17" ht="15.75" thickBot="1" x14ac:dyDescent="0.3">
      <c r="A7" s="183" t="s">
        <v>85</v>
      </c>
      <c r="B7" s="183"/>
      <c r="C7" s="183"/>
      <c r="D7" s="183"/>
      <c r="E7" s="183"/>
      <c r="F7" s="183"/>
      <c r="G7" s="182" t="str">
        <f>NP!D6</f>
        <v>DIRECCION PROVINCIAL DE FARMACIA E INSUMOS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 spans="1:17" ht="15.75" thickBot="1" x14ac:dyDescent="0.3">
      <c r="A8" s="184" t="s">
        <v>97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20.25" customHeight="1" x14ac:dyDescent="0.25">
      <c r="A9" s="177" t="s">
        <v>98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</row>
    <row r="10" spans="1:17" ht="69" customHeight="1" x14ac:dyDescent="0.25">
      <c r="A10" s="186" t="s">
        <v>133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</row>
    <row r="11" spans="1:17" ht="15.75" thickBot="1" x14ac:dyDescent="0.3">
      <c r="A11" s="84"/>
      <c r="B11" s="85"/>
      <c r="C11" s="85"/>
      <c r="D11" s="85"/>
      <c r="E11" s="85"/>
      <c r="F11" s="85"/>
      <c r="G11" s="86"/>
      <c r="H11" s="85"/>
      <c r="I11" s="85"/>
      <c r="J11" s="85"/>
      <c r="K11" s="85"/>
      <c r="L11" s="85"/>
      <c r="M11" s="85"/>
      <c r="N11" s="85"/>
      <c r="O11" s="85"/>
      <c r="P11" s="85"/>
      <c r="Q11" s="87"/>
    </row>
    <row r="12" spans="1:17" ht="15.75" thickBot="1" x14ac:dyDescent="0.3">
      <c r="A12" s="187" t="s">
        <v>99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</row>
    <row r="13" spans="1:17" ht="15.75" thickBot="1" x14ac:dyDescent="0.3">
      <c r="A13" s="188" t="s">
        <v>100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 t="s">
        <v>101</v>
      </c>
      <c r="P13" s="189"/>
      <c r="Q13" s="190" t="s">
        <v>102</v>
      </c>
    </row>
    <row r="14" spans="1:17" ht="15.75" thickBot="1" x14ac:dyDescent="0.3">
      <c r="A14" s="88" t="s">
        <v>103</v>
      </c>
      <c r="B14" s="89" t="s">
        <v>104</v>
      </c>
      <c r="C14" s="89" t="s">
        <v>105</v>
      </c>
      <c r="D14" s="89" t="s">
        <v>106</v>
      </c>
      <c r="E14" s="89" t="s">
        <v>107</v>
      </c>
      <c r="F14" s="89" t="s">
        <v>108</v>
      </c>
      <c r="G14" s="90" t="s">
        <v>109</v>
      </c>
      <c r="H14" s="89" t="s">
        <v>110</v>
      </c>
      <c r="I14" s="89" t="s">
        <v>111</v>
      </c>
      <c r="J14" s="89" t="s">
        <v>112</v>
      </c>
      <c r="K14" s="89" t="s">
        <v>112</v>
      </c>
      <c r="L14" s="89" t="s">
        <v>113</v>
      </c>
      <c r="M14" s="91" t="s">
        <v>114</v>
      </c>
      <c r="N14" s="92" t="s">
        <v>115</v>
      </c>
      <c r="O14" s="189"/>
      <c r="P14" s="189"/>
      <c r="Q14" s="190"/>
    </row>
    <row r="15" spans="1:17" ht="33.75" customHeight="1" x14ac:dyDescent="0.25">
      <c r="A15" s="93">
        <v>30</v>
      </c>
      <c r="B15" s="94"/>
      <c r="C15" s="94"/>
      <c r="D15" s="94">
        <v>1</v>
      </c>
      <c r="E15" s="94"/>
      <c r="F15" s="94">
        <v>4901</v>
      </c>
      <c r="G15" s="94">
        <v>3</v>
      </c>
      <c r="H15" s="94">
        <v>1</v>
      </c>
      <c r="I15" s="94">
        <v>2</v>
      </c>
      <c r="J15" s="94">
        <v>5</v>
      </c>
      <c r="K15" s="94">
        <v>2</v>
      </c>
      <c r="L15" s="94"/>
      <c r="M15" s="95">
        <v>1</v>
      </c>
      <c r="N15" s="94" t="s">
        <v>127</v>
      </c>
      <c r="O15" s="191" t="s">
        <v>128</v>
      </c>
      <c r="P15" s="191"/>
      <c r="Q15" s="96">
        <f>NP!M26</f>
        <v>6647491.4000000004</v>
      </c>
    </row>
    <row r="16" spans="1:17" x14ac:dyDescent="0.25">
      <c r="A16" s="97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9"/>
      <c r="N16" s="100"/>
      <c r="O16" s="192"/>
      <c r="P16" s="192"/>
      <c r="Q16" s="101"/>
    </row>
    <row r="17" spans="1:17" x14ac:dyDescent="0.25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9"/>
      <c r="N17" s="100"/>
      <c r="O17" s="193"/>
      <c r="P17" s="193"/>
      <c r="Q17" s="101"/>
    </row>
    <row r="18" spans="1:17" x14ac:dyDescent="0.25">
      <c r="A18" s="97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9"/>
      <c r="N18" s="100"/>
      <c r="O18" s="185"/>
      <c r="P18" s="185"/>
      <c r="Q18" s="101"/>
    </row>
    <row r="19" spans="1:17" x14ac:dyDescent="0.25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9"/>
      <c r="N19" s="100"/>
      <c r="O19" s="185"/>
      <c r="P19" s="185"/>
      <c r="Q19" s="101"/>
    </row>
    <row r="20" spans="1:17" x14ac:dyDescent="0.25">
      <c r="A20" s="97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9"/>
      <c r="N20" s="100"/>
      <c r="O20" s="185"/>
      <c r="P20" s="185"/>
      <c r="Q20" s="101"/>
    </row>
    <row r="21" spans="1:17" x14ac:dyDescent="0.25">
      <c r="A21" s="97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9"/>
      <c r="N21" s="100"/>
      <c r="O21" s="185"/>
      <c r="P21" s="185"/>
      <c r="Q21" s="101"/>
    </row>
    <row r="22" spans="1:17" x14ac:dyDescent="0.25">
      <c r="A22" s="97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9"/>
      <c r="N22" s="100"/>
      <c r="O22" s="185"/>
      <c r="P22" s="185"/>
      <c r="Q22" s="101"/>
    </row>
    <row r="23" spans="1:17" x14ac:dyDescent="0.25">
      <c r="A23" s="97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9"/>
      <c r="N23" s="100"/>
      <c r="O23" s="185"/>
      <c r="P23" s="185"/>
      <c r="Q23" s="101"/>
    </row>
    <row r="24" spans="1:17" x14ac:dyDescent="0.25">
      <c r="A24" s="97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9"/>
      <c r="N24" s="100"/>
      <c r="O24" s="185"/>
      <c r="P24" s="185"/>
      <c r="Q24" s="101"/>
    </row>
    <row r="25" spans="1:17" x14ac:dyDescent="0.25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100"/>
      <c r="O25" s="185"/>
      <c r="P25" s="185"/>
      <c r="Q25" s="101"/>
    </row>
    <row r="26" spans="1:17" x14ac:dyDescent="0.25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100"/>
      <c r="O26" s="185"/>
      <c r="P26" s="185"/>
      <c r="Q26" s="101"/>
    </row>
    <row r="27" spans="1:17" x14ac:dyDescent="0.25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100"/>
      <c r="O27" s="185"/>
      <c r="P27" s="185"/>
      <c r="Q27" s="101"/>
    </row>
    <row r="28" spans="1:17" x14ac:dyDescent="0.25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100"/>
      <c r="O28" s="185"/>
      <c r="P28" s="185"/>
      <c r="Q28" s="101"/>
    </row>
    <row r="29" spans="1:17" x14ac:dyDescent="0.25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100"/>
      <c r="O29" s="185"/>
      <c r="P29" s="185"/>
      <c r="Q29" s="101"/>
    </row>
    <row r="30" spans="1:17" x14ac:dyDescent="0.25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100"/>
      <c r="O30" s="185"/>
      <c r="P30" s="185"/>
      <c r="Q30" s="101"/>
    </row>
    <row r="31" spans="1:17" x14ac:dyDescent="0.25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100"/>
      <c r="O31" s="185"/>
      <c r="P31" s="185"/>
      <c r="Q31" s="101"/>
    </row>
    <row r="32" spans="1:17" x14ac:dyDescent="0.25">
      <c r="A32" s="97"/>
      <c r="B32" s="98"/>
      <c r="C32" s="98"/>
      <c r="D32" s="98"/>
      <c r="E32" s="98"/>
      <c r="F32" s="100"/>
      <c r="G32" s="98"/>
      <c r="H32" s="98"/>
      <c r="I32" s="98"/>
      <c r="J32" s="98"/>
      <c r="K32" s="98"/>
      <c r="L32" s="98"/>
      <c r="M32" s="99"/>
      <c r="N32" s="100"/>
      <c r="O32" s="192"/>
      <c r="P32" s="192"/>
      <c r="Q32" s="101"/>
    </row>
    <row r="33" spans="1:17" x14ac:dyDescent="0.25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100"/>
      <c r="O33" s="192"/>
      <c r="P33" s="192"/>
      <c r="Q33" s="101"/>
    </row>
    <row r="34" spans="1:17" x14ac:dyDescent="0.25">
      <c r="A34" s="97"/>
      <c r="B34" s="98"/>
      <c r="C34" s="98"/>
      <c r="D34" s="98"/>
      <c r="E34" s="98"/>
      <c r="F34" s="100"/>
      <c r="G34" s="98"/>
      <c r="H34" s="98"/>
      <c r="I34" s="98"/>
      <c r="J34" s="98"/>
      <c r="K34" s="98"/>
      <c r="L34" s="98"/>
      <c r="M34" s="99"/>
      <c r="N34" s="100"/>
      <c r="O34" s="192"/>
      <c r="P34" s="192"/>
      <c r="Q34" s="101"/>
    </row>
    <row r="35" spans="1:17" x14ac:dyDescent="0.25">
      <c r="A35" s="97"/>
      <c r="B35" s="98"/>
      <c r="C35" s="98"/>
      <c r="D35" s="98"/>
      <c r="E35" s="98"/>
      <c r="F35" s="100"/>
      <c r="G35" s="98"/>
      <c r="H35" s="98"/>
      <c r="I35" s="98"/>
      <c r="J35" s="98"/>
      <c r="K35" s="98"/>
      <c r="L35" s="98"/>
      <c r="M35" s="99"/>
      <c r="N35" s="100"/>
      <c r="O35" s="192"/>
      <c r="P35" s="192"/>
      <c r="Q35" s="101"/>
    </row>
    <row r="36" spans="1:17" x14ac:dyDescent="0.25">
      <c r="A36" s="102"/>
      <c r="B36" s="103"/>
      <c r="C36" s="103"/>
      <c r="D36" s="103"/>
      <c r="E36" s="103"/>
      <c r="F36" s="104"/>
      <c r="G36" s="103"/>
      <c r="H36" s="103"/>
      <c r="I36" s="103"/>
      <c r="J36" s="103"/>
      <c r="K36" s="103"/>
      <c r="L36" s="103"/>
      <c r="M36" s="105"/>
      <c r="N36" s="106"/>
      <c r="O36" s="197"/>
      <c r="P36" s="197"/>
      <c r="Q36" s="101"/>
    </row>
    <row r="37" spans="1:17" ht="15.75" thickBot="1" x14ac:dyDescent="0.3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9"/>
      <c r="N37" s="108"/>
      <c r="O37" s="198"/>
      <c r="P37" s="198"/>
      <c r="Q37" s="110"/>
    </row>
    <row r="38" spans="1:17" ht="34.5" customHeight="1" thickBot="1" x14ac:dyDescent="0.3">
      <c r="A38" s="199" t="s">
        <v>134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11">
        <f>SUM(Q15:Q37)</f>
        <v>6647491.4000000004</v>
      </c>
    </row>
    <row r="39" spans="1:17" ht="15.75" thickBot="1" x14ac:dyDescent="0.3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</row>
    <row r="40" spans="1:17" ht="15.75" thickBot="1" x14ac:dyDescent="0.3">
      <c r="A40" s="194" t="s">
        <v>116</v>
      </c>
      <c r="B40" s="194"/>
      <c r="C40" s="194"/>
      <c r="D40" s="194"/>
      <c r="E40" s="194"/>
      <c r="F40" s="194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</row>
    <row r="41" spans="1:17" ht="15.75" thickBot="1" x14ac:dyDescent="0.3">
      <c r="A41" s="196" t="str">
        <f>NP!D8</f>
        <v>ADQUISICION DEL RUBRO TERAPIA DERMATOLOGICA/SISTEMA GENITOURINARIO Y HORMONAS SEXUALES /HORMONAS SISTEMICAS /CORTICOIDES SISTEMICOS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</row>
    <row r="42" spans="1:17" ht="15.75" thickBot="1" x14ac:dyDescent="0.3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2022-01-10T16:10:01Z</dcterms:modified>
</cp:coreProperties>
</file>