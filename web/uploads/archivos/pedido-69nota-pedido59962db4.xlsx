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7C7AA7EC-4953-438B-BC0E-5FCEC2F82C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 LABORATORIO" sheetId="2" r:id="rId2"/>
    <sheet name="NP BANCO DE SANGRE" sheetId="4" r:id="rId3"/>
    <sheet name="NP APS" sheetId="5" r:id="rId4"/>
    <sheet name="NP ODONTOLOGIA" sheetId="6" r:id="rId5"/>
    <sheet name="NP SAME" sheetId="7" r:id="rId6"/>
    <sheet name="NP MALBRAN" sheetId="21" r:id="rId7"/>
    <sheet name="NP SASP" sheetId="8" r:id="rId8"/>
    <sheet name="APG SASP Y DEPENDENCIAS" sheetId="3" r:id="rId9"/>
    <sheet name="NP CANCER" sheetId="10" r:id="rId10"/>
    <sheet name="NP MEDIO AMBIENTE" sheetId="11" r:id="rId11"/>
    <sheet name="NP CRONICAS" sheetId="12" r:id="rId12"/>
    <sheet name="NP VECTORES" sheetId="13" r:id="rId13"/>
    <sheet name="NP EPIDEMIOLOGIA" sheetId="14" r:id="rId14"/>
    <sheet name="APG DEPENDENCIAS SMPyPS" sheetId="16" r:id="rId15"/>
    <sheet name="NP SPyGS" sheetId="17" r:id="rId16"/>
    <sheet name="APG SPyGS" sheetId="18" r:id="rId17"/>
    <sheet name="NP SSMyA" sheetId="24" r:id="rId18"/>
    <sheet name="APG SSMyA" sheetId="25" r:id="rId19"/>
    <sheet name="NP MS" sheetId="22" r:id="rId20"/>
    <sheet name="APG MS" sheetId="23" r:id="rId21"/>
  </sheets>
  <definedNames>
    <definedName name="_xlnm._FilterDatabase" localSheetId="0" hidden="1">'SAF 011'!$A$9:$AY$11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" i="24" l="1"/>
  <c r="A41" i="25"/>
  <c r="G7" i="25"/>
  <c r="G6" i="25"/>
  <c r="J12" i="24"/>
  <c r="I12" i="24"/>
  <c r="C12" i="24"/>
  <c r="B12" i="24"/>
  <c r="D4" i="24"/>
  <c r="G5" i="25" s="1"/>
  <c r="D3" i="24"/>
  <c r="G4" i="25" s="1"/>
  <c r="K12" i="22"/>
  <c r="M12" i="22" s="1"/>
  <c r="Q15" i="23" s="1"/>
  <c r="Q38" i="23" s="1"/>
  <c r="A41" i="23"/>
  <c r="G7" i="23"/>
  <c r="G6" i="23"/>
  <c r="J12" i="22"/>
  <c r="J14" i="22" s="1"/>
  <c r="I12" i="22"/>
  <c r="C12" i="22"/>
  <c r="B12" i="22"/>
  <c r="D4" i="22"/>
  <c r="G5" i="23" s="1"/>
  <c r="D3" i="22"/>
  <c r="G4" i="23" s="1"/>
  <c r="M12" i="24" l="1"/>
  <c r="Q15" i="25" s="1"/>
  <c r="Q38" i="25" s="1"/>
  <c r="J14" i="24"/>
  <c r="K12" i="21"/>
  <c r="J12" i="21"/>
  <c r="J14" i="21" s="1"/>
  <c r="I12" i="21"/>
  <c r="C12" i="21"/>
  <c r="B12" i="21"/>
  <c r="D4" i="21"/>
  <c r="D3" i="21"/>
  <c r="AW10" i="1"/>
  <c r="AV10" i="1"/>
  <c r="Z10" i="1"/>
  <c r="M12" i="21" l="1"/>
  <c r="Q20" i="3" s="1"/>
  <c r="K12" i="17"/>
  <c r="A41" i="18"/>
  <c r="G7" i="18"/>
  <c r="G6" i="18"/>
  <c r="J12" i="17"/>
  <c r="I12" i="17"/>
  <c r="C12" i="17"/>
  <c r="B12" i="17"/>
  <c r="D4" i="17"/>
  <c r="G5" i="18" s="1"/>
  <c r="D3" i="17"/>
  <c r="G4" i="18" s="1"/>
  <c r="A41" i="16"/>
  <c r="G6" i="16"/>
  <c r="K12" i="14"/>
  <c r="K12" i="13"/>
  <c r="K12" i="12"/>
  <c r="K12" i="11"/>
  <c r="K12" i="10"/>
  <c r="J12" i="14"/>
  <c r="I12" i="14"/>
  <c r="C12" i="14"/>
  <c r="B12" i="14"/>
  <c r="D4" i="14"/>
  <c r="G5" i="16" s="1"/>
  <c r="D3" i="14"/>
  <c r="G4" i="16" s="1"/>
  <c r="J12" i="13"/>
  <c r="I12" i="13"/>
  <c r="C12" i="13"/>
  <c r="B12" i="13"/>
  <c r="D4" i="13"/>
  <c r="D3" i="13"/>
  <c r="J12" i="12"/>
  <c r="I12" i="12"/>
  <c r="C12" i="12"/>
  <c r="B12" i="12"/>
  <c r="D4" i="12"/>
  <c r="D3" i="12"/>
  <c r="J12" i="11"/>
  <c r="I12" i="11"/>
  <c r="C12" i="11"/>
  <c r="B12" i="11"/>
  <c r="D4" i="11"/>
  <c r="D3" i="11"/>
  <c r="J12" i="10"/>
  <c r="M12" i="10" s="1"/>
  <c r="Q15" i="16" s="1"/>
  <c r="I12" i="10"/>
  <c r="C12" i="10"/>
  <c r="B12" i="10"/>
  <c r="D4" i="10"/>
  <c r="D3" i="10"/>
  <c r="A41" i="3"/>
  <c r="G6" i="3"/>
  <c r="G7" i="3"/>
  <c r="K12" i="8"/>
  <c r="J14" i="8" s="1"/>
  <c r="K12" i="7"/>
  <c r="K12" i="6"/>
  <c r="K12" i="5"/>
  <c r="M12" i="5" s="1"/>
  <c r="Q17" i="3" s="1"/>
  <c r="K12" i="4"/>
  <c r="J12" i="8"/>
  <c r="I12" i="8"/>
  <c r="C12" i="8"/>
  <c r="B12" i="8"/>
  <c r="D4" i="8"/>
  <c r="G5" i="3" s="1"/>
  <c r="D3" i="8"/>
  <c r="G4" i="3" s="1"/>
  <c r="J12" i="7"/>
  <c r="I12" i="7"/>
  <c r="C12" i="7"/>
  <c r="B12" i="7"/>
  <c r="D4" i="7"/>
  <c r="D3" i="7"/>
  <c r="J12" i="6"/>
  <c r="M12" i="6" s="1"/>
  <c r="Q18" i="3" s="1"/>
  <c r="I12" i="6"/>
  <c r="C12" i="6"/>
  <c r="B12" i="6"/>
  <c r="D4" i="6"/>
  <c r="D3" i="6"/>
  <c r="J12" i="5"/>
  <c r="I12" i="5"/>
  <c r="C12" i="5"/>
  <c r="B12" i="5"/>
  <c r="D4" i="5"/>
  <c r="D3" i="5"/>
  <c r="J12" i="4"/>
  <c r="I12" i="4"/>
  <c r="C12" i="4"/>
  <c r="B12" i="4"/>
  <c r="D4" i="4"/>
  <c r="D3" i="4"/>
  <c r="K12" i="2"/>
  <c r="J14" i="2" s="1"/>
  <c r="J12" i="2"/>
  <c r="M12" i="2" s="1"/>
  <c r="Q15" i="3" s="1"/>
  <c r="I12" i="2"/>
  <c r="C12" i="2"/>
  <c r="B12" i="2"/>
  <c r="D4" i="2"/>
  <c r="D3" i="2"/>
  <c r="M12" i="4" l="1"/>
  <c r="Q16" i="3" s="1"/>
  <c r="J14" i="12"/>
  <c r="J14" i="7"/>
  <c r="J14" i="11"/>
  <c r="J14" i="5"/>
  <c r="M12" i="7"/>
  <c r="M12" i="8"/>
  <c r="Q21" i="3" s="1"/>
  <c r="J14" i="10"/>
  <c r="J14" i="14"/>
  <c r="J14" i="17"/>
  <c r="M12" i="17"/>
  <c r="J14" i="13"/>
  <c r="M12" i="14"/>
  <c r="Q19" i="16" s="1"/>
  <c r="M12" i="13"/>
  <c r="Q18" i="16" s="1"/>
  <c r="M12" i="12"/>
  <c r="Q17" i="16" s="1"/>
  <c r="M12" i="11"/>
  <c r="J14" i="6"/>
  <c r="J14" i="4"/>
  <c r="Q38" i="16" l="1"/>
  <c r="Q16" i="16"/>
  <c r="Q38" i="3"/>
  <c r="Q19" i="3"/>
  <c r="Q15" i="18"/>
  <c r="Q38" i="18" s="1"/>
  <c r="AP10" i="1" l="1"/>
  <c r="AN10" i="1" l="1"/>
  <c r="AT10" i="1" l="1"/>
  <c r="AJ10" i="1"/>
  <c r="P10" i="1"/>
  <c r="X10" i="1" l="1"/>
  <c r="N10" i="1"/>
  <c r="AH10" i="1"/>
  <c r="R10" i="1"/>
  <c r="AD10" i="1"/>
  <c r="V10" i="1"/>
  <c r="L10" i="1"/>
  <c r="AF10" i="1" l="1"/>
  <c r="AY10" i="1" l="1"/>
  <c r="N11" i="1" l="1"/>
  <c r="L11" i="1"/>
  <c r="AY11" i="1" l="1"/>
</calcChain>
</file>

<file path=xl/sharedStrings.xml><?xml version="1.0" encoding="utf-8"?>
<sst xmlns="http://schemas.openxmlformats.org/spreadsheetml/2006/main" count="585" uniqueCount="161">
  <si>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</si>
  <si>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</si>
  <si>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</si>
  <si>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</si>
  <si>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</si>
  <si>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</si>
  <si>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</si>
  <si>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</si>
  <si>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</si>
  <si>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</si>
  <si>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</si>
  <si>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</si>
  <si>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</si>
  <si>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</si>
  <si>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</si>
  <si>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</si>
  <si>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</si>
  <si>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</si>
  <si>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</si>
  <si>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</si>
  <si>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</si>
  <si>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</si>
  <si>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</si>
  <si>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</si>
  <si>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</si>
  <si>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</si>
  <si>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</si>
  <si>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</si>
  <si>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</si>
  <si>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</si>
  <si>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</si>
  <si>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</si>
  <si>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</si>
  <si>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</si>
  <si>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</si>
  <si>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</si>
  <si>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</si>
  <si>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</si>
  <si>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</si>
  <si>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</si>
  <si>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</si>
  <si>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</si>
  <si>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</si>
  <si>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</si>
  <si>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</si>
  <si>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</si>
  <si>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</si>
  <si>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</si>
  <si>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</si>
  <si>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</si>
  <si>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</si>
  <si>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</si>
  <si>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ALIMENTOS</t>
  </si>
  <si>
    <t>2.1.1</t>
  </si>
  <si>
    <t>BIDON</t>
  </si>
  <si>
    <t>PRIMERO</t>
  </si>
  <si>
    <t>TOTAL RUBRO ALIMENTOS</t>
  </si>
  <si>
    <t>2.1.1-478.47</t>
  </si>
  <si>
    <t>AGUA MINERAL; TIPO: SIN GASIFICAR, PRESENTACION: BIDON X 20 L, MATERIAL ENVASE: POLICARBONATO, TIPO ENVASE: RETORNABLE, ELEM. TRANSPORTE: SIN, MATERIAL ELEM. TRANSPORTE: SIN</t>
  </si>
  <si>
    <t>TOTAL SAME</t>
  </si>
  <si>
    <t>CRONICAS</t>
  </si>
  <si>
    <t>TOTAL CRONICAS</t>
  </si>
  <si>
    <t>EPIDEMIOLOGIA</t>
  </si>
  <si>
    <t>TOTAL EPIDEMIOLOGIA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</si>
  <si>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</si>
  <si>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</si>
  <si>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</si>
  <si>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</si>
  <si>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</si>
  <si>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</si>
  <si>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</si>
  <si>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</si>
  <si>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</si>
  <si>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</si>
  <si>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</si>
  <si>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</si>
  <si>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</si>
  <si>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</si>
  <si>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</si>
  <si>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</si>
  <si>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</si>
  <si>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</si>
  <si>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</si>
  <si>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</si>
  <si>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</si>
  <si>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</si>
  <si>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</si>
  <si>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</si>
  <si>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</si>
  <si>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</si>
  <si>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</si>
  <si>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</si>
  <si>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</si>
  <si>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</si>
  <si>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</si>
  <si>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</si>
  <si>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</si>
  <si>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</si>
  <si>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</si>
  <si>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</si>
  <si>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</si>
  <si>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Descripción técnica                       Item 1</t>
  </si>
  <si>
    <t xml:space="preserve"> - Indicar marca comercial
</t>
  </si>
  <si>
    <t xml:space="preserve"> - Cumplir con los requisitos establecidos por el Código Alimentario Argentino (ley 18.284 modificaciones y reglamentaciones) para este tipo de bienes.</t>
  </si>
  <si>
    <t xml:space="preserve"> - Contar con habilitacion bromatologica</t>
  </si>
  <si>
    <t xml:space="preserve">Plazos de entrega: </t>
  </si>
  <si>
    <t>diez (10) dias habiles</t>
  </si>
  <si>
    <t>Lugar de Entrega:</t>
  </si>
  <si>
    <t>Calidad Minima esperada</t>
  </si>
  <si>
    <t xml:space="preserve">Mantenimiento: </t>
  </si>
  <si>
    <t>cuarenta y cinco (45) días</t>
  </si>
  <si>
    <t xml:space="preserve"> - Proveer con los bidones equipo dispensador de agua con opcion de agua caliente y frio. (90 dispenser aprox.)</t>
  </si>
  <si>
    <t>SECRETARIA DE AMINISTRACION - CHACABUCO N° 169 - en el horario de 8:00 hs a 12:00 hs de lunes a viernes</t>
  </si>
  <si>
    <t>DIRECCION PROVINCIAL DE LABORATORIO</t>
  </si>
  <si>
    <t>1° TRIMESTRE 2022</t>
  </si>
  <si>
    <t>ADQUISICION DEL RUBRO ALIMENTOS PARA PERSONAS (BIDONES DE AGUA)</t>
  </si>
  <si>
    <t xml:space="preserve"> 05/2022</t>
  </si>
  <si>
    <t>SI</t>
  </si>
  <si>
    <t>SECRETARIA DE ASISTENCIA EN SALUD PUBLICA</t>
  </si>
  <si>
    <t>Costo total estimado: CUATRO MIL CON 00/100.-</t>
  </si>
  <si>
    <t>Costo total estimado: DIECINUEVE MIL DOSCIENTOS CON 00/100.-</t>
  </si>
  <si>
    <t xml:space="preserve"> 06/2022</t>
  </si>
  <si>
    <t>DIRECCION PROVINCIAL BANCO DE SANGRE</t>
  </si>
  <si>
    <t>DIRECCION PROVINCIAL PRIMER NIVEL ATENCION PRIMARIA</t>
  </si>
  <si>
    <t>Costo total estimado: CUARENTA MIL CON 00/100.-</t>
  </si>
  <si>
    <t xml:space="preserve"> 01/2022</t>
  </si>
  <si>
    <t>DIRECCION PROVINCIAL DE ODONTOLOGIA</t>
  </si>
  <si>
    <t xml:space="preserve"> 04/2022</t>
  </si>
  <si>
    <t>Costo total estimado: CATORCE MIL CUATROCIENTOS CON 00/100.-</t>
  </si>
  <si>
    <t>DIRECCION PROVINCIAL SISTEMA DE ATENCION MEDICA DE EMERGENCIA</t>
  </si>
  <si>
    <t>Costo total estimado: DOCE MIL CON 00/100.-</t>
  </si>
  <si>
    <t>Costo total estimado: OCHENTA MIL CON 00/100.-</t>
  </si>
  <si>
    <t>1.1</t>
  </si>
  <si>
    <t>ALIMENTOS PARA PERSONAS</t>
  </si>
  <si>
    <t>TOTAL DE PESOS: CIENTO SESENTA Y NUEVE MIL SEISCIENTOS CON 00/100.-</t>
  </si>
  <si>
    <t>SECRETARIA DE MEDICINA PREVENTIVA Y PROMOCION EN SALUD</t>
  </si>
  <si>
    <t>DIRECCION PROVINCIAL DEL CANCER</t>
  </si>
  <si>
    <t xml:space="preserve"> 02/2022</t>
  </si>
  <si>
    <t>Costo total estimado: DIECISEIS MIL CON 00/100.-</t>
  </si>
  <si>
    <t>DIRECCION PROVINCIAL DE SALUD Y MEDIO AMBIENTE</t>
  </si>
  <si>
    <t xml:space="preserve"> 03/2022</t>
  </si>
  <si>
    <t>DIRECCION PROVINCIAL DE ENFERMEDADES CRONICAS NO TRANSMISIBLES</t>
  </si>
  <si>
    <t>DIRECCION DE CONTROL DE VECTORES Y ZOONOSIS</t>
  </si>
  <si>
    <t>DIRECCION PROVINCIAL DE EPIDEMIOLOGIA</t>
  </si>
  <si>
    <t>SECRETARIA DE PLANIFICACION Y GESTION EN SALUD</t>
  </si>
  <si>
    <t>Autorizo la realización de los  trámites correspondientes, a fin de proveer a  este Organismo los bienes/servicios que se detallan en Nota  de Pedido N° 01/2022 afectando la erogación resultante a los créditos presupuestarios aprobados a favor de esta Unidad Ejecutora, conforme al siguiente detalle:</t>
  </si>
  <si>
    <t>TOTAL DE PESOS: OCHENTA MIL CON 00/100.-</t>
  </si>
  <si>
    <t>SECRETARIA DE SALUD MENTAL Y ADICCIONES</t>
  </si>
  <si>
    <t>Costo total estimado: NUEVE MIL SEISCIENTOS CON 00/100.-</t>
  </si>
  <si>
    <t>TOTAL DE PESOS: NUEVE MIL SEISCIENTOS CON 00/100.-</t>
  </si>
  <si>
    <t>MS</t>
  </si>
  <si>
    <t>TOTAL MS</t>
  </si>
  <si>
    <t xml:space="preserve"> - Proveer con los bidones equipo dispensador de agua con opcion de agua caliente y frio. (100 dispenser aprox.)                                                                       - Indicar marca comercial                                                                                          - Cumplir con los requisitos establecidos por el Código Alimentario Argentino (ley 18.284 modificaciones y reglamentaciones)                                                                                   - Contar con habilitacion bromatologica para este tipo de bienes.
</t>
  </si>
  <si>
    <t>Costo total estimado: DOSCIENTOS MIL CON 00/100.-</t>
  </si>
  <si>
    <t>TOTAL DE PESOS: CIENTO NOVENTA MIL CUATROCIENTOS CON 00/100.-</t>
  </si>
  <si>
    <t>MINISTERIO DE SALUD</t>
  </si>
  <si>
    <t>Costo total estimado: SESENTA MIL CON 00/100.-</t>
  </si>
  <si>
    <t>Autorizo la realización de los  trámites correspondientes, a fin de proveer a  este Organismo los bienes que se detallan en Nota  de Pedido N° 02/2022 afectando la erogación resultante a los créditos presupuestarios aprobados a favor de esta Unidad Ejecutora, conforme al siguiente detalle:</t>
  </si>
  <si>
    <t>Autorizo la realización de los  trámites correspondientes, a fin de proveer a  este Organismo los bienes que se detallan en Nota  de Pedido N° D.P.C. 02/2022 - D.P.S.M.A. 03/2022 - D.P.E.C.N.T. 01/2022 - D.C.V.Z. 02/2022 - D.P.E. 01/2022 afectando la erogación resultante a los créditos presupuestarios aprobados a favor de esta Unidad Ejecutora, conforme al siguiente detalle:</t>
  </si>
  <si>
    <t>Autorizo la realización de los  trámites correspondientes, a fin de proveer a  este Organismo los bienes que se detallan en Nota  de Pedido N° D.P.L. 05/2022 - D.P.B.S. 06/2022 - D.P.P.N.A.P. 01/2022 - D.P.O. 04/2022 - D.P.S.A.M.E. 06/2022 - H.M.C.M. 05/2022 - S.A.S.P. 01/2022 afectando la erogación resultante a los créditos presupuestarios aprobados a favor de esta Unidad Ejecutora, conforme al siguiente detalle:</t>
  </si>
  <si>
    <t>TOTAL DE PESOS: SESENTA MIL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</si>
</sst>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7" fillId="0" borderId="0"/>
    <xf numFmtId="0" fontId="18" fillId="0" borderId="0"/>
    <xf numFmtId="170" fontId="29" fillId="0" borderId="0" applyBorder="0" applyProtection="0"/>
  </cellStyleXfs>
  <cellXfs count="221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166" fontId="7" fillId="0" borderId="1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1" fontId="9" fillId="0" borderId="1" xfId="0" applyNumberFormat="1" applyFont="1" applyFill="1" applyBorder="1" applyAlignment="1">
      <alignment horizontal="center" vertical="center"/>
    </xf>
    <xf numFmtId="167" fontId="9" fillId="0" borderId="1" xfId="1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7" fillId="2" borderId="2" xfId="2" applyNumberFormat="1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166" fontId="14" fillId="0" borderId="4" xfId="0" applyNumberFormat="1" applyFont="1" applyFill="1" applyBorder="1" applyAlignment="1">
      <alignment horizontal="center" vertical="center"/>
    </xf>
    <xf numFmtId="1" fontId="14" fillId="0" borderId="4" xfId="0" applyNumberFormat="1" applyFont="1" applyFill="1" applyBorder="1" applyAlignment="1">
      <alignment horizontal="center" vertical="center"/>
    </xf>
    <xf numFmtId="165" fontId="14" fillId="0" borderId="4" xfId="0" applyNumberFormat="1" applyFont="1" applyFill="1" applyBorder="1" applyAlignment="1">
      <alignment horizontal="center" vertical="center"/>
    </xf>
    <xf numFmtId="3" fontId="14" fillId="0" borderId="4" xfId="0" applyNumberFormat="1" applyFont="1" applyFill="1" applyBorder="1" applyAlignment="1">
      <alignment horizontal="center" vertical="center"/>
    </xf>
    <xf numFmtId="167" fontId="14" fillId="0" borderId="4" xfId="3" applyNumberFormat="1" applyFont="1" applyFill="1" applyBorder="1" applyAlignment="1" applyProtection="1">
      <alignment horizontal="center" vertical="center" wrapText="1"/>
    </xf>
    <xf numFmtId="0" fontId="15" fillId="0" borderId="5" xfId="0" applyFont="1" applyFill="1" applyBorder="1"/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3" fontId="7" fillId="0" borderId="9" xfId="2" applyNumberFormat="1" applyFont="1" applyBorder="1" applyAlignment="1">
      <alignment horizontal="center" vertical="center" wrapText="1"/>
    </xf>
    <xf numFmtId="3" fontId="7" fillId="0" borderId="7" xfId="2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4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14" fillId="0" borderId="7" xfId="0" applyNumberFormat="1" applyFont="1" applyFill="1" applyBorder="1" applyAlignment="1">
      <alignment horizontal="center" vertical="center"/>
    </xf>
    <xf numFmtId="0" fontId="14" fillId="0" borderId="7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Fill="1"/>
    <xf numFmtId="0" fontId="15" fillId="0" borderId="0" xfId="0" applyFont="1" applyFill="1"/>
    <xf numFmtId="167" fontId="14" fillId="0" borderId="4" xfId="0" applyNumberFormat="1" applyFont="1" applyFill="1" applyBorder="1" applyAlignment="1">
      <alignment horizontal="center" vertical="center"/>
    </xf>
    <xf numFmtId="167" fontId="7" fillId="0" borderId="1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10" fillId="2" borderId="6" xfId="2" applyNumberFormat="1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22" fillId="0" borderId="22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 indent="1"/>
    </xf>
    <xf numFmtId="0" fontId="21" fillId="0" borderId="16" xfId="0" applyFont="1" applyBorder="1" applyAlignment="1">
      <alignment horizontal="left" vertical="center" wrapText="1" indent="1"/>
    </xf>
    <xf numFmtId="0" fontId="24" fillId="0" borderId="2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3" fontId="25" fillId="0" borderId="27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3" fontId="25" fillId="0" borderId="29" xfId="0" applyNumberFormat="1" applyFont="1" applyBorder="1" applyAlignment="1">
      <alignment horizontal="center" vertical="center"/>
    </xf>
    <xf numFmtId="3" fontId="27" fillId="0" borderId="33" xfId="0" applyNumberFormat="1" applyFont="1" applyBorder="1" applyAlignment="1"/>
    <xf numFmtId="169" fontId="0" fillId="0" borderId="33" xfId="0" applyNumberFormat="1" applyBorder="1" applyAlignment="1">
      <alignment horizontal="left"/>
    </xf>
    <xf numFmtId="0" fontId="0" fillId="0" borderId="33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9" xfId="0" applyBorder="1"/>
    <xf numFmtId="0" fontId="32" fillId="0" borderId="42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2" fillId="0" borderId="43" xfId="0" applyFont="1" applyBorder="1" applyAlignment="1">
      <alignment horizontal="left" vertical="center"/>
    </xf>
    <xf numFmtId="0" fontId="32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171" fontId="0" fillId="0" borderId="49" xfId="32" applyNumberFormat="1" applyFont="1" applyBorder="1" applyAlignment="1" applyProtection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171" fontId="0" fillId="0" borderId="54" xfId="32" applyNumberFormat="1" applyFont="1" applyBorder="1" applyAlignment="1" applyProtection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71" fontId="0" fillId="0" borderId="58" xfId="32" applyNumberFormat="1" applyFont="1" applyBorder="1" applyAlignment="1" applyProtection="1">
      <alignment horizontal="center" vertical="center"/>
    </xf>
    <xf numFmtId="171" fontId="32" fillId="0" borderId="60" xfId="0" applyNumberFormat="1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3" fillId="0" borderId="62" xfId="0" applyFont="1" applyBorder="1" applyAlignment="1">
      <alignment horizontal="center" wrapText="1"/>
    </xf>
    <xf numFmtId="0" fontId="3" fillId="0" borderId="6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167" fontId="20" fillId="0" borderId="12" xfId="0" applyNumberFormat="1" applyFont="1" applyBorder="1" applyAlignment="1">
      <alignment horizontal="right" vertical="center"/>
    </xf>
    <xf numFmtId="167" fontId="20" fillId="0" borderId="0" xfId="0" applyNumberFormat="1" applyFont="1" applyBorder="1" applyAlignment="1">
      <alignment vertical="center"/>
    </xf>
    <xf numFmtId="167" fontId="21" fillId="0" borderId="0" xfId="0" applyNumberFormat="1" applyFont="1" applyBorder="1" applyAlignment="1">
      <alignment horizontal="left" vertical="center" wrapText="1" indent="1"/>
    </xf>
    <xf numFmtId="167" fontId="25" fillId="0" borderId="10" xfId="0" applyNumberFormat="1" applyFont="1" applyBorder="1" applyAlignment="1">
      <alignment horizontal="center" vertical="center" wrapText="1"/>
    </xf>
    <xf numFmtId="167" fontId="25" fillId="0" borderId="1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4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0" borderId="65" xfId="0" applyFont="1" applyBorder="1" applyAlignment="1">
      <alignment vertical="center"/>
    </xf>
    <xf numFmtId="0" fontId="21" fillId="0" borderId="32" xfId="0" applyFont="1" applyBorder="1" applyAlignment="1">
      <alignment vertical="center"/>
    </xf>
    <xf numFmtId="0" fontId="21" fillId="0" borderId="66" xfId="0" applyFont="1" applyBorder="1" applyAlignment="1">
      <alignment vertical="center"/>
    </xf>
    <xf numFmtId="0" fontId="34" fillId="0" borderId="0" xfId="0" applyFont="1"/>
    <xf numFmtId="0" fontId="0" fillId="0" borderId="53" xfId="0" applyFont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 vertical="center"/>
    </xf>
    <xf numFmtId="166" fontId="7" fillId="0" borderId="9" xfId="0" applyNumberFormat="1" applyFont="1" applyBorder="1" applyAlignment="1">
      <alignment horizontal="center" vertical="center"/>
    </xf>
    <xf numFmtId="167" fontId="0" fillId="0" borderId="16" xfId="0" applyNumberFormat="1" applyBorder="1"/>
    <xf numFmtId="167" fontId="0" fillId="0" borderId="39" xfId="0" applyNumberFormat="1" applyBorder="1"/>
    <xf numFmtId="167" fontId="0" fillId="0" borderId="49" xfId="32" applyNumberFormat="1" applyFont="1" applyBorder="1" applyAlignment="1" applyProtection="1">
      <alignment horizontal="center" vertical="center"/>
    </xf>
    <xf numFmtId="167" fontId="0" fillId="0" borderId="54" xfId="32" applyNumberFormat="1" applyFont="1" applyBorder="1" applyAlignment="1" applyProtection="1">
      <alignment horizontal="center" vertical="center"/>
    </xf>
    <xf numFmtId="167" fontId="0" fillId="0" borderId="58" xfId="32" applyNumberFormat="1" applyFont="1" applyBorder="1" applyAlignment="1" applyProtection="1">
      <alignment horizontal="center" vertical="center"/>
    </xf>
    <xf numFmtId="167" fontId="32" fillId="0" borderId="60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67" xfId="0" applyFont="1" applyBorder="1" applyAlignment="1">
      <alignment horizontal="center" vertical="center"/>
    </xf>
    <xf numFmtId="0" fontId="0" fillId="0" borderId="69" xfId="0" applyFont="1" applyBorder="1" applyAlignment="1">
      <alignment horizontal="center" vertical="center"/>
    </xf>
    <xf numFmtId="0" fontId="0" fillId="0" borderId="7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left" vertical="center"/>
    </xf>
    <xf numFmtId="0" fontId="3" fillId="0" borderId="61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 indent="1"/>
    </xf>
    <xf numFmtId="0" fontId="19" fillId="0" borderId="11" xfId="0" applyFont="1" applyBorder="1" applyAlignment="1">
      <alignment horizontal="center" vertical="center"/>
    </xf>
    <xf numFmtId="0" fontId="22" fillId="0" borderId="17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/>
    </xf>
    <xf numFmtId="0" fontId="21" fillId="0" borderId="21" xfId="0" applyFont="1" applyBorder="1" applyAlignment="1">
      <alignment horizontal="left" vertical="center" wrapText="1" indent="1"/>
    </xf>
    <xf numFmtId="0" fontId="26" fillId="0" borderId="30" xfId="0" applyFont="1" applyBorder="1" applyAlignment="1">
      <alignment horizontal="left" vertical="center" wrapText="1" indent="1"/>
    </xf>
    <xf numFmtId="166" fontId="22" fillId="0" borderId="30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167" fontId="23" fillId="0" borderId="24" xfId="0" applyNumberFormat="1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30" fillId="0" borderId="37" xfId="0" applyFont="1" applyBorder="1" applyAlignment="1">
      <alignment horizontal="left"/>
    </xf>
    <xf numFmtId="0" fontId="0" fillId="0" borderId="31" xfId="0" applyFont="1" applyBorder="1" applyAlignment="1">
      <alignment horizontal="center"/>
    </xf>
    <xf numFmtId="3" fontId="27" fillId="0" borderId="32" xfId="0" applyNumberFormat="1" applyFont="1" applyBorder="1" applyAlignment="1">
      <alignment horizontal="center"/>
    </xf>
    <xf numFmtId="0" fontId="28" fillId="0" borderId="13" xfId="0" applyFont="1" applyBorder="1" applyAlignment="1">
      <alignment horizontal="center" vertical="center" wrapText="1"/>
    </xf>
    <xf numFmtId="0" fontId="29" fillId="0" borderId="34" xfId="0" applyFont="1" applyBorder="1"/>
    <xf numFmtId="0" fontId="30" fillId="0" borderId="35" xfId="0" applyFont="1" applyBorder="1" applyAlignment="1">
      <alignment horizontal="left" indent="1"/>
    </xf>
    <xf numFmtId="0" fontId="25" fillId="0" borderId="34" xfId="0" applyFont="1" applyBorder="1" applyAlignment="1">
      <alignment horizontal="left" vertical="center" wrapText="1"/>
    </xf>
    <xf numFmtId="0" fontId="31" fillId="0" borderId="36" xfId="0" applyFont="1" applyBorder="1" applyAlignment="1">
      <alignment horizontal="left"/>
    </xf>
    <xf numFmtId="0" fontId="0" fillId="0" borderId="53" xfId="0" applyFont="1" applyBorder="1" applyAlignment="1">
      <alignment horizontal="left" vertical="center"/>
    </xf>
    <xf numFmtId="49" fontId="30" fillId="0" borderId="38" xfId="0" applyNumberFormat="1" applyFont="1" applyBorder="1" applyAlignment="1">
      <alignment horizontal="justify" vertical="center" wrapText="1"/>
    </xf>
    <xf numFmtId="0" fontId="32" fillId="0" borderId="37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167" fontId="32" fillId="0" borderId="41" xfId="0" applyNumberFormat="1" applyFont="1" applyBorder="1" applyAlignment="1">
      <alignment horizontal="center" vertical="center"/>
    </xf>
    <xf numFmtId="0" fontId="0" fillId="0" borderId="47" xfId="0" applyFont="1" applyBorder="1" applyAlignment="1">
      <alignment horizontal="left" vertical="center" wrapText="1"/>
    </xf>
    <xf numFmtId="0" fontId="0" fillId="0" borderId="53" xfId="0" applyFont="1" applyBorder="1" applyAlignment="1">
      <alignment horizontal="center" vertical="center"/>
    </xf>
    <xf numFmtId="0" fontId="27" fillId="0" borderId="18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0" fontId="30" fillId="0" borderId="30" xfId="0" applyFont="1" applyBorder="1" applyAlignment="1">
      <alignment horizontal="left" vertical="center" wrapText="1" indent="1"/>
    </xf>
    <xf numFmtId="0" fontId="0" fillId="0" borderId="53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27" fillId="0" borderId="59" xfId="0" applyFont="1" applyBorder="1" applyAlignment="1">
      <alignment horizontal="left" vertical="center" wrapText="1"/>
    </xf>
    <xf numFmtId="0" fontId="0" fillId="0" borderId="37" xfId="0" applyBorder="1"/>
    <xf numFmtId="0" fontId="29" fillId="0" borderId="34" xfId="0" applyFont="1" applyBorder="1" applyAlignment="1">
      <alignment horizontal="left"/>
    </xf>
    <xf numFmtId="0" fontId="0" fillId="0" borderId="69" xfId="0" applyFont="1" applyBorder="1" applyAlignment="1">
      <alignment horizontal="left" vertical="center" wrapText="1"/>
    </xf>
    <xf numFmtId="0" fontId="0" fillId="0" borderId="52" xfId="0" applyFont="1" applyBorder="1" applyAlignment="1">
      <alignment horizontal="left" vertical="center" wrapText="1"/>
    </xf>
    <xf numFmtId="0" fontId="0" fillId="0" borderId="68" xfId="0" applyFont="1" applyBorder="1" applyAlignment="1">
      <alignment horizontal="left" vertical="center" wrapText="1"/>
    </xf>
    <xf numFmtId="0" fontId="32" fillId="0" borderId="41" xfId="0" applyFont="1" applyBorder="1" applyAlignment="1">
      <alignment horizontal="center" vertical="center"/>
    </xf>
    <xf numFmtId="0" fontId="0" fillId="0" borderId="53" xfId="0" applyBorder="1" applyAlignment="1">
      <alignment horizontal="center"/>
    </xf>
  </cellXfs>
  <cellStyles count="33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2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7" xr:uid="{00000000-0005-0000-0000-00000F000000}"/>
    <cellStyle name="Normal 3 2" xfId="12" xr:uid="{00000000-0005-0000-0000-000010000000}"/>
    <cellStyle name="Normal 3 2 2" xfId="18" xr:uid="{00000000-0005-0000-0000-000011000000}"/>
    <cellStyle name="Normal 3 3" xfId="17" xr:uid="{00000000-0005-0000-0000-000012000000}"/>
    <cellStyle name="Normal 3 4" xfId="22" xr:uid="{00000000-0005-0000-0000-000013000000}"/>
    <cellStyle name="Normal 3 4 2" xfId="27" xr:uid="{00000000-0005-0000-0000-000014000000}"/>
    <cellStyle name="Normal 4" xfId="6" xr:uid="{00000000-0005-0000-0000-000015000000}"/>
    <cellStyle name="Normal 4 2" xfId="19" xr:uid="{00000000-0005-0000-0000-000016000000}"/>
    <cellStyle name="Normal 4 3" xfId="23" xr:uid="{00000000-0005-0000-0000-000017000000}"/>
    <cellStyle name="Normal 4 3 2" xfId="28" xr:uid="{00000000-0005-0000-0000-000018000000}"/>
    <cellStyle name="Normal 5" xfId="4" xr:uid="{00000000-0005-0000-0000-000019000000}"/>
    <cellStyle name="Normal 5 2" xfId="25" xr:uid="{00000000-0005-0000-0000-00001A000000}"/>
    <cellStyle name="Normal 6" xfId="13" xr:uid="{00000000-0005-0000-0000-00001B000000}"/>
    <cellStyle name="Normal 7" xfId="24" xr:uid="{00000000-0005-0000-0000-00001C000000}"/>
    <cellStyle name="Normal 8" xfId="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2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72388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5"/>
  <sheetViews>
    <sheetView tabSelected="1" zoomScaleNormal="100" workbookViewId="0">
      <selection activeCell="A10" sqref="A10"/>
    </sheetView>
  </sheetViews>
  <sheetFormatPr baseColWidth="10" defaultRowHeight="15" x14ac:dyDescent="0.25"/>
  <cols>
    <col min="1" max="1" width="4.85546875" style="39" bestFit="1" customWidth="1"/>
    <col min="2" max="2" width="24.42578125" style="39" customWidth="1"/>
    <col min="3" max="3" width="50.140625" style="39" customWidth="1"/>
    <col min="4" max="4" width="5.5703125" style="39" bestFit="1" customWidth="1"/>
    <col min="5" max="5" width="80.28515625" style="40" bestFit="1" customWidth="1"/>
    <col min="6" max="6" width="10.5703125" style="39" bestFit="1" customWidth="1"/>
    <col min="7" max="7" width="17.140625" style="39" hidden="1" customWidth="1"/>
    <col min="8" max="8" width="10.85546875" style="39" hidden="1" customWidth="1"/>
    <col min="9" max="9" width="8" style="39" hidden="1" customWidth="1"/>
    <col min="10" max="10" width="14.5703125" style="39" hidden="1" customWidth="1"/>
    <col min="11" max="11" width="9.42578125" style="39" hidden="1" customWidth="1"/>
    <col min="12" max="12" width="14" style="39" hidden="1" customWidth="1"/>
    <col min="13" max="13" width="8.28515625" style="39" hidden="1" customWidth="1"/>
    <col min="14" max="14" width="14.140625" style="39" hidden="1" customWidth="1"/>
    <col min="15" max="15" width="4.5703125" style="39" hidden="1" customWidth="1"/>
    <col min="16" max="16" width="12.42578125" style="39" hidden="1" customWidth="1"/>
    <col min="17" max="17" width="14.7109375" style="39" hidden="1" customWidth="1"/>
    <col min="18" max="18" width="13.42578125" style="39" hidden="1" customWidth="1"/>
    <col min="19" max="19" width="10.5703125" style="41" hidden="1" customWidth="1"/>
    <col min="20" max="20" width="10.5703125" style="74" hidden="1" customWidth="1"/>
    <col min="21" max="21" width="14.7109375" style="39" hidden="1" customWidth="1"/>
    <col min="22" max="22" width="12.85546875" style="39" hidden="1" customWidth="1"/>
    <col min="23" max="23" width="6" style="39" hidden="1" customWidth="1"/>
    <col min="24" max="24" width="12.5703125" style="39" hidden="1" customWidth="1"/>
    <col min="25" max="25" width="10.140625" style="39" hidden="1" customWidth="1"/>
    <col min="26" max="26" width="13.5703125" style="39" hidden="1" customWidth="1"/>
    <col min="27" max="28" width="14.42578125" style="39" hidden="1" customWidth="1"/>
    <col min="29" max="29" width="5.7109375" style="39" hidden="1" customWidth="1"/>
    <col min="30" max="30" width="12.28515625" style="39" hidden="1" customWidth="1"/>
    <col min="31" max="31" width="10.140625" style="39" hidden="1" customWidth="1"/>
    <col min="32" max="32" width="13.5703125" style="39" hidden="1" customWidth="1"/>
    <col min="33" max="33" width="12.140625" style="39" hidden="1" customWidth="1"/>
    <col min="34" max="34" width="13" style="39" hidden="1" customWidth="1"/>
    <col min="35" max="35" width="10.5703125" style="39" hidden="1" customWidth="1"/>
    <col min="36" max="36" width="11.28515625" style="39" hidden="1" customWidth="1"/>
    <col min="37" max="37" width="4.7109375" style="39" hidden="1" customWidth="1"/>
    <col min="38" max="38" width="11.28515625" style="39" hidden="1" customWidth="1"/>
    <col min="39" max="39" width="6.5703125" style="39" hidden="1" customWidth="1"/>
    <col min="40" max="40" width="13.5703125" style="74" hidden="1" customWidth="1"/>
    <col min="41" max="41" width="14.85546875" style="39" hidden="1" customWidth="1"/>
    <col min="42" max="42" width="13.5703125" style="39" hidden="1" customWidth="1"/>
    <col min="43" max="43" width="13.85546875" style="39" hidden="1" customWidth="1"/>
    <col min="44" max="44" width="12.85546875" style="74" hidden="1" customWidth="1"/>
    <col min="45" max="45" width="15.28515625" style="56" hidden="1" customWidth="1"/>
    <col min="46" max="46" width="15.28515625" style="61" hidden="1" customWidth="1"/>
    <col min="47" max="47" width="7.28515625" style="56" hidden="1" customWidth="1"/>
    <col min="48" max="48" width="13.85546875" style="65" hidden="1" customWidth="1"/>
    <col min="49" max="49" width="10.42578125" style="41" bestFit="1" customWidth="1"/>
    <col min="50" max="50" width="10.42578125" style="42" bestFit="1" customWidth="1"/>
    <col min="51" max="51" width="16.28515625" style="42" bestFit="1" customWidth="1"/>
    <col min="52" max="52" width="56.5703125" bestFit="1" customWidth="1"/>
  </cols>
  <sheetData>
    <row r="1" spans="1:53" ht="14.45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3"/>
      <c r="Y1" s="7"/>
      <c r="Z1" s="3"/>
      <c r="AA1" s="7"/>
      <c r="AB1" s="3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9"/>
      <c r="AO1" s="7"/>
      <c r="AP1" s="3"/>
      <c r="AQ1" s="7"/>
      <c r="AR1" s="9"/>
      <c r="AS1" s="60"/>
      <c r="AT1" s="3"/>
      <c r="AU1" s="60"/>
      <c r="AV1" s="3"/>
      <c r="AW1" s="7"/>
      <c r="AX1" s="8"/>
      <c r="AY1" s="9"/>
    </row>
    <row r="2" spans="1:53" ht="14.45" x14ac:dyDescent="0.3">
      <c r="A2" s="3"/>
      <c r="B2" s="173" t="s">
        <v>0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9"/>
    </row>
    <row r="3" spans="1:53" ht="14.45" x14ac:dyDescent="0.3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3"/>
      <c r="Y3" s="7"/>
      <c r="Z3" s="3"/>
      <c r="AA3" s="7"/>
      <c r="AB3" s="3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9"/>
      <c r="AO3" s="7"/>
      <c r="AP3" s="3"/>
      <c r="AQ3" s="7"/>
      <c r="AR3" s="9"/>
      <c r="AS3" s="60"/>
      <c r="AT3" s="3"/>
      <c r="AU3" s="60"/>
      <c r="AV3" s="3"/>
      <c r="AW3" s="7"/>
      <c r="AX3" s="8"/>
      <c r="AY3" s="9"/>
    </row>
    <row r="4" spans="1:53" ht="14.45" x14ac:dyDescent="0.3">
      <c r="A4" s="172" t="s">
        <v>1</v>
      </c>
      <c r="B4" s="172"/>
      <c r="C4" s="142" t="s">
        <v>2</v>
      </c>
      <c r="D4" s="142"/>
      <c r="E4" s="142"/>
      <c r="F4" s="10"/>
      <c r="G4" s="10"/>
      <c r="H4" s="10"/>
      <c r="I4" s="10"/>
      <c r="J4" s="10"/>
      <c r="K4" s="10"/>
      <c r="L4" s="10"/>
      <c r="M4" s="11"/>
      <c r="N4" s="12"/>
      <c r="O4" s="13"/>
      <c r="P4" s="10"/>
      <c r="Q4" s="11"/>
      <c r="R4" s="10"/>
      <c r="S4" s="13"/>
      <c r="T4" s="73"/>
      <c r="U4" s="11"/>
      <c r="V4" s="10"/>
      <c r="W4" s="13"/>
      <c r="X4" s="10"/>
      <c r="Y4" s="13"/>
      <c r="Z4" s="10"/>
      <c r="AA4" s="13"/>
      <c r="AB4" s="10"/>
      <c r="AC4" s="13"/>
      <c r="AD4" s="10"/>
      <c r="AE4" s="13"/>
      <c r="AF4" s="10"/>
      <c r="AG4" s="13"/>
      <c r="AH4" s="10"/>
      <c r="AI4" s="13"/>
      <c r="AJ4" s="10"/>
      <c r="AK4" s="13"/>
      <c r="AL4" s="10"/>
      <c r="AM4" s="13"/>
      <c r="AN4" s="73"/>
      <c r="AO4" s="13"/>
      <c r="AP4" s="10"/>
      <c r="AQ4" s="13"/>
      <c r="AR4" s="73"/>
      <c r="AS4" s="55"/>
      <c r="AT4" s="10"/>
      <c r="AU4" s="55"/>
      <c r="AV4" s="10"/>
      <c r="AW4" s="13"/>
      <c r="AX4" s="8"/>
      <c r="AY4" s="9"/>
    </row>
    <row r="5" spans="1:53" ht="15" customHeight="1" x14ac:dyDescent="0.25">
      <c r="A5" s="172" t="s">
        <v>3</v>
      </c>
      <c r="B5" s="172"/>
      <c r="C5" s="142" t="s">
        <v>4</v>
      </c>
      <c r="D5" s="142"/>
      <c r="E5" s="142"/>
      <c r="F5" s="10"/>
      <c r="G5" s="10"/>
      <c r="H5" s="10"/>
      <c r="I5" s="10"/>
      <c r="J5" s="10"/>
      <c r="K5" s="10"/>
      <c r="L5" s="10"/>
      <c r="M5" s="11"/>
      <c r="N5" s="12"/>
      <c r="O5" s="13"/>
      <c r="P5" s="10"/>
      <c r="Q5" s="11"/>
      <c r="R5" s="10"/>
      <c r="S5" s="13"/>
      <c r="T5" s="73"/>
      <c r="U5" s="11"/>
      <c r="V5" s="10"/>
      <c r="W5" s="13"/>
      <c r="X5" s="10"/>
      <c r="Y5" s="13"/>
      <c r="Z5" s="10"/>
      <c r="AA5" s="13"/>
      <c r="AB5" s="10"/>
      <c r="AC5" s="13"/>
      <c r="AD5" s="10"/>
      <c r="AE5" s="13"/>
      <c r="AF5" s="10"/>
      <c r="AG5" s="13"/>
      <c r="AH5" s="10"/>
      <c r="AI5" s="13"/>
      <c r="AJ5" s="10"/>
      <c r="AK5" s="13"/>
      <c r="AL5" s="10"/>
      <c r="AM5" s="13"/>
      <c r="AN5" s="73"/>
      <c r="AO5" s="13"/>
      <c r="AP5" s="10"/>
      <c r="AQ5" s="13"/>
      <c r="AR5" s="73"/>
      <c r="AS5" s="55"/>
      <c r="AT5" s="10"/>
      <c r="AU5" s="55"/>
      <c r="AV5" s="10"/>
      <c r="AW5" s="13"/>
      <c r="AX5" s="8"/>
      <c r="AY5" s="9"/>
    </row>
    <row r="6" spans="1:53" ht="14.45" x14ac:dyDescent="0.3">
      <c r="A6" s="172" t="s">
        <v>5</v>
      </c>
      <c r="B6" s="172"/>
      <c r="C6" s="14">
        <v>2022</v>
      </c>
      <c r="D6" s="15"/>
      <c r="E6" s="14"/>
      <c r="F6" s="10"/>
      <c r="G6" s="10"/>
      <c r="H6" s="10"/>
      <c r="I6" s="10"/>
      <c r="J6" s="10"/>
      <c r="K6" s="10"/>
      <c r="L6" s="10"/>
      <c r="M6" s="11"/>
      <c r="N6" s="12"/>
      <c r="O6" s="13"/>
      <c r="P6" s="10"/>
      <c r="Q6" s="11"/>
      <c r="R6" s="10"/>
      <c r="S6" s="13"/>
      <c r="T6" s="73"/>
      <c r="U6" s="11"/>
      <c r="V6" s="10"/>
      <c r="W6" s="13"/>
      <c r="X6" s="10"/>
      <c r="Y6" s="13"/>
      <c r="Z6" s="10"/>
      <c r="AA6" s="13"/>
      <c r="AB6" s="10"/>
      <c r="AC6" s="13"/>
      <c r="AD6" s="10"/>
      <c r="AE6" s="13"/>
      <c r="AF6" s="10"/>
      <c r="AG6" s="13"/>
      <c r="AH6" s="10"/>
      <c r="AI6" s="13"/>
      <c r="AJ6" s="10"/>
      <c r="AK6" s="13"/>
      <c r="AL6" s="10"/>
      <c r="AM6" s="13"/>
      <c r="AN6" s="73"/>
      <c r="AO6" s="13"/>
      <c r="AP6" s="10"/>
      <c r="AQ6" s="13"/>
      <c r="AR6" s="73"/>
      <c r="AS6" s="55"/>
      <c r="AT6" s="10"/>
      <c r="AU6" s="55"/>
      <c r="AV6" s="10"/>
      <c r="AW6" s="13"/>
      <c r="AX6" s="8"/>
      <c r="AY6" s="9"/>
    </row>
    <row r="7" spans="1:53" ht="14.45" x14ac:dyDescent="0.3">
      <c r="A7" s="172" t="s">
        <v>6</v>
      </c>
      <c r="B7" s="172"/>
      <c r="C7" s="14" t="s">
        <v>55</v>
      </c>
      <c r="D7" s="15"/>
      <c r="E7" s="14"/>
      <c r="F7" s="10"/>
      <c r="G7" s="10"/>
      <c r="H7" s="10"/>
      <c r="I7" s="10"/>
      <c r="J7" s="10"/>
      <c r="K7" s="10"/>
      <c r="L7" s="10"/>
      <c r="M7" s="11"/>
      <c r="N7" s="12"/>
      <c r="O7" s="13"/>
      <c r="P7" s="10"/>
      <c r="Q7" s="11"/>
      <c r="R7" s="10"/>
      <c r="S7" s="13"/>
      <c r="T7" s="73"/>
      <c r="U7" s="11"/>
      <c r="V7" s="10"/>
      <c r="W7" s="13"/>
      <c r="X7" s="10"/>
      <c r="Y7" s="13"/>
      <c r="Z7" s="10"/>
      <c r="AA7" s="13"/>
      <c r="AB7" s="10"/>
      <c r="AC7" s="13"/>
      <c r="AD7" s="10"/>
      <c r="AE7" s="13"/>
      <c r="AF7" s="10"/>
      <c r="AG7" s="13"/>
      <c r="AH7" s="10"/>
      <c r="AI7" s="13"/>
      <c r="AJ7" s="10"/>
      <c r="AK7" s="13"/>
      <c r="AL7" s="10"/>
      <c r="AM7" s="13"/>
      <c r="AN7" s="73"/>
      <c r="AO7" s="13"/>
      <c r="AP7" s="10"/>
      <c r="AQ7" s="13"/>
      <c r="AR7" s="73"/>
      <c r="AS7" s="55"/>
      <c r="AT7" s="10"/>
      <c r="AU7" s="55"/>
      <c r="AV7" s="10"/>
      <c r="AW7" s="13"/>
      <c r="AX7" s="8"/>
      <c r="AY7" s="9"/>
    </row>
    <row r="8" spans="1:53" ht="14.45" x14ac:dyDescent="0.3">
      <c r="A8" s="3"/>
      <c r="B8" s="10"/>
      <c r="C8" s="10"/>
      <c r="D8" s="10"/>
      <c r="E8" s="16"/>
      <c r="F8" s="10"/>
      <c r="G8" s="10"/>
      <c r="H8" s="10"/>
      <c r="I8" s="10"/>
      <c r="J8" s="10"/>
      <c r="K8" s="10"/>
      <c r="L8" s="10"/>
      <c r="M8" s="11"/>
      <c r="N8" s="12"/>
      <c r="O8" s="13"/>
      <c r="P8" s="10"/>
      <c r="Q8" s="11"/>
      <c r="R8" s="10"/>
      <c r="S8" s="13"/>
      <c r="T8" s="73"/>
      <c r="U8" s="11"/>
      <c r="V8" s="10"/>
      <c r="W8" s="13"/>
      <c r="X8" s="10"/>
      <c r="Y8" s="13"/>
      <c r="Z8" s="10"/>
      <c r="AA8" s="13"/>
      <c r="AB8" s="10"/>
      <c r="AC8" s="13"/>
      <c r="AD8" s="10"/>
      <c r="AE8" s="13"/>
      <c r="AF8" s="10"/>
      <c r="AG8" s="13"/>
      <c r="AH8" s="10"/>
      <c r="AI8" s="13"/>
      <c r="AJ8" s="10"/>
      <c r="AK8" s="13"/>
      <c r="AL8" s="10"/>
      <c r="AM8" s="13"/>
      <c r="AN8" s="73"/>
      <c r="AO8" s="13"/>
      <c r="AP8" s="10"/>
      <c r="AQ8" s="13"/>
      <c r="AR8" s="73"/>
      <c r="AS8" s="55"/>
      <c r="AT8" s="10"/>
      <c r="AU8" s="55"/>
      <c r="AV8" s="10"/>
      <c r="AW8" s="13"/>
      <c r="AX8" s="8"/>
      <c r="AY8" s="9"/>
    </row>
    <row r="9" spans="1:53" ht="38.25" x14ac:dyDescent="0.25">
      <c r="A9" s="17" t="s">
        <v>7</v>
      </c>
      <c r="B9" s="17" t="s">
        <v>8</v>
      </c>
      <c r="C9" s="18" t="s">
        <v>9</v>
      </c>
      <c r="D9" s="17" t="s">
        <v>10</v>
      </c>
      <c r="E9" s="19" t="s">
        <v>11</v>
      </c>
      <c r="F9" s="18" t="s">
        <v>12</v>
      </c>
      <c r="G9" s="18" t="s">
        <v>13</v>
      </c>
      <c r="H9" s="18" t="s">
        <v>14</v>
      </c>
      <c r="I9" s="64" t="s">
        <v>15</v>
      </c>
      <c r="J9" s="18" t="s">
        <v>16</v>
      </c>
      <c r="K9" s="18" t="s">
        <v>17</v>
      </c>
      <c r="L9" s="18" t="s">
        <v>18</v>
      </c>
      <c r="M9" s="20" t="s">
        <v>19</v>
      </c>
      <c r="N9" s="21" t="s">
        <v>20</v>
      </c>
      <c r="O9" s="22" t="s">
        <v>21</v>
      </c>
      <c r="P9" s="18" t="s">
        <v>22</v>
      </c>
      <c r="Q9" s="20" t="s">
        <v>23</v>
      </c>
      <c r="R9" s="18" t="s">
        <v>24</v>
      </c>
      <c r="S9" s="22" t="s">
        <v>25</v>
      </c>
      <c r="T9" s="25" t="s">
        <v>26</v>
      </c>
      <c r="U9" s="20" t="s">
        <v>27</v>
      </c>
      <c r="V9" s="18" t="s">
        <v>28</v>
      </c>
      <c r="W9" s="22" t="s">
        <v>29</v>
      </c>
      <c r="X9" s="18" t="s">
        <v>59</v>
      </c>
      <c r="Y9" s="22" t="s">
        <v>30</v>
      </c>
      <c r="Z9" s="18" t="s">
        <v>31</v>
      </c>
      <c r="AA9" s="22" t="s">
        <v>32</v>
      </c>
      <c r="AB9" s="18" t="s">
        <v>33</v>
      </c>
      <c r="AC9" s="23" t="s">
        <v>34</v>
      </c>
      <c r="AD9" s="18" t="s">
        <v>35</v>
      </c>
      <c r="AE9" s="22" t="s">
        <v>36</v>
      </c>
      <c r="AF9" s="18" t="s">
        <v>37</v>
      </c>
      <c r="AG9" s="22" t="s">
        <v>38</v>
      </c>
      <c r="AH9" s="18" t="s">
        <v>39</v>
      </c>
      <c r="AI9" s="22" t="s">
        <v>60</v>
      </c>
      <c r="AJ9" s="18" t="s">
        <v>61</v>
      </c>
      <c r="AK9" s="22" t="s">
        <v>40</v>
      </c>
      <c r="AL9" s="18" t="s">
        <v>41</v>
      </c>
      <c r="AM9" s="23" t="s">
        <v>42</v>
      </c>
      <c r="AN9" s="25" t="s">
        <v>43</v>
      </c>
      <c r="AO9" s="23" t="s">
        <v>44</v>
      </c>
      <c r="AP9" s="18" t="s">
        <v>45</v>
      </c>
      <c r="AQ9" s="22" t="s">
        <v>46</v>
      </c>
      <c r="AR9" s="25" t="s">
        <v>47</v>
      </c>
      <c r="AS9" s="59" t="s">
        <v>62</v>
      </c>
      <c r="AT9" s="18" t="s">
        <v>63</v>
      </c>
      <c r="AU9" s="59" t="s">
        <v>150</v>
      </c>
      <c r="AV9" s="18" t="s">
        <v>151</v>
      </c>
      <c r="AW9" s="22" t="s">
        <v>48</v>
      </c>
      <c r="AX9" s="24" t="s">
        <v>49</v>
      </c>
      <c r="AY9" s="25" t="s">
        <v>50</v>
      </c>
      <c r="AZ9" s="26" t="s">
        <v>51</v>
      </c>
      <c r="BA9" s="43"/>
    </row>
    <row r="10" spans="1:53" s="69" customFormat="1" ht="90" thickBot="1" x14ac:dyDescent="0.25">
      <c r="A10" s="75">
        <v>1</v>
      </c>
      <c r="B10" s="75" t="s">
        <v>57</v>
      </c>
      <c r="C10" s="75" t="s">
        <v>52</v>
      </c>
      <c r="D10" s="75" t="s">
        <v>53</v>
      </c>
      <c r="E10" s="68" t="s">
        <v>58</v>
      </c>
      <c r="F10" s="75" t="s">
        <v>54</v>
      </c>
      <c r="G10" s="27"/>
      <c r="H10" s="27"/>
      <c r="I10" s="27"/>
      <c r="J10" s="27"/>
      <c r="K10" s="27">
        <v>48</v>
      </c>
      <c r="L10" s="32">
        <f>+K10*AX10</f>
        <v>19200</v>
      </c>
      <c r="M10" s="35">
        <v>10</v>
      </c>
      <c r="N10" s="29">
        <f t="shared" ref="N10" si="0">+M10*AX10</f>
        <v>4000</v>
      </c>
      <c r="O10" s="30">
        <v>100</v>
      </c>
      <c r="P10" s="37">
        <f t="shared" ref="P10" si="1">+O10*AX10</f>
        <v>40000</v>
      </c>
      <c r="Q10" s="31">
        <v>40</v>
      </c>
      <c r="R10" s="28">
        <f>+Q10*AX10</f>
        <v>16000</v>
      </c>
      <c r="S10" s="30"/>
      <c r="T10" s="72"/>
      <c r="U10" s="31">
        <v>36</v>
      </c>
      <c r="V10" s="37">
        <f t="shared" ref="V10" si="2">+U10*AX10</f>
        <v>14400</v>
      </c>
      <c r="W10" s="30">
        <v>30</v>
      </c>
      <c r="X10" s="28">
        <f>+W10*AX10</f>
        <v>12000</v>
      </c>
      <c r="Y10" s="30">
        <v>500</v>
      </c>
      <c r="Z10" s="28">
        <f>+Y10*AX10</f>
        <v>200000</v>
      </c>
      <c r="AA10" s="30"/>
      <c r="AB10" s="28"/>
      <c r="AC10" s="30">
        <v>200</v>
      </c>
      <c r="AD10" s="37">
        <f t="shared" ref="AD10" si="3">+AC10*AX10</f>
        <v>80000</v>
      </c>
      <c r="AE10" s="30">
        <v>200</v>
      </c>
      <c r="AF10" s="37">
        <f t="shared" ref="AF10" si="4">+AE10*AX10</f>
        <v>80000</v>
      </c>
      <c r="AG10" s="30">
        <v>100</v>
      </c>
      <c r="AH10" s="28">
        <f>+AG10*AX10</f>
        <v>40000</v>
      </c>
      <c r="AI10" s="30">
        <v>100</v>
      </c>
      <c r="AJ10" s="28">
        <f>+AI10*AX10</f>
        <v>40000</v>
      </c>
      <c r="AK10" s="30"/>
      <c r="AL10" s="28"/>
      <c r="AM10" s="30">
        <v>200</v>
      </c>
      <c r="AN10" s="38">
        <f t="shared" ref="AN10" si="5">+AM10*AX10</f>
        <v>80000</v>
      </c>
      <c r="AO10" s="30">
        <v>24</v>
      </c>
      <c r="AP10" s="28">
        <f t="shared" ref="AP10" si="6">+AO10*AX10</f>
        <v>9600</v>
      </c>
      <c r="AQ10" s="30"/>
      <c r="AR10" s="72"/>
      <c r="AS10" s="63">
        <v>36</v>
      </c>
      <c r="AT10" s="37">
        <f t="shared" ref="AT10" si="7">+AS10*AX10</f>
        <v>14400</v>
      </c>
      <c r="AU10" s="156">
        <v>150</v>
      </c>
      <c r="AV10" s="157">
        <f>+AU10*AX10</f>
        <v>60000</v>
      </c>
      <c r="AW10" s="57">
        <f>+AQ10+AO10+AM10+AK10+AI10+AG10+AE10+AC10+AA10+Y10+W10+U10+S10+Q10+O10+M10+K10+I10+AS10+G10+AU10</f>
        <v>1774</v>
      </c>
      <c r="AX10" s="36">
        <v>400</v>
      </c>
      <c r="AY10" s="44">
        <f t="shared" ref="AY10" si="8">+AW10*AX10</f>
        <v>709600</v>
      </c>
      <c r="AZ10" s="34" t="s">
        <v>152</v>
      </c>
    </row>
    <row r="11" spans="1:53" s="70" customFormat="1" ht="13.5" thickBot="1" x14ac:dyDescent="0.25">
      <c r="A11" s="45"/>
      <c r="B11" s="46"/>
      <c r="C11" s="47"/>
      <c r="D11" s="48"/>
      <c r="E11" s="33" t="s">
        <v>56</v>
      </c>
      <c r="F11" s="46"/>
      <c r="G11" s="46"/>
      <c r="H11" s="46"/>
      <c r="I11" s="46"/>
      <c r="J11" s="46"/>
      <c r="K11" s="48"/>
      <c r="L11" s="49">
        <f>+K11*AX11</f>
        <v>0</v>
      </c>
      <c r="M11" s="50"/>
      <c r="N11" s="51">
        <f>+M11*AX11</f>
        <v>0</v>
      </c>
      <c r="O11" s="52"/>
      <c r="P11" s="49"/>
      <c r="Q11" s="50"/>
      <c r="R11" s="49"/>
      <c r="S11" s="52"/>
      <c r="T11" s="71"/>
      <c r="U11" s="50"/>
      <c r="V11" s="49"/>
      <c r="W11" s="52"/>
      <c r="X11" s="49"/>
      <c r="Y11" s="52"/>
      <c r="Z11" s="49"/>
      <c r="AA11" s="52"/>
      <c r="AB11" s="49"/>
      <c r="AC11" s="52"/>
      <c r="AD11" s="49"/>
      <c r="AE11" s="52"/>
      <c r="AF11" s="49"/>
      <c r="AG11" s="52"/>
      <c r="AH11" s="49"/>
      <c r="AI11" s="52"/>
      <c r="AJ11" s="49"/>
      <c r="AK11" s="52"/>
      <c r="AL11" s="49"/>
      <c r="AM11" s="52"/>
      <c r="AN11" s="71"/>
      <c r="AO11" s="52"/>
      <c r="AP11" s="49"/>
      <c r="AQ11" s="52"/>
      <c r="AR11" s="71"/>
      <c r="AS11" s="62"/>
      <c r="AT11" s="49"/>
      <c r="AU11" s="67"/>
      <c r="AV11" s="66"/>
      <c r="AW11" s="58"/>
      <c r="AX11" s="53"/>
      <c r="AY11" s="76">
        <f>+SUM(AY10:AY10)</f>
        <v>709600</v>
      </c>
      <c r="AZ11" s="54"/>
    </row>
    <row r="12" spans="1:53" thickBot="1" x14ac:dyDescent="0.35"/>
    <row r="13" spans="1:53" x14ac:dyDescent="0.25">
      <c r="B13" s="174" t="s">
        <v>101</v>
      </c>
      <c r="C13" s="176" t="s">
        <v>111</v>
      </c>
      <c r="D13" s="176"/>
      <c r="E13" s="177"/>
    </row>
    <row r="14" spans="1:53" x14ac:dyDescent="0.25">
      <c r="B14" s="175"/>
      <c r="C14" s="170" t="s">
        <v>102</v>
      </c>
      <c r="D14" s="170"/>
      <c r="E14" s="171"/>
    </row>
    <row r="15" spans="1:53" ht="25.5" customHeight="1" x14ac:dyDescent="0.25">
      <c r="B15" s="175"/>
      <c r="C15" s="168" t="s">
        <v>103</v>
      </c>
      <c r="D15" s="168"/>
      <c r="E15" s="169"/>
    </row>
    <row r="16" spans="1:53" x14ac:dyDescent="0.25">
      <c r="B16" s="175"/>
      <c r="C16" s="170" t="s">
        <v>104</v>
      </c>
      <c r="D16" s="170"/>
      <c r="E16" s="171"/>
    </row>
    <row r="17" spans="2:5" ht="14.45" x14ac:dyDescent="0.3">
      <c r="B17" s="132"/>
      <c r="C17" s="134"/>
      <c r="D17" s="134"/>
      <c r="E17" s="135"/>
    </row>
    <row r="18" spans="2:5" ht="14.45" x14ac:dyDescent="0.3">
      <c r="B18" s="132" t="s">
        <v>105</v>
      </c>
      <c r="C18" s="133" t="s">
        <v>106</v>
      </c>
      <c r="D18" s="134"/>
      <c r="E18" s="135"/>
    </row>
    <row r="19" spans="2:5" ht="14.45" x14ac:dyDescent="0.3">
      <c r="B19" s="132"/>
      <c r="C19" s="134"/>
      <c r="D19" s="134"/>
      <c r="E19" s="135"/>
    </row>
    <row r="20" spans="2:5" ht="15" customHeight="1" x14ac:dyDescent="0.25">
      <c r="B20" s="132" t="s">
        <v>107</v>
      </c>
      <c r="C20" s="168" t="s">
        <v>112</v>
      </c>
      <c r="D20" s="168"/>
      <c r="E20" s="169"/>
    </row>
    <row r="21" spans="2:5" ht="14.45" x14ac:dyDescent="0.3">
      <c r="B21" s="132"/>
      <c r="C21" s="136"/>
      <c r="D21" s="136"/>
      <c r="E21" s="137"/>
    </row>
    <row r="22" spans="2:5" ht="27.6" x14ac:dyDescent="0.3">
      <c r="B22" s="132" t="s">
        <v>108</v>
      </c>
      <c r="C22" s="134"/>
      <c r="D22" s="134"/>
      <c r="E22" s="135"/>
    </row>
    <row r="23" spans="2:5" ht="14.45" x14ac:dyDescent="0.3">
      <c r="B23" s="132"/>
      <c r="C23" s="134"/>
      <c r="D23" s="134"/>
      <c r="E23" s="135"/>
    </row>
    <row r="24" spans="2:5" x14ac:dyDescent="0.25">
      <c r="B24" s="132" t="s">
        <v>109</v>
      </c>
      <c r="C24" s="170" t="s">
        <v>110</v>
      </c>
      <c r="D24" s="170"/>
      <c r="E24" s="171"/>
    </row>
    <row r="25" spans="2:5" thickBot="1" x14ac:dyDescent="0.35">
      <c r="B25" s="138"/>
      <c r="C25" s="139"/>
      <c r="D25" s="140"/>
      <c r="E25" s="141"/>
    </row>
  </sheetData>
  <mergeCells count="12">
    <mergeCell ref="C20:E20"/>
    <mergeCell ref="C24:E24"/>
    <mergeCell ref="A7:B7"/>
    <mergeCell ref="B2:AX2"/>
    <mergeCell ref="A4:B4"/>
    <mergeCell ref="A5:B5"/>
    <mergeCell ref="A6:B6"/>
    <mergeCell ref="B13:B16"/>
    <mergeCell ref="C13:E13"/>
    <mergeCell ref="C14:E14"/>
    <mergeCell ref="C15:E15"/>
    <mergeCell ref="C16:E16"/>
  </mergeCells>
  <conditionalFormatting sqref="B1:B9 E1:E9">
    <cfRule type="duplicateValues" dxfId="25" priority="238"/>
  </conditionalFormatting>
  <conditionalFormatting sqref="E1:E9 B1:B9">
    <cfRule type="duplicateValues" dxfId="24" priority="239"/>
  </conditionalFormatting>
  <conditionalFormatting sqref="E11 B11">
    <cfRule type="duplicateValues" dxfId="23" priority="272"/>
  </conditionalFormatting>
  <conditionalFormatting sqref="B11">
    <cfRule type="duplicateValues" dxfId="22" priority="274"/>
  </conditionalFormatting>
  <conditionalFormatting sqref="B11">
    <cfRule type="duplicateValues" dxfId="21" priority="345"/>
  </conditionalFormatting>
  <conditionalFormatting sqref="E11">
    <cfRule type="duplicateValues" dxfId="20" priority="347"/>
  </conditionalFormatting>
  <conditionalFormatting sqref="E11">
    <cfRule type="duplicateValues" dxfId="19" priority="349"/>
    <cfRule type="duplicateValues" dxfId="18" priority="350"/>
  </conditionalFormatting>
  <conditionalFormatting sqref="B1:B9">
    <cfRule type="duplicateValues" dxfId="17" priority="425"/>
  </conditionalFormatting>
  <conditionalFormatting sqref="E1:E9">
    <cfRule type="duplicateValues" dxfId="16" priority="426"/>
  </conditionalFormatting>
  <conditionalFormatting sqref="E1:E9">
    <cfRule type="duplicateValues" dxfId="15" priority="427"/>
    <cfRule type="duplicateValues" dxfId="14" priority="428"/>
  </conditionalFormatting>
  <conditionalFormatting sqref="B25">
    <cfRule type="duplicateValues" dxfId="13" priority="6"/>
  </conditionalFormatting>
  <conditionalFormatting sqref="E25">
    <cfRule type="duplicateValues" dxfId="12" priority="7"/>
  </conditionalFormatting>
  <conditionalFormatting sqref="B25 E25">
    <cfRule type="duplicateValues" dxfId="11" priority="8"/>
  </conditionalFormatting>
  <conditionalFormatting sqref="E25">
    <cfRule type="duplicateValues" dxfId="10" priority="9"/>
  </conditionalFormatting>
  <conditionalFormatting sqref="B25">
    <cfRule type="duplicateValues" dxfId="9" priority="10"/>
  </conditionalFormatting>
  <conditionalFormatting sqref="E25">
    <cfRule type="duplicateValues" dxfId="8" priority="11"/>
    <cfRule type="duplicateValues" dxfId="7" priority="12"/>
  </conditionalFormatting>
  <conditionalFormatting sqref="E22:E23 E17:E19">
    <cfRule type="duplicateValues" dxfId="6" priority="1"/>
  </conditionalFormatting>
  <conditionalFormatting sqref="E22:E23 E17:E19 B13:B14 B17:B24">
    <cfRule type="duplicateValues" dxfId="5" priority="2"/>
  </conditionalFormatting>
  <conditionalFormatting sqref="E22:E23">
    <cfRule type="duplicateValues" dxfId="4" priority="3"/>
  </conditionalFormatting>
  <conditionalFormatting sqref="E22:E23 E17:E19">
    <cfRule type="duplicateValues" dxfId="3" priority="4"/>
    <cfRule type="duplicateValues" dxfId="2" priority="5"/>
  </conditionalFormatting>
  <conditionalFormatting sqref="B13:B14 B17:B24">
    <cfRule type="duplicateValues" dxfId="1" priority="437"/>
  </conditionalFormatting>
  <conditionalFormatting sqref="B13:B14 B17:B24">
    <cfRule type="duplicateValues" dxfId="0" priority="43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topLeftCell="A4" workbookViewId="0">
      <selection activeCell="D27" sqref="D27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148" customWidth="1"/>
    <col min="11" max="11" width="15.5703125" customWidth="1"/>
    <col min="13" max="13" width="11.42578125" style="154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116</v>
      </c>
    </row>
    <row r="2" spans="1:13" ht="16.149999999999999" thickBot="1" x14ac:dyDescent="0.35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thickBot="1" x14ac:dyDescent="0.3">
      <c r="A3" s="181" t="s">
        <v>66</v>
      </c>
      <c r="B3" s="181"/>
      <c r="C3" s="181"/>
      <c r="D3" s="179" t="str">
        <f>'SAF 011'!C4</f>
        <v>040 - MINISTERIO DE SALUD</v>
      </c>
      <c r="E3" s="179"/>
      <c r="F3" s="179"/>
      <c r="G3" s="179"/>
      <c r="H3" s="179"/>
      <c r="I3" s="179"/>
      <c r="J3" s="179"/>
      <c r="K3" s="179"/>
    </row>
    <row r="4" spans="1:13" ht="16.149999999999999" thickBot="1" x14ac:dyDescent="0.35">
      <c r="A4" s="178" t="s">
        <v>67</v>
      </c>
      <c r="B4" s="178"/>
      <c r="C4" s="178"/>
      <c r="D4" s="179" t="str">
        <f>'SAF 011'!C5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3" ht="16.149999999999999" thickBot="1" x14ac:dyDescent="0.35">
      <c r="A5" s="178" t="s">
        <v>68</v>
      </c>
      <c r="B5" s="178"/>
      <c r="C5" s="178"/>
      <c r="D5" s="179" t="s">
        <v>118</v>
      </c>
      <c r="E5" s="179"/>
      <c r="F5" s="179"/>
      <c r="G5" s="179"/>
      <c r="H5" s="179"/>
      <c r="I5" s="179"/>
      <c r="J5" s="179"/>
      <c r="K5" s="179"/>
    </row>
    <row r="6" spans="1:13" ht="16.149999999999999" thickBot="1" x14ac:dyDescent="0.35">
      <c r="A6" s="181" t="s">
        <v>69</v>
      </c>
      <c r="B6" s="181"/>
      <c r="C6" s="181"/>
      <c r="D6" s="179" t="s">
        <v>113</v>
      </c>
      <c r="E6" s="179"/>
      <c r="F6" s="179"/>
      <c r="G6" s="179"/>
      <c r="H6" s="179"/>
      <c r="I6" s="179"/>
      <c r="J6" s="179"/>
      <c r="K6" s="179"/>
    </row>
    <row r="7" spans="1:13" ht="16.5" thickBot="1" x14ac:dyDescent="0.3">
      <c r="A7" s="178" t="s">
        <v>70</v>
      </c>
      <c r="B7" s="178"/>
      <c r="C7" s="178"/>
      <c r="D7" s="179" t="s">
        <v>114</v>
      </c>
      <c r="E7" s="179"/>
      <c r="F7" s="179"/>
      <c r="G7" s="179"/>
      <c r="H7" s="179"/>
      <c r="I7" s="179"/>
      <c r="J7" s="179"/>
      <c r="K7" s="179"/>
    </row>
    <row r="8" spans="1:13" ht="16.149999999999999" thickBot="1" x14ac:dyDescent="0.35">
      <c r="A8" s="182" t="s">
        <v>71</v>
      </c>
      <c r="B8" s="182"/>
      <c r="C8" s="182"/>
      <c r="D8" s="183" t="s">
        <v>115</v>
      </c>
      <c r="E8" s="183"/>
      <c r="F8" s="183"/>
      <c r="G8" s="183"/>
      <c r="H8" s="183"/>
      <c r="I8" s="183"/>
      <c r="J8" s="183"/>
      <c r="K8" s="183"/>
    </row>
    <row r="9" spans="1:13" ht="16.149999999999999" thickBot="1" x14ac:dyDescent="0.35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3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011'!K10</f>
        <v>48</v>
      </c>
      <c r="M12" s="154">
        <f>+J12*K12</f>
        <v>19200</v>
      </c>
    </row>
    <row r="13" spans="1:13" ht="15.6" x14ac:dyDescent="0.3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8" thickBot="1" x14ac:dyDescent="0.35">
      <c r="A14" s="184" t="s">
        <v>120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19200</v>
      </c>
      <c r="K14" s="185"/>
    </row>
  </sheetData>
  <mergeCells count="24">
    <mergeCell ref="A14:I14"/>
    <mergeCell ref="J14:K14"/>
    <mergeCell ref="C13:G13"/>
    <mergeCell ref="K10:K11"/>
    <mergeCell ref="C12:G12"/>
    <mergeCell ref="I10:I11"/>
    <mergeCell ref="J10:J11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workbookViewId="0">
      <selection activeCell="D32" sqref="D32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121</v>
      </c>
    </row>
    <row r="2" spans="1:13" ht="16.149999999999999" thickBot="1" x14ac:dyDescent="0.35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thickBot="1" x14ac:dyDescent="0.3">
      <c r="A3" s="181" t="s">
        <v>66</v>
      </c>
      <c r="B3" s="181"/>
      <c r="C3" s="181"/>
      <c r="D3" s="179" t="str">
        <f>'SAF 011'!C4</f>
        <v>040 - MINISTERIO DE SALUD</v>
      </c>
      <c r="E3" s="179"/>
      <c r="F3" s="179"/>
      <c r="G3" s="179"/>
      <c r="H3" s="179"/>
      <c r="I3" s="179"/>
      <c r="J3" s="179"/>
      <c r="K3" s="179"/>
    </row>
    <row r="4" spans="1:13" ht="16.149999999999999" thickBot="1" x14ac:dyDescent="0.35">
      <c r="A4" s="178" t="s">
        <v>67</v>
      </c>
      <c r="B4" s="178"/>
      <c r="C4" s="178"/>
      <c r="D4" s="179" t="str">
        <f>'SAF 011'!C5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3" ht="16.5" customHeight="1" thickBot="1" x14ac:dyDescent="0.35">
      <c r="A5" s="178" t="s">
        <v>68</v>
      </c>
      <c r="B5" s="178"/>
      <c r="C5" s="178"/>
      <c r="D5" s="179" t="s">
        <v>118</v>
      </c>
      <c r="E5" s="179"/>
      <c r="F5" s="179"/>
      <c r="G5" s="179"/>
      <c r="H5" s="179"/>
      <c r="I5" s="179"/>
      <c r="J5" s="179"/>
      <c r="K5" s="179"/>
    </row>
    <row r="6" spans="1:13" ht="16.149999999999999" thickBot="1" x14ac:dyDescent="0.35">
      <c r="A6" s="181" t="s">
        <v>69</v>
      </c>
      <c r="B6" s="181"/>
      <c r="C6" s="181"/>
      <c r="D6" s="179" t="s">
        <v>122</v>
      </c>
      <c r="E6" s="179"/>
      <c r="F6" s="179"/>
      <c r="G6" s="179"/>
      <c r="H6" s="179"/>
      <c r="I6" s="179"/>
      <c r="J6" s="179"/>
      <c r="K6" s="179"/>
    </row>
    <row r="7" spans="1:13" ht="16.5" thickBot="1" x14ac:dyDescent="0.3">
      <c r="A7" s="178" t="s">
        <v>70</v>
      </c>
      <c r="B7" s="178"/>
      <c r="C7" s="178"/>
      <c r="D7" s="179" t="s">
        <v>114</v>
      </c>
      <c r="E7" s="179"/>
      <c r="F7" s="179"/>
      <c r="G7" s="179"/>
      <c r="H7" s="179"/>
      <c r="I7" s="179"/>
      <c r="J7" s="179"/>
      <c r="K7" s="179"/>
    </row>
    <row r="8" spans="1:13" ht="16.149999999999999" thickBot="1" x14ac:dyDescent="0.35">
      <c r="A8" s="182" t="s">
        <v>71</v>
      </c>
      <c r="B8" s="182"/>
      <c r="C8" s="182"/>
      <c r="D8" s="183" t="s">
        <v>115</v>
      </c>
      <c r="E8" s="183"/>
      <c r="F8" s="183"/>
      <c r="G8" s="183"/>
      <c r="H8" s="183"/>
      <c r="I8" s="183"/>
      <c r="J8" s="183"/>
      <c r="K8" s="183"/>
    </row>
    <row r="9" spans="1:13" ht="16.149999999999999" thickBot="1" x14ac:dyDescent="0.35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3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011'!M10</f>
        <v>10</v>
      </c>
      <c r="M12" s="154">
        <f>+J12*K12</f>
        <v>4000</v>
      </c>
    </row>
    <row r="13" spans="1:13" ht="15.6" x14ac:dyDescent="0.3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8" thickBot="1" x14ac:dyDescent="0.35">
      <c r="A14" s="184" t="s">
        <v>119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4000</v>
      </c>
      <c r="K14" s="185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topLeftCell="A4" workbookViewId="0">
      <selection activeCell="F29" sqref="F29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125</v>
      </c>
    </row>
    <row r="2" spans="1:13" ht="16.149999999999999" thickBot="1" x14ac:dyDescent="0.35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thickBot="1" x14ac:dyDescent="0.3">
      <c r="A3" s="181" t="s">
        <v>66</v>
      </c>
      <c r="B3" s="181"/>
      <c r="C3" s="181"/>
      <c r="D3" s="179" t="str">
        <f>'SAF 011'!C4</f>
        <v>040 - MINISTERIO DE SALUD</v>
      </c>
      <c r="E3" s="179"/>
      <c r="F3" s="179"/>
      <c r="G3" s="179"/>
      <c r="H3" s="179"/>
      <c r="I3" s="179"/>
      <c r="J3" s="179"/>
      <c r="K3" s="179"/>
    </row>
    <row r="4" spans="1:13" ht="16.149999999999999" thickBot="1" x14ac:dyDescent="0.35">
      <c r="A4" s="178" t="s">
        <v>67</v>
      </c>
      <c r="B4" s="178"/>
      <c r="C4" s="178"/>
      <c r="D4" s="179" t="str">
        <f>'SAF 011'!C5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3" ht="16.5" customHeight="1" thickBot="1" x14ac:dyDescent="0.35">
      <c r="A5" s="178" t="s">
        <v>68</v>
      </c>
      <c r="B5" s="178"/>
      <c r="C5" s="178"/>
      <c r="D5" s="179" t="s">
        <v>118</v>
      </c>
      <c r="E5" s="179"/>
      <c r="F5" s="179"/>
      <c r="G5" s="179"/>
      <c r="H5" s="179"/>
      <c r="I5" s="179"/>
      <c r="J5" s="179"/>
      <c r="K5" s="179"/>
    </row>
    <row r="6" spans="1:13" ht="16.149999999999999" thickBot="1" x14ac:dyDescent="0.35">
      <c r="A6" s="181" t="s">
        <v>69</v>
      </c>
      <c r="B6" s="181"/>
      <c r="C6" s="181"/>
      <c r="D6" s="179" t="s">
        <v>123</v>
      </c>
      <c r="E6" s="179"/>
      <c r="F6" s="179"/>
      <c r="G6" s="179"/>
      <c r="H6" s="179"/>
      <c r="I6" s="179"/>
      <c r="J6" s="179"/>
      <c r="K6" s="179"/>
    </row>
    <row r="7" spans="1:13" ht="16.5" thickBot="1" x14ac:dyDescent="0.3">
      <c r="A7" s="178" t="s">
        <v>70</v>
      </c>
      <c r="B7" s="178"/>
      <c r="C7" s="178"/>
      <c r="D7" s="179" t="s">
        <v>114</v>
      </c>
      <c r="E7" s="179"/>
      <c r="F7" s="179"/>
      <c r="G7" s="179"/>
      <c r="H7" s="179"/>
      <c r="I7" s="179"/>
      <c r="J7" s="179"/>
      <c r="K7" s="179"/>
    </row>
    <row r="8" spans="1:13" ht="16.149999999999999" thickBot="1" x14ac:dyDescent="0.35">
      <c r="A8" s="182" t="s">
        <v>71</v>
      </c>
      <c r="B8" s="182"/>
      <c r="C8" s="182"/>
      <c r="D8" s="183" t="s">
        <v>115</v>
      </c>
      <c r="E8" s="183"/>
      <c r="F8" s="183"/>
      <c r="G8" s="183"/>
      <c r="H8" s="183"/>
      <c r="I8" s="183"/>
      <c r="J8" s="183"/>
      <c r="K8" s="183"/>
    </row>
    <row r="9" spans="1:13" ht="16.149999999999999" thickBot="1" x14ac:dyDescent="0.35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3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011'!O10</f>
        <v>100</v>
      </c>
      <c r="M12" s="154">
        <f>+J12*K12</f>
        <v>40000</v>
      </c>
    </row>
    <row r="13" spans="1:13" ht="15.6" x14ac:dyDescent="0.3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8" thickBot="1" x14ac:dyDescent="0.35">
      <c r="A14" s="184" t="s">
        <v>124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40000</v>
      </c>
      <c r="K14" s="185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topLeftCell="A4" workbookViewId="0">
      <selection activeCell="C12" sqref="C12:G12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127</v>
      </c>
    </row>
    <row r="2" spans="1:13" ht="16.149999999999999" thickBot="1" x14ac:dyDescent="0.35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thickBot="1" x14ac:dyDescent="0.3">
      <c r="A3" s="181" t="s">
        <v>66</v>
      </c>
      <c r="B3" s="181"/>
      <c r="C3" s="181"/>
      <c r="D3" s="179" t="str">
        <f>'SAF 011'!C4</f>
        <v>040 - MINISTERIO DE SALUD</v>
      </c>
      <c r="E3" s="179"/>
      <c r="F3" s="179"/>
      <c r="G3" s="179"/>
      <c r="H3" s="179"/>
      <c r="I3" s="179"/>
      <c r="J3" s="179"/>
      <c r="K3" s="179"/>
    </row>
    <row r="4" spans="1:13" ht="16.149999999999999" thickBot="1" x14ac:dyDescent="0.35">
      <c r="A4" s="178" t="s">
        <v>67</v>
      </c>
      <c r="B4" s="178"/>
      <c r="C4" s="178"/>
      <c r="D4" s="179" t="str">
        <f>'SAF 011'!C5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3" ht="16.5" customHeight="1" thickBot="1" x14ac:dyDescent="0.35">
      <c r="A5" s="178" t="s">
        <v>68</v>
      </c>
      <c r="B5" s="178"/>
      <c r="C5" s="178"/>
      <c r="D5" s="179" t="s">
        <v>118</v>
      </c>
      <c r="E5" s="179"/>
      <c r="F5" s="179"/>
      <c r="G5" s="179"/>
      <c r="H5" s="179"/>
      <c r="I5" s="179"/>
      <c r="J5" s="179"/>
      <c r="K5" s="179"/>
    </row>
    <row r="6" spans="1:13" ht="16.149999999999999" thickBot="1" x14ac:dyDescent="0.35">
      <c r="A6" s="181" t="s">
        <v>69</v>
      </c>
      <c r="B6" s="181"/>
      <c r="C6" s="181"/>
      <c r="D6" s="179" t="s">
        <v>126</v>
      </c>
      <c r="E6" s="179"/>
      <c r="F6" s="179"/>
      <c r="G6" s="179"/>
      <c r="H6" s="179"/>
      <c r="I6" s="179"/>
      <c r="J6" s="179"/>
      <c r="K6" s="179"/>
    </row>
    <row r="7" spans="1:13" ht="16.5" thickBot="1" x14ac:dyDescent="0.3">
      <c r="A7" s="178" t="s">
        <v>70</v>
      </c>
      <c r="B7" s="178"/>
      <c r="C7" s="178"/>
      <c r="D7" s="179" t="s">
        <v>114</v>
      </c>
      <c r="E7" s="179"/>
      <c r="F7" s="179"/>
      <c r="G7" s="179"/>
      <c r="H7" s="179"/>
      <c r="I7" s="179"/>
      <c r="J7" s="179"/>
      <c r="K7" s="179"/>
    </row>
    <row r="8" spans="1:13" ht="16.149999999999999" thickBot="1" x14ac:dyDescent="0.35">
      <c r="A8" s="182" t="s">
        <v>71</v>
      </c>
      <c r="B8" s="182"/>
      <c r="C8" s="182"/>
      <c r="D8" s="183" t="s">
        <v>115</v>
      </c>
      <c r="E8" s="183"/>
      <c r="F8" s="183"/>
      <c r="G8" s="183"/>
      <c r="H8" s="183"/>
      <c r="I8" s="183"/>
      <c r="J8" s="183"/>
      <c r="K8" s="183"/>
    </row>
    <row r="9" spans="1:13" ht="16.149999999999999" thickBot="1" x14ac:dyDescent="0.35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3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011'!U10</f>
        <v>36</v>
      </c>
      <c r="M12" s="154">
        <f>+J12*K12</f>
        <v>14400</v>
      </c>
    </row>
    <row r="13" spans="1:13" ht="15.6" x14ac:dyDescent="0.3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8" thickBot="1" x14ac:dyDescent="0.35">
      <c r="A14" s="184" t="s">
        <v>128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14400</v>
      </c>
      <c r="K14" s="185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"/>
  <sheetViews>
    <sheetView topLeftCell="A4" workbookViewId="0">
      <selection activeCell="K2" sqref="K2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121</v>
      </c>
    </row>
    <row r="2" spans="1:13" ht="16.149999999999999" thickBot="1" x14ac:dyDescent="0.35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thickBot="1" x14ac:dyDescent="0.3">
      <c r="A3" s="181" t="s">
        <v>66</v>
      </c>
      <c r="B3" s="181"/>
      <c r="C3" s="181"/>
      <c r="D3" s="179" t="str">
        <f>'SAF 011'!C4</f>
        <v>040 - MINISTERIO DE SALUD</v>
      </c>
      <c r="E3" s="179"/>
      <c r="F3" s="179"/>
      <c r="G3" s="179"/>
      <c r="H3" s="179"/>
      <c r="I3" s="179"/>
      <c r="J3" s="179"/>
      <c r="K3" s="179"/>
    </row>
    <row r="4" spans="1:13" ht="16.149999999999999" thickBot="1" x14ac:dyDescent="0.35">
      <c r="A4" s="178" t="s">
        <v>67</v>
      </c>
      <c r="B4" s="178"/>
      <c r="C4" s="178"/>
      <c r="D4" s="179" t="str">
        <f>'SAF 011'!C5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3" ht="16.5" customHeight="1" thickBot="1" x14ac:dyDescent="0.35">
      <c r="A5" s="178" t="s">
        <v>68</v>
      </c>
      <c r="B5" s="178"/>
      <c r="C5" s="178"/>
      <c r="D5" s="179" t="s">
        <v>118</v>
      </c>
      <c r="E5" s="179"/>
      <c r="F5" s="179"/>
      <c r="G5" s="179"/>
      <c r="H5" s="179"/>
      <c r="I5" s="179"/>
      <c r="J5" s="179"/>
      <c r="K5" s="179"/>
    </row>
    <row r="6" spans="1:13" ht="16.149999999999999" thickBot="1" x14ac:dyDescent="0.35">
      <c r="A6" s="181" t="s">
        <v>69</v>
      </c>
      <c r="B6" s="181"/>
      <c r="C6" s="181"/>
      <c r="D6" s="179" t="s">
        <v>129</v>
      </c>
      <c r="E6" s="179"/>
      <c r="F6" s="179"/>
      <c r="G6" s="179"/>
      <c r="H6" s="179"/>
      <c r="I6" s="179"/>
      <c r="J6" s="179"/>
      <c r="K6" s="179"/>
    </row>
    <row r="7" spans="1:13" ht="16.5" thickBot="1" x14ac:dyDescent="0.3">
      <c r="A7" s="178" t="s">
        <v>70</v>
      </c>
      <c r="B7" s="178"/>
      <c r="C7" s="178"/>
      <c r="D7" s="179" t="s">
        <v>114</v>
      </c>
      <c r="E7" s="179"/>
      <c r="F7" s="179"/>
      <c r="G7" s="179"/>
      <c r="H7" s="179"/>
      <c r="I7" s="179"/>
      <c r="J7" s="179"/>
      <c r="K7" s="179"/>
    </row>
    <row r="8" spans="1:13" ht="16.149999999999999" thickBot="1" x14ac:dyDescent="0.35">
      <c r="A8" s="182" t="s">
        <v>71</v>
      </c>
      <c r="B8" s="182"/>
      <c r="C8" s="182"/>
      <c r="D8" s="183" t="s">
        <v>115</v>
      </c>
      <c r="E8" s="183"/>
      <c r="F8" s="183"/>
      <c r="G8" s="183"/>
      <c r="H8" s="183"/>
      <c r="I8" s="183"/>
      <c r="J8" s="183"/>
      <c r="K8" s="183"/>
    </row>
    <row r="9" spans="1:13" ht="16.149999999999999" thickBot="1" x14ac:dyDescent="0.35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3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011'!W10</f>
        <v>30</v>
      </c>
      <c r="M12" s="154">
        <f>+J12*K12</f>
        <v>12000</v>
      </c>
    </row>
    <row r="13" spans="1:13" ht="15.6" x14ac:dyDescent="0.3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8" thickBot="1" x14ac:dyDescent="0.35">
      <c r="A14" s="184" t="s">
        <v>130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12000</v>
      </c>
      <c r="K14" s="185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topLeftCell="A4" workbookViewId="0">
      <selection activeCell="C10" sqref="C10:G11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116</v>
      </c>
    </row>
    <row r="2" spans="1:13" ht="16.5" thickBot="1" x14ac:dyDescent="0.3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thickBot="1" x14ac:dyDescent="0.3">
      <c r="A3" s="181" t="s">
        <v>66</v>
      </c>
      <c r="B3" s="181"/>
      <c r="C3" s="181"/>
      <c r="D3" s="179" t="str">
        <f>'SAF 011'!C4</f>
        <v>040 - MINISTERIO DE SALUD</v>
      </c>
      <c r="E3" s="179"/>
      <c r="F3" s="179"/>
      <c r="G3" s="179"/>
      <c r="H3" s="179"/>
      <c r="I3" s="179"/>
      <c r="J3" s="179"/>
      <c r="K3" s="179"/>
    </row>
    <row r="4" spans="1:13" ht="16.5" thickBot="1" x14ac:dyDescent="0.3">
      <c r="A4" s="178" t="s">
        <v>67</v>
      </c>
      <c r="B4" s="178"/>
      <c r="C4" s="178"/>
      <c r="D4" s="179" t="str">
        <f>'SAF 011'!C5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3" ht="16.5" customHeight="1" thickBot="1" x14ac:dyDescent="0.3">
      <c r="A5" s="178" t="s">
        <v>68</v>
      </c>
      <c r="B5" s="178"/>
      <c r="C5" s="178"/>
      <c r="D5" s="179" t="s">
        <v>118</v>
      </c>
      <c r="E5" s="179"/>
      <c r="F5" s="179"/>
      <c r="G5" s="179"/>
      <c r="H5" s="179"/>
      <c r="I5" s="179"/>
      <c r="J5" s="179"/>
      <c r="K5" s="179"/>
    </row>
    <row r="6" spans="1:13" ht="16.5" thickBot="1" x14ac:dyDescent="0.3">
      <c r="A6" s="181" t="s">
        <v>69</v>
      </c>
      <c r="B6" s="181"/>
      <c r="C6" s="181"/>
      <c r="D6" s="179" t="s">
        <v>129</v>
      </c>
      <c r="E6" s="179"/>
      <c r="F6" s="179"/>
      <c r="G6" s="179"/>
      <c r="H6" s="179"/>
      <c r="I6" s="179"/>
      <c r="J6" s="179"/>
      <c r="K6" s="179"/>
    </row>
    <row r="7" spans="1:13" ht="16.5" thickBot="1" x14ac:dyDescent="0.3">
      <c r="A7" s="178" t="s">
        <v>70</v>
      </c>
      <c r="B7" s="178"/>
      <c r="C7" s="178"/>
      <c r="D7" s="179" t="s">
        <v>114</v>
      </c>
      <c r="E7" s="179"/>
      <c r="F7" s="179"/>
      <c r="G7" s="179"/>
      <c r="H7" s="179"/>
      <c r="I7" s="179"/>
      <c r="J7" s="179"/>
      <c r="K7" s="179"/>
    </row>
    <row r="8" spans="1:13" ht="16.5" thickBot="1" x14ac:dyDescent="0.3">
      <c r="A8" s="182" t="s">
        <v>71</v>
      </c>
      <c r="B8" s="182"/>
      <c r="C8" s="182"/>
      <c r="D8" s="183" t="s">
        <v>115</v>
      </c>
      <c r="E8" s="183"/>
      <c r="F8" s="183"/>
      <c r="G8" s="183"/>
      <c r="H8" s="183"/>
      <c r="I8" s="183"/>
      <c r="J8" s="183"/>
      <c r="K8" s="183"/>
    </row>
    <row r="9" spans="1:13" ht="16.5" thickBot="1" x14ac:dyDescent="0.3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25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011'!Y10</f>
        <v>500</v>
      </c>
      <c r="M12" s="154">
        <f>+J12*K12</f>
        <v>200000</v>
      </c>
    </row>
    <row r="13" spans="1:13" ht="15.75" x14ac:dyDescent="0.25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9.5" thickBot="1" x14ac:dyDescent="0.3">
      <c r="A14" s="184" t="s">
        <v>153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200000</v>
      </c>
      <c r="K14" s="185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4"/>
  <sheetViews>
    <sheetView topLeftCell="A4" workbookViewId="0">
      <selection activeCell="H10" sqref="H10:H11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125</v>
      </c>
    </row>
    <row r="2" spans="1:13" ht="16.149999999999999" thickBot="1" x14ac:dyDescent="0.35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customHeight="1" thickBot="1" x14ac:dyDescent="0.3">
      <c r="A3" s="181" t="s">
        <v>66</v>
      </c>
      <c r="B3" s="181"/>
      <c r="C3" s="181"/>
      <c r="D3" s="150" t="str">
        <f>'SAF 011'!C4</f>
        <v>040 - MINISTERIO DE SALUD</v>
      </c>
      <c r="E3" s="151"/>
      <c r="F3" s="151"/>
      <c r="G3" s="151"/>
      <c r="H3" s="151"/>
      <c r="I3" s="151"/>
      <c r="J3" s="151"/>
      <c r="K3" s="152"/>
    </row>
    <row r="4" spans="1:13" ht="16.5" customHeight="1" thickBot="1" x14ac:dyDescent="0.35">
      <c r="A4" s="178" t="s">
        <v>67</v>
      </c>
      <c r="B4" s="178"/>
      <c r="C4" s="178"/>
      <c r="D4" s="150" t="str">
        <f>'SAF 011'!C5</f>
        <v>011 - DIRECCION PROVINCIAL DE ADMINISTRACION - MINISTERIO DE SALUD</v>
      </c>
      <c r="E4" s="151"/>
      <c r="F4" s="151"/>
      <c r="G4" s="151"/>
      <c r="H4" s="151"/>
      <c r="I4" s="151"/>
      <c r="J4" s="151"/>
      <c r="K4" s="152"/>
    </row>
    <row r="5" spans="1:13" ht="16.5" customHeight="1" thickBot="1" x14ac:dyDescent="0.35">
      <c r="A5" s="178" t="s">
        <v>68</v>
      </c>
      <c r="B5" s="178"/>
      <c r="C5" s="178"/>
      <c r="D5" s="150" t="s">
        <v>118</v>
      </c>
      <c r="E5" s="151"/>
      <c r="F5" s="151"/>
      <c r="G5" s="151"/>
      <c r="H5" s="151"/>
      <c r="I5" s="151"/>
      <c r="J5" s="151"/>
      <c r="K5" s="152"/>
    </row>
    <row r="6" spans="1:13" ht="16.5" customHeight="1" thickBot="1" x14ac:dyDescent="0.35">
      <c r="A6" s="181" t="s">
        <v>69</v>
      </c>
      <c r="B6" s="181"/>
      <c r="C6" s="181"/>
      <c r="D6" s="150" t="s">
        <v>118</v>
      </c>
      <c r="E6" s="151"/>
      <c r="F6" s="151"/>
      <c r="G6" s="151"/>
      <c r="H6" s="151"/>
      <c r="I6" s="151"/>
      <c r="J6" s="151"/>
      <c r="K6" s="152"/>
    </row>
    <row r="7" spans="1:13" ht="16.5" thickBot="1" x14ac:dyDescent="0.3">
      <c r="A7" s="178" t="s">
        <v>70</v>
      </c>
      <c r="B7" s="178"/>
      <c r="C7" s="178"/>
      <c r="D7" s="150" t="s">
        <v>114</v>
      </c>
      <c r="E7" s="151"/>
      <c r="F7" s="151"/>
      <c r="G7" s="151"/>
      <c r="H7" s="151"/>
      <c r="I7" s="151"/>
      <c r="J7" s="151"/>
      <c r="K7" s="152"/>
    </row>
    <row r="8" spans="1:13" ht="16.5" customHeight="1" thickBot="1" x14ac:dyDescent="0.35">
      <c r="A8" s="182" t="s">
        <v>71</v>
      </c>
      <c r="B8" s="182"/>
      <c r="C8" s="182"/>
      <c r="D8" s="153" t="s">
        <v>115</v>
      </c>
      <c r="E8" s="151"/>
      <c r="F8" s="151"/>
      <c r="G8" s="151"/>
      <c r="H8" s="151"/>
      <c r="I8" s="151"/>
      <c r="J8" s="151"/>
      <c r="K8" s="152"/>
    </row>
    <row r="9" spans="1:13" ht="16.149999999999999" thickBot="1" x14ac:dyDescent="0.35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3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011'!AC10</f>
        <v>200</v>
      </c>
      <c r="M12" s="154">
        <f>+J12*K12</f>
        <v>80000</v>
      </c>
    </row>
    <row r="13" spans="1:13" ht="15.6" x14ac:dyDescent="0.3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8" thickBot="1" x14ac:dyDescent="0.35">
      <c r="A14" s="184" t="s">
        <v>131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80000</v>
      </c>
      <c r="K14" s="185"/>
    </row>
  </sheetData>
  <mergeCells count="18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2"/>
  <sheetViews>
    <sheetView workbookViewId="0">
      <selection activeCell="A11" sqref="A11"/>
    </sheetView>
  </sheetViews>
  <sheetFormatPr baseColWidth="10" defaultRowHeight="15" x14ac:dyDescent="0.25"/>
  <cols>
    <col min="1" max="5" width="4.42578125" customWidth="1"/>
    <col min="6" max="6" width="10.28515625" customWidth="1"/>
    <col min="7" max="14" width="4.42578125" customWidth="1"/>
    <col min="15" max="16" width="14.85546875" customWidth="1"/>
    <col min="17" max="17" width="14.7109375" style="148" customWidth="1"/>
  </cols>
  <sheetData>
    <row r="1" spans="1:17" ht="15.75" thickBot="1" x14ac:dyDescent="0.3">
      <c r="A1" s="193" t="s">
        <v>5</v>
      </c>
      <c r="B1" s="193"/>
      <c r="C1" s="193"/>
      <c r="D1" s="194">
        <v>2022</v>
      </c>
      <c r="E1" s="194"/>
      <c r="F1" s="95"/>
      <c r="G1" s="95"/>
      <c r="H1" s="96"/>
      <c r="I1" s="96"/>
      <c r="J1" s="96"/>
      <c r="K1" s="96"/>
      <c r="L1" s="96"/>
      <c r="M1" s="96"/>
      <c r="N1" s="96"/>
      <c r="O1" s="97"/>
      <c r="P1" s="195" t="s">
        <v>79</v>
      </c>
      <c r="Q1" s="195"/>
    </row>
    <row r="2" spans="1:17" ht="15.75" thickBot="1" x14ac:dyDescent="0.3">
      <c r="A2" s="98"/>
      <c r="B2" s="99"/>
      <c r="C2" s="99"/>
      <c r="D2" s="99"/>
      <c r="E2" s="99"/>
      <c r="F2" s="99"/>
      <c r="G2" s="100"/>
      <c r="H2" s="101"/>
      <c r="I2" s="101"/>
      <c r="J2" s="101"/>
      <c r="K2" s="101"/>
      <c r="L2" s="101"/>
      <c r="M2" s="101"/>
      <c r="N2" s="101"/>
      <c r="O2" s="99"/>
      <c r="P2" s="195"/>
      <c r="Q2" s="195"/>
    </row>
    <row r="3" spans="1:17" thickBot="1" x14ac:dyDescent="0.35">
      <c r="A3" s="98"/>
      <c r="B3" s="99"/>
      <c r="C3" s="99"/>
      <c r="D3" s="99"/>
      <c r="E3" s="99"/>
      <c r="F3" s="99"/>
      <c r="G3" s="100"/>
      <c r="H3" s="99"/>
      <c r="I3" s="99"/>
      <c r="J3" s="99"/>
      <c r="K3" s="99"/>
      <c r="L3" s="99"/>
      <c r="M3" s="99"/>
      <c r="N3" s="99"/>
      <c r="O3" s="99"/>
      <c r="P3" s="99"/>
      <c r="Q3" s="158"/>
    </row>
    <row r="4" spans="1:17" ht="15.75" thickBot="1" x14ac:dyDescent="0.3">
      <c r="A4" s="196" t="s">
        <v>80</v>
      </c>
      <c r="B4" s="196"/>
      <c r="C4" s="196"/>
      <c r="D4" s="196"/>
      <c r="E4" s="196"/>
      <c r="F4" s="196"/>
      <c r="G4" s="197" t="str">
        <f>'NP SASP'!D3</f>
        <v>040 - MINISTERIO DE SALUD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17" thickBot="1" x14ac:dyDescent="0.35">
      <c r="A5" s="198" t="s">
        <v>67</v>
      </c>
      <c r="B5" s="198"/>
      <c r="C5" s="198"/>
      <c r="D5" s="198"/>
      <c r="E5" s="198"/>
      <c r="F5" s="198"/>
      <c r="G5" s="197" t="str">
        <f>'NP SASP'!D4</f>
        <v>011 - DIRECCION PROVINCIAL DE ADMINISTRACION - MINISTERIO DE SALUD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thickBot="1" x14ac:dyDescent="0.35">
      <c r="A6" s="198" t="s">
        <v>68</v>
      </c>
      <c r="B6" s="198"/>
      <c r="C6" s="198"/>
      <c r="D6" s="198"/>
      <c r="E6" s="198"/>
      <c r="F6" s="198"/>
      <c r="G6" s="197" t="str">
        <f>'NP SASP'!D5</f>
        <v>SECRETARIA DE ASISTENCIA EN SALUD PUBLICA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thickBot="1" x14ac:dyDescent="0.35">
      <c r="A7" s="198" t="s">
        <v>69</v>
      </c>
      <c r="B7" s="198"/>
      <c r="C7" s="198"/>
      <c r="D7" s="198"/>
      <c r="E7" s="198"/>
      <c r="F7" s="198"/>
      <c r="G7" s="197" t="str">
        <f>'NP SASP'!D6</f>
        <v>SECRETARIA DE ASISTENCIA EN SALUD PUBLICA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ht="15.75" thickBot="1" x14ac:dyDescent="0.3">
      <c r="A8" s="199" t="s">
        <v>81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</row>
    <row r="9" spans="1:17" ht="20.25" customHeight="1" x14ac:dyDescent="0.25">
      <c r="A9" s="192" t="s">
        <v>82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</row>
    <row r="10" spans="1:17" ht="76.5" customHeight="1" x14ac:dyDescent="0.25">
      <c r="A10" s="201" t="s">
        <v>159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</row>
    <row r="11" spans="1:17" thickBot="1" x14ac:dyDescent="0.35">
      <c r="A11" s="103"/>
      <c r="B11" s="104"/>
      <c r="C11" s="104"/>
      <c r="D11" s="104"/>
      <c r="E11" s="104"/>
      <c r="F11" s="104"/>
      <c r="G11" s="105"/>
      <c r="H11" s="104"/>
      <c r="I11" s="104"/>
      <c r="J11" s="104"/>
      <c r="K11" s="104"/>
      <c r="L11" s="104"/>
      <c r="M11" s="104"/>
      <c r="N11" s="104"/>
      <c r="O11" s="104"/>
      <c r="P11" s="104"/>
      <c r="Q11" s="159"/>
    </row>
    <row r="12" spans="1:17" ht="15.75" thickBot="1" x14ac:dyDescent="0.3">
      <c r="A12" s="202" t="s">
        <v>83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</row>
    <row r="13" spans="1:17" ht="15.75" thickBot="1" x14ac:dyDescent="0.3">
      <c r="A13" s="203" t="s">
        <v>84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 t="s">
        <v>85</v>
      </c>
      <c r="P13" s="204"/>
      <c r="Q13" s="205" t="s">
        <v>86</v>
      </c>
    </row>
    <row r="14" spans="1:17" ht="15.75" thickBot="1" x14ac:dyDescent="0.3">
      <c r="A14" s="107" t="s">
        <v>87</v>
      </c>
      <c r="B14" s="108" t="s">
        <v>88</v>
      </c>
      <c r="C14" s="108" t="s">
        <v>89</v>
      </c>
      <c r="D14" s="108" t="s">
        <v>90</v>
      </c>
      <c r="E14" s="108" t="s">
        <v>91</v>
      </c>
      <c r="F14" s="108" t="s">
        <v>92</v>
      </c>
      <c r="G14" s="109" t="s">
        <v>93</v>
      </c>
      <c r="H14" s="108" t="s">
        <v>94</v>
      </c>
      <c r="I14" s="108" t="s">
        <v>95</v>
      </c>
      <c r="J14" s="108" t="s">
        <v>96</v>
      </c>
      <c r="K14" s="108" t="s">
        <v>96</v>
      </c>
      <c r="L14" s="108" t="s">
        <v>97</v>
      </c>
      <c r="M14" s="110" t="s">
        <v>98</v>
      </c>
      <c r="N14" s="111" t="s">
        <v>99</v>
      </c>
      <c r="O14" s="204"/>
      <c r="P14" s="204"/>
      <c r="Q14" s="205"/>
    </row>
    <row r="15" spans="1:17" ht="14.45" x14ac:dyDescent="0.3">
      <c r="A15" s="112">
        <v>62</v>
      </c>
      <c r="B15" s="113"/>
      <c r="C15" s="113"/>
      <c r="D15" s="113">
        <v>1</v>
      </c>
      <c r="E15" s="113"/>
      <c r="F15" s="113">
        <v>4901</v>
      </c>
      <c r="G15" s="113">
        <v>3</v>
      </c>
      <c r="H15" s="113">
        <v>1</v>
      </c>
      <c r="I15" s="113">
        <v>2</v>
      </c>
      <c r="J15" s="113">
        <v>1</v>
      </c>
      <c r="K15" s="113">
        <v>1</v>
      </c>
      <c r="L15" s="113"/>
      <c r="M15" s="114">
        <v>1</v>
      </c>
      <c r="N15" s="113" t="s">
        <v>132</v>
      </c>
      <c r="O15" s="206" t="s">
        <v>133</v>
      </c>
      <c r="P15" s="206"/>
      <c r="Q15" s="160">
        <f>'NP LABORATORIO'!M12</f>
        <v>19200</v>
      </c>
    </row>
    <row r="16" spans="1:17" x14ac:dyDescent="0.25">
      <c r="A16" s="116">
        <v>27</v>
      </c>
      <c r="B16" s="117"/>
      <c r="C16" s="117"/>
      <c r="D16" s="117">
        <v>1</v>
      </c>
      <c r="E16" s="117"/>
      <c r="F16" s="117">
        <v>4901</v>
      </c>
      <c r="G16" s="117">
        <v>3</v>
      </c>
      <c r="H16" s="117">
        <v>1</v>
      </c>
      <c r="I16" s="117">
        <v>2</v>
      </c>
      <c r="J16" s="117">
        <v>1</v>
      </c>
      <c r="K16" s="117">
        <v>1</v>
      </c>
      <c r="L16" s="117"/>
      <c r="M16" s="118">
        <v>1</v>
      </c>
      <c r="N16" s="119" t="s">
        <v>132</v>
      </c>
      <c r="O16" s="200" t="s">
        <v>133</v>
      </c>
      <c r="P16" s="200"/>
      <c r="Q16" s="161">
        <f>'NP BANCO DE SANGRE'!M12</f>
        <v>4000</v>
      </c>
    </row>
    <row r="17" spans="1:17" ht="14.45" customHeight="1" x14ac:dyDescent="0.25">
      <c r="A17" s="116">
        <v>47</v>
      </c>
      <c r="B17" s="117"/>
      <c r="C17" s="117"/>
      <c r="D17" s="117">
        <v>1</v>
      </c>
      <c r="E17" s="117"/>
      <c r="F17" s="117">
        <v>4901</v>
      </c>
      <c r="G17" s="117">
        <v>3</v>
      </c>
      <c r="H17" s="117">
        <v>1</v>
      </c>
      <c r="I17" s="117">
        <v>2</v>
      </c>
      <c r="J17" s="117">
        <v>1</v>
      </c>
      <c r="K17" s="117">
        <v>1</v>
      </c>
      <c r="L17" s="117"/>
      <c r="M17" s="118">
        <v>1</v>
      </c>
      <c r="N17" s="155" t="s">
        <v>132</v>
      </c>
      <c r="O17" s="200" t="s">
        <v>133</v>
      </c>
      <c r="P17" s="200"/>
      <c r="Q17" s="161">
        <f>'NP APS'!M12</f>
        <v>40000</v>
      </c>
    </row>
    <row r="18" spans="1:17" x14ac:dyDescent="0.25">
      <c r="A18" s="116">
        <v>29</v>
      </c>
      <c r="B18" s="117"/>
      <c r="C18" s="117"/>
      <c r="D18" s="117">
        <v>1</v>
      </c>
      <c r="E18" s="117"/>
      <c r="F18" s="117">
        <v>4901</v>
      </c>
      <c r="G18" s="117">
        <v>3</v>
      </c>
      <c r="H18" s="117">
        <v>1</v>
      </c>
      <c r="I18" s="117">
        <v>2</v>
      </c>
      <c r="J18" s="117">
        <v>1</v>
      </c>
      <c r="K18" s="117">
        <v>1</v>
      </c>
      <c r="L18" s="117"/>
      <c r="M18" s="118">
        <v>1</v>
      </c>
      <c r="N18" s="155" t="s">
        <v>132</v>
      </c>
      <c r="O18" s="200" t="s">
        <v>133</v>
      </c>
      <c r="P18" s="200"/>
      <c r="Q18" s="161">
        <f>'NP ODONTOLOGIA'!M12</f>
        <v>14400</v>
      </c>
    </row>
    <row r="19" spans="1:17" x14ac:dyDescent="0.25">
      <c r="A19" s="116">
        <v>31</v>
      </c>
      <c r="B19" s="117"/>
      <c r="C19" s="117"/>
      <c r="D19" s="117">
        <v>1</v>
      </c>
      <c r="E19" s="117"/>
      <c r="F19" s="117">
        <v>4901</v>
      </c>
      <c r="G19" s="117">
        <v>3</v>
      </c>
      <c r="H19" s="117">
        <v>1</v>
      </c>
      <c r="I19" s="117">
        <v>2</v>
      </c>
      <c r="J19" s="117">
        <v>1</v>
      </c>
      <c r="K19" s="117">
        <v>1</v>
      </c>
      <c r="L19" s="117"/>
      <c r="M19" s="118">
        <v>1</v>
      </c>
      <c r="N19" s="155" t="s">
        <v>132</v>
      </c>
      <c r="O19" s="200" t="s">
        <v>133</v>
      </c>
      <c r="P19" s="200"/>
      <c r="Q19" s="161">
        <f>'NP SAME'!M12</f>
        <v>12000</v>
      </c>
    </row>
    <row r="20" spans="1:17" x14ac:dyDescent="0.25">
      <c r="A20" s="116">
        <v>53</v>
      </c>
      <c r="B20" s="117"/>
      <c r="C20" s="117"/>
      <c r="D20" s="117">
        <v>1</v>
      </c>
      <c r="E20" s="117"/>
      <c r="F20" s="117">
        <v>4901</v>
      </c>
      <c r="G20" s="117">
        <v>3</v>
      </c>
      <c r="H20" s="117">
        <v>1</v>
      </c>
      <c r="I20" s="117">
        <v>2</v>
      </c>
      <c r="J20" s="117">
        <v>1</v>
      </c>
      <c r="K20" s="117">
        <v>1</v>
      </c>
      <c r="L20" s="117"/>
      <c r="M20" s="118">
        <v>1</v>
      </c>
      <c r="N20" s="155" t="s">
        <v>132</v>
      </c>
      <c r="O20" s="200" t="s">
        <v>133</v>
      </c>
      <c r="P20" s="200"/>
      <c r="Q20" s="161">
        <f>'NP MALBRAN'!M12</f>
        <v>200000</v>
      </c>
    </row>
    <row r="21" spans="1:17" x14ac:dyDescent="0.25">
      <c r="A21" s="116">
        <v>3</v>
      </c>
      <c r="B21" s="117"/>
      <c r="C21" s="117"/>
      <c r="D21" s="117">
        <v>1</v>
      </c>
      <c r="E21" s="117"/>
      <c r="F21" s="117">
        <v>4901</v>
      </c>
      <c r="G21" s="117">
        <v>1</v>
      </c>
      <c r="H21" s="117">
        <v>3</v>
      </c>
      <c r="I21" s="117">
        <v>2</v>
      </c>
      <c r="J21" s="117">
        <v>1</v>
      </c>
      <c r="K21" s="117">
        <v>1</v>
      </c>
      <c r="L21" s="117"/>
      <c r="M21" s="118">
        <v>1</v>
      </c>
      <c r="N21" s="155" t="s">
        <v>132</v>
      </c>
      <c r="O21" s="200" t="s">
        <v>133</v>
      </c>
      <c r="P21" s="200"/>
      <c r="Q21" s="161">
        <f>'NP SASP'!M12</f>
        <v>80000</v>
      </c>
    </row>
    <row r="22" spans="1:17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9"/>
      <c r="O22" s="207"/>
      <c r="P22" s="207"/>
      <c r="Q22" s="161"/>
    </row>
    <row r="23" spans="1:17" ht="14.45" x14ac:dyDescent="0.3">
      <c r="A23" s="116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8"/>
      <c r="N23" s="119"/>
      <c r="O23" s="207"/>
      <c r="P23" s="207"/>
      <c r="Q23" s="161"/>
    </row>
    <row r="24" spans="1:17" ht="14.45" x14ac:dyDescent="0.3">
      <c r="A24" s="116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8"/>
      <c r="N24" s="119"/>
      <c r="O24" s="207"/>
      <c r="P24" s="207"/>
      <c r="Q24" s="161"/>
    </row>
    <row r="25" spans="1:17" ht="14.45" x14ac:dyDescent="0.3">
      <c r="A25" s="116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8"/>
      <c r="N25" s="119"/>
      <c r="O25" s="207"/>
      <c r="P25" s="207"/>
      <c r="Q25" s="161"/>
    </row>
    <row r="26" spans="1:17" ht="14.45" x14ac:dyDescent="0.3">
      <c r="A26" s="116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8"/>
      <c r="N26" s="119"/>
      <c r="O26" s="207"/>
      <c r="P26" s="207"/>
      <c r="Q26" s="161"/>
    </row>
    <row r="27" spans="1:17" ht="14.45" x14ac:dyDescent="0.3">
      <c r="A27" s="116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8"/>
      <c r="N27" s="119"/>
      <c r="O27" s="207"/>
      <c r="P27" s="207"/>
      <c r="Q27" s="161"/>
    </row>
    <row r="28" spans="1:17" ht="14.45" x14ac:dyDescent="0.3">
      <c r="A28" s="116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8"/>
      <c r="N28" s="119"/>
      <c r="O28" s="207"/>
      <c r="P28" s="207"/>
      <c r="Q28" s="161"/>
    </row>
    <row r="29" spans="1:17" ht="14.45" x14ac:dyDescent="0.3">
      <c r="A29" s="116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8"/>
      <c r="N29" s="119"/>
      <c r="O29" s="207"/>
      <c r="P29" s="207"/>
      <c r="Q29" s="161"/>
    </row>
    <row r="30" spans="1:17" ht="14.45" x14ac:dyDescent="0.3">
      <c r="A30" s="116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8"/>
      <c r="N30" s="119"/>
      <c r="O30" s="207"/>
      <c r="P30" s="207"/>
      <c r="Q30" s="161"/>
    </row>
    <row r="31" spans="1:17" ht="14.45" x14ac:dyDescent="0.3">
      <c r="A31" s="11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8"/>
      <c r="N31" s="119"/>
      <c r="O31" s="207"/>
      <c r="P31" s="207"/>
      <c r="Q31" s="161"/>
    </row>
    <row r="32" spans="1:17" ht="14.45" x14ac:dyDescent="0.3">
      <c r="A32" s="116"/>
      <c r="B32" s="117"/>
      <c r="C32" s="117"/>
      <c r="D32" s="117"/>
      <c r="E32" s="117"/>
      <c r="F32" s="119"/>
      <c r="G32" s="117"/>
      <c r="H32" s="117"/>
      <c r="I32" s="117"/>
      <c r="J32" s="117"/>
      <c r="K32" s="117"/>
      <c r="L32" s="117"/>
      <c r="M32" s="118"/>
      <c r="N32" s="119"/>
      <c r="O32" s="200"/>
      <c r="P32" s="200"/>
      <c r="Q32" s="161"/>
    </row>
    <row r="33" spans="1:17" ht="14.45" x14ac:dyDescent="0.3">
      <c r="A33" s="116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8"/>
      <c r="N33" s="119"/>
      <c r="O33" s="200"/>
      <c r="P33" s="200"/>
      <c r="Q33" s="161"/>
    </row>
    <row r="34" spans="1:17" x14ac:dyDescent="0.25">
      <c r="A34" s="116"/>
      <c r="B34" s="117"/>
      <c r="C34" s="117"/>
      <c r="D34" s="117"/>
      <c r="E34" s="117"/>
      <c r="F34" s="119"/>
      <c r="G34" s="117"/>
      <c r="H34" s="117"/>
      <c r="I34" s="117"/>
      <c r="J34" s="117"/>
      <c r="K34" s="117"/>
      <c r="L34" s="117"/>
      <c r="M34" s="118"/>
      <c r="N34" s="119"/>
      <c r="O34" s="200"/>
      <c r="P34" s="200"/>
      <c r="Q34" s="161"/>
    </row>
    <row r="35" spans="1:17" x14ac:dyDescent="0.25">
      <c r="A35" s="116"/>
      <c r="B35" s="117"/>
      <c r="C35" s="117"/>
      <c r="D35" s="117"/>
      <c r="E35" s="117"/>
      <c r="F35" s="119"/>
      <c r="G35" s="117"/>
      <c r="H35" s="117"/>
      <c r="I35" s="117"/>
      <c r="J35" s="117"/>
      <c r="K35" s="117"/>
      <c r="L35" s="117"/>
      <c r="M35" s="118"/>
      <c r="N35" s="119"/>
      <c r="O35" s="200"/>
      <c r="P35" s="200"/>
      <c r="Q35" s="161"/>
    </row>
    <row r="36" spans="1:17" x14ac:dyDescent="0.25">
      <c r="A36" s="121"/>
      <c r="B36" s="122"/>
      <c r="C36" s="122"/>
      <c r="D36" s="122"/>
      <c r="E36" s="122"/>
      <c r="F36" s="123"/>
      <c r="G36" s="122"/>
      <c r="H36" s="122"/>
      <c r="I36" s="122"/>
      <c r="J36" s="122"/>
      <c r="K36" s="122"/>
      <c r="L36" s="122"/>
      <c r="M36" s="124"/>
      <c r="N36" s="125"/>
      <c r="O36" s="211"/>
      <c r="P36" s="211"/>
      <c r="Q36" s="161"/>
    </row>
    <row r="37" spans="1:17" ht="15.75" thickBot="1" x14ac:dyDescent="0.3">
      <c r="A37" s="126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8"/>
      <c r="N37" s="127"/>
      <c r="O37" s="212"/>
      <c r="P37" s="212"/>
      <c r="Q37" s="162"/>
    </row>
    <row r="38" spans="1:17" ht="15.75" thickBot="1" x14ac:dyDescent="0.3">
      <c r="A38" s="213" t="s">
        <v>134</v>
      </c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163">
        <f>SUM(Q15:Q37)</f>
        <v>369600</v>
      </c>
    </row>
    <row r="39" spans="1:17" ht="15.75" thickBot="1" x14ac:dyDescent="0.3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</row>
    <row r="40" spans="1:17" ht="15.75" thickBot="1" x14ac:dyDescent="0.3">
      <c r="A40" s="208" t="s">
        <v>100</v>
      </c>
      <c r="B40" s="208"/>
      <c r="C40" s="208"/>
      <c r="D40" s="208"/>
      <c r="E40" s="208"/>
      <c r="F40" s="208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</row>
    <row r="41" spans="1:17" ht="15.75" thickBot="1" x14ac:dyDescent="0.3">
      <c r="A41" s="210" t="str">
        <f>'NP SASP'!D8</f>
        <v>ADQUISICION DEL RUBRO ALIMENTOS PARA PERSONAS (BIDONES DE AGUA)</v>
      </c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</row>
    <row r="42" spans="1:17" ht="15.75" thickBot="1" x14ac:dyDescent="0.3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4"/>
  <sheetViews>
    <sheetView workbookViewId="0">
      <selection activeCell="D7" sqref="D7:K7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137</v>
      </c>
    </row>
    <row r="2" spans="1:13" ht="16.149999999999999" thickBot="1" x14ac:dyDescent="0.35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thickBot="1" x14ac:dyDescent="0.3">
      <c r="A3" s="181" t="s">
        <v>66</v>
      </c>
      <c r="B3" s="181"/>
      <c r="C3" s="181"/>
      <c r="D3" s="179" t="str">
        <f>'SAF 011'!C4</f>
        <v>040 - MINISTERIO DE SALUD</v>
      </c>
      <c r="E3" s="179"/>
      <c r="F3" s="179"/>
      <c r="G3" s="179"/>
      <c r="H3" s="179"/>
      <c r="I3" s="179"/>
      <c r="J3" s="179"/>
      <c r="K3" s="179"/>
    </row>
    <row r="4" spans="1:13" ht="16.149999999999999" thickBot="1" x14ac:dyDescent="0.35">
      <c r="A4" s="178" t="s">
        <v>67</v>
      </c>
      <c r="B4" s="178"/>
      <c r="C4" s="178"/>
      <c r="D4" s="179" t="str">
        <f>'SAF 011'!C5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3" ht="16.149999999999999" thickBot="1" x14ac:dyDescent="0.35">
      <c r="A5" s="178" t="s">
        <v>68</v>
      </c>
      <c r="B5" s="178"/>
      <c r="C5" s="178"/>
      <c r="D5" s="179" t="s">
        <v>135</v>
      </c>
      <c r="E5" s="179"/>
      <c r="F5" s="179"/>
      <c r="G5" s="179"/>
      <c r="H5" s="179"/>
      <c r="I5" s="179"/>
      <c r="J5" s="179"/>
      <c r="K5" s="179"/>
    </row>
    <row r="6" spans="1:13" ht="16.149999999999999" thickBot="1" x14ac:dyDescent="0.35">
      <c r="A6" s="181" t="s">
        <v>69</v>
      </c>
      <c r="B6" s="181"/>
      <c r="C6" s="181"/>
      <c r="D6" s="179" t="s">
        <v>136</v>
      </c>
      <c r="E6" s="179"/>
      <c r="F6" s="179"/>
      <c r="G6" s="179"/>
      <c r="H6" s="179"/>
      <c r="I6" s="179"/>
      <c r="J6" s="179"/>
      <c r="K6" s="179"/>
    </row>
    <row r="7" spans="1:13" ht="16.5" thickBot="1" x14ac:dyDescent="0.3">
      <c r="A7" s="178" t="s">
        <v>70</v>
      </c>
      <c r="B7" s="178"/>
      <c r="C7" s="178"/>
      <c r="D7" s="179" t="s">
        <v>114</v>
      </c>
      <c r="E7" s="179"/>
      <c r="F7" s="179"/>
      <c r="G7" s="179"/>
      <c r="H7" s="179"/>
      <c r="I7" s="179"/>
      <c r="J7" s="179"/>
      <c r="K7" s="179"/>
    </row>
    <row r="8" spans="1:13" ht="16.149999999999999" thickBot="1" x14ac:dyDescent="0.35">
      <c r="A8" s="182" t="s">
        <v>71</v>
      </c>
      <c r="B8" s="182"/>
      <c r="C8" s="182"/>
      <c r="D8" s="183" t="s">
        <v>115</v>
      </c>
      <c r="E8" s="183"/>
      <c r="F8" s="183"/>
      <c r="G8" s="183"/>
      <c r="H8" s="183"/>
      <c r="I8" s="183"/>
      <c r="J8" s="183"/>
      <c r="K8" s="183"/>
    </row>
    <row r="9" spans="1:13" ht="16.149999999999999" thickBot="1" x14ac:dyDescent="0.35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3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011'!Q10</f>
        <v>40</v>
      </c>
      <c r="M12" s="154">
        <f>+J12*K12</f>
        <v>16000</v>
      </c>
    </row>
    <row r="13" spans="1:13" ht="15.6" x14ac:dyDescent="0.3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8" thickBot="1" x14ac:dyDescent="0.35">
      <c r="A14" s="184" t="s">
        <v>138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16000</v>
      </c>
      <c r="K14" s="185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4"/>
  <sheetViews>
    <sheetView topLeftCell="A4" workbookViewId="0">
      <selection activeCell="D7" sqref="D7:K7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140</v>
      </c>
    </row>
    <row r="2" spans="1:13" ht="16.149999999999999" thickBot="1" x14ac:dyDescent="0.35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thickBot="1" x14ac:dyDescent="0.3">
      <c r="A3" s="181" t="s">
        <v>66</v>
      </c>
      <c r="B3" s="181"/>
      <c r="C3" s="181"/>
      <c r="D3" s="179" t="str">
        <f>'SAF 011'!C4</f>
        <v>040 - MINISTERIO DE SALUD</v>
      </c>
      <c r="E3" s="179"/>
      <c r="F3" s="179"/>
      <c r="G3" s="179"/>
      <c r="H3" s="179"/>
      <c r="I3" s="179"/>
      <c r="J3" s="179"/>
      <c r="K3" s="179"/>
    </row>
    <row r="4" spans="1:13" ht="16.149999999999999" thickBot="1" x14ac:dyDescent="0.35">
      <c r="A4" s="178" t="s">
        <v>67</v>
      </c>
      <c r="B4" s="178"/>
      <c r="C4" s="178"/>
      <c r="D4" s="179" t="str">
        <f>'SAF 011'!C5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3" ht="16.5" customHeight="1" thickBot="1" x14ac:dyDescent="0.35">
      <c r="A5" s="178" t="s">
        <v>68</v>
      </c>
      <c r="B5" s="178"/>
      <c r="C5" s="178"/>
      <c r="D5" s="179" t="s">
        <v>135</v>
      </c>
      <c r="E5" s="179"/>
      <c r="F5" s="179"/>
      <c r="G5" s="179"/>
      <c r="H5" s="179"/>
      <c r="I5" s="179"/>
      <c r="J5" s="179"/>
      <c r="K5" s="179"/>
    </row>
    <row r="6" spans="1:13" ht="16.149999999999999" thickBot="1" x14ac:dyDescent="0.35">
      <c r="A6" s="181" t="s">
        <v>69</v>
      </c>
      <c r="B6" s="181"/>
      <c r="C6" s="181"/>
      <c r="D6" s="179" t="s">
        <v>139</v>
      </c>
      <c r="E6" s="179"/>
      <c r="F6" s="179"/>
      <c r="G6" s="179"/>
      <c r="H6" s="179"/>
      <c r="I6" s="179"/>
      <c r="J6" s="179"/>
      <c r="K6" s="179"/>
    </row>
    <row r="7" spans="1:13" ht="16.5" thickBot="1" x14ac:dyDescent="0.3">
      <c r="A7" s="178" t="s">
        <v>70</v>
      </c>
      <c r="B7" s="178"/>
      <c r="C7" s="178"/>
      <c r="D7" s="179" t="s">
        <v>114</v>
      </c>
      <c r="E7" s="179"/>
      <c r="F7" s="179"/>
      <c r="G7" s="179"/>
      <c r="H7" s="179"/>
      <c r="I7" s="179"/>
      <c r="J7" s="179"/>
      <c r="K7" s="179"/>
    </row>
    <row r="8" spans="1:13" ht="16.149999999999999" thickBot="1" x14ac:dyDescent="0.35">
      <c r="A8" s="182" t="s">
        <v>71</v>
      </c>
      <c r="B8" s="182"/>
      <c r="C8" s="182"/>
      <c r="D8" s="183" t="s">
        <v>115</v>
      </c>
      <c r="E8" s="183"/>
      <c r="F8" s="183"/>
      <c r="G8" s="183"/>
      <c r="H8" s="183"/>
      <c r="I8" s="183"/>
      <c r="J8" s="183"/>
      <c r="K8" s="183"/>
    </row>
    <row r="9" spans="1:13" ht="16.149999999999999" thickBot="1" x14ac:dyDescent="0.35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3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011'!AE10</f>
        <v>200</v>
      </c>
      <c r="M12" s="154">
        <f>+J12*K12</f>
        <v>80000</v>
      </c>
    </row>
    <row r="13" spans="1:13" ht="15.6" x14ac:dyDescent="0.3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8" thickBot="1" x14ac:dyDescent="0.35">
      <c r="A14" s="184" t="s">
        <v>131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80000</v>
      </c>
      <c r="K14" s="185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4"/>
  <sheetViews>
    <sheetView workbookViewId="0">
      <selection activeCell="I10" sqref="I10:I11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125</v>
      </c>
    </row>
    <row r="2" spans="1:13" ht="16.149999999999999" thickBot="1" x14ac:dyDescent="0.35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thickBot="1" x14ac:dyDescent="0.3">
      <c r="A3" s="181" t="s">
        <v>66</v>
      </c>
      <c r="B3" s="181"/>
      <c r="C3" s="181"/>
      <c r="D3" s="179" t="str">
        <f>'SAF 011'!C4</f>
        <v>040 - MINISTERIO DE SALUD</v>
      </c>
      <c r="E3" s="179"/>
      <c r="F3" s="179"/>
      <c r="G3" s="179"/>
      <c r="H3" s="179"/>
      <c r="I3" s="179"/>
      <c r="J3" s="179"/>
      <c r="K3" s="179"/>
    </row>
    <row r="4" spans="1:13" ht="16.149999999999999" thickBot="1" x14ac:dyDescent="0.35">
      <c r="A4" s="178" t="s">
        <v>67</v>
      </c>
      <c r="B4" s="178"/>
      <c r="C4" s="178"/>
      <c r="D4" s="179" t="str">
        <f>'SAF 011'!C5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3" ht="16.5" customHeight="1" thickBot="1" x14ac:dyDescent="0.35">
      <c r="A5" s="178" t="s">
        <v>68</v>
      </c>
      <c r="B5" s="178"/>
      <c r="C5" s="178"/>
      <c r="D5" s="179" t="s">
        <v>135</v>
      </c>
      <c r="E5" s="179"/>
      <c r="F5" s="179"/>
      <c r="G5" s="179"/>
      <c r="H5" s="179"/>
      <c r="I5" s="179"/>
      <c r="J5" s="179"/>
      <c r="K5" s="179"/>
    </row>
    <row r="6" spans="1:13" ht="16.149999999999999" thickBot="1" x14ac:dyDescent="0.35">
      <c r="A6" s="181" t="s">
        <v>69</v>
      </c>
      <c r="B6" s="181"/>
      <c r="C6" s="181"/>
      <c r="D6" s="179" t="s">
        <v>141</v>
      </c>
      <c r="E6" s="179"/>
      <c r="F6" s="179"/>
      <c r="G6" s="179"/>
      <c r="H6" s="179"/>
      <c r="I6" s="179"/>
      <c r="J6" s="179"/>
      <c r="K6" s="179"/>
    </row>
    <row r="7" spans="1:13" ht="16.5" thickBot="1" x14ac:dyDescent="0.3">
      <c r="A7" s="178" t="s">
        <v>70</v>
      </c>
      <c r="B7" s="178"/>
      <c r="C7" s="178"/>
      <c r="D7" s="179" t="s">
        <v>114</v>
      </c>
      <c r="E7" s="179"/>
      <c r="F7" s="179"/>
      <c r="G7" s="179"/>
      <c r="H7" s="179"/>
      <c r="I7" s="179"/>
      <c r="J7" s="179"/>
      <c r="K7" s="179"/>
    </row>
    <row r="8" spans="1:13" ht="16.149999999999999" thickBot="1" x14ac:dyDescent="0.35">
      <c r="A8" s="182" t="s">
        <v>71</v>
      </c>
      <c r="B8" s="182"/>
      <c r="C8" s="182"/>
      <c r="D8" s="183" t="s">
        <v>115</v>
      </c>
      <c r="E8" s="183"/>
      <c r="F8" s="183"/>
      <c r="G8" s="183"/>
      <c r="H8" s="183"/>
      <c r="I8" s="183"/>
      <c r="J8" s="183"/>
      <c r="K8" s="183"/>
    </row>
    <row r="9" spans="1:13" ht="16.149999999999999" thickBot="1" x14ac:dyDescent="0.35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3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011'!AI10</f>
        <v>100</v>
      </c>
      <c r="M12" s="154">
        <f>+J12*K12</f>
        <v>40000</v>
      </c>
    </row>
    <row r="13" spans="1:13" ht="15.6" x14ac:dyDescent="0.3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9.5" thickBot="1" x14ac:dyDescent="0.3">
      <c r="A14" s="184" t="s">
        <v>124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40000</v>
      </c>
      <c r="K14" s="185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4"/>
  <sheetViews>
    <sheetView topLeftCell="A4" workbookViewId="0">
      <selection activeCell="K12" sqref="K12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137</v>
      </c>
    </row>
    <row r="2" spans="1:13" ht="16.149999999999999" thickBot="1" x14ac:dyDescent="0.35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thickBot="1" x14ac:dyDescent="0.3">
      <c r="A3" s="181" t="s">
        <v>66</v>
      </c>
      <c r="B3" s="181"/>
      <c r="C3" s="181"/>
      <c r="D3" s="179" t="str">
        <f>'SAF 011'!C4</f>
        <v>040 - MINISTERIO DE SALUD</v>
      </c>
      <c r="E3" s="179"/>
      <c r="F3" s="179"/>
      <c r="G3" s="179"/>
      <c r="H3" s="179"/>
      <c r="I3" s="179"/>
      <c r="J3" s="179"/>
      <c r="K3" s="179"/>
    </row>
    <row r="4" spans="1:13" ht="16.149999999999999" thickBot="1" x14ac:dyDescent="0.35">
      <c r="A4" s="178" t="s">
        <v>67</v>
      </c>
      <c r="B4" s="178"/>
      <c r="C4" s="178"/>
      <c r="D4" s="179" t="str">
        <f>'SAF 011'!C5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3" ht="16.5" customHeight="1" thickBot="1" x14ac:dyDescent="0.35">
      <c r="A5" s="178" t="s">
        <v>68</v>
      </c>
      <c r="B5" s="178"/>
      <c r="C5" s="178"/>
      <c r="D5" s="179" t="s">
        <v>135</v>
      </c>
      <c r="E5" s="179"/>
      <c r="F5" s="179"/>
      <c r="G5" s="179"/>
      <c r="H5" s="179"/>
      <c r="I5" s="179"/>
      <c r="J5" s="179"/>
      <c r="K5" s="179"/>
    </row>
    <row r="6" spans="1:13" ht="16.149999999999999" thickBot="1" x14ac:dyDescent="0.35">
      <c r="A6" s="181" t="s">
        <v>69</v>
      </c>
      <c r="B6" s="181"/>
      <c r="C6" s="181"/>
      <c r="D6" s="179" t="s">
        <v>142</v>
      </c>
      <c r="E6" s="179"/>
      <c r="F6" s="179"/>
      <c r="G6" s="179"/>
      <c r="H6" s="179"/>
      <c r="I6" s="179"/>
      <c r="J6" s="179"/>
      <c r="K6" s="179"/>
    </row>
    <row r="7" spans="1:13" ht="16.5" thickBot="1" x14ac:dyDescent="0.3">
      <c r="A7" s="178" t="s">
        <v>70</v>
      </c>
      <c r="B7" s="178"/>
      <c r="C7" s="178"/>
      <c r="D7" s="179" t="s">
        <v>114</v>
      </c>
      <c r="E7" s="179"/>
      <c r="F7" s="179"/>
      <c r="G7" s="179"/>
      <c r="H7" s="179"/>
      <c r="I7" s="179"/>
      <c r="J7" s="179"/>
      <c r="K7" s="179"/>
    </row>
    <row r="8" spans="1:13" ht="16.149999999999999" thickBot="1" x14ac:dyDescent="0.35">
      <c r="A8" s="182" t="s">
        <v>71</v>
      </c>
      <c r="B8" s="182"/>
      <c r="C8" s="182"/>
      <c r="D8" s="183" t="s">
        <v>115</v>
      </c>
      <c r="E8" s="183"/>
      <c r="F8" s="183"/>
      <c r="G8" s="183"/>
      <c r="H8" s="183"/>
      <c r="I8" s="183"/>
      <c r="J8" s="183"/>
      <c r="K8" s="183"/>
    </row>
    <row r="9" spans="1:13" ht="16.149999999999999" thickBot="1" x14ac:dyDescent="0.35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3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011'!AG10</f>
        <v>100</v>
      </c>
      <c r="M12" s="154">
        <f>+J12*K12</f>
        <v>40000</v>
      </c>
    </row>
    <row r="13" spans="1:13" ht="15.6" x14ac:dyDescent="0.3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8" thickBot="1" x14ac:dyDescent="0.35">
      <c r="A14" s="184" t="s">
        <v>124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40000</v>
      </c>
      <c r="K14" s="185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4"/>
  <sheetViews>
    <sheetView workbookViewId="0">
      <selection activeCell="H7" sqref="H7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125</v>
      </c>
    </row>
    <row r="2" spans="1:13" ht="16.149999999999999" thickBot="1" x14ac:dyDescent="0.35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customHeight="1" thickBot="1" x14ac:dyDescent="0.3">
      <c r="A3" s="181" t="s">
        <v>66</v>
      </c>
      <c r="B3" s="181"/>
      <c r="C3" s="181"/>
      <c r="D3" s="150" t="str">
        <f>'SAF 011'!C4</f>
        <v>040 - MINISTERIO DE SALUD</v>
      </c>
      <c r="E3" s="151"/>
      <c r="F3" s="151"/>
      <c r="G3" s="151"/>
      <c r="H3" s="151"/>
      <c r="I3" s="151"/>
      <c r="J3" s="151"/>
      <c r="K3" s="152"/>
    </row>
    <row r="4" spans="1:13" ht="16.5" customHeight="1" thickBot="1" x14ac:dyDescent="0.35">
      <c r="A4" s="178" t="s">
        <v>67</v>
      </c>
      <c r="B4" s="178"/>
      <c r="C4" s="178"/>
      <c r="D4" s="150" t="str">
        <f>'SAF 011'!C5</f>
        <v>011 - DIRECCION PROVINCIAL DE ADMINISTRACION - MINISTERIO DE SALUD</v>
      </c>
      <c r="E4" s="151"/>
      <c r="F4" s="151"/>
      <c r="G4" s="151"/>
      <c r="H4" s="151"/>
      <c r="I4" s="151"/>
      <c r="J4" s="151"/>
      <c r="K4" s="152"/>
    </row>
    <row r="5" spans="1:13" ht="16.5" customHeight="1" thickBot="1" x14ac:dyDescent="0.35">
      <c r="A5" s="178" t="s">
        <v>68</v>
      </c>
      <c r="B5" s="178"/>
      <c r="C5" s="178"/>
      <c r="D5" s="150" t="s">
        <v>135</v>
      </c>
      <c r="E5" s="151"/>
      <c r="F5" s="151"/>
      <c r="G5" s="151"/>
      <c r="H5" s="151"/>
      <c r="I5" s="151"/>
      <c r="J5" s="151"/>
      <c r="K5" s="152"/>
    </row>
    <row r="6" spans="1:13" ht="16.5" customHeight="1" thickBot="1" x14ac:dyDescent="0.35">
      <c r="A6" s="181" t="s">
        <v>69</v>
      </c>
      <c r="B6" s="181"/>
      <c r="C6" s="181"/>
      <c r="D6" s="150" t="s">
        <v>143</v>
      </c>
      <c r="E6" s="151"/>
      <c r="F6" s="151"/>
      <c r="G6" s="151"/>
      <c r="H6" s="151"/>
      <c r="I6" s="151"/>
      <c r="J6" s="151"/>
      <c r="K6" s="152"/>
    </row>
    <row r="7" spans="1:13" ht="16.5" thickBot="1" x14ac:dyDescent="0.3">
      <c r="A7" s="178" t="s">
        <v>70</v>
      </c>
      <c r="B7" s="178"/>
      <c r="C7" s="178"/>
      <c r="D7" s="150" t="s">
        <v>114</v>
      </c>
      <c r="E7" s="151"/>
      <c r="F7" s="151"/>
      <c r="G7" s="151"/>
      <c r="H7" s="151"/>
      <c r="I7" s="151"/>
      <c r="J7" s="151"/>
      <c r="K7" s="152"/>
    </row>
    <row r="8" spans="1:13" ht="16.5" customHeight="1" thickBot="1" x14ac:dyDescent="0.35">
      <c r="A8" s="182" t="s">
        <v>71</v>
      </c>
      <c r="B8" s="182"/>
      <c r="C8" s="182"/>
      <c r="D8" s="153" t="s">
        <v>115</v>
      </c>
      <c r="E8" s="151"/>
      <c r="F8" s="151"/>
      <c r="G8" s="151"/>
      <c r="H8" s="151"/>
      <c r="I8" s="151"/>
      <c r="J8" s="151"/>
      <c r="K8" s="152"/>
    </row>
    <row r="9" spans="1:13" ht="16.149999999999999" thickBot="1" x14ac:dyDescent="0.35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3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011'!AS10</f>
        <v>36</v>
      </c>
      <c r="M12" s="154">
        <f>+J12*K12</f>
        <v>14400</v>
      </c>
    </row>
    <row r="13" spans="1:13" ht="15.6" x14ac:dyDescent="0.3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8" thickBot="1" x14ac:dyDescent="0.35">
      <c r="A14" s="184" t="s">
        <v>128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14400</v>
      </c>
      <c r="K14" s="185"/>
    </row>
  </sheetData>
  <mergeCells count="18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2"/>
  <sheetViews>
    <sheetView topLeftCell="A7" workbookViewId="0">
      <selection activeCell="A11" sqref="A11"/>
    </sheetView>
  </sheetViews>
  <sheetFormatPr baseColWidth="10" defaultColWidth="11.42578125" defaultRowHeight="15" x14ac:dyDescent="0.25"/>
  <cols>
    <col min="1" max="5" width="4.42578125" style="43" customWidth="1"/>
    <col min="6" max="6" width="10.28515625" style="43" customWidth="1"/>
    <col min="7" max="14" width="4.42578125" style="43" customWidth="1"/>
    <col min="15" max="16" width="14.85546875" style="43" customWidth="1"/>
    <col min="17" max="17" width="14.7109375" style="148" customWidth="1"/>
    <col min="18" max="16384" width="11.42578125" style="43"/>
  </cols>
  <sheetData>
    <row r="1" spans="1:17" ht="15.75" thickBot="1" x14ac:dyDescent="0.3">
      <c r="A1" s="193" t="s">
        <v>5</v>
      </c>
      <c r="B1" s="193"/>
      <c r="C1" s="193"/>
      <c r="D1" s="194">
        <v>2022</v>
      </c>
      <c r="E1" s="194"/>
      <c r="F1" s="95"/>
      <c r="G1" s="95"/>
      <c r="H1" s="96"/>
      <c r="I1" s="96"/>
      <c r="J1" s="96"/>
      <c r="K1" s="96"/>
      <c r="L1" s="96"/>
      <c r="M1" s="96"/>
      <c r="N1" s="96"/>
      <c r="O1" s="97"/>
      <c r="P1" s="195" t="s">
        <v>79</v>
      </c>
      <c r="Q1" s="195"/>
    </row>
    <row r="2" spans="1:17" ht="15.75" thickBot="1" x14ac:dyDescent="0.3">
      <c r="A2" s="98"/>
      <c r="B2" s="99"/>
      <c r="C2" s="99"/>
      <c r="D2" s="99"/>
      <c r="E2" s="99"/>
      <c r="F2" s="99"/>
      <c r="G2" s="100"/>
      <c r="H2" s="101"/>
      <c r="I2" s="101"/>
      <c r="J2" s="101"/>
      <c r="K2" s="101"/>
      <c r="L2" s="101"/>
      <c r="M2" s="101"/>
      <c r="N2" s="101"/>
      <c r="O2" s="99"/>
      <c r="P2" s="195"/>
      <c r="Q2" s="195"/>
    </row>
    <row r="3" spans="1:17" thickBot="1" x14ac:dyDescent="0.35">
      <c r="A3" s="98"/>
      <c r="B3" s="99"/>
      <c r="C3" s="99"/>
      <c r="D3" s="99"/>
      <c r="E3" s="99"/>
      <c r="F3" s="99"/>
      <c r="G3" s="100"/>
      <c r="H3" s="99"/>
      <c r="I3" s="99"/>
      <c r="J3" s="99"/>
      <c r="K3" s="99"/>
      <c r="L3" s="99"/>
      <c r="M3" s="99"/>
      <c r="N3" s="99"/>
      <c r="O3" s="99"/>
      <c r="P3" s="99"/>
      <c r="Q3" s="158"/>
    </row>
    <row r="4" spans="1:17" s="164" customFormat="1" ht="15.75" thickBot="1" x14ac:dyDescent="0.3">
      <c r="A4" s="215" t="s">
        <v>80</v>
      </c>
      <c r="B4" s="215"/>
      <c r="C4" s="215"/>
      <c r="D4" s="215"/>
      <c r="E4" s="215"/>
      <c r="F4" s="215"/>
      <c r="G4" s="197" t="str">
        <f>'NP EPIDEMIOLOGIA'!D3</f>
        <v>040 - MINISTERIO DE SALUD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17" s="164" customFormat="1" ht="15.75" thickBot="1" x14ac:dyDescent="0.3">
      <c r="A5" s="198" t="s">
        <v>67</v>
      </c>
      <c r="B5" s="198"/>
      <c r="C5" s="198"/>
      <c r="D5" s="198"/>
      <c r="E5" s="198"/>
      <c r="F5" s="198"/>
      <c r="G5" s="197" t="str">
        <f>'NP EPIDEMIOLOGIA'!D4</f>
        <v>011 - DIRECCION PROVINCIAL DE ADMINISTRACION - MINISTERIO DE SALUD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s="164" customFormat="1" ht="15.75" thickBot="1" x14ac:dyDescent="0.3">
      <c r="A6" s="198" t="s">
        <v>68</v>
      </c>
      <c r="B6" s="198"/>
      <c r="C6" s="198"/>
      <c r="D6" s="198"/>
      <c r="E6" s="198"/>
      <c r="F6" s="198"/>
      <c r="G6" s="197" t="str">
        <f>'NP EPIDEMIOLOGIA'!D5</f>
        <v>SECRETARIA DE MEDICINA PREVENTIVA Y PROMOCION EN SALUD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s="164" customFormat="1" ht="15.75" thickBot="1" x14ac:dyDescent="0.3">
      <c r="A7" s="198" t="s">
        <v>69</v>
      </c>
      <c r="B7" s="198"/>
      <c r="C7" s="198"/>
      <c r="D7" s="198"/>
      <c r="E7" s="198"/>
      <c r="F7" s="198"/>
      <c r="G7" s="197" t="s">
        <v>135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ht="15.75" thickBot="1" x14ac:dyDescent="0.3">
      <c r="A8" s="199" t="s">
        <v>81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</row>
    <row r="9" spans="1:17" ht="20.25" customHeight="1" x14ac:dyDescent="0.25">
      <c r="A9" s="192" t="s">
        <v>82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</row>
    <row r="10" spans="1:17" ht="76.5" customHeight="1" x14ac:dyDescent="0.25">
      <c r="A10" s="201" t="s">
        <v>158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</row>
    <row r="11" spans="1:17" thickBot="1" x14ac:dyDescent="0.35">
      <c r="A11" s="103"/>
      <c r="B11" s="104"/>
      <c r="C11" s="104"/>
      <c r="D11" s="104"/>
      <c r="E11" s="104"/>
      <c r="F11" s="104"/>
      <c r="G11" s="105"/>
      <c r="H11" s="104"/>
      <c r="I11" s="104"/>
      <c r="J11" s="104"/>
      <c r="K11" s="104"/>
      <c r="L11" s="104"/>
      <c r="M11" s="104"/>
      <c r="N11" s="104"/>
      <c r="O11" s="104"/>
      <c r="P11" s="104"/>
      <c r="Q11" s="159"/>
    </row>
    <row r="12" spans="1:17" ht="15.75" thickBot="1" x14ac:dyDescent="0.3">
      <c r="A12" s="202" t="s">
        <v>83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</row>
    <row r="13" spans="1:17" ht="15.75" thickBot="1" x14ac:dyDescent="0.3">
      <c r="A13" s="203" t="s">
        <v>84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 t="s">
        <v>85</v>
      </c>
      <c r="P13" s="204"/>
      <c r="Q13" s="205" t="s">
        <v>86</v>
      </c>
    </row>
    <row r="14" spans="1:17" ht="15.75" thickBot="1" x14ac:dyDescent="0.3">
      <c r="A14" s="107" t="s">
        <v>87</v>
      </c>
      <c r="B14" s="108" t="s">
        <v>88</v>
      </c>
      <c r="C14" s="108" t="s">
        <v>89</v>
      </c>
      <c r="D14" s="108" t="s">
        <v>90</v>
      </c>
      <c r="E14" s="108" t="s">
        <v>91</v>
      </c>
      <c r="F14" s="108" t="s">
        <v>92</v>
      </c>
      <c r="G14" s="109" t="s">
        <v>93</v>
      </c>
      <c r="H14" s="108" t="s">
        <v>94</v>
      </c>
      <c r="I14" s="108" t="s">
        <v>95</v>
      </c>
      <c r="J14" s="108" t="s">
        <v>96</v>
      </c>
      <c r="K14" s="108" t="s">
        <v>96</v>
      </c>
      <c r="L14" s="108" t="s">
        <v>97</v>
      </c>
      <c r="M14" s="110" t="s">
        <v>98</v>
      </c>
      <c r="N14" s="111" t="s">
        <v>99</v>
      </c>
      <c r="O14" s="204"/>
      <c r="P14" s="204"/>
      <c r="Q14" s="205"/>
    </row>
    <row r="15" spans="1:17" x14ac:dyDescent="0.25">
      <c r="A15" s="165">
        <v>44</v>
      </c>
      <c r="B15" s="166"/>
      <c r="C15" s="166"/>
      <c r="D15" s="166">
        <v>1</v>
      </c>
      <c r="E15" s="166"/>
      <c r="F15" s="166">
        <v>4901</v>
      </c>
      <c r="G15" s="166">
        <v>3</v>
      </c>
      <c r="H15" s="166">
        <v>1</v>
      </c>
      <c r="I15" s="166">
        <v>2</v>
      </c>
      <c r="J15" s="166">
        <v>1</v>
      </c>
      <c r="K15" s="166">
        <v>1</v>
      </c>
      <c r="L15" s="166"/>
      <c r="M15" s="167">
        <v>1</v>
      </c>
      <c r="N15" s="166" t="s">
        <v>132</v>
      </c>
      <c r="O15" s="216" t="s">
        <v>133</v>
      </c>
      <c r="P15" s="216"/>
      <c r="Q15" s="160">
        <f>'NP CANCER'!M12</f>
        <v>16000</v>
      </c>
    </row>
    <row r="16" spans="1:17" ht="14.45" customHeight="1" x14ac:dyDescent="0.25">
      <c r="A16" s="116">
        <v>22</v>
      </c>
      <c r="B16" s="117"/>
      <c r="C16" s="117"/>
      <c r="D16" s="117">
        <v>1</v>
      </c>
      <c r="E16" s="117"/>
      <c r="F16" s="117">
        <v>4901</v>
      </c>
      <c r="G16" s="117">
        <v>4</v>
      </c>
      <c r="H16" s="117">
        <v>4</v>
      </c>
      <c r="I16" s="117">
        <v>2</v>
      </c>
      <c r="J16" s="117">
        <v>1</v>
      </c>
      <c r="K16" s="117">
        <v>1</v>
      </c>
      <c r="L16" s="117"/>
      <c r="M16" s="118">
        <v>1</v>
      </c>
      <c r="N16" s="117" t="s">
        <v>132</v>
      </c>
      <c r="O16" s="217" t="s">
        <v>133</v>
      </c>
      <c r="P16" s="218"/>
      <c r="Q16" s="161">
        <f>'NP MEDIO AMBIENTE'!M12</f>
        <v>80000</v>
      </c>
    </row>
    <row r="17" spans="1:17" x14ac:dyDescent="0.25">
      <c r="A17" s="116">
        <v>49</v>
      </c>
      <c r="B17" s="117"/>
      <c r="C17" s="117"/>
      <c r="D17" s="117">
        <v>1</v>
      </c>
      <c r="E17" s="117"/>
      <c r="F17" s="117">
        <v>4901</v>
      </c>
      <c r="G17" s="117">
        <v>3</v>
      </c>
      <c r="H17" s="117">
        <v>1</v>
      </c>
      <c r="I17" s="117">
        <v>2</v>
      </c>
      <c r="J17" s="117">
        <v>1</v>
      </c>
      <c r="K17" s="117">
        <v>1</v>
      </c>
      <c r="L17" s="117"/>
      <c r="M17" s="118">
        <v>1</v>
      </c>
      <c r="N17" s="117" t="s">
        <v>132</v>
      </c>
      <c r="O17" s="217" t="s">
        <v>133</v>
      </c>
      <c r="P17" s="218"/>
      <c r="Q17" s="161">
        <f>'NP CRONICAS'!M12</f>
        <v>40000</v>
      </c>
    </row>
    <row r="18" spans="1:17" x14ac:dyDescent="0.25">
      <c r="A18" s="116">
        <v>23</v>
      </c>
      <c r="B18" s="117"/>
      <c r="C18" s="117"/>
      <c r="D18" s="117">
        <v>1</v>
      </c>
      <c r="E18" s="117"/>
      <c r="F18" s="117">
        <v>4901</v>
      </c>
      <c r="G18" s="117">
        <v>3</v>
      </c>
      <c r="H18" s="117">
        <v>1</v>
      </c>
      <c r="I18" s="117">
        <v>2</v>
      </c>
      <c r="J18" s="117">
        <v>1</v>
      </c>
      <c r="K18" s="117">
        <v>1</v>
      </c>
      <c r="L18" s="117"/>
      <c r="M18" s="118">
        <v>1</v>
      </c>
      <c r="N18" s="117" t="s">
        <v>132</v>
      </c>
      <c r="O18" s="217" t="s">
        <v>133</v>
      </c>
      <c r="P18" s="218"/>
      <c r="Q18" s="161">
        <f>'NP VECTORES'!M12</f>
        <v>40000</v>
      </c>
    </row>
    <row r="19" spans="1:17" x14ac:dyDescent="0.25">
      <c r="A19" s="116">
        <v>28</v>
      </c>
      <c r="B19" s="117"/>
      <c r="C19" s="117"/>
      <c r="D19" s="117">
        <v>2</v>
      </c>
      <c r="E19" s="117"/>
      <c r="F19" s="117">
        <v>4901</v>
      </c>
      <c r="G19" s="117">
        <v>3</v>
      </c>
      <c r="H19" s="117">
        <v>1</v>
      </c>
      <c r="I19" s="117">
        <v>2</v>
      </c>
      <c r="J19" s="117">
        <v>1</v>
      </c>
      <c r="K19" s="117">
        <v>1</v>
      </c>
      <c r="L19" s="117"/>
      <c r="M19" s="118">
        <v>1</v>
      </c>
      <c r="N19" s="117" t="s">
        <v>132</v>
      </c>
      <c r="O19" s="217" t="s">
        <v>133</v>
      </c>
      <c r="P19" s="218"/>
      <c r="Q19" s="161">
        <f>'NP EPIDEMIOLOGIA'!M12</f>
        <v>14400</v>
      </c>
    </row>
    <row r="20" spans="1:17" x14ac:dyDescent="0.25">
      <c r="A20" s="116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8"/>
      <c r="N20" s="131"/>
      <c r="O20" s="207"/>
      <c r="P20" s="207"/>
      <c r="Q20" s="161"/>
    </row>
    <row r="21" spans="1:17" ht="14.45" x14ac:dyDescent="0.3">
      <c r="A21" s="116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8"/>
      <c r="N21" s="131"/>
      <c r="O21" s="207"/>
      <c r="P21" s="207"/>
      <c r="Q21" s="161"/>
    </row>
    <row r="22" spans="1:17" ht="14.45" x14ac:dyDescent="0.3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31"/>
      <c r="O22" s="207"/>
      <c r="P22" s="207"/>
      <c r="Q22" s="161"/>
    </row>
    <row r="23" spans="1:17" ht="14.45" x14ac:dyDescent="0.3">
      <c r="A23" s="116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8"/>
      <c r="N23" s="131"/>
      <c r="O23" s="207"/>
      <c r="P23" s="207"/>
      <c r="Q23" s="161"/>
    </row>
    <row r="24" spans="1:17" ht="14.45" x14ac:dyDescent="0.3">
      <c r="A24" s="116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8"/>
      <c r="N24" s="131"/>
      <c r="O24" s="207"/>
      <c r="P24" s="207"/>
      <c r="Q24" s="161"/>
    </row>
    <row r="25" spans="1:17" ht="14.45" x14ac:dyDescent="0.3">
      <c r="A25" s="116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8"/>
      <c r="N25" s="131"/>
      <c r="O25" s="207"/>
      <c r="P25" s="207"/>
      <c r="Q25" s="161"/>
    </row>
    <row r="26" spans="1:17" ht="14.45" x14ac:dyDescent="0.3">
      <c r="A26" s="116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8"/>
      <c r="N26" s="131"/>
      <c r="O26" s="207"/>
      <c r="P26" s="207"/>
      <c r="Q26" s="161"/>
    </row>
    <row r="27" spans="1:17" ht="14.45" x14ac:dyDescent="0.3">
      <c r="A27" s="116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8"/>
      <c r="N27" s="131"/>
      <c r="O27" s="207"/>
      <c r="P27" s="207"/>
      <c r="Q27" s="161"/>
    </row>
    <row r="28" spans="1:17" ht="14.45" x14ac:dyDescent="0.3">
      <c r="A28" s="116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8"/>
      <c r="N28" s="131"/>
      <c r="O28" s="207"/>
      <c r="P28" s="207"/>
      <c r="Q28" s="161"/>
    </row>
    <row r="29" spans="1:17" ht="14.45" x14ac:dyDescent="0.3">
      <c r="A29" s="116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8"/>
      <c r="N29" s="131"/>
      <c r="O29" s="207"/>
      <c r="P29" s="207"/>
      <c r="Q29" s="161"/>
    </row>
    <row r="30" spans="1:17" ht="14.45" x14ac:dyDescent="0.3">
      <c r="A30" s="116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8"/>
      <c r="N30" s="131"/>
      <c r="O30" s="207"/>
      <c r="P30" s="207"/>
      <c r="Q30" s="161"/>
    </row>
    <row r="31" spans="1:17" ht="14.45" x14ac:dyDescent="0.3">
      <c r="A31" s="11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8"/>
      <c r="N31" s="131"/>
      <c r="O31" s="207"/>
      <c r="P31" s="207"/>
      <c r="Q31" s="161"/>
    </row>
    <row r="32" spans="1:17" ht="14.45" x14ac:dyDescent="0.3">
      <c r="A32" s="116"/>
      <c r="B32" s="117"/>
      <c r="C32" s="117"/>
      <c r="D32" s="117"/>
      <c r="E32" s="117"/>
      <c r="F32" s="131"/>
      <c r="G32" s="117"/>
      <c r="H32" s="117"/>
      <c r="I32" s="117"/>
      <c r="J32" s="117"/>
      <c r="K32" s="117"/>
      <c r="L32" s="117"/>
      <c r="M32" s="118"/>
      <c r="N32" s="131"/>
      <c r="O32" s="200"/>
      <c r="P32" s="200"/>
      <c r="Q32" s="161"/>
    </row>
    <row r="33" spans="1:17" ht="14.45" x14ac:dyDescent="0.3">
      <c r="A33" s="116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8"/>
      <c r="N33" s="131"/>
      <c r="O33" s="200"/>
      <c r="P33" s="200"/>
      <c r="Q33" s="161"/>
    </row>
    <row r="34" spans="1:17" ht="14.45" x14ac:dyDescent="0.3">
      <c r="A34" s="116"/>
      <c r="B34" s="117"/>
      <c r="C34" s="117"/>
      <c r="D34" s="117"/>
      <c r="E34" s="117"/>
      <c r="F34" s="131"/>
      <c r="G34" s="117"/>
      <c r="H34" s="117"/>
      <c r="I34" s="117"/>
      <c r="J34" s="117"/>
      <c r="K34" s="117"/>
      <c r="L34" s="117"/>
      <c r="M34" s="118"/>
      <c r="N34" s="131"/>
      <c r="O34" s="200"/>
      <c r="P34" s="200"/>
      <c r="Q34" s="161"/>
    </row>
    <row r="35" spans="1:17" ht="14.45" x14ac:dyDescent="0.3">
      <c r="A35" s="116"/>
      <c r="B35" s="117"/>
      <c r="C35" s="117"/>
      <c r="D35" s="117"/>
      <c r="E35" s="117"/>
      <c r="F35" s="131"/>
      <c r="G35" s="117"/>
      <c r="H35" s="117"/>
      <c r="I35" s="117"/>
      <c r="J35" s="117"/>
      <c r="K35" s="117"/>
      <c r="L35" s="117"/>
      <c r="M35" s="118"/>
      <c r="N35" s="131"/>
      <c r="O35" s="200"/>
      <c r="P35" s="200"/>
      <c r="Q35" s="161"/>
    </row>
    <row r="36" spans="1:17" ht="14.45" x14ac:dyDescent="0.3">
      <c r="A36" s="121"/>
      <c r="B36" s="122"/>
      <c r="C36" s="122"/>
      <c r="D36" s="122"/>
      <c r="E36" s="122"/>
      <c r="F36" s="123"/>
      <c r="G36" s="122"/>
      <c r="H36" s="122"/>
      <c r="I36" s="122"/>
      <c r="J36" s="122"/>
      <c r="K36" s="122"/>
      <c r="L36" s="122"/>
      <c r="M36" s="124"/>
      <c r="N36" s="125"/>
      <c r="O36" s="211"/>
      <c r="P36" s="211"/>
      <c r="Q36" s="161"/>
    </row>
    <row r="37" spans="1:17" thickBot="1" x14ac:dyDescent="0.35">
      <c r="A37" s="126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8"/>
      <c r="N37" s="127"/>
      <c r="O37" s="212"/>
      <c r="P37" s="212"/>
      <c r="Q37" s="162"/>
    </row>
    <row r="38" spans="1:17" ht="15.75" thickBot="1" x14ac:dyDescent="0.3">
      <c r="A38" s="213" t="s">
        <v>154</v>
      </c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163">
        <f>SUM(Q15:Q37)</f>
        <v>190400</v>
      </c>
    </row>
    <row r="39" spans="1:17" ht="15.75" thickBot="1" x14ac:dyDescent="0.3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</row>
    <row r="40" spans="1:17" ht="15.75" thickBot="1" x14ac:dyDescent="0.3">
      <c r="A40" s="208" t="s">
        <v>100</v>
      </c>
      <c r="B40" s="208"/>
      <c r="C40" s="208"/>
      <c r="D40" s="208"/>
      <c r="E40" s="208"/>
      <c r="F40" s="208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</row>
    <row r="41" spans="1:17" ht="15.75" thickBot="1" x14ac:dyDescent="0.3">
      <c r="A41" s="210" t="str">
        <f>'NP EPIDEMIOLOGIA'!D8</f>
        <v>ADQUISICION DEL RUBRO ALIMENTOS PARA PERSONAS (BIDONES DE AGUA)</v>
      </c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</row>
    <row r="42" spans="1:17" ht="15.75" thickBot="1" x14ac:dyDescent="0.3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4"/>
  <sheetViews>
    <sheetView topLeftCell="A4" workbookViewId="0">
      <selection activeCell="K10" sqref="K10:K11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125</v>
      </c>
    </row>
    <row r="2" spans="1:13" ht="16.149999999999999" thickBot="1" x14ac:dyDescent="0.35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customHeight="1" thickBot="1" x14ac:dyDescent="0.3">
      <c r="A3" s="181" t="s">
        <v>66</v>
      </c>
      <c r="B3" s="181"/>
      <c r="C3" s="181"/>
      <c r="D3" s="150" t="str">
        <f>'SAF 011'!C4</f>
        <v>040 - MINISTERIO DE SALUD</v>
      </c>
      <c r="E3" s="151"/>
      <c r="F3" s="151"/>
      <c r="G3" s="151"/>
      <c r="H3" s="151"/>
      <c r="I3" s="151"/>
      <c r="J3" s="151"/>
      <c r="K3" s="152"/>
    </row>
    <row r="4" spans="1:13" ht="16.5" customHeight="1" thickBot="1" x14ac:dyDescent="0.35">
      <c r="A4" s="178" t="s">
        <v>67</v>
      </c>
      <c r="B4" s="178"/>
      <c r="C4" s="178"/>
      <c r="D4" s="150" t="str">
        <f>'SAF 011'!C5</f>
        <v>011 - DIRECCION PROVINCIAL DE ADMINISTRACION - MINISTERIO DE SALUD</v>
      </c>
      <c r="E4" s="151"/>
      <c r="F4" s="151"/>
      <c r="G4" s="151"/>
      <c r="H4" s="151"/>
      <c r="I4" s="151"/>
      <c r="J4" s="151"/>
      <c r="K4" s="152"/>
    </row>
    <row r="5" spans="1:13" ht="16.5" customHeight="1" thickBot="1" x14ac:dyDescent="0.35">
      <c r="A5" s="178" t="s">
        <v>68</v>
      </c>
      <c r="B5" s="178"/>
      <c r="C5" s="178"/>
      <c r="D5" s="150" t="s">
        <v>144</v>
      </c>
      <c r="E5" s="151"/>
      <c r="F5" s="151"/>
      <c r="G5" s="151"/>
      <c r="H5" s="151"/>
      <c r="I5" s="151"/>
      <c r="J5" s="151"/>
      <c r="K5" s="152"/>
    </row>
    <row r="6" spans="1:13" ht="16.5" customHeight="1" thickBot="1" x14ac:dyDescent="0.35">
      <c r="A6" s="181" t="s">
        <v>69</v>
      </c>
      <c r="B6" s="181"/>
      <c r="C6" s="181"/>
      <c r="D6" s="150" t="s">
        <v>144</v>
      </c>
      <c r="E6" s="151"/>
      <c r="F6" s="151"/>
      <c r="G6" s="151"/>
      <c r="H6" s="151"/>
      <c r="I6" s="151"/>
      <c r="J6" s="151"/>
      <c r="K6" s="152"/>
    </row>
    <row r="7" spans="1:13" ht="16.5" thickBot="1" x14ac:dyDescent="0.3">
      <c r="A7" s="178" t="s">
        <v>70</v>
      </c>
      <c r="B7" s="178"/>
      <c r="C7" s="178"/>
      <c r="D7" s="150" t="s">
        <v>114</v>
      </c>
      <c r="E7" s="151"/>
      <c r="F7" s="151"/>
      <c r="G7" s="151"/>
      <c r="H7" s="151"/>
      <c r="I7" s="151"/>
      <c r="J7" s="151"/>
      <c r="K7" s="152"/>
    </row>
    <row r="8" spans="1:13" ht="16.5" customHeight="1" thickBot="1" x14ac:dyDescent="0.35">
      <c r="A8" s="182" t="s">
        <v>71</v>
      </c>
      <c r="B8" s="182"/>
      <c r="C8" s="182"/>
      <c r="D8" s="153" t="s">
        <v>115</v>
      </c>
      <c r="E8" s="151"/>
      <c r="F8" s="151"/>
      <c r="G8" s="151"/>
      <c r="H8" s="151"/>
      <c r="I8" s="151"/>
      <c r="J8" s="151"/>
      <c r="K8" s="152"/>
    </row>
    <row r="9" spans="1:13" ht="16.149999999999999" thickBot="1" x14ac:dyDescent="0.35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3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011'!AM10</f>
        <v>200</v>
      </c>
      <c r="M12" s="154">
        <f>+J12*K12</f>
        <v>80000</v>
      </c>
    </row>
    <row r="13" spans="1:13" ht="15.6" x14ac:dyDescent="0.3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8" thickBot="1" x14ac:dyDescent="0.35">
      <c r="A14" s="184" t="s">
        <v>131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80000</v>
      </c>
      <c r="K14" s="185"/>
    </row>
  </sheetData>
  <mergeCells count="18">
    <mergeCell ref="J10:J11"/>
    <mergeCell ref="K10:K11"/>
    <mergeCell ref="C12:G12"/>
    <mergeCell ref="C13:G13"/>
    <mergeCell ref="A14:I14"/>
    <mergeCell ref="J14:K14"/>
    <mergeCell ref="I10:I11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2"/>
  <sheetViews>
    <sheetView topLeftCell="A4" workbookViewId="0">
      <selection activeCell="G17" sqref="G17"/>
    </sheetView>
  </sheetViews>
  <sheetFormatPr baseColWidth="10" defaultColWidth="11.42578125" defaultRowHeight="15" x14ac:dyDescent="0.25"/>
  <cols>
    <col min="1" max="5" width="4.42578125" style="43" customWidth="1"/>
    <col min="6" max="6" width="10.28515625" style="43" customWidth="1"/>
    <col min="7" max="14" width="4.42578125" style="43" customWidth="1"/>
    <col min="15" max="16" width="14.85546875" style="43" customWidth="1"/>
    <col min="17" max="17" width="14.7109375" style="43" customWidth="1"/>
    <col min="18" max="16384" width="11.42578125" style="43"/>
  </cols>
  <sheetData>
    <row r="1" spans="1:17" ht="15.75" thickBot="1" x14ac:dyDescent="0.3">
      <c r="A1" s="193" t="s">
        <v>5</v>
      </c>
      <c r="B1" s="193"/>
      <c r="C1" s="193"/>
      <c r="D1" s="194">
        <v>2022</v>
      </c>
      <c r="E1" s="194"/>
      <c r="F1" s="95"/>
      <c r="G1" s="95"/>
      <c r="H1" s="96"/>
      <c r="I1" s="96"/>
      <c r="J1" s="96"/>
      <c r="K1" s="96"/>
      <c r="L1" s="96"/>
      <c r="M1" s="96"/>
      <c r="N1" s="96"/>
      <c r="O1" s="97"/>
      <c r="P1" s="195" t="s">
        <v>79</v>
      </c>
      <c r="Q1" s="195"/>
    </row>
    <row r="2" spans="1:17" ht="15.75" thickBot="1" x14ac:dyDescent="0.3">
      <c r="A2" s="98"/>
      <c r="B2" s="99"/>
      <c r="C2" s="99"/>
      <c r="D2" s="99"/>
      <c r="E2" s="99"/>
      <c r="F2" s="99"/>
      <c r="G2" s="100"/>
      <c r="H2" s="101"/>
      <c r="I2" s="101"/>
      <c r="J2" s="101"/>
      <c r="K2" s="101"/>
      <c r="L2" s="101"/>
      <c r="M2" s="101"/>
      <c r="N2" s="101"/>
      <c r="O2" s="99"/>
      <c r="P2" s="195"/>
      <c r="Q2" s="195"/>
    </row>
    <row r="3" spans="1:17" thickBot="1" x14ac:dyDescent="0.35">
      <c r="A3" s="98"/>
      <c r="B3" s="99"/>
      <c r="C3" s="99"/>
      <c r="D3" s="99"/>
      <c r="E3" s="99"/>
      <c r="F3" s="99"/>
      <c r="G3" s="100"/>
      <c r="H3" s="99"/>
      <c r="I3" s="99"/>
      <c r="J3" s="99"/>
      <c r="K3" s="99"/>
      <c r="L3" s="99"/>
      <c r="M3" s="99"/>
      <c r="N3" s="99"/>
      <c r="O3" s="99"/>
      <c r="P3" s="99"/>
      <c r="Q3" s="102"/>
    </row>
    <row r="4" spans="1:17" ht="15.75" thickBot="1" x14ac:dyDescent="0.3">
      <c r="A4" s="196" t="s">
        <v>80</v>
      </c>
      <c r="B4" s="196"/>
      <c r="C4" s="196"/>
      <c r="D4" s="196"/>
      <c r="E4" s="196"/>
      <c r="F4" s="196"/>
      <c r="G4" s="197" t="str">
        <f>'NP SPyGS'!D3</f>
        <v>040 - MINISTERIO DE SALUD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17" thickBot="1" x14ac:dyDescent="0.35">
      <c r="A5" s="198" t="s">
        <v>67</v>
      </c>
      <c r="B5" s="198"/>
      <c r="C5" s="198"/>
      <c r="D5" s="198"/>
      <c r="E5" s="198"/>
      <c r="F5" s="198"/>
      <c r="G5" s="197" t="str">
        <f>'NP SPyGS'!D4</f>
        <v>011 - DIRECCION PROVINCIAL DE ADMINISTRACION - MINISTERIO DE SALUD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thickBot="1" x14ac:dyDescent="0.35">
      <c r="A6" s="198" t="s">
        <v>68</v>
      </c>
      <c r="B6" s="198"/>
      <c r="C6" s="198"/>
      <c r="D6" s="198"/>
      <c r="E6" s="198"/>
      <c r="F6" s="198"/>
      <c r="G6" s="197" t="str">
        <f>'NP SPyGS'!D5</f>
        <v>SECRETARIA DE PLANIFICACION Y GESTION EN SALUD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thickBot="1" x14ac:dyDescent="0.35">
      <c r="A7" s="198" t="s">
        <v>69</v>
      </c>
      <c r="B7" s="198"/>
      <c r="C7" s="198"/>
      <c r="D7" s="198"/>
      <c r="E7" s="198"/>
      <c r="F7" s="198"/>
      <c r="G7" s="197" t="str">
        <f>'NP SPyGS'!D6</f>
        <v>SECRETARIA DE PLANIFICACION Y GESTION EN SALUD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ht="15.75" thickBot="1" x14ac:dyDescent="0.3">
      <c r="A8" s="199" t="s">
        <v>81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</row>
    <row r="9" spans="1:17" ht="20.25" customHeight="1" x14ac:dyDescent="0.25">
      <c r="A9" s="192" t="s">
        <v>82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</row>
    <row r="10" spans="1:17" ht="76.5" customHeight="1" x14ac:dyDescent="0.25">
      <c r="A10" s="201" t="s">
        <v>145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</row>
    <row r="11" spans="1:17" thickBot="1" x14ac:dyDescent="0.35">
      <c r="A11" s="103"/>
      <c r="B11" s="104"/>
      <c r="C11" s="104"/>
      <c r="D11" s="104"/>
      <c r="E11" s="104"/>
      <c r="F11" s="104"/>
      <c r="G11" s="105"/>
      <c r="H11" s="104"/>
      <c r="I11" s="104"/>
      <c r="J11" s="104"/>
      <c r="K11" s="104"/>
      <c r="L11" s="104"/>
      <c r="M11" s="104"/>
      <c r="N11" s="104"/>
      <c r="O11" s="104"/>
      <c r="P11" s="104"/>
      <c r="Q11" s="106"/>
    </row>
    <row r="12" spans="1:17" ht="15.75" thickBot="1" x14ac:dyDescent="0.3">
      <c r="A12" s="202" t="s">
        <v>83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</row>
    <row r="13" spans="1:17" ht="15.75" thickBot="1" x14ac:dyDescent="0.3">
      <c r="A13" s="203" t="s">
        <v>84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 t="s">
        <v>85</v>
      </c>
      <c r="P13" s="204"/>
      <c r="Q13" s="219" t="s">
        <v>86</v>
      </c>
    </row>
    <row r="14" spans="1:17" ht="15.75" thickBot="1" x14ac:dyDescent="0.3">
      <c r="A14" s="107" t="s">
        <v>87</v>
      </c>
      <c r="B14" s="108" t="s">
        <v>88</v>
      </c>
      <c r="C14" s="108" t="s">
        <v>89</v>
      </c>
      <c r="D14" s="108" t="s">
        <v>90</v>
      </c>
      <c r="E14" s="108" t="s">
        <v>91</v>
      </c>
      <c r="F14" s="108" t="s">
        <v>92</v>
      </c>
      <c r="G14" s="109" t="s">
        <v>93</v>
      </c>
      <c r="H14" s="108" t="s">
        <v>94</v>
      </c>
      <c r="I14" s="108" t="s">
        <v>95</v>
      </c>
      <c r="J14" s="108" t="s">
        <v>96</v>
      </c>
      <c r="K14" s="108" t="s">
        <v>96</v>
      </c>
      <c r="L14" s="108" t="s">
        <v>97</v>
      </c>
      <c r="M14" s="110" t="s">
        <v>98</v>
      </c>
      <c r="N14" s="111" t="s">
        <v>99</v>
      </c>
      <c r="O14" s="204"/>
      <c r="P14" s="204"/>
      <c r="Q14" s="219"/>
    </row>
    <row r="15" spans="1:17" ht="14.45" x14ac:dyDescent="0.3">
      <c r="A15" s="112">
        <v>2</v>
      </c>
      <c r="B15" s="113"/>
      <c r="C15" s="113"/>
      <c r="D15" s="113">
        <v>1</v>
      </c>
      <c r="E15" s="113"/>
      <c r="F15" s="113">
        <v>4901</v>
      </c>
      <c r="G15" s="113">
        <v>1</v>
      </c>
      <c r="H15" s="113">
        <v>3</v>
      </c>
      <c r="I15" s="113">
        <v>2</v>
      </c>
      <c r="J15" s="113">
        <v>1</v>
      </c>
      <c r="K15" s="113">
        <v>1</v>
      </c>
      <c r="L15" s="113"/>
      <c r="M15" s="114">
        <v>1</v>
      </c>
      <c r="N15" s="113" t="s">
        <v>132</v>
      </c>
      <c r="O15" s="206" t="s">
        <v>133</v>
      </c>
      <c r="P15" s="206"/>
      <c r="Q15" s="115">
        <f>'NP SPyGS'!M12</f>
        <v>80000</v>
      </c>
    </row>
    <row r="16" spans="1:17" ht="14.45" x14ac:dyDescent="0.3">
      <c r="A16" s="116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8"/>
      <c r="N16" s="131"/>
      <c r="O16" s="200"/>
      <c r="P16" s="200"/>
      <c r="Q16" s="120"/>
    </row>
    <row r="17" spans="1:17" ht="14.45" x14ac:dyDescent="0.3">
      <c r="A17" s="116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8"/>
      <c r="N17" s="131"/>
      <c r="O17" s="220"/>
      <c r="P17" s="220"/>
      <c r="Q17" s="120"/>
    </row>
    <row r="18" spans="1:17" ht="14.45" x14ac:dyDescent="0.3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8"/>
      <c r="N18" s="131"/>
      <c r="O18" s="207"/>
      <c r="P18" s="207"/>
      <c r="Q18" s="120"/>
    </row>
    <row r="19" spans="1:17" ht="14.45" x14ac:dyDescent="0.3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8"/>
      <c r="N19" s="131"/>
      <c r="O19" s="207"/>
      <c r="P19" s="207"/>
      <c r="Q19" s="120"/>
    </row>
    <row r="20" spans="1:17" ht="14.45" x14ac:dyDescent="0.3">
      <c r="A20" s="116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8"/>
      <c r="N20" s="131"/>
      <c r="O20" s="207"/>
      <c r="P20" s="207"/>
      <c r="Q20" s="120"/>
    </row>
    <row r="21" spans="1:17" ht="14.45" x14ac:dyDescent="0.3">
      <c r="A21" s="116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8"/>
      <c r="N21" s="131"/>
      <c r="O21" s="207"/>
      <c r="P21" s="207"/>
      <c r="Q21" s="120"/>
    </row>
    <row r="22" spans="1:17" ht="14.45" x14ac:dyDescent="0.3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31"/>
      <c r="O22" s="207"/>
      <c r="P22" s="207"/>
      <c r="Q22" s="120"/>
    </row>
    <row r="23" spans="1:17" ht="14.45" x14ac:dyDescent="0.3">
      <c r="A23" s="116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8"/>
      <c r="N23" s="131"/>
      <c r="O23" s="207"/>
      <c r="P23" s="207"/>
      <c r="Q23" s="120"/>
    </row>
    <row r="24" spans="1:17" ht="14.45" x14ac:dyDescent="0.3">
      <c r="A24" s="116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8"/>
      <c r="N24" s="131"/>
      <c r="O24" s="207"/>
      <c r="P24" s="207"/>
      <c r="Q24" s="120"/>
    </row>
    <row r="25" spans="1:17" ht="14.45" x14ac:dyDescent="0.3">
      <c r="A25" s="116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8"/>
      <c r="N25" s="131"/>
      <c r="O25" s="207"/>
      <c r="P25" s="207"/>
      <c r="Q25" s="120"/>
    </row>
    <row r="26" spans="1:17" ht="14.45" x14ac:dyDescent="0.3">
      <c r="A26" s="116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8"/>
      <c r="N26" s="131"/>
      <c r="O26" s="207"/>
      <c r="P26" s="207"/>
      <c r="Q26" s="120"/>
    </row>
    <row r="27" spans="1:17" ht="14.45" x14ac:dyDescent="0.3">
      <c r="A27" s="116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8"/>
      <c r="N27" s="131"/>
      <c r="O27" s="207"/>
      <c r="P27" s="207"/>
      <c r="Q27" s="120"/>
    </row>
    <row r="28" spans="1:17" ht="14.45" x14ac:dyDescent="0.3">
      <c r="A28" s="116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8"/>
      <c r="N28" s="131"/>
      <c r="O28" s="207"/>
      <c r="P28" s="207"/>
      <c r="Q28" s="120"/>
    </row>
    <row r="29" spans="1:17" ht="14.45" x14ac:dyDescent="0.3">
      <c r="A29" s="116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8"/>
      <c r="N29" s="131"/>
      <c r="O29" s="207"/>
      <c r="P29" s="207"/>
      <c r="Q29" s="120"/>
    </row>
    <row r="30" spans="1:17" ht="14.45" x14ac:dyDescent="0.3">
      <c r="A30" s="116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8"/>
      <c r="N30" s="131"/>
      <c r="O30" s="207"/>
      <c r="P30" s="207"/>
      <c r="Q30" s="120"/>
    </row>
    <row r="31" spans="1:17" ht="14.45" x14ac:dyDescent="0.3">
      <c r="A31" s="11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8"/>
      <c r="N31" s="131"/>
      <c r="O31" s="207"/>
      <c r="P31" s="207"/>
      <c r="Q31" s="120"/>
    </row>
    <row r="32" spans="1:17" ht="14.45" x14ac:dyDescent="0.3">
      <c r="A32" s="116"/>
      <c r="B32" s="117"/>
      <c r="C32" s="117"/>
      <c r="D32" s="117"/>
      <c r="E32" s="117"/>
      <c r="F32" s="131"/>
      <c r="G32" s="117"/>
      <c r="H32" s="117"/>
      <c r="I32" s="117"/>
      <c r="J32" s="117"/>
      <c r="K32" s="117"/>
      <c r="L32" s="117"/>
      <c r="M32" s="118"/>
      <c r="N32" s="131"/>
      <c r="O32" s="200"/>
      <c r="P32" s="200"/>
      <c r="Q32" s="120"/>
    </row>
    <row r="33" spans="1:17" ht="14.45" x14ac:dyDescent="0.3">
      <c r="A33" s="116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8"/>
      <c r="N33" s="131"/>
      <c r="O33" s="200"/>
      <c r="P33" s="200"/>
      <c r="Q33" s="120"/>
    </row>
    <row r="34" spans="1:17" ht="14.45" x14ac:dyDescent="0.3">
      <c r="A34" s="116"/>
      <c r="B34" s="117"/>
      <c r="C34" s="117"/>
      <c r="D34" s="117"/>
      <c r="E34" s="117"/>
      <c r="F34" s="131"/>
      <c r="G34" s="117"/>
      <c r="H34" s="117"/>
      <c r="I34" s="117"/>
      <c r="J34" s="117"/>
      <c r="K34" s="117"/>
      <c r="L34" s="117"/>
      <c r="M34" s="118"/>
      <c r="N34" s="131"/>
      <c r="O34" s="200"/>
      <c r="P34" s="200"/>
      <c r="Q34" s="120"/>
    </row>
    <row r="35" spans="1:17" ht="14.45" x14ac:dyDescent="0.3">
      <c r="A35" s="116"/>
      <c r="B35" s="117"/>
      <c r="C35" s="117"/>
      <c r="D35" s="117"/>
      <c r="E35" s="117"/>
      <c r="F35" s="131"/>
      <c r="G35" s="117"/>
      <c r="H35" s="117"/>
      <c r="I35" s="117"/>
      <c r="J35" s="117"/>
      <c r="K35" s="117"/>
      <c r="L35" s="117"/>
      <c r="M35" s="118"/>
      <c r="N35" s="131"/>
      <c r="O35" s="200"/>
      <c r="P35" s="200"/>
      <c r="Q35" s="120"/>
    </row>
    <row r="36" spans="1:17" ht="14.45" x14ac:dyDescent="0.3">
      <c r="A36" s="121"/>
      <c r="B36" s="122"/>
      <c r="C36" s="122"/>
      <c r="D36" s="122"/>
      <c r="E36" s="122"/>
      <c r="F36" s="123"/>
      <c r="G36" s="122"/>
      <c r="H36" s="122"/>
      <c r="I36" s="122"/>
      <c r="J36" s="122"/>
      <c r="K36" s="122"/>
      <c r="L36" s="122"/>
      <c r="M36" s="124"/>
      <c r="N36" s="125"/>
      <c r="O36" s="211"/>
      <c r="P36" s="211"/>
      <c r="Q36" s="120"/>
    </row>
    <row r="37" spans="1:17" thickBot="1" x14ac:dyDescent="0.35">
      <c r="A37" s="126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8"/>
      <c r="N37" s="127"/>
      <c r="O37" s="212"/>
      <c r="P37" s="212"/>
      <c r="Q37" s="129"/>
    </row>
    <row r="38" spans="1:17" ht="15.75" thickBot="1" x14ac:dyDescent="0.3">
      <c r="A38" s="213" t="s">
        <v>146</v>
      </c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130">
        <f>SUM(Q15:Q37)</f>
        <v>80000</v>
      </c>
    </row>
    <row r="39" spans="1:17" ht="15.75" thickBot="1" x14ac:dyDescent="0.3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</row>
    <row r="40" spans="1:17" ht="15.75" thickBot="1" x14ac:dyDescent="0.3">
      <c r="A40" s="208" t="s">
        <v>100</v>
      </c>
      <c r="B40" s="208"/>
      <c r="C40" s="208"/>
      <c r="D40" s="208"/>
      <c r="E40" s="208"/>
      <c r="F40" s="208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</row>
    <row r="41" spans="1:17" ht="15.75" thickBot="1" x14ac:dyDescent="0.3">
      <c r="A41" s="210" t="str">
        <f>'NP SPyGS'!D8</f>
        <v>ADQUISICION DEL RUBRO ALIMENTOS PARA PERSONAS (BIDONES DE AGUA)</v>
      </c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</row>
    <row r="42" spans="1:17" ht="15.75" thickBot="1" x14ac:dyDescent="0.3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4"/>
  <sheetViews>
    <sheetView workbookViewId="0">
      <selection activeCell="A15" sqref="A15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125</v>
      </c>
    </row>
    <row r="2" spans="1:13" ht="16.5" thickBot="1" x14ac:dyDescent="0.3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customHeight="1" thickBot="1" x14ac:dyDescent="0.3">
      <c r="A3" s="181" t="s">
        <v>66</v>
      </c>
      <c r="B3" s="181"/>
      <c r="C3" s="181"/>
      <c r="D3" s="150" t="str">
        <f>'SAF 011'!C4</f>
        <v>040 - MINISTERIO DE SALUD</v>
      </c>
      <c r="E3" s="151"/>
      <c r="F3" s="151"/>
      <c r="G3" s="151"/>
      <c r="H3" s="151"/>
      <c r="I3" s="151"/>
      <c r="J3" s="151"/>
      <c r="K3" s="152"/>
    </row>
    <row r="4" spans="1:13" ht="16.5" customHeight="1" thickBot="1" x14ac:dyDescent="0.3">
      <c r="A4" s="178" t="s">
        <v>67</v>
      </c>
      <c r="B4" s="178"/>
      <c r="C4" s="178"/>
      <c r="D4" s="150" t="str">
        <f>'SAF 011'!C5</f>
        <v>011 - DIRECCION PROVINCIAL DE ADMINISTRACION - MINISTERIO DE SALUD</v>
      </c>
      <c r="E4" s="151"/>
      <c r="F4" s="151"/>
      <c r="G4" s="151"/>
      <c r="H4" s="151"/>
      <c r="I4" s="151"/>
      <c r="J4" s="151"/>
      <c r="K4" s="152"/>
    </row>
    <row r="5" spans="1:13" ht="16.5" customHeight="1" thickBot="1" x14ac:dyDescent="0.3">
      <c r="A5" s="178" t="s">
        <v>68</v>
      </c>
      <c r="B5" s="178"/>
      <c r="C5" s="178"/>
      <c r="D5" s="150" t="s">
        <v>147</v>
      </c>
      <c r="E5" s="151"/>
      <c r="F5" s="151"/>
      <c r="G5" s="151"/>
      <c r="H5" s="151"/>
      <c r="I5" s="151"/>
      <c r="J5" s="151"/>
      <c r="K5" s="152"/>
    </row>
    <row r="6" spans="1:13" ht="16.5" customHeight="1" thickBot="1" x14ac:dyDescent="0.3">
      <c r="A6" s="181" t="s">
        <v>69</v>
      </c>
      <c r="B6" s="181"/>
      <c r="C6" s="181"/>
      <c r="D6" s="150" t="s">
        <v>147</v>
      </c>
      <c r="E6" s="151"/>
      <c r="F6" s="151"/>
      <c r="G6" s="151"/>
      <c r="H6" s="151"/>
      <c r="I6" s="151"/>
      <c r="J6" s="151"/>
      <c r="K6" s="152"/>
    </row>
    <row r="7" spans="1:13" ht="16.5" thickBot="1" x14ac:dyDescent="0.3">
      <c r="A7" s="178" t="s">
        <v>70</v>
      </c>
      <c r="B7" s="178"/>
      <c r="C7" s="178"/>
      <c r="D7" s="150" t="s">
        <v>114</v>
      </c>
      <c r="E7" s="151"/>
      <c r="F7" s="151"/>
      <c r="G7" s="151"/>
      <c r="H7" s="151"/>
      <c r="I7" s="151"/>
      <c r="J7" s="151"/>
      <c r="K7" s="152"/>
    </row>
    <row r="8" spans="1:13" ht="16.5" customHeight="1" thickBot="1" x14ac:dyDescent="0.3">
      <c r="A8" s="182" t="s">
        <v>71</v>
      </c>
      <c r="B8" s="182"/>
      <c r="C8" s="182"/>
      <c r="D8" s="153" t="s">
        <v>115</v>
      </c>
      <c r="E8" s="151"/>
      <c r="F8" s="151"/>
      <c r="G8" s="151"/>
      <c r="H8" s="151"/>
      <c r="I8" s="151"/>
      <c r="J8" s="151"/>
      <c r="K8" s="152"/>
    </row>
    <row r="9" spans="1:13" ht="16.5" thickBot="1" x14ac:dyDescent="0.3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25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011'!AO10</f>
        <v>24</v>
      </c>
      <c r="M12" s="154">
        <f>+J12*K12</f>
        <v>9600</v>
      </c>
    </row>
    <row r="13" spans="1:13" ht="15.75" x14ac:dyDescent="0.25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9.5" thickBot="1" x14ac:dyDescent="0.3">
      <c r="A14" s="184" t="s">
        <v>148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9600</v>
      </c>
      <c r="K14" s="185"/>
    </row>
  </sheetData>
  <mergeCells count="18">
    <mergeCell ref="A7:C7"/>
    <mergeCell ref="A1:I1"/>
    <mergeCell ref="A3:C3"/>
    <mergeCell ref="A4:C4"/>
    <mergeCell ref="A5:C5"/>
    <mergeCell ref="A6:C6"/>
    <mergeCell ref="A8:C8"/>
    <mergeCell ref="A10:A11"/>
    <mergeCell ref="B10:B11"/>
    <mergeCell ref="C10:G11"/>
    <mergeCell ref="H10:H11"/>
    <mergeCell ref="J10:J11"/>
    <mergeCell ref="K10:K11"/>
    <mergeCell ref="C12:G12"/>
    <mergeCell ref="C13:G13"/>
    <mergeCell ref="A14:I14"/>
    <mergeCell ref="J14:K14"/>
    <mergeCell ref="I10:I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42"/>
  <sheetViews>
    <sheetView workbookViewId="0">
      <selection sqref="A1:C1"/>
    </sheetView>
  </sheetViews>
  <sheetFormatPr baseColWidth="10" defaultColWidth="11.42578125" defaultRowHeight="15" x14ac:dyDescent="0.25"/>
  <cols>
    <col min="1" max="5" width="4.42578125" style="43" customWidth="1"/>
    <col min="6" max="6" width="10.28515625" style="43" customWidth="1"/>
    <col min="7" max="14" width="4.42578125" style="43" customWidth="1"/>
    <col min="15" max="16" width="14.85546875" style="43" customWidth="1"/>
    <col min="17" max="17" width="14.7109375" style="43" customWidth="1"/>
    <col min="18" max="16384" width="11.42578125" style="43"/>
  </cols>
  <sheetData>
    <row r="1" spans="1:17" ht="15.75" thickBot="1" x14ac:dyDescent="0.3">
      <c r="A1" s="193" t="s">
        <v>5</v>
      </c>
      <c r="B1" s="193"/>
      <c r="C1" s="193"/>
      <c r="D1" s="194">
        <v>2022</v>
      </c>
      <c r="E1" s="194"/>
      <c r="F1" s="95"/>
      <c r="G1" s="95"/>
      <c r="H1" s="96"/>
      <c r="I1" s="96"/>
      <c r="J1" s="96"/>
      <c r="K1" s="96"/>
      <c r="L1" s="96"/>
      <c r="M1" s="96"/>
      <c r="N1" s="96"/>
      <c r="O1" s="97"/>
      <c r="P1" s="195" t="s">
        <v>79</v>
      </c>
      <c r="Q1" s="195"/>
    </row>
    <row r="2" spans="1:17" ht="15.75" thickBot="1" x14ac:dyDescent="0.3">
      <c r="A2" s="98"/>
      <c r="B2" s="99"/>
      <c r="C2" s="99"/>
      <c r="D2" s="99"/>
      <c r="E2" s="99"/>
      <c r="F2" s="99"/>
      <c r="G2" s="100"/>
      <c r="H2" s="101"/>
      <c r="I2" s="101"/>
      <c r="J2" s="101"/>
      <c r="K2" s="101"/>
      <c r="L2" s="101"/>
      <c r="M2" s="101"/>
      <c r="N2" s="101"/>
      <c r="O2" s="99"/>
      <c r="P2" s="195"/>
      <c r="Q2" s="195"/>
    </row>
    <row r="3" spans="1:17" ht="15.75" thickBot="1" x14ac:dyDescent="0.3">
      <c r="A3" s="98"/>
      <c r="B3" s="99"/>
      <c r="C3" s="99"/>
      <c r="D3" s="99"/>
      <c r="E3" s="99"/>
      <c r="F3" s="99"/>
      <c r="G3" s="100"/>
      <c r="H3" s="99"/>
      <c r="I3" s="99"/>
      <c r="J3" s="99"/>
      <c r="K3" s="99"/>
      <c r="L3" s="99"/>
      <c r="M3" s="99"/>
      <c r="N3" s="99"/>
      <c r="O3" s="99"/>
      <c r="P3" s="99"/>
      <c r="Q3" s="102"/>
    </row>
    <row r="4" spans="1:17" ht="15.75" thickBot="1" x14ac:dyDescent="0.3">
      <c r="A4" s="196" t="s">
        <v>80</v>
      </c>
      <c r="B4" s="196"/>
      <c r="C4" s="196"/>
      <c r="D4" s="196"/>
      <c r="E4" s="196"/>
      <c r="F4" s="196"/>
      <c r="G4" s="197" t="str">
        <f>'NP SSMyA'!D3</f>
        <v>040 - MINISTERIO DE SALUD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17" ht="15.75" thickBot="1" x14ac:dyDescent="0.3">
      <c r="A5" s="198" t="s">
        <v>67</v>
      </c>
      <c r="B5" s="198"/>
      <c r="C5" s="198"/>
      <c r="D5" s="198"/>
      <c r="E5" s="198"/>
      <c r="F5" s="198"/>
      <c r="G5" s="197" t="str">
        <f>'NP SSMyA'!D4</f>
        <v>011 - DIRECCION PROVINCIAL DE ADMINISTRACION - MINISTERIO DE SALUD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ht="15.75" thickBot="1" x14ac:dyDescent="0.3">
      <c r="A6" s="198" t="s">
        <v>68</v>
      </c>
      <c r="B6" s="198"/>
      <c r="C6" s="198"/>
      <c r="D6" s="198"/>
      <c r="E6" s="198"/>
      <c r="F6" s="198"/>
      <c r="G6" s="197" t="str">
        <f>'NP SSMyA'!D5</f>
        <v>SECRETARIA DE SALUD MENTAL Y ADICCIONES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ht="15.75" thickBot="1" x14ac:dyDescent="0.3">
      <c r="A7" s="198" t="s">
        <v>69</v>
      </c>
      <c r="B7" s="198"/>
      <c r="C7" s="198"/>
      <c r="D7" s="198"/>
      <c r="E7" s="198"/>
      <c r="F7" s="198"/>
      <c r="G7" s="197" t="str">
        <f>'NP SSMyA'!D6</f>
        <v>SECRETARIA DE SALUD MENTAL Y ADICCIONES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ht="15.75" thickBot="1" x14ac:dyDescent="0.3">
      <c r="A8" s="199" t="s">
        <v>81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</row>
    <row r="9" spans="1:17" ht="20.25" customHeight="1" x14ac:dyDescent="0.25">
      <c r="A9" s="192" t="s">
        <v>82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</row>
    <row r="10" spans="1:17" ht="76.5" customHeight="1" x14ac:dyDescent="0.25">
      <c r="A10" s="201" t="s">
        <v>145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</row>
    <row r="11" spans="1:17" ht="15.75" thickBot="1" x14ac:dyDescent="0.3">
      <c r="A11" s="103"/>
      <c r="B11" s="104"/>
      <c r="C11" s="104"/>
      <c r="D11" s="104"/>
      <c r="E11" s="104"/>
      <c r="F11" s="104"/>
      <c r="G11" s="105"/>
      <c r="H11" s="104"/>
      <c r="I11" s="104"/>
      <c r="J11" s="104"/>
      <c r="K11" s="104"/>
      <c r="L11" s="104"/>
      <c r="M11" s="104"/>
      <c r="N11" s="104"/>
      <c r="O11" s="104"/>
      <c r="P11" s="104"/>
      <c r="Q11" s="106"/>
    </row>
    <row r="12" spans="1:17" ht="15.75" thickBot="1" x14ac:dyDescent="0.3">
      <c r="A12" s="202" t="s">
        <v>83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</row>
    <row r="13" spans="1:17" ht="15.75" thickBot="1" x14ac:dyDescent="0.3">
      <c r="A13" s="203" t="s">
        <v>84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 t="s">
        <v>85</v>
      </c>
      <c r="P13" s="204"/>
      <c r="Q13" s="219" t="s">
        <v>86</v>
      </c>
    </row>
    <row r="14" spans="1:17" ht="15.75" thickBot="1" x14ac:dyDescent="0.3">
      <c r="A14" s="107" t="s">
        <v>87</v>
      </c>
      <c r="B14" s="108" t="s">
        <v>88</v>
      </c>
      <c r="C14" s="108" t="s">
        <v>89</v>
      </c>
      <c r="D14" s="108" t="s">
        <v>90</v>
      </c>
      <c r="E14" s="108" t="s">
        <v>91</v>
      </c>
      <c r="F14" s="108" t="s">
        <v>92</v>
      </c>
      <c r="G14" s="109" t="s">
        <v>93</v>
      </c>
      <c r="H14" s="108" t="s">
        <v>94</v>
      </c>
      <c r="I14" s="108" t="s">
        <v>95</v>
      </c>
      <c r="J14" s="108" t="s">
        <v>96</v>
      </c>
      <c r="K14" s="108" t="s">
        <v>96</v>
      </c>
      <c r="L14" s="108" t="s">
        <v>97</v>
      </c>
      <c r="M14" s="110" t="s">
        <v>98</v>
      </c>
      <c r="N14" s="111" t="s">
        <v>99</v>
      </c>
      <c r="O14" s="204"/>
      <c r="P14" s="204"/>
      <c r="Q14" s="219"/>
    </row>
    <row r="15" spans="1:17" x14ac:dyDescent="0.25">
      <c r="A15" s="112">
        <v>5</v>
      </c>
      <c r="B15" s="113"/>
      <c r="C15" s="113"/>
      <c r="D15" s="113">
        <v>1</v>
      </c>
      <c r="E15" s="113"/>
      <c r="F15" s="113">
        <v>4901</v>
      </c>
      <c r="G15" s="113">
        <v>1</v>
      </c>
      <c r="H15" s="113">
        <v>3</v>
      </c>
      <c r="I15" s="113">
        <v>2</v>
      </c>
      <c r="J15" s="113">
        <v>1</v>
      </c>
      <c r="K15" s="113">
        <v>1</v>
      </c>
      <c r="L15" s="113"/>
      <c r="M15" s="114">
        <v>1</v>
      </c>
      <c r="N15" s="113" t="s">
        <v>132</v>
      </c>
      <c r="O15" s="206" t="s">
        <v>133</v>
      </c>
      <c r="P15" s="206"/>
      <c r="Q15" s="115">
        <f>'NP SSMyA'!M12</f>
        <v>9600</v>
      </c>
    </row>
    <row r="16" spans="1:17" x14ac:dyDescent="0.25">
      <c r="A16" s="116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8"/>
      <c r="N16" s="155"/>
      <c r="O16" s="200"/>
      <c r="P16" s="200"/>
      <c r="Q16" s="120"/>
    </row>
    <row r="17" spans="1:17" x14ac:dyDescent="0.25">
      <c r="A17" s="116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8"/>
      <c r="N17" s="155"/>
      <c r="O17" s="220"/>
      <c r="P17" s="220"/>
      <c r="Q17" s="120"/>
    </row>
    <row r="18" spans="1:17" x14ac:dyDescent="0.25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8"/>
      <c r="N18" s="155"/>
      <c r="O18" s="207"/>
      <c r="P18" s="207"/>
      <c r="Q18" s="120"/>
    </row>
    <row r="19" spans="1:17" x14ac:dyDescent="0.25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8"/>
      <c r="N19" s="155"/>
      <c r="O19" s="207"/>
      <c r="P19" s="207"/>
      <c r="Q19" s="120"/>
    </row>
    <row r="20" spans="1:17" x14ac:dyDescent="0.25">
      <c r="A20" s="116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8"/>
      <c r="N20" s="155"/>
      <c r="O20" s="207"/>
      <c r="P20" s="207"/>
      <c r="Q20" s="120"/>
    </row>
    <row r="21" spans="1:17" x14ac:dyDescent="0.25">
      <c r="A21" s="116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8"/>
      <c r="N21" s="155"/>
      <c r="O21" s="207"/>
      <c r="P21" s="207"/>
      <c r="Q21" s="120"/>
    </row>
    <row r="22" spans="1:17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55"/>
      <c r="O22" s="207"/>
      <c r="P22" s="207"/>
      <c r="Q22" s="120"/>
    </row>
    <row r="23" spans="1:17" x14ac:dyDescent="0.25">
      <c r="A23" s="116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8"/>
      <c r="N23" s="155"/>
      <c r="O23" s="207"/>
      <c r="P23" s="207"/>
      <c r="Q23" s="120"/>
    </row>
    <row r="24" spans="1:17" x14ac:dyDescent="0.25">
      <c r="A24" s="116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8"/>
      <c r="N24" s="155"/>
      <c r="O24" s="207"/>
      <c r="P24" s="207"/>
      <c r="Q24" s="120"/>
    </row>
    <row r="25" spans="1:17" x14ac:dyDescent="0.25">
      <c r="A25" s="116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8"/>
      <c r="N25" s="155"/>
      <c r="O25" s="207"/>
      <c r="P25" s="207"/>
      <c r="Q25" s="120"/>
    </row>
    <row r="26" spans="1:17" x14ac:dyDescent="0.25">
      <c r="A26" s="116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8"/>
      <c r="N26" s="155"/>
      <c r="O26" s="207"/>
      <c r="P26" s="207"/>
      <c r="Q26" s="120"/>
    </row>
    <row r="27" spans="1:17" x14ac:dyDescent="0.25">
      <c r="A27" s="116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8"/>
      <c r="N27" s="155"/>
      <c r="O27" s="207"/>
      <c r="P27" s="207"/>
      <c r="Q27" s="120"/>
    </row>
    <row r="28" spans="1:17" x14ac:dyDescent="0.25">
      <c r="A28" s="116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8"/>
      <c r="N28" s="155"/>
      <c r="O28" s="207"/>
      <c r="P28" s="207"/>
      <c r="Q28" s="120"/>
    </row>
    <row r="29" spans="1:17" x14ac:dyDescent="0.25">
      <c r="A29" s="116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8"/>
      <c r="N29" s="155"/>
      <c r="O29" s="207"/>
      <c r="P29" s="207"/>
      <c r="Q29" s="120"/>
    </row>
    <row r="30" spans="1:17" x14ac:dyDescent="0.25">
      <c r="A30" s="116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8"/>
      <c r="N30" s="155"/>
      <c r="O30" s="207"/>
      <c r="P30" s="207"/>
      <c r="Q30" s="120"/>
    </row>
    <row r="31" spans="1:17" x14ac:dyDescent="0.25">
      <c r="A31" s="11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8"/>
      <c r="N31" s="155"/>
      <c r="O31" s="207"/>
      <c r="P31" s="207"/>
      <c r="Q31" s="120"/>
    </row>
    <row r="32" spans="1:17" x14ac:dyDescent="0.25">
      <c r="A32" s="116"/>
      <c r="B32" s="117"/>
      <c r="C32" s="117"/>
      <c r="D32" s="117"/>
      <c r="E32" s="117"/>
      <c r="F32" s="155"/>
      <c r="G32" s="117"/>
      <c r="H32" s="117"/>
      <c r="I32" s="117"/>
      <c r="J32" s="117"/>
      <c r="K32" s="117"/>
      <c r="L32" s="117"/>
      <c r="M32" s="118"/>
      <c r="N32" s="155"/>
      <c r="O32" s="200"/>
      <c r="P32" s="200"/>
      <c r="Q32" s="120"/>
    </row>
    <row r="33" spans="1:17" x14ac:dyDescent="0.25">
      <c r="A33" s="116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8"/>
      <c r="N33" s="155"/>
      <c r="O33" s="200"/>
      <c r="P33" s="200"/>
      <c r="Q33" s="120"/>
    </row>
    <row r="34" spans="1:17" x14ac:dyDescent="0.25">
      <c r="A34" s="116"/>
      <c r="B34" s="117"/>
      <c r="C34" s="117"/>
      <c r="D34" s="117"/>
      <c r="E34" s="117"/>
      <c r="F34" s="155"/>
      <c r="G34" s="117"/>
      <c r="H34" s="117"/>
      <c r="I34" s="117"/>
      <c r="J34" s="117"/>
      <c r="K34" s="117"/>
      <c r="L34" s="117"/>
      <c r="M34" s="118"/>
      <c r="N34" s="155"/>
      <c r="O34" s="200"/>
      <c r="P34" s="200"/>
      <c r="Q34" s="120"/>
    </row>
    <row r="35" spans="1:17" x14ac:dyDescent="0.25">
      <c r="A35" s="116"/>
      <c r="B35" s="117"/>
      <c r="C35" s="117"/>
      <c r="D35" s="117"/>
      <c r="E35" s="117"/>
      <c r="F35" s="155"/>
      <c r="G35" s="117"/>
      <c r="H35" s="117"/>
      <c r="I35" s="117"/>
      <c r="J35" s="117"/>
      <c r="K35" s="117"/>
      <c r="L35" s="117"/>
      <c r="M35" s="118"/>
      <c r="N35" s="155"/>
      <c r="O35" s="200"/>
      <c r="P35" s="200"/>
      <c r="Q35" s="120"/>
    </row>
    <row r="36" spans="1:17" x14ac:dyDescent="0.25">
      <c r="A36" s="121"/>
      <c r="B36" s="122"/>
      <c r="C36" s="122"/>
      <c r="D36" s="122"/>
      <c r="E36" s="122"/>
      <c r="F36" s="123"/>
      <c r="G36" s="122"/>
      <c r="H36" s="122"/>
      <c r="I36" s="122"/>
      <c r="J36" s="122"/>
      <c r="K36" s="122"/>
      <c r="L36" s="122"/>
      <c r="M36" s="124"/>
      <c r="N36" s="125"/>
      <c r="O36" s="211"/>
      <c r="P36" s="211"/>
      <c r="Q36" s="120"/>
    </row>
    <row r="37" spans="1:17" ht="15.75" thickBot="1" x14ac:dyDescent="0.3">
      <c r="A37" s="126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8"/>
      <c r="N37" s="127"/>
      <c r="O37" s="212"/>
      <c r="P37" s="212"/>
      <c r="Q37" s="129"/>
    </row>
    <row r="38" spans="1:17" ht="15.75" thickBot="1" x14ac:dyDescent="0.3">
      <c r="A38" s="213" t="s">
        <v>149</v>
      </c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130">
        <f>SUM(Q15:Q37)</f>
        <v>9600</v>
      </c>
    </row>
    <row r="39" spans="1:17" ht="15.75" thickBot="1" x14ac:dyDescent="0.3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</row>
    <row r="40" spans="1:17" ht="15.75" thickBot="1" x14ac:dyDescent="0.3">
      <c r="A40" s="208" t="s">
        <v>100</v>
      </c>
      <c r="B40" s="208"/>
      <c r="C40" s="208"/>
      <c r="D40" s="208"/>
      <c r="E40" s="208"/>
      <c r="F40" s="208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</row>
    <row r="41" spans="1:17" ht="15.75" thickBot="1" x14ac:dyDescent="0.3">
      <c r="A41" s="210" t="str">
        <f>'NP SSMyA'!D8</f>
        <v>ADQUISICION DEL RUBRO ALIMENTOS PARA PERSONAS (BIDONES DE AGUA)</v>
      </c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</row>
    <row r="42" spans="1:17" ht="15.75" thickBot="1" x14ac:dyDescent="0.3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4"/>
  <sheetViews>
    <sheetView topLeftCell="A4" workbookViewId="0">
      <selection activeCell="A21" sqref="A21"/>
    </sheetView>
  </sheetViews>
  <sheetFormatPr baseColWidth="10" defaultColWidth="11.42578125" defaultRowHeight="15" x14ac:dyDescent="0.25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28.5703125" style="43" customWidth="1"/>
    <col min="8" max="8" width="9.28515625" style="43" customWidth="1"/>
    <col min="9" max="9" width="15.5703125" style="43" customWidth="1"/>
    <col min="10" max="10" width="14.7109375" style="148" customWidth="1"/>
    <col min="11" max="11" width="15.5703125" style="43" customWidth="1"/>
    <col min="12" max="12" width="11.42578125" style="43"/>
    <col min="13" max="13" width="11.42578125" style="154"/>
    <col min="14" max="16384" width="11.42578125" style="43"/>
  </cols>
  <sheetData>
    <row r="1" spans="1:13" ht="30.75" thickBot="1" x14ac:dyDescent="0.3">
      <c r="A1" s="180" t="s">
        <v>64</v>
      </c>
      <c r="B1" s="180"/>
      <c r="C1" s="180"/>
      <c r="D1" s="180"/>
      <c r="E1" s="180"/>
      <c r="F1" s="180"/>
      <c r="G1" s="180"/>
      <c r="H1" s="180"/>
      <c r="I1" s="180"/>
      <c r="J1" s="143" t="s">
        <v>65</v>
      </c>
      <c r="K1" s="77" t="s">
        <v>137</v>
      </c>
    </row>
    <row r="2" spans="1:13" ht="16.5" thickBot="1" x14ac:dyDescent="0.3">
      <c r="A2" s="78"/>
      <c r="B2" s="79"/>
      <c r="C2" s="79"/>
      <c r="D2" s="80"/>
      <c r="E2" s="80"/>
      <c r="F2" s="80"/>
      <c r="G2" s="80"/>
      <c r="H2" s="80"/>
      <c r="I2" s="80"/>
      <c r="J2" s="144"/>
      <c r="K2" s="81"/>
    </row>
    <row r="3" spans="1:13" ht="16.5" customHeight="1" thickBot="1" x14ac:dyDescent="0.3">
      <c r="A3" s="181" t="s">
        <v>66</v>
      </c>
      <c r="B3" s="181"/>
      <c r="C3" s="181"/>
      <c r="D3" s="150" t="str">
        <f>'SAF 011'!C4</f>
        <v>040 - MINISTERIO DE SALUD</v>
      </c>
      <c r="E3" s="151"/>
      <c r="F3" s="151"/>
      <c r="G3" s="151"/>
      <c r="H3" s="151"/>
      <c r="I3" s="151"/>
      <c r="J3" s="151"/>
      <c r="K3" s="152"/>
    </row>
    <row r="4" spans="1:13" ht="16.5" customHeight="1" thickBot="1" x14ac:dyDescent="0.3">
      <c r="A4" s="178" t="s">
        <v>67</v>
      </c>
      <c r="B4" s="178"/>
      <c r="C4" s="178"/>
      <c r="D4" s="150" t="str">
        <f>'SAF 011'!C5</f>
        <v>011 - DIRECCION PROVINCIAL DE ADMINISTRACION - MINISTERIO DE SALUD</v>
      </c>
      <c r="E4" s="151"/>
      <c r="F4" s="151"/>
      <c r="G4" s="151"/>
      <c r="H4" s="151"/>
      <c r="I4" s="151"/>
      <c r="J4" s="151"/>
      <c r="K4" s="152"/>
    </row>
    <row r="5" spans="1:13" ht="16.5" customHeight="1" thickBot="1" x14ac:dyDescent="0.3">
      <c r="A5" s="178" t="s">
        <v>68</v>
      </c>
      <c r="B5" s="178"/>
      <c r="C5" s="178"/>
      <c r="D5" s="150" t="s">
        <v>155</v>
      </c>
      <c r="E5" s="151"/>
      <c r="F5" s="151"/>
      <c r="G5" s="151"/>
      <c r="H5" s="151"/>
      <c r="I5" s="151"/>
      <c r="J5" s="151"/>
      <c r="K5" s="152"/>
    </row>
    <row r="6" spans="1:13" ht="16.5" customHeight="1" thickBot="1" x14ac:dyDescent="0.3">
      <c r="A6" s="181" t="s">
        <v>69</v>
      </c>
      <c r="B6" s="181"/>
      <c r="C6" s="181"/>
      <c r="D6" s="150" t="s">
        <v>155</v>
      </c>
      <c r="E6" s="151"/>
      <c r="F6" s="151"/>
      <c r="G6" s="151"/>
      <c r="H6" s="151"/>
      <c r="I6" s="151"/>
      <c r="J6" s="151"/>
      <c r="K6" s="152"/>
    </row>
    <row r="7" spans="1:13" ht="16.5" thickBot="1" x14ac:dyDescent="0.3">
      <c r="A7" s="178" t="s">
        <v>70</v>
      </c>
      <c r="B7" s="178"/>
      <c r="C7" s="178"/>
      <c r="D7" s="150" t="s">
        <v>114</v>
      </c>
      <c r="E7" s="151"/>
      <c r="F7" s="151"/>
      <c r="G7" s="151"/>
      <c r="H7" s="151"/>
      <c r="I7" s="151"/>
      <c r="J7" s="151"/>
      <c r="K7" s="152"/>
    </row>
    <row r="8" spans="1:13" ht="16.5" customHeight="1" thickBot="1" x14ac:dyDescent="0.3">
      <c r="A8" s="182" t="s">
        <v>71</v>
      </c>
      <c r="B8" s="182"/>
      <c r="C8" s="182"/>
      <c r="D8" s="153" t="s">
        <v>115</v>
      </c>
      <c r="E8" s="151"/>
      <c r="F8" s="151"/>
      <c r="G8" s="151"/>
      <c r="H8" s="151"/>
      <c r="I8" s="151"/>
      <c r="J8" s="151"/>
      <c r="K8" s="152"/>
    </row>
    <row r="9" spans="1:13" ht="16.5" thickBot="1" x14ac:dyDescent="0.3">
      <c r="A9" s="82"/>
      <c r="B9" s="83"/>
      <c r="C9" s="83"/>
      <c r="D9" s="84"/>
      <c r="E9" s="84"/>
      <c r="F9" s="84"/>
      <c r="G9" s="84"/>
      <c r="H9" s="84"/>
      <c r="I9" s="84"/>
      <c r="J9" s="145"/>
      <c r="K9" s="85"/>
    </row>
    <row r="10" spans="1:13" ht="15.75" thickBot="1" x14ac:dyDescent="0.3">
      <c r="A10" s="191" t="s">
        <v>72</v>
      </c>
      <c r="B10" s="189" t="s">
        <v>73</v>
      </c>
      <c r="C10" s="189" t="s">
        <v>74</v>
      </c>
      <c r="D10" s="189"/>
      <c r="E10" s="189"/>
      <c r="F10" s="189"/>
      <c r="G10" s="189"/>
      <c r="H10" s="189" t="s">
        <v>75</v>
      </c>
      <c r="I10" s="189" t="s">
        <v>76</v>
      </c>
      <c r="J10" s="190" t="s">
        <v>77</v>
      </c>
      <c r="K10" s="187" t="s">
        <v>78</v>
      </c>
    </row>
    <row r="11" spans="1:13" ht="39.75" customHeight="1" thickBot="1" x14ac:dyDescent="0.3">
      <c r="A11" s="191"/>
      <c r="B11" s="189"/>
      <c r="C11" s="189"/>
      <c r="D11" s="189"/>
      <c r="E11" s="189"/>
      <c r="F11" s="189"/>
      <c r="G11" s="189"/>
      <c r="H11" s="189"/>
      <c r="I11" s="189"/>
      <c r="J11" s="190"/>
      <c r="K11" s="187"/>
    </row>
    <row r="12" spans="1:13" ht="57" customHeight="1" x14ac:dyDescent="0.25">
      <c r="A12" s="86">
        <v>1</v>
      </c>
      <c r="B12" s="149" t="str">
        <f>'SAF 011'!B10</f>
        <v>2.1.1-478.47</v>
      </c>
      <c r="C12" s="188" t="str">
        <f>'SAF 011'!E10</f>
        <v>AGUA MINERAL; TIPO: SIN GASIFICAR, PRESENTACION: BIDON X 20 L, MATERIAL ENVASE: POLICARBONATO, TIPO ENVASE: RETORNABLE, ELEM. TRANSPORTE: SIN, MATERIAL ELEM. TRANSPORTE: SIN</v>
      </c>
      <c r="D12" s="188"/>
      <c r="E12" s="188"/>
      <c r="F12" s="188"/>
      <c r="G12" s="188"/>
      <c r="H12" s="87" t="s">
        <v>117</v>
      </c>
      <c r="I12" s="88" t="str">
        <f>'SAF 011'!F10</f>
        <v>BIDON</v>
      </c>
      <c r="J12" s="146">
        <f>'SAF 011'!AX10</f>
        <v>400</v>
      </c>
      <c r="K12" s="89">
        <f>'SAF 011'!AU10</f>
        <v>150</v>
      </c>
      <c r="M12" s="154">
        <f>+J12*K12</f>
        <v>60000</v>
      </c>
    </row>
    <row r="13" spans="1:13" ht="15.75" x14ac:dyDescent="0.25">
      <c r="A13" s="90"/>
      <c r="B13" s="91"/>
      <c r="C13" s="186"/>
      <c r="D13" s="186"/>
      <c r="E13" s="186"/>
      <c r="F13" s="186"/>
      <c r="G13" s="186"/>
      <c r="H13" s="92"/>
      <c r="I13" s="93"/>
      <c r="J13" s="147"/>
      <c r="K13" s="94"/>
    </row>
    <row r="14" spans="1:13" ht="19.5" thickBot="1" x14ac:dyDescent="0.3">
      <c r="A14" s="184" t="s">
        <v>156</v>
      </c>
      <c r="B14" s="184"/>
      <c r="C14" s="184"/>
      <c r="D14" s="184"/>
      <c r="E14" s="184"/>
      <c r="F14" s="184"/>
      <c r="G14" s="184"/>
      <c r="H14" s="184"/>
      <c r="I14" s="184"/>
      <c r="J14" s="185">
        <f>+J12*K12</f>
        <v>60000</v>
      </c>
      <c r="K14" s="185"/>
    </row>
  </sheetData>
  <mergeCells count="18">
    <mergeCell ref="A7:C7"/>
    <mergeCell ref="A1:I1"/>
    <mergeCell ref="A3:C3"/>
    <mergeCell ref="A4:C4"/>
    <mergeCell ref="A5:C5"/>
    <mergeCell ref="A6:C6"/>
    <mergeCell ref="A8:C8"/>
    <mergeCell ref="A10:A11"/>
    <mergeCell ref="B10:B11"/>
    <mergeCell ref="C10:G11"/>
    <mergeCell ref="H10:H11"/>
    <mergeCell ref="J10:J11"/>
    <mergeCell ref="K10:K11"/>
    <mergeCell ref="C12:G12"/>
    <mergeCell ref="C13:G13"/>
    <mergeCell ref="A14:I14"/>
    <mergeCell ref="J14:K14"/>
    <mergeCell ref="I10:I1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42"/>
  <sheetViews>
    <sheetView topLeftCell="A7" workbookViewId="0">
      <selection activeCell="A39" sqref="A39:Q39"/>
    </sheetView>
  </sheetViews>
  <sheetFormatPr baseColWidth="10" defaultColWidth="11.42578125" defaultRowHeight="15" x14ac:dyDescent="0.25"/>
  <cols>
    <col min="1" max="5" width="4.42578125" style="43" customWidth="1"/>
    <col min="6" max="6" width="10.28515625" style="43" customWidth="1"/>
    <col min="7" max="14" width="4.42578125" style="43" customWidth="1"/>
    <col min="15" max="16" width="14.85546875" style="43" customWidth="1"/>
    <col min="17" max="17" width="14.7109375" style="43" customWidth="1"/>
    <col min="18" max="16384" width="11.42578125" style="43"/>
  </cols>
  <sheetData>
    <row r="1" spans="1:17" ht="15.75" thickBot="1" x14ac:dyDescent="0.3">
      <c r="A1" s="193" t="s">
        <v>5</v>
      </c>
      <c r="B1" s="193"/>
      <c r="C1" s="193"/>
      <c r="D1" s="194">
        <v>2022</v>
      </c>
      <c r="E1" s="194"/>
      <c r="F1" s="95"/>
      <c r="G1" s="95"/>
      <c r="H1" s="96"/>
      <c r="I1" s="96"/>
      <c r="J1" s="96"/>
      <c r="K1" s="96"/>
      <c r="L1" s="96"/>
      <c r="M1" s="96"/>
      <c r="N1" s="96"/>
      <c r="O1" s="97"/>
      <c r="P1" s="195" t="s">
        <v>79</v>
      </c>
      <c r="Q1" s="195"/>
    </row>
    <row r="2" spans="1:17" ht="15.75" thickBot="1" x14ac:dyDescent="0.3">
      <c r="A2" s="98"/>
      <c r="B2" s="99"/>
      <c r="C2" s="99"/>
      <c r="D2" s="99"/>
      <c r="E2" s="99"/>
      <c r="F2" s="99"/>
      <c r="G2" s="100"/>
      <c r="H2" s="101"/>
      <c r="I2" s="101"/>
      <c r="J2" s="101"/>
      <c r="K2" s="101"/>
      <c r="L2" s="101"/>
      <c r="M2" s="101"/>
      <c r="N2" s="101"/>
      <c r="O2" s="99"/>
      <c r="P2" s="195"/>
      <c r="Q2" s="195"/>
    </row>
    <row r="3" spans="1:17" ht="15.75" thickBot="1" x14ac:dyDescent="0.3">
      <c r="A3" s="98"/>
      <c r="B3" s="99"/>
      <c r="C3" s="99"/>
      <c r="D3" s="99"/>
      <c r="E3" s="99"/>
      <c r="F3" s="99"/>
      <c r="G3" s="100"/>
      <c r="H3" s="99"/>
      <c r="I3" s="99"/>
      <c r="J3" s="99"/>
      <c r="K3" s="99"/>
      <c r="L3" s="99"/>
      <c r="M3" s="99"/>
      <c r="N3" s="99"/>
      <c r="O3" s="99"/>
      <c r="P3" s="99"/>
      <c r="Q3" s="102"/>
    </row>
    <row r="4" spans="1:17" ht="15.75" thickBot="1" x14ac:dyDescent="0.3">
      <c r="A4" s="196" t="s">
        <v>80</v>
      </c>
      <c r="B4" s="196"/>
      <c r="C4" s="196"/>
      <c r="D4" s="196"/>
      <c r="E4" s="196"/>
      <c r="F4" s="196"/>
      <c r="G4" s="197" t="str">
        <f>'NP MS'!D3</f>
        <v>040 - MINISTERIO DE SALUD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17" ht="15.75" thickBot="1" x14ac:dyDescent="0.3">
      <c r="A5" s="198" t="s">
        <v>67</v>
      </c>
      <c r="B5" s="198"/>
      <c r="C5" s="198"/>
      <c r="D5" s="198"/>
      <c r="E5" s="198"/>
      <c r="F5" s="198"/>
      <c r="G5" s="197" t="str">
        <f>'NP MS'!D4</f>
        <v>011 - DIRECCION PROVINCIAL DE ADMINISTRACION - MINISTERIO DE SALUD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ht="15.75" thickBot="1" x14ac:dyDescent="0.3">
      <c r="A6" s="198" t="s">
        <v>68</v>
      </c>
      <c r="B6" s="198"/>
      <c r="C6" s="198"/>
      <c r="D6" s="198"/>
      <c r="E6" s="198"/>
      <c r="F6" s="198"/>
      <c r="G6" s="197" t="str">
        <f>'NP MS'!D5</f>
        <v>MINISTERIO DE SALUD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ht="15.75" thickBot="1" x14ac:dyDescent="0.3">
      <c r="A7" s="198" t="s">
        <v>69</v>
      </c>
      <c r="B7" s="198"/>
      <c r="C7" s="198"/>
      <c r="D7" s="198"/>
      <c r="E7" s="198"/>
      <c r="F7" s="198"/>
      <c r="G7" s="197" t="str">
        <f>'NP MS'!D6</f>
        <v>MINISTERIO DE SALUD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ht="15.75" thickBot="1" x14ac:dyDescent="0.3">
      <c r="A8" s="199" t="s">
        <v>81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</row>
    <row r="9" spans="1:17" ht="20.25" customHeight="1" x14ac:dyDescent="0.25">
      <c r="A9" s="192" t="s">
        <v>82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</row>
    <row r="10" spans="1:17" ht="76.5" customHeight="1" x14ac:dyDescent="0.25">
      <c r="A10" s="201" t="s">
        <v>157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</row>
    <row r="11" spans="1:17" ht="15.75" thickBot="1" x14ac:dyDescent="0.3">
      <c r="A11" s="103"/>
      <c r="B11" s="104"/>
      <c r="C11" s="104"/>
      <c r="D11" s="104"/>
      <c r="E11" s="104"/>
      <c r="F11" s="104"/>
      <c r="G11" s="105"/>
      <c r="H11" s="104"/>
      <c r="I11" s="104"/>
      <c r="J11" s="104"/>
      <c r="K11" s="104"/>
      <c r="L11" s="104"/>
      <c r="M11" s="104"/>
      <c r="N11" s="104"/>
      <c r="O11" s="104"/>
      <c r="P11" s="104"/>
      <c r="Q11" s="106"/>
    </row>
    <row r="12" spans="1:17" ht="15.75" thickBot="1" x14ac:dyDescent="0.3">
      <c r="A12" s="202" t="s">
        <v>83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</row>
    <row r="13" spans="1:17" ht="15.75" thickBot="1" x14ac:dyDescent="0.3">
      <c r="A13" s="203" t="s">
        <v>84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 t="s">
        <v>85</v>
      </c>
      <c r="P13" s="204"/>
      <c r="Q13" s="219" t="s">
        <v>86</v>
      </c>
    </row>
    <row r="14" spans="1:17" ht="15.75" thickBot="1" x14ac:dyDescent="0.3">
      <c r="A14" s="107" t="s">
        <v>87</v>
      </c>
      <c r="B14" s="108" t="s">
        <v>88</v>
      </c>
      <c r="C14" s="108" t="s">
        <v>89</v>
      </c>
      <c r="D14" s="108" t="s">
        <v>90</v>
      </c>
      <c r="E14" s="108" t="s">
        <v>91</v>
      </c>
      <c r="F14" s="108" t="s">
        <v>92</v>
      </c>
      <c r="G14" s="109" t="s">
        <v>93</v>
      </c>
      <c r="H14" s="108" t="s">
        <v>94</v>
      </c>
      <c r="I14" s="108" t="s">
        <v>95</v>
      </c>
      <c r="J14" s="108" t="s">
        <v>96</v>
      </c>
      <c r="K14" s="108" t="s">
        <v>96</v>
      </c>
      <c r="L14" s="108" t="s">
        <v>97</v>
      </c>
      <c r="M14" s="110" t="s">
        <v>98</v>
      </c>
      <c r="N14" s="111" t="s">
        <v>99</v>
      </c>
      <c r="O14" s="204"/>
      <c r="P14" s="204"/>
      <c r="Q14" s="219"/>
    </row>
    <row r="15" spans="1:17" x14ac:dyDescent="0.25">
      <c r="A15" s="112">
        <v>1</v>
      </c>
      <c r="B15" s="113"/>
      <c r="C15" s="113"/>
      <c r="D15" s="113">
        <v>1</v>
      </c>
      <c r="E15" s="113"/>
      <c r="F15" s="113">
        <v>4901</v>
      </c>
      <c r="G15" s="113">
        <v>3</v>
      </c>
      <c r="H15" s="113">
        <v>1</v>
      </c>
      <c r="I15" s="113">
        <v>2</v>
      </c>
      <c r="J15" s="113">
        <v>1</v>
      </c>
      <c r="K15" s="113">
        <v>1</v>
      </c>
      <c r="L15" s="113"/>
      <c r="M15" s="114">
        <v>1</v>
      </c>
      <c r="N15" s="113" t="s">
        <v>132</v>
      </c>
      <c r="O15" s="206" t="s">
        <v>133</v>
      </c>
      <c r="P15" s="206"/>
      <c r="Q15" s="115">
        <f>'NP MS'!M12</f>
        <v>60000</v>
      </c>
    </row>
    <row r="16" spans="1:17" x14ac:dyDescent="0.25">
      <c r="A16" s="116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8"/>
      <c r="N16" s="155"/>
      <c r="O16" s="200"/>
      <c r="P16" s="200"/>
      <c r="Q16" s="120"/>
    </row>
    <row r="17" spans="1:17" x14ac:dyDescent="0.25">
      <c r="A17" s="116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8"/>
      <c r="N17" s="155"/>
      <c r="O17" s="220"/>
      <c r="P17" s="220"/>
      <c r="Q17" s="120"/>
    </row>
    <row r="18" spans="1:17" x14ac:dyDescent="0.25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8"/>
      <c r="N18" s="155"/>
      <c r="O18" s="207"/>
      <c r="P18" s="207"/>
      <c r="Q18" s="120"/>
    </row>
    <row r="19" spans="1:17" x14ac:dyDescent="0.25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8"/>
      <c r="N19" s="155"/>
      <c r="O19" s="207"/>
      <c r="P19" s="207"/>
      <c r="Q19" s="120"/>
    </row>
    <row r="20" spans="1:17" x14ac:dyDescent="0.25">
      <c r="A20" s="116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8"/>
      <c r="N20" s="155"/>
      <c r="O20" s="207"/>
      <c r="P20" s="207"/>
      <c r="Q20" s="120"/>
    </row>
    <row r="21" spans="1:17" x14ac:dyDescent="0.25">
      <c r="A21" s="116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8"/>
      <c r="N21" s="155"/>
      <c r="O21" s="207"/>
      <c r="P21" s="207"/>
      <c r="Q21" s="120"/>
    </row>
    <row r="22" spans="1:17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55"/>
      <c r="O22" s="207"/>
      <c r="P22" s="207"/>
      <c r="Q22" s="120"/>
    </row>
    <row r="23" spans="1:17" x14ac:dyDescent="0.25">
      <c r="A23" s="116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8"/>
      <c r="N23" s="155"/>
      <c r="O23" s="207"/>
      <c r="P23" s="207"/>
      <c r="Q23" s="120"/>
    </row>
    <row r="24" spans="1:17" x14ac:dyDescent="0.25">
      <c r="A24" s="116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8"/>
      <c r="N24" s="155"/>
      <c r="O24" s="207"/>
      <c r="P24" s="207"/>
      <c r="Q24" s="120"/>
    </row>
    <row r="25" spans="1:17" x14ac:dyDescent="0.25">
      <c r="A25" s="116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8"/>
      <c r="N25" s="155"/>
      <c r="O25" s="207"/>
      <c r="P25" s="207"/>
      <c r="Q25" s="120"/>
    </row>
    <row r="26" spans="1:17" x14ac:dyDescent="0.25">
      <c r="A26" s="116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8"/>
      <c r="N26" s="155"/>
      <c r="O26" s="207"/>
      <c r="P26" s="207"/>
      <c r="Q26" s="120"/>
    </row>
    <row r="27" spans="1:17" x14ac:dyDescent="0.25">
      <c r="A27" s="116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8"/>
      <c r="N27" s="155"/>
      <c r="O27" s="207"/>
      <c r="P27" s="207"/>
      <c r="Q27" s="120"/>
    </row>
    <row r="28" spans="1:17" x14ac:dyDescent="0.25">
      <c r="A28" s="116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8"/>
      <c r="N28" s="155"/>
      <c r="O28" s="207"/>
      <c r="P28" s="207"/>
      <c r="Q28" s="120"/>
    </row>
    <row r="29" spans="1:17" x14ac:dyDescent="0.25">
      <c r="A29" s="116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8"/>
      <c r="N29" s="155"/>
      <c r="O29" s="207"/>
      <c r="P29" s="207"/>
      <c r="Q29" s="120"/>
    </row>
    <row r="30" spans="1:17" x14ac:dyDescent="0.25">
      <c r="A30" s="116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8"/>
      <c r="N30" s="155"/>
      <c r="O30" s="207"/>
      <c r="P30" s="207"/>
      <c r="Q30" s="120"/>
    </row>
    <row r="31" spans="1:17" x14ac:dyDescent="0.25">
      <c r="A31" s="11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8"/>
      <c r="N31" s="155"/>
      <c r="O31" s="207"/>
      <c r="P31" s="207"/>
      <c r="Q31" s="120"/>
    </row>
    <row r="32" spans="1:17" x14ac:dyDescent="0.25">
      <c r="A32" s="116"/>
      <c r="B32" s="117"/>
      <c r="C32" s="117"/>
      <c r="D32" s="117"/>
      <c r="E32" s="117"/>
      <c r="F32" s="155"/>
      <c r="G32" s="117"/>
      <c r="H32" s="117"/>
      <c r="I32" s="117"/>
      <c r="J32" s="117"/>
      <c r="K32" s="117"/>
      <c r="L32" s="117"/>
      <c r="M32" s="118"/>
      <c r="N32" s="155"/>
      <c r="O32" s="200"/>
      <c r="P32" s="200"/>
      <c r="Q32" s="120"/>
    </row>
    <row r="33" spans="1:17" x14ac:dyDescent="0.25">
      <c r="A33" s="116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8"/>
      <c r="N33" s="155"/>
      <c r="O33" s="200"/>
      <c r="P33" s="200"/>
      <c r="Q33" s="120"/>
    </row>
    <row r="34" spans="1:17" x14ac:dyDescent="0.25">
      <c r="A34" s="116"/>
      <c r="B34" s="117"/>
      <c r="C34" s="117"/>
      <c r="D34" s="117"/>
      <c r="E34" s="117"/>
      <c r="F34" s="155"/>
      <c r="G34" s="117"/>
      <c r="H34" s="117"/>
      <c r="I34" s="117"/>
      <c r="J34" s="117"/>
      <c r="K34" s="117"/>
      <c r="L34" s="117"/>
      <c r="M34" s="118"/>
      <c r="N34" s="155"/>
      <c r="O34" s="200"/>
      <c r="P34" s="200"/>
      <c r="Q34" s="120"/>
    </row>
    <row r="35" spans="1:17" x14ac:dyDescent="0.25">
      <c r="A35" s="116"/>
      <c r="B35" s="117"/>
      <c r="C35" s="117"/>
      <c r="D35" s="117"/>
      <c r="E35" s="117"/>
      <c r="F35" s="155"/>
      <c r="G35" s="117"/>
      <c r="H35" s="117"/>
      <c r="I35" s="117"/>
      <c r="J35" s="117"/>
      <c r="K35" s="117"/>
      <c r="L35" s="117"/>
      <c r="M35" s="118"/>
      <c r="N35" s="155"/>
      <c r="O35" s="200"/>
      <c r="P35" s="200"/>
      <c r="Q35" s="120"/>
    </row>
    <row r="36" spans="1:17" x14ac:dyDescent="0.25">
      <c r="A36" s="121"/>
      <c r="B36" s="122"/>
      <c r="C36" s="122"/>
      <c r="D36" s="122"/>
      <c r="E36" s="122"/>
      <c r="F36" s="123"/>
      <c r="G36" s="122"/>
      <c r="H36" s="122"/>
      <c r="I36" s="122"/>
      <c r="J36" s="122"/>
      <c r="K36" s="122"/>
      <c r="L36" s="122"/>
      <c r="M36" s="124"/>
      <c r="N36" s="125"/>
      <c r="O36" s="211"/>
      <c r="P36" s="211"/>
      <c r="Q36" s="120"/>
    </row>
    <row r="37" spans="1:17" ht="15.75" thickBot="1" x14ac:dyDescent="0.3">
      <c r="A37" s="126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8"/>
      <c r="N37" s="127"/>
      <c r="O37" s="212"/>
      <c r="P37" s="212"/>
      <c r="Q37" s="129"/>
    </row>
    <row r="38" spans="1:17" ht="15.75" thickBot="1" x14ac:dyDescent="0.3">
      <c r="A38" s="213" t="s">
        <v>160</v>
      </c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130">
        <f>SUM(Q15:Q37)</f>
        <v>60000</v>
      </c>
    </row>
    <row r="39" spans="1:17" ht="15.75" thickBot="1" x14ac:dyDescent="0.3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</row>
    <row r="40" spans="1:17" ht="15.75" thickBot="1" x14ac:dyDescent="0.3">
      <c r="A40" s="208" t="s">
        <v>100</v>
      </c>
      <c r="B40" s="208"/>
      <c r="C40" s="208"/>
      <c r="D40" s="208"/>
      <c r="E40" s="208"/>
      <c r="F40" s="208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</row>
    <row r="41" spans="1:17" ht="15.75" thickBot="1" x14ac:dyDescent="0.3">
      <c r="A41" s="210" t="str">
        <f>'NP MS'!D8</f>
        <v>ADQUISICION DEL RUBRO ALIMENTOS PARA PERSONAS (BIDONES DE AGUA)</v>
      </c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</row>
    <row r="42" spans="1:17" ht="15.75" thickBot="1" x14ac:dyDescent="0.3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SAF 011</vt:lpstr>
      <vt:lpstr>NP LABORATORIO</vt:lpstr>
      <vt:lpstr>NP BANCO DE SANGRE</vt:lpstr>
      <vt:lpstr>NP APS</vt:lpstr>
      <vt:lpstr>NP ODONTOLOGIA</vt:lpstr>
      <vt:lpstr>NP SAME</vt:lpstr>
      <vt:lpstr>NP MALBRAN</vt:lpstr>
      <vt:lpstr>NP SASP</vt:lpstr>
      <vt:lpstr>APG SASP Y DEPENDENCIAS</vt:lpstr>
      <vt:lpstr>NP CANCER</vt:lpstr>
      <vt:lpstr>NP MEDIO AMBIENTE</vt:lpstr>
      <vt:lpstr>NP CRONICAS</vt:lpstr>
      <vt:lpstr>NP VECTORES</vt:lpstr>
      <vt:lpstr>NP EPIDEMIOLOGIA</vt:lpstr>
      <vt:lpstr>APG DEPENDENCIAS SMPyPS</vt:lpstr>
      <vt:lpstr>NP SPyGS</vt:lpstr>
      <vt:lpstr>APG SPyGS</vt:lpstr>
      <vt:lpstr>NP SSMyA</vt:lpstr>
      <vt:lpstr>APG SSMyA</vt:lpstr>
      <vt:lpstr>NP MS</vt:lpstr>
      <vt:lpstr>APG 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dcterms:created xsi:type="dcterms:W3CDTF">2021-11-12T17:27:33Z</dcterms:created>
  <dcterms:modified xsi:type="dcterms:W3CDTF">2022-02-14T12:16:06Z</dcterms:modified>
</cp:coreProperties>
</file>