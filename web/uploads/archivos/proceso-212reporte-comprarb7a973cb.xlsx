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8800" windowHeight="11610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comparativo'!$AQ$8:$AT$8,'Cuadro comparativo'!$AU$8:$AX$8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57" i="2" l="1"/>
  <c r="M57" i="2"/>
  <c r="Q57" i="2"/>
  <c r="U57" i="2"/>
  <c r="Y57" i="2"/>
  <c r="AC57" i="2"/>
  <c r="AG57" i="2"/>
  <c r="AK57" i="2"/>
  <c r="AO57" i="2"/>
  <c r="AS57" i="2"/>
  <c r="AW57" i="2"/>
</calcChain>
</file>

<file path=xl/sharedStrings.xml><?xml version="1.0" encoding="utf-8"?>
<sst xmlns="http://schemas.openxmlformats.org/spreadsheetml/2006/main" count="490" uniqueCount="328">
  <si>
    <t>Número expediente:</t>
  </si>
  <si>
    <t>EX-2022-01732165-   -CAT-DPCBS#MEC</t>
  </si>
  <si>
    <t>Número proceso de compra:</t>
  </si>
  <si>
    <t>100-0167-CDI22</t>
  </si>
  <si>
    <t>Nombre descriptivo proceso de compra:</t>
  </si>
  <si>
    <t>Adquisición de Insumos comunes destinado al servicio de Farmacia del Hospital de Niños Eva Perón</t>
  </si>
  <si>
    <t>Unidad Operativa de Compras:</t>
  </si>
  <si>
    <t>Secretaria de Compras y Abastecimiento</t>
  </si>
  <si>
    <t>Fecha de Apertura:</t>
  </si>
  <si>
    <t>26/09/2022</t>
  </si>
  <si>
    <t>Renglón</t>
  </si>
  <si>
    <t>Pharma Express S.A.</t>
  </si>
  <si>
    <t>ASSERCA SRL</t>
  </si>
  <si>
    <t>Euro Swiss SA</t>
  </si>
  <si>
    <t>MAX CONTINENTAL S.A.</t>
  </si>
  <si>
    <t>SEISEME S.A.</t>
  </si>
  <si>
    <t>PRODUMED SRL</t>
  </si>
  <si>
    <t>MAURICIO MOSSE</t>
  </si>
  <si>
    <t>ANA GABRIELA CORDOBA</t>
  </si>
  <si>
    <t>MEDICINA INTEGRAL SRL</t>
  </si>
  <si>
    <t>MACROPHARMA S.A</t>
  </si>
  <si>
    <t>BYMED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</si>
  <si>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</si>
  <si>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</si>
  <si>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</si>
  <si>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</si>
  <si>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</si>
  <si>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</si>
  <si>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</si>
  <si>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</si>
  <si>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</si>
  <si>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</si>
  <si>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2.9.5-441.470 </t>
  </si>
  <si>
    <t xml:space="preserve">AGUJAS QUIRURGICAS; TIPO: TERUMO 21GX1", ESPECIFICACION: 25/8, UNIDAD VENTA: CAJA 
X 100, PRESENTACION: CAJA X 100 </t>
  </si>
  <si>
    <t xml:space="preserve">UNIDAD </t>
  </si>
  <si>
    <t xml:space="preserve">Agujas hipoderm. est. desc. 25/8 caja x 100 - Marca 
Euromix </t>
  </si>
  <si>
    <t xml:space="preserve">Aguja Hipo. 21Gx1" - 25/8 (x100) WEIGAO CODIGO: I001-000028 MARCA 
WEIGAO ORIGEN: CHINA PM: 2106-5  </t>
  </si>
  <si>
    <t xml:space="preserve">Aguja hipoderm est desc 25/ 8 (21 x 1) -CJx100- 
Euromix </t>
  </si>
  <si>
    <t xml:space="preserve">AGUJAS 25//8 X 100 MARCA CONTINENTA Certificado: PM 2055-117 </t>
  </si>
  <si>
    <t xml:space="preserve">AGUJA HIPODÉRMICA TERUMO 25/8 (21G X 1) CAJA 100 UN 
PM 236-34  </t>
  </si>
  <si>
    <t xml:space="preserve">BREMEN ANMAT 236-71 </t>
  </si>
  <si>
    <t xml:space="preserve">AGUJA DESCARTABLE - 25X8 (21GX1) - TERUMO - ANMAT:PM 236-34 
</t>
  </si>
  <si>
    <t xml:space="preserve">2 </t>
  </si>
  <si>
    <t xml:space="preserve">2.9.5-441.471 </t>
  </si>
  <si>
    <t xml:space="preserve">AGUJAS QUIRURGICAS; TIPO: TERUMO 25GX5/8", ESPECIFICACION: 16/5, UNIDAD VENTA: CAJA 
X 100, PRESENTACION: CAJA X 100 </t>
  </si>
  <si>
    <t xml:space="preserve">Aguja Hipo. 25G X 5/8" - 16/5  (x100) WEIGAO 
CODIGO: I001-000028 MARCA WEIGAO ORIGEN: CHINA PM: 2106-5  </t>
  </si>
  <si>
    <t xml:space="preserve">AGUJAS 16//5 X 100  MARCA CONTINENTA Certificado: PM 2055-117 
</t>
  </si>
  <si>
    <t xml:space="preserve">AGUJA HIPODÉRMICA TERUMO 16/5 (25G X 5/8) CAJA 100 UN 
PM 236-34  </t>
  </si>
  <si>
    <t xml:space="preserve">AGUJA DESCARTABLE - 16X5 (25G 5/8'') - TERUMO. ANMAT:PM 236-34 
</t>
  </si>
  <si>
    <t xml:space="preserve">3 </t>
  </si>
  <si>
    <t xml:space="preserve">2.9.5-441.472 </t>
  </si>
  <si>
    <t xml:space="preserve">AGUJAS QUIRURGICAS; TIPO: 25GX5/8", ESPECIFICACION: 16/5, UNIDAD VENTA: CAJA X 
100 UN, PRESENTACION: CAJA X 100 UN </t>
  </si>
  <si>
    <t xml:space="preserve">AGUJA HIPODÉRMICA BREMEN 16/5 (25G X 5/8) CAJA 100 UN 
PM 236-16  </t>
  </si>
  <si>
    <t xml:space="preserve">AGUJA DESCARTABLE - 16X5 (25Gx5/8) - BREMEN - Anmat:PM 236-77 
</t>
  </si>
  <si>
    <t xml:space="preserve">AGUJAS DESRT 16/5 CAJA X 100UNID NOVAMED PM129-215 </t>
  </si>
  <si>
    <t xml:space="preserve">4 </t>
  </si>
  <si>
    <t xml:space="preserve">2.9.5-441.92 </t>
  </si>
  <si>
    <t xml:space="preserve">AGUJAS QUIRURGICAS; TIPO: DESCARTABLE, ESPECIFICACION: 25 X 0,8, UNIDAD VENTA: 
CAJA X 100, PRESENTACION: CAJA X 100 </t>
  </si>
  <si>
    <t xml:space="preserve">AGUJAS 25//8 X 100  MARCA CONTINENTA Certificado: PM 2055-117 
</t>
  </si>
  <si>
    <t xml:space="preserve">AGUJA HIPODÉRMICA BREMEN 25/8 (21G X 1) CAJA 100 UN 
PM 236-16  </t>
  </si>
  <si>
    <t xml:space="preserve">EUROMIX ANMAT 1440-79 </t>
  </si>
  <si>
    <t xml:space="preserve">AGUJA DESCARTABLE - 25X8 (21Gx1) - BREMEN - Anmat:PM 236-77 
</t>
  </si>
  <si>
    <t xml:space="preserve">AGUJAS DESRT 25/8 CAJA X 100UNID NOVAMED PM 129-215 </t>
  </si>
  <si>
    <t xml:space="preserve">agujas 25/8. marca nipro pm 877-4 </t>
  </si>
  <si>
    <t xml:space="preserve">5 </t>
  </si>
  <si>
    <t xml:space="preserve">2.9.5-441.356 </t>
  </si>
  <si>
    <t xml:space="preserve">AGUJAS QUIRURGICAS; TIPO: DESCARTABLE, ESPECIFICACION: 40/12, PRESENTACION: ENVASE X 100 
UN </t>
  </si>
  <si>
    <t xml:space="preserve">AGUJA HIPO. 18GX1 1/2" - 40/12 (X100) MARCA WEIGAO ORIGEN: 
CHINA PM: 2106-5 CODIGO: I001-000024  </t>
  </si>
  <si>
    <t xml:space="preserve">AGUJAS 40/12 X 100  MARCA CONTINENTA Certificado: PM 2055-117 
</t>
  </si>
  <si>
    <t xml:space="preserve">AGUJA HIPODÉRMICA BREMEN 40/12 (18G X 1½) CAJA 100 UN 
PM 236-16  </t>
  </si>
  <si>
    <t xml:space="preserve">AGUJAS DESRT 40/12 CAJA X 100UNID  NOVAMED PM 129-215 
</t>
  </si>
  <si>
    <t xml:space="preserve">6 </t>
  </si>
  <si>
    <t xml:space="preserve">2.9.5-441.51 </t>
  </si>
  <si>
    <t xml:space="preserve">AGUJAS QUIRURGICAS; TIPO: DESCARTABLE, UNIDAD VENTA: 100, ESPECIFICACION: 40/8, PRESENTACION: 
100 </t>
  </si>
  <si>
    <t xml:space="preserve">Agujas hipoderm esteril desc. 40/8 - Marca Euromix </t>
  </si>
  <si>
    <t xml:space="preserve">AGUJA HIPO. 21GX1 1/2" - 40/8 (X100) WEIGAO CODIGO: 001-000026 
ORIGEN: CHINA PM: 2106-5  </t>
  </si>
  <si>
    <t xml:space="preserve">Aguja hipoderm est desc 40/ 8 (21 x 1 1/2) 
-CJx100- Euromix </t>
  </si>
  <si>
    <t xml:space="preserve">AGUJAS 40/8 X 100.  MARCA CONTINENTA Certificado: PM 2055-117 
</t>
  </si>
  <si>
    <t xml:space="preserve">AGUJA HIPODÉRMICA BREMEN 40/8 (21G X 1½) CAJA 100 UN 
PM 236-16  </t>
  </si>
  <si>
    <t xml:space="preserve">AGUJAS DESRT 40/8 CAJA X 100UNID NOVAMED PM 129-215 </t>
  </si>
  <si>
    <t xml:space="preserve">7 </t>
  </si>
  <si>
    <t xml:space="preserve">2.9.5-441.245 </t>
  </si>
  <si>
    <t xml:space="preserve">AGUJAS QUIRURGICAS; TIPO: ESTERIL, ESPECIFICACION: 50/8, UNIDAD VENTA: CAJA X 
100 UN, PRESENTACION: CAJA X 100 UN </t>
  </si>
  <si>
    <t xml:space="preserve">agujas 50/8 EUROMIX cert PM 1173-5 </t>
  </si>
  <si>
    <t xml:space="preserve">8 </t>
  </si>
  <si>
    <t xml:space="preserve">2.5.1-9004.1319 </t>
  </si>
  <si>
    <t xml:space="preserve">SALES; COMPUESTO QUIMICO: CAL SODADA, ESTADO: GRANULADO, CALIDAD: MEDICA, PRESENTACION: 
ENVASE X 1 KG </t>
  </si>
  <si>
    <t xml:space="preserve">Cal sodada x 1 kg. - marca Iqb </t>
  </si>
  <si>
    <t xml:space="preserve">ATRASORB ANMAT 1440-146 </t>
  </si>
  <si>
    <t xml:space="preserve">9 </t>
  </si>
  <si>
    <t xml:space="preserve">2.9.5-2505.24 </t>
  </si>
  <si>
    <t xml:space="preserve">BOLSAS COLECTORAS; TIPO: DE ORINA, USO: PEDIATRICO, CAPACIDAD: 100 CM3 
</t>
  </si>
  <si>
    <t xml:space="preserve">BOLSAS COLECTORAS ORINA INFUMED PEDIA.X 1 MARCA INFUMED Certificado: PM 
2055-9 </t>
  </si>
  <si>
    <t xml:space="preserve">EUROMIX ANMAT 1440-82 </t>
  </si>
  <si>
    <t xml:space="preserve">10 </t>
  </si>
  <si>
    <t xml:space="preserve">2.9.5-2160.10 </t>
  </si>
  <si>
    <t xml:space="preserve">DESCARTADORES DE AGUJAS; BOCA: 2, CAPACIDAD: 2 L, MODELO: P/AGUJAS 
COLECTA MULTIPLE, MODELO EQUIPO: P/AGUJAS COLECTA MULTIPLE, SISTEMA DE CIERRE: 
P/AGUJAS COLECTA MULTIPLE </t>
  </si>
  <si>
    <t xml:space="preserve">Descartador de agujas de 2 lts. virgen M2 - marca 
Clean </t>
  </si>
  <si>
    <t xml:space="preserve">Descartador agujas y cortop 2lts E2 -Export- EXCELENT </t>
  </si>
  <si>
    <t xml:space="preserve">CORONET D2 ANMAT NO LLEVA PM </t>
  </si>
  <si>
    <t xml:space="preserve">Descartador de Agujas - 2000 CC - VITIS </t>
  </si>
  <si>
    <t xml:space="preserve">marca E2 descartadores cert PM  </t>
  </si>
  <si>
    <t xml:space="preserve">11 </t>
  </si>
  <si>
    <t xml:space="preserve">2.9.5-2225.87 </t>
  </si>
  <si>
    <t xml:space="preserve">ELECTRODOS P/MEDICINA; TIPO: ECG, USO: MONITORIZACION, PIN: SIN, AGUJA: SIN, 
DESCARTABLE: SI </t>
  </si>
  <si>
    <t xml:space="preserve">Electrodos descartables adulto - Marca Skintact </t>
  </si>
  <si>
    <t xml:space="preserve">Electrodo desc adulto F-RG1 SKINTACT </t>
  </si>
  <si>
    <t xml:space="preserve">ELECTRODOS IMPORT. X 1 U. "FOAM"  MARCA CONTINENTA Certificado: 
PM 2055-125 </t>
  </si>
  <si>
    <t xml:space="preserve">SKINTACT ANMAT 1440-37 </t>
  </si>
  <si>
    <t xml:space="preserve">12 </t>
  </si>
  <si>
    <t xml:space="preserve">2.9.5-448.46 </t>
  </si>
  <si>
    <t xml:space="preserve">FRASCOS ESTERILES; CAPACIDAD: 125 mL, PRESENTACION: UNIDAD, GRABADO: SIN, USO: 
UROCULTIVO </t>
  </si>
  <si>
    <t xml:space="preserve">Frasco esteriles x 125 ml. - marca Massobact </t>
  </si>
  <si>
    <t xml:space="preserve">Recolector de orina esteril 125ml Euromix </t>
  </si>
  <si>
    <t xml:space="preserve">ENVASE ESTÉRIL COLECTORA DE ORINA GREYTON  (125 CC  
) BOLSA 1 UN 847-2  </t>
  </si>
  <si>
    <t xml:space="preserve">ELIT ANMAT 847-2 </t>
  </si>
  <si>
    <t xml:space="preserve">FRASCOS ESTERILES 125ML ELIT   PM 847-2 </t>
  </si>
  <si>
    <t xml:space="preserve">frasco esteril marca greyton PM </t>
  </si>
  <si>
    <t xml:space="preserve">13 </t>
  </si>
  <si>
    <t xml:space="preserve">2.5.2-3584.1 </t>
  </si>
  <si>
    <t xml:space="preserve">GEL P/ECOGRAFIA; PRESENTACION: ENVASE X 1 Kg </t>
  </si>
  <si>
    <t xml:space="preserve">Gel para ecografia x 1 kg. - Marca IQB </t>
  </si>
  <si>
    <t xml:space="preserve">DELVA ANMAT NO LLEVA PM </t>
  </si>
  <si>
    <t xml:space="preserve">14 </t>
  </si>
  <si>
    <t xml:space="preserve">2.9.5-444.60 </t>
  </si>
  <si>
    <t xml:space="preserve">HOJAS DE BISTURI; TIPO: CAJA X 100 UN, Nº: 10, 
NUMERO: 10 </t>
  </si>
  <si>
    <t xml:space="preserve">HOJAS PARA BISTURÍ  BREMEN  (Nº 10) CAJA 100 
UN PM 236-69  </t>
  </si>
  <si>
    <t xml:space="preserve">EUROMIX ANMAT 1440-87 </t>
  </si>
  <si>
    <t xml:space="preserve">15 </t>
  </si>
  <si>
    <t xml:space="preserve">2.9.5-444.22 </t>
  </si>
  <si>
    <t xml:space="preserve">HOJAS DE BISTURI; TIPO: CAJA X 100 UN, Nº: 11, 
NUMERO: 11 </t>
  </si>
  <si>
    <t xml:space="preserve">HOJAS PARA BISTURÍ  BREMEN  (Nº 11) CAJA 100 
UN PM 236-69  </t>
  </si>
  <si>
    <t xml:space="preserve">16 </t>
  </si>
  <si>
    <t xml:space="preserve">2.9.5-444.24 </t>
  </si>
  <si>
    <t xml:space="preserve">HOJAS DE BISTURI; TIPO: CAJA X 100 UN, Nº: 15, 
NUMERO: 15 </t>
  </si>
  <si>
    <t xml:space="preserve">HOJAS PARA BISTURÍ  BREMEN  (Nº 15) CAJA 100 
UN 236-69 </t>
  </si>
  <si>
    <t xml:space="preserve">HUAIYIN ANMAT 1678-29 </t>
  </si>
  <si>
    <t xml:space="preserve">HOJA DE BISTURY N°15 CAJA X 100UNDAD HUIYING PM 1678-29 
</t>
  </si>
  <si>
    <t xml:space="preserve">17 </t>
  </si>
  <si>
    <t xml:space="preserve">2.9.5-444.31 </t>
  </si>
  <si>
    <t xml:space="preserve">HOJAS DE BISTURI; TIPO: CAJA X 100 UN, Nº: 22, 
NUMERO: 22 </t>
  </si>
  <si>
    <t xml:space="preserve">HOJAS PARA BISTURÍ  BREMEN  (Nº 22) CAJA 100 
UN PM 236-69  </t>
  </si>
  <si>
    <t xml:space="preserve">HOJA DE BISTURY N°22 CAJA X 100UNDAD HUIYING PM 1678-29 
</t>
  </si>
  <si>
    <t xml:space="preserve">18 </t>
  </si>
  <si>
    <t xml:space="preserve">2.9.5-444.61 </t>
  </si>
  <si>
    <t xml:space="preserve">HOJAS DE BISTURI; TIPO: CAJA X 100 UN, Nº: 23, 
NUMERO: 23 </t>
  </si>
  <si>
    <t xml:space="preserve">HOJAS PARA BISTURÍ  BREMEN  (Nº 23) CAJA 100 
UN PM 236-69 </t>
  </si>
  <si>
    <t xml:space="preserve">HOJA DE BISTURY N°23 CAJA X 100UNDAD HUIYING PM 1678-29 
</t>
  </si>
  <si>
    <t xml:space="preserve">19 </t>
  </si>
  <si>
    <t xml:space="preserve">2.9.5-444.32 </t>
  </si>
  <si>
    <t xml:space="preserve">HOJAS DE BISTURI; TIPO: CAJA X 100 UN, Nº: 24, 
NUMERO: 24 </t>
  </si>
  <si>
    <t xml:space="preserve">HOJAS PARA BISTURÍ  BREMEN  (Nº 24) CAJA 100 
UN PM 236-69  </t>
  </si>
  <si>
    <t xml:space="preserve">HOJA DE BISTURI Nº 24 - 100 U - BREMEN 
</t>
  </si>
  <si>
    <t xml:space="preserve">HOJA DE BISTURY N°24 CAJA X 100UNDAD HUIYING PM 1678-29 
</t>
  </si>
  <si>
    <t xml:space="preserve">20 </t>
  </si>
  <si>
    <t xml:space="preserve">2.9.5-2157.60 </t>
  </si>
  <si>
    <t xml:space="preserve">JERINGAS DESCARTABLES; CAPACIDAD: 10 mL, AGUJA: SIN, USO: MEDICINAL </t>
  </si>
  <si>
    <t xml:space="preserve">Jeringa 3 elementos sin aguja x 10 ml - Marca 
I.CO / SR </t>
  </si>
  <si>
    <t xml:space="preserve">Jeringa desc est 10cc s/ag Euromix </t>
  </si>
  <si>
    <t xml:space="preserve">JERINGAS 10 S/A  MARCA CONTINENTA Certificado: PM 2055-112 </t>
  </si>
  <si>
    <t xml:space="preserve">JERINGA 10CC BREMEN S/AGUJA (LISO)  PM 236-15  </t>
  </si>
  <si>
    <t xml:space="preserve">EUROMIX ANMAT 1440-155 </t>
  </si>
  <si>
    <t xml:space="preserve">JERINGA SIN AGUJA - 10 ML - BREMEN - Anmat:PM 
236-77 </t>
  </si>
  <si>
    <t xml:space="preserve">JERINGA DEST 10 CC S A  NOVAMED  PM 
129-243 </t>
  </si>
  <si>
    <t xml:space="preserve"> SR ANMAT PM 1917 </t>
  </si>
  <si>
    <t xml:space="preserve">21 </t>
  </si>
  <si>
    <t xml:space="preserve">2.9.5-2157.120 </t>
  </si>
  <si>
    <t xml:space="preserve">JERINGAS DESCARTABLES; CAPACIDAD: 20 CM3, AGUJA: SIN, USO: MEDICINAL </t>
  </si>
  <si>
    <t xml:space="preserve">Jeringa de 3 elementos sin aguja x 20 ml - 
Marca SR / I.CO </t>
  </si>
  <si>
    <t xml:space="preserve">Jeringa desc est 20cc s/ag Euromix </t>
  </si>
  <si>
    <t xml:space="preserve">JERINGAS 20 S/A  MARCA CONTINENTA Certificado: PM 2055-112 </t>
  </si>
  <si>
    <t xml:space="preserve">JERINGA DEST 20 CC S A  NOVAMED PM 129-243 
</t>
  </si>
  <si>
    <t xml:space="preserve">SR ANMAT 1977 </t>
  </si>
  <si>
    <t xml:space="preserve">22 </t>
  </si>
  <si>
    <t xml:space="preserve">2.9.5-2157.67 </t>
  </si>
  <si>
    <t xml:space="preserve">JERINGAS DESCARTABLES; CAPACIDAD: 5 CM3, AGUJA: SIN, USO: SIN VALOR 
</t>
  </si>
  <si>
    <t xml:space="preserve">Jeringa 3 elementos x 5 ml - Marca I.CO / 
SR </t>
  </si>
  <si>
    <t xml:space="preserve">Jeringa desc est  5cc s/ag Euromix </t>
  </si>
  <si>
    <t xml:space="preserve">JERINGAS 5 S/A  MARCA CONTINENTA Certificado: PM 2055-112 </t>
  </si>
  <si>
    <t xml:space="preserve">JERINGA 5CC BREMEN S/AGUJA (LISO)  PM 236-15  </t>
  </si>
  <si>
    <t xml:space="preserve">JERINGA SIN AGUJA - 5 ML - BREMEN - Anmat:PM 
236-77 </t>
  </si>
  <si>
    <t xml:space="preserve">JERINGA DEST 5 CC S A  NOVAMED  PM 
129-243 </t>
  </si>
  <si>
    <t xml:space="preserve">23 </t>
  </si>
  <si>
    <t xml:space="preserve">2.9.5-2157.86 </t>
  </si>
  <si>
    <t xml:space="preserve">JERINGAS DESCARTABLES; CAPACIDAD: 60 CM3, AGUJA: SIN, USO: SIN VALOR 
</t>
  </si>
  <si>
    <t xml:space="preserve">Jeringa desc. 3 elementos sin aguja x 60 ml - 
Marca SR </t>
  </si>
  <si>
    <t xml:space="preserve">Jeringa desc est 60cc s/ag Euromix </t>
  </si>
  <si>
    <t xml:space="preserve">JERINGAS 60 S/A  MARCA CONTINENTA Certificado: PM 2055-112 </t>
  </si>
  <si>
    <t xml:space="preserve">JERINGA 60CC BREMEN S/AGUJA (LISO)  PM 236-15  </t>
  </si>
  <si>
    <t xml:space="preserve">JERINGA DEST 60 CC S A  KANGJIN  PM 
129-39 </t>
  </si>
  <si>
    <t xml:space="preserve">24 </t>
  </si>
  <si>
    <t xml:space="preserve">2.9.5-2157.99 </t>
  </si>
  <si>
    <t xml:space="preserve">JERINGAS DESCARTABLES; CAPACIDAD: 1 CM3, AGUJA: SIN, USO: TUBERCULINA </t>
  </si>
  <si>
    <t xml:space="preserve">Jeringa de 3 elementos x 1 ml - Marca SR 
</t>
  </si>
  <si>
    <t xml:space="preserve">JERINGAS INS./TUBERC.100U - SIN AGUJA  MARCA CONTINENTA Certificado: PM 
2055-114 </t>
  </si>
  <si>
    <t xml:space="preserve">JERINGA TUB 1CC BREMEN S/AGUJA (LISO) PM 236-15 </t>
  </si>
  <si>
    <t xml:space="preserve">JERINGA DEST 1 CC S A   KANGJIN  
 PM 129-39 </t>
  </si>
  <si>
    <t xml:space="preserve">25 </t>
  </si>
  <si>
    <t xml:space="preserve">2.9.5-2157.140 </t>
  </si>
  <si>
    <t xml:space="preserve">JERINGAS DESCARTABLES; CAPACIDAD: 2,5 mL, AGUJA: SIN, USO: MEDICINAL </t>
  </si>
  <si>
    <t xml:space="preserve">Jeringa de 3 elementos x 3 ml - Marca SR 
</t>
  </si>
  <si>
    <t xml:space="preserve">Jeringa desc est  3cc s/ag Euromix </t>
  </si>
  <si>
    <t xml:space="preserve">JERINGAS 2,5 S/A 20000.00  MARCA CONTINENTA Certificado: PM 2055-112 
 </t>
  </si>
  <si>
    <t xml:space="preserve">JERINGA 3CC BREMEN S/AGUJA (LISO) PM 236-15  </t>
  </si>
  <si>
    <t xml:space="preserve">JERINGA 3 CC EUROMIX ANMAT 1440-155 </t>
  </si>
  <si>
    <t xml:space="preserve">26 </t>
  </si>
  <si>
    <t xml:space="preserve">2.9.5-6535.3 </t>
  </si>
  <si>
    <t xml:space="preserve">MAMADERAS; MATERIAL: VIDRIO BOROSILICATO, TIPO: PYREX, TAPA: CON, VOLUMEN: 250 
mL </t>
  </si>
  <si>
    <t xml:space="preserve">FLAVIA ANMAT NO LLEVA PM </t>
  </si>
  <si>
    <t xml:space="preserve">27 </t>
  </si>
  <si>
    <t xml:space="preserve">2.9.5-461.78 </t>
  </si>
  <si>
    <t xml:space="preserve">VENDAS USO MEDICO; TIPO: OVATA, MEDIDA: 10 Cm </t>
  </si>
  <si>
    <t xml:space="preserve">Venda ovata x 10 cm x 3 mts . - 
Marca Ayep </t>
  </si>
  <si>
    <t xml:space="preserve">Venda ovata 10cm x 3mt AYEP </t>
  </si>
  <si>
    <t xml:space="preserve">AYEP ANMAT 1339-1 </t>
  </si>
  <si>
    <t xml:space="preserve">AYEP ANMAT PM 1339 </t>
  </si>
  <si>
    <t xml:space="preserve">28 </t>
  </si>
  <si>
    <t xml:space="preserve">2.9.9-2504.21 </t>
  </si>
  <si>
    <t xml:space="preserve">PAÑALES; USO: ADULTO, TIPO: DESCARTABLE XG </t>
  </si>
  <si>
    <t xml:space="preserve">NONISEC  ANMAT NO LLEVA PM </t>
  </si>
  <si>
    <t xml:space="preserve">PAÑALES PARA ADULTO XG  NONICEC  </t>
  </si>
  <si>
    <t xml:space="preserve">29 </t>
  </si>
  <si>
    <t xml:space="preserve">2.9.9-2504.11 </t>
  </si>
  <si>
    <t xml:space="preserve">PAÑALES; TIPO: DESCARTABLE, USO: NIÑOS EXTRAGRANDE 12 A 15 Kg 
</t>
  </si>
  <si>
    <t xml:space="preserve">30 </t>
  </si>
  <si>
    <t xml:space="preserve">2.9.9-2504.13 </t>
  </si>
  <si>
    <t xml:space="preserve">PAÑALES; TIPO: DESCARTABLE, USO: GRANDE 9 A 12,5 Kg </t>
  </si>
  <si>
    <t xml:space="preserve">31 </t>
  </si>
  <si>
    <t xml:space="preserve">2.9.5-2205.31 </t>
  </si>
  <si>
    <t xml:space="preserve">PROLONGADORES P/GUIA SUERO; USO: ADMINISTRACION DE SOLUCIONES, MODELO: PT26 LONGITUD: 
30 CM </t>
  </si>
  <si>
    <t xml:space="preserve">Prolongador p guia suero PT 26 X 30 CM. - 
Marca Dismequi </t>
  </si>
  <si>
    <t xml:space="preserve">PROLONGADOR 2,8 MM/30 CM.  MARCA HARSORIA Certificado: PM 2055-35 
</t>
  </si>
  <si>
    <t xml:space="preserve">LUER SLIP - EUROMIX ANMAT 1440-80 </t>
  </si>
  <si>
    <t xml:space="preserve">32 </t>
  </si>
  <si>
    <t xml:space="preserve">2.9.5-2205.32 </t>
  </si>
  <si>
    <t xml:space="preserve">PROLONGADORES P/GUIA SUERO; USO: ADMINISTRACION DE SOLUCIONES, MODELO: PT26 LONGITUD: 
50 CM </t>
  </si>
  <si>
    <t xml:space="preserve">Prolongador para guia suero PT 26 X 0.50 CM - 
Marca Dismequi </t>
  </si>
  <si>
    <t xml:space="preserve">PROLONGADOR 2,8 MM/50 CM.  MARCA HARSORIA Certificado: PM 2055-35 
</t>
  </si>
  <si>
    <t xml:space="preserve">LUER SLIP EUROMIX ANMAT 1440-80 </t>
  </si>
  <si>
    <t xml:space="preserve">33 </t>
  </si>
  <si>
    <t xml:space="preserve">2.9.5-931.36 </t>
  </si>
  <si>
    <t xml:space="preserve">TELAS ADHESIVAS; ANCHO: 5 Cm, LONG.DE CUERPO: 9 M, TIPO: 
IMPERMEABLE </t>
  </si>
  <si>
    <t xml:space="preserve">Tela adhesiva  5cm x 9 mt (xu) Euromix </t>
  </si>
  <si>
    <t xml:space="preserve">TELA ADHSEIVA 5 X 9 MTRS   M HUA 
  PM 129-224 </t>
  </si>
  <si>
    <t xml:space="preserve">tela marca ADHESUR PM 913-08 </t>
  </si>
  <si>
    <t xml:space="preserve">TELAS ADHESIVAS; ANCHO: 5 Cm, LONG.DE CUERPO: 9 M, TIPO: 
IMPERMEABLE  MARCA HIDROSAN PM 926-3 </t>
  </si>
  <si>
    <t xml:space="preserve">34 </t>
  </si>
  <si>
    <t xml:space="preserve">2.9.5-931.47 </t>
  </si>
  <si>
    <t xml:space="preserve">TELAS ADHESIVAS; ANCHO: 2,5 Cm, LONG.DE CUERPO: 9 M, TIPO: 
HIPOALERGICA MICROPOROSA </t>
  </si>
  <si>
    <t xml:space="preserve">Tela adhesiva x 2.5 cm. x 9 mts. - Marca 
Hipoalergic </t>
  </si>
  <si>
    <t xml:space="preserve">Tela t/Micropore 2.5cm x 9m (xu) Euromix </t>
  </si>
  <si>
    <t xml:space="preserve">CINTA T/MICROPORE 2,5 CM/9M X ROLLO  MARCA MEDICON Certificado: 
PM 2055-34 </t>
  </si>
  <si>
    <t xml:space="preserve">CINTA ADHESIVA NO TEJIDA CORONET S/ RAC. (2,5 CM - 
9 MTS) PM 236-111 </t>
  </si>
  <si>
    <t xml:space="preserve">TIPO MICROPORE EUROMIX ANMAT 1440-143 </t>
  </si>
  <si>
    <t xml:space="preserve">TELA ADHSEIVA 2,5 X 9 MTRS   M HUA 
  PM 129-224 </t>
  </si>
  <si>
    <t xml:space="preserve">telaa adhesiva microspore. HIPOALERGIC PM 815-4 </t>
  </si>
  <si>
    <t xml:space="preserve">35 </t>
  </si>
  <si>
    <t xml:space="preserve">2.9.5-931.48 </t>
  </si>
  <si>
    <t xml:space="preserve">TELAS ADHESIVAS; ANCHO: 2,5 CM, LONG.DE CUERPO: 9 M, TIPO: 
HIPOALERGENICA MACROPOROSA TRANSPARENTE </t>
  </si>
  <si>
    <t xml:space="preserve">Tela adhesiva transpore 2.5 cm x 9 mts - Marca 
Euromix </t>
  </si>
  <si>
    <t xml:space="preserve">CINTA ADHESIVA PLÁSTICA CORONET S/ RAC. (2,5 CM - 9 
MTS) PM 236-111  </t>
  </si>
  <si>
    <t xml:space="preserve">TIPO TRANSPORE EUROMIX 1440-144 </t>
  </si>
  <si>
    <t xml:space="preserve">tela traspore HIPOALERGIC 815-4 </t>
  </si>
  <si>
    <t xml:space="preserve">36 </t>
  </si>
  <si>
    <t xml:space="preserve">2.9.5-931.9 </t>
  </si>
  <si>
    <t xml:space="preserve">TELAS ADHESIVAS; LONG.DE CUERPO: 9 M, ANCHO: 5.00 CM, TIPO: 
HIPOALERGENICA MACROPOROSA TRANSPARENTE </t>
  </si>
  <si>
    <t xml:space="preserve">Tela adhesiva transpore 5 cm x 9 mts - Marca 
Euromix </t>
  </si>
  <si>
    <t xml:space="preserve">TIPO TRANSPORE EUROMIX ANMAT 1440-144 </t>
  </si>
  <si>
    <t xml:space="preserve">tela traspore HIPOALERGIC pm 815-4 </t>
  </si>
  <si>
    <t xml:space="preserve">37 </t>
  </si>
  <si>
    <t xml:space="preserve">2.9.5-3751.41 </t>
  </si>
  <si>
    <t xml:space="preserve">TERMOMETROS MEDICINALES; TIPO: DIGITAL, ESCALA: GRADO CENTIGRADO, RANGO DE TEMPERATURA: 
35,5 A 42 °C </t>
  </si>
  <si>
    <t xml:space="preserve">Termometro digital. ETEMP </t>
  </si>
  <si>
    <t xml:space="preserve">TERMÓMETRO DIGITAL AXILAR DT-K11B EXATHERM  CAJA X 1 UN 
PM 236-99  </t>
  </si>
  <si>
    <t xml:space="preserve">ETEMP ANMAT NO LLEVA PM  </t>
  </si>
  <si>
    <t xml:space="preserve">38 </t>
  </si>
  <si>
    <t xml:space="preserve">2.9.5-6526.58 </t>
  </si>
  <si>
    <t xml:space="preserve">TUBOS P/MEDICINA; TIPO: DE LATEX, USO: P/DRENAJE, PRESENTACION: 1 M, 
DIMENSION: 3 X 5 MM </t>
  </si>
  <si>
    <t xml:space="preserve">39 </t>
  </si>
  <si>
    <t xml:space="preserve">2.9.5-2569.29 </t>
  </si>
  <si>
    <t xml:space="preserve">TUBOS TRAQUEALES; TIPO: ENDOTRAQUEAL C/BALON, NUMERO: 4 MM </t>
  </si>
  <si>
    <t xml:space="preserve">TUBO ENDOTRAQUEAL N.04 C/ BALON  MARCA CONTINENTA Certificado: PM 
2055-43 </t>
  </si>
  <si>
    <t xml:space="preserve">ELIT ANMAT 2220-97 </t>
  </si>
  <si>
    <t xml:space="preserve">TUBOS ENDOTRAQUELABL CON BALON N° 4 NOVAMED STAR PM 129-181 
</t>
  </si>
  <si>
    <t xml:space="preserve">40 </t>
  </si>
  <si>
    <t xml:space="preserve">2.9.5-2569.28 </t>
  </si>
  <si>
    <t xml:space="preserve">TUBOS TRAQUEALES; TIPO: ENDOTRAQUEAL C/BALON, NUMERO: 4,5 MM </t>
  </si>
  <si>
    <t xml:space="preserve">TUBO ENDOTRAQUEAL N.04 1/2 C/BALON  MARCA CONTINENTA Certificado: PM 
2055-43 </t>
  </si>
  <si>
    <t xml:space="preserve">TUBOS ENDOTRAQUELABL CON BALON N° 4,5 NOVAMED STAR  PM 
129-181 </t>
  </si>
  <si>
    <t xml:space="preserve">41 </t>
  </si>
  <si>
    <t xml:space="preserve">2.9.5-2569.36 </t>
  </si>
  <si>
    <t xml:space="preserve">TUBOS TRAQUEALES; TIPO: ENDOTRAQUEAL C/BALON, NUMERO: 5 MM </t>
  </si>
  <si>
    <t xml:space="preserve">TUBO ENDOTRAQUEAL N.05 C/BALON  MARCA CONTINENTA Certificado: PM 2055-43 
</t>
  </si>
  <si>
    <t xml:space="preserve">TUBOS ENDOTRAQUELABL CON BALON N° 5 NOVAMED STAR PM 129-181 
</t>
  </si>
  <si>
    <t xml:space="preserve">42 </t>
  </si>
  <si>
    <t xml:space="preserve">2.9.5-2569.35 </t>
  </si>
  <si>
    <t xml:space="preserve">TUBOS TRAQUEALES; TIPO: ENDOTRAQUEAL C/BALON, NUMERO: 5,5 MM </t>
  </si>
  <si>
    <t xml:space="preserve">TUBO ENDOTRAQUEAL N.05 1/2 C/BALON  MARCA CONTINENTA Certificado: PM 
2055-43 </t>
  </si>
  <si>
    <t xml:space="preserve">WELL LEAD ANMAT 1440-16 </t>
  </si>
  <si>
    <t xml:space="preserve">TUBOS ENDOTRAQUELABL CON BALON N° 5,5 NOVAMED STAR  PM 
129-181 </t>
  </si>
  <si>
    <t xml:space="preserve">43 </t>
  </si>
  <si>
    <t xml:space="preserve">2.9.5-6527.36 </t>
  </si>
  <si>
    <t xml:space="preserve">TUBULADURAS; TIPO: TRANSPARENTE DE PVC, USO: MEDICO, MEDIDAS: 6 MM 
X 9 MM, PRESENTACION: 50 M </t>
  </si>
  <si>
    <t xml:space="preserve">TUBULADURA PVC T/ T63 NO ESTERIL TOMFAC FIRTS - ANMAT 
NO LLEVA PM </t>
  </si>
  <si>
    <t xml:space="preserve">44 </t>
  </si>
  <si>
    <t xml:space="preserve">2.9.5-6527.38 </t>
  </si>
  <si>
    <t xml:space="preserve">TUBULADURAS; TIPO: TRANSPARENTE DE PVC, USO: MEDICO, MEDIDAS: 8 MM 
X 11 MM, PRESENTACION: 50 M </t>
  </si>
  <si>
    <t xml:space="preserve">PVC T/ T95 NO ESTERIL TOMFAC FIRTS ANMAT NO LLEVA 
PM </t>
  </si>
  <si>
    <t xml:space="preserve">45 </t>
  </si>
  <si>
    <t xml:space="preserve">2.9.5-461.29 </t>
  </si>
  <si>
    <t xml:space="preserve">VENDAS USO MEDICO; MEDIDA: 10 CM X 4 M, TIPO: 
ENYESADA FRAGUADO RAPIDO GYSOFIX </t>
  </si>
  <si>
    <t xml:space="preserve">Venda yeso 10cm x 4mt F/R AYEP </t>
  </si>
  <si>
    <t xml:space="preserve">VENDA DE YESO FRAGUADO RAPIDO 10 CM X 4 MTS 
 MARCA ONEBAND Certificado: PM 2055-81 </t>
  </si>
  <si>
    <t xml:space="preserve">AYEP - ANMAT 1339-1 </t>
  </si>
  <si>
    <t xml:space="preserve">VENDAJE DE YESO DE PARIS 10 CM X 2.7M NOVAMED 
 PM 129-232 </t>
  </si>
  <si>
    <t xml:space="preserve">46 </t>
  </si>
  <si>
    <t xml:space="preserve">2.9.5-461.28 </t>
  </si>
  <si>
    <t xml:space="preserve">VENDAS USO MEDICO; MEDIDA: 15 CM X 4 M, TIPO: 
ENYESADA FRAGUADO RAPIDO GYSOFIX </t>
  </si>
  <si>
    <t xml:space="preserve">Venda yeso 15cm x 4mt F/R AYEP </t>
  </si>
  <si>
    <t xml:space="preserve">VENDA DE YESO FRAGUADO RAPIDO 15 CMX 4 MTS.  
MARCA ONEBAND Certificado: PM 2055-81 </t>
  </si>
  <si>
    <t xml:space="preserve">VENDAJE DE YESO DE PARIS 15 CM X 2.7M NOVAMED 
PM 129-232 </t>
  </si>
  <si>
    <t xml:space="preserve">47 </t>
  </si>
  <si>
    <t xml:space="preserve">2.9.5-461.27 </t>
  </si>
  <si>
    <t xml:space="preserve">VENDAS USO MEDICO; , MEDIDA: 20 CM X 4 M, 
TIPO: ENYESADA FRAGUADO RAPIDO GYSOFIX </t>
  </si>
  <si>
    <t xml:space="preserve">Venda yeso 20cm x 4mt F/R AYEP </t>
  </si>
  <si>
    <t xml:space="preserve">VENDA DE YESO FRAGUADO RAPIDO 20 CMX 4 MTS.  
MARCA ONEBAND Certificado: PM 2055-81 </t>
  </si>
  <si>
    <t xml:space="preserve">VENDAJE DE YESO DE PARIS 20 CM X 2.7M NOVAMED 
  PM 129-232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</si>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</sst>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57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9:V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W9:Z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A9:AD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E9:AH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I9:AL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M9:AP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Q9:AT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U9:AX57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7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92.42578125" customWidth="1"/>
    <col min="5" max="5" width="88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5.5703125" customWidth="1"/>
    <col min="11" max="11" width="14.28515625" customWidth="1"/>
    <col min="12" max="12" width="17.28515625" customWidth="1"/>
    <col min="13" max="13" width="16.5703125" customWidth="1"/>
    <col min="14" max="14" width="63.85546875" customWidth="1"/>
    <col min="15" max="15" width="14.28515625" customWidth="1"/>
    <col min="16" max="16" width="17.28515625" customWidth="1"/>
    <col min="17" max="17" width="16.5703125" customWidth="1"/>
    <col min="18" max="18" width="48.140625" customWidth="1"/>
    <col min="19" max="19" width="14.28515625" customWidth="1"/>
    <col min="20" max="20" width="17.28515625" customWidth="1"/>
    <col min="21" max="21" width="16.5703125" customWidth="1"/>
    <col min="22" max="22" width="74.7109375" customWidth="1"/>
    <col min="23" max="23" width="14.28515625" customWidth="1"/>
    <col min="24" max="24" width="17.28515625" customWidth="1"/>
    <col min="25" max="25" width="16.5703125" customWidth="1"/>
    <col min="26" max="26" width="57.5703125" customWidth="1"/>
    <col min="27" max="27" width="14.28515625" customWidth="1"/>
    <col min="28" max="28" width="17.28515625" customWidth="1"/>
    <col min="29" max="29" width="16.5703125" customWidth="1"/>
    <col min="30" max="30" width="55" customWidth="1"/>
    <col min="31" max="31" width="14.28515625" customWidth="1"/>
    <col min="32" max="32" width="17.28515625" customWidth="1"/>
    <col min="33" max="33" width="16.5703125" customWidth="1"/>
    <col min="34" max="34" width="62.28515625" customWidth="1"/>
    <col min="35" max="35" width="14.28515625" customWidth="1"/>
    <col min="36" max="36" width="17.28515625" customWidth="1"/>
    <col min="37" max="37" width="16.5703125" customWidth="1"/>
    <col min="38" max="38" width="64.7109375" customWidth="1"/>
    <col min="39" max="39" width="14.28515625" customWidth="1"/>
    <col min="40" max="40" width="17.28515625" customWidth="1"/>
    <col min="41" max="41" width="16.5703125" customWidth="1"/>
    <col min="42" max="42" width="45.42578125" customWidth="1"/>
    <col min="43" max="43" width="14.28515625" customWidth="1"/>
    <col min="44" max="44" width="17.28515625" customWidth="1"/>
    <col min="45" max="45" width="16.5703125" customWidth="1"/>
    <col min="46" max="46" width="20.28515625" customWidth="1"/>
    <col min="47" max="47" width="14.28515625" customWidth="1"/>
    <col min="48" max="48" width="17.28515625" customWidth="1"/>
    <col min="49" max="49" width="16.5703125" customWidth="1"/>
    <col min="50" max="50" width="56.140625" customWidth="1"/>
  </cols>
  <sheetData>
    <row r="1" spans="1:50" x14ac:dyDescent="0.25">
      <c r="D1" s="2" t="s">
        <v>0</v>
      </c>
      <c r="E1" s="2" t="s">
        <v>1</v>
      </c>
    </row>
    <row r="2" spans="1:50" x14ac:dyDescent="0.25">
      <c r="D2" s="2" t="s">
        <v>2</v>
      </c>
      <c r="E2" s="2" t="s">
        <v>3</v>
      </c>
    </row>
    <row r="3" spans="1:50" x14ac:dyDescent="0.25">
      <c r="D3" s="2" t="s">
        <v>4</v>
      </c>
      <c r="E3" s="2" t="s">
        <v>5</v>
      </c>
    </row>
    <row r="4" spans="1:50" x14ac:dyDescent="0.25">
      <c r="D4" s="2" t="s">
        <v>6</v>
      </c>
      <c r="E4" s="2" t="s">
        <v>7</v>
      </c>
    </row>
    <row r="5" spans="1:50" x14ac:dyDescent="0.25">
      <c r="D5" s="2" t="s">
        <v>8</v>
      </c>
      <c r="E5" s="2" t="s">
        <v>9</v>
      </c>
    </row>
    <row r="8" spans="1:5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  <c r="AM8" s="1" t="s">
        <v>19</v>
      </c>
      <c r="AN8" s="1"/>
      <c r="AO8" s="1"/>
      <c r="AP8" s="1"/>
      <c r="AQ8" s="1" t="s">
        <v>20</v>
      </c>
      <c r="AR8" s="1"/>
      <c r="AS8" s="1"/>
      <c r="AT8" s="1"/>
      <c r="AU8" s="1" t="s">
        <v>21</v>
      </c>
      <c r="AV8" s="1"/>
      <c r="AW8" s="1"/>
      <c r="AX8" s="1"/>
    </row>
    <row r="9" spans="1:50" x14ac:dyDescent="0.25">
      <c r="A9" t="s">
        <v>10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3" t="s">
        <v>27</v>
      </c>
      <c r="H9" s="3" t="s">
        <v>28</v>
      </c>
      <c r="I9" t="s">
        <v>29</v>
      </c>
      <c r="J9" t="s">
        <v>30</v>
      </c>
      <c r="K9" s="3" t="s">
        <v>27</v>
      </c>
      <c r="L9" s="3" t="s">
        <v>28</v>
      </c>
      <c r="M9" t="s">
        <v>29</v>
      </c>
      <c r="N9" t="s">
        <v>30</v>
      </c>
      <c r="O9" s="3" t="s">
        <v>27</v>
      </c>
      <c r="P9" s="3" t="s">
        <v>28</v>
      </c>
      <c r="Q9" t="s">
        <v>29</v>
      </c>
      <c r="R9" t="s">
        <v>30</v>
      </c>
      <c r="S9" s="3" t="s">
        <v>27</v>
      </c>
      <c r="T9" s="3" t="s">
        <v>28</v>
      </c>
      <c r="U9" t="s">
        <v>29</v>
      </c>
      <c r="V9" t="s">
        <v>30</v>
      </c>
      <c r="W9" s="3" t="s">
        <v>27</v>
      </c>
      <c r="X9" s="3" t="s">
        <v>28</v>
      </c>
      <c r="Y9" t="s">
        <v>29</v>
      </c>
      <c r="Z9" t="s">
        <v>30</v>
      </c>
      <c r="AA9" s="3" t="s">
        <v>27</v>
      </c>
      <c r="AB9" s="3" t="s">
        <v>28</v>
      </c>
      <c r="AC9" t="s">
        <v>29</v>
      </c>
      <c r="AD9" t="s">
        <v>30</v>
      </c>
      <c r="AE9" s="3" t="s">
        <v>27</v>
      </c>
      <c r="AF9" s="3" t="s">
        <v>28</v>
      </c>
      <c r="AG9" t="s">
        <v>29</v>
      </c>
      <c r="AH9" t="s">
        <v>30</v>
      </c>
      <c r="AI9" s="3" t="s">
        <v>27</v>
      </c>
      <c r="AJ9" s="3" t="s">
        <v>28</v>
      </c>
      <c r="AK9" t="s">
        <v>29</v>
      </c>
      <c r="AL9" t="s">
        <v>30</v>
      </c>
      <c r="AM9" s="3" t="s">
        <v>27</v>
      </c>
      <c r="AN9" s="3" t="s">
        <v>28</v>
      </c>
      <c r="AO9" t="s">
        <v>29</v>
      </c>
      <c r="AP9" t="s">
        <v>30</v>
      </c>
      <c r="AQ9" s="3" t="s">
        <v>27</v>
      </c>
      <c r="AR9" s="3" t="s">
        <v>28</v>
      </c>
      <c r="AS9" t="s">
        <v>29</v>
      </c>
      <c r="AT9" t="s">
        <v>30</v>
      </c>
      <c r="AU9" s="3" t="s">
        <v>27</v>
      </c>
      <c r="AV9" s="3" t="s">
        <v>28</v>
      </c>
      <c r="AW9" t="s">
        <v>29</v>
      </c>
      <c r="AX9" t="s">
        <v>30</v>
      </c>
    </row>
    <row r="10" spans="1:50" ht="45" x14ac:dyDescent="0.25">
      <c r="A10" t="s">
        <v>31</v>
      </c>
      <c r="B10" t="s">
        <v>31</v>
      </c>
      <c r="C10" t="s">
        <v>32</v>
      </c>
      <c r="D10" s="4" t="s">
        <v>33</v>
      </c>
      <c r="E10">
        <v>200</v>
      </c>
      <c r="F10" t="s">
        <v>34</v>
      </c>
      <c r="G10" s="3">
        <v>253.46</v>
      </c>
      <c r="H10" s="3">
        <v>200</v>
      </c>
      <c r="I10" s="5">
        <v>50692</v>
      </c>
      <c r="J10" s="4" t="s">
        <v>35</v>
      </c>
      <c r="K10" s="3">
        <v>235</v>
      </c>
      <c r="L10" s="3">
        <v>200</v>
      </c>
      <c r="M10" s="5">
        <v>47000</v>
      </c>
      <c r="N10" s="4" t="s">
        <v>36</v>
      </c>
      <c r="O10" s="3">
        <v>239.84</v>
      </c>
      <c r="P10" s="3">
        <v>200</v>
      </c>
      <c r="Q10" s="5">
        <v>47968</v>
      </c>
      <c r="R10" s="4" t="s">
        <v>37</v>
      </c>
      <c r="S10" s="3">
        <v>249.64</v>
      </c>
      <c r="T10" s="3">
        <v>200</v>
      </c>
      <c r="U10" s="5">
        <v>49928</v>
      </c>
      <c r="V10" t="s">
        <v>38</v>
      </c>
      <c r="W10" s="3">
        <v>2007.64</v>
      </c>
      <c r="X10" s="3">
        <v>200</v>
      </c>
      <c r="Y10" s="5">
        <v>401528</v>
      </c>
      <c r="Z10" s="4" t="s">
        <v>39</v>
      </c>
      <c r="AA10" s="3">
        <v>266.89999999999998</v>
      </c>
      <c r="AB10" s="3">
        <v>200</v>
      </c>
      <c r="AC10" s="5">
        <v>53380</v>
      </c>
      <c r="AD10" t="s">
        <v>40</v>
      </c>
      <c r="AE10" s="3">
        <v>2290</v>
      </c>
      <c r="AF10" s="3">
        <v>200</v>
      </c>
      <c r="AG10" s="5">
        <v>458000</v>
      </c>
      <c r="AH10" s="4" t="s">
        <v>41</v>
      </c>
      <c r="AI10" s="3"/>
      <c r="AJ10" s="3"/>
      <c r="AK10" s="5"/>
      <c r="AM10" s="3"/>
      <c r="AN10" s="3"/>
      <c r="AO10" s="5"/>
      <c r="AQ10" s="3"/>
      <c r="AR10" s="3"/>
      <c r="AS10" s="5"/>
      <c r="AU10" s="3"/>
      <c r="AV10" s="3"/>
      <c r="AW10" s="5"/>
    </row>
    <row r="11" spans="1:50" ht="30" x14ac:dyDescent="0.25">
      <c r="A11" t="s">
        <v>42</v>
      </c>
      <c r="B11" t="s">
        <v>31</v>
      </c>
      <c r="C11" t="s">
        <v>43</v>
      </c>
      <c r="D11" s="4" t="s">
        <v>44</v>
      </c>
      <c r="E11">
        <v>200</v>
      </c>
      <c r="F11" t="s">
        <v>34</v>
      </c>
      <c r="G11" s="3"/>
      <c r="H11" s="3"/>
      <c r="I11" s="5"/>
      <c r="K11" s="3">
        <v>235</v>
      </c>
      <c r="L11" s="3">
        <v>200</v>
      </c>
      <c r="M11" s="5">
        <v>47000</v>
      </c>
      <c r="N11" s="4" t="s">
        <v>45</v>
      </c>
      <c r="O11" s="3"/>
      <c r="P11" s="3"/>
      <c r="Q11" s="5"/>
      <c r="S11" s="3">
        <v>242.44</v>
      </c>
      <c r="T11" s="3">
        <v>200</v>
      </c>
      <c r="U11" s="5">
        <v>48488</v>
      </c>
      <c r="V11" s="4" t="s">
        <v>46</v>
      </c>
      <c r="W11" s="3">
        <v>1860.77</v>
      </c>
      <c r="X11" s="3">
        <v>200</v>
      </c>
      <c r="Y11" s="5">
        <v>372154</v>
      </c>
      <c r="Z11" s="4" t="s">
        <v>47</v>
      </c>
      <c r="AA11" s="3">
        <v>256.5</v>
      </c>
      <c r="AB11" s="3">
        <v>200</v>
      </c>
      <c r="AC11" s="5">
        <v>51300</v>
      </c>
      <c r="AD11" t="s">
        <v>40</v>
      </c>
      <c r="AE11" s="3">
        <v>2121</v>
      </c>
      <c r="AF11" s="3">
        <v>200</v>
      </c>
      <c r="AG11" s="5">
        <v>424200</v>
      </c>
      <c r="AH11" s="4" t="s">
        <v>48</v>
      </c>
      <c r="AI11" s="3"/>
      <c r="AJ11" s="3"/>
      <c r="AK11" s="5"/>
      <c r="AM11" s="3"/>
      <c r="AN11" s="3"/>
      <c r="AO11" s="5"/>
      <c r="AQ11" s="3"/>
      <c r="AR11" s="3"/>
      <c r="AS11" s="5"/>
      <c r="AU11" s="3"/>
      <c r="AV11" s="3"/>
      <c r="AW11" s="5"/>
    </row>
    <row r="12" spans="1:50" ht="30" x14ac:dyDescent="0.25">
      <c r="A12" t="s">
        <v>49</v>
      </c>
      <c r="B12" t="s">
        <v>31</v>
      </c>
      <c r="C12" t="s">
        <v>50</v>
      </c>
      <c r="D12" s="4" t="s">
        <v>51</v>
      </c>
      <c r="E12">
        <v>150</v>
      </c>
      <c r="F12" t="s">
        <v>34</v>
      </c>
      <c r="G12" s="3"/>
      <c r="H12" s="3"/>
      <c r="I12" s="5"/>
      <c r="K12" s="3">
        <v>235</v>
      </c>
      <c r="L12" s="3">
        <v>150</v>
      </c>
      <c r="M12" s="5">
        <v>35250</v>
      </c>
      <c r="N12" s="4" t="s">
        <v>45</v>
      </c>
      <c r="O12" s="3"/>
      <c r="P12" s="3"/>
      <c r="Q12" s="5"/>
      <c r="S12" s="3">
        <v>242.44</v>
      </c>
      <c r="T12" s="3">
        <v>150</v>
      </c>
      <c r="U12" s="5">
        <v>36366</v>
      </c>
      <c r="V12" s="4" t="s">
        <v>46</v>
      </c>
      <c r="W12" s="3">
        <v>244.42</v>
      </c>
      <c r="X12" s="3">
        <v>150</v>
      </c>
      <c r="Y12" s="5">
        <v>36663</v>
      </c>
      <c r="Z12" s="4" t="s">
        <v>52</v>
      </c>
      <c r="AA12" s="3">
        <v>256.5</v>
      </c>
      <c r="AB12" s="3">
        <v>150</v>
      </c>
      <c r="AC12" s="5">
        <v>38475</v>
      </c>
      <c r="AD12" t="s">
        <v>40</v>
      </c>
      <c r="AE12" s="3">
        <v>308</v>
      </c>
      <c r="AF12" s="3">
        <v>150</v>
      </c>
      <c r="AG12" s="5">
        <v>46200</v>
      </c>
      <c r="AH12" s="4" t="s">
        <v>53</v>
      </c>
      <c r="AI12" s="3">
        <v>254.65</v>
      </c>
      <c r="AJ12" s="3">
        <v>150</v>
      </c>
      <c r="AK12" s="5">
        <v>38197.5</v>
      </c>
      <c r="AL12" t="s">
        <v>54</v>
      </c>
      <c r="AM12" s="3"/>
      <c r="AN12" s="3"/>
      <c r="AO12" s="5"/>
      <c r="AQ12" s="3"/>
      <c r="AR12" s="3"/>
      <c r="AS12" s="5"/>
      <c r="AU12" s="3"/>
      <c r="AV12" s="3"/>
      <c r="AW12" s="5"/>
    </row>
    <row r="13" spans="1:50" ht="45" x14ac:dyDescent="0.25">
      <c r="A13" t="s">
        <v>55</v>
      </c>
      <c r="B13" t="s">
        <v>31</v>
      </c>
      <c r="C13" t="s">
        <v>56</v>
      </c>
      <c r="D13" s="4" t="s">
        <v>57</v>
      </c>
      <c r="E13">
        <v>900</v>
      </c>
      <c r="F13" t="s">
        <v>34</v>
      </c>
      <c r="G13" s="3"/>
      <c r="H13" s="3"/>
      <c r="I13" s="5"/>
      <c r="K13" s="3">
        <v>235</v>
      </c>
      <c r="L13" s="3">
        <v>900</v>
      </c>
      <c r="M13" s="5">
        <v>211500</v>
      </c>
      <c r="N13" s="4" t="s">
        <v>36</v>
      </c>
      <c r="O13" s="3">
        <v>239.84</v>
      </c>
      <c r="P13" s="3">
        <v>900</v>
      </c>
      <c r="Q13" s="5">
        <v>215856</v>
      </c>
      <c r="R13" s="4" t="s">
        <v>37</v>
      </c>
      <c r="S13" s="3">
        <v>249.64</v>
      </c>
      <c r="T13" s="3">
        <v>900</v>
      </c>
      <c r="U13" s="5">
        <v>224676</v>
      </c>
      <c r="V13" s="4" t="s">
        <v>58</v>
      </c>
      <c r="W13" s="3">
        <v>256.52</v>
      </c>
      <c r="X13" s="3">
        <v>900</v>
      </c>
      <c r="Y13" s="5">
        <v>230868</v>
      </c>
      <c r="Z13" s="4" t="s">
        <v>59</v>
      </c>
      <c r="AA13" s="3">
        <v>251.4</v>
      </c>
      <c r="AB13" s="3">
        <v>900</v>
      </c>
      <c r="AC13" s="5">
        <v>226260</v>
      </c>
      <c r="AD13" t="s">
        <v>60</v>
      </c>
      <c r="AE13" s="3">
        <v>312</v>
      </c>
      <c r="AF13" s="3">
        <v>900</v>
      </c>
      <c r="AG13" s="5">
        <v>280800</v>
      </c>
      <c r="AH13" s="4" t="s">
        <v>61</v>
      </c>
      <c r="AI13" s="3">
        <v>254.65</v>
      </c>
      <c r="AJ13" s="3">
        <v>900</v>
      </c>
      <c r="AK13" s="5">
        <v>229185</v>
      </c>
      <c r="AL13" t="s">
        <v>62</v>
      </c>
      <c r="AM13" s="3">
        <v>264</v>
      </c>
      <c r="AN13" s="3">
        <v>900</v>
      </c>
      <c r="AO13" s="5">
        <v>237600</v>
      </c>
      <c r="AP13" t="s">
        <v>63</v>
      </c>
      <c r="AQ13" s="3"/>
      <c r="AR13" s="3"/>
      <c r="AS13" s="5"/>
      <c r="AU13" s="3"/>
      <c r="AV13" s="3"/>
      <c r="AW13" s="5"/>
    </row>
    <row r="14" spans="1:50" ht="30" x14ac:dyDescent="0.25">
      <c r="A14" t="s">
        <v>64</v>
      </c>
      <c r="B14" t="s">
        <v>31</v>
      </c>
      <c r="C14" t="s">
        <v>65</v>
      </c>
      <c r="D14" s="4" t="s">
        <v>66</v>
      </c>
      <c r="E14">
        <v>50</v>
      </c>
      <c r="F14" t="s">
        <v>34</v>
      </c>
      <c r="G14" s="3"/>
      <c r="H14" s="3"/>
      <c r="I14" s="5"/>
      <c r="K14" s="3">
        <v>235</v>
      </c>
      <c r="L14" s="3">
        <v>50</v>
      </c>
      <c r="M14" s="5">
        <v>11750</v>
      </c>
      <c r="N14" s="4" t="s">
        <v>67</v>
      </c>
      <c r="O14" s="3"/>
      <c r="P14" s="3"/>
      <c r="Q14" s="5"/>
      <c r="S14" s="3">
        <v>284.23</v>
      </c>
      <c r="T14" s="3">
        <v>50</v>
      </c>
      <c r="U14" s="5">
        <v>14211.5</v>
      </c>
      <c r="V14" s="4" t="s">
        <v>68</v>
      </c>
      <c r="W14" s="3">
        <v>287.98</v>
      </c>
      <c r="X14" s="3">
        <v>50</v>
      </c>
      <c r="Y14" s="5">
        <v>14399</v>
      </c>
      <c r="Z14" s="4" t="s">
        <v>69</v>
      </c>
      <c r="AA14" s="3">
        <v>278.10000000000002</v>
      </c>
      <c r="AB14" s="3">
        <v>50</v>
      </c>
      <c r="AC14" s="5">
        <v>13905</v>
      </c>
      <c r="AD14" t="s">
        <v>60</v>
      </c>
      <c r="AE14" s="3"/>
      <c r="AF14" s="3"/>
      <c r="AG14" s="5"/>
      <c r="AI14" s="3">
        <v>320</v>
      </c>
      <c r="AJ14" s="3">
        <v>50</v>
      </c>
      <c r="AK14" s="5">
        <v>16000</v>
      </c>
      <c r="AL14" s="4" t="s">
        <v>70</v>
      </c>
      <c r="AM14" s="3"/>
      <c r="AN14" s="3"/>
      <c r="AO14" s="5"/>
      <c r="AQ14" s="3"/>
      <c r="AR14" s="3"/>
      <c r="AS14" s="5"/>
      <c r="AU14" s="3"/>
      <c r="AV14" s="3"/>
      <c r="AW14" s="5"/>
    </row>
    <row r="15" spans="1:50" ht="45" x14ac:dyDescent="0.25">
      <c r="A15" t="s">
        <v>71</v>
      </c>
      <c r="B15" t="s">
        <v>31</v>
      </c>
      <c r="C15" t="s">
        <v>72</v>
      </c>
      <c r="D15" s="4" t="s">
        <v>73</v>
      </c>
      <c r="E15">
        <v>200</v>
      </c>
      <c r="F15" t="s">
        <v>34</v>
      </c>
      <c r="G15" s="3">
        <v>348.75</v>
      </c>
      <c r="H15" s="3">
        <v>200</v>
      </c>
      <c r="I15" s="5">
        <v>69750</v>
      </c>
      <c r="J15" t="s">
        <v>74</v>
      </c>
      <c r="K15" s="3">
        <v>235</v>
      </c>
      <c r="L15" s="3">
        <v>200</v>
      </c>
      <c r="M15" s="5">
        <v>47000</v>
      </c>
      <c r="N15" s="4" t="s">
        <v>75</v>
      </c>
      <c r="O15" s="3">
        <v>236.02</v>
      </c>
      <c r="P15" s="3">
        <v>200</v>
      </c>
      <c r="Q15" s="5">
        <v>47204</v>
      </c>
      <c r="R15" s="4" t="s">
        <v>76</v>
      </c>
      <c r="S15" s="3">
        <v>246.33</v>
      </c>
      <c r="T15" s="3">
        <v>200</v>
      </c>
      <c r="U15" s="5">
        <v>49266</v>
      </c>
      <c r="V15" s="4" t="s">
        <v>77</v>
      </c>
      <c r="W15" s="3">
        <v>254.1</v>
      </c>
      <c r="X15" s="3">
        <v>200</v>
      </c>
      <c r="Y15" s="5">
        <v>50820</v>
      </c>
      <c r="Z15" s="4" t="s">
        <v>78</v>
      </c>
      <c r="AA15" s="3">
        <v>251.4</v>
      </c>
      <c r="AB15" s="3">
        <v>200</v>
      </c>
      <c r="AC15" s="5">
        <v>50280</v>
      </c>
      <c r="AD15" t="s">
        <v>60</v>
      </c>
      <c r="AE15" s="3"/>
      <c r="AF15" s="3"/>
      <c r="AG15" s="5"/>
      <c r="AI15" s="3">
        <v>254.65</v>
      </c>
      <c r="AJ15" s="3">
        <v>200</v>
      </c>
      <c r="AK15" s="5">
        <v>50930</v>
      </c>
      <c r="AL15" t="s">
        <v>79</v>
      </c>
      <c r="AM15" s="3"/>
      <c r="AN15" s="3"/>
      <c r="AO15" s="5"/>
      <c r="AQ15" s="3"/>
      <c r="AR15" s="3"/>
      <c r="AS15" s="5"/>
      <c r="AU15" s="3"/>
      <c r="AV15" s="3"/>
      <c r="AW15" s="5"/>
    </row>
    <row r="16" spans="1:50" ht="30" x14ac:dyDescent="0.25">
      <c r="A16" t="s">
        <v>80</v>
      </c>
      <c r="B16" t="s">
        <v>31</v>
      </c>
      <c r="C16" t="s">
        <v>81</v>
      </c>
      <c r="D16" s="4" t="s">
        <v>82</v>
      </c>
      <c r="E16">
        <v>50</v>
      </c>
      <c r="F16" t="s">
        <v>34</v>
      </c>
      <c r="G16" s="3"/>
      <c r="H16" s="3"/>
      <c r="I16" s="5"/>
      <c r="K16" s="3"/>
      <c r="L16" s="3"/>
      <c r="M16" s="5"/>
      <c r="O16" s="3"/>
      <c r="P16" s="3"/>
      <c r="Q16" s="5"/>
      <c r="S16" s="3"/>
      <c r="T16" s="3"/>
      <c r="U16" s="5"/>
      <c r="W16" s="3"/>
      <c r="X16" s="3"/>
      <c r="Y16" s="5"/>
      <c r="AA16" s="3">
        <v>368.9</v>
      </c>
      <c r="AB16" s="3">
        <v>50</v>
      </c>
      <c r="AC16" s="5">
        <v>18445</v>
      </c>
      <c r="AD16" t="s">
        <v>60</v>
      </c>
      <c r="AE16" s="3"/>
      <c r="AF16" s="3"/>
      <c r="AG16" s="5"/>
      <c r="AI16" s="3"/>
      <c r="AJ16" s="3"/>
      <c r="AK16" s="5"/>
      <c r="AM16" s="3">
        <v>529</v>
      </c>
      <c r="AN16" s="3">
        <v>50</v>
      </c>
      <c r="AO16" s="5">
        <v>26450</v>
      </c>
      <c r="AP16" t="s">
        <v>83</v>
      </c>
      <c r="AQ16" s="3"/>
      <c r="AR16" s="3"/>
      <c r="AS16" s="5"/>
      <c r="AU16" s="3"/>
      <c r="AV16" s="3"/>
      <c r="AW16" s="5"/>
    </row>
    <row r="17" spans="1:49" ht="45" x14ac:dyDescent="0.25">
      <c r="A17" t="s">
        <v>84</v>
      </c>
      <c r="B17" t="s">
        <v>31</v>
      </c>
      <c r="C17" t="s">
        <v>85</v>
      </c>
      <c r="D17" s="4" t="s">
        <v>86</v>
      </c>
      <c r="E17">
        <v>20</v>
      </c>
      <c r="F17" t="s">
        <v>34</v>
      </c>
      <c r="G17" s="3">
        <v>1046.54</v>
      </c>
      <c r="H17" s="3">
        <v>20</v>
      </c>
      <c r="I17" s="5">
        <v>20930.8</v>
      </c>
      <c r="J17" t="s">
        <v>87</v>
      </c>
      <c r="K17" s="3"/>
      <c r="L17" s="3"/>
      <c r="M17" s="5"/>
      <c r="O17" s="3"/>
      <c r="P17" s="3"/>
      <c r="Q17" s="5"/>
      <c r="S17" s="3"/>
      <c r="T17" s="3"/>
      <c r="U17" s="5"/>
      <c r="W17" s="3"/>
      <c r="X17" s="3"/>
      <c r="Y17" s="5"/>
      <c r="AA17" s="3">
        <v>1058.9000000000001</v>
      </c>
      <c r="AB17" s="3">
        <v>20</v>
      </c>
      <c r="AC17" s="5">
        <v>21178</v>
      </c>
      <c r="AD17" t="s">
        <v>88</v>
      </c>
      <c r="AE17" s="3"/>
      <c r="AF17" s="3"/>
      <c r="AG17" s="5"/>
      <c r="AI17" s="3"/>
      <c r="AJ17" s="3"/>
      <c r="AK17" s="5"/>
      <c r="AM17" s="3"/>
      <c r="AN17" s="3"/>
      <c r="AO17" s="5"/>
      <c r="AQ17" s="3"/>
      <c r="AR17" s="3"/>
      <c r="AS17" s="5"/>
      <c r="AU17" s="3"/>
      <c r="AV17" s="3"/>
      <c r="AW17" s="5"/>
    </row>
    <row r="18" spans="1:49" ht="45" x14ac:dyDescent="0.25">
      <c r="A18" t="s">
        <v>89</v>
      </c>
      <c r="B18" t="s">
        <v>31</v>
      </c>
      <c r="C18" t="s">
        <v>90</v>
      </c>
      <c r="D18" s="4" t="s">
        <v>91</v>
      </c>
      <c r="E18">
        <v>2000</v>
      </c>
      <c r="F18" t="s">
        <v>34</v>
      </c>
      <c r="G18" s="3"/>
      <c r="H18" s="3"/>
      <c r="I18" s="5"/>
      <c r="K18" s="3"/>
      <c r="L18" s="3"/>
      <c r="M18" s="5"/>
      <c r="O18" s="3"/>
      <c r="P18" s="3"/>
      <c r="Q18" s="5"/>
      <c r="S18" s="3">
        <v>16</v>
      </c>
      <c r="T18" s="3">
        <v>2000</v>
      </c>
      <c r="U18" s="5">
        <v>32000</v>
      </c>
      <c r="V18" s="4" t="s">
        <v>92</v>
      </c>
      <c r="W18" s="3"/>
      <c r="X18" s="3"/>
      <c r="Y18" s="5"/>
      <c r="AA18" s="3">
        <v>37.9</v>
      </c>
      <c r="AB18" s="3">
        <v>2000</v>
      </c>
      <c r="AC18" s="5">
        <v>75800</v>
      </c>
      <c r="AD18" t="s">
        <v>93</v>
      </c>
      <c r="AE18" s="3"/>
      <c r="AF18" s="3"/>
      <c r="AG18" s="5"/>
      <c r="AI18" s="3"/>
      <c r="AJ18" s="3"/>
      <c r="AK18" s="5"/>
      <c r="AM18" s="3"/>
      <c r="AN18" s="3"/>
      <c r="AO18" s="5"/>
      <c r="AQ18" s="3"/>
      <c r="AR18" s="3"/>
      <c r="AS18" s="5"/>
      <c r="AU18" s="3"/>
      <c r="AV18" s="3"/>
      <c r="AW18" s="5"/>
    </row>
    <row r="19" spans="1:49" ht="45" x14ac:dyDescent="0.25">
      <c r="A19" t="s">
        <v>94</v>
      </c>
      <c r="B19" t="s">
        <v>31</v>
      </c>
      <c r="C19" t="s">
        <v>95</v>
      </c>
      <c r="D19" s="4" t="s">
        <v>96</v>
      </c>
      <c r="E19">
        <v>1500</v>
      </c>
      <c r="F19" t="s">
        <v>34</v>
      </c>
      <c r="G19" s="3">
        <v>196.68</v>
      </c>
      <c r="H19" s="3">
        <v>1500</v>
      </c>
      <c r="I19" s="5">
        <v>295020</v>
      </c>
      <c r="J19" s="4" t="s">
        <v>97</v>
      </c>
      <c r="K19" s="3"/>
      <c r="L19" s="3"/>
      <c r="M19" s="5"/>
      <c r="O19" s="3">
        <v>216.61</v>
      </c>
      <c r="P19" s="3">
        <v>1500</v>
      </c>
      <c r="Q19" s="5">
        <v>324915</v>
      </c>
      <c r="R19" t="s">
        <v>98</v>
      </c>
      <c r="S19" s="3"/>
      <c r="T19" s="3"/>
      <c r="U19" s="5"/>
      <c r="W19" s="3"/>
      <c r="X19" s="3"/>
      <c r="Y19" s="5"/>
      <c r="AA19" s="3">
        <v>327.2</v>
      </c>
      <c r="AB19" s="3">
        <v>1500</v>
      </c>
      <c r="AC19" s="5">
        <v>490800</v>
      </c>
      <c r="AD19" t="s">
        <v>99</v>
      </c>
      <c r="AE19" s="3">
        <v>260</v>
      </c>
      <c r="AF19" s="3">
        <v>1500</v>
      </c>
      <c r="AG19" s="5">
        <v>390000</v>
      </c>
      <c r="AH19" t="s">
        <v>100</v>
      </c>
      <c r="AI19" s="3"/>
      <c r="AJ19" s="3"/>
      <c r="AK19" s="5"/>
      <c r="AM19" s="3">
        <v>285</v>
      </c>
      <c r="AN19" s="3">
        <v>1500</v>
      </c>
      <c r="AO19" s="5">
        <v>427500</v>
      </c>
      <c r="AP19" t="s">
        <v>101</v>
      </c>
      <c r="AQ19" s="3"/>
      <c r="AR19" s="3"/>
      <c r="AS19" s="5"/>
      <c r="AU19" s="3"/>
      <c r="AV19" s="3"/>
      <c r="AW19" s="5"/>
    </row>
    <row r="20" spans="1:49" ht="30" x14ac:dyDescent="0.25">
      <c r="A20" t="s">
        <v>102</v>
      </c>
      <c r="B20" t="s">
        <v>31</v>
      </c>
      <c r="C20" t="s">
        <v>103</v>
      </c>
      <c r="D20" s="4" t="s">
        <v>104</v>
      </c>
      <c r="E20">
        <v>12000</v>
      </c>
      <c r="F20" t="s">
        <v>34</v>
      </c>
      <c r="G20" s="3">
        <v>13.74</v>
      </c>
      <c r="H20" s="3">
        <v>12000</v>
      </c>
      <c r="I20" s="5">
        <v>164880</v>
      </c>
      <c r="J20" t="s">
        <v>105</v>
      </c>
      <c r="K20" s="3"/>
      <c r="L20" s="3"/>
      <c r="M20" s="5"/>
      <c r="O20" s="3">
        <v>11.05</v>
      </c>
      <c r="P20" s="3">
        <v>12000</v>
      </c>
      <c r="Q20" s="5">
        <v>132600</v>
      </c>
      <c r="R20" t="s">
        <v>106</v>
      </c>
      <c r="S20" s="3">
        <v>14.76</v>
      </c>
      <c r="T20" s="3">
        <v>12000</v>
      </c>
      <c r="U20" s="5">
        <v>177120</v>
      </c>
      <c r="V20" s="4" t="s">
        <v>107</v>
      </c>
      <c r="W20" s="3"/>
      <c r="X20" s="3"/>
      <c r="Y20" s="5"/>
      <c r="AA20" s="3">
        <v>13.2</v>
      </c>
      <c r="AB20" s="3">
        <v>12000</v>
      </c>
      <c r="AC20" s="5">
        <v>158400</v>
      </c>
      <c r="AD20" t="s">
        <v>108</v>
      </c>
      <c r="AE20" s="3"/>
      <c r="AF20" s="3"/>
      <c r="AG20" s="5"/>
      <c r="AI20" s="3"/>
      <c r="AJ20" s="3"/>
      <c r="AK20" s="5"/>
      <c r="AM20" s="3"/>
      <c r="AN20" s="3"/>
      <c r="AO20" s="5"/>
      <c r="AQ20" s="3"/>
      <c r="AR20" s="3"/>
      <c r="AS20" s="5"/>
      <c r="AU20" s="3"/>
      <c r="AV20" s="3"/>
      <c r="AW20" s="5"/>
    </row>
    <row r="21" spans="1:49" ht="30" x14ac:dyDescent="0.25">
      <c r="A21" t="s">
        <v>109</v>
      </c>
      <c r="B21" t="s">
        <v>31</v>
      </c>
      <c r="C21" t="s">
        <v>110</v>
      </c>
      <c r="D21" s="4" t="s">
        <v>111</v>
      </c>
      <c r="E21">
        <v>3000</v>
      </c>
      <c r="F21" t="s">
        <v>34</v>
      </c>
      <c r="G21" s="3">
        <v>37.32</v>
      </c>
      <c r="H21" s="3">
        <v>3000</v>
      </c>
      <c r="I21" s="5">
        <v>111960</v>
      </c>
      <c r="J21" t="s">
        <v>112</v>
      </c>
      <c r="K21" s="3"/>
      <c r="L21" s="3"/>
      <c r="M21" s="5"/>
      <c r="O21" s="3">
        <v>33.18</v>
      </c>
      <c r="P21" s="3">
        <v>3000</v>
      </c>
      <c r="Q21" s="5">
        <v>99540</v>
      </c>
      <c r="R21" t="s">
        <v>113</v>
      </c>
      <c r="S21" s="3"/>
      <c r="T21" s="3"/>
      <c r="U21" s="5"/>
      <c r="W21" s="3">
        <v>39.93</v>
      </c>
      <c r="X21" s="3">
        <v>3000</v>
      </c>
      <c r="Y21" s="5">
        <v>119790</v>
      </c>
      <c r="Z21" s="4" t="s">
        <v>114</v>
      </c>
      <c r="AA21" s="3">
        <v>37.5</v>
      </c>
      <c r="AB21" s="3">
        <v>3000</v>
      </c>
      <c r="AC21" s="5">
        <v>112500</v>
      </c>
      <c r="AD21" t="s">
        <v>115</v>
      </c>
      <c r="AE21" s="3"/>
      <c r="AF21" s="3"/>
      <c r="AG21" s="5"/>
      <c r="AI21" s="3">
        <v>42.32</v>
      </c>
      <c r="AJ21" s="3">
        <v>3000</v>
      </c>
      <c r="AK21" s="5">
        <v>126960</v>
      </c>
      <c r="AL21" t="s">
        <v>116</v>
      </c>
      <c r="AM21" s="3">
        <v>39.659999999999997</v>
      </c>
      <c r="AN21" s="3">
        <v>3000</v>
      </c>
      <c r="AO21" s="5">
        <v>118980</v>
      </c>
      <c r="AP21" t="s">
        <v>117</v>
      </c>
      <c r="AQ21" s="3"/>
      <c r="AR21" s="3"/>
      <c r="AS21" s="5"/>
      <c r="AU21" s="3"/>
      <c r="AV21" s="3"/>
      <c r="AW21" s="5"/>
    </row>
    <row r="22" spans="1:49" x14ac:dyDescent="0.25">
      <c r="A22" t="s">
        <v>118</v>
      </c>
      <c r="B22" t="s">
        <v>31</v>
      </c>
      <c r="C22" t="s">
        <v>119</v>
      </c>
      <c r="D22" t="s">
        <v>120</v>
      </c>
      <c r="E22">
        <v>20</v>
      </c>
      <c r="F22" t="s">
        <v>34</v>
      </c>
      <c r="G22" s="3">
        <v>675.55</v>
      </c>
      <c r="H22" s="3">
        <v>20</v>
      </c>
      <c r="I22" s="5">
        <v>13511</v>
      </c>
      <c r="J22" t="s">
        <v>121</v>
      </c>
      <c r="K22" s="3"/>
      <c r="L22" s="3"/>
      <c r="M22" s="5"/>
      <c r="O22" s="3"/>
      <c r="P22" s="3"/>
      <c r="Q22" s="5"/>
      <c r="S22" s="3"/>
      <c r="T22" s="3"/>
      <c r="U22" s="5"/>
      <c r="W22" s="3"/>
      <c r="X22" s="3"/>
      <c r="Y22" s="5"/>
      <c r="AA22" s="3">
        <v>695.1</v>
      </c>
      <c r="AB22" s="3">
        <v>20</v>
      </c>
      <c r="AC22" s="5">
        <v>13902</v>
      </c>
      <c r="AD22" t="s">
        <v>122</v>
      </c>
      <c r="AE22" s="3"/>
      <c r="AF22" s="3"/>
      <c r="AG22" s="5"/>
      <c r="AI22" s="3"/>
      <c r="AJ22" s="3"/>
      <c r="AK22" s="5"/>
      <c r="AM22" s="3"/>
      <c r="AN22" s="3"/>
      <c r="AO22" s="5"/>
      <c r="AQ22" s="3"/>
      <c r="AR22" s="3"/>
      <c r="AS22" s="5"/>
      <c r="AU22" s="3"/>
      <c r="AV22" s="3"/>
      <c r="AW22" s="5"/>
    </row>
    <row r="23" spans="1:49" ht="30" x14ac:dyDescent="0.25">
      <c r="A23" t="s">
        <v>123</v>
      </c>
      <c r="B23" t="s">
        <v>31</v>
      </c>
      <c r="C23" t="s">
        <v>124</v>
      </c>
      <c r="D23" s="4" t="s">
        <v>125</v>
      </c>
      <c r="E23">
        <v>10</v>
      </c>
      <c r="F23" t="s">
        <v>34</v>
      </c>
      <c r="G23" s="3"/>
      <c r="H23" s="3"/>
      <c r="I23" s="5"/>
      <c r="K23" s="3"/>
      <c r="L23" s="3"/>
      <c r="M23" s="5"/>
      <c r="O23" s="3"/>
      <c r="P23" s="3"/>
      <c r="Q23" s="5"/>
      <c r="S23" s="3"/>
      <c r="T23" s="3"/>
      <c r="U23" s="5"/>
      <c r="W23" s="3">
        <v>787</v>
      </c>
      <c r="X23" s="3">
        <v>10</v>
      </c>
      <c r="Y23" s="5">
        <v>7870</v>
      </c>
      <c r="Z23" s="4" t="s">
        <v>126</v>
      </c>
      <c r="AA23" s="3">
        <v>856.5</v>
      </c>
      <c r="AB23" s="3">
        <v>10</v>
      </c>
      <c r="AC23" s="5">
        <v>8565</v>
      </c>
      <c r="AD23" t="s">
        <v>127</v>
      </c>
      <c r="AE23" s="3"/>
      <c r="AF23" s="3"/>
      <c r="AG23" s="5"/>
      <c r="AI23" s="3"/>
      <c r="AJ23" s="3"/>
      <c r="AK23" s="5"/>
      <c r="AM23" s="3"/>
      <c r="AN23" s="3"/>
      <c r="AO23" s="5"/>
      <c r="AQ23" s="3"/>
      <c r="AR23" s="3"/>
      <c r="AS23" s="5"/>
      <c r="AU23" s="3"/>
      <c r="AV23" s="3"/>
      <c r="AW23" s="5"/>
    </row>
    <row r="24" spans="1:49" ht="30" x14ac:dyDescent="0.25">
      <c r="A24" t="s">
        <v>128</v>
      </c>
      <c r="B24" t="s">
        <v>31</v>
      </c>
      <c r="C24" t="s">
        <v>129</v>
      </c>
      <c r="D24" s="4" t="s">
        <v>130</v>
      </c>
      <c r="E24">
        <v>10</v>
      </c>
      <c r="F24" t="s">
        <v>34</v>
      </c>
      <c r="G24" s="3"/>
      <c r="H24" s="3"/>
      <c r="I24" s="5"/>
      <c r="K24" s="3"/>
      <c r="L24" s="3"/>
      <c r="M24" s="5"/>
      <c r="O24" s="3"/>
      <c r="P24" s="3"/>
      <c r="Q24" s="5"/>
      <c r="S24" s="3"/>
      <c r="T24" s="3"/>
      <c r="U24" s="5"/>
      <c r="W24" s="3">
        <v>787</v>
      </c>
      <c r="X24" s="3">
        <v>10</v>
      </c>
      <c r="Y24" s="5">
        <v>7870</v>
      </c>
      <c r="Z24" s="4" t="s">
        <v>131</v>
      </c>
      <c r="AA24" s="3">
        <v>856.5</v>
      </c>
      <c r="AB24" s="3">
        <v>10</v>
      </c>
      <c r="AC24" s="5">
        <v>8565</v>
      </c>
      <c r="AD24" t="s">
        <v>127</v>
      </c>
      <c r="AE24" s="3"/>
      <c r="AF24" s="3"/>
      <c r="AG24" s="5"/>
      <c r="AI24" s="3"/>
      <c r="AJ24" s="3"/>
      <c r="AK24" s="5"/>
      <c r="AM24" s="3"/>
      <c r="AN24" s="3"/>
      <c r="AO24" s="5"/>
      <c r="AQ24" s="3"/>
      <c r="AR24" s="3"/>
      <c r="AS24" s="5"/>
      <c r="AU24" s="3"/>
      <c r="AV24" s="3"/>
      <c r="AW24" s="5"/>
    </row>
    <row r="25" spans="1:49" ht="30" x14ac:dyDescent="0.25">
      <c r="A25" t="s">
        <v>132</v>
      </c>
      <c r="B25" t="s">
        <v>31</v>
      </c>
      <c r="C25" t="s">
        <v>133</v>
      </c>
      <c r="D25" s="4" t="s">
        <v>134</v>
      </c>
      <c r="E25">
        <v>10</v>
      </c>
      <c r="F25" t="s">
        <v>34</v>
      </c>
      <c r="G25" s="3"/>
      <c r="H25" s="3"/>
      <c r="I25" s="5"/>
      <c r="K25" s="3"/>
      <c r="L25" s="3"/>
      <c r="M25" s="5"/>
      <c r="O25" s="3"/>
      <c r="P25" s="3"/>
      <c r="Q25" s="5"/>
      <c r="S25" s="3"/>
      <c r="T25" s="3"/>
      <c r="U25" s="5"/>
      <c r="W25" s="3">
        <v>787</v>
      </c>
      <c r="X25" s="3">
        <v>10</v>
      </c>
      <c r="Y25" s="5">
        <v>7870</v>
      </c>
      <c r="Z25" s="4" t="s">
        <v>135</v>
      </c>
      <c r="AA25" s="3">
        <v>722.5</v>
      </c>
      <c r="AB25" s="3">
        <v>10</v>
      </c>
      <c r="AC25" s="5">
        <v>7225</v>
      </c>
      <c r="AD25" t="s">
        <v>136</v>
      </c>
      <c r="AE25" s="3"/>
      <c r="AF25" s="3"/>
      <c r="AG25" s="5"/>
      <c r="AI25" s="3">
        <v>942.5</v>
      </c>
      <c r="AJ25" s="3">
        <v>10</v>
      </c>
      <c r="AK25" s="5">
        <v>9425</v>
      </c>
      <c r="AL25" s="4" t="s">
        <v>137</v>
      </c>
      <c r="AM25" s="3"/>
      <c r="AN25" s="3"/>
      <c r="AO25" s="5"/>
      <c r="AQ25" s="3"/>
      <c r="AR25" s="3"/>
      <c r="AS25" s="5"/>
      <c r="AU25" s="3"/>
      <c r="AV25" s="3"/>
      <c r="AW25" s="5"/>
    </row>
    <row r="26" spans="1:49" ht="30" x14ac:dyDescent="0.25">
      <c r="A26" t="s">
        <v>138</v>
      </c>
      <c r="B26" t="s">
        <v>31</v>
      </c>
      <c r="C26" t="s">
        <v>139</v>
      </c>
      <c r="D26" s="4" t="s">
        <v>140</v>
      </c>
      <c r="E26">
        <v>20</v>
      </c>
      <c r="F26" t="s">
        <v>34</v>
      </c>
      <c r="G26" s="3"/>
      <c r="H26" s="3"/>
      <c r="I26" s="5"/>
      <c r="K26" s="3"/>
      <c r="L26" s="3"/>
      <c r="M26" s="5"/>
      <c r="O26" s="3"/>
      <c r="P26" s="3"/>
      <c r="Q26" s="5"/>
      <c r="S26" s="3"/>
      <c r="T26" s="3"/>
      <c r="U26" s="5"/>
      <c r="W26" s="3">
        <v>787</v>
      </c>
      <c r="X26" s="3">
        <v>20</v>
      </c>
      <c r="Y26" s="5">
        <v>15740</v>
      </c>
      <c r="Z26" s="4" t="s">
        <v>141</v>
      </c>
      <c r="AA26" s="3">
        <v>722.5</v>
      </c>
      <c r="AB26" s="3">
        <v>20</v>
      </c>
      <c r="AC26" s="5">
        <v>14450</v>
      </c>
      <c r="AD26" t="s">
        <v>136</v>
      </c>
      <c r="AE26" s="3"/>
      <c r="AF26" s="3"/>
      <c r="AG26" s="5"/>
      <c r="AI26" s="3">
        <v>942.5</v>
      </c>
      <c r="AJ26" s="3">
        <v>20</v>
      </c>
      <c r="AK26" s="5">
        <v>18850</v>
      </c>
      <c r="AL26" s="4" t="s">
        <v>142</v>
      </c>
      <c r="AM26" s="3"/>
      <c r="AN26" s="3"/>
      <c r="AO26" s="5"/>
      <c r="AQ26" s="3"/>
      <c r="AR26" s="3"/>
      <c r="AS26" s="5"/>
      <c r="AU26" s="3"/>
      <c r="AV26" s="3"/>
      <c r="AW26" s="5"/>
    </row>
    <row r="27" spans="1:49" ht="30" x14ac:dyDescent="0.25">
      <c r="A27" t="s">
        <v>143</v>
      </c>
      <c r="B27" t="s">
        <v>31</v>
      </c>
      <c r="C27" t="s">
        <v>144</v>
      </c>
      <c r="D27" s="4" t="s">
        <v>145</v>
      </c>
      <c r="E27">
        <v>20</v>
      </c>
      <c r="F27" t="s">
        <v>34</v>
      </c>
      <c r="G27" s="3"/>
      <c r="H27" s="3"/>
      <c r="I27" s="5"/>
      <c r="K27" s="3"/>
      <c r="L27" s="3"/>
      <c r="M27" s="5"/>
      <c r="O27" s="3"/>
      <c r="P27" s="3"/>
      <c r="Q27" s="5"/>
      <c r="S27" s="3"/>
      <c r="T27" s="3"/>
      <c r="U27" s="5"/>
      <c r="W27" s="3">
        <v>787</v>
      </c>
      <c r="X27" s="3">
        <v>20</v>
      </c>
      <c r="Y27" s="5">
        <v>15740</v>
      </c>
      <c r="Z27" s="4" t="s">
        <v>146</v>
      </c>
      <c r="AA27" s="3">
        <v>722.5</v>
      </c>
      <c r="AB27" s="3">
        <v>20</v>
      </c>
      <c r="AC27" s="5">
        <v>14450</v>
      </c>
      <c r="AD27" t="s">
        <v>136</v>
      </c>
      <c r="AE27" s="3"/>
      <c r="AF27" s="3"/>
      <c r="AG27" s="5"/>
      <c r="AI27" s="3">
        <v>942.5</v>
      </c>
      <c r="AJ27" s="3">
        <v>20</v>
      </c>
      <c r="AK27" s="5">
        <v>18850</v>
      </c>
      <c r="AL27" s="4" t="s">
        <v>147</v>
      </c>
      <c r="AM27" s="3"/>
      <c r="AN27" s="3"/>
      <c r="AO27" s="5"/>
      <c r="AQ27" s="3"/>
      <c r="AR27" s="3"/>
      <c r="AS27" s="5"/>
      <c r="AU27" s="3"/>
      <c r="AV27" s="3"/>
      <c r="AW27" s="5"/>
    </row>
    <row r="28" spans="1:49" ht="30" x14ac:dyDescent="0.25">
      <c r="A28" t="s">
        <v>148</v>
      </c>
      <c r="B28" t="s">
        <v>31</v>
      </c>
      <c r="C28" t="s">
        <v>149</v>
      </c>
      <c r="D28" s="4" t="s">
        <v>150</v>
      </c>
      <c r="E28">
        <v>40</v>
      </c>
      <c r="F28" t="s">
        <v>34</v>
      </c>
      <c r="G28" s="3"/>
      <c r="H28" s="3"/>
      <c r="I28" s="5"/>
      <c r="K28" s="3"/>
      <c r="L28" s="3"/>
      <c r="M28" s="5"/>
      <c r="O28" s="3"/>
      <c r="P28" s="3"/>
      <c r="Q28" s="5"/>
      <c r="S28" s="3"/>
      <c r="T28" s="3"/>
      <c r="U28" s="5"/>
      <c r="W28" s="3">
        <v>787</v>
      </c>
      <c r="X28" s="3">
        <v>40</v>
      </c>
      <c r="Y28" s="5">
        <v>31480</v>
      </c>
      <c r="Z28" s="4" t="s">
        <v>151</v>
      </c>
      <c r="AA28" s="3">
        <v>856.5</v>
      </c>
      <c r="AB28" s="3">
        <v>40</v>
      </c>
      <c r="AC28" s="5">
        <v>34260</v>
      </c>
      <c r="AD28" t="s">
        <v>127</v>
      </c>
      <c r="AE28" s="3">
        <v>1122</v>
      </c>
      <c r="AF28" s="3">
        <v>40</v>
      </c>
      <c r="AG28" s="5">
        <v>44880</v>
      </c>
      <c r="AH28" s="4" t="s">
        <v>152</v>
      </c>
      <c r="AI28" s="3">
        <v>942.5</v>
      </c>
      <c r="AJ28" s="3">
        <v>40</v>
      </c>
      <c r="AK28" s="5">
        <v>37700</v>
      </c>
      <c r="AL28" s="4" t="s">
        <v>153</v>
      </c>
      <c r="AM28" s="3"/>
      <c r="AN28" s="3"/>
      <c r="AO28" s="5"/>
      <c r="AQ28" s="3"/>
      <c r="AR28" s="3"/>
      <c r="AS28" s="5"/>
      <c r="AU28" s="3"/>
      <c r="AV28" s="3"/>
      <c r="AW28" s="5"/>
    </row>
    <row r="29" spans="1:49" ht="30" x14ac:dyDescent="0.25">
      <c r="A29" t="s">
        <v>154</v>
      </c>
      <c r="B29" t="s">
        <v>31</v>
      </c>
      <c r="C29" t="s">
        <v>155</v>
      </c>
      <c r="D29" t="s">
        <v>156</v>
      </c>
      <c r="E29">
        <v>20000</v>
      </c>
      <c r="F29" t="s">
        <v>34</v>
      </c>
      <c r="G29" s="3">
        <v>9.1999999999999993</v>
      </c>
      <c r="H29" s="3">
        <v>20000</v>
      </c>
      <c r="I29" s="5">
        <v>184000</v>
      </c>
      <c r="J29" s="4" t="s">
        <v>157</v>
      </c>
      <c r="K29" s="3"/>
      <c r="L29" s="3"/>
      <c r="M29" s="5"/>
      <c r="O29" s="3">
        <v>10.25</v>
      </c>
      <c r="P29" s="3">
        <v>20000</v>
      </c>
      <c r="Q29" s="5">
        <v>205000</v>
      </c>
      <c r="R29" t="s">
        <v>158</v>
      </c>
      <c r="S29" s="3">
        <v>11.92</v>
      </c>
      <c r="T29" s="3">
        <v>20000</v>
      </c>
      <c r="U29" s="5">
        <v>238400</v>
      </c>
      <c r="V29" t="s">
        <v>159</v>
      </c>
      <c r="W29" s="3">
        <v>12.1</v>
      </c>
      <c r="X29" s="3">
        <v>20000</v>
      </c>
      <c r="Y29" s="5">
        <v>242000</v>
      </c>
      <c r="Z29" t="s">
        <v>160</v>
      </c>
      <c r="AA29" s="3">
        <v>9.9</v>
      </c>
      <c r="AB29" s="3">
        <v>20000</v>
      </c>
      <c r="AC29" s="5">
        <v>198000</v>
      </c>
      <c r="AD29" t="s">
        <v>161</v>
      </c>
      <c r="AE29" s="3">
        <v>12.72</v>
      </c>
      <c r="AF29" s="3">
        <v>20000</v>
      </c>
      <c r="AG29" s="5">
        <v>254400</v>
      </c>
      <c r="AH29" s="4" t="s">
        <v>162</v>
      </c>
      <c r="AI29" s="3">
        <v>9.9499999999999993</v>
      </c>
      <c r="AJ29" s="3">
        <v>20000</v>
      </c>
      <c r="AK29" s="5">
        <v>199000</v>
      </c>
      <c r="AL29" s="4" t="s">
        <v>163</v>
      </c>
      <c r="AM29" s="3"/>
      <c r="AN29" s="3"/>
      <c r="AO29" s="5"/>
      <c r="AQ29" s="3">
        <v>10.5</v>
      </c>
      <c r="AR29" s="3">
        <v>20000</v>
      </c>
      <c r="AS29" s="5">
        <v>210000</v>
      </c>
      <c r="AT29" t="s">
        <v>164</v>
      </c>
      <c r="AU29" s="3"/>
      <c r="AV29" s="3"/>
      <c r="AW29" s="5"/>
    </row>
    <row r="30" spans="1:49" ht="30" x14ac:dyDescent="0.25">
      <c r="A30" t="s">
        <v>165</v>
      </c>
      <c r="B30" t="s">
        <v>31</v>
      </c>
      <c r="C30" t="s">
        <v>166</v>
      </c>
      <c r="D30" t="s">
        <v>167</v>
      </c>
      <c r="E30">
        <v>5000</v>
      </c>
      <c r="F30" t="s">
        <v>34</v>
      </c>
      <c r="G30" s="3">
        <v>14.61</v>
      </c>
      <c r="H30" s="3">
        <v>5000</v>
      </c>
      <c r="I30" s="5">
        <v>73050</v>
      </c>
      <c r="J30" s="4" t="s">
        <v>168</v>
      </c>
      <c r="K30" s="3"/>
      <c r="L30" s="3"/>
      <c r="M30" s="5"/>
      <c r="O30" s="3">
        <v>16.38</v>
      </c>
      <c r="P30" s="3">
        <v>5000</v>
      </c>
      <c r="Q30" s="5">
        <v>81900</v>
      </c>
      <c r="R30" t="s">
        <v>169</v>
      </c>
      <c r="S30" s="3">
        <v>19.64</v>
      </c>
      <c r="T30" s="3">
        <v>5000</v>
      </c>
      <c r="U30" s="5">
        <v>98200</v>
      </c>
      <c r="V30" t="s">
        <v>170</v>
      </c>
      <c r="W30" s="3"/>
      <c r="X30" s="3"/>
      <c r="Y30" s="5"/>
      <c r="AA30" s="3">
        <v>16.8</v>
      </c>
      <c r="AB30" s="3">
        <v>5000</v>
      </c>
      <c r="AC30" s="5">
        <v>84000</v>
      </c>
      <c r="AD30" t="s">
        <v>161</v>
      </c>
      <c r="AE30" s="3"/>
      <c r="AF30" s="3"/>
      <c r="AG30" s="5"/>
      <c r="AI30" s="3">
        <v>17.54</v>
      </c>
      <c r="AJ30" s="3">
        <v>5000</v>
      </c>
      <c r="AK30" s="5">
        <v>87700</v>
      </c>
      <c r="AL30" s="4" t="s">
        <v>171</v>
      </c>
      <c r="AM30" s="3"/>
      <c r="AN30" s="3"/>
      <c r="AO30" s="5"/>
      <c r="AQ30" s="3">
        <v>16.2</v>
      </c>
      <c r="AR30" s="3">
        <v>5000</v>
      </c>
      <c r="AS30" s="5">
        <v>81000</v>
      </c>
      <c r="AT30" t="s">
        <v>172</v>
      </c>
      <c r="AU30" s="3"/>
      <c r="AV30" s="3"/>
      <c r="AW30" s="5"/>
    </row>
    <row r="31" spans="1:49" ht="30" x14ac:dyDescent="0.25">
      <c r="A31" t="s">
        <v>173</v>
      </c>
      <c r="B31" t="s">
        <v>31</v>
      </c>
      <c r="C31" t="s">
        <v>174</v>
      </c>
      <c r="D31" s="4" t="s">
        <v>175</v>
      </c>
      <c r="E31">
        <v>50000</v>
      </c>
      <c r="F31" t="s">
        <v>34</v>
      </c>
      <c r="G31" s="3">
        <v>5.98</v>
      </c>
      <c r="H31" s="3">
        <v>50000</v>
      </c>
      <c r="I31" s="5">
        <v>299000</v>
      </c>
      <c r="J31" s="4" t="s">
        <v>176</v>
      </c>
      <c r="K31" s="3"/>
      <c r="L31" s="3"/>
      <c r="M31" s="5"/>
      <c r="O31" s="3">
        <v>6.22</v>
      </c>
      <c r="P31" s="3">
        <v>50000</v>
      </c>
      <c r="Q31" s="5">
        <v>311000</v>
      </c>
      <c r="R31" t="s">
        <v>177</v>
      </c>
      <c r="S31" s="3">
        <v>7.78</v>
      </c>
      <c r="T31" s="3">
        <v>50000</v>
      </c>
      <c r="U31" s="5">
        <v>389000</v>
      </c>
      <c r="V31" t="s">
        <v>178</v>
      </c>
      <c r="W31" s="3">
        <v>8.23</v>
      </c>
      <c r="X31" s="3">
        <v>50000</v>
      </c>
      <c r="Y31" s="5">
        <v>411500</v>
      </c>
      <c r="Z31" t="s">
        <v>179</v>
      </c>
      <c r="AA31" s="3">
        <v>6.5</v>
      </c>
      <c r="AB31" s="3">
        <v>50000</v>
      </c>
      <c r="AC31" s="5">
        <v>325000</v>
      </c>
      <c r="AD31" t="s">
        <v>161</v>
      </c>
      <c r="AE31" s="3">
        <v>8.66</v>
      </c>
      <c r="AF31" s="3">
        <v>50000</v>
      </c>
      <c r="AG31" s="5">
        <v>433000</v>
      </c>
      <c r="AH31" s="4" t="s">
        <v>180</v>
      </c>
      <c r="AI31" s="3">
        <v>7.95</v>
      </c>
      <c r="AJ31" s="3">
        <v>50000</v>
      </c>
      <c r="AK31" s="5">
        <v>397500</v>
      </c>
      <c r="AL31" s="4" t="s">
        <v>181</v>
      </c>
      <c r="AM31" s="3"/>
      <c r="AN31" s="3"/>
      <c r="AO31" s="5"/>
      <c r="AQ31" s="3">
        <v>6.3</v>
      </c>
      <c r="AR31" s="3">
        <v>50000</v>
      </c>
      <c r="AS31" s="5">
        <v>315000</v>
      </c>
      <c r="AT31" t="s">
        <v>172</v>
      </c>
      <c r="AU31" s="3"/>
      <c r="AV31" s="3"/>
      <c r="AW31" s="5"/>
    </row>
    <row r="32" spans="1:49" ht="30" x14ac:dyDescent="0.25">
      <c r="A32" t="s">
        <v>182</v>
      </c>
      <c r="B32" t="s">
        <v>31</v>
      </c>
      <c r="C32" t="s">
        <v>183</v>
      </c>
      <c r="D32" s="4" t="s">
        <v>184</v>
      </c>
      <c r="E32">
        <v>2000</v>
      </c>
      <c r="F32" t="s">
        <v>34</v>
      </c>
      <c r="G32" s="3">
        <v>41.96</v>
      </c>
      <c r="H32" s="3">
        <v>2000</v>
      </c>
      <c r="I32" s="5">
        <v>83920</v>
      </c>
      <c r="J32" s="4" t="s">
        <v>185</v>
      </c>
      <c r="K32" s="3"/>
      <c r="L32" s="3"/>
      <c r="M32" s="5"/>
      <c r="O32" s="3">
        <v>38.56</v>
      </c>
      <c r="P32" s="3">
        <v>2000</v>
      </c>
      <c r="Q32" s="5">
        <v>77120</v>
      </c>
      <c r="R32" t="s">
        <v>186</v>
      </c>
      <c r="S32" s="3">
        <v>48.83</v>
      </c>
      <c r="T32" s="3">
        <v>2000</v>
      </c>
      <c r="U32" s="5">
        <v>97660</v>
      </c>
      <c r="V32" t="s">
        <v>187</v>
      </c>
      <c r="W32" s="3">
        <v>37.270000000000003</v>
      </c>
      <c r="X32" s="3">
        <v>2000</v>
      </c>
      <c r="Y32" s="5">
        <v>74540</v>
      </c>
      <c r="Z32" t="s">
        <v>188</v>
      </c>
      <c r="AA32" s="3">
        <v>40.5</v>
      </c>
      <c r="AB32" s="3">
        <v>2000</v>
      </c>
      <c r="AC32" s="5">
        <v>81000</v>
      </c>
      <c r="AD32" t="s">
        <v>161</v>
      </c>
      <c r="AE32" s="3"/>
      <c r="AF32" s="3"/>
      <c r="AG32" s="5"/>
      <c r="AI32" s="3">
        <v>38</v>
      </c>
      <c r="AJ32" s="3">
        <v>2000</v>
      </c>
      <c r="AK32" s="5">
        <v>76000</v>
      </c>
      <c r="AL32" s="4" t="s">
        <v>189</v>
      </c>
      <c r="AM32" s="3"/>
      <c r="AN32" s="3"/>
      <c r="AO32" s="5"/>
      <c r="AQ32" s="3">
        <v>18.899999999999999</v>
      </c>
      <c r="AR32" s="3">
        <v>2000</v>
      </c>
      <c r="AS32" s="5">
        <v>37800</v>
      </c>
      <c r="AT32" t="s">
        <v>172</v>
      </c>
      <c r="AU32" s="3"/>
      <c r="AV32" s="3"/>
      <c r="AW32" s="5"/>
    </row>
    <row r="33" spans="1:50" ht="30" x14ac:dyDescent="0.25">
      <c r="A33" t="s">
        <v>190</v>
      </c>
      <c r="B33" t="s">
        <v>31</v>
      </c>
      <c r="C33" t="s">
        <v>191</v>
      </c>
      <c r="D33" t="s">
        <v>192</v>
      </c>
      <c r="E33">
        <v>10000</v>
      </c>
      <c r="F33" t="s">
        <v>34</v>
      </c>
      <c r="G33" s="3">
        <v>4.9800000000000004</v>
      </c>
      <c r="H33" s="3">
        <v>10000</v>
      </c>
      <c r="I33" s="5">
        <v>49800</v>
      </c>
      <c r="J33" s="4" t="s">
        <v>193</v>
      </c>
      <c r="K33" s="3"/>
      <c r="L33" s="3"/>
      <c r="M33" s="5"/>
      <c r="O33" s="3"/>
      <c r="P33" s="3"/>
      <c r="Q33" s="5"/>
      <c r="S33" s="3">
        <v>6.91</v>
      </c>
      <c r="T33" s="3">
        <v>10000</v>
      </c>
      <c r="U33" s="5">
        <v>69100</v>
      </c>
      <c r="V33" s="4" t="s">
        <v>194</v>
      </c>
      <c r="W33" s="3">
        <v>8.73</v>
      </c>
      <c r="X33" s="3">
        <v>10000</v>
      </c>
      <c r="Y33" s="5">
        <v>87300</v>
      </c>
      <c r="Z33" t="s">
        <v>195</v>
      </c>
      <c r="AA33" s="3">
        <v>7.3</v>
      </c>
      <c r="AB33" s="3">
        <v>10000</v>
      </c>
      <c r="AC33" s="5">
        <v>73000</v>
      </c>
      <c r="AD33" t="s">
        <v>161</v>
      </c>
      <c r="AE33" s="3"/>
      <c r="AF33" s="3"/>
      <c r="AG33" s="5"/>
      <c r="AI33" s="3">
        <v>7.95</v>
      </c>
      <c r="AJ33" s="3">
        <v>10000</v>
      </c>
      <c r="AK33" s="5">
        <v>79500</v>
      </c>
      <c r="AL33" s="4" t="s">
        <v>196</v>
      </c>
      <c r="AM33" s="3"/>
      <c r="AN33" s="3"/>
      <c r="AO33" s="5"/>
      <c r="AQ33" s="3">
        <v>5.38</v>
      </c>
      <c r="AR33" s="3">
        <v>10000</v>
      </c>
      <c r="AS33" s="5">
        <v>53800</v>
      </c>
      <c r="AT33" t="s">
        <v>172</v>
      </c>
      <c r="AU33" s="3"/>
      <c r="AV33" s="3"/>
      <c r="AW33" s="5"/>
    </row>
    <row r="34" spans="1:50" ht="30" x14ac:dyDescent="0.25">
      <c r="A34" t="s">
        <v>197</v>
      </c>
      <c r="B34" t="s">
        <v>31</v>
      </c>
      <c r="C34" t="s">
        <v>198</v>
      </c>
      <c r="D34" t="s">
        <v>199</v>
      </c>
      <c r="E34">
        <v>20000</v>
      </c>
      <c r="F34" t="s">
        <v>34</v>
      </c>
      <c r="G34" s="3">
        <v>4.9800000000000004</v>
      </c>
      <c r="H34" s="3">
        <v>20000</v>
      </c>
      <c r="I34" s="5">
        <v>99600</v>
      </c>
      <c r="J34" s="4" t="s">
        <v>200</v>
      </c>
      <c r="K34" s="3"/>
      <c r="L34" s="3"/>
      <c r="M34" s="5"/>
      <c r="O34" s="3">
        <v>6.23</v>
      </c>
      <c r="P34" s="3">
        <v>20000</v>
      </c>
      <c r="Q34" s="5">
        <v>124600</v>
      </c>
      <c r="R34" t="s">
        <v>201</v>
      </c>
      <c r="S34" s="3">
        <v>7.18</v>
      </c>
      <c r="T34" s="3">
        <v>20000</v>
      </c>
      <c r="U34" s="5">
        <v>143600</v>
      </c>
      <c r="V34" s="4" t="s">
        <v>202</v>
      </c>
      <c r="W34" s="3">
        <v>7.02</v>
      </c>
      <c r="X34" s="3">
        <v>20000</v>
      </c>
      <c r="Y34" s="5">
        <v>140400</v>
      </c>
      <c r="Z34" t="s">
        <v>203</v>
      </c>
      <c r="AA34" s="3">
        <v>5.9</v>
      </c>
      <c r="AB34" s="3">
        <v>20000</v>
      </c>
      <c r="AC34" s="5">
        <v>118000</v>
      </c>
      <c r="AD34" t="s">
        <v>204</v>
      </c>
      <c r="AE34" s="3"/>
      <c r="AF34" s="3"/>
      <c r="AG34" s="5"/>
      <c r="AI34" s="3"/>
      <c r="AJ34" s="3"/>
      <c r="AK34" s="5"/>
      <c r="AM34" s="3"/>
      <c r="AN34" s="3"/>
      <c r="AO34" s="5"/>
      <c r="AQ34" s="3">
        <v>5.6</v>
      </c>
      <c r="AR34" s="3">
        <v>20000</v>
      </c>
      <c r="AS34" s="5">
        <v>112000</v>
      </c>
      <c r="AT34" t="s">
        <v>172</v>
      </c>
      <c r="AU34" s="3"/>
      <c r="AV34" s="3"/>
      <c r="AW34" s="5"/>
    </row>
    <row r="35" spans="1:50" ht="30" x14ac:dyDescent="0.25">
      <c r="A35" t="s">
        <v>205</v>
      </c>
      <c r="B35" t="s">
        <v>31</v>
      </c>
      <c r="C35" t="s">
        <v>206</v>
      </c>
      <c r="D35" s="4" t="s">
        <v>207</v>
      </c>
      <c r="E35">
        <v>480</v>
      </c>
      <c r="F35" t="s">
        <v>34</v>
      </c>
      <c r="G35" s="3"/>
      <c r="H35" s="3"/>
      <c r="I35" s="5"/>
      <c r="K35" s="3"/>
      <c r="L35" s="3"/>
      <c r="M35" s="5"/>
      <c r="O35" s="3"/>
      <c r="P35" s="3"/>
      <c r="Q35" s="5"/>
      <c r="S35" s="3"/>
      <c r="T35" s="3"/>
      <c r="U35" s="5"/>
      <c r="W35" s="3"/>
      <c r="X35" s="3"/>
      <c r="Y35" s="5"/>
      <c r="AA35" s="3">
        <v>527.20000000000005</v>
      </c>
      <c r="AB35" s="3">
        <v>480</v>
      </c>
      <c r="AC35" s="5">
        <v>253056</v>
      </c>
      <c r="AD35" t="s">
        <v>208</v>
      </c>
      <c r="AE35" s="3"/>
      <c r="AF35" s="3"/>
      <c r="AG35" s="5"/>
      <c r="AI35" s="3"/>
      <c r="AJ35" s="3"/>
      <c r="AK35" s="5"/>
      <c r="AM35" s="3"/>
      <c r="AN35" s="3"/>
      <c r="AO35" s="5"/>
      <c r="AQ35" s="3"/>
      <c r="AR35" s="3"/>
      <c r="AS35" s="5"/>
      <c r="AU35" s="3"/>
      <c r="AV35" s="3"/>
      <c r="AW35" s="5"/>
    </row>
    <row r="36" spans="1:50" ht="30" x14ac:dyDescent="0.25">
      <c r="A36" t="s">
        <v>209</v>
      </c>
      <c r="B36" t="s">
        <v>31</v>
      </c>
      <c r="C36" t="s">
        <v>210</v>
      </c>
      <c r="D36" t="s">
        <v>211</v>
      </c>
      <c r="E36">
        <v>600</v>
      </c>
      <c r="F36" t="s">
        <v>34</v>
      </c>
      <c r="G36" s="3">
        <v>129.19999999999999</v>
      </c>
      <c r="H36" s="3">
        <v>600</v>
      </c>
      <c r="I36" s="5">
        <v>77520</v>
      </c>
      <c r="J36" s="4" t="s">
        <v>212</v>
      </c>
      <c r="K36" s="3"/>
      <c r="L36" s="3"/>
      <c r="M36" s="5"/>
      <c r="O36" s="3">
        <v>106.26</v>
      </c>
      <c r="P36" s="3">
        <v>600</v>
      </c>
      <c r="Q36" s="5">
        <v>63756</v>
      </c>
      <c r="R36" t="s">
        <v>213</v>
      </c>
      <c r="S36" s="3"/>
      <c r="T36" s="3"/>
      <c r="U36" s="5"/>
      <c r="W36" s="3"/>
      <c r="X36" s="3"/>
      <c r="Y36" s="5"/>
      <c r="AA36" s="3">
        <v>86.5</v>
      </c>
      <c r="AB36" s="3">
        <v>600</v>
      </c>
      <c r="AC36" s="5">
        <v>51900</v>
      </c>
      <c r="AD36" t="s">
        <v>214</v>
      </c>
      <c r="AE36" s="3"/>
      <c r="AF36" s="3"/>
      <c r="AG36" s="5"/>
      <c r="AI36" s="3"/>
      <c r="AJ36" s="3"/>
      <c r="AK36" s="5"/>
      <c r="AM36" s="3"/>
      <c r="AN36" s="3"/>
      <c r="AO36" s="5"/>
      <c r="AQ36" s="3">
        <v>98</v>
      </c>
      <c r="AR36" s="3">
        <v>600</v>
      </c>
      <c r="AS36" s="5">
        <v>58800</v>
      </c>
      <c r="AT36" t="s">
        <v>215</v>
      </c>
      <c r="AU36" s="3"/>
      <c r="AV36" s="3"/>
      <c r="AW36" s="5"/>
    </row>
    <row r="37" spans="1:50" x14ac:dyDescent="0.25">
      <c r="A37" t="s">
        <v>216</v>
      </c>
      <c r="B37" t="s">
        <v>31</v>
      </c>
      <c r="C37" t="s">
        <v>217</v>
      </c>
      <c r="D37" t="s">
        <v>218</v>
      </c>
      <c r="E37">
        <v>200</v>
      </c>
      <c r="F37" t="s">
        <v>34</v>
      </c>
      <c r="G37" s="3"/>
      <c r="H37" s="3"/>
      <c r="I37" s="5"/>
      <c r="K37" s="3"/>
      <c r="L37" s="3"/>
      <c r="M37" s="5"/>
      <c r="O37" s="3"/>
      <c r="P37" s="3"/>
      <c r="Q37" s="5"/>
      <c r="S37" s="3"/>
      <c r="T37" s="3"/>
      <c r="U37" s="5"/>
      <c r="W37" s="3"/>
      <c r="X37" s="3"/>
      <c r="Y37" s="5"/>
      <c r="AA37" s="3">
        <v>52.4</v>
      </c>
      <c r="AB37" s="3">
        <v>200</v>
      </c>
      <c r="AC37" s="5">
        <v>10480</v>
      </c>
      <c r="AD37" t="s">
        <v>219</v>
      </c>
      <c r="AE37" s="3"/>
      <c r="AF37" s="3"/>
      <c r="AG37" s="5"/>
      <c r="AI37" s="3">
        <v>76.569999999999993</v>
      </c>
      <c r="AJ37" s="3">
        <v>200</v>
      </c>
      <c r="AK37" s="5">
        <v>15314</v>
      </c>
      <c r="AL37" t="s">
        <v>220</v>
      </c>
      <c r="AM37" s="3"/>
      <c r="AN37" s="3"/>
      <c r="AO37" s="5"/>
      <c r="AQ37" s="3"/>
      <c r="AR37" s="3"/>
      <c r="AS37" s="5"/>
      <c r="AU37" s="3"/>
      <c r="AV37" s="3"/>
      <c r="AW37" s="5"/>
    </row>
    <row r="38" spans="1:50" ht="30" x14ac:dyDescent="0.25">
      <c r="A38" t="s">
        <v>221</v>
      </c>
      <c r="B38" t="s">
        <v>31</v>
      </c>
      <c r="C38" t="s">
        <v>222</v>
      </c>
      <c r="D38" s="4" t="s">
        <v>223</v>
      </c>
      <c r="E38">
        <v>500</v>
      </c>
      <c r="F38" t="s">
        <v>34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/>
      <c r="AB38" s="3"/>
      <c r="AC38" s="5"/>
      <c r="AE38" s="3"/>
      <c r="AF38" s="3"/>
      <c r="AG38" s="5"/>
      <c r="AI38" s="3"/>
      <c r="AJ38" s="3"/>
      <c r="AK38" s="5"/>
      <c r="AM38" s="3"/>
      <c r="AN38" s="3"/>
      <c r="AO38" s="5"/>
      <c r="AQ38" s="3"/>
      <c r="AR38" s="3"/>
      <c r="AS38" s="5"/>
      <c r="AU38" s="3"/>
      <c r="AV38" s="3"/>
      <c r="AW38" s="5"/>
    </row>
    <row r="39" spans="1:50" x14ac:dyDescent="0.25">
      <c r="A39" t="s">
        <v>224</v>
      </c>
      <c r="B39" t="s">
        <v>31</v>
      </c>
      <c r="C39" t="s">
        <v>225</v>
      </c>
      <c r="D39" t="s">
        <v>226</v>
      </c>
      <c r="E39">
        <v>500</v>
      </c>
      <c r="F39" t="s">
        <v>34</v>
      </c>
      <c r="G39" s="3"/>
      <c r="H39" s="3"/>
      <c r="I39" s="5"/>
      <c r="K39" s="3"/>
      <c r="L39" s="3"/>
      <c r="M39" s="5"/>
      <c r="O39" s="3"/>
      <c r="P39" s="3"/>
      <c r="Q39" s="5"/>
      <c r="S39" s="3"/>
      <c r="T39" s="3"/>
      <c r="U39" s="5"/>
      <c r="W39" s="3"/>
      <c r="X39" s="3"/>
      <c r="Y39" s="5"/>
      <c r="AA39" s="3"/>
      <c r="AB39" s="3"/>
      <c r="AC39" s="5"/>
      <c r="AE39" s="3"/>
      <c r="AF39" s="3"/>
      <c r="AG39" s="5"/>
      <c r="AI39" s="3"/>
      <c r="AJ39" s="3"/>
      <c r="AK39" s="5"/>
      <c r="AM39" s="3"/>
      <c r="AN39" s="3"/>
      <c r="AO39" s="5"/>
      <c r="AQ39" s="3"/>
      <c r="AR39" s="3"/>
      <c r="AS39" s="5"/>
      <c r="AU39" s="3"/>
      <c r="AV39" s="3"/>
      <c r="AW39" s="5"/>
    </row>
    <row r="40" spans="1:50" ht="30" x14ac:dyDescent="0.25">
      <c r="A40" t="s">
        <v>227</v>
      </c>
      <c r="B40" t="s">
        <v>31</v>
      </c>
      <c r="C40" t="s">
        <v>228</v>
      </c>
      <c r="D40" s="4" t="s">
        <v>229</v>
      </c>
      <c r="E40">
        <v>1500</v>
      </c>
      <c r="F40" t="s">
        <v>34</v>
      </c>
      <c r="G40" s="3">
        <v>68.599999999999994</v>
      </c>
      <c r="H40" s="3">
        <v>1500</v>
      </c>
      <c r="I40" s="5">
        <v>102900</v>
      </c>
      <c r="J40" s="4" t="s">
        <v>230</v>
      </c>
      <c r="K40" s="3"/>
      <c r="L40" s="3"/>
      <c r="M40" s="5"/>
      <c r="O40" s="3"/>
      <c r="P40" s="3"/>
      <c r="Q40" s="5"/>
      <c r="S40" s="3">
        <v>56</v>
      </c>
      <c r="T40" s="3">
        <v>1500</v>
      </c>
      <c r="U40" s="5">
        <v>84000</v>
      </c>
      <c r="V40" s="4" t="s">
        <v>231</v>
      </c>
      <c r="W40" s="3"/>
      <c r="X40" s="3"/>
      <c r="Y40" s="5"/>
      <c r="AA40" s="3">
        <v>39.799999999999997</v>
      </c>
      <c r="AB40" s="3">
        <v>1500</v>
      </c>
      <c r="AC40" s="5">
        <v>59700</v>
      </c>
      <c r="AD40" t="s">
        <v>232</v>
      </c>
      <c r="AE40" s="3"/>
      <c r="AF40" s="3"/>
      <c r="AG40" s="5"/>
      <c r="AI40" s="3"/>
      <c r="AJ40" s="3"/>
      <c r="AK40" s="5"/>
      <c r="AM40" s="3"/>
      <c r="AN40" s="3"/>
      <c r="AO40" s="5"/>
      <c r="AQ40" s="3"/>
      <c r="AR40" s="3"/>
      <c r="AS40" s="5"/>
      <c r="AU40" s="3"/>
      <c r="AV40" s="3"/>
      <c r="AW40" s="5"/>
    </row>
    <row r="41" spans="1:50" ht="30" x14ac:dyDescent="0.25">
      <c r="A41" t="s">
        <v>233</v>
      </c>
      <c r="B41" t="s">
        <v>31</v>
      </c>
      <c r="C41" t="s">
        <v>234</v>
      </c>
      <c r="D41" s="4" t="s">
        <v>235</v>
      </c>
      <c r="E41">
        <v>1500</v>
      </c>
      <c r="F41" t="s">
        <v>34</v>
      </c>
      <c r="G41" s="3">
        <v>68.12</v>
      </c>
      <c r="H41" s="3">
        <v>1500</v>
      </c>
      <c r="I41" s="5">
        <v>102180</v>
      </c>
      <c r="J41" s="4" t="s">
        <v>236</v>
      </c>
      <c r="K41" s="3"/>
      <c r="L41" s="3"/>
      <c r="M41" s="5"/>
      <c r="O41" s="3"/>
      <c r="P41" s="3"/>
      <c r="Q41" s="5"/>
      <c r="S41" s="3">
        <v>51.87</v>
      </c>
      <c r="T41" s="3">
        <v>1500</v>
      </c>
      <c r="U41" s="5">
        <v>77805</v>
      </c>
      <c r="V41" s="4" t="s">
        <v>237</v>
      </c>
      <c r="W41" s="3"/>
      <c r="X41" s="3"/>
      <c r="Y41" s="5"/>
      <c r="AA41" s="3">
        <v>43</v>
      </c>
      <c r="AB41" s="3">
        <v>1500</v>
      </c>
      <c r="AC41" s="5">
        <v>64500</v>
      </c>
      <c r="AD41" t="s">
        <v>238</v>
      </c>
      <c r="AE41" s="3"/>
      <c r="AF41" s="3"/>
      <c r="AG41" s="5"/>
      <c r="AI41" s="3"/>
      <c r="AJ41" s="3"/>
      <c r="AK41" s="5"/>
      <c r="AM41" s="3"/>
      <c r="AN41" s="3"/>
      <c r="AO41" s="5"/>
      <c r="AQ41" s="3"/>
      <c r="AR41" s="3"/>
      <c r="AS41" s="5"/>
      <c r="AU41" s="3"/>
      <c r="AV41" s="3"/>
      <c r="AW41" s="5"/>
    </row>
    <row r="42" spans="1:50" ht="45" x14ac:dyDescent="0.25">
      <c r="A42" t="s">
        <v>239</v>
      </c>
      <c r="B42" t="s">
        <v>31</v>
      </c>
      <c r="C42" t="s">
        <v>240</v>
      </c>
      <c r="D42" s="4" t="s">
        <v>241</v>
      </c>
      <c r="E42">
        <v>3000</v>
      </c>
      <c r="F42" t="s">
        <v>34</v>
      </c>
      <c r="G42" s="3"/>
      <c r="H42" s="3"/>
      <c r="I42" s="5"/>
      <c r="K42" s="3"/>
      <c r="L42" s="3"/>
      <c r="M42" s="5"/>
      <c r="O42" s="3">
        <v>215.41</v>
      </c>
      <c r="P42" s="3">
        <v>3000</v>
      </c>
      <c r="Q42" s="5">
        <v>646230</v>
      </c>
      <c r="R42" t="s">
        <v>242</v>
      </c>
      <c r="S42" s="3"/>
      <c r="T42" s="3"/>
      <c r="U42" s="5"/>
      <c r="W42" s="3"/>
      <c r="X42" s="3"/>
      <c r="Y42" s="5"/>
      <c r="AA42" s="3"/>
      <c r="AB42" s="3"/>
      <c r="AC42" s="5"/>
      <c r="AE42" s="3"/>
      <c r="AF42" s="3"/>
      <c r="AG42" s="5"/>
      <c r="AI42" s="3">
        <v>88.42</v>
      </c>
      <c r="AJ42" s="3">
        <v>3000</v>
      </c>
      <c r="AK42" s="5">
        <v>265260</v>
      </c>
      <c r="AL42" s="4" t="s">
        <v>243</v>
      </c>
      <c r="AM42" s="3">
        <v>582</v>
      </c>
      <c r="AN42" s="3">
        <v>3000</v>
      </c>
      <c r="AO42" s="5">
        <v>1746000</v>
      </c>
      <c r="AP42" t="s">
        <v>244</v>
      </c>
      <c r="AQ42" s="3"/>
      <c r="AR42" s="3"/>
      <c r="AS42" s="5"/>
      <c r="AU42" s="3">
        <v>237.7</v>
      </c>
      <c r="AV42" s="3">
        <v>3000</v>
      </c>
      <c r="AW42" s="5">
        <v>713100</v>
      </c>
      <c r="AX42" s="4" t="s">
        <v>245</v>
      </c>
    </row>
    <row r="43" spans="1:50" ht="30" x14ac:dyDescent="0.25">
      <c r="A43" t="s">
        <v>246</v>
      </c>
      <c r="B43" t="s">
        <v>31</v>
      </c>
      <c r="C43" t="s">
        <v>247</v>
      </c>
      <c r="D43" s="4" t="s">
        <v>248</v>
      </c>
      <c r="E43">
        <v>3000</v>
      </c>
      <c r="F43" t="s">
        <v>34</v>
      </c>
      <c r="G43" s="3">
        <v>57.18</v>
      </c>
      <c r="H43" s="3">
        <v>3000</v>
      </c>
      <c r="I43" s="5">
        <v>171540</v>
      </c>
      <c r="J43" s="4" t="s">
        <v>249</v>
      </c>
      <c r="K43" s="3"/>
      <c r="L43" s="3"/>
      <c r="M43" s="5"/>
      <c r="O43" s="3">
        <v>47.9</v>
      </c>
      <c r="P43" s="3">
        <v>3000</v>
      </c>
      <c r="Q43" s="5">
        <v>143700</v>
      </c>
      <c r="R43" t="s">
        <v>250</v>
      </c>
      <c r="S43" s="3">
        <v>65.17</v>
      </c>
      <c r="T43" s="3">
        <v>3000</v>
      </c>
      <c r="U43" s="5">
        <v>195510</v>
      </c>
      <c r="V43" s="4" t="s">
        <v>251</v>
      </c>
      <c r="W43" s="3">
        <v>50.42</v>
      </c>
      <c r="X43" s="3">
        <v>3000</v>
      </c>
      <c r="Y43" s="5">
        <v>151260</v>
      </c>
      <c r="Z43" s="4" t="s">
        <v>252</v>
      </c>
      <c r="AA43" s="3">
        <v>53.4</v>
      </c>
      <c r="AB43" s="3">
        <v>3000</v>
      </c>
      <c r="AC43" s="5">
        <v>160200</v>
      </c>
      <c r="AD43" t="s">
        <v>253</v>
      </c>
      <c r="AE43" s="3"/>
      <c r="AF43" s="3"/>
      <c r="AG43" s="5"/>
      <c r="AI43" s="3">
        <v>44.72</v>
      </c>
      <c r="AJ43" s="3">
        <v>3000</v>
      </c>
      <c r="AK43" s="5">
        <v>134160</v>
      </c>
      <c r="AL43" s="4" t="s">
        <v>254</v>
      </c>
      <c r="AM43" s="3">
        <v>120</v>
      </c>
      <c r="AN43" s="3">
        <v>3000</v>
      </c>
      <c r="AO43" s="5">
        <v>360000</v>
      </c>
      <c r="AP43" t="s">
        <v>255</v>
      </c>
      <c r="AQ43" s="3"/>
      <c r="AR43" s="3"/>
      <c r="AS43" s="5"/>
      <c r="AU43" s="3"/>
      <c r="AV43" s="3"/>
      <c r="AW43" s="5"/>
    </row>
    <row r="44" spans="1:50" ht="30" x14ac:dyDescent="0.25">
      <c r="A44" t="s">
        <v>256</v>
      </c>
      <c r="B44" t="s">
        <v>31</v>
      </c>
      <c r="C44" t="s">
        <v>257</v>
      </c>
      <c r="D44" s="4" t="s">
        <v>258</v>
      </c>
      <c r="E44">
        <v>1000</v>
      </c>
      <c r="F44" t="s">
        <v>34</v>
      </c>
      <c r="G44" s="3">
        <v>73.349999999999994</v>
      </c>
      <c r="H44" s="3">
        <v>1000</v>
      </c>
      <c r="I44" s="5">
        <v>73350</v>
      </c>
      <c r="J44" s="4" t="s">
        <v>259</v>
      </c>
      <c r="K44" s="3"/>
      <c r="L44" s="3"/>
      <c r="M44" s="5"/>
      <c r="O44" s="3"/>
      <c r="P44" s="3"/>
      <c r="Q44" s="5"/>
      <c r="S44" s="3"/>
      <c r="T44" s="3"/>
      <c r="U44" s="5"/>
      <c r="W44" s="3">
        <v>66.55</v>
      </c>
      <c r="X44" s="3">
        <v>996</v>
      </c>
      <c r="Y44" s="5">
        <v>66283.8</v>
      </c>
      <c r="Z44" s="4" t="s">
        <v>260</v>
      </c>
      <c r="AA44" s="3">
        <v>67.3</v>
      </c>
      <c r="AB44" s="3">
        <v>1000</v>
      </c>
      <c r="AC44" s="5">
        <v>67300</v>
      </c>
      <c r="AD44" t="s">
        <v>261</v>
      </c>
      <c r="AE44" s="3"/>
      <c r="AF44" s="3"/>
      <c r="AG44" s="5"/>
      <c r="AI44" s="3"/>
      <c r="AJ44" s="3"/>
      <c r="AK44" s="5"/>
      <c r="AM44" s="3">
        <v>243</v>
      </c>
      <c r="AN44" s="3">
        <v>1000</v>
      </c>
      <c r="AO44" s="5">
        <v>243000</v>
      </c>
      <c r="AP44" t="s">
        <v>262</v>
      </c>
      <c r="AQ44" s="3"/>
      <c r="AR44" s="3"/>
      <c r="AS44" s="5"/>
      <c r="AU44" s="3"/>
      <c r="AV44" s="3"/>
      <c r="AW44" s="5"/>
    </row>
    <row r="45" spans="1:50" ht="30" x14ac:dyDescent="0.25">
      <c r="A45" t="s">
        <v>263</v>
      </c>
      <c r="B45" t="s">
        <v>31</v>
      </c>
      <c r="C45" t="s">
        <v>264</v>
      </c>
      <c r="D45" s="4" t="s">
        <v>265</v>
      </c>
      <c r="E45">
        <v>3000</v>
      </c>
      <c r="F45" t="s">
        <v>34</v>
      </c>
      <c r="G45" s="3">
        <v>142.96</v>
      </c>
      <c r="H45" s="3">
        <v>3000</v>
      </c>
      <c r="I45" s="5">
        <v>428880</v>
      </c>
      <c r="J45" s="4" t="s">
        <v>266</v>
      </c>
      <c r="K45" s="3"/>
      <c r="L45" s="3"/>
      <c r="M45" s="5"/>
      <c r="O45" s="3"/>
      <c r="P45" s="3"/>
      <c r="Q45" s="5"/>
      <c r="S45" s="3"/>
      <c r="T45" s="3"/>
      <c r="U45" s="5"/>
      <c r="W45" s="3"/>
      <c r="X45" s="3"/>
      <c r="Y45" s="5"/>
      <c r="AA45" s="3">
        <v>133.5</v>
      </c>
      <c r="AB45" s="3">
        <v>3000</v>
      </c>
      <c r="AC45" s="5">
        <v>400500</v>
      </c>
      <c r="AD45" t="s">
        <v>267</v>
      </c>
      <c r="AE45" s="3"/>
      <c r="AF45" s="3"/>
      <c r="AG45" s="5"/>
      <c r="AI45" s="3"/>
      <c r="AJ45" s="3"/>
      <c r="AK45" s="5"/>
      <c r="AM45" s="3">
        <v>482</v>
      </c>
      <c r="AN45" s="3">
        <v>3000</v>
      </c>
      <c r="AO45" s="5">
        <v>1446000</v>
      </c>
      <c r="AP45" t="s">
        <v>268</v>
      </c>
      <c r="AQ45" s="3"/>
      <c r="AR45" s="3"/>
      <c r="AS45" s="5"/>
      <c r="AU45" s="3"/>
      <c r="AV45" s="3"/>
      <c r="AW45" s="5"/>
    </row>
    <row r="46" spans="1:50" ht="45" x14ac:dyDescent="0.25">
      <c r="A46" t="s">
        <v>269</v>
      </c>
      <c r="B46" t="s">
        <v>31</v>
      </c>
      <c r="C46" t="s">
        <v>270</v>
      </c>
      <c r="D46" s="4" t="s">
        <v>271</v>
      </c>
      <c r="E46">
        <v>300</v>
      </c>
      <c r="F46" t="s">
        <v>34</v>
      </c>
      <c r="G46" s="3"/>
      <c r="H46" s="3"/>
      <c r="I46" s="5"/>
      <c r="K46" s="3"/>
      <c r="L46" s="3"/>
      <c r="M46" s="5"/>
      <c r="O46" s="3">
        <v>420.1</v>
      </c>
      <c r="P46" s="3">
        <v>300</v>
      </c>
      <c r="Q46" s="5">
        <v>126030</v>
      </c>
      <c r="R46" t="s">
        <v>272</v>
      </c>
      <c r="S46" s="3"/>
      <c r="T46" s="3"/>
      <c r="U46" s="5"/>
      <c r="W46" s="3">
        <v>381.15</v>
      </c>
      <c r="X46" s="3">
        <v>300</v>
      </c>
      <c r="Y46" s="5">
        <v>114345</v>
      </c>
      <c r="Z46" s="4" t="s">
        <v>273</v>
      </c>
      <c r="AA46" s="3">
        <v>467.1</v>
      </c>
      <c r="AB46" s="3">
        <v>300</v>
      </c>
      <c r="AC46" s="5">
        <v>140130</v>
      </c>
      <c r="AD46" t="s">
        <v>274</v>
      </c>
      <c r="AE46" s="3"/>
      <c r="AF46" s="3"/>
      <c r="AG46" s="5"/>
      <c r="AI46" s="3"/>
      <c r="AJ46" s="3"/>
      <c r="AK46" s="5"/>
      <c r="AM46" s="3"/>
      <c r="AN46" s="3"/>
      <c r="AO46" s="5"/>
      <c r="AQ46" s="3"/>
      <c r="AR46" s="3"/>
      <c r="AS46" s="5"/>
      <c r="AU46" s="3"/>
      <c r="AV46" s="3"/>
      <c r="AW46" s="5"/>
    </row>
    <row r="47" spans="1:50" ht="30" x14ac:dyDescent="0.25">
      <c r="A47" t="s">
        <v>275</v>
      </c>
      <c r="B47" t="s">
        <v>31</v>
      </c>
      <c r="C47" t="s">
        <v>276</v>
      </c>
      <c r="D47" s="4" t="s">
        <v>277</v>
      </c>
      <c r="E47">
        <v>50</v>
      </c>
      <c r="F47" t="s">
        <v>34</v>
      </c>
      <c r="G47" s="3"/>
      <c r="H47" s="3"/>
      <c r="I47" s="5"/>
      <c r="K47" s="3"/>
      <c r="L47" s="3"/>
      <c r="M47" s="5"/>
      <c r="O47" s="3"/>
      <c r="P47" s="3"/>
      <c r="Q47" s="5"/>
      <c r="S47" s="3"/>
      <c r="T47" s="3"/>
      <c r="U47" s="5"/>
      <c r="W47" s="3"/>
      <c r="X47" s="3"/>
      <c r="Y47" s="5"/>
      <c r="AA47" s="3"/>
      <c r="AB47" s="3"/>
      <c r="AC47" s="5"/>
      <c r="AE47" s="3"/>
      <c r="AF47" s="3"/>
      <c r="AG47" s="5"/>
      <c r="AI47" s="3"/>
      <c r="AJ47" s="3"/>
      <c r="AK47" s="5"/>
      <c r="AM47" s="3"/>
      <c r="AN47" s="3"/>
      <c r="AO47" s="5"/>
      <c r="AQ47" s="3"/>
      <c r="AR47" s="3"/>
      <c r="AS47" s="5"/>
      <c r="AU47" s="3"/>
      <c r="AV47" s="3"/>
      <c r="AW47" s="5"/>
    </row>
    <row r="48" spans="1:50" ht="45" x14ac:dyDescent="0.25">
      <c r="A48" t="s">
        <v>278</v>
      </c>
      <c r="B48" t="s">
        <v>31</v>
      </c>
      <c r="C48" t="s">
        <v>279</v>
      </c>
      <c r="D48" t="s">
        <v>280</v>
      </c>
      <c r="E48">
        <v>150</v>
      </c>
      <c r="F48" t="s">
        <v>34</v>
      </c>
      <c r="G48" s="3"/>
      <c r="H48" s="3"/>
      <c r="I48" s="5"/>
      <c r="K48" s="3"/>
      <c r="L48" s="3"/>
      <c r="M48" s="5"/>
      <c r="O48" s="3"/>
      <c r="P48" s="3"/>
      <c r="Q48" s="5"/>
      <c r="S48" s="3">
        <v>121</v>
      </c>
      <c r="T48" s="3">
        <v>150</v>
      </c>
      <c r="U48" s="5">
        <v>18150</v>
      </c>
      <c r="V48" s="4" t="s">
        <v>281</v>
      </c>
      <c r="W48" s="3"/>
      <c r="X48" s="3"/>
      <c r="Y48" s="5"/>
      <c r="AA48" s="3">
        <v>108.2</v>
      </c>
      <c r="AB48" s="3">
        <v>150</v>
      </c>
      <c r="AC48" s="5">
        <v>16230</v>
      </c>
      <c r="AD48" t="s">
        <v>282</v>
      </c>
      <c r="AE48" s="3"/>
      <c r="AF48" s="3"/>
      <c r="AG48" s="5"/>
      <c r="AI48" s="3">
        <v>162</v>
      </c>
      <c r="AJ48" s="3">
        <v>150</v>
      </c>
      <c r="AK48" s="5">
        <v>24300</v>
      </c>
      <c r="AL48" s="4" t="s">
        <v>283</v>
      </c>
      <c r="AM48" s="3"/>
      <c r="AN48" s="3"/>
      <c r="AO48" s="5"/>
      <c r="AQ48" s="3"/>
      <c r="AR48" s="3"/>
      <c r="AS48" s="5"/>
      <c r="AU48" s="3"/>
      <c r="AV48" s="3"/>
      <c r="AW48" s="5"/>
    </row>
    <row r="49" spans="1:49" ht="30" x14ac:dyDescent="0.25">
      <c r="A49" t="s">
        <v>284</v>
      </c>
      <c r="B49" t="s">
        <v>31</v>
      </c>
      <c r="C49" t="s">
        <v>285</v>
      </c>
      <c r="D49" t="s">
        <v>286</v>
      </c>
      <c r="E49">
        <v>150</v>
      </c>
      <c r="F49" t="s">
        <v>34</v>
      </c>
      <c r="G49" s="3"/>
      <c r="H49" s="3"/>
      <c r="I49" s="5"/>
      <c r="K49" s="3"/>
      <c r="L49" s="3"/>
      <c r="M49" s="5"/>
      <c r="O49" s="3"/>
      <c r="P49" s="3"/>
      <c r="Q49" s="5"/>
      <c r="S49" s="3">
        <v>121</v>
      </c>
      <c r="T49" s="3">
        <v>150</v>
      </c>
      <c r="U49" s="5">
        <v>18150</v>
      </c>
      <c r="V49" s="4" t="s">
        <v>287</v>
      </c>
      <c r="W49" s="3"/>
      <c r="X49" s="3"/>
      <c r="Y49" s="5"/>
      <c r="AA49" s="3">
        <v>108.2</v>
      </c>
      <c r="AB49" s="3">
        <v>150</v>
      </c>
      <c r="AC49" s="5">
        <v>16230</v>
      </c>
      <c r="AD49" t="s">
        <v>282</v>
      </c>
      <c r="AE49" s="3"/>
      <c r="AF49" s="3"/>
      <c r="AG49" s="5"/>
      <c r="AI49" s="3">
        <v>162</v>
      </c>
      <c r="AJ49" s="3">
        <v>150</v>
      </c>
      <c r="AK49" s="5">
        <v>24300</v>
      </c>
      <c r="AL49" s="4" t="s">
        <v>288</v>
      </c>
      <c r="AM49" s="3"/>
      <c r="AN49" s="3"/>
      <c r="AO49" s="5"/>
      <c r="AQ49" s="3"/>
      <c r="AR49" s="3"/>
      <c r="AS49" s="5"/>
      <c r="AU49" s="3"/>
      <c r="AV49" s="3"/>
      <c r="AW49" s="5"/>
    </row>
    <row r="50" spans="1:49" ht="45" x14ac:dyDescent="0.25">
      <c r="A50" t="s">
        <v>289</v>
      </c>
      <c r="B50" t="s">
        <v>31</v>
      </c>
      <c r="C50" t="s">
        <v>290</v>
      </c>
      <c r="D50" t="s">
        <v>291</v>
      </c>
      <c r="E50">
        <v>150</v>
      </c>
      <c r="F50" t="s">
        <v>34</v>
      </c>
      <c r="G50" s="3"/>
      <c r="H50" s="3"/>
      <c r="I50" s="5"/>
      <c r="K50" s="3"/>
      <c r="L50" s="3"/>
      <c r="M50" s="5"/>
      <c r="O50" s="3"/>
      <c r="P50" s="3"/>
      <c r="Q50" s="5"/>
      <c r="S50" s="3">
        <v>121</v>
      </c>
      <c r="T50" s="3">
        <v>150</v>
      </c>
      <c r="U50" s="5">
        <v>18150</v>
      </c>
      <c r="V50" s="4" t="s">
        <v>292</v>
      </c>
      <c r="W50" s="3"/>
      <c r="X50" s="3"/>
      <c r="Y50" s="5"/>
      <c r="AA50" s="3">
        <v>108.2</v>
      </c>
      <c r="AB50" s="3">
        <v>150</v>
      </c>
      <c r="AC50" s="5">
        <v>16230</v>
      </c>
      <c r="AD50" t="s">
        <v>282</v>
      </c>
      <c r="AE50" s="3"/>
      <c r="AF50" s="3"/>
      <c r="AG50" s="5"/>
      <c r="AI50" s="3">
        <v>132.32</v>
      </c>
      <c r="AJ50" s="3">
        <v>150</v>
      </c>
      <c r="AK50" s="5">
        <v>19848</v>
      </c>
      <c r="AL50" s="4" t="s">
        <v>293</v>
      </c>
      <c r="AM50" s="3"/>
      <c r="AN50" s="3"/>
      <c r="AO50" s="5"/>
      <c r="AQ50" s="3"/>
      <c r="AR50" s="3"/>
      <c r="AS50" s="5"/>
      <c r="AU50" s="3"/>
      <c r="AV50" s="3"/>
      <c r="AW50" s="5"/>
    </row>
    <row r="51" spans="1:49" ht="30" x14ac:dyDescent="0.25">
      <c r="A51" t="s">
        <v>294</v>
      </c>
      <c r="B51" t="s">
        <v>31</v>
      </c>
      <c r="C51" t="s">
        <v>295</v>
      </c>
      <c r="D51" t="s">
        <v>296</v>
      </c>
      <c r="E51">
        <v>150</v>
      </c>
      <c r="F51" t="s">
        <v>34</v>
      </c>
      <c r="G51" s="3"/>
      <c r="H51" s="3"/>
      <c r="I51" s="5"/>
      <c r="K51" s="3"/>
      <c r="L51" s="3"/>
      <c r="M51" s="5"/>
      <c r="O51" s="3"/>
      <c r="P51" s="3"/>
      <c r="Q51" s="5"/>
      <c r="S51" s="3">
        <v>121</v>
      </c>
      <c r="T51" s="3">
        <v>150</v>
      </c>
      <c r="U51" s="5">
        <v>18150</v>
      </c>
      <c r="V51" s="4" t="s">
        <v>297</v>
      </c>
      <c r="W51" s="3"/>
      <c r="X51" s="3"/>
      <c r="Y51" s="5"/>
      <c r="AA51" s="3">
        <v>153.19999999999999</v>
      </c>
      <c r="AB51" s="3">
        <v>150</v>
      </c>
      <c r="AC51" s="5">
        <v>22980</v>
      </c>
      <c r="AD51" t="s">
        <v>298</v>
      </c>
      <c r="AE51" s="3"/>
      <c r="AF51" s="3"/>
      <c r="AG51" s="5"/>
      <c r="AI51" s="3">
        <v>132.32</v>
      </c>
      <c r="AJ51" s="3">
        <v>150</v>
      </c>
      <c r="AK51" s="5">
        <v>19848</v>
      </c>
      <c r="AL51" s="4" t="s">
        <v>299</v>
      </c>
      <c r="AM51" s="3"/>
      <c r="AN51" s="3"/>
      <c r="AO51" s="5"/>
      <c r="AQ51" s="3"/>
      <c r="AR51" s="3"/>
      <c r="AS51" s="5"/>
      <c r="AU51" s="3"/>
      <c r="AV51" s="3"/>
      <c r="AW51" s="5"/>
    </row>
    <row r="52" spans="1:49" ht="45" x14ac:dyDescent="0.25">
      <c r="A52" t="s">
        <v>300</v>
      </c>
      <c r="B52" t="s">
        <v>31</v>
      </c>
      <c r="C52" t="s">
        <v>301</v>
      </c>
      <c r="D52" s="4" t="s">
        <v>302</v>
      </c>
      <c r="E52">
        <v>3</v>
      </c>
      <c r="F52" t="s">
        <v>34</v>
      </c>
      <c r="G52" s="3"/>
      <c r="H52" s="3"/>
      <c r="I52" s="5"/>
      <c r="K52" s="3"/>
      <c r="L52" s="3"/>
      <c r="M52" s="5"/>
      <c r="O52" s="3"/>
      <c r="P52" s="3"/>
      <c r="Q52" s="5"/>
      <c r="S52" s="3"/>
      <c r="T52" s="3"/>
      <c r="U52" s="5"/>
      <c r="W52" s="3"/>
      <c r="X52" s="3"/>
      <c r="Y52" s="5"/>
      <c r="AA52" s="3">
        <v>4845</v>
      </c>
      <c r="AB52" s="3">
        <v>3</v>
      </c>
      <c r="AC52" s="5">
        <v>14535</v>
      </c>
      <c r="AD52" s="4" t="s">
        <v>303</v>
      </c>
      <c r="AE52" s="3"/>
      <c r="AF52" s="3"/>
      <c r="AG52" s="5"/>
      <c r="AI52" s="3"/>
      <c r="AJ52" s="3"/>
      <c r="AK52" s="5"/>
      <c r="AM52" s="3"/>
      <c r="AN52" s="3"/>
      <c r="AO52" s="5"/>
      <c r="AQ52" s="3"/>
      <c r="AR52" s="3"/>
      <c r="AS52" s="5"/>
      <c r="AU52" s="3"/>
      <c r="AV52" s="3"/>
      <c r="AW52" s="5"/>
    </row>
    <row r="53" spans="1:49" ht="30" x14ac:dyDescent="0.25">
      <c r="A53" t="s">
        <v>304</v>
      </c>
      <c r="B53" t="s">
        <v>31</v>
      </c>
      <c r="C53" t="s">
        <v>305</v>
      </c>
      <c r="D53" s="4" t="s">
        <v>306</v>
      </c>
      <c r="E53">
        <v>3</v>
      </c>
      <c r="F53" t="s">
        <v>34</v>
      </c>
      <c r="G53" s="3"/>
      <c r="H53" s="3"/>
      <c r="I53" s="5"/>
      <c r="K53" s="3"/>
      <c r="L53" s="3"/>
      <c r="M53" s="5"/>
      <c r="O53" s="3"/>
      <c r="P53" s="3"/>
      <c r="Q53" s="5"/>
      <c r="S53" s="3"/>
      <c r="T53" s="3"/>
      <c r="U53" s="5"/>
      <c r="W53" s="3"/>
      <c r="X53" s="3"/>
      <c r="Y53" s="5"/>
      <c r="AA53" s="3">
        <v>10489</v>
      </c>
      <c r="AB53" s="3">
        <v>3</v>
      </c>
      <c r="AC53" s="5">
        <v>31467</v>
      </c>
      <c r="AD53" s="4" t="s">
        <v>307</v>
      </c>
      <c r="AE53" s="3"/>
      <c r="AF53" s="3"/>
      <c r="AG53" s="5"/>
      <c r="AI53" s="3"/>
      <c r="AJ53" s="3"/>
      <c r="AK53" s="5"/>
      <c r="AM53" s="3"/>
      <c r="AN53" s="3"/>
      <c r="AO53" s="5"/>
      <c r="AQ53" s="3"/>
      <c r="AR53" s="3"/>
      <c r="AS53" s="5"/>
      <c r="AU53" s="3"/>
      <c r="AV53" s="3"/>
      <c r="AW53" s="5"/>
    </row>
    <row r="54" spans="1:49" ht="30" x14ac:dyDescent="0.25">
      <c r="A54" t="s">
        <v>308</v>
      </c>
      <c r="B54" t="s">
        <v>31</v>
      </c>
      <c r="C54" t="s">
        <v>309</v>
      </c>
      <c r="D54" s="4" t="s">
        <v>310</v>
      </c>
      <c r="E54">
        <v>800</v>
      </c>
      <c r="F54" t="s">
        <v>34</v>
      </c>
      <c r="G54" s="3"/>
      <c r="H54" s="3"/>
      <c r="I54" s="5"/>
      <c r="K54" s="3"/>
      <c r="L54" s="3"/>
      <c r="M54" s="5"/>
      <c r="O54" s="3">
        <v>274.81</v>
      </c>
      <c r="P54" s="3">
        <v>800</v>
      </c>
      <c r="Q54" s="5">
        <v>219848</v>
      </c>
      <c r="R54" t="s">
        <v>311</v>
      </c>
      <c r="S54" s="3">
        <v>239</v>
      </c>
      <c r="T54" s="3">
        <v>800</v>
      </c>
      <c r="U54" s="5">
        <v>191200</v>
      </c>
      <c r="V54" s="4" t="s">
        <v>312</v>
      </c>
      <c r="W54" s="3"/>
      <c r="X54" s="3"/>
      <c r="Y54" s="5"/>
      <c r="AA54" s="3">
        <v>269.10000000000002</v>
      </c>
      <c r="AB54" s="3">
        <v>800</v>
      </c>
      <c r="AC54" s="5">
        <v>215280</v>
      </c>
      <c r="AD54" t="s">
        <v>313</v>
      </c>
      <c r="AE54" s="3"/>
      <c r="AF54" s="3"/>
      <c r="AG54" s="5"/>
      <c r="AI54" s="3">
        <v>176.05</v>
      </c>
      <c r="AJ54" s="3">
        <v>800</v>
      </c>
      <c r="AK54" s="5">
        <v>140840</v>
      </c>
      <c r="AL54" s="4" t="s">
        <v>314</v>
      </c>
      <c r="AM54" s="3"/>
      <c r="AN54" s="3"/>
      <c r="AO54" s="5"/>
      <c r="AQ54" s="3">
        <v>308</v>
      </c>
      <c r="AR54" s="3">
        <v>800</v>
      </c>
      <c r="AS54" s="5">
        <v>246400</v>
      </c>
      <c r="AT54" t="s">
        <v>215</v>
      </c>
      <c r="AU54" s="3"/>
      <c r="AV54" s="3"/>
      <c r="AW54" s="5"/>
    </row>
    <row r="55" spans="1:49" ht="30" x14ac:dyDescent="0.25">
      <c r="A55" t="s">
        <v>315</v>
      </c>
      <c r="B55" t="s">
        <v>31</v>
      </c>
      <c r="C55" t="s">
        <v>316</v>
      </c>
      <c r="D55" s="4" t="s">
        <v>317</v>
      </c>
      <c r="E55">
        <v>200</v>
      </c>
      <c r="F55" t="s">
        <v>34</v>
      </c>
      <c r="G55" s="3"/>
      <c r="H55" s="3"/>
      <c r="I55" s="5"/>
      <c r="K55" s="3"/>
      <c r="L55" s="3"/>
      <c r="M55" s="5"/>
      <c r="O55" s="3">
        <v>408.19</v>
      </c>
      <c r="P55" s="3">
        <v>200</v>
      </c>
      <c r="Q55" s="5">
        <v>81638</v>
      </c>
      <c r="R55" t="s">
        <v>318</v>
      </c>
      <c r="S55" s="3">
        <v>310.5</v>
      </c>
      <c r="T55" s="3">
        <v>200</v>
      </c>
      <c r="U55" s="5">
        <v>62100</v>
      </c>
      <c r="V55" s="4" t="s">
        <v>319</v>
      </c>
      <c r="W55" s="3"/>
      <c r="X55" s="3"/>
      <c r="Y55" s="5"/>
      <c r="AA55" s="3">
        <v>370</v>
      </c>
      <c r="AB55" s="3">
        <v>200</v>
      </c>
      <c r="AC55" s="5">
        <v>74000</v>
      </c>
      <c r="AD55" t="s">
        <v>313</v>
      </c>
      <c r="AE55" s="3"/>
      <c r="AF55" s="3"/>
      <c r="AG55" s="5"/>
      <c r="AI55" s="3">
        <v>250.47</v>
      </c>
      <c r="AJ55" s="3">
        <v>200</v>
      </c>
      <c r="AK55" s="5">
        <v>50094</v>
      </c>
      <c r="AL55" s="4" t="s">
        <v>320</v>
      </c>
      <c r="AM55" s="3"/>
      <c r="AN55" s="3"/>
      <c r="AO55" s="5"/>
      <c r="AQ55" s="3">
        <v>422</v>
      </c>
      <c r="AR55" s="3">
        <v>200</v>
      </c>
      <c r="AS55" s="5">
        <v>84400</v>
      </c>
      <c r="AT55" t="s">
        <v>215</v>
      </c>
      <c r="AU55" s="3"/>
      <c r="AV55" s="3"/>
      <c r="AW55" s="5"/>
    </row>
    <row r="56" spans="1:49" ht="30" x14ac:dyDescent="0.25">
      <c r="A56" t="s">
        <v>321</v>
      </c>
      <c r="B56" t="s">
        <v>31</v>
      </c>
      <c r="C56" t="s">
        <v>322</v>
      </c>
      <c r="D56" s="4" t="s">
        <v>323</v>
      </c>
      <c r="E56">
        <v>200</v>
      </c>
      <c r="F56" t="s">
        <v>34</v>
      </c>
      <c r="G56" s="3"/>
      <c r="H56" s="3"/>
      <c r="I56" s="5"/>
      <c r="K56" s="3"/>
      <c r="L56" s="3"/>
      <c r="M56" s="5"/>
      <c r="O56" s="3">
        <v>530.71</v>
      </c>
      <c r="P56" s="3">
        <v>200</v>
      </c>
      <c r="Q56" s="5">
        <v>106142</v>
      </c>
      <c r="R56" t="s">
        <v>324</v>
      </c>
      <c r="S56" s="3">
        <v>431</v>
      </c>
      <c r="T56" s="3">
        <v>200</v>
      </c>
      <c r="U56" s="5">
        <v>86200</v>
      </c>
      <c r="V56" s="4" t="s">
        <v>325</v>
      </c>
      <c r="W56" s="3"/>
      <c r="X56" s="3"/>
      <c r="Y56" s="5"/>
      <c r="AA56" s="3">
        <v>480.5</v>
      </c>
      <c r="AB56" s="3">
        <v>200</v>
      </c>
      <c r="AC56" s="5">
        <v>96100</v>
      </c>
      <c r="AD56" t="s">
        <v>214</v>
      </c>
      <c r="AE56" s="3"/>
      <c r="AF56" s="3"/>
      <c r="AG56" s="5"/>
      <c r="AI56" s="3">
        <v>328.52</v>
      </c>
      <c r="AJ56" s="3">
        <v>200</v>
      </c>
      <c r="AK56" s="5">
        <v>65704</v>
      </c>
      <c r="AL56" s="4" t="s">
        <v>326</v>
      </c>
      <c r="AM56" s="3"/>
      <c r="AN56" s="3"/>
      <c r="AO56" s="5"/>
      <c r="AQ56" s="3">
        <v>550</v>
      </c>
      <c r="AR56" s="3">
        <v>200</v>
      </c>
      <c r="AS56" s="5">
        <v>110000</v>
      </c>
      <c r="AT56" t="s">
        <v>215</v>
      </c>
      <c r="AU56" s="3"/>
      <c r="AV56" s="3"/>
      <c r="AW56" s="5"/>
    </row>
    <row r="57" spans="1:49" x14ac:dyDescent="0.25">
      <c r="C57" t="s">
        <v>327</v>
      </c>
      <c r="D57" s="4"/>
      <c r="G57" s="3"/>
      <c r="H57" s="3"/>
      <c r="I57" s="5">
        <f>SUBTOTAL(109,Table2[Total por renglón])</f>
        <v>2472483.7999999998</v>
      </c>
      <c r="K57" s="3"/>
      <c r="L57" s="3"/>
      <c r="M57" s="5">
        <f>SUBTOTAL(109,Table3[Total por renglón])</f>
        <v>399500</v>
      </c>
      <c r="O57" s="3"/>
      <c r="P57" s="3"/>
      <c r="Q57" s="5">
        <f>SUBTOTAL(109,Table4[Total por renglón])</f>
        <v>3055047</v>
      </c>
      <c r="S57" s="3"/>
      <c r="T57" s="3"/>
      <c r="U57" s="5">
        <f>SUBTOTAL(109,Table5[Total por renglón])</f>
        <v>2437430.5</v>
      </c>
      <c r="V57" s="4"/>
      <c r="W57" s="3"/>
      <c r="X57" s="3"/>
      <c r="Y57" s="5">
        <f>SUBTOTAL(109,Table6[Total por renglón])</f>
        <v>2600420.7999999998</v>
      </c>
      <c r="AA57" s="3"/>
      <c r="AB57" s="3"/>
      <c r="AC57" s="5">
        <f>SUBTOTAL(109,Table7[Total por renglón])</f>
        <v>4001958</v>
      </c>
      <c r="AE57" s="3"/>
      <c r="AF57" s="3"/>
      <c r="AG57" s="5">
        <f>SUBTOTAL(109,Table8[Total por renglón])</f>
        <v>2331480</v>
      </c>
      <c r="AI57" s="3"/>
      <c r="AJ57" s="3"/>
      <c r="AK57" s="5">
        <f>SUBTOTAL(109,Table9[Total por renglón])</f>
        <v>2145465.5</v>
      </c>
      <c r="AL57" s="4"/>
      <c r="AM57" s="3"/>
      <c r="AN57" s="3"/>
      <c r="AO57" s="5">
        <f>SUBTOTAL(109,Table10[Total por renglón])</f>
        <v>4605530</v>
      </c>
      <c r="AQ57" s="3"/>
      <c r="AR57" s="3"/>
      <c r="AS57" s="5">
        <f>SUBTOTAL(109,Table11[Total por renglón])</f>
        <v>1309200</v>
      </c>
      <c r="AU57" s="3"/>
      <c r="AV57" s="3"/>
      <c r="AW57" s="5">
        <f>SUBTOTAL(109,Table12[Total por renglón])</f>
        <v>713100</v>
      </c>
    </row>
  </sheetData>
  <mergeCells count="12">
    <mergeCell ref="AU8:AX8"/>
    <mergeCell ref="A8:F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2022-09-26T15:16:23Z</dcterms:created>
  <dcterms:modified xsi:type="dcterms:W3CDTF">2022-09-26T15:19:24Z</dcterms:modified>
</cp:coreProperties>
</file>