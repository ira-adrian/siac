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255" windowWidth="15600" windowHeight="11400" tabRatio="500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Trimestrales'!$A$9:$H$136</definedName>
    <definedName name="_xlnm.Print_Area" localSheetId="1">' NotaPedido'!$A$1:$G$77</definedName>
    <definedName name="_xlnm.Print_Area" localSheetId="2">'Autor Gastar'!$A$1:$Q$26</definedName>
    <definedName name="_xlnm.Print_Area" localSheetId="0">'Necesidades Trimestrales'!$D$9:$D$79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2" i="3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E138" i="2" l="1"/>
  <c r="C138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G12" i="2"/>
  <c r="F12" i="2"/>
  <c r="C137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" i="2"/>
  <c r="C12" i="2"/>
  <c r="F139" i="2" l="1"/>
  <c r="D4" i="2"/>
  <c r="D3" i="2"/>
  <c r="A10" i="3" l="1"/>
  <c r="D1" i="3" l="1"/>
  <c r="E12" i="2"/>
  <c r="H10" i="1"/>
</calcChain>
</file>

<file path=xl/sharedStrings.xml><?xml version="1.0" encoding="utf-8"?>
<sst xmlns="http://schemas.openxmlformats.org/spreadsheetml/2006/main" count="594" uniqueCount="206">
  <si>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</si>
  <si>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</si>
  <si>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</si>
  <si>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</si>
  <si>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</si>
  <si>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</si>
  <si>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</si>
  <si>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</si>
  <si>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</si>
  <si>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</si>
  <si>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</si>
  <si>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</si>
  <si>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</si>
  <si>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</si>
  <si>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</si>
  <si>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</si>
  <si>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</si>
  <si>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</si>
  <si>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</si>
  <si>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</si>
  <si>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</si>
  <si>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</si>
  <si>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</si>
  <si>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</si>
  <si>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</si>
  <si>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</si>
  <si>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</si>
  <si>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</si>
  <si>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</si>
  <si>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</si>
  <si>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</si>
  <si>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</si>
  <si>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</si>
  <si>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</si>
  <si>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</si>
  <si>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</si>
  <si>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</si>
  <si>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</si>
  <si>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</si>
  <si>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</si>
  <si>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</si>
  <si>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</si>
  <si>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</si>
  <si>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</si>
  <si>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</si>
  <si>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</si>
  <si>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</si>
  <si>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</si>
  <si>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</si>
  <si>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</si>
  <si>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</si>
  <si>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</si>
  <si>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</si>
  <si>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</si>
  <si>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</si>
  <si>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</si>
  <si>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</si>
  <si>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</si>
  <si>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COSTO TOTAL ESTIMADO</t>
  </si>
  <si>
    <t>Servicio de Farmacia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</si>
  <si>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</si>
  <si>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</si>
  <si>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</si>
  <si>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</si>
  <si>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</si>
  <si>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t>AGUJA DESCARTABLE 16/5</t>
  </si>
  <si>
    <t>AGUJA DESCARTABLE 25/8</t>
  </si>
  <si>
    <t>AGUJA DESCARTABLE 40/12</t>
  </si>
  <si>
    <t>AGUJA DESCARTABLE 40/8</t>
  </si>
  <si>
    <t>AGUJA DESCARTABLE 50/8</t>
  </si>
  <si>
    <t>ALGODÓN  x 500 GRS.TIPO DONCELLA</t>
  </si>
  <si>
    <t>BAJALENGUA X 100 UNIDADES</t>
  </si>
  <si>
    <t>BOTAS ALTAS DESCARTABLES DE 30 GRAMOS CON TIRA EL PAR</t>
  </si>
  <si>
    <t>BOLSA  P/SANGRE TRIPLE T/CPD ADENINA C/SAFMAN 450 ML</t>
  </si>
  <si>
    <t>CAMISOLINES DES. SMS CON MANGAS Y PUÑO DE 1,40 MTS. DE LARGO, 30 GRS. COLOR AZUL</t>
  </si>
  <si>
    <t>CATETER INTRAVENOSO Nº 22 TIPO HOSPIRA/BD</t>
  </si>
  <si>
    <t>CATETER INTRAVENOSO Nº 24 TIPO HOSPIRA/BD</t>
  </si>
  <si>
    <t>CANULAS NASALES PARA OXIGENOTERAPIA - NEONATALES</t>
  </si>
  <si>
    <t>CANULAS NASALES PARA OXIGENOTERAPIA - PEDIATRICOS</t>
  </si>
  <si>
    <t>CANULAS NASALES PARA OXIGENOTERAPIA -  ADULTOS</t>
  </si>
  <si>
    <t>CLORHEXIDINA 2 % SOLUCION x 250 ml.</t>
  </si>
  <si>
    <t>CLORHEXIDINA 4% JABON x 500 ML CON VALVULA DISPENSADORA TIPO NOVARA</t>
  </si>
  <si>
    <t>DETERGENTE MULTIENZIMATICO x 5 LITROS TIPO ADOX DM3 PLUS</t>
  </si>
  <si>
    <t>ELECTRODOS DESCARTABLES ADULTO TIPO 3M</t>
  </si>
  <si>
    <t xml:space="preserve">EQUIPO PARA ADM. SOLUC. MICROGOTERO TIPO V-17c/ ROLLER  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</si>
  <si>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</si>
  <si>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</si>
  <si>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</si>
  <si>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</si>
  <si>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</si>
  <si>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</si>
  <si>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GUANTES DE LATEX  EXAMINACION X 100 UNIDADES, TALLE S</t>
  </si>
  <si>
    <t>GUANTES DE LATEX  EXAMINACION X 100 UNIDADES, TALLE M</t>
  </si>
  <si>
    <t>GUANTES DE LATEX  EXAMINACION X 100 UNIDADES, TALLE L</t>
  </si>
  <si>
    <t>HOJA DE BISTURI N° 24</t>
  </si>
  <si>
    <t>HOJA DE BISTURI Nº 11</t>
  </si>
  <si>
    <t>HOJA DE BISTURI Nº 15 X 100</t>
  </si>
  <si>
    <t>JERINGA DESCARTABLE DE 10 CC S/AGUJA</t>
  </si>
  <si>
    <t>JERINGA DESCARTABLE DE 5 CC S/AGUJA</t>
  </si>
  <si>
    <t>JERINGA P/INSULINA 100 UI CON AGUJA TIPO TERUMO</t>
  </si>
  <si>
    <t>JERINGA DE 2,5 CC S/AGUJA</t>
  </si>
  <si>
    <t>JERINGA TUBERCULINA 1 CC. S/ AGUJA</t>
  </si>
  <si>
    <t>JERINGAS DE 20CC  S/AGUJA</t>
  </si>
  <si>
    <t>JERINGA DE 60 CC S/ AGUJA</t>
  </si>
  <si>
    <t>LLAVE 3 VIAS ESTERIL 360° LUERLOCK C/PROLONG. 15CM</t>
  </si>
  <si>
    <t>LLAVE 3 VIAS ESTERIL 360° LUERLOCK C/PROLONG. 30 CM</t>
  </si>
  <si>
    <t>LLAVE 3 VIAS ESTERIL 360° LUERLOCK C/PROLONG.50 CM</t>
  </si>
  <si>
    <t>LLAVE DE TRES VIA</t>
  </si>
  <si>
    <t>SET PARA NEBULIZAR COMPLETO PIPETA+ MASCARA + TUBULADURA</t>
  </si>
  <si>
    <t>MASCARA CON BOLSA RESERVORIO</t>
  </si>
  <si>
    <t>SONDA FOLEY DOBLE VIA Nº 14 DE PVC RECUBIERTO CON SILICONA</t>
  </si>
  <si>
    <t>SONDA FOLEY DOBLE VIA Nº 16 DE PVC RECUBIERTO CON SILICONA</t>
  </si>
  <si>
    <t>SONDA FOLEY DOBLE VIA Nº 18 DE PVC RECUBIERTO CON SILICONA</t>
  </si>
  <si>
    <t>SONDA INTUB.GASTRICA K 9</t>
  </si>
  <si>
    <t>SONDA INTUB.GASTRICA K10</t>
  </si>
  <si>
    <t>SONDA INTUB.GASTRICA K11</t>
  </si>
  <si>
    <t>SONDA NASOGASTRICA  K30</t>
  </si>
  <si>
    <t>SONDA NASOGASTRICA  K31</t>
  </si>
  <si>
    <t>SONDA NASOGASTRICA K 33</t>
  </si>
  <si>
    <t>SONDA K30 CON REGULADOR</t>
  </si>
  <si>
    <t>SONDA NASOGASTRICA K 35</t>
  </si>
  <si>
    <t>SONDA P/ASPIRACION MUCUS K33P C/REGULADOR</t>
  </si>
  <si>
    <t>SONDA P/ASPIRACION MUCUS T/K31P C/REG.</t>
  </si>
  <si>
    <t>SONDA P/ASPIRACION MUCUS T/K29P C/REGULADOR</t>
  </si>
  <si>
    <t>SONDA P/ASPIRACION MUCUS T/K35P C/REGULADOR</t>
  </si>
  <si>
    <t>SET DE VIA CENTRAL DOBLE LUMEN  7 FRENCH TIPO ARROW</t>
  </si>
  <si>
    <t>SET DE VIA CENTRAL DOBLE LUMEN 4  FRENCH  /13 CM 22/22 G TIPO ARROW</t>
  </si>
  <si>
    <t>SET DE VIA CENTRAL DOBLE LUMEN 4  FRENCH  /30 CM 22/22 G TIPO ARROW</t>
  </si>
  <si>
    <t>APO ADHESIVO 6 X 7 TIPO TEGADERM</t>
  </si>
  <si>
    <t>APO ADHESIVO 10 X 12  TIPO TEGADERM</t>
  </si>
  <si>
    <t>TAPON INTERMITENTE TIPO BRAUN in stopper</t>
  </si>
  <si>
    <t>TELA ADHESIVA 5 MM X 9,00 MTS TIPO ADHESUR</t>
  </si>
  <si>
    <t>TELA ADHESIVA HIPOALERGENICA MICROPORE 2,5 CM TIPO 3 M</t>
  </si>
  <si>
    <t>TELA ADHESIVA HIPOALERGENICA TRANSPORE 2,5 CM TIPO 3 M</t>
  </si>
  <si>
    <t>HILO DE SUTURA N1 CON AGUJA TIPO VICRYL CODIGO J341</t>
  </si>
  <si>
    <t>HILO DE SUTURA TIPO VICRYL N2-0 CODIGO J317 CON AGUJA</t>
  </si>
  <si>
    <t>CAMPO QUIRURGICO T/STERY DRAPE COD.1015</t>
  </si>
  <si>
    <t>CAMPO QUIRURGICO T/STERY DRAPE COD.1050</t>
  </si>
  <si>
    <t>CAMPO QUIRURGICO T/U-DRAPE</t>
  </si>
  <si>
    <t>CANULA P/ASP./CAMPO/QUIR.+2 MT/T-63 (T/K-66)</t>
  </si>
  <si>
    <t>CANULA P/TRAQUEOST.(PED.) C/B N°4</t>
  </si>
  <si>
    <t>CANULA P/TRAQUEOST.(PED.) C/B N°4-5</t>
  </si>
  <si>
    <t>CANULA P/TRAQUEOST.(PED.) C/B N°5</t>
  </si>
  <si>
    <t>CLAVIJAS DE ACERO 2MM X 20CM</t>
  </si>
  <si>
    <t>CLAVIJAS ULTRAFINA 0,5MM</t>
  </si>
  <si>
    <t>CLAVIJAS ULTRAFINA 1MM</t>
  </si>
  <si>
    <t>COLECTORES DE ORINA PED.BOLSA X 1</t>
  </si>
  <si>
    <t>EQ.P/ADM.FRACC.SANG.C/MACRO Y FILTRO V-104</t>
  </si>
  <si>
    <t>PROLONGADOR 30CM PT 2603 T/KOLER</t>
  </si>
  <si>
    <t>PROLONGADOR 30CM PT 2605 T/KOLER</t>
  </si>
  <si>
    <t>SENSOR OXIGENO ADULTO T/OXIMAX</t>
  </si>
  <si>
    <t>SENSOR OXIGENO NEONATAL T/OXIMAX</t>
  </si>
  <si>
    <t>SET.P/CATET.VENA CENTRAL 5FR/13CM 2 LUM</t>
  </si>
  <si>
    <t>SET.P/CATET.VENA CENTRAL 5FR/30CM 2 LUM</t>
  </si>
  <si>
    <t>SONDA GASTRICA SIL.PURA SP391-10</t>
  </si>
  <si>
    <t>SONDA GASTRICA SIL.PURA SP391-12</t>
  </si>
  <si>
    <t>SONDA GASTRICA SIL.PURA SP391-14</t>
  </si>
  <si>
    <t>SONDA GASTRICA SIL.PURA SP392-07</t>
  </si>
  <si>
    <t>SONDA GASTRICA SIL.PURA SP392-09</t>
  </si>
  <si>
    <t>TERMOMETRO DIGITAL</t>
  </si>
  <si>
    <t>TIRAS REACTIVAS ONN CALL PLUS X 50</t>
  </si>
  <si>
    <t>TUBO ENDOTRAQ,C/B N°4-0</t>
  </si>
  <si>
    <t xml:space="preserve">TUBO ENDOTRAQ,C/B N°4 1/2 </t>
  </si>
  <si>
    <t>TUBO ENDOTRAQ,C/B N°5-0</t>
  </si>
  <si>
    <t>TUBO ENDOTRAQ,C/B N°5 1/2</t>
  </si>
  <si>
    <t>TUBO ENDOTRAQ,C/B N°6-5</t>
  </si>
  <si>
    <t>PAÑALES DESC.ELAST.EXTRA GRANDE X 1</t>
  </si>
  <si>
    <t>PAÑALES DESC.ELAST.GRANDE X 1</t>
  </si>
  <si>
    <t>PAÑALES DESC.ELAST.MEDIANOS X 1</t>
  </si>
  <si>
    <t>PAÑALES DESC.ELAST.P/ADULTO</t>
  </si>
  <si>
    <t>VENDA YESO F/RAPIDO 10X4MT ROLLO X 1 T/FAVE</t>
  </si>
  <si>
    <t>CLAVIJAS DE ACERO 1,5MM</t>
  </si>
  <si>
    <t>SUT.ABS.T/VICRYL N°3-0 J305H X 1</t>
  </si>
  <si>
    <t>SUT.ABS.T/VICRYL N°3-0 J338H X 1</t>
  </si>
  <si>
    <t>SUT.ABS.T/VICRYL N°4-0 J304H X 1</t>
  </si>
  <si>
    <t>SUT.ABS.T/VICRYL N°4-0 J315H X 1</t>
  </si>
  <si>
    <t>SUT.ABS.T/VICRYL N°5-0 J303H X 1</t>
  </si>
  <si>
    <t>SUT.ABS.T/VICRYL N°5-0 J314H X 1</t>
  </si>
  <si>
    <t>SUT.N/ABS.MONONYLON 2-0 X 1</t>
  </si>
  <si>
    <t>SUT.N/ABS.MONONYLON 3-0 X 1</t>
  </si>
  <si>
    <t>SUT.N/ABS.MONONYLON 4-0 X 1</t>
  </si>
  <si>
    <t>SUT.N/ABS.MONONYLON 5-0 X 1</t>
  </si>
  <si>
    <t>SUT.N/ABS.MONONYLON 6-0 X 1</t>
  </si>
  <si>
    <t>SONDA P/ASPIRACION MUCUS K26P C/REGULADOR</t>
  </si>
  <si>
    <t>PAPEL UPP 110 S (SONY)</t>
  </si>
  <si>
    <t xml:space="preserve">RECOLECTOR DE AGUJA </t>
  </si>
  <si>
    <t>VENDA YESO F/RAPIDO 15X4MT ROLLO X 1 T/FAVE</t>
  </si>
  <si>
    <t xml:space="preserve">TEGADERM 10X 12 CM. </t>
  </si>
  <si>
    <t>ROLLO DE CINTA TESTIGO PARA CALOR HUMEDO 50 MTS X 18 Mm</t>
  </si>
  <si>
    <t>BOBINA DE PAPEL CREPE 100cm x 100 mts 6kg</t>
  </si>
  <si>
    <t>BOBINA DE PAPEL KRAFT GRADO MEDICO 60GR/MT2 DE 10 CM X 100MTS 6KG</t>
  </si>
  <si>
    <t>BARBIJOS N95-TIPO 3M</t>
  </si>
  <si>
    <t>Caracteristicas Técnicas</t>
  </si>
  <si>
    <r>
      <rPr>
        <b/>
        <u/>
        <sz val="10"/>
        <rFont val="Times New Roman"/>
        <family val="1"/>
      </rPr>
      <t>Item 128</t>
    </r>
    <r>
      <rPr>
        <sz val="10"/>
        <rFont val="Times New Roman"/>
        <family val="1"/>
      </rPr>
      <t xml:space="preserve">: Tipo 3M Respirador contra particulas </t>
    </r>
  </si>
  <si>
    <t>Utiles Menores Medico, Quirurjico y de Laboratorio</t>
  </si>
  <si>
    <t>Compuestos Quimicos</t>
  </si>
  <si>
    <t>Otros no Especificados Preced.</t>
  </si>
  <si>
    <t>1° Trimestre 2021</t>
  </si>
  <si>
    <t>Adquisición de Descartables</t>
  </si>
  <si>
    <t>SERV. DE FARMACIA</t>
  </si>
  <si>
    <t>01-20</t>
  </si>
  <si>
    <t>Para la adquisición de descartables destinados al servico de Farmacia del Hospital Interzonal de Niños Eva Peron, para el normal funcionamiento del organismo.</t>
  </si>
  <si>
    <r>
      <rPr>
        <b/>
        <u/>
        <sz val="10"/>
        <rFont val="Times New Roman"/>
        <family val="1"/>
      </rPr>
      <t>Item 43</t>
    </r>
    <r>
      <rPr>
        <sz val="10"/>
        <rFont val="Times New Roman"/>
        <family val="1"/>
      </rPr>
      <t>: Tipo Braun</t>
    </r>
  </si>
  <si>
    <r>
      <rPr>
        <b/>
        <u/>
        <sz val="10"/>
        <rFont val="Times New Roman"/>
        <family val="1"/>
      </rPr>
      <t>Item 122</t>
    </r>
    <r>
      <rPr>
        <sz val="10"/>
        <rFont val="Times New Roman"/>
        <family val="1"/>
      </rPr>
      <t>: De 2tros de capacidad</t>
    </r>
  </si>
  <si>
    <t>Productos Farmaceuticos y Medicinales</t>
  </si>
  <si>
    <t>TOTAL DE PESOS: DIECIOCHO MILLONES DOSCIENTOS CINCUENTA Y TRES MIL NOVECIENTOS TREINTA Y OCHO CON 50/100.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</si>
</sst>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9"/>
      <color theme="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/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indexed="64"/>
      </bottom>
      <diagonal/>
    </border>
    <border>
      <left style="thin">
        <color rgb="FF3D3D3D"/>
      </left>
      <right/>
      <top/>
      <bottom style="thin">
        <color indexed="64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13" fillId="0" borderId="3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0" fillId="0" borderId="45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6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left" vertical="center"/>
    </xf>
    <xf numFmtId="0" fontId="4" fillId="4" borderId="46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 wrapText="1"/>
    </xf>
    <xf numFmtId="166" fontId="4" fillId="3" borderId="46" xfId="1" applyNumberFormat="1" applyFont="1" applyFill="1" applyBorder="1" applyAlignment="1" applyProtection="1">
      <alignment horizontal="right" vertical="center" wrapText="1"/>
    </xf>
    <xf numFmtId="3" fontId="4" fillId="3" borderId="46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14" fillId="4" borderId="26" xfId="0" applyFont="1" applyFill="1" applyBorder="1" applyAlignment="1">
      <alignment horizontal="center" vertical="center"/>
    </xf>
    <xf numFmtId="0" fontId="21" fillId="4" borderId="45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0" fillId="0" borderId="45" xfId="0" applyBorder="1" applyAlignment="1"/>
    <xf numFmtId="169" fontId="14" fillId="0" borderId="0" xfId="1" applyNumberFormat="1"/>
    <xf numFmtId="169" fontId="14" fillId="0" borderId="2" xfId="1" applyNumberFormat="1" applyBorder="1"/>
    <xf numFmtId="0" fontId="18" fillId="0" borderId="0" xfId="0" applyFont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23" fillId="3" borderId="45" xfId="0" applyFont="1" applyFill="1" applyBorder="1" applyAlignment="1">
      <alignment vertical="center" wrapText="1"/>
    </xf>
    <xf numFmtId="0" fontId="4" fillId="4" borderId="50" xfId="0" applyFont="1" applyFill="1" applyBorder="1" applyAlignment="1">
      <alignment horizontal="center" vertical="center"/>
    </xf>
    <xf numFmtId="0" fontId="25" fillId="0" borderId="51" xfId="0" applyFont="1" applyBorder="1" applyAlignment="1">
      <alignment horizontal="left" indent="3"/>
    </xf>
    <xf numFmtId="0" fontId="15" fillId="0" borderId="52" xfId="0" applyFont="1" applyBorder="1"/>
    <xf numFmtId="0" fontId="15" fillId="0" borderId="53" xfId="0" applyFont="1" applyBorder="1"/>
    <xf numFmtId="0" fontId="25" fillId="0" borderId="54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5" xfId="0" applyFont="1" applyBorder="1" applyAlignment="1">
      <alignment horizontal="center" wrapText="1"/>
    </xf>
    <xf numFmtId="0" fontId="15" fillId="0" borderId="54" xfId="0" applyFont="1" applyBorder="1" applyAlignment="1">
      <alignment horizontal="left" indent="3"/>
    </xf>
    <xf numFmtId="0" fontId="15" fillId="0" borderId="56" xfId="0" applyFont="1" applyBorder="1" applyAlignment="1">
      <alignment horizontal="left" indent="3"/>
    </xf>
    <xf numFmtId="0" fontId="15" fillId="0" borderId="57" xfId="0" applyFont="1" applyBorder="1"/>
    <xf numFmtId="0" fontId="15" fillId="0" borderId="58" xfId="0" applyFont="1" applyBorder="1"/>
    <xf numFmtId="169" fontId="14" fillId="0" borderId="3" xfId="1" applyNumberFormat="1" applyFill="1" applyBorder="1" applyProtection="1"/>
    <xf numFmtId="169" fontId="14" fillId="0" borderId="42" xfId="1" applyNumberFormat="1" applyFill="1" applyBorder="1" applyProtection="1"/>
    <xf numFmtId="169" fontId="14" fillId="0" borderId="47" xfId="1" applyNumberFormat="1" applyFill="1" applyBorder="1" applyProtection="1"/>
    <xf numFmtId="169" fontId="14" fillId="0" borderId="45" xfId="1" applyNumberFormat="1" applyFill="1" applyBorder="1" applyProtection="1"/>
    <xf numFmtId="0" fontId="0" fillId="4" borderId="59" xfId="0" applyFont="1" applyFill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0" fillId="4" borderId="60" xfId="0" applyFont="1" applyFill="1" applyBorder="1" applyAlignment="1">
      <alignment horizontal="center" vertical="center"/>
    </xf>
    <xf numFmtId="0" fontId="0" fillId="4" borderId="64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0" fontId="15" fillId="4" borderId="56" xfId="5" applyFont="1" applyFill="1" applyBorder="1" applyAlignment="1">
      <alignment wrapText="1"/>
    </xf>
    <xf numFmtId="0" fontId="15" fillId="4" borderId="57" xfId="5" applyFont="1" applyFill="1" applyBorder="1" applyAlignment="1">
      <alignment wrapText="1"/>
    </xf>
    <xf numFmtId="0" fontId="15" fillId="4" borderId="58" xfId="5" applyFont="1" applyFill="1" applyBorder="1" applyAlignment="1">
      <alignment wrapText="1"/>
    </xf>
    <xf numFmtId="44" fontId="0" fillId="0" borderId="0" xfId="0" applyNumberFormat="1"/>
    <xf numFmtId="44" fontId="0" fillId="0" borderId="27" xfId="3" applyNumberFormat="1" applyFont="1" applyBorder="1" applyAlignment="1" applyProtection="1">
      <alignment horizontal="center" vertical="center"/>
    </xf>
    <xf numFmtId="44" fontId="0" fillId="0" borderId="32" xfId="3" applyNumberFormat="1" applyFont="1" applyBorder="1" applyAlignment="1" applyProtection="1">
      <alignment horizontal="center" vertical="center"/>
    </xf>
    <xf numFmtId="0" fontId="21" fillId="0" borderId="3" xfId="0" applyFont="1" applyFill="1" applyBorder="1" applyAlignment="1">
      <alignment horizontal="center" vertical="top" wrapText="1"/>
    </xf>
    <xf numFmtId="0" fontId="21" fillId="0" borderId="42" xfId="0" applyFont="1" applyFill="1" applyBorder="1" applyAlignment="1">
      <alignment horizontal="center" vertical="top" wrapText="1"/>
    </xf>
    <xf numFmtId="0" fontId="21" fillId="0" borderId="45" xfId="0" applyFont="1" applyFill="1" applyBorder="1" applyAlignment="1">
      <alignment horizontal="center" vertical="top" wrapText="1"/>
    </xf>
    <xf numFmtId="0" fontId="27" fillId="0" borderId="45" xfId="0" applyFont="1" applyFill="1" applyBorder="1" applyAlignment="1">
      <alignment horizontal="center" vertical="top" wrapText="1"/>
    </xf>
    <xf numFmtId="0" fontId="21" fillId="0" borderId="47" xfId="0" applyFont="1" applyFill="1" applyBorder="1" applyAlignment="1">
      <alignment horizontal="center" vertical="top" wrapText="1"/>
    </xf>
    <xf numFmtId="0" fontId="21" fillId="0" borderId="45" xfId="0" applyFont="1" applyFill="1" applyBorder="1" applyAlignment="1">
      <alignment horizontal="center" vertical="top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4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5" xfId="5" applyFont="1" applyFill="1" applyBorder="1" applyAlignment="1">
      <alignment horizontal="left" wrapText="1"/>
    </xf>
    <xf numFmtId="0" fontId="15" fillId="4" borderId="55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49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7" xfId="0" applyFont="1" applyFill="1" applyBorder="1" applyAlignment="1">
      <alignment horizontal="left" vertical="center" wrapText="1" indent="1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/>
    </xf>
    <xf numFmtId="0" fontId="0" fillId="0" borderId="17" xfId="0" applyBorder="1"/>
    <xf numFmtId="0" fontId="14" fillId="0" borderId="26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4" fillId="0" borderId="62" xfId="0" applyFont="1" applyBorder="1" applyAlignment="1">
      <alignment horizontal="left" vertical="center"/>
    </xf>
    <xf numFmtId="0" fontId="0" fillId="0" borderId="62" xfId="0" applyFont="1" applyBorder="1" applyAlignment="1">
      <alignment horizontal="left" vertical="center"/>
    </xf>
    <xf numFmtId="0" fontId="0" fillId="0" borderId="65" xfId="0" applyFont="1" applyBorder="1" applyAlignment="1">
      <alignment horizontal="left" vertical="center" wrapText="1"/>
    </xf>
    <xf numFmtId="0" fontId="0" fillId="0" borderId="66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2:H150"/>
  <sheetViews>
    <sheetView tabSelected="1" topLeftCell="A4" zoomScaleNormal="100" workbookViewId="0">
      <selection activeCell="H10" sqref="H10:H136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6.28515625" style="31" customWidth="1"/>
    <col min="5" max="5" width="11" style="31"/>
    <col min="6" max="6" width="10.42578125" style="65" bestFit="1" customWidth="1"/>
    <col min="7" max="7" width="13.85546875" style="61" customWidth="1"/>
    <col min="8" max="8" width="18.5703125" style="31" customWidth="1"/>
    <col min="9" max="16384" width="11" style="31"/>
  </cols>
  <sheetData>
    <row r="2" spans="1:8" ht="27" x14ac:dyDescent="0.35">
      <c r="B2" s="105" t="s">
        <v>0</v>
      </c>
      <c r="C2" s="105"/>
      <c r="D2" s="105"/>
      <c r="E2" s="105"/>
      <c r="F2" s="105"/>
      <c r="G2" s="105"/>
    </row>
    <row r="3" spans="1:8" ht="12" customHeight="1" x14ac:dyDescent="0.2"/>
    <row r="4" spans="1:8" ht="18" customHeight="1" x14ac:dyDescent="0.25">
      <c r="A4" s="106" t="s">
        <v>1</v>
      </c>
      <c r="B4" s="106"/>
      <c r="C4" s="107" t="s">
        <v>53</v>
      </c>
      <c r="D4" s="107"/>
      <c r="E4" s="32"/>
      <c r="F4" s="63"/>
    </row>
    <row r="5" spans="1:8" ht="18" customHeight="1" x14ac:dyDescent="0.25">
      <c r="A5" s="106" t="s">
        <v>2</v>
      </c>
      <c r="B5" s="106"/>
      <c r="C5" s="107" t="s">
        <v>52</v>
      </c>
      <c r="D5" s="107"/>
      <c r="E5" s="32"/>
      <c r="F5" s="63"/>
    </row>
    <row r="6" spans="1:8" ht="16.5" customHeight="1" x14ac:dyDescent="0.25">
      <c r="A6" s="106" t="s">
        <v>3</v>
      </c>
      <c r="B6" s="106"/>
      <c r="C6" s="54">
        <v>2021</v>
      </c>
      <c r="D6" s="55"/>
      <c r="E6" s="32"/>
      <c r="F6" s="63"/>
    </row>
    <row r="7" spans="1:8" ht="16.5" customHeight="1" x14ac:dyDescent="0.25">
      <c r="A7" s="106" t="s">
        <v>4</v>
      </c>
      <c r="B7" s="106"/>
      <c r="C7" s="54">
        <v>1</v>
      </c>
      <c r="D7" s="55"/>
      <c r="E7" s="32"/>
      <c r="F7" s="63"/>
    </row>
    <row r="8" spans="1:8" ht="13.5" thickBot="1" x14ac:dyDescent="0.25">
      <c r="B8" s="32"/>
      <c r="C8" s="33"/>
      <c r="D8" s="32"/>
      <c r="E8" s="32"/>
      <c r="F8" s="63"/>
    </row>
    <row r="9" spans="1:8" ht="27" thickTop="1" thickBot="1" x14ac:dyDescent="0.25">
      <c r="A9" s="36" t="s">
        <v>5</v>
      </c>
      <c r="B9" s="34" t="s">
        <v>6</v>
      </c>
      <c r="C9" s="34" t="s">
        <v>7</v>
      </c>
      <c r="D9" s="59" t="s">
        <v>8</v>
      </c>
      <c r="E9" s="37" t="s">
        <v>9</v>
      </c>
      <c r="F9" s="64" t="s">
        <v>10</v>
      </c>
      <c r="G9" s="62" t="s">
        <v>11</v>
      </c>
      <c r="H9" s="34" t="s">
        <v>12</v>
      </c>
    </row>
    <row r="10" spans="1:8" ht="16.5" thickTop="1" thickBot="1" x14ac:dyDescent="0.25">
      <c r="A10" s="35">
        <v>1</v>
      </c>
      <c r="B10" s="38">
        <v>295</v>
      </c>
      <c r="C10" s="38" t="s">
        <v>56</v>
      </c>
      <c r="D10" s="66" t="s">
        <v>65</v>
      </c>
      <c r="E10" s="58" t="s">
        <v>13</v>
      </c>
      <c r="F10" s="99">
        <v>22500</v>
      </c>
      <c r="G10" s="79">
        <v>1.2</v>
      </c>
      <c r="H10" s="56">
        <f>G10*F10</f>
        <v>27000</v>
      </c>
    </row>
    <row r="11" spans="1:8" ht="15.75" thickBot="1" x14ac:dyDescent="0.25">
      <c r="A11" s="35">
        <v>2</v>
      </c>
      <c r="B11" s="38">
        <v>295</v>
      </c>
      <c r="C11" s="38" t="s">
        <v>56</v>
      </c>
      <c r="D11" s="66" t="s">
        <v>66</v>
      </c>
      <c r="E11" s="58" t="s">
        <v>13</v>
      </c>
      <c r="F11" s="100">
        <v>22500</v>
      </c>
      <c r="G11" s="80">
        <v>1.2</v>
      </c>
      <c r="H11" s="56">
        <f t="shared" ref="H11:H73" si="0">G11*F11</f>
        <v>27000</v>
      </c>
    </row>
    <row r="12" spans="1:8" ht="15.75" thickBot="1" x14ac:dyDescent="0.25">
      <c r="A12" s="35">
        <v>3</v>
      </c>
      <c r="B12" s="38">
        <v>295</v>
      </c>
      <c r="C12" s="38" t="s">
        <v>56</v>
      </c>
      <c r="D12" s="66" t="s">
        <v>67</v>
      </c>
      <c r="E12" s="58" t="s">
        <v>13</v>
      </c>
      <c r="F12" s="100">
        <v>1000</v>
      </c>
      <c r="G12" s="80">
        <v>1.55</v>
      </c>
      <c r="H12" s="56">
        <f t="shared" si="0"/>
        <v>1550</v>
      </c>
    </row>
    <row r="13" spans="1:8" ht="15.75" thickBot="1" x14ac:dyDescent="0.25">
      <c r="A13" s="35">
        <v>4</v>
      </c>
      <c r="B13" s="38">
        <v>295</v>
      </c>
      <c r="C13" s="38" t="s">
        <v>56</v>
      </c>
      <c r="D13" s="66" t="s">
        <v>68</v>
      </c>
      <c r="E13" s="58" t="s">
        <v>13</v>
      </c>
      <c r="F13" s="100">
        <v>15000</v>
      </c>
      <c r="G13" s="80">
        <v>1.2</v>
      </c>
      <c r="H13" s="56">
        <f t="shared" si="0"/>
        <v>18000</v>
      </c>
    </row>
    <row r="14" spans="1:8" ht="15.75" thickBot="1" x14ac:dyDescent="0.25">
      <c r="A14" s="35">
        <v>5</v>
      </c>
      <c r="B14" s="38">
        <v>295</v>
      </c>
      <c r="C14" s="38" t="s">
        <v>56</v>
      </c>
      <c r="D14" s="66" t="s">
        <v>69</v>
      </c>
      <c r="E14" s="58" t="s">
        <v>13</v>
      </c>
      <c r="F14" s="100">
        <v>1000</v>
      </c>
      <c r="G14" s="80">
        <v>1.55</v>
      </c>
      <c r="H14" s="56">
        <f t="shared" si="0"/>
        <v>1550</v>
      </c>
    </row>
    <row r="15" spans="1:8" ht="15.75" thickBot="1" x14ac:dyDescent="0.25">
      <c r="A15" s="35">
        <v>6</v>
      </c>
      <c r="B15" s="38">
        <v>295</v>
      </c>
      <c r="C15" s="38" t="s">
        <v>56</v>
      </c>
      <c r="D15" s="66" t="s">
        <v>70</v>
      </c>
      <c r="E15" s="58" t="s">
        <v>13</v>
      </c>
      <c r="F15" s="100">
        <v>1000</v>
      </c>
      <c r="G15" s="80">
        <v>251.1</v>
      </c>
      <c r="H15" s="56">
        <f t="shared" si="0"/>
        <v>251100</v>
      </c>
    </row>
    <row r="16" spans="1:8" ht="15.75" thickBot="1" x14ac:dyDescent="0.25">
      <c r="A16" s="35">
        <v>7</v>
      </c>
      <c r="B16" s="38">
        <v>295</v>
      </c>
      <c r="C16" s="38" t="s">
        <v>56</v>
      </c>
      <c r="D16" s="66" t="s">
        <v>71</v>
      </c>
      <c r="E16" s="58" t="s">
        <v>13</v>
      </c>
      <c r="F16" s="100">
        <v>1000</v>
      </c>
      <c r="G16" s="80">
        <v>110.9</v>
      </c>
      <c r="H16" s="56">
        <f t="shared" si="0"/>
        <v>110900</v>
      </c>
    </row>
    <row r="17" spans="1:8" ht="15.75" thickBot="1" x14ac:dyDescent="0.25">
      <c r="A17" s="35">
        <v>8</v>
      </c>
      <c r="B17" s="38">
        <v>295</v>
      </c>
      <c r="C17" s="38" t="s">
        <v>56</v>
      </c>
      <c r="D17" s="66" t="s">
        <v>72</v>
      </c>
      <c r="E17" s="58" t="s">
        <v>13</v>
      </c>
      <c r="F17" s="100">
        <v>5000</v>
      </c>
      <c r="G17" s="80">
        <v>35.44</v>
      </c>
      <c r="H17" s="56">
        <f t="shared" si="0"/>
        <v>177200</v>
      </c>
    </row>
    <row r="18" spans="1:8" ht="15.75" thickBot="1" x14ac:dyDescent="0.25">
      <c r="A18" s="35">
        <v>9</v>
      </c>
      <c r="B18" s="38">
        <v>295</v>
      </c>
      <c r="C18" s="38" t="s">
        <v>56</v>
      </c>
      <c r="D18" s="66" t="s">
        <v>73</v>
      </c>
      <c r="E18" s="58" t="s">
        <v>13</v>
      </c>
      <c r="F18" s="100">
        <v>400</v>
      </c>
      <c r="G18" s="80">
        <v>888</v>
      </c>
      <c r="H18" s="56">
        <f t="shared" si="0"/>
        <v>355200</v>
      </c>
    </row>
    <row r="19" spans="1:8" ht="15.75" thickBot="1" x14ac:dyDescent="0.25">
      <c r="A19" s="35">
        <v>10</v>
      </c>
      <c r="B19" s="38">
        <v>295</v>
      </c>
      <c r="C19" s="38" t="s">
        <v>56</v>
      </c>
      <c r="D19" s="66" t="s">
        <v>74</v>
      </c>
      <c r="E19" s="58" t="s">
        <v>13</v>
      </c>
      <c r="F19" s="100">
        <v>2000</v>
      </c>
      <c r="G19" s="80">
        <v>179</v>
      </c>
      <c r="H19" s="56">
        <f t="shared" si="0"/>
        <v>358000</v>
      </c>
    </row>
    <row r="20" spans="1:8" ht="15.75" thickBot="1" x14ac:dyDescent="0.25">
      <c r="A20" s="35">
        <v>11</v>
      </c>
      <c r="B20" s="38">
        <v>295</v>
      </c>
      <c r="C20" s="38" t="s">
        <v>56</v>
      </c>
      <c r="D20" s="66" t="s">
        <v>75</v>
      </c>
      <c r="E20" s="58" t="s">
        <v>13</v>
      </c>
      <c r="F20" s="100">
        <v>4000</v>
      </c>
      <c r="G20" s="80">
        <v>44.95</v>
      </c>
      <c r="H20" s="56">
        <f t="shared" si="0"/>
        <v>179800</v>
      </c>
    </row>
    <row r="21" spans="1:8" ht="15.75" thickBot="1" x14ac:dyDescent="0.25">
      <c r="A21" s="35">
        <v>12</v>
      </c>
      <c r="B21" s="38">
        <v>295</v>
      </c>
      <c r="C21" s="38" t="s">
        <v>56</v>
      </c>
      <c r="D21" s="66" t="s">
        <v>76</v>
      </c>
      <c r="E21" s="58" t="s">
        <v>13</v>
      </c>
      <c r="F21" s="100">
        <v>4000</v>
      </c>
      <c r="G21" s="80">
        <v>44.95</v>
      </c>
      <c r="H21" s="56">
        <f t="shared" si="0"/>
        <v>179800</v>
      </c>
    </row>
    <row r="22" spans="1:8" ht="15.75" thickBot="1" x14ac:dyDescent="0.25">
      <c r="A22" s="35">
        <v>13</v>
      </c>
      <c r="B22" s="38">
        <v>295</v>
      </c>
      <c r="C22" s="38" t="s">
        <v>56</v>
      </c>
      <c r="D22" s="66" t="s">
        <v>77</v>
      </c>
      <c r="E22" s="58" t="s">
        <v>13</v>
      </c>
      <c r="F22" s="100">
        <v>500</v>
      </c>
      <c r="G22" s="80">
        <v>250</v>
      </c>
      <c r="H22" s="56">
        <f t="shared" si="0"/>
        <v>125000</v>
      </c>
    </row>
    <row r="23" spans="1:8" ht="15.75" thickBot="1" x14ac:dyDescent="0.25">
      <c r="A23" s="35">
        <v>14</v>
      </c>
      <c r="B23" s="38">
        <v>295</v>
      </c>
      <c r="C23" s="38" t="s">
        <v>56</v>
      </c>
      <c r="D23" s="66" t="s">
        <v>78</v>
      </c>
      <c r="E23" s="58" t="s">
        <v>13</v>
      </c>
      <c r="F23" s="100">
        <v>500</v>
      </c>
      <c r="G23" s="80">
        <v>250</v>
      </c>
      <c r="H23" s="56">
        <f t="shared" si="0"/>
        <v>125000</v>
      </c>
    </row>
    <row r="24" spans="1:8" ht="15.75" thickBot="1" x14ac:dyDescent="0.25">
      <c r="A24" s="35">
        <v>15</v>
      </c>
      <c r="B24" s="38">
        <v>295</v>
      </c>
      <c r="C24" s="38" t="s">
        <v>56</v>
      </c>
      <c r="D24" s="66" t="s">
        <v>79</v>
      </c>
      <c r="E24" s="58" t="s">
        <v>13</v>
      </c>
      <c r="F24" s="100">
        <v>250</v>
      </c>
      <c r="G24" s="80">
        <v>250</v>
      </c>
      <c r="H24" s="56">
        <f t="shared" si="0"/>
        <v>62500</v>
      </c>
    </row>
    <row r="25" spans="1:8" ht="15.75" hidden="1" thickBot="1" x14ac:dyDescent="0.25">
      <c r="A25" s="35">
        <v>16</v>
      </c>
      <c r="B25" s="38">
        <v>251</v>
      </c>
      <c r="C25" s="38" t="s">
        <v>57</v>
      </c>
      <c r="D25" s="66" t="s">
        <v>80</v>
      </c>
      <c r="E25" s="58" t="s">
        <v>13</v>
      </c>
      <c r="F25" s="101">
        <v>1000</v>
      </c>
      <c r="G25" s="80">
        <v>379</v>
      </c>
      <c r="H25" s="56">
        <f t="shared" si="0"/>
        <v>379000</v>
      </c>
    </row>
    <row r="26" spans="1:8" ht="15.75" hidden="1" thickBot="1" x14ac:dyDescent="0.25">
      <c r="A26" s="35">
        <v>17</v>
      </c>
      <c r="B26" s="38">
        <v>251</v>
      </c>
      <c r="C26" s="38" t="s">
        <v>56</v>
      </c>
      <c r="D26" s="66" t="s">
        <v>81</v>
      </c>
      <c r="E26" s="58" t="s">
        <v>13</v>
      </c>
      <c r="F26" s="101">
        <v>2000</v>
      </c>
      <c r="G26" s="80">
        <v>693.1</v>
      </c>
      <c r="H26" s="56">
        <f t="shared" si="0"/>
        <v>1386200</v>
      </c>
    </row>
    <row r="27" spans="1:8" ht="15.75" hidden="1" thickBot="1" x14ac:dyDescent="0.25">
      <c r="A27" s="35">
        <v>18</v>
      </c>
      <c r="B27" s="38">
        <v>251</v>
      </c>
      <c r="C27" s="38" t="s">
        <v>56</v>
      </c>
      <c r="D27" s="66" t="s">
        <v>82</v>
      </c>
      <c r="E27" s="58" t="s">
        <v>13</v>
      </c>
      <c r="F27" s="101">
        <v>25</v>
      </c>
      <c r="G27" s="80">
        <v>3099</v>
      </c>
      <c r="H27" s="56">
        <f t="shared" si="0"/>
        <v>77475</v>
      </c>
    </row>
    <row r="28" spans="1:8" ht="15.75" thickBot="1" x14ac:dyDescent="0.25">
      <c r="A28" s="35">
        <v>19</v>
      </c>
      <c r="B28" s="38">
        <v>295</v>
      </c>
      <c r="C28" s="38" t="s">
        <v>56</v>
      </c>
      <c r="D28" s="66" t="s">
        <v>83</v>
      </c>
      <c r="E28" s="58" t="s">
        <v>13</v>
      </c>
      <c r="F28" s="102">
        <v>4000</v>
      </c>
      <c r="G28" s="80">
        <v>14.05</v>
      </c>
      <c r="H28" s="56">
        <f t="shared" si="0"/>
        <v>56200</v>
      </c>
    </row>
    <row r="29" spans="1:8" ht="15.75" thickBot="1" x14ac:dyDescent="0.25">
      <c r="A29" s="35">
        <v>20</v>
      </c>
      <c r="B29" s="38">
        <v>295</v>
      </c>
      <c r="C29" s="38" t="s">
        <v>56</v>
      </c>
      <c r="D29" s="66" t="s">
        <v>84</v>
      </c>
      <c r="E29" s="58" t="s">
        <v>13</v>
      </c>
      <c r="F29" s="101">
        <v>3000</v>
      </c>
      <c r="G29" s="80">
        <v>21.6</v>
      </c>
      <c r="H29" s="56">
        <f t="shared" si="0"/>
        <v>64800.000000000007</v>
      </c>
    </row>
    <row r="30" spans="1:8" ht="15.75" thickBot="1" x14ac:dyDescent="0.25">
      <c r="A30" s="35">
        <v>21</v>
      </c>
      <c r="B30" s="38">
        <v>295</v>
      </c>
      <c r="C30" s="38" t="s">
        <v>56</v>
      </c>
      <c r="D30" s="66" t="s">
        <v>85</v>
      </c>
      <c r="E30" s="58" t="s">
        <v>13</v>
      </c>
      <c r="F30" s="101">
        <v>4000</v>
      </c>
      <c r="G30" s="80">
        <v>17.899999999999999</v>
      </c>
      <c r="H30" s="56">
        <f t="shared" si="0"/>
        <v>71600</v>
      </c>
    </row>
    <row r="31" spans="1:8" ht="15.75" hidden="1" thickBot="1" x14ac:dyDescent="0.25">
      <c r="A31" s="35">
        <v>22</v>
      </c>
      <c r="B31" s="38">
        <v>252</v>
      </c>
      <c r="C31" s="38" t="s">
        <v>56</v>
      </c>
      <c r="D31" s="66" t="s">
        <v>86</v>
      </c>
      <c r="E31" s="58" t="s">
        <v>13</v>
      </c>
      <c r="F31" s="101">
        <v>25</v>
      </c>
      <c r="G31" s="80">
        <v>294.8</v>
      </c>
      <c r="H31" s="56">
        <f t="shared" si="0"/>
        <v>7370</v>
      </c>
    </row>
    <row r="32" spans="1:8" ht="15.75" thickBot="1" x14ac:dyDescent="0.25">
      <c r="A32" s="35">
        <v>23</v>
      </c>
      <c r="B32" s="38">
        <v>295</v>
      </c>
      <c r="C32" s="38" t="s">
        <v>56</v>
      </c>
      <c r="D32" s="66" t="s">
        <v>87</v>
      </c>
      <c r="E32" s="58" t="s">
        <v>13</v>
      </c>
      <c r="F32" s="101">
        <v>3500</v>
      </c>
      <c r="G32" s="80">
        <v>29.88</v>
      </c>
      <c r="H32" s="56">
        <f t="shared" si="0"/>
        <v>104580</v>
      </c>
    </row>
    <row r="33" spans="1:8" ht="15.75" thickBot="1" x14ac:dyDescent="0.25">
      <c r="A33" s="35">
        <v>24</v>
      </c>
      <c r="B33" s="38">
        <v>295</v>
      </c>
      <c r="C33" s="38" t="s">
        <v>56</v>
      </c>
      <c r="D33" s="66" t="s">
        <v>88</v>
      </c>
      <c r="E33" s="58" t="s">
        <v>13</v>
      </c>
      <c r="F33" s="101">
        <v>3500</v>
      </c>
      <c r="G33" s="80">
        <v>12.7</v>
      </c>
      <c r="H33" s="56">
        <f t="shared" si="0"/>
        <v>44450</v>
      </c>
    </row>
    <row r="34" spans="1:8" ht="15.75" thickBot="1" x14ac:dyDescent="0.25">
      <c r="A34" s="35">
        <v>25</v>
      </c>
      <c r="B34" s="38">
        <v>295</v>
      </c>
      <c r="C34" s="38" t="s">
        <v>56</v>
      </c>
      <c r="D34" s="66" t="s">
        <v>89</v>
      </c>
      <c r="E34" s="58" t="s">
        <v>13</v>
      </c>
      <c r="F34" s="101">
        <v>3500</v>
      </c>
      <c r="G34" s="80">
        <v>12.7</v>
      </c>
      <c r="H34" s="56">
        <f t="shared" si="0"/>
        <v>44450</v>
      </c>
    </row>
    <row r="35" spans="1:8" ht="15.75" thickBot="1" x14ac:dyDescent="0.25">
      <c r="A35" s="35">
        <v>26</v>
      </c>
      <c r="B35" s="38">
        <v>295</v>
      </c>
      <c r="C35" s="38" t="s">
        <v>56</v>
      </c>
      <c r="D35" s="66" t="s">
        <v>90</v>
      </c>
      <c r="E35" s="58" t="s">
        <v>13</v>
      </c>
      <c r="F35" s="101">
        <v>1500</v>
      </c>
      <c r="G35" s="80">
        <v>12.8</v>
      </c>
      <c r="H35" s="56">
        <f t="shared" si="0"/>
        <v>19200</v>
      </c>
    </row>
    <row r="36" spans="1:8" ht="15.75" thickBot="1" x14ac:dyDescent="0.25">
      <c r="A36" s="35">
        <v>27</v>
      </c>
      <c r="B36">
        <v>295</v>
      </c>
      <c r="C36" t="s">
        <v>56</v>
      </c>
      <c r="D36" s="66" t="s">
        <v>91</v>
      </c>
      <c r="E36" s="58" t="s">
        <v>13</v>
      </c>
      <c r="F36" s="103">
        <v>2000</v>
      </c>
      <c r="G36" s="81">
        <v>1099</v>
      </c>
      <c r="H36" s="56">
        <f t="shared" si="0"/>
        <v>2198000</v>
      </c>
    </row>
    <row r="37" spans="1:8" ht="15.75" thickBot="1" x14ac:dyDescent="0.25">
      <c r="A37" s="35">
        <v>28</v>
      </c>
      <c r="B37" s="60">
        <v>295</v>
      </c>
      <c r="C37" s="60" t="s">
        <v>56</v>
      </c>
      <c r="D37" s="66" t="s">
        <v>92</v>
      </c>
      <c r="E37" s="58" t="s">
        <v>13</v>
      </c>
      <c r="F37" s="104">
        <v>2000</v>
      </c>
      <c r="G37" s="82">
        <v>1099</v>
      </c>
      <c r="H37" s="56">
        <f t="shared" si="0"/>
        <v>2198000</v>
      </c>
    </row>
    <row r="38" spans="1:8" ht="15.75" thickBot="1" x14ac:dyDescent="0.25">
      <c r="A38" s="35">
        <v>29</v>
      </c>
      <c r="B38" s="60">
        <v>295</v>
      </c>
      <c r="C38" s="60" t="s">
        <v>56</v>
      </c>
      <c r="D38" s="66" t="s">
        <v>93</v>
      </c>
      <c r="E38" s="58" t="s">
        <v>13</v>
      </c>
      <c r="F38" s="104">
        <v>1000</v>
      </c>
      <c r="G38" s="82">
        <v>1099</v>
      </c>
      <c r="H38" s="56">
        <f t="shared" si="0"/>
        <v>1099000</v>
      </c>
    </row>
    <row r="39" spans="1:8" ht="15.75" thickBot="1" x14ac:dyDescent="0.25">
      <c r="A39" s="35">
        <v>30</v>
      </c>
      <c r="B39" s="60">
        <v>295</v>
      </c>
      <c r="C39" s="60" t="s">
        <v>56</v>
      </c>
      <c r="D39" s="66" t="s">
        <v>94</v>
      </c>
      <c r="E39" s="58" t="s">
        <v>13</v>
      </c>
      <c r="F39" s="104">
        <v>5000</v>
      </c>
      <c r="G39" s="82">
        <v>4.8499999999999996</v>
      </c>
      <c r="H39" s="56">
        <f t="shared" si="0"/>
        <v>24250</v>
      </c>
    </row>
    <row r="40" spans="1:8" ht="15.75" thickBot="1" x14ac:dyDescent="0.25">
      <c r="A40" s="35">
        <v>31</v>
      </c>
      <c r="B40" s="60">
        <v>295</v>
      </c>
      <c r="C40" s="60" t="s">
        <v>56</v>
      </c>
      <c r="D40" s="66" t="s">
        <v>95</v>
      </c>
      <c r="E40" s="58" t="s">
        <v>13</v>
      </c>
      <c r="F40" s="104">
        <v>500</v>
      </c>
      <c r="G40" s="82">
        <v>4.8499999999999996</v>
      </c>
      <c r="H40" s="56">
        <f t="shared" si="0"/>
        <v>2425</v>
      </c>
    </row>
    <row r="41" spans="1:8" ht="15.75" thickBot="1" x14ac:dyDescent="0.25">
      <c r="A41" s="35">
        <v>32</v>
      </c>
      <c r="B41" s="60">
        <v>295</v>
      </c>
      <c r="C41" s="60" t="s">
        <v>56</v>
      </c>
      <c r="D41" s="66" t="s">
        <v>96</v>
      </c>
      <c r="E41" s="58" t="s">
        <v>13</v>
      </c>
      <c r="F41" s="104">
        <v>500</v>
      </c>
      <c r="G41" s="82">
        <v>4.8499999999999996</v>
      </c>
      <c r="H41" s="56">
        <f t="shared" si="0"/>
        <v>2425</v>
      </c>
    </row>
    <row r="42" spans="1:8" ht="15.75" thickBot="1" x14ac:dyDescent="0.25">
      <c r="A42" s="35">
        <v>33</v>
      </c>
      <c r="B42" s="60">
        <v>295</v>
      </c>
      <c r="C42" s="60" t="s">
        <v>56</v>
      </c>
      <c r="D42" s="66" t="s">
        <v>97</v>
      </c>
      <c r="E42" s="58" t="s">
        <v>13</v>
      </c>
      <c r="F42" s="104">
        <v>35000</v>
      </c>
      <c r="G42" s="82">
        <v>6.1</v>
      </c>
      <c r="H42" s="56">
        <f t="shared" si="0"/>
        <v>213500</v>
      </c>
    </row>
    <row r="43" spans="1:8" ht="15.75" thickBot="1" x14ac:dyDescent="0.25">
      <c r="A43" s="35">
        <v>34</v>
      </c>
      <c r="B43" s="60">
        <v>295</v>
      </c>
      <c r="C43" s="60" t="s">
        <v>56</v>
      </c>
      <c r="D43" s="66" t="s">
        <v>98</v>
      </c>
      <c r="E43" s="58" t="s">
        <v>13</v>
      </c>
      <c r="F43" s="104">
        <v>40000</v>
      </c>
      <c r="G43" s="82">
        <v>9.25</v>
      </c>
      <c r="H43" s="56">
        <f t="shared" si="0"/>
        <v>370000</v>
      </c>
    </row>
    <row r="44" spans="1:8" ht="15.75" thickBot="1" x14ac:dyDescent="0.25">
      <c r="A44" s="35">
        <v>35</v>
      </c>
      <c r="B44" s="60">
        <v>295</v>
      </c>
      <c r="C44" s="60" t="s">
        <v>56</v>
      </c>
      <c r="D44" s="66" t="s">
        <v>99</v>
      </c>
      <c r="E44" s="58" t="s">
        <v>13</v>
      </c>
      <c r="F44" s="104">
        <v>300</v>
      </c>
      <c r="G44" s="82">
        <v>8.1</v>
      </c>
      <c r="H44" s="56">
        <f t="shared" si="0"/>
        <v>2430</v>
      </c>
    </row>
    <row r="45" spans="1:8" ht="15.75" thickBot="1" x14ac:dyDescent="0.25">
      <c r="A45" s="35">
        <v>36</v>
      </c>
      <c r="B45" s="60">
        <v>295</v>
      </c>
      <c r="C45" s="60" t="s">
        <v>56</v>
      </c>
      <c r="D45" s="66" t="s">
        <v>100</v>
      </c>
      <c r="E45" s="58" t="s">
        <v>13</v>
      </c>
      <c r="F45" s="104">
        <v>40000</v>
      </c>
      <c r="G45" s="82">
        <v>3.3</v>
      </c>
      <c r="H45" s="56">
        <f t="shared" si="0"/>
        <v>132000</v>
      </c>
    </row>
    <row r="46" spans="1:8" ht="15.75" thickBot="1" x14ac:dyDescent="0.25">
      <c r="A46" s="35">
        <v>37</v>
      </c>
      <c r="B46" s="60">
        <v>295</v>
      </c>
      <c r="C46" s="60" t="s">
        <v>56</v>
      </c>
      <c r="D46" s="66" t="s">
        <v>101</v>
      </c>
      <c r="E46" s="58" t="s">
        <v>13</v>
      </c>
      <c r="F46" s="104">
        <v>25000</v>
      </c>
      <c r="G46" s="82">
        <v>3.5</v>
      </c>
      <c r="H46" s="56">
        <f t="shared" si="0"/>
        <v>87500</v>
      </c>
    </row>
    <row r="47" spans="1:8" ht="15.75" thickBot="1" x14ac:dyDescent="0.25">
      <c r="A47" s="35">
        <v>38</v>
      </c>
      <c r="B47" s="60">
        <v>295</v>
      </c>
      <c r="C47" s="60" t="s">
        <v>56</v>
      </c>
      <c r="D47" s="66" t="s">
        <v>102</v>
      </c>
      <c r="E47" s="58" t="s">
        <v>13</v>
      </c>
      <c r="F47" s="104">
        <v>10000</v>
      </c>
      <c r="G47" s="82">
        <v>9.9</v>
      </c>
      <c r="H47" s="56">
        <f t="shared" si="0"/>
        <v>99000</v>
      </c>
    </row>
    <row r="48" spans="1:8" ht="15.75" thickBot="1" x14ac:dyDescent="0.25">
      <c r="A48" s="35">
        <v>39</v>
      </c>
      <c r="B48" s="60">
        <v>295</v>
      </c>
      <c r="C48" s="60" t="s">
        <v>56</v>
      </c>
      <c r="D48" s="66" t="s">
        <v>103</v>
      </c>
      <c r="E48" s="58" t="s">
        <v>13</v>
      </c>
      <c r="F48" s="104">
        <v>10000</v>
      </c>
      <c r="G48" s="82">
        <v>24.4</v>
      </c>
      <c r="H48" s="56">
        <f t="shared" si="0"/>
        <v>244000</v>
      </c>
    </row>
    <row r="49" spans="1:8" ht="15.75" thickBot="1" x14ac:dyDescent="0.25">
      <c r="A49" s="35">
        <v>40</v>
      </c>
      <c r="B49" s="60">
        <v>295</v>
      </c>
      <c r="C49" s="60" t="s">
        <v>56</v>
      </c>
      <c r="D49" s="66" t="s">
        <v>104</v>
      </c>
      <c r="E49" s="58" t="s">
        <v>13</v>
      </c>
      <c r="F49" s="104">
        <v>1000</v>
      </c>
      <c r="G49" s="82">
        <v>45</v>
      </c>
      <c r="H49" s="56">
        <f t="shared" si="0"/>
        <v>45000</v>
      </c>
    </row>
    <row r="50" spans="1:8" ht="15.75" thickBot="1" x14ac:dyDescent="0.25">
      <c r="A50" s="35">
        <v>41</v>
      </c>
      <c r="B50" s="60">
        <v>295</v>
      </c>
      <c r="C50" s="60" t="s">
        <v>56</v>
      </c>
      <c r="D50" s="66" t="s">
        <v>105</v>
      </c>
      <c r="E50" s="58" t="s">
        <v>13</v>
      </c>
      <c r="F50" s="104">
        <v>1000</v>
      </c>
      <c r="G50" s="82">
        <v>51.5</v>
      </c>
      <c r="H50" s="56">
        <f t="shared" si="0"/>
        <v>51500</v>
      </c>
    </row>
    <row r="51" spans="1:8" ht="15.75" thickBot="1" x14ac:dyDescent="0.25">
      <c r="A51" s="35">
        <v>42</v>
      </c>
      <c r="B51" s="60">
        <v>295</v>
      </c>
      <c r="C51" s="60" t="s">
        <v>56</v>
      </c>
      <c r="D51" s="66" t="s">
        <v>106</v>
      </c>
      <c r="E51" s="58" t="s">
        <v>13</v>
      </c>
      <c r="F51" s="104">
        <v>1000</v>
      </c>
      <c r="G51" s="82">
        <v>53.3</v>
      </c>
      <c r="H51" s="56">
        <f t="shared" si="0"/>
        <v>53300</v>
      </c>
    </row>
    <row r="52" spans="1:8" ht="15.75" thickBot="1" x14ac:dyDescent="0.25">
      <c r="A52" s="35">
        <v>43</v>
      </c>
      <c r="B52" s="60">
        <v>295</v>
      </c>
      <c r="C52" s="60" t="s">
        <v>56</v>
      </c>
      <c r="D52" s="66" t="s">
        <v>107</v>
      </c>
      <c r="E52" s="58" t="s">
        <v>13</v>
      </c>
      <c r="F52" s="104">
        <v>3000</v>
      </c>
      <c r="G52" s="82">
        <v>20.9</v>
      </c>
      <c r="H52" s="56">
        <f t="shared" si="0"/>
        <v>62699.999999999993</v>
      </c>
    </row>
    <row r="53" spans="1:8" ht="15.75" thickBot="1" x14ac:dyDescent="0.25">
      <c r="A53" s="35">
        <v>44</v>
      </c>
      <c r="B53" s="60">
        <v>295</v>
      </c>
      <c r="C53" s="60" t="s">
        <v>56</v>
      </c>
      <c r="D53" s="66" t="s">
        <v>108</v>
      </c>
      <c r="E53" s="58" t="s">
        <v>13</v>
      </c>
      <c r="F53" s="104">
        <v>1500</v>
      </c>
      <c r="G53" s="82">
        <v>114.4</v>
      </c>
      <c r="H53" s="56">
        <f t="shared" si="0"/>
        <v>171600</v>
      </c>
    </row>
    <row r="54" spans="1:8" ht="15.75" thickBot="1" x14ac:dyDescent="0.25">
      <c r="A54" s="35">
        <v>45</v>
      </c>
      <c r="B54" s="60">
        <v>295</v>
      </c>
      <c r="C54" s="60" t="s">
        <v>56</v>
      </c>
      <c r="D54" s="66" t="s">
        <v>109</v>
      </c>
      <c r="E54" s="58" t="s">
        <v>13</v>
      </c>
      <c r="F54" s="104">
        <v>1000</v>
      </c>
      <c r="G54" s="82">
        <v>440</v>
      </c>
      <c r="H54" s="56">
        <f t="shared" si="0"/>
        <v>440000</v>
      </c>
    </row>
    <row r="55" spans="1:8" ht="15.75" thickBot="1" x14ac:dyDescent="0.25">
      <c r="A55" s="35">
        <v>46</v>
      </c>
      <c r="B55" s="60">
        <v>295</v>
      </c>
      <c r="C55" s="60" t="s">
        <v>56</v>
      </c>
      <c r="D55" s="66" t="s">
        <v>110</v>
      </c>
      <c r="E55" s="58" t="s">
        <v>13</v>
      </c>
      <c r="F55" s="104">
        <v>30</v>
      </c>
      <c r="G55" s="82">
        <v>440</v>
      </c>
      <c r="H55" s="56">
        <f t="shared" si="0"/>
        <v>13200</v>
      </c>
    </row>
    <row r="56" spans="1:8" ht="15.75" thickBot="1" x14ac:dyDescent="0.25">
      <c r="A56" s="35">
        <v>47</v>
      </c>
      <c r="B56" s="60">
        <v>295</v>
      </c>
      <c r="C56" s="60" t="s">
        <v>56</v>
      </c>
      <c r="D56" s="66" t="s">
        <v>111</v>
      </c>
      <c r="E56" s="58" t="s">
        <v>13</v>
      </c>
      <c r="F56" s="104">
        <v>30</v>
      </c>
      <c r="G56" s="82">
        <v>440</v>
      </c>
      <c r="H56" s="56">
        <f t="shared" si="0"/>
        <v>13200</v>
      </c>
    </row>
    <row r="57" spans="1:8" ht="15.75" thickBot="1" x14ac:dyDescent="0.25">
      <c r="A57" s="35">
        <v>48</v>
      </c>
      <c r="B57" s="60">
        <v>295</v>
      </c>
      <c r="C57" s="60" t="s">
        <v>56</v>
      </c>
      <c r="D57" s="66" t="s">
        <v>112</v>
      </c>
      <c r="E57" s="58" t="s">
        <v>13</v>
      </c>
      <c r="F57" s="104">
        <v>30</v>
      </c>
      <c r="G57" s="82">
        <v>440</v>
      </c>
      <c r="H57" s="56">
        <f t="shared" si="0"/>
        <v>13200</v>
      </c>
    </row>
    <row r="58" spans="1:8" ht="15.75" thickBot="1" x14ac:dyDescent="0.25">
      <c r="A58" s="35">
        <v>49</v>
      </c>
      <c r="B58" s="60">
        <v>295</v>
      </c>
      <c r="C58" s="60" t="s">
        <v>56</v>
      </c>
      <c r="D58" s="66" t="s">
        <v>113</v>
      </c>
      <c r="E58" s="58" t="s">
        <v>13</v>
      </c>
      <c r="F58" s="104">
        <v>500</v>
      </c>
      <c r="G58" s="82">
        <v>19.5</v>
      </c>
      <c r="H58" s="56">
        <f t="shared" si="0"/>
        <v>9750</v>
      </c>
    </row>
    <row r="59" spans="1:8" ht="15.75" thickBot="1" x14ac:dyDescent="0.25">
      <c r="A59" s="35">
        <v>50</v>
      </c>
      <c r="B59" s="60">
        <v>295</v>
      </c>
      <c r="C59" s="60" t="s">
        <v>56</v>
      </c>
      <c r="D59" s="66" t="s">
        <v>114</v>
      </c>
      <c r="E59" s="58" t="s">
        <v>13</v>
      </c>
      <c r="F59" s="104">
        <v>500</v>
      </c>
      <c r="G59" s="82">
        <v>21.8</v>
      </c>
      <c r="H59" s="56">
        <f t="shared" si="0"/>
        <v>10900</v>
      </c>
    </row>
    <row r="60" spans="1:8" ht="15.75" thickBot="1" x14ac:dyDescent="0.25">
      <c r="A60" s="35">
        <v>51</v>
      </c>
      <c r="B60" s="60">
        <v>295</v>
      </c>
      <c r="C60" s="60" t="s">
        <v>56</v>
      </c>
      <c r="D60" s="66" t="s">
        <v>115</v>
      </c>
      <c r="E60" s="58" t="s">
        <v>13</v>
      </c>
      <c r="F60" s="104">
        <v>500</v>
      </c>
      <c r="G60" s="82">
        <v>23.5</v>
      </c>
      <c r="H60" s="56">
        <f t="shared" si="0"/>
        <v>11750</v>
      </c>
    </row>
    <row r="61" spans="1:8" ht="15.75" thickBot="1" x14ac:dyDescent="0.25">
      <c r="A61" s="35">
        <v>52</v>
      </c>
      <c r="B61" s="60">
        <v>295</v>
      </c>
      <c r="C61" s="60" t="s">
        <v>56</v>
      </c>
      <c r="D61" s="66" t="s">
        <v>116</v>
      </c>
      <c r="E61" s="58" t="s">
        <v>13</v>
      </c>
      <c r="F61" s="104">
        <v>1000</v>
      </c>
      <c r="G61" s="82">
        <v>28.7</v>
      </c>
      <c r="H61" s="56">
        <f t="shared" si="0"/>
        <v>28700</v>
      </c>
    </row>
    <row r="62" spans="1:8" ht="15.75" thickBot="1" x14ac:dyDescent="0.25">
      <c r="A62" s="35">
        <v>53</v>
      </c>
      <c r="B62" s="60">
        <v>295</v>
      </c>
      <c r="C62" s="60" t="s">
        <v>56</v>
      </c>
      <c r="D62" s="66" t="s">
        <v>117</v>
      </c>
      <c r="E62" s="58" t="s">
        <v>13</v>
      </c>
      <c r="F62" s="104">
        <v>1000</v>
      </c>
      <c r="G62" s="82">
        <v>26.1</v>
      </c>
      <c r="H62" s="56">
        <f t="shared" si="0"/>
        <v>26100</v>
      </c>
    </row>
    <row r="63" spans="1:8" ht="15.75" thickBot="1" x14ac:dyDescent="0.25">
      <c r="A63" s="35">
        <v>54</v>
      </c>
      <c r="B63" s="60">
        <v>295</v>
      </c>
      <c r="C63" s="60" t="s">
        <v>56</v>
      </c>
      <c r="D63" s="66" t="s">
        <v>118</v>
      </c>
      <c r="E63" s="58" t="s">
        <v>13</v>
      </c>
      <c r="F63" s="104">
        <v>3600</v>
      </c>
      <c r="G63" s="82">
        <v>20</v>
      </c>
      <c r="H63" s="56">
        <f t="shared" si="0"/>
        <v>72000</v>
      </c>
    </row>
    <row r="64" spans="1:8" ht="15.75" thickBot="1" x14ac:dyDescent="0.25">
      <c r="A64" s="35">
        <v>55</v>
      </c>
      <c r="B64" s="60">
        <v>295</v>
      </c>
      <c r="C64" s="60" t="s">
        <v>56</v>
      </c>
      <c r="D64" s="66" t="s">
        <v>119</v>
      </c>
      <c r="E64" s="58" t="s">
        <v>13</v>
      </c>
      <c r="F64" s="104">
        <v>1000</v>
      </c>
      <c r="G64" s="82">
        <v>20.5</v>
      </c>
      <c r="H64" s="56">
        <f t="shared" si="0"/>
        <v>20500</v>
      </c>
    </row>
    <row r="65" spans="1:8" ht="15.75" thickBot="1" x14ac:dyDescent="0.25">
      <c r="A65" s="35">
        <v>56</v>
      </c>
      <c r="B65" s="60">
        <v>295</v>
      </c>
      <c r="C65" s="60" t="s">
        <v>56</v>
      </c>
      <c r="D65" s="66" t="s">
        <v>120</v>
      </c>
      <c r="E65" s="58" t="s">
        <v>13</v>
      </c>
      <c r="F65" s="104">
        <v>3600</v>
      </c>
      <c r="G65" s="82">
        <v>31</v>
      </c>
      <c r="H65" s="56">
        <f t="shared" si="0"/>
        <v>111600</v>
      </c>
    </row>
    <row r="66" spans="1:8" ht="15.75" thickBot="1" x14ac:dyDescent="0.25">
      <c r="A66" s="35">
        <v>57</v>
      </c>
      <c r="B66" s="60">
        <v>295</v>
      </c>
      <c r="C66" s="60" t="s">
        <v>56</v>
      </c>
      <c r="D66" s="66" t="s">
        <v>121</v>
      </c>
      <c r="E66" s="58" t="s">
        <v>13</v>
      </c>
      <c r="F66" s="104">
        <v>2000</v>
      </c>
      <c r="G66" s="82">
        <v>22.9</v>
      </c>
      <c r="H66" s="56">
        <f t="shared" si="0"/>
        <v>45800</v>
      </c>
    </row>
    <row r="67" spans="1:8" ht="15.75" thickBot="1" x14ac:dyDescent="0.25">
      <c r="A67" s="35">
        <v>58</v>
      </c>
      <c r="B67" s="60">
        <v>295</v>
      </c>
      <c r="C67" s="60" t="s">
        <v>56</v>
      </c>
      <c r="D67" s="66" t="s">
        <v>122</v>
      </c>
      <c r="E67" s="58" t="s">
        <v>13</v>
      </c>
      <c r="F67" s="104">
        <v>1500</v>
      </c>
      <c r="G67" s="82">
        <v>26</v>
      </c>
      <c r="H67" s="56">
        <f t="shared" si="0"/>
        <v>39000</v>
      </c>
    </row>
    <row r="68" spans="1:8" ht="15.75" thickBot="1" x14ac:dyDescent="0.25">
      <c r="A68" s="35">
        <v>59</v>
      </c>
      <c r="B68" s="60">
        <v>295</v>
      </c>
      <c r="C68" s="60" t="s">
        <v>56</v>
      </c>
      <c r="D68" s="66" t="s">
        <v>123</v>
      </c>
      <c r="E68" s="58" t="s">
        <v>13</v>
      </c>
      <c r="F68" s="104">
        <v>1500</v>
      </c>
      <c r="G68" s="82">
        <v>31.3</v>
      </c>
      <c r="H68" s="56">
        <f t="shared" si="0"/>
        <v>46950</v>
      </c>
    </row>
    <row r="69" spans="1:8" ht="15.75" thickBot="1" x14ac:dyDescent="0.25">
      <c r="A69" s="35">
        <v>60</v>
      </c>
      <c r="B69" s="60">
        <v>295</v>
      </c>
      <c r="C69" s="60" t="s">
        <v>56</v>
      </c>
      <c r="D69" s="66" t="s">
        <v>124</v>
      </c>
      <c r="E69" s="58" t="s">
        <v>13</v>
      </c>
      <c r="F69" s="104">
        <v>1500</v>
      </c>
      <c r="G69" s="82">
        <v>24.8</v>
      </c>
      <c r="H69" s="56">
        <f t="shared" si="0"/>
        <v>37200</v>
      </c>
    </row>
    <row r="70" spans="1:8" ht="15.75" thickBot="1" x14ac:dyDescent="0.25">
      <c r="A70" s="35">
        <v>61</v>
      </c>
      <c r="B70" s="60">
        <v>295</v>
      </c>
      <c r="C70" s="60" t="s">
        <v>56</v>
      </c>
      <c r="D70" s="66" t="s">
        <v>125</v>
      </c>
      <c r="E70" s="58" t="s">
        <v>13</v>
      </c>
      <c r="F70" s="104">
        <v>5</v>
      </c>
      <c r="G70" s="82">
        <v>5339.3</v>
      </c>
      <c r="H70" s="56">
        <f t="shared" si="0"/>
        <v>26696.5</v>
      </c>
    </row>
    <row r="71" spans="1:8" ht="15.75" thickBot="1" x14ac:dyDescent="0.25">
      <c r="A71" s="35">
        <v>62</v>
      </c>
      <c r="B71" s="60">
        <v>295</v>
      </c>
      <c r="C71" s="60" t="s">
        <v>56</v>
      </c>
      <c r="D71" s="66" t="s">
        <v>126</v>
      </c>
      <c r="E71" s="58" t="s">
        <v>13</v>
      </c>
      <c r="F71" s="104">
        <v>25</v>
      </c>
      <c r="G71" s="82">
        <v>14429.3</v>
      </c>
      <c r="H71" s="56">
        <f t="shared" si="0"/>
        <v>360732.5</v>
      </c>
    </row>
    <row r="72" spans="1:8" ht="15.75" thickBot="1" x14ac:dyDescent="0.25">
      <c r="A72" s="35">
        <v>63</v>
      </c>
      <c r="B72" s="38">
        <v>295</v>
      </c>
      <c r="C72" s="38" t="s">
        <v>56</v>
      </c>
      <c r="D72" s="66" t="s">
        <v>127</v>
      </c>
      <c r="E72" s="58" t="s">
        <v>13</v>
      </c>
      <c r="F72" s="101">
        <v>25</v>
      </c>
      <c r="G72" s="80">
        <v>14429.3</v>
      </c>
      <c r="H72" s="56">
        <f t="shared" si="0"/>
        <v>360732.5</v>
      </c>
    </row>
    <row r="73" spans="1:8" ht="15.75" thickBot="1" x14ac:dyDescent="0.25">
      <c r="A73" s="35">
        <v>64</v>
      </c>
      <c r="B73" s="38">
        <v>295</v>
      </c>
      <c r="C73" s="38" t="s">
        <v>56</v>
      </c>
      <c r="D73" s="66" t="s">
        <v>128</v>
      </c>
      <c r="E73" s="58" t="s">
        <v>13</v>
      </c>
      <c r="F73" s="101">
        <v>1000</v>
      </c>
      <c r="G73" s="80">
        <v>24.5</v>
      </c>
      <c r="H73" s="56">
        <f t="shared" si="0"/>
        <v>24500</v>
      </c>
    </row>
    <row r="74" spans="1:8" ht="15.75" thickBot="1" x14ac:dyDescent="0.25">
      <c r="A74" s="35">
        <v>65</v>
      </c>
      <c r="B74">
        <v>295</v>
      </c>
      <c r="C74" t="s">
        <v>56</v>
      </c>
      <c r="D74" s="66" t="s">
        <v>129</v>
      </c>
      <c r="E74" s="58" t="s">
        <v>13</v>
      </c>
      <c r="F74" s="103">
        <v>1000</v>
      </c>
      <c r="G74" s="81">
        <v>55.5</v>
      </c>
      <c r="H74" s="56">
        <f t="shared" ref="H74:H136" si="1">G74*F74</f>
        <v>55500</v>
      </c>
    </row>
    <row r="75" spans="1:8" ht="15.75" thickBot="1" x14ac:dyDescent="0.25">
      <c r="A75" s="35">
        <v>66</v>
      </c>
      <c r="B75" s="60">
        <v>295</v>
      </c>
      <c r="C75" s="60" t="s">
        <v>56</v>
      </c>
      <c r="D75" s="66" t="s">
        <v>130</v>
      </c>
      <c r="E75" s="58" t="s">
        <v>13</v>
      </c>
      <c r="F75" s="104">
        <v>2500</v>
      </c>
      <c r="G75" s="82">
        <v>16.5</v>
      </c>
      <c r="H75" s="56">
        <f t="shared" si="1"/>
        <v>41250</v>
      </c>
    </row>
    <row r="76" spans="1:8" ht="15.75" thickBot="1" x14ac:dyDescent="0.25">
      <c r="A76" s="35">
        <v>67</v>
      </c>
      <c r="B76" s="60">
        <v>295</v>
      </c>
      <c r="C76" s="60" t="s">
        <v>56</v>
      </c>
      <c r="D76" s="66" t="s">
        <v>131</v>
      </c>
      <c r="E76" s="58" t="s">
        <v>13</v>
      </c>
      <c r="F76" s="104">
        <v>1000</v>
      </c>
      <c r="G76" s="82">
        <v>117.5</v>
      </c>
      <c r="H76" s="56">
        <f t="shared" si="1"/>
        <v>117500</v>
      </c>
    </row>
    <row r="77" spans="1:8" ht="15.75" thickBot="1" x14ac:dyDescent="0.25">
      <c r="A77" s="35">
        <v>68</v>
      </c>
      <c r="B77" s="60">
        <v>295</v>
      </c>
      <c r="C77" s="60" t="s">
        <v>56</v>
      </c>
      <c r="D77" s="66" t="s">
        <v>132</v>
      </c>
      <c r="E77" s="58" t="s">
        <v>13</v>
      </c>
      <c r="F77" s="104">
        <v>500</v>
      </c>
      <c r="G77" s="82">
        <v>44.1</v>
      </c>
      <c r="H77" s="56">
        <f t="shared" si="1"/>
        <v>22050</v>
      </c>
    </row>
    <row r="78" spans="1:8" ht="15.75" thickBot="1" x14ac:dyDescent="0.25">
      <c r="A78" s="35">
        <v>69</v>
      </c>
      <c r="B78" s="60">
        <v>295</v>
      </c>
      <c r="C78" s="60" t="s">
        <v>56</v>
      </c>
      <c r="D78" s="66" t="s">
        <v>133</v>
      </c>
      <c r="E78" s="58" t="s">
        <v>13</v>
      </c>
      <c r="F78" s="104">
        <v>500</v>
      </c>
      <c r="G78" s="82">
        <v>158.25</v>
      </c>
      <c r="H78" s="56">
        <f t="shared" si="1"/>
        <v>79125</v>
      </c>
    </row>
    <row r="79" spans="1:8" ht="15.75" thickBot="1" x14ac:dyDescent="0.25">
      <c r="A79" s="35">
        <v>70</v>
      </c>
      <c r="B79" s="60">
        <v>295</v>
      </c>
      <c r="C79" s="60" t="s">
        <v>56</v>
      </c>
      <c r="D79" s="66" t="s">
        <v>134</v>
      </c>
      <c r="E79" s="58" t="s">
        <v>13</v>
      </c>
      <c r="F79" s="104">
        <v>72</v>
      </c>
      <c r="G79" s="82">
        <v>195</v>
      </c>
      <c r="H79" s="56">
        <f t="shared" si="1"/>
        <v>14040</v>
      </c>
    </row>
    <row r="80" spans="1:8" ht="15.75" thickBot="1" x14ac:dyDescent="0.25">
      <c r="A80" s="35">
        <v>71</v>
      </c>
      <c r="B80" s="60">
        <v>295</v>
      </c>
      <c r="C80" s="60" t="s">
        <v>56</v>
      </c>
      <c r="D80" s="66" t="s">
        <v>135</v>
      </c>
      <c r="E80" s="58" t="s">
        <v>13</v>
      </c>
      <c r="F80" s="104">
        <v>72</v>
      </c>
      <c r="G80" s="82">
        <v>195</v>
      </c>
      <c r="H80" s="56">
        <f t="shared" si="1"/>
        <v>14040</v>
      </c>
    </row>
    <row r="81" spans="1:8" ht="15.75" thickBot="1" x14ac:dyDescent="0.25">
      <c r="A81" s="35">
        <v>72</v>
      </c>
      <c r="B81" s="60">
        <v>295</v>
      </c>
      <c r="C81" s="60" t="s">
        <v>56</v>
      </c>
      <c r="D81" s="66" t="s">
        <v>136</v>
      </c>
      <c r="E81" s="58" t="s">
        <v>13</v>
      </c>
      <c r="F81" s="104">
        <v>30</v>
      </c>
      <c r="G81" s="82">
        <v>1450</v>
      </c>
      <c r="H81" s="56">
        <f t="shared" si="1"/>
        <v>43500</v>
      </c>
    </row>
    <row r="82" spans="1:8" ht="15.75" thickBot="1" x14ac:dyDescent="0.25">
      <c r="A82" s="35">
        <v>73</v>
      </c>
      <c r="B82" s="60">
        <v>295</v>
      </c>
      <c r="C82" s="60" t="s">
        <v>56</v>
      </c>
      <c r="D82" s="66" t="s">
        <v>137</v>
      </c>
      <c r="E82" s="58" t="s">
        <v>13</v>
      </c>
      <c r="F82" s="104">
        <v>30</v>
      </c>
      <c r="G82" s="82">
        <v>1650</v>
      </c>
      <c r="H82" s="56">
        <f t="shared" si="1"/>
        <v>49500</v>
      </c>
    </row>
    <row r="83" spans="1:8" ht="15.75" thickBot="1" x14ac:dyDescent="0.25">
      <c r="A83" s="35">
        <v>74</v>
      </c>
      <c r="B83" s="60">
        <v>295</v>
      </c>
      <c r="C83" s="60" t="s">
        <v>56</v>
      </c>
      <c r="D83" s="66" t="s">
        <v>138</v>
      </c>
      <c r="E83" s="58" t="s">
        <v>13</v>
      </c>
      <c r="F83" s="104">
        <v>30</v>
      </c>
      <c r="G83" s="82">
        <v>800</v>
      </c>
      <c r="H83" s="56">
        <f t="shared" si="1"/>
        <v>24000</v>
      </c>
    </row>
    <row r="84" spans="1:8" ht="15.75" thickBot="1" x14ac:dyDescent="0.25">
      <c r="A84" s="35">
        <v>75</v>
      </c>
      <c r="B84" s="60">
        <v>295</v>
      </c>
      <c r="C84" s="60" t="s">
        <v>56</v>
      </c>
      <c r="D84" s="66" t="s">
        <v>139</v>
      </c>
      <c r="E84" s="58" t="s">
        <v>13</v>
      </c>
      <c r="F84" s="104">
        <v>500</v>
      </c>
      <c r="G84" s="82">
        <v>1050</v>
      </c>
      <c r="H84" s="56">
        <f t="shared" si="1"/>
        <v>525000</v>
      </c>
    </row>
    <row r="85" spans="1:8" ht="15.75" thickBot="1" x14ac:dyDescent="0.25">
      <c r="A85" s="35">
        <v>76</v>
      </c>
      <c r="B85" s="60">
        <v>295</v>
      </c>
      <c r="C85" s="60" t="s">
        <v>56</v>
      </c>
      <c r="D85" s="66" t="s">
        <v>140</v>
      </c>
      <c r="E85" s="58" t="s">
        <v>13</v>
      </c>
      <c r="F85" s="104">
        <v>10</v>
      </c>
      <c r="G85" s="82">
        <v>1050</v>
      </c>
      <c r="H85" s="56">
        <f t="shared" si="1"/>
        <v>10500</v>
      </c>
    </row>
    <row r="86" spans="1:8" ht="15.75" thickBot="1" x14ac:dyDescent="0.25">
      <c r="A86" s="35">
        <v>77</v>
      </c>
      <c r="B86" s="60">
        <v>295</v>
      </c>
      <c r="C86" s="60" t="s">
        <v>56</v>
      </c>
      <c r="D86" s="66" t="s">
        <v>141</v>
      </c>
      <c r="E86" s="58" t="s">
        <v>13</v>
      </c>
      <c r="F86" s="104">
        <v>10</v>
      </c>
      <c r="G86" s="82">
        <v>1050</v>
      </c>
      <c r="H86" s="56">
        <f t="shared" si="1"/>
        <v>10500</v>
      </c>
    </row>
    <row r="87" spans="1:8" ht="15.75" thickBot="1" x14ac:dyDescent="0.25">
      <c r="A87" s="35">
        <v>78</v>
      </c>
      <c r="B87" s="60">
        <v>295</v>
      </c>
      <c r="C87" s="60" t="s">
        <v>56</v>
      </c>
      <c r="D87" s="66" t="s">
        <v>142</v>
      </c>
      <c r="E87" s="58" t="s">
        <v>13</v>
      </c>
      <c r="F87" s="104">
        <v>10</v>
      </c>
      <c r="G87" s="82">
        <v>1050</v>
      </c>
      <c r="H87" s="56">
        <f t="shared" si="1"/>
        <v>10500</v>
      </c>
    </row>
    <row r="88" spans="1:8" ht="15.75" thickBot="1" x14ac:dyDescent="0.25">
      <c r="A88" s="35">
        <v>79</v>
      </c>
      <c r="B88" s="60">
        <v>295</v>
      </c>
      <c r="C88" s="60" t="s">
        <v>56</v>
      </c>
      <c r="D88" s="66" t="s">
        <v>143</v>
      </c>
      <c r="E88" s="58" t="s">
        <v>13</v>
      </c>
      <c r="F88" s="104">
        <v>50</v>
      </c>
      <c r="G88" s="82">
        <v>750</v>
      </c>
      <c r="H88" s="56">
        <f t="shared" si="1"/>
        <v>37500</v>
      </c>
    </row>
    <row r="89" spans="1:8" ht="15.75" thickBot="1" x14ac:dyDescent="0.25">
      <c r="A89" s="35">
        <v>80</v>
      </c>
      <c r="B89" s="60">
        <v>295</v>
      </c>
      <c r="C89" s="60" t="s">
        <v>56</v>
      </c>
      <c r="D89" s="66" t="s">
        <v>144</v>
      </c>
      <c r="E89" s="58" t="s">
        <v>13</v>
      </c>
      <c r="F89" s="104">
        <v>200</v>
      </c>
      <c r="G89" s="82">
        <v>750</v>
      </c>
      <c r="H89" s="56">
        <f t="shared" si="1"/>
        <v>150000</v>
      </c>
    </row>
    <row r="90" spans="1:8" ht="15.75" thickBot="1" x14ac:dyDescent="0.25">
      <c r="A90" s="35">
        <v>81</v>
      </c>
      <c r="B90" s="60">
        <v>295</v>
      </c>
      <c r="C90" s="60" t="s">
        <v>56</v>
      </c>
      <c r="D90" s="66" t="s">
        <v>145</v>
      </c>
      <c r="E90" s="58" t="s">
        <v>13</v>
      </c>
      <c r="F90" s="104">
        <v>200</v>
      </c>
      <c r="G90" s="82">
        <v>750</v>
      </c>
      <c r="H90" s="56">
        <f t="shared" si="1"/>
        <v>150000</v>
      </c>
    </row>
    <row r="91" spans="1:8" ht="15.75" thickBot="1" x14ac:dyDescent="0.25">
      <c r="A91" s="35">
        <v>82</v>
      </c>
      <c r="B91" s="60">
        <v>295</v>
      </c>
      <c r="C91" s="60" t="s">
        <v>56</v>
      </c>
      <c r="D91" s="66" t="s">
        <v>146</v>
      </c>
      <c r="E91" s="58" t="s">
        <v>13</v>
      </c>
      <c r="F91" s="104">
        <v>3000</v>
      </c>
      <c r="G91" s="82">
        <v>25</v>
      </c>
      <c r="H91" s="56">
        <f t="shared" si="1"/>
        <v>75000</v>
      </c>
    </row>
    <row r="92" spans="1:8" ht="15.75" thickBot="1" x14ac:dyDescent="0.25">
      <c r="A92" s="35">
        <v>83</v>
      </c>
      <c r="B92" s="60">
        <v>295</v>
      </c>
      <c r="C92" s="60" t="s">
        <v>56</v>
      </c>
      <c r="D92" s="66" t="s">
        <v>147</v>
      </c>
      <c r="E92" s="58" t="s">
        <v>13</v>
      </c>
      <c r="F92" s="104">
        <v>50</v>
      </c>
      <c r="G92" s="82">
        <v>980</v>
      </c>
      <c r="H92" s="56">
        <f t="shared" si="1"/>
        <v>49000</v>
      </c>
    </row>
    <row r="93" spans="1:8" ht="15.75" thickBot="1" x14ac:dyDescent="0.25">
      <c r="A93" s="35">
        <v>84</v>
      </c>
      <c r="B93" s="60">
        <v>295</v>
      </c>
      <c r="C93" s="60" t="s">
        <v>56</v>
      </c>
      <c r="D93" s="66" t="s">
        <v>148</v>
      </c>
      <c r="E93" s="58" t="s">
        <v>13</v>
      </c>
      <c r="F93" s="104">
        <v>2500</v>
      </c>
      <c r="G93" s="82">
        <v>31</v>
      </c>
      <c r="H93" s="56">
        <f t="shared" si="1"/>
        <v>77500</v>
      </c>
    </row>
    <row r="94" spans="1:8" ht="15.75" thickBot="1" x14ac:dyDescent="0.25">
      <c r="A94" s="35">
        <v>85</v>
      </c>
      <c r="B94" s="60">
        <v>295</v>
      </c>
      <c r="C94" s="60" t="s">
        <v>56</v>
      </c>
      <c r="D94" s="66" t="s">
        <v>149</v>
      </c>
      <c r="E94" s="58" t="s">
        <v>13</v>
      </c>
      <c r="F94" s="104">
        <v>2500</v>
      </c>
      <c r="G94" s="82">
        <v>31</v>
      </c>
      <c r="H94" s="56">
        <f t="shared" si="1"/>
        <v>77500</v>
      </c>
    </row>
    <row r="95" spans="1:8" ht="15.75" thickBot="1" x14ac:dyDescent="0.25">
      <c r="A95" s="35">
        <v>86</v>
      </c>
      <c r="B95" s="60">
        <v>295</v>
      </c>
      <c r="C95" s="60" t="s">
        <v>56</v>
      </c>
      <c r="D95" s="66" t="s">
        <v>150</v>
      </c>
      <c r="E95" s="58" t="s">
        <v>13</v>
      </c>
      <c r="F95" s="104">
        <v>50</v>
      </c>
      <c r="G95" s="82">
        <v>1100</v>
      </c>
      <c r="H95" s="56">
        <f t="shared" si="1"/>
        <v>55000</v>
      </c>
    </row>
    <row r="96" spans="1:8" ht="15.75" thickBot="1" x14ac:dyDescent="0.25">
      <c r="A96" s="35">
        <v>87</v>
      </c>
      <c r="B96" s="60">
        <v>295</v>
      </c>
      <c r="C96" s="60" t="s">
        <v>56</v>
      </c>
      <c r="D96" s="66" t="s">
        <v>151</v>
      </c>
      <c r="E96" s="58" t="s">
        <v>13</v>
      </c>
      <c r="F96" s="104">
        <v>50</v>
      </c>
      <c r="G96" s="82">
        <v>1100</v>
      </c>
      <c r="H96" s="56">
        <f t="shared" si="1"/>
        <v>55000</v>
      </c>
    </row>
    <row r="97" spans="1:8" ht="15.75" thickBot="1" x14ac:dyDescent="0.25">
      <c r="A97" s="35">
        <v>88</v>
      </c>
      <c r="B97" s="60">
        <v>295</v>
      </c>
      <c r="C97" s="60" t="s">
        <v>56</v>
      </c>
      <c r="D97" s="66" t="s">
        <v>152</v>
      </c>
      <c r="E97" s="58" t="s">
        <v>13</v>
      </c>
      <c r="F97" s="104">
        <v>15</v>
      </c>
      <c r="G97" s="82">
        <v>11250</v>
      </c>
      <c r="H97" s="56">
        <f t="shared" si="1"/>
        <v>168750</v>
      </c>
    </row>
    <row r="98" spans="1:8" ht="15.75" thickBot="1" x14ac:dyDescent="0.25">
      <c r="A98" s="35">
        <v>89</v>
      </c>
      <c r="B98" s="60">
        <v>295</v>
      </c>
      <c r="C98" s="60" t="s">
        <v>56</v>
      </c>
      <c r="D98" s="66" t="s">
        <v>153</v>
      </c>
      <c r="E98" s="58" t="s">
        <v>13</v>
      </c>
      <c r="F98" s="104">
        <v>15</v>
      </c>
      <c r="G98" s="82">
        <v>3500</v>
      </c>
      <c r="H98" s="56">
        <f t="shared" si="1"/>
        <v>52500</v>
      </c>
    </row>
    <row r="99" spans="1:8" ht="15.75" thickBot="1" x14ac:dyDescent="0.25">
      <c r="A99" s="35">
        <v>90</v>
      </c>
      <c r="B99" s="60">
        <v>295</v>
      </c>
      <c r="C99" s="60" t="s">
        <v>56</v>
      </c>
      <c r="D99" s="66" t="s">
        <v>154</v>
      </c>
      <c r="E99" s="58" t="s">
        <v>13</v>
      </c>
      <c r="F99" s="104">
        <v>30</v>
      </c>
      <c r="G99" s="82">
        <v>1000</v>
      </c>
      <c r="H99" s="56">
        <f t="shared" si="1"/>
        <v>30000</v>
      </c>
    </row>
    <row r="100" spans="1:8" ht="15.75" thickBot="1" x14ac:dyDescent="0.25">
      <c r="A100" s="35">
        <v>91</v>
      </c>
      <c r="B100" s="60">
        <v>295</v>
      </c>
      <c r="C100" s="60" t="s">
        <v>56</v>
      </c>
      <c r="D100" s="66" t="s">
        <v>155</v>
      </c>
      <c r="E100" s="58" t="s">
        <v>13</v>
      </c>
      <c r="F100" s="104">
        <v>30</v>
      </c>
      <c r="G100" s="82">
        <v>1000</v>
      </c>
      <c r="H100" s="56">
        <f t="shared" si="1"/>
        <v>30000</v>
      </c>
    </row>
    <row r="101" spans="1:8" ht="15.75" thickBot="1" x14ac:dyDescent="0.25">
      <c r="A101" s="35">
        <v>92</v>
      </c>
      <c r="B101" s="60">
        <v>295</v>
      </c>
      <c r="C101" s="60" t="s">
        <v>56</v>
      </c>
      <c r="D101" s="66" t="s">
        <v>156</v>
      </c>
      <c r="E101" s="58" t="s">
        <v>13</v>
      </c>
      <c r="F101" s="104">
        <v>30</v>
      </c>
      <c r="G101" s="82">
        <v>1000</v>
      </c>
      <c r="H101" s="56">
        <f t="shared" si="1"/>
        <v>30000</v>
      </c>
    </row>
    <row r="102" spans="1:8" ht="15.75" thickBot="1" x14ac:dyDescent="0.25">
      <c r="A102" s="35">
        <v>93</v>
      </c>
      <c r="B102" s="60">
        <v>295</v>
      </c>
      <c r="C102" s="60" t="s">
        <v>56</v>
      </c>
      <c r="D102" s="66" t="s">
        <v>157</v>
      </c>
      <c r="E102" s="58" t="s">
        <v>13</v>
      </c>
      <c r="F102" s="104">
        <v>100</v>
      </c>
      <c r="G102" s="82">
        <v>800</v>
      </c>
      <c r="H102" s="56">
        <f t="shared" si="1"/>
        <v>80000</v>
      </c>
    </row>
    <row r="103" spans="1:8" ht="15.75" thickBot="1" x14ac:dyDescent="0.25">
      <c r="A103" s="35">
        <v>94</v>
      </c>
      <c r="B103" s="60">
        <v>295</v>
      </c>
      <c r="C103" s="60" t="s">
        <v>56</v>
      </c>
      <c r="D103" s="66" t="s">
        <v>158</v>
      </c>
      <c r="E103" s="58" t="s">
        <v>13</v>
      </c>
      <c r="F103" s="104">
        <v>100</v>
      </c>
      <c r="G103" s="82">
        <v>800</v>
      </c>
      <c r="H103" s="56">
        <f t="shared" si="1"/>
        <v>80000</v>
      </c>
    </row>
    <row r="104" spans="1:8" ht="15.75" thickBot="1" x14ac:dyDescent="0.25">
      <c r="A104" s="35">
        <v>95</v>
      </c>
      <c r="B104" s="60">
        <v>295</v>
      </c>
      <c r="C104" s="60" t="s">
        <v>56</v>
      </c>
      <c r="D104" s="66" t="s">
        <v>159</v>
      </c>
      <c r="E104" s="58" t="s">
        <v>13</v>
      </c>
      <c r="F104" s="104">
        <v>200</v>
      </c>
      <c r="G104" s="82">
        <v>700</v>
      </c>
      <c r="H104" s="56">
        <f t="shared" si="1"/>
        <v>140000</v>
      </c>
    </row>
    <row r="105" spans="1:8" ht="15.75" thickBot="1" x14ac:dyDescent="0.25">
      <c r="A105" s="35">
        <v>96</v>
      </c>
      <c r="B105" s="60">
        <v>295</v>
      </c>
      <c r="C105" s="60" t="s">
        <v>56</v>
      </c>
      <c r="D105" s="66" t="s">
        <v>160</v>
      </c>
      <c r="E105" s="58" t="s">
        <v>13</v>
      </c>
      <c r="F105" s="104">
        <v>50</v>
      </c>
      <c r="G105" s="82">
        <v>1845</v>
      </c>
      <c r="H105" s="56">
        <f t="shared" si="1"/>
        <v>92250</v>
      </c>
    </row>
    <row r="106" spans="1:8" ht="15.75" thickBot="1" x14ac:dyDescent="0.25">
      <c r="A106" s="35">
        <v>97</v>
      </c>
      <c r="B106" s="60">
        <v>295</v>
      </c>
      <c r="C106" s="60" t="s">
        <v>56</v>
      </c>
      <c r="D106" s="66" t="s">
        <v>161</v>
      </c>
      <c r="E106" s="58" t="s">
        <v>13</v>
      </c>
      <c r="F106" s="104">
        <v>100</v>
      </c>
      <c r="G106" s="82">
        <v>230.79</v>
      </c>
      <c r="H106" s="56">
        <f t="shared" si="1"/>
        <v>23079</v>
      </c>
    </row>
    <row r="107" spans="1:8" ht="15.75" thickBot="1" x14ac:dyDescent="0.25">
      <c r="A107" s="35">
        <v>98</v>
      </c>
      <c r="B107" s="60">
        <v>295</v>
      </c>
      <c r="C107" s="60" t="s">
        <v>56</v>
      </c>
      <c r="D107" s="66" t="s">
        <v>162</v>
      </c>
      <c r="E107" s="58" t="s">
        <v>13</v>
      </c>
      <c r="F107" s="104">
        <v>100</v>
      </c>
      <c r="G107" s="82">
        <v>230.79</v>
      </c>
      <c r="H107" s="56">
        <f t="shared" si="1"/>
        <v>23079</v>
      </c>
    </row>
    <row r="108" spans="1:8" ht="15.75" thickBot="1" x14ac:dyDescent="0.25">
      <c r="A108" s="35">
        <v>99</v>
      </c>
      <c r="B108" s="60">
        <v>295</v>
      </c>
      <c r="C108" s="60" t="s">
        <v>56</v>
      </c>
      <c r="D108" s="66" t="s">
        <v>163</v>
      </c>
      <c r="E108" s="58" t="s">
        <v>13</v>
      </c>
      <c r="F108" s="104">
        <v>100</v>
      </c>
      <c r="G108" s="82">
        <v>230.79</v>
      </c>
      <c r="H108" s="56">
        <f t="shared" si="1"/>
        <v>23079</v>
      </c>
    </row>
    <row r="109" spans="1:8" ht="15.75" thickBot="1" x14ac:dyDescent="0.25">
      <c r="A109" s="35">
        <v>100</v>
      </c>
      <c r="B109" s="60">
        <v>295</v>
      </c>
      <c r="C109" s="60" t="s">
        <v>56</v>
      </c>
      <c r="D109" s="66" t="s">
        <v>164</v>
      </c>
      <c r="E109" s="58" t="s">
        <v>13</v>
      </c>
      <c r="F109" s="104">
        <v>100</v>
      </c>
      <c r="G109" s="82">
        <v>230.79</v>
      </c>
      <c r="H109" s="56">
        <f t="shared" si="1"/>
        <v>23079</v>
      </c>
    </row>
    <row r="110" spans="1:8" ht="15.75" thickBot="1" x14ac:dyDescent="0.25">
      <c r="A110" s="35">
        <v>101</v>
      </c>
      <c r="B110" s="60">
        <v>295</v>
      </c>
      <c r="C110" s="60" t="s">
        <v>56</v>
      </c>
      <c r="D110" s="66" t="s">
        <v>165</v>
      </c>
      <c r="E110" s="58" t="s">
        <v>13</v>
      </c>
      <c r="F110" s="104">
        <v>100</v>
      </c>
      <c r="G110" s="82">
        <v>230.78</v>
      </c>
      <c r="H110" s="56">
        <f t="shared" si="1"/>
        <v>23078</v>
      </c>
    </row>
    <row r="111" spans="1:8" ht="15.75" hidden="1" thickBot="1" x14ac:dyDescent="0.25">
      <c r="A111" s="35">
        <v>102</v>
      </c>
      <c r="B111" s="60">
        <v>299</v>
      </c>
      <c r="C111" s="60" t="s">
        <v>56</v>
      </c>
      <c r="D111" s="66" t="s">
        <v>166</v>
      </c>
      <c r="E111" s="58" t="s">
        <v>13</v>
      </c>
      <c r="F111" s="104">
        <v>1000</v>
      </c>
      <c r="G111" s="82">
        <v>65.23</v>
      </c>
      <c r="H111" s="56">
        <f t="shared" si="1"/>
        <v>65230.000000000007</v>
      </c>
    </row>
    <row r="112" spans="1:8" ht="15.75" hidden="1" thickBot="1" x14ac:dyDescent="0.25">
      <c r="A112" s="35">
        <v>103</v>
      </c>
      <c r="B112" s="60">
        <v>299</v>
      </c>
      <c r="C112" s="60" t="s">
        <v>56</v>
      </c>
      <c r="D112" s="66" t="s">
        <v>167</v>
      </c>
      <c r="E112" s="58" t="s">
        <v>13</v>
      </c>
      <c r="F112" s="104">
        <v>1500</v>
      </c>
      <c r="G112" s="82">
        <v>19</v>
      </c>
      <c r="H112" s="56">
        <f t="shared" si="1"/>
        <v>28500</v>
      </c>
    </row>
    <row r="113" spans="1:8" ht="15.75" hidden="1" thickBot="1" x14ac:dyDescent="0.25">
      <c r="A113" s="35">
        <v>104</v>
      </c>
      <c r="B113" s="60">
        <v>299</v>
      </c>
      <c r="C113" s="60" t="s">
        <v>56</v>
      </c>
      <c r="D113" s="66" t="s">
        <v>168</v>
      </c>
      <c r="E113" s="58" t="s">
        <v>13</v>
      </c>
      <c r="F113" s="104">
        <v>1500</v>
      </c>
      <c r="G113" s="82">
        <v>19</v>
      </c>
      <c r="H113" s="56">
        <f t="shared" si="1"/>
        <v>28500</v>
      </c>
    </row>
    <row r="114" spans="1:8" ht="15.75" hidden="1" thickBot="1" x14ac:dyDescent="0.25">
      <c r="A114" s="35">
        <v>105</v>
      </c>
      <c r="B114" s="60">
        <v>299</v>
      </c>
      <c r="C114" s="60" t="s">
        <v>56</v>
      </c>
      <c r="D114" s="66" t="s">
        <v>169</v>
      </c>
      <c r="E114" s="58" t="s">
        <v>13</v>
      </c>
      <c r="F114" s="104">
        <v>1500</v>
      </c>
      <c r="G114" s="82">
        <v>61.87</v>
      </c>
      <c r="H114" s="56">
        <f t="shared" si="1"/>
        <v>92805</v>
      </c>
    </row>
    <row r="115" spans="1:8" ht="15.75" thickBot="1" x14ac:dyDescent="0.25">
      <c r="A115" s="35">
        <v>106</v>
      </c>
      <c r="B115" s="60">
        <v>295</v>
      </c>
      <c r="C115" s="60" t="s">
        <v>56</v>
      </c>
      <c r="D115" s="66" t="s">
        <v>170</v>
      </c>
      <c r="E115" s="58" t="s">
        <v>13</v>
      </c>
      <c r="F115" s="104">
        <v>200</v>
      </c>
      <c r="G115" s="82">
        <v>156.87</v>
      </c>
      <c r="H115" s="56">
        <f t="shared" si="1"/>
        <v>31374</v>
      </c>
    </row>
    <row r="116" spans="1:8" ht="15.75" thickBot="1" x14ac:dyDescent="0.25">
      <c r="A116" s="35">
        <v>107</v>
      </c>
      <c r="B116" s="60">
        <v>295</v>
      </c>
      <c r="C116" s="60" t="s">
        <v>56</v>
      </c>
      <c r="D116" s="66" t="s">
        <v>171</v>
      </c>
      <c r="E116" s="58" t="s">
        <v>13</v>
      </c>
      <c r="F116" s="104">
        <v>30</v>
      </c>
      <c r="G116" s="82">
        <v>750</v>
      </c>
      <c r="H116" s="56">
        <f t="shared" si="1"/>
        <v>22500</v>
      </c>
    </row>
    <row r="117" spans="1:8" ht="15.75" thickBot="1" x14ac:dyDescent="0.25">
      <c r="A117" s="35">
        <v>108</v>
      </c>
      <c r="B117" s="60">
        <v>295</v>
      </c>
      <c r="C117" s="60" t="s">
        <v>56</v>
      </c>
      <c r="D117" s="66" t="s">
        <v>172</v>
      </c>
      <c r="E117" s="58" t="s">
        <v>13</v>
      </c>
      <c r="F117" s="104">
        <v>100</v>
      </c>
      <c r="G117" s="82">
        <v>195</v>
      </c>
      <c r="H117" s="56">
        <f t="shared" si="1"/>
        <v>19500</v>
      </c>
    </row>
    <row r="118" spans="1:8" ht="15.75" thickBot="1" x14ac:dyDescent="0.25">
      <c r="A118" s="35">
        <v>109</v>
      </c>
      <c r="B118" s="60">
        <v>295</v>
      </c>
      <c r="C118" s="60" t="s">
        <v>56</v>
      </c>
      <c r="D118" s="66" t="s">
        <v>173</v>
      </c>
      <c r="E118" s="58" t="s">
        <v>13</v>
      </c>
      <c r="F118" s="104">
        <v>100</v>
      </c>
      <c r="G118" s="82">
        <v>195</v>
      </c>
      <c r="H118" s="56">
        <f t="shared" si="1"/>
        <v>19500</v>
      </c>
    </row>
    <row r="119" spans="1:8" ht="15.75" thickBot="1" x14ac:dyDescent="0.25">
      <c r="A119" s="35">
        <v>110</v>
      </c>
      <c r="B119" s="60">
        <v>295</v>
      </c>
      <c r="C119" s="60" t="s">
        <v>56</v>
      </c>
      <c r="D119" s="66" t="s">
        <v>174</v>
      </c>
      <c r="E119" s="58" t="s">
        <v>13</v>
      </c>
      <c r="F119" s="104">
        <v>100</v>
      </c>
      <c r="G119" s="82">
        <v>200</v>
      </c>
      <c r="H119" s="56">
        <f t="shared" si="1"/>
        <v>20000</v>
      </c>
    </row>
    <row r="120" spans="1:8" ht="15.75" thickBot="1" x14ac:dyDescent="0.25">
      <c r="A120" s="35">
        <v>111</v>
      </c>
      <c r="B120" s="60">
        <v>295</v>
      </c>
      <c r="C120" s="60" t="s">
        <v>56</v>
      </c>
      <c r="D120" s="66" t="s">
        <v>175</v>
      </c>
      <c r="E120" s="58" t="s">
        <v>13</v>
      </c>
      <c r="F120" s="104">
        <v>100</v>
      </c>
      <c r="G120" s="82">
        <v>124.2</v>
      </c>
      <c r="H120" s="56">
        <f t="shared" si="1"/>
        <v>12420</v>
      </c>
    </row>
    <row r="121" spans="1:8" ht="15.75" thickBot="1" x14ac:dyDescent="0.25">
      <c r="A121" s="35">
        <v>112</v>
      </c>
      <c r="B121" s="60">
        <v>295</v>
      </c>
      <c r="C121" s="60" t="s">
        <v>56</v>
      </c>
      <c r="D121" s="66" t="s">
        <v>176</v>
      </c>
      <c r="E121" s="58" t="s">
        <v>13</v>
      </c>
      <c r="F121" s="104">
        <v>100</v>
      </c>
      <c r="G121" s="82">
        <v>238.1</v>
      </c>
      <c r="H121" s="56">
        <f t="shared" si="1"/>
        <v>23810</v>
      </c>
    </row>
    <row r="122" spans="1:8" ht="15.75" thickBot="1" x14ac:dyDescent="0.25">
      <c r="A122" s="35">
        <v>113</v>
      </c>
      <c r="B122" s="60">
        <v>295</v>
      </c>
      <c r="C122" s="60" t="s">
        <v>56</v>
      </c>
      <c r="D122" s="66" t="s">
        <v>177</v>
      </c>
      <c r="E122" s="58" t="s">
        <v>13</v>
      </c>
      <c r="F122" s="104">
        <v>100</v>
      </c>
      <c r="G122" s="82">
        <v>161.30000000000001</v>
      </c>
      <c r="H122" s="56">
        <f t="shared" si="1"/>
        <v>16130.000000000002</v>
      </c>
    </row>
    <row r="123" spans="1:8" ht="15.75" thickBot="1" x14ac:dyDescent="0.25">
      <c r="A123" s="35">
        <v>114</v>
      </c>
      <c r="B123" s="60">
        <v>295</v>
      </c>
      <c r="C123" s="60" t="s">
        <v>56</v>
      </c>
      <c r="D123" s="66" t="s">
        <v>178</v>
      </c>
      <c r="E123" s="58" t="s">
        <v>13</v>
      </c>
      <c r="F123" s="104">
        <v>100</v>
      </c>
      <c r="G123" s="82">
        <v>180.96</v>
      </c>
      <c r="H123" s="56">
        <f t="shared" si="1"/>
        <v>18096</v>
      </c>
    </row>
    <row r="124" spans="1:8" ht="15.75" thickBot="1" x14ac:dyDescent="0.25">
      <c r="A124" s="35">
        <v>115</v>
      </c>
      <c r="B124" s="60">
        <v>295</v>
      </c>
      <c r="C124" s="60" t="s">
        <v>56</v>
      </c>
      <c r="D124" s="66" t="s">
        <v>179</v>
      </c>
      <c r="E124" s="58" t="s">
        <v>13</v>
      </c>
      <c r="F124" s="104">
        <v>100</v>
      </c>
      <c r="G124" s="82">
        <v>180.96</v>
      </c>
      <c r="H124" s="56">
        <f t="shared" si="1"/>
        <v>18096</v>
      </c>
    </row>
    <row r="125" spans="1:8" ht="15.75" thickBot="1" x14ac:dyDescent="0.25">
      <c r="A125" s="35">
        <v>116</v>
      </c>
      <c r="B125" s="60">
        <v>295</v>
      </c>
      <c r="C125" s="60" t="s">
        <v>56</v>
      </c>
      <c r="D125" s="66" t="s">
        <v>180</v>
      </c>
      <c r="E125" s="58" t="s">
        <v>13</v>
      </c>
      <c r="F125" s="104">
        <v>100</v>
      </c>
      <c r="G125" s="82">
        <v>180.96</v>
      </c>
      <c r="H125" s="56">
        <f t="shared" si="1"/>
        <v>18096</v>
      </c>
    </row>
    <row r="126" spans="1:8" ht="15.75" thickBot="1" x14ac:dyDescent="0.25">
      <c r="A126" s="35">
        <v>117</v>
      </c>
      <c r="B126" s="60">
        <v>295</v>
      </c>
      <c r="C126" s="60" t="s">
        <v>56</v>
      </c>
      <c r="D126" s="66" t="s">
        <v>181</v>
      </c>
      <c r="E126" s="58" t="s">
        <v>13</v>
      </c>
      <c r="F126" s="104">
        <v>100</v>
      </c>
      <c r="G126" s="82">
        <v>180.96</v>
      </c>
      <c r="H126" s="56">
        <f t="shared" si="1"/>
        <v>18096</v>
      </c>
    </row>
    <row r="127" spans="1:8" ht="15.75" thickBot="1" x14ac:dyDescent="0.25">
      <c r="A127" s="35">
        <v>118</v>
      </c>
      <c r="B127" s="60">
        <v>295</v>
      </c>
      <c r="C127" s="60" t="s">
        <v>56</v>
      </c>
      <c r="D127" s="66" t="s">
        <v>182</v>
      </c>
      <c r="E127" s="58" t="s">
        <v>13</v>
      </c>
      <c r="F127" s="104">
        <v>100</v>
      </c>
      <c r="G127" s="82">
        <v>150</v>
      </c>
      <c r="H127" s="56">
        <f t="shared" si="1"/>
        <v>15000</v>
      </c>
    </row>
    <row r="128" spans="1:8" ht="15.75" thickBot="1" x14ac:dyDescent="0.25">
      <c r="A128" s="35">
        <v>119</v>
      </c>
      <c r="B128" s="60">
        <v>295</v>
      </c>
      <c r="C128" s="60" t="s">
        <v>56</v>
      </c>
      <c r="D128" s="66" t="s">
        <v>183</v>
      </c>
      <c r="E128" s="58" t="s">
        <v>13</v>
      </c>
      <c r="F128" s="104">
        <v>1500</v>
      </c>
      <c r="G128" s="82">
        <v>280</v>
      </c>
      <c r="H128" s="56">
        <f t="shared" si="1"/>
        <v>420000</v>
      </c>
    </row>
    <row r="129" spans="1:8" ht="15.75" thickBot="1" x14ac:dyDescent="0.25">
      <c r="A129" s="35">
        <v>120</v>
      </c>
      <c r="B129" s="60">
        <v>295</v>
      </c>
      <c r="C129" s="60" t="s">
        <v>56</v>
      </c>
      <c r="D129" s="66" t="s">
        <v>184</v>
      </c>
      <c r="E129" s="58" t="s">
        <v>13</v>
      </c>
      <c r="F129" s="104">
        <v>50</v>
      </c>
      <c r="G129" s="82">
        <v>950</v>
      </c>
      <c r="H129" s="56">
        <f t="shared" si="1"/>
        <v>47500</v>
      </c>
    </row>
    <row r="130" spans="1:8" ht="15.75" thickBot="1" x14ac:dyDescent="0.25">
      <c r="A130" s="35">
        <v>121</v>
      </c>
      <c r="B130" s="60">
        <v>295</v>
      </c>
      <c r="C130" s="60" t="s">
        <v>56</v>
      </c>
      <c r="D130" s="66" t="s">
        <v>185</v>
      </c>
      <c r="E130" s="58" t="s">
        <v>13</v>
      </c>
      <c r="F130" s="104">
        <v>500</v>
      </c>
      <c r="G130" s="82">
        <v>149</v>
      </c>
      <c r="H130" s="56">
        <f t="shared" si="1"/>
        <v>74500</v>
      </c>
    </row>
    <row r="131" spans="1:8" ht="15.75" thickBot="1" x14ac:dyDescent="0.25">
      <c r="A131" s="35">
        <v>122</v>
      </c>
      <c r="B131" s="60">
        <v>295</v>
      </c>
      <c r="C131" s="60" t="s">
        <v>56</v>
      </c>
      <c r="D131" s="66" t="s">
        <v>186</v>
      </c>
      <c r="E131" s="58" t="s">
        <v>13</v>
      </c>
      <c r="F131" s="104">
        <v>500</v>
      </c>
      <c r="G131" s="82">
        <v>120</v>
      </c>
      <c r="H131" s="56">
        <f t="shared" si="1"/>
        <v>60000</v>
      </c>
    </row>
    <row r="132" spans="1:8" ht="15.75" thickBot="1" x14ac:dyDescent="0.25">
      <c r="A132" s="35">
        <v>123</v>
      </c>
      <c r="B132" s="60">
        <v>295</v>
      </c>
      <c r="C132" s="60" t="s">
        <v>56</v>
      </c>
      <c r="D132" s="66" t="s">
        <v>187</v>
      </c>
      <c r="E132" s="58" t="s">
        <v>13</v>
      </c>
      <c r="F132" s="104">
        <v>300</v>
      </c>
      <c r="G132" s="82">
        <v>175</v>
      </c>
      <c r="H132" s="56">
        <f t="shared" si="1"/>
        <v>52500</v>
      </c>
    </row>
    <row r="133" spans="1:8" ht="15.75" thickBot="1" x14ac:dyDescent="0.25">
      <c r="A133" s="35">
        <v>124</v>
      </c>
      <c r="B133" s="60">
        <v>295</v>
      </c>
      <c r="C133" s="60" t="s">
        <v>56</v>
      </c>
      <c r="D133" s="66" t="s">
        <v>188</v>
      </c>
      <c r="E133" s="58" t="s">
        <v>13</v>
      </c>
      <c r="F133" s="104">
        <v>60</v>
      </c>
      <c r="G133" s="82">
        <v>335</v>
      </c>
      <c r="H133" s="56">
        <f t="shared" si="1"/>
        <v>20100</v>
      </c>
    </row>
    <row r="134" spans="1:8" ht="15.75" thickBot="1" x14ac:dyDescent="0.25">
      <c r="A134" s="35">
        <v>125</v>
      </c>
      <c r="B134" s="60">
        <v>295</v>
      </c>
      <c r="C134" s="60" t="s">
        <v>56</v>
      </c>
      <c r="D134" s="66" t="s">
        <v>189</v>
      </c>
      <c r="E134" s="58" t="s">
        <v>13</v>
      </c>
      <c r="F134" s="104">
        <v>20</v>
      </c>
      <c r="G134" s="82">
        <v>4609</v>
      </c>
      <c r="H134" s="56">
        <f t="shared" si="1"/>
        <v>92180</v>
      </c>
    </row>
    <row r="135" spans="1:8" ht="15.75" thickBot="1" x14ac:dyDescent="0.25">
      <c r="A135" s="35">
        <v>126</v>
      </c>
      <c r="B135" s="60">
        <v>295</v>
      </c>
      <c r="C135" s="60" t="s">
        <v>56</v>
      </c>
      <c r="D135" s="66" t="s">
        <v>190</v>
      </c>
      <c r="E135" s="58" t="s">
        <v>13</v>
      </c>
      <c r="F135" s="104">
        <v>60</v>
      </c>
      <c r="G135" s="82">
        <v>3384</v>
      </c>
      <c r="H135" s="56">
        <f t="shared" si="1"/>
        <v>203040</v>
      </c>
    </row>
    <row r="136" spans="1:8" ht="15" x14ac:dyDescent="0.2">
      <c r="A136" s="35">
        <v>127</v>
      </c>
      <c r="B136" s="60">
        <v>295</v>
      </c>
      <c r="C136" s="60" t="s">
        <v>56</v>
      </c>
      <c r="D136" s="66" t="s">
        <v>191</v>
      </c>
      <c r="E136" s="58" t="s">
        <v>13</v>
      </c>
      <c r="F136" s="104">
        <v>3000</v>
      </c>
      <c r="G136" s="82">
        <v>410</v>
      </c>
      <c r="H136" s="56">
        <f t="shared" si="1"/>
        <v>1230000</v>
      </c>
    </row>
    <row r="138" spans="1:8" ht="13.5" thickBot="1" x14ac:dyDescent="0.25"/>
    <row r="139" spans="1:8" x14ac:dyDescent="0.2">
      <c r="B139" s="68" t="s">
        <v>60</v>
      </c>
      <c r="C139" s="69"/>
      <c r="D139" s="69"/>
      <c r="E139" s="70"/>
      <c r="F139" s="31"/>
      <c r="G139" s="31"/>
    </row>
    <row r="140" spans="1:8" ht="12.75" customHeight="1" x14ac:dyDescent="0.2">
      <c r="B140" s="108" t="s">
        <v>61</v>
      </c>
      <c r="C140" s="109"/>
      <c r="D140" s="109"/>
      <c r="E140" s="110"/>
      <c r="F140" s="31"/>
      <c r="G140" s="31"/>
    </row>
    <row r="141" spans="1:8" ht="26.25" customHeight="1" x14ac:dyDescent="0.2">
      <c r="B141" s="108"/>
      <c r="C141" s="109"/>
      <c r="D141" s="109"/>
      <c r="E141" s="110"/>
      <c r="F141" s="31"/>
      <c r="G141" s="31"/>
    </row>
    <row r="142" spans="1:8" ht="26.25" customHeight="1" x14ac:dyDescent="0.2">
      <c r="B142" s="108" t="s">
        <v>62</v>
      </c>
      <c r="C142" s="109"/>
      <c r="D142" s="109"/>
      <c r="E142" s="110"/>
      <c r="F142" s="31"/>
      <c r="G142" s="31"/>
    </row>
    <row r="143" spans="1:8" x14ac:dyDescent="0.2">
      <c r="B143" s="71" t="s">
        <v>63</v>
      </c>
      <c r="C143" s="72"/>
      <c r="D143" s="73"/>
      <c r="E143" s="74"/>
      <c r="F143" s="31"/>
      <c r="G143" s="31"/>
    </row>
    <row r="144" spans="1:8" ht="26.25" customHeight="1" x14ac:dyDescent="0.2">
      <c r="B144" s="75"/>
      <c r="C144" s="111" t="s">
        <v>64</v>
      </c>
      <c r="D144" s="111"/>
      <c r="E144" s="111"/>
      <c r="F144" s="31"/>
      <c r="G144" s="31"/>
    </row>
    <row r="145" spans="2:7" ht="13.5" thickBot="1" x14ac:dyDescent="0.25">
      <c r="B145" s="76"/>
      <c r="C145" s="77"/>
      <c r="D145" s="77"/>
      <c r="E145" s="78"/>
      <c r="F145" s="31"/>
      <c r="G145" s="31"/>
    </row>
    <row r="146" spans="2:7" x14ac:dyDescent="0.2">
      <c r="B146" s="68" t="s">
        <v>192</v>
      </c>
      <c r="C146" s="69"/>
      <c r="D146" s="69"/>
      <c r="E146" s="70"/>
      <c r="F146" s="31"/>
      <c r="G146" s="31"/>
    </row>
    <row r="147" spans="2:7" ht="13.5" customHeight="1" x14ac:dyDescent="0.2">
      <c r="B147" s="108" t="s">
        <v>202</v>
      </c>
      <c r="C147" s="109"/>
      <c r="D147" s="109"/>
      <c r="E147" s="110"/>
    </row>
    <row r="148" spans="2:7" ht="13.5" customHeight="1" x14ac:dyDescent="0.2">
      <c r="B148" s="108" t="s">
        <v>203</v>
      </c>
      <c r="C148" s="109"/>
      <c r="D148" s="109"/>
      <c r="E148" s="110"/>
    </row>
    <row r="149" spans="2:7" ht="13.5" customHeight="1" x14ac:dyDescent="0.2">
      <c r="B149" s="108" t="s">
        <v>193</v>
      </c>
      <c r="C149" s="109"/>
      <c r="D149" s="109"/>
      <c r="E149" s="110"/>
    </row>
    <row r="150" spans="2:7" ht="13.5" thickBot="1" x14ac:dyDescent="0.25">
      <c r="B150" s="93"/>
      <c r="C150" s="94"/>
      <c r="D150" s="94"/>
      <c r="E150" s="95"/>
    </row>
  </sheetData>
  <autoFilter ref="A9:H136">
    <filterColumn colId="1">
      <filters>
        <filter val="295"/>
      </filters>
    </filterColumn>
  </autoFilter>
  <sortState ref="D454:H576">
    <sortCondition ref="H576"/>
  </sortState>
  <mergeCells count="13">
    <mergeCell ref="B149:E149"/>
    <mergeCell ref="B140:E141"/>
    <mergeCell ref="B142:E142"/>
    <mergeCell ref="C144:E144"/>
    <mergeCell ref="A6:B6"/>
    <mergeCell ref="A7:B7"/>
    <mergeCell ref="B147:E147"/>
    <mergeCell ref="B148:E148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139"/>
  <sheetViews>
    <sheetView zoomScaleNormal="100" workbookViewId="0">
      <selection activeCell="C23" sqref="C23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59.28515625" style="40" customWidth="1"/>
    <col min="4" max="4" width="9.28515625" style="40" customWidth="1"/>
    <col min="5" max="5" width="15.5703125" style="40" customWidth="1"/>
    <col min="6" max="6" width="14.7109375" style="40" customWidth="1"/>
    <col min="7" max="7" width="15.5703125" style="40" customWidth="1"/>
    <col min="8" max="1016" width="9.140625" style="40"/>
    <col min="1017" max="16384" width="9.140625" style="41"/>
  </cols>
  <sheetData>
    <row r="1" spans="1:7" ht="18" customHeight="1" thickBot="1" x14ac:dyDescent="0.25">
      <c r="A1" s="112" t="s">
        <v>14</v>
      </c>
      <c r="B1" s="112"/>
      <c r="C1" s="112"/>
      <c r="D1" s="112"/>
      <c r="E1" s="112"/>
      <c r="F1" s="39" t="s">
        <v>15</v>
      </c>
      <c r="G1" s="92" t="s">
        <v>200</v>
      </c>
    </row>
    <row r="2" spans="1:7" ht="18.75" customHeight="1" thickBot="1" x14ac:dyDescent="0.25">
      <c r="A2" s="42"/>
      <c r="B2" s="42"/>
      <c r="C2" s="42"/>
      <c r="D2" s="43"/>
      <c r="E2" s="43"/>
      <c r="F2" s="43"/>
      <c r="G2" s="43"/>
    </row>
    <row r="3" spans="1:7" ht="18.75" customHeight="1" thickBot="1" x14ac:dyDescent="0.25">
      <c r="A3" s="113" t="s">
        <v>49</v>
      </c>
      <c r="B3" s="113"/>
      <c r="C3" s="113"/>
      <c r="D3" s="115" t="str">
        <f>'[1]Necesidades Trimestrales'!C4</f>
        <v>040 - Ministerio de Salud</v>
      </c>
      <c r="E3" s="116"/>
      <c r="F3" s="116"/>
      <c r="G3" s="117"/>
    </row>
    <row r="4" spans="1:7" ht="18.75" customHeight="1" thickBot="1" x14ac:dyDescent="0.25">
      <c r="A4" s="114" t="s">
        <v>50</v>
      </c>
      <c r="B4" s="114"/>
      <c r="C4" s="114"/>
      <c r="D4" s="121" t="str">
        <f>'[1]Necesidades Trimestrales'!C5</f>
        <v>024 - Hospital Interzonal de Niños</v>
      </c>
      <c r="E4" s="121"/>
      <c r="F4" s="121"/>
      <c r="G4" s="121"/>
    </row>
    <row r="5" spans="1:7" ht="18.75" customHeight="1" thickBot="1" x14ac:dyDescent="0.25">
      <c r="A5" s="114" t="s">
        <v>28</v>
      </c>
      <c r="B5" s="114"/>
      <c r="C5" s="114"/>
      <c r="D5" s="121" t="s">
        <v>52</v>
      </c>
      <c r="E5" s="121"/>
      <c r="F5" s="121"/>
      <c r="G5" s="121"/>
    </row>
    <row r="6" spans="1:7" ht="16.5" customHeight="1" thickBot="1" x14ac:dyDescent="0.25">
      <c r="A6" s="113" t="s">
        <v>51</v>
      </c>
      <c r="B6" s="113"/>
      <c r="C6" s="113"/>
      <c r="D6" s="121" t="s">
        <v>59</v>
      </c>
      <c r="E6" s="121"/>
      <c r="F6" s="121"/>
      <c r="G6" s="121"/>
    </row>
    <row r="7" spans="1:7" ht="16.5" customHeight="1" thickBot="1" x14ac:dyDescent="0.25">
      <c r="A7" s="114" t="s">
        <v>16</v>
      </c>
      <c r="B7" s="114"/>
      <c r="C7" s="114"/>
      <c r="D7" s="121" t="s">
        <v>197</v>
      </c>
      <c r="E7" s="121"/>
      <c r="F7" s="121"/>
      <c r="G7" s="121"/>
    </row>
    <row r="8" spans="1:7" ht="16.5" customHeight="1" thickBot="1" x14ac:dyDescent="0.25">
      <c r="A8" s="123" t="s">
        <v>17</v>
      </c>
      <c r="B8" s="123"/>
      <c r="C8" s="123"/>
      <c r="D8" s="122" t="s">
        <v>198</v>
      </c>
      <c r="E8" s="122"/>
      <c r="F8" s="122"/>
      <c r="G8" s="122"/>
    </row>
    <row r="9" spans="1:7" ht="16.5" thickBot="1" x14ac:dyDescent="0.25">
      <c r="A9" s="44"/>
      <c r="B9" s="44"/>
      <c r="C9" s="44"/>
      <c r="D9" s="45"/>
      <c r="E9" s="45"/>
      <c r="F9" s="45"/>
      <c r="G9" s="45"/>
    </row>
    <row r="10" spans="1:7" ht="18.75" customHeight="1" thickBot="1" x14ac:dyDescent="0.25">
      <c r="A10" s="124" t="s">
        <v>18</v>
      </c>
      <c r="B10" s="125" t="s">
        <v>19</v>
      </c>
      <c r="C10" s="125" t="s">
        <v>20</v>
      </c>
      <c r="D10" s="125" t="s">
        <v>21</v>
      </c>
      <c r="E10" s="125" t="s">
        <v>22</v>
      </c>
      <c r="F10" s="125" t="s">
        <v>23</v>
      </c>
      <c r="G10" s="126" t="s">
        <v>24</v>
      </c>
    </row>
    <row r="11" spans="1:7" ht="24" customHeight="1" thickBot="1" x14ac:dyDescent="0.25">
      <c r="A11" s="124"/>
      <c r="B11" s="125"/>
      <c r="C11" s="125"/>
      <c r="D11" s="125"/>
      <c r="E11" s="125"/>
      <c r="F11" s="125"/>
      <c r="G11" s="126"/>
    </row>
    <row r="12" spans="1:7" ht="27.75" customHeight="1" thickBot="1" x14ac:dyDescent="0.25">
      <c r="A12" s="46">
        <v>1</v>
      </c>
      <c r="B12" s="47">
        <v>295</v>
      </c>
      <c r="C12" s="47" t="str">
        <f>+'Necesidades Trimestrales'!D10</f>
        <v>AGUJA DESCARTABLE 16/5</v>
      </c>
      <c r="D12" s="48" t="s">
        <v>55</v>
      </c>
      <c r="E12" s="49" t="str">
        <f>'Necesidades Trimestrales'!E10</f>
        <v>UNIDAD</v>
      </c>
      <c r="F12" s="50">
        <f>+'Necesidades Trimestrales'!G10</f>
        <v>1.2</v>
      </c>
      <c r="G12" s="51">
        <f>+'Necesidades Trimestrales'!F10</f>
        <v>22500</v>
      </c>
    </row>
    <row r="13" spans="1:7" ht="20.25" customHeight="1" thickBot="1" x14ac:dyDescent="0.25">
      <c r="A13" s="46">
        <v>2</v>
      </c>
      <c r="B13" s="47">
        <v>295</v>
      </c>
      <c r="C13" s="47" t="str">
        <f>+'Necesidades Trimestrales'!D11</f>
        <v>AGUJA DESCARTABLE 25/8</v>
      </c>
      <c r="D13" s="53" t="s">
        <v>55</v>
      </c>
      <c r="E13" s="49" t="str">
        <f>'Necesidades Trimestrales'!E11</f>
        <v>UNIDAD</v>
      </c>
      <c r="F13" s="50">
        <f>+'Necesidades Trimestrales'!G11</f>
        <v>1.2</v>
      </c>
      <c r="G13" s="51">
        <f>+'Necesidades Trimestrales'!F11</f>
        <v>22500</v>
      </c>
    </row>
    <row r="14" spans="1:7" ht="20.25" customHeight="1" thickBot="1" x14ac:dyDescent="0.25">
      <c r="A14" s="46">
        <v>3</v>
      </c>
      <c r="B14" s="47">
        <v>295</v>
      </c>
      <c r="C14" s="47" t="str">
        <f>+'Necesidades Trimestrales'!D12</f>
        <v>AGUJA DESCARTABLE 40/12</v>
      </c>
      <c r="D14" s="53" t="s">
        <v>55</v>
      </c>
      <c r="E14" s="49" t="str">
        <f>'Necesidades Trimestrales'!E12</f>
        <v>UNIDAD</v>
      </c>
      <c r="F14" s="50">
        <f>+'Necesidades Trimestrales'!G12</f>
        <v>1.55</v>
      </c>
      <c r="G14" s="51">
        <f>+'Necesidades Trimestrales'!F12</f>
        <v>1000</v>
      </c>
    </row>
    <row r="15" spans="1:7" ht="20.25" customHeight="1" thickBot="1" x14ac:dyDescent="0.25">
      <c r="A15" s="46">
        <v>4</v>
      </c>
      <c r="B15" s="47">
        <v>295</v>
      </c>
      <c r="C15" s="47" t="str">
        <f>+'Necesidades Trimestrales'!D13</f>
        <v>AGUJA DESCARTABLE 40/8</v>
      </c>
      <c r="D15" s="53" t="s">
        <v>55</v>
      </c>
      <c r="E15" s="49" t="str">
        <f>'Necesidades Trimestrales'!E13</f>
        <v>UNIDAD</v>
      </c>
      <c r="F15" s="50">
        <f>+'Necesidades Trimestrales'!G13</f>
        <v>1.2</v>
      </c>
      <c r="G15" s="51">
        <f>+'Necesidades Trimestrales'!F13</f>
        <v>15000</v>
      </c>
    </row>
    <row r="16" spans="1:7" ht="20.25" customHeight="1" thickBot="1" x14ac:dyDescent="0.25">
      <c r="A16" s="46">
        <v>5</v>
      </c>
      <c r="B16" s="47">
        <v>295</v>
      </c>
      <c r="C16" s="47" t="str">
        <f>+'Necesidades Trimestrales'!D14</f>
        <v>AGUJA DESCARTABLE 50/8</v>
      </c>
      <c r="D16" s="53" t="s">
        <v>55</v>
      </c>
      <c r="E16" s="49" t="str">
        <f>'Necesidades Trimestrales'!E14</f>
        <v>UNIDAD</v>
      </c>
      <c r="F16" s="50">
        <f>+'Necesidades Trimestrales'!G14</f>
        <v>1.55</v>
      </c>
      <c r="G16" s="51">
        <f>+'Necesidades Trimestrales'!F14</f>
        <v>1000</v>
      </c>
    </row>
    <row r="17" spans="1:7" ht="20.25" customHeight="1" thickBot="1" x14ac:dyDescent="0.25">
      <c r="A17" s="46">
        <v>6</v>
      </c>
      <c r="B17" s="47">
        <v>295</v>
      </c>
      <c r="C17" s="47" t="str">
        <f>+'Necesidades Trimestrales'!D15</f>
        <v>ALGODÓN  x 500 GRS.TIPO DONCELLA</v>
      </c>
      <c r="D17" s="53" t="s">
        <v>55</v>
      </c>
      <c r="E17" s="49" t="str">
        <f>'Necesidades Trimestrales'!E15</f>
        <v>UNIDAD</v>
      </c>
      <c r="F17" s="50">
        <f>+'Necesidades Trimestrales'!G15</f>
        <v>251.1</v>
      </c>
      <c r="G17" s="51">
        <f>+'Necesidades Trimestrales'!F15</f>
        <v>1000</v>
      </c>
    </row>
    <row r="18" spans="1:7" ht="20.25" customHeight="1" thickBot="1" x14ac:dyDescent="0.25">
      <c r="A18" s="46">
        <v>7</v>
      </c>
      <c r="B18" s="47">
        <v>295</v>
      </c>
      <c r="C18" s="47" t="str">
        <f>+'Necesidades Trimestrales'!D16</f>
        <v>BAJALENGUA X 100 UNIDADES</v>
      </c>
      <c r="D18" s="53" t="s">
        <v>55</v>
      </c>
      <c r="E18" s="49" t="str">
        <f>'Necesidades Trimestrales'!E16</f>
        <v>UNIDAD</v>
      </c>
      <c r="F18" s="50">
        <f>+'Necesidades Trimestrales'!G16</f>
        <v>110.9</v>
      </c>
      <c r="G18" s="51">
        <f>+'Necesidades Trimestrales'!F16</f>
        <v>1000</v>
      </c>
    </row>
    <row r="19" spans="1:7" ht="20.25" customHeight="1" thickBot="1" x14ac:dyDescent="0.25">
      <c r="A19" s="46">
        <v>8</v>
      </c>
      <c r="B19" s="47">
        <v>295</v>
      </c>
      <c r="C19" s="47" t="str">
        <f>+'Necesidades Trimestrales'!D17</f>
        <v>BOTAS ALTAS DESCARTABLES DE 30 GRAMOS CON TIRA EL PAR</v>
      </c>
      <c r="D19" s="53" t="s">
        <v>55</v>
      </c>
      <c r="E19" s="49" t="str">
        <f>'Necesidades Trimestrales'!E17</f>
        <v>UNIDAD</v>
      </c>
      <c r="F19" s="50">
        <f>+'Necesidades Trimestrales'!G17</f>
        <v>35.44</v>
      </c>
      <c r="G19" s="51">
        <f>+'Necesidades Trimestrales'!F17</f>
        <v>5000</v>
      </c>
    </row>
    <row r="20" spans="1:7" ht="20.25" customHeight="1" thickBot="1" x14ac:dyDescent="0.25">
      <c r="A20" s="46">
        <v>9</v>
      </c>
      <c r="B20" s="47">
        <v>295</v>
      </c>
      <c r="C20" s="47" t="str">
        <f>+'Necesidades Trimestrales'!D18</f>
        <v>BOLSA  P/SANGRE TRIPLE T/CPD ADENINA C/SAFMAN 450 ML</v>
      </c>
      <c r="D20" s="53" t="s">
        <v>55</v>
      </c>
      <c r="E20" s="49" t="str">
        <f>'Necesidades Trimestrales'!E18</f>
        <v>UNIDAD</v>
      </c>
      <c r="F20" s="50">
        <f>+'Necesidades Trimestrales'!G18</f>
        <v>888</v>
      </c>
      <c r="G20" s="51">
        <f>+'Necesidades Trimestrales'!F18</f>
        <v>400</v>
      </c>
    </row>
    <row r="21" spans="1:7" ht="20.25" customHeight="1" thickBot="1" x14ac:dyDescent="0.25">
      <c r="A21" s="46">
        <v>10</v>
      </c>
      <c r="B21" s="47">
        <v>295</v>
      </c>
      <c r="C21" s="47" t="str">
        <f>+'Necesidades Trimestrales'!D19</f>
        <v>CAMISOLINES DES. SMS CON MANGAS Y PUÑO DE 1,40 MTS. DE LARGO, 30 GRS. COLOR AZUL</v>
      </c>
      <c r="D21" s="53" t="s">
        <v>55</v>
      </c>
      <c r="E21" s="49" t="str">
        <f>'Necesidades Trimestrales'!E19</f>
        <v>UNIDAD</v>
      </c>
      <c r="F21" s="50">
        <f>+'Necesidades Trimestrales'!G19</f>
        <v>179</v>
      </c>
      <c r="G21" s="51">
        <f>+'Necesidades Trimestrales'!F19</f>
        <v>2000</v>
      </c>
    </row>
    <row r="22" spans="1:7" ht="20.25" customHeight="1" thickBot="1" x14ac:dyDescent="0.25">
      <c r="A22" s="46">
        <v>11</v>
      </c>
      <c r="B22" s="47">
        <v>295</v>
      </c>
      <c r="C22" s="47" t="str">
        <f>+'Necesidades Trimestrales'!D20</f>
        <v>CATETER INTRAVENOSO Nº 22 TIPO HOSPIRA/BD</v>
      </c>
      <c r="D22" s="53" t="s">
        <v>55</v>
      </c>
      <c r="E22" s="49" t="str">
        <f>'Necesidades Trimestrales'!E20</f>
        <v>UNIDAD</v>
      </c>
      <c r="F22" s="50">
        <f>+'Necesidades Trimestrales'!G20</f>
        <v>44.95</v>
      </c>
      <c r="G22" s="51">
        <f>+'Necesidades Trimestrales'!F20</f>
        <v>4000</v>
      </c>
    </row>
    <row r="23" spans="1:7" ht="20.25" customHeight="1" thickBot="1" x14ac:dyDescent="0.25">
      <c r="A23" s="46">
        <v>12</v>
      </c>
      <c r="B23" s="47">
        <v>295</v>
      </c>
      <c r="C23" s="47" t="str">
        <f>+'Necesidades Trimestrales'!D21</f>
        <v>CATETER INTRAVENOSO Nº 24 TIPO HOSPIRA/BD</v>
      </c>
      <c r="D23" s="53" t="s">
        <v>55</v>
      </c>
      <c r="E23" s="49" t="str">
        <f>'Necesidades Trimestrales'!E21</f>
        <v>UNIDAD</v>
      </c>
      <c r="F23" s="50">
        <f>+'Necesidades Trimestrales'!G21</f>
        <v>44.95</v>
      </c>
      <c r="G23" s="51">
        <f>+'Necesidades Trimestrales'!F21</f>
        <v>4000</v>
      </c>
    </row>
    <row r="24" spans="1:7" ht="20.25" customHeight="1" thickBot="1" x14ac:dyDescent="0.25">
      <c r="A24" s="46">
        <v>13</v>
      </c>
      <c r="B24" s="47">
        <v>295</v>
      </c>
      <c r="C24" s="47" t="str">
        <f>+'Necesidades Trimestrales'!D22</f>
        <v>CANULAS NASALES PARA OXIGENOTERAPIA - NEONATALES</v>
      </c>
      <c r="D24" s="53" t="s">
        <v>55</v>
      </c>
      <c r="E24" s="49" t="str">
        <f>'Necesidades Trimestrales'!E22</f>
        <v>UNIDAD</v>
      </c>
      <c r="F24" s="50">
        <f>+'Necesidades Trimestrales'!G22</f>
        <v>250</v>
      </c>
      <c r="G24" s="51">
        <f>+'Necesidades Trimestrales'!F22</f>
        <v>500</v>
      </c>
    </row>
    <row r="25" spans="1:7" ht="20.25" customHeight="1" thickBot="1" x14ac:dyDescent="0.25">
      <c r="A25" s="46">
        <v>14</v>
      </c>
      <c r="B25" s="47">
        <v>295</v>
      </c>
      <c r="C25" s="47" t="str">
        <f>+'Necesidades Trimestrales'!D23</f>
        <v>CANULAS NASALES PARA OXIGENOTERAPIA - PEDIATRICOS</v>
      </c>
      <c r="D25" s="53" t="s">
        <v>55</v>
      </c>
      <c r="E25" s="49" t="str">
        <f>'Necesidades Trimestrales'!E23</f>
        <v>UNIDAD</v>
      </c>
      <c r="F25" s="50">
        <f>+'Necesidades Trimestrales'!G23</f>
        <v>250</v>
      </c>
      <c r="G25" s="51">
        <f>+'Necesidades Trimestrales'!F23</f>
        <v>500</v>
      </c>
    </row>
    <row r="26" spans="1:7" ht="20.25" customHeight="1" thickBot="1" x14ac:dyDescent="0.25">
      <c r="A26" s="46">
        <v>15</v>
      </c>
      <c r="B26" s="47">
        <v>295</v>
      </c>
      <c r="C26" s="47" t="str">
        <f>+'Necesidades Trimestrales'!D24</f>
        <v>CANULAS NASALES PARA OXIGENOTERAPIA -  ADULTOS</v>
      </c>
      <c r="D26" s="53" t="s">
        <v>55</v>
      </c>
      <c r="E26" s="49" t="str">
        <f>'Necesidades Trimestrales'!E24</f>
        <v>UNIDAD</v>
      </c>
      <c r="F26" s="50">
        <f>+'Necesidades Trimestrales'!G24</f>
        <v>250</v>
      </c>
      <c r="G26" s="51">
        <f>+'Necesidades Trimestrales'!F24</f>
        <v>250</v>
      </c>
    </row>
    <row r="27" spans="1:7" ht="20.25" customHeight="1" thickBot="1" x14ac:dyDescent="0.25">
      <c r="A27" s="46">
        <v>16</v>
      </c>
      <c r="B27" s="52">
        <v>251</v>
      </c>
      <c r="C27" s="47" t="str">
        <f>+'Necesidades Trimestrales'!D25</f>
        <v>CLORHEXIDINA 2 % SOLUCION x 250 ml.</v>
      </c>
      <c r="D27" s="53" t="s">
        <v>55</v>
      </c>
      <c r="E27" s="49" t="str">
        <f>'Necesidades Trimestrales'!E25</f>
        <v>UNIDAD</v>
      </c>
      <c r="F27" s="50">
        <f>+'Necesidades Trimestrales'!G25</f>
        <v>379</v>
      </c>
      <c r="G27" s="51">
        <f>+'Necesidades Trimestrales'!F25</f>
        <v>1000</v>
      </c>
    </row>
    <row r="28" spans="1:7" ht="20.25" customHeight="1" thickBot="1" x14ac:dyDescent="0.25">
      <c r="A28" s="46">
        <v>17</v>
      </c>
      <c r="B28" s="52">
        <v>251</v>
      </c>
      <c r="C28" s="47" t="str">
        <f>+'Necesidades Trimestrales'!D26</f>
        <v>CLORHEXIDINA 4% JABON x 500 ML CON VALVULA DISPENSADORA TIPO NOVARA</v>
      </c>
      <c r="D28" s="53" t="s">
        <v>55</v>
      </c>
      <c r="E28" s="49" t="str">
        <f>'Necesidades Trimestrales'!E26</f>
        <v>UNIDAD</v>
      </c>
      <c r="F28" s="50">
        <f>+'Necesidades Trimestrales'!G26</f>
        <v>693.1</v>
      </c>
      <c r="G28" s="51">
        <f>+'Necesidades Trimestrales'!F26</f>
        <v>2000</v>
      </c>
    </row>
    <row r="29" spans="1:7" ht="20.25" customHeight="1" thickBot="1" x14ac:dyDescent="0.25">
      <c r="A29" s="46">
        <v>18</v>
      </c>
      <c r="B29" s="52">
        <v>251</v>
      </c>
      <c r="C29" s="47" t="str">
        <f>+'Necesidades Trimestrales'!D27</f>
        <v>DETERGENTE MULTIENZIMATICO x 5 LITROS TIPO ADOX DM3 PLUS</v>
      </c>
      <c r="D29" s="53" t="s">
        <v>55</v>
      </c>
      <c r="E29" s="49" t="str">
        <f>'Necesidades Trimestrales'!E27</f>
        <v>UNIDAD</v>
      </c>
      <c r="F29" s="50">
        <f>+'Necesidades Trimestrales'!G27</f>
        <v>3099</v>
      </c>
      <c r="G29" s="51">
        <f>+'Necesidades Trimestrales'!F27</f>
        <v>25</v>
      </c>
    </row>
    <row r="30" spans="1:7" ht="20.25" customHeight="1" thickBot="1" x14ac:dyDescent="0.25">
      <c r="A30" s="46">
        <v>19</v>
      </c>
      <c r="B30" s="52">
        <v>295</v>
      </c>
      <c r="C30" s="47" t="str">
        <f>+'Necesidades Trimestrales'!D28</f>
        <v>ELECTRODOS DESCARTABLES ADULTO TIPO 3M</v>
      </c>
      <c r="D30" s="53" t="s">
        <v>55</v>
      </c>
      <c r="E30" s="49" t="str">
        <f>'Necesidades Trimestrales'!E28</f>
        <v>UNIDAD</v>
      </c>
      <c r="F30" s="50">
        <f>+'Necesidades Trimestrales'!G28</f>
        <v>14.05</v>
      </c>
      <c r="G30" s="51">
        <f>+'Necesidades Trimestrales'!F28</f>
        <v>4000</v>
      </c>
    </row>
    <row r="31" spans="1:7" ht="20.25" customHeight="1" thickBot="1" x14ac:dyDescent="0.25">
      <c r="A31" s="46">
        <v>20</v>
      </c>
      <c r="B31" s="52">
        <v>295</v>
      </c>
      <c r="C31" s="47" t="str">
        <f>+'Necesidades Trimestrales'!D29</f>
        <v xml:space="preserve">EQUIPO PARA ADM. SOLUC. MICROGOTERO TIPO V-17c/ ROLLER  </v>
      </c>
      <c r="D31" s="53" t="s">
        <v>55</v>
      </c>
      <c r="E31" s="49" t="str">
        <f>'Necesidades Trimestrales'!E29</f>
        <v>UNIDAD</v>
      </c>
      <c r="F31" s="50">
        <f>+'Necesidades Trimestrales'!G29</f>
        <v>21.6</v>
      </c>
      <c r="G31" s="51">
        <f>+'Necesidades Trimestrales'!F29</f>
        <v>3000</v>
      </c>
    </row>
    <row r="32" spans="1:7" ht="20.25" customHeight="1" thickBot="1" x14ac:dyDescent="0.25">
      <c r="A32" s="46">
        <v>21</v>
      </c>
      <c r="B32" s="52">
        <v>295</v>
      </c>
      <c r="C32" s="47" t="str">
        <f>+'Necesidades Trimestrales'!D30</f>
        <v>EQUIPO PARA ADMINISTRACION DE SOLUCIONES  MACROGOTERO TIPO V-14 CON ROLLER</v>
      </c>
      <c r="D32" s="53" t="s">
        <v>55</v>
      </c>
      <c r="E32" s="49" t="str">
        <f>'Necesidades Trimestrales'!E30</f>
        <v>UNIDAD</v>
      </c>
      <c r="F32" s="50">
        <f>+'Necesidades Trimestrales'!G30</f>
        <v>17.899999999999999</v>
      </c>
      <c r="G32" s="51">
        <f>+'Necesidades Trimestrales'!F30</f>
        <v>4000</v>
      </c>
    </row>
    <row r="33" spans="1:7" ht="20.25" customHeight="1" thickBot="1" x14ac:dyDescent="0.25">
      <c r="A33" s="46">
        <v>22</v>
      </c>
      <c r="B33" s="52">
        <v>251</v>
      </c>
      <c r="C33" s="47" t="str">
        <f>+'Necesidades Trimestrales'!D31</f>
        <v>GEL BASE PARA ECOGRAFIA  x 1kg</v>
      </c>
      <c r="D33" s="53" t="s">
        <v>55</v>
      </c>
      <c r="E33" s="49" t="str">
        <f>'Necesidades Trimestrales'!E31</f>
        <v>UNIDAD</v>
      </c>
      <c r="F33" s="50">
        <f>+'Necesidades Trimestrales'!G31</f>
        <v>294.8</v>
      </c>
      <c r="G33" s="51">
        <f>+'Necesidades Trimestrales'!F31</f>
        <v>25</v>
      </c>
    </row>
    <row r="34" spans="1:7" ht="20.25" customHeight="1" thickBot="1" x14ac:dyDescent="0.25">
      <c r="A34" s="46">
        <v>23</v>
      </c>
      <c r="B34" s="52">
        <v>295</v>
      </c>
      <c r="C34" s="47" t="str">
        <f>+'Necesidades Trimestrales'!D32</f>
        <v>GUANTES DE CIRUGIA ESTERIL Nº 6 1/2  ANATOMICOS , CAÑA LARGA SIN TALCO</v>
      </c>
      <c r="D34" s="53" t="s">
        <v>55</v>
      </c>
      <c r="E34" s="49" t="str">
        <f>'Necesidades Trimestrales'!E32</f>
        <v>UNIDAD</v>
      </c>
      <c r="F34" s="50">
        <f>+'Necesidades Trimestrales'!G32</f>
        <v>29.88</v>
      </c>
      <c r="G34" s="51">
        <f>+'Necesidades Trimestrales'!F32</f>
        <v>3500</v>
      </c>
    </row>
    <row r="35" spans="1:7" ht="20.25" customHeight="1" thickBot="1" x14ac:dyDescent="0.25">
      <c r="A35" s="46">
        <v>24</v>
      </c>
      <c r="B35" s="52">
        <v>295</v>
      </c>
      <c r="C35" s="47" t="str">
        <f>+'Necesidades Trimestrales'!D33</f>
        <v>GUANTES DE CIRUGIA ESTERIL Nº 7   ANATOMICOS , CAÑA LARGA SIN TALCO</v>
      </c>
      <c r="D35" s="53" t="s">
        <v>55</v>
      </c>
      <c r="E35" s="49" t="str">
        <f>'Necesidades Trimestrales'!E33</f>
        <v>UNIDAD</v>
      </c>
      <c r="F35" s="50">
        <f>+'Necesidades Trimestrales'!G33</f>
        <v>12.7</v>
      </c>
      <c r="G35" s="51">
        <f>+'Necesidades Trimestrales'!F33</f>
        <v>3500</v>
      </c>
    </row>
    <row r="36" spans="1:7" ht="20.25" customHeight="1" thickBot="1" x14ac:dyDescent="0.25">
      <c r="A36" s="46">
        <v>25</v>
      </c>
      <c r="B36" s="52">
        <v>295</v>
      </c>
      <c r="C36" s="47" t="str">
        <f>+'Necesidades Trimestrales'!D34</f>
        <v>GUANTES DE CIRUGIA ESTERIL Nº 7 1/2  ANATOMICOS , CAÑA LARGA SIN TALCO</v>
      </c>
      <c r="D36" s="53" t="s">
        <v>55</v>
      </c>
      <c r="E36" s="49" t="str">
        <f>'Necesidades Trimestrales'!E34</f>
        <v>UNIDAD</v>
      </c>
      <c r="F36" s="50">
        <f>+'Necesidades Trimestrales'!G34</f>
        <v>12.7</v>
      </c>
      <c r="G36" s="51">
        <f>+'Necesidades Trimestrales'!F34</f>
        <v>3500</v>
      </c>
    </row>
    <row r="37" spans="1:7" ht="20.25" customHeight="1" thickBot="1" x14ac:dyDescent="0.25">
      <c r="A37" s="46">
        <v>26</v>
      </c>
      <c r="B37" s="52">
        <v>295</v>
      </c>
      <c r="C37" s="47" t="str">
        <f>+'Necesidades Trimestrales'!D35</f>
        <v>GUANTES DE CIRUGIA ESTERIL Nº 8   ANATOMICOS , CAÑA LARGA SIN TALCO</v>
      </c>
      <c r="D37" s="53" t="s">
        <v>55</v>
      </c>
      <c r="E37" s="49" t="str">
        <f>'Necesidades Trimestrales'!E35</f>
        <v>UNIDAD</v>
      </c>
      <c r="F37" s="50">
        <f>+'Necesidades Trimestrales'!G35</f>
        <v>12.8</v>
      </c>
      <c r="G37" s="51">
        <f>+'Necesidades Trimestrales'!F35</f>
        <v>1500</v>
      </c>
    </row>
    <row r="38" spans="1:7" ht="20.25" customHeight="1" thickBot="1" x14ac:dyDescent="0.25">
      <c r="A38" s="46">
        <v>27</v>
      </c>
      <c r="B38" s="52">
        <v>295</v>
      </c>
      <c r="C38" s="47" t="str">
        <f>+'Necesidades Trimestrales'!D36</f>
        <v>GUANTES DE LATEX  EXAMINACION X 100 UNIDADES, TALLE S</v>
      </c>
      <c r="D38" s="53" t="s">
        <v>55</v>
      </c>
      <c r="E38" s="49" t="str">
        <f>'Necesidades Trimestrales'!E36</f>
        <v>UNIDAD</v>
      </c>
      <c r="F38" s="50">
        <f>+'Necesidades Trimestrales'!G36</f>
        <v>1099</v>
      </c>
      <c r="G38" s="51">
        <f>+'Necesidades Trimestrales'!F36</f>
        <v>2000</v>
      </c>
    </row>
    <row r="39" spans="1:7" ht="20.25" customHeight="1" thickBot="1" x14ac:dyDescent="0.25">
      <c r="A39" s="46">
        <v>28</v>
      </c>
      <c r="B39" s="52">
        <v>295</v>
      </c>
      <c r="C39" s="47" t="str">
        <f>+'Necesidades Trimestrales'!D37</f>
        <v>GUANTES DE LATEX  EXAMINACION X 100 UNIDADES, TALLE M</v>
      </c>
      <c r="D39" s="53" t="s">
        <v>55</v>
      </c>
      <c r="E39" s="49" t="str">
        <f>'Necesidades Trimestrales'!E37</f>
        <v>UNIDAD</v>
      </c>
      <c r="F39" s="50">
        <f>+'Necesidades Trimestrales'!G37</f>
        <v>1099</v>
      </c>
      <c r="G39" s="51">
        <f>+'Necesidades Trimestrales'!F37</f>
        <v>2000</v>
      </c>
    </row>
    <row r="40" spans="1:7" ht="20.25" customHeight="1" thickBot="1" x14ac:dyDescent="0.25">
      <c r="A40" s="46">
        <v>29</v>
      </c>
      <c r="B40" s="52">
        <v>295</v>
      </c>
      <c r="C40" s="47" t="str">
        <f>+'Necesidades Trimestrales'!D38</f>
        <v>GUANTES DE LATEX  EXAMINACION X 100 UNIDADES, TALLE L</v>
      </c>
      <c r="D40" s="53" t="s">
        <v>55</v>
      </c>
      <c r="E40" s="49" t="str">
        <f>'Necesidades Trimestrales'!E38</f>
        <v>UNIDAD</v>
      </c>
      <c r="F40" s="50">
        <f>+'Necesidades Trimestrales'!G38</f>
        <v>1099</v>
      </c>
      <c r="G40" s="51">
        <f>+'Necesidades Trimestrales'!F38</f>
        <v>1000</v>
      </c>
    </row>
    <row r="41" spans="1:7" ht="20.25" customHeight="1" thickBot="1" x14ac:dyDescent="0.25">
      <c r="A41" s="46">
        <v>30</v>
      </c>
      <c r="B41" s="52">
        <v>295</v>
      </c>
      <c r="C41" s="47" t="str">
        <f>+'Necesidades Trimestrales'!D39</f>
        <v>HOJA DE BISTURI N° 24</v>
      </c>
      <c r="D41" s="53" t="s">
        <v>55</v>
      </c>
      <c r="E41" s="49" t="str">
        <f>'Necesidades Trimestrales'!E39</f>
        <v>UNIDAD</v>
      </c>
      <c r="F41" s="50">
        <f>+'Necesidades Trimestrales'!G39</f>
        <v>4.8499999999999996</v>
      </c>
      <c r="G41" s="51">
        <f>+'Necesidades Trimestrales'!F39</f>
        <v>5000</v>
      </c>
    </row>
    <row r="42" spans="1:7" ht="20.25" customHeight="1" thickBot="1" x14ac:dyDescent="0.25">
      <c r="A42" s="46">
        <v>31</v>
      </c>
      <c r="B42" s="52">
        <v>295</v>
      </c>
      <c r="C42" s="47" t="str">
        <f>+'Necesidades Trimestrales'!D40</f>
        <v>HOJA DE BISTURI Nº 11</v>
      </c>
      <c r="D42" s="53" t="s">
        <v>55</v>
      </c>
      <c r="E42" s="49" t="str">
        <f>'Necesidades Trimestrales'!E40</f>
        <v>UNIDAD</v>
      </c>
      <c r="F42" s="50">
        <f>+'Necesidades Trimestrales'!G40</f>
        <v>4.8499999999999996</v>
      </c>
      <c r="G42" s="51">
        <f>+'Necesidades Trimestrales'!F40</f>
        <v>500</v>
      </c>
    </row>
    <row r="43" spans="1:7" ht="20.25" customHeight="1" thickBot="1" x14ac:dyDescent="0.25">
      <c r="A43" s="46">
        <v>32</v>
      </c>
      <c r="B43" s="52">
        <v>295</v>
      </c>
      <c r="C43" s="47" t="str">
        <f>+'Necesidades Trimestrales'!D41</f>
        <v>HOJA DE BISTURI Nº 15 X 100</v>
      </c>
      <c r="D43" s="53" t="s">
        <v>55</v>
      </c>
      <c r="E43" s="49" t="str">
        <f>'Necesidades Trimestrales'!E41</f>
        <v>UNIDAD</v>
      </c>
      <c r="F43" s="50">
        <f>+'Necesidades Trimestrales'!G41</f>
        <v>4.8499999999999996</v>
      </c>
      <c r="G43" s="51">
        <f>+'Necesidades Trimestrales'!F41</f>
        <v>500</v>
      </c>
    </row>
    <row r="44" spans="1:7" ht="20.25" customHeight="1" thickBot="1" x14ac:dyDescent="0.25">
      <c r="A44" s="46">
        <v>33</v>
      </c>
      <c r="B44" s="52">
        <v>295</v>
      </c>
      <c r="C44" s="47" t="str">
        <f>+'Necesidades Trimestrales'!D42</f>
        <v>JERINGA DESCARTABLE DE 10 CC S/AGUJA</v>
      </c>
      <c r="D44" s="53" t="s">
        <v>55</v>
      </c>
      <c r="E44" s="49" t="str">
        <f>'Necesidades Trimestrales'!E42</f>
        <v>UNIDAD</v>
      </c>
      <c r="F44" s="50">
        <f>+'Necesidades Trimestrales'!G42</f>
        <v>6.1</v>
      </c>
      <c r="G44" s="51">
        <f>+'Necesidades Trimestrales'!F42</f>
        <v>35000</v>
      </c>
    </row>
    <row r="45" spans="1:7" ht="20.25" customHeight="1" thickBot="1" x14ac:dyDescent="0.25">
      <c r="A45" s="46">
        <v>34</v>
      </c>
      <c r="B45" s="52">
        <v>295</v>
      </c>
      <c r="C45" s="47" t="str">
        <f>+'Necesidades Trimestrales'!D43</f>
        <v>JERINGA DESCARTABLE DE 5 CC S/AGUJA</v>
      </c>
      <c r="D45" s="53" t="s">
        <v>55</v>
      </c>
      <c r="E45" s="49" t="str">
        <f>'Necesidades Trimestrales'!E43</f>
        <v>UNIDAD</v>
      </c>
      <c r="F45" s="50">
        <f>+'Necesidades Trimestrales'!G43</f>
        <v>9.25</v>
      </c>
      <c r="G45" s="51">
        <f>+'Necesidades Trimestrales'!F43</f>
        <v>40000</v>
      </c>
    </row>
    <row r="46" spans="1:7" ht="20.25" customHeight="1" thickBot="1" x14ac:dyDescent="0.25">
      <c r="A46" s="46">
        <v>35</v>
      </c>
      <c r="B46" s="52">
        <v>295</v>
      </c>
      <c r="C46" s="47" t="str">
        <f>+'Necesidades Trimestrales'!D44</f>
        <v>JERINGA P/INSULINA 100 UI CON AGUJA TIPO TERUMO</v>
      </c>
      <c r="D46" s="53" t="s">
        <v>55</v>
      </c>
      <c r="E46" s="49" t="str">
        <f>'Necesidades Trimestrales'!E44</f>
        <v>UNIDAD</v>
      </c>
      <c r="F46" s="50">
        <f>+'Necesidades Trimestrales'!G44</f>
        <v>8.1</v>
      </c>
      <c r="G46" s="51">
        <f>+'Necesidades Trimestrales'!F44</f>
        <v>300</v>
      </c>
    </row>
    <row r="47" spans="1:7" ht="20.25" customHeight="1" thickBot="1" x14ac:dyDescent="0.25">
      <c r="A47" s="46">
        <v>36</v>
      </c>
      <c r="B47" s="52">
        <v>295</v>
      </c>
      <c r="C47" s="47" t="str">
        <f>+'Necesidades Trimestrales'!D45</f>
        <v>JERINGA DE 2,5 CC S/AGUJA</v>
      </c>
      <c r="D47" s="53" t="s">
        <v>55</v>
      </c>
      <c r="E47" s="49" t="str">
        <f>'Necesidades Trimestrales'!E45</f>
        <v>UNIDAD</v>
      </c>
      <c r="F47" s="50">
        <f>+'Necesidades Trimestrales'!G45</f>
        <v>3.3</v>
      </c>
      <c r="G47" s="51">
        <f>+'Necesidades Trimestrales'!F45</f>
        <v>40000</v>
      </c>
    </row>
    <row r="48" spans="1:7" ht="20.25" customHeight="1" thickBot="1" x14ac:dyDescent="0.25">
      <c r="A48" s="46">
        <v>37</v>
      </c>
      <c r="B48" s="52">
        <v>295</v>
      </c>
      <c r="C48" s="47" t="str">
        <f>+'Necesidades Trimestrales'!D46</f>
        <v>JERINGA TUBERCULINA 1 CC. S/ AGUJA</v>
      </c>
      <c r="D48" s="53" t="s">
        <v>55</v>
      </c>
      <c r="E48" s="49" t="str">
        <f>'Necesidades Trimestrales'!E46</f>
        <v>UNIDAD</v>
      </c>
      <c r="F48" s="50">
        <f>+'Necesidades Trimestrales'!G46</f>
        <v>3.5</v>
      </c>
      <c r="G48" s="51">
        <f>+'Necesidades Trimestrales'!F46</f>
        <v>25000</v>
      </c>
    </row>
    <row r="49" spans="1:7" ht="20.25" customHeight="1" thickBot="1" x14ac:dyDescent="0.25">
      <c r="A49" s="46">
        <v>38</v>
      </c>
      <c r="B49" s="52">
        <v>295</v>
      </c>
      <c r="C49" s="47" t="str">
        <f>+'Necesidades Trimestrales'!D47</f>
        <v>JERINGAS DE 20CC  S/AGUJA</v>
      </c>
      <c r="D49" s="53" t="s">
        <v>55</v>
      </c>
      <c r="E49" s="49" t="str">
        <f>'Necesidades Trimestrales'!E47</f>
        <v>UNIDAD</v>
      </c>
      <c r="F49" s="50">
        <f>+'Necesidades Trimestrales'!G47</f>
        <v>9.9</v>
      </c>
      <c r="G49" s="51">
        <f>+'Necesidades Trimestrales'!F47</f>
        <v>10000</v>
      </c>
    </row>
    <row r="50" spans="1:7" ht="20.25" customHeight="1" thickBot="1" x14ac:dyDescent="0.25">
      <c r="A50" s="46">
        <v>39</v>
      </c>
      <c r="B50" s="52">
        <v>295</v>
      </c>
      <c r="C50" s="47" t="str">
        <f>+'Necesidades Trimestrales'!D48</f>
        <v>JERINGA DE 60 CC S/ AGUJA</v>
      </c>
      <c r="D50" s="53" t="s">
        <v>55</v>
      </c>
      <c r="E50" s="49" t="str">
        <f>'Necesidades Trimestrales'!E48</f>
        <v>UNIDAD</v>
      </c>
      <c r="F50" s="50">
        <f>+'Necesidades Trimestrales'!G48</f>
        <v>24.4</v>
      </c>
      <c r="G50" s="51">
        <f>+'Necesidades Trimestrales'!F48</f>
        <v>10000</v>
      </c>
    </row>
    <row r="51" spans="1:7" ht="20.25" customHeight="1" thickBot="1" x14ac:dyDescent="0.25">
      <c r="A51" s="46">
        <v>40</v>
      </c>
      <c r="B51" s="52">
        <v>295</v>
      </c>
      <c r="C51" s="47" t="str">
        <f>+'Necesidades Trimestrales'!D49</f>
        <v>LLAVE 3 VIAS ESTERIL 360° LUERLOCK C/PROLONG. 15CM</v>
      </c>
      <c r="D51" s="53" t="s">
        <v>55</v>
      </c>
      <c r="E51" s="49" t="str">
        <f>'Necesidades Trimestrales'!E49</f>
        <v>UNIDAD</v>
      </c>
      <c r="F51" s="50">
        <f>+'Necesidades Trimestrales'!G49</f>
        <v>45</v>
      </c>
      <c r="G51" s="51">
        <f>+'Necesidades Trimestrales'!F49</f>
        <v>1000</v>
      </c>
    </row>
    <row r="52" spans="1:7" ht="20.25" customHeight="1" thickBot="1" x14ac:dyDescent="0.25">
      <c r="A52" s="46">
        <v>41</v>
      </c>
      <c r="B52" s="52">
        <v>295</v>
      </c>
      <c r="C52" s="47" t="str">
        <f>+'Necesidades Trimestrales'!D50</f>
        <v>LLAVE 3 VIAS ESTERIL 360° LUERLOCK C/PROLONG. 30 CM</v>
      </c>
      <c r="D52" s="53" t="s">
        <v>55</v>
      </c>
      <c r="E52" s="49" t="str">
        <f>'Necesidades Trimestrales'!E50</f>
        <v>UNIDAD</v>
      </c>
      <c r="F52" s="50">
        <f>+'Necesidades Trimestrales'!G50</f>
        <v>51.5</v>
      </c>
      <c r="G52" s="51">
        <f>+'Necesidades Trimestrales'!F50</f>
        <v>1000</v>
      </c>
    </row>
    <row r="53" spans="1:7" ht="20.25" customHeight="1" thickBot="1" x14ac:dyDescent="0.25">
      <c r="A53" s="46">
        <v>42</v>
      </c>
      <c r="B53" s="52">
        <v>295</v>
      </c>
      <c r="C53" s="47" t="str">
        <f>+'Necesidades Trimestrales'!D51</f>
        <v>LLAVE 3 VIAS ESTERIL 360° LUERLOCK C/PROLONG.50 CM</v>
      </c>
      <c r="D53" s="53" t="s">
        <v>55</v>
      </c>
      <c r="E53" s="49" t="str">
        <f>'Necesidades Trimestrales'!E51</f>
        <v>UNIDAD</v>
      </c>
      <c r="F53" s="50">
        <f>+'Necesidades Trimestrales'!G51</f>
        <v>53.3</v>
      </c>
      <c r="G53" s="51">
        <f>+'Necesidades Trimestrales'!F51</f>
        <v>1000</v>
      </c>
    </row>
    <row r="54" spans="1:7" ht="20.25" customHeight="1" thickBot="1" x14ac:dyDescent="0.25">
      <c r="A54" s="46">
        <v>43</v>
      </c>
      <c r="B54" s="52">
        <v>295</v>
      </c>
      <c r="C54" s="47" t="str">
        <f>+'Necesidades Trimestrales'!D52</f>
        <v>LLAVE DE TRES VIA</v>
      </c>
      <c r="D54" s="53" t="s">
        <v>55</v>
      </c>
      <c r="E54" s="49" t="str">
        <f>'Necesidades Trimestrales'!E52</f>
        <v>UNIDAD</v>
      </c>
      <c r="F54" s="50">
        <f>+'Necesidades Trimestrales'!G52</f>
        <v>20.9</v>
      </c>
      <c r="G54" s="51">
        <f>+'Necesidades Trimestrales'!F52</f>
        <v>3000</v>
      </c>
    </row>
    <row r="55" spans="1:7" ht="20.25" customHeight="1" thickBot="1" x14ac:dyDescent="0.25">
      <c r="A55" s="46">
        <v>44</v>
      </c>
      <c r="B55" s="52">
        <v>295</v>
      </c>
      <c r="C55" s="47" t="str">
        <f>+'Necesidades Trimestrales'!D53</f>
        <v>SET PARA NEBULIZAR COMPLETO PIPETA+ MASCARA + TUBULADURA</v>
      </c>
      <c r="D55" s="53" t="s">
        <v>55</v>
      </c>
      <c r="E55" s="49" t="str">
        <f>'Necesidades Trimestrales'!E53</f>
        <v>UNIDAD</v>
      </c>
      <c r="F55" s="50">
        <f>+'Necesidades Trimestrales'!G53</f>
        <v>114.4</v>
      </c>
      <c r="G55" s="51">
        <f>+'Necesidades Trimestrales'!F53</f>
        <v>1500</v>
      </c>
    </row>
    <row r="56" spans="1:7" ht="20.25" customHeight="1" thickBot="1" x14ac:dyDescent="0.25">
      <c r="A56" s="46">
        <v>45</v>
      </c>
      <c r="B56" s="52">
        <v>295</v>
      </c>
      <c r="C56" s="47" t="str">
        <f>+'Necesidades Trimestrales'!D54</f>
        <v>MASCARA CON BOLSA RESERVORIO</v>
      </c>
      <c r="D56" s="53" t="s">
        <v>55</v>
      </c>
      <c r="E56" s="49" t="str">
        <f>'Necesidades Trimestrales'!E54</f>
        <v>UNIDAD</v>
      </c>
      <c r="F56" s="50">
        <f>+'Necesidades Trimestrales'!G54</f>
        <v>440</v>
      </c>
      <c r="G56" s="51">
        <f>+'Necesidades Trimestrales'!F54</f>
        <v>1000</v>
      </c>
    </row>
    <row r="57" spans="1:7" ht="20.25" customHeight="1" thickBot="1" x14ac:dyDescent="0.25">
      <c r="A57" s="46">
        <v>46</v>
      </c>
      <c r="B57" s="52">
        <v>295</v>
      </c>
      <c r="C57" s="47" t="str">
        <f>+'Necesidades Trimestrales'!D55</f>
        <v>SONDA FOLEY DOBLE VIA Nº 14 DE PVC RECUBIERTO CON SILICONA</v>
      </c>
      <c r="D57" s="53" t="s">
        <v>55</v>
      </c>
      <c r="E57" s="49" t="str">
        <f>'Necesidades Trimestrales'!E55</f>
        <v>UNIDAD</v>
      </c>
      <c r="F57" s="50">
        <f>+'Necesidades Trimestrales'!G55</f>
        <v>440</v>
      </c>
      <c r="G57" s="51">
        <f>+'Necesidades Trimestrales'!F55</f>
        <v>30</v>
      </c>
    </row>
    <row r="58" spans="1:7" ht="20.25" customHeight="1" thickBot="1" x14ac:dyDescent="0.25">
      <c r="A58" s="46">
        <v>47</v>
      </c>
      <c r="B58" s="52">
        <v>295</v>
      </c>
      <c r="C58" s="47" t="str">
        <f>+'Necesidades Trimestrales'!D56</f>
        <v>SONDA FOLEY DOBLE VIA Nº 16 DE PVC RECUBIERTO CON SILICONA</v>
      </c>
      <c r="D58" s="53" t="s">
        <v>55</v>
      </c>
      <c r="E58" s="49" t="str">
        <f>'Necesidades Trimestrales'!E56</f>
        <v>UNIDAD</v>
      </c>
      <c r="F58" s="50">
        <f>+'Necesidades Trimestrales'!G56</f>
        <v>440</v>
      </c>
      <c r="G58" s="51">
        <f>+'Necesidades Trimestrales'!F56</f>
        <v>30</v>
      </c>
    </row>
    <row r="59" spans="1:7" ht="20.25" customHeight="1" thickBot="1" x14ac:dyDescent="0.25">
      <c r="A59" s="46">
        <v>48</v>
      </c>
      <c r="B59" s="52">
        <v>295</v>
      </c>
      <c r="C59" s="47" t="str">
        <f>+'Necesidades Trimestrales'!D57</f>
        <v>SONDA FOLEY DOBLE VIA Nº 18 DE PVC RECUBIERTO CON SILICONA</v>
      </c>
      <c r="D59" s="53" t="s">
        <v>55</v>
      </c>
      <c r="E59" s="49" t="str">
        <f>'Necesidades Trimestrales'!E57</f>
        <v>UNIDAD</v>
      </c>
      <c r="F59" s="50">
        <f>+'Necesidades Trimestrales'!G57</f>
        <v>440</v>
      </c>
      <c r="G59" s="51">
        <f>+'Necesidades Trimestrales'!F57</f>
        <v>30</v>
      </c>
    </row>
    <row r="60" spans="1:7" ht="20.25" customHeight="1" thickBot="1" x14ac:dyDescent="0.25">
      <c r="A60" s="46">
        <v>49</v>
      </c>
      <c r="B60" s="52">
        <v>295</v>
      </c>
      <c r="C60" s="47" t="str">
        <f>+'Necesidades Trimestrales'!D58</f>
        <v>SONDA INTUB.GASTRICA K 9</v>
      </c>
      <c r="D60" s="53" t="s">
        <v>25</v>
      </c>
      <c r="E60" s="49" t="str">
        <f>'Necesidades Trimestrales'!E58</f>
        <v>UNIDAD</v>
      </c>
      <c r="F60" s="50">
        <f>+'Necesidades Trimestrales'!G58</f>
        <v>19.5</v>
      </c>
      <c r="G60" s="51">
        <f>+'Necesidades Trimestrales'!F58</f>
        <v>500</v>
      </c>
    </row>
    <row r="61" spans="1:7" ht="20.25" customHeight="1" thickBot="1" x14ac:dyDescent="0.25">
      <c r="A61" s="46">
        <v>50</v>
      </c>
      <c r="B61" s="52">
        <v>295</v>
      </c>
      <c r="C61" s="47" t="str">
        <f>+'Necesidades Trimestrales'!D59</f>
        <v>SONDA INTUB.GASTRICA K10</v>
      </c>
      <c r="D61" s="53" t="s">
        <v>55</v>
      </c>
      <c r="E61" s="49" t="str">
        <f>'Necesidades Trimestrales'!E59</f>
        <v>UNIDAD</v>
      </c>
      <c r="F61" s="50">
        <f>+'Necesidades Trimestrales'!G59</f>
        <v>21.8</v>
      </c>
      <c r="G61" s="51">
        <f>+'Necesidades Trimestrales'!F59</f>
        <v>500</v>
      </c>
    </row>
    <row r="62" spans="1:7" ht="20.25" customHeight="1" thickBot="1" x14ac:dyDescent="0.25">
      <c r="A62" s="46">
        <v>51</v>
      </c>
      <c r="B62" s="52">
        <v>295</v>
      </c>
      <c r="C62" s="47" t="str">
        <f>+'Necesidades Trimestrales'!D60</f>
        <v>SONDA INTUB.GASTRICA K11</v>
      </c>
      <c r="D62" s="53" t="s">
        <v>55</v>
      </c>
      <c r="E62" s="49" t="str">
        <f>'Necesidades Trimestrales'!E60</f>
        <v>UNIDAD</v>
      </c>
      <c r="F62" s="50">
        <f>+'Necesidades Trimestrales'!G60</f>
        <v>23.5</v>
      </c>
      <c r="G62" s="51">
        <f>+'Necesidades Trimestrales'!F60</f>
        <v>500</v>
      </c>
    </row>
    <row r="63" spans="1:7" ht="20.25" customHeight="1" thickBot="1" x14ac:dyDescent="0.25">
      <c r="A63" s="46">
        <v>52</v>
      </c>
      <c r="B63" s="52">
        <v>295</v>
      </c>
      <c r="C63" s="47" t="str">
        <f>+'Necesidades Trimestrales'!D61</f>
        <v>SONDA NASOGASTRICA  K30</v>
      </c>
      <c r="D63" s="53" t="s">
        <v>55</v>
      </c>
      <c r="E63" s="49" t="str">
        <f>'Necesidades Trimestrales'!E61</f>
        <v>UNIDAD</v>
      </c>
      <c r="F63" s="50">
        <f>+'Necesidades Trimestrales'!G61</f>
        <v>28.7</v>
      </c>
      <c r="G63" s="51">
        <f>+'Necesidades Trimestrales'!F61</f>
        <v>1000</v>
      </c>
    </row>
    <row r="64" spans="1:7" ht="20.25" customHeight="1" thickBot="1" x14ac:dyDescent="0.25">
      <c r="A64" s="46">
        <v>53</v>
      </c>
      <c r="B64" s="52">
        <v>295</v>
      </c>
      <c r="C64" s="47" t="str">
        <f>+'Necesidades Trimestrales'!D62</f>
        <v>SONDA NASOGASTRICA  K31</v>
      </c>
      <c r="D64" s="53" t="s">
        <v>55</v>
      </c>
      <c r="E64" s="49" t="str">
        <f>'Necesidades Trimestrales'!E62</f>
        <v>UNIDAD</v>
      </c>
      <c r="F64" s="50">
        <f>+'Necesidades Trimestrales'!G62</f>
        <v>26.1</v>
      </c>
      <c r="G64" s="51">
        <f>+'Necesidades Trimestrales'!F62</f>
        <v>1000</v>
      </c>
    </row>
    <row r="65" spans="1:7" ht="20.25" customHeight="1" thickBot="1" x14ac:dyDescent="0.25">
      <c r="A65" s="46">
        <v>54</v>
      </c>
      <c r="B65" s="52">
        <v>295</v>
      </c>
      <c r="C65" s="47" t="str">
        <f>+'Necesidades Trimestrales'!D63</f>
        <v>SONDA NASOGASTRICA K 33</v>
      </c>
      <c r="D65" s="53" t="s">
        <v>55</v>
      </c>
      <c r="E65" s="49" t="str">
        <f>'Necesidades Trimestrales'!E63</f>
        <v>UNIDAD</v>
      </c>
      <c r="F65" s="50">
        <f>+'Necesidades Trimestrales'!G63</f>
        <v>20</v>
      </c>
      <c r="G65" s="51">
        <f>+'Necesidades Trimestrales'!F63</f>
        <v>3600</v>
      </c>
    </row>
    <row r="66" spans="1:7" ht="20.25" customHeight="1" thickBot="1" x14ac:dyDescent="0.25">
      <c r="A66" s="46">
        <v>55</v>
      </c>
      <c r="B66" s="52">
        <v>295</v>
      </c>
      <c r="C66" s="47" t="str">
        <f>+'Necesidades Trimestrales'!D64</f>
        <v>SONDA K30 CON REGULADOR</v>
      </c>
      <c r="D66" s="53" t="s">
        <v>55</v>
      </c>
      <c r="E66" s="49" t="str">
        <f>'Necesidades Trimestrales'!E64</f>
        <v>UNIDAD</v>
      </c>
      <c r="F66" s="50">
        <f>+'Necesidades Trimestrales'!G64</f>
        <v>20.5</v>
      </c>
      <c r="G66" s="51">
        <f>+'Necesidades Trimestrales'!F64</f>
        <v>1000</v>
      </c>
    </row>
    <row r="67" spans="1:7" ht="20.25" customHeight="1" thickBot="1" x14ac:dyDescent="0.25">
      <c r="A67" s="46">
        <v>56</v>
      </c>
      <c r="B67" s="52">
        <v>295</v>
      </c>
      <c r="C67" s="47" t="str">
        <f>+'Necesidades Trimestrales'!D65</f>
        <v>SONDA NASOGASTRICA K 35</v>
      </c>
      <c r="D67" s="53" t="s">
        <v>55</v>
      </c>
      <c r="E67" s="49" t="str">
        <f>'Necesidades Trimestrales'!E65</f>
        <v>UNIDAD</v>
      </c>
      <c r="F67" s="50">
        <f>+'Necesidades Trimestrales'!G65</f>
        <v>31</v>
      </c>
      <c r="G67" s="51">
        <f>+'Necesidades Trimestrales'!F65</f>
        <v>3600</v>
      </c>
    </row>
    <row r="68" spans="1:7" ht="20.25" customHeight="1" thickBot="1" x14ac:dyDescent="0.25">
      <c r="A68" s="46">
        <v>57</v>
      </c>
      <c r="B68" s="52">
        <v>295</v>
      </c>
      <c r="C68" s="47" t="str">
        <f>+'Necesidades Trimestrales'!D66</f>
        <v>SONDA P/ASPIRACION MUCUS K33P C/REGULADOR</v>
      </c>
      <c r="D68" s="53" t="s">
        <v>55</v>
      </c>
      <c r="E68" s="49" t="str">
        <f>'Necesidades Trimestrales'!E66</f>
        <v>UNIDAD</v>
      </c>
      <c r="F68" s="50">
        <f>+'Necesidades Trimestrales'!G66</f>
        <v>22.9</v>
      </c>
      <c r="G68" s="51">
        <f>+'Necesidades Trimestrales'!F66</f>
        <v>2000</v>
      </c>
    </row>
    <row r="69" spans="1:7" ht="20.25" customHeight="1" thickBot="1" x14ac:dyDescent="0.25">
      <c r="A69" s="46">
        <v>58</v>
      </c>
      <c r="B69" s="52">
        <v>295</v>
      </c>
      <c r="C69" s="47" t="str">
        <f>+'Necesidades Trimestrales'!D67</f>
        <v>SONDA P/ASPIRACION MUCUS T/K31P C/REG.</v>
      </c>
      <c r="D69" s="53" t="s">
        <v>55</v>
      </c>
      <c r="E69" s="49" t="str">
        <f>'Necesidades Trimestrales'!E67</f>
        <v>UNIDAD</v>
      </c>
      <c r="F69" s="50">
        <f>+'Necesidades Trimestrales'!G67</f>
        <v>26</v>
      </c>
      <c r="G69" s="51">
        <f>+'Necesidades Trimestrales'!F67</f>
        <v>1500</v>
      </c>
    </row>
    <row r="70" spans="1:7" ht="20.25" customHeight="1" thickBot="1" x14ac:dyDescent="0.25">
      <c r="A70" s="46">
        <v>59</v>
      </c>
      <c r="B70" s="52">
        <v>295</v>
      </c>
      <c r="C70" s="47" t="str">
        <f>+'Necesidades Trimestrales'!D68</f>
        <v>SONDA P/ASPIRACION MUCUS T/K29P C/REGULADOR</v>
      </c>
      <c r="D70" s="53" t="s">
        <v>55</v>
      </c>
      <c r="E70" s="49" t="str">
        <f>'Necesidades Trimestrales'!E68</f>
        <v>UNIDAD</v>
      </c>
      <c r="F70" s="50">
        <f>+'Necesidades Trimestrales'!G68</f>
        <v>31.3</v>
      </c>
      <c r="G70" s="51">
        <f>+'Necesidades Trimestrales'!F68</f>
        <v>1500</v>
      </c>
    </row>
    <row r="71" spans="1:7" ht="20.25" customHeight="1" thickBot="1" x14ac:dyDescent="0.25">
      <c r="A71" s="46">
        <v>60</v>
      </c>
      <c r="B71" s="52">
        <v>295</v>
      </c>
      <c r="C71" s="47" t="str">
        <f>+'Necesidades Trimestrales'!D69</f>
        <v>SONDA P/ASPIRACION MUCUS T/K35P C/REGULADOR</v>
      </c>
      <c r="D71" s="53" t="s">
        <v>55</v>
      </c>
      <c r="E71" s="49" t="str">
        <f>'Necesidades Trimestrales'!E69</f>
        <v>UNIDAD</v>
      </c>
      <c r="F71" s="50">
        <f>+'Necesidades Trimestrales'!G69</f>
        <v>24.8</v>
      </c>
      <c r="G71" s="51">
        <f>+'Necesidades Trimestrales'!F69</f>
        <v>1500</v>
      </c>
    </row>
    <row r="72" spans="1:7" ht="20.25" customHeight="1" thickBot="1" x14ac:dyDescent="0.25">
      <c r="A72" s="46">
        <v>61</v>
      </c>
      <c r="B72" s="52">
        <v>295</v>
      </c>
      <c r="C72" s="47" t="str">
        <f>+'Necesidades Trimestrales'!D70</f>
        <v>SET DE VIA CENTRAL DOBLE LUMEN  7 FRENCH TIPO ARROW</v>
      </c>
      <c r="D72" s="53" t="s">
        <v>55</v>
      </c>
      <c r="E72" s="49" t="str">
        <f>'Necesidades Trimestrales'!E70</f>
        <v>UNIDAD</v>
      </c>
      <c r="F72" s="50">
        <f>+'Necesidades Trimestrales'!G70</f>
        <v>5339.3</v>
      </c>
      <c r="G72" s="51">
        <f>+'Necesidades Trimestrales'!F70</f>
        <v>5</v>
      </c>
    </row>
    <row r="73" spans="1:7" ht="20.25" customHeight="1" thickBot="1" x14ac:dyDescent="0.25">
      <c r="A73" s="46">
        <v>62</v>
      </c>
      <c r="B73" s="52">
        <v>295</v>
      </c>
      <c r="C73" s="47" t="str">
        <f>+'Necesidades Trimestrales'!D71</f>
        <v>SET DE VIA CENTRAL DOBLE LUMEN 4  FRENCH  /13 CM 22/22 G TIPO ARROW</v>
      </c>
      <c r="D73" s="53" t="s">
        <v>55</v>
      </c>
      <c r="E73" s="49" t="str">
        <f>'Necesidades Trimestrales'!E71</f>
        <v>UNIDAD</v>
      </c>
      <c r="F73" s="50">
        <f>+'Necesidades Trimestrales'!G71</f>
        <v>14429.3</v>
      </c>
      <c r="G73" s="51">
        <f>+'Necesidades Trimestrales'!F71</f>
        <v>25</v>
      </c>
    </row>
    <row r="74" spans="1:7" ht="20.25" customHeight="1" thickBot="1" x14ac:dyDescent="0.25">
      <c r="A74" s="46">
        <v>63</v>
      </c>
      <c r="B74" s="52">
        <v>295</v>
      </c>
      <c r="C74" s="47" t="str">
        <f>+'Necesidades Trimestrales'!D72</f>
        <v>SET DE VIA CENTRAL DOBLE LUMEN 4  FRENCH  /30 CM 22/22 G TIPO ARROW</v>
      </c>
      <c r="D74" s="53" t="s">
        <v>55</v>
      </c>
      <c r="E74" s="49" t="str">
        <f>'Necesidades Trimestrales'!E72</f>
        <v>UNIDAD</v>
      </c>
      <c r="F74" s="50">
        <f>+'Necesidades Trimestrales'!G72</f>
        <v>14429.3</v>
      </c>
      <c r="G74" s="51">
        <f>+'Necesidades Trimestrales'!F72</f>
        <v>25</v>
      </c>
    </row>
    <row r="75" spans="1:7" ht="20.25" customHeight="1" thickBot="1" x14ac:dyDescent="0.25">
      <c r="A75" s="46">
        <v>64</v>
      </c>
      <c r="B75" s="52">
        <v>295</v>
      </c>
      <c r="C75" s="47" t="str">
        <f>+'Necesidades Trimestrales'!D73</f>
        <v>APO ADHESIVO 6 X 7 TIPO TEGADERM</v>
      </c>
      <c r="D75" s="53" t="s">
        <v>55</v>
      </c>
      <c r="E75" s="49" t="str">
        <f>'Necesidades Trimestrales'!E73</f>
        <v>UNIDAD</v>
      </c>
      <c r="F75" s="50">
        <f>+'Necesidades Trimestrales'!G73</f>
        <v>24.5</v>
      </c>
      <c r="G75" s="51">
        <f>+'Necesidades Trimestrales'!F73</f>
        <v>1000</v>
      </c>
    </row>
    <row r="76" spans="1:7" ht="20.25" customHeight="1" thickBot="1" x14ac:dyDescent="0.25">
      <c r="A76" s="46">
        <v>65</v>
      </c>
      <c r="B76" s="52">
        <v>295</v>
      </c>
      <c r="C76" s="47" t="str">
        <f>+'Necesidades Trimestrales'!D74</f>
        <v>APO ADHESIVO 10 X 12  TIPO TEGADERM</v>
      </c>
      <c r="D76" s="53" t="s">
        <v>55</v>
      </c>
      <c r="E76" s="49" t="str">
        <f>'Necesidades Trimestrales'!E74</f>
        <v>UNIDAD</v>
      </c>
      <c r="F76" s="50">
        <f>+'Necesidades Trimestrales'!G74</f>
        <v>55.5</v>
      </c>
      <c r="G76" s="51">
        <f>+'Necesidades Trimestrales'!F74</f>
        <v>1000</v>
      </c>
    </row>
    <row r="77" spans="1:7" ht="20.25" customHeight="1" thickBot="1" x14ac:dyDescent="0.25">
      <c r="A77" s="46">
        <v>66</v>
      </c>
      <c r="B77" s="52">
        <v>295</v>
      </c>
      <c r="C77" s="47" t="str">
        <f>+'Necesidades Trimestrales'!D75</f>
        <v>TAPON INTERMITENTE TIPO BRAUN in stopper</v>
      </c>
      <c r="D77" s="67" t="s">
        <v>55</v>
      </c>
      <c r="E77" s="49" t="str">
        <f>'Necesidades Trimestrales'!E75</f>
        <v>UNIDAD</v>
      </c>
      <c r="F77" s="50">
        <f>+'Necesidades Trimestrales'!G75</f>
        <v>16.5</v>
      </c>
      <c r="G77" s="51">
        <f>+'Necesidades Trimestrales'!F75</f>
        <v>2500</v>
      </c>
    </row>
    <row r="78" spans="1:7" ht="20.25" customHeight="1" thickBot="1" x14ac:dyDescent="0.25">
      <c r="A78" s="46">
        <v>67</v>
      </c>
      <c r="B78" s="52">
        <v>295</v>
      </c>
      <c r="C78" s="47" t="str">
        <f>+'Necesidades Trimestrales'!D76</f>
        <v>TELA ADHESIVA 5 MM X 9,00 MTS TIPO ADHESUR</v>
      </c>
      <c r="D78" s="53" t="s">
        <v>55</v>
      </c>
      <c r="E78" s="49" t="str">
        <f>'Necesidades Trimestrales'!E76</f>
        <v>UNIDAD</v>
      </c>
      <c r="F78" s="50">
        <f>+'Necesidades Trimestrales'!G76</f>
        <v>117.5</v>
      </c>
      <c r="G78" s="51">
        <f>+'Necesidades Trimestrales'!F76</f>
        <v>1000</v>
      </c>
    </row>
    <row r="79" spans="1:7" ht="20.25" customHeight="1" thickBot="1" x14ac:dyDescent="0.25">
      <c r="A79" s="46">
        <v>68</v>
      </c>
      <c r="B79" s="52">
        <v>295</v>
      </c>
      <c r="C79" s="47" t="str">
        <f>+'Necesidades Trimestrales'!D77</f>
        <v>TELA ADHESIVA HIPOALERGENICA MICROPORE 2,5 CM TIPO 3 M</v>
      </c>
      <c r="D79" s="53" t="s">
        <v>55</v>
      </c>
      <c r="E79" s="49" t="str">
        <f>'Necesidades Trimestrales'!E77</f>
        <v>UNIDAD</v>
      </c>
      <c r="F79" s="50">
        <f>+'Necesidades Trimestrales'!G77</f>
        <v>44.1</v>
      </c>
      <c r="G79" s="51">
        <f>+'Necesidades Trimestrales'!F77</f>
        <v>500</v>
      </c>
    </row>
    <row r="80" spans="1:7" ht="20.25" customHeight="1" thickBot="1" x14ac:dyDescent="0.25">
      <c r="A80" s="46">
        <v>69</v>
      </c>
      <c r="B80" s="52">
        <v>295</v>
      </c>
      <c r="C80" s="47" t="str">
        <f>+'Necesidades Trimestrales'!D78</f>
        <v>TELA ADHESIVA HIPOALERGENICA TRANSPORE 2,5 CM TIPO 3 M</v>
      </c>
      <c r="D80" s="53" t="s">
        <v>55</v>
      </c>
      <c r="E80" s="49" t="str">
        <f>'Necesidades Trimestrales'!E78</f>
        <v>UNIDAD</v>
      </c>
      <c r="F80" s="50">
        <f>+'Necesidades Trimestrales'!G78</f>
        <v>158.25</v>
      </c>
      <c r="G80" s="51">
        <f>+'Necesidades Trimestrales'!F78</f>
        <v>500</v>
      </c>
    </row>
    <row r="81" spans="1:7" ht="20.25" customHeight="1" thickBot="1" x14ac:dyDescent="0.25">
      <c r="A81" s="46">
        <v>70</v>
      </c>
      <c r="B81" s="52">
        <v>295</v>
      </c>
      <c r="C81" s="47" t="str">
        <f>+'Necesidades Trimestrales'!D79</f>
        <v>HILO DE SUTURA N1 CON AGUJA TIPO VICRYL CODIGO J341</v>
      </c>
      <c r="D81" s="53" t="s">
        <v>55</v>
      </c>
      <c r="E81" s="49" t="str">
        <f>'Necesidades Trimestrales'!E79</f>
        <v>UNIDAD</v>
      </c>
      <c r="F81" s="50">
        <f>+'Necesidades Trimestrales'!G79</f>
        <v>195</v>
      </c>
      <c r="G81" s="51">
        <f>+'Necesidades Trimestrales'!F79</f>
        <v>72</v>
      </c>
    </row>
    <row r="82" spans="1:7" ht="20.25" customHeight="1" thickBot="1" x14ac:dyDescent="0.25">
      <c r="A82" s="46">
        <v>71</v>
      </c>
      <c r="B82" s="52">
        <v>295</v>
      </c>
      <c r="C82" s="47" t="str">
        <f>+'Necesidades Trimestrales'!D80</f>
        <v>HILO DE SUTURA TIPO VICRYL N2-0 CODIGO J317 CON AGUJA</v>
      </c>
      <c r="D82" s="53" t="s">
        <v>55</v>
      </c>
      <c r="E82" s="49" t="str">
        <f>'Necesidades Trimestrales'!E80</f>
        <v>UNIDAD</v>
      </c>
      <c r="F82" s="50">
        <f>+'Necesidades Trimestrales'!G80</f>
        <v>195</v>
      </c>
      <c r="G82" s="51">
        <f>+'Necesidades Trimestrales'!F80</f>
        <v>72</v>
      </c>
    </row>
    <row r="83" spans="1:7" ht="20.25" customHeight="1" thickBot="1" x14ac:dyDescent="0.25">
      <c r="A83" s="46">
        <v>72</v>
      </c>
      <c r="B83" s="52">
        <v>295</v>
      </c>
      <c r="C83" s="47" t="str">
        <f>+'Necesidades Trimestrales'!D81</f>
        <v>CAMPO QUIRURGICO T/STERY DRAPE COD.1015</v>
      </c>
      <c r="D83" s="53" t="s">
        <v>55</v>
      </c>
      <c r="E83" s="49" t="str">
        <f>'Necesidades Trimestrales'!E81</f>
        <v>UNIDAD</v>
      </c>
      <c r="F83" s="50">
        <f>+'Necesidades Trimestrales'!G81</f>
        <v>1450</v>
      </c>
      <c r="G83" s="51">
        <f>+'Necesidades Trimestrales'!F81</f>
        <v>30</v>
      </c>
    </row>
    <row r="84" spans="1:7" ht="20.25" customHeight="1" thickBot="1" x14ac:dyDescent="0.25">
      <c r="A84" s="46">
        <v>73</v>
      </c>
      <c r="B84" s="52">
        <v>295</v>
      </c>
      <c r="C84" s="47" t="str">
        <f>+'Necesidades Trimestrales'!D82</f>
        <v>CAMPO QUIRURGICO T/STERY DRAPE COD.1050</v>
      </c>
      <c r="D84" s="53" t="s">
        <v>55</v>
      </c>
      <c r="E84" s="49" t="str">
        <f>'Necesidades Trimestrales'!E82</f>
        <v>UNIDAD</v>
      </c>
      <c r="F84" s="50">
        <f>+'Necesidades Trimestrales'!G82</f>
        <v>1650</v>
      </c>
      <c r="G84" s="51">
        <f>+'Necesidades Trimestrales'!F82</f>
        <v>30</v>
      </c>
    </row>
    <row r="85" spans="1:7" ht="20.25" customHeight="1" thickBot="1" x14ac:dyDescent="0.25">
      <c r="A85" s="46">
        <v>74</v>
      </c>
      <c r="B85" s="52">
        <v>295</v>
      </c>
      <c r="C85" s="47" t="str">
        <f>+'Necesidades Trimestrales'!D83</f>
        <v>CAMPO QUIRURGICO T/U-DRAPE</v>
      </c>
      <c r="D85" s="53" t="s">
        <v>55</v>
      </c>
      <c r="E85" s="49" t="str">
        <f>'Necesidades Trimestrales'!E83</f>
        <v>UNIDAD</v>
      </c>
      <c r="F85" s="50">
        <f>+'Necesidades Trimestrales'!G83</f>
        <v>800</v>
      </c>
      <c r="G85" s="51">
        <f>+'Necesidades Trimestrales'!F83</f>
        <v>30</v>
      </c>
    </row>
    <row r="86" spans="1:7" ht="20.25" customHeight="1" thickBot="1" x14ac:dyDescent="0.25">
      <c r="A86" s="46">
        <v>75</v>
      </c>
      <c r="B86" s="52">
        <v>295</v>
      </c>
      <c r="C86" s="47" t="str">
        <f>+'Necesidades Trimestrales'!D84</f>
        <v>CANULA P/ASP./CAMPO/QUIR.+2 MT/T-63 (T/K-66)</v>
      </c>
      <c r="D86" s="53" t="s">
        <v>55</v>
      </c>
      <c r="E86" s="49" t="str">
        <f>'Necesidades Trimestrales'!E84</f>
        <v>UNIDAD</v>
      </c>
      <c r="F86" s="50">
        <f>+'Necesidades Trimestrales'!G84</f>
        <v>1050</v>
      </c>
      <c r="G86" s="51">
        <f>+'Necesidades Trimestrales'!F84</f>
        <v>500</v>
      </c>
    </row>
    <row r="87" spans="1:7" ht="20.25" customHeight="1" thickBot="1" x14ac:dyDescent="0.25">
      <c r="A87" s="46">
        <v>76</v>
      </c>
      <c r="B87" s="52">
        <v>295</v>
      </c>
      <c r="C87" s="47" t="str">
        <f>+'Necesidades Trimestrales'!D85</f>
        <v>CANULA P/TRAQUEOST.(PED.) C/B N°4</v>
      </c>
      <c r="D87" s="53" t="s">
        <v>55</v>
      </c>
      <c r="E87" s="49" t="str">
        <f>'Necesidades Trimestrales'!E85</f>
        <v>UNIDAD</v>
      </c>
      <c r="F87" s="50">
        <f>+'Necesidades Trimestrales'!G85</f>
        <v>1050</v>
      </c>
      <c r="G87" s="51">
        <f>+'Necesidades Trimestrales'!F85</f>
        <v>10</v>
      </c>
    </row>
    <row r="88" spans="1:7" ht="20.25" customHeight="1" thickBot="1" x14ac:dyDescent="0.25">
      <c r="A88" s="46">
        <v>77</v>
      </c>
      <c r="B88" s="52">
        <v>295</v>
      </c>
      <c r="C88" s="47" t="str">
        <f>+'Necesidades Trimestrales'!D86</f>
        <v>CANULA P/TRAQUEOST.(PED.) C/B N°4-5</v>
      </c>
      <c r="D88" s="53" t="s">
        <v>55</v>
      </c>
      <c r="E88" s="49" t="str">
        <f>'Necesidades Trimestrales'!E86</f>
        <v>UNIDAD</v>
      </c>
      <c r="F88" s="50">
        <f>+'Necesidades Trimestrales'!G86</f>
        <v>1050</v>
      </c>
      <c r="G88" s="51">
        <f>+'Necesidades Trimestrales'!F86</f>
        <v>10</v>
      </c>
    </row>
    <row r="89" spans="1:7" ht="20.25" customHeight="1" thickBot="1" x14ac:dyDescent="0.25">
      <c r="A89" s="46">
        <v>78</v>
      </c>
      <c r="B89" s="52">
        <v>295</v>
      </c>
      <c r="C89" s="47" t="str">
        <f>+'Necesidades Trimestrales'!D87</f>
        <v>CANULA P/TRAQUEOST.(PED.) C/B N°5</v>
      </c>
      <c r="D89" s="53" t="s">
        <v>55</v>
      </c>
      <c r="E89" s="49" t="str">
        <f>'Necesidades Trimestrales'!E87</f>
        <v>UNIDAD</v>
      </c>
      <c r="F89" s="50">
        <f>+'Necesidades Trimestrales'!G87</f>
        <v>1050</v>
      </c>
      <c r="G89" s="51">
        <f>+'Necesidades Trimestrales'!F87</f>
        <v>10</v>
      </c>
    </row>
    <row r="90" spans="1:7" ht="20.25" customHeight="1" thickBot="1" x14ac:dyDescent="0.25">
      <c r="A90" s="46">
        <v>79</v>
      </c>
      <c r="B90" s="52">
        <v>295</v>
      </c>
      <c r="C90" s="47" t="str">
        <f>+'Necesidades Trimestrales'!D88</f>
        <v>CLAVIJAS DE ACERO 2MM X 20CM</v>
      </c>
      <c r="D90" s="53" t="s">
        <v>55</v>
      </c>
      <c r="E90" s="49" t="str">
        <f>'Necesidades Trimestrales'!E88</f>
        <v>UNIDAD</v>
      </c>
      <c r="F90" s="50">
        <f>+'Necesidades Trimestrales'!G88</f>
        <v>750</v>
      </c>
      <c r="G90" s="51">
        <f>+'Necesidades Trimestrales'!F88</f>
        <v>50</v>
      </c>
    </row>
    <row r="91" spans="1:7" ht="20.25" customHeight="1" thickBot="1" x14ac:dyDescent="0.25">
      <c r="A91" s="46">
        <v>80</v>
      </c>
      <c r="B91" s="52">
        <v>295</v>
      </c>
      <c r="C91" s="47" t="str">
        <f>+'Necesidades Trimestrales'!D89</f>
        <v>CLAVIJAS ULTRAFINA 0,5MM</v>
      </c>
      <c r="D91" s="53" t="s">
        <v>55</v>
      </c>
      <c r="E91" s="49" t="str">
        <f>'Necesidades Trimestrales'!E89</f>
        <v>UNIDAD</v>
      </c>
      <c r="F91" s="50">
        <f>+'Necesidades Trimestrales'!G89</f>
        <v>750</v>
      </c>
      <c r="G91" s="51">
        <f>+'Necesidades Trimestrales'!F89</f>
        <v>200</v>
      </c>
    </row>
    <row r="92" spans="1:7" ht="20.25" customHeight="1" thickBot="1" x14ac:dyDescent="0.25">
      <c r="A92" s="46">
        <v>81</v>
      </c>
      <c r="B92" s="52">
        <v>295</v>
      </c>
      <c r="C92" s="47" t="str">
        <f>+'Necesidades Trimestrales'!D90</f>
        <v>CLAVIJAS ULTRAFINA 1MM</v>
      </c>
      <c r="D92" s="53" t="s">
        <v>55</v>
      </c>
      <c r="E92" s="49" t="str">
        <f>'Necesidades Trimestrales'!E90</f>
        <v>UNIDAD</v>
      </c>
      <c r="F92" s="50">
        <f>+'Necesidades Trimestrales'!G90</f>
        <v>750</v>
      </c>
      <c r="G92" s="51">
        <f>+'Necesidades Trimestrales'!F90</f>
        <v>200</v>
      </c>
    </row>
    <row r="93" spans="1:7" ht="20.25" customHeight="1" thickBot="1" x14ac:dyDescent="0.25">
      <c r="A93" s="46">
        <v>82</v>
      </c>
      <c r="B93" s="52">
        <v>295</v>
      </c>
      <c r="C93" s="47" t="str">
        <f>+'Necesidades Trimestrales'!D91</f>
        <v>COLECTORES DE ORINA PED.BOLSA X 1</v>
      </c>
      <c r="D93" s="53" t="s">
        <v>55</v>
      </c>
      <c r="E93" s="49" t="str">
        <f>'Necesidades Trimestrales'!E91</f>
        <v>UNIDAD</v>
      </c>
      <c r="F93" s="50">
        <f>+'Necesidades Trimestrales'!G91</f>
        <v>25</v>
      </c>
      <c r="G93" s="51">
        <f>+'Necesidades Trimestrales'!F91</f>
        <v>3000</v>
      </c>
    </row>
    <row r="94" spans="1:7" ht="20.25" customHeight="1" thickBot="1" x14ac:dyDescent="0.25">
      <c r="A94" s="46">
        <v>83</v>
      </c>
      <c r="B94" s="52">
        <v>295</v>
      </c>
      <c r="C94" s="47" t="str">
        <f>+'Necesidades Trimestrales'!D92</f>
        <v>EQ.P/ADM.FRACC.SANG.C/MACRO Y FILTRO V-104</v>
      </c>
      <c r="D94" s="53" t="s">
        <v>55</v>
      </c>
      <c r="E94" s="49" t="str">
        <f>'Necesidades Trimestrales'!E92</f>
        <v>UNIDAD</v>
      </c>
      <c r="F94" s="50">
        <f>+'Necesidades Trimestrales'!G92</f>
        <v>980</v>
      </c>
      <c r="G94" s="51">
        <f>+'Necesidades Trimestrales'!F92</f>
        <v>50</v>
      </c>
    </row>
    <row r="95" spans="1:7" ht="20.25" customHeight="1" thickBot="1" x14ac:dyDescent="0.25">
      <c r="A95" s="46">
        <v>84</v>
      </c>
      <c r="B95" s="52">
        <v>295</v>
      </c>
      <c r="C95" s="47" t="str">
        <f>+'Necesidades Trimestrales'!D93</f>
        <v>PROLONGADOR 30CM PT 2603 T/KOLER</v>
      </c>
      <c r="D95" s="53" t="s">
        <v>55</v>
      </c>
      <c r="E95" s="49" t="str">
        <f>'Necesidades Trimestrales'!E93</f>
        <v>UNIDAD</v>
      </c>
      <c r="F95" s="50">
        <f>+'Necesidades Trimestrales'!G93</f>
        <v>31</v>
      </c>
      <c r="G95" s="51">
        <f>+'Necesidades Trimestrales'!F93</f>
        <v>2500</v>
      </c>
    </row>
    <row r="96" spans="1:7" ht="20.25" customHeight="1" thickBot="1" x14ac:dyDescent="0.25">
      <c r="A96" s="46">
        <v>85</v>
      </c>
      <c r="B96" s="52">
        <v>295</v>
      </c>
      <c r="C96" s="47" t="str">
        <f>+'Necesidades Trimestrales'!D94</f>
        <v>PROLONGADOR 30CM PT 2605 T/KOLER</v>
      </c>
      <c r="D96" s="53" t="s">
        <v>55</v>
      </c>
      <c r="E96" s="49" t="str">
        <f>'Necesidades Trimestrales'!E94</f>
        <v>UNIDAD</v>
      </c>
      <c r="F96" s="50">
        <f>+'Necesidades Trimestrales'!G94</f>
        <v>31</v>
      </c>
      <c r="G96" s="51">
        <f>+'Necesidades Trimestrales'!F94</f>
        <v>2500</v>
      </c>
    </row>
    <row r="97" spans="1:7" ht="20.25" customHeight="1" thickBot="1" x14ac:dyDescent="0.25">
      <c r="A97" s="46">
        <v>86</v>
      </c>
      <c r="B97" s="52">
        <v>295</v>
      </c>
      <c r="C97" s="47" t="str">
        <f>+'Necesidades Trimestrales'!D95</f>
        <v>SENSOR OXIGENO ADULTO T/OXIMAX</v>
      </c>
      <c r="D97" s="53" t="s">
        <v>55</v>
      </c>
      <c r="E97" s="49" t="str">
        <f>'Necesidades Trimestrales'!E95</f>
        <v>UNIDAD</v>
      </c>
      <c r="F97" s="50">
        <f>+'Necesidades Trimestrales'!G95</f>
        <v>1100</v>
      </c>
      <c r="G97" s="51">
        <f>+'Necesidades Trimestrales'!F95</f>
        <v>50</v>
      </c>
    </row>
    <row r="98" spans="1:7" ht="20.25" customHeight="1" thickBot="1" x14ac:dyDescent="0.25">
      <c r="A98" s="46">
        <v>87</v>
      </c>
      <c r="B98" s="52">
        <v>295</v>
      </c>
      <c r="C98" s="47" t="str">
        <f>+'Necesidades Trimestrales'!D96</f>
        <v>SENSOR OXIGENO NEONATAL T/OXIMAX</v>
      </c>
      <c r="D98" s="53" t="s">
        <v>55</v>
      </c>
      <c r="E98" s="49" t="str">
        <f>'Necesidades Trimestrales'!E96</f>
        <v>UNIDAD</v>
      </c>
      <c r="F98" s="50">
        <f>+'Necesidades Trimestrales'!G96</f>
        <v>1100</v>
      </c>
      <c r="G98" s="51">
        <f>+'Necesidades Trimestrales'!F96</f>
        <v>50</v>
      </c>
    </row>
    <row r="99" spans="1:7" ht="20.25" customHeight="1" thickBot="1" x14ac:dyDescent="0.25">
      <c r="A99" s="46">
        <v>88</v>
      </c>
      <c r="B99" s="52">
        <v>295</v>
      </c>
      <c r="C99" s="47" t="str">
        <f>+'Necesidades Trimestrales'!D97</f>
        <v>SET.P/CATET.VENA CENTRAL 5FR/13CM 2 LUM</v>
      </c>
      <c r="D99" s="53" t="s">
        <v>55</v>
      </c>
      <c r="E99" s="49" t="str">
        <f>'Necesidades Trimestrales'!E97</f>
        <v>UNIDAD</v>
      </c>
      <c r="F99" s="50">
        <f>+'Necesidades Trimestrales'!G97</f>
        <v>11250</v>
      </c>
      <c r="G99" s="51">
        <f>+'Necesidades Trimestrales'!F97</f>
        <v>15</v>
      </c>
    </row>
    <row r="100" spans="1:7" ht="20.25" customHeight="1" thickBot="1" x14ac:dyDescent="0.25">
      <c r="A100" s="46">
        <v>89</v>
      </c>
      <c r="B100" s="52">
        <v>295</v>
      </c>
      <c r="C100" s="47" t="str">
        <f>+'Necesidades Trimestrales'!D98</f>
        <v>SET.P/CATET.VENA CENTRAL 5FR/30CM 2 LUM</v>
      </c>
      <c r="D100" s="53" t="s">
        <v>55</v>
      </c>
      <c r="E100" s="49" t="str">
        <f>'Necesidades Trimestrales'!E98</f>
        <v>UNIDAD</v>
      </c>
      <c r="F100" s="50">
        <f>+'Necesidades Trimestrales'!G98</f>
        <v>3500</v>
      </c>
      <c r="G100" s="51">
        <f>+'Necesidades Trimestrales'!F98</f>
        <v>15</v>
      </c>
    </row>
    <row r="101" spans="1:7" ht="20.25" customHeight="1" thickBot="1" x14ac:dyDescent="0.25">
      <c r="A101" s="46">
        <v>90</v>
      </c>
      <c r="B101" s="52">
        <v>295</v>
      </c>
      <c r="C101" s="47" t="str">
        <f>+'Necesidades Trimestrales'!D99</f>
        <v>SONDA GASTRICA SIL.PURA SP391-10</v>
      </c>
      <c r="D101" s="53" t="s">
        <v>55</v>
      </c>
      <c r="E101" s="49" t="str">
        <f>'Necesidades Trimestrales'!E99</f>
        <v>UNIDAD</v>
      </c>
      <c r="F101" s="50">
        <f>+'Necesidades Trimestrales'!G99</f>
        <v>1000</v>
      </c>
      <c r="G101" s="51">
        <f>+'Necesidades Trimestrales'!F99</f>
        <v>30</v>
      </c>
    </row>
    <row r="102" spans="1:7" ht="20.25" customHeight="1" thickBot="1" x14ac:dyDescent="0.25">
      <c r="A102" s="46">
        <v>91</v>
      </c>
      <c r="B102" s="52">
        <v>295</v>
      </c>
      <c r="C102" s="47" t="str">
        <f>+'Necesidades Trimestrales'!D100</f>
        <v>SONDA GASTRICA SIL.PURA SP391-12</v>
      </c>
      <c r="D102" s="53" t="s">
        <v>55</v>
      </c>
      <c r="E102" s="49" t="str">
        <f>'Necesidades Trimestrales'!E100</f>
        <v>UNIDAD</v>
      </c>
      <c r="F102" s="50">
        <f>+'Necesidades Trimestrales'!G100</f>
        <v>1000</v>
      </c>
      <c r="G102" s="51">
        <f>+'Necesidades Trimestrales'!F100</f>
        <v>30</v>
      </c>
    </row>
    <row r="103" spans="1:7" ht="20.25" customHeight="1" thickBot="1" x14ac:dyDescent="0.25">
      <c r="A103" s="46">
        <v>92</v>
      </c>
      <c r="B103" s="52">
        <v>295</v>
      </c>
      <c r="C103" s="47" t="str">
        <f>+'Necesidades Trimestrales'!D101</f>
        <v>SONDA GASTRICA SIL.PURA SP391-14</v>
      </c>
      <c r="D103" s="53" t="s">
        <v>55</v>
      </c>
      <c r="E103" s="49" t="str">
        <f>'Necesidades Trimestrales'!E101</f>
        <v>UNIDAD</v>
      </c>
      <c r="F103" s="50">
        <f>+'Necesidades Trimestrales'!G101</f>
        <v>1000</v>
      </c>
      <c r="G103" s="51">
        <f>+'Necesidades Trimestrales'!F101</f>
        <v>30</v>
      </c>
    </row>
    <row r="104" spans="1:7" ht="20.25" customHeight="1" thickBot="1" x14ac:dyDescent="0.25">
      <c r="A104" s="46">
        <v>93</v>
      </c>
      <c r="B104" s="52">
        <v>295</v>
      </c>
      <c r="C104" s="47" t="str">
        <f>+'Necesidades Trimestrales'!D102</f>
        <v>SONDA GASTRICA SIL.PURA SP392-07</v>
      </c>
      <c r="D104" s="53" t="s">
        <v>55</v>
      </c>
      <c r="E104" s="49" t="str">
        <f>'Necesidades Trimestrales'!E102</f>
        <v>UNIDAD</v>
      </c>
      <c r="F104" s="50">
        <f>+'Necesidades Trimestrales'!G102</f>
        <v>800</v>
      </c>
      <c r="G104" s="51">
        <f>+'Necesidades Trimestrales'!F102</f>
        <v>100</v>
      </c>
    </row>
    <row r="105" spans="1:7" ht="20.25" customHeight="1" thickBot="1" x14ac:dyDescent="0.25">
      <c r="A105" s="46">
        <v>94</v>
      </c>
      <c r="B105" s="52">
        <v>295</v>
      </c>
      <c r="C105" s="47" t="str">
        <f>+'Necesidades Trimestrales'!D103</f>
        <v>SONDA GASTRICA SIL.PURA SP392-09</v>
      </c>
      <c r="D105" s="53" t="s">
        <v>55</v>
      </c>
      <c r="E105" s="49" t="str">
        <f>'Necesidades Trimestrales'!E103</f>
        <v>UNIDAD</v>
      </c>
      <c r="F105" s="50">
        <f>+'Necesidades Trimestrales'!G103</f>
        <v>800</v>
      </c>
      <c r="G105" s="51">
        <f>+'Necesidades Trimestrales'!F103</f>
        <v>100</v>
      </c>
    </row>
    <row r="106" spans="1:7" ht="20.25" customHeight="1" thickBot="1" x14ac:dyDescent="0.25">
      <c r="A106" s="46">
        <v>95</v>
      </c>
      <c r="B106" s="52">
        <v>295</v>
      </c>
      <c r="C106" s="47" t="str">
        <f>+'Necesidades Trimestrales'!D104</f>
        <v>TERMOMETRO DIGITAL</v>
      </c>
      <c r="D106" s="53" t="s">
        <v>55</v>
      </c>
      <c r="E106" s="49" t="str">
        <f>'Necesidades Trimestrales'!E104</f>
        <v>UNIDAD</v>
      </c>
      <c r="F106" s="50">
        <f>+'Necesidades Trimestrales'!G104</f>
        <v>700</v>
      </c>
      <c r="G106" s="51">
        <f>+'Necesidades Trimestrales'!F104</f>
        <v>200</v>
      </c>
    </row>
    <row r="107" spans="1:7" ht="20.25" customHeight="1" thickBot="1" x14ac:dyDescent="0.25">
      <c r="A107" s="46">
        <v>96</v>
      </c>
      <c r="B107" s="52">
        <v>295</v>
      </c>
      <c r="C107" s="47" t="str">
        <f>+'Necesidades Trimestrales'!D105</f>
        <v>TIRAS REACTIVAS ONN CALL PLUS X 50</v>
      </c>
      <c r="D107" s="53" t="s">
        <v>55</v>
      </c>
      <c r="E107" s="49" t="str">
        <f>'Necesidades Trimestrales'!E105</f>
        <v>UNIDAD</v>
      </c>
      <c r="F107" s="50">
        <f>+'Necesidades Trimestrales'!G105</f>
        <v>1845</v>
      </c>
      <c r="G107" s="51">
        <f>+'Necesidades Trimestrales'!F105</f>
        <v>50</v>
      </c>
    </row>
    <row r="108" spans="1:7" ht="20.25" customHeight="1" thickBot="1" x14ac:dyDescent="0.25">
      <c r="A108" s="46">
        <v>97</v>
      </c>
      <c r="B108" s="52">
        <v>295</v>
      </c>
      <c r="C108" s="47" t="str">
        <f>+'Necesidades Trimestrales'!D106</f>
        <v>TUBO ENDOTRAQ,C/B N°4-0</v>
      </c>
      <c r="D108" s="53" t="s">
        <v>55</v>
      </c>
      <c r="E108" s="49" t="str">
        <f>'Necesidades Trimestrales'!E106</f>
        <v>UNIDAD</v>
      </c>
      <c r="F108" s="50">
        <f>+'Necesidades Trimestrales'!G106</f>
        <v>230.79</v>
      </c>
      <c r="G108" s="51">
        <f>+'Necesidades Trimestrales'!F106</f>
        <v>100</v>
      </c>
    </row>
    <row r="109" spans="1:7" ht="20.25" customHeight="1" thickBot="1" x14ac:dyDescent="0.25">
      <c r="A109" s="46">
        <v>98</v>
      </c>
      <c r="B109" s="52">
        <v>295</v>
      </c>
      <c r="C109" s="47" t="str">
        <f>+'Necesidades Trimestrales'!D107</f>
        <v xml:space="preserve">TUBO ENDOTRAQ,C/B N°4 1/2 </v>
      </c>
      <c r="D109" s="53" t="s">
        <v>55</v>
      </c>
      <c r="E109" s="49" t="str">
        <f>'Necesidades Trimestrales'!E107</f>
        <v>UNIDAD</v>
      </c>
      <c r="F109" s="50">
        <f>+'Necesidades Trimestrales'!G107</f>
        <v>230.79</v>
      </c>
      <c r="G109" s="51">
        <f>+'Necesidades Trimestrales'!F107</f>
        <v>100</v>
      </c>
    </row>
    <row r="110" spans="1:7" ht="20.25" customHeight="1" thickBot="1" x14ac:dyDescent="0.25">
      <c r="A110" s="46">
        <v>99</v>
      </c>
      <c r="B110" s="52">
        <v>295</v>
      </c>
      <c r="C110" s="47" t="str">
        <f>+'Necesidades Trimestrales'!D108</f>
        <v>TUBO ENDOTRAQ,C/B N°5-0</v>
      </c>
      <c r="D110" s="53" t="s">
        <v>55</v>
      </c>
      <c r="E110" s="49" t="str">
        <f>'Necesidades Trimestrales'!E108</f>
        <v>UNIDAD</v>
      </c>
      <c r="F110" s="50">
        <f>+'Necesidades Trimestrales'!G108</f>
        <v>230.79</v>
      </c>
      <c r="G110" s="51">
        <f>+'Necesidades Trimestrales'!F108</f>
        <v>100</v>
      </c>
    </row>
    <row r="111" spans="1:7" ht="20.25" customHeight="1" thickBot="1" x14ac:dyDescent="0.25">
      <c r="A111" s="46">
        <v>100</v>
      </c>
      <c r="B111" s="52">
        <v>295</v>
      </c>
      <c r="C111" s="47" t="str">
        <f>+'Necesidades Trimestrales'!D109</f>
        <v>TUBO ENDOTRAQ,C/B N°5 1/2</v>
      </c>
      <c r="D111" s="53" t="s">
        <v>55</v>
      </c>
      <c r="E111" s="49" t="str">
        <f>'Necesidades Trimestrales'!E109</f>
        <v>UNIDAD</v>
      </c>
      <c r="F111" s="50">
        <f>+'Necesidades Trimestrales'!G109</f>
        <v>230.79</v>
      </c>
      <c r="G111" s="51">
        <f>+'Necesidades Trimestrales'!F109</f>
        <v>100</v>
      </c>
    </row>
    <row r="112" spans="1:7" ht="20.25" customHeight="1" thickBot="1" x14ac:dyDescent="0.25">
      <c r="A112" s="46">
        <v>101</v>
      </c>
      <c r="B112" s="52">
        <v>295</v>
      </c>
      <c r="C112" s="47" t="str">
        <f>+'Necesidades Trimestrales'!D110</f>
        <v>TUBO ENDOTRAQ,C/B N°6-5</v>
      </c>
      <c r="D112" s="53" t="s">
        <v>55</v>
      </c>
      <c r="E112" s="49" t="str">
        <f>'Necesidades Trimestrales'!E110</f>
        <v>UNIDAD</v>
      </c>
      <c r="F112" s="50">
        <f>+'Necesidades Trimestrales'!G110</f>
        <v>230.78</v>
      </c>
      <c r="G112" s="51">
        <f>+'Necesidades Trimestrales'!F110</f>
        <v>100</v>
      </c>
    </row>
    <row r="113" spans="1:7" ht="20.25" customHeight="1" thickBot="1" x14ac:dyDescent="0.25">
      <c r="A113" s="46">
        <v>102</v>
      </c>
      <c r="B113" s="52">
        <v>299</v>
      </c>
      <c r="C113" s="47" t="str">
        <f>+'Necesidades Trimestrales'!D111</f>
        <v>PAÑALES DESC.ELAST.EXTRA GRANDE X 1</v>
      </c>
      <c r="D113" s="53" t="s">
        <v>55</v>
      </c>
      <c r="E113" s="49" t="str">
        <f>'Necesidades Trimestrales'!E111</f>
        <v>UNIDAD</v>
      </c>
      <c r="F113" s="50">
        <f>+'Necesidades Trimestrales'!G111</f>
        <v>65.23</v>
      </c>
      <c r="G113" s="51">
        <f>+'Necesidades Trimestrales'!F111</f>
        <v>1000</v>
      </c>
    </row>
    <row r="114" spans="1:7" ht="20.25" customHeight="1" thickBot="1" x14ac:dyDescent="0.25">
      <c r="A114" s="46">
        <v>103</v>
      </c>
      <c r="B114" s="52">
        <v>299</v>
      </c>
      <c r="C114" s="47" t="str">
        <f>+'Necesidades Trimestrales'!D112</f>
        <v>PAÑALES DESC.ELAST.GRANDE X 1</v>
      </c>
      <c r="D114" s="53" t="s">
        <v>55</v>
      </c>
      <c r="E114" s="49" t="str">
        <f>'Necesidades Trimestrales'!E112</f>
        <v>UNIDAD</v>
      </c>
      <c r="F114" s="50">
        <f>+'Necesidades Trimestrales'!G112</f>
        <v>19</v>
      </c>
      <c r="G114" s="51">
        <f>+'Necesidades Trimestrales'!F112</f>
        <v>1500</v>
      </c>
    </row>
    <row r="115" spans="1:7" ht="20.25" customHeight="1" thickBot="1" x14ac:dyDescent="0.25">
      <c r="A115" s="46">
        <v>104</v>
      </c>
      <c r="B115" s="52">
        <v>299</v>
      </c>
      <c r="C115" s="47" t="str">
        <f>+'Necesidades Trimestrales'!D113</f>
        <v>PAÑALES DESC.ELAST.MEDIANOS X 1</v>
      </c>
      <c r="D115" s="53" t="s">
        <v>55</v>
      </c>
      <c r="E115" s="49" t="str">
        <f>'Necesidades Trimestrales'!E113</f>
        <v>UNIDAD</v>
      </c>
      <c r="F115" s="50">
        <f>+'Necesidades Trimestrales'!G113</f>
        <v>19</v>
      </c>
      <c r="G115" s="51">
        <f>+'Necesidades Trimestrales'!F113</f>
        <v>1500</v>
      </c>
    </row>
    <row r="116" spans="1:7" ht="20.25" customHeight="1" thickBot="1" x14ac:dyDescent="0.25">
      <c r="A116" s="46">
        <v>105</v>
      </c>
      <c r="B116" s="52">
        <v>299</v>
      </c>
      <c r="C116" s="47" t="str">
        <f>+'Necesidades Trimestrales'!D114</f>
        <v>PAÑALES DESC.ELAST.P/ADULTO</v>
      </c>
      <c r="D116" s="53" t="s">
        <v>55</v>
      </c>
      <c r="E116" s="49" t="str">
        <f>'Necesidades Trimestrales'!E114</f>
        <v>UNIDAD</v>
      </c>
      <c r="F116" s="50">
        <f>+'Necesidades Trimestrales'!G114</f>
        <v>61.87</v>
      </c>
      <c r="G116" s="51">
        <f>+'Necesidades Trimestrales'!F114</f>
        <v>1500</v>
      </c>
    </row>
    <row r="117" spans="1:7" ht="20.25" customHeight="1" thickBot="1" x14ac:dyDescent="0.25">
      <c r="A117" s="46">
        <v>106</v>
      </c>
      <c r="B117" s="52">
        <v>295</v>
      </c>
      <c r="C117" s="47" t="str">
        <f>+'Necesidades Trimestrales'!D115</f>
        <v>VENDA YESO F/RAPIDO 10X4MT ROLLO X 1 T/FAVE</v>
      </c>
      <c r="D117" s="53" t="s">
        <v>55</v>
      </c>
      <c r="E117" s="49" t="str">
        <f>'Necesidades Trimestrales'!E115</f>
        <v>UNIDAD</v>
      </c>
      <c r="F117" s="50">
        <f>+'Necesidades Trimestrales'!G115</f>
        <v>156.87</v>
      </c>
      <c r="G117" s="51">
        <f>+'Necesidades Trimestrales'!F115</f>
        <v>200</v>
      </c>
    </row>
    <row r="118" spans="1:7" ht="20.25" customHeight="1" thickBot="1" x14ac:dyDescent="0.25">
      <c r="A118" s="46">
        <v>107</v>
      </c>
      <c r="B118" s="52">
        <v>295</v>
      </c>
      <c r="C118" s="47" t="str">
        <f>+'Necesidades Trimestrales'!D116</f>
        <v>CLAVIJAS DE ACERO 1,5MM</v>
      </c>
      <c r="D118" s="53" t="s">
        <v>25</v>
      </c>
      <c r="E118" s="49" t="str">
        <f>'Necesidades Trimestrales'!E116</f>
        <v>UNIDAD</v>
      </c>
      <c r="F118" s="50">
        <f>+'Necesidades Trimestrales'!G116</f>
        <v>750</v>
      </c>
      <c r="G118" s="51">
        <f>+'Necesidades Trimestrales'!F116</f>
        <v>30</v>
      </c>
    </row>
    <row r="119" spans="1:7" ht="20.25" customHeight="1" thickBot="1" x14ac:dyDescent="0.25">
      <c r="A119" s="46">
        <v>108</v>
      </c>
      <c r="B119" s="52">
        <v>295</v>
      </c>
      <c r="C119" s="47" t="str">
        <f>+'Necesidades Trimestrales'!D117</f>
        <v>SUT.ABS.T/VICRYL N°3-0 J305H X 1</v>
      </c>
      <c r="D119" s="53" t="s">
        <v>55</v>
      </c>
      <c r="E119" s="49" t="str">
        <f>'Necesidades Trimestrales'!E117</f>
        <v>UNIDAD</v>
      </c>
      <c r="F119" s="50">
        <f>+'Necesidades Trimestrales'!G117</f>
        <v>195</v>
      </c>
      <c r="G119" s="51">
        <f>+'Necesidades Trimestrales'!F117</f>
        <v>100</v>
      </c>
    </row>
    <row r="120" spans="1:7" ht="20.25" customHeight="1" thickBot="1" x14ac:dyDescent="0.25">
      <c r="A120" s="46">
        <v>109</v>
      </c>
      <c r="B120" s="52">
        <v>295</v>
      </c>
      <c r="C120" s="47" t="str">
        <f>+'Necesidades Trimestrales'!D118</f>
        <v>SUT.ABS.T/VICRYL N°3-0 J338H X 1</v>
      </c>
      <c r="D120" s="53" t="s">
        <v>55</v>
      </c>
      <c r="E120" s="49" t="str">
        <f>'Necesidades Trimestrales'!E118</f>
        <v>UNIDAD</v>
      </c>
      <c r="F120" s="50">
        <f>+'Necesidades Trimestrales'!G118</f>
        <v>195</v>
      </c>
      <c r="G120" s="51">
        <f>+'Necesidades Trimestrales'!F118</f>
        <v>100</v>
      </c>
    </row>
    <row r="121" spans="1:7" ht="20.25" customHeight="1" thickBot="1" x14ac:dyDescent="0.25">
      <c r="A121" s="46">
        <v>110</v>
      </c>
      <c r="B121" s="52">
        <v>295</v>
      </c>
      <c r="C121" s="47" t="str">
        <f>+'Necesidades Trimestrales'!D119</f>
        <v>SUT.ABS.T/VICRYL N°4-0 J304H X 1</v>
      </c>
      <c r="D121" s="53" t="s">
        <v>55</v>
      </c>
      <c r="E121" s="49" t="str">
        <f>'Necesidades Trimestrales'!E119</f>
        <v>UNIDAD</v>
      </c>
      <c r="F121" s="50">
        <f>+'Necesidades Trimestrales'!G119</f>
        <v>200</v>
      </c>
      <c r="G121" s="51">
        <f>+'Necesidades Trimestrales'!F119</f>
        <v>100</v>
      </c>
    </row>
    <row r="122" spans="1:7" ht="20.25" customHeight="1" thickBot="1" x14ac:dyDescent="0.25">
      <c r="A122" s="46">
        <v>111</v>
      </c>
      <c r="B122" s="52">
        <v>295</v>
      </c>
      <c r="C122" s="47" t="str">
        <f>+'Necesidades Trimestrales'!D120</f>
        <v>SUT.ABS.T/VICRYL N°4-0 J315H X 1</v>
      </c>
      <c r="D122" s="53" t="s">
        <v>55</v>
      </c>
      <c r="E122" s="49" t="str">
        <f>'Necesidades Trimestrales'!E120</f>
        <v>UNIDAD</v>
      </c>
      <c r="F122" s="50">
        <f>+'Necesidades Trimestrales'!G120</f>
        <v>124.2</v>
      </c>
      <c r="G122" s="51">
        <f>+'Necesidades Trimestrales'!F120</f>
        <v>100</v>
      </c>
    </row>
    <row r="123" spans="1:7" ht="20.25" customHeight="1" thickBot="1" x14ac:dyDescent="0.25">
      <c r="A123" s="46">
        <v>112</v>
      </c>
      <c r="B123" s="52">
        <v>295</v>
      </c>
      <c r="C123" s="47" t="str">
        <f>+'Necesidades Trimestrales'!D121</f>
        <v>SUT.ABS.T/VICRYL N°5-0 J303H X 1</v>
      </c>
      <c r="D123" s="53" t="s">
        <v>55</v>
      </c>
      <c r="E123" s="49" t="str">
        <f>'Necesidades Trimestrales'!E121</f>
        <v>UNIDAD</v>
      </c>
      <c r="F123" s="50">
        <f>+'Necesidades Trimestrales'!G121</f>
        <v>238.1</v>
      </c>
      <c r="G123" s="51">
        <f>+'Necesidades Trimestrales'!F121</f>
        <v>100</v>
      </c>
    </row>
    <row r="124" spans="1:7" ht="20.25" customHeight="1" thickBot="1" x14ac:dyDescent="0.25">
      <c r="A124" s="46">
        <v>113</v>
      </c>
      <c r="B124" s="52">
        <v>295</v>
      </c>
      <c r="C124" s="47" t="str">
        <f>+'Necesidades Trimestrales'!D122</f>
        <v>SUT.ABS.T/VICRYL N°5-0 J314H X 1</v>
      </c>
      <c r="D124" s="53" t="s">
        <v>55</v>
      </c>
      <c r="E124" s="49" t="str">
        <f>'Necesidades Trimestrales'!E122</f>
        <v>UNIDAD</v>
      </c>
      <c r="F124" s="50">
        <f>+'Necesidades Trimestrales'!G122</f>
        <v>161.30000000000001</v>
      </c>
      <c r="G124" s="51">
        <f>+'Necesidades Trimestrales'!F122</f>
        <v>100</v>
      </c>
    </row>
    <row r="125" spans="1:7" ht="20.25" customHeight="1" thickBot="1" x14ac:dyDescent="0.25">
      <c r="A125" s="46">
        <v>114</v>
      </c>
      <c r="B125" s="52">
        <v>295</v>
      </c>
      <c r="C125" s="47" t="str">
        <f>+'Necesidades Trimestrales'!D123</f>
        <v>SUT.N/ABS.MONONYLON 2-0 X 1</v>
      </c>
      <c r="D125" s="53" t="s">
        <v>55</v>
      </c>
      <c r="E125" s="49" t="str">
        <f>'Necesidades Trimestrales'!E123</f>
        <v>UNIDAD</v>
      </c>
      <c r="F125" s="50">
        <f>+'Necesidades Trimestrales'!G123</f>
        <v>180.96</v>
      </c>
      <c r="G125" s="51">
        <f>+'Necesidades Trimestrales'!F123</f>
        <v>100</v>
      </c>
    </row>
    <row r="126" spans="1:7" ht="20.25" customHeight="1" thickBot="1" x14ac:dyDescent="0.25">
      <c r="A126" s="46">
        <v>115</v>
      </c>
      <c r="B126" s="52">
        <v>295</v>
      </c>
      <c r="C126" s="47" t="str">
        <f>+'Necesidades Trimestrales'!D124</f>
        <v>SUT.N/ABS.MONONYLON 3-0 X 1</v>
      </c>
      <c r="D126" s="53" t="s">
        <v>55</v>
      </c>
      <c r="E126" s="49" t="str">
        <f>'Necesidades Trimestrales'!E124</f>
        <v>UNIDAD</v>
      </c>
      <c r="F126" s="50">
        <f>+'Necesidades Trimestrales'!G124</f>
        <v>180.96</v>
      </c>
      <c r="G126" s="51">
        <f>+'Necesidades Trimestrales'!F124</f>
        <v>100</v>
      </c>
    </row>
    <row r="127" spans="1:7" ht="20.25" customHeight="1" thickBot="1" x14ac:dyDescent="0.25">
      <c r="A127" s="46">
        <v>116</v>
      </c>
      <c r="B127" s="52">
        <v>295</v>
      </c>
      <c r="C127" s="47" t="str">
        <f>+'Necesidades Trimestrales'!D125</f>
        <v>SUT.N/ABS.MONONYLON 4-0 X 1</v>
      </c>
      <c r="D127" s="53" t="s">
        <v>55</v>
      </c>
      <c r="E127" s="49" t="str">
        <f>'Necesidades Trimestrales'!E125</f>
        <v>UNIDAD</v>
      </c>
      <c r="F127" s="50">
        <f>+'Necesidades Trimestrales'!G125</f>
        <v>180.96</v>
      </c>
      <c r="G127" s="51">
        <f>+'Necesidades Trimestrales'!F125</f>
        <v>100</v>
      </c>
    </row>
    <row r="128" spans="1:7" ht="20.25" customHeight="1" thickBot="1" x14ac:dyDescent="0.25">
      <c r="A128" s="46">
        <v>117</v>
      </c>
      <c r="B128" s="52">
        <v>295</v>
      </c>
      <c r="C128" s="47" t="str">
        <f>+'Necesidades Trimestrales'!D126</f>
        <v>SUT.N/ABS.MONONYLON 5-0 X 1</v>
      </c>
      <c r="D128" s="53" t="s">
        <v>55</v>
      </c>
      <c r="E128" s="49" t="str">
        <f>'Necesidades Trimestrales'!E126</f>
        <v>UNIDAD</v>
      </c>
      <c r="F128" s="50">
        <f>+'Necesidades Trimestrales'!G126</f>
        <v>180.96</v>
      </c>
      <c r="G128" s="51">
        <f>+'Necesidades Trimestrales'!F126</f>
        <v>100</v>
      </c>
    </row>
    <row r="129" spans="1:7" ht="20.25" customHeight="1" thickBot="1" x14ac:dyDescent="0.25">
      <c r="A129" s="46">
        <v>118</v>
      </c>
      <c r="B129" s="52">
        <v>295</v>
      </c>
      <c r="C129" s="47" t="str">
        <f>+'Necesidades Trimestrales'!D127</f>
        <v>SUT.N/ABS.MONONYLON 6-0 X 1</v>
      </c>
      <c r="D129" s="53" t="s">
        <v>55</v>
      </c>
      <c r="E129" s="49" t="str">
        <f>'Necesidades Trimestrales'!E127</f>
        <v>UNIDAD</v>
      </c>
      <c r="F129" s="50">
        <f>+'Necesidades Trimestrales'!G127</f>
        <v>150</v>
      </c>
      <c r="G129" s="51">
        <f>+'Necesidades Trimestrales'!F127</f>
        <v>100</v>
      </c>
    </row>
    <row r="130" spans="1:7" ht="20.25" customHeight="1" thickBot="1" x14ac:dyDescent="0.25">
      <c r="A130" s="46">
        <v>119</v>
      </c>
      <c r="B130" s="52">
        <v>295</v>
      </c>
      <c r="C130" s="47" t="str">
        <f>+'Necesidades Trimestrales'!D128</f>
        <v>SONDA P/ASPIRACION MUCUS K26P C/REGULADOR</v>
      </c>
      <c r="D130" s="53" t="s">
        <v>55</v>
      </c>
      <c r="E130" s="49" t="str">
        <f>'Necesidades Trimestrales'!E128</f>
        <v>UNIDAD</v>
      </c>
      <c r="F130" s="50">
        <f>+'Necesidades Trimestrales'!G128</f>
        <v>280</v>
      </c>
      <c r="G130" s="51">
        <f>+'Necesidades Trimestrales'!F128</f>
        <v>1500</v>
      </c>
    </row>
    <row r="131" spans="1:7" ht="20.25" customHeight="1" thickBot="1" x14ac:dyDescent="0.25">
      <c r="A131" s="46">
        <v>120</v>
      </c>
      <c r="B131" s="52">
        <v>295</v>
      </c>
      <c r="C131" s="47" t="str">
        <f>+'Necesidades Trimestrales'!D129</f>
        <v>PAPEL UPP 110 S (SONY)</v>
      </c>
      <c r="D131" s="53" t="s">
        <v>55</v>
      </c>
      <c r="E131" s="49" t="str">
        <f>'Necesidades Trimestrales'!E129</f>
        <v>UNIDAD</v>
      </c>
      <c r="F131" s="50">
        <f>+'Necesidades Trimestrales'!G129</f>
        <v>950</v>
      </c>
      <c r="G131" s="51">
        <f>+'Necesidades Trimestrales'!F129</f>
        <v>50</v>
      </c>
    </row>
    <row r="132" spans="1:7" ht="20.25" customHeight="1" thickBot="1" x14ac:dyDescent="0.25">
      <c r="A132" s="46">
        <v>121</v>
      </c>
      <c r="B132" s="52">
        <v>295</v>
      </c>
      <c r="C132" s="47" t="str">
        <f>+'Necesidades Trimestrales'!D130</f>
        <v xml:space="preserve">RECOLECTOR DE AGUJA </v>
      </c>
      <c r="D132" s="53" t="s">
        <v>55</v>
      </c>
      <c r="E132" s="49" t="str">
        <f>'Necesidades Trimestrales'!E130</f>
        <v>UNIDAD</v>
      </c>
      <c r="F132" s="50">
        <f>+'Necesidades Trimestrales'!G130</f>
        <v>149</v>
      </c>
      <c r="G132" s="51">
        <f>+'Necesidades Trimestrales'!F130</f>
        <v>500</v>
      </c>
    </row>
    <row r="133" spans="1:7" ht="20.25" customHeight="1" thickBot="1" x14ac:dyDescent="0.25">
      <c r="A133" s="46">
        <v>122</v>
      </c>
      <c r="B133" s="52">
        <v>295</v>
      </c>
      <c r="C133" s="47" t="str">
        <f>+'Necesidades Trimestrales'!D131</f>
        <v>VENDA YESO F/RAPIDO 15X4MT ROLLO X 1 T/FAVE</v>
      </c>
      <c r="D133" s="53" t="s">
        <v>55</v>
      </c>
      <c r="E133" s="49" t="str">
        <f>'Necesidades Trimestrales'!E131</f>
        <v>UNIDAD</v>
      </c>
      <c r="F133" s="50">
        <f>+'Necesidades Trimestrales'!G131</f>
        <v>120</v>
      </c>
      <c r="G133" s="51">
        <f>+'Necesidades Trimestrales'!F131</f>
        <v>500</v>
      </c>
    </row>
    <row r="134" spans="1:7" ht="20.25" customHeight="1" thickBot="1" x14ac:dyDescent="0.25">
      <c r="A134" s="46">
        <v>123</v>
      </c>
      <c r="B134" s="52">
        <v>295</v>
      </c>
      <c r="C134" s="47" t="str">
        <f>+'Necesidades Trimestrales'!D132</f>
        <v xml:space="preserve">TEGADERM 10X 12 CM. </v>
      </c>
      <c r="D134" s="53" t="s">
        <v>55</v>
      </c>
      <c r="E134" s="49" t="str">
        <f>'Necesidades Trimestrales'!E132</f>
        <v>UNIDAD</v>
      </c>
      <c r="F134" s="50">
        <f>+'Necesidades Trimestrales'!G132</f>
        <v>175</v>
      </c>
      <c r="G134" s="51">
        <f>+'Necesidades Trimestrales'!F132</f>
        <v>300</v>
      </c>
    </row>
    <row r="135" spans="1:7" ht="20.25" customHeight="1" thickBot="1" x14ac:dyDescent="0.25">
      <c r="A135" s="46">
        <v>124</v>
      </c>
      <c r="B135" s="52">
        <v>295</v>
      </c>
      <c r="C135" s="47" t="str">
        <f>+'Necesidades Trimestrales'!D133</f>
        <v>ROLLO DE CINTA TESTIGO PARA CALOR HUMEDO 50 MTS X 18 Mm</v>
      </c>
      <c r="D135" s="53" t="s">
        <v>55</v>
      </c>
      <c r="E135" s="49" t="str">
        <f>'Necesidades Trimestrales'!E133</f>
        <v>UNIDAD</v>
      </c>
      <c r="F135" s="50">
        <f>+'Necesidades Trimestrales'!G133</f>
        <v>335</v>
      </c>
      <c r="G135" s="51">
        <f>+'Necesidades Trimestrales'!F133</f>
        <v>60</v>
      </c>
    </row>
    <row r="136" spans="1:7" ht="20.25" customHeight="1" thickBot="1" x14ac:dyDescent="0.25">
      <c r="A136" s="46">
        <v>125</v>
      </c>
      <c r="B136" s="52">
        <v>295</v>
      </c>
      <c r="C136" s="47" t="str">
        <f>+'Necesidades Trimestrales'!D134</f>
        <v>BOBINA DE PAPEL CREPE 100cm x 100 mts 6kg</v>
      </c>
      <c r="D136" s="67" t="s">
        <v>55</v>
      </c>
      <c r="E136" s="49" t="str">
        <f>'Necesidades Trimestrales'!E134</f>
        <v>UNIDAD</v>
      </c>
      <c r="F136" s="50">
        <f>+'Necesidades Trimestrales'!G134</f>
        <v>4609</v>
      </c>
      <c r="G136" s="51">
        <f>+'Necesidades Trimestrales'!F134</f>
        <v>20</v>
      </c>
    </row>
    <row r="137" spans="1:7" ht="20.25" customHeight="1" thickBot="1" x14ac:dyDescent="0.25">
      <c r="A137" s="46">
        <v>126</v>
      </c>
      <c r="B137" s="52">
        <v>295</v>
      </c>
      <c r="C137" s="47" t="str">
        <f>+'Necesidades Trimestrales'!D135</f>
        <v>BOBINA DE PAPEL KRAFT GRADO MEDICO 60GR/MT2 DE 10 CM X 100MTS 6KG</v>
      </c>
      <c r="D137" s="67" t="s">
        <v>55</v>
      </c>
      <c r="E137" s="49" t="str">
        <f>'Necesidades Trimestrales'!E135</f>
        <v>UNIDAD</v>
      </c>
      <c r="F137" s="50">
        <f>+'Necesidades Trimestrales'!G135</f>
        <v>3384</v>
      </c>
      <c r="G137" s="51">
        <f>+'Necesidades Trimestrales'!F135</f>
        <v>60</v>
      </c>
    </row>
    <row r="138" spans="1:7" ht="20.25" customHeight="1" thickBot="1" x14ac:dyDescent="0.25">
      <c r="A138" s="46">
        <v>127</v>
      </c>
      <c r="B138" s="52">
        <v>295</v>
      </c>
      <c r="C138" s="47" t="str">
        <f>+'Necesidades Trimestrales'!D136</f>
        <v>BARBIJOS N95-TIPO 3M</v>
      </c>
      <c r="D138" s="67" t="s">
        <v>55</v>
      </c>
      <c r="E138" s="49" t="str">
        <f>'Necesidades Trimestrales'!E136</f>
        <v>UNIDAD</v>
      </c>
      <c r="F138" s="50">
        <f>+'Necesidades Trimestrales'!G136</f>
        <v>410</v>
      </c>
      <c r="G138" s="51">
        <f>+'Necesidades Trimestrales'!F136</f>
        <v>3000</v>
      </c>
    </row>
    <row r="139" spans="1:7" ht="25.5" customHeight="1" thickBot="1" x14ac:dyDescent="0.25">
      <c r="A139" s="118" t="s">
        <v>58</v>
      </c>
      <c r="B139" s="119"/>
      <c r="C139" s="119"/>
      <c r="D139" s="119"/>
      <c r="E139" s="119"/>
      <c r="F139" s="120">
        <f>SUMPRODUCT(F12:F138,G12:G138)</f>
        <v>18253938.5</v>
      </c>
      <c r="G139" s="120"/>
    </row>
  </sheetData>
  <mergeCells count="22">
    <mergeCell ref="A139:E139"/>
    <mergeCell ref="F139:G139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6" customWidth="1"/>
    <col min="18" max="18" width="15.42578125" bestFit="1" customWidth="1"/>
    <col min="19" max="19" width="14.42578125" bestFit="1" customWidth="1"/>
  </cols>
  <sheetData>
    <row r="1" spans="1:19" ht="15.75" customHeight="1" x14ac:dyDescent="0.25">
      <c r="A1" s="155" t="s">
        <v>3</v>
      </c>
      <c r="B1" s="155"/>
      <c r="C1" s="155"/>
      <c r="D1" s="156">
        <f>'Necesidades Trimestrales'!C6</f>
        <v>2021</v>
      </c>
      <c r="E1" s="156"/>
      <c r="F1" s="3"/>
      <c r="G1" s="3"/>
      <c r="H1" s="4"/>
      <c r="I1" s="4"/>
      <c r="J1" s="4"/>
      <c r="K1" s="4"/>
      <c r="L1" s="4"/>
      <c r="M1" s="4"/>
      <c r="N1" s="4"/>
      <c r="P1" s="157" t="s">
        <v>26</v>
      </c>
      <c r="Q1" s="157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57"/>
      <c r="Q2" s="157"/>
    </row>
    <row r="4" spans="1:19" s="5" customFormat="1" ht="18" customHeight="1" thickBot="1" x14ac:dyDescent="0.25">
      <c r="A4" s="158" t="s">
        <v>27</v>
      </c>
      <c r="B4" s="158"/>
      <c r="C4" s="158"/>
      <c r="D4" s="158"/>
      <c r="E4" s="158"/>
      <c r="F4" s="158"/>
      <c r="G4" s="153" t="s">
        <v>53</v>
      </c>
      <c r="H4" s="153"/>
      <c r="I4" s="153"/>
      <c r="J4" s="153"/>
      <c r="K4" s="153"/>
      <c r="L4" s="153"/>
      <c r="M4" s="153"/>
      <c r="N4" s="153"/>
      <c r="O4" s="153"/>
      <c r="P4" s="153"/>
      <c r="Q4" s="153"/>
    </row>
    <row r="5" spans="1:19" s="5" customFormat="1" ht="18" customHeight="1" thickBot="1" x14ac:dyDescent="0.25">
      <c r="A5" s="150" t="s">
        <v>50</v>
      </c>
      <c r="B5" s="151"/>
      <c r="C5" s="151"/>
      <c r="D5" s="151"/>
      <c r="E5" s="151"/>
      <c r="F5" s="152"/>
      <c r="G5" s="153" t="s">
        <v>52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19" s="5" customFormat="1" ht="18" customHeight="1" thickBot="1" x14ac:dyDescent="0.25">
      <c r="A6" s="150" t="s">
        <v>28</v>
      </c>
      <c r="B6" s="151"/>
      <c r="C6" s="151"/>
      <c r="D6" s="151"/>
      <c r="E6" s="151"/>
      <c r="F6" s="152"/>
      <c r="G6" s="153" t="s">
        <v>52</v>
      </c>
      <c r="H6" s="153"/>
      <c r="I6" s="153"/>
      <c r="J6" s="153"/>
      <c r="K6" s="153"/>
      <c r="L6" s="153"/>
      <c r="M6" s="153"/>
      <c r="N6" s="153"/>
      <c r="O6" s="153"/>
      <c r="P6" s="153"/>
      <c r="Q6" s="153"/>
    </row>
    <row r="7" spans="1:19" s="5" customFormat="1" ht="18" customHeight="1" thickBot="1" x14ac:dyDescent="0.25">
      <c r="A7" s="150" t="s">
        <v>51</v>
      </c>
      <c r="B7" s="151"/>
      <c r="C7" s="151"/>
      <c r="D7" s="151"/>
      <c r="E7" s="151"/>
      <c r="F7" s="152"/>
      <c r="G7" s="153" t="s">
        <v>199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</row>
    <row r="8" spans="1:19" ht="18" customHeight="1" thickBot="1" x14ac:dyDescent="0.25">
      <c r="A8" s="154" t="s">
        <v>29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 spans="1:19" ht="18" customHeight="1" x14ac:dyDescent="0.2">
      <c r="A9" s="144" t="s">
        <v>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"/>
      <c r="P9" s="1"/>
      <c r="Q9" s="6"/>
    </row>
    <row r="10" spans="1:19" ht="54.75" customHeight="1" x14ac:dyDescent="0.2">
      <c r="A10" s="145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01-20,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46" t="s">
        <v>31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9" ht="15.75" customHeight="1" x14ac:dyDescent="0.2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33</v>
      </c>
      <c r="P13" s="148"/>
      <c r="Q13" s="149" t="s">
        <v>34</v>
      </c>
    </row>
    <row r="14" spans="1:19" ht="15.75" customHeight="1" thickBot="1" x14ac:dyDescent="0.25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48"/>
      <c r="P14" s="148"/>
      <c r="Q14" s="149"/>
    </row>
    <row r="15" spans="1:19" ht="27.75" customHeight="1" x14ac:dyDescent="0.2">
      <c r="A15" s="83">
        <v>36</v>
      </c>
      <c r="B15" s="85"/>
      <c r="C15" s="85"/>
      <c r="D15" s="85">
        <v>1</v>
      </c>
      <c r="E15" s="85"/>
      <c r="F15" s="85">
        <v>4901</v>
      </c>
      <c r="G15" s="85">
        <v>3</v>
      </c>
      <c r="H15" s="85">
        <v>310</v>
      </c>
      <c r="I15" s="87">
        <v>2</v>
      </c>
      <c r="J15" s="87">
        <v>5</v>
      </c>
      <c r="K15" s="87">
        <v>1</v>
      </c>
      <c r="L15" s="85"/>
      <c r="M15" s="85">
        <v>1</v>
      </c>
      <c r="N15" s="57" t="s">
        <v>54</v>
      </c>
      <c r="O15" s="136" t="s">
        <v>195</v>
      </c>
      <c r="P15" s="137"/>
      <c r="Q15" s="97">
        <v>1842675</v>
      </c>
      <c r="R15" s="96"/>
      <c r="S15" s="96"/>
    </row>
    <row r="16" spans="1:19" ht="17.25" customHeight="1" x14ac:dyDescent="0.2">
      <c r="A16" s="88">
        <v>36</v>
      </c>
      <c r="B16" s="84"/>
      <c r="C16" s="84"/>
      <c r="D16" s="89">
        <v>1</v>
      </c>
      <c r="E16" s="84"/>
      <c r="F16" s="89">
        <v>4901</v>
      </c>
      <c r="G16" s="89">
        <v>3</v>
      </c>
      <c r="H16" s="89">
        <v>310</v>
      </c>
      <c r="I16" s="84">
        <v>2</v>
      </c>
      <c r="J16" s="84">
        <v>9</v>
      </c>
      <c r="K16" s="84">
        <v>5</v>
      </c>
      <c r="L16" s="84"/>
      <c r="M16" s="90">
        <v>1</v>
      </c>
      <c r="N16" s="86" t="s">
        <v>54</v>
      </c>
      <c r="O16" s="138" t="s">
        <v>194</v>
      </c>
      <c r="P16" s="139"/>
      <c r="Q16" s="98">
        <v>16188858.5</v>
      </c>
      <c r="S16" s="96"/>
    </row>
    <row r="17" spans="1:18" ht="17.25" customHeight="1" x14ac:dyDescent="0.2">
      <c r="A17" s="88">
        <v>36</v>
      </c>
      <c r="B17" s="84"/>
      <c r="C17" s="84"/>
      <c r="D17" s="89">
        <v>1</v>
      </c>
      <c r="E17" s="84"/>
      <c r="F17" s="89">
        <v>4901</v>
      </c>
      <c r="G17" s="89">
        <v>3</v>
      </c>
      <c r="H17" s="89">
        <v>310</v>
      </c>
      <c r="I17" s="84">
        <v>2</v>
      </c>
      <c r="J17" s="84">
        <v>9</v>
      </c>
      <c r="K17" s="84">
        <v>9</v>
      </c>
      <c r="L17" s="84"/>
      <c r="M17" s="90">
        <v>1</v>
      </c>
      <c r="N17" s="91" t="s">
        <v>54</v>
      </c>
      <c r="O17" s="140" t="s">
        <v>196</v>
      </c>
      <c r="P17" s="141"/>
      <c r="Q17" s="98">
        <v>215035</v>
      </c>
    </row>
    <row r="18" spans="1:18" ht="29.25" customHeight="1" x14ac:dyDescent="0.2">
      <c r="A18" s="16">
        <v>36</v>
      </c>
      <c r="B18" s="17"/>
      <c r="C18" s="17"/>
      <c r="D18" s="17">
        <v>1</v>
      </c>
      <c r="E18" s="17"/>
      <c r="F18" s="17">
        <v>4901</v>
      </c>
      <c r="G18" s="17">
        <v>3</v>
      </c>
      <c r="H18" s="17">
        <v>310</v>
      </c>
      <c r="I18" s="17">
        <v>2</v>
      </c>
      <c r="J18" s="17">
        <v>5</v>
      </c>
      <c r="K18" s="17">
        <v>2</v>
      </c>
      <c r="L18" s="17"/>
      <c r="M18" s="18">
        <v>1</v>
      </c>
      <c r="N18" s="17" t="s">
        <v>54</v>
      </c>
      <c r="O18" s="142" t="s">
        <v>204</v>
      </c>
      <c r="P18" s="143"/>
      <c r="Q18" s="98">
        <v>7370</v>
      </c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39"/>
      <c r="P19" s="139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32"/>
      <c r="P20" s="132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33"/>
      <c r="P21" s="133"/>
      <c r="Q21" s="29"/>
    </row>
    <row r="22" spans="1:18" ht="29.25" customHeight="1" x14ac:dyDescent="0.2">
      <c r="A22" s="134" t="s">
        <v>205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30">
        <f>SUM(Q15:Q21)</f>
        <v>18253938.5</v>
      </c>
    </row>
    <row r="23" spans="1:18" ht="18" customHeight="1" thickBot="1" x14ac:dyDescent="0.25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  <row r="24" spans="1:18" ht="17.25" customHeight="1" thickBot="1" x14ac:dyDescent="0.25">
      <c r="A24" s="127" t="s">
        <v>48</v>
      </c>
      <c r="B24" s="128"/>
      <c r="C24" s="128"/>
      <c r="D24" s="128"/>
      <c r="E24" s="128"/>
      <c r="F24" s="129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18" customHeight="1" thickBot="1" x14ac:dyDescent="0.25">
      <c r="A25" s="131" t="s">
        <v>201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8" ht="15" customHeight="1" x14ac:dyDescent="0.2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4:F24"/>
    <mergeCell ref="G24:Q24"/>
    <mergeCell ref="A25:Q26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2021-02-17T14:03:54Z</cp:lastPrinted>
  <dcterms:created xsi:type="dcterms:W3CDTF">2020-07-17T23:44:49Z</dcterms:created>
  <dcterms:modified xsi:type="dcterms:W3CDTF">2021-02-17T15:25:25Z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