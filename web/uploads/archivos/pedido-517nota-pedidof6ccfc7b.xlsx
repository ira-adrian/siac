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ELEM LIMPIEZA\"/>
    </mc:Choice>
  </mc:AlternateContent>
  <xr:revisionPtr revIDLastSave="0" documentId="13_ncr:1_{2D34FE7D-66BA-4B92-BABD-C83AB5C3ED8B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Trimestrales'!$A$9:$I$15</definedName>
    <definedName name="_xlnm.Print_Area" localSheetId="2">'Autor Gastar'!$A$1:$Q$27</definedName>
    <definedName name="_xlnm.Print_Area" localSheetId="1">NotaPedido!$A$1:$K$18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5" i="1" l="1"/>
  <c r="D15" i="1"/>
  <c r="K12" i="2" l="1"/>
  <c r="K13" i="2"/>
  <c r="K17" i="2"/>
  <c r="K14" i="2"/>
  <c r="K15" i="2"/>
  <c r="K16" i="2"/>
  <c r="J12" i="2"/>
  <c r="J13" i="2"/>
  <c r="J17" i="2"/>
  <c r="J14" i="2"/>
  <c r="J15" i="2"/>
  <c r="J16" i="2"/>
  <c r="Q23" i="3" l="1"/>
  <c r="I12" i="1"/>
  <c r="A12" i="2" l="1"/>
  <c r="C12" i="2" l="1"/>
  <c r="C13" i="2"/>
  <c r="C17" i="2"/>
  <c r="C15" i="2"/>
  <c r="C16" i="2"/>
  <c r="B12" i="2"/>
  <c r="B13" i="2"/>
  <c r="B17" i="2"/>
  <c r="B15" i="2"/>
  <c r="B16" i="2"/>
  <c r="I12" i="2" l="1"/>
  <c r="I10" i="1"/>
  <c r="D10" i="1"/>
  <c r="I17" i="2"/>
  <c r="I13" i="2"/>
  <c r="I16" i="2"/>
  <c r="I15" i="2"/>
  <c r="I11" i="1"/>
  <c r="D11" i="1"/>
  <c r="I14" i="1"/>
  <c r="D14" i="1"/>
  <c r="I13" i="1"/>
  <c r="D13" i="1"/>
  <c r="A26" i="3" l="1"/>
  <c r="A10" i="3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<sst xmlns="http://schemas.openxmlformats.org/spreadsheetml/2006/main" count="163" uniqueCount="110">
  <si>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</si>
  <si>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</si>
  <si>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</si>
  <si>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</si>
  <si>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</si>
  <si>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</si>
  <si>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</si>
  <si>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</si>
  <si>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</si>
  <si>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</si>
  <si>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</si>
  <si>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</si>
  <si>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</si>
  <si>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</si>
  <si>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</si>
  <si>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</si>
  <si>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</si>
  <si>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</si>
  <si>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</si>
  <si>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</si>
  <si>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</si>
  <si>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</si>
  <si>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</si>
  <si>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</si>
  <si>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</si>
  <si>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</si>
  <si>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</si>
  <si>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</si>
  <si>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</si>
  <si>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</si>
  <si>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</si>
  <si>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</si>
  <si>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</si>
  <si>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</si>
  <si>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</si>
  <si>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</si>
  <si>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</si>
  <si>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</si>
  <si>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</si>
  <si>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</si>
  <si>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</si>
  <si>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</si>
  <si>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</si>
  <si>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</si>
  <si>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</si>
  <si>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</si>
  <si>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</si>
  <si>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</si>
  <si>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</si>
  <si>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</si>
  <si>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</si>
  <si>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</si>
  <si>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</si>
  <si>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1.1</t>
  </si>
  <si>
    <t>28 - MATERNIDAD PROVINCIAL 25 DE MAYO</t>
  </si>
  <si>
    <t>Horario de entrega: de 8 a 12 hs</t>
  </si>
  <si>
    <t>Productos de Papel y Cartón</t>
  </si>
  <si>
    <t>2.5.4-505.90</t>
  </si>
  <si>
    <t>2.9.1-6960.51</t>
  </si>
  <si>
    <t>2.3.4-783.54</t>
  </si>
  <si>
    <t>2.3.4-783.84</t>
  </si>
  <si>
    <t>ELEMENTOS DE LIMPIEZA</t>
  </si>
  <si>
    <t>DESINFECTANTES; PRINCIPIO ACTIVO: ANTIBACTERIANO, CONTROL: BACTERIAS Y HONGOS, PRESENTACION: ENVASE X 390 CM3</t>
  </si>
  <si>
    <t>ELEM. LIMPIEZA P/INDUMENTARIA; TIPO: JABON EN POLVO BAJA ESPUMA, PRESENTACION: ENVASE X 6 Kg</t>
  </si>
  <si>
    <t>TOALLAS DE PAPEL; MATERIAL: PAPEL ECOLOGICO, GRAMAJE: 30 GR/CM2, DIMENSION: 18,4 X 24 Cm, PRESENTACION: X 10</t>
  </si>
  <si>
    <t>TOALLAS DE PAPEL; MATERIAL: FIBRA CELULOSICA, GRAMAJE: 20 GR/M2, DIMENSION: 25 Cm, PRESENTACION: 2 X BOBINA X 400 M</t>
  </si>
  <si>
    <t xml:space="preserve">unidad </t>
  </si>
  <si>
    <t xml:space="preserve">bolsa </t>
  </si>
  <si>
    <t>paquete</t>
  </si>
  <si>
    <t>caja</t>
  </si>
  <si>
    <t>Insecticidas, Fumigantes y Otros</t>
  </si>
  <si>
    <t>Elementos de Limpieza</t>
  </si>
  <si>
    <t>Descripción técnica</t>
  </si>
  <si>
    <t>Calidad Minima esperada</t>
  </si>
  <si>
    <t>Mantenimiento</t>
  </si>
  <si>
    <t>Garantia</t>
  </si>
  <si>
    <t>Lugares de entrega:</t>
  </si>
  <si>
    <t>8 a 12 Hs</t>
  </si>
  <si>
    <t>SI</t>
  </si>
  <si>
    <t xml:space="preserve">SECTOR ECONOMATO-MATERNIDAD PROVINCIAL 25 DE MAYO , HERNADO DE PEDRAZA 1650- </t>
  </si>
  <si>
    <t xml:space="preserve">Hora de entrega: </t>
  </si>
  <si>
    <t xml:space="preserve">Plazo de Entrega : </t>
  </si>
  <si>
    <t>Servicio de Economato y Nutricion</t>
  </si>
  <si>
    <t>Bobina</t>
  </si>
  <si>
    <t>Plazo de entrega:  10 dias habiles desde la firma de instrumento contractual.</t>
  </si>
  <si>
    <t>2.3.4-938.59</t>
  </si>
  <si>
    <t>SERVILLETAS DE PAPEL; TIPO: ROLLO, MOTIVO: SIN, DIMENSION: 25 X 10 Cm, PRESENTACION: ENVASE X 3 UN</t>
  </si>
  <si>
    <t>2.3.4</t>
  </si>
  <si>
    <t>Especificidades Item N° 1</t>
  </si>
  <si>
    <t>4º Trimestre</t>
  </si>
  <si>
    <t>2.9.1-6951.324</t>
  </si>
  <si>
    <t>LIMPIADORES;TIPO:LAVANDINA GRANULADA,PRESENTACION:ENVASE X 40 GR,BIODEGRADABLE:SI</t>
  </si>
  <si>
    <t>Especificidades Item N° 3</t>
  </si>
  <si>
    <t>Especificidades Item N° 5</t>
  </si>
  <si>
    <t>Especificidades Item N° 6</t>
  </si>
  <si>
    <t>Costo total estimado: DOS MILLONES OCHOCIENTOS DIEZ MIL.</t>
  </si>
  <si>
    <t>TOTAL DE PESOS: DOS MILLONES OCHOCIENTOS DIEZ MIL.</t>
  </si>
  <si>
    <t>4º TRIMESTRE AÑO 2022</t>
  </si>
  <si>
    <t>Plazo de mantenimiento de oferta: 30 dias habiles</t>
  </si>
  <si>
    <t xml:space="preserve">DESINFECTANTE EN AEROSOL -TIPO LISOFORD O AYUDIN </t>
  </si>
  <si>
    <t>10 dias habiles desde la firma de instrumento contractual.</t>
  </si>
  <si>
    <t>30 dias habiles</t>
  </si>
  <si>
    <t>ROLLO DE 25 X 10 CM X 50 PAÑOS ,DOBLE HOJA BLANCA SUAVE TIPO SUSSEX</t>
  </si>
  <si>
    <t xml:space="preserve">BOBINA DE 25 CM ALTO POR 400 MTS ,DOBLE HOJA BLANCA SUAVE -TIPO  ELEGANTE </t>
  </si>
  <si>
    <t>CAJA X 50 SOBRES DE 40 GR. CADA UNO -DICLOROISOCIANURICO AL 60% -TIPO MULTIMAX</t>
  </si>
  <si>
    <t xml:space="preserve">Adquisición de Elementos de Limpieza </t>
  </si>
  <si>
    <t>00/2022</t>
  </si>
  <si>
    <t>Entrega de Mercaderia: Item 1 al 6</t>
  </si>
  <si>
    <t>Lugar de entrega: Servicio de Economato de Maternidad Provincial 25 de Mayo- Hernando de Pedraza Nº 1.650</t>
  </si>
  <si>
    <t>171-Direccion de 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</si>
</sst>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165" fontId="18" fillId="0" borderId="0" applyBorder="0" applyProtection="0"/>
    <xf numFmtId="0" fontId="5" fillId="0" borderId="1" applyProtection="0"/>
    <xf numFmtId="164" fontId="6" fillId="0" borderId="0" applyBorder="0" applyProtection="0"/>
    <xf numFmtId="0" fontId="7" fillId="2" borderId="0" applyBorder="0" applyProtection="0"/>
    <xf numFmtId="0" fontId="4" fillId="5" borderId="0" applyNumberFormat="0" applyBorder="0" applyAlignment="0" applyProtection="0"/>
  </cellStyleXfs>
  <cellXfs count="151">
    <xf numFmtId="0" fontId="0" fillId="0" borderId="0" xfId="0"/>
    <xf numFmtId="0" fontId="6" fillId="0" borderId="0" xfId="0" applyFont="1" applyAlignment="1">
      <alignment vertical="center"/>
    </xf>
    <xf numFmtId="0" fontId="9" fillId="0" borderId="5" xfId="0" applyFont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3" fillId="0" borderId="0" xfId="0" applyNumberFormat="1" applyFont="1"/>
    <xf numFmtId="168" fontId="0" fillId="0" borderId="0" xfId="0" applyNumberFormat="1" applyAlignment="1">
      <alignment horizontal="left"/>
    </xf>
    <xf numFmtId="0" fontId="6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19" fillId="0" borderId="0" xfId="0" applyFont="1"/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 wrapText="1"/>
    </xf>
    <xf numFmtId="0" fontId="23" fillId="0" borderId="9" xfId="0" applyFont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3" fontId="8" fillId="4" borderId="14" xfId="0" applyNumberFormat="1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166" fontId="0" fillId="0" borderId="0" xfId="0" applyNumberFormat="1"/>
    <xf numFmtId="166" fontId="0" fillId="0" borderId="30" xfId="3" applyNumberFormat="1" applyFont="1" applyBorder="1" applyAlignment="1" applyProtection="1">
      <alignment horizontal="right" vertical="center"/>
    </xf>
    <xf numFmtId="166" fontId="17" fillId="0" borderId="35" xfId="0" applyNumberFormat="1" applyFont="1" applyBorder="1" applyAlignment="1">
      <alignment horizontal="right" vertical="center"/>
    </xf>
    <xf numFmtId="0" fontId="23" fillId="0" borderId="40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8" fillId="4" borderId="14" xfId="1" applyNumberFormat="1" applyFont="1" applyFill="1" applyBorder="1" applyAlignment="1" applyProtection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6" fillId="0" borderId="45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166" fontId="27" fillId="3" borderId="43" xfId="1" applyNumberFormat="1" applyFont="1" applyFill="1" applyBorder="1" applyAlignment="1" applyProtection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4" fillId="3" borderId="0" xfId="0" applyFont="1" applyFill="1" applyAlignment="1">
      <alignment horizontal="left" wrapText="1" indent="1"/>
    </xf>
    <xf numFmtId="0" fontId="23" fillId="4" borderId="0" xfId="0" applyFont="1" applyFill="1" applyAlignment="1">
      <alignment horizontal="left" wrapText="1"/>
    </xf>
    <xf numFmtId="0" fontId="19" fillId="4" borderId="0" xfId="0" applyFont="1" applyFill="1"/>
    <xf numFmtId="0" fontId="0" fillId="0" borderId="39" xfId="0" applyBorder="1" applyAlignment="1">
      <alignment horizontal="center" vertical="center"/>
    </xf>
    <xf numFmtId="0" fontId="4" fillId="4" borderId="39" xfId="5" applyFill="1" applyBorder="1" applyAlignment="1">
      <alignment horizontal="center" vertical="center" wrapText="1"/>
    </xf>
    <xf numFmtId="0" fontId="4" fillId="4" borderId="39" xfId="5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8" fillId="0" borderId="2" xfId="0" applyFont="1" applyBorder="1"/>
    <xf numFmtId="0" fontId="19" fillId="0" borderId="3" xfId="0" applyFont="1" applyBorder="1"/>
    <xf numFmtId="0" fontId="19" fillId="0" borderId="4" xfId="0" applyFont="1" applyBorder="1"/>
    <xf numFmtId="0" fontId="19" fillId="0" borderId="49" xfId="0" applyFont="1" applyBorder="1"/>
    <xf numFmtId="0" fontId="19" fillId="0" borderId="50" xfId="0" applyFont="1" applyBorder="1"/>
    <xf numFmtId="0" fontId="28" fillId="0" borderId="49" xfId="0" applyFont="1" applyBorder="1" applyAlignment="1">
      <alignment horizontal="left" indent="3"/>
    </xf>
    <xf numFmtId="0" fontId="19" fillId="0" borderId="49" xfId="0" applyFont="1" applyBorder="1" applyAlignment="1">
      <alignment horizontal="left" indent="3"/>
    </xf>
    <xf numFmtId="0" fontId="19" fillId="0" borderId="0" xfId="0" applyFont="1" applyAlignment="1">
      <alignment horizontal="center" wrapText="1"/>
    </xf>
    <xf numFmtId="0" fontId="19" fillId="0" borderId="50" xfId="0" applyFont="1" applyBorder="1" applyAlignment="1">
      <alignment horizontal="center" wrapText="1"/>
    </xf>
    <xf numFmtId="0" fontId="28" fillId="0" borderId="51" xfId="0" applyFont="1" applyBorder="1" applyAlignment="1">
      <alignment horizontal="left" indent="3"/>
    </xf>
    <xf numFmtId="0" fontId="19" fillId="0" borderId="0" xfId="0" applyFont="1" applyAlignment="1">
      <alignment horizontal="center"/>
    </xf>
    <xf numFmtId="0" fontId="19" fillId="0" borderId="50" xfId="0" applyFont="1" applyBorder="1" applyAlignment="1">
      <alignment horizontal="center"/>
    </xf>
    <xf numFmtId="0" fontId="27" fillId="0" borderId="0" xfId="0" applyFont="1" applyAlignment="1">
      <alignment horizontal="center" wrapText="1"/>
    </xf>
    <xf numFmtId="0" fontId="3" fillId="4" borderId="39" xfId="5" applyFont="1" applyFill="1" applyBorder="1" applyAlignment="1">
      <alignment horizontal="center" vertical="center" wrapText="1"/>
    </xf>
    <xf numFmtId="0" fontId="19" fillId="0" borderId="53" xfId="0" applyFont="1" applyBorder="1"/>
    <xf numFmtId="0" fontId="19" fillId="0" borderId="47" xfId="0" applyFont="1" applyBorder="1"/>
    <xf numFmtId="0" fontId="19" fillId="0" borderId="54" xfId="0" applyFont="1" applyBorder="1"/>
    <xf numFmtId="0" fontId="19" fillId="4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19" fillId="0" borderId="2" xfId="0" applyFont="1" applyBorder="1"/>
    <xf numFmtId="0" fontId="19" fillId="0" borderId="51" xfId="0" applyFont="1" applyBorder="1"/>
    <xf numFmtId="0" fontId="19" fillId="0" borderId="55" xfId="0" applyFont="1" applyBorder="1"/>
    <xf numFmtId="0" fontId="19" fillId="0" borderId="52" xfId="0" applyFont="1" applyBorder="1"/>
    <xf numFmtId="0" fontId="25" fillId="0" borderId="0" xfId="0" applyFont="1"/>
    <xf numFmtId="0" fontId="25" fillId="0" borderId="3" xfId="0" applyFont="1" applyBorder="1"/>
    <xf numFmtId="0" fontId="2" fillId="4" borderId="39" xfId="5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wrapText="1"/>
    </xf>
    <xf numFmtId="167" fontId="22" fillId="0" borderId="0" xfId="0" applyNumberFormat="1" applyFont="1" applyAlignment="1">
      <alignment horizontal="left" wrapText="1"/>
    </xf>
    <xf numFmtId="167" fontId="23" fillId="0" borderId="2" xfId="0" applyNumberFormat="1" applyFont="1" applyBorder="1" applyAlignment="1">
      <alignment horizontal="center" vertical="center" wrapText="1"/>
    </xf>
    <xf numFmtId="167" fontId="19" fillId="0" borderId="39" xfId="0" applyNumberFormat="1" applyFont="1" applyBorder="1" applyAlignment="1">
      <alignment horizontal="center"/>
    </xf>
    <xf numFmtId="167" fontId="19" fillId="0" borderId="0" xfId="0" applyNumberFormat="1" applyFont="1"/>
    <xf numFmtId="0" fontId="0" fillId="0" borderId="0" xfId="0" applyAlignment="1">
      <alignment horizontal="center"/>
    </xf>
    <xf numFmtId="0" fontId="1" fillId="4" borderId="39" xfId="5" applyFont="1" applyFill="1" applyBorder="1" applyAlignment="1">
      <alignment horizontal="center" vertical="center" wrapText="1"/>
    </xf>
    <xf numFmtId="167" fontId="19" fillId="0" borderId="39" xfId="0" applyNumberFormat="1" applyFont="1" applyBorder="1" applyAlignment="1">
      <alignment horizontal="center" vertical="center"/>
    </xf>
    <xf numFmtId="167" fontId="26" fillId="0" borderId="39" xfId="0" applyNumberFormat="1" applyFont="1" applyBorder="1" applyAlignment="1">
      <alignment horizontal="center" vertical="center"/>
    </xf>
    <xf numFmtId="49" fontId="10" fillId="3" borderId="6" xfId="0" applyNumberFormat="1" applyFont="1" applyFill="1" applyBorder="1" applyAlignment="1">
      <alignment horizontal="center" vertical="center"/>
    </xf>
    <xf numFmtId="167" fontId="6" fillId="0" borderId="0" xfId="0" applyNumberFormat="1" applyFont="1" applyAlignment="1">
      <alignment vertical="center"/>
    </xf>
    <xf numFmtId="0" fontId="19" fillId="0" borderId="52" xfId="0" applyFont="1" applyBorder="1" applyAlignment="1">
      <alignment horizontal="center"/>
    </xf>
    <xf numFmtId="0" fontId="29" fillId="0" borderId="50" xfId="0" applyFont="1" applyBorder="1" applyAlignment="1">
      <alignment horizontal="center" wrapText="1"/>
    </xf>
    <xf numFmtId="0" fontId="30" fillId="0" borderId="50" xfId="0" applyFont="1" applyBorder="1" applyAlignment="1">
      <alignment horizontal="center" wrapText="1"/>
    </xf>
    <xf numFmtId="0" fontId="19" fillId="0" borderId="50" xfId="0" applyFont="1" applyBorder="1" applyAlignment="1">
      <alignment horizontal="center"/>
    </xf>
    <xf numFmtId="0" fontId="19" fillId="0" borderId="50" xfId="0" applyFont="1" applyBorder="1" applyAlignment="1">
      <alignment horizontal="center" wrapText="1"/>
    </xf>
    <xf numFmtId="0" fontId="21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24" fillId="3" borderId="0" xfId="0" applyFont="1" applyFill="1" applyAlignment="1">
      <alignment horizontal="left" wrapText="1" indent="1"/>
    </xf>
    <xf numFmtId="0" fontId="10" fillId="4" borderId="9" xfId="0" applyFont="1" applyFill="1" applyBorder="1" applyAlignment="1">
      <alignment horizontal="left" vertical="center" wrapText="1" indent="1"/>
    </xf>
    <xf numFmtId="167" fontId="25" fillId="4" borderId="9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 wrapText="1" indent="1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3" fillId="0" borderId="15" xfId="0" applyFont="1" applyBorder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5" fillId="3" borderId="35" xfId="0" applyFont="1" applyFill="1" applyBorder="1" applyAlignment="1">
      <alignment horizontal="left" vertical="center" wrapText="1" indent="1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7" fillId="0" borderId="35" xfId="0" applyFont="1" applyBorder="1" applyAlignment="1">
      <alignment horizontal="left" vertical="center" wrapText="1"/>
    </xf>
    <xf numFmtId="0" fontId="0" fillId="0" borderId="17" xfId="0" applyBorder="1"/>
    <xf numFmtId="0" fontId="18" fillId="0" borderId="29" xfId="0" applyFont="1" applyBorder="1" applyAlignment="1">
      <alignment horizontal="left" vertical="center"/>
    </xf>
    <xf numFmtId="0" fontId="15" fillId="0" borderId="18" xfId="0" applyFont="1" applyBorder="1"/>
    <xf numFmtId="0" fontId="15" fillId="4" borderId="19" xfId="0" applyFont="1" applyFill="1" applyBorder="1" applyAlignment="1">
      <alignment horizontal="left" vertical="center" wrapText="1" indent="1"/>
    </xf>
    <xf numFmtId="0" fontId="17" fillId="0" borderId="1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indent="1"/>
    </xf>
    <xf numFmtId="0" fontId="16" fillId="0" borderId="6" xfId="0" applyFont="1" applyBorder="1" applyAlignment="1">
      <alignment horizontal="left"/>
    </xf>
    <xf numFmtId="0" fontId="0" fillId="0" borderId="15" xfId="0" applyBorder="1" applyAlignment="1">
      <alignment horizontal="center"/>
    </xf>
    <xf numFmtId="1" fontId="13" fillId="0" borderId="16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6" fillId="0" borderId="6" xfId="0" applyFont="1" applyBorder="1"/>
    <xf numFmtId="0" fontId="0" fillId="4" borderId="0" xfId="0" applyFill="1" applyAlignment="1">
      <alignment horizontal="center"/>
    </xf>
    <xf numFmtId="0" fontId="8" fillId="4" borderId="15" xfId="0" applyFont="1" applyFill="1" applyBorder="1" applyAlignment="1">
      <alignment horizontal="left" vertical="center" wrapText="1"/>
    </xf>
    <xf numFmtId="0" fontId="8" fillId="4" borderId="46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left" vertical="center" wrapText="1"/>
    </xf>
  </cellXfs>
  <cellStyles count="6">
    <cellStyle name="20% - Énfasis4" xfId="5" builtinId="42"/>
    <cellStyle name="Encabezado 1" xfId="2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6"/>
  <sheetViews>
    <sheetView topLeftCell="A79" zoomScale="90" zoomScaleNormal="90" workbookViewId="0">
      <selection activeCell="I32" sqref="I32"/>
    </sheetView>
  </sheetViews>
  <sheetFormatPr baseColWidth="10" defaultColWidth="11" defaultRowHeight="12.75" x14ac:dyDescent="0.2"/>
  <cols>
    <col min="1" max="1" width="4.5703125" style="35" customWidth="1"/>
    <col min="2" max="2" width="19.5703125" style="35" bestFit="1" customWidth="1"/>
    <col min="3" max="3" width="26" style="35" bestFit="1" customWidth="1"/>
    <col min="4" max="4" width="8.42578125" style="35" customWidth="1"/>
    <col min="5" max="5" width="79" style="35" customWidth="1"/>
    <col min="6" max="6" width="11" style="35"/>
    <col min="7" max="7" width="12.7109375" style="35" customWidth="1"/>
    <col min="8" max="8" width="13.85546875" style="96" customWidth="1"/>
    <col min="9" max="9" width="18.5703125" style="35" customWidth="1"/>
    <col min="10" max="16384" width="11" style="35"/>
  </cols>
  <sheetData>
    <row r="2" spans="1:9" ht="27" x14ac:dyDescent="0.35">
      <c r="B2" s="109" t="s">
        <v>0</v>
      </c>
      <c r="C2" s="109"/>
      <c r="D2" s="109"/>
      <c r="E2" s="109"/>
      <c r="F2" s="109"/>
      <c r="G2" s="109"/>
      <c r="H2" s="109"/>
    </row>
    <row r="4" spans="1:9" ht="18" customHeight="1" x14ac:dyDescent="0.25">
      <c r="A4" s="108" t="s">
        <v>1</v>
      </c>
      <c r="B4" s="108"/>
      <c r="C4" s="110" t="s">
        <v>52</v>
      </c>
      <c r="D4" s="110"/>
      <c r="E4" s="110"/>
      <c r="F4" s="36"/>
      <c r="G4" s="37"/>
      <c r="H4" s="93"/>
    </row>
    <row r="5" spans="1:9" ht="18" customHeight="1" x14ac:dyDescent="0.25">
      <c r="A5" s="108" t="s">
        <v>2</v>
      </c>
      <c r="B5" s="108"/>
      <c r="C5" s="110" t="s">
        <v>54</v>
      </c>
      <c r="D5" s="110"/>
      <c r="E5" s="110"/>
      <c r="F5" s="36"/>
      <c r="G5" s="37"/>
      <c r="H5" s="93"/>
    </row>
    <row r="6" spans="1:9" ht="16.5" customHeight="1" x14ac:dyDescent="0.25">
      <c r="A6" s="108" t="s">
        <v>3</v>
      </c>
      <c r="B6" s="108"/>
      <c r="C6" s="59">
        <v>2022</v>
      </c>
      <c r="D6" s="60"/>
      <c r="E6" s="60"/>
      <c r="F6" s="36"/>
      <c r="G6" s="37"/>
      <c r="H6" s="93"/>
    </row>
    <row r="7" spans="1:9" ht="16.5" customHeight="1" x14ac:dyDescent="0.25">
      <c r="A7" s="108" t="s">
        <v>4</v>
      </c>
      <c r="B7" s="108"/>
      <c r="C7" s="59" t="s">
        <v>89</v>
      </c>
      <c r="D7" s="60"/>
      <c r="E7" s="60"/>
      <c r="F7" s="36"/>
      <c r="G7" s="37"/>
      <c r="H7" s="93"/>
    </row>
    <row r="8" spans="1:9" ht="13.5" thickBot="1" x14ac:dyDescent="0.25">
      <c r="B8" s="36"/>
      <c r="C8" s="37"/>
      <c r="D8" s="36"/>
      <c r="E8" s="36"/>
      <c r="F8" s="36"/>
      <c r="G8" s="37"/>
      <c r="H8" s="93"/>
    </row>
    <row r="9" spans="1:9" ht="39" thickBot="1" x14ac:dyDescent="0.25">
      <c r="A9" s="38" t="s">
        <v>5</v>
      </c>
      <c r="B9" s="58" t="s">
        <v>6</v>
      </c>
      <c r="C9" s="38" t="s">
        <v>7</v>
      </c>
      <c r="D9" s="49" t="s">
        <v>8</v>
      </c>
      <c r="E9" s="47" t="s">
        <v>9</v>
      </c>
      <c r="F9" s="48" t="s">
        <v>10</v>
      </c>
      <c r="G9" s="47" t="s">
        <v>11</v>
      </c>
      <c r="H9" s="94" t="s">
        <v>12</v>
      </c>
      <c r="I9" s="47" t="s">
        <v>13</v>
      </c>
    </row>
    <row r="10" spans="1:9" ht="31.9" customHeight="1" x14ac:dyDescent="0.2">
      <c r="A10" s="56">
        <v>1</v>
      </c>
      <c r="B10" s="55" t="s">
        <v>57</v>
      </c>
      <c r="C10" s="54" t="s">
        <v>61</v>
      </c>
      <c r="D10" s="55" t="str">
        <f t="shared" ref="D10" si="0">LEFT(B10,5)</f>
        <v>2.5.4</v>
      </c>
      <c r="E10" s="63" t="s">
        <v>62</v>
      </c>
      <c r="F10" s="64" t="s">
        <v>66</v>
      </c>
      <c r="G10" s="64">
        <v>300</v>
      </c>
      <c r="H10" s="95">
        <v>900</v>
      </c>
      <c r="I10" s="57">
        <f t="shared" ref="I10" si="1">G10*H10</f>
        <v>270000</v>
      </c>
    </row>
    <row r="11" spans="1:9" ht="31.9" customHeight="1" x14ac:dyDescent="0.2">
      <c r="A11" s="54">
        <v>2</v>
      </c>
      <c r="B11" s="55" t="s">
        <v>58</v>
      </c>
      <c r="C11" s="54" t="s">
        <v>61</v>
      </c>
      <c r="D11" s="55" t="str">
        <f>LEFT(B11,5)</f>
        <v>2.9.1</v>
      </c>
      <c r="E11" s="63" t="s">
        <v>63</v>
      </c>
      <c r="F11" s="63" t="s">
        <v>67</v>
      </c>
      <c r="G11" s="63">
        <v>200</v>
      </c>
      <c r="H11" s="95">
        <v>1400</v>
      </c>
      <c r="I11" s="57">
        <f>G11*H11</f>
        <v>280000</v>
      </c>
    </row>
    <row r="12" spans="1:9" ht="31.9" customHeight="1" x14ac:dyDescent="0.2">
      <c r="A12" s="56">
        <v>3</v>
      </c>
      <c r="B12" s="97" t="s">
        <v>85</v>
      </c>
      <c r="C12" s="54" t="s">
        <v>61</v>
      </c>
      <c r="D12" s="55" t="s">
        <v>87</v>
      </c>
      <c r="E12" s="92" t="s">
        <v>86</v>
      </c>
      <c r="F12" s="91" t="s">
        <v>68</v>
      </c>
      <c r="G12" s="63">
        <v>500</v>
      </c>
      <c r="H12" s="95">
        <v>230</v>
      </c>
      <c r="I12" s="57">
        <f>G12*H12</f>
        <v>115000</v>
      </c>
    </row>
    <row r="13" spans="1:9" ht="31.9" customHeight="1" x14ac:dyDescent="0.2">
      <c r="A13" s="56">
        <v>4</v>
      </c>
      <c r="B13" s="55" t="s">
        <v>59</v>
      </c>
      <c r="C13" s="54" t="s">
        <v>61</v>
      </c>
      <c r="D13" s="55" t="str">
        <f>LEFT(B13,5)</f>
        <v>2.3.4</v>
      </c>
      <c r="E13" s="63" t="s">
        <v>64</v>
      </c>
      <c r="F13" s="63" t="s">
        <v>69</v>
      </c>
      <c r="G13" s="63">
        <v>550</v>
      </c>
      <c r="H13" s="95">
        <v>2100</v>
      </c>
      <c r="I13" s="57">
        <f>G13*H13</f>
        <v>1155000</v>
      </c>
    </row>
    <row r="14" spans="1:9" ht="40.5" customHeight="1" x14ac:dyDescent="0.2">
      <c r="A14" s="54">
        <v>5</v>
      </c>
      <c r="B14" s="55" t="s">
        <v>60</v>
      </c>
      <c r="C14" s="54" t="s">
        <v>61</v>
      </c>
      <c r="D14" s="55" t="str">
        <f>LEFT(B14,5)</f>
        <v>2.3.4</v>
      </c>
      <c r="E14" s="63" t="s">
        <v>65</v>
      </c>
      <c r="F14" s="79" t="s">
        <v>83</v>
      </c>
      <c r="G14" s="63">
        <v>500</v>
      </c>
      <c r="H14" s="100">
        <v>1950</v>
      </c>
      <c r="I14" s="57">
        <f>G14*H14</f>
        <v>975000</v>
      </c>
    </row>
    <row r="15" spans="1:9" ht="31.9" customHeight="1" x14ac:dyDescent="0.2">
      <c r="A15" s="56">
        <v>6</v>
      </c>
      <c r="B15" s="55" t="s">
        <v>90</v>
      </c>
      <c r="C15" s="54" t="s">
        <v>61</v>
      </c>
      <c r="D15" s="55" t="str">
        <f>LEFT(B15,5)</f>
        <v>2.9.1</v>
      </c>
      <c r="E15" s="98" t="s">
        <v>91</v>
      </c>
      <c r="F15" s="98" t="s">
        <v>69</v>
      </c>
      <c r="G15" s="63">
        <v>4</v>
      </c>
      <c r="H15" s="99">
        <v>3750</v>
      </c>
      <c r="I15" s="57">
        <f>G15*H15</f>
        <v>15000</v>
      </c>
    </row>
    <row r="16" spans="1:9" x14ac:dyDescent="0.2">
      <c r="B16" s="61"/>
    </row>
    <row r="17" spans="2:6" hidden="1" x14ac:dyDescent="0.2">
      <c r="B17" s="61"/>
    </row>
    <row r="18" spans="2:6" hidden="1" x14ac:dyDescent="0.2">
      <c r="B18" s="61"/>
    </row>
    <row r="19" spans="2:6" hidden="1" x14ac:dyDescent="0.2">
      <c r="B19" s="61"/>
    </row>
    <row r="20" spans="2:6" hidden="1" x14ac:dyDescent="0.2">
      <c r="B20" s="61"/>
    </row>
    <row r="21" spans="2:6" ht="13.5" thickBot="1" x14ac:dyDescent="0.25">
      <c r="B21" s="61"/>
    </row>
    <row r="22" spans="2:6" ht="15.75" x14ac:dyDescent="0.25">
      <c r="B22" s="61"/>
      <c r="C22" s="85"/>
      <c r="D22" s="90" t="s">
        <v>107</v>
      </c>
      <c r="E22" s="90"/>
      <c r="F22" s="68"/>
    </row>
    <row r="23" spans="2:6" ht="15.75" x14ac:dyDescent="0.25">
      <c r="B23" s="61"/>
      <c r="C23" s="69"/>
      <c r="D23" s="89"/>
      <c r="E23" s="89"/>
      <c r="F23" s="70"/>
    </row>
    <row r="24" spans="2:6" x14ac:dyDescent="0.2">
      <c r="B24" s="61"/>
      <c r="C24" s="69"/>
      <c r="D24" s="61" t="s">
        <v>84</v>
      </c>
      <c r="F24" s="70"/>
    </row>
    <row r="25" spans="2:6" x14ac:dyDescent="0.2">
      <c r="B25" s="61"/>
      <c r="C25" s="69"/>
      <c r="F25" s="70"/>
    </row>
    <row r="26" spans="2:6" x14ac:dyDescent="0.2">
      <c r="B26" s="61"/>
      <c r="C26" s="69"/>
      <c r="D26" s="84" t="s">
        <v>98</v>
      </c>
      <c r="E26" s="83"/>
      <c r="F26" s="70"/>
    </row>
    <row r="27" spans="2:6" x14ac:dyDescent="0.2">
      <c r="B27" s="61"/>
      <c r="C27" s="69"/>
      <c r="F27" s="70"/>
    </row>
    <row r="28" spans="2:6" x14ac:dyDescent="0.2">
      <c r="B28" s="61"/>
      <c r="C28" s="69"/>
      <c r="D28" s="35" t="s">
        <v>108</v>
      </c>
      <c r="E28" s="61"/>
      <c r="F28" s="70"/>
    </row>
    <row r="29" spans="2:6" x14ac:dyDescent="0.2">
      <c r="B29" s="61"/>
      <c r="C29" s="69"/>
      <c r="F29" s="70"/>
    </row>
    <row r="30" spans="2:6" x14ac:dyDescent="0.2">
      <c r="B30" s="61"/>
      <c r="C30" s="69"/>
      <c r="D30" s="61" t="s">
        <v>55</v>
      </c>
      <c r="F30" s="70"/>
    </row>
    <row r="31" spans="2:6" ht="13.5" thickBot="1" x14ac:dyDescent="0.25">
      <c r="B31" s="61"/>
      <c r="C31" s="86"/>
      <c r="D31" s="87"/>
      <c r="E31" s="87"/>
      <c r="F31" s="88"/>
    </row>
    <row r="32" spans="2:6" x14ac:dyDescent="0.2">
      <c r="B32" s="61"/>
      <c r="C32" s="80"/>
      <c r="D32" s="81"/>
      <c r="E32" s="81"/>
      <c r="F32" s="82"/>
    </row>
    <row r="33" spans="3:6" ht="13.5" thickBot="1" x14ac:dyDescent="0.25"/>
    <row r="34" spans="3:6" x14ac:dyDescent="0.2">
      <c r="C34" s="66" t="s">
        <v>88</v>
      </c>
      <c r="D34" s="67"/>
      <c r="E34" s="67"/>
      <c r="F34" s="68"/>
    </row>
    <row r="35" spans="3:6" x14ac:dyDescent="0.2">
      <c r="C35" s="69"/>
      <c r="F35" s="70"/>
    </row>
    <row r="36" spans="3:6" x14ac:dyDescent="0.2">
      <c r="C36" s="71" t="s">
        <v>72</v>
      </c>
      <c r="F36" s="70"/>
    </row>
    <row r="37" spans="3:6" x14ac:dyDescent="0.2">
      <c r="C37" s="71"/>
      <c r="D37" s="104" t="s">
        <v>99</v>
      </c>
      <c r="E37" s="105"/>
      <c r="F37" s="105"/>
    </row>
    <row r="38" spans="3:6" ht="15" x14ac:dyDescent="0.25">
      <c r="C38" s="71"/>
      <c r="D38" s="78"/>
      <c r="E38" s="73"/>
      <c r="F38" s="74"/>
    </row>
    <row r="39" spans="3:6" ht="12.75" customHeight="1" x14ac:dyDescent="0.2">
      <c r="C39" s="71" t="s">
        <v>81</v>
      </c>
      <c r="E39" s="76" t="s">
        <v>100</v>
      </c>
      <c r="F39" s="70"/>
    </row>
    <row r="40" spans="3:6" x14ac:dyDescent="0.2">
      <c r="C40" s="72"/>
      <c r="D40" s="106"/>
      <c r="E40" s="106"/>
      <c r="F40" s="106"/>
    </row>
    <row r="41" spans="3:6" x14ac:dyDescent="0.2">
      <c r="C41" s="71" t="s">
        <v>76</v>
      </c>
      <c r="D41" s="106" t="s">
        <v>79</v>
      </c>
      <c r="E41" s="106"/>
      <c r="F41" s="106"/>
    </row>
    <row r="42" spans="3:6" x14ac:dyDescent="0.2">
      <c r="C42" s="71"/>
      <c r="D42" s="76"/>
      <c r="E42" s="76"/>
      <c r="F42" s="77"/>
    </row>
    <row r="43" spans="3:6" x14ac:dyDescent="0.2">
      <c r="C43" s="71" t="s">
        <v>80</v>
      </c>
      <c r="D43" s="76"/>
      <c r="E43" s="76" t="s">
        <v>77</v>
      </c>
      <c r="F43" s="77"/>
    </row>
    <row r="44" spans="3:6" x14ac:dyDescent="0.2">
      <c r="C44" s="71"/>
      <c r="D44" s="76"/>
      <c r="E44" s="76"/>
      <c r="F44" s="77"/>
    </row>
    <row r="45" spans="3:6" x14ac:dyDescent="0.2">
      <c r="C45" s="71" t="s">
        <v>73</v>
      </c>
      <c r="F45" s="70"/>
    </row>
    <row r="46" spans="3:6" x14ac:dyDescent="0.2">
      <c r="C46" s="72"/>
      <c r="D46" s="107"/>
      <c r="E46" s="107"/>
      <c r="F46" s="107"/>
    </row>
    <row r="47" spans="3:6" x14ac:dyDescent="0.2">
      <c r="C47" s="71" t="s">
        <v>74</v>
      </c>
      <c r="D47" s="73"/>
      <c r="E47" s="73" t="s">
        <v>101</v>
      </c>
      <c r="F47" s="74"/>
    </row>
    <row r="48" spans="3:6" x14ac:dyDescent="0.2">
      <c r="C48" s="72"/>
      <c r="D48" s="107"/>
      <c r="E48" s="107"/>
      <c r="F48" s="107"/>
    </row>
    <row r="49" spans="3:6" x14ac:dyDescent="0.2">
      <c r="C49" s="71" t="s">
        <v>75</v>
      </c>
      <c r="F49" s="70"/>
    </row>
    <row r="50" spans="3:6" ht="13.5" thickBot="1" x14ac:dyDescent="0.25">
      <c r="C50" s="75"/>
      <c r="D50" s="103"/>
      <c r="E50" s="103"/>
      <c r="F50" s="103"/>
    </row>
    <row r="51" spans="3:6" ht="13.5" thickBot="1" x14ac:dyDescent="0.25"/>
    <row r="52" spans="3:6" x14ac:dyDescent="0.2">
      <c r="C52" s="66" t="s">
        <v>92</v>
      </c>
      <c r="D52" s="67"/>
      <c r="E52" s="67"/>
      <c r="F52" s="68"/>
    </row>
    <row r="53" spans="3:6" x14ac:dyDescent="0.2">
      <c r="C53" s="69"/>
      <c r="F53" s="70"/>
    </row>
    <row r="54" spans="3:6" x14ac:dyDescent="0.2">
      <c r="C54" s="71" t="s">
        <v>72</v>
      </c>
      <c r="F54" s="70"/>
    </row>
    <row r="55" spans="3:6" x14ac:dyDescent="0.2">
      <c r="C55" s="71"/>
      <c r="D55" s="104" t="s">
        <v>102</v>
      </c>
      <c r="E55" s="105"/>
      <c r="F55" s="105"/>
    </row>
    <row r="56" spans="3:6" ht="15" x14ac:dyDescent="0.25">
      <c r="C56" s="71"/>
      <c r="D56" s="78"/>
      <c r="E56" s="73"/>
      <c r="F56" s="74"/>
    </row>
    <row r="57" spans="3:6" x14ac:dyDescent="0.2">
      <c r="C57" s="71" t="s">
        <v>81</v>
      </c>
      <c r="E57" s="76" t="s">
        <v>100</v>
      </c>
      <c r="F57" s="70"/>
    </row>
    <row r="58" spans="3:6" x14ac:dyDescent="0.2">
      <c r="C58" s="72"/>
      <c r="D58" s="106"/>
      <c r="E58" s="106"/>
      <c r="F58" s="106"/>
    </row>
    <row r="59" spans="3:6" x14ac:dyDescent="0.2">
      <c r="C59" s="71" t="s">
        <v>76</v>
      </c>
      <c r="D59" s="106" t="s">
        <v>79</v>
      </c>
      <c r="E59" s="106"/>
      <c r="F59" s="106"/>
    </row>
    <row r="60" spans="3:6" x14ac:dyDescent="0.2">
      <c r="C60" s="71"/>
      <c r="D60" s="76"/>
      <c r="E60" s="76"/>
      <c r="F60" s="77"/>
    </row>
    <row r="61" spans="3:6" x14ac:dyDescent="0.2">
      <c r="C61" s="71" t="s">
        <v>80</v>
      </c>
      <c r="D61" s="76"/>
      <c r="E61" s="76" t="s">
        <v>77</v>
      </c>
      <c r="F61" s="77"/>
    </row>
    <row r="62" spans="3:6" x14ac:dyDescent="0.2">
      <c r="C62" s="71"/>
      <c r="D62" s="76"/>
      <c r="E62" s="76"/>
      <c r="F62" s="77"/>
    </row>
    <row r="63" spans="3:6" x14ac:dyDescent="0.2">
      <c r="C63" s="71" t="s">
        <v>73</v>
      </c>
      <c r="F63" s="70"/>
    </row>
    <row r="64" spans="3:6" x14ac:dyDescent="0.2">
      <c r="C64" s="72"/>
      <c r="D64" s="107"/>
      <c r="E64" s="107"/>
      <c r="F64" s="107"/>
    </row>
    <row r="65" spans="3:6" x14ac:dyDescent="0.2">
      <c r="C65" s="71" t="s">
        <v>74</v>
      </c>
      <c r="D65" s="73"/>
      <c r="E65" s="73" t="s">
        <v>101</v>
      </c>
      <c r="F65" s="74"/>
    </row>
    <row r="66" spans="3:6" x14ac:dyDescent="0.2">
      <c r="C66" s="72"/>
      <c r="D66" s="107"/>
      <c r="E66" s="107"/>
      <c r="F66" s="107"/>
    </row>
    <row r="67" spans="3:6" x14ac:dyDescent="0.2">
      <c r="C67" s="71" t="s">
        <v>75</v>
      </c>
      <c r="F67" s="70"/>
    </row>
    <row r="68" spans="3:6" ht="13.5" thickBot="1" x14ac:dyDescent="0.25">
      <c r="C68" s="75"/>
      <c r="D68" s="103"/>
      <c r="E68" s="103"/>
      <c r="F68" s="103"/>
    </row>
    <row r="70" spans="3:6" ht="13.5" thickBot="1" x14ac:dyDescent="0.25"/>
    <row r="71" spans="3:6" x14ac:dyDescent="0.2">
      <c r="C71" s="66" t="s">
        <v>93</v>
      </c>
      <c r="D71" s="67"/>
      <c r="E71" s="67"/>
      <c r="F71" s="68"/>
    </row>
    <row r="72" spans="3:6" x14ac:dyDescent="0.2">
      <c r="C72" s="69"/>
      <c r="F72" s="70"/>
    </row>
    <row r="73" spans="3:6" x14ac:dyDescent="0.2">
      <c r="C73" s="71" t="s">
        <v>72</v>
      </c>
      <c r="F73" s="70"/>
    </row>
    <row r="74" spans="3:6" ht="13.5" customHeight="1" x14ac:dyDescent="0.2">
      <c r="C74" s="71"/>
      <c r="D74" s="104" t="s">
        <v>103</v>
      </c>
      <c r="E74" s="105"/>
      <c r="F74" s="105"/>
    </row>
    <row r="75" spans="3:6" ht="15" x14ac:dyDescent="0.25">
      <c r="C75" s="71"/>
      <c r="D75" s="78"/>
      <c r="E75" s="73"/>
      <c r="F75" s="74"/>
    </row>
    <row r="76" spans="3:6" x14ac:dyDescent="0.2">
      <c r="C76" s="71" t="s">
        <v>81</v>
      </c>
      <c r="E76" s="76" t="s">
        <v>100</v>
      </c>
      <c r="F76" s="70"/>
    </row>
    <row r="77" spans="3:6" x14ac:dyDescent="0.2">
      <c r="C77" s="72"/>
      <c r="D77" s="106"/>
      <c r="E77" s="106"/>
      <c r="F77" s="106"/>
    </row>
    <row r="78" spans="3:6" x14ac:dyDescent="0.2">
      <c r="C78" s="71" t="s">
        <v>76</v>
      </c>
      <c r="D78" s="106" t="s">
        <v>79</v>
      </c>
      <c r="E78" s="106"/>
      <c r="F78" s="106"/>
    </row>
    <row r="79" spans="3:6" x14ac:dyDescent="0.2">
      <c r="C79" s="71"/>
      <c r="D79" s="76"/>
      <c r="E79" s="76"/>
      <c r="F79" s="77"/>
    </row>
    <row r="80" spans="3:6" x14ac:dyDescent="0.2">
      <c r="C80" s="71" t="s">
        <v>80</v>
      </c>
      <c r="D80" s="76"/>
      <c r="E80" s="76" t="s">
        <v>77</v>
      </c>
      <c r="F80" s="77"/>
    </row>
    <row r="81" spans="3:6" x14ac:dyDescent="0.2">
      <c r="C81" s="71"/>
      <c r="D81" s="76"/>
      <c r="E81" s="76"/>
      <c r="F81" s="77"/>
    </row>
    <row r="82" spans="3:6" x14ac:dyDescent="0.2">
      <c r="C82" s="71" t="s">
        <v>73</v>
      </c>
      <c r="F82" s="70"/>
    </row>
    <row r="83" spans="3:6" x14ac:dyDescent="0.2">
      <c r="C83" s="72"/>
      <c r="D83" s="107"/>
      <c r="E83" s="107"/>
      <c r="F83" s="107"/>
    </row>
    <row r="84" spans="3:6" x14ac:dyDescent="0.2">
      <c r="C84" s="71" t="s">
        <v>74</v>
      </c>
      <c r="D84" s="73"/>
      <c r="E84" s="73" t="s">
        <v>101</v>
      </c>
      <c r="F84" s="74"/>
    </row>
    <row r="85" spans="3:6" x14ac:dyDescent="0.2">
      <c r="C85" s="72"/>
      <c r="D85" s="107"/>
      <c r="E85" s="107"/>
      <c r="F85" s="107"/>
    </row>
    <row r="86" spans="3:6" x14ac:dyDescent="0.2">
      <c r="C86" s="71" t="s">
        <v>75</v>
      </c>
      <c r="F86" s="70"/>
    </row>
    <row r="87" spans="3:6" ht="13.5" thickBot="1" x14ac:dyDescent="0.25">
      <c r="C87" s="75"/>
      <c r="D87" s="103"/>
      <c r="E87" s="103"/>
      <c r="F87" s="103"/>
    </row>
    <row r="89" spans="3:6" ht="13.5" thickBot="1" x14ac:dyDescent="0.25"/>
    <row r="90" spans="3:6" x14ac:dyDescent="0.2">
      <c r="C90" s="66" t="s">
        <v>94</v>
      </c>
      <c r="D90" s="67"/>
      <c r="E90" s="67"/>
      <c r="F90" s="68"/>
    </row>
    <row r="91" spans="3:6" x14ac:dyDescent="0.2">
      <c r="C91" s="69"/>
      <c r="F91" s="70"/>
    </row>
    <row r="92" spans="3:6" x14ac:dyDescent="0.2">
      <c r="C92" s="71" t="s">
        <v>72</v>
      </c>
      <c r="F92" s="70"/>
    </row>
    <row r="93" spans="3:6" ht="13.5" customHeight="1" x14ac:dyDescent="0.2">
      <c r="C93" s="71"/>
      <c r="D93" s="104" t="s">
        <v>104</v>
      </c>
      <c r="E93" s="105"/>
      <c r="F93" s="105"/>
    </row>
    <row r="94" spans="3:6" ht="15" x14ac:dyDescent="0.25">
      <c r="C94" s="71"/>
      <c r="D94" s="78"/>
      <c r="E94" s="73"/>
      <c r="F94" s="74"/>
    </row>
    <row r="95" spans="3:6" x14ac:dyDescent="0.2">
      <c r="C95" s="71" t="s">
        <v>81</v>
      </c>
      <c r="E95" s="76" t="s">
        <v>100</v>
      </c>
      <c r="F95" s="70"/>
    </row>
    <row r="96" spans="3:6" x14ac:dyDescent="0.2">
      <c r="C96" s="72"/>
      <c r="D96" s="106"/>
      <c r="E96" s="106"/>
      <c r="F96" s="106"/>
    </row>
    <row r="97" spans="3:6" x14ac:dyDescent="0.2">
      <c r="C97" s="71" t="s">
        <v>76</v>
      </c>
      <c r="D97" s="106" t="s">
        <v>79</v>
      </c>
      <c r="E97" s="106"/>
      <c r="F97" s="106"/>
    </row>
    <row r="98" spans="3:6" x14ac:dyDescent="0.2">
      <c r="C98" s="71"/>
      <c r="D98" s="76"/>
      <c r="E98" s="76"/>
      <c r="F98" s="77"/>
    </row>
    <row r="99" spans="3:6" x14ac:dyDescent="0.2">
      <c r="C99" s="71" t="s">
        <v>80</v>
      </c>
      <c r="D99" s="76"/>
      <c r="E99" s="76" t="s">
        <v>77</v>
      </c>
      <c r="F99" s="77"/>
    </row>
    <row r="100" spans="3:6" x14ac:dyDescent="0.2">
      <c r="C100" s="71"/>
      <c r="D100" s="76"/>
      <c r="E100" s="76"/>
      <c r="F100" s="77"/>
    </row>
    <row r="101" spans="3:6" x14ac:dyDescent="0.2">
      <c r="C101" s="71" t="s">
        <v>73</v>
      </c>
      <c r="F101" s="70"/>
    </row>
    <row r="102" spans="3:6" x14ac:dyDescent="0.2">
      <c r="C102" s="72"/>
      <c r="D102" s="107"/>
      <c r="E102" s="107"/>
      <c r="F102" s="107"/>
    </row>
    <row r="103" spans="3:6" x14ac:dyDescent="0.2">
      <c r="C103" s="71" t="s">
        <v>74</v>
      </c>
      <c r="D103" s="73"/>
      <c r="E103" s="73" t="s">
        <v>101</v>
      </c>
      <c r="F103" s="74"/>
    </row>
    <row r="104" spans="3:6" x14ac:dyDescent="0.2">
      <c r="C104" s="72"/>
      <c r="D104" s="107"/>
      <c r="E104" s="107"/>
      <c r="F104" s="107"/>
    </row>
    <row r="105" spans="3:6" x14ac:dyDescent="0.2">
      <c r="C105" s="71" t="s">
        <v>75</v>
      </c>
      <c r="F105" s="70"/>
    </row>
    <row r="106" spans="3:6" ht="13.5" thickBot="1" x14ac:dyDescent="0.25">
      <c r="C106" s="75"/>
      <c r="D106" s="103"/>
      <c r="E106" s="103"/>
      <c r="F106" s="103"/>
    </row>
  </sheetData>
  <mergeCells count="31">
    <mergeCell ref="D104:F104"/>
    <mergeCell ref="D106:F106"/>
    <mergeCell ref="D46:F46"/>
    <mergeCell ref="D37:F37"/>
    <mergeCell ref="D40:F40"/>
    <mergeCell ref="D48:F48"/>
    <mergeCell ref="D55:F55"/>
    <mergeCell ref="D58:F58"/>
    <mergeCell ref="D59:F59"/>
    <mergeCell ref="D64:F64"/>
    <mergeCell ref="D50:F50"/>
    <mergeCell ref="D74:F74"/>
    <mergeCell ref="D77:F77"/>
    <mergeCell ref="D78:F78"/>
    <mergeCell ref="D83:F83"/>
    <mergeCell ref="D66:F66"/>
    <mergeCell ref="A6:B6"/>
    <mergeCell ref="A7:B7"/>
    <mergeCell ref="D41:F41"/>
    <mergeCell ref="B2:H2"/>
    <mergeCell ref="A4:B4"/>
    <mergeCell ref="C4:E4"/>
    <mergeCell ref="A5:B5"/>
    <mergeCell ref="C5:E5"/>
    <mergeCell ref="D68:F68"/>
    <mergeCell ref="D93:F93"/>
    <mergeCell ref="D96:F96"/>
    <mergeCell ref="D97:F97"/>
    <mergeCell ref="D102:F102"/>
    <mergeCell ref="D85:F85"/>
    <mergeCell ref="D87:F8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topLeftCell="A8" zoomScale="90" zoomScaleNormal="90" workbookViewId="0">
      <selection activeCell="L14" sqref="L14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2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9.285156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2" ht="18" customHeight="1" x14ac:dyDescent="0.2">
      <c r="A1" s="119" t="s">
        <v>14</v>
      </c>
      <c r="B1" s="119"/>
      <c r="C1" s="119"/>
      <c r="D1" s="119"/>
      <c r="E1" s="119"/>
      <c r="F1" s="119"/>
      <c r="G1" s="119"/>
      <c r="H1" s="119"/>
      <c r="I1" s="119"/>
      <c r="J1" s="2" t="s">
        <v>15</v>
      </c>
      <c r="K1" s="101" t="s">
        <v>106</v>
      </c>
    </row>
    <row r="2" spans="1:12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4"/>
      <c r="K2" s="4"/>
    </row>
    <row r="3" spans="1:12" ht="18.75" customHeight="1" thickBot="1" x14ac:dyDescent="0.25">
      <c r="A3" s="120" t="s">
        <v>48</v>
      </c>
      <c r="B3" s="120"/>
      <c r="C3" s="120"/>
      <c r="D3" s="111" t="str">
        <f>'Necesidades Trimestrales'!C4</f>
        <v>40 - Ministerio de Salud</v>
      </c>
      <c r="E3" s="111"/>
      <c r="F3" s="111"/>
      <c r="G3" s="111"/>
      <c r="H3" s="111"/>
      <c r="I3" s="111"/>
      <c r="J3" s="111"/>
      <c r="K3" s="111"/>
    </row>
    <row r="4" spans="1:12" ht="18.75" customHeight="1" thickBot="1" x14ac:dyDescent="0.25">
      <c r="A4" s="121" t="s">
        <v>49</v>
      </c>
      <c r="B4" s="121"/>
      <c r="C4" s="121"/>
      <c r="D4" s="111" t="str">
        <f>'Necesidades Trimestrales'!C5</f>
        <v>28 - MATERNIDAD PROVINCIAL 25 DE MAYO</v>
      </c>
      <c r="E4" s="111"/>
      <c r="F4" s="111"/>
      <c r="G4" s="111"/>
      <c r="H4" s="111"/>
      <c r="I4" s="111"/>
      <c r="J4" s="111"/>
      <c r="K4" s="111"/>
    </row>
    <row r="5" spans="1:12" ht="18.75" customHeight="1" thickBot="1" x14ac:dyDescent="0.25">
      <c r="A5" s="121" t="s">
        <v>27</v>
      </c>
      <c r="B5" s="121"/>
      <c r="C5" s="121"/>
      <c r="D5" s="111" t="s">
        <v>109</v>
      </c>
      <c r="E5" s="111"/>
      <c r="F5" s="111"/>
      <c r="G5" s="111"/>
      <c r="H5" s="111"/>
      <c r="I5" s="111"/>
      <c r="J5" s="111"/>
      <c r="K5" s="111"/>
    </row>
    <row r="6" spans="1:12" ht="16.5" customHeight="1" thickBot="1" x14ac:dyDescent="0.25">
      <c r="A6" s="120" t="s">
        <v>50</v>
      </c>
      <c r="B6" s="120"/>
      <c r="C6" s="120"/>
      <c r="D6" s="111" t="s">
        <v>82</v>
      </c>
      <c r="E6" s="111"/>
      <c r="F6" s="111"/>
      <c r="G6" s="111"/>
      <c r="H6" s="111"/>
      <c r="I6" s="111"/>
      <c r="J6" s="111"/>
      <c r="K6" s="111"/>
    </row>
    <row r="7" spans="1:12" ht="16.5" customHeight="1" x14ac:dyDescent="0.2">
      <c r="A7" s="121" t="s">
        <v>16</v>
      </c>
      <c r="B7" s="121"/>
      <c r="C7" s="121"/>
      <c r="D7" s="111" t="s">
        <v>97</v>
      </c>
      <c r="E7" s="111"/>
      <c r="F7" s="111"/>
      <c r="G7" s="111"/>
      <c r="H7" s="111"/>
      <c r="I7" s="111"/>
      <c r="J7" s="111"/>
      <c r="K7" s="111"/>
    </row>
    <row r="8" spans="1:12" ht="16.5" customHeight="1" x14ac:dyDescent="0.2">
      <c r="A8" s="113" t="s">
        <v>17</v>
      </c>
      <c r="B8" s="113"/>
      <c r="C8" s="113"/>
      <c r="D8" s="114" t="s">
        <v>105</v>
      </c>
      <c r="E8" s="114"/>
      <c r="F8" s="114"/>
      <c r="G8" s="114"/>
      <c r="H8" s="114"/>
      <c r="I8" s="114"/>
      <c r="J8" s="114"/>
      <c r="K8" s="114"/>
    </row>
    <row r="9" spans="1:12" ht="15.75" x14ac:dyDescent="0.2">
      <c r="A9" s="5"/>
      <c r="B9" s="5"/>
      <c r="C9" s="5"/>
      <c r="D9" s="6"/>
      <c r="E9" s="6"/>
      <c r="F9" s="6"/>
      <c r="G9" s="6"/>
      <c r="H9" s="6"/>
      <c r="I9" s="6"/>
      <c r="J9" s="6"/>
      <c r="K9" s="6"/>
    </row>
    <row r="10" spans="1:12" ht="18.75" customHeight="1" x14ac:dyDescent="0.2">
      <c r="A10" s="115" t="s">
        <v>18</v>
      </c>
      <c r="B10" s="116" t="s">
        <v>19</v>
      </c>
      <c r="C10" s="116" t="s">
        <v>20</v>
      </c>
      <c r="D10" s="116"/>
      <c r="E10" s="116"/>
      <c r="F10" s="116"/>
      <c r="G10" s="116"/>
      <c r="H10" s="116" t="s">
        <v>21</v>
      </c>
      <c r="I10" s="116" t="s">
        <v>22</v>
      </c>
      <c r="J10" s="116" t="s">
        <v>23</v>
      </c>
      <c r="K10" s="117" t="s">
        <v>24</v>
      </c>
    </row>
    <row r="11" spans="1:12" ht="24" customHeight="1" thickBot="1" x14ac:dyDescent="0.25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2" ht="30" customHeight="1" thickBot="1" x14ac:dyDescent="0.25">
      <c r="A12" s="50">
        <f>'Necesidades Trimestrales'!A10</f>
        <v>1</v>
      </c>
      <c r="B12" s="50" t="str">
        <f>'Necesidades Trimestrales'!B10</f>
        <v>2.5.4-505.90</v>
      </c>
      <c r="C12" s="118" t="str">
        <f>'Necesidades Trimestrales'!E10</f>
        <v>DESINFECTANTES; PRINCIPIO ACTIVO: ANTIBACTERIANO, CONTROL: BACTERIAS Y HONGOS, PRESENTACION: ENVASE X 390 CM3</v>
      </c>
      <c r="D12" s="118"/>
      <c r="E12" s="118"/>
      <c r="F12" s="118"/>
      <c r="G12" s="118"/>
      <c r="H12" s="39" t="s">
        <v>78</v>
      </c>
      <c r="I12" s="40" t="str">
        <f>'Necesidades Trimestrales'!F10</f>
        <v xml:space="preserve">unidad </v>
      </c>
      <c r="J12" s="51">
        <f>'Necesidades Trimestrales'!H10</f>
        <v>900</v>
      </c>
      <c r="K12" s="41">
        <f>'Necesidades Trimestrales'!G10</f>
        <v>300</v>
      </c>
      <c r="L12" s="102"/>
    </row>
    <row r="13" spans="1:12" ht="30" customHeight="1" thickBot="1" x14ac:dyDescent="0.25">
      <c r="A13" s="50">
        <v>2</v>
      </c>
      <c r="B13" s="50" t="str">
        <f>'Necesidades Trimestrales'!B11</f>
        <v>2.9.1-6960.51</v>
      </c>
      <c r="C13" s="118" t="str">
        <f>'Necesidades Trimestrales'!E11</f>
        <v>ELEM. LIMPIEZA P/INDUMENTARIA; TIPO: JABON EN POLVO BAJA ESPUMA, PRESENTACION: ENVASE X 6 Kg</v>
      </c>
      <c r="D13" s="118"/>
      <c r="E13" s="118"/>
      <c r="F13" s="118"/>
      <c r="G13" s="118"/>
      <c r="H13" s="39" t="s">
        <v>51</v>
      </c>
      <c r="I13" s="40" t="str">
        <f>'Necesidades Trimestrales'!F11</f>
        <v xml:space="preserve">bolsa </v>
      </c>
      <c r="J13" s="51">
        <f>'Necesidades Trimestrales'!H11</f>
        <v>1400</v>
      </c>
      <c r="K13" s="41">
        <f>'Necesidades Trimestrales'!G11</f>
        <v>200</v>
      </c>
      <c r="L13" s="102"/>
    </row>
    <row r="14" spans="1:12" ht="30" customHeight="1" thickBot="1" x14ac:dyDescent="0.25">
      <c r="A14" s="50">
        <v>3</v>
      </c>
      <c r="B14" s="147" t="s">
        <v>85</v>
      </c>
      <c r="C14" s="148" t="s">
        <v>86</v>
      </c>
      <c r="D14" s="149"/>
      <c r="E14" s="149"/>
      <c r="F14" s="149"/>
      <c r="G14" s="150"/>
      <c r="H14" s="39" t="s">
        <v>78</v>
      </c>
      <c r="I14" s="40" t="s">
        <v>68</v>
      </c>
      <c r="J14" s="51">
        <f>'Necesidades Trimestrales'!H12</f>
        <v>230</v>
      </c>
      <c r="K14" s="41">
        <f>'Necesidades Trimestrales'!G12</f>
        <v>500</v>
      </c>
      <c r="L14" s="102"/>
    </row>
    <row r="15" spans="1:12" ht="30" customHeight="1" thickBot="1" x14ac:dyDescent="0.25">
      <c r="A15" s="50">
        <v>4</v>
      </c>
      <c r="B15" s="50" t="str">
        <f>'Necesidades Trimestrales'!B13</f>
        <v>2.3.4-783.54</v>
      </c>
      <c r="C15" s="118" t="str">
        <f>'Necesidades Trimestrales'!E13</f>
        <v>TOALLAS DE PAPEL; MATERIAL: PAPEL ECOLOGICO, GRAMAJE: 30 GR/CM2, DIMENSION: 18,4 X 24 Cm, PRESENTACION: X 10</v>
      </c>
      <c r="D15" s="118"/>
      <c r="E15" s="118"/>
      <c r="F15" s="118"/>
      <c r="G15" s="118"/>
      <c r="H15" s="39" t="s">
        <v>51</v>
      </c>
      <c r="I15" s="40" t="str">
        <f>'Necesidades Trimestrales'!F13</f>
        <v>caja</v>
      </c>
      <c r="J15" s="51">
        <f>'Necesidades Trimestrales'!H13</f>
        <v>2100</v>
      </c>
      <c r="K15" s="41">
        <f>'Necesidades Trimestrales'!G13</f>
        <v>550</v>
      </c>
      <c r="L15" s="102"/>
    </row>
    <row r="16" spans="1:12" ht="30" customHeight="1" thickBot="1" x14ac:dyDescent="0.25">
      <c r="A16" s="50">
        <v>5</v>
      </c>
      <c r="B16" s="50" t="str">
        <f>'Necesidades Trimestrales'!B14</f>
        <v>2.3.4-783.84</v>
      </c>
      <c r="C16" s="118" t="str">
        <f>'Necesidades Trimestrales'!E14</f>
        <v>TOALLAS DE PAPEL; MATERIAL: FIBRA CELULOSICA, GRAMAJE: 20 GR/M2, DIMENSION: 25 Cm, PRESENTACION: 2 X BOBINA X 400 M</v>
      </c>
      <c r="D16" s="118"/>
      <c r="E16" s="118"/>
      <c r="F16" s="118"/>
      <c r="G16" s="118"/>
      <c r="H16" s="39" t="s">
        <v>78</v>
      </c>
      <c r="I16" s="40" t="str">
        <f>'Necesidades Trimestrales'!F14</f>
        <v>Bobina</v>
      </c>
      <c r="J16" s="51">
        <f>'Necesidades Trimestrales'!H14</f>
        <v>1950</v>
      </c>
      <c r="K16" s="41">
        <f>'Necesidades Trimestrales'!G14</f>
        <v>500</v>
      </c>
      <c r="L16" s="102"/>
    </row>
    <row r="17" spans="1:12" ht="30" customHeight="1" thickBot="1" x14ac:dyDescent="0.25">
      <c r="A17" s="7">
        <v>6</v>
      </c>
      <c r="B17" s="50" t="str">
        <f>'Necesidades Trimestrales'!B15</f>
        <v>2.9.1-6951.324</v>
      </c>
      <c r="C17" s="118" t="str">
        <f>'Necesidades Trimestrales'!E15</f>
        <v>LIMPIADORES;TIPO:LAVANDINA GRANULADA,PRESENTACION:ENVASE X 40 GR,BIODEGRADABLE:SI</v>
      </c>
      <c r="D17" s="118"/>
      <c r="E17" s="118"/>
      <c r="F17" s="118"/>
      <c r="G17" s="118"/>
      <c r="H17" s="39" t="s">
        <v>78</v>
      </c>
      <c r="I17" s="40" t="str">
        <f>'Necesidades Trimestrales'!F15</f>
        <v>caja</v>
      </c>
      <c r="J17" s="51">
        <f>'Necesidades Trimestrales'!H15</f>
        <v>3750</v>
      </c>
      <c r="K17" s="41">
        <f>'Necesidades Trimestrales'!G15</f>
        <v>4</v>
      </c>
      <c r="L17" s="102"/>
    </row>
    <row r="18" spans="1:12" ht="16.5" thickBot="1" x14ac:dyDescent="0.25">
      <c r="A18" s="111" t="s">
        <v>95</v>
      </c>
      <c r="B18" s="111"/>
      <c r="C18" s="111"/>
      <c r="D18" s="111"/>
      <c r="E18" s="111"/>
      <c r="F18" s="111"/>
      <c r="G18" s="111"/>
      <c r="H18" s="111"/>
      <c r="I18" s="111"/>
      <c r="J18" s="112">
        <v>2810000</v>
      </c>
      <c r="K18" s="112"/>
      <c r="L18" s="102"/>
    </row>
  </sheetData>
  <mergeCells count="28">
    <mergeCell ref="C14:G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5:G15"/>
    <mergeCell ref="A18:I18"/>
    <mergeCell ref="J18:K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6:G16"/>
    <mergeCell ref="C13:G13"/>
    <mergeCell ref="C17:G17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abSelected="1" topLeftCell="A16" zoomScale="120" zoomScaleNormal="120" workbookViewId="0">
      <selection activeCell="A26" sqref="A26:Q2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3" t="s">
        <v>3</v>
      </c>
      <c r="B1" s="143"/>
      <c r="C1" s="143"/>
      <c r="D1" s="144">
        <f>'Necesidades Trimestrales'!C6</f>
        <v>2022</v>
      </c>
      <c r="E1" s="144"/>
      <c r="F1" s="9"/>
      <c r="G1" s="9"/>
      <c r="H1" s="10"/>
      <c r="I1" s="10"/>
      <c r="J1" s="10"/>
      <c r="K1" s="10"/>
      <c r="L1" s="10"/>
      <c r="M1" s="10"/>
      <c r="N1" s="10"/>
      <c r="P1" s="145" t="s">
        <v>25</v>
      </c>
      <c r="Q1" s="145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45"/>
      <c r="Q2" s="145"/>
    </row>
    <row r="4" spans="1:17" s="11" customFormat="1" ht="18" customHeight="1" thickBot="1" x14ac:dyDescent="0.25">
      <c r="A4" s="146" t="s">
        <v>26</v>
      </c>
      <c r="B4" s="146"/>
      <c r="C4" s="146"/>
      <c r="D4" s="146"/>
      <c r="E4" s="146"/>
      <c r="F4" s="146"/>
      <c r="G4" s="141" t="str">
        <f>NotaPedido!D3</f>
        <v>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11" customFormat="1" ht="18" customHeight="1" thickBot="1" x14ac:dyDescent="0.25">
      <c r="A5" s="138" t="s">
        <v>49</v>
      </c>
      <c r="B5" s="139"/>
      <c r="C5" s="139"/>
      <c r="D5" s="139"/>
      <c r="E5" s="139"/>
      <c r="F5" s="140"/>
      <c r="G5" s="141" t="str">
        <f>NotaPedido!D4</f>
        <v>28 - MATERNIDAD PROVINCIAL 25 DE MAYO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11" customFormat="1" ht="18" customHeight="1" thickBot="1" x14ac:dyDescent="0.25">
      <c r="A6" s="138" t="s">
        <v>27</v>
      </c>
      <c r="B6" s="139"/>
      <c r="C6" s="139"/>
      <c r="D6" s="139"/>
      <c r="E6" s="139"/>
      <c r="F6" s="140"/>
      <c r="G6" s="141" t="str">
        <f>NotaPedido!D5</f>
        <v>171-Direccion de Administracion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11" customFormat="1" ht="18" customHeight="1" thickBot="1" x14ac:dyDescent="0.25">
      <c r="A7" s="138" t="s">
        <v>50</v>
      </c>
      <c r="B7" s="139"/>
      <c r="C7" s="139"/>
      <c r="D7" s="139"/>
      <c r="E7" s="139"/>
      <c r="F7" s="140"/>
      <c r="G7" s="141" t="str">
        <f>NotaPedido!D6</f>
        <v>Servicio de Economato y Nutricion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2" t="s">
        <v>28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32" t="s">
        <v>29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Q9" s="12"/>
    </row>
    <row r="10" spans="1:17" ht="54.75" customHeight="1" x14ac:dyDescent="0.2">
      <c r="A10" s="13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00/2022,  afectando la erogación resultante a los créditos presupuestarios aprobados a favor de esta Unidad Ejecutora, conforme al siguiente detalle: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34" t="s">
        <v>30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x14ac:dyDescent="0.2">
      <c r="A13" s="135" t="s">
        <v>31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6" t="s">
        <v>32</v>
      </c>
      <c r="P13" s="136"/>
      <c r="Q13" s="137" t="s">
        <v>33</v>
      </c>
    </row>
    <row r="14" spans="1:17" ht="15.75" customHeight="1" thickBot="1" x14ac:dyDescent="0.25">
      <c r="A14" s="17" t="s">
        <v>34</v>
      </c>
      <c r="B14" s="18" t="s">
        <v>35</v>
      </c>
      <c r="C14" s="18" t="s">
        <v>36</v>
      </c>
      <c r="D14" s="18" t="s">
        <v>37</v>
      </c>
      <c r="E14" s="18" t="s">
        <v>38</v>
      </c>
      <c r="F14" s="18" t="s">
        <v>39</v>
      </c>
      <c r="G14" s="19" t="s">
        <v>40</v>
      </c>
      <c r="H14" s="18" t="s">
        <v>41</v>
      </c>
      <c r="I14" s="18" t="s">
        <v>42</v>
      </c>
      <c r="J14" s="18" t="s">
        <v>43</v>
      </c>
      <c r="K14" s="18" t="s">
        <v>43</v>
      </c>
      <c r="L14" s="18" t="s">
        <v>44</v>
      </c>
      <c r="M14" s="20" t="s">
        <v>45</v>
      </c>
      <c r="N14" s="21" t="s">
        <v>46</v>
      </c>
      <c r="O14" s="136"/>
      <c r="P14" s="136"/>
      <c r="Q14" s="137"/>
    </row>
    <row r="15" spans="1:17" ht="17.25" customHeight="1" thickBot="1" x14ac:dyDescent="0.25">
      <c r="A15" s="52">
        <v>42</v>
      </c>
      <c r="B15" s="53"/>
      <c r="C15" s="53"/>
      <c r="D15" s="53">
        <v>3</v>
      </c>
      <c r="E15" s="53"/>
      <c r="F15" s="53">
        <v>4901</v>
      </c>
      <c r="G15" s="53">
        <v>3</v>
      </c>
      <c r="H15" s="53">
        <v>1</v>
      </c>
      <c r="I15" s="23">
        <v>2</v>
      </c>
      <c r="J15" s="23">
        <v>3</v>
      </c>
      <c r="K15" s="23">
        <v>4</v>
      </c>
      <c r="L15" s="24"/>
      <c r="M15" s="62">
        <v>1</v>
      </c>
      <c r="N15" s="65" t="s">
        <v>53</v>
      </c>
      <c r="O15" s="127" t="s">
        <v>56</v>
      </c>
      <c r="P15" s="127"/>
      <c r="Q15" s="26">
        <v>2245000</v>
      </c>
    </row>
    <row r="16" spans="1:17" ht="17.25" customHeight="1" thickBot="1" x14ac:dyDescent="0.25">
      <c r="A16" s="52">
        <v>42</v>
      </c>
      <c r="B16" s="53"/>
      <c r="C16" s="53"/>
      <c r="D16" s="53">
        <v>3</v>
      </c>
      <c r="E16" s="53"/>
      <c r="F16" s="53">
        <v>4901</v>
      </c>
      <c r="G16" s="53">
        <v>3</v>
      </c>
      <c r="H16" s="53">
        <v>1</v>
      </c>
      <c r="I16" s="23">
        <v>2</v>
      </c>
      <c r="J16" s="23">
        <v>5</v>
      </c>
      <c r="K16" s="23">
        <v>4</v>
      </c>
      <c r="L16" s="24"/>
      <c r="M16" s="62">
        <v>1</v>
      </c>
      <c r="N16" s="65" t="s">
        <v>53</v>
      </c>
      <c r="O16" s="127" t="s">
        <v>70</v>
      </c>
      <c r="P16" s="127"/>
      <c r="Q16" s="26">
        <v>270000</v>
      </c>
    </row>
    <row r="17" spans="1:19" ht="17.25" customHeight="1" x14ac:dyDescent="0.2">
      <c r="A17" s="52">
        <v>42</v>
      </c>
      <c r="B17" s="53"/>
      <c r="C17" s="53"/>
      <c r="D17" s="53">
        <v>3</v>
      </c>
      <c r="E17" s="53"/>
      <c r="F17" s="53">
        <v>4901</v>
      </c>
      <c r="G17" s="53">
        <v>3</v>
      </c>
      <c r="H17" s="53">
        <v>1</v>
      </c>
      <c r="I17" s="28">
        <v>2</v>
      </c>
      <c r="J17" s="28">
        <v>9</v>
      </c>
      <c r="K17" s="28">
        <v>1</v>
      </c>
      <c r="L17" s="28"/>
      <c r="M17" s="29">
        <v>1</v>
      </c>
      <c r="N17" s="30" t="s">
        <v>53</v>
      </c>
      <c r="O17" s="127" t="s">
        <v>71</v>
      </c>
      <c r="P17" s="127"/>
      <c r="Q17" s="26">
        <v>295000</v>
      </c>
      <c r="S17" s="44"/>
    </row>
    <row r="18" spans="1:19" ht="17.25" customHeight="1" x14ac:dyDescent="0.2">
      <c r="A18" s="22"/>
      <c r="B18" s="23"/>
      <c r="C18" s="23"/>
      <c r="D18" s="23"/>
      <c r="E18" s="23"/>
      <c r="F18" s="23"/>
      <c r="G18" s="23"/>
      <c r="H18" s="42"/>
      <c r="I18" s="23"/>
      <c r="J18" s="23"/>
      <c r="K18" s="23"/>
      <c r="L18" s="23"/>
      <c r="M18" s="24"/>
      <c r="N18" s="43"/>
      <c r="O18" s="131"/>
      <c r="P18" s="127"/>
      <c r="Q18" s="45"/>
    </row>
    <row r="19" spans="1:19" ht="17.25" customHeight="1" x14ac:dyDescent="0.2">
      <c r="A19" s="22"/>
      <c r="B19" s="23"/>
      <c r="C19" s="23"/>
      <c r="D19" s="23"/>
      <c r="E19" s="23"/>
      <c r="F19" s="25"/>
      <c r="G19" s="23"/>
      <c r="H19" s="23"/>
      <c r="I19" s="23"/>
      <c r="J19" s="23"/>
      <c r="K19" s="23"/>
      <c r="L19" s="23"/>
      <c r="M19" s="24"/>
      <c r="N19" s="25"/>
      <c r="O19" s="127"/>
      <c r="P19" s="127"/>
      <c r="Q19" s="26"/>
    </row>
    <row r="20" spans="1:19" ht="17.25" customHeight="1" x14ac:dyDescent="0.2">
      <c r="A20" s="22"/>
      <c r="B20" s="23"/>
      <c r="C20" s="23"/>
      <c r="D20" s="23"/>
      <c r="E20" s="23"/>
      <c r="F20" s="25"/>
      <c r="G20" s="23"/>
      <c r="H20" s="23"/>
      <c r="I20" s="23"/>
      <c r="J20" s="23"/>
      <c r="K20" s="23"/>
      <c r="L20" s="23"/>
      <c r="M20" s="24"/>
      <c r="N20" s="25"/>
      <c r="O20" s="127"/>
      <c r="P20" s="127"/>
      <c r="Q20" s="26"/>
    </row>
    <row r="21" spans="1:19" ht="17.25" customHeight="1" x14ac:dyDescent="0.2">
      <c r="A21" s="27"/>
      <c r="B21" s="28"/>
      <c r="C21" s="28"/>
      <c r="D21" s="28"/>
      <c r="E21" s="28"/>
      <c r="F21" s="25"/>
      <c r="G21" s="28"/>
      <c r="H21" s="28"/>
      <c r="I21" s="28"/>
      <c r="J21" s="28"/>
      <c r="K21" s="28"/>
      <c r="L21" s="28"/>
      <c r="M21" s="29"/>
      <c r="N21" s="30"/>
      <c r="O21" s="127"/>
      <c r="P21" s="127"/>
      <c r="Q21" s="26"/>
    </row>
    <row r="22" spans="1:19" ht="17.25" customHeight="1" thickBot="1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2"/>
      <c r="O22" s="128"/>
      <c r="P22" s="128"/>
      <c r="Q22" s="34"/>
    </row>
    <row r="23" spans="1:19" ht="34.5" customHeight="1" thickBot="1" x14ac:dyDescent="0.25">
      <c r="A23" s="129" t="s">
        <v>96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46">
        <f>SUM(Q15:Q22)</f>
        <v>2810000</v>
      </c>
    </row>
    <row r="24" spans="1:19" ht="18" customHeight="1" thickBo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9" ht="17.25" customHeight="1" thickBot="1" x14ac:dyDescent="0.25">
      <c r="A25" s="122" t="s">
        <v>47</v>
      </c>
      <c r="B25" s="123"/>
      <c r="C25" s="123"/>
      <c r="D25" s="123"/>
      <c r="E25" s="123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9" ht="18" customHeight="1" thickBot="1" x14ac:dyDescent="0.25">
      <c r="A26" s="126" t="str">
        <f>"Para la "&amp; NotaPedido!D8 &amp;" para ser destinados a " &amp; NotaPedido!D6 &amp;"  de la Maternidad Provincial 25 de Mayo del Ministerio de Salud."</f>
        <v>Para la Adquisición de Elementos de Limpieza  para ser destinados a Servicio de Economato y Nutricion  de la Maternidad Provincial 25 de Mayo del Ministerio de Salud.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1:19" ht="1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2021-02-17T15:38:36Z</cp:lastPrinted>
  <dcterms:created xsi:type="dcterms:W3CDTF">2020-07-17T23:44:49Z</dcterms:created>
  <dcterms:modified xsi:type="dcterms:W3CDTF">2022-10-03T13:53:55Z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