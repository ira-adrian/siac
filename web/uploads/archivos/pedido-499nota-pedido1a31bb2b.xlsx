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6390" windowWidth="28830" windowHeight="6435" activeTab="3"/>
  </bookViews>
  <sheets>
    <sheet name="SAF 011 - NECESIDAD TRIMESTRAL" sheetId="1" r:id="rId1"/>
    <sheet name="ENTREGAS" sheetId="4" r:id="rId2"/>
    <sheet name="NP" sheetId="2" r:id="rId3"/>
    <sheet name="APG" sheetId="3" r:id="rId4"/>
  </sheets>
  <definedNames>
    <definedName name="_xlnm._FilterDatabase" localSheetId="0" hidden="1">'SAF 011 - NECESIDAD TRIMESTRAL'!$A$9:$L$11</definedName>
  </definedNames>
  <calcPr calcId="144525"/>
</workbook>
</file>

<file path=xl/calcChain.xml><?xml version="1.0" encoding="utf-8"?>
<calcChain xmlns="http://schemas.openxmlformats.org/spreadsheetml/2006/main">
  <c r="I10" i="1" l="1"/>
  <c r="J15" i="1" l="1"/>
  <c r="J16" i="1"/>
  <c r="J17" i="1"/>
  <c r="J14" i="1"/>
  <c r="K12" i="2" l="1"/>
  <c r="J12" i="2"/>
  <c r="I12" i="2"/>
  <c r="C12" i="2"/>
  <c r="B12" i="2"/>
  <c r="J14" i="2" l="1"/>
  <c r="K10" i="1"/>
  <c r="H10" i="1"/>
  <c r="A41" i="3" l="1"/>
  <c r="Q15" i="3"/>
  <c r="G5" i="3" l="1"/>
  <c r="G6" i="3"/>
  <c r="G7" i="3"/>
  <c r="G4" i="3"/>
  <c r="Q38" i="3"/>
  <c r="K11" i="1" l="1"/>
</calcChain>
</file>

<file path=xl/sharedStrings.xml><?xml version="1.0" encoding="utf-8"?>
<sst xmlns="http://schemas.openxmlformats.org/spreadsheetml/2006/main" count="109" uniqueCount="100">
  <si>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</si>
  <si>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</si>
  <si>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</si>
  <si>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</si>
  <si>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</si>
  <si>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</si>
  <si>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</si>
  <si>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</si>
  <si>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</si>
  <si>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</si>
  <si>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</si>
  <si>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</si>
  <si>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</si>
  <si>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</si>
  <si>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</si>
  <si>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</si>
  <si>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</si>
  <si>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</si>
  <si>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MS</t>
  </si>
  <si>
    <t>TOTAL MS</t>
  </si>
  <si>
    <t>EQUIPOS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</si>
  <si>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</si>
  <si>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</si>
  <si>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</si>
  <si>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</si>
  <si>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</si>
  <si>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</si>
  <si>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</si>
  <si>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</si>
  <si>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</si>
  <si>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</si>
  <si>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</si>
  <si>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</si>
  <si>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</si>
  <si>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</si>
  <si>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</si>
  <si>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</si>
  <si>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</si>
  <si>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</si>
  <si>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</si>
  <si>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</si>
  <si>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</si>
  <si>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</si>
  <si>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</si>
  <si>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</si>
  <si>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</si>
  <si>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</si>
  <si>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</si>
  <si>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</si>
  <si>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</si>
  <si>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</si>
  <si>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</si>
  <si>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</si>
  <si>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</si>
  <si>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</si>
  <si>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</si>
  <si>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</si>
  <si>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</si>
  <si>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011 - DIRECCION PROVINCIAL DE ADMINISTRACION DEL MINISTERIO DE SALUD</t>
  </si>
  <si>
    <t>SI</t>
  </si>
  <si>
    <t>4.3.3</t>
  </si>
  <si>
    <t>Plazos de entrega:</t>
  </si>
  <si>
    <t>Lugar de Entrega:</t>
  </si>
  <si>
    <t>Calidad Minima esperada:</t>
  </si>
  <si>
    <t>Mantenimiento:</t>
  </si>
  <si>
    <t>TOTAL RUBRO EQUIPOS</t>
  </si>
  <si>
    <t xml:space="preserve"> XX/2022</t>
  </si>
  <si>
    <t>352 - MINISTERIO DE SALUD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</si>
  <si>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</si>
  <si>
    <t>1.1</t>
  </si>
  <si>
    <t>EQUIPOS SANITARIOS Y DE LABORATORIO</t>
  </si>
  <si>
    <t>EQUIPO FIJO ANALOGICO</t>
  </si>
  <si>
    <t>VER ANEXO I</t>
  </si>
  <si>
    <t>Garantia:</t>
  </si>
  <si>
    <t>* ADJUNTAR FOLLETERIA, MANUALES Y/O CUALQUIER OTRA DOCUMENTACION QUE EL PROVEEDOR ESTIME NECESARIO PARA ACLARAR EL BIEN COTIZADO</t>
  </si>
  <si>
    <t>ESPECIFICIDADES Y DETALLE TECNICO:</t>
  </si>
  <si>
    <t>sesenta (60) dias</t>
  </si>
  <si>
    <t>DIEZ (10) AÑOS</t>
  </si>
  <si>
    <t>Capacitacion:</t>
  </si>
  <si>
    <t>4.3.3-9496.1</t>
  </si>
  <si>
    <t>SISTEMA DE ANESTESIA; TIPO: DE DOS GASES, USO: CIRUGIA, ELEMENTO: MESA DE ANESTESIA COMPLETA</t>
  </si>
  <si>
    <t>Costo total estimado: PESOS TRECE MILLONES CINCUENTA MIL SEISCIENTOS CON 00/100.-</t>
  </si>
  <si>
    <t>ADQUISICION DE MAQUINAS DE ANESTESIA CON DESTINO A HOSPITALES DE LA PROVINCIA.-</t>
  </si>
  <si>
    <t>ORDEN</t>
  </si>
  <si>
    <t>CENTRO DE SALUD</t>
  </si>
  <si>
    <t>X</t>
  </si>
  <si>
    <t>HOSPITAL DE SANTA MARIA   (1)</t>
  </si>
  <si>
    <t>HOSPITAL  DE RECREO    (2)</t>
  </si>
  <si>
    <t>DIAS HABILES</t>
  </si>
  <si>
    <t>TOTAL DE PESOS: TRECE MILLONES CINCUENTA MIL SEISCIENTOS CON 00/100.-</t>
  </si>
  <si>
    <t>HOSPITAL DE TINOGASTA (3)</t>
  </si>
  <si>
    <t xml:space="preserve">SEGÚN DETALLE ADJUNTO. DEBIENDO CORRER LOS GASTOS DE FLETES, ACARREO, CARGA, DESCARGA, SEGURO E INSTALACION A CARGO DEL ADJUDICATARIO. </t>
  </si>
  <si>
    <t>HOSP. SAN JUAN BAUTISTA - MORENO 568</t>
  </si>
  <si>
    <t xml:space="preserve">HOSP. ZONAL LIBORIO FORTE - BOULEVARD  KIRCHNER Y RUTA 20 </t>
  </si>
  <si>
    <t>HOSP. REGIONAL  LUIS ALBERTO - VARGAS 1 DE MAYO 269</t>
  </si>
  <si>
    <t>EQUIPOS DE ANESTESIA: PLAZOS Y LUGARES DE ENTREGA - ESQUEMA DE CAPACITACION.</t>
  </si>
  <si>
    <t>CUARTO</t>
  </si>
  <si>
    <t xml:space="preserve">Entregas parciales a los: quince (15), veinticinco (25) y treinta y cinco (35) dias habiles. </t>
  </si>
  <si>
    <t>un (1) año a partir de la instalacion del equipo. Incluye mantenimiento preventivo por lo menos cada cuatro meses durante el año de garantía.</t>
  </si>
  <si>
    <t>Dentro de los cinco (5) dias habiles, una vez instalado el equipo en los lugares especificados en el esquema adjunto, se debe capacitar a los usuarios designados según su especialidad (profesional de la salud y servicio tecnico)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</si>
</sst>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</font>
    <font>
      <sz val="10"/>
      <color theme="0"/>
      <name val="Calibri"/>
      <family val="2"/>
      <scheme val="minor"/>
    </font>
    <font>
      <b/>
      <u/>
      <sz val="11"/>
      <name val="Calibri"/>
      <family val="2"/>
    </font>
    <font>
      <b/>
      <i/>
      <u val="double"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0" fillId="0" borderId="0"/>
    <xf numFmtId="168" fontId="8" fillId="0" borderId="0" applyBorder="0" applyProtection="0"/>
    <xf numFmtId="0" fontId="11" fillId="0" borderId="7" applyProtection="0"/>
    <xf numFmtId="0" fontId="12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1" fillId="0" borderId="7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3" fillId="0" borderId="0"/>
    <xf numFmtId="0" fontId="14" fillId="0" borderId="0"/>
    <xf numFmtId="0" fontId="8" fillId="0" borderId="0"/>
    <xf numFmtId="170" fontId="26" fillId="0" borderId="0" applyBorder="0" applyProtection="0"/>
  </cellStyleXfs>
  <cellXfs count="23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/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Border="1"/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167" fontId="5" fillId="0" borderId="5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67" fontId="4" fillId="0" borderId="5" xfId="1" applyNumberFormat="1" applyFont="1" applyBorder="1" applyAlignment="1">
      <alignment horizontal="center" vertical="center" wrapText="1"/>
    </xf>
    <xf numFmtId="3" fontId="7" fillId="0" borderId="6" xfId="2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3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20" fillId="0" borderId="21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 wrapText="1" indent="1"/>
    </xf>
    <xf numFmtId="0" fontId="19" fillId="0" borderId="16" xfId="0" applyFont="1" applyBorder="1" applyAlignment="1">
      <alignment horizontal="left" vertical="center" wrapText="1" indent="1"/>
    </xf>
    <xf numFmtId="0" fontId="22" fillId="0" borderId="25" xfId="0" applyFont="1" applyBorder="1" applyAlignment="1">
      <alignment horizontal="center" vertical="center"/>
    </xf>
    <xf numFmtId="3" fontId="24" fillId="0" borderId="29" xfId="0" applyNumberFormat="1" applyFont="1" applyBorder="1" applyAlignment="1"/>
    <xf numFmtId="169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29" fillId="0" borderId="38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9" fillId="0" borderId="39" xfId="0" applyFont="1" applyBorder="1" applyAlignment="1">
      <alignment horizontal="left" vertical="center"/>
    </xf>
    <xf numFmtId="0" fontId="29" fillId="0" borderId="40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57" xfId="0" applyFont="1" applyBorder="1" applyAlignment="1">
      <alignment vertical="center"/>
    </xf>
    <xf numFmtId="0" fontId="19" fillId="0" borderId="28" xfId="0" applyFont="1" applyBorder="1" applyAlignment="1">
      <alignment vertical="center"/>
    </xf>
    <xf numFmtId="0" fontId="19" fillId="0" borderId="58" xfId="0" applyFont="1" applyBorder="1" applyAlignment="1">
      <alignment vertical="center"/>
    </xf>
    <xf numFmtId="0" fontId="18" fillId="0" borderId="15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18" fillId="0" borderId="12" xfId="0" applyNumberFormat="1" applyFont="1" applyBorder="1" applyAlignment="1">
      <alignment horizontal="right" vertical="center"/>
    </xf>
    <xf numFmtId="167" fontId="18" fillId="0" borderId="0" xfId="0" applyNumberFormat="1" applyFont="1" applyBorder="1" applyAlignment="1">
      <alignment vertical="center"/>
    </xf>
    <xf numFmtId="167" fontId="19" fillId="0" borderId="57" xfId="0" applyNumberFormat="1" applyFont="1" applyBorder="1" applyAlignment="1">
      <alignment vertical="center"/>
    </xf>
    <xf numFmtId="167" fontId="19" fillId="0" borderId="0" xfId="0" applyNumberFormat="1" applyFont="1" applyBorder="1" applyAlignment="1">
      <alignment horizontal="left" vertical="center" wrapText="1" indent="1"/>
    </xf>
    <xf numFmtId="167" fontId="0" fillId="0" borderId="0" xfId="0" applyNumberFormat="1"/>
    <xf numFmtId="0" fontId="22" fillId="0" borderId="9" xfId="0" applyFont="1" applyBorder="1" applyAlignment="1">
      <alignment horizontal="center" vertical="center" wrapText="1"/>
    </xf>
    <xf numFmtId="167" fontId="22" fillId="0" borderId="9" xfId="0" applyNumberFormat="1" applyFont="1" applyBorder="1" applyAlignment="1">
      <alignment horizontal="center" vertical="center" wrapText="1"/>
    </xf>
    <xf numFmtId="3" fontId="22" fillId="0" borderId="26" xfId="0" applyNumberFormat="1" applyFont="1" applyBorder="1" applyAlignment="1">
      <alignment horizontal="center" vertical="center"/>
    </xf>
    <xf numFmtId="0" fontId="0" fillId="0" borderId="0" xfId="0" applyFont="1"/>
    <xf numFmtId="167" fontId="0" fillId="0" borderId="16" xfId="0" applyNumberFormat="1" applyBorder="1"/>
    <xf numFmtId="167" fontId="0" fillId="0" borderId="35" xfId="0" applyNumberFormat="1" applyBorder="1"/>
    <xf numFmtId="167" fontId="0" fillId="0" borderId="45" xfId="33" applyNumberFormat="1" applyFont="1" applyBorder="1" applyAlignment="1" applyProtection="1">
      <alignment horizontal="center" vertical="center"/>
    </xf>
    <xf numFmtId="167" fontId="0" fillId="0" borderId="50" xfId="33" applyNumberFormat="1" applyFont="1" applyBorder="1" applyAlignment="1" applyProtection="1">
      <alignment horizontal="center" vertical="center"/>
    </xf>
    <xf numFmtId="167" fontId="0" fillId="0" borderId="54" xfId="33" applyNumberFormat="1" applyFont="1" applyBorder="1" applyAlignment="1" applyProtection="1">
      <alignment horizontal="center" vertical="center"/>
    </xf>
    <xf numFmtId="167" fontId="29" fillId="0" borderId="56" xfId="0" applyNumberFormat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30" fillId="0" borderId="21" xfId="5" applyFont="1" applyFill="1" applyBorder="1" applyAlignment="1">
      <alignment horizontal="center" vertical="center" wrapText="1"/>
    </xf>
    <xf numFmtId="0" fontId="30" fillId="0" borderId="21" xfId="5" applyFont="1" applyBorder="1" applyAlignment="1">
      <alignment horizontal="center" vertical="center" wrapText="1"/>
    </xf>
    <xf numFmtId="0" fontId="0" fillId="0" borderId="60" xfId="0" applyFont="1" applyBorder="1" applyAlignment="1">
      <alignment horizontal="center" vertical="center"/>
    </xf>
    <xf numFmtId="0" fontId="30" fillId="0" borderId="11" xfId="5" applyFont="1" applyFill="1" applyBorder="1" applyAlignment="1">
      <alignment horizontal="center" vertical="center" wrapText="1"/>
    </xf>
    <xf numFmtId="0" fontId="22" fillId="0" borderId="63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67" fontId="22" fillId="0" borderId="8" xfId="0" applyNumberFormat="1" applyFont="1" applyBorder="1" applyAlignment="1">
      <alignment horizontal="center" vertical="center" wrapText="1"/>
    </xf>
    <xf numFmtId="3" fontId="22" fillId="0" borderId="64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167" fontId="7" fillId="0" borderId="2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7" fillId="0" borderId="0" xfId="0" applyFont="1" applyFill="1"/>
    <xf numFmtId="0" fontId="0" fillId="0" borderId="0" xfId="0" applyFill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0" fontId="34" fillId="0" borderId="5" xfId="0" applyNumberFormat="1" applyFont="1" applyFill="1" applyBorder="1" applyAlignment="1">
      <alignment horizontal="center" vertical="center"/>
    </xf>
    <xf numFmtId="167" fontId="34" fillId="0" borderId="5" xfId="0" applyNumberFormat="1" applyFont="1" applyFill="1" applyBorder="1" applyAlignment="1">
      <alignment horizontal="center" vertical="center"/>
    </xf>
    <xf numFmtId="167" fontId="34" fillId="0" borderId="6" xfId="0" applyNumberFormat="1" applyFont="1" applyFill="1" applyBorder="1" applyAlignment="1">
      <alignment horizontal="center" vertical="center"/>
    </xf>
    <xf numFmtId="167" fontId="34" fillId="0" borderId="59" xfId="2" applyNumberFormat="1" applyFont="1" applyFill="1" applyBorder="1" applyAlignment="1">
      <alignment horizontal="center" vertical="center" wrapText="1"/>
    </xf>
    <xf numFmtId="0" fontId="34" fillId="0" borderId="0" xfId="0" applyFont="1" applyFill="1"/>
    <xf numFmtId="0" fontId="34" fillId="0" borderId="18" xfId="0" applyFont="1" applyFill="1" applyBorder="1" applyAlignment="1">
      <alignment vertical="center" wrapText="1"/>
    </xf>
    <xf numFmtId="0" fontId="32" fillId="0" borderId="0" xfId="0" applyFont="1" applyFill="1" applyBorder="1" applyAlignment="1">
      <alignment vertical="center" wrapText="1"/>
    </xf>
    <xf numFmtId="0" fontId="35" fillId="0" borderId="21" xfId="0" applyFont="1" applyFill="1" applyBorder="1" applyAlignment="1">
      <alignment horizontal="center" vertical="center" wrapText="1"/>
    </xf>
    <xf numFmtId="0" fontId="36" fillId="0" borderId="0" xfId="0" applyNumberFormat="1" applyFont="1" applyBorder="1" applyAlignment="1">
      <alignment horizontal="center" vertical="center"/>
    </xf>
    <xf numFmtId="167" fontId="36" fillId="0" borderId="0" xfId="0" applyNumberFormat="1" applyFont="1" applyBorder="1" applyAlignment="1">
      <alignment horizontal="center" vertical="center"/>
    </xf>
    <xf numFmtId="44" fontId="36" fillId="0" borderId="0" xfId="0" applyNumberFormat="1" applyFont="1" applyBorder="1" applyAlignment="1">
      <alignment horizontal="center" vertical="center"/>
    </xf>
    <xf numFmtId="0" fontId="30" fillId="0" borderId="0" xfId="5" applyFont="1" applyFill="1" applyBorder="1" applyAlignment="1">
      <alignment horizontal="left" vertical="center"/>
    </xf>
    <xf numFmtId="0" fontId="0" fillId="0" borderId="16" xfId="0" applyFont="1" applyFill="1" applyBorder="1" applyAlignment="1">
      <alignment horizontal="left" vertical="center" wrapText="1"/>
    </xf>
    <xf numFmtId="0" fontId="30" fillId="0" borderId="0" xfId="5" applyFont="1" applyFill="1" applyBorder="1" applyAlignment="1">
      <alignment horizontal="center" vertical="center" wrapText="1"/>
    </xf>
    <xf numFmtId="0" fontId="30" fillId="0" borderId="16" xfId="5" applyFont="1" applyFill="1" applyBorder="1" applyAlignment="1">
      <alignment horizontal="center" vertical="center" wrapText="1"/>
    </xf>
    <xf numFmtId="0" fontId="33" fillId="0" borderId="0" xfId="5" applyFont="1" applyFill="1" applyBorder="1" applyAlignment="1">
      <alignment vertical="center" wrapText="1"/>
    </xf>
    <xf numFmtId="3" fontId="7" fillId="0" borderId="5" xfId="2" applyNumberFormat="1" applyFont="1" applyFill="1" applyBorder="1" applyAlignment="1">
      <alignment horizontal="center" vertical="center" wrapText="1"/>
    </xf>
    <xf numFmtId="165" fontId="7" fillId="0" borderId="5" xfId="0" applyNumberFormat="1" applyFont="1" applyFill="1" applyBorder="1" applyAlignment="1">
      <alignment horizontal="right" vertical="center" wrapText="1"/>
    </xf>
    <xf numFmtId="167" fontId="7" fillId="0" borderId="5" xfId="2" applyNumberFormat="1" applyFont="1" applyFill="1" applyBorder="1" applyAlignment="1">
      <alignment horizontal="center" vertical="center" wrapText="1"/>
    </xf>
    <xf numFmtId="0" fontId="30" fillId="0" borderId="21" xfId="5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36" fillId="0" borderId="0" xfId="0" applyNumberFormat="1" applyFont="1" applyFill="1" applyBorder="1" applyAlignment="1">
      <alignment horizontal="center" vertical="center"/>
    </xf>
    <xf numFmtId="167" fontId="36" fillId="0" borderId="0" xfId="0" applyNumberFormat="1" applyFont="1" applyFill="1" applyBorder="1" applyAlignment="1">
      <alignment horizontal="center" vertical="center"/>
    </xf>
    <xf numFmtId="44" fontId="36" fillId="0" borderId="0" xfId="0" applyNumberFormat="1" applyFont="1" applyFill="1" applyBorder="1" applyAlignment="1">
      <alignment horizontal="center" vertical="center"/>
    </xf>
    <xf numFmtId="167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/>
    <xf numFmtId="3" fontId="36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3" fontId="9" fillId="0" borderId="0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9" fillId="0" borderId="63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40" fillId="0" borderId="71" xfId="0" applyFont="1" applyBorder="1" applyAlignment="1">
      <alignment vertical="center"/>
    </xf>
    <xf numFmtId="0" fontId="39" fillId="0" borderId="70" xfId="0" applyFont="1" applyBorder="1" applyAlignment="1">
      <alignment vertical="center"/>
    </xf>
    <xf numFmtId="0" fontId="40" fillId="0" borderId="72" xfId="0" applyFont="1" applyBorder="1" applyAlignment="1">
      <alignment vertical="center"/>
    </xf>
    <xf numFmtId="0" fontId="30" fillId="0" borderId="0" xfId="5" applyFont="1" applyBorder="1" applyAlignment="1">
      <alignment horizontal="center" vertical="center"/>
    </xf>
    <xf numFmtId="0" fontId="30" fillId="0" borderId="16" xfId="5" applyFont="1" applyBorder="1" applyAlignment="1">
      <alignment horizontal="center" vertical="center"/>
    </xf>
    <xf numFmtId="0" fontId="0" fillId="0" borderId="61" xfId="0" applyFont="1" applyBorder="1" applyAlignment="1">
      <alignment horizontal="center" vertical="center"/>
    </xf>
    <xf numFmtId="0" fontId="0" fillId="0" borderId="62" xfId="0" applyFont="1" applyBorder="1" applyAlignment="1">
      <alignment horizontal="center" vertical="center"/>
    </xf>
    <xf numFmtId="0" fontId="30" fillId="0" borderId="0" xfId="5" applyFont="1" applyFill="1" applyBorder="1" applyAlignment="1">
      <alignment horizontal="left" vertical="center" wrapText="1"/>
    </xf>
    <xf numFmtId="0" fontId="30" fillId="0" borderId="16" xfId="5" applyFont="1" applyFill="1" applyBorder="1" applyAlignment="1">
      <alignment horizontal="left" vertical="center" wrapText="1"/>
    </xf>
    <xf numFmtId="0" fontId="30" fillId="0" borderId="0" xfId="5" applyFont="1" applyFill="1" applyBorder="1" applyAlignment="1">
      <alignment horizontal="center" vertical="center" wrapText="1"/>
    </xf>
    <xf numFmtId="0" fontId="30" fillId="0" borderId="16" xfId="5" applyFont="1" applyFill="1" applyBorder="1" applyAlignment="1">
      <alignment horizontal="center" vertical="center" wrapText="1"/>
    </xf>
    <xf numFmtId="0" fontId="30" fillId="0" borderId="29" xfId="5" applyFont="1" applyFill="1" applyBorder="1" applyAlignment="1">
      <alignment horizontal="left" vertical="center" wrapText="1"/>
    </xf>
    <xf numFmtId="0" fontId="30" fillId="0" borderId="65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0" fillId="0" borderId="0" xfId="5" applyFont="1" applyFill="1" applyBorder="1" applyAlignment="1">
      <alignment horizontal="center" vertical="center"/>
    </xf>
    <xf numFmtId="0" fontId="30" fillId="0" borderId="16" xfId="5" applyFont="1" applyFill="1" applyBorder="1" applyAlignment="1">
      <alignment horizontal="center" vertical="center"/>
    </xf>
    <xf numFmtId="0" fontId="37" fillId="0" borderId="21" xfId="0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center" vertical="center" wrapText="1"/>
    </xf>
    <xf numFmtId="0" fontId="37" fillId="0" borderId="16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  <xf numFmtId="0" fontId="35" fillId="0" borderId="16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34" fillId="0" borderId="57" xfId="0" applyFont="1" applyFill="1" applyBorder="1" applyAlignment="1">
      <alignment horizontal="center" vertical="center" wrapText="1"/>
    </xf>
    <xf numFmtId="0" fontId="34" fillId="0" borderId="66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39" fillId="0" borderId="73" xfId="0" applyFont="1" applyBorder="1" applyAlignment="1">
      <alignment horizontal="center" vertical="center"/>
    </xf>
    <xf numFmtId="0" fontId="39" fillId="0" borderId="7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39" fillId="0" borderId="11" xfId="0" applyFont="1" applyBorder="1" applyAlignment="1">
      <alignment horizontal="center" vertical="center"/>
    </xf>
    <xf numFmtId="0" fontId="39" fillId="0" borderId="60" xfId="0" applyFont="1" applyBorder="1" applyAlignment="1">
      <alignment horizontal="center" vertical="center"/>
    </xf>
    <xf numFmtId="0" fontId="39" fillId="0" borderId="67" xfId="0" applyFont="1" applyBorder="1" applyAlignment="1">
      <alignment horizontal="center" vertical="center"/>
    </xf>
    <xf numFmtId="0" fontId="39" fillId="0" borderId="68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39" fillId="0" borderId="69" xfId="0" applyFont="1" applyBorder="1" applyAlignment="1">
      <alignment horizontal="center" vertical="center"/>
    </xf>
    <xf numFmtId="0" fontId="39" fillId="0" borderId="6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31" fillId="0" borderId="10" xfId="0" applyNumberFormat="1" applyFont="1" applyBorder="1" applyAlignment="1">
      <alignment horizontal="center" vertical="center"/>
    </xf>
    <xf numFmtId="166" fontId="31" fillId="0" borderId="2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 wrapText="1"/>
    </xf>
    <xf numFmtId="0" fontId="20" fillId="0" borderId="19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/>
    </xf>
    <xf numFmtId="0" fontId="21" fillId="0" borderId="24" xfId="0" applyFont="1" applyBorder="1" applyAlignment="1">
      <alignment horizontal="center" vertical="center" wrapText="1"/>
    </xf>
    <xf numFmtId="167" fontId="21" fillId="0" borderId="23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23" fillId="0" borderId="27" xfId="0" applyFont="1" applyFill="1" applyBorder="1" applyAlignment="1">
      <alignment horizontal="left" vertical="center" wrapText="1" inden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vertical="center" wrapText="1"/>
    </xf>
    <xf numFmtId="0" fontId="27" fillId="0" borderId="37" xfId="0" applyFont="1" applyBorder="1" applyAlignment="1">
      <alignment vertical="center" wrapText="1"/>
    </xf>
    <xf numFmtId="0" fontId="27" fillId="0" borderId="27" xfId="0" applyFont="1" applyBorder="1" applyAlignment="1">
      <alignment horizontal="left" vertical="center" wrapText="1" indent="1"/>
    </xf>
    <xf numFmtId="0" fontId="0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4" fillId="0" borderId="55" xfId="0" applyFont="1" applyFill="1" applyBorder="1" applyAlignment="1">
      <alignment horizontal="left" vertical="center" wrapText="1"/>
    </xf>
    <xf numFmtId="0" fontId="0" fillId="0" borderId="33" xfId="0" applyBorder="1"/>
    <xf numFmtId="0" fontId="0" fillId="0" borderId="49" xfId="0" applyFont="1" applyBorder="1" applyAlignment="1">
      <alignment horizontal="center" vertical="center"/>
    </xf>
    <xf numFmtId="49" fontId="27" fillId="0" borderId="34" xfId="0" applyNumberFormat="1" applyFont="1" applyBorder="1" applyAlignment="1">
      <alignment horizontal="justify" vertical="center" wrapText="1"/>
    </xf>
    <xf numFmtId="0" fontId="29" fillId="0" borderId="33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 wrapText="1"/>
    </xf>
    <xf numFmtId="167" fontId="29" fillId="0" borderId="37" xfId="0" applyNumberFormat="1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 wrapText="1"/>
    </xf>
    <xf numFmtId="0" fontId="0" fillId="0" borderId="49" xfId="0" applyBorder="1" applyAlignment="1">
      <alignment horizontal="center"/>
    </xf>
    <xf numFmtId="0" fontId="27" fillId="0" borderId="33" xfId="0" applyFont="1" applyBorder="1" applyAlignment="1">
      <alignment horizontal="left"/>
    </xf>
    <xf numFmtId="0" fontId="0" fillId="0" borderId="10" xfId="0" applyFont="1" applyBorder="1" applyAlignment="1">
      <alignment horizontal="center"/>
    </xf>
    <xf numFmtId="3" fontId="24" fillId="0" borderId="28" xfId="0" applyNumberFormat="1" applyFont="1" applyBorder="1" applyAlignment="1">
      <alignment horizontal="center"/>
    </xf>
    <xf numFmtId="0" fontId="25" fillId="0" borderId="13" xfId="0" applyFont="1" applyBorder="1" applyAlignment="1">
      <alignment horizontal="center" vertical="center" wrapText="1"/>
    </xf>
    <xf numFmtId="0" fontId="26" fillId="0" borderId="30" xfId="0" applyFont="1" applyBorder="1"/>
    <xf numFmtId="0" fontId="27" fillId="0" borderId="31" xfId="0" applyFont="1" applyBorder="1" applyAlignment="1">
      <alignment horizontal="left" indent="1"/>
    </xf>
    <xf numFmtId="0" fontId="16" fillId="0" borderId="30" xfId="0" applyFont="1" applyBorder="1" applyAlignment="1">
      <alignment horizontal="left" vertical="center" wrapText="1"/>
    </xf>
    <xf numFmtId="0" fontId="28" fillId="0" borderId="32" xfId="0" applyFont="1" applyBorder="1" applyAlignment="1">
      <alignment horizontal="left"/>
    </xf>
  </cellXfs>
  <cellStyles count="34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F21" sqref="F21"/>
    </sheetView>
  </sheetViews>
  <sheetFormatPr baseColWidth="10" defaultRowHeight="15" x14ac:dyDescent="0.25"/>
  <cols>
    <col min="1" max="1" width="4.85546875" style="20" bestFit="1" customWidth="1"/>
    <col min="2" max="2" width="13.85546875" style="20" bestFit="1" customWidth="1"/>
    <col min="3" max="3" width="42.42578125" style="20" customWidth="1"/>
    <col min="4" max="4" width="5.5703125" style="20" bestFit="1" customWidth="1"/>
    <col min="5" max="5" width="91.85546875" style="14" customWidth="1"/>
    <col min="6" max="6" width="18.140625" style="20" bestFit="1" customWidth="1"/>
    <col min="7" max="7" width="5" style="18" hidden="1" customWidth="1"/>
    <col min="8" max="8" width="15.85546875" style="23" hidden="1" customWidth="1"/>
    <col min="9" max="9" width="10.42578125" style="15" bestFit="1" customWidth="1"/>
    <col min="10" max="10" width="15.5703125" style="23" bestFit="1" customWidth="1"/>
    <col min="11" max="11" width="16.7109375" style="23" bestFit="1" customWidth="1"/>
    <col min="12" max="12" width="76" style="118" hidden="1" customWidth="1"/>
  </cols>
  <sheetData>
    <row r="1" spans="1:12" x14ac:dyDescent="0.25">
      <c r="A1" s="1">
        <v>2022</v>
      </c>
      <c r="B1" s="2"/>
      <c r="C1" s="3"/>
      <c r="D1" s="3"/>
      <c r="E1" s="4"/>
      <c r="F1" s="3"/>
      <c r="G1" s="19"/>
      <c r="H1" s="7"/>
      <c r="I1" s="5"/>
      <c r="J1" s="6"/>
      <c r="K1" s="7"/>
    </row>
    <row r="2" spans="1:12" ht="18.75" x14ac:dyDescent="0.25">
      <c r="A2" s="3"/>
      <c r="B2" s="179" t="s">
        <v>0</v>
      </c>
      <c r="C2" s="179"/>
      <c r="D2" s="179"/>
      <c r="E2" s="179"/>
      <c r="F2" s="179"/>
      <c r="G2" s="179"/>
      <c r="H2" s="179"/>
      <c r="I2" s="179"/>
      <c r="J2" s="179"/>
      <c r="K2" s="7"/>
    </row>
    <row r="3" spans="1:12" x14ac:dyDescent="0.25">
      <c r="A3" s="3"/>
      <c r="B3" s="2"/>
      <c r="C3" s="3"/>
      <c r="D3" s="3"/>
      <c r="E3" s="4"/>
      <c r="F3" s="3"/>
      <c r="G3" s="19"/>
      <c r="H3" s="7"/>
      <c r="I3" s="5"/>
      <c r="J3" s="6"/>
      <c r="K3" s="7"/>
    </row>
    <row r="4" spans="1:12" x14ac:dyDescent="0.25">
      <c r="A4" s="168" t="s">
        <v>1</v>
      </c>
      <c r="B4" s="168"/>
      <c r="C4" s="180" t="s">
        <v>2</v>
      </c>
      <c r="D4" s="180"/>
      <c r="E4" s="180"/>
      <c r="F4" s="8"/>
      <c r="G4" s="17"/>
      <c r="H4" s="22"/>
      <c r="I4" s="9"/>
      <c r="J4" s="6"/>
      <c r="K4" s="7"/>
    </row>
    <row r="5" spans="1:12" x14ac:dyDescent="0.25">
      <c r="A5" s="168" t="s">
        <v>3</v>
      </c>
      <c r="B5" s="168"/>
      <c r="C5" s="181" t="s">
        <v>4</v>
      </c>
      <c r="D5" s="181"/>
      <c r="E5" s="181"/>
      <c r="F5" s="8"/>
      <c r="G5" s="17"/>
      <c r="H5" s="22"/>
      <c r="I5" s="9"/>
      <c r="J5" s="6"/>
      <c r="K5" s="7"/>
    </row>
    <row r="6" spans="1:12" x14ac:dyDescent="0.25">
      <c r="A6" s="168" t="s">
        <v>5</v>
      </c>
      <c r="B6" s="168"/>
      <c r="C6" s="10">
        <v>2022</v>
      </c>
      <c r="D6" s="11"/>
      <c r="E6" s="10"/>
      <c r="F6" s="8"/>
      <c r="G6" s="17"/>
      <c r="H6" s="22"/>
      <c r="I6" s="9"/>
      <c r="J6" s="6"/>
      <c r="K6" s="7"/>
    </row>
    <row r="7" spans="1:12" x14ac:dyDescent="0.25">
      <c r="A7" s="168" t="s">
        <v>6</v>
      </c>
      <c r="B7" s="168"/>
      <c r="C7" s="10" t="s">
        <v>96</v>
      </c>
      <c r="D7" s="11"/>
      <c r="E7" s="10"/>
      <c r="F7" s="8"/>
      <c r="G7" s="17"/>
      <c r="H7" s="22"/>
      <c r="I7" s="9"/>
      <c r="J7" s="6"/>
      <c r="K7" s="7"/>
    </row>
    <row r="8" spans="1:12" ht="15.75" thickBot="1" x14ac:dyDescent="0.3">
      <c r="A8" s="3"/>
      <c r="B8" s="8"/>
      <c r="C8" s="8"/>
      <c r="D8" s="8"/>
      <c r="E8" s="12"/>
      <c r="F8" s="8"/>
      <c r="G8" s="17"/>
      <c r="H8" s="22"/>
      <c r="I8" s="9"/>
      <c r="J8" s="6"/>
      <c r="K8" s="7"/>
    </row>
    <row r="9" spans="1:12" ht="39" thickBot="1" x14ac:dyDescent="0.3">
      <c r="A9" s="24" t="s">
        <v>7</v>
      </c>
      <c r="B9" s="25" t="s">
        <v>8</v>
      </c>
      <c r="C9" s="26" t="s">
        <v>9</v>
      </c>
      <c r="D9" s="25" t="s">
        <v>10</v>
      </c>
      <c r="E9" s="27" t="s">
        <v>11</v>
      </c>
      <c r="F9" s="26" t="s">
        <v>12</v>
      </c>
      <c r="G9" s="30" t="s">
        <v>18</v>
      </c>
      <c r="H9" s="29" t="s">
        <v>19</v>
      </c>
      <c r="I9" s="28" t="s">
        <v>13</v>
      </c>
      <c r="J9" s="31" t="s">
        <v>14</v>
      </c>
      <c r="K9" s="29" t="s">
        <v>15</v>
      </c>
      <c r="L9" s="119" t="s">
        <v>16</v>
      </c>
    </row>
    <row r="10" spans="1:12" s="117" customFormat="1" ht="42" customHeight="1" thickBot="1" x14ac:dyDescent="0.25">
      <c r="A10" s="101">
        <v>1</v>
      </c>
      <c r="B10" s="13" t="s">
        <v>79</v>
      </c>
      <c r="C10" s="111" t="s">
        <v>20</v>
      </c>
      <c r="D10" s="111" t="s">
        <v>60</v>
      </c>
      <c r="E10" s="112" t="s">
        <v>80</v>
      </c>
      <c r="F10" s="113" t="s">
        <v>17</v>
      </c>
      <c r="G10" s="114">
        <v>3</v>
      </c>
      <c r="H10" s="115">
        <f t="shared" ref="H10" si="0">+G10*J10</f>
        <v>13050600</v>
      </c>
      <c r="I10" s="137">
        <f>+G10</f>
        <v>3</v>
      </c>
      <c r="J10" s="138">
        <v>4350200</v>
      </c>
      <c r="K10" s="139">
        <f t="shared" ref="K10" si="1">+I10*J10</f>
        <v>13050600</v>
      </c>
      <c r="L10" s="116" t="s">
        <v>71</v>
      </c>
    </row>
    <row r="11" spans="1:12" s="125" customFormat="1" ht="25.5" customHeight="1" thickBot="1" x14ac:dyDescent="0.25">
      <c r="A11" s="176" t="s">
        <v>65</v>
      </c>
      <c r="B11" s="177"/>
      <c r="C11" s="177"/>
      <c r="D11" s="177"/>
      <c r="E11" s="177"/>
      <c r="F11" s="178"/>
      <c r="G11" s="121"/>
      <c r="H11" s="122"/>
      <c r="I11" s="32"/>
      <c r="J11" s="123"/>
      <c r="K11" s="124">
        <f>+SUM(K10:K10)</f>
        <v>13050600</v>
      </c>
      <c r="L11" s="126"/>
    </row>
    <row r="12" spans="1:12" s="21" customFormat="1" ht="12.75" x14ac:dyDescent="0.2">
      <c r="A12" s="33"/>
      <c r="B12" s="33"/>
      <c r="C12" s="33"/>
      <c r="D12" s="33"/>
      <c r="E12" s="34"/>
      <c r="F12" s="33"/>
      <c r="G12" s="37"/>
      <c r="H12" s="36"/>
      <c r="I12" s="35"/>
      <c r="J12" s="36"/>
      <c r="K12" s="36"/>
      <c r="L12" s="120"/>
    </row>
    <row r="13" spans="1:12" s="21" customFormat="1" ht="13.5" thickBot="1" x14ac:dyDescent="0.25">
      <c r="A13" s="33"/>
      <c r="B13" s="33"/>
      <c r="C13" s="33"/>
      <c r="D13" s="33"/>
      <c r="E13" s="34"/>
      <c r="F13" s="33"/>
      <c r="G13" s="37"/>
      <c r="H13" s="36"/>
      <c r="I13" s="35"/>
      <c r="J13" s="36"/>
      <c r="K13" s="36"/>
      <c r="L13" s="120"/>
    </row>
    <row r="14" spans="1:12" s="21" customFormat="1" ht="24.75" customHeight="1" x14ac:dyDescent="0.2">
      <c r="A14" s="33"/>
      <c r="B14" s="33"/>
      <c r="C14" s="105" t="s">
        <v>75</v>
      </c>
      <c r="D14" s="166" t="s">
        <v>72</v>
      </c>
      <c r="E14" s="167"/>
      <c r="F14" s="33"/>
      <c r="G14" s="129"/>
      <c r="H14" s="130"/>
      <c r="I14" s="131">
        <v>142</v>
      </c>
      <c r="J14" s="130">
        <f>+H14*I14</f>
        <v>0</v>
      </c>
      <c r="K14" s="36"/>
      <c r="L14" s="127"/>
    </row>
    <row r="15" spans="1:12" s="21" customFormat="1" ht="24" customHeight="1" x14ac:dyDescent="0.2">
      <c r="A15" s="33"/>
      <c r="B15" s="33"/>
      <c r="C15" s="171" t="s">
        <v>74</v>
      </c>
      <c r="D15" s="172"/>
      <c r="E15" s="173"/>
      <c r="F15" s="33"/>
      <c r="G15" s="129"/>
      <c r="H15" s="130"/>
      <c r="I15" s="131">
        <v>142</v>
      </c>
      <c r="J15" s="130">
        <f t="shared" ref="J15:J17" si="2">+H15*I15</f>
        <v>0</v>
      </c>
      <c r="K15" s="36"/>
      <c r="L15" s="120"/>
    </row>
    <row r="16" spans="1:12" s="21" customFormat="1" ht="18.75" customHeight="1" x14ac:dyDescent="0.2">
      <c r="A16" s="33"/>
      <c r="B16" s="33"/>
      <c r="C16" s="128"/>
      <c r="D16" s="174"/>
      <c r="E16" s="175"/>
      <c r="F16" s="33"/>
      <c r="G16" s="129"/>
      <c r="H16" s="130"/>
      <c r="I16" s="131">
        <v>142</v>
      </c>
      <c r="J16" s="130">
        <f t="shared" si="2"/>
        <v>0</v>
      </c>
      <c r="K16" s="36"/>
      <c r="L16" s="120"/>
    </row>
    <row r="17" spans="1:12" s="146" customFormat="1" ht="33" customHeight="1" x14ac:dyDescent="0.2">
      <c r="A17" s="141"/>
      <c r="B17" s="141"/>
      <c r="C17" s="140" t="s">
        <v>61</v>
      </c>
      <c r="D17" s="162" t="s">
        <v>97</v>
      </c>
      <c r="E17" s="163"/>
      <c r="F17" s="141"/>
      <c r="G17" s="142"/>
      <c r="H17" s="143"/>
      <c r="I17" s="144">
        <v>142</v>
      </c>
      <c r="J17" s="143">
        <f t="shared" si="2"/>
        <v>0</v>
      </c>
      <c r="K17" s="145"/>
      <c r="L17" s="120"/>
    </row>
    <row r="18" spans="1:12" s="146" customFormat="1" x14ac:dyDescent="0.2">
      <c r="A18" s="141"/>
      <c r="B18" s="141"/>
      <c r="C18" s="140"/>
      <c r="D18" s="169"/>
      <c r="E18" s="170"/>
      <c r="F18" s="141"/>
      <c r="G18" s="142"/>
      <c r="H18" s="143"/>
      <c r="I18" s="147"/>
      <c r="J18" s="143"/>
      <c r="K18" s="145"/>
      <c r="L18" s="120"/>
    </row>
    <row r="19" spans="1:12" s="146" customFormat="1" ht="38.25" customHeight="1" x14ac:dyDescent="0.2">
      <c r="A19" s="141"/>
      <c r="B19" s="141"/>
      <c r="C19" s="140" t="s">
        <v>62</v>
      </c>
      <c r="D19" s="162" t="s">
        <v>91</v>
      </c>
      <c r="E19" s="163"/>
      <c r="F19" s="141"/>
      <c r="G19" s="142"/>
      <c r="H19" s="143"/>
      <c r="I19" s="147"/>
      <c r="J19" s="143"/>
      <c r="K19" s="145"/>
      <c r="L19" s="120"/>
    </row>
    <row r="20" spans="1:12" s="146" customFormat="1" x14ac:dyDescent="0.2">
      <c r="A20" s="141"/>
      <c r="B20" s="141"/>
      <c r="C20" s="140"/>
      <c r="D20" s="164"/>
      <c r="E20" s="165"/>
      <c r="F20" s="141"/>
      <c r="G20" s="148"/>
      <c r="H20" s="145"/>
      <c r="I20" s="149"/>
      <c r="J20" s="145"/>
      <c r="K20" s="145"/>
      <c r="L20" s="120"/>
    </row>
    <row r="21" spans="1:12" s="146" customFormat="1" ht="43.5" customHeight="1" x14ac:dyDescent="0.2">
      <c r="A21" s="141"/>
      <c r="B21" s="141"/>
      <c r="C21" s="140" t="s">
        <v>78</v>
      </c>
      <c r="D21" s="162" t="s">
        <v>99</v>
      </c>
      <c r="E21" s="163"/>
      <c r="F21" s="141"/>
      <c r="G21" s="148"/>
      <c r="H21" s="145"/>
      <c r="I21" s="149"/>
      <c r="J21" s="145"/>
      <c r="K21" s="145"/>
      <c r="L21" s="120"/>
    </row>
    <row r="22" spans="1:12" s="21" customFormat="1" x14ac:dyDescent="0.2">
      <c r="A22" s="33"/>
      <c r="B22" s="33"/>
      <c r="C22" s="102"/>
      <c r="D22" s="134"/>
      <c r="E22" s="135"/>
      <c r="F22" s="33"/>
      <c r="G22" s="37"/>
      <c r="H22" s="36"/>
      <c r="I22" s="35"/>
      <c r="J22" s="36"/>
      <c r="K22" s="36"/>
      <c r="L22" s="120"/>
    </row>
    <row r="23" spans="1:12" s="21" customFormat="1" x14ac:dyDescent="0.25">
      <c r="A23" s="33"/>
      <c r="B23" s="33"/>
      <c r="C23" s="103" t="s">
        <v>63</v>
      </c>
      <c r="D23" s="158"/>
      <c r="E23" s="159"/>
      <c r="F23" s="33"/>
      <c r="G23" s="37"/>
      <c r="H23" s="36"/>
      <c r="I23" s="35"/>
      <c r="J23" s="36"/>
      <c r="K23" s="16"/>
      <c r="L23" s="120"/>
    </row>
    <row r="24" spans="1:12" s="21" customFormat="1" x14ac:dyDescent="0.2">
      <c r="A24" s="33"/>
      <c r="B24" s="33"/>
      <c r="C24" s="103"/>
      <c r="D24" s="158"/>
      <c r="E24" s="159"/>
      <c r="F24" s="33"/>
      <c r="G24" s="37"/>
      <c r="H24" s="36"/>
      <c r="I24" s="35"/>
      <c r="J24" s="36"/>
      <c r="K24" s="36"/>
      <c r="L24" s="120"/>
    </row>
    <row r="25" spans="1:12" s="21" customFormat="1" x14ac:dyDescent="0.2">
      <c r="A25" s="33"/>
      <c r="B25" s="33"/>
      <c r="C25" s="103" t="s">
        <v>64</v>
      </c>
      <c r="D25" s="132" t="s">
        <v>76</v>
      </c>
      <c r="E25" s="133"/>
      <c r="F25" s="33"/>
      <c r="G25" s="37"/>
      <c r="H25" s="36"/>
      <c r="I25" s="35"/>
      <c r="J25" s="36"/>
      <c r="K25" s="36"/>
      <c r="L25" s="120"/>
    </row>
    <row r="26" spans="1:12" s="21" customFormat="1" x14ac:dyDescent="0.2">
      <c r="A26" s="33"/>
      <c r="B26" s="33"/>
      <c r="C26" s="103"/>
      <c r="D26" s="158"/>
      <c r="E26" s="159"/>
      <c r="F26" s="33"/>
      <c r="G26" s="37"/>
      <c r="H26" s="36"/>
      <c r="I26" s="35"/>
      <c r="J26" s="36"/>
      <c r="K26" s="36"/>
      <c r="L26" s="120"/>
    </row>
    <row r="27" spans="1:12" s="21" customFormat="1" ht="42.75" customHeight="1" x14ac:dyDescent="0.2">
      <c r="A27" s="33"/>
      <c r="B27" s="33"/>
      <c r="C27" s="103" t="s">
        <v>73</v>
      </c>
      <c r="D27" s="162" t="s">
        <v>98</v>
      </c>
      <c r="E27" s="163"/>
      <c r="F27" s="33"/>
      <c r="G27" s="37"/>
      <c r="H27" s="36"/>
      <c r="I27" s="35"/>
      <c r="J27" s="36"/>
      <c r="K27" s="36"/>
      <c r="L27" s="120"/>
    </row>
    <row r="28" spans="1:12" s="21" customFormat="1" ht="15.75" thickBot="1" x14ac:dyDescent="0.25">
      <c r="A28" s="33"/>
      <c r="B28" s="33"/>
      <c r="C28" s="104"/>
      <c r="D28" s="160"/>
      <c r="E28" s="161"/>
      <c r="F28" s="33"/>
      <c r="G28" s="37"/>
      <c r="H28" s="36"/>
      <c r="I28" s="35"/>
      <c r="J28" s="36"/>
      <c r="K28" s="36"/>
      <c r="L28" s="120"/>
    </row>
    <row r="29" spans="1:12" s="21" customFormat="1" ht="12.75" x14ac:dyDescent="0.2">
      <c r="A29" s="33"/>
      <c r="B29" s="33"/>
      <c r="C29" s="33"/>
      <c r="D29" s="33"/>
      <c r="E29" s="34"/>
      <c r="F29" s="33"/>
      <c r="G29" s="37"/>
      <c r="H29" s="36"/>
      <c r="I29" s="35"/>
      <c r="J29" s="36"/>
      <c r="K29" s="36"/>
      <c r="L29" s="120"/>
    </row>
    <row r="30" spans="1:12" s="21" customFormat="1" ht="12.75" x14ac:dyDescent="0.2">
      <c r="A30" s="33"/>
      <c r="B30" s="33"/>
      <c r="C30" s="33"/>
      <c r="D30" s="33"/>
      <c r="E30" s="34"/>
      <c r="F30" s="33"/>
      <c r="G30" s="37"/>
      <c r="H30" s="36"/>
      <c r="I30" s="35"/>
      <c r="J30" s="36"/>
      <c r="K30" s="36"/>
      <c r="L30" s="120"/>
    </row>
    <row r="32" spans="1:12" x14ac:dyDescent="0.25">
      <c r="E32" s="136"/>
    </row>
  </sheetData>
  <sortState ref="A10:AZ29">
    <sortCondition ref="E10:E29"/>
  </sortState>
  <mergeCells count="21">
    <mergeCell ref="A6:B6"/>
    <mergeCell ref="B2:J2"/>
    <mergeCell ref="A4:B4"/>
    <mergeCell ref="C4:E4"/>
    <mergeCell ref="A5:B5"/>
    <mergeCell ref="C5:E5"/>
    <mergeCell ref="D14:E14"/>
    <mergeCell ref="D19:E19"/>
    <mergeCell ref="A7:B7"/>
    <mergeCell ref="D18:E18"/>
    <mergeCell ref="D17:E17"/>
    <mergeCell ref="C15:E15"/>
    <mergeCell ref="D16:E16"/>
    <mergeCell ref="A11:F11"/>
    <mergeCell ref="D23:E23"/>
    <mergeCell ref="D24:E24"/>
    <mergeCell ref="D28:E28"/>
    <mergeCell ref="D27:E27"/>
    <mergeCell ref="D20:E20"/>
    <mergeCell ref="D26:E26"/>
    <mergeCell ref="D21:E21"/>
  </mergeCells>
  <conditionalFormatting sqref="B1:B9 E1:E9">
    <cfRule type="duplicateValues" dxfId="11" priority="253"/>
  </conditionalFormatting>
  <conditionalFormatting sqref="E1:E9 B1:B9">
    <cfRule type="duplicateValues" dxfId="10" priority="254"/>
  </conditionalFormatting>
  <conditionalFormatting sqref="B1:B9">
    <cfRule type="duplicateValues" dxfId="9" priority="457"/>
  </conditionalFormatting>
  <conditionalFormatting sqref="E1:E9">
    <cfRule type="duplicateValues" dxfId="8" priority="458"/>
  </conditionalFormatting>
  <conditionalFormatting sqref="E1:E9">
    <cfRule type="duplicateValues" dxfId="7" priority="459"/>
    <cfRule type="duplicateValues" dxfId="6" priority="460"/>
  </conditionalFormatting>
  <conditionalFormatting sqref="E32 C17:C27">
    <cfRule type="duplicateValues" dxfId="5" priority="1"/>
  </conditionalFormatting>
  <conditionalFormatting sqref="E32 C17:C27">
    <cfRule type="duplicateValues" dxfId="4" priority="2"/>
  </conditionalFormatting>
  <conditionalFormatting sqref="A11">
    <cfRule type="duplicateValues" dxfId="3" priority="563"/>
  </conditionalFormatting>
  <conditionalFormatting sqref="A11">
    <cfRule type="duplicateValues" dxfId="2" priority="567"/>
  </conditionalFormatting>
  <conditionalFormatting sqref="A11">
    <cfRule type="duplicateValues" dxfId="1" priority="568"/>
    <cfRule type="duplicateValues" dxfId="0" priority="56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5" sqref="E5:E6"/>
    </sheetView>
  </sheetViews>
  <sheetFormatPr baseColWidth="10" defaultRowHeight="15" x14ac:dyDescent="0.25"/>
  <cols>
    <col min="2" max="2" width="95.7109375" customWidth="1"/>
  </cols>
  <sheetData>
    <row r="1" spans="1:5" ht="18.75" x14ac:dyDescent="0.25">
      <c r="A1" s="186" t="s">
        <v>95</v>
      </c>
      <c r="B1" s="186"/>
      <c r="C1" s="186"/>
      <c r="D1" s="186"/>
      <c r="E1" s="186"/>
    </row>
    <row r="2" spans="1:5" ht="19.5" thickBot="1" x14ac:dyDescent="0.3">
      <c r="A2" s="150"/>
      <c r="B2" s="151"/>
      <c r="C2" s="152"/>
      <c r="D2" s="152"/>
      <c r="E2" s="152"/>
    </row>
    <row r="3" spans="1:5" ht="18.75" x14ac:dyDescent="0.25">
      <c r="A3" s="187" t="s">
        <v>83</v>
      </c>
      <c r="B3" s="189" t="s">
        <v>84</v>
      </c>
      <c r="C3" s="191" t="s">
        <v>88</v>
      </c>
      <c r="D3" s="192"/>
      <c r="E3" s="192"/>
    </row>
    <row r="4" spans="1:5" ht="19.5" thickBot="1" x14ac:dyDescent="0.3">
      <c r="A4" s="188"/>
      <c r="B4" s="190"/>
      <c r="C4" s="153">
        <v>15</v>
      </c>
      <c r="D4" s="154">
        <v>25</v>
      </c>
      <c r="E4" s="154">
        <v>35</v>
      </c>
    </row>
    <row r="5" spans="1:5" ht="18.75" x14ac:dyDescent="0.25">
      <c r="A5" s="182">
        <v>1</v>
      </c>
      <c r="B5" s="156" t="s">
        <v>86</v>
      </c>
      <c r="C5" s="184" t="s">
        <v>85</v>
      </c>
      <c r="D5" s="184"/>
      <c r="E5" s="184"/>
    </row>
    <row r="6" spans="1:5" ht="18.75" x14ac:dyDescent="0.25">
      <c r="A6" s="183"/>
      <c r="B6" s="155" t="s">
        <v>94</v>
      </c>
      <c r="C6" s="185"/>
      <c r="D6" s="185"/>
      <c r="E6" s="185"/>
    </row>
    <row r="7" spans="1:5" ht="18.75" x14ac:dyDescent="0.25">
      <c r="A7" s="193">
        <v>2</v>
      </c>
      <c r="B7" s="156" t="s">
        <v>87</v>
      </c>
      <c r="C7" s="184"/>
      <c r="D7" s="184" t="s">
        <v>85</v>
      </c>
      <c r="E7" s="184"/>
    </row>
    <row r="8" spans="1:5" ht="18.75" x14ac:dyDescent="0.25">
      <c r="A8" s="193"/>
      <c r="B8" s="155" t="s">
        <v>93</v>
      </c>
      <c r="C8" s="185"/>
      <c r="D8" s="185"/>
      <c r="E8" s="185"/>
    </row>
    <row r="9" spans="1:5" ht="18.75" x14ac:dyDescent="0.25">
      <c r="A9" s="193">
        <v>3</v>
      </c>
      <c r="B9" s="156" t="s">
        <v>90</v>
      </c>
      <c r="C9" s="184"/>
      <c r="D9" s="184"/>
      <c r="E9" s="184" t="s">
        <v>85</v>
      </c>
    </row>
    <row r="10" spans="1:5" ht="19.5" thickBot="1" x14ac:dyDescent="0.3">
      <c r="A10" s="194"/>
      <c r="B10" s="157" t="s">
        <v>92</v>
      </c>
      <c r="C10" s="195"/>
      <c r="D10" s="195"/>
      <c r="E10" s="195"/>
    </row>
  </sheetData>
  <mergeCells count="16">
    <mergeCell ref="A9:A10"/>
    <mergeCell ref="C9:C10"/>
    <mergeCell ref="D9:D10"/>
    <mergeCell ref="E9:E10"/>
    <mergeCell ref="A7:A8"/>
    <mergeCell ref="C7:C8"/>
    <mergeCell ref="D7:D8"/>
    <mergeCell ref="E7:E8"/>
    <mergeCell ref="A5:A6"/>
    <mergeCell ref="C5:C6"/>
    <mergeCell ref="D5:D6"/>
    <mergeCell ref="E5:E6"/>
    <mergeCell ref="A1:E1"/>
    <mergeCell ref="A3:A4"/>
    <mergeCell ref="B3:B4"/>
    <mergeCell ref="C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D31" sqref="D31"/>
    </sheetView>
  </sheetViews>
  <sheetFormatPr baseColWidth="10" defaultRowHeight="15" x14ac:dyDescent="0.25"/>
  <cols>
    <col min="1" max="1" width="5.5703125" customWidth="1"/>
    <col min="2" max="2" width="15.140625" style="8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5.85546875" customWidth="1"/>
    <col min="8" max="8" width="9.28515625" customWidth="1"/>
    <col min="9" max="9" width="15.5703125" customWidth="1"/>
    <col min="10" max="10" width="22.140625" style="90" customWidth="1"/>
    <col min="11" max="11" width="15.5703125" customWidth="1"/>
  </cols>
  <sheetData>
    <row r="1" spans="1:11" ht="30.75" thickBot="1" x14ac:dyDescent="0.3">
      <c r="A1" s="203" t="s">
        <v>21</v>
      </c>
      <c r="B1" s="203"/>
      <c r="C1" s="203"/>
      <c r="D1" s="203"/>
      <c r="E1" s="203"/>
      <c r="F1" s="203"/>
      <c r="G1" s="203"/>
      <c r="H1" s="203"/>
      <c r="I1" s="203"/>
      <c r="J1" s="86" t="s">
        <v>22</v>
      </c>
      <c r="K1" s="38" t="s">
        <v>66</v>
      </c>
    </row>
    <row r="2" spans="1:11" ht="16.5" thickBot="1" x14ac:dyDescent="0.3">
      <c r="A2" s="39"/>
      <c r="B2" s="82"/>
      <c r="C2" s="40"/>
      <c r="D2" s="41"/>
      <c r="E2" s="41"/>
      <c r="F2" s="41"/>
      <c r="G2" s="41"/>
      <c r="H2" s="41"/>
      <c r="I2" s="41"/>
      <c r="J2" s="87"/>
      <c r="K2" s="42"/>
    </row>
    <row r="3" spans="1:11" ht="16.5" customHeight="1" thickBot="1" x14ac:dyDescent="0.3">
      <c r="A3" s="198" t="s">
        <v>23</v>
      </c>
      <c r="B3" s="198"/>
      <c r="C3" s="198"/>
      <c r="D3" s="78" t="s">
        <v>2</v>
      </c>
      <c r="E3" s="79"/>
      <c r="F3" s="79"/>
      <c r="G3" s="79"/>
      <c r="H3" s="79"/>
      <c r="I3" s="79"/>
      <c r="J3" s="88"/>
      <c r="K3" s="80"/>
    </row>
    <row r="4" spans="1:11" ht="16.5" customHeight="1" thickBot="1" x14ac:dyDescent="0.3">
      <c r="A4" s="199" t="s">
        <v>24</v>
      </c>
      <c r="B4" s="199"/>
      <c r="C4" s="199"/>
      <c r="D4" s="78" t="s">
        <v>58</v>
      </c>
      <c r="E4" s="79"/>
      <c r="F4" s="79"/>
      <c r="G4" s="79"/>
      <c r="H4" s="79"/>
      <c r="I4" s="79"/>
      <c r="J4" s="88"/>
      <c r="K4" s="80"/>
    </row>
    <row r="5" spans="1:11" ht="16.5" thickBot="1" x14ac:dyDescent="0.3">
      <c r="A5" s="199" t="s">
        <v>25</v>
      </c>
      <c r="B5" s="199"/>
      <c r="C5" s="199"/>
      <c r="D5" s="78" t="s">
        <v>67</v>
      </c>
      <c r="E5" s="79"/>
      <c r="F5" s="79"/>
      <c r="G5" s="79"/>
      <c r="H5" s="79"/>
      <c r="I5" s="79"/>
      <c r="J5" s="88"/>
      <c r="K5" s="80"/>
    </row>
    <row r="6" spans="1:11" ht="16.5" thickBot="1" x14ac:dyDescent="0.3">
      <c r="A6" s="198" t="s">
        <v>26</v>
      </c>
      <c r="B6" s="198"/>
      <c r="C6" s="198"/>
      <c r="D6" s="78" t="s">
        <v>67</v>
      </c>
      <c r="E6" s="79"/>
      <c r="F6" s="79"/>
      <c r="G6" s="79"/>
      <c r="H6" s="79"/>
      <c r="I6" s="79"/>
      <c r="J6" s="88"/>
      <c r="K6" s="80"/>
    </row>
    <row r="7" spans="1:11" ht="16.5" thickBot="1" x14ac:dyDescent="0.3">
      <c r="A7" s="199" t="s">
        <v>27</v>
      </c>
      <c r="B7" s="199"/>
      <c r="C7" s="199"/>
      <c r="D7" s="78" t="s">
        <v>77</v>
      </c>
      <c r="E7" s="79"/>
      <c r="F7" s="79"/>
      <c r="G7" s="79"/>
      <c r="H7" s="79"/>
      <c r="I7" s="79"/>
      <c r="J7" s="88"/>
      <c r="K7" s="80"/>
    </row>
    <row r="8" spans="1:11" ht="16.5" customHeight="1" thickBot="1" x14ac:dyDescent="0.3">
      <c r="A8" s="200" t="s">
        <v>28</v>
      </c>
      <c r="B8" s="200"/>
      <c r="C8" s="200"/>
      <c r="D8" s="81" t="s">
        <v>82</v>
      </c>
      <c r="E8" s="79"/>
      <c r="F8" s="79"/>
      <c r="G8" s="79"/>
      <c r="H8" s="79"/>
      <c r="I8" s="79"/>
      <c r="J8" s="88"/>
      <c r="K8" s="80"/>
    </row>
    <row r="9" spans="1:11" ht="16.5" thickBot="1" x14ac:dyDescent="0.3">
      <c r="A9" s="43"/>
      <c r="B9" s="83"/>
      <c r="C9" s="44"/>
      <c r="D9" s="45"/>
      <c r="E9" s="45"/>
      <c r="F9" s="45"/>
      <c r="G9" s="45"/>
      <c r="H9" s="45"/>
      <c r="I9" s="45"/>
      <c r="J9" s="89"/>
      <c r="K9" s="46"/>
    </row>
    <row r="10" spans="1:11" ht="15.75" thickBot="1" x14ac:dyDescent="0.3">
      <c r="A10" s="208" t="s">
        <v>29</v>
      </c>
      <c r="B10" s="207" t="s">
        <v>30</v>
      </c>
      <c r="C10" s="207" t="s">
        <v>31</v>
      </c>
      <c r="D10" s="207"/>
      <c r="E10" s="207"/>
      <c r="F10" s="207"/>
      <c r="G10" s="207"/>
      <c r="H10" s="207" t="s">
        <v>32</v>
      </c>
      <c r="I10" s="207" t="s">
        <v>33</v>
      </c>
      <c r="J10" s="202" t="s">
        <v>34</v>
      </c>
      <c r="K10" s="201" t="s">
        <v>35</v>
      </c>
    </row>
    <row r="11" spans="1:11" ht="36.75" customHeight="1" thickBot="1" x14ac:dyDescent="0.3">
      <c r="A11" s="208"/>
      <c r="B11" s="207"/>
      <c r="C11" s="207"/>
      <c r="D11" s="207"/>
      <c r="E11" s="207"/>
      <c r="F11" s="207"/>
      <c r="G11" s="207"/>
      <c r="H11" s="207"/>
      <c r="I11" s="207"/>
      <c r="J11" s="202"/>
      <c r="K11" s="201"/>
    </row>
    <row r="12" spans="1:11" s="94" customFormat="1" ht="32.25" customHeight="1" x14ac:dyDescent="0.25">
      <c r="A12" s="47">
        <v>1</v>
      </c>
      <c r="B12" s="84" t="str">
        <f>'SAF 011 - NECESIDAD TRIMESTRAL'!B10</f>
        <v>4.3.3-9496.1</v>
      </c>
      <c r="C12" s="206" t="str">
        <f>'SAF 011 - NECESIDAD TRIMESTRAL'!E10</f>
        <v>SISTEMA DE ANESTESIA; TIPO: DE DOS GASES, USO: CIRUGIA, ELEMENTO: MESA DE ANESTESIA COMPLETA</v>
      </c>
      <c r="D12" s="206"/>
      <c r="E12" s="206"/>
      <c r="F12" s="206"/>
      <c r="G12" s="206"/>
      <c r="H12" s="84" t="s">
        <v>59</v>
      </c>
      <c r="I12" s="91" t="str">
        <f>'SAF 011 - NECESIDAD TRIMESTRAL'!F10</f>
        <v>UNIDAD</v>
      </c>
      <c r="J12" s="92">
        <f>'SAF 011 - NECESIDAD TRIMESTRAL'!J10</f>
        <v>4350200</v>
      </c>
      <c r="K12" s="93">
        <f>'SAF 011 - NECESIDAD TRIMESTRAL'!G10</f>
        <v>3</v>
      </c>
    </row>
    <row r="13" spans="1:11" s="94" customFormat="1" ht="15.75" thickBot="1" x14ac:dyDescent="0.3">
      <c r="A13" s="106"/>
      <c r="B13" s="107"/>
      <c r="C13" s="205"/>
      <c r="D13" s="205"/>
      <c r="E13" s="205"/>
      <c r="F13" s="205"/>
      <c r="G13" s="205"/>
      <c r="H13" s="107"/>
      <c r="I13" s="108"/>
      <c r="J13" s="109"/>
      <c r="K13" s="110"/>
    </row>
    <row r="14" spans="1:11" ht="36" customHeight="1" thickBot="1" x14ac:dyDescent="0.3">
      <c r="A14" s="204" t="s">
        <v>81</v>
      </c>
      <c r="B14" s="204"/>
      <c r="C14" s="204"/>
      <c r="D14" s="204"/>
      <c r="E14" s="204"/>
      <c r="F14" s="204"/>
      <c r="G14" s="204"/>
      <c r="H14" s="204"/>
      <c r="I14" s="204"/>
      <c r="J14" s="196">
        <f>SUMPRODUCT(J12:J12,K12:K12)</f>
        <v>13050600</v>
      </c>
      <c r="K14" s="197"/>
    </row>
  </sheetData>
  <mergeCells count="18">
    <mergeCell ref="A1:I1"/>
    <mergeCell ref="A3:C3"/>
    <mergeCell ref="A4:C4"/>
    <mergeCell ref="A5:C5"/>
    <mergeCell ref="A14:I14"/>
    <mergeCell ref="C13:G13"/>
    <mergeCell ref="C12:G12"/>
    <mergeCell ref="I10:I11"/>
    <mergeCell ref="A10:A11"/>
    <mergeCell ref="B10:B11"/>
    <mergeCell ref="C10:G11"/>
    <mergeCell ref="H10:H11"/>
    <mergeCell ref="J14:K14"/>
    <mergeCell ref="A6:C6"/>
    <mergeCell ref="A7:C7"/>
    <mergeCell ref="A8:C8"/>
    <mergeCell ref="K10:K11"/>
    <mergeCell ref="J10:J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workbookViewId="0">
      <selection activeCell="S27" sqref="S27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5" width="14.85546875" customWidth="1"/>
    <col min="16" max="16" width="24.42578125" customWidth="1"/>
    <col min="17" max="17" width="16.7109375" style="90" bestFit="1" customWidth="1"/>
  </cols>
  <sheetData>
    <row r="1" spans="1:17" ht="15.75" thickBot="1" x14ac:dyDescent="0.3">
      <c r="A1" s="226" t="s">
        <v>5</v>
      </c>
      <c r="B1" s="226"/>
      <c r="C1" s="226"/>
      <c r="D1" s="227">
        <v>2022</v>
      </c>
      <c r="E1" s="227"/>
      <c r="F1" s="48"/>
      <c r="G1" s="48"/>
      <c r="H1" s="49"/>
      <c r="I1" s="49"/>
      <c r="J1" s="49"/>
      <c r="K1" s="49"/>
      <c r="L1" s="49"/>
      <c r="M1" s="49"/>
      <c r="N1" s="49"/>
      <c r="O1" s="50"/>
      <c r="P1" s="228" t="s">
        <v>36</v>
      </c>
      <c r="Q1" s="228"/>
    </row>
    <row r="2" spans="1:17" ht="15.75" thickBot="1" x14ac:dyDescent="0.3">
      <c r="A2" s="51"/>
      <c r="B2" s="52"/>
      <c r="C2" s="52"/>
      <c r="D2" s="52"/>
      <c r="E2" s="52"/>
      <c r="F2" s="52"/>
      <c r="G2" s="53"/>
      <c r="H2" s="54"/>
      <c r="I2" s="54"/>
      <c r="J2" s="54"/>
      <c r="K2" s="54"/>
      <c r="L2" s="54"/>
      <c r="M2" s="54"/>
      <c r="N2" s="54"/>
      <c r="O2" s="52"/>
      <c r="P2" s="228"/>
      <c r="Q2" s="228"/>
    </row>
    <row r="3" spans="1:17" ht="15.75" thickBot="1" x14ac:dyDescent="0.3">
      <c r="A3" s="51"/>
      <c r="B3" s="52"/>
      <c r="C3" s="52"/>
      <c r="D3" s="52"/>
      <c r="E3" s="52"/>
      <c r="F3" s="52"/>
      <c r="G3" s="53"/>
      <c r="H3" s="52"/>
      <c r="I3" s="52"/>
      <c r="J3" s="52"/>
      <c r="K3" s="52"/>
      <c r="L3" s="52"/>
      <c r="M3" s="52"/>
      <c r="N3" s="52"/>
      <c r="O3" s="52"/>
      <c r="P3" s="52"/>
      <c r="Q3" s="95"/>
    </row>
    <row r="4" spans="1:17" ht="15.75" thickBot="1" x14ac:dyDescent="0.3">
      <c r="A4" s="229" t="s">
        <v>37</v>
      </c>
      <c r="B4" s="229"/>
      <c r="C4" s="229"/>
      <c r="D4" s="229"/>
      <c r="E4" s="229"/>
      <c r="F4" s="229"/>
      <c r="G4" s="230" t="str">
        <f>NP!D3</f>
        <v>040 - MINISTERIO DE SALUD</v>
      </c>
      <c r="H4" s="230"/>
      <c r="I4" s="230"/>
      <c r="J4" s="230"/>
      <c r="K4" s="230"/>
      <c r="L4" s="230"/>
      <c r="M4" s="230"/>
      <c r="N4" s="230"/>
      <c r="O4" s="230"/>
      <c r="P4" s="230"/>
      <c r="Q4" s="230"/>
    </row>
    <row r="5" spans="1:17" ht="15.75" thickBot="1" x14ac:dyDescent="0.3">
      <c r="A5" s="231" t="s">
        <v>24</v>
      </c>
      <c r="B5" s="231"/>
      <c r="C5" s="231"/>
      <c r="D5" s="231"/>
      <c r="E5" s="231"/>
      <c r="F5" s="231"/>
      <c r="G5" s="230" t="str">
        <f>NP!D4</f>
        <v>011 - DIRECCION PROVINCIAL DE ADMINISTRACION DEL MINISTERIO DE SALUD</v>
      </c>
      <c r="H5" s="230"/>
      <c r="I5" s="230"/>
      <c r="J5" s="230"/>
      <c r="K5" s="230"/>
      <c r="L5" s="230"/>
      <c r="M5" s="230"/>
      <c r="N5" s="230"/>
      <c r="O5" s="230"/>
      <c r="P5" s="230"/>
      <c r="Q5" s="230"/>
    </row>
    <row r="6" spans="1:17" ht="15.75" thickBot="1" x14ac:dyDescent="0.3">
      <c r="A6" s="231" t="s">
        <v>25</v>
      </c>
      <c r="B6" s="231"/>
      <c r="C6" s="231"/>
      <c r="D6" s="231"/>
      <c r="E6" s="231"/>
      <c r="F6" s="231"/>
      <c r="G6" s="230" t="str">
        <f>NP!D5</f>
        <v>352 - MINISTERIO DE SALUD</v>
      </c>
      <c r="H6" s="230"/>
      <c r="I6" s="230"/>
      <c r="J6" s="230"/>
      <c r="K6" s="230"/>
      <c r="L6" s="230"/>
      <c r="M6" s="230"/>
      <c r="N6" s="230"/>
      <c r="O6" s="230"/>
      <c r="P6" s="230"/>
      <c r="Q6" s="230"/>
    </row>
    <row r="7" spans="1:17" ht="15.75" thickBot="1" x14ac:dyDescent="0.3">
      <c r="A7" s="231" t="s">
        <v>26</v>
      </c>
      <c r="B7" s="231"/>
      <c r="C7" s="231"/>
      <c r="D7" s="231"/>
      <c r="E7" s="231"/>
      <c r="F7" s="231"/>
      <c r="G7" s="230" t="str">
        <f>NP!D6</f>
        <v>352 - MINISTERIO DE SALUD</v>
      </c>
      <c r="H7" s="230"/>
      <c r="I7" s="230"/>
      <c r="J7" s="230"/>
      <c r="K7" s="230"/>
      <c r="L7" s="230"/>
      <c r="M7" s="230"/>
      <c r="N7" s="230"/>
      <c r="O7" s="230"/>
      <c r="P7" s="230"/>
      <c r="Q7" s="230"/>
    </row>
    <row r="8" spans="1:17" ht="15.75" thickBot="1" x14ac:dyDescent="0.3">
      <c r="A8" s="232" t="s">
        <v>38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</row>
    <row r="9" spans="1:17" x14ac:dyDescent="0.25">
      <c r="A9" s="225" t="s">
        <v>39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</row>
    <row r="10" spans="1:17" ht="75" customHeight="1" x14ac:dyDescent="0.25">
      <c r="A10" s="218" t="s">
        <v>68</v>
      </c>
      <c r="B10" s="218"/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</row>
    <row r="11" spans="1:17" ht="15.75" thickBot="1" x14ac:dyDescent="0.3">
      <c r="A11" s="55"/>
      <c r="B11" s="56"/>
      <c r="C11" s="56"/>
      <c r="D11" s="56"/>
      <c r="E11" s="56"/>
      <c r="F11" s="56"/>
      <c r="G11" s="57"/>
      <c r="H11" s="56"/>
      <c r="I11" s="56"/>
      <c r="J11" s="56"/>
      <c r="K11" s="56"/>
      <c r="L11" s="56"/>
      <c r="M11" s="56"/>
      <c r="N11" s="56"/>
      <c r="O11" s="56"/>
      <c r="P11" s="56"/>
      <c r="Q11" s="96"/>
    </row>
    <row r="12" spans="1:17" ht="15.75" thickBot="1" x14ac:dyDescent="0.3">
      <c r="A12" s="219" t="s">
        <v>40</v>
      </c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</row>
    <row r="13" spans="1:17" ht="15.75" thickBot="1" x14ac:dyDescent="0.3">
      <c r="A13" s="220" t="s">
        <v>41</v>
      </c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1" t="s">
        <v>42</v>
      </c>
      <c r="P13" s="221"/>
      <c r="Q13" s="222" t="s">
        <v>43</v>
      </c>
    </row>
    <row r="14" spans="1:17" ht="15.75" thickBot="1" x14ac:dyDescent="0.3">
      <c r="A14" s="58" t="s">
        <v>44</v>
      </c>
      <c r="B14" s="59" t="s">
        <v>45</v>
      </c>
      <c r="C14" s="59" t="s">
        <v>46</v>
      </c>
      <c r="D14" s="59" t="s">
        <v>47</v>
      </c>
      <c r="E14" s="59" t="s">
        <v>48</v>
      </c>
      <c r="F14" s="59" t="s">
        <v>49</v>
      </c>
      <c r="G14" s="60" t="s">
        <v>50</v>
      </c>
      <c r="H14" s="59" t="s">
        <v>51</v>
      </c>
      <c r="I14" s="59" t="s">
        <v>52</v>
      </c>
      <c r="J14" s="59" t="s">
        <v>53</v>
      </c>
      <c r="K14" s="59" t="s">
        <v>53</v>
      </c>
      <c r="L14" s="59" t="s">
        <v>54</v>
      </c>
      <c r="M14" s="61" t="s">
        <v>55</v>
      </c>
      <c r="N14" s="62" t="s">
        <v>56</v>
      </c>
      <c r="O14" s="221"/>
      <c r="P14" s="221"/>
      <c r="Q14" s="222"/>
    </row>
    <row r="15" spans="1:17" x14ac:dyDescent="0.25">
      <c r="A15" s="63">
        <v>1</v>
      </c>
      <c r="B15" s="64"/>
      <c r="C15" s="64"/>
      <c r="D15" s="64">
        <v>1</v>
      </c>
      <c r="E15" s="64"/>
      <c r="F15" s="64">
        <v>4901</v>
      </c>
      <c r="G15" s="64">
        <v>3</v>
      </c>
      <c r="H15" s="64">
        <v>1</v>
      </c>
      <c r="I15" s="64">
        <v>4</v>
      </c>
      <c r="J15" s="64">
        <v>3</v>
      </c>
      <c r="K15" s="64">
        <v>3</v>
      </c>
      <c r="L15" s="64"/>
      <c r="M15" s="65">
        <v>1</v>
      </c>
      <c r="N15" s="64" t="s">
        <v>69</v>
      </c>
      <c r="O15" s="223" t="s">
        <v>70</v>
      </c>
      <c r="P15" s="223"/>
      <c r="Q15" s="97">
        <f>NP!J14</f>
        <v>13050600</v>
      </c>
    </row>
    <row r="16" spans="1:17" x14ac:dyDescent="0.25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8"/>
      <c r="N16" s="69"/>
      <c r="O16" s="212"/>
      <c r="P16" s="212"/>
      <c r="Q16" s="98"/>
    </row>
    <row r="17" spans="1:17" x14ac:dyDescent="0.25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8"/>
      <c r="N17" s="69"/>
      <c r="O17" s="224"/>
      <c r="P17" s="224"/>
      <c r="Q17" s="98"/>
    </row>
    <row r="18" spans="1:17" x14ac:dyDescent="0.25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8"/>
      <c r="N18" s="69"/>
      <c r="O18" s="217"/>
      <c r="P18" s="217"/>
      <c r="Q18" s="98"/>
    </row>
    <row r="19" spans="1:17" x14ac:dyDescent="0.25">
      <c r="A19" s="6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69"/>
      <c r="O19" s="217"/>
      <c r="P19" s="217"/>
      <c r="Q19" s="98"/>
    </row>
    <row r="20" spans="1:17" x14ac:dyDescent="0.25">
      <c r="A20" s="66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8"/>
      <c r="N20" s="69"/>
      <c r="O20" s="217"/>
      <c r="P20" s="217"/>
      <c r="Q20" s="98"/>
    </row>
    <row r="21" spans="1:17" x14ac:dyDescent="0.25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69"/>
      <c r="O21" s="217"/>
      <c r="P21" s="217"/>
      <c r="Q21" s="98"/>
    </row>
    <row r="22" spans="1:17" x14ac:dyDescent="0.25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8"/>
      <c r="N22" s="69"/>
      <c r="O22" s="217"/>
      <c r="P22" s="217"/>
      <c r="Q22" s="98"/>
    </row>
    <row r="23" spans="1:17" x14ac:dyDescent="0.25">
      <c r="A23" s="66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8"/>
      <c r="N23" s="69"/>
      <c r="O23" s="217"/>
      <c r="P23" s="217"/>
      <c r="Q23" s="98"/>
    </row>
    <row r="24" spans="1:17" x14ac:dyDescent="0.25">
      <c r="A24" s="66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8"/>
      <c r="N24" s="69"/>
      <c r="O24" s="217"/>
      <c r="P24" s="217"/>
      <c r="Q24" s="98"/>
    </row>
    <row r="25" spans="1:17" x14ac:dyDescent="0.25">
      <c r="A25" s="66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8"/>
      <c r="N25" s="69"/>
      <c r="O25" s="217"/>
      <c r="P25" s="217"/>
      <c r="Q25" s="98"/>
    </row>
    <row r="26" spans="1:17" x14ac:dyDescent="0.25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8"/>
      <c r="N26" s="69"/>
      <c r="O26" s="217"/>
      <c r="P26" s="217"/>
      <c r="Q26" s="98"/>
    </row>
    <row r="27" spans="1:17" x14ac:dyDescent="0.25">
      <c r="A27" s="6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8"/>
      <c r="N27" s="69"/>
      <c r="O27" s="217"/>
      <c r="P27" s="217"/>
      <c r="Q27" s="98"/>
    </row>
    <row r="28" spans="1:17" x14ac:dyDescent="0.25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8"/>
      <c r="N28" s="69"/>
      <c r="O28" s="217"/>
      <c r="P28" s="217"/>
      <c r="Q28" s="98"/>
    </row>
    <row r="29" spans="1:17" x14ac:dyDescent="0.25">
      <c r="A29" s="66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8"/>
      <c r="N29" s="69"/>
      <c r="O29" s="217"/>
      <c r="P29" s="217"/>
      <c r="Q29" s="98"/>
    </row>
    <row r="30" spans="1:17" x14ac:dyDescent="0.25">
      <c r="A30" s="66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8"/>
      <c r="N30" s="69"/>
      <c r="O30" s="217"/>
      <c r="P30" s="217"/>
      <c r="Q30" s="98"/>
    </row>
    <row r="31" spans="1:17" x14ac:dyDescent="0.2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8"/>
      <c r="N31" s="69"/>
      <c r="O31" s="217"/>
      <c r="P31" s="217"/>
      <c r="Q31" s="98"/>
    </row>
    <row r="32" spans="1:17" x14ac:dyDescent="0.25">
      <c r="A32" s="66"/>
      <c r="B32" s="67"/>
      <c r="C32" s="67"/>
      <c r="D32" s="67"/>
      <c r="E32" s="67"/>
      <c r="F32" s="69"/>
      <c r="G32" s="67"/>
      <c r="H32" s="67"/>
      <c r="I32" s="67"/>
      <c r="J32" s="67"/>
      <c r="K32" s="67"/>
      <c r="L32" s="67"/>
      <c r="M32" s="68"/>
      <c r="N32" s="69"/>
      <c r="O32" s="212"/>
      <c r="P32" s="212"/>
      <c r="Q32" s="98"/>
    </row>
    <row r="33" spans="1:17" x14ac:dyDescent="0.25">
      <c r="A33" s="66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  <c r="N33" s="69"/>
      <c r="O33" s="212"/>
      <c r="P33" s="212"/>
      <c r="Q33" s="98"/>
    </row>
    <row r="34" spans="1:17" x14ac:dyDescent="0.25">
      <c r="A34" s="66"/>
      <c r="B34" s="67"/>
      <c r="C34" s="67"/>
      <c r="D34" s="67"/>
      <c r="E34" s="67"/>
      <c r="F34" s="69"/>
      <c r="G34" s="67"/>
      <c r="H34" s="67"/>
      <c r="I34" s="67"/>
      <c r="J34" s="67"/>
      <c r="K34" s="67"/>
      <c r="L34" s="67"/>
      <c r="M34" s="68"/>
      <c r="N34" s="69"/>
      <c r="O34" s="212"/>
      <c r="P34" s="212"/>
      <c r="Q34" s="98"/>
    </row>
    <row r="35" spans="1:17" x14ac:dyDescent="0.25">
      <c r="A35" s="66"/>
      <c r="B35" s="67"/>
      <c r="C35" s="67"/>
      <c r="D35" s="67"/>
      <c r="E35" s="67"/>
      <c r="F35" s="69"/>
      <c r="G35" s="67"/>
      <c r="H35" s="67"/>
      <c r="I35" s="67"/>
      <c r="J35" s="67"/>
      <c r="K35" s="67"/>
      <c r="L35" s="67"/>
      <c r="M35" s="68"/>
      <c r="N35" s="69"/>
      <c r="O35" s="212"/>
      <c r="P35" s="212"/>
      <c r="Q35" s="98"/>
    </row>
    <row r="36" spans="1:17" x14ac:dyDescent="0.25">
      <c r="A36" s="70"/>
      <c r="B36" s="71"/>
      <c r="C36" s="71"/>
      <c r="D36" s="71"/>
      <c r="E36" s="71"/>
      <c r="F36" s="72"/>
      <c r="G36" s="71"/>
      <c r="H36" s="71"/>
      <c r="I36" s="71"/>
      <c r="J36" s="71"/>
      <c r="K36" s="71"/>
      <c r="L36" s="71"/>
      <c r="M36" s="73"/>
      <c r="N36" s="74"/>
      <c r="O36" s="213"/>
      <c r="P36" s="213"/>
      <c r="Q36" s="98"/>
    </row>
    <row r="37" spans="1:17" ht="15.75" thickBot="1" x14ac:dyDescent="0.3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7"/>
      <c r="N37" s="76"/>
      <c r="O37" s="214"/>
      <c r="P37" s="214"/>
      <c r="Q37" s="99"/>
    </row>
    <row r="38" spans="1:17" ht="50.25" customHeight="1" thickBot="1" x14ac:dyDescent="0.3">
      <c r="A38" s="215" t="s">
        <v>89</v>
      </c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100">
        <f>SUM(Q15:Q37)</f>
        <v>13050600</v>
      </c>
    </row>
    <row r="39" spans="1:17" ht="15.75" thickBot="1" x14ac:dyDescent="0.3">
      <c r="A39" s="216"/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</row>
    <row r="40" spans="1:17" ht="15.75" thickBot="1" x14ac:dyDescent="0.3">
      <c r="A40" s="209" t="s">
        <v>57</v>
      </c>
      <c r="B40" s="209"/>
      <c r="C40" s="209"/>
      <c r="D40" s="209"/>
      <c r="E40" s="209"/>
      <c r="F40" s="209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</row>
    <row r="41" spans="1:17" ht="15.75" thickBot="1" x14ac:dyDescent="0.3">
      <c r="A41" s="211" t="str">
        <f>NP!D8</f>
        <v>ADQUISICION DE MAQUINAS DE ANESTESIA CON DESTINO A HOSPITALES DE LA PROVINCIA.-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1:17" ht="15.75" thickBo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SAF 011 - NECESIDAD TRIMESTRAL</vt:lpstr>
      <vt:lpstr>ENTREGAS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2022-09-14T17:40:25Z</dcterms:modified>
</cp:coreProperties>
</file>