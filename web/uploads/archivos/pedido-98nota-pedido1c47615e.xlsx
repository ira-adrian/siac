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8515" windowHeight="12090"/>
  </bookViews>
  <sheets>
    <sheet name="BIDONES DE AGUA" sheetId="1" r:id="rId1"/>
    <sheet name="Autor Gastar" sheetId="2" r:id="rId2"/>
  </sheets>
  <externalReferences>
    <externalReference r:id="rId3"/>
    <externalReference r:id="rId4"/>
  </externalReferences>
  <definedNames>
    <definedName name="_xlcn.WorksheetConnection_RelevamientodeHardMinisteriodeTrabajoyRRHH20base.xlsxTabla11" hidden="1">[1]!Tabla1[#Data]</definedName>
    <definedName name="_xlnm.Print_Area" localSheetId="1">'Autor Gastar'!$A$1:$Q$23</definedName>
    <definedName name="ORGANIGRAMA">#REF!</definedName>
    <definedName name="toners">#REF!</definedName>
  </definedNames>
  <calcPr calcId="145621"/>
</workbook>
</file>

<file path=xl/calcChain.xml><?xml version="1.0" encoding="utf-8"?>
<calcChain xmlns="http://schemas.openxmlformats.org/spreadsheetml/2006/main">
  <c r="G7" i="2" l="1"/>
  <c r="Q19" i="2" l="1"/>
  <c r="A22" i="2" l="1"/>
  <c r="I10" i="1" l="1"/>
  <c r="I12" i="1" s="1"/>
  <c r="D10" i="1"/>
</calcChain>
</file>

<file path=xl/sharedStrings.xml><?xml version="1.0" encoding="utf-8"?>
<sst xmlns="http://schemas.openxmlformats.org/spreadsheetml/2006/main" count="70" uniqueCount="60">
  <si>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</si>
  <si>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</si>
  <si>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</si>
  <si>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</si>
  <si>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</si>
  <si>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</si>
  <si>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</si>
  <si>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</si>
  <si>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</si>
  <si>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</si>
  <si>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</si>
  <si>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</si>
  <si>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</si>
  <si>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</si>
  <si>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2.1.1-478.39</t>
  </si>
  <si>
    <t>ALIMENTOS</t>
  </si>
  <si>
    <t>AGUA MINERAL; TIPO: SIN GASIFICAR, PRESENTACION: ENVASE X 20 L, MATERIAL ENVASE: PLASTICO 7, TIPO ENVASE: RETORNABLE, ELEM. TRANSPORTE: SIN, MATERIAL ELEM. TRANSPORTE: SIN</t>
  </si>
  <si>
    <t>UNIDAD</t>
  </si>
  <si>
    <t>Especificidades Item N° : 1</t>
  </si>
  <si>
    <t>Descripción técnica</t>
  </si>
  <si>
    <t>AGUA MINERAL SIN GASIFICAR EN BIDONES POR 20 LTS. INCLUYE MAQUINA DE PROCESO Y CONTROLES EXIGIDOS POR CODIGO ALIMENTARIO PARA LA ACTIVIDAD</t>
  </si>
  <si>
    <t>Plazos y lugares de entrega</t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</si>
  <si>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</si>
  <si>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</si>
  <si>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</si>
  <si>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</si>
  <si>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</si>
  <si>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AUTORIZACION PARA GASTAR</t>
  </si>
  <si>
    <t>JURISDICCIÓN:</t>
  </si>
  <si>
    <t>SAF:</t>
  </si>
  <si>
    <t>UNIDAD EJECUTORA: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</si>
  <si>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</si>
  <si>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</si>
  <si>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</si>
  <si>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</si>
  <si>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</si>
  <si>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</si>
  <si>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</si>
  <si>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</si>
  <si>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</si>
  <si>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</si>
  <si>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</si>
  <si>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</si>
  <si>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</si>
  <si>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</si>
  <si>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</si>
  <si>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</si>
  <si>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</si>
  <si>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</si>
  <si>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</si>
  <si>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</si>
  <si>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</si>
  <si>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ALIMENTOS PARA PERSONAS</t>
  </si>
  <si>
    <t>JUSTIFICACIÓN:</t>
  </si>
  <si>
    <t>TOTAL DE PESOS: Cuatroscientos Sesenta Mil con 00/100.-</t>
  </si>
  <si>
    <t>Autorizo la realización de los  trámites correspondientes, a fin de proveer a  este Organismo los bienes y/o servicios que se detallan en Necesidad Trimestral,  afectando la erogación resultante a los créditos presupuestarios aprobados a favor de esta Unidad Ejecutora, conforme al siguiente detalle:"</t>
  </si>
  <si>
    <r>
      <t xml:space="preserve">a) </t>
    </r>
    <r>
      <rPr>
        <b/>
        <sz val="11"/>
        <rFont val="Times New Roman"/>
        <family val="1"/>
      </rPr>
      <t xml:space="preserve">LUGAR DE ENTREGA: </t>
    </r>
    <r>
      <rPr>
        <sz val="11"/>
        <rFont val="Times New Roman"/>
        <family val="1"/>
      </rPr>
      <t xml:space="preserve"> En Forma de </t>
    </r>
    <r>
      <rPr>
        <b/>
        <u/>
        <sz val="11"/>
        <rFont val="Times New Roman"/>
        <family val="1"/>
      </rPr>
      <t>Vales de un (1) Bidones cada uno</t>
    </r>
    <r>
      <rPr>
        <sz val="11"/>
        <rFont val="Times New Roman"/>
        <family val="1"/>
      </rPr>
      <t xml:space="preserve"> - Oficina Central del Ministerio de Trabajo, Planificacion y Recursos Humanos, sito en Av. Colon Nº 960 - Capital - De 08 a 12 horas. 
LOS BIDONES deberan ser distribuidos en los siguientes lugares mediante la presentacion de los vales por los usuarios:
---</t>
    </r>
    <r>
      <rPr>
        <b/>
        <u/>
        <sz val="11"/>
        <rFont val="Times New Roman"/>
        <family val="1"/>
      </rPr>
      <t>Pabellón Nº 20</t>
    </r>
    <r>
      <rPr>
        <sz val="11"/>
        <rFont val="Times New Roman"/>
        <family val="1"/>
      </rPr>
      <t xml:space="preserve"> SECRETARIA DE RECURSOS HUMANOS (CAPE), sito en Av. Presidente Castillo y Av.  Venezuela - Capital 
---</t>
    </r>
    <r>
      <rPr>
        <b/>
        <u/>
        <sz val="11"/>
        <rFont val="Times New Roman"/>
        <family val="1"/>
      </rPr>
      <t xml:space="preserve">Pabellón Nº 10 </t>
    </r>
    <r>
      <rPr>
        <sz val="11"/>
        <rFont val="Times New Roman"/>
        <family val="1"/>
      </rPr>
      <t>SECRETARIA DE RECURSOS HUMANOS del Ministerio de Trabajo, Planificacion y Recursos Humanos (CAPE), sito en Av. Presidente Castillo y Av.  Venezuela - Capital 
-----</t>
    </r>
    <r>
      <rPr>
        <b/>
        <u/>
        <sz val="11"/>
        <rFont val="Times New Roman"/>
        <family val="1"/>
      </rPr>
      <t>Pabellón Nº 5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 xml:space="preserve">Secretaria de Trabajo y Direccion de Inspeccion Laboral </t>
    </r>
    <r>
      <rPr>
        <sz val="11"/>
        <rFont val="Times New Roman"/>
        <family val="1"/>
      </rPr>
      <t>del Ministerio de Trabajo, Planificacion y Recursos Humanos (CAPE), sito en -Av. Presidente Castillo y Av.  Venezuela - Capital 
---</t>
    </r>
    <r>
      <rPr>
        <b/>
        <u/>
        <sz val="11"/>
        <rFont val="Times New Roman"/>
        <family val="1"/>
      </rPr>
      <t>Ex San Juan Bautista</t>
    </r>
    <r>
      <rPr>
        <b/>
        <sz val="11"/>
        <rFont val="Times New Roman"/>
        <family val="1"/>
      </rPr>
      <t xml:space="preserve"> Sub Secretaria de Reconocimiento Medico</t>
    </r>
    <r>
      <rPr>
        <sz val="11"/>
        <rFont val="Times New Roman"/>
        <family val="1"/>
      </rPr>
      <t xml:space="preserve"> del Ministerio de Trabajo, Planificacion y Recursos Humanos, sito en Calle Republica entre Av. Alem y 25 de Mayo - Capital 
--</t>
    </r>
    <r>
      <rPr>
        <b/>
        <u/>
        <sz val="11"/>
        <rFont val="Times New Roman"/>
        <family val="1"/>
      </rPr>
      <t xml:space="preserve">-Pabellón Nº 12 </t>
    </r>
    <r>
      <rPr>
        <b/>
        <sz val="11"/>
        <rFont val="Times New Roman"/>
        <family val="1"/>
      </rPr>
      <t>Direccion de Sumario Docente</t>
    </r>
    <r>
      <rPr>
        <sz val="11"/>
        <rFont val="Times New Roman"/>
        <family val="1"/>
      </rPr>
      <t xml:space="preserve"> de Ministerio de Trabajo, Planificacion y Recursos Humanos (CAPE), sito en Av. Presidente Castillo y Av.  Venezuela - Capital 
---</t>
    </r>
    <r>
      <rPr>
        <b/>
        <u/>
        <sz val="11"/>
        <rFont val="Times New Roman"/>
        <family val="1"/>
      </rPr>
      <t xml:space="preserve">Edificio de Obras Publicas </t>
    </r>
    <r>
      <rPr>
        <sz val="11"/>
        <rFont val="Times New Roman"/>
        <family val="1"/>
      </rPr>
      <t xml:space="preserve">donde funciona la </t>
    </r>
    <r>
      <rPr>
        <b/>
        <sz val="11"/>
        <rFont val="Times New Roman"/>
        <family val="1"/>
      </rPr>
      <t xml:space="preserve">Direccion Provincial de Centro de Innovacion  y Capacitacion </t>
    </r>
    <r>
      <rPr>
        <sz val="11"/>
        <rFont val="Times New Roman"/>
        <family val="1"/>
      </rPr>
      <t>del Ministerio de Trabajo, Planificacion y Recursos Humanos, sito en Calle Chacabuco Nº 895 - Capital 
-</t>
    </r>
    <r>
      <rPr>
        <b/>
        <u/>
        <sz val="11"/>
        <rFont val="Times New Roman"/>
        <family val="1"/>
      </rPr>
      <t>-Edificio Central del Ministerio de Trabajo, Planificacion y Recursos Humanos</t>
    </r>
    <r>
      <rPr>
        <sz val="11"/>
        <rFont val="Times New Roman"/>
        <family val="1"/>
      </rPr>
      <t>, sito en Av colon Nº 960 (manzana de turismo)
b)</t>
    </r>
    <r>
      <rPr>
        <b/>
        <sz val="11"/>
        <rFont val="Times New Roman"/>
        <family val="1"/>
      </rPr>
      <t xml:space="preserve"> FORMA DE LA ENTREGA</t>
    </r>
    <r>
      <rPr>
        <sz val="11"/>
        <rFont val="Times New Roman"/>
        <family val="1"/>
      </rPr>
      <t xml:space="preserve">: - Libre de flete, acarreo y embalaje, como así también, de todo riesgo de pérdida o destrucción total o parcial, por causas ajenas a la Institución. 
c)  </t>
    </r>
    <r>
      <rPr>
        <b/>
        <sz val="11"/>
        <rFont val="Times New Roman"/>
        <family val="1"/>
      </rPr>
      <t>PLAZO DE ENTREGA</t>
    </r>
    <r>
      <rPr>
        <sz val="11"/>
        <rFont val="Times New Roman"/>
        <family val="1"/>
      </rPr>
      <t>: El Oferente deberá establecer plazo de entrega de los vales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</si>
  <si>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12 - Ministerios de Trabajo, Planificacion y Recursos Humanos</t>
  </si>
  <si>
    <t>22 - Subsecretaria de Administracion Financiera del Ministerios de Trabajo, Planificacion y Recursos Humanos</t>
  </si>
  <si>
    <t>Ministerio de Trabajo, Planificacion y Reursos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</si>
</sst>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$&quot;\ #,##0.00;[Red]&quot;$&quot;\ \-#,##0.00"/>
    <numFmt numFmtId="165" formatCode="_-* #,##0.00&quot; €&quot;_-;\-* #,##0.00&quot; €&quot;_-;_-* \-??&quot; €&quot;_-;_-@_-"/>
    <numFmt numFmtId="166" formatCode="[$$-2C0A]\ #,##0.00;[$$-2C0A]&quot; -&quot;#,##0.00"/>
    <numFmt numFmtId="167" formatCode="dd\-mm\-yy;@"/>
    <numFmt numFmtId="168" formatCode="_(\$* #,##0.00_);_(\$* \(#,##0.00\);_(\$* \-??_);_(@_)"/>
    <numFmt numFmtId="169" formatCode="_-[$$-2C0A]\ * #,##0.00_-;\-[$$-2C0A]\ * #,##0.00_-;_-[$$-2C0A]\ * &quot;-&quot;??_-;_-@_-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5" fontId="10" fillId="0" borderId="0" applyBorder="0" applyProtection="0"/>
    <xf numFmtId="0" fontId="16" fillId="0" borderId="19" applyProtection="0"/>
    <xf numFmtId="0" fontId="17" fillId="2" borderId="0" applyBorder="0" applyProtection="0"/>
    <xf numFmtId="0" fontId="1" fillId="0" borderId="0"/>
    <xf numFmtId="0" fontId="1" fillId="0" borderId="0"/>
    <xf numFmtId="168" fontId="24" fillId="0" borderId="0" applyBorder="0" applyProtection="0"/>
    <xf numFmtId="9" fontId="25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9" fillId="0" borderId="8" xfId="0" applyFont="1" applyFill="1" applyBorder="1" applyAlignment="1">
      <alignment horizontal="center" vertical="center" wrapText="1"/>
    </xf>
    <xf numFmtId="3" fontId="0" fillId="0" borderId="8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6" fontId="8" fillId="0" borderId="9" xfId="1" applyNumberFormat="1" applyFont="1" applyFill="1" applyBorder="1" applyAlignment="1" applyProtection="1">
      <alignment horizontal="right" vertical="center" wrapText="1"/>
    </xf>
    <xf numFmtId="166" fontId="2" fillId="0" borderId="5" xfId="0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14" xfId="0" applyFont="1" applyBorder="1"/>
    <xf numFmtId="0" fontId="11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13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/>
    </xf>
    <xf numFmtId="0" fontId="15" fillId="0" borderId="13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14" xfId="0" applyFont="1" applyFill="1" applyBorder="1" applyAlignment="1">
      <alignment horizontal="left"/>
    </xf>
    <xf numFmtId="0" fontId="2" fillId="0" borderId="18" xfId="0" applyFont="1" applyBorder="1"/>
    <xf numFmtId="0" fontId="2" fillId="0" borderId="15" xfId="0" applyFont="1" applyBorder="1"/>
    <xf numFmtId="0" fontId="2" fillId="0" borderId="16" xfId="0" applyFont="1" applyBorder="1"/>
    <xf numFmtId="0" fontId="15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left" indent="3"/>
    </xf>
    <xf numFmtId="0" fontId="15" fillId="0" borderId="13" xfId="0" applyFont="1" applyBorder="1" applyAlignment="1"/>
    <xf numFmtId="0" fontId="11" fillId="0" borderId="13" xfId="0" applyFont="1" applyBorder="1" applyAlignment="1">
      <alignment horizontal="left" indent="3"/>
    </xf>
    <xf numFmtId="0" fontId="2" fillId="0" borderId="18" xfId="0" applyFont="1" applyBorder="1" applyAlignment="1">
      <alignment horizontal="left" indent="3"/>
    </xf>
    <xf numFmtId="3" fontId="19" fillId="0" borderId="0" xfId="0" applyNumberFormat="1" applyFont="1" applyBorder="1" applyAlignment="1"/>
    <xf numFmtId="167" fontId="18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Border="1"/>
    <xf numFmtId="0" fontId="18" fillId="0" borderId="25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8" xfId="0" applyFont="1" applyBorder="1" applyAlignment="1">
      <alignment horizontal="left"/>
    </xf>
    <xf numFmtId="0" fontId="18" fillId="0" borderId="29" xfId="0" applyFont="1" applyBorder="1"/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left" vertical="center"/>
    </xf>
    <xf numFmtId="0" fontId="23" fillId="0" borderId="3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66" fontId="23" fillId="0" borderId="35" xfId="0" applyNumberFormat="1" applyFont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/>
    </xf>
    <xf numFmtId="0" fontId="18" fillId="0" borderId="40" xfId="0" applyFont="1" applyFill="1" applyBorder="1" applyAlignment="1">
      <alignment horizontal="center" vertical="center"/>
    </xf>
    <xf numFmtId="169" fontId="10" fillId="0" borderId="41" xfId="1" applyNumberFormat="1" applyBorder="1"/>
    <xf numFmtId="0" fontId="18" fillId="0" borderId="42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9" fontId="10" fillId="0" borderId="43" xfId="1" applyNumberFormat="1" applyBorder="1"/>
    <xf numFmtId="169" fontId="18" fillId="0" borderId="43" xfId="7" applyNumberFormat="1" applyFont="1" applyBorder="1" applyAlignment="1">
      <alignment vertical="center" wrapText="1"/>
    </xf>
    <xf numFmtId="0" fontId="18" fillId="0" borderId="44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9" fontId="18" fillId="0" borderId="46" xfId="6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2" fillId="0" borderId="0" xfId="0" applyFont="1" applyFill="1" applyBorder="1" applyAlignment="1">
      <alignment horizontal="left" wrapText="1"/>
    </xf>
    <xf numFmtId="0" fontId="2" fillId="0" borderId="14" xfId="0" applyFont="1" applyFill="1" applyBorder="1" applyAlignment="1">
      <alignment horizontal="left" wrapText="1"/>
    </xf>
    <xf numFmtId="0" fontId="2" fillId="0" borderId="14" xfId="0" applyFont="1" applyFill="1" applyBorder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1" fillId="0" borderId="35" xfId="0" applyFont="1" applyFill="1" applyBorder="1" applyAlignment="1">
      <alignment horizontal="left" vertical="center" wrapText="1" indent="1"/>
    </xf>
    <xf numFmtId="0" fontId="23" fillId="0" borderId="31" xfId="0" applyFont="1" applyBorder="1" applyAlignment="1">
      <alignment horizontal="center" vertical="center"/>
    </xf>
    <xf numFmtId="0" fontId="19" fillId="0" borderId="35" xfId="0" applyFont="1" applyBorder="1" applyAlignment="1">
      <alignment horizontal="left" vertical="center" wrapText="1"/>
    </xf>
    <xf numFmtId="0" fontId="18" fillId="0" borderId="30" xfId="0" applyFont="1" applyBorder="1"/>
    <xf numFmtId="0" fontId="19" fillId="0" borderId="1" xfId="0" applyFont="1" applyBorder="1" applyAlignment="1">
      <alignment vertical="center" wrapText="1"/>
    </xf>
    <xf numFmtId="0" fontId="19" fillId="0" borderId="36" xfId="0" applyFont="1" applyBorder="1" applyAlignment="1">
      <alignment vertical="center" wrapText="1"/>
    </xf>
    <xf numFmtId="0" fontId="19" fillId="0" borderId="37" xfId="0" applyFont="1" applyBorder="1" applyAlignment="1">
      <alignment vertical="center" wrapText="1"/>
    </xf>
    <xf numFmtId="0" fontId="21" fillId="0" borderId="31" xfId="0" applyFont="1" applyBorder="1" applyAlignment="1">
      <alignment vertical="center" wrapText="1"/>
    </xf>
    <xf numFmtId="0" fontId="18" fillId="0" borderId="1" xfId="0" applyFont="1" applyBorder="1" applyAlignment="1">
      <alignment horizontal="center"/>
    </xf>
    <xf numFmtId="3" fontId="19" fillId="0" borderId="7" xfId="0" applyNumberFormat="1" applyFont="1" applyBorder="1" applyAlignment="1">
      <alignment horizontal="center"/>
    </xf>
    <xf numFmtId="0" fontId="20" fillId="0" borderId="20" xfId="0" applyFont="1" applyBorder="1" applyAlignment="1">
      <alignment horizontal="center" vertical="center" wrapText="1"/>
    </xf>
    <xf numFmtId="0" fontId="18" fillId="0" borderId="20" xfId="0" applyFont="1" applyBorder="1"/>
    <xf numFmtId="0" fontId="21" fillId="0" borderId="20" xfId="0" applyFont="1" applyBorder="1" applyAlignment="1">
      <alignment horizontal="left" indent="1"/>
    </xf>
    <xf numFmtId="0" fontId="18" fillId="0" borderId="40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/>
    </xf>
    <xf numFmtId="0" fontId="21" fillId="0" borderId="24" xfId="0" applyFont="1" applyBorder="1"/>
    <xf numFmtId="0" fontId="21" fillId="0" borderId="26" xfId="0" applyFont="1" applyBorder="1" applyAlignment="1">
      <alignment horizontal="left" vertical="center" wrapText="1" indent="1"/>
    </xf>
    <xf numFmtId="0" fontId="23" fillId="0" borderId="3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</cellXfs>
  <cellStyles count="8">
    <cellStyle name="Encabezado 1" xfId="2"/>
    <cellStyle name="Moneda" xfId="1" builtinId="4"/>
    <cellStyle name="Moneda_AUTORIZACION Y NOTA DE PEDIDO" xfId="6"/>
    <cellStyle name="Neutral 1" xfId="3"/>
    <cellStyle name="Normal" xfId="0" builtinId="0"/>
    <cellStyle name="Normal 2" xfId="4"/>
    <cellStyle name="Normal 3" xfId="5"/>
    <cellStyle name="Porcentaje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SAF%2022%20-%20PLANIFICACION/PAC%202022/1RO%202022/Detalle%20Relevamiento%20de%20Hardware%20Ministerio%20de%20Trabajo%20y%20RRHH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2021/COMPRAS/DIRECTA%20ART.%20150/3-BIDONES%20DE%20AGUA/3%20-%20NP%20-APG%20-%20SAF%20022-BIDONES%20DE%20AGU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1">
          <cell r="K1" t="str">
            <v>003/2021</v>
          </cell>
        </row>
        <row r="8">
          <cell r="D8" t="str">
            <v>Adquisición de Bidones de Agua Mineral para las distintas dependencias de este Ministerio.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abSelected="1" zoomScaleNormal="100" workbookViewId="0">
      <selection activeCell="C5" sqref="C5:E5"/>
    </sheetView>
  </sheetViews>
  <sheetFormatPr baseColWidth="10" defaultColWidth="11" defaultRowHeight="12.75" x14ac:dyDescent="0.2"/>
  <cols>
    <col min="1" max="1" width="4.5703125" style="1" customWidth="1"/>
    <col min="2" max="2" width="17.42578125" style="1" customWidth="1"/>
    <col min="3" max="3" width="16.7109375" style="1" customWidth="1"/>
    <col min="4" max="4" width="8.42578125" style="1" customWidth="1"/>
    <col min="5" max="5" width="81.85546875" style="1" customWidth="1"/>
    <col min="6" max="6" width="11" style="1"/>
    <col min="7" max="7" width="10.2851562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78" t="s">
        <v>0</v>
      </c>
      <c r="C2" s="78"/>
      <c r="D2" s="78"/>
      <c r="E2" s="78"/>
      <c r="F2" s="78"/>
      <c r="G2" s="78"/>
      <c r="H2" s="78"/>
    </row>
    <row r="4" spans="1:9" ht="18" customHeight="1" x14ac:dyDescent="0.25">
      <c r="A4" s="77" t="s">
        <v>1</v>
      </c>
      <c r="B4" s="77"/>
      <c r="C4" s="79" t="s">
        <v>57</v>
      </c>
      <c r="D4" s="79"/>
      <c r="E4" s="79"/>
      <c r="F4" s="2"/>
      <c r="G4" s="3"/>
      <c r="H4" s="2"/>
    </row>
    <row r="5" spans="1:9" ht="34.5" customHeight="1" x14ac:dyDescent="0.25">
      <c r="A5" s="77" t="s">
        <v>2</v>
      </c>
      <c r="B5" s="77"/>
      <c r="C5" s="79" t="s">
        <v>58</v>
      </c>
      <c r="D5" s="79"/>
      <c r="E5" s="79"/>
      <c r="F5" s="2"/>
      <c r="G5" s="3"/>
      <c r="H5" s="2"/>
    </row>
    <row r="6" spans="1:9" ht="16.5" customHeight="1" x14ac:dyDescent="0.25">
      <c r="A6" s="77" t="s">
        <v>3</v>
      </c>
      <c r="B6" s="77"/>
      <c r="C6" s="4">
        <v>2022</v>
      </c>
      <c r="D6" s="5"/>
      <c r="E6" s="5"/>
      <c r="F6" s="2"/>
      <c r="G6" s="3"/>
      <c r="H6" s="2"/>
    </row>
    <row r="7" spans="1:9" ht="16.5" customHeight="1" x14ac:dyDescent="0.25">
      <c r="A7" s="77" t="s">
        <v>4</v>
      </c>
      <c r="B7" s="77"/>
      <c r="C7" s="4">
        <v>1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6" t="s">
        <v>5</v>
      </c>
      <c r="B9" s="7" t="s">
        <v>6</v>
      </c>
      <c r="C9" s="8" t="s">
        <v>7</v>
      </c>
      <c r="D9" s="8" t="s">
        <v>8</v>
      </c>
      <c r="E9" s="9" t="s">
        <v>9</v>
      </c>
      <c r="F9" s="10" t="s">
        <v>10</v>
      </c>
      <c r="G9" s="11" t="s">
        <v>11</v>
      </c>
      <c r="H9" s="9" t="s">
        <v>12</v>
      </c>
      <c r="I9" s="12" t="s">
        <v>13</v>
      </c>
    </row>
    <row r="10" spans="1:9" ht="44.25" customHeight="1" x14ac:dyDescent="0.2">
      <c r="A10" s="13">
        <v>1</v>
      </c>
      <c r="B10" s="14" t="s">
        <v>14</v>
      </c>
      <c r="C10" s="14" t="s">
        <v>15</v>
      </c>
      <c r="D10" s="14" t="str">
        <f>+LEFT(B10,5)</f>
        <v>2.1.1</v>
      </c>
      <c r="E10" s="15" t="s">
        <v>16</v>
      </c>
      <c r="F10" s="16" t="s">
        <v>17</v>
      </c>
      <c r="G10" s="17">
        <v>920</v>
      </c>
      <c r="H10" s="18">
        <v>500</v>
      </c>
      <c r="I10" s="19">
        <f>G10*H10</f>
        <v>460000</v>
      </c>
    </row>
    <row r="11" spans="1:9" ht="13.5" thickBot="1" x14ac:dyDescent="0.25"/>
    <row r="12" spans="1:9" ht="13.5" thickBot="1" x14ac:dyDescent="0.25">
      <c r="I12" s="20">
        <f>SUM(I10:I11)</f>
        <v>460000</v>
      </c>
    </row>
    <row r="14" spans="1:9" ht="13.5" thickBot="1" x14ac:dyDescent="0.25">
      <c r="A14" s="21"/>
      <c r="B14" s="22"/>
      <c r="C14" s="22"/>
    </row>
    <row r="15" spans="1:9" x14ac:dyDescent="0.2">
      <c r="A15" s="21"/>
      <c r="B15" s="23" t="s">
        <v>18</v>
      </c>
      <c r="C15" s="24"/>
      <c r="D15" s="25"/>
      <c r="E15" s="26"/>
    </row>
    <row r="16" spans="1:9" ht="6" customHeight="1" x14ac:dyDescent="0.2">
      <c r="A16" s="21"/>
      <c r="B16" s="27"/>
      <c r="C16" s="28"/>
      <c r="D16" s="29"/>
      <c r="E16" s="30"/>
    </row>
    <row r="17" spans="1:5" ht="30" customHeight="1" thickBot="1" x14ac:dyDescent="0.25">
      <c r="A17" s="21"/>
      <c r="B17" s="31" t="s">
        <v>19</v>
      </c>
      <c r="C17" s="83" t="s">
        <v>20</v>
      </c>
      <c r="D17" s="83"/>
      <c r="E17" s="84"/>
    </row>
    <row r="18" spans="1:5" ht="13.5" thickBot="1" x14ac:dyDescent="0.25">
      <c r="A18" s="21"/>
      <c r="B18" s="32"/>
      <c r="C18" s="85"/>
      <c r="D18" s="85"/>
      <c r="E18" s="86"/>
    </row>
    <row r="20" spans="1:5" ht="13.5" thickBot="1" x14ac:dyDescent="0.25">
      <c r="B20" s="33"/>
    </row>
    <row r="21" spans="1:5" ht="18" customHeight="1" x14ac:dyDescent="0.2">
      <c r="A21" s="22"/>
      <c r="B21" s="34" t="s">
        <v>21</v>
      </c>
      <c r="C21" s="24"/>
      <c r="D21" s="25"/>
      <c r="E21" s="35"/>
    </row>
    <row r="22" spans="1:5" ht="375.75" customHeight="1" x14ac:dyDescent="0.2">
      <c r="A22" s="22"/>
      <c r="B22" s="27"/>
      <c r="C22" s="87" t="s">
        <v>56</v>
      </c>
      <c r="D22" s="88"/>
      <c r="E22" s="89"/>
    </row>
    <row r="23" spans="1:5" x14ac:dyDescent="0.2">
      <c r="A23" s="22"/>
      <c r="B23" s="27"/>
      <c r="C23" s="82"/>
      <c r="D23" s="82"/>
      <c r="E23" s="82"/>
    </row>
    <row r="24" spans="1:5" x14ac:dyDescent="0.2">
      <c r="A24" s="22"/>
      <c r="B24" s="36" t="s">
        <v>22</v>
      </c>
      <c r="C24" s="37"/>
      <c r="D24" s="38"/>
      <c r="E24" s="39"/>
    </row>
    <row r="25" spans="1:5" ht="12.75" customHeight="1" x14ac:dyDescent="0.2">
      <c r="A25" s="22"/>
      <c r="B25" s="27"/>
      <c r="C25" s="88" t="s">
        <v>23</v>
      </c>
      <c r="D25" s="88"/>
      <c r="E25" s="89"/>
    </row>
    <row r="26" spans="1:5" ht="13.5" thickBot="1" x14ac:dyDescent="0.25">
      <c r="B26" s="40"/>
      <c r="C26" s="41"/>
      <c r="D26" s="41"/>
      <c r="E26" s="42"/>
    </row>
    <row r="27" spans="1:5" ht="13.5" thickBot="1" x14ac:dyDescent="0.25"/>
    <row r="28" spans="1:5" x14ac:dyDescent="0.2">
      <c r="B28" s="43" t="s">
        <v>24</v>
      </c>
      <c r="C28" s="44"/>
      <c r="D28" s="44"/>
      <c r="E28" s="45"/>
    </row>
    <row r="29" spans="1:5" ht="12.75" customHeight="1" x14ac:dyDescent="0.2">
      <c r="B29" s="46"/>
      <c r="C29" s="80" t="s">
        <v>25</v>
      </c>
      <c r="D29" s="80"/>
      <c r="E29" s="81"/>
    </row>
    <row r="30" spans="1:5" x14ac:dyDescent="0.2">
      <c r="B30" s="47" t="s">
        <v>26</v>
      </c>
      <c r="C30" s="29"/>
      <c r="D30" s="29"/>
      <c r="E30" s="30"/>
    </row>
    <row r="31" spans="1:5" x14ac:dyDescent="0.2">
      <c r="B31" s="48"/>
      <c r="C31" s="82"/>
      <c r="D31" s="82"/>
      <c r="E31" s="82"/>
    </row>
    <row r="32" spans="1:5" ht="13.5" thickBot="1" x14ac:dyDescent="0.25">
      <c r="B32" s="49"/>
      <c r="C32" s="41"/>
      <c r="D32" s="41"/>
      <c r="E32" s="42"/>
    </row>
  </sheetData>
  <mergeCells count="14">
    <mergeCell ref="C29:E29"/>
    <mergeCell ref="C31:E31"/>
    <mergeCell ref="A7:B7"/>
    <mergeCell ref="C17:E17"/>
    <mergeCell ref="C18:E18"/>
    <mergeCell ref="C22:E22"/>
    <mergeCell ref="C23:E23"/>
    <mergeCell ref="C25:E25"/>
    <mergeCell ref="A6:B6"/>
    <mergeCell ref="B2:H2"/>
    <mergeCell ref="A4:B4"/>
    <mergeCell ref="C4:E4"/>
    <mergeCell ref="A5:B5"/>
    <mergeCell ref="C5:E5"/>
  </mergeCells>
  <pageMargins left="0.70866141732283472" right="0.70866141732283472" top="0.74803149606299213" bottom="0.74803149606299213" header="0.51181102362204722" footer="0.51181102362204722"/>
  <pageSetup paperSize="190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opLeftCell="D1" zoomScale="115" zoomScaleNormal="115" workbookViewId="0">
      <selection activeCell="G6" sqref="G6:Q6"/>
    </sheetView>
  </sheetViews>
  <sheetFormatPr baseColWidth="10" defaultColWidth="11" defaultRowHeight="13.5" x14ac:dyDescent="0.25"/>
  <cols>
    <col min="1" max="5" width="4.42578125" style="52" customWidth="1"/>
    <col min="6" max="6" width="5.85546875" style="52" customWidth="1"/>
    <col min="7" max="7" width="4.42578125" style="53" customWidth="1"/>
    <col min="8" max="14" width="4.42578125" style="52" customWidth="1"/>
    <col min="15" max="16" width="14.85546875" style="52" customWidth="1"/>
    <col min="17" max="17" width="14.7109375" style="52" customWidth="1"/>
    <col min="18" max="16384" width="11" style="52"/>
  </cols>
  <sheetData>
    <row r="1" spans="1:17" ht="15.75" customHeight="1" thickBot="1" x14ac:dyDescent="0.3">
      <c r="A1" s="98" t="s">
        <v>3</v>
      </c>
      <c r="B1" s="98"/>
      <c r="C1" s="98"/>
      <c r="D1" s="99">
        <v>2022</v>
      </c>
      <c r="E1" s="99"/>
      <c r="F1" s="50"/>
      <c r="G1" s="50"/>
      <c r="H1" s="51"/>
      <c r="I1" s="51"/>
      <c r="J1" s="51"/>
      <c r="K1" s="51"/>
      <c r="L1" s="51"/>
      <c r="M1" s="51"/>
      <c r="N1" s="51"/>
      <c r="P1" s="100" t="s">
        <v>27</v>
      </c>
      <c r="Q1" s="100"/>
    </row>
    <row r="2" spans="1:17" ht="15.75" customHeight="1" thickBot="1" x14ac:dyDescent="0.3">
      <c r="H2" s="51"/>
      <c r="I2" s="51"/>
      <c r="J2" s="51"/>
      <c r="K2" s="51"/>
      <c r="L2" s="51"/>
      <c r="M2" s="51"/>
      <c r="N2" s="51"/>
      <c r="P2" s="100"/>
      <c r="Q2" s="100"/>
    </row>
    <row r="4" spans="1:17" ht="18" customHeight="1" thickBot="1" x14ac:dyDescent="0.35">
      <c r="A4" s="101" t="s">
        <v>28</v>
      </c>
      <c r="B4" s="101"/>
      <c r="C4" s="101"/>
      <c r="D4" s="101"/>
      <c r="E4" s="101"/>
      <c r="F4" s="101"/>
      <c r="G4" s="102" t="s">
        <v>57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ht="20.25" customHeight="1" thickBot="1" x14ac:dyDescent="0.35">
      <c r="A5" s="104" t="s">
        <v>29</v>
      </c>
      <c r="B5" s="105"/>
      <c r="C5" s="105"/>
      <c r="D5" s="105"/>
      <c r="E5" s="105"/>
      <c r="F5" s="106"/>
      <c r="G5" s="102" t="s">
        <v>58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ht="18" customHeight="1" thickBot="1" x14ac:dyDescent="0.35">
      <c r="A6" s="104" t="s">
        <v>30</v>
      </c>
      <c r="B6" s="105"/>
      <c r="C6" s="105"/>
      <c r="D6" s="105"/>
      <c r="E6" s="105"/>
      <c r="F6" s="106"/>
      <c r="G6" s="102" t="s">
        <v>59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ht="18" customHeight="1" thickBot="1" x14ac:dyDescent="0.35">
      <c r="A7" s="104" t="s">
        <v>31</v>
      </c>
      <c r="B7" s="105"/>
      <c r="C7" s="105"/>
      <c r="D7" s="105"/>
      <c r="E7" s="105"/>
      <c r="F7" s="106"/>
      <c r="G7" s="102" t="str">
        <f>+G6</f>
        <v>Ministerio de Trabajo, Planificacion y Reursos Humanos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17" ht="18" customHeight="1" thickBot="1" x14ac:dyDescent="0.3">
      <c r="A8" s="107" t="s">
        <v>32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3">
      <c r="A9" s="108" t="s">
        <v>33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54"/>
      <c r="P9" s="54"/>
      <c r="Q9" s="55"/>
    </row>
    <row r="10" spans="1:17" ht="65.25" customHeight="1" x14ac:dyDescent="0.25">
      <c r="A10" s="109" t="s">
        <v>55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thickBot="1" x14ac:dyDescent="0.3">
      <c r="A11" s="56"/>
      <c r="B11" s="57"/>
      <c r="C11" s="57"/>
      <c r="D11" s="57"/>
      <c r="E11" s="57"/>
      <c r="F11" s="57"/>
      <c r="G11" s="58"/>
      <c r="H11" s="57"/>
      <c r="I11" s="57"/>
      <c r="J11" s="57"/>
      <c r="K11" s="57"/>
      <c r="L11" s="57"/>
      <c r="M11" s="57"/>
      <c r="N11" s="57"/>
      <c r="O11" s="57"/>
      <c r="P11" s="57"/>
      <c r="Q11" s="59"/>
    </row>
    <row r="12" spans="1:17" ht="15.75" customHeight="1" thickBot="1" x14ac:dyDescent="0.3">
      <c r="A12" s="110" t="s">
        <v>34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thickBot="1" x14ac:dyDescent="0.3">
      <c r="A13" s="111" t="s">
        <v>35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36</v>
      </c>
      <c r="P13" s="112"/>
      <c r="Q13" s="91" t="s">
        <v>37</v>
      </c>
    </row>
    <row r="14" spans="1:17" ht="15.75" customHeight="1" thickBot="1" x14ac:dyDescent="0.3">
      <c r="A14" s="60" t="s">
        <v>38</v>
      </c>
      <c r="B14" s="61" t="s">
        <v>39</v>
      </c>
      <c r="C14" s="61" t="s">
        <v>40</v>
      </c>
      <c r="D14" s="61" t="s">
        <v>41</v>
      </c>
      <c r="E14" s="61" t="s">
        <v>42</v>
      </c>
      <c r="F14" s="61" t="s">
        <v>43</v>
      </c>
      <c r="G14" s="62" t="s">
        <v>44</v>
      </c>
      <c r="H14" s="61" t="s">
        <v>45</v>
      </c>
      <c r="I14" s="61" t="s">
        <v>46</v>
      </c>
      <c r="J14" s="61" t="s">
        <v>47</v>
      </c>
      <c r="K14" s="61" t="s">
        <v>47</v>
      </c>
      <c r="L14" s="61" t="s">
        <v>48</v>
      </c>
      <c r="M14" s="63" t="s">
        <v>49</v>
      </c>
      <c r="N14" s="64" t="s">
        <v>50</v>
      </c>
      <c r="O14" s="112"/>
      <c r="P14" s="112"/>
      <c r="Q14" s="91"/>
    </row>
    <row r="15" spans="1:17" ht="15.75" customHeight="1" thickBot="1" x14ac:dyDescent="0.3">
      <c r="A15" s="66">
        <v>1</v>
      </c>
      <c r="B15" s="67">
        <v>0</v>
      </c>
      <c r="C15" s="67">
        <v>0</v>
      </c>
      <c r="D15" s="67">
        <v>1</v>
      </c>
      <c r="E15" s="67">
        <v>0</v>
      </c>
      <c r="F15" s="67">
        <v>4901</v>
      </c>
      <c r="G15" s="67">
        <v>3</v>
      </c>
      <c r="H15" s="67">
        <v>6</v>
      </c>
      <c r="I15" s="67">
        <v>2</v>
      </c>
      <c r="J15" s="67">
        <v>1</v>
      </c>
      <c r="K15" s="67">
        <v>1</v>
      </c>
      <c r="L15" s="67">
        <v>0</v>
      </c>
      <c r="M15" s="67">
        <v>1</v>
      </c>
      <c r="N15" s="67" t="s">
        <v>51</v>
      </c>
      <c r="O15" s="103" t="s">
        <v>52</v>
      </c>
      <c r="P15" s="103"/>
      <c r="Q15" s="68">
        <v>250000</v>
      </c>
    </row>
    <row r="16" spans="1:17" ht="15.75" customHeight="1" thickBot="1" x14ac:dyDescent="0.3">
      <c r="A16" s="69">
        <v>3</v>
      </c>
      <c r="B16" s="70">
        <v>0</v>
      </c>
      <c r="C16" s="70">
        <v>0</v>
      </c>
      <c r="D16" s="70">
        <v>1</v>
      </c>
      <c r="E16" s="70">
        <v>0</v>
      </c>
      <c r="F16" s="70">
        <v>4901</v>
      </c>
      <c r="G16" s="70">
        <v>1</v>
      </c>
      <c r="H16" s="70">
        <v>3</v>
      </c>
      <c r="I16" s="70">
        <v>2</v>
      </c>
      <c r="J16" s="70">
        <v>1</v>
      </c>
      <c r="K16" s="70">
        <v>1</v>
      </c>
      <c r="L16" s="70">
        <v>0</v>
      </c>
      <c r="M16" s="70">
        <v>1</v>
      </c>
      <c r="N16" s="70" t="s">
        <v>51</v>
      </c>
      <c r="O16" s="103" t="s">
        <v>52</v>
      </c>
      <c r="P16" s="103"/>
      <c r="Q16" s="71">
        <v>100000</v>
      </c>
    </row>
    <row r="17" spans="1:17" ht="15.75" customHeight="1" thickBot="1" x14ac:dyDescent="0.3">
      <c r="A17" s="69">
        <v>4</v>
      </c>
      <c r="B17" s="70">
        <v>0</v>
      </c>
      <c r="C17" s="70">
        <v>0</v>
      </c>
      <c r="D17" s="70">
        <v>1</v>
      </c>
      <c r="E17" s="70">
        <v>0</v>
      </c>
      <c r="F17" s="70">
        <v>4901</v>
      </c>
      <c r="G17" s="70">
        <v>3</v>
      </c>
      <c r="H17" s="70">
        <v>4</v>
      </c>
      <c r="I17" s="70">
        <v>2</v>
      </c>
      <c r="J17" s="70">
        <v>1</v>
      </c>
      <c r="K17" s="70">
        <v>1</v>
      </c>
      <c r="L17" s="70">
        <v>0</v>
      </c>
      <c r="M17" s="70">
        <v>1</v>
      </c>
      <c r="N17" s="70" t="s">
        <v>51</v>
      </c>
      <c r="O17" s="103" t="s">
        <v>52</v>
      </c>
      <c r="P17" s="103"/>
      <c r="Q17" s="72">
        <v>95000</v>
      </c>
    </row>
    <row r="18" spans="1:17" s="75" customFormat="1" ht="17.25" customHeight="1" thickBot="1" x14ac:dyDescent="0.25">
      <c r="A18" s="73">
        <v>6</v>
      </c>
      <c r="B18" s="74">
        <v>0</v>
      </c>
      <c r="C18" s="74">
        <v>0</v>
      </c>
      <c r="D18" s="74">
        <v>1</v>
      </c>
      <c r="E18" s="74">
        <v>0</v>
      </c>
      <c r="F18" s="74">
        <v>4901</v>
      </c>
      <c r="G18" s="74">
        <v>1</v>
      </c>
      <c r="H18" s="74">
        <v>3</v>
      </c>
      <c r="I18" s="74">
        <v>2</v>
      </c>
      <c r="J18" s="74">
        <v>1</v>
      </c>
      <c r="K18" s="74">
        <v>1</v>
      </c>
      <c r="L18" s="74">
        <v>0</v>
      </c>
      <c r="M18" s="74">
        <v>1</v>
      </c>
      <c r="N18" s="74" t="s">
        <v>51</v>
      </c>
      <c r="O18" s="103" t="s">
        <v>52</v>
      </c>
      <c r="P18" s="103"/>
      <c r="Q18" s="76">
        <v>15000</v>
      </c>
    </row>
    <row r="19" spans="1:17" ht="28.5" customHeight="1" thickBot="1" x14ac:dyDescent="0.3">
      <c r="A19" s="92" t="s">
        <v>54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65">
        <f>SUM(Q15:Q18)</f>
        <v>460000</v>
      </c>
    </row>
    <row r="20" spans="1:17" ht="18" customHeight="1" thickBot="1" x14ac:dyDescent="0.3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</row>
    <row r="21" spans="1:17" ht="17.25" customHeight="1" thickBot="1" x14ac:dyDescent="0.3">
      <c r="A21" s="94" t="s">
        <v>53</v>
      </c>
      <c r="B21" s="95"/>
      <c r="C21" s="95"/>
      <c r="D21" s="95"/>
      <c r="E21" s="95"/>
      <c r="F21" s="96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</row>
    <row r="22" spans="1:17" ht="18" customHeight="1" thickBot="1" x14ac:dyDescent="0.3">
      <c r="A22" s="90" t="str">
        <f>'[2] NotaPedido'!D8</f>
        <v>Adquisición de Bidones de Agua Mineral para las distintas dependencias de este Ministerio.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</row>
    <row r="23" spans="1:17" ht="15" customHeight="1" thickBot="1" x14ac:dyDescent="0.3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</row>
  </sheetData>
  <mergeCells count="27">
    <mergeCell ref="A5:F5"/>
    <mergeCell ref="G5:Q5"/>
    <mergeCell ref="O17:P17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A1:C1"/>
    <mergeCell ref="D1:E1"/>
    <mergeCell ref="P1:Q2"/>
    <mergeCell ref="A4:F4"/>
    <mergeCell ref="G4:Q4"/>
    <mergeCell ref="A22:Q23"/>
    <mergeCell ref="Q13:Q14"/>
    <mergeCell ref="A19:P19"/>
    <mergeCell ref="A20:Q20"/>
    <mergeCell ref="A21:F21"/>
    <mergeCell ref="G21:Q21"/>
    <mergeCell ref="O18:P18"/>
    <mergeCell ref="O16:P16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BIDONES DE AGUA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compras_rrhh@autolock.com</dc:creator>
  <cp:lastModifiedBy>compras_rrhh@autolock.com</cp:lastModifiedBy>
  <dcterms:created xsi:type="dcterms:W3CDTF">2022-02-08T12:45:38Z</dcterms:created>
  <dcterms:modified xsi:type="dcterms:W3CDTF">2022-02-10T13:20:35Z</dcterms:modified>
</cp:coreProperties>
</file>