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673193C5-6D14-41C3-9B28-146F51D708B1}" xr6:coauthVersionLast="46" xr6:coauthVersionMax="46" xr10:uidLastSave="{00000000-0000-0000-0000-000000000000}"/>
  <bookViews>
    <workbookView xWindow="-120" yWindow="-120" windowWidth="29040" windowHeight="15840" xr2:uid="{A14E8E2B-200D-41E6-8977-FB2DEBA43674}"/>
  </bookViews>
  <sheets>
    <sheet name="MINISTERIO DE SALUD" sheetId="1" r:id="rId1"/>
  </sheets>
  <definedNames>
    <definedName name="_xlnm._FilterDatabase" localSheetId="0" hidden="1">'MINISTERIO DE SALUD'!$A$10:$AS$10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1" i="1" l="1"/>
  <c r="AQ11" i="1"/>
  <c r="AS11" i="1" s="1"/>
  <c r="T12" i="1"/>
  <c r="T22" i="1" s="1"/>
  <c r="V12" i="1"/>
  <c r="V22" i="1" s="1"/>
  <c r="AQ12" i="1"/>
  <c r="AS12" i="1" s="1"/>
  <c r="R13" i="1"/>
  <c r="AS13" i="1"/>
  <c r="R14" i="1"/>
  <c r="R22" i="1" s="1"/>
  <c r="AS14" i="1"/>
  <c r="R15" i="1"/>
  <c r="AS15" i="1"/>
  <c r="R16" i="1"/>
  <c r="AS16" i="1"/>
  <c r="R17" i="1"/>
  <c r="AS17" i="1"/>
  <c r="R18" i="1"/>
  <c r="AS18" i="1"/>
  <c r="R19" i="1"/>
  <c r="AS19" i="1"/>
  <c r="R20" i="1"/>
  <c r="AS20" i="1"/>
  <c r="R21" i="1"/>
  <c r="AS21" i="1"/>
  <c r="AS22" i="1" l="1"/>
</calcChain>
</file>

<file path=xl/sharedStrings.xml><?xml version="1.0" encoding="utf-8"?>
<sst xmlns="http://schemas.openxmlformats.org/spreadsheetml/2006/main" count="109" uniqueCount="79">
  <si>
    <t>cuarenta y cinco (45) días</t>
  </si>
  <si>
    <t>Mantenimiento</t>
  </si>
  <si>
    <t>Calidad Minima esperada</t>
  </si>
  <si>
    <t>DIR. PROV. DE FARMACIA E INSUMOS - CHACABUCO N° 169 - en el horario de 8:00hs a 12:00hs de lunes a viernes</t>
  </si>
  <si>
    <t>Lugar de Entrega:</t>
  </si>
  <si>
    <t>veinte (20) dias habiles</t>
  </si>
  <si>
    <t>Plazos de entrega</t>
  </si>
  <si>
    <t>Descripción técnica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</si>
  <si>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</si>
  <si>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 xml:space="preserve">Especificidades </t>
  </si>
  <si>
    <t>TOTAL</t>
  </si>
  <si>
    <t>UNIDAD</t>
  </si>
  <si>
    <t>NITROFURAZONA X 1 LITRO</t>
  </si>
  <si>
    <t>2.5.2</t>
  </si>
  <si>
    <t>ANTISEPTICO/DESINFECTANTE</t>
  </si>
  <si>
    <t>GLUTARALDEHIDO 2% CON SURFACTANTE BIDON X 4 LITROS</t>
  </si>
  <si>
    <t>CLORHEXIDINA 2% HIDROALCOHOLICA X 250 ML</t>
  </si>
  <si>
    <t>AMONIO CUATERNARIO X 5 LITROS TIPO SURFANIOS</t>
  </si>
  <si>
    <t>ALCOHOL IODADO AL  2% X 1 LITRO</t>
  </si>
  <si>
    <t>ALCOHOL EN GEL X 500 ML.</t>
  </si>
  <si>
    <t>ALCOHOL EN GEL X 250 ML</t>
  </si>
  <si>
    <t>ALCOHOL EN GEL X 1 LITRO</t>
  </si>
  <si>
    <t>ALCOHOL 70 % X 1000 ML</t>
  </si>
  <si>
    <t>AGUA OXIGENADA MEDICINAL DE 10 VOLUMENES X 1 LITRO</t>
  </si>
  <si>
    <t>IODOPOVIDONA 10%SOLUCION X 1 LITRO CON VALVULA ATOMIZADORA</t>
  </si>
  <si>
    <t xml:space="preserve">IMPORTE TOTAL ESTIMADO </t>
  </si>
  <si>
    <t>PRECIO UNITARIO ESTIMADO</t>
  </si>
  <si>
    <t>CANTIDAD TOTAL</t>
  </si>
  <si>
    <t>TOTAL DPAS</t>
  </si>
  <si>
    <t>AREAS Y DPAS</t>
  </si>
  <si>
    <t>TOTAL SALUD MENTAL</t>
  </si>
  <si>
    <t>SALUD MENTAL</t>
  </si>
  <si>
    <t>TOTAL PLANIFICA</t>
  </si>
  <si>
    <t>PLANIFICACION</t>
  </si>
  <si>
    <t>TOTAL CUR</t>
  </si>
  <si>
    <t>CUR</t>
  </si>
  <si>
    <t xml:space="preserve">TOTAL SUMAR </t>
  </si>
  <si>
    <t>SUMAR</t>
  </si>
  <si>
    <t>TOTAL DE VECT Y ZOON</t>
  </si>
  <si>
    <t>VECTORES Y ZOONOSIS</t>
  </si>
  <si>
    <t>TOTAL SALUD Y MEDIO AMBIENTE</t>
  </si>
  <si>
    <t>SALUD Y MEDIO AMBIENTE</t>
  </si>
  <si>
    <t>TOTAL SEC EN ASIS EN SAL</t>
  </si>
  <si>
    <t>SEC DE ASIST EN SALUD PUB</t>
  </si>
  <si>
    <t xml:space="preserve">total maternidad </t>
  </si>
  <si>
    <t>maternidade e infancia</t>
  </si>
  <si>
    <t>HOSPITAL MALBRAN</t>
  </si>
  <si>
    <t>MALBRAN</t>
  </si>
  <si>
    <t>TOTAL DE SAME</t>
  </si>
  <si>
    <t>SAME</t>
  </si>
  <si>
    <t>TOTAL DE ODONTOLOG</t>
  </si>
  <si>
    <t>ODONTOLOGIA</t>
  </si>
  <si>
    <t>TOTAL FARMACIA</t>
  </si>
  <si>
    <t>FARMACIA</t>
  </si>
  <si>
    <t>TOTAL DE DIR DE CANCER</t>
  </si>
  <si>
    <t xml:space="preserve">DIR DE CANCER </t>
  </si>
  <si>
    <t>TOTAL ATENCION PRI</t>
  </si>
  <si>
    <t>ATENCION PRIMARIA</t>
  </si>
  <si>
    <t xml:space="preserve">TOTAL BANCO DE SANGRE </t>
  </si>
  <si>
    <t xml:space="preserve">BCO DE SANGRE </t>
  </si>
  <si>
    <t>TOTAL DE LAB CENTRAL</t>
  </si>
  <si>
    <t>DIR. LAB. CENTRAL</t>
  </si>
  <si>
    <t>TOTAL DIR DE ADM</t>
  </si>
  <si>
    <t>DIR. ADM.</t>
  </si>
  <si>
    <t>UNIDAD DE MEDIDA</t>
  </si>
  <si>
    <t>DESCRIPCION</t>
  </si>
  <si>
    <t xml:space="preserve">I.P.P. </t>
  </si>
  <si>
    <t>RUBRO DE COMPRA</t>
  </si>
  <si>
    <t>CODIGO ITEM</t>
  </si>
  <si>
    <t>ID</t>
  </si>
  <si>
    <t>SEGUNDO TRIMESTRE</t>
  </si>
  <si>
    <t>TRIMESTRE:</t>
  </si>
  <si>
    <t>EJERCICIO:</t>
  </si>
  <si>
    <t>11 - DIR. PROV DE ADMINISTRACION - MINISTERIO DE SALUD</t>
  </si>
  <si>
    <t xml:space="preserve">SAF N°: </t>
  </si>
  <si>
    <t>40 - MINISTERIO DE SALUD</t>
  </si>
  <si>
    <t>JURISDICCION:</t>
  </si>
  <si>
    <t>Pedido de Necesidades Trimestrales</t>
  </si>
  <si>
    <t>NO-2021-00280259-CAT-DPA#MS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</si>
</sst>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&quot;$&quot;\ #,##0.00"/>
    <numFmt numFmtId="166" formatCode="[$$-2C0A]\ 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color rgb="FF000000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0"/>
      <name val="Times New Roman"/>
      <family val="1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6" fillId="0" borderId="0"/>
    <xf numFmtId="0" fontId="1" fillId="0" borderId="0"/>
  </cellStyleXfs>
  <cellXfs count="76">
    <xf numFmtId="0" fontId="0" fillId="0" borderId="0" xfId="0"/>
    <xf numFmtId="164" fontId="2" fillId="0" borderId="0" xfId="0" applyNumberFormat="1" applyFont="1" applyAlignment="1">
      <alignment vertical="center"/>
    </xf>
    <xf numFmtId="165" fontId="3" fillId="0" borderId="0" xfId="1" applyNumberFormat="1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5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4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6" fillId="2" borderId="1" xfId="2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0" fontId="6" fillId="2" borderId="1" xfId="0" applyFont="1" applyFill="1" applyBorder="1" applyAlignment="1">
      <alignment vertical="center"/>
    </xf>
    <xf numFmtId="165" fontId="0" fillId="2" borderId="1" xfId="0" applyNumberForma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3" fontId="3" fillId="2" borderId="1" xfId="2" applyNumberFormat="1" applyFont="1" applyFill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/>
    </xf>
    <xf numFmtId="0" fontId="9" fillId="2" borderId="1" xfId="3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vertical="center" wrapText="1"/>
    </xf>
    <xf numFmtId="165" fontId="3" fillId="2" borderId="1" xfId="1" applyNumberFormat="1" applyFont="1" applyFill="1" applyBorder="1" applyAlignment="1">
      <alignment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3" fontId="10" fillId="0" borderId="0" xfId="0" applyNumberFormat="1" applyFont="1" applyAlignment="1">
      <alignment horizontal="center" wrapText="1"/>
    </xf>
    <xf numFmtId="1" fontId="10" fillId="0" borderId="0" xfId="0" applyNumberFormat="1" applyFont="1" applyAlignment="1">
      <alignment horizontal="center" wrapText="1"/>
    </xf>
    <xf numFmtId="165" fontId="10" fillId="0" borderId="0" xfId="0" applyNumberFormat="1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3" fontId="3" fillId="3" borderId="1" xfId="0" applyNumberFormat="1" applyFont="1" applyFill="1" applyBorder="1" applyAlignment="1">
      <alignment horizontal="center" vertical="center" wrapText="1"/>
    </xf>
    <xf numFmtId="0" fontId="16" fillId="0" borderId="0" xfId="0" applyFont="1"/>
  </cellXfs>
  <cellStyles count="4">
    <cellStyle name="Moneda" xfId="1" builtinId="4"/>
    <cellStyle name="Normal" xfId="0" builtinId="0"/>
    <cellStyle name="Normal 2 2" xfId="2" xr:uid="{DCCC0B70-4D4D-430D-86C8-F28D87496189}"/>
    <cellStyle name="Normal 5" xfId="3" xr:uid="{06BB9E42-C529-4C5E-809F-DCDECBE18FB7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39</xdr:row>
      <xdr:rowOff>0</xdr:rowOff>
    </xdr:from>
    <xdr:ext cx="11809524" cy="16714286"/>
    <xdr:pic>
      <xdr:nvPicPr>
        <xdr:cNvPr id="2" name="Imagen 1">
          <a:extLst>
            <a:ext uri="{FF2B5EF4-FFF2-40B4-BE49-F238E27FC236}">
              <a16:creationId xmlns:a16="http://schemas.microsoft.com/office/drawing/2014/main" id="{1F41CD69-026B-4485-995E-D2A954B49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429500"/>
          <a:ext cx="11809524" cy="1671428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0</xdr:rowOff>
    </xdr:from>
    <xdr:ext cx="11809524" cy="16714286"/>
    <xdr:pic>
      <xdr:nvPicPr>
        <xdr:cNvPr id="3" name="Imagen 2">
          <a:extLst>
            <a:ext uri="{FF2B5EF4-FFF2-40B4-BE49-F238E27FC236}">
              <a16:creationId xmlns:a16="http://schemas.microsoft.com/office/drawing/2014/main" id="{E208B064-2705-4B20-9AA1-393E9CEC3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25336500"/>
          <a:ext cx="11809524" cy="1671428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223</xdr:row>
      <xdr:rowOff>0</xdr:rowOff>
    </xdr:from>
    <xdr:ext cx="11809524" cy="16714286"/>
    <xdr:pic>
      <xdr:nvPicPr>
        <xdr:cNvPr id="4" name="Imagen 3">
          <a:extLst>
            <a:ext uri="{FF2B5EF4-FFF2-40B4-BE49-F238E27FC236}">
              <a16:creationId xmlns:a16="http://schemas.microsoft.com/office/drawing/2014/main" id="{81A895A4-1DD7-46A9-9AB0-B521D1BE3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42481500"/>
          <a:ext cx="11809524" cy="1671428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77119-9376-4868-A615-6368801CD72B}">
  <dimension ref="A1:AS39"/>
  <sheetViews>
    <sheetView tabSelected="1" workbookViewId="0">
      <selection activeCell="AQ13" sqref="AQ13:AQ21"/>
    </sheetView>
  </sheetViews>
  <sheetFormatPr baseColWidth="10" defaultRowHeight="15" x14ac:dyDescent="0.25"/>
  <cols>
    <col min="1" max="1" width="6.42578125" customWidth="1"/>
    <col min="2" max="2" width="16" customWidth="1"/>
    <col min="3" max="3" width="36.28515625" customWidth="1"/>
    <col min="4" max="4" width="8.42578125" customWidth="1"/>
    <col min="5" max="5" width="49.7109375" customWidth="1"/>
    <col min="6" max="6" width="16.42578125" customWidth="1"/>
    <col min="7" max="16" width="0" hidden="1" customWidth="1"/>
    <col min="17" max="17" width="18.85546875" customWidth="1"/>
    <col min="18" max="18" width="0" hidden="1" customWidth="1"/>
    <col min="19" max="19" width="18.85546875" customWidth="1"/>
    <col min="20" max="20" width="0" hidden="1" customWidth="1"/>
    <col min="21" max="21" width="18.85546875" customWidth="1"/>
    <col min="22" max="42" width="0" hidden="1" customWidth="1"/>
    <col min="43" max="43" width="16.42578125" customWidth="1"/>
    <col min="44" max="44" width="24.5703125" customWidth="1"/>
    <col min="45" max="45" width="22.5703125" customWidth="1"/>
  </cols>
  <sheetData>
    <row r="1" spans="1:45" ht="23.25" x14ac:dyDescent="0.35">
      <c r="A1" s="75" t="s">
        <v>78</v>
      </c>
    </row>
    <row r="2" spans="1:45" x14ac:dyDescent="0.25">
      <c r="A2" s="74">
        <v>2021</v>
      </c>
      <c r="B2" s="10"/>
      <c r="C2" s="9"/>
      <c r="D2" s="4"/>
      <c r="E2" s="8"/>
      <c r="F2" s="4"/>
      <c r="G2" s="4"/>
      <c r="H2" s="4"/>
      <c r="I2" s="4"/>
      <c r="J2" s="4"/>
      <c r="K2" s="6"/>
      <c r="L2" s="7"/>
      <c r="M2" s="5"/>
      <c r="N2" s="4"/>
      <c r="O2" s="6"/>
      <c r="P2" s="4"/>
      <c r="Q2" s="5"/>
      <c r="R2" s="4"/>
      <c r="S2" s="6"/>
      <c r="T2" s="4"/>
      <c r="U2" s="5"/>
      <c r="V2" s="4"/>
      <c r="W2" s="5"/>
      <c r="X2" s="4"/>
      <c r="Y2" s="5"/>
      <c r="Z2" s="4"/>
      <c r="AA2" s="5"/>
      <c r="AB2" s="4"/>
      <c r="AC2" s="5"/>
      <c r="AD2" s="4"/>
      <c r="AE2" s="5"/>
      <c r="AF2" s="4"/>
      <c r="AG2" s="5"/>
      <c r="AH2" s="4"/>
      <c r="AI2" s="5"/>
      <c r="AJ2" s="4"/>
      <c r="AK2" s="5"/>
      <c r="AL2" s="4"/>
      <c r="AM2" s="5"/>
      <c r="AN2" s="4"/>
      <c r="AO2" s="5"/>
      <c r="AP2" s="4"/>
      <c r="AQ2" s="3"/>
      <c r="AR2" s="2"/>
      <c r="AS2" s="1"/>
    </row>
    <row r="3" spans="1:45" ht="25.5" x14ac:dyDescent="0.35">
      <c r="A3" s="9"/>
      <c r="B3" s="73" t="s">
        <v>77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2"/>
      <c r="AR3" s="71"/>
      <c r="AS3" s="1"/>
    </row>
    <row r="4" spans="1:45" x14ac:dyDescent="0.25">
      <c r="A4" s="9"/>
      <c r="B4" s="10"/>
      <c r="C4" s="9"/>
      <c r="D4" s="4"/>
      <c r="E4" s="8"/>
      <c r="F4" s="4"/>
      <c r="G4" s="4"/>
      <c r="H4" s="4"/>
      <c r="I4" s="4"/>
      <c r="J4" s="4"/>
      <c r="K4" s="6"/>
      <c r="L4" s="7"/>
      <c r="M4" s="5"/>
      <c r="N4" s="4"/>
      <c r="O4" s="6"/>
      <c r="P4" s="4"/>
      <c r="Q4" s="5"/>
      <c r="R4" s="4"/>
      <c r="S4" s="6"/>
      <c r="T4" s="4"/>
      <c r="U4" s="5"/>
      <c r="V4" s="4"/>
      <c r="W4" s="5"/>
      <c r="X4" s="4"/>
      <c r="Y4" s="5"/>
      <c r="Z4" s="4"/>
      <c r="AA4" s="5"/>
      <c r="AB4" s="4"/>
      <c r="AC4" s="5"/>
      <c r="AD4" s="4"/>
      <c r="AE4" s="5"/>
      <c r="AF4" s="4"/>
      <c r="AG4" s="5"/>
      <c r="AH4" s="4"/>
      <c r="AI4" s="5"/>
      <c r="AJ4" s="4"/>
      <c r="AK4" s="5"/>
      <c r="AL4" s="4"/>
      <c r="AM4" s="5"/>
      <c r="AN4" s="4"/>
      <c r="AO4" s="5"/>
      <c r="AP4" s="4"/>
      <c r="AQ4" s="3"/>
      <c r="AR4" s="2"/>
      <c r="AS4" s="1"/>
    </row>
    <row r="5" spans="1:45" ht="15.75" x14ac:dyDescent="0.25">
      <c r="A5" s="69" t="s">
        <v>76</v>
      </c>
      <c r="B5" s="69"/>
      <c r="C5" s="70" t="s">
        <v>75</v>
      </c>
      <c r="D5" s="70"/>
      <c r="E5" s="70"/>
      <c r="F5" s="60"/>
      <c r="G5" s="60"/>
      <c r="H5" s="60"/>
      <c r="I5" s="60"/>
      <c r="J5" s="60"/>
      <c r="K5" s="62"/>
      <c r="L5" s="63"/>
      <c r="M5" s="61"/>
      <c r="N5" s="60"/>
      <c r="O5" s="62"/>
      <c r="P5" s="60"/>
      <c r="Q5" s="61"/>
      <c r="R5" s="60"/>
      <c r="S5" s="62"/>
      <c r="T5" s="60"/>
      <c r="U5" s="61"/>
      <c r="V5" s="60"/>
      <c r="W5" s="61"/>
      <c r="X5" s="60"/>
      <c r="Y5" s="61"/>
      <c r="Z5" s="60"/>
      <c r="AA5" s="61"/>
      <c r="AB5" s="60"/>
      <c r="AC5" s="61"/>
      <c r="AD5" s="60"/>
      <c r="AE5" s="61"/>
      <c r="AF5" s="60"/>
      <c r="AG5" s="61"/>
      <c r="AH5" s="60"/>
      <c r="AI5" s="61"/>
      <c r="AJ5" s="60"/>
      <c r="AK5" s="61"/>
      <c r="AL5" s="60"/>
      <c r="AM5" s="61"/>
      <c r="AN5" s="60"/>
      <c r="AO5" s="61"/>
      <c r="AP5" s="60"/>
      <c r="AQ5" s="59"/>
      <c r="AR5" s="2"/>
      <c r="AS5" s="1"/>
    </row>
    <row r="6" spans="1:45" ht="15.75" x14ac:dyDescent="0.25">
      <c r="A6" s="69" t="s">
        <v>74</v>
      </c>
      <c r="B6" s="69"/>
      <c r="C6" s="70" t="s">
        <v>73</v>
      </c>
      <c r="D6" s="70"/>
      <c r="E6" s="70"/>
      <c r="F6" s="60"/>
      <c r="G6" s="60"/>
      <c r="H6" s="60"/>
      <c r="I6" s="60"/>
      <c r="J6" s="60"/>
      <c r="K6" s="62"/>
      <c r="L6" s="63"/>
      <c r="M6" s="61"/>
      <c r="N6" s="60"/>
      <c r="O6" s="62"/>
      <c r="P6" s="60"/>
      <c r="Q6" s="61"/>
      <c r="R6" s="60"/>
      <c r="S6" s="62"/>
      <c r="T6" s="60"/>
      <c r="U6" s="61"/>
      <c r="V6" s="60"/>
      <c r="W6" s="61"/>
      <c r="X6" s="60"/>
      <c r="Y6" s="61"/>
      <c r="Z6" s="60"/>
      <c r="AA6" s="61"/>
      <c r="AB6" s="60"/>
      <c r="AC6" s="61"/>
      <c r="AD6" s="60"/>
      <c r="AE6" s="61"/>
      <c r="AF6" s="60"/>
      <c r="AG6" s="61"/>
      <c r="AH6" s="60"/>
      <c r="AI6" s="61"/>
      <c r="AJ6" s="60"/>
      <c r="AK6" s="61"/>
      <c r="AL6" s="60"/>
      <c r="AM6" s="61"/>
      <c r="AN6" s="60"/>
      <c r="AO6" s="61"/>
      <c r="AP6" s="60"/>
      <c r="AQ6" s="59"/>
      <c r="AR6" s="2"/>
      <c r="AS6" s="1"/>
    </row>
    <row r="7" spans="1:45" ht="15.75" x14ac:dyDescent="0.25">
      <c r="A7" s="69" t="s">
        <v>72</v>
      </c>
      <c r="B7" s="69"/>
      <c r="C7" s="68">
        <v>2021</v>
      </c>
      <c r="D7" s="67"/>
      <c r="E7" s="66"/>
      <c r="F7" s="60"/>
      <c r="G7" s="60"/>
      <c r="H7" s="60"/>
      <c r="I7" s="60"/>
      <c r="J7" s="60"/>
      <c r="K7" s="62"/>
      <c r="L7" s="63"/>
      <c r="M7" s="61"/>
      <c r="N7" s="60"/>
      <c r="O7" s="62"/>
      <c r="P7" s="60"/>
      <c r="Q7" s="61"/>
      <c r="R7" s="60"/>
      <c r="S7" s="62"/>
      <c r="T7" s="60"/>
      <c r="U7" s="61"/>
      <c r="V7" s="60"/>
      <c r="W7" s="61"/>
      <c r="X7" s="60"/>
      <c r="Y7" s="61"/>
      <c r="Z7" s="60"/>
      <c r="AA7" s="61"/>
      <c r="AB7" s="60"/>
      <c r="AC7" s="61"/>
      <c r="AD7" s="60"/>
      <c r="AE7" s="61"/>
      <c r="AF7" s="60"/>
      <c r="AG7" s="61"/>
      <c r="AH7" s="60"/>
      <c r="AI7" s="61"/>
      <c r="AJ7" s="60"/>
      <c r="AK7" s="61"/>
      <c r="AL7" s="60"/>
      <c r="AM7" s="61"/>
      <c r="AN7" s="60"/>
      <c r="AO7" s="61"/>
      <c r="AP7" s="60"/>
      <c r="AQ7" s="59"/>
      <c r="AR7" s="2"/>
      <c r="AS7" s="1"/>
    </row>
    <row r="8" spans="1:45" ht="15.75" x14ac:dyDescent="0.25">
      <c r="A8" s="69" t="s">
        <v>71</v>
      </c>
      <c r="B8" s="69"/>
      <c r="C8" s="68" t="s">
        <v>70</v>
      </c>
      <c r="D8" s="67"/>
      <c r="E8" s="66"/>
      <c r="F8" s="60"/>
      <c r="G8" s="60"/>
      <c r="H8" s="60"/>
      <c r="I8" s="60"/>
      <c r="J8" s="60"/>
      <c r="K8" s="62"/>
      <c r="L8" s="63"/>
      <c r="M8" s="61"/>
      <c r="N8" s="60"/>
      <c r="O8" s="62"/>
      <c r="P8" s="60"/>
      <c r="Q8" s="61"/>
      <c r="R8" s="60"/>
      <c r="S8" s="62"/>
      <c r="T8" s="60"/>
      <c r="U8" s="61"/>
      <c r="V8" s="60"/>
      <c r="W8" s="61"/>
      <c r="X8" s="60"/>
      <c r="Y8" s="61"/>
      <c r="Z8" s="60"/>
      <c r="AA8" s="61"/>
      <c r="AB8" s="60"/>
      <c r="AC8" s="61"/>
      <c r="AD8" s="60"/>
      <c r="AE8" s="61"/>
      <c r="AF8" s="60"/>
      <c r="AG8" s="61"/>
      <c r="AH8" s="60"/>
      <c r="AI8" s="61"/>
      <c r="AJ8" s="60"/>
      <c r="AK8" s="61"/>
      <c r="AL8" s="60"/>
      <c r="AM8" s="61"/>
      <c r="AN8" s="60"/>
      <c r="AO8" s="61"/>
      <c r="AP8" s="60"/>
      <c r="AQ8" s="59"/>
      <c r="AR8" s="2"/>
      <c r="AS8" s="1"/>
    </row>
    <row r="9" spans="1:45" x14ac:dyDescent="0.25">
      <c r="A9" s="9"/>
      <c r="B9" s="65"/>
      <c r="C9" s="64"/>
      <c r="D9" s="60"/>
      <c r="E9" s="64"/>
      <c r="F9" s="60"/>
      <c r="G9" s="60"/>
      <c r="H9" s="60"/>
      <c r="I9" s="60"/>
      <c r="J9" s="60"/>
      <c r="K9" s="62"/>
      <c r="L9" s="63"/>
      <c r="M9" s="61"/>
      <c r="N9" s="60"/>
      <c r="O9" s="62"/>
      <c r="P9" s="60"/>
      <c r="Q9" s="61"/>
      <c r="R9" s="60"/>
      <c r="S9" s="62"/>
      <c r="T9" s="60"/>
      <c r="U9" s="61"/>
      <c r="V9" s="60"/>
      <c r="W9" s="61"/>
      <c r="X9" s="60"/>
      <c r="Y9" s="61"/>
      <c r="Z9" s="60"/>
      <c r="AA9" s="61"/>
      <c r="AB9" s="60"/>
      <c r="AC9" s="61"/>
      <c r="AD9" s="60"/>
      <c r="AE9" s="61"/>
      <c r="AF9" s="60"/>
      <c r="AG9" s="61"/>
      <c r="AH9" s="60"/>
      <c r="AI9" s="61"/>
      <c r="AJ9" s="60"/>
      <c r="AK9" s="61"/>
      <c r="AL9" s="60"/>
      <c r="AM9" s="61"/>
      <c r="AN9" s="60"/>
      <c r="AO9" s="61"/>
      <c r="AP9" s="60"/>
      <c r="AQ9" s="59"/>
      <c r="AR9" s="2"/>
      <c r="AS9" s="1"/>
    </row>
    <row r="10" spans="1:45" ht="57" x14ac:dyDescent="0.25">
      <c r="A10" s="58" t="s">
        <v>69</v>
      </c>
      <c r="B10" s="58" t="s">
        <v>68</v>
      </c>
      <c r="C10" s="30" t="s">
        <v>67</v>
      </c>
      <c r="D10" s="58" t="s">
        <v>66</v>
      </c>
      <c r="E10" s="30" t="s">
        <v>65</v>
      </c>
      <c r="F10" s="30" t="s">
        <v>64</v>
      </c>
      <c r="G10" s="30" t="s">
        <v>63</v>
      </c>
      <c r="H10" s="30" t="s">
        <v>62</v>
      </c>
      <c r="I10" s="30" t="s">
        <v>61</v>
      </c>
      <c r="J10" s="30" t="s">
        <v>60</v>
      </c>
      <c r="K10" s="56" t="s">
        <v>59</v>
      </c>
      <c r="L10" s="57" t="s">
        <v>58</v>
      </c>
      <c r="M10" s="55" t="s">
        <v>57</v>
      </c>
      <c r="N10" s="30" t="s">
        <v>56</v>
      </c>
      <c r="O10" s="56" t="s">
        <v>55</v>
      </c>
      <c r="P10" s="30" t="s">
        <v>54</v>
      </c>
      <c r="Q10" s="55" t="s">
        <v>53</v>
      </c>
      <c r="R10" s="30" t="s">
        <v>52</v>
      </c>
      <c r="S10" s="56" t="s">
        <v>51</v>
      </c>
      <c r="T10" s="30" t="s">
        <v>50</v>
      </c>
      <c r="U10" s="55" t="s">
        <v>49</v>
      </c>
      <c r="V10" s="30" t="s">
        <v>48</v>
      </c>
      <c r="W10" s="55" t="s">
        <v>47</v>
      </c>
      <c r="X10" s="30" t="s">
        <v>46</v>
      </c>
      <c r="Y10" s="55" t="s">
        <v>45</v>
      </c>
      <c r="Z10" s="30" t="s">
        <v>44</v>
      </c>
      <c r="AA10" s="55" t="s">
        <v>43</v>
      </c>
      <c r="AB10" s="30" t="s">
        <v>42</v>
      </c>
      <c r="AC10" s="55" t="s">
        <v>41</v>
      </c>
      <c r="AD10" s="30" t="s">
        <v>40</v>
      </c>
      <c r="AE10" s="55" t="s">
        <v>39</v>
      </c>
      <c r="AF10" s="30" t="s">
        <v>38</v>
      </c>
      <c r="AG10" s="55" t="s">
        <v>37</v>
      </c>
      <c r="AH10" s="30" t="s">
        <v>36</v>
      </c>
      <c r="AI10" s="55" t="s">
        <v>35</v>
      </c>
      <c r="AJ10" s="30" t="s">
        <v>34</v>
      </c>
      <c r="AK10" s="55" t="s">
        <v>33</v>
      </c>
      <c r="AL10" s="30" t="s">
        <v>32</v>
      </c>
      <c r="AM10" s="55" t="s">
        <v>31</v>
      </c>
      <c r="AN10" s="30" t="s">
        <v>30</v>
      </c>
      <c r="AO10" s="55" t="s">
        <v>29</v>
      </c>
      <c r="AP10" s="30" t="s">
        <v>28</v>
      </c>
      <c r="AQ10" s="55" t="s">
        <v>27</v>
      </c>
      <c r="AR10" s="54" t="s">
        <v>26</v>
      </c>
      <c r="AS10" s="53" t="s">
        <v>25</v>
      </c>
    </row>
    <row r="11" spans="1:45" ht="25.5" x14ac:dyDescent="0.25">
      <c r="A11" s="35">
        <v>1</v>
      </c>
      <c r="B11" s="52"/>
      <c r="C11" s="31" t="s">
        <v>14</v>
      </c>
      <c r="D11" s="30" t="s">
        <v>13</v>
      </c>
      <c r="E11" s="49" t="s">
        <v>24</v>
      </c>
      <c r="F11" s="30" t="s">
        <v>11</v>
      </c>
      <c r="G11" s="45"/>
      <c r="H11" s="45"/>
      <c r="I11" s="45"/>
      <c r="J11" s="45"/>
      <c r="K11" s="46"/>
      <c r="L11" s="47"/>
      <c r="M11" s="43"/>
      <c r="N11" s="45"/>
      <c r="O11" s="46"/>
      <c r="P11" s="45"/>
      <c r="Q11" s="51">
        <v>0</v>
      </c>
      <c r="R11" s="50"/>
      <c r="S11" s="46">
        <v>400</v>
      </c>
      <c r="T11" s="42">
        <f>+S11*AR11</f>
        <v>233880.00000000003</v>
      </c>
      <c r="U11" s="43">
        <v>0</v>
      </c>
      <c r="V11" s="42"/>
      <c r="W11" s="43"/>
      <c r="X11" s="42"/>
      <c r="Y11" s="43"/>
      <c r="Z11" s="42"/>
      <c r="AA11" s="43"/>
      <c r="AB11" s="42"/>
      <c r="AC11" s="43"/>
      <c r="AD11" s="42"/>
      <c r="AE11" s="43"/>
      <c r="AF11" s="42"/>
      <c r="AG11" s="43"/>
      <c r="AH11" s="42"/>
      <c r="AI11" s="43"/>
      <c r="AJ11" s="42"/>
      <c r="AK11" s="43"/>
      <c r="AL11" s="42"/>
      <c r="AM11" s="43"/>
      <c r="AN11" s="42"/>
      <c r="AO11" s="43"/>
      <c r="AP11" s="42"/>
      <c r="AQ11" s="41">
        <f>+AO11+AM11+AK11+AI11+AG11+AE11+AC11+AA11+Y11+W11+U11+S11+Q11+O11+M11+K11+I11+G11</f>
        <v>400</v>
      </c>
      <c r="AR11" s="39">
        <v>584.70000000000005</v>
      </c>
      <c r="AS11" s="39">
        <f>+AR11*AQ11</f>
        <v>233880.00000000003</v>
      </c>
    </row>
    <row r="12" spans="1:45" ht="25.5" x14ac:dyDescent="0.25">
      <c r="A12" s="35">
        <v>2</v>
      </c>
      <c r="B12" s="45"/>
      <c r="C12" s="31" t="s">
        <v>14</v>
      </c>
      <c r="D12" s="30" t="s">
        <v>13</v>
      </c>
      <c r="E12" s="49" t="s">
        <v>23</v>
      </c>
      <c r="F12" s="48" t="s">
        <v>11</v>
      </c>
      <c r="G12" s="45"/>
      <c r="H12" s="45"/>
      <c r="I12" s="45"/>
      <c r="J12" s="45"/>
      <c r="K12" s="46"/>
      <c r="L12" s="47"/>
      <c r="M12" s="43"/>
      <c r="N12" s="45"/>
      <c r="O12" s="46"/>
      <c r="P12" s="45"/>
      <c r="Q12" s="43">
        <v>0</v>
      </c>
      <c r="R12" s="45"/>
      <c r="S12" s="44">
        <v>300</v>
      </c>
      <c r="T12" s="42">
        <f>+S12*AR12</f>
        <v>87750</v>
      </c>
      <c r="U12" s="43">
        <v>100</v>
      </c>
      <c r="V12" s="42">
        <f>+U12*AR12</f>
        <v>29250</v>
      </c>
      <c r="W12" s="43"/>
      <c r="X12" s="42"/>
      <c r="Y12" s="43"/>
      <c r="Z12" s="42"/>
      <c r="AA12" s="43"/>
      <c r="AB12" s="42"/>
      <c r="AC12" s="43"/>
      <c r="AD12" s="42"/>
      <c r="AE12" s="43"/>
      <c r="AF12" s="42"/>
      <c r="AG12" s="43"/>
      <c r="AH12" s="42"/>
      <c r="AI12" s="43"/>
      <c r="AJ12" s="42"/>
      <c r="AK12" s="43"/>
      <c r="AL12" s="42"/>
      <c r="AM12" s="43"/>
      <c r="AN12" s="42"/>
      <c r="AO12" s="43"/>
      <c r="AP12" s="42"/>
      <c r="AQ12" s="41">
        <f>+AO12+AM12+AK12+AI12+AG12+AE12+AC12+AA12+Y12+W12+U12+S12+Q12+O12+M12+K12+I12+G12</f>
        <v>400</v>
      </c>
      <c r="AR12" s="40">
        <v>292.5</v>
      </c>
      <c r="AS12" s="39">
        <f>+AR12*AQ12</f>
        <v>117000</v>
      </c>
    </row>
    <row r="13" spans="1:45" x14ac:dyDescent="0.25">
      <c r="A13" s="33">
        <v>3</v>
      </c>
      <c r="B13" s="32"/>
      <c r="C13" s="31" t="s">
        <v>14</v>
      </c>
      <c r="D13" s="30" t="s">
        <v>13</v>
      </c>
      <c r="E13" s="29" t="s">
        <v>22</v>
      </c>
      <c r="F13" s="25" t="s">
        <v>11</v>
      </c>
      <c r="G13" s="25"/>
      <c r="H13" s="25"/>
      <c r="I13" s="25"/>
      <c r="J13" s="25"/>
      <c r="K13" s="27"/>
      <c r="L13" s="28"/>
      <c r="M13" s="26"/>
      <c r="N13" s="25"/>
      <c r="O13" s="27"/>
      <c r="P13" s="25"/>
      <c r="Q13" s="36">
        <v>10000</v>
      </c>
      <c r="R13" s="28">
        <f>+Q13*AR13</f>
        <v>1130000</v>
      </c>
      <c r="S13" s="27">
        <v>0</v>
      </c>
      <c r="T13" s="25"/>
      <c r="U13" s="26">
        <v>0</v>
      </c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6"/>
      <c r="AJ13" s="25"/>
      <c r="AK13" s="26"/>
      <c r="AL13" s="25"/>
      <c r="AM13" s="26"/>
      <c r="AN13" s="25"/>
      <c r="AO13" s="26"/>
      <c r="AP13" s="25"/>
      <c r="AQ13" s="26">
        <v>0</v>
      </c>
      <c r="AR13" s="24">
        <v>113</v>
      </c>
      <c r="AS13" s="24">
        <f>+AR13*Q13</f>
        <v>1130000</v>
      </c>
    </row>
    <row r="14" spans="1:45" x14ac:dyDescent="0.25">
      <c r="A14" s="35">
        <v>4</v>
      </c>
      <c r="B14" s="32"/>
      <c r="C14" s="31" t="s">
        <v>14</v>
      </c>
      <c r="D14" s="30" t="s">
        <v>13</v>
      </c>
      <c r="E14" s="29" t="s">
        <v>21</v>
      </c>
      <c r="F14" s="25" t="s">
        <v>11</v>
      </c>
      <c r="G14" s="25"/>
      <c r="H14" s="25"/>
      <c r="I14" s="25"/>
      <c r="J14" s="25"/>
      <c r="K14" s="27"/>
      <c r="L14" s="28"/>
      <c r="M14" s="26"/>
      <c r="N14" s="25"/>
      <c r="O14" s="27"/>
      <c r="P14" s="25"/>
      <c r="Q14" s="36">
        <v>500</v>
      </c>
      <c r="R14" s="28">
        <f>+Q14*AR14</f>
        <v>105000</v>
      </c>
      <c r="S14" s="27">
        <v>0</v>
      </c>
      <c r="T14" s="25"/>
      <c r="U14" s="26">
        <v>0</v>
      </c>
      <c r="V14" s="25"/>
      <c r="W14" s="26"/>
      <c r="X14" s="25"/>
      <c r="Y14" s="26"/>
      <c r="Z14" s="25"/>
      <c r="AA14" s="26"/>
      <c r="AB14" s="25"/>
      <c r="AC14" s="26"/>
      <c r="AD14" s="25"/>
      <c r="AE14" s="26"/>
      <c r="AF14" s="25"/>
      <c r="AG14" s="26"/>
      <c r="AH14" s="25"/>
      <c r="AI14" s="26"/>
      <c r="AJ14" s="25"/>
      <c r="AK14" s="26"/>
      <c r="AL14" s="25"/>
      <c r="AM14" s="26"/>
      <c r="AN14" s="25"/>
      <c r="AO14" s="26"/>
      <c r="AP14" s="25"/>
      <c r="AQ14" s="26">
        <v>0</v>
      </c>
      <c r="AR14" s="38">
        <v>210</v>
      </c>
      <c r="AS14" s="24">
        <f>+AR14*Q14</f>
        <v>105000</v>
      </c>
    </row>
    <row r="15" spans="1:45" x14ac:dyDescent="0.25">
      <c r="A15" s="35">
        <v>5</v>
      </c>
      <c r="B15" s="32"/>
      <c r="C15" s="31" t="s">
        <v>14</v>
      </c>
      <c r="D15" s="30" t="s">
        <v>13</v>
      </c>
      <c r="E15" s="29" t="s">
        <v>20</v>
      </c>
      <c r="F15" s="25" t="s">
        <v>11</v>
      </c>
      <c r="G15" s="25"/>
      <c r="H15" s="25"/>
      <c r="I15" s="25"/>
      <c r="J15" s="25"/>
      <c r="K15" s="27"/>
      <c r="L15" s="28"/>
      <c r="M15" s="26"/>
      <c r="N15" s="25"/>
      <c r="O15" s="27"/>
      <c r="P15" s="25"/>
      <c r="Q15" s="36">
        <v>3000</v>
      </c>
      <c r="R15" s="28">
        <f>+Q15*AR15</f>
        <v>239580</v>
      </c>
      <c r="S15" s="27">
        <v>0</v>
      </c>
      <c r="T15" s="25"/>
      <c r="U15" s="26">
        <v>0</v>
      </c>
      <c r="V15" s="25"/>
      <c r="W15" s="26"/>
      <c r="X15" s="25"/>
      <c r="Y15" s="26"/>
      <c r="Z15" s="25"/>
      <c r="AA15" s="26"/>
      <c r="AB15" s="25"/>
      <c r="AC15" s="26"/>
      <c r="AD15" s="25"/>
      <c r="AE15" s="26"/>
      <c r="AF15" s="25"/>
      <c r="AG15" s="26"/>
      <c r="AH15" s="25"/>
      <c r="AI15" s="26"/>
      <c r="AJ15" s="25"/>
      <c r="AK15" s="26"/>
      <c r="AL15" s="25"/>
      <c r="AM15" s="26"/>
      <c r="AN15" s="25"/>
      <c r="AO15" s="26"/>
      <c r="AP15" s="25"/>
      <c r="AQ15" s="26">
        <v>0</v>
      </c>
      <c r="AR15" s="38">
        <v>79.86</v>
      </c>
      <c r="AS15" s="24">
        <f>+AR15*Q15</f>
        <v>239580</v>
      </c>
    </row>
    <row r="16" spans="1:45" x14ac:dyDescent="0.25">
      <c r="A16" s="33">
        <v>6</v>
      </c>
      <c r="B16" s="32"/>
      <c r="C16" s="31" t="s">
        <v>14</v>
      </c>
      <c r="D16" s="30" t="s">
        <v>13</v>
      </c>
      <c r="E16" s="29" t="s">
        <v>19</v>
      </c>
      <c r="F16" s="25" t="s">
        <v>11</v>
      </c>
      <c r="G16" s="25"/>
      <c r="H16" s="25"/>
      <c r="I16" s="25"/>
      <c r="J16" s="25"/>
      <c r="K16" s="27"/>
      <c r="L16" s="28"/>
      <c r="M16" s="26"/>
      <c r="N16" s="25"/>
      <c r="O16" s="27"/>
      <c r="P16" s="25"/>
      <c r="Q16" s="36">
        <v>2000</v>
      </c>
      <c r="R16" s="28">
        <f>+Q16*AR16</f>
        <v>262220</v>
      </c>
      <c r="S16" s="27">
        <v>0</v>
      </c>
      <c r="T16" s="25"/>
      <c r="U16" s="26">
        <v>0</v>
      </c>
      <c r="V16" s="25"/>
      <c r="W16" s="26"/>
      <c r="X16" s="25"/>
      <c r="Y16" s="26"/>
      <c r="Z16" s="25"/>
      <c r="AA16" s="26"/>
      <c r="AB16" s="25"/>
      <c r="AC16" s="26"/>
      <c r="AD16" s="25"/>
      <c r="AE16" s="26"/>
      <c r="AF16" s="25"/>
      <c r="AG16" s="26"/>
      <c r="AH16" s="25"/>
      <c r="AI16" s="26"/>
      <c r="AJ16" s="25"/>
      <c r="AK16" s="26"/>
      <c r="AL16" s="25"/>
      <c r="AM16" s="26"/>
      <c r="AN16" s="25"/>
      <c r="AO16" s="26"/>
      <c r="AP16" s="25"/>
      <c r="AQ16" s="26">
        <v>0</v>
      </c>
      <c r="AR16" s="38">
        <v>131.11000000000001</v>
      </c>
      <c r="AS16" s="24">
        <f>+AR16*Q16</f>
        <v>262220</v>
      </c>
    </row>
    <row r="17" spans="1:45" x14ac:dyDescent="0.25">
      <c r="A17" s="35">
        <v>7</v>
      </c>
      <c r="B17" s="32"/>
      <c r="C17" s="31" t="s">
        <v>14</v>
      </c>
      <c r="D17" s="30" t="s">
        <v>13</v>
      </c>
      <c r="E17" s="29" t="s">
        <v>18</v>
      </c>
      <c r="F17" s="25" t="s">
        <v>11</v>
      </c>
      <c r="G17" s="25"/>
      <c r="H17" s="25"/>
      <c r="I17" s="25"/>
      <c r="J17" s="25"/>
      <c r="K17" s="27"/>
      <c r="L17" s="28"/>
      <c r="M17" s="26"/>
      <c r="N17" s="25"/>
      <c r="O17" s="27"/>
      <c r="P17" s="25"/>
      <c r="Q17" s="36">
        <v>50</v>
      </c>
      <c r="R17" s="28">
        <f>+Q17*AR17</f>
        <v>26700</v>
      </c>
      <c r="S17" s="27">
        <v>0</v>
      </c>
      <c r="T17" s="25"/>
      <c r="U17" s="26">
        <v>0</v>
      </c>
      <c r="V17" s="25"/>
      <c r="W17" s="26"/>
      <c r="X17" s="25"/>
      <c r="Y17" s="26"/>
      <c r="Z17" s="25"/>
      <c r="AA17" s="26"/>
      <c r="AB17" s="25"/>
      <c r="AC17" s="26"/>
      <c r="AD17" s="25"/>
      <c r="AE17" s="26"/>
      <c r="AF17" s="25"/>
      <c r="AG17" s="26"/>
      <c r="AH17" s="25"/>
      <c r="AI17" s="26"/>
      <c r="AJ17" s="25"/>
      <c r="AK17" s="26"/>
      <c r="AL17" s="25"/>
      <c r="AM17" s="26"/>
      <c r="AN17" s="25"/>
      <c r="AO17" s="26"/>
      <c r="AP17" s="25"/>
      <c r="AQ17" s="26">
        <v>0</v>
      </c>
      <c r="AR17" s="38">
        <v>534</v>
      </c>
      <c r="AS17" s="24">
        <f>+AR17*Q17</f>
        <v>26700</v>
      </c>
    </row>
    <row r="18" spans="1:45" x14ac:dyDescent="0.25">
      <c r="A18" s="35">
        <v>8</v>
      </c>
      <c r="B18" s="32"/>
      <c r="C18" s="31" t="s">
        <v>14</v>
      </c>
      <c r="D18" s="30" t="s">
        <v>13</v>
      </c>
      <c r="E18" s="37" t="s">
        <v>17</v>
      </c>
      <c r="F18" s="25" t="s">
        <v>11</v>
      </c>
      <c r="G18" s="25"/>
      <c r="H18" s="25"/>
      <c r="I18" s="25"/>
      <c r="J18" s="25"/>
      <c r="K18" s="27"/>
      <c r="L18" s="28"/>
      <c r="M18" s="26"/>
      <c r="N18" s="25"/>
      <c r="O18" s="27"/>
      <c r="P18" s="25"/>
      <c r="Q18" s="36">
        <v>60</v>
      </c>
      <c r="R18" s="28">
        <f>+Q18*AR18</f>
        <v>546000</v>
      </c>
      <c r="S18" s="27">
        <v>0</v>
      </c>
      <c r="T18" s="25"/>
      <c r="U18" s="26">
        <v>0</v>
      </c>
      <c r="V18" s="25"/>
      <c r="W18" s="26"/>
      <c r="X18" s="25"/>
      <c r="Y18" s="26"/>
      <c r="Z18" s="25"/>
      <c r="AA18" s="26"/>
      <c r="AB18" s="25"/>
      <c r="AC18" s="26"/>
      <c r="AD18" s="25"/>
      <c r="AE18" s="26"/>
      <c r="AF18" s="25"/>
      <c r="AG18" s="26"/>
      <c r="AH18" s="25"/>
      <c r="AI18" s="26"/>
      <c r="AJ18" s="25"/>
      <c r="AK18" s="26"/>
      <c r="AL18" s="25"/>
      <c r="AM18" s="26"/>
      <c r="AN18" s="25"/>
      <c r="AO18" s="26"/>
      <c r="AP18" s="25"/>
      <c r="AQ18" s="26">
        <v>0</v>
      </c>
      <c r="AR18" s="24">
        <v>9100</v>
      </c>
      <c r="AS18" s="24">
        <f>+AR18*Q18</f>
        <v>546000</v>
      </c>
    </row>
    <row r="19" spans="1:45" x14ac:dyDescent="0.25">
      <c r="A19" s="33">
        <v>9</v>
      </c>
      <c r="B19" s="32"/>
      <c r="C19" s="31" t="s">
        <v>14</v>
      </c>
      <c r="D19" s="30" t="s">
        <v>13</v>
      </c>
      <c r="E19" s="29" t="s">
        <v>16</v>
      </c>
      <c r="F19" s="25" t="s">
        <v>11</v>
      </c>
      <c r="G19" s="25"/>
      <c r="H19" s="25"/>
      <c r="I19" s="25"/>
      <c r="J19" s="25"/>
      <c r="K19" s="27"/>
      <c r="L19" s="28"/>
      <c r="M19" s="26"/>
      <c r="N19" s="25"/>
      <c r="O19" s="27"/>
      <c r="P19" s="25"/>
      <c r="Q19" s="26">
        <v>100</v>
      </c>
      <c r="R19" s="28">
        <f>+Q19*AR19</f>
        <v>65000</v>
      </c>
      <c r="S19" s="27">
        <v>0</v>
      </c>
      <c r="T19" s="25"/>
      <c r="U19" s="26">
        <v>0</v>
      </c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6"/>
      <c r="AJ19" s="25"/>
      <c r="AK19" s="26"/>
      <c r="AL19" s="25"/>
      <c r="AM19" s="26"/>
      <c r="AN19" s="25"/>
      <c r="AO19" s="26"/>
      <c r="AP19" s="25"/>
      <c r="AQ19" s="26">
        <v>0</v>
      </c>
      <c r="AR19" s="24">
        <v>650</v>
      </c>
      <c r="AS19" s="24">
        <f>+AR19*Q19</f>
        <v>65000</v>
      </c>
    </row>
    <row r="20" spans="1:45" x14ac:dyDescent="0.25">
      <c r="A20" s="35">
        <v>11</v>
      </c>
      <c r="B20" s="32"/>
      <c r="C20" s="31" t="s">
        <v>14</v>
      </c>
      <c r="D20" s="30" t="s">
        <v>13</v>
      </c>
      <c r="E20" s="34" t="s">
        <v>15</v>
      </c>
      <c r="F20" s="25" t="s">
        <v>11</v>
      </c>
      <c r="G20" s="25"/>
      <c r="H20" s="25"/>
      <c r="I20" s="25"/>
      <c r="J20" s="25"/>
      <c r="K20" s="27"/>
      <c r="L20" s="28"/>
      <c r="M20" s="26"/>
      <c r="N20" s="25"/>
      <c r="O20" s="27"/>
      <c r="P20" s="25"/>
      <c r="Q20" s="26">
        <v>50</v>
      </c>
      <c r="R20" s="28">
        <f>+Q20*AR20</f>
        <v>55000</v>
      </c>
      <c r="S20" s="27">
        <v>0</v>
      </c>
      <c r="T20" s="25"/>
      <c r="U20" s="26">
        <v>0</v>
      </c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6"/>
      <c r="AJ20" s="25"/>
      <c r="AK20" s="26"/>
      <c r="AL20" s="25"/>
      <c r="AM20" s="26"/>
      <c r="AN20" s="25"/>
      <c r="AO20" s="26"/>
      <c r="AP20" s="25"/>
      <c r="AQ20" s="26">
        <v>0</v>
      </c>
      <c r="AR20" s="24">
        <v>1100</v>
      </c>
      <c r="AS20" s="24">
        <f>+AR20*Q20</f>
        <v>55000</v>
      </c>
    </row>
    <row r="21" spans="1:45" x14ac:dyDescent="0.25">
      <c r="A21" s="33">
        <v>12</v>
      </c>
      <c r="B21" s="32"/>
      <c r="C21" s="31" t="s">
        <v>14</v>
      </c>
      <c r="D21" s="30" t="s">
        <v>13</v>
      </c>
      <c r="E21" s="29" t="s">
        <v>12</v>
      </c>
      <c r="F21" s="25" t="s">
        <v>11</v>
      </c>
      <c r="G21" s="25"/>
      <c r="H21" s="25"/>
      <c r="I21" s="25"/>
      <c r="J21" s="25"/>
      <c r="K21" s="27"/>
      <c r="L21" s="28"/>
      <c r="M21" s="26"/>
      <c r="N21" s="25"/>
      <c r="O21" s="27"/>
      <c r="P21" s="25"/>
      <c r="Q21" s="26">
        <v>100</v>
      </c>
      <c r="R21" s="28">
        <f>+Q21*AR21</f>
        <v>68000</v>
      </c>
      <c r="S21" s="27">
        <v>0</v>
      </c>
      <c r="T21" s="25"/>
      <c r="U21" s="26">
        <v>0</v>
      </c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6"/>
      <c r="AJ21" s="25"/>
      <c r="AK21" s="26"/>
      <c r="AL21" s="25"/>
      <c r="AM21" s="26"/>
      <c r="AN21" s="25"/>
      <c r="AO21" s="26"/>
      <c r="AP21" s="25"/>
      <c r="AQ21" s="26">
        <v>0</v>
      </c>
      <c r="AR21" s="24">
        <v>680</v>
      </c>
      <c r="AS21" s="24">
        <f>+AR21*Q21</f>
        <v>68000</v>
      </c>
    </row>
    <row r="22" spans="1:45" x14ac:dyDescent="0.25">
      <c r="A22" s="22"/>
      <c r="B22" s="23"/>
      <c r="C22" s="22"/>
      <c r="D22" s="16"/>
      <c r="E22" s="21" t="s">
        <v>10</v>
      </c>
      <c r="F22" s="16"/>
      <c r="G22" s="16"/>
      <c r="H22" s="16"/>
      <c r="I22" s="16"/>
      <c r="J22" s="16"/>
      <c r="K22" s="19"/>
      <c r="L22" s="20"/>
      <c r="M22" s="17"/>
      <c r="N22" s="16"/>
      <c r="O22" s="19"/>
      <c r="P22" s="16"/>
      <c r="Q22" s="17"/>
      <c r="R22" s="18">
        <f>SUM(R11:R21)</f>
        <v>2497500</v>
      </c>
      <c r="S22" s="19"/>
      <c r="T22" s="18">
        <f>SUM(T11:T21)</f>
        <v>321630</v>
      </c>
      <c r="U22" s="17"/>
      <c r="V22" s="18">
        <f>SUM(V11:V21)</f>
        <v>29250</v>
      </c>
      <c r="W22" s="17"/>
      <c r="X22" s="16"/>
      <c r="Y22" s="17"/>
      <c r="Z22" s="16"/>
      <c r="AA22" s="17"/>
      <c r="AB22" s="16"/>
      <c r="AC22" s="17"/>
      <c r="AD22" s="16"/>
      <c r="AE22" s="17"/>
      <c r="AF22" s="16"/>
      <c r="AG22" s="17"/>
      <c r="AH22" s="16"/>
      <c r="AI22" s="17"/>
      <c r="AJ22" s="16"/>
      <c r="AK22" s="17"/>
      <c r="AL22" s="16"/>
      <c r="AM22" s="17"/>
      <c r="AN22" s="16"/>
      <c r="AO22" s="17"/>
      <c r="AP22" s="16"/>
      <c r="AQ22" s="15"/>
      <c r="AR22" s="14"/>
      <c r="AS22" s="14">
        <f>SUM(AS11:AS21)</f>
        <v>2848380</v>
      </c>
    </row>
    <row r="23" spans="1:45" x14ac:dyDescent="0.25">
      <c r="A23" s="9"/>
      <c r="B23" s="10"/>
      <c r="C23" s="9"/>
      <c r="D23" s="4"/>
      <c r="E23" s="8"/>
      <c r="F23" s="4"/>
      <c r="G23" s="4"/>
      <c r="H23" s="4"/>
      <c r="I23" s="4"/>
      <c r="J23" s="4"/>
      <c r="K23" s="6"/>
      <c r="L23" s="7"/>
      <c r="M23" s="5"/>
      <c r="N23" s="4"/>
      <c r="O23" s="6"/>
      <c r="P23" s="4"/>
      <c r="Q23" s="5"/>
      <c r="R23" s="4"/>
      <c r="S23" s="6"/>
      <c r="T23" s="4"/>
      <c r="U23" s="5"/>
      <c r="V23" s="4"/>
      <c r="W23" s="5"/>
      <c r="X23" s="4"/>
      <c r="Y23" s="5"/>
      <c r="Z23" s="4"/>
      <c r="AA23" s="5"/>
      <c r="AB23" s="4"/>
      <c r="AC23" s="5"/>
      <c r="AD23" s="4"/>
      <c r="AE23" s="5"/>
      <c r="AF23" s="4"/>
      <c r="AG23" s="5"/>
      <c r="AH23" s="4"/>
      <c r="AI23" s="5"/>
      <c r="AJ23" s="4"/>
      <c r="AK23" s="5"/>
      <c r="AL23" s="4"/>
      <c r="AM23" s="5"/>
      <c r="AN23" s="4"/>
      <c r="AO23" s="5"/>
      <c r="AP23" s="4"/>
      <c r="AQ23" s="3"/>
      <c r="AR23" s="2"/>
      <c r="AS23" s="1"/>
    </row>
    <row r="24" spans="1:45" ht="147.75" customHeight="1" x14ac:dyDescent="0.25">
      <c r="A24" s="9"/>
      <c r="B24" s="13" t="s">
        <v>9</v>
      </c>
      <c r="C24" s="12" t="s">
        <v>8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4"/>
      <c r="W24" s="5"/>
      <c r="X24" s="4"/>
      <c r="Y24" s="5"/>
      <c r="Z24" s="4"/>
      <c r="AA24" s="5"/>
      <c r="AB24" s="4"/>
      <c r="AC24" s="5"/>
      <c r="AD24" s="4"/>
      <c r="AE24" s="5"/>
      <c r="AF24" s="4"/>
      <c r="AG24" s="5"/>
      <c r="AH24" s="4"/>
      <c r="AI24" s="5"/>
      <c r="AJ24" s="4"/>
      <c r="AK24" s="5"/>
      <c r="AL24" s="4"/>
      <c r="AM24" s="5"/>
      <c r="AN24" s="4"/>
      <c r="AO24" s="5"/>
      <c r="AP24" s="4"/>
      <c r="AQ24" s="3"/>
      <c r="AR24" s="2"/>
      <c r="AS24" s="1"/>
    </row>
    <row r="25" spans="1:45" x14ac:dyDescent="0.25">
      <c r="A25" s="9"/>
      <c r="B25" s="10"/>
      <c r="C25" s="9"/>
      <c r="D25" s="4"/>
      <c r="E25" s="8"/>
      <c r="F25" s="4"/>
      <c r="G25" s="4"/>
      <c r="H25" s="4"/>
      <c r="I25" s="4"/>
      <c r="J25" s="4"/>
      <c r="K25" s="6"/>
      <c r="L25" s="7"/>
      <c r="M25" s="5"/>
      <c r="N25" s="4"/>
      <c r="O25" s="6"/>
      <c r="P25" s="4"/>
      <c r="Q25" s="5"/>
      <c r="R25" s="4"/>
      <c r="S25" s="6"/>
      <c r="T25" s="4"/>
      <c r="U25" s="5"/>
      <c r="V25" s="4"/>
      <c r="W25" s="5"/>
      <c r="X25" s="4"/>
      <c r="Y25" s="5"/>
      <c r="Z25" s="4"/>
      <c r="AA25" s="5"/>
      <c r="AB25" s="4"/>
      <c r="AC25" s="5"/>
      <c r="AD25" s="4"/>
      <c r="AE25" s="5"/>
      <c r="AF25" s="4"/>
      <c r="AG25" s="5"/>
      <c r="AH25" s="4"/>
      <c r="AI25" s="5"/>
      <c r="AJ25" s="4"/>
      <c r="AK25" s="5"/>
      <c r="AL25" s="4"/>
      <c r="AM25" s="5"/>
      <c r="AN25" s="4"/>
      <c r="AO25" s="5"/>
      <c r="AP25" s="4"/>
      <c r="AQ25" s="3"/>
      <c r="AR25" s="2"/>
      <c r="AS25" s="1"/>
    </row>
    <row r="26" spans="1:45" ht="30" x14ac:dyDescent="0.25">
      <c r="A26" s="9"/>
      <c r="B26" s="10" t="s">
        <v>7</v>
      </c>
      <c r="C26" s="9"/>
      <c r="D26" s="4"/>
      <c r="E26" s="8"/>
      <c r="F26" s="4"/>
      <c r="G26" s="4"/>
      <c r="H26" s="4"/>
      <c r="I26" s="4"/>
      <c r="J26" s="4"/>
      <c r="K26" s="6"/>
      <c r="L26" s="7"/>
      <c r="M26" s="5"/>
      <c r="N26" s="4"/>
      <c r="O26" s="6"/>
      <c r="P26" s="4"/>
      <c r="Q26" s="5"/>
      <c r="R26" s="4"/>
      <c r="S26" s="6"/>
      <c r="T26" s="4"/>
      <c r="U26" s="5"/>
      <c r="V26" s="4"/>
      <c r="W26" s="5"/>
      <c r="X26" s="4"/>
      <c r="Y26" s="5"/>
      <c r="Z26" s="4"/>
      <c r="AA26" s="5"/>
      <c r="AB26" s="4"/>
      <c r="AC26" s="5"/>
      <c r="AD26" s="4"/>
      <c r="AE26" s="5"/>
      <c r="AF26" s="4"/>
      <c r="AG26" s="5"/>
      <c r="AH26" s="4"/>
      <c r="AI26" s="5"/>
      <c r="AJ26" s="4"/>
      <c r="AK26" s="5"/>
      <c r="AL26" s="4"/>
      <c r="AM26" s="5"/>
      <c r="AN26" s="4"/>
      <c r="AO26" s="5"/>
      <c r="AP26" s="4"/>
      <c r="AQ26" s="3"/>
      <c r="AR26" s="2"/>
      <c r="AS26" s="1"/>
    </row>
    <row r="27" spans="1:45" x14ac:dyDescent="0.25">
      <c r="A27" s="9"/>
      <c r="B27" s="10"/>
      <c r="C27" s="9"/>
      <c r="D27" s="4"/>
      <c r="E27" s="8"/>
      <c r="F27" s="4"/>
      <c r="G27" s="4"/>
      <c r="H27" s="4"/>
      <c r="I27" s="4"/>
      <c r="J27" s="4"/>
      <c r="K27" s="6"/>
      <c r="L27" s="7"/>
      <c r="M27" s="5"/>
      <c r="N27" s="4"/>
      <c r="O27" s="6"/>
      <c r="P27" s="4"/>
      <c r="Q27" s="5"/>
      <c r="R27" s="4"/>
      <c r="S27" s="6"/>
      <c r="T27" s="4"/>
      <c r="U27" s="5"/>
      <c r="V27" s="4"/>
      <c r="W27" s="5"/>
      <c r="X27" s="4"/>
      <c r="Y27" s="5"/>
      <c r="Z27" s="4"/>
      <c r="AA27" s="5"/>
      <c r="AB27" s="4"/>
      <c r="AC27" s="5"/>
      <c r="AD27" s="4"/>
      <c r="AE27" s="5"/>
      <c r="AF27" s="4"/>
      <c r="AG27" s="5"/>
      <c r="AH27" s="4"/>
      <c r="AI27" s="5"/>
      <c r="AJ27" s="4"/>
      <c r="AK27" s="5"/>
      <c r="AL27" s="4"/>
      <c r="AM27" s="5"/>
      <c r="AN27" s="4"/>
      <c r="AO27" s="5"/>
      <c r="AP27" s="4"/>
      <c r="AQ27" s="3"/>
      <c r="AR27" s="2"/>
      <c r="AS27" s="1"/>
    </row>
    <row r="28" spans="1:45" x14ac:dyDescent="0.25">
      <c r="A28" s="9"/>
      <c r="B28" s="10" t="s">
        <v>6</v>
      </c>
      <c r="C28" s="9" t="s">
        <v>5</v>
      </c>
      <c r="D28" s="4"/>
      <c r="E28" s="8"/>
      <c r="F28" s="4"/>
      <c r="G28" s="4"/>
      <c r="H28" s="4"/>
      <c r="I28" s="4"/>
      <c r="J28" s="4"/>
      <c r="K28" s="6"/>
      <c r="L28" s="7"/>
      <c r="M28" s="5"/>
      <c r="N28" s="4"/>
      <c r="O28" s="6"/>
      <c r="P28" s="4"/>
      <c r="Q28" s="5"/>
      <c r="R28" s="4"/>
      <c r="S28" s="6"/>
      <c r="T28" s="4"/>
      <c r="U28" s="5"/>
      <c r="V28" s="4"/>
      <c r="W28" s="5"/>
      <c r="X28" s="4"/>
      <c r="Y28" s="5"/>
      <c r="Z28" s="4"/>
      <c r="AA28" s="5"/>
      <c r="AB28" s="4"/>
      <c r="AC28" s="5"/>
      <c r="AD28" s="4"/>
      <c r="AE28" s="5"/>
      <c r="AF28" s="4"/>
      <c r="AG28" s="5"/>
      <c r="AH28" s="4"/>
      <c r="AI28" s="5"/>
      <c r="AJ28" s="4"/>
      <c r="AK28" s="5"/>
      <c r="AL28" s="4"/>
      <c r="AM28" s="5"/>
      <c r="AN28" s="4"/>
      <c r="AO28" s="5"/>
      <c r="AP28" s="4"/>
      <c r="AQ28" s="3"/>
      <c r="AR28" s="2"/>
      <c r="AS28" s="1"/>
    </row>
    <row r="29" spans="1:45" x14ac:dyDescent="0.25">
      <c r="A29" s="9"/>
      <c r="B29" s="10"/>
      <c r="C29" s="9"/>
      <c r="D29" s="4"/>
      <c r="E29" s="8"/>
      <c r="F29" s="4"/>
      <c r="G29" s="4"/>
      <c r="H29" s="4"/>
      <c r="I29" s="4"/>
      <c r="J29" s="4"/>
      <c r="K29" s="6"/>
      <c r="L29" s="7"/>
      <c r="M29" s="5"/>
      <c r="N29" s="4"/>
      <c r="O29" s="6"/>
      <c r="P29" s="4"/>
      <c r="Q29" s="5"/>
      <c r="R29" s="4"/>
      <c r="S29" s="6"/>
      <c r="T29" s="4"/>
      <c r="U29" s="5"/>
      <c r="V29" s="4"/>
      <c r="W29" s="5"/>
      <c r="X29" s="4"/>
      <c r="Y29" s="5"/>
      <c r="Z29" s="4"/>
      <c r="AA29" s="5"/>
      <c r="AB29" s="4"/>
      <c r="AC29" s="5"/>
      <c r="AD29" s="4"/>
      <c r="AE29" s="5"/>
      <c r="AF29" s="4"/>
      <c r="AG29" s="5"/>
      <c r="AH29" s="4"/>
      <c r="AI29" s="5"/>
      <c r="AJ29" s="4"/>
      <c r="AK29" s="5"/>
      <c r="AL29" s="4"/>
      <c r="AM29" s="5"/>
      <c r="AN29" s="4"/>
      <c r="AO29" s="5"/>
      <c r="AP29" s="4"/>
      <c r="AQ29" s="3"/>
      <c r="AR29" s="2"/>
      <c r="AS29" s="1"/>
    </row>
    <row r="30" spans="1:45" ht="30" x14ac:dyDescent="0.25">
      <c r="A30" s="9"/>
      <c r="B30" s="10" t="s">
        <v>4</v>
      </c>
      <c r="C30" s="11" t="s">
        <v>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4"/>
      <c r="AG30" s="5"/>
      <c r="AH30" s="4"/>
      <c r="AI30" s="5"/>
      <c r="AJ30" s="4"/>
      <c r="AK30" s="5"/>
      <c r="AL30" s="4"/>
      <c r="AM30" s="5"/>
      <c r="AN30" s="4"/>
      <c r="AO30" s="5"/>
      <c r="AP30" s="4"/>
      <c r="AQ30" s="3"/>
      <c r="AR30" s="2"/>
      <c r="AS30" s="1"/>
    </row>
    <row r="31" spans="1:45" x14ac:dyDescent="0.25">
      <c r="A31" s="9"/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4"/>
      <c r="AG31" s="5"/>
      <c r="AH31" s="4"/>
      <c r="AI31" s="5"/>
      <c r="AJ31" s="4"/>
      <c r="AK31" s="5"/>
      <c r="AL31" s="4"/>
      <c r="AM31" s="5"/>
      <c r="AN31" s="4"/>
      <c r="AO31" s="5"/>
      <c r="AP31" s="4"/>
      <c r="AQ31" s="3"/>
      <c r="AR31" s="2"/>
      <c r="AS31" s="1"/>
    </row>
    <row r="32" spans="1:45" x14ac:dyDescent="0.25">
      <c r="A32" s="9"/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4"/>
      <c r="AG32" s="5"/>
      <c r="AH32" s="4"/>
      <c r="AI32" s="5"/>
      <c r="AJ32" s="4"/>
      <c r="AK32" s="5"/>
      <c r="AL32" s="4"/>
      <c r="AM32" s="5"/>
      <c r="AN32" s="4"/>
      <c r="AO32" s="5"/>
      <c r="AP32" s="4"/>
      <c r="AQ32" s="3"/>
      <c r="AR32" s="2"/>
      <c r="AS32" s="1"/>
    </row>
    <row r="33" spans="1:45" x14ac:dyDescent="0.25">
      <c r="A33" s="9"/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4"/>
      <c r="AG33" s="5"/>
      <c r="AH33" s="4"/>
      <c r="AI33" s="5"/>
      <c r="AJ33" s="4"/>
      <c r="AK33" s="5"/>
      <c r="AL33" s="4"/>
      <c r="AM33" s="5"/>
      <c r="AN33" s="4"/>
      <c r="AO33" s="5"/>
      <c r="AP33" s="4"/>
      <c r="AQ33" s="3"/>
      <c r="AR33" s="2"/>
      <c r="AS33" s="1"/>
    </row>
    <row r="34" spans="1:45" ht="30" x14ac:dyDescent="0.25">
      <c r="A34" s="9"/>
      <c r="B34" s="10" t="s">
        <v>2</v>
      </c>
      <c r="C34" s="9"/>
      <c r="D34" s="4"/>
      <c r="E34" s="8"/>
      <c r="F34" s="4"/>
      <c r="G34" s="4"/>
      <c r="H34" s="4"/>
      <c r="I34" s="4"/>
      <c r="J34" s="4"/>
      <c r="K34" s="6"/>
      <c r="L34" s="7"/>
      <c r="M34" s="5"/>
      <c r="N34" s="4"/>
      <c r="O34" s="6"/>
      <c r="P34" s="4"/>
      <c r="Q34" s="5"/>
      <c r="R34" s="4"/>
      <c r="S34" s="6"/>
      <c r="T34" s="4"/>
      <c r="U34" s="5"/>
      <c r="V34" s="4"/>
      <c r="W34" s="5"/>
      <c r="X34" s="4"/>
      <c r="Y34" s="5"/>
      <c r="Z34" s="4"/>
      <c r="AA34" s="5"/>
      <c r="AB34" s="4"/>
      <c r="AC34" s="5"/>
      <c r="AD34" s="4"/>
      <c r="AE34" s="5"/>
      <c r="AF34" s="4"/>
      <c r="AG34" s="5"/>
      <c r="AH34" s="4"/>
      <c r="AI34" s="5"/>
      <c r="AJ34" s="4"/>
      <c r="AK34" s="5"/>
      <c r="AL34" s="4"/>
      <c r="AM34" s="5"/>
      <c r="AN34" s="4"/>
      <c r="AO34" s="5"/>
      <c r="AP34" s="4"/>
      <c r="AQ34" s="3"/>
      <c r="AR34" s="2"/>
      <c r="AS34" s="1"/>
    </row>
    <row r="35" spans="1:45" x14ac:dyDescent="0.25">
      <c r="A35" s="9"/>
      <c r="B35" s="10"/>
      <c r="C35" s="9"/>
      <c r="D35" s="4"/>
      <c r="E35" s="8"/>
      <c r="F35" s="4"/>
      <c r="G35" s="4"/>
      <c r="H35" s="4"/>
      <c r="I35" s="4"/>
      <c r="J35" s="4"/>
      <c r="K35" s="6"/>
      <c r="L35" s="7"/>
      <c r="M35" s="5"/>
      <c r="N35" s="4"/>
      <c r="O35" s="6"/>
      <c r="P35" s="4"/>
      <c r="Q35" s="5"/>
      <c r="R35" s="4"/>
      <c r="S35" s="6"/>
      <c r="T35" s="4"/>
      <c r="U35" s="5"/>
      <c r="V35" s="4"/>
      <c r="W35" s="5"/>
      <c r="X35" s="4"/>
      <c r="Y35" s="5"/>
      <c r="Z35" s="4"/>
      <c r="AA35" s="5"/>
      <c r="AB35" s="4"/>
      <c r="AC35" s="5"/>
      <c r="AD35" s="4"/>
      <c r="AE35" s="5"/>
      <c r="AF35" s="4"/>
      <c r="AG35" s="5"/>
      <c r="AH35" s="4"/>
      <c r="AI35" s="5"/>
      <c r="AJ35" s="4"/>
      <c r="AK35" s="5"/>
      <c r="AL35" s="4"/>
      <c r="AM35" s="5"/>
      <c r="AN35" s="4"/>
      <c r="AO35" s="5"/>
      <c r="AP35" s="4"/>
      <c r="AQ35" s="3"/>
      <c r="AR35" s="2"/>
      <c r="AS35" s="1"/>
    </row>
    <row r="36" spans="1:45" x14ac:dyDescent="0.25">
      <c r="A36" s="9"/>
      <c r="B36" s="10" t="s">
        <v>1</v>
      </c>
      <c r="C36" s="9" t="s">
        <v>0</v>
      </c>
      <c r="D36" s="4"/>
      <c r="E36" s="8"/>
      <c r="F36" s="4"/>
      <c r="G36" s="4"/>
      <c r="H36" s="4"/>
      <c r="I36" s="4"/>
      <c r="J36" s="4"/>
      <c r="K36" s="6"/>
      <c r="L36" s="7"/>
      <c r="M36" s="5"/>
      <c r="N36" s="4"/>
      <c r="O36" s="6"/>
      <c r="P36" s="4"/>
      <c r="Q36" s="5"/>
      <c r="R36" s="4"/>
      <c r="S36" s="6"/>
      <c r="T36" s="4"/>
      <c r="U36" s="5"/>
      <c r="V36" s="4"/>
      <c r="W36" s="5"/>
      <c r="X36" s="4"/>
      <c r="Y36" s="5"/>
      <c r="Z36" s="4"/>
      <c r="AA36" s="5"/>
      <c r="AB36" s="4"/>
      <c r="AC36" s="5"/>
      <c r="AD36" s="4"/>
      <c r="AE36" s="5"/>
      <c r="AF36" s="4"/>
      <c r="AG36" s="5"/>
      <c r="AH36" s="4"/>
      <c r="AI36" s="5"/>
      <c r="AJ36" s="4"/>
      <c r="AK36" s="5"/>
      <c r="AL36" s="4"/>
      <c r="AM36" s="5"/>
      <c r="AN36" s="4"/>
      <c r="AO36" s="5"/>
      <c r="AP36" s="4"/>
      <c r="AQ36" s="3"/>
      <c r="AR36" s="2"/>
      <c r="AS36" s="1"/>
    </row>
    <row r="37" spans="1:45" x14ac:dyDescent="0.25">
      <c r="A37" s="9"/>
      <c r="B37" s="10"/>
      <c r="C37" s="9"/>
      <c r="D37" s="4"/>
      <c r="E37" s="8"/>
      <c r="F37" s="4"/>
      <c r="G37" s="4"/>
      <c r="H37" s="4"/>
      <c r="I37" s="4"/>
      <c r="J37" s="4"/>
      <c r="K37" s="6"/>
      <c r="L37" s="7"/>
      <c r="M37" s="5"/>
      <c r="N37" s="4"/>
      <c r="O37" s="6"/>
      <c r="P37" s="4"/>
      <c r="Q37" s="5"/>
      <c r="R37" s="4"/>
      <c r="S37" s="6"/>
      <c r="T37" s="4"/>
      <c r="U37" s="5"/>
      <c r="V37" s="4"/>
      <c r="W37" s="5"/>
      <c r="X37" s="4"/>
      <c r="Y37" s="5"/>
      <c r="Z37" s="4"/>
      <c r="AA37" s="5"/>
      <c r="AB37" s="4"/>
      <c r="AC37" s="5"/>
      <c r="AD37" s="4"/>
      <c r="AE37" s="5"/>
      <c r="AF37" s="4"/>
      <c r="AG37" s="5"/>
      <c r="AH37" s="4"/>
      <c r="AI37" s="5"/>
      <c r="AJ37" s="4"/>
      <c r="AK37" s="5"/>
      <c r="AL37" s="4"/>
      <c r="AM37" s="5"/>
      <c r="AN37" s="4"/>
      <c r="AO37" s="5"/>
      <c r="AP37" s="4"/>
      <c r="AQ37" s="3"/>
      <c r="AR37" s="2"/>
      <c r="AS37" s="1"/>
    </row>
    <row r="38" spans="1:45" x14ac:dyDescent="0.25">
      <c r="A38" s="9"/>
      <c r="B38" s="10"/>
      <c r="C38" s="9"/>
      <c r="D38" s="4"/>
      <c r="E38" s="8"/>
      <c r="F38" s="4"/>
      <c r="G38" s="4"/>
      <c r="H38" s="4"/>
      <c r="I38" s="4"/>
      <c r="J38" s="4"/>
      <c r="K38" s="6"/>
      <c r="L38" s="7"/>
      <c r="M38" s="5"/>
      <c r="N38" s="4"/>
      <c r="O38" s="6"/>
      <c r="P38" s="4"/>
      <c r="Q38" s="5"/>
      <c r="R38" s="4"/>
      <c r="S38" s="6"/>
      <c r="T38" s="4"/>
      <c r="U38" s="5"/>
      <c r="V38" s="4"/>
      <c r="W38" s="5"/>
      <c r="X38" s="4"/>
      <c r="Y38" s="5"/>
      <c r="Z38" s="4"/>
      <c r="AA38" s="5"/>
      <c r="AB38" s="4"/>
      <c r="AC38" s="5"/>
      <c r="AD38" s="4"/>
      <c r="AE38" s="5"/>
      <c r="AF38" s="4"/>
      <c r="AG38" s="5"/>
      <c r="AH38" s="4"/>
      <c r="AI38" s="5"/>
      <c r="AJ38" s="4"/>
      <c r="AK38" s="5"/>
      <c r="AL38" s="4"/>
      <c r="AM38" s="5"/>
      <c r="AN38" s="4"/>
      <c r="AO38" s="5"/>
      <c r="AP38" s="4"/>
      <c r="AQ38" s="3"/>
      <c r="AR38" s="2"/>
      <c r="AS38" s="1"/>
    </row>
    <row r="39" spans="1:45" x14ac:dyDescent="0.25">
      <c r="A39" s="9"/>
      <c r="B39" s="10"/>
      <c r="C39" s="9"/>
      <c r="D39" s="4"/>
      <c r="E39" s="8"/>
      <c r="F39" s="4"/>
      <c r="G39" s="4"/>
      <c r="H39" s="4"/>
      <c r="I39" s="4"/>
      <c r="J39" s="4"/>
      <c r="K39" s="6"/>
      <c r="L39" s="7"/>
      <c r="M39" s="5"/>
      <c r="N39" s="4"/>
      <c r="O39" s="6"/>
      <c r="P39" s="4"/>
      <c r="Q39" s="5"/>
      <c r="R39" s="4"/>
      <c r="S39" s="6"/>
      <c r="T39" s="4"/>
      <c r="U39" s="5"/>
      <c r="V39" s="4"/>
      <c r="W39" s="5"/>
      <c r="X39" s="4"/>
      <c r="Y39" s="5"/>
      <c r="Z39" s="4"/>
      <c r="AA39" s="5"/>
      <c r="AB39" s="4"/>
      <c r="AC39" s="5"/>
      <c r="AD39" s="4"/>
      <c r="AE39" s="5"/>
      <c r="AF39" s="4"/>
      <c r="AG39" s="5"/>
      <c r="AH39" s="4"/>
      <c r="AI39" s="5"/>
      <c r="AJ39" s="4"/>
      <c r="AK39" s="5"/>
      <c r="AL39" s="4"/>
      <c r="AM39" s="5"/>
      <c r="AN39" s="4"/>
      <c r="AO39" s="5"/>
      <c r="AP39" s="4"/>
      <c r="AQ39" s="3"/>
      <c r="AR39" s="2"/>
      <c r="AS39" s="1"/>
    </row>
  </sheetData>
  <autoFilter ref="A10:AS10" xr:uid="{ABBD2075-E235-4FF5-A46A-3221F5563DB6}">
    <sortState xmlns:xlrd2="http://schemas.microsoft.com/office/spreadsheetml/2017/richdata2" ref="A11:AS22">
      <sortCondition ref="A10"/>
    </sortState>
  </autoFilter>
  <mergeCells count="12">
    <mergeCell ref="C31:AE31"/>
    <mergeCell ref="C32:AE32"/>
    <mergeCell ref="C33:AE33"/>
    <mergeCell ref="B3:AR3"/>
    <mergeCell ref="A5:B5"/>
    <mergeCell ref="C5:E5"/>
    <mergeCell ref="A6:B6"/>
    <mergeCell ref="C6:E6"/>
    <mergeCell ref="A7:B7"/>
    <mergeCell ref="A8:B8"/>
    <mergeCell ref="C24:U24"/>
    <mergeCell ref="C30:AE30"/>
  </mergeCells>
  <conditionalFormatting sqref="B2:B39">
    <cfRule type="duplicateValues" dxfId="28" priority="14"/>
  </conditionalFormatting>
  <conditionalFormatting sqref="E2:E12 E22:E23 E25:E39">
    <cfRule type="duplicateValues" dxfId="27" priority="15"/>
    <cfRule type="duplicateValues" dxfId="26" priority="16"/>
  </conditionalFormatting>
  <conditionalFormatting sqref="E22:E23 E25:E39">
    <cfRule type="duplicateValues" dxfId="25" priority="17"/>
  </conditionalFormatting>
  <conditionalFormatting sqref="E2:E12 E22:E23 E25:E39">
    <cfRule type="duplicateValues" dxfId="24" priority="18"/>
  </conditionalFormatting>
  <conditionalFormatting sqref="B2:B39 E2:E12 E22:E23 E25:E39">
    <cfRule type="duplicateValues" dxfId="23" priority="19"/>
  </conditionalFormatting>
  <conditionalFormatting sqref="E2:E12 B2:B39 E22:E23 E25:E39">
    <cfRule type="duplicateValues" dxfId="22" priority="20"/>
  </conditionalFormatting>
  <conditionalFormatting sqref="E11 B11">
    <cfRule type="duplicateValues" dxfId="21" priority="21"/>
  </conditionalFormatting>
  <conditionalFormatting sqref="B12">
    <cfRule type="duplicateValues" dxfId="20" priority="22"/>
  </conditionalFormatting>
  <conditionalFormatting sqref="E12">
    <cfRule type="duplicateValues" dxfId="19" priority="23"/>
  </conditionalFormatting>
  <conditionalFormatting sqref="B12 E12">
    <cfRule type="duplicateValues" dxfId="18" priority="24"/>
  </conditionalFormatting>
  <conditionalFormatting sqref="B11:B12">
    <cfRule type="duplicateValues" dxfId="17" priority="25"/>
  </conditionalFormatting>
  <conditionalFormatting sqref="E11:E12">
    <cfRule type="duplicateValues" dxfId="16" priority="26"/>
  </conditionalFormatting>
  <conditionalFormatting sqref="E11:E12">
    <cfRule type="duplicateValues" dxfId="15" priority="27"/>
    <cfRule type="duplicateValues" dxfId="14" priority="28"/>
  </conditionalFormatting>
  <conditionalFormatting sqref="B11:B12 E11:E12">
    <cfRule type="duplicateValues" dxfId="13" priority="29"/>
  </conditionalFormatting>
  <conditionalFormatting sqref="B24:B36">
    <cfRule type="duplicateValues" dxfId="12" priority="13"/>
  </conditionalFormatting>
  <conditionalFormatting sqref="E25:E36">
    <cfRule type="duplicateValues" dxfId="11" priority="11"/>
    <cfRule type="duplicateValues" dxfId="10" priority="12"/>
  </conditionalFormatting>
  <conditionalFormatting sqref="E25:E36">
    <cfRule type="duplicateValues" dxfId="9" priority="10"/>
  </conditionalFormatting>
  <conditionalFormatting sqref="B24:B36 E25:E36">
    <cfRule type="duplicateValues" dxfId="8" priority="9"/>
  </conditionalFormatting>
  <conditionalFormatting sqref="E25:E36">
    <cfRule type="duplicateValues" dxfId="7" priority="8"/>
  </conditionalFormatting>
  <conditionalFormatting sqref="B24:B36">
    <cfRule type="duplicateValues" dxfId="6" priority="7"/>
  </conditionalFormatting>
  <conditionalFormatting sqref="E34:E36 E25:E29">
    <cfRule type="duplicateValues" dxfId="5" priority="6"/>
  </conditionalFormatting>
  <conditionalFormatting sqref="B24:B36 E34:E36 E25:E29">
    <cfRule type="duplicateValues" dxfId="4" priority="5"/>
  </conditionalFormatting>
  <conditionalFormatting sqref="B24:B36">
    <cfRule type="duplicateValues" dxfId="3" priority="4"/>
  </conditionalFormatting>
  <conditionalFormatting sqref="E34:E36 B24:B36 E25:E29">
    <cfRule type="duplicateValues" dxfId="2" priority="3"/>
  </conditionalFormatting>
  <conditionalFormatting sqref="E34:E36 E25:E29">
    <cfRule type="duplicateValues" dxfId="1" priority="1"/>
    <cfRule type="duplicateValues" dxfId="0" priority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MINISTERIO DE 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2021-08-13T14:32:14Z</dcterms:created>
  <dcterms:modified xsi:type="dcterms:W3CDTF">2021-08-13T14:41:31Z</dcterms:modified>
</cp:coreProperties>
</file>