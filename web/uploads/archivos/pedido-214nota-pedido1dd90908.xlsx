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901"/>
  <workbookPr checkCompatibility="1" defaultThemeVersion="124226"/>
  <mc:AlternateContent xmlns:mc="http://schemas.openxmlformats.org/markup-compatibility/2006">
    <mc:Choice Requires="x15">
      <x15ac:absPath xmlns:x15ac="http://schemas.microsoft.com/office/spreadsheetml/2010/11/ac" url="C:\Users\COMPRAS\Downloads\"/>
    </mc:Choice>
  </mc:AlternateContent>
  <xr:revisionPtr revIDLastSave="0" documentId="8_{A043EDDB-A044-4F12-9C34-B057ED63D278}" xr6:coauthVersionLast="46" xr6:coauthVersionMax="46" xr10:uidLastSave="{00000000-0000-0000-0000-000000000000}"/>
  <bookViews>
    <workbookView xWindow="-120" yWindow="-120" windowWidth="29040" windowHeight="15840" tabRatio="488" xr2:uid="{00000000-000D-0000-FFFF-FFFF00000000}"/>
  </bookViews>
  <sheets>
    <sheet name="Necesidades Trimestrales" sheetId="1" r:id="rId1"/>
    <sheet name=" NotaPedido" sheetId="2" r:id="rId2"/>
    <sheet name="Autor Gastar" sheetId="3" r:id="rId3"/>
  </sheets>
  <definedNames>
    <definedName name="_xlnm._FilterDatabase" localSheetId="0" hidden="1">'Necesidades Trimestrales'!$A$9:$I$14</definedName>
    <definedName name="_xlnm.Print_Area" localSheetId="1">' NotaPedido'!$A$1:$K$17</definedName>
    <definedName name="_xlnm.Print_Area" localSheetId="2">'Autor Gastar'!$A$1:$Q$25</definedName>
    <definedName name="_xlnm.Print_Area" localSheetId="0">'Necesidades Trimestrales'!$E$9:$E$14</definedName>
  </definedNames>
  <calcPr calcId="181029"/>
</workbook>
</file>

<file path=xl/calcChain.xml><?xml version="1.0" encoding="utf-8"?>
<calcChain xmlns="http://schemas.openxmlformats.org/spreadsheetml/2006/main">
  <c r="C13" i="2" l="1"/>
  <c r="C14" i="2" l="1"/>
  <c r="C15" i="2"/>
  <c r="C16" i="2"/>
  <c r="I13" i="2"/>
  <c r="I14" i="2"/>
  <c r="I15" i="2"/>
  <c r="I16" i="2"/>
  <c r="K13" i="2"/>
  <c r="K14" i="2"/>
  <c r="K15" i="2"/>
  <c r="K16" i="2"/>
  <c r="J13" i="2"/>
  <c r="J14" i="2"/>
  <c r="J15" i="2"/>
  <c r="J16" i="2"/>
  <c r="I11" i="1"/>
  <c r="I12" i="1"/>
  <c r="I13" i="1"/>
  <c r="I14" i="1"/>
  <c r="I10" i="1"/>
  <c r="A10" i="3" l="1"/>
  <c r="G6" i="3" l="1"/>
  <c r="D7" i="2"/>
  <c r="D3" i="2"/>
  <c r="G4" i="3" s="1"/>
  <c r="D4" i="2"/>
  <c r="G5" i="3" s="1"/>
  <c r="D1" i="3" l="1"/>
  <c r="K12" i="2"/>
  <c r="J12" i="2"/>
  <c r="I12" i="2"/>
  <c r="C12" i="2"/>
  <c r="J17" i="2" l="1"/>
  <c r="Q21" i="3"/>
</calcChain>
</file>

<file path=xl/sharedStrings.xml><?xml version="1.0" encoding="utf-8"?>
<sst xmlns="http://schemas.openxmlformats.org/spreadsheetml/2006/main" count="94" uniqueCount="74">
  <si>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</si>
  <si>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</si>
  <si>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</si>
  <si>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</si>
  <si>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</si>
  <si>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</si>
  <si>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</si>
  <si>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</si>
  <si>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</si>
  <si>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</si>
  <si>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</si>
  <si>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</si>
  <si>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</si>
  <si>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</si>
  <si>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NOTA DE PEDIDO</t>
  </si>
  <si>
    <t>N°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</si>
  <si>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</si>
  <si>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</si>
  <si>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</si>
  <si>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</si>
  <si>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</si>
  <si>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</si>
  <si>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</si>
  <si>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</si>
  <si>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</si>
  <si>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</si>
  <si>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</si>
  <si>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t>UNIDAD EJECUTORA: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</si>
  <si>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</si>
  <si>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</si>
  <si>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</si>
  <si>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</si>
  <si>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</si>
  <si>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</si>
  <si>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</si>
  <si>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</si>
  <si>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</si>
  <si>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</si>
  <si>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</si>
  <si>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</si>
  <si>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</si>
  <si>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</si>
  <si>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</si>
  <si>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</si>
  <si>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</si>
  <si>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</si>
  <si>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</si>
  <si>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</si>
  <si>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 xml:space="preserve">JURISDICCIÓN: </t>
  </si>
  <si>
    <t>SAF:</t>
  </si>
  <si>
    <t xml:space="preserve">DEPENDENCIA SOLICITANTE: </t>
  </si>
  <si>
    <t>024 - Hospital Interzonal de Niños</t>
  </si>
  <si>
    <t>040 - Ministerio de Salud</t>
  </si>
  <si>
    <t>1.1</t>
  </si>
  <si>
    <t>NO</t>
  </si>
  <si>
    <t xml:space="preserve"> </t>
  </si>
  <si>
    <t>PRODUCTOS FARMACEUTICOS Y MEDICINALES</t>
  </si>
  <si>
    <t>Servicio de Farmacia</t>
  </si>
  <si>
    <t>PROD. MEDICO/FARMACEUTICOS/LAB</t>
  </si>
  <si>
    <t>UNIDAD</t>
  </si>
  <si>
    <t>Plazos y lugares de entrega</t>
  </si>
  <si>
    <r>
      <rPr>
        <u/>
        <sz val="10"/>
        <rFont val="Times New Roman"/>
        <family val="1"/>
      </rPr>
      <t xml:space="preserve">Lugar de Entrega: </t>
    </r>
    <r>
      <rPr>
        <sz val="10"/>
        <rFont val="Times New Roman"/>
        <family val="1"/>
      </rPr>
      <t>SERVICIO DE FARMACIA -HOSPITAL INT. DE NIÑOS – AV. VIRGEN DEL VALLE N° 1050-CATAMARCA DE 8:00 A 12:00HS., DEBIENDO CORRER LOS GASTOS DE FLETES, ACARREO, CARGA, DESCARGA Y SEGURO A CARGO DEL ADJUDICATARIO.</t>
    </r>
  </si>
  <si>
    <r>
      <t>Mantenimiento</t>
    </r>
    <r>
      <rPr>
        <sz val="10"/>
        <rFont val="Times New Roman"/>
        <family val="1"/>
      </rPr>
      <t xml:space="preserve">: 45 dias habiles </t>
    </r>
  </si>
  <si>
    <t>Para la adquisición de Insumos relacionados a Antidiabeticos e Insulinas destinados al Servicio de Farmacia del Hospital Interzonal de Niños Eva Peron, para el normal funcionamiento del organismo.</t>
  </si>
  <si>
    <t xml:space="preserve">Antidiabeticos e Insulinas </t>
  </si>
  <si>
    <t>100/2021</t>
  </si>
  <si>
    <t>GLIBENCLAMIDA 5 MG COMPRIMIDO</t>
  </si>
  <si>
    <t>INSULINA CORRIENTE HUMANA 100 UI FCO AMP 10 ML</t>
  </si>
  <si>
    <t>INSULINA NPH HUMANA 100 UI FCO AMP 10 ML</t>
  </si>
  <si>
    <t>METFORMINA 500 MG COMPRIMIDO</t>
  </si>
  <si>
    <t>METFORMINA 850 MG COMPRIMIDO</t>
  </si>
  <si>
    <r>
      <rPr>
        <u/>
        <sz val="10"/>
        <rFont val="Times New Roman"/>
        <family val="1"/>
      </rPr>
      <t>Plazo de entrega:</t>
    </r>
    <r>
      <rPr>
        <sz val="10"/>
        <rFont val="Times New Roman"/>
        <family val="1"/>
      </rPr>
      <t xml:space="preserve"> Dentro de los 20 días corridos de notificada la Orden de Compra</t>
    </r>
  </si>
  <si>
    <t>Costo total estimado: Veintinueve Mil Cuatrocientos Seis Con 00/100.</t>
  </si>
  <si>
    <t>TOTAL DE PESOS: VEINTINUEVE MIL CUATROCIENTOS SEIS CON 00/100.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</si>
</sst>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&quot;$&quot;#,##0.00;\-&quot;$&quot;#,##0.00"/>
    <numFmt numFmtId="165" formatCode="_(\$* #,##0.00_);_(\$* \(#,##0.00\);_(\$* \-??_);_(@_)"/>
    <numFmt numFmtId="166" formatCode="_-* #,##0.00&quot; €&quot;_-;\-* #,##0.00&quot; €&quot;_-;_-* \-??&quot; €&quot;_-;_-@_-"/>
    <numFmt numFmtId="167" formatCode="[$$-2C0A]\ #,##0.00;[$$-2C0A]&quot; -&quot;#,##0.00"/>
    <numFmt numFmtId="168" formatCode="[$$-2C0A]\ #,##0.00"/>
    <numFmt numFmtId="169" formatCode="dd\-mm\-yy;@"/>
    <numFmt numFmtId="170" formatCode="&quot;$&quot;\ #,##0.00"/>
  </numFmts>
  <fonts count="28" x14ac:knownFonts="1">
    <font>
      <sz val="10"/>
      <name val="Arial"/>
      <charset val="1"/>
    </font>
    <font>
      <sz val="11"/>
      <color theme="1"/>
      <name val="Calibri"/>
      <family val="2"/>
      <scheme val="minor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sz val="9"/>
      <color rgb="FF000000"/>
      <name val="Times New Roman"/>
      <family val="1"/>
    </font>
    <font>
      <u/>
      <sz val="10"/>
      <name val="Times New Roman"/>
      <family val="1"/>
    </font>
    <font>
      <b/>
      <sz val="12"/>
      <color rgb="FF000000"/>
      <name val="Times New Roman"/>
      <family val="1"/>
    </font>
    <font>
      <b/>
      <sz val="9"/>
      <color rgb="FF000000"/>
      <name val="Times New Roman"/>
      <family val="1"/>
    </font>
    <font>
      <sz val="9"/>
      <name val="Arial"/>
      <family val="2"/>
    </font>
    <font>
      <sz val="10"/>
      <color rgb="FF333333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00"/>
      </patternFill>
    </fill>
    <fill>
      <patternFill patternType="solid">
        <fgColor rgb="FFFFFFFF"/>
        <bgColor indexed="64"/>
      </patternFill>
    </fill>
  </fills>
  <borders count="63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 style="medium">
        <color rgb="FF3D3D3D"/>
      </right>
      <top style="medium">
        <color indexed="64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 style="medium">
        <color indexed="64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 style="medium">
        <color indexed="64"/>
      </top>
      <bottom/>
      <diagonal/>
    </border>
    <border>
      <left style="medium">
        <color rgb="FF3D3D3D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3D3D3D"/>
      </right>
      <top/>
      <bottom style="medium">
        <color indexed="64"/>
      </bottom>
      <diagonal/>
    </border>
    <border>
      <left style="thin">
        <color rgb="FF3D3D3D"/>
      </left>
      <right style="thin">
        <color rgb="FF3D3D3D"/>
      </right>
      <top/>
      <bottom style="medium">
        <color indexed="64"/>
      </bottom>
      <diagonal/>
    </border>
    <border>
      <left style="thin">
        <color rgb="FF3D3D3D"/>
      </left>
      <right/>
      <top/>
      <bottom style="medium">
        <color indexed="64"/>
      </bottom>
      <diagonal/>
    </border>
    <border>
      <left style="medium">
        <color rgb="FF3D3D3D"/>
      </left>
      <right style="medium">
        <color rgb="FF3D3D3D"/>
      </right>
      <top/>
      <bottom style="medium">
        <color indexed="64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indexed="64"/>
      </bottom>
      <diagonal/>
    </border>
    <border>
      <left style="medium">
        <color rgb="FF3D3D3D"/>
      </left>
      <right style="medium">
        <color indexed="64"/>
      </right>
      <top style="medium">
        <color rgb="FF3D3D3D"/>
      </top>
      <bottom style="medium">
        <color indexed="64"/>
      </bottom>
      <diagonal/>
    </border>
    <border>
      <left style="thin">
        <color rgb="FF3D3D3D"/>
      </left>
      <right style="medium">
        <color rgb="FF3D3D3D"/>
      </right>
      <top/>
      <bottom style="thin">
        <color rgb="FF3D3D3D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rgb="FF3D3D3D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</borders>
  <cellStyleXfs count="8">
    <xf numFmtId="0" fontId="0" fillId="0" borderId="0"/>
    <xf numFmtId="166" fontId="15" fillId="0" borderId="0" applyBorder="0" applyProtection="0"/>
    <xf numFmtId="0" fontId="2" fillId="0" borderId="1" applyProtection="0"/>
    <xf numFmtId="165" fontId="3" fillId="0" borderId="0" applyBorder="0" applyProtection="0"/>
    <xf numFmtId="0" fontId="4" fillId="2" borderId="0" applyBorder="0" applyProtection="0"/>
    <xf numFmtId="0" fontId="15" fillId="0" borderId="0"/>
    <xf numFmtId="43" fontId="1" fillId="0" borderId="0" applyFont="0" applyFill="0" applyBorder="0" applyAlignment="0" applyProtection="0"/>
    <xf numFmtId="0" fontId="15" fillId="0" borderId="0"/>
  </cellStyleXfs>
  <cellXfs count="152">
    <xf numFmtId="0" fontId="0" fillId="0" borderId="0" xfId="0"/>
    <xf numFmtId="0" fontId="0" fillId="0" borderId="0" xfId="0" applyBorder="1"/>
    <xf numFmtId="0" fontId="0" fillId="0" borderId="0" xfId="0" applyAlignment="1">
      <alignment horizontal="left"/>
    </xf>
    <xf numFmtId="3" fontId="10" fillId="0" borderId="0" xfId="0" applyNumberFormat="1" applyFont="1" applyBorder="1" applyAlignment="1"/>
    <xf numFmtId="169" fontId="0" fillId="0" borderId="0" xfId="0" applyNumberFormat="1" applyAlignment="1">
      <alignment horizontal="left"/>
    </xf>
    <xf numFmtId="0" fontId="3" fillId="0" borderId="0" xfId="0" applyFont="1"/>
    <xf numFmtId="0" fontId="0" fillId="0" borderId="12" xfId="0" applyBorder="1"/>
    <xf numFmtId="0" fontId="0" fillId="0" borderId="26" xfId="0" applyBorder="1"/>
    <xf numFmtId="0" fontId="0" fillId="0" borderId="14" xfId="0" applyBorder="1"/>
    <xf numFmtId="0" fontId="0" fillId="0" borderId="14" xfId="0" applyBorder="1" applyAlignment="1">
      <alignment horizontal="left"/>
    </xf>
    <xf numFmtId="0" fontId="0" fillId="0" borderId="27" xfId="0" applyBorder="1"/>
    <xf numFmtId="0" fontId="0" fillId="0" borderId="29" xfId="0" applyFont="1" applyBorder="1" applyAlignment="1">
      <alignment horizontal="center" vertical="center"/>
    </xf>
    <xf numFmtId="0" fontId="0" fillId="0" borderId="30" xfId="0" applyFont="1" applyBorder="1" applyAlignment="1">
      <alignment horizontal="center" vertical="center"/>
    </xf>
    <xf numFmtId="0" fontId="0" fillId="0" borderId="31" xfId="0" applyFont="1" applyBorder="1" applyAlignment="1">
      <alignment horizontal="center" vertical="center"/>
    </xf>
    <xf numFmtId="0" fontId="0" fillId="0" borderId="32" xfId="0" applyFont="1" applyBorder="1" applyAlignment="1">
      <alignment horizontal="center" vertical="center"/>
    </xf>
    <xf numFmtId="167" fontId="0" fillId="0" borderId="33" xfId="3" applyNumberFormat="1" applyFont="1" applyBorder="1" applyAlignment="1" applyProtection="1">
      <alignment horizontal="center" vertical="center"/>
    </xf>
    <xf numFmtId="0" fontId="12" fillId="0" borderId="29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12" fillId="0" borderId="31" xfId="0" applyFont="1" applyBorder="1" applyAlignment="1">
      <alignment horizontal="center" vertical="center"/>
    </xf>
    <xf numFmtId="0" fontId="12" fillId="0" borderId="32" xfId="0" applyFont="1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167" fontId="0" fillId="0" borderId="37" xfId="3" applyNumberFormat="1" applyFont="1" applyBorder="1" applyAlignment="1" applyProtection="1">
      <alignment horizontal="center" vertical="center"/>
    </xf>
    <xf numFmtId="167" fontId="14" fillId="0" borderId="38" xfId="0" applyNumberFormat="1" applyFont="1" applyBorder="1" applyAlignment="1">
      <alignment horizontal="center" vertical="center"/>
    </xf>
    <xf numFmtId="0" fontId="16" fillId="0" borderId="0" xfId="0" applyFont="1"/>
    <xf numFmtId="0" fontId="19" fillId="0" borderId="0" xfId="0" applyFont="1" applyAlignment="1">
      <alignment horizontal="left" wrapText="1"/>
    </xf>
    <xf numFmtId="0" fontId="19" fillId="0" borderId="0" xfId="0" applyFont="1" applyAlignment="1">
      <alignment horizontal="center" wrapText="1"/>
    </xf>
    <xf numFmtId="0" fontId="16" fillId="0" borderId="5" xfId="0" applyFont="1" applyBorder="1"/>
    <xf numFmtId="0" fontId="16" fillId="0" borderId="6" xfId="0" applyFont="1" applyBorder="1"/>
    <xf numFmtId="0" fontId="16" fillId="0" borderId="7" xfId="0" applyFont="1" applyBorder="1"/>
    <xf numFmtId="0" fontId="16" fillId="0" borderId="0" xfId="0" applyFont="1" applyBorder="1"/>
    <xf numFmtId="167" fontId="16" fillId="0" borderId="0" xfId="0" applyNumberFormat="1" applyFont="1"/>
    <xf numFmtId="0" fontId="6" fillId="3" borderId="12" xfId="0" applyFont="1" applyFill="1" applyBorder="1" applyAlignment="1">
      <alignment horizontal="right" vertical="center"/>
    </xf>
    <xf numFmtId="0" fontId="7" fillId="4" borderId="13" xfId="0" applyFont="1" applyFill="1" applyBorder="1" applyAlignment="1">
      <alignment horizontal="center" vertical="center"/>
    </xf>
    <xf numFmtId="0" fontId="3" fillId="3" borderId="0" xfId="0" applyFont="1" applyFill="1" applyBorder="1" applyAlignment="1">
      <alignment vertical="center"/>
    </xf>
    <xf numFmtId="0" fontId="0" fillId="3" borderId="0" xfId="0" applyFill="1"/>
    <xf numFmtId="0" fontId="6" fillId="3" borderId="14" xfId="0" applyFont="1" applyFill="1" applyBorder="1" applyAlignment="1">
      <alignment vertical="center"/>
    </xf>
    <xf numFmtId="0" fontId="6" fillId="3" borderId="0" xfId="0" applyFont="1" applyFill="1" applyBorder="1" applyAlignment="1">
      <alignment vertical="center"/>
    </xf>
    <xf numFmtId="0" fontId="8" fillId="3" borderId="0" xfId="0" applyFont="1" applyFill="1" applyBorder="1" applyAlignment="1">
      <alignment horizontal="left" vertical="center"/>
    </xf>
    <xf numFmtId="0" fontId="7" fillId="3" borderId="0" xfId="0" applyFont="1" applyFill="1" applyBorder="1" applyAlignment="1">
      <alignment horizontal="left" vertical="center" wrapText="1" indent="1"/>
    </xf>
    <xf numFmtId="0" fontId="24" fillId="4" borderId="0" xfId="0" applyFont="1" applyFill="1" applyAlignment="1">
      <alignment horizontal="left" wrapText="1" indent="1"/>
    </xf>
    <xf numFmtId="0" fontId="20" fillId="3" borderId="0" xfId="0" applyFont="1" applyFill="1" applyAlignment="1">
      <alignment horizontal="left" wrapText="1"/>
    </xf>
    <xf numFmtId="0" fontId="5" fillId="3" borderId="42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left" vertical="center"/>
    </xf>
    <xf numFmtId="0" fontId="5" fillId="4" borderId="2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 wrapText="1"/>
    </xf>
    <xf numFmtId="167" fontId="5" fillId="3" borderId="2" xfId="1" applyNumberFormat="1" applyFont="1" applyFill="1" applyBorder="1" applyAlignment="1" applyProtection="1">
      <alignment horizontal="right" vertical="center" wrapText="1"/>
    </xf>
    <xf numFmtId="3" fontId="5" fillId="3" borderId="3" xfId="0" applyNumberFormat="1" applyFont="1" applyFill="1" applyBorder="1" applyAlignment="1">
      <alignment horizontal="center" vertical="center"/>
    </xf>
    <xf numFmtId="168" fontId="16" fillId="0" borderId="0" xfId="0" applyNumberFormat="1" applyFont="1"/>
    <xf numFmtId="170" fontId="21" fillId="0" borderId="0" xfId="0" applyNumberFormat="1" applyFont="1"/>
    <xf numFmtId="170" fontId="22" fillId="0" borderId="0" xfId="0" applyNumberFormat="1" applyFont="1" applyAlignment="1">
      <alignment horizontal="left" wrapText="1"/>
    </xf>
    <xf numFmtId="168" fontId="3" fillId="3" borderId="0" xfId="0" applyNumberFormat="1" applyFont="1" applyFill="1" applyBorder="1" applyAlignment="1">
      <alignment vertical="center"/>
    </xf>
    <xf numFmtId="0" fontId="16" fillId="0" borderId="0" xfId="0" applyFont="1" applyFill="1"/>
    <xf numFmtId="170" fontId="21" fillId="0" borderId="0" xfId="0" applyNumberFormat="1" applyFont="1" applyFill="1"/>
    <xf numFmtId="0" fontId="0" fillId="0" borderId="29" xfId="0" applyFont="1" applyFill="1" applyBorder="1" applyAlignment="1">
      <alignment horizontal="center" vertical="center"/>
    </xf>
    <xf numFmtId="0" fontId="0" fillId="0" borderId="30" xfId="0" applyFont="1" applyFill="1" applyBorder="1" applyAlignment="1">
      <alignment horizontal="center" vertical="center"/>
    </xf>
    <xf numFmtId="0" fontId="0" fillId="0" borderId="31" xfId="0" applyFont="1" applyFill="1" applyBorder="1" applyAlignment="1">
      <alignment horizontal="center" vertical="center"/>
    </xf>
    <xf numFmtId="0" fontId="15" fillId="0" borderId="30" xfId="0" applyFont="1" applyFill="1" applyBorder="1" applyAlignment="1">
      <alignment horizontal="center" vertical="center"/>
    </xf>
    <xf numFmtId="0" fontId="14" fillId="0" borderId="47" xfId="0" applyFont="1" applyBorder="1" applyAlignment="1">
      <alignment horizontal="center" vertical="center"/>
    </xf>
    <xf numFmtId="0" fontId="14" fillId="0" borderId="48" xfId="0" applyFont="1" applyBorder="1" applyAlignment="1">
      <alignment horizontal="center" vertical="center"/>
    </xf>
    <xf numFmtId="0" fontId="14" fillId="0" borderId="48" xfId="0" applyFont="1" applyBorder="1" applyAlignment="1">
      <alignment horizontal="left" vertical="center"/>
    </xf>
    <xf numFmtId="0" fontId="14" fillId="0" borderId="49" xfId="0" applyFont="1" applyBorder="1" applyAlignment="1">
      <alignment horizontal="center" vertical="center"/>
    </xf>
    <xf numFmtId="0" fontId="14" fillId="0" borderId="50" xfId="0" applyFont="1" applyBorder="1" applyAlignment="1">
      <alignment horizontal="center" vertical="center"/>
    </xf>
    <xf numFmtId="167" fontId="0" fillId="0" borderId="53" xfId="3" applyNumberFormat="1" applyFont="1" applyBorder="1" applyAlignment="1" applyProtection="1">
      <alignment horizontal="center" vertical="center"/>
    </xf>
    <xf numFmtId="0" fontId="15" fillId="0" borderId="32" xfId="0" applyFont="1" applyBorder="1" applyAlignment="1">
      <alignment horizontal="center" vertical="center"/>
    </xf>
    <xf numFmtId="0" fontId="0" fillId="0" borderId="56" xfId="0" applyBorder="1"/>
    <xf numFmtId="0" fontId="21" fillId="0" borderId="57" xfId="0" applyFont="1" applyBorder="1" applyAlignment="1">
      <alignment horizontal="center" vertical="center"/>
    </xf>
    <xf numFmtId="167" fontId="21" fillId="4" borderId="58" xfId="1" applyNumberFormat="1" applyFont="1" applyFill="1" applyBorder="1" applyAlignment="1" applyProtection="1">
      <alignment horizontal="right" vertical="center" wrapText="1"/>
    </xf>
    <xf numFmtId="0" fontId="5" fillId="3" borderId="57" xfId="0" applyFont="1" applyFill="1" applyBorder="1" applyAlignment="1">
      <alignment horizontal="center" vertical="center"/>
    </xf>
    <xf numFmtId="0" fontId="5" fillId="3" borderId="56" xfId="0" applyFont="1" applyFill="1" applyBorder="1" applyAlignment="1">
      <alignment horizontal="left" vertical="center"/>
    </xf>
    <xf numFmtId="3" fontId="5" fillId="3" borderId="58" xfId="0" applyNumberFormat="1" applyFont="1" applyFill="1" applyBorder="1" applyAlignment="1">
      <alignment horizontal="center" vertical="center"/>
    </xf>
    <xf numFmtId="167" fontId="5" fillId="3" borderId="56" xfId="1" applyNumberFormat="1" applyFont="1" applyFill="1" applyBorder="1" applyAlignment="1" applyProtection="1">
      <alignment horizontal="right" vertical="center" wrapText="1"/>
    </xf>
    <xf numFmtId="0" fontId="5" fillId="4" borderId="56" xfId="0" applyFont="1" applyFill="1" applyBorder="1" applyAlignment="1">
      <alignment horizontal="center" vertical="center"/>
    </xf>
    <xf numFmtId="0" fontId="5" fillId="3" borderId="56" xfId="0" applyFont="1" applyFill="1" applyBorder="1" applyAlignment="1">
      <alignment horizontal="center" vertical="center" wrapText="1"/>
    </xf>
    <xf numFmtId="0" fontId="16" fillId="0" borderId="0" xfId="0" applyFont="1" applyFill="1" applyBorder="1"/>
    <xf numFmtId="0" fontId="21" fillId="0" borderId="61" xfId="0" applyFont="1" applyBorder="1" applyAlignment="1">
      <alignment horizontal="center" vertical="center"/>
    </xf>
    <xf numFmtId="0" fontId="0" fillId="0" borderId="60" xfId="0" applyBorder="1"/>
    <xf numFmtId="167" fontId="21" fillId="4" borderId="62" xfId="1" applyNumberFormat="1" applyFont="1" applyFill="1" applyBorder="1" applyAlignment="1" applyProtection="1">
      <alignment horizontal="right" vertical="center" wrapText="1"/>
    </xf>
    <xf numFmtId="0" fontId="20" fillId="0" borderId="16" xfId="0" applyFont="1" applyBorder="1" applyAlignment="1">
      <alignment horizontal="center" vertical="center" wrapText="1"/>
    </xf>
    <xf numFmtId="170" fontId="25" fillId="0" borderId="16" xfId="0" applyNumberFormat="1" applyFont="1" applyBorder="1" applyAlignment="1">
      <alignment horizontal="center" vertical="center" wrapText="1"/>
    </xf>
    <xf numFmtId="0" fontId="19" fillId="0" borderId="56" xfId="0" applyFont="1" applyBorder="1" applyAlignment="1">
      <alignment vertical="center" wrapText="1"/>
    </xf>
    <xf numFmtId="0" fontId="27" fillId="0" borderId="56" xfId="0" applyFont="1" applyFill="1" applyBorder="1" applyAlignment="1">
      <alignment horizontal="center" vertical="center" wrapText="1"/>
    </xf>
    <xf numFmtId="0" fontId="19" fillId="0" borderId="56" xfId="0" applyFont="1" applyFill="1" applyBorder="1" applyAlignment="1">
      <alignment vertical="center" wrapText="1"/>
    </xf>
    <xf numFmtId="0" fontId="19" fillId="5" borderId="56" xfId="0" applyFont="1" applyFill="1" applyBorder="1" applyAlignment="1">
      <alignment vertical="center" wrapText="1"/>
    </xf>
    <xf numFmtId="164" fontId="16" fillId="0" borderId="56" xfId="1" applyNumberFormat="1" applyFont="1" applyFill="1" applyBorder="1" applyAlignment="1">
      <alignment horizontal="center" vertical="center" wrapText="1"/>
    </xf>
    <xf numFmtId="0" fontId="23" fillId="0" borderId="4" xfId="0" applyFont="1" applyBorder="1" applyAlignment="1">
      <alignment horizontal="left" indent="3"/>
    </xf>
    <xf numFmtId="0" fontId="23" fillId="0" borderId="9" xfId="0" applyFont="1" applyBorder="1" applyAlignment="1"/>
    <xf numFmtId="0" fontId="16" fillId="0" borderId="10" xfId="0" applyFont="1" applyBorder="1" applyAlignment="1">
      <alignment horizontal="center" wrapText="1"/>
    </xf>
    <xf numFmtId="0" fontId="16" fillId="0" borderId="10" xfId="0" applyFont="1" applyFill="1" applyBorder="1" applyAlignment="1">
      <alignment horizontal="center" wrapText="1"/>
    </xf>
    <xf numFmtId="0" fontId="16" fillId="0" borderId="11" xfId="0" applyFont="1" applyBorder="1" applyAlignment="1">
      <alignment horizontal="center" wrapText="1"/>
    </xf>
    <xf numFmtId="0" fontId="16" fillId="0" borderId="7" xfId="0" applyFont="1" applyFill="1" applyBorder="1"/>
    <xf numFmtId="0" fontId="16" fillId="0" borderId="0" xfId="0" applyFont="1" applyBorder="1" applyAlignment="1">
      <alignment horizontal="left" indent="3"/>
    </xf>
    <xf numFmtId="0" fontId="19" fillId="0" borderId="60" xfId="0" applyFont="1" applyBorder="1" applyAlignment="1">
      <alignment vertical="center" wrapText="1"/>
    </xf>
    <xf numFmtId="0" fontId="27" fillId="0" borderId="60" xfId="0" applyFont="1" applyFill="1" applyBorder="1" applyAlignment="1">
      <alignment horizontal="center" vertical="center" wrapText="1"/>
    </xf>
    <xf numFmtId="0" fontId="19" fillId="5" borderId="60" xfId="0" applyFont="1" applyFill="1" applyBorder="1" applyAlignment="1">
      <alignment vertical="center" wrapText="1"/>
    </xf>
    <xf numFmtId="3" fontId="16" fillId="0" borderId="60" xfId="0" applyNumberFormat="1" applyFont="1" applyFill="1" applyBorder="1" applyAlignment="1">
      <alignment horizontal="center" vertical="center" wrapText="1"/>
    </xf>
    <xf numFmtId="3" fontId="16" fillId="0" borderId="56" xfId="0" applyNumberFormat="1" applyFont="1" applyFill="1" applyBorder="1" applyAlignment="1">
      <alignment horizontal="center" vertical="center" wrapText="1"/>
    </xf>
    <xf numFmtId="164" fontId="16" fillId="0" borderId="60" xfId="1" applyNumberFormat="1" applyFont="1" applyFill="1" applyBorder="1" applyAlignment="1">
      <alignment horizontal="center" vertical="center" wrapText="1"/>
    </xf>
    <xf numFmtId="167" fontId="0" fillId="0" borderId="0" xfId="0" applyNumberFormat="1"/>
    <xf numFmtId="0" fontId="16" fillId="4" borderId="7" xfId="5" applyFont="1" applyFill="1" applyBorder="1" applyAlignment="1">
      <alignment horizontal="left" wrapText="1"/>
    </xf>
    <xf numFmtId="0" fontId="16" fillId="4" borderId="0" xfId="5" applyFont="1" applyFill="1" applyBorder="1" applyAlignment="1">
      <alignment horizontal="left" wrapText="1"/>
    </xf>
    <xf numFmtId="0" fontId="16" fillId="4" borderId="8" xfId="5" applyFont="1" applyFill="1" applyBorder="1" applyAlignment="1">
      <alignment horizontal="left" wrapText="1"/>
    </xf>
    <xf numFmtId="0" fontId="18" fillId="0" borderId="0" xfId="0" applyFont="1" applyBorder="1" applyAlignment="1">
      <alignment horizontal="left" vertical="center" wrapText="1"/>
    </xf>
    <xf numFmtId="0" fontId="17" fillId="0" borderId="0" xfId="0" applyFont="1" applyBorder="1" applyAlignment="1">
      <alignment horizontal="center"/>
    </xf>
    <xf numFmtId="0" fontId="24" fillId="4" borderId="0" xfId="0" applyFont="1" applyFill="1" applyBorder="1" applyAlignment="1">
      <alignment horizontal="left" wrapText="1" indent="1"/>
    </xf>
    <xf numFmtId="0" fontId="8" fillId="3" borderId="18" xfId="0" applyFont="1" applyFill="1" applyBorder="1" applyAlignment="1">
      <alignment horizontal="left" vertical="center"/>
    </xf>
    <xf numFmtId="0" fontId="7" fillId="4" borderId="19" xfId="0" applyFont="1" applyFill="1" applyBorder="1" applyAlignment="1">
      <alignment horizontal="left" vertical="center" wrapText="1" indent="1"/>
    </xf>
    <xf numFmtId="0" fontId="9" fillId="3" borderId="18" xfId="0" applyFont="1" applyFill="1" applyBorder="1" applyAlignment="1">
      <alignment horizontal="center" vertical="center"/>
    </xf>
    <xf numFmtId="0" fontId="6" fillId="3" borderId="0" xfId="0" applyFont="1" applyFill="1" applyBorder="1" applyAlignment="1">
      <alignment horizontal="center" vertical="center"/>
    </xf>
    <xf numFmtId="0" fontId="8" fillId="3" borderId="15" xfId="0" applyFont="1" applyFill="1" applyBorder="1" applyAlignment="1">
      <alignment horizontal="left" vertical="center" wrapText="1"/>
    </xf>
    <xf numFmtId="0" fontId="7" fillId="3" borderId="16" xfId="0" applyFont="1" applyFill="1" applyBorder="1" applyAlignment="1">
      <alignment horizontal="left" vertical="center" wrapText="1" indent="1"/>
    </xf>
    <xf numFmtId="0" fontId="8" fillId="3" borderId="17" xfId="0" applyFont="1" applyFill="1" applyBorder="1" applyAlignment="1">
      <alignment horizontal="left" vertical="center" wrapText="1"/>
    </xf>
    <xf numFmtId="0" fontId="9" fillId="3" borderId="19" xfId="0" applyFont="1" applyFill="1" applyBorder="1" applyAlignment="1">
      <alignment horizontal="center" vertical="center" wrapText="1"/>
    </xf>
    <xf numFmtId="0" fontId="9" fillId="3" borderId="20" xfId="0" applyFont="1" applyFill="1" applyBorder="1" applyAlignment="1">
      <alignment horizontal="center" vertical="center" wrapText="1"/>
    </xf>
    <xf numFmtId="168" fontId="8" fillId="3" borderId="16" xfId="0" applyNumberFormat="1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left" vertical="center" wrapText="1"/>
    </xf>
    <xf numFmtId="0" fontId="5" fillId="3" borderId="59" xfId="0" applyFont="1" applyFill="1" applyBorder="1" applyAlignment="1">
      <alignment horizontal="left" vertical="center" wrapText="1"/>
    </xf>
    <xf numFmtId="0" fontId="5" fillId="3" borderId="56" xfId="0" applyFont="1" applyFill="1" applyBorder="1" applyAlignment="1">
      <alignment horizontal="left" vertical="center" wrapText="1"/>
    </xf>
    <xf numFmtId="0" fontId="0" fillId="0" borderId="21" xfId="0" applyFont="1" applyBorder="1" applyAlignment="1">
      <alignment horizontal="center"/>
    </xf>
    <xf numFmtId="3" fontId="10" fillId="0" borderId="22" xfId="0" applyNumberFormat="1" applyFont="1" applyBorder="1" applyAlignment="1">
      <alignment horizontal="center"/>
    </xf>
    <xf numFmtId="0" fontId="11" fillId="0" borderId="13" xfId="0" applyFont="1" applyBorder="1" applyAlignment="1">
      <alignment horizontal="center" vertical="center" wrapText="1"/>
    </xf>
    <xf numFmtId="0" fontId="3" fillId="0" borderId="13" xfId="0" applyFont="1" applyBorder="1"/>
    <xf numFmtId="0" fontId="12" fillId="0" borderId="13" xfId="0" applyFont="1" applyBorder="1" applyAlignment="1">
      <alignment horizontal="left" indent="1"/>
    </xf>
    <xf numFmtId="0" fontId="5" fillId="0" borderId="15" xfId="0" applyFont="1" applyBorder="1" applyAlignment="1">
      <alignment horizontal="left" vertical="center" wrapText="1"/>
    </xf>
    <xf numFmtId="0" fontId="5" fillId="0" borderId="40" xfId="0" applyFont="1" applyBorder="1" applyAlignment="1">
      <alignment horizontal="left" vertical="center" wrapText="1"/>
    </xf>
    <xf numFmtId="0" fontId="5" fillId="0" borderId="41" xfId="0" applyFont="1" applyBorder="1" applyAlignment="1">
      <alignment horizontal="left" vertical="center" wrapText="1"/>
    </xf>
    <xf numFmtId="0" fontId="13" fillId="0" borderId="13" xfId="0" applyFont="1" applyBorder="1" applyAlignment="1">
      <alignment horizontal="left"/>
    </xf>
    <xf numFmtId="0" fontId="12" fillId="0" borderId="24" xfId="0" applyFont="1" applyBorder="1"/>
    <xf numFmtId="0" fontId="12" fillId="0" borderId="25" xfId="0" applyFont="1" applyBorder="1" applyAlignment="1">
      <alignment horizontal="left" vertical="center" wrapText="1" indent="1"/>
    </xf>
    <xf numFmtId="0" fontId="14" fillId="0" borderId="23" xfId="0" applyFont="1" applyBorder="1" applyAlignment="1">
      <alignment horizontal="center" vertical="center"/>
    </xf>
    <xf numFmtId="0" fontId="14" fillId="0" borderId="43" xfId="0" applyFont="1" applyBorder="1" applyAlignment="1">
      <alignment horizontal="center" vertical="center"/>
    </xf>
    <xf numFmtId="0" fontId="14" fillId="0" borderId="44" xfId="0" applyFont="1" applyBorder="1" applyAlignment="1">
      <alignment horizontal="center" vertical="center"/>
    </xf>
    <xf numFmtId="0" fontId="14" fillId="0" borderId="45" xfId="0" applyFont="1" applyBorder="1" applyAlignment="1">
      <alignment horizontal="center" vertical="center" wrapText="1"/>
    </xf>
    <xf numFmtId="0" fontId="14" fillId="0" borderId="46" xfId="0" applyFont="1" applyBorder="1" applyAlignment="1">
      <alignment horizontal="center" vertical="center" wrapText="1"/>
    </xf>
    <xf numFmtId="0" fontId="14" fillId="0" borderId="51" xfId="0" applyFont="1" applyBorder="1" applyAlignment="1">
      <alignment horizontal="center" vertical="center" wrapText="1"/>
    </xf>
    <xf numFmtId="0" fontId="14" fillId="0" borderId="52" xfId="0" applyFont="1" applyBorder="1" applyAlignment="1">
      <alignment horizontal="center" vertical="center" wrapText="1"/>
    </xf>
    <xf numFmtId="0" fontId="14" fillId="0" borderId="54" xfId="0" applyFont="1" applyBorder="1" applyAlignment="1">
      <alignment horizontal="center" vertical="center"/>
    </xf>
    <xf numFmtId="0" fontId="14" fillId="0" borderId="55" xfId="0" applyFont="1" applyBorder="1" applyAlignment="1">
      <alignment horizontal="center" vertical="center"/>
    </xf>
    <xf numFmtId="0" fontId="26" fillId="0" borderId="30" xfId="0" applyFont="1" applyFill="1" applyBorder="1" applyAlignment="1">
      <alignment horizontal="left" vertical="center" wrapText="1"/>
    </xf>
    <xf numFmtId="0" fontId="15" fillId="0" borderId="32" xfId="0" applyFont="1" applyBorder="1" applyAlignment="1">
      <alignment horizontal="left" vertical="center"/>
    </xf>
    <xf numFmtId="0" fontId="0" fillId="0" borderId="32" xfId="0" applyFont="1" applyBorder="1" applyAlignment="1">
      <alignment horizontal="left" vertical="center"/>
    </xf>
    <xf numFmtId="0" fontId="10" fillId="0" borderId="21" xfId="0" applyFont="1" applyBorder="1" applyAlignment="1">
      <alignment vertical="center" wrapText="1"/>
    </xf>
    <xf numFmtId="0" fontId="10" fillId="0" borderId="39" xfId="0" applyFont="1" applyBorder="1" applyAlignment="1">
      <alignment vertical="center" wrapText="1"/>
    </xf>
    <xf numFmtId="0" fontId="10" fillId="0" borderId="19" xfId="0" applyFont="1" applyBorder="1" applyAlignment="1">
      <alignment vertical="center" wrapText="1"/>
    </xf>
    <xf numFmtId="0" fontId="12" fillId="0" borderId="28" xfId="0" applyFont="1" applyBorder="1" applyAlignment="1">
      <alignment vertical="center" wrapText="1"/>
    </xf>
    <xf numFmtId="0" fontId="12" fillId="4" borderId="38" xfId="0" applyFont="1" applyFill="1" applyBorder="1" applyAlignment="1">
      <alignment horizontal="left" vertical="center" wrapText="1" indent="1"/>
    </xf>
    <xf numFmtId="0" fontId="0" fillId="0" borderId="32" xfId="0" applyBorder="1" applyAlignment="1">
      <alignment horizontal="left" vertical="center"/>
    </xf>
    <xf numFmtId="0" fontId="0" fillId="0" borderId="35" xfId="0" applyBorder="1" applyAlignment="1">
      <alignment horizontal="left" vertical="center"/>
    </xf>
    <xf numFmtId="0" fontId="10" fillId="0" borderId="38" xfId="0" applyFont="1" applyBorder="1" applyAlignment="1">
      <alignment horizontal="left" vertical="center" wrapText="1"/>
    </xf>
    <xf numFmtId="0" fontId="0" fillId="0" borderId="23" xfId="0" applyBorder="1"/>
  </cellXfs>
  <cellStyles count="8">
    <cellStyle name="Encabezado 1" xfId="2" xr:uid="{00000000-0005-0000-0000-000000000000}"/>
    <cellStyle name="Millares 2" xfId="6" xr:uid="{00000000-0005-0000-0000-000001000000}"/>
    <cellStyle name="Moneda" xfId="1" builtinId="4"/>
    <cellStyle name="Moneda_AUTORIZACION Y NOTA DE PEDIDO" xfId="3" xr:uid="{00000000-0005-0000-0000-000003000000}"/>
    <cellStyle name="Neutral 1" xfId="4" xr:uid="{00000000-0005-0000-0000-000004000000}"/>
    <cellStyle name="Normal" xfId="0" builtinId="0"/>
    <cellStyle name="Normal 2 3" xfId="5" xr:uid="{00000000-0005-0000-0000-000006000000}"/>
    <cellStyle name="Normal 4" xfId="7" xr:uid="{00000000-0005-0000-0000-000007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J25"/>
  <sheetViews>
    <sheetView tabSelected="1" zoomScale="93" zoomScaleNormal="93" workbookViewId="0">
      <selection activeCell="H18" sqref="H18"/>
    </sheetView>
  </sheetViews>
  <sheetFormatPr baseColWidth="10" defaultColWidth="11" defaultRowHeight="12.75" x14ac:dyDescent="0.2"/>
  <cols>
    <col min="1" max="1" width="6.42578125" style="26" customWidth="1"/>
    <col min="2" max="2" width="11.5703125" style="26" customWidth="1"/>
    <col min="3" max="3" width="28.42578125" style="26" customWidth="1"/>
    <col min="4" max="4" width="8.42578125" style="26" customWidth="1"/>
    <col min="5" max="5" width="57.7109375" style="26" customWidth="1"/>
    <col min="6" max="6" width="11" style="26"/>
    <col min="7" max="7" width="10.42578125" style="26" bestFit="1" customWidth="1"/>
    <col min="8" max="8" width="13.85546875" style="51" customWidth="1"/>
    <col min="9" max="9" width="18.5703125" style="26" customWidth="1"/>
    <col min="10" max="11" width="11" style="26"/>
    <col min="12" max="12" width="13.140625" style="26" customWidth="1"/>
    <col min="13" max="16384" width="11" style="26"/>
  </cols>
  <sheetData>
    <row r="2" spans="1:10" ht="27" x14ac:dyDescent="0.35">
      <c r="B2" s="105" t="s">
        <v>0</v>
      </c>
      <c r="C2" s="105"/>
      <c r="D2" s="105"/>
      <c r="E2" s="105"/>
      <c r="F2" s="105"/>
      <c r="G2" s="105"/>
      <c r="H2" s="105"/>
    </row>
    <row r="3" spans="1:10" ht="12" customHeight="1" x14ac:dyDescent="0.2"/>
    <row r="4" spans="1:10" ht="18" customHeight="1" x14ac:dyDescent="0.25">
      <c r="A4" s="104" t="s">
        <v>1</v>
      </c>
      <c r="B4" s="104"/>
      <c r="C4" s="106" t="s">
        <v>52</v>
      </c>
      <c r="D4" s="106"/>
      <c r="E4" s="106"/>
      <c r="F4" s="27"/>
      <c r="G4" s="28"/>
      <c r="H4" s="52"/>
    </row>
    <row r="5" spans="1:10" ht="18" customHeight="1" x14ac:dyDescent="0.25">
      <c r="A5" s="104" t="s">
        <v>2</v>
      </c>
      <c r="B5" s="104"/>
      <c r="C5" s="106" t="s">
        <v>51</v>
      </c>
      <c r="D5" s="106"/>
      <c r="E5" s="106"/>
      <c r="F5" s="27"/>
      <c r="G5" s="28" t="s">
        <v>55</v>
      </c>
      <c r="H5" s="52"/>
    </row>
    <row r="6" spans="1:10" ht="16.5" customHeight="1" x14ac:dyDescent="0.25">
      <c r="A6" s="104" t="s">
        <v>3</v>
      </c>
      <c r="B6" s="104"/>
      <c r="C6" s="42">
        <v>2021</v>
      </c>
      <c r="D6" s="43"/>
      <c r="E6" s="43"/>
      <c r="F6" s="27"/>
      <c r="G6" s="28"/>
      <c r="H6" s="52"/>
    </row>
    <row r="7" spans="1:10" ht="16.5" customHeight="1" x14ac:dyDescent="0.25">
      <c r="A7" s="104" t="s">
        <v>4</v>
      </c>
      <c r="B7" s="104"/>
      <c r="C7" s="42">
        <v>3</v>
      </c>
      <c r="D7" s="43"/>
      <c r="E7" s="43"/>
      <c r="F7" s="27"/>
      <c r="G7" s="28"/>
      <c r="H7" s="52"/>
    </row>
    <row r="8" spans="1:10" ht="13.5" thickBot="1" x14ac:dyDescent="0.25">
      <c r="B8" s="27"/>
      <c r="C8" s="28"/>
      <c r="D8" s="27"/>
      <c r="E8" s="27"/>
      <c r="F8" s="27"/>
      <c r="G8" s="28"/>
      <c r="H8" s="52"/>
      <c r="J8" s="50"/>
    </row>
    <row r="9" spans="1:10" ht="36.75" thickBot="1" x14ac:dyDescent="0.25">
      <c r="A9" s="80" t="s">
        <v>5</v>
      </c>
      <c r="B9" s="80" t="s">
        <v>6</v>
      </c>
      <c r="C9" s="80" t="s">
        <v>7</v>
      </c>
      <c r="D9" s="80" t="s">
        <v>8</v>
      </c>
      <c r="E9" s="80" t="s">
        <v>9</v>
      </c>
      <c r="F9" s="80" t="s">
        <v>10</v>
      </c>
      <c r="G9" s="80" t="s">
        <v>11</v>
      </c>
      <c r="H9" s="81" t="s">
        <v>12</v>
      </c>
      <c r="I9" s="80" t="s">
        <v>13</v>
      </c>
    </row>
    <row r="10" spans="1:10" ht="25.5" x14ac:dyDescent="0.2">
      <c r="A10" s="77">
        <v>1</v>
      </c>
      <c r="B10" s="78"/>
      <c r="C10" s="94" t="s">
        <v>58</v>
      </c>
      <c r="D10" s="95">
        <v>252</v>
      </c>
      <c r="E10" s="96" t="s">
        <v>66</v>
      </c>
      <c r="F10" s="95" t="s">
        <v>59</v>
      </c>
      <c r="G10" s="97">
        <v>200</v>
      </c>
      <c r="H10" s="99">
        <v>4.2</v>
      </c>
      <c r="I10" s="79">
        <f>+G10*H10</f>
        <v>840</v>
      </c>
    </row>
    <row r="11" spans="1:10" ht="25.5" x14ac:dyDescent="0.2">
      <c r="A11" s="68">
        <v>2</v>
      </c>
      <c r="B11" s="67"/>
      <c r="C11" s="94" t="s">
        <v>58</v>
      </c>
      <c r="D11" s="95">
        <v>252</v>
      </c>
      <c r="E11" s="84" t="s">
        <v>67</v>
      </c>
      <c r="F11" s="83" t="s">
        <v>59</v>
      </c>
      <c r="G11" s="98">
        <v>10</v>
      </c>
      <c r="H11" s="86">
        <v>1668</v>
      </c>
      <c r="I11" s="69">
        <f t="shared" ref="I11:I14" si="0">+G11*H11</f>
        <v>16680</v>
      </c>
    </row>
    <row r="12" spans="1:10" ht="25.5" x14ac:dyDescent="0.2">
      <c r="A12" s="68">
        <v>3</v>
      </c>
      <c r="B12" s="67"/>
      <c r="C12" s="94" t="s">
        <v>58</v>
      </c>
      <c r="D12" s="95">
        <v>252</v>
      </c>
      <c r="E12" s="82" t="s">
        <v>68</v>
      </c>
      <c r="F12" s="83" t="s">
        <v>59</v>
      </c>
      <c r="G12" s="98">
        <v>10</v>
      </c>
      <c r="H12" s="86">
        <v>1010</v>
      </c>
      <c r="I12" s="69">
        <f t="shared" si="0"/>
        <v>10100</v>
      </c>
    </row>
    <row r="13" spans="1:10" ht="25.5" x14ac:dyDescent="0.2">
      <c r="A13" s="68">
        <v>4</v>
      </c>
      <c r="B13" s="67"/>
      <c r="C13" s="94" t="s">
        <v>58</v>
      </c>
      <c r="D13" s="95">
        <v>252</v>
      </c>
      <c r="E13" s="85" t="s">
        <v>69</v>
      </c>
      <c r="F13" s="83" t="s">
        <v>59</v>
      </c>
      <c r="G13" s="98">
        <v>200</v>
      </c>
      <c r="H13" s="86">
        <v>3.73</v>
      </c>
      <c r="I13" s="69">
        <f t="shared" si="0"/>
        <v>746</v>
      </c>
    </row>
    <row r="14" spans="1:10" ht="25.5" x14ac:dyDescent="0.2">
      <c r="A14" s="68">
        <v>5</v>
      </c>
      <c r="B14" s="67"/>
      <c r="C14" s="94" t="s">
        <v>58</v>
      </c>
      <c r="D14" s="95">
        <v>252</v>
      </c>
      <c r="E14" s="85" t="s">
        <v>70</v>
      </c>
      <c r="F14" s="83" t="s">
        <v>59</v>
      </c>
      <c r="G14" s="98">
        <v>200</v>
      </c>
      <c r="H14" s="86">
        <v>5.2</v>
      </c>
      <c r="I14" s="69">
        <f t="shared" si="0"/>
        <v>1040</v>
      </c>
    </row>
    <row r="15" spans="1:10" x14ac:dyDescent="0.2">
      <c r="I15" s="33"/>
    </row>
    <row r="16" spans="1:10" ht="13.5" thickBot="1" x14ac:dyDescent="0.25">
      <c r="I16" s="33"/>
    </row>
    <row r="17" spans="1:8" x14ac:dyDescent="0.2">
      <c r="B17" s="87" t="s">
        <v>60</v>
      </c>
      <c r="C17" s="29"/>
      <c r="D17" s="29"/>
      <c r="E17" s="30"/>
    </row>
    <row r="18" spans="1:8" ht="19.5" customHeight="1" x14ac:dyDescent="0.2">
      <c r="B18" s="101" t="s">
        <v>61</v>
      </c>
      <c r="C18" s="102"/>
      <c r="D18" s="102"/>
      <c r="E18" s="103"/>
      <c r="F18" s="31"/>
      <c r="G18" s="32"/>
    </row>
    <row r="19" spans="1:8" ht="20.25" customHeight="1" x14ac:dyDescent="0.2">
      <c r="B19" s="101"/>
      <c r="C19" s="102"/>
      <c r="D19" s="102"/>
      <c r="E19" s="103"/>
      <c r="F19" s="31"/>
      <c r="G19" s="32"/>
    </row>
    <row r="20" spans="1:8" ht="12.75" customHeight="1" x14ac:dyDescent="0.2">
      <c r="B20" s="101" t="s">
        <v>71</v>
      </c>
      <c r="C20" s="102"/>
      <c r="D20" s="102"/>
      <c r="E20" s="103"/>
      <c r="F20" s="31"/>
      <c r="G20" s="32"/>
    </row>
    <row r="21" spans="1:8" s="54" customFormat="1" ht="13.5" thickBot="1" x14ac:dyDescent="0.25">
      <c r="A21" s="26"/>
      <c r="B21" s="88" t="s">
        <v>62</v>
      </c>
      <c r="C21" s="89"/>
      <c r="D21" s="90"/>
      <c r="E21" s="91"/>
      <c r="F21" s="92"/>
      <c r="G21" s="76"/>
      <c r="H21" s="55"/>
    </row>
    <row r="22" spans="1:8" x14ac:dyDescent="0.2">
      <c r="A22" s="93"/>
      <c r="B22" s="32"/>
      <c r="C22" s="32"/>
      <c r="D22" s="32"/>
      <c r="E22" s="32"/>
      <c r="F22" s="32"/>
      <c r="G22" s="32"/>
    </row>
    <row r="23" spans="1:8" ht="12" customHeight="1" x14ac:dyDescent="0.2"/>
    <row r="25" spans="1:8" x14ac:dyDescent="0.2">
      <c r="E25" s="26" t="s">
        <v>55</v>
      </c>
    </row>
  </sheetData>
  <autoFilter ref="A9:I14" xr:uid="{00000000-0009-0000-0000-000000000000}"/>
  <mergeCells count="9">
    <mergeCell ref="B18:E19"/>
    <mergeCell ref="B20:E20"/>
    <mergeCell ref="A6:B6"/>
    <mergeCell ref="A7:B7"/>
    <mergeCell ref="B2:H2"/>
    <mergeCell ref="A4:B4"/>
    <mergeCell ref="C4:E4"/>
    <mergeCell ref="A5:B5"/>
    <mergeCell ref="C5:E5"/>
  </mergeCells>
  <printOptions horizontalCentered="1"/>
  <pageMargins left="0.11811023622047245" right="0.11811023622047245" top="0.74803149606299213" bottom="0.35433070866141736" header="0.11811023622047245" footer="0"/>
  <pageSetup paperSize="5" firstPageNumber="0" fitToWidth="2" fitToHeight="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J17"/>
  <sheetViews>
    <sheetView zoomScale="80" zoomScaleNormal="80" workbookViewId="0">
      <selection activeCell="D8" sqref="D8:K8"/>
    </sheetView>
  </sheetViews>
  <sheetFormatPr baseColWidth="10" defaultColWidth="9.140625" defaultRowHeight="12.75" x14ac:dyDescent="0.2"/>
  <cols>
    <col min="1" max="1" width="5.5703125" style="36" customWidth="1"/>
    <col min="2" max="2" width="15.140625" style="36" customWidth="1"/>
    <col min="3" max="3" width="14.140625" style="36" customWidth="1"/>
    <col min="4" max="4" width="26" style="36" customWidth="1"/>
    <col min="5" max="5" width="8" style="36" customWidth="1"/>
    <col min="6" max="6" width="7.85546875" style="36" customWidth="1"/>
    <col min="7" max="7" width="48.5703125" style="36" customWidth="1"/>
    <col min="8" max="8" width="9.28515625" style="36" customWidth="1"/>
    <col min="9" max="9" width="15.5703125" style="36" customWidth="1"/>
    <col min="10" max="10" width="14.7109375" style="36" customWidth="1"/>
    <col min="11" max="11" width="15.5703125" style="36" customWidth="1"/>
    <col min="12" max="13" width="5.85546875" style="36" customWidth="1"/>
    <col min="14" max="14" width="14.140625" style="36" customWidth="1"/>
    <col min="15" max="15" width="12.5703125" style="36" customWidth="1"/>
    <col min="16" max="1024" width="9.140625" style="36"/>
    <col min="1025" max="16384" width="9.140625" style="37"/>
  </cols>
  <sheetData>
    <row r="1" spans="1:11" ht="18" customHeight="1" x14ac:dyDescent="0.2">
      <c r="A1" s="110" t="s">
        <v>14</v>
      </c>
      <c r="B1" s="110"/>
      <c r="C1" s="110"/>
      <c r="D1" s="110"/>
      <c r="E1" s="110"/>
      <c r="F1" s="110"/>
      <c r="G1" s="110"/>
      <c r="H1" s="110"/>
      <c r="I1" s="110"/>
      <c r="J1" s="34" t="s">
        <v>15</v>
      </c>
      <c r="K1" s="35" t="s">
        <v>65</v>
      </c>
    </row>
    <row r="2" spans="1:11" ht="18.75" customHeight="1" thickBot="1" x14ac:dyDescent="0.25">
      <c r="A2" s="38"/>
      <c r="B2" s="38"/>
      <c r="C2" s="38"/>
      <c r="D2" s="39"/>
      <c r="E2" s="39"/>
      <c r="F2" s="39"/>
      <c r="G2" s="39"/>
      <c r="H2" s="39"/>
      <c r="I2" s="39"/>
      <c r="J2" s="39"/>
      <c r="K2" s="39"/>
    </row>
    <row r="3" spans="1:11" ht="18.75" customHeight="1" thickBot="1" x14ac:dyDescent="0.25">
      <c r="A3" s="111" t="s">
        <v>48</v>
      </c>
      <c r="B3" s="111"/>
      <c r="C3" s="111"/>
      <c r="D3" s="112" t="str">
        <f>'Necesidades Trimestrales'!C4</f>
        <v>040 - Ministerio de Salud</v>
      </c>
      <c r="E3" s="112"/>
      <c r="F3" s="112"/>
      <c r="G3" s="112"/>
      <c r="H3" s="112"/>
      <c r="I3" s="112"/>
      <c r="J3" s="112"/>
      <c r="K3" s="112"/>
    </row>
    <row r="4" spans="1:11" ht="18.75" customHeight="1" thickBot="1" x14ac:dyDescent="0.25">
      <c r="A4" s="113" t="s">
        <v>49</v>
      </c>
      <c r="B4" s="113"/>
      <c r="C4" s="113"/>
      <c r="D4" s="112" t="str">
        <f>'Necesidades Trimestrales'!C5</f>
        <v>024 - Hospital Interzonal de Niños</v>
      </c>
      <c r="E4" s="112"/>
      <c r="F4" s="112"/>
      <c r="G4" s="112"/>
      <c r="H4" s="112"/>
      <c r="I4" s="112"/>
      <c r="J4" s="112"/>
      <c r="K4" s="112"/>
    </row>
    <row r="5" spans="1:11" ht="18.75" customHeight="1" thickBot="1" x14ac:dyDescent="0.25">
      <c r="A5" s="113" t="s">
        <v>27</v>
      </c>
      <c r="B5" s="113"/>
      <c r="C5" s="113"/>
      <c r="D5" s="112" t="s">
        <v>51</v>
      </c>
      <c r="E5" s="112"/>
      <c r="F5" s="112"/>
      <c r="G5" s="112"/>
      <c r="H5" s="112"/>
      <c r="I5" s="112"/>
      <c r="J5" s="112"/>
      <c r="K5" s="112"/>
    </row>
    <row r="6" spans="1:11" ht="16.5" customHeight="1" thickBot="1" x14ac:dyDescent="0.25">
      <c r="A6" s="111" t="s">
        <v>50</v>
      </c>
      <c r="B6" s="111"/>
      <c r="C6" s="111"/>
      <c r="D6" s="112" t="s">
        <v>57</v>
      </c>
      <c r="E6" s="112"/>
      <c r="F6" s="112"/>
      <c r="G6" s="112"/>
      <c r="H6" s="112"/>
      <c r="I6" s="112"/>
      <c r="J6" s="112"/>
      <c r="K6" s="112"/>
    </row>
    <row r="7" spans="1:11" ht="16.5" customHeight="1" x14ac:dyDescent="0.2">
      <c r="A7" s="113" t="s">
        <v>16</v>
      </c>
      <c r="B7" s="113"/>
      <c r="C7" s="113"/>
      <c r="D7" s="112" t="str">
        <f>'Necesidades Trimestrales'!C7 &amp; "° Trimestre - Año " &amp; 'Necesidades Trimestrales'!C6</f>
        <v>3° Trimestre - Año 2021</v>
      </c>
      <c r="E7" s="112"/>
      <c r="F7" s="112"/>
      <c r="G7" s="112"/>
      <c r="H7" s="112"/>
      <c r="I7" s="112"/>
      <c r="J7" s="112"/>
      <c r="K7" s="112"/>
    </row>
    <row r="8" spans="1:11" ht="16.5" customHeight="1" x14ac:dyDescent="0.2">
      <c r="A8" s="107" t="s">
        <v>17</v>
      </c>
      <c r="B8" s="107"/>
      <c r="C8" s="107"/>
      <c r="D8" s="108" t="s">
        <v>64</v>
      </c>
      <c r="E8" s="108"/>
      <c r="F8" s="108"/>
      <c r="G8" s="108"/>
      <c r="H8" s="108"/>
      <c r="I8" s="108"/>
      <c r="J8" s="108"/>
      <c r="K8" s="108"/>
    </row>
    <row r="9" spans="1:11" ht="15.75" x14ac:dyDescent="0.2">
      <c r="A9" s="40"/>
      <c r="B9" s="40"/>
      <c r="C9" s="40"/>
      <c r="D9" s="41"/>
      <c r="E9" s="41"/>
      <c r="F9" s="41"/>
      <c r="G9" s="41"/>
      <c r="H9" s="41"/>
      <c r="I9" s="41"/>
      <c r="J9" s="41"/>
      <c r="K9" s="41"/>
    </row>
    <row r="10" spans="1:11" ht="18.75" customHeight="1" x14ac:dyDescent="0.2">
      <c r="A10" s="109" t="s">
        <v>18</v>
      </c>
      <c r="B10" s="115" t="s">
        <v>19</v>
      </c>
      <c r="C10" s="115" t="s">
        <v>20</v>
      </c>
      <c r="D10" s="115"/>
      <c r="E10" s="115"/>
      <c r="F10" s="115"/>
      <c r="G10" s="115"/>
      <c r="H10" s="115" t="s">
        <v>21</v>
      </c>
      <c r="I10" s="115" t="s">
        <v>22</v>
      </c>
      <c r="J10" s="115" t="s">
        <v>23</v>
      </c>
      <c r="K10" s="114" t="s">
        <v>24</v>
      </c>
    </row>
    <row r="11" spans="1:11" ht="24" customHeight="1" thickBot="1" x14ac:dyDescent="0.25">
      <c r="A11" s="109"/>
      <c r="B11" s="115"/>
      <c r="C11" s="115"/>
      <c r="D11" s="115"/>
      <c r="E11" s="115"/>
      <c r="F11" s="115"/>
      <c r="G11" s="115"/>
      <c r="H11" s="115"/>
      <c r="I11" s="115"/>
      <c r="J11" s="115"/>
      <c r="K11" s="114"/>
    </row>
    <row r="12" spans="1:11" ht="27.75" customHeight="1" x14ac:dyDescent="0.2">
      <c r="A12" s="44">
        <v>1</v>
      </c>
      <c r="B12" s="45"/>
      <c r="C12" s="117" t="str">
        <f>'Necesidades Trimestrales'!E10</f>
        <v>GLIBENCLAMIDA 5 MG COMPRIMIDO</v>
      </c>
      <c r="D12" s="117"/>
      <c r="E12" s="117"/>
      <c r="F12" s="117"/>
      <c r="G12" s="117"/>
      <c r="H12" s="46" t="s">
        <v>54</v>
      </c>
      <c r="I12" s="47" t="str">
        <f>'Necesidades Trimestrales'!F10</f>
        <v>UNIDAD</v>
      </c>
      <c r="J12" s="48">
        <f>'Necesidades Trimestrales'!H10</f>
        <v>4.2</v>
      </c>
      <c r="K12" s="49">
        <f>'Necesidades Trimestrales'!G10</f>
        <v>200</v>
      </c>
    </row>
    <row r="13" spans="1:11" ht="27.75" customHeight="1" x14ac:dyDescent="0.2">
      <c r="A13" s="70">
        <v>2</v>
      </c>
      <c r="B13" s="71"/>
      <c r="C13" s="118" t="str">
        <f>'Necesidades Trimestrales'!E11</f>
        <v>INSULINA CORRIENTE HUMANA 100 UI FCO AMP 10 ML</v>
      </c>
      <c r="D13" s="118"/>
      <c r="E13" s="118"/>
      <c r="F13" s="118"/>
      <c r="G13" s="118"/>
      <c r="H13" s="74" t="s">
        <v>54</v>
      </c>
      <c r="I13" s="75" t="str">
        <f>'Necesidades Trimestrales'!F11</f>
        <v>UNIDAD</v>
      </c>
      <c r="J13" s="73">
        <f>'Necesidades Trimestrales'!H11</f>
        <v>1668</v>
      </c>
      <c r="K13" s="72">
        <f>'Necesidades Trimestrales'!G11</f>
        <v>10</v>
      </c>
    </row>
    <row r="14" spans="1:11" ht="27.75" customHeight="1" x14ac:dyDescent="0.2">
      <c r="A14" s="70">
        <v>3</v>
      </c>
      <c r="B14" s="71"/>
      <c r="C14" s="119" t="str">
        <f>'Necesidades Trimestrales'!E12</f>
        <v>INSULINA NPH HUMANA 100 UI FCO AMP 10 ML</v>
      </c>
      <c r="D14" s="119"/>
      <c r="E14" s="119"/>
      <c r="F14" s="119"/>
      <c r="G14" s="119"/>
      <c r="H14" s="74" t="s">
        <v>54</v>
      </c>
      <c r="I14" s="75" t="str">
        <f>'Necesidades Trimestrales'!F12</f>
        <v>UNIDAD</v>
      </c>
      <c r="J14" s="73">
        <f>'Necesidades Trimestrales'!H12</f>
        <v>1010</v>
      </c>
      <c r="K14" s="72">
        <f>'Necesidades Trimestrales'!G12</f>
        <v>10</v>
      </c>
    </row>
    <row r="15" spans="1:11" ht="27.75" customHeight="1" x14ac:dyDescent="0.2">
      <c r="A15" s="70">
        <v>4</v>
      </c>
      <c r="B15" s="71"/>
      <c r="C15" s="119" t="str">
        <f>'Necesidades Trimestrales'!E13</f>
        <v>METFORMINA 500 MG COMPRIMIDO</v>
      </c>
      <c r="D15" s="119"/>
      <c r="E15" s="119"/>
      <c r="F15" s="119"/>
      <c r="G15" s="119"/>
      <c r="H15" s="74" t="s">
        <v>54</v>
      </c>
      <c r="I15" s="75" t="str">
        <f>'Necesidades Trimestrales'!F13</f>
        <v>UNIDAD</v>
      </c>
      <c r="J15" s="73">
        <f>'Necesidades Trimestrales'!H13</f>
        <v>3.73</v>
      </c>
      <c r="K15" s="72">
        <f>'Necesidades Trimestrales'!G13</f>
        <v>200</v>
      </c>
    </row>
    <row r="16" spans="1:11" ht="27.75" customHeight="1" thickBot="1" x14ac:dyDescent="0.25">
      <c r="A16" s="70">
        <v>5</v>
      </c>
      <c r="B16" s="71"/>
      <c r="C16" s="119" t="str">
        <f>'Necesidades Trimestrales'!E14</f>
        <v>METFORMINA 850 MG COMPRIMIDO</v>
      </c>
      <c r="D16" s="119"/>
      <c r="E16" s="119"/>
      <c r="F16" s="119"/>
      <c r="G16" s="119"/>
      <c r="H16" s="74" t="s">
        <v>54</v>
      </c>
      <c r="I16" s="75" t="str">
        <f>'Necesidades Trimestrales'!F14</f>
        <v>UNIDAD</v>
      </c>
      <c r="J16" s="73">
        <f>'Necesidades Trimestrales'!H14</f>
        <v>5.2</v>
      </c>
      <c r="K16" s="72">
        <f>'Necesidades Trimestrales'!G14</f>
        <v>200</v>
      </c>
    </row>
    <row r="17" spans="1:14" ht="20.25" customHeight="1" thickBot="1" x14ac:dyDescent="0.25">
      <c r="A17" s="112" t="s">
        <v>72</v>
      </c>
      <c r="B17" s="112"/>
      <c r="C17" s="112"/>
      <c r="D17" s="112"/>
      <c r="E17" s="112"/>
      <c r="F17" s="112"/>
      <c r="G17" s="112"/>
      <c r="H17" s="112"/>
      <c r="I17" s="112"/>
      <c r="J17" s="116">
        <f>SUMPRODUCT(J12:J16,K12:K16)</f>
        <v>29406</v>
      </c>
      <c r="K17" s="116"/>
      <c r="N17" s="53"/>
    </row>
  </sheetData>
  <mergeCells count="27">
    <mergeCell ref="C10:G11"/>
    <mergeCell ref="H10:H11"/>
    <mergeCell ref="I10:I11"/>
    <mergeCell ref="J10:J11"/>
    <mergeCell ref="A17:I17"/>
    <mergeCell ref="J17:K17"/>
    <mergeCell ref="C12:G12"/>
    <mergeCell ref="C13:G13"/>
    <mergeCell ref="C14:G14"/>
    <mergeCell ref="C15:G15"/>
    <mergeCell ref="C16:G16"/>
    <mergeCell ref="A8:C8"/>
    <mergeCell ref="D8:K8"/>
    <mergeCell ref="A10:A11"/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  <mergeCell ref="K10:K11"/>
    <mergeCell ref="B10:B11"/>
  </mergeCells>
  <printOptions horizontalCentered="1"/>
  <pageMargins left="0.196527777777778" right="0.196527777777778" top="0.98402777777777795" bottom="0.98402777777777795" header="0.51180555555555496" footer="0.51180555555555496"/>
  <pageSetup paperSize="9" scale="90" firstPageNumber="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25"/>
  <sheetViews>
    <sheetView topLeftCell="A7" zoomScale="130" zoomScaleNormal="130" workbookViewId="0">
      <selection activeCell="G23" sqref="G23:Q23"/>
    </sheetView>
  </sheetViews>
  <sheetFormatPr baseColWidth="10" defaultColWidth="11" defaultRowHeight="12.75" x14ac:dyDescent="0.2"/>
  <cols>
    <col min="1" max="5" width="4.42578125" customWidth="1"/>
    <col min="6" max="6" width="5" customWidth="1"/>
    <col min="7" max="7" width="4.42578125" style="2" customWidth="1"/>
    <col min="8" max="14" width="4.42578125" customWidth="1"/>
    <col min="15" max="16" width="14.85546875" customWidth="1"/>
    <col min="17" max="17" width="14.7109375" customWidth="1"/>
  </cols>
  <sheetData>
    <row r="1" spans="1:19" ht="15.75" customHeight="1" x14ac:dyDescent="0.25">
      <c r="A1" s="120" t="s">
        <v>3</v>
      </c>
      <c r="B1" s="120"/>
      <c r="C1" s="120"/>
      <c r="D1" s="121">
        <f>'Necesidades Trimestrales'!C6</f>
        <v>2021</v>
      </c>
      <c r="E1" s="121"/>
      <c r="F1" s="3"/>
      <c r="G1" s="3"/>
      <c r="H1" s="4"/>
      <c r="I1" s="4"/>
      <c r="J1" s="4"/>
      <c r="K1" s="4"/>
      <c r="L1" s="4"/>
      <c r="M1" s="4"/>
      <c r="N1" s="4"/>
      <c r="P1" s="122" t="s">
        <v>25</v>
      </c>
      <c r="Q1" s="122"/>
    </row>
    <row r="2" spans="1:19" ht="15.75" customHeight="1" x14ac:dyDescent="0.2">
      <c r="H2" s="4"/>
      <c r="I2" s="4"/>
      <c r="J2" s="4"/>
      <c r="K2" s="4"/>
      <c r="L2" s="4"/>
      <c r="M2" s="4"/>
      <c r="N2" s="4"/>
      <c r="P2" s="122"/>
      <c r="Q2" s="122"/>
    </row>
    <row r="4" spans="1:19" s="5" customFormat="1" ht="18" customHeight="1" thickBot="1" x14ac:dyDescent="0.25">
      <c r="A4" s="123" t="s">
        <v>26</v>
      </c>
      <c r="B4" s="123"/>
      <c r="C4" s="123"/>
      <c r="D4" s="123"/>
      <c r="E4" s="123"/>
      <c r="F4" s="123"/>
      <c r="G4" s="124" t="str">
        <f>' NotaPedido'!D3</f>
        <v>040 - Ministerio de Salud</v>
      </c>
      <c r="H4" s="124"/>
      <c r="I4" s="124"/>
      <c r="J4" s="124"/>
      <c r="K4" s="124"/>
      <c r="L4" s="124"/>
      <c r="M4" s="124"/>
      <c r="N4" s="124"/>
      <c r="O4" s="124"/>
      <c r="P4" s="124"/>
      <c r="Q4" s="124"/>
    </row>
    <row r="5" spans="1:19" s="5" customFormat="1" ht="18" customHeight="1" thickBot="1" x14ac:dyDescent="0.25">
      <c r="A5" s="125" t="s">
        <v>49</v>
      </c>
      <c r="B5" s="126"/>
      <c r="C5" s="126"/>
      <c r="D5" s="126"/>
      <c r="E5" s="126"/>
      <c r="F5" s="127"/>
      <c r="G5" s="124" t="str">
        <f>' NotaPedido'!D4</f>
        <v>024 - Hospital Interzonal de Niños</v>
      </c>
      <c r="H5" s="124"/>
      <c r="I5" s="124"/>
      <c r="J5" s="124"/>
      <c r="K5" s="124"/>
      <c r="L5" s="124"/>
      <c r="M5" s="124"/>
      <c r="N5" s="124"/>
      <c r="O5" s="124"/>
      <c r="P5" s="124"/>
      <c r="Q5" s="124"/>
    </row>
    <row r="6" spans="1:19" s="5" customFormat="1" ht="18" customHeight="1" thickBot="1" x14ac:dyDescent="0.25">
      <c r="A6" s="125" t="s">
        <v>27</v>
      </c>
      <c r="B6" s="126"/>
      <c r="C6" s="126"/>
      <c r="D6" s="126"/>
      <c r="E6" s="126"/>
      <c r="F6" s="127"/>
      <c r="G6" s="124" t="str">
        <f>' NotaPedido'!D5</f>
        <v>024 - Hospital Interzonal de Niños</v>
      </c>
      <c r="H6" s="124"/>
      <c r="I6" s="124"/>
      <c r="J6" s="124"/>
      <c r="K6" s="124"/>
      <c r="L6" s="124"/>
      <c r="M6" s="124"/>
      <c r="N6" s="124"/>
      <c r="O6" s="124"/>
      <c r="P6" s="124"/>
      <c r="Q6" s="124"/>
    </row>
    <row r="7" spans="1:19" s="5" customFormat="1" ht="18" customHeight="1" thickBot="1" x14ac:dyDescent="0.25">
      <c r="A7" s="125" t="s">
        <v>50</v>
      </c>
      <c r="B7" s="126"/>
      <c r="C7" s="126"/>
      <c r="D7" s="126"/>
      <c r="E7" s="126"/>
      <c r="F7" s="127"/>
      <c r="G7" s="124" t="s">
        <v>57</v>
      </c>
      <c r="H7" s="124"/>
      <c r="I7" s="124"/>
      <c r="J7" s="124"/>
      <c r="K7" s="124"/>
      <c r="L7" s="124"/>
      <c r="M7" s="124"/>
      <c r="N7" s="124"/>
      <c r="O7" s="124"/>
      <c r="P7" s="124"/>
      <c r="Q7" s="124"/>
    </row>
    <row r="8" spans="1:19" ht="18" customHeight="1" thickBot="1" x14ac:dyDescent="0.25">
      <c r="A8" s="128" t="s">
        <v>28</v>
      </c>
      <c r="B8" s="128"/>
      <c r="C8" s="128"/>
      <c r="D8" s="128"/>
      <c r="E8" s="128"/>
      <c r="F8" s="128"/>
      <c r="G8" s="128"/>
      <c r="H8" s="128"/>
      <c r="I8" s="128"/>
      <c r="J8" s="128"/>
      <c r="K8" s="128"/>
      <c r="L8" s="128"/>
      <c r="M8" s="128"/>
      <c r="N8" s="128"/>
      <c r="O8" s="128"/>
      <c r="P8" s="128"/>
      <c r="Q8" s="128"/>
    </row>
    <row r="9" spans="1:19" ht="18" customHeight="1" x14ac:dyDescent="0.2">
      <c r="A9" s="129" t="s">
        <v>29</v>
      </c>
      <c r="B9" s="129"/>
      <c r="C9" s="129"/>
      <c r="D9" s="129"/>
      <c r="E9" s="129"/>
      <c r="F9" s="129"/>
      <c r="G9" s="129"/>
      <c r="H9" s="129"/>
      <c r="I9" s="129"/>
      <c r="J9" s="129"/>
      <c r="K9" s="129"/>
      <c r="L9" s="129"/>
      <c r="M9" s="129"/>
      <c r="N9" s="129"/>
      <c r="O9" s="1"/>
      <c r="P9" s="1"/>
      <c r="Q9" s="6"/>
    </row>
    <row r="10" spans="1:19" ht="54.75" customHeight="1" x14ac:dyDescent="0.2">
      <c r="A10" s="130" t="str">
        <f>"Autorizo la realización de los  trámites correspondientes, a fin de proveer a  este Organismo los bienes y/o servicios que se detallan en Nota  de Pedido N° " &amp; ' NotaPedido'!K1&amp;",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 de Pedido N° 100/2021,  afectando la erogación resultante a los créditos presupuestarios aprobados a favor de esta Unidad Ejecutora, conforme al siguiente detalle:</v>
      </c>
      <c r="B10" s="130"/>
      <c r="C10" s="130"/>
      <c r="D10" s="130"/>
      <c r="E10" s="130"/>
      <c r="F10" s="130"/>
      <c r="G10" s="130"/>
      <c r="H10" s="130"/>
      <c r="I10" s="130"/>
      <c r="J10" s="130"/>
      <c r="K10" s="130"/>
      <c r="L10" s="130"/>
      <c r="M10" s="130"/>
      <c r="N10" s="130"/>
      <c r="O10" s="130"/>
      <c r="P10" s="130"/>
      <c r="Q10" s="130"/>
    </row>
    <row r="11" spans="1:19" ht="9" customHeight="1" x14ac:dyDescent="0.2">
      <c r="A11" s="7"/>
      <c r="B11" s="8"/>
      <c r="C11" s="8"/>
      <c r="D11" s="8"/>
      <c r="E11" s="8"/>
      <c r="F11" s="8"/>
      <c r="G11" s="9"/>
      <c r="H11" s="8"/>
      <c r="I11" s="8"/>
      <c r="J11" s="8"/>
      <c r="K11" s="8"/>
      <c r="L11" s="8"/>
      <c r="M11" s="8"/>
      <c r="N11" s="8"/>
      <c r="O11" s="8"/>
      <c r="P11" s="8"/>
      <c r="Q11" s="10"/>
    </row>
    <row r="12" spans="1:19" ht="15.75" customHeight="1" thickBot="1" x14ac:dyDescent="0.25">
      <c r="A12" s="131" t="s">
        <v>30</v>
      </c>
      <c r="B12" s="131"/>
      <c r="C12" s="131"/>
      <c r="D12" s="131"/>
      <c r="E12" s="131"/>
      <c r="F12" s="131"/>
      <c r="G12" s="131"/>
      <c r="H12" s="131"/>
      <c r="I12" s="131"/>
      <c r="J12" s="131"/>
      <c r="K12" s="131"/>
      <c r="L12" s="131"/>
      <c r="M12" s="131"/>
      <c r="N12" s="131"/>
      <c r="O12" s="131"/>
      <c r="P12" s="131"/>
      <c r="Q12" s="131"/>
    </row>
    <row r="13" spans="1:19" ht="15.75" customHeight="1" thickBot="1" x14ac:dyDescent="0.25">
      <c r="A13" s="132" t="s">
        <v>31</v>
      </c>
      <c r="B13" s="133"/>
      <c r="C13" s="133"/>
      <c r="D13" s="133"/>
      <c r="E13" s="133"/>
      <c r="F13" s="133"/>
      <c r="G13" s="133"/>
      <c r="H13" s="133"/>
      <c r="I13" s="133"/>
      <c r="J13" s="133"/>
      <c r="K13" s="133"/>
      <c r="L13" s="133"/>
      <c r="M13" s="133"/>
      <c r="N13" s="133"/>
      <c r="O13" s="134" t="s">
        <v>32</v>
      </c>
      <c r="P13" s="135"/>
      <c r="Q13" s="138" t="s">
        <v>33</v>
      </c>
    </row>
    <row r="14" spans="1:19" ht="15.75" customHeight="1" thickBot="1" x14ac:dyDescent="0.25">
      <c r="A14" s="60" t="s">
        <v>34</v>
      </c>
      <c r="B14" s="61" t="s">
        <v>35</v>
      </c>
      <c r="C14" s="61" t="s">
        <v>36</v>
      </c>
      <c r="D14" s="61" t="s">
        <v>37</v>
      </c>
      <c r="E14" s="61" t="s">
        <v>38</v>
      </c>
      <c r="F14" s="61" t="s">
        <v>39</v>
      </c>
      <c r="G14" s="62" t="s">
        <v>40</v>
      </c>
      <c r="H14" s="61" t="s">
        <v>41</v>
      </c>
      <c r="I14" s="61" t="s">
        <v>42</v>
      </c>
      <c r="J14" s="61" t="s">
        <v>43</v>
      </c>
      <c r="K14" s="61" t="s">
        <v>43</v>
      </c>
      <c r="L14" s="61" t="s">
        <v>44</v>
      </c>
      <c r="M14" s="63" t="s">
        <v>45</v>
      </c>
      <c r="N14" s="64" t="s">
        <v>46</v>
      </c>
      <c r="O14" s="136"/>
      <c r="P14" s="137"/>
      <c r="Q14" s="139"/>
    </row>
    <row r="15" spans="1:19" ht="26.25" customHeight="1" x14ac:dyDescent="0.2">
      <c r="A15" s="56">
        <v>36</v>
      </c>
      <c r="B15" s="57"/>
      <c r="C15" s="57"/>
      <c r="D15" s="57">
        <v>1</v>
      </c>
      <c r="E15" s="57"/>
      <c r="F15" s="57">
        <v>4901</v>
      </c>
      <c r="G15" s="57">
        <v>3</v>
      </c>
      <c r="H15" s="57">
        <v>310</v>
      </c>
      <c r="I15" s="57">
        <v>2</v>
      </c>
      <c r="J15" s="57">
        <v>5</v>
      </c>
      <c r="K15" s="57">
        <v>2</v>
      </c>
      <c r="L15" s="57"/>
      <c r="M15" s="58">
        <v>1</v>
      </c>
      <c r="N15" s="59" t="s">
        <v>53</v>
      </c>
      <c r="O15" s="140" t="s">
        <v>56</v>
      </c>
      <c r="P15" s="140"/>
      <c r="Q15" s="65">
        <v>29406</v>
      </c>
    </row>
    <row r="16" spans="1:19" ht="17.25" customHeight="1" x14ac:dyDescent="0.2">
      <c r="A16" s="11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3"/>
      <c r="N16" s="66"/>
      <c r="O16" s="141"/>
      <c r="P16" s="142"/>
      <c r="Q16" s="15"/>
      <c r="S16" s="100"/>
    </row>
    <row r="17" spans="1:18" ht="17.25" customHeight="1" x14ac:dyDescent="0.2">
      <c r="A17" s="11"/>
      <c r="B17" s="12"/>
      <c r="C17" s="12"/>
      <c r="D17" s="12"/>
      <c r="E17" s="12"/>
      <c r="F17" s="14"/>
      <c r="G17" s="12"/>
      <c r="H17" s="12"/>
      <c r="I17" s="12"/>
      <c r="J17" s="12"/>
      <c r="K17" s="12"/>
      <c r="L17" s="12"/>
      <c r="M17" s="13"/>
      <c r="N17" s="14"/>
      <c r="O17" s="142"/>
      <c r="P17" s="142"/>
      <c r="Q17" s="15"/>
    </row>
    <row r="18" spans="1:18" ht="17.25" customHeight="1" x14ac:dyDescent="0.2">
      <c r="A18" s="11"/>
      <c r="B18" s="12"/>
      <c r="C18" s="12"/>
      <c r="D18" s="12"/>
      <c r="E18" s="12"/>
      <c r="F18" s="14"/>
      <c r="G18" s="12"/>
      <c r="H18" s="12"/>
      <c r="I18" s="12"/>
      <c r="J18" s="12"/>
      <c r="K18" s="12"/>
      <c r="L18" s="12"/>
      <c r="M18" s="13"/>
      <c r="N18" s="14"/>
      <c r="O18" s="142"/>
      <c r="P18" s="142"/>
      <c r="Q18" s="15"/>
    </row>
    <row r="19" spans="1:18" ht="17.25" customHeight="1" x14ac:dyDescent="0.2">
      <c r="A19" s="16"/>
      <c r="B19" s="17"/>
      <c r="C19" s="17"/>
      <c r="D19" s="17"/>
      <c r="E19" s="17"/>
      <c r="F19" s="18"/>
      <c r="G19" s="17"/>
      <c r="H19" s="17"/>
      <c r="I19" s="17"/>
      <c r="J19" s="17"/>
      <c r="K19" s="17"/>
      <c r="L19" s="17"/>
      <c r="M19" s="19"/>
      <c r="N19" s="20"/>
      <c r="O19" s="148"/>
      <c r="P19" s="148"/>
      <c r="Q19" s="15"/>
      <c r="R19" s="1"/>
    </row>
    <row r="20" spans="1:18" ht="17.25" customHeight="1" x14ac:dyDescent="0.2">
      <c r="A20" s="21"/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3"/>
      <c r="N20" s="22"/>
      <c r="O20" s="149"/>
      <c r="P20" s="149"/>
      <c r="Q20" s="24"/>
    </row>
    <row r="21" spans="1:18" ht="29.25" customHeight="1" x14ac:dyDescent="0.2">
      <c r="A21" s="150" t="s">
        <v>73</v>
      </c>
      <c r="B21" s="150"/>
      <c r="C21" s="150"/>
      <c r="D21" s="150"/>
      <c r="E21" s="150"/>
      <c r="F21" s="150"/>
      <c r="G21" s="150"/>
      <c r="H21" s="150"/>
      <c r="I21" s="150"/>
      <c r="J21" s="150"/>
      <c r="K21" s="150"/>
      <c r="L21" s="150"/>
      <c r="M21" s="150"/>
      <c r="N21" s="150"/>
      <c r="O21" s="150"/>
      <c r="P21" s="150"/>
      <c r="Q21" s="25">
        <f>SUM(Q15:Q20)</f>
        <v>29406</v>
      </c>
    </row>
    <row r="22" spans="1:18" ht="18" customHeight="1" thickBot="1" x14ac:dyDescent="0.25">
      <c r="A22" s="151"/>
      <c r="B22" s="151"/>
      <c r="C22" s="151"/>
      <c r="D22" s="151"/>
      <c r="E22" s="151"/>
      <c r="F22" s="151"/>
      <c r="G22" s="151"/>
      <c r="H22" s="151"/>
      <c r="I22" s="151"/>
      <c r="J22" s="151"/>
      <c r="K22" s="151"/>
      <c r="L22" s="151"/>
      <c r="M22" s="151"/>
      <c r="N22" s="151"/>
      <c r="O22" s="151"/>
      <c r="P22" s="151"/>
      <c r="Q22" s="151"/>
    </row>
    <row r="23" spans="1:18" ht="17.25" customHeight="1" thickBot="1" x14ac:dyDescent="0.25">
      <c r="A23" s="143" t="s">
        <v>47</v>
      </c>
      <c r="B23" s="144"/>
      <c r="C23" s="144"/>
      <c r="D23" s="144"/>
      <c r="E23" s="144"/>
      <c r="F23" s="145"/>
      <c r="G23" s="146"/>
      <c r="H23" s="146"/>
      <c r="I23" s="146"/>
      <c r="J23" s="146"/>
      <c r="K23" s="146"/>
      <c r="L23" s="146"/>
      <c r="M23" s="146"/>
      <c r="N23" s="146"/>
      <c r="O23" s="146"/>
      <c r="P23" s="146"/>
      <c r="Q23" s="146"/>
    </row>
    <row r="24" spans="1:18" ht="18" customHeight="1" thickBot="1" x14ac:dyDescent="0.25">
      <c r="A24" s="147" t="s">
        <v>63</v>
      </c>
      <c r="B24" s="147"/>
      <c r="C24" s="147"/>
      <c r="D24" s="147"/>
      <c r="E24" s="147"/>
      <c r="F24" s="147"/>
      <c r="G24" s="147"/>
      <c r="H24" s="147"/>
      <c r="I24" s="147"/>
      <c r="J24" s="147"/>
      <c r="K24" s="147"/>
      <c r="L24" s="147"/>
      <c r="M24" s="147"/>
      <c r="N24" s="147"/>
      <c r="O24" s="147"/>
      <c r="P24" s="147"/>
      <c r="Q24" s="147"/>
    </row>
    <row r="25" spans="1:18" ht="25.5" customHeight="1" thickBot="1" x14ac:dyDescent="0.25">
      <c r="A25" s="147"/>
      <c r="B25" s="147"/>
      <c r="C25" s="147"/>
      <c r="D25" s="147"/>
      <c r="E25" s="147"/>
      <c r="F25" s="147"/>
      <c r="G25" s="147"/>
      <c r="H25" s="147"/>
      <c r="I25" s="147"/>
      <c r="J25" s="147"/>
      <c r="K25" s="147"/>
      <c r="L25" s="147"/>
      <c r="M25" s="147"/>
      <c r="N25" s="147"/>
      <c r="O25" s="147"/>
      <c r="P25" s="147"/>
      <c r="Q25" s="147"/>
    </row>
  </sheetData>
  <mergeCells count="29">
    <mergeCell ref="A24:Q25"/>
    <mergeCell ref="O18:P18"/>
    <mergeCell ref="O19:P19"/>
    <mergeCell ref="O20:P20"/>
    <mergeCell ref="A21:P21"/>
    <mergeCell ref="A22:Q22"/>
    <mergeCell ref="O15:P15"/>
    <mergeCell ref="O16:P16"/>
    <mergeCell ref="O17:P17"/>
    <mergeCell ref="A23:F23"/>
    <mergeCell ref="G23:Q23"/>
    <mergeCell ref="A9:N9"/>
    <mergeCell ref="A10:Q10"/>
    <mergeCell ref="A12:Q12"/>
    <mergeCell ref="A13:N13"/>
    <mergeCell ref="O13:P14"/>
    <mergeCell ref="Q13:Q14"/>
    <mergeCell ref="A5:F5"/>
    <mergeCell ref="G5:Q5"/>
    <mergeCell ref="A8:Q8"/>
    <mergeCell ref="A6:F6"/>
    <mergeCell ref="G6:Q6"/>
    <mergeCell ref="A7:F7"/>
    <mergeCell ref="G7:Q7"/>
    <mergeCell ref="A1:C1"/>
    <mergeCell ref="D1:E1"/>
    <mergeCell ref="P1:Q2"/>
    <mergeCell ref="A4:F4"/>
    <mergeCell ref="G4:Q4"/>
  </mergeCells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Necesidades Trimestrales</vt:lpstr>
      <vt:lpstr> NotaPedido</vt:lpstr>
      <vt:lpstr>Autor Gastar</vt:lpstr>
      <vt:lpstr>' NotaPedido'!Área_de_impresión</vt:lpstr>
      <vt:lpstr>'Autor Gastar'!Área_de_impresión</vt:lpstr>
      <vt:lpstr>'Necesidades Trimestrales'!Área_de_impresión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COMPRAS</cp:lastModifiedBy>
  <cp:revision>2</cp:revision>
  <cp:lastPrinted>2020-07-23T13:47:13Z</cp:lastPrinted>
  <dcterms:created xsi:type="dcterms:W3CDTF">2020-07-17T23:44:49Z</dcterms:created>
  <dcterms:modified xsi:type="dcterms:W3CDTF">2021-08-12T16:47:18Z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