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Necesidades Trimestrales" sheetId="3" r:id="rId1"/>
    <sheet name=" NotaPedido" sheetId="2" r:id="rId2"/>
    <sheet name="Autor Gastar" sheetId="1" r:id="rId3"/>
  </sheets>
  <definedNames>
    <definedName name="_xlnm._FilterDatabase" localSheetId="0" hidden="1">'Necesidades Trimestrales'!$E$2:$E$63</definedName>
    <definedName name="_xlnm.Print_Area" localSheetId="1">' NotaPedido'!$A$1:$J$23</definedName>
    <definedName name="_xlnm.Print_Area" localSheetId="2">'Autor Gastar'!$A$1:$Q$25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" i="1" l="1"/>
  <c r="Q15" i="1"/>
  <c r="H12" i="2"/>
  <c r="B12" i="2"/>
  <c r="C4" i="2" l="1"/>
  <c r="C3" i="2"/>
  <c r="I10" i="3" l="1"/>
  <c r="I11" i="3" s="1"/>
  <c r="I12" i="3" s="1"/>
  <c r="I15" i="2" l="1"/>
  <c r="L15" i="2" l="1"/>
</calcChain>
</file>

<file path=xl/sharedStrings.xml><?xml version="1.0" encoding="utf-8"?>
<sst xmlns="http://schemas.openxmlformats.org/spreadsheetml/2006/main" count="92" uniqueCount="83">
  <si>
    <t>EJERCICIO:</t>
  </si>
  <si>
    <t>AUTORIZACION PARA GASTAR</t>
  </si>
  <si>
    <t>JURISDICCIÓN:</t>
  </si>
  <si>
    <t>SAF:</t>
  </si>
  <si>
    <t>UNIDAD EJECUTORA:</t>
  </si>
  <si>
    <t xml:space="preserve">DEPENDENCIA SOLICITANTE: 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</si>
  <si>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</si>
  <si>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</si>
  <si>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</si>
  <si>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</si>
  <si>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</si>
  <si>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</si>
  <si>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</si>
  <si>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</si>
  <si>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</si>
  <si>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</si>
  <si>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</si>
  <si>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</si>
  <si>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</si>
  <si>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</si>
  <si>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</si>
  <si>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</si>
  <si>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</si>
  <si>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</si>
  <si>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</si>
  <si>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</si>
  <si>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</si>
  <si>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NOTA DE PEDIDO</t>
  </si>
  <si>
    <t>N°</t>
  </si>
  <si>
    <t xml:space="preserve">JURISDICCIÓN: </t>
  </si>
  <si>
    <t>PERIODO DE UTILIZACION:</t>
  </si>
  <si>
    <t>OBJETO:</t>
  </si>
  <si>
    <t>Ítem</t>
  </si>
  <si>
    <t>DESCRIPCION</t>
  </si>
  <si>
    <t>Adjunta Detalle Técnico</t>
  </si>
  <si>
    <t>Unidad Medida</t>
  </si>
  <si>
    <t>Precio Unitario Estimado</t>
  </si>
  <si>
    <t>Cantidad Solicitada</t>
  </si>
  <si>
    <t>SI</t>
  </si>
  <si>
    <t>Pedido de Necesidades Trimestrales</t>
  </si>
  <si>
    <t>JURISDICCION:</t>
  </si>
  <si>
    <t>40 - MINISTERIO DE SALUD</t>
  </si>
  <si>
    <t xml:space="preserve">SAF N°: </t>
  </si>
  <si>
    <t>011 - Direccion Provincial de Administración - Ministerio de Salud</t>
  </si>
  <si>
    <t>TRIMESTRE:</t>
  </si>
  <si>
    <t>1er Trimestre</t>
  </si>
  <si>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</si>
  <si>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</si>
  <si>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</si>
  <si>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</si>
  <si>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</si>
  <si>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</si>
  <si>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</si>
  <si>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</si>
  <si>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MES</t>
  </si>
  <si>
    <t>TOTAL DEL RUBRO</t>
  </si>
  <si>
    <t>TOTAL</t>
  </si>
  <si>
    <t>Especificidades Item N° 1 a 6:</t>
  </si>
  <si>
    <t>VER ANEXO I</t>
  </si>
  <si>
    <t>Descripción técnica</t>
  </si>
  <si>
    <t>Plazos y lugares de entrega</t>
  </si>
  <si>
    <t>Calidad Minima esperada</t>
  </si>
  <si>
    <t>Mantenimiento</t>
  </si>
  <si>
    <t>30 días habiles, renovables por igual periodo automáticamente</t>
  </si>
  <si>
    <t>Garantia</t>
  </si>
  <si>
    <t>40 - Ministerio de Salud</t>
  </si>
  <si>
    <t>SAF 11 - Dirección Provincial de Administracion del Ministerio de Salud</t>
  </si>
  <si>
    <t>Ministerio de Salud</t>
  </si>
  <si>
    <t>009 - Ministerio de Salud</t>
  </si>
  <si>
    <t>3 MESES</t>
  </si>
  <si>
    <t>Funcionamiento (Servicio de lavanderia y desinfección de prendas textiles)</t>
  </si>
  <si>
    <t>Forma de pago</t>
  </si>
  <si>
    <t>Cada 30 dias o al finalizar el mes calendario.</t>
  </si>
  <si>
    <t>68-2020</t>
  </si>
  <si>
    <t>Autorizo la realización de los  trámites correspondientes, a fin de proveer a  este Organismo los servicios que se detallan en Nota  de Pedido N° 68/2020,  afectando la erogación resultante a los créditos presupuestarios aprobados a favor de esta Unidad Ejecutora, conforme al siguiente detalle:</t>
  </si>
  <si>
    <t>Otros NE.E.P.</t>
  </si>
  <si>
    <t>“Contratación de servicio de lavanderia destinado a cubrir las necesidades del Hospital Monovalente Carlos Malbran"</t>
  </si>
  <si>
    <t>3.3.9-5924.1</t>
  </si>
  <si>
    <t>SERV. PROFESIONAL Y COMERCIAL</t>
  </si>
  <si>
    <t>LAVADO Y PLANCHADO DE PRENDAS; DESCRIPCION: LAVADO Y PLANCHADO PRENDAS</t>
  </si>
  <si>
    <t>A partir del día 01 de Enero y hasta el día 31 de Marzo inclusive o por el plazo de noventa (90) días en caso de no concretar la contratación previo al 01/01/2021 - Hospital Monovalente Carlos Malbran - AV Circunvalacion Nestor Kirchner acceso Sur.</t>
  </si>
  <si>
    <t>TOTAL DE PESOS: UN MILLON SEISCIENTOS CINCUENTA MIL CON 00/100.-</t>
  </si>
  <si>
    <t>Costo total estimado: Un Millón Seiscientos Cincuenta Mil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</si>
</sst>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\-mm\-yy;@"/>
    <numFmt numFmtId="165" formatCode="_(\$* #,##0.00_);_(\$* \(#,##0.00\);_(\$* \-??_);_(@_)"/>
    <numFmt numFmtId="166" formatCode="[$$-2C0A]\ #,##0.00;[$$-2C0A]&quot; -&quot;#,##0.00"/>
    <numFmt numFmtId="167" formatCode="&quot;$&quot;\ #,##0.00"/>
    <numFmt numFmtId="168" formatCode="[$$-2C0A]\ #,##0.00"/>
    <numFmt numFmtId="169" formatCode="_-[$$-2C0A]\ * #,##0.00_-;\-[$$-2C0A]\ * #,##0.00_-;_-[$$-2C0A]\ * &quot;-&quot;??_-;_-@_-"/>
    <numFmt numFmtId="170" formatCode="_-* #,##0.00&quot; €&quot;_-;\-* #,##0.00&quot; €&quot;_-;_-* \-??&quot; €&quot;_-;_-@_-"/>
  </numFmts>
  <fonts count="4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Times New Roman"/>
      <family val="1"/>
      <charset val="1"/>
    </font>
    <font>
      <b/>
      <sz val="18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sz val="11"/>
      <color rgb="FF333333"/>
      <name val="Arial"/>
      <family val="2"/>
    </font>
    <font>
      <b/>
      <sz val="12"/>
      <color rgb="FF000000"/>
      <name val="Calibri Light"/>
      <family val="1"/>
      <scheme val="major"/>
    </font>
    <font>
      <b/>
      <sz val="14"/>
      <name val="Arial"/>
      <family val="2"/>
    </font>
    <font>
      <b/>
      <sz val="14"/>
      <name val="Calibri Light"/>
      <family val="1"/>
      <scheme val="major"/>
    </font>
    <font>
      <sz val="9"/>
      <name val="Times New Roman"/>
      <family val="1"/>
    </font>
    <font>
      <u/>
      <sz val="9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99"/>
        <bgColor rgb="FFFFFFCC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rgb="FF33CCCC"/>
      </bottom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165" fontId="5" fillId="0" borderId="0" applyBorder="0" applyProtection="0"/>
    <xf numFmtId="44" fontId="2" fillId="0" borderId="0" applyFont="0" applyFill="0" applyBorder="0" applyAlignment="0" applyProtection="0"/>
    <xf numFmtId="170" fontId="7" fillId="0" borderId="0" applyBorder="0" applyProtection="0"/>
    <xf numFmtId="0" fontId="7" fillId="0" borderId="0"/>
    <xf numFmtId="0" fontId="1" fillId="0" borderId="0"/>
    <xf numFmtId="0" fontId="37" fillId="0" borderId="85" applyProtection="0"/>
    <xf numFmtId="0" fontId="38" fillId="4" borderId="0" applyBorder="0" applyProtection="0"/>
    <xf numFmtId="0" fontId="7" fillId="0" borderId="0"/>
    <xf numFmtId="0" fontId="7" fillId="0" borderId="0"/>
    <xf numFmtId="0" fontId="7" fillId="0" borderId="0"/>
  </cellStyleXfs>
  <cellXfs count="201">
    <xf numFmtId="0" fontId="0" fillId="0" borderId="0" xfId="0"/>
    <xf numFmtId="3" fontId="3" fillId="0" borderId="0" xfId="0" applyNumberFormat="1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left"/>
    </xf>
    <xf numFmtId="0" fontId="0" fillId="0" borderId="12" xfId="0" applyBorder="1"/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66" fontId="0" fillId="0" borderId="29" xfId="2" applyNumberFormat="1" applyFont="1" applyBorder="1" applyAlignment="1" applyProtection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6" fontId="0" fillId="0" borderId="31" xfId="2" applyNumberFormat="1" applyFont="1" applyBorder="1" applyAlignment="1" applyProtection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2" applyNumberFormat="1" applyFont="1" applyBorder="1" applyAlignment="1" applyProtection="1">
      <alignment horizontal="center" vertical="center"/>
    </xf>
    <xf numFmtId="166" fontId="11" fillId="0" borderId="36" xfId="0" applyNumberFormat="1" applyFont="1" applyBorder="1" applyAlignment="1">
      <alignment horizontal="center" vertical="center"/>
    </xf>
    <xf numFmtId="43" fontId="7" fillId="0" borderId="0" xfId="1" applyFont="1"/>
    <xf numFmtId="0" fontId="14" fillId="0" borderId="41" xfId="0" applyFont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4" fillId="0" borderId="43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44" xfId="0" applyFont="1" applyBorder="1" applyAlignment="1">
      <alignment vertical="center"/>
    </xf>
    <xf numFmtId="0" fontId="16" fillId="0" borderId="49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 indent="1"/>
    </xf>
    <xf numFmtId="0" fontId="15" fillId="0" borderId="44" xfId="0" applyFont="1" applyBorder="1" applyAlignment="1">
      <alignment horizontal="left" vertical="center" wrapText="1" indent="1"/>
    </xf>
    <xf numFmtId="0" fontId="18" fillId="0" borderId="59" xfId="0" applyFont="1" applyBorder="1" applyAlignment="1">
      <alignment horizontal="center" vertical="center"/>
    </xf>
    <xf numFmtId="43" fontId="5" fillId="2" borderId="0" xfId="1" applyFont="1" applyFill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167" fontId="20" fillId="0" borderId="68" xfId="0" applyNumberFormat="1" applyFont="1" applyBorder="1" applyAlignment="1">
      <alignment horizontal="center" vertical="center"/>
    </xf>
    <xf numFmtId="0" fontId="18" fillId="0" borderId="71" xfId="0" applyFont="1" applyBorder="1" applyAlignment="1">
      <alignment horizontal="center" vertical="center"/>
    </xf>
    <xf numFmtId="0" fontId="20" fillId="0" borderId="73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0" fontId="0" fillId="2" borderId="0" xfId="0" applyFill="1"/>
    <xf numFmtId="0" fontId="15" fillId="2" borderId="42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169" fontId="23" fillId="0" borderId="0" xfId="0" applyNumberFormat="1" applyFont="1" applyAlignment="1">
      <alignment horizontal="right" vertical="center"/>
    </xf>
    <xf numFmtId="0" fontId="23" fillId="0" borderId="0" xfId="0" applyFont="1"/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center" vertical="center" wrapText="1"/>
    </xf>
    <xf numFmtId="169" fontId="7" fillId="0" borderId="0" xfId="4" applyNumberFormat="1" applyAlignment="1">
      <alignment horizontal="right" vertical="center"/>
    </xf>
    <xf numFmtId="0" fontId="26" fillId="0" borderId="0" xfId="0" applyFont="1" applyFill="1" applyAlignment="1">
      <alignment horizontal="left" vertical="center" wrapText="1"/>
    </xf>
    <xf numFmtId="0" fontId="28" fillId="0" borderId="0" xfId="0" applyFont="1" applyFill="1" applyAlignment="1">
      <alignment horizontal="center" wrapText="1"/>
    </xf>
    <xf numFmtId="0" fontId="28" fillId="0" borderId="0" xfId="0" applyFont="1" applyFill="1" applyAlignment="1">
      <alignment horizontal="left" vertical="center" wrapText="1"/>
    </xf>
    <xf numFmtId="0" fontId="29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30" fillId="0" borderId="78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 wrapText="1"/>
    </xf>
    <xf numFmtId="169" fontId="20" fillId="0" borderId="82" xfId="4" applyNumberFormat="1" applyFont="1" applyBorder="1" applyAlignment="1">
      <alignment horizontal="center" vertical="center" wrapText="1"/>
    </xf>
    <xf numFmtId="169" fontId="30" fillId="0" borderId="46" xfId="0" applyNumberFormat="1" applyFont="1" applyBorder="1" applyAlignment="1">
      <alignment horizontal="center" vertical="center" wrapText="1"/>
    </xf>
    <xf numFmtId="0" fontId="8" fillId="0" borderId="78" xfId="0" applyFont="1" applyFill="1" applyBorder="1" applyAlignment="1">
      <alignment horizontal="center" vertical="center" wrapText="1"/>
    </xf>
    <xf numFmtId="0" fontId="31" fillId="0" borderId="79" xfId="0" applyFont="1" applyFill="1" applyBorder="1" applyAlignment="1">
      <alignment horizontal="center" vertical="center" wrapText="1"/>
    </xf>
    <xf numFmtId="0" fontId="8" fillId="0" borderId="79" xfId="5" applyFont="1" applyFill="1" applyBorder="1" applyAlignment="1">
      <alignment horizontal="left" vertical="center" wrapText="1"/>
    </xf>
    <xf numFmtId="0" fontId="8" fillId="0" borderId="80" xfId="5" applyFont="1" applyFill="1" applyBorder="1" applyAlignment="1">
      <alignment horizontal="center" vertical="center" wrapText="1"/>
    </xf>
    <xf numFmtId="0" fontId="31" fillId="0" borderId="81" xfId="0" applyFont="1" applyFill="1" applyBorder="1" applyAlignment="1">
      <alignment horizontal="left" vertical="center" wrapText="1"/>
    </xf>
    <xf numFmtId="0" fontId="8" fillId="0" borderId="79" xfId="5" applyFont="1" applyFill="1" applyBorder="1" applyAlignment="1">
      <alignment horizontal="center" vertical="center" wrapText="1"/>
    </xf>
    <xf numFmtId="3" fontId="9" fillId="0" borderId="79" xfId="6" applyNumberFormat="1" applyFont="1" applyBorder="1" applyAlignment="1">
      <alignment horizontal="center" vertical="center"/>
    </xf>
    <xf numFmtId="44" fontId="9" fillId="0" borderId="82" xfId="3" applyFont="1" applyBorder="1" applyAlignment="1">
      <alignment horizontal="center" vertical="center" wrapText="1"/>
    </xf>
    <xf numFmtId="169" fontId="8" fillId="0" borderId="46" xfId="4" applyNumberFormat="1" applyFont="1" applyFill="1" applyBorder="1" applyAlignment="1">
      <alignment horizontal="center" vertical="center" wrapText="1"/>
    </xf>
    <xf numFmtId="169" fontId="32" fillId="0" borderId="46" xfId="0" applyNumberFormat="1" applyFont="1" applyBorder="1" applyAlignment="1">
      <alignment horizontal="center" vertical="center" wrapText="1"/>
    </xf>
    <xf numFmtId="169" fontId="34" fillId="0" borderId="84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36" fillId="0" borderId="40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left" vertical="center"/>
    </xf>
    <xf numFmtId="0" fontId="23" fillId="0" borderId="50" xfId="0" applyFont="1" applyBorder="1" applyAlignment="1">
      <alignment horizontal="center"/>
    </xf>
    <xf numFmtId="0" fontId="23" fillId="0" borderId="52" xfId="0" applyFont="1" applyBorder="1" applyAlignment="1">
      <alignment horizontal="left" vertical="center"/>
    </xf>
    <xf numFmtId="0" fontId="35" fillId="0" borderId="49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/>
    </xf>
    <xf numFmtId="0" fontId="23" fillId="0" borderId="44" xfId="0" applyFont="1" applyBorder="1" applyAlignment="1">
      <alignment horizontal="left" vertical="center"/>
    </xf>
    <xf numFmtId="0" fontId="36" fillId="0" borderId="49" xfId="0" applyFont="1" applyBorder="1" applyAlignment="1">
      <alignment horizontal="center" vertical="center" wrapText="1"/>
    </xf>
    <xf numFmtId="3" fontId="9" fillId="0" borderId="0" xfId="5" applyNumberFormat="1" applyFont="1" applyBorder="1" applyAlignment="1">
      <alignment horizontal="center" vertical="center"/>
    </xf>
    <xf numFmtId="170" fontId="9" fillId="0" borderId="0" xfId="4" applyFont="1" applyBorder="1" applyAlignment="1">
      <alignment horizontal="center" vertical="center" wrapText="1"/>
    </xf>
    <xf numFmtId="170" fontId="7" fillId="0" borderId="0" xfId="4" applyFont="1" applyBorder="1" applyAlignment="1">
      <alignment horizontal="center" vertical="center"/>
    </xf>
    <xf numFmtId="0" fontId="23" fillId="0" borderId="0" xfId="0" applyFont="1" applyFill="1" applyAlignment="1">
      <alignment wrapText="1"/>
    </xf>
    <xf numFmtId="0" fontId="35" fillId="0" borderId="57" xfId="0" applyFont="1" applyBorder="1" applyAlignment="1">
      <alignment horizontal="center" vertical="center" wrapText="1"/>
    </xf>
    <xf numFmtId="0" fontId="39" fillId="0" borderId="61" xfId="0" applyFont="1" applyBorder="1" applyAlignment="1">
      <alignment horizontal="center" vertical="center"/>
    </xf>
    <xf numFmtId="167" fontId="39" fillId="0" borderId="62" xfId="0" applyNumberFormat="1" applyFont="1" applyBorder="1" applyAlignment="1">
      <alignment horizontal="center" vertical="center"/>
    </xf>
    <xf numFmtId="0" fontId="23" fillId="0" borderId="53" xfId="0" applyFont="1" applyFill="1" applyBorder="1" applyAlignment="1">
      <alignment horizontal="center"/>
    </xf>
    <xf numFmtId="0" fontId="23" fillId="0" borderId="58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3" fillId="0" borderId="44" xfId="0" applyFont="1" applyFill="1" applyBorder="1" applyAlignment="1">
      <alignment horizontal="center"/>
    </xf>
    <xf numFmtId="0" fontId="23" fillId="0" borderId="44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 vertical="center" wrapText="1"/>
    </xf>
    <xf numFmtId="0" fontId="23" fillId="0" borderId="44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23" fillId="0" borderId="44" xfId="0" applyFont="1" applyBorder="1" applyAlignment="1">
      <alignment horizontal="center"/>
    </xf>
    <xf numFmtId="0" fontId="25" fillId="0" borderId="0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83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0" fillId="0" borderId="81" xfId="0" applyFont="1" applyBorder="1" applyAlignment="1">
      <alignment horizontal="center" vertical="center" wrapText="1"/>
    </xf>
    <xf numFmtId="0" fontId="30" fillId="0" borderId="79" xfId="0" applyFont="1" applyBorder="1" applyAlignment="1">
      <alignment horizontal="center" vertical="center" wrapText="1"/>
    </xf>
    <xf numFmtId="0" fontId="30" fillId="0" borderId="82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83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/>
    </xf>
    <xf numFmtId="0" fontId="23" fillId="0" borderId="0" xfId="0" applyFont="1" applyBorder="1" applyAlignment="1">
      <alignment horizontal="left" vertical="top" wrapText="1"/>
    </xf>
    <xf numFmtId="0" fontId="23" fillId="0" borderId="44" xfId="0" applyFont="1" applyBorder="1" applyAlignment="1">
      <alignment horizontal="left" vertical="top" wrapText="1"/>
    </xf>
    <xf numFmtId="0" fontId="23" fillId="0" borderId="0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23" fillId="0" borderId="0" xfId="0" applyFont="1" applyFill="1" applyBorder="1" applyAlignment="1">
      <alignment horizontal="left" vertical="center"/>
    </xf>
    <xf numFmtId="0" fontId="23" fillId="0" borderId="44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left" wrapText="1" indent="1"/>
    </xf>
    <xf numFmtId="0" fontId="26" fillId="0" borderId="0" xfId="0" applyFont="1" applyFill="1" applyBorder="1" applyAlignment="1">
      <alignment horizontal="center" wrapText="1"/>
    </xf>
    <xf numFmtId="0" fontId="24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right" vertical="center"/>
    </xf>
    <xf numFmtId="0" fontId="16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 indent="1"/>
    </xf>
    <xf numFmtId="0" fontId="13" fillId="0" borderId="40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 wrapText="1" indent="1"/>
    </xf>
    <xf numFmtId="0" fontId="17" fillId="0" borderId="18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0" fontId="21" fillId="0" borderId="77" xfId="0" applyFont="1" applyBorder="1" applyAlignment="1">
      <alignment horizontal="left" vertical="center" wrapText="1" indent="1"/>
    </xf>
    <xf numFmtId="168" fontId="22" fillId="0" borderId="57" xfId="0" applyNumberFormat="1" applyFont="1" applyBorder="1" applyAlignment="1">
      <alignment horizontal="center" vertical="center"/>
    </xf>
    <xf numFmtId="168" fontId="22" fillId="0" borderId="58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vertical="center" wrapText="1"/>
    </xf>
    <xf numFmtId="0" fontId="2" fillId="0" borderId="61" xfId="0" applyFont="1" applyBorder="1" applyAlignment="1">
      <alignment vertical="center" wrapText="1"/>
    </xf>
    <xf numFmtId="0" fontId="39" fillId="0" borderId="63" xfId="0" applyFont="1" applyBorder="1" applyAlignment="1">
      <alignment horizontal="center" vertical="center"/>
    </xf>
    <xf numFmtId="0" fontId="39" fillId="0" borderId="64" xfId="0" applyFont="1" applyBorder="1" applyAlignment="1">
      <alignment horizontal="center" vertical="center"/>
    </xf>
    <xf numFmtId="0" fontId="19" fillId="0" borderId="66" xfId="0" applyFont="1" applyBorder="1" applyAlignment="1">
      <alignment vertical="center" wrapText="1"/>
    </xf>
    <xf numFmtId="0" fontId="19" fillId="0" borderId="67" xfId="0" applyFont="1" applyBorder="1" applyAlignment="1">
      <alignment vertical="center" wrapText="1"/>
    </xf>
    <xf numFmtId="0" fontId="20" fillId="0" borderId="69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19" fillId="0" borderId="72" xfId="0" applyFont="1" applyBorder="1" applyAlignment="1">
      <alignment vertical="center" wrapText="1"/>
    </xf>
    <xf numFmtId="0" fontId="19" fillId="0" borderId="73" xfId="0" applyFont="1" applyBorder="1" applyAlignment="1">
      <alignment vertical="center" wrapText="1"/>
    </xf>
    <xf numFmtId="0" fontId="20" fillId="0" borderId="75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wrapText="1" indent="1"/>
    </xf>
    <xf numFmtId="0" fontId="0" fillId="0" borderId="1" xfId="0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/>
    <xf numFmtId="0" fontId="6" fillId="0" borderId="3" xfId="0" applyFont="1" applyBorder="1" applyAlignment="1">
      <alignment horizontal="left" indent="1"/>
    </xf>
    <xf numFmtId="0" fontId="12" fillId="0" borderId="27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/>
    </xf>
    <xf numFmtId="0" fontId="6" fillId="0" borderId="7" xfId="0" applyFont="1" applyBorder="1"/>
    <xf numFmtId="0" fontId="8" fillId="0" borderId="9" xfId="0" applyFont="1" applyBorder="1" applyAlignment="1">
      <alignment horizontal="justify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0" fillId="0" borderId="13" xfId="0" applyBorder="1"/>
    <xf numFmtId="0" fontId="3" fillId="0" borderId="1" xfId="0" applyFont="1" applyBorder="1" applyAlignment="1">
      <alignment vertical="center" wrapText="1"/>
    </xf>
    <xf numFmtId="0" fontId="3" fillId="0" borderId="37" xfId="0" applyFont="1" applyBorder="1" applyAlignment="1">
      <alignment vertical="center" wrapText="1"/>
    </xf>
    <xf numFmtId="0" fontId="3" fillId="0" borderId="38" xfId="0" applyFont="1" applyBorder="1" applyAlignment="1">
      <alignment vertical="center" wrapText="1"/>
    </xf>
    <xf numFmtId="0" fontId="6" fillId="0" borderId="39" xfId="0" applyFont="1" applyBorder="1" applyAlignment="1">
      <alignment vertical="center" wrapText="1"/>
    </xf>
    <xf numFmtId="0" fontId="6" fillId="3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3" fillId="0" borderId="36" xfId="0" applyFont="1" applyBorder="1" applyAlignment="1">
      <alignment horizontal="left" vertical="center" wrapText="1"/>
    </xf>
  </cellXfs>
  <cellStyles count="12">
    <cellStyle name="Encabezado 1" xfId="7"/>
    <cellStyle name="Millares" xfId="1" builtinId="3"/>
    <cellStyle name="Moneda" xfId="3" builtinId="4"/>
    <cellStyle name="Moneda 2" xfId="4"/>
    <cellStyle name="Moneda_AUTORIZACION Y NOTA DE PEDIDO" xfId="2"/>
    <cellStyle name="Neutral 1" xfId="8"/>
    <cellStyle name="Normal" xfId="0" builtinId="0"/>
    <cellStyle name="Normal 2" xfId="5"/>
    <cellStyle name="Normal 3" xfId="9"/>
    <cellStyle name="Normal 3 2" xfId="10"/>
    <cellStyle name="Normal 4" xfId="11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22EC05EC-1DA9-457F-BF15-26C50C240B17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22B491E7-56C9-49E4-8C4A-2318A399CF9B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4158F8D9-C87E-4C26-925C-0A2CFA4E4C64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56091F0-8E70-49FB-9D35-E86608F8D703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0"/>
  <sheetViews>
    <sheetView tabSelected="1" topLeftCell="A13" zoomScale="78" zoomScaleNormal="78" workbookViewId="0">
      <selection activeCell="H26" sqref="H26"/>
    </sheetView>
  </sheetViews>
  <sheetFormatPr baseColWidth="10" defaultColWidth="11" defaultRowHeight="12.75" x14ac:dyDescent="0.2"/>
  <cols>
    <col min="1" max="1" width="8.42578125" style="53" customWidth="1"/>
    <col min="2" max="2" width="17.5703125" style="82" customWidth="1"/>
    <col min="3" max="3" width="32.42578125" style="83" customWidth="1"/>
    <col min="4" max="4" width="8.42578125" style="53" customWidth="1"/>
    <col min="5" max="5" width="79" style="83" customWidth="1"/>
    <col min="6" max="6" width="11" style="53"/>
    <col min="7" max="7" width="13.42578125" style="84" customWidth="1"/>
    <col min="8" max="8" width="16.42578125" style="58" customWidth="1"/>
    <col min="9" max="9" width="23.5703125" style="54" customWidth="1"/>
    <col min="10" max="10" width="22.5703125" style="55" customWidth="1"/>
    <col min="11" max="11" width="14.7109375" style="55" customWidth="1"/>
    <col min="12" max="12" width="13.7109375" style="55" customWidth="1"/>
    <col min="13" max="16384" width="11" style="55"/>
  </cols>
  <sheetData>
    <row r="2" spans="1:9" ht="27" x14ac:dyDescent="0.35">
      <c r="B2" s="129" t="s">
        <v>39</v>
      </c>
      <c r="C2" s="129"/>
      <c r="D2" s="129"/>
      <c r="E2" s="129"/>
      <c r="F2" s="129"/>
      <c r="G2" s="130"/>
      <c r="H2" s="131"/>
    </row>
    <row r="3" spans="1:9" ht="18" customHeight="1" x14ac:dyDescent="0.25">
      <c r="A3" s="110"/>
      <c r="B3" s="110"/>
      <c r="C3" s="127"/>
      <c r="D3" s="128"/>
      <c r="E3" s="127"/>
      <c r="F3" s="56"/>
      <c r="G3" s="57"/>
    </row>
    <row r="4" spans="1:9" ht="18" customHeight="1" x14ac:dyDescent="0.25">
      <c r="A4" s="110" t="s">
        <v>40</v>
      </c>
      <c r="B4" s="110"/>
      <c r="C4" s="127" t="s">
        <v>41</v>
      </c>
      <c r="D4" s="128"/>
      <c r="E4" s="127"/>
      <c r="F4" s="56"/>
      <c r="G4" s="57"/>
    </row>
    <row r="5" spans="1:9" ht="18" customHeight="1" x14ac:dyDescent="0.25">
      <c r="A5" s="110" t="s">
        <v>42</v>
      </c>
      <c r="B5" s="110"/>
      <c r="C5" s="127" t="s">
        <v>43</v>
      </c>
      <c r="D5" s="128"/>
      <c r="E5" s="127"/>
      <c r="F5" s="56"/>
      <c r="G5" s="57"/>
    </row>
    <row r="6" spans="1:9" ht="16.5" customHeight="1" x14ac:dyDescent="0.2">
      <c r="A6" s="110" t="s">
        <v>0</v>
      </c>
      <c r="B6" s="110"/>
      <c r="C6" s="59">
        <v>2021</v>
      </c>
      <c r="D6" s="60"/>
      <c r="E6" s="61"/>
      <c r="F6" s="56"/>
      <c r="G6" s="57"/>
    </row>
    <row r="7" spans="1:9" ht="15.75" x14ac:dyDescent="0.2">
      <c r="A7" s="110" t="s">
        <v>44</v>
      </c>
      <c r="B7" s="110"/>
      <c r="C7" s="59" t="s">
        <v>45</v>
      </c>
      <c r="D7" s="60"/>
      <c r="E7" s="61"/>
      <c r="F7" s="56"/>
      <c r="G7" s="57"/>
    </row>
    <row r="8" spans="1:9" ht="13.5" thickBot="1" x14ac:dyDescent="0.25">
      <c r="B8" s="62"/>
      <c r="C8" s="63"/>
      <c r="D8" s="56"/>
      <c r="E8" s="63"/>
      <c r="F8" s="56"/>
      <c r="G8" s="57"/>
    </row>
    <row r="9" spans="1:9" ht="48" thickBot="1" x14ac:dyDescent="0.25">
      <c r="A9" s="64" t="s">
        <v>46</v>
      </c>
      <c r="B9" s="65" t="s">
        <v>47</v>
      </c>
      <c r="C9" s="65" t="s">
        <v>48</v>
      </c>
      <c r="D9" s="66" t="s">
        <v>49</v>
      </c>
      <c r="E9" s="67" t="s">
        <v>33</v>
      </c>
      <c r="F9" s="68" t="s">
        <v>50</v>
      </c>
      <c r="G9" s="65" t="s">
        <v>51</v>
      </c>
      <c r="H9" s="69" t="s">
        <v>52</v>
      </c>
      <c r="I9" s="70" t="s">
        <v>53</v>
      </c>
    </row>
    <row r="10" spans="1:9" ht="71.25" customHeight="1" thickBot="1" x14ac:dyDescent="0.25">
      <c r="A10" s="71">
        <v>1</v>
      </c>
      <c r="B10" s="72" t="s">
        <v>77</v>
      </c>
      <c r="C10" s="73" t="s">
        <v>78</v>
      </c>
      <c r="D10" s="74">
        <v>339</v>
      </c>
      <c r="E10" s="75" t="s">
        <v>79</v>
      </c>
      <c r="F10" s="76" t="s">
        <v>54</v>
      </c>
      <c r="G10" s="77">
        <v>3</v>
      </c>
      <c r="H10" s="78">
        <v>550000</v>
      </c>
      <c r="I10" s="79">
        <f>G10*H10</f>
        <v>1650000</v>
      </c>
    </row>
    <row r="11" spans="1:9" ht="43.5" customHeight="1" thickBot="1" x14ac:dyDescent="0.25">
      <c r="A11" s="111"/>
      <c r="B11" s="112"/>
      <c r="C11" s="112"/>
      <c r="D11" s="113"/>
      <c r="E11" s="114" t="s">
        <v>55</v>
      </c>
      <c r="F11" s="115"/>
      <c r="G11" s="115"/>
      <c r="H11" s="116"/>
      <c r="I11" s="80">
        <f>SUM(I10:I10)</f>
        <v>1650000</v>
      </c>
    </row>
    <row r="12" spans="1:9" ht="31.5" customHeight="1" thickBot="1" x14ac:dyDescent="0.25">
      <c r="A12" s="117" t="s">
        <v>56</v>
      </c>
      <c r="B12" s="118"/>
      <c r="C12" s="118"/>
      <c r="D12" s="118"/>
      <c r="E12" s="118"/>
      <c r="F12" s="118"/>
      <c r="G12" s="118"/>
      <c r="H12" s="119"/>
      <c r="I12" s="81">
        <f>+I11</f>
        <v>1650000</v>
      </c>
    </row>
    <row r="13" spans="1:9" ht="27" customHeight="1" thickBot="1" x14ac:dyDescent="0.25"/>
    <row r="14" spans="1:9" ht="24" x14ac:dyDescent="0.2">
      <c r="B14" s="85" t="s">
        <v>57</v>
      </c>
      <c r="C14" s="86" t="s">
        <v>58</v>
      </c>
      <c r="D14" s="87"/>
      <c r="E14" s="88"/>
    </row>
    <row r="15" spans="1:9" ht="24.75" customHeight="1" x14ac:dyDescent="0.2">
      <c r="B15" s="89"/>
      <c r="C15" s="90"/>
      <c r="D15" s="91"/>
      <c r="E15" s="92"/>
    </row>
    <row r="16" spans="1:9" ht="24.75" customHeight="1" x14ac:dyDescent="0.2">
      <c r="B16" s="93" t="s">
        <v>59</v>
      </c>
      <c r="C16" s="120"/>
      <c r="D16" s="120"/>
      <c r="E16" s="109"/>
    </row>
    <row r="17" spans="1:12" ht="24.75" customHeight="1" x14ac:dyDescent="0.2">
      <c r="B17" s="93"/>
      <c r="C17" s="105"/>
      <c r="D17" s="105"/>
      <c r="E17" s="105"/>
    </row>
    <row r="18" spans="1:12" ht="24.75" customHeight="1" x14ac:dyDescent="0.2">
      <c r="B18" s="93" t="s">
        <v>60</v>
      </c>
      <c r="C18" s="121" t="s">
        <v>80</v>
      </c>
      <c r="D18" s="121"/>
      <c r="E18" s="122"/>
    </row>
    <row r="19" spans="1:12" ht="24.75" customHeight="1" x14ac:dyDescent="0.2">
      <c r="B19" s="93"/>
      <c r="C19" s="123"/>
      <c r="D19" s="123"/>
      <c r="E19" s="124"/>
    </row>
    <row r="20" spans="1:12" ht="24.75" customHeight="1" x14ac:dyDescent="0.2">
      <c r="B20" s="93"/>
      <c r="C20" s="123"/>
      <c r="D20" s="123"/>
      <c r="E20" s="124"/>
    </row>
    <row r="21" spans="1:12" s="97" customFormat="1" ht="24.75" customHeight="1" x14ac:dyDescent="0.2">
      <c r="A21" s="53"/>
      <c r="B21" s="93" t="s">
        <v>71</v>
      </c>
      <c r="C21" s="125" t="s">
        <v>72</v>
      </c>
      <c r="D21" s="125"/>
      <c r="E21" s="126"/>
      <c r="F21" s="53"/>
      <c r="G21" s="84"/>
      <c r="H21" s="58"/>
      <c r="I21" s="54"/>
      <c r="J21" s="94"/>
      <c r="K21" s="95"/>
      <c r="L21" s="96"/>
    </row>
    <row r="22" spans="1:12" ht="24.75" customHeight="1" x14ac:dyDescent="0.2">
      <c r="B22" s="89"/>
      <c r="C22" s="104"/>
      <c r="D22" s="104"/>
      <c r="E22" s="104"/>
      <c r="J22" s="94"/>
      <c r="K22" s="95"/>
      <c r="L22" s="96"/>
    </row>
    <row r="23" spans="1:12" ht="24.75" customHeight="1" x14ac:dyDescent="0.2">
      <c r="B23" s="93" t="s">
        <v>61</v>
      </c>
      <c r="C23" s="103"/>
      <c r="D23" s="103"/>
      <c r="E23" s="104"/>
      <c r="J23" s="94"/>
      <c r="K23" s="95"/>
      <c r="L23" s="96"/>
    </row>
    <row r="24" spans="1:12" ht="24.75" customHeight="1" x14ac:dyDescent="0.2">
      <c r="B24" s="89"/>
      <c r="C24" s="105"/>
      <c r="D24" s="105"/>
      <c r="E24" s="105"/>
      <c r="J24" s="94"/>
      <c r="K24" s="95"/>
      <c r="L24" s="96"/>
    </row>
    <row r="25" spans="1:12" ht="24.75" customHeight="1" x14ac:dyDescent="0.2">
      <c r="B25" s="93" t="s">
        <v>62</v>
      </c>
      <c r="C25" s="106" t="s">
        <v>63</v>
      </c>
      <c r="D25" s="106"/>
      <c r="E25" s="107"/>
      <c r="J25" s="94"/>
      <c r="K25" s="95"/>
      <c r="L25" s="96"/>
    </row>
    <row r="26" spans="1:12" ht="24.75" customHeight="1" x14ac:dyDescent="0.2">
      <c r="B26" s="89"/>
      <c r="C26" s="105"/>
      <c r="D26" s="105"/>
      <c r="E26" s="105"/>
    </row>
    <row r="27" spans="1:12" ht="24.75" customHeight="1" x14ac:dyDescent="0.2">
      <c r="B27" s="93" t="s">
        <v>64</v>
      </c>
      <c r="C27" s="108"/>
      <c r="D27" s="108"/>
      <c r="E27" s="109"/>
    </row>
    <row r="28" spans="1:12" ht="24.75" customHeight="1" x14ac:dyDescent="0.2">
      <c r="B28" s="93"/>
      <c r="C28" s="104"/>
      <c r="D28" s="104"/>
      <c r="E28" s="104"/>
    </row>
    <row r="29" spans="1:12" ht="24.75" customHeight="1" thickBot="1" x14ac:dyDescent="0.25">
      <c r="B29" s="98"/>
      <c r="C29" s="101"/>
      <c r="D29" s="101"/>
      <c r="E29" s="102"/>
    </row>
    <row r="30" spans="1:12" x14ac:dyDescent="0.2">
      <c r="J30" s="94"/>
      <c r="K30" s="95"/>
      <c r="L30" s="96"/>
    </row>
  </sheetData>
  <mergeCells count="26">
    <mergeCell ref="A5:B5"/>
    <mergeCell ref="C5:E5"/>
    <mergeCell ref="B2:H2"/>
    <mergeCell ref="A3:B3"/>
    <mergeCell ref="C3:E3"/>
    <mergeCell ref="A4:B4"/>
    <mergeCell ref="C4:E4"/>
    <mergeCell ref="C22:E22"/>
    <mergeCell ref="A6:B6"/>
    <mergeCell ref="A7:B7"/>
    <mergeCell ref="A11:D11"/>
    <mergeCell ref="E11:H11"/>
    <mergeCell ref="A12:H12"/>
    <mergeCell ref="C16:E16"/>
    <mergeCell ref="C17:E17"/>
    <mergeCell ref="C18:E18"/>
    <mergeCell ref="C19:E19"/>
    <mergeCell ref="C20:E20"/>
    <mergeCell ref="C21:E21"/>
    <mergeCell ref="C29:E29"/>
    <mergeCell ref="C23:E23"/>
    <mergeCell ref="C24:E24"/>
    <mergeCell ref="C25:E25"/>
    <mergeCell ref="C26:E26"/>
    <mergeCell ref="C27:E27"/>
    <mergeCell ref="C28:E2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H17"/>
  <sheetViews>
    <sheetView view="pageBreakPreview" topLeftCell="A10" zoomScale="85" zoomScaleNormal="70" zoomScaleSheetLayoutView="85" workbookViewId="0">
      <selection activeCell="A16" sqref="A16"/>
    </sheetView>
  </sheetViews>
  <sheetFormatPr baseColWidth="10" defaultColWidth="9.140625" defaultRowHeight="12.75" x14ac:dyDescent="0.2"/>
  <cols>
    <col min="1" max="1" width="5.5703125" style="34" customWidth="1"/>
    <col min="2" max="2" width="27.85546875" style="34" customWidth="1"/>
    <col min="3" max="3" width="8" style="34" customWidth="1"/>
    <col min="4" max="4" width="7.85546875" style="34" customWidth="1"/>
    <col min="5" max="5" width="48.5703125" style="34" customWidth="1"/>
    <col min="6" max="6" width="10.42578125" style="34" customWidth="1"/>
    <col min="7" max="7" width="15.5703125" style="34" customWidth="1"/>
    <col min="8" max="8" width="24.7109375" style="34" bestFit="1" customWidth="1"/>
    <col min="9" max="9" width="15.5703125" style="34" customWidth="1"/>
    <col min="10" max="10" width="12.28515625" style="34" customWidth="1"/>
    <col min="11" max="11" width="6.85546875" style="34" customWidth="1"/>
    <col min="12" max="12" width="17.7109375" style="20" customWidth="1"/>
    <col min="13" max="13" width="12.5703125" style="34" customWidth="1"/>
    <col min="14" max="1022" width="9.140625" style="34"/>
    <col min="1023" max="16384" width="9.140625" style="51"/>
  </cols>
  <sheetData>
    <row r="1" spans="1:12" ht="27" customHeight="1" thickBot="1" x14ac:dyDescent="0.25">
      <c r="A1" s="134" t="s">
        <v>27</v>
      </c>
      <c r="B1" s="134"/>
      <c r="C1" s="134"/>
      <c r="D1" s="134"/>
      <c r="E1" s="134"/>
      <c r="F1" s="134"/>
      <c r="G1" s="134"/>
      <c r="H1" s="134"/>
      <c r="I1" s="33" t="s">
        <v>28</v>
      </c>
      <c r="J1" s="52" t="s">
        <v>73</v>
      </c>
    </row>
    <row r="2" spans="1:12" ht="18.75" customHeight="1" thickBot="1" x14ac:dyDescent="0.25">
      <c r="A2" s="35"/>
      <c r="B2" s="36"/>
      <c r="C2" s="37"/>
      <c r="D2" s="37"/>
      <c r="E2" s="37"/>
      <c r="F2" s="37"/>
      <c r="G2" s="37"/>
      <c r="H2" s="37"/>
      <c r="I2" s="37"/>
      <c r="J2" s="38"/>
    </row>
    <row r="3" spans="1:12" ht="18.75" customHeight="1" thickBot="1" x14ac:dyDescent="0.25">
      <c r="A3" s="135" t="s">
        <v>29</v>
      </c>
      <c r="B3" s="135"/>
      <c r="C3" s="133" t="str">
        <f>+'Necesidades Trimestrales'!C4:E4</f>
        <v>40 - MINISTERIO DE SALUD</v>
      </c>
      <c r="D3" s="133"/>
      <c r="E3" s="133"/>
      <c r="F3" s="133"/>
      <c r="G3" s="133"/>
      <c r="H3" s="133"/>
      <c r="I3" s="133"/>
      <c r="J3" s="133"/>
    </row>
    <row r="4" spans="1:12" ht="18.75" customHeight="1" thickBot="1" x14ac:dyDescent="0.25">
      <c r="A4" s="132" t="s">
        <v>3</v>
      </c>
      <c r="B4" s="132"/>
      <c r="C4" s="133" t="str">
        <f>+'Necesidades Trimestrales'!C5:E5</f>
        <v>011 - Direccion Provincial de Administración - Ministerio de Salud</v>
      </c>
      <c r="D4" s="133"/>
      <c r="E4" s="133"/>
      <c r="F4" s="133"/>
      <c r="G4" s="133"/>
      <c r="H4" s="133"/>
      <c r="I4" s="133"/>
      <c r="J4" s="133"/>
    </row>
    <row r="5" spans="1:12" ht="18.75" customHeight="1" thickBot="1" x14ac:dyDescent="0.25">
      <c r="A5" s="132" t="s">
        <v>4</v>
      </c>
      <c r="B5" s="132"/>
      <c r="C5" s="133" t="s">
        <v>68</v>
      </c>
      <c r="D5" s="133"/>
      <c r="E5" s="133"/>
      <c r="F5" s="133"/>
      <c r="G5" s="133"/>
      <c r="H5" s="133"/>
      <c r="I5" s="133"/>
      <c r="J5" s="133"/>
    </row>
    <row r="6" spans="1:12" ht="21" customHeight="1" thickBot="1" x14ac:dyDescent="0.25">
      <c r="A6" s="135" t="s">
        <v>5</v>
      </c>
      <c r="B6" s="135"/>
      <c r="C6" s="133" t="s">
        <v>67</v>
      </c>
      <c r="D6" s="133"/>
      <c r="E6" s="133"/>
      <c r="F6" s="133"/>
      <c r="G6" s="133"/>
      <c r="H6" s="133"/>
      <c r="I6" s="133"/>
      <c r="J6" s="133"/>
    </row>
    <row r="7" spans="1:12" ht="20.25" customHeight="1" thickBot="1" x14ac:dyDescent="0.25">
      <c r="A7" s="135" t="s">
        <v>30</v>
      </c>
      <c r="B7" s="135"/>
      <c r="C7" s="133" t="s">
        <v>69</v>
      </c>
      <c r="D7" s="133"/>
      <c r="E7" s="133"/>
      <c r="F7" s="133"/>
      <c r="G7" s="133"/>
      <c r="H7" s="133"/>
      <c r="I7" s="133"/>
      <c r="J7" s="133"/>
    </row>
    <row r="8" spans="1:12" ht="57" customHeight="1" thickBot="1" x14ac:dyDescent="0.25">
      <c r="A8" s="140" t="s">
        <v>31</v>
      </c>
      <c r="B8" s="140"/>
      <c r="C8" s="141" t="s">
        <v>70</v>
      </c>
      <c r="D8" s="141"/>
      <c r="E8" s="141"/>
      <c r="F8" s="141"/>
      <c r="G8" s="141"/>
      <c r="H8" s="141"/>
      <c r="I8" s="141"/>
      <c r="J8" s="141"/>
    </row>
    <row r="9" spans="1:12" ht="16.5" thickBot="1" x14ac:dyDescent="0.25">
      <c r="A9" s="39"/>
      <c r="B9" s="40"/>
      <c r="C9" s="41"/>
      <c r="D9" s="41"/>
      <c r="E9" s="41"/>
      <c r="F9" s="41"/>
      <c r="G9" s="41"/>
      <c r="H9" s="41"/>
      <c r="I9" s="41"/>
      <c r="J9" s="42"/>
    </row>
    <row r="10" spans="1:12" ht="18.75" customHeight="1" thickBot="1" x14ac:dyDescent="0.25">
      <c r="A10" s="142" t="s">
        <v>32</v>
      </c>
      <c r="B10" s="144" t="s">
        <v>33</v>
      </c>
      <c r="C10" s="144"/>
      <c r="D10" s="144"/>
      <c r="E10" s="145"/>
      <c r="F10" s="148" t="s">
        <v>34</v>
      </c>
      <c r="G10" s="148" t="s">
        <v>35</v>
      </c>
      <c r="H10" s="150" t="s">
        <v>36</v>
      </c>
      <c r="I10" s="136" t="s">
        <v>37</v>
      </c>
      <c r="J10" s="137"/>
    </row>
    <row r="11" spans="1:12" ht="24" customHeight="1" thickBot="1" x14ac:dyDescent="0.25">
      <c r="A11" s="143"/>
      <c r="B11" s="146"/>
      <c r="C11" s="146"/>
      <c r="D11" s="146"/>
      <c r="E11" s="147"/>
      <c r="F11" s="149"/>
      <c r="G11" s="149"/>
      <c r="H11" s="151"/>
      <c r="I11" s="138"/>
      <c r="J11" s="139"/>
    </row>
    <row r="12" spans="1:12" ht="60" customHeight="1" x14ac:dyDescent="0.2">
      <c r="A12" s="43">
        <v>1</v>
      </c>
      <c r="B12" s="155" t="str">
        <f>+'Necesidades Trimestrales'!E10</f>
        <v>LAVADO Y PLANCHADO DE PRENDAS; DESCRIPCION: LAVADO Y PLANCHADO PRENDAS</v>
      </c>
      <c r="C12" s="156"/>
      <c r="D12" s="156"/>
      <c r="E12" s="156"/>
      <c r="F12" s="99" t="s">
        <v>38</v>
      </c>
      <c r="G12" s="99" t="s">
        <v>54</v>
      </c>
      <c r="H12" s="100">
        <f>+'Necesidades Trimestrales'!H10</f>
        <v>550000</v>
      </c>
      <c r="I12" s="157">
        <v>3</v>
      </c>
      <c r="J12" s="158"/>
      <c r="L12" s="44"/>
    </row>
    <row r="13" spans="1:12" ht="42" customHeight="1" x14ac:dyDescent="0.2">
      <c r="A13" s="45"/>
      <c r="B13" s="159"/>
      <c r="C13" s="160"/>
      <c r="D13" s="160"/>
      <c r="E13" s="160"/>
      <c r="F13" s="46"/>
      <c r="G13" s="46"/>
      <c r="H13" s="47"/>
      <c r="I13" s="161"/>
      <c r="J13" s="162"/>
      <c r="L13" s="44"/>
    </row>
    <row r="14" spans="1:12" ht="42" customHeight="1" thickBot="1" x14ac:dyDescent="0.25">
      <c r="A14" s="48"/>
      <c r="B14" s="163"/>
      <c r="C14" s="164"/>
      <c r="D14" s="164"/>
      <c r="E14" s="164"/>
      <c r="F14" s="49"/>
      <c r="G14" s="49"/>
      <c r="H14" s="50"/>
      <c r="I14" s="165"/>
      <c r="J14" s="166"/>
      <c r="L14" s="44"/>
    </row>
    <row r="15" spans="1:12" ht="54" customHeight="1" thickBot="1" x14ac:dyDescent="0.25">
      <c r="A15" s="152" t="s">
        <v>82</v>
      </c>
      <c r="B15" s="152"/>
      <c r="C15" s="152"/>
      <c r="D15" s="152"/>
      <c r="E15" s="152"/>
      <c r="F15" s="152"/>
      <c r="G15" s="152"/>
      <c r="H15" s="152"/>
      <c r="I15" s="153">
        <f>+H12*I12</f>
        <v>1650000</v>
      </c>
      <c r="J15" s="154"/>
      <c r="L15" s="44">
        <f>SUM(L12:L14)</f>
        <v>0</v>
      </c>
    </row>
    <row r="17" s="34" customFormat="1" ht="20.25" customHeight="1" x14ac:dyDescent="0.2"/>
  </sheetData>
  <mergeCells count="27">
    <mergeCell ref="A15:H15"/>
    <mergeCell ref="I15:J15"/>
    <mergeCell ref="B12:E12"/>
    <mergeCell ref="I12:J12"/>
    <mergeCell ref="B13:E13"/>
    <mergeCell ref="I13:J13"/>
    <mergeCell ref="B14:E14"/>
    <mergeCell ref="I14:J14"/>
    <mergeCell ref="I10:J11"/>
    <mergeCell ref="A6:B6"/>
    <mergeCell ref="C6:J6"/>
    <mergeCell ref="A7:B7"/>
    <mergeCell ref="C7:J7"/>
    <mergeCell ref="A8:B8"/>
    <mergeCell ref="C8:J8"/>
    <mergeCell ref="A10:A11"/>
    <mergeCell ref="B10:E11"/>
    <mergeCell ref="F10:F11"/>
    <mergeCell ref="G10:G11"/>
    <mergeCell ref="H10:H11"/>
    <mergeCell ref="A5:B5"/>
    <mergeCell ref="C5:J5"/>
    <mergeCell ref="A1:H1"/>
    <mergeCell ref="A3:B3"/>
    <mergeCell ref="C3:J3"/>
    <mergeCell ref="A4:B4"/>
    <mergeCell ref="C4:J4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59" firstPageNumber="0" fitToHeight="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view="pageBreakPreview" topLeftCell="A13" zoomScaleNormal="115" zoomScaleSheetLayoutView="100" workbookViewId="0">
      <selection activeCell="A24" sqref="A24:Q2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  <col min="19" max="19" width="11.140625" bestFit="1" customWidth="1"/>
    <col min="20" max="20" width="11.28515625" bestFit="1" customWidth="1"/>
  </cols>
  <sheetData>
    <row r="1" spans="1:20" ht="15.75" customHeight="1" thickBot="1" x14ac:dyDescent="0.3">
      <c r="A1" s="171" t="s">
        <v>0</v>
      </c>
      <c r="B1" s="171"/>
      <c r="C1" s="171"/>
      <c r="D1" s="172">
        <v>2020</v>
      </c>
      <c r="E1" s="172"/>
      <c r="F1" s="1"/>
      <c r="G1" s="1"/>
      <c r="H1" s="2"/>
      <c r="I1" s="2"/>
      <c r="J1" s="2"/>
      <c r="K1" s="2"/>
      <c r="L1" s="2"/>
      <c r="M1" s="2"/>
      <c r="N1" s="2"/>
      <c r="P1" s="173" t="s">
        <v>1</v>
      </c>
      <c r="Q1" s="173"/>
    </row>
    <row r="2" spans="1:20" ht="15.75" customHeight="1" thickBot="1" x14ac:dyDescent="0.25">
      <c r="H2" s="2"/>
      <c r="I2" s="2"/>
      <c r="J2" s="2"/>
      <c r="K2" s="2"/>
      <c r="L2" s="2"/>
      <c r="M2" s="2"/>
      <c r="N2" s="2"/>
      <c r="P2" s="173"/>
      <c r="Q2" s="173"/>
    </row>
    <row r="4" spans="1:20" s="4" customFormat="1" ht="18" customHeight="1" thickBot="1" x14ac:dyDescent="0.25">
      <c r="A4" s="174" t="s">
        <v>2</v>
      </c>
      <c r="B4" s="174"/>
      <c r="C4" s="174"/>
      <c r="D4" s="174"/>
      <c r="E4" s="174"/>
      <c r="F4" s="174"/>
      <c r="G4" s="175" t="s">
        <v>65</v>
      </c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20" s="4" customFormat="1" ht="31.5" customHeight="1" thickBot="1" x14ac:dyDescent="0.25">
      <c r="A5" s="167" t="s">
        <v>3</v>
      </c>
      <c r="B5" s="168"/>
      <c r="C5" s="168"/>
      <c r="D5" s="168"/>
      <c r="E5" s="168"/>
      <c r="F5" s="169"/>
      <c r="G5" s="170" t="s">
        <v>66</v>
      </c>
      <c r="H5" s="170"/>
      <c r="I5" s="170"/>
      <c r="J5" s="170"/>
      <c r="K5" s="170"/>
      <c r="L5" s="170"/>
      <c r="M5" s="170"/>
      <c r="N5" s="170"/>
      <c r="O5" s="170"/>
      <c r="P5" s="170"/>
      <c r="Q5" s="170"/>
    </row>
    <row r="6" spans="1:20" s="4" customFormat="1" ht="18" customHeight="1" thickBot="1" x14ac:dyDescent="0.25">
      <c r="A6" s="177" t="s">
        <v>4</v>
      </c>
      <c r="B6" s="178"/>
      <c r="C6" s="178"/>
      <c r="D6" s="178"/>
      <c r="E6" s="178"/>
      <c r="F6" s="179"/>
      <c r="G6" s="175" t="s">
        <v>68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</row>
    <row r="7" spans="1:20" s="4" customFormat="1" ht="18" customHeight="1" thickBot="1" x14ac:dyDescent="0.25">
      <c r="A7" s="177" t="s">
        <v>5</v>
      </c>
      <c r="B7" s="178"/>
      <c r="C7" s="178"/>
      <c r="D7" s="178"/>
      <c r="E7" s="178"/>
      <c r="F7" s="179"/>
      <c r="G7" s="175" t="s">
        <v>67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20" ht="18" customHeight="1" thickBot="1" x14ac:dyDescent="0.25">
      <c r="A8" s="180" t="s">
        <v>6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</row>
    <row r="9" spans="1:20" ht="18" customHeight="1" x14ac:dyDescent="0.2">
      <c r="A9" s="181" t="s">
        <v>7</v>
      </c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Q9" s="5"/>
    </row>
    <row r="10" spans="1:20" ht="54.75" customHeight="1" x14ac:dyDescent="0.2">
      <c r="A10" s="182" t="s">
        <v>74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</row>
    <row r="11" spans="1:20" ht="9" customHeight="1" thickBot="1" x14ac:dyDescent="0.25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20" ht="15.75" customHeight="1" thickBot="1" x14ac:dyDescent="0.25">
      <c r="A12" s="183" t="s">
        <v>8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</row>
    <row r="13" spans="1:20" ht="15.75" customHeight="1" thickBot="1" x14ac:dyDescent="0.25">
      <c r="A13" s="184" t="s">
        <v>9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6" t="s">
        <v>10</v>
      </c>
      <c r="P13" s="187"/>
      <c r="Q13" s="190" t="s">
        <v>11</v>
      </c>
    </row>
    <row r="14" spans="1:20" ht="15.75" customHeight="1" thickBot="1" x14ac:dyDescent="0.25">
      <c r="A14" s="10" t="s">
        <v>12</v>
      </c>
      <c r="B14" s="11" t="s">
        <v>13</v>
      </c>
      <c r="C14" s="11" t="s">
        <v>14</v>
      </c>
      <c r="D14" s="11" t="s">
        <v>15</v>
      </c>
      <c r="E14" s="11" t="s">
        <v>16</v>
      </c>
      <c r="F14" s="11" t="s">
        <v>17</v>
      </c>
      <c r="G14" s="12" t="s">
        <v>18</v>
      </c>
      <c r="H14" s="11" t="s">
        <v>19</v>
      </c>
      <c r="I14" s="11" t="s">
        <v>20</v>
      </c>
      <c r="J14" s="11" t="s">
        <v>21</v>
      </c>
      <c r="K14" s="11" t="s">
        <v>21</v>
      </c>
      <c r="L14" s="11" t="s">
        <v>22</v>
      </c>
      <c r="M14" s="13" t="s">
        <v>23</v>
      </c>
      <c r="N14" s="14" t="s">
        <v>24</v>
      </c>
      <c r="O14" s="188"/>
      <c r="P14" s="189"/>
      <c r="Q14" s="191"/>
    </row>
    <row r="15" spans="1:20" ht="26.25" customHeight="1" x14ac:dyDescent="0.2">
      <c r="A15" s="15">
        <v>1</v>
      </c>
      <c r="B15" s="16"/>
      <c r="C15" s="16"/>
      <c r="D15" s="16">
        <v>5</v>
      </c>
      <c r="E15" s="16"/>
      <c r="F15" s="16">
        <v>4901</v>
      </c>
      <c r="G15" s="16">
        <v>1</v>
      </c>
      <c r="H15" s="16">
        <v>3</v>
      </c>
      <c r="I15" s="16">
        <v>3</v>
      </c>
      <c r="J15" s="16">
        <v>3</v>
      </c>
      <c r="K15" s="16">
        <v>9</v>
      </c>
      <c r="L15" s="16"/>
      <c r="M15" s="17">
        <v>1</v>
      </c>
      <c r="N15" s="18" t="s">
        <v>25</v>
      </c>
      <c r="O15" s="176" t="s">
        <v>75</v>
      </c>
      <c r="P15" s="176"/>
      <c r="Q15" s="19">
        <f>+' NotaPedido'!I15</f>
        <v>1650000</v>
      </c>
      <c r="T15" s="20"/>
    </row>
    <row r="16" spans="1:20" ht="23.25" customHeight="1" x14ac:dyDescent="0.2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18"/>
      <c r="O16" s="176"/>
      <c r="P16" s="176"/>
      <c r="Q16" s="19"/>
      <c r="T16" s="20"/>
    </row>
    <row r="17" spans="1:20" ht="17.25" customHeight="1" x14ac:dyDescent="0.2">
      <c r="A17" s="15"/>
      <c r="B17" s="16"/>
      <c r="C17" s="16"/>
      <c r="D17" s="16"/>
      <c r="E17" s="16"/>
      <c r="F17" s="21"/>
      <c r="G17" s="16"/>
      <c r="H17" s="16"/>
      <c r="I17" s="16"/>
      <c r="J17" s="16"/>
      <c r="K17" s="16"/>
      <c r="L17" s="16"/>
      <c r="M17" s="17"/>
      <c r="N17" s="18"/>
      <c r="O17" s="176"/>
      <c r="P17" s="176"/>
      <c r="Q17" s="22"/>
      <c r="T17" s="20"/>
    </row>
    <row r="18" spans="1:20" ht="17.25" customHeight="1" x14ac:dyDescent="0.2">
      <c r="A18" s="15"/>
      <c r="B18" s="16"/>
      <c r="C18" s="16"/>
      <c r="D18" s="16"/>
      <c r="E18" s="16"/>
      <c r="F18" s="21"/>
      <c r="G18" s="16"/>
      <c r="H18" s="16"/>
      <c r="I18" s="16"/>
      <c r="J18" s="16"/>
      <c r="K18" s="16"/>
      <c r="L18" s="16"/>
      <c r="M18" s="17"/>
      <c r="N18" s="21"/>
      <c r="O18" s="198"/>
      <c r="P18" s="198"/>
      <c r="Q18" s="22"/>
      <c r="T18" s="20"/>
    </row>
    <row r="19" spans="1:20" ht="17.25" customHeight="1" x14ac:dyDescent="0.2">
      <c r="A19" s="23"/>
      <c r="B19" s="24"/>
      <c r="C19" s="24"/>
      <c r="D19" s="24"/>
      <c r="E19" s="24"/>
      <c r="F19" s="21"/>
      <c r="G19" s="24"/>
      <c r="H19" s="24"/>
      <c r="I19" s="24"/>
      <c r="J19" s="24"/>
      <c r="K19" s="24"/>
      <c r="L19" s="24"/>
      <c r="M19" s="25"/>
      <c r="N19" s="26"/>
      <c r="O19" s="198"/>
      <c r="P19" s="198"/>
      <c r="Q19" s="22"/>
    </row>
    <row r="20" spans="1:20" ht="17.25" customHeight="1" thickBot="1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28"/>
      <c r="O20" s="199"/>
      <c r="P20" s="199"/>
      <c r="Q20" s="30"/>
    </row>
    <row r="21" spans="1:20" ht="32.25" customHeight="1" thickBot="1" x14ac:dyDescent="0.25">
      <c r="A21" s="200" t="s">
        <v>81</v>
      </c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31">
        <f>SUM(Q15:Q20)</f>
        <v>1650000</v>
      </c>
      <c r="T21" s="32"/>
    </row>
    <row r="22" spans="1:20" ht="18" customHeight="1" thickBot="1" x14ac:dyDescent="0.25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</row>
    <row r="23" spans="1:20" ht="17.25" customHeight="1" thickBot="1" x14ac:dyDescent="0.25">
      <c r="A23" s="193" t="s">
        <v>26</v>
      </c>
      <c r="B23" s="194"/>
      <c r="C23" s="194"/>
      <c r="D23" s="194"/>
      <c r="E23" s="194"/>
      <c r="F23" s="195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</row>
    <row r="24" spans="1:20" ht="18" customHeight="1" thickBot="1" x14ac:dyDescent="0.25">
      <c r="A24" s="197" t="s">
        <v>76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</row>
    <row r="25" spans="1:20" ht="45" customHeight="1" thickBot="1" x14ac:dyDescent="0.25">
      <c r="A25" s="197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</row>
  </sheetData>
  <mergeCells count="29">
    <mergeCell ref="A22:Q22"/>
    <mergeCell ref="A23:F23"/>
    <mergeCell ref="G23:Q23"/>
    <mergeCell ref="A24:Q25"/>
    <mergeCell ref="O16:P16"/>
    <mergeCell ref="O17:P17"/>
    <mergeCell ref="O18:P18"/>
    <mergeCell ref="O19:P19"/>
    <mergeCell ref="O20:P20"/>
    <mergeCell ref="A21:P21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NICOLA</dc:creator>
  <cp:lastModifiedBy>Lobillo</cp:lastModifiedBy>
  <dcterms:created xsi:type="dcterms:W3CDTF">2020-10-26T16:38:27Z</dcterms:created>
  <dcterms:modified xsi:type="dcterms:W3CDTF">2020-12-21T12:40:48Z</dcterms:modified>
</cp:coreProperties>
</file>