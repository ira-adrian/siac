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A AYBAR\Downloads\"/>
    </mc:Choice>
  </mc:AlternateContent>
  <xr:revisionPtr revIDLastSave="0" documentId="8_{EB259320-CBEB-4BD7-99D7-3C00E15A9D70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NECESIDAD TRIMESTRAL" sheetId="3" r:id="rId1"/>
    <sheet name=" NotaPedido" sheetId="1" r:id="rId2"/>
    <sheet name="Autor Gastar" sheetId="2" r:id="rId3"/>
    <sheet name="Hoja1" sheetId="4" r:id="rId4"/>
  </sheets>
  <definedNames>
    <definedName name="_xlnm.Print_Area" localSheetId="1">' NotaPedido'!$A$1:$K$13</definedName>
    <definedName name="_xlnm.Print_Area" localSheetId="2">'Autor Gastar'!$A$1:$Q$42</definedName>
  </definedNames>
  <calcPr calcId="181029"/>
</workbook>
</file>

<file path=xl/calcChain.xml><?xml version="1.0" encoding="utf-8"?>
<calcChain xmlns="http://schemas.openxmlformats.org/spreadsheetml/2006/main">
  <c r="K12" i="1" l="1"/>
  <c r="J13" i="1" l="1"/>
  <c r="L12" i="1"/>
  <c r="J13" i="3"/>
  <c r="J14" i="3" s="1"/>
  <c r="Q38" i="2" l="1"/>
</calcChain>
</file>

<file path=xl/sharedStrings.xml><?xml version="1.0" encoding="utf-8"?>
<sst xmlns="http://schemas.openxmlformats.org/spreadsheetml/2006/main" count="99" uniqueCount="85">
  <si>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</si>
  <si>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</si>
  <si>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</si>
  <si>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</si>
  <si>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</si>
  <si>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</si>
  <si>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</si>
  <si>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</si>
  <si>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</si>
  <si>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</si>
  <si>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</si>
  <si>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</si>
  <si>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</si>
  <si>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</si>
  <si>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</si>
  <si>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</si>
  <si>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</si>
  <si>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</si>
  <si>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</si>
  <si>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</si>
  <si>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</si>
  <si>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</si>
  <si>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</si>
  <si>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</si>
  <si>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</si>
  <si>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</si>
  <si>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</si>
  <si>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</si>
  <si>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</si>
  <si>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</si>
  <si>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</si>
  <si>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</si>
  <si>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</si>
  <si>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</si>
  <si>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</si>
  <si>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</si>
  <si>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</si>
  <si>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40 - MINISTERIO DE SALUD</t>
  </si>
  <si>
    <t>11 - DIRECCION PROVINCIAL DE ADMINISTRACIÓN DEL M.S.</t>
  </si>
  <si>
    <t>SERVICIO DE COMIDA</t>
  </si>
  <si>
    <t>SI</t>
  </si>
  <si>
    <t>1.1</t>
  </si>
  <si>
    <t>752 - HOSPITAL MONOVALENTE CARLOS MALBRAN</t>
  </si>
  <si>
    <t xml:space="preserve"> 02/2021</t>
  </si>
  <si>
    <t>JURISDICCION:</t>
  </si>
  <si>
    <t>040 - MINISTERIO DE SALUD</t>
  </si>
  <si>
    <t xml:space="preserve">SAF N°: </t>
  </si>
  <si>
    <t>011 - DIRECCION PROVINCIAL DE ADMINISTRACION - MS</t>
  </si>
  <si>
    <t>PER. UTILIZACION:</t>
  </si>
  <si>
    <t>ID</t>
  </si>
  <si>
    <t>CODIGO DEL ITEM</t>
  </si>
  <si>
    <t>RUBRO DE COMPRA</t>
  </si>
  <si>
    <t xml:space="preserve">PERIODO DE UTILIZACION </t>
  </si>
  <si>
    <t xml:space="preserve">I.P.P.  </t>
  </si>
  <si>
    <t xml:space="preserve"> DESCRIPCION</t>
  </si>
  <si>
    <t>UNIDAD DE MEDIDA</t>
  </si>
  <si>
    <t>CANTIDAD</t>
  </si>
  <si>
    <t>PRECIO UNITARIO ESTIMADO</t>
  </si>
  <si>
    <t xml:space="preserve">IMPORTE TOTAL ESTIMADO </t>
  </si>
  <si>
    <t>ALIMENTOS</t>
  </si>
  <si>
    <t xml:space="preserve">TOTAL RUBRO DE COMPRA:  </t>
  </si>
  <si>
    <t>Especificidades Item N° 1:</t>
  </si>
  <si>
    <t>Descripción técnica</t>
  </si>
  <si>
    <t>Plazos y lugares de entrega</t>
  </si>
  <si>
    <t>A PARTIR DE LOS 5 DIAS DE RECIBIDA LA ORDEN DE COMPRA, SERVICIOS DIARIOS SEGÚN DEMANDA ORIGINADA POR EL INTERNADO Y PERSONAL EN SERVICIO, SE CALCULA UN PROMEDIO DE 150 SERVICIOS DIARIOS</t>
  </si>
  <si>
    <t>LUGAR DE ENTREGA: HOSPITAL MONOVALENTE CARLOS MALBRAN</t>
  </si>
  <si>
    <t>Calidad Minima esperada</t>
  </si>
  <si>
    <t>Mantenimiento</t>
  </si>
  <si>
    <t>Garantia</t>
  </si>
  <si>
    <t>90 dias</t>
  </si>
  <si>
    <t>90 DIAS</t>
  </si>
  <si>
    <t>Costo total estimado: DIEZ MILLONES OCHOCIENTOS MIL CON 00/100.-</t>
  </si>
  <si>
    <t>TOTAL DE PESOS: DIEZ MILLONES OCHOCIENTOS MIL CON 00/100</t>
  </si>
  <si>
    <t>3.9.9-3161.1</t>
  </si>
  <si>
    <t>SERVICIO DE COMIDA; DESCRIPCION: SERVICIO DE COMIDA</t>
  </si>
  <si>
    <t>PEDIDO DE NECESIDADES TRIMESTRALES</t>
  </si>
  <si>
    <t>OTROS N.E.P.</t>
  </si>
  <si>
    <t>3.9.9.</t>
  </si>
  <si>
    <t>RACION</t>
  </si>
  <si>
    <t xml:space="preserve">Autorizo la realización de los  trámites correspondientes, a fin de proveer a  este Organismo los bienes que se detallan en Nota  de Pedido N° 02/2021,  afectando la erogación resultante a los créditos presupuestarios aprobados a favor de esta Unidad Ejecutora, conforme al siguiente detalle:                
</t>
  </si>
  <si>
    <t>La presente erogacion tiene por objeto la contratacion del Servicio de Comida para el Hospital Monovalente Carlos Malbrán.</t>
  </si>
  <si>
    <t>4500 RACCIONES SERVICIOS CADA 30 DIAS</t>
  </si>
  <si>
    <t>DIEZ MILLONES OCHOCIENTOS MIL CON 00/100.-</t>
  </si>
  <si>
    <t xml:space="preserve"> DESAYUNO - ALMUERZO-MERIENDA-CENA</t>
  </si>
  <si>
    <t>VER ANEXO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</si>
</sst>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\ 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b/>
      <u/>
      <sz val="14"/>
      <color theme="1"/>
      <name val="Bookman Old Style"/>
      <family val="1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u/>
      <sz val="10"/>
      <name val="Times New Roman"/>
      <family val="1"/>
    </font>
    <font>
      <sz val="10"/>
      <name val="Times New Roman"/>
      <family val="1"/>
    </font>
    <font>
      <sz val="10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8">
    <xf numFmtId="0" fontId="0" fillId="0" borderId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61">
    <xf numFmtId="0" fontId="0" fillId="0" borderId="0" xfId="0"/>
    <xf numFmtId="0" fontId="5" fillId="0" borderId="0" xfId="0" applyFont="1" applyBorder="1" applyAlignment="1">
      <alignment vertical="center"/>
    </xf>
    <xf numFmtId="0" fontId="8" fillId="0" borderId="3" xfId="0" applyFont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4" fillId="0" borderId="19" xfId="0" applyNumberFormat="1" applyFont="1" applyBorder="1" applyAlignment="1"/>
    <xf numFmtId="166" fontId="0" fillId="0" borderId="19" xfId="0" applyNumberFormat="1" applyBorder="1" applyAlignment="1">
      <alignment horizontal="left"/>
    </xf>
    <xf numFmtId="0" fontId="0" fillId="0" borderId="19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5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3" xfId="0" applyBorder="1"/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3" xfId="2" applyNumberFormat="1" applyFont="1" applyBorder="1" applyAlignment="1" applyProtection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167" fontId="0" fillId="0" borderId="38" xfId="2" applyNumberFormat="1" applyFont="1" applyBorder="1" applyAlignment="1" applyProtection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7" fontId="0" fillId="0" borderId="42" xfId="2" applyNumberFormat="1" applyFont="1" applyBorder="1" applyAlignment="1" applyProtection="1">
      <alignment horizontal="center" vertical="center"/>
    </xf>
    <xf numFmtId="167" fontId="18" fillId="0" borderId="44" xfId="0" applyNumberFormat="1" applyFont="1" applyBorder="1" applyAlignment="1">
      <alignment horizontal="center" vertical="center"/>
    </xf>
    <xf numFmtId="0" fontId="0" fillId="3" borderId="30" xfId="0" applyFont="1" applyFill="1" applyBorder="1" applyAlignment="1">
      <alignment horizontal="center" vertical="center"/>
    </xf>
    <xf numFmtId="0" fontId="0" fillId="3" borderId="31" xfId="0" applyFont="1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 wrapText="1"/>
    </xf>
    <xf numFmtId="3" fontId="13" fillId="0" borderId="49" xfId="0" applyNumberFormat="1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17" fontId="9" fillId="0" borderId="4" xfId="0" applyNumberFormat="1" applyFont="1" applyBorder="1" applyAlignment="1">
      <alignment horizontal="center" vertical="center"/>
    </xf>
    <xf numFmtId="0" fontId="0" fillId="0" borderId="0" xfId="0"/>
    <xf numFmtId="0" fontId="21" fillId="0" borderId="0" xfId="6" applyFont="1"/>
    <xf numFmtId="0" fontId="21" fillId="0" borderId="0" xfId="6" applyFont="1" applyAlignment="1">
      <alignment horizontal="center"/>
    </xf>
    <xf numFmtId="0" fontId="22" fillId="0" borderId="0" xfId="6" applyFont="1"/>
    <xf numFmtId="0" fontId="24" fillId="0" borderId="0" xfId="6" applyFont="1"/>
    <xf numFmtId="0" fontId="24" fillId="0" borderId="0" xfId="6" applyFont="1" applyAlignment="1">
      <alignment horizontal="center"/>
    </xf>
    <xf numFmtId="0" fontId="24" fillId="0" borderId="0" xfId="6" applyFont="1" applyAlignment="1">
      <alignment horizontal="left"/>
    </xf>
    <xf numFmtId="0" fontId="22" fillId="0" borderId="0" xfId="6" applyFont="1" applyAlignment="1">
      <alignment horizontal="left"/>
    </xf>
    <xf numFmtId="0" fontId="25" fillId="0" borderId="0" xfId="6" applyFont="1"/>
    <xf numFmtId="0" fontId="25" fillId="0" borderId="0" xfId="6" applyFont="1" applyAlignment="1">
      <alignment horizontal="center"/>
    </xf>
    <xf numFmtId="0" fontId="26" fillId="0" borderId="45" xfId="6" applyFont="1" applyBorder="1" applyAlignment="1">
      <alignment horizontal="center" vertical="center"/>
    </xf>
    <xf numFmtId="0" fontId="26" fillId="0" borderId="45" xfId="6" applyFont="1" applyBorder="1" applyAlignment="1">
      <alignment horizontal="center" vertical="center" wrapText="1"/>
    </xf>
    <xf numFmtId="0" fontId="2" fillId="0" borderId="54" xfId="6" applyBorder="1" applyAlignment="1">
      <alignment horizontal="center" vertical="center"/>
    </xf>
    <xf numFmtId="0" fontId="21" fillId="0" borderId="9" xfId="6" applyFont="1" applyBorder="1" applyAlignment="1">
      <alignment horizontal="center" vertical="center"/>
    </xf>
    <xf numFmtId="168" fontId="21" fillId="0" borderId="9" xfId="6" applyNumberFormat="1" applyFont="1" applyBorder="1" applyAlignment="1">
      <alignment horizontal="center" vertical="center"/>
    </xf>
    <xf numFmtId="168" fontId="27" fillId="0" borderId="55" xfId="7" applyNumberFormat="1" applyFont="1" applyBorder="1"/>
    <xf numFmtId="0" fontId="28" fillId="0" borderId="2" xfId="0" applyFont="1" applyBorder="1"/>
    <xf numFmtId="0" fontId="29" fillId="0" borderId="19" xfId="0" applyFont="1" applyBorder="1"/>
    <xf numFmtId="0" fontId="29" fillId="0" borderId="57" xfId="0" applyFont="1" applyBorder="1"/>
    <xf numFmtId="0" fontId="29" fillId="0" borderId="13" xfId="0" applyFont="1" applyBorder="1"/>
    <xf numFmtId="0" fontId="29" fillId="0" borderId="0" xfId="0" applyFont="1" applyBorder="1"/>
    <xf numFmtId="0" fontId="29" fillId="0" borderId="7" xfId="0" applyFont="1" applyBorder="1"/>
    <xf numFmtId="0" fontId="28" fillId="0" borderId="13" xfId="0" applyFont="1" applyBorder="1" applyAlignment="1">
      <alignment horizontal="left" indent="3"/>
    </xf>
    <xf numFmtId="0" fontId="29" fillId="3" borderId="0" xfId="0" applyFont="1" applyFill="1" applyBorder="1"/>
    <xf numFmtId="0" fontId="29" fillId="3" borderId="7" xfId="0" applyFont="1" applyFill="1" applyBorder="1"/>
    <xf numFmtId="0" fontId="21" fillId="0" borderId="0" xfId="6" applyFont="1" applyBorder="1"/>
    <xf numFmtId="0" fontId="29" fillId="0" borderId="13" xfId="0" applyFont="1" applyBorder="1" applyAlignment="1">
      <alignment horizontal="left" indent="3"/>
    </xf>
    <xf numFmtId="0" fontId="29" fillId="3" borderId="0" xfId="0" applyFont="1" applyFill="1" applyBorder="1" applyAlignment="1">
      <alignment horizontal="center" wrapText="1"/>
    </xf>
    <xf numFmtId="0" fontId="29" fillId="3" borderId="7" xfId="0" applyFont="1" applyFill="1" applyBorder="1" applyAlignment="1">
      <alignment horizontal="center" wrapText="1"/>
    </xf>
    <xf numFmtId="0" fontId="29" fillId="0" borderId="56" xfId="0" applyFont="1" applyBorder="1" applyAlignment="1">
      <alignment horizontal="left" indent="3"/>
    </xf>
    <xf numFmtId="0" fontId="29" fillId="0" borderId="58" xfId="0" applyFont="1" applyBorder="1"/>
    <xf numFmtId="0" fontId="29" fillId="0" borderId="55" xfId="0" applyFont="1" applyBorder="1"/>
    <xf numFmtId="0" fontId="22" fillId="0" borderId="0" xfId="6" applyFont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" fillId="0" borderId="0" xfId="6" applyFont="1"/>
    <xf numFmtId="0" fontId="1" fillId="0" borderId="54" xfId="6" applyFont="1" applyBorder="1" applyAlignment="1">
      <alignment horizontal="center" vertical="center"/>
    </xf>
    <xf numFmtId="0" fontId="2" fillId="0" borderId="9" xfId="6" applyBorder="1" applyAlignment="1">
      <alignment horizontal="center" vertical="center"/>
    </xf>
    <xf numFmtId="0" fontId="1" fillId="0" borderId="9" xfId="6" applyFont="1" applyBorder="1" applyAlignment="1">
      <alignment horizontal="left" vertical="top" wrapText="1"/>
    </xf>
    <xf numFmtId="4" fontId="30" fillId="0" borderId="0" xfId="0" applyNumberFormat="1" applyFont="1" applyBorder="1" applyAlignment="1">
      <alignment vertical="center"/>
    </xf>
    <xf numFmtId="0" fontId="26" fillId="0" borderId="16" xfId="6" applyFont="1" applyBorder="1"/>
    <xf numFmtId="0" fontId="26" fillId="0" borderId="55" xfId="6" applyFont="1" applyBorder="1"/>
    <xf numFmtId="168" fontId="13" fillId="0" borderId="48" xfId="0" applyNumberFormat="1" applyFont="1" applyBorder="1" applyAlignment="1">
      <alignment horizontal="center" vertical="center" wrapText="1"/>
    </xf>
    <xf numFmtId="0" fontId="22" fillId="0" borderId="0" xfId="6" applyFont="1" applyAlignment="1">
      <alignment horizontal="left"/>
    </xf>
    <xf numFmtId="0" fontId="29" fillId="4" borderId="7" xfId="0" applyFont="1" applyFill="1" applyBorder="1" applyAlignment="1">
      <alignment horizontal="center"/>
    </xf>
    <xf numFmtId="0" fontId="29" fillId="4" borderId="0" xfId="0" applyFont="1" applyFill="1" applyBorder="1" applyAlignment="1">
      <alignment horizontal="left" wrapText="1"/>
    </xf>
    <xf numFmtId="0" fontId="29" fillId="4" borderId="7" xfId="0" applyFont="1" applyFill="1" applyBorder="1" applyAlignment="1">
      <alignment horizontal="left" wrapText="1"/>
    </xf>
    <xf numFmtId="0" fontId="29" fillId="4" borderId="0" xfId="0" applyFont="1" applyFill="1" applyBorder="1" applyAlignment="1">
      <alignment horizontal="left" vertical="top" wrapText="1"/>
    </xf>
    <xf numFmtId="0" fontId="29" fillId="4" borderId="7" xfId="0" applyFont="1" applyFill="1" applyBorder="1" applyAlignment="1">
      <alignment horizontal="left" vertical="top" wrapText="1"/>
    </xf>
    <xf numFmtId="0" fontId="29" fillId="4" borderId="0" xfId="0" applyFont="1" applyFill="1" applyBorder="1" applyAlignment="1">
      <alignment horizontal="left"/>
    </xf>
    <xf numFmtId="0" fontId="29" fillId="4" borderId="7" xfId="0" applyFont="1" applyFill="1" applyBorder="1" applyAlignment="1">
      <alignment horizontal="left"/>
    </xf>
    <xf numFmtId="0" fontId="29" fillId="4" borderId="7" xfId="0" applyFont="1" applyFill="1" applyBorder="1" applyAlignment="1">
      <alignment horizontal="center" wrapText="1"/>
    </xf>
    <xf numFmtId="0" fontId="26" fillId="0" borderId="17" xfId="6" applyFont="1" applyBorder="1" applyAlignment="1">
      <alignment horizontal="left"/>
    </xf>
    <xf numFmtId="0" fontId="26" fillId="0" borderId="53" xfId="6" applyFont="1" applyBorder="1" applyAlignment="1">
      <alignment horizontal="left"/>
    </xf>
    <xf numFmtId="0" fontId="26" fillId="0" borderId="18" xfId="6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 indent="1"/>
    </xf>
    <xf numFmtId="0" fontId="10" fillId="0" borderId="10" xfId="0" applyFont="1" applyBorder="1" applyAlignment="1">
      <alignment horizontal="left" vertical="center" wrapText="1"/>
    </xf>
    <xf numFmtId="0" fontId="10" fillId="0" borderId="5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52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53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5" fontId="19" fillId="0" borderId="17" xfId="0" applyNumberFormat="1" applyFont="1" applyBorder="1" applyAlignment="1">
      <alignment horizontal="center" vertical="center"/>
    </xf>
    <xf numFmtId="165" fontId="19" fillId="0" borderId="18" xfId="0" applyNumberFormat="1" applyFont="1" applyBorder="1" applyAlignment="1">
      <alignment horizontal="center" vertical="center"/>
    </xf>
    <xf numFmtId="0" fontId="0" fillId="0" borderId="17" xfId="0" applyFont="1" applyBorder="1" applyAlignment="1">
      <alignment horizontal="center"/>
    </xf>
    <xf numFmtId="3" fontId="14" fillId="0" borderId="18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0" fontId="5" fillId="0" borderId="20" xfId="0" applyFont="1" applyBorder="1"/>
    <xf numFmtId="0" fontId="5" fillId="0" borderId="8" xfId="0" applyFont="1" applyBorder="1" applyAlignment="1">
      <alignment horizontal="left"/>
    </xf>
    <xf numFmtId="0" fontId="5" fillId="0" borderId="46" xfId="0" applyFont="1" applyBorder="1" applyAlignment="1">
      <alignment horizontal="left"/>
    </xf>
    <xf numFmtId="0" fontId="5" fillId="0" borderId="47" xfId="0" applyFont="1" applyBorder="1" applyAlignment="1">
      <alignment horizontal="left"/>
    </xf>
    <xf numFmtId="0" fontId="13" fillId="0" borderId="20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17" fillId="0" borderId="21" xfId="0" applyFont="1" applyBorder="1" applyAlignment="1">
      <alignment horizontal="left"/>
    </xf>
    <xf numFmtId="0" fontId="16" fillId="0" borderId="22" xfId="0" applyFont="1" applyBorder="1" applyAlignment="1">
      <alignment horizontal="left"/>
    </xf>
    <xf numFmtId="0" fontId="16" fillId="0" borderId="13" xfId="0" applyNumberFormat="1" applyFont="1" applyBorder="1" applyAlignment="1">
      <alignment horizontal="justify" vertical="center" wrapText="1"/>
    </xf>
    <xf numFmtId="0" fontId="16" fillId="0" borderId="0" xfId="0" applyNumberFormat="1" applyFont="1" applyBorder="1" applyAlignment="1">
      <alignment horizontal="justify" vertical="center" wrapText="1"/>
    </xf>
    <xf numFmtId="0" fontId="16" fillId="0" borderId="7" xfId="0" applyNumberFormat="1" applyFont="1" applyBorder="1" applyAlignment="1">
      <alignment horizontal="justify" vertical="center" wrapText="1"/>
    </xf>
    <xf numFmtId="0" fontId="18" fillId="0" borderId="22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/>
    </xf>
    <xf numFmtId="0" fontId="0" fillId="0" borderId="31" xfId="0" applyFont="1" applyBorder="1" applyAlignment="1">
      <alignment horizontal="left" vertical="center" wrapText="1"/>
    </xf>
    <xf numFmtId="0" fontId="0" fillId="0" borderId="37" xfId="0" applyFont="1" applyBorder="1" applyAlignment="1">
      <alignment horizontal="left" vertical="center"/>
    </xf>
    <xf numFmtId="0" fontId="0" fillId="0" borderId="37" xfId="0" applyBorder="1" applyAlignment="1">
      <alignment horizontal="center"/>
    </xf>
    <xf numFmtId="0" fontId="0" fillId="0" borderId="37" xfId="0" applyFont="1" applyBorder="1" applyAlignment="1">
      <alignment horizontal="center" vertical="center"/>
    </xf>
    <xf numFmtId="0" fontId="14" fillId="0" borderId="9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16" xfId="0" applyFont="1" applyBorder="1" applyAlignment="1">
      <alignment horizontal="left" vertical="center" wrapText="1" indent="1"/>
    </xf>
    <xf numFmtId="0" fontId="0" fillId="0" borderId="37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14" fillId="0" borderId="43" xfId="0" applyFont="1" applyBorder="1" applyAlignment="1">
      <alignment horizontal="left" vertical="center" wrapText="1"/>
    </xf>
    <xf numFmtId="0" fontId="0" fillId="0" borderId="22" xfId="0" applyBorder="1"/>
  </cellXfs>
  <cellStyles count="8">
    <cellStyle name="Encabezado 1" xfId="1" xr:uid="{00000000-0005-0000-0000-000000000000}"/>
    <cellStyle name="Millares 2" xfId="5" xr:uid="{00000000-0005-0000-0000-000001000000}"/>
    <cellStyle name="Millares 2 2" xfId="7" xr:uid="{00000000-0005-0000-0000-000002000000}"/>
    <cellStyle name="Moneda_AUTORIZACION Y NOTA DE PEDIDO" xfId="2" xr:uid="{00000000-0005-0000-0000-000003000000}"/>
    <cellStyle name="Neutral 1" xfId="3" xr:uid="{00000000-0005-0000-0000-000004000000}"/>
    <cellStyle name="Normal" xfId="0" builtinId="0"/>
    <cellStyle name="Normal 2" xfId="4" xr:uid="{00000000-0005-0000-0000-000006000000}"/>
    <cellStyle name="Normal 2 2" xfId="6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opLeftCell="A10" workbookViewId="0">
      <selection activeCell="D23" sqref="D23:F23"/>
    </sheetView>
  </sheetViews>
  <sheetFormatPr baseColWidth="10" defaultRowHeight="12.75" x14ac:dyDescent="0.2"/>
  <cols>
    <col min="2" max="2" width="25.140625" customWidth="1"/>
    <col min="3" max="3" width="20.28515625" customWidth="1"/>
    <col min="4" max="4" width="16.5703125" customWidth="1"/>
    <col min="6" max="6" width="31.5703125" customWidth="1"/>
    <col min="8" max="8" width="17.28515625" customWidth="1"/>
    <col min="9" max="9" width="14.28515625" customWidth="1"/>
    <col min="10" max="10" width="21.28515625" bestFit="1" customWidth="1"/>
  </cols>
  <sheetData>
    <row r="1" spans="1:10" ht="18" x14ac:dyDescent="0.25">
      <c r="A1" s="57"/>
      <c r="B1" s="57"/>
      <c r="C1" s="57"/>
      <c r="D1" s="57"/>
      <c r="E1" s="58"/>
      <c r="F1" s="88"/>
      <c r="G1" s="57"/>
      <c r="H1" s="57"/>
      <c r="I1" s="58"/>
      <c r="J1" s="57"/>
    </row>
    <row r="2" spans="1:10" ht="18" x14ac:dyDescent="0.25">
      <c r="A2" s="57"/>
      <c r="B2" s="57"/>
      <c r="C2" s="57"/>
      <c r="D2" s="57"/>
      <c r="E2" s="58"/>
      <c r="F2" s="89" t="s">
        <v>75</v>
      </c>
      <c r="G2" s="57"/>
      <c r="H2" s="57"/>
      <c r="I2" s="58"/>
      <c r="J2" s="57"/>
    </row>
    <row r="3" spans="1:10" ht="15" x14ac:dyDescent="0.25">
      <c r="A3" s="57"/>
      <c r="B3" s="57"/>
      <c r="C3" s="57"/>
      <c r="D3" s="57"/>
      <c r="E3" s="58"/>
      <c r="F3" s="57"/>
      <c r="G3" s="57"/>
      <c r="H3" s="57"/>
      <c r="I3" s="58"/>
      <c r="J3" s="57"/>
    </row>
    <row r="4" spans="1:10" ht="15" x14ac:dyDescent="0.25">
      <c r="A4" s="57"/>
      <c r="B4" s="57"/>
      <c r="C4" s="57"/>
      <c r="D4" s="57"/>
      <c r="E4" s="58"/>
      <c r="F4" s="57"/>
      <c r="G4" s="57"/>
      <c r="H4" s="57"/>
      <c r="I4" s="58"/>
      <c r="J4" s="57"/>
    </row>
    <row r="5" spans="1:10" ht="18" x14ac:dyDescent="0.25">
      <c r="A5" s="98" t="s">
        <v>44</v>
      </c>
      <c r="B5" s="98"/>
      <c r="C5" s="59" t="s">
        <v>45</v>
      </c>
      <c r="D5" s="60"/>
      <c r="E5" s="61"/>
      <c r="F5" s="57"/>
      <c r="G5" s="57"/>
      <c r="H5" s="57"/>
      <c r="I5" s="58"/>
      <c r="J5" s="57"/>
    </row>
    <row r="6" spans="1:10" ht="18" x14ac:dyDescent="0.25">
      <c r="A6" s="59" t="s">
        <v>46</v>
      </c>
      <c r="B6" s="59"/>
      <c r="C6" s="59" t="s">
        <v>47</v>
      </c>
      <c r="D6" s="62"/>
      <c r="E6" s="61"/>
      <c r="F6" s="57"/>
      <c r="G6" s="57"/>
      <c r="H6" s="57"/>
      <c r="I6" s="58"/>
      <c r="J6" s="57"/>
    </row>
    <row r="7" spans="1:10" ht="18" x14ac:dyDescent="0.25">
      <c r="A7" s="59" t="s">
        <v>15</v>
      </c>
      <c r="B7" s="63"/>
      <c r="C7" s="63">
        <v>2021</v>
      </c>
      <c r="D7" s="62"/>
      <c r="E7" s="61"/>
      <c r="F7" s="57"/>
      <c r="G7" s="57"/>
      <c r="H7" s="57"/>
      <c r="I7" s="58"/>
      <c r="J7" s="57"/>
    </row>
    <row r="8" spans="1:10" ht="18" x14ac:dyDescent="0.25">
      <c r="A8" s="59" t="s">
        <v>48</v>
      </c>
      <c r="B8" s="59"/>
      <c r="C8" s="59" t="s">
        <v>70</v>
      </c>
      <c r="D8" s="60"/>
      <c r="E8" s="61"/>
      <c r="F8" s="57"/>
      <c r="G8" s="57"/>
      <c r="H8" s="57"/>
      <c r="I8" s="58"/>
      <c r="J8" s="57"/>
    </row>
    <row r="9" spans="1:10" ht="18" x14ac:dyDescent="0.25">
      <c r="A9" s="64"/>
      <c r="B9" s="64"/>
      <c r="C9" s="64"/>
      <c r="D9" s="64"/>
      <c r="E9" s="65"/>
      <c r="F9" s="60"/>
      <c r="G9" s="57"/>
      <c r="H9" s="57"/>
      <c r="I9" s="58"/>
      <c r="J9" s="57"/>
    </row>
    <row r="10" spans="1:10" ht="15" x14ac:dyDescent="0.25">
      <c r="A10" s="57"/>
      <c r="B10" s="57"/>
      <c r="C10" s="57"/>
      <c r="D10" s="57"/>
      <c r="E10" s="58"/>
      <c r="F10" s="57"/>
      <c r="G10" s="57"/>
      <c r="H10" s="57"/>
      <c r="I10" s="58"/>
      <c r="J10" s="57"/>
    </row>
    <row r="11" spans="1:10" ht="15.75" thickBot="1" x14ac:dyDescent="0.3">
      <c r="A11" s="57"/>
      <c r="B11" s="57"/>
      <c r="C11" s="57"/>
      <c r="D11" s="57"/>
      <c r="E11" s="58"/>
      <c r="F11" s="57"/>
      <c r="G11" s="57"/>
      <c r="H11" s="57"/>
      <c r="I11" s="58"/>
      <c r="J11" s="57"/>
    </row>
    <row r="12" spans="1:10" ht="45.75" thickBot="1" x14ac:dyDescent="0.25">
      <c r="A12" s="66" t="s">
        <v>49</v>
      </c>
      <c r="B12" s="66" t="s">
        <v>50</v>
      </c>
      <c r="C12" s="67" t="s">
        <v>51</v>
      </c>
      <c r="D12" s="67" t="s">
        <v>52</v>
      </c>
      <c r="E12" s="67" t="s">
        <v>53</v>
      </c>
      <c r="F12" s="67" t="s">
        <v>54</v>
      </c>
      <c r="G12" s="67" t="s">
        <v>55</v>
      </c>
      <c r="H12" s="67" t="s">
        <v>56</v>
      </c>
      <c r="I12" s="67" t="s">
        <v>57</v>
      </c>
      <c r="J12" s="67" t="s">
        <v>58</v>
      </c>
    </row>
    <row r="13" spans="1:10" ht="45.75" thickBot="1" x14ac:dyDescent="0.25">
      <c r="A13" s="68">
        <v>1</v>
      </c>
      <c r="B13" s="91" t="s">
        <v>73</v>
      </c>
      <c r="C13" s="92" t="s">
        <v>59</v>
      </c>
      <c r="D13" s="69" t="s">
        <v>69</v>
      </c>
      <c r="E13" s="69" t="s">
        <v>77</v>
      </c>
      <c r="F13" s="93" t="s">
        <v>74</v>
      </c>
      <c r="G13" s="69" t="s">
        <v>78</v>
      </c>
      <c r="H13" s="69">
        <v>13500</v>
      </c>
      <c r="I13" s="70">
        <v>800</v>
      </c>
      <c r="J13" s="70">
        <f>+H13*I13</f>
        <v>10800000</v>
      </c>
    </row>
    <row r="14" spans="1:10" ht="16.5" thickBot="1" x14ac:dyDescent="0.3">
      <c r="A14" s="96" t="s">
        <v>60</v>
      </c>
      <c r="B14" s="95"/>
      <c r="C14" s="107" t="s">
        <v>82</v>
      </c>
      <c r="D14" s="108"/>
      <c r="E14" s="108"/>
      <c r="F14" s="108"/>
      <c r="G14" s="108"/>
      <c r="H14" s="108"/>
      <c r="I14" s="109"/>
      <c r="J14" s="71">
        <f>+J13</f>
        <v>10800000</v>
      </c>
    </row>
    <row r="15" spans="1:10" ht="15" x14ac:dyDescent="0.25">
      <c r="A15" s="57"/>
      <c r="B15" s="57"/>
      <c r="C15" s="57"/>
      <c r="D15" s="57"/>
      <c r="E15" s="58"/>
      <c r="F15" s="57"/>
      <c r="G15" s="57"/>
      <c r="H15" s="57"/>
      <c r="I15" s="58"/>
      <c r="J15" s="57"/>
    </row>
    <row r="16" spans="1:10" ht="15.75" thickBot="1" x14ac:dyDescent="0.3">
      <c r="A16" s="57"/>
      <c r="B16" s="57"/>
      <c r="C16" s="57"/>
      <c r="D16" s="57"/>
      <c r="E16" s="58"/>
      <c r="F16" s="57"/>
      <c r="G16" s="57"/>
      <c r="H16" s="57"/>
      <c r="I16" s="58"/>
      <c r="J16" s="57"/>
    </row>
    <row r="17" spans="1:10" ht="15" x14ac:dyDescent="0.25">
      <c r="A17" s="57"/>
      <c r="B17" s="57"/>
      <c r="C17" s="72" t="s">
        <v>61</v>
      </c>
      <c r="D17" s="73"/>
      <c r="E17" s="73"/>
      <c r="F17" s="74"/>
      <c r="G17" s="57"/>
      <c r="H17" s="57"/>
      <c r="I17" s="58"/>
      <c r="J17" s="57"/>
    </row>
    <row r="18" spans="1:10" ht="15" x14ac:dyDescent="0.25">
      <c r="A18" s="57"/>
      <c r="B18" s="57"/>
      <c r="C18" s="75"/>
      <c r="D18" s="76"/>
      <c r="E18" s="76"/>
      <c r="F18" s="77"/>
      <c r="G18" s="57"/>
      <c r="H18" s="57"/>
      <c r="I18" s="58"/>
      <c r="J18" s="57"/>
    </row>
    <row r="19" spans="1:10" ht="15" x14ac:dyDescent="0.25">
      <c r="A19" s="56"/>
      <c r="B19" s="56"/>
      <c r="C19" s="78" t="s">
        <v>62</v>
      </c>
      <c r="D19" s="76" t="s">
        <v>83</v>
      </c>
      <c r="E19" s="76"/>
      <c r="F19" s="77"/>
      <c r="G19" s="56"/>
      <c r="H19" s="90"/>
      <c r="I19" s="56"/>
      <c r="J19" s="56"/>
    </row>
    <row r="20" spans="1:10" x14ac:dyDescent="0.2">
      <c r="A20" s="56"/>
      <c r="B20" s="56"/>
      <c r="C20" s="78"/>
      <c r="D20" s="100" t="s">
        <v>84</v>
      </c>
      <c r="E20" s="100"/>
      <c r="F20" s="101"/>
      <c r="G20" s="56"/>
      <c r="H20" s="56"/>
      <c r="I20" s="56"/>
      <c r="J20" s="56"/>
    </row>
    <row r="21" spans="1:10" ht="15" x14ac:dyDescent="0.25">
      <c r="A21" s="56"/>
      <c r="B21" s="56"/>
      <c r="C21" s="78" t="s">
        <v>63</v>
      </c>
      <c r="D21" s="79"/>
      <c r="E21" s="79"/>
      <c r="F21" s="80"/>
      <c r="G21" s="56"/>
      <c r="H21" s="56"/>
      <c r="I21" s="56"/>
      <c r="J21" s="81"/>
    </row>
    <row r="22" spans="1:10" ht="15" x14ac:dyDescent="0.25">
      <c r="A22" s="56"/>
      <c r="B22" s="56"/>
      <c r="C22" s="82"/>
      <c r="D22" s="102" t="s">
        <v>64</v>
      </c>
      <c r="E22" s="102"/>
      <c r="F22" s="103"/>
      <c r="G22" s="56"/>
      <c r="H22" s="56"/>
      <c r="I22" s="56"/>
      <c r="J22" s="81"/>
    </row>
    <row r="23" spans="1:10" ht="15" x14ac:dyDescent="0.25">
      <c r="A23" s="56"/>
      <c r="B23" s="56"/>
      <c r="C23" s="82"/>
      <c r="D23" s="104" t="s">
        <v>65</v>
      </c>
      <c r="E23" s="104"/>
      <c r="F23" s="105"/>
      <c r="G23" s="56"/>
      <c r="H23" s="56"/>
      <c r="I23" s="56"/>
      <c r="J23" s="81"/>
    </row>
    <row r="24" spans="1:10" x14ac:dyDescent="0.2">
      <c r="A24" s="56"/>
      <c r="B24" s="56"/>
      <c r="C24" s="78" t="s">
        <v>66</v>
      </c>
      <c r="D24" s="79"/>
      <c r="E24" s="79"/>
      <c r="F24" s="80"/>
      <c r="G24" s="56"/>
      <c r="H24" s="56"/>
      <c r="I24" s="56"/>
      <c r="J24" s="56"/>
    </row>
    <row r="25" spans="1:10" x14ac:dyDescent="0.2">
      <c r="A25" s="56"/>
      <c r="B25" s="56"/>
      <c r="C25" s="82"/>
      <c r="D25" s="100" t="s">
        <v>81</v>
      </c>
      <c r="E25" s="100"/>
      <c r="F25" s="101"/>
      <c r="G25" s="56"/>
      <c r="H25" s="56"/>
      <c r="I25" s="56"/>
      <c r="J25" s="56"/>
    </row>
    <row r="26" spans="1:10" x14ac:dyDescent="0.2">
      <c r="A26" s="56"/>
      <c r="B26" s="56"/>
      <c r="C26" s="78" t="s">
        <v>67</v>
      </c>
      <c r="D26" s="83"/>
      <c r="E26" s="83"/>
      <c r="F26" s="84"/>
      <c r="G26" s="56"/>
      <c r="H26" s="56"/>
      <c r="I26" s="56"/>
      <c r="J26" s="56"/>
    </row>
    <row r="27" spans="1:10" x14ac:dyDescent="0.2">
      <c r="A27" s="56"/>
      <c r="B27" s="56"/>
      <c r="C27" s="82"/>
      <c r="D27" s="106"/>
      <c r="E27" s="106"/>
      <c r="F27" s="106"/>
      <c r="G27" s="56"/>
      <c r="H27" s="56"/>
      <c r="I27" s="56"/>
      <c r="J27" s="56"/>
    </row>
    <row r="28" spans="1:10" x14ac:dyDescent="0.2">
      <c r="A28" s="56"/>
      <c r="B28" s="56"/>
      <c r="C28" s="78" t="s">
        <v>68</v>
      </c>
      <c r="D28" s="79"/>
      <c r="E28" s="79"/>
      <c r="F28" s="80"/>
      <c r="G28" s="56"/>
      <c r="H28" s="56"/>
      <c r="I28" s="56"/>
      <c r="J28" s="56"/>
    </row>
    <row r="29" spans="1:10" x14ac:dyDescent="0.2">
      <c r="A29" s="56"/>
      <c r="B29" s="56"/>
      <c r="C29" s="78"/>
      <c r="D29" s="99"/>
      <c r="E29" s="99"/>
      <c r="F29" s="99"/>
      <c r="G29" s="56"/>
      <c r="H29" s="56"/>
      <c r="I29" s="56"/>
      <c r="J29" s="56"/>
    </row>
    <row r="30" spans="1:10" ht="13.5" thickBot="1" x14ac:dyDescent="0.25">
      <c r="A30" s="56"/>
      <c r="B30" s="56"/>
      <c r="C30" s="85"/>
      <c r="D30" s="86"/>
      <c r="E30" s="86"/>
      <c r="F30" s="87"/>
      <c r="G30" s="56"/>
      <c r="H30" s="56"/>
      <c r="I30" s="56"/>
      <c r="J30" s="56"/>
    </row>
  </sheetData>
  <mergeCells count="8">
    <mergeCell ref="A5:B5"/>
    <mergeCell ref="D29:F29"/>
    <mergeCell ref="D20:F20"/>
    <mergeCell ref="D22:F22"/>
    <mergeCell ref="D23:F23"/>
    <mergeCell ref="D25:F25"/>
    <mergeCell ref="D27:F27"/>
    <mergeCell ref="C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90" zoomScaleNormal="90" workbookViewId="0">
      <selection activeCell="D19" sqref="D19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6.4257812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2" ht="27" customHeight="1" x14ac:dyDescent="0.2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2" t="s">
        <v>1</v>
      </c>
      <c r="K1" s="55" t="s">
        <v>43</v>
      </c>
    </row>
    <row r="2" spans="1:12" ht="18.75" customHeight="1" x14ac:dyDescent="0.2">
      <c r="A2" s="3"/>
      <c r="B2" s="4"/>
      <c r="C2" s="4"/>
      <c r="D2" s="5"/>
      <c r="E2" s="5"/>
      <c r="F2" s="5"/>
      <c r="G2" s="5"/>
      <c r="H2" s="5"/>
      <c r="I2" s="5"/>
      <c r="J2" s="5"/>
      <c r="K2" s="6"/>
    </row>
    <row r="3" spans="1:12" ht="18.75" customHeight="1" x14ac:dyDescent="0.2">
      <c r="A3" s="111" t="s">
        <v>2</v>
      </c>
      <c r="B3" s="111"/>
      <c r="C3" s="111"/>
      <c r="D3" s="112" t="s">
        <v>37</v>
      </c>
      <c r="E3" s="112"/>
      <c r="F3" s="112"/>
      <c r="G3" s="112"/>
      <c r="H3" s="112"/>
      <c r="I3" s="112"/>
      <c r="J3" s="112"/>
      <c r="K3" s="112"/>
    </row>
    <row r="4" spans="1:12" ht="18.75" customHeight="1" x14ac:dyDescent="0.2">
      <c r="A4" s="113" t="s">
        <v>3</v>
      </c>
      <c r="B4" s="113"/>
      <c r="C4" s="113"/>
      <c r="D4" s="112" t="s">
        <v>38</v>
      </c>
      <c r="E4" s="112"/>
      <c r="F4" s="112"/>
      <c r="G4" s="112"/>
      <c r="H4" s="112"/>
      <c r="I4" s="112"/>
      <c r="J4" s="112"/>
      <c r="K4" s="112"/>
    </row>
    <row r="5" spans="1:12" ht="18.75" customHeight="1" x14ac:dyDescent="0.2">
      <c r="A5" s="113" t="s">
        <v>4</v>
      </c>
      <c r="B5" s="113"/>
      <c r="C5" s="113"/>
      <c r="D5" s="112" t="s">
        <v>42</v>
      </c>
      <c r="E5" s="112"/>
      <c r="F5" s="112"/>
      <c r="G5" s="112"/>
      <c r="H5" s="112"/>
      <c r="I5" s="112"/>
      <c r="J5" s="112"/>
      <c r="K5" s="112"/>
    </row>
    <row r="6" spans="1:12" ht="16.5" customHeight="1" x14ac:dyDescent="0.2">
      <c r="A6" s="111" t="s">
        <v>5</v>
      </c>
      <c r="B6" s="111"/>
      <c r="C6" s="111"/>
      <c r="D6" s="112" t="s">
        <v>42</v>
      </c>
      <c r="E6" s="112"/>
      <c r="F6" s="112"/>
      <c r="G6" s="112"/>
      <c r="H6" s="112"/>
      <c r="I6" s="112"/>
      <c r="J6" s="112"/>
      <c r="K6" s="112"/>
    </row>
    <row r="7" spans="1:12" ht="16.5" customHeight="1" x14ac:dyDescent="0.2">
      <c r="A7" s="113" t="s">
        <v>6</v>
      </c>
      <c r="B7" s="113"/>
      <c r="C7" s="113"/>
      <c r="D7" s="112" t="s">
        <v>70</v>
      </c>
      <c r="E7" s="112"/>
      <c r="F7" s="112"/>
      <c r="G7" s="112"/>
      <c r="H7" s="112"/>
      <c r="I7" s="112"/>
      <c r="J7" s="112"/>
      <c r="K7" s="112"/>
    </row>
    <row r="8" spans="1:12" ht="16.5" customHeight="1" x14ac:dyDescent="0.2">
      <c r="A8" s="120" t="s">
        <v>7</v>
      </c>
      <c r="B8" s="120"/>
      <c r="C8" s="120"/>
      <c r="D8" s="121" t="s">
        <v>39</v>
      </c>
      <c r="E8" s="121"/>
      <c r="F8" s="121"/>
      <c r="G8" s="121"/>
      <c r="H8" s="121"/>
      <c r="I8" s="121"/>
      <c r="J8" s="121"/>
      <c r="K8" s="121"/>
    </row>
    <row r="9" spans="1:12" ht="16.5" thickBot="1" x14ac:dyDescent="0.25">
      <c r="A9" s="7"/>
      <c r="B9" s="8"/>
      <c r="C9" s="8"/>
      <c r="D9" s="9"/>
      <c r="E9" s="9"/>
      <c r="F9" s="9"/>
      <c r="G9" s="9"/>
      <c r="H9" s="9"/>
      <c r="I9" s="9"/>
      <c r="J9" s="9"/>
      <c r="K9" s="10"/>
    </row>
    <row r="10" spans="1:12" ht="18.75" customHeight="1" thickBot="1" x14ac:dyDescent="0.25">
      <c r="A10" s="122" t="s">
        <v>8</v>
      </c>
      <c r="B10" s="123" t="s">
        <v>9</v>
      </c>
      <c r="C10" s="125" t="s">
        <v>10</v>
      </c>
      <c r="D10" s="126"/>
      <c r="E10" s="126"/>
      <c r="F10" s="126"/>
      <c r="G10" s="126"/>
      <c r="H10" s="126" t="s">
        <v>11</v>
      </c>
      <c r="I10" s="126" t="s">
        <v>12</v>
      </c>
      <c r="J10" s="126" t="s">
        <v>13</v>
      </c>
      <c r="K10" s="127" t="s">
        <v>14</v>
      </c>
    </row>
    <row r="11" spans="1:12" ht="24" customHeight="1" thickBot="1" x14ac:dyDescent="0.25">
      <c r="A11" s="122"/>
      <c r="B11" s="124"/>
      <c r="C11" s="125"/>
      <c r="D11" s="126"/>
      <c r="E11" s="126"/>
      <c r="F11" s="126"/>
      <c r="G11" s="126"/>
      <c r="H11" s="126"/>
      <c r="I11" s="126"/>
      <c r="J11" s="126"/>
      <c r="K11" s="127"/>
    </row>
    <row r="12" spans="1:12" ht="33.75" customHeight="1" thickBot="1" x14ac:dyDescent="0.25">
      <c r="A12" s="52">
        <v>1</v>
      </c>
      <c r="B12" s="53" t="s">
        <v>73</v>
      </c>
      <c r="C12" s="114" t="s">
        <v>74</v>
      </c>
      <c r="D12" s="115"/>
      <c r="E12" s="115"/>
      <c r="F12" s="115"/>
      <c r="G12" s="116"/>
      <c r="H12" s="54" t="s">
        <v>40</v>
      </c>
      <c r="I12" s="50" t="s">
        <v>78</v>
      </c>
      <c r="J12" s="97">
        <v>800</v>
      </c>
      <c r="K12" s="51">
        <f>+(150*30)*3</f>
        <v>13500</v>
      </c>
      <c r="L12" s="94">
        <f>+K12*J12</f>
        <v>10800000</v>
      </c>
    </row>
    <row r="13" spans="1:12" ht="25.5" customHeight="1" thickBot="1" x14ac:dyDescent="0.25">
      <c r="A13" s="117" t="s">
        <v>71</v>
      </c>
      <c r="B13" s="118"/>
      <c r="C13" s="118"/>
      <c r="D13" s="118"/>
      <c r="E13" s="118"/>
      <c r="F13" s="118"/>
      <c r="G13" s="118"/>
      <c r="H13" s="118"/>
      <c r="I13" s="119"/>
      <c r="J13" s="128">
        <f>+J12*K12</f>
        <v>10800000</v>
      </c>
      <c r="K13" s="129"/>
    </row>
  </sheetData>
  <mergeCells count="23">
    <mergeCell ref="C12:G12"/>
    <mergeCell ref="A13:I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13:K13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2"/>
  <sheetViews>
    <sheetView topLeftCell="A25" zoomScale="90" zoomScaleNormal="90" workbookViewId="0">
      <selection activeCell="A38" sqref="A38:P38"/>
    </sheetView>
  </sheetViews>
  <sheetFormatPr baseColWidth="10" defaultColWidth="11" defaultRowHeight="12.75" x14ac:dyDescent="0.2"/>
  <cols>
    <col min="1" max="5" width="4.42578125" customWidth="1"/>
    <col min="6" max="6" width="6.28515625" customWidth="1"/>
    <col min="7" max="7" width="4.42578125" style="11" customWidth="1"/>
    <col min="8" max="11" width="4.42578125" customWidth="1"/>
    <col min="12" max="12" width="5" customWidth="1"/>
    <col min="13" max="14" width="4.42578125" customWidth="1"/>
    <col min="15" max="16" width="14.85546875" customWidth="1"/>
    <col min="17" max="17" width="16.140625" customWidth="1"/>
  </cols>
  <sheetData>
    <row r="1" spans="1:17" ht="15.75" customHeight="1" x14ac:dyDescent="0.25">
      <c r="A1" s="130" t="s">
        <v>15</v>
      </c>
      <c r="B1" s="130"/>
      <c r="C1" s="130"/>
      <c r="D1" s="131">
        <v>2021</v>
      </c>
      <c r="E1" s="131"/>
      <c r="F1" s="12"/>
      <c r="G1" s="12"/>
      <c r="H1" s="13"/>
      <c r="I1" s="13"/>
      <c r="J1" s="13"/>
      <c r="K1" s="13"/>
      <c r="L1" s="13"/>
      <c r="M1" s="13"/>
      <c r="N1" s="13"/>
      <c r="O1" s="14"/>
      <c r="P1" s="132" t="s">
        <v>16</v>
      </c>
      <c r="Q1" s="132"/>
    </row>
    <row r="2" spans="1:17" ht="15.75" customHeight="1" x14ac:dyDescent="0.2">
      <c r="A2" s="15"/>
      <c r="B2" s="16"/>
      <c r="C2" s="16"/>
      <c r="D2" s="16"/>
      <c r="E2" s="16"/>
      <c r="F2" s="16"/>
      <c r="G2" s="17"/>
      <c r="H2" s="18"/>
      <c r="I2" s="18"/>
      <c r="J2" s="18"/>
      <c r="K2" s="18"/>
      <c r="L2" s="18"/>
      <c r="M2" s="18"/>
      <c r="N2" s="18"/>
      <c r="O2" s="16"/>
      <c r="P2" s="132"/>
      <c r="Q2" s="132"/>
    </row>
    <row r="3" spans="1:17" ht="13.5" thickBot="1" x14ac:dyDescent="0.25">
      <c r="A3" s="15"/>
      <c r="B3" s="16"/>
      <c r="C3" s="16"/>
      <c r="D3" s="16"/>
      <c r="E3" s="16"/>
      <c r="F3" s="16"/>
      <c r="G3" s="17"/>
      <c r="H3" s="16"/>
      <c r="I3" s="16"/>
      <c r="J3" s="16"/>
      <c r="K3" s="16"/>
      <c r="L3" s="16"/>
      <c r="M3" s="16"/>
      <c r="N3" s="16"/>
      <c r="O3" s="16"/>
      <c r="P3" s="16"/>
      <c r="Q3" s="19"/>
    </row>
    <row r="4" spans="1:17" s="20" customFormat="1" ht="18" customHeight="1" thickBot="1" x14ac:dyDescent="0.25">
      <c r="A4" s="133" t="s">
        <v>17</v>
      </c>
      <c r="B4" s="133"/>
      <c r="C4" s="133"/>
      <c r="D4" s="133"/>
      <c r="E4" s="133"/>
      <c r="F4" s="133"/>
      <c r="G4" s="134" t="s">
        <v>37</v>
      </c>
      <c r="H4" s="135"/>
      <c r="I4" s="135"/>
      <c r="J4" s="135"/>
      <c r="K4" s="135"/>
      <c r="L4" s="135"/>
      <c r="M4" s="135"/>
      <c r="N4" s="135"/>
      <c r="O4" s="135"/>
      <c r="P4" s="135"/>
      <c r="Q4" s="136"/>
    </row>
    <row r="5" spans="1:17" s="20" customFormat="1" ht="18" customHeight="1" thickBot="1" x14ac:dyDescent="0.25">
      <c r="A5" s="137" t="s">
        <v>3</v>
      </c>
      <c r="B5" s="137"/>
      <c r="C5" s="137"/>
      <c r="D5" s="137"/>
      <c r="E5" s="137"/>
      <c r="F5" s="137"/>
      <c r="G5" s="134" t="s">
        <v>38</v>
      </c>
      <c r="H5" s="135"/>
      <c r="I5" s="135"/>
      <c r="J5" s="135"/>
      <c r="K5" s="135"/>
      <c r="L5" s="135"/>
      <c r="M5" s="135"/>
      <c r="N5" s="135"/>
      <c r="O5" s="135"/>
      <c r="P5" s="135"/>
      <c r="Q5" s="136"/>
    </row>
    <row r="6" spans="1:17" s="20" customFormat="1" ht="18" customHeight="1" thickBot="1" x14ac:dyDescent="0.25">
      <c r="A6" s="137" t="s">
        <v>4</v>
      </c>
      <c r="B6" s="137"/>
      <c r="C6" s="137"/>
      <c r="D6" s="137"/>
      <c r="E6" s="137"/>
      <c r="F6" s="137"/>
      <c r="G6" s="138" t="s">
        <v>42</v>
      </c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7" s="20" customFormat="1" ht="18" customHeight="1" thickBot="1" x14ac:dyDescent="0.25">
      <c r="A7" s="137" t="s">
        <v>5</v>
      </c>
      <c r="B7" s="137"/>
      <c r="C7" s="137"/>
      <c r="D7" s="137"/>
      <c r="E7" s="137"/>
      <c r="F7" s="137"/>
      <c r="G7" s="138" t="s">
        <v>42</v>
      </c>
      <c r="H7" s="139"/>
      <c r="I7" s="139"/>
      <c r="J7" s="139"/>
      <c r="K7" s="139"/>
      <c r="L7" s="139"/>
      <c r="M7" s="139"/>
      <c r="N7" s="139"/>
      <c r="O7" s="139"/>
      <c r="P7" s="139"/>
      <c r="Q7" s="140"/>
    </row>
    <row r="8" spans="1:17" ht="18" customHeight="1" thickBot="1" x14ac:dyDescent="0.25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1:17" ht="18" customHeight="1" x14ac:dyDescent="0.2">
      <c r="A9" s="142" t="s">
        <v>18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</row>
    <row r="10" spans="1:17" ht="66" customHeight="1" x14ac:dyDescent="0.2">
      <c r="A10" s="143" t="s">
        <v>79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5"/>
    </row>
    <row r="11" spans="1:17" ht="9" customHeight="1" thickBot="1" x14ac:dyDescent="0.25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customHeight="1" x14ac:dyDescent="0.2">
      <c r="A12" s="146" t="s">
        <v>19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</row>
    <row r="13" spans="1:17" ht="15.75" customHeight="1" x14ac:dyDescent="0.2">
      <c r="A13" s="147" t="s">
        <v>20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 t="s">
        <v>21</v>
      </c>
      <c r="P13" s="148"/>
      <c r="Q13" s="149" t="s">
        <v>22</v>
      </c>
    </row>
    <row r="14" spans="1:17" ht="15.75" customHeight="1" x14ac:dyDescent="0.2">
      <c r="A14" s="25" t="s">
        <v>23</v>
      </c>
      <c r="B14" s="26" t="s">
        <v>24</v>
      </c>
      <c r="C14" s="26" t="s">
        <v>25</v>
      </c>
      <c r="D14" s="26" t="s">
        <v>26</v>
      </c>
      <c r="E14" s="26" t="s">
        <v>27</v>
      </c>
      <c r="F14" s="26" t="s">
        <v>28</v>
      </c>
      <c r="G14" s="27" t="s">
        <v>29</v>
      </c>
      <c r="H14" s="26" t="s">
        <v>30</v>
      </c>
      <c r="I14" s="26" t="s">
        <v>31</v>
      </c>
      <c r="J14" s="26" t="s">
        <v>32</v>
      </c>
      <c r="K14" s="26" t="s">
        <v>32</v>
      </c>
      <c r="L14" s="26" t="s">
        <v>33</v>
      </c>
      <c r="M14" s="28" t="s">
        <v>34</v>
      </c>
      <c r="N14" s="29" t="s">
        <v>35</v>
      </c>
      <c r="O14" s="148"/>
      <c r="P14" s="148"/>
      <c r="Q14" s="149"/>
    </row>
    <row r="15" spans="1:17" ht="17.25" customHeight="1" x14ac:dyDescent="0.2">
      <c r="A15" s="48">
        <v>53</v>
      </c>
      <c r="B15" s="49"/>
      <c r="C15" s="49"/>
      <c r="D15" s="49">
        <v>1</v>
      </c>
      <c r="E15" s="30"/>
      <c r="F15" s="30">
        <v>4901</v>
      </c>
      <c r="G15" s="30">
        <v>3</v>
      </c>
      <c r="H15" s="30">
        <v>1</v>
      </c>
      <c r="I15" s="30">
        <v>3</v>
      </c>
      <c r="J15" s="30">
        <v>9</v>
      </c>
      <c r="K15" s="30">
        <v>9</v>
      </c>
      <c r="L15" s="30"/>
      <c r="M15" s="31">
        <v>1</v>
      </c>
      <c r="N15" s="30" t="s">
        <v>41</v>
      </c>
      <c r="O15" s="150" t="s">
        <v>76</v>
      </c>
      <c r="P15" s="150"/>
      <c r="Q15" s="32">
        <v>10800000</v>
      </c>
    </row>
    <row r="16" spans="1:17" ht="17.25" customHeight="1" x14ac:dyDescent="0.2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5"/>
      <c r="N16" s="36"/>
      <c r="O16" s="151"/>
      <c r="P16" s="151"/>
      <c r="Q16" s="37"/>
    </row>
    <row r="17" spans="1:17" ht="17.25" customHeight="1" x14ac:dyDescent="0.2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5"/>
      <c r="N17" s="36"/>
      <c r="O17" s="152"/>
      <c r="P17" s="152"/>
      <c r="Q17" s="37"/>
    </row>
    <row r="18" spans="1:17" ht="17.25" customHeight="1" x14ac:dyDescent="0.2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5"/>
      <c r="N18" s="36"/>
      <c r="O18" s="153"/>
      <c r="P18" s="153"/>
      <c r="Q18" s="37"/>
    </row>
    <row r="19" spans="1:17" ht="17.25" customHeight="1" x14ac:dyDescent="0.2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5"/>
      <c r="N19" s="36"/>
      <c r="O19" s="153"/>
      <c r="P19" s="153"/>
      <c r="Q19" s="37"/>
    </row>
    <row r="20" spans="1:17" ht="17.25" customHeigh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5"/>
      <c r="N20" s="36"/>
      <c r="O20" s="153"/>
      <c r="P20" s="153"/>
      <c r="Q20" s="37"/>
    </row>
    <row r="21" spans="1:17" ht="17.25" customHeight="1" x14ac:dyDescent="0.2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6"/>
      <c r="O21" s="153"/>
      <c r="P21" s="153"/>
      <c r="Q21" s="37"/>
    </row>
    <row r="22" spans="1:17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6"/>
      <c r="O22" s="153"/>
      <c r="P22" s="153"/>
      <c r="Q22" s="37"/>
    </row>
    <row r="23" spans="1:17" ht="17.25" customHeight="1" x14ac:dyDescent="0.2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  <c r="N23" s="36"/>
      <c r="O23" s="153"/>
      <c r="P23" s="153"/>
      <c r="Q23" s="37"/>
    </row>
    <row r="24" spans="1:17" ht="17.25" customHeight="1" x14ac:dyDescent="0.2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5"/>
      <c r="N24" s="36"/>
      <c r="O24" s="153"/>
      <c r="P24" s="153"/>
      <c r="Q24" s="37"/>
    </row>
    <row r="25" spans="1:17" ht="17.25" customHeight="1" x14ac:dyDescent="0.2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5"/>
      <c r="N25" s="36"/>
      <c r="O25" s="153"/>
      <c r="P25" s="153"/>
      <c r="Q25" s="37"/>
    </row>
    <row r="26" spans="1:17" ht="17.25" customHeight="1" x14ac:dyDescent="0.2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5"/>
      <c r="N26" s="36"/>
      <c r="O26" s="153"/>
      <c r="P26" s="153"/>
      <c r="Q26" s="37"/>
    </row>
    <row r="27" spans="1:17" ht="17.25" customHeight="1" x14ac:dyDescent="0.2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5"/>
      <c r="N27" s="36"/>
      <c r="O27" s="153"/>
      <c r="P27" s="153"/>
      <c r="Q27" s="37"/>
    </row>
    <row r="28" spans="1:17" ht="17.25" customHeight="1" x14ac:dyDescent="0.2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36"/>
      <c r="O28" s="153"/>
      <c r="P28" s="153"/>
      <c r="Q28" s="37"/>
    </row>
    <row r="29" spans="1:17" ht="17.25" customHeight="1" x14ac:dyDescent="0.2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5"/>
      <c r="N29" s="36"/>
      <c r="O29" s="153"/>
      <c r="P29" s="153"/>
      <c r="Q29" s="37"/>
    </row>
    <row r="30" spans="1:17" ht="17.25" customHeight="1" x14ac:dyDescent="0.2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5"/>
      <c r="N30" s="36"/>
      <c r="O30" s="153"/>
      <c r="P30" s="153"/>
      <c r="Q30" s="37"/>
    </row>
    <row r="31" spans="1:17" ht="17.25" customHeight="1" x14ac:dyDescent="0.2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5"/>
      <c r="N31" s="36"/>
      <c r="O31" s="153"/>
      <c r="P31" s="153"/>
      <c r="Q31" s="37"/>
    </row>
    <row r="32" spans="1:17" ht="17.25" customHeight="1" x14ac:dyDescent="0.2">
      <c r="A32" s="33"/>
      <c r="B32" s="34"/>
      <c r="C32" s="34"/>
      <c r="D32" s="34"/>
      <c r="E32" s="34"/>
      <c r="F32" s="36"/>
      <c r="G32" s="34"/>
      <c r="H32" s="34"/>
      <c r="I32" s="34"/>
      <c r="J32" s="34"/>
      <c r="K32" s="34"/>
      <c r="L32" s="34"/>
      <c r="M32" s="35"/>
      <c r="N32" s="36"/>
      <c r="O32" s="151"/>
      <c r="P32" s="151"/>
      <c r="Q32" s="37"/>
    </row>
    <row r="33" spans="1:18" ht="17.25" customHeight="1" x14ac:dyDescent="0.2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36"/>
      <c r="O33" s="151"/>
      <c r="P33" s="151"/>
      <c r="Q33" s="37"/>
    </row>
    <row r="34" spans="1:18" ht="17.25" customHeight="1" x14ac:dyDescent="0.2">
      <c r="A34" s="33"/>
      <c r="B34" s="34"/>
      <c r="C34" s="34"/>
      <c r="D34" s="34"/>
      <c r="E34" s="34"/>
      <c r="F34" s="36"/>
      <c r="G34" s="34"/>
      <c r="H34" s="34"/>
      <c r="I34" s="34"/>
      <c r="J34" s="34"/>
      <c r="K34" s="34"/>
      <c r="L34" s="34"/>
      <c r="M34" s="35"/>
      <c r="N34" s="36"/>
      <c r="O34" s="151"/>
      <c r="P34" s="151"/>
      <c r="Q34" s="37"/>
    </row>
    <row r="35" spans="1:18" ht="17.25" customHeight="1" x14ac:dyDescent="0.2">
      <c r="A35" s="33"/>
      <c r="B35" s="34"/>
      <c r="C35" s="34"/>
      <c r="D35" s="34"/>
      <c r="E35" s="34"/>
      <c r="F35" s="36"/>
      <c r="G35" s="34"/>
      <c r="H35" s="34"/>
      <c r="I35" s="34"/>
      <c r="J35" s="34"/>
      <c r="K35" s="34"/>
      <c r="L35" s="34"/>
      <c r="M35" s="35"/>
      <c r="N35" s="36"/>
      <c r="O35" s="151"/>
      <c r="P35" s="151"/>
      <c r="Q35" s="37"/>
    </row>
    <row r="36" spans="1:18" ht="17.25" customHeight="1" x14ac:dyDescent="0.2">
      <c r="A36" s="38"/>
      <c r="B36" s="39"/>
      <c r="C36" s="39"/>
      <c r="D36" s="39"/>
      <c r="E36" s="39"/>
      <c r="F36" s="40"/>
      <c r="G36" s="39"/>
      <c r="H36" s="39"/>
      <c r="I36" s="39"/>
      <c r="J36" s="39"/>
      <c r="K36" s="39"/>
      <c r="L36" s="39"/>
      <c r="M36" s="41"/>
      <c r="N36" s="42"/>
      <c r="O36" s="157"/>
      <c r="P36" s="157"/>
      <c r="Q36" s="37"/>
      <c r="R36" s="16"/>
    </row>
    <row r="37" spans="1:18" ht="17.25" customHeight="1" x14ac:dyDescent="0.2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5"/>
      <c r="N37" s="44"/>
      <c r="O37" s="158"/>
      <c r="P37" s="158"/>
      <c r="Q37" s="46"/>
    </row>
    <row r="38" spans="1:18" ht="20.25" customHeight="1" x14ac:dyDescent="0.2">
      <c r="A38" s="159" t="s">
        <v>72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47">
        <f>SUM(Q15:Q37)</f>
        <v>10800000</v>
      </c>
    </row>
    <row r="39" spans="1:18" ht="18" customHeight="1" x14ac:dyDescent="0.2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</row>
    <row r="40" spans="1:18" ht="17.25" customHeight="1" x14ac:dyDescent="0.2">
      <c r="A40" s="154" t="s">
        <v>36</v>
      </c>
      <c r="B40" s="154"/>
      <c r="C40" s="154"/>
      <c r="D40" s="154"/>
      <c r="E40" s="154"/>
      <c r="F40" s="154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</row>
    <row r="41" spans="1:18" ht="18" customHeight="1" x14ac:dyDescent="0.2">
      <c r="A41" s="156" t="s">
        <v>80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</row>
    <row r="42" spans="1:18" ht="63.75" customHeight="1" x14ac:dyDescent="0.2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</row>
  </sheetData>
  <mergeCells count="46">
    <mergeCell ref="A40:F40"/>
    <mergeCell ref="G40:Q40"/>
    <mergeCell ref="A41:Q42"/>
    <mergeCell ref="O35:P35"/>
    <mergeCell ref="O36:P36"/>
    <mergeCell ref="O37:P37"/>
    <mergeCell ref="A38:P38"/>
    <mergeCell ref="A39:Q39"/>
    <mergeCell ref="O30:P30"/>
    <mergeCell ref="O31:P31"/>
    <mergeCell ref="O32:P32"/>
    <mergeCell ref="O33:P33"/>
    <mergeCell ref="O34:P34"/>
    <mergeCell ref="O25:P25"/>
    <mergeCell ref="O26:P26"/>
    <mergeCell ref="O27:P27"/>
    <mergeCell ref="O28:P28"/>
    <mergeCell ref="O29:P29"/>
    <mergeCell ref="O20:P20"/>
    <mergeCell ref="O21:P21"/>
    <mergeCell ref="O22:P22"/>
    <mergeCell ref="O23:P23"/>
    <mergeCell ref="O24:P24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 TRIMESTRAL</vt:lpstr>
      <vt:lpstr> NotaPedido</vt:lpstr>
      <vt:lpstr>Autor Gastar</vt:lpstr>
      <vt:lpstr>Hoja1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JOHANA AYBAR</cp:lastModifiedBy>
  <cp:revision>3</cp:revision>
  <cp:lastPrinted>2020-07-21T14:18:42Z</cp:lastPrinted>
  <dcterms:created xsi:type="dcterms:W3CDTF">2020-07-17T23:44:49Z</dcterms:created>
  <dcterms:modified xsi:type="dcterms:W3CDTF">2021-08-13T12:32:58Z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