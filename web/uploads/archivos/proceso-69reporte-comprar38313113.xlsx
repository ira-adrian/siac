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7. Cubiertas varias Ministerio de Salud\3. Analisis\"/>
    </mc:Choice>
  </mc:AlternateContent>
  <xr:revisionPtr revIDLastSave="0" documentId="13_ncr:1_{4C4E6502-7AA0-48D1-A30D-C97035A056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5" i="2" l="1"/>
  <c r="M25" i="2"/>
  <c r="Q25" i="2"/>
</calcChain>
</file>

<file path=xl/sharedStrings.xml><?xml version="1.0" encoding="utf-8"?>
<sst xmlns="http://schemas.openxmlformats.org/spreadsheetml/2006/main" count="141" uniqueCount="88">
  <si>
    <t>Número expediente:</t>
  </si>
  <si>
    <t>EX-2022-00288973-   -CAT-SCA#MEC</t>
  </si>
  <si>
    <t>Número proceso de compra:</t>
  </si>
  <si>
    <t>100-0021-CDI22</t>
  </si>
  <si>
    <t>Nombre descriptivo proceso de compra:</t>
  </si>
  <si>
    <t>Adq. de Cubiertas de distintas medidas, con destino a las distintas dependencias del MS</t>
  </si>
  <si>
    <t>Unidad Operativa de Compras:</t>
  </si>
  <si>
    <t>Secretaria de Compras y Abastecimiento</t>
  </si>
  <si>
    <t>Fecha de Apertura:</t>
  </si>
  <si>
    <t>11/03/2022</t>
  </si>
  <si>
    <t>Renglón</t>
  </si>
  <si>
    <t>SARAKO S.R.L.</t>
  </si>
  <si>
    <t>LUIS ALBERTO FERNANDEZ</t>
  </si>
  <si>
    <t>MARIO RAMON ACEVEDO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</si>
  <si>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</si>
  <si>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</si>
  <si>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</si>
  <si>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</si>
  <si>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</si>
  <si>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</si>
  <si>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</si>
  <si>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</si>
  <si>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</si>
  <si>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</si>
  <si>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2.4.4-6818.986 </t>
  </si>
  <si>
    <t xml:space="preserve">NEUMATICOS; VEHICULO: AMBULANCIA/FURGON/MINIBUS, CONSTRUCCION: RADIAL, ARMADO: S/CAMARA, MEDIDA: 205/75R16 </t>
  </si>
  <si>
    <t xml:space="preserve">UNIDAD </t>
  </si>
  <si>
    <t xml:space="preserve">MARCA: FATE - MODELO: AR-410 AVANTIA </t>
  </si>
  <si>
    <t xml:space="preserve">cubierta fate avantia- </t>
  </si>
  <si>
    <t xml:space="preserve">2 </t>
  </si>
  <si>
    <t xml:space="preserve">2.4.4-6818.801 </t>
  </si>
  <si>
    <t xml:space="preserve">NEUMATICOS; VEHICULO: CAMIONETA, CONSTRUCCION: CON CLAVOS, ARMADO: S/CAMARA, MEDIDA: 265/70R16 
</t>
  </si>
  <si>
    <t xml:space="preserve">MARCA: FATE - MODELO: ATR </t>
  </si>
  <si>
    <t xml:space="preserve">NEUMATICOS; VEHICULO: CAMIONETA, CONSTRUCCION: CON CLAVOS, ARMADO: S/CAMARA, MEDIDA: 265/70R16. 
AÑO DE FABRICACION: 2021 . MARCA: DUNLOP AT3 - GARANTIA 
6 MESES </t>
  </si>
  <si>
    <t xml:space="preserve">3 </t>
  </si>
  <si>
    <t xml:space="preserve">2.4.4-6818.647 </t>
  </si>
  <si>
    <t xml:space="preserve">NEUMATICOS; VEHICULO: CAMIONETA, CONSTRUCCION: RADIAL, ARMADO: S/CAMARA, MEDIDA: 175/70R14 pulg 
</t>
  </si>
  <si>
    <t xml:space="preserve">MARCA: FATE - MODELO: SENTIVA.- </t>
  </si>
  <si>
    <t xml:space="preserve">cubierta fate. </t>
  </si>
  <si>
    <t xml:space="preserve">NEUMATICOS; VEHICULO: CAMIONETA, CONSTRUCCION: RADIAL, ARMADO: S/CAMARA, MEDIDA: 175/70R14 pulg. 
AÑO DE FABRICACION: 2021 - MARCA: DUNLOP R1- GARANTIA: 6 
MESES </t>
  </si>
  <si>
    <t xml:space="preserve">4 </t>
  </si>
  <si>
    <t xml:space="preserve">2.4.4-6818.59 </t>
  </si>
  <si>
    <t xml:space="preserve">NEUMATICOS; VEHICULO: CAMIONETA, CONSTRUCCION: RADIAL, ARMADO: S/CAMARA, MEDIDA: 195/75R16 </t>
  </si>
  <si>
    <t xml:space="preserve">MARCA: FATE - MODELO: AR-410 AVANTIA.- </t>
  </si>
  <si>
    <t xml:space="preserve">cubeirta fate o similar. </t>
  </si>
  <si>
    <t xml:space="preserve">5 </t>
  </si>
  <si>
    <t xml:space="preserve">2.4.4-6818.52 </t>
  </si>
  <si>
    <t xml:space="preserve">NEUMATICOS; VEHICULO: CAMIONETA, CONSTRUCCION: RADIAL, ARMADO: S/CAMARA, MEDIDA: 215/80R16 </t>
  </si>
  <si>
    <t xml:space="preserve">MARCA: FATE - MODELO: AT.- </t>
  </si>
  <si>
    <t xml:space="preserve">cubierta fate o similar. </t>
  </si>
  <si>
    <t xml:space="preserve">6 </t>
  </si>
  <si>
    <t xml:space="preserve">2.4.4-6818.885 </t>
  </si>
  <si>
    <t xml:space="preserve">NEUMATICOS; VEHICULO: CAMIONETA, CONSTRUCCION: RADIAL, ARMADO: S/CAMARA, MEDIDA: 225/65R17 </t>
  </si>
  <si>
    <t xml:space="preserve">MARCA: FATE - MODELO: EXIMIA PININFARINA SUV.- </t>
  </si>
  <si>
    <t xml:space="preserve">7 </t>
  </si>
  <si>
    <t xml:space="preserve">2.4.4-6818.989 </t>
  </si>
  <si>
    <t xml:space="preserve">NEUMATICOS; VEHICULO: CAMIONETA, CONSTRUCCION: RADIAL, ARMADO: S/CAMARA, MEDIDA: 225/70 R17 
</t>
  </si>
  <si>
    <t xml:space="preserve">MARCA: FATE - MODELO: AT/R.- </t>
  </si>
  <si>
    <t xml:space="preserve">NEUMATICOS; VEHICULO: CAMIONETA, CONSTRUCCION: RADIAL, ARMADO: S/CAMARA, MEDIDA: 225/70 R17. 
AÑO DE FABRICACION: 2021 - MARCA: DUNLOP AT20 - GARANTIA: 
6 MESES </t>
  </si>
  <si>
    <t xml:space="preserve">8 </t>
  </si>
  <si>
    <t xml:space="preserve">2.4.4-6818.744 </t>
  </si>
  <si>
    <t xml:space="preserve">NEUMATICOS; VEHICULO: CAMIONETA, CONSTRUCCION: RADIAL, ARMADO: S/CAMARA, MEDIDA: 235/70R16 </t>
  </si>
  <si>
    <t xml:space="preserve">MARCA: FATE - MODELO: H/T.- </t>
  </si>
  <si>
    <t xml:space="preserve">9 </t>
  </si>
  <si>
    <t xml:space="preserve">2.4.4-6818.751 </t>
  </si>
  <si>
    <t xml:space="preserve">NEUMATICOS; VEHICULO: CAMIONETA, CONSTRUCCION: RADIAL, ARMADO: S/CAMARA, MEDIDA: 245/65 R17 
</t>
  </si>
  <si>
    <t xml:space="preserve">MARCA: FATE - MODELO: A/T.- </t>
  </si>
  <si>
    <t xml:space="preserve">10 </t>
  </si>
  <si>
    <t xml:space="preserve">2.4.4-6818.530 </t>
  </si>
  <si>
    <t xml:space="preserve">NEUMATICOS; VEHICULO: CAMIONETA, CONSTRUCCION: RADIAL, ARMADO: S/CAMARA, MEDIDA: 245/70R16 </t>
  </si>
  <si>
    <t xml:space="preserve">NEUMATICOS; VEHICULO: CAMIONETA, CONSTRUCCION: RADIAL, ARMADO: S/CAMARA, MEDIDA: 245/70R16- AÑO 
DE FABRICACION: 2021 - MARCA: DUNLOP AT3 - GARANTIA : 
6 MESES </t>
  </si>
  <si>
    <t xml:space="preserve">11 </t>
  </si>
  <si>
    <t xml:space="preserve">2.4.4-6818.890 </t>
  </si>
  <si>
    <t xml:space="preserve">NEUMATICOS; VEHICULO: CAMIONETA, CONSTRUCCION: RADIAL, ARMADO: SIN CAMARA, MEDIDA: 265/60R18 
</t>
  </si>
  <si>
    <t xml:space="preserve">NEUMATICOS; VEHICULO: CAMIONETA, CONSTRUCCION: RADIAL, ARMADO: SIN CAMARA, MEDIDA: 265/60R18 
- AÑO DE FABRICACION: 2021 - MARCA: DUNLOP AT25 - 
GARANTIA : 6 MESES </t>
  </si>
  <si>
    <t xml:space="preserve">12 </t>
  </si>
  <si>
    <t xml:space="preserve">2.4.4-6818.723 </t>
  </si>
  <si>
    <t xml:space="preserve">NEUMATICOS; VEHICULO: CAMIONETA, CONSTRUCCION: RADIAL, ARMADO: SIN CAMARA, MEDIDA: 185/65R15 
</t>
  </si>
  <si>
    <t xml:space="preserve">13 </t>
  </si>
  <si>
    <t xml:space="preserve">2.4.4-6818.48 </t>
  </si>
  <si>
    <t xml:space="preserve">NEUMATICOS; VEHICULO: CAMIONETA, CONSTRUCCION: RADIAL, MEDIDA: 235/75R15, ARMADO: S/CAMARA </t>
  </si>
  <si>
    <t xml:space="preserve">14 </t>
  </si>
  <si>
    <t xml:space="preserve">2.4.4-6818.851 </t>
  </si>
  <si>
    <t xml:space="preserve">NEUMATICOS; VEHICULO: MINIBUS, CONSTRUCCION: CONVENCIONAL, ARMADO: S/CAMARA, MEDIDA: 225/70R15 </t>
  </si>
  <si>
    <t xml:space="preserve">15 </t>
  </si>
  <si>
    <t xml:space="preserve">2.4.4-6818.993 </t>
  </si>
  <si>
    <t xml:space="preserve">NEUMATICOS; VEHICULO: UTILITARIO, CONSTRUCCION: RADIAL, ARMADO: S/CAMARA, MEDIDA: 225/75-R16C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</si>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</sst>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25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25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25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25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113.140625" customWidth="1"/>
    <col min="5" max="5" width="78.140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47" customWidth="1"/>
    <col min="11" max="11" width="14.28515625" customWidth="1"/>
    <col min="12" max="12" width="17.28515625" customWidth="1"/>
    <col min="13" max="13" width="16.5703125" customWidth="1"/>
    <col min="14" max="14" width="20.28515625" customWidth="1"/>
    <col min="15" max="15" width="14.28515625" customWidth="1"/>
    <col min="16" max="16" width="17.28515625" customWidth="1"/>
    <col min="17" max="17" width="16.5703125" customWidth="1"/>
    <col min="18" max="18" width="100.5703125" customWidth="1"/>
  </cols>
  <sheetData>
    <row r="1" spans="1:18" x14ac:dyDescent="0.25">
      <c r="D1" s="2" t="s">
        <v>0</v>
      </c>
      <c r="E1" s="2" t="s">
        <v>1</v>
      </c>
    </row>
    <row r="2" spans="1:18" x14ac:dyDescent="0.25">
      <c r="D2" s="2" t="s">
        <v>2</v>
      </c>
      <c r="E2" s="2" t="s">
        <v>3</v>
      </c>
    </row>
    <row r="3" spans="1:18" x14ac:dyDescent="0.25">
      <c r="D3" s="2" t="s">
        <v>4</v>
      </c>
      <c r="E3" s="2" t="s">
        <v>5</v>
      </c>
    </row>
    <row r="4" spans="1:18" x14ac:dyDescent="0.25">
      <c r="D4" s="2" t="s">
        <v>6</v>
      </c>
      <c r="E4" s="2" t="s">
        <v>7</v>
      </c>
    </row>
    <row r="5" spans="1:18" x14ac:dyDescent="0.25">
      <c r="D5" s="2" t="s">
        <v>8</v>
      </c>
      <c r="E5" s="2" t="s">
        <v>9</v>
      </c>
    </row>
    <row r="8" spans="1:1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</row>
    <row r="9" spans="1:18" x14ac:dyDescent="0.25">
      <c r="A9" t="s">
        <v>10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3" t="s">
        <v>19</v>
      </c>
      <c r="H9" s="3" t="s">
        <v>20</v>
      </c>
      <c r="I9" t="s">
        <v>21</v>
      </c>
      <c r="J9" t="s">
        <v>22</v>
      </c>
      <c r="K9" s="3" t="s">
        <v>19</v>
      </c>
      <c r="L9" s="3" t="s">
        <v>20</v>
      </c>
      <c r="M9" t="s">
        <v>21</v>
      </c>
      <c r="N9" t="s">
        <v>22</v>
      </c>
      <c r="O9" s="3" t="s">
        <v>19</v>
      </c>
      <c r="P9" s="3" t="s">
        <v>20</v>
      </c>
      <c r="Q9" t="s">
        <v>21</v>
      </c>
      <c r="R9" t="s">
        <v>22</v>
      </c>
    </row>
    <row r="10" spans="1:18" x14ac:dyDescent="0.25">
      <c r="A10" t="s">
        <v>23</v>
      </c>
      <c r="B10" t="s">
        <v>23</v>
      </c>
      <c r="C10" t="s">
        <v>24</v>
      </c>
      <c r="D10" t="s">
        <v>25</v>
      </c>
      <c r="E10">
        <v>92</v>
      </c>
      <c r="F10" t="s">
        <v>26</v>
      </c>
      <c r="G10" s="3">
        <v>46200</v>
      </c>
      <c r="H10" s="3">
        <v>92</v>
      </c>
      <c r="I10" s="4">
        <v>4250400</v>
      </c>
      <c r="J10" t="s">
        <v>27</v>
      </c>
      <c r="K10" s="3">
        <v>97900</v>
      </c>
      <c r="L10" s="3">
        <v>92</v>
      </c>
      <c r="M10" s="4">
        <v>9006800</v>
      </c>
      <c r="N10" t="s">
        <v>28</v>
      </c>
      <c r="O10" s="3"/>
      <c r="P10" s="3"/>
      <c r="Q10" s="4"/>
    </row>
    <row r="11" spans="1:18" ht="60" x14ac:dyDescent="0.25">
      <c r="A11" t="s">
        <v>29</v>
      </c>
      <c r="B11" t="s">
        <v>23</v>
      </c>
      <c r="C11" t="s">
        <v>30</v>
      </c>
      <c r="D11" s="5" t="s">
        <v>31</v>
      </c>
      <c r="E11">
        <v>8</v>
      </c>
      <c r="F11" t="s">
        <v>26</v>
      </c>
      <c r="G11" s="3">
        <v>52900</v>
      </c>
      <c r="H11" s="3">
        <v>8</v>
      </c>
      <c r="I11" s="4">
        <v>423200</v>
      </c>
      <c r="J11" t="s">
        <v>32</v>
      </c>
      <c r="K11" s="3"/>
      <c r="L11" s="3"/>
      <c r="M11" s="4"/>
      <c r="O11" s="3">
        <v>40300</v>
      </c>
      <c r="P11" s="3">
        <v>8</v>
      </c>
      <c r="Q11" s="4">
        <v>322400</v>
      </c>
      <c r="R11" s="5" t="s">
        <v>33</v>
      </c>
    </row>
    <row r="12" spans="1:18" ht="60" x14ac:dyDescent="0.25">
      <c r="A12" t="s">
        <v>34</v>
      </c>
      <c r="B12" t="s">
        <v>23</v>
      </c>
      <c r="C12" t="s">
        <v>35</v>
      </c>
      <c r="D12" s="5" t="s">
        <v>36</v>
      </c>
      <c r="E12">
        <v>5</v>
      </c>
      <c r="F12" t="s">
        <v>26</v>
      </c>
      <c r="G12" s="3">
        <v>23880</v>
      </c>
      <c r="H12" s="3">
        <v>5</v>
      </c>
      <c r="I12" s="4">
        <v>119400</v>
      </c>
      <c r="J12" t="s">
        <v>37</v>
      </c>
      <c r="K12" s="3">
        <v>37500</v>
      </c>
      <c r="L12" s="3">
        <v>5</v>
      </c>
      <c r="M12" s="4">
        <v>187500</v>
      </c>
      <c r="N12" t="s">
        <v>38</v>
      </c>
      <c r="O12" s="3">
        <v>18000</v>
      </c>
      <c r="P12" s="3">
        <v>5</v>
      </c>
      <c r="Q12" s="4">
        <v>90000</v>
      </c>
      <c r="R12" s="5" t="s">
        <v>39</v>
      </c>
    </row>
    <row r="13" spans="1:18" x14ac:dyDescent="0.25">
      <c r="A13" t="s">
        <v>40</v>
      </c>
      <c r="B13" t="s">
        <v>23</v>
      </c>
      <c r="C13" t="s">
        <v>41</v>
      </c>
      <c r="D13" t="s">
        <v>42</v>
      </c>
      <c r="E13">
        <v>13</v>
      </c>
      <c r="F13" t="s">
        <v>26</v>
      </c>
      <c r="G13" s="3">
        <v>42600</v>
      </c>
      <c r="H13" s="3">
        <v>13</v>
      </c>
      <c r="I13" s="4">
        <v>553800</v>
      </c>
      <c r="J13" t="s">
        <v>43</v>
      </c>
      <c r="K13" s="3">
        <v>61800</v>
      </c>
      <c r="L13" s="3">
        <v>13</v>
      </c>
      <c r="M13" s="4">
        <v>803400</v>
      </c>
      <c r="N13" t="s">
        <v>44</v>
      </c>
      <c r="O13" s="3"/>
      <c r="P13" s="3"/>
      <c r="Q13" s="4"/>
    </row>
    <row r="14" spans="1:18" x14ac:dyDescent="0.25">
      <c r="A14" t="s">
        <v>45</v>
      </c>
      <c r="B14" t="s">
        <v>23</v>
      </c>
      <c r="C14" t="s">
        <v>46</v>
      </c>
      <c r="D14" t="s">
        <v>47</v>
      </c>
      <c r="E14">
        <v>20</v>
      </c>
      <c r="F14" t="s">
        <v>26</v>
      </c>
      <c r="G14" s="3">
        <v>40550</v>
      </c>
      <c r="H14" s="3">
        <v>20</v>
      </c>
      <c r="I14" s="4">
        <v>811000</v>
      </c>
      <c r="J14" t="s">
        <v>48</v>
      </c>
      <c r="K14" s="3">
        <v>67400</v>
      </c>
      <c r="L14" s="3">
        <v>20</v>
      </c>
      <c r="M14" s="4">
        <v>1348000</v>
      </c>
      <c r="N14" t="s">
        <v>49</v>
      </c>
      <c r="O14" s="3"/>
      <c r="P14" s="3"/>
      <c r="Q14" s="4"/>
    </row>
    <row r="15" spans="1:18" x14ac:dyDescent="0.25">
      <c r="A15" t="s">
        <v>50</v>
      </c>
      <c r="B15" t="s">
        <v>23</v>
      </c>
      <c r="C15" t="s">
        <v>51</v>
      </c>
      <c r="D15" t="s">
        <v>52</v>
      </c>
      <c r="E15">
        <v>4</v>
      </c>
      <c r="F15" t="s">
        <v>26</v>
      </c>
      <c r="G15" s="3">
        <v>53600</v>
      </c>
      <c r="H15" s="3">
        <v>4</v>
      </c>
      <c r="I15" s="4">
        <v>214400</v>
      </c>
      <c r="J15" t="s">
        <v>53</v>
      </c>
      <c r="K15" s="3">
        <v>83720</v>
      </c>
      <c r="L15" s="3">
        <v>4</v>
      </c>
      <c r="M15" s="4">
        <v>334880</v>
      </c>
      <c r="N15" t="s">
        <v>49</v>
      </c>
      <c r="O15" s="3"/>
      <c r="P15" s="3"/>
      <c r="Q15" s="4"/>
    </row>
    <row r="16" spans="1:18" ht="45" x14ac:dyDescent="0.25">
      <c r="A16" t="s">
        <v>54</v>
      </c>
      <c r="B16" t="s">
        <v>23</v>
      </c>
      <c r="C16" t="s">
        <v>55</v>
      </c>
      <c r="D16" s="5" t="s">
        <v>56</v>
      </c>
      <c r="E16">
        <v>8</v>
      </c>
      <c r="F16" t="s">
        <v>26</v>
      </c>
      <c r="G16" s="3">
        <v>46650</v>
      </c>
      <c r="H16" s="3">
        <v>8</v>
      </c>
      <c r="I16" s="4">
        <v>373200</v>
      </c>
      <c r="J16" t="s">
        <v>57</v>
      </c>
      <c r="K16" s="3">
        <v>75430</v>
      </c>
      <c r="L16" s="3">
        <v>8</v>
      </c>
      <c r="M16" s="4">
        <v>603440</v>
      </c>
      <c r="N16" t="s">
        <v>44</v>
      </c>
      <c r="O16" s="3">
        <v>47000</v>
      </c>
      <c r="P16" s="3">
        <v>8</v>
      </c>
      <c r="Q16" s="4">
        <v>376000</v>
      </c>
      <c r="R16" s="5" t="s">
        <v>58</v>
      </c>
    </row>
    <row r="17" spans="1:18" x14ac:dyDescent="0.25">
      <c r="A17" t="s">
        <v>59</v>
      </c>
      <c r="B17" t="s">
        <v>23</v>
      </c>
      <c r="C17" t="s">
        <v>60</v>
      </c>
      <c r="D17" t="s">
        <v>61</v>
      </c>
      <c r="E17">
        <v>4</v>
      </c>
      <c r="F17" t="s">
        <v>26</v>
      </c>
      <c r="G17" s="3">
        <v>47200</v>
      </c>
      <c r="H17" s="3">
        <v>4</v>
      </c>
      <c r="I17" s="4">
        <v>188800</v>
      </c>
      <c r="J17" t="s">
        <v>62</v>
      </c>
      <c r="K17" s="3">
        <v>76400</v>
      </c>
      <c r="L17" s="3">
        <v>4</v>
      </c>
      <c r="M17" s="4">
        <v>305600</v>
      </c>
      <c r="N17" t="s">
        <v>49</v>
      </c>
      <c r="O17" s="3"/>
      <c r="P17" s="3"/>
      <c r="Q17" s="4"/>
    </row>
    <row r="18" spans="1:18" ht="30" x14ac:dyDescent="0.25">
      <c r="A18" t="s">
        <v>63</v>
      </c>
      <c r="B18" t="s">
        <v>23</v>
      </c>
      <c r="C18" t="s">
        <v>64</v>
      </c>
      <c r="D18" s="5" t="s">
        <v>65</v>
      </c>
      <c r="E18">
        <v>20</v>
      </c>
      <c r="F18" t="s">
        <v>26</v>
      </c>
      <c r="G18" s="3">
        <v>50950</v>
      </c>
      <c r="H18" s="3">
        <v>20</v>
      </c>
      <c r="I18" s="4">
        <v>1019000</v>
      </c>
      <c r="J18" t="s">
        <v>66</v>
      </c>
      <c r="K18" s="3">
        <v>88990</v>
      </c>
      <c r="L18" s="3">
        <v>20</v>
      </c>
      <c r="M18" s="4">
        <v>1779800</v>
      </c>
      <c r="N18" t="s">
        <v>49</v>
      </c>
      <c r="O18" s="3"/>
      <c r="P18" s="3"/>
      <c r="Q18" s="4"/>
    </row>
    <row r="19" spans="1:18" ht="60" x14ac:dyDescent="0.25">
      <c r="A19" t="s">
        <v>67</v>
      </c>
      <c r="B19" t="s">
        <v>23</v>
      </c>
      <c r="C19" t="s">
        <v>68</v>
      </c>
      <c r="D19" t="s">
        <v>69</v>
      </c>
      <c r="E19">
        <v>4</v>
      </c>
      <c r="F19" t="s">
        <v>26</v>
      </c>
      <c r="G19" s="3">
        <v>43350</v>
      </c>
      <c r="H19" s="3">
        <v>4</v>
      </c>
      <c r="I19" s="4">
        <v>173400</v>
      </c>
      <c r="J19" t="s">
        <v>66</v>
      </c>
      <c r="K19" s="3">
        <v>77630</v>
      </c>
      <c r="L19" s="3">
        <v>4</v>
      </c>
      <c r="M19" s="4">
        <v>310520</v>
      </c>
      <c r="N19" t="s">
        <v>49</v>
      </c>
      <c r="O19" s="3">
        <v>38200</v>
      </c>
      <c r="P19" s="3">
        <v>4</v>
      </c>
      <c r="Q19" s="4">
        <v>152800</v>
      </c>
      <c r="R19" s="5" t="s">
        <v>70</v>
      </c>
    </row>
    <row r="20" spans="1:18" ht="45" x14ac:dyDescent="0.25">
      <c r="A20" t="s">
        <v>71</v>
      </c>
      <c r="B20" t="s">
        <v>23</v>
      </c>
      <c r="C20" t="s">
        <v>72</v>
      </c>
      <c r="D20" s="5" t="s">
        <v>73</v>
      </c>
      <c r="E20">
        <v>3</v>
      </c>
      <c r="F20" t="s">
        <v>26</v>
      </c>
      <c r="G20" s="3">
        <v>80450</v>
      </c>
      <c r="H20" s="3">
        <v>3</v>
      </c>
      <c r="I20" s="4">
        <v>241350</v>
      </c>
      <c r="J20" t="s">
        <v>57</v>
      </c>
      <c r="K20" s="3"/>
      <c r="L20" s="3"/>
      <c r="M20" s="4"/>
      <c r="O20" s="3">
        <v>58000</v>
      </c>
      <c r="P20" s="3">
        <v>3</v>
      </c>
      <c r="Q20" s="4">
        <v>174000</v>
      </c>
      <c r="R20" s="5" t="s">
        <v>74</v>
      </c>
    </row>
    <row r="21" spans="1:18" ht="30" x14ac:dyDescent="0.25">
      <c r="A21" t="s">
        <v>75</v>
      </c>
      <c r="B21" t="s">
        <v>23</v>
      </c>
      <c r="C21" t="s">
        <v>76</v>
      </c>
      <c r="D21" s="5" t="s">
        <v>77</v>
      </c>
      <c r="E21">
        <v>8</v>
      </c>
      <c r="F21" t="s">
        <v>26</v>
      </c>
      <c r="G21" s="3">
        <v>36150</v>
      </c>
      <c r="H21" s="3">
        <v>8</v>
      </c>
      <c r="I21" s="4">
        <v>289200</v>
      </c>
      <c r="J21" t="s">
        <v>37</v>
      </c>
      <c r="K21" s="3">
        <v>43860</v>
      </c>
      <c r="L21" s="3">
        <v>8</v>
      </c>
      <c r="M21" s="4">
        <v>350880</v>
      </c>
      <c r="N21" t="s">
        <v>49</v>
      </c>
      <c r="O21" s="3"/>
      <c r="P21" s="3"/>
      <c r="Q21" s="4"/>
    </row>
    <row r="22" spans="1:18" x14ac:dyDescent="0.25">
      <c r="A22" t="s">
        <v>78</v>
      </c>
      <c r="B22" t="s">
        <v>23</v>
      </c>
      <c r="C22" t="s">
        <v>79</v>
      </c>
      <c r="D22" t="s">
        <v>80</v>
      </c>
      <c r="E22">
        <v>25</v>
      </c>
      <c r="F22" t="s">
        <v>26</v>
      </c>
      <c r="G22" s="3">
        <v>40880</v>
      </c>
      <c r="H22" s="3">
        <v>25</v>
      </c>
      <c r="I22" s="4">
        <v>1022000</v>
      </c>
      <c r="J22" t="s">
        <v>57</v>
      </c>
      <c r="K22" s="3">
        <v>64820</v>
      </c>
      <c r="L22" s="3">
        <v>25</v>
      </c>
      <c r="M22" s="4">
        <v>1620500</v>
      </c>
      <c r="N22" t="s">
        <v>49</v>
      </c>
      <c r="O22" s="3"/>
      <c r="P22" s="3"/>
      <c r="Q22" s="4"/>
    </row>
    <row r="23" spans="1:18" x14ac:dyDescent="0.25">
      <c r="A23" t="s">
        <v>81</v>
      </c>
      <c r="B23" t="s">
        <v>23</v>
      </c>
      <c r="C23" t="s">
        <v>82</v>
      </c>
      <c r="D23" t="s">
        <v>83</v>
      </c>
      <c r="E23">
        <v>2</v>
      </c>
      <c r="F23" t="s">
        <v>26</v>
      </c>
      <c r="G23" s="3">
        <v>40770</v>
      </c>
      <c r="H23" s="3">
        <v>2</v>
      </c>
      <c r="I23" s="4">
        <v>81540</v>
      </c>
      <c r="J23" t="s">
        <v>43</v>
      </c>
      <c r="K23" s="3">
        <v>68300</v>
      </c>
      <c r="L23" s="3">
        <v>2</v>
      </c>
      <c r="M23" s="4">
        <v>136600</v>
      </c>
      <c r="N23" t="s">
        <v>49</v>
      </c>
      <c r="O23" s="3"/>
      <c r="P23" s="3"/>
      <c r="Q23" s="4"/>
    </row>
    <row r="24" spans="1:18" x14ac:dyDescent="0.25">
      <c r="A24" t="s">
        <v>84</v>
      </c>
      <c r="B24" t="s">
        <v>23</v>
      </c>
      <c r="C24" t="s">
        <v>85</v>
      </c>
      <c r="D24" t="s">
        <v>86</v>
      </c>
      <c r="E24">
        <v>20</v>
      </c>
      <c r="F24" t="s">
        <v>26</v>
      </c>
      <c r="G24" s="3">
        <v>50200</v>
      </c>
      <c r="H24" s="3">
        <v>20</v>
      </c>
      <c r="I24" s="4">
        <v>1004000</v>
      </c>
      <c r="J24" t="s">
        <v>43</v>
      </c>
      <c r="K24" s="3">
        <v>89400</v>
      </c>
      <c r="L24" s="3">
        <v>20</v>
      </c>
      <c r="M24" s="4">
        <v>1788000</v>
      </c>
      <c r="N24" t="s">
        <v>49</v>
      </c>
      <c r="O24" s="3"/>
      <c r="P24" s="3"/>
      <c r="Q24" s="4"/>
    </row>
    <row r="25" spans="1:18" x14ac:dyDescent="0.25">
      <c r="C25" t="s">
        <v>87</v>
      </c>
      <c r="G25" s="3"/>
      <c r="H25" s="3"/>
      <c r="I25" s="4">
        <f>SUBTOTAL(109,Table2[Total por renglón])</f>
        <v>10764690</v>
      </c>
      <c r="K25" s="3"/>
      <c r="L25" s="3"/>
      <c r="M25" s="4">
        <f>SUBTOTAL(109,Table3[Total por renglón])</f>
        <v>18575920</v>
      </c>
      <c r="O25" s="3"/>
      <c r="P25" s="3"/>
      <c r="Q25" s="4">
        <f>SUBTOTAL(109,Table4[Total por renglón])</f>
        <v>1115200</v>
      </c>
    </row>
  </sheetData>
  <mergeCells count="4">
    <mergeCell ref="G8:J8"/>
    <mergeCell ref="K8:N8"/>
    <mergeCell ref="O8:R8"/>
    <mergeCell ref="A8:F8"/>
  </mergeCells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2022-03-11T19:55:46Z</dcterms:created>
  <dcterms:modified xsi:type="dcterms:W3CDTF">2022-05-24T22:19:01Z</dcterms:modified>
</cp:coreProperties>
</file>