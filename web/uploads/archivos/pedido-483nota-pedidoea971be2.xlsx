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nisterio de Desarrollo Social y Deportes\AÑO 2022\Adq.Alim.Perecederos y No Perecederos (Sec.Familia)\Alim.Perecederos (items Desiertos y Fracasados)\Adjuntos\"/>
    </mc:Choice>
  </mc:AlternateContent>
  <xr:revisionPtr revIDLastSave="0" documentId="13_ncr:1_{743470F8-0C00-4B71-AA28-6EF315F51C47}" xr6:coauthVersionLast="47" xr6:coauthVersionMax="47" xr10:uidLastSave="{00000000-0000-0000-0000-000000000000}"/>
  <bookViews>
    <workbookView xWindow="-120" yWindow="-120" windowWidth="20730" windowHeight="11160" tabRatio="500" xr2:uid="{00000000-000D-0000-FFFF-FFFF00000000}"/>
  </bookViews>
  <sheets>
    <sheet name="Necesidades Trimestrales AP" sheetId="9" r:id="rId1"/>
    <sheet name="alimento" sheetId="1" state="hidden" r:id="rId2"/>
  </sheets>
  <externalReferences>
    <externalReference r:id="rId3"/>
  </externalReferences>
  <definedNames>
    <definedName name="_xlnm.Print_Area" localSheetId="0">'Necesidades Trimestrales AP'!$A$8:$I$29</definedName>
  </definedNames>
  <calcPr calcId="181029"/>
</workbook>
</file>

<file path=xl/calcChain.xml><?xml version="1.0" encoding="utf-8"?>
<calcChain xmlns="http://schemas.openxmlformats.org/spreadsheetml/2006/main">
  <c r="I27" i="9" l="1"/>
  <c r="I28" i="9"/>
  <c r="I26" i="9" l="1"/>
  <c r="I25" i="9"/>
  <c r="I24" i="9"/>
  <c r="I23" i="9"/>
  <c r="C323" i="9" l="1"/>
  <c r="I22" i="9" l="1"/>
  <c r="I21" i="9"/>
  <c r="I20" i="9"/>
  <c r="I19" i="9"/>
  <c r="I18" i="9"/>
  <c r="I17" i="9"/>
  <c r="I16" i="9"/>
  <c r="I15" i="9"/>
  <c r="I14" i="9"/>
  <c r="I13" i="9"/>
  <c r="I12" i="9"/>
  <c r="I11" i="9"/>
  <c r="I10" i="9"/>
  <c r="I9" i="9"/>
  <c r="I29" i="9" l="1"/>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D26" i="1"/>
  <c r="D27" i="1"/>
  <c r="D17" i="1"/>
  <c r="D18" i="1"/>
  <c r="D21" i="1"/>
  <c r="D22" i="1"/>
  <c r="D24" i="1"/>
  <c r="D25" i="1"/>
  <c r="D19" i="1"/>
  <c r="D30" i="1"/>
  <c r="D33" i="1"/>
  <c r="D34" i="1"/>
  <c r="D12" i="1"/>
  <c r="D15" i="1"/>
  <c r="D9" i="1"/>
</calcChain>
</file>

<file path=xl/sharedStrings.xml><?xml version="1.0" encoding="utf-8"?>
<sst xmlns="http://schemas.openxmlformats.org/spreadsheetml/2006/main" count="1632" uniqueCount="295">
  <si>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</si>
  <si>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</si>
  <si>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</si>
  <si>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</si>
  <si>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</si>
  <si>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</si>
  <si>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</si>
  <si>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</si>
  <si>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</si>
  <si>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</si>
  <si>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</si>
  <si>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</si>
  <si>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</si>
  <si>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</si>
  <si>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</si>
  <si>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</si>
  <si>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</si>
  <si>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</si>
  <si>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</si>
  <si>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</si>
  <si>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</si>
  <si>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</si>
  <si>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</si>
  <si>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</si>
  <si>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</si>
  <si>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</si>
  <si>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</si>
  <si>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</si>
  <si>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</si>
  <si>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</si>
  <si>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</si>
  <si>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</si>
  <si>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</si>
  <si>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</si>
  <si>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</si>
  <si>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</si>
  <si>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</si>
  <si>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</si>
  <si>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</si>
  <si>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</si>
  <si>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</si>
  <si>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</si>
  <si>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</si>
  <si>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</si>
  <si>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</si>
  <si>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</si>
  <si>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</si>
  <si>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</si>
  <si>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</si>
  <si>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</si>
  <si>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</si>
  <si>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</si>
  <si>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</si>
  <si>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</si>
  <si>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</si>
  <si>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</si>
  <si>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</si>
  <si>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</si>
  <si>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</si>
  <si>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</si>
  <si>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</si>
  <si>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</si>
  <si>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</si>
  <si>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</si>
  <si>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</si>
  <si>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</si>
  <si>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</si>
  <si>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2.1.1-6546.148</t>
  </si>
  <si>
    <t>VERDURAS Y HORTALIZAS; VARIEDAD: ZAPALLITO LARGO, ESTADO: NATURAL, PRESENTACION: CAJON, PESO: SIN VALOR</t>
  </si>
  <si>
    <t>2.1.1-669.32</t>
  </si>
  <si>
    <t>PANES; PRESENTACION: UNIDAD, TIPO: BAGUETTE</t>
  </si>
  <si>
    <t xml:space="preserve">UNIDAD </t>
  </si>
  <si>
    <t>KG</t>
  </si>
  <si>
    <t>2.1.1-621.3</t>
  </si>
  <si>
    <t>AVES; PRESENTACION: TROZADO SIN PIEL, ESPECIE: POLLO, EVISCERADO: SIN VALOR, TIPO: POLLO</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</si>
  <si>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</si>
  <si>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</si>
  <si>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</si>
  <si>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</si>
  <si>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</si>
  <si>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</si>
  <si>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</si>
  <si>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</si>
  <si>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</si>
  <si>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</si>
  <si>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</si>
  <si>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</si>
  <si>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</si>
  <si>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</si>
  <si>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</si>
  <si>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</si>
  <si>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</si>
  <si>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</si>
  <si>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</si>
  <si>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</si>
  <si>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</si>
  <si>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</si>
  <si>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</si>
  <si>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</si>
  <si>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</si>
  <si>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</si>
  <si>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</si>
  <si>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</si>
  <si>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</si>
  <si>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</si>
  <si>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</si>
  <si>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</si>
  <si>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</si>
  <si>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</si>
  <si>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</si>
  <si>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</si>
  <si>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</si>
  <si>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</si>
  <si>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</si>
  <si>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</si>
  <si>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</si>
  <si>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</si>
  <si>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</si>
  <si>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</si>
  <si>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</si>
  <si>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</si>
  <si>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</si>
  <si>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</si>
  <si>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</si>
  <si>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</si>
  <si>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</si>
  <si>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</si>
  <si>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</si>
  <si>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</si>
  <si>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</si>
  <si>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</si>
  <si>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</si>
  <si>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</si>
  <si>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</si>
  <si>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</si>
  <si>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</si>
  <si>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</si>
  <si>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</si>
  <si>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</si>
  <si>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</si>
  <si>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</si>
  <si>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</si>
  <si>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</si>
  <si>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</si>
  <si>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</si>
  <si>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</si>
  <si>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</si>
  <si>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</si>
  <si>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</si>
  <si>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</si>
  <si>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</si>
  <si>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</si>
  <si>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</si>
  <si>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</si>
  <si>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</si>
  <si>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</si>
  <si>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</si>
  <si>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</si>
  <si>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</si>
  <si>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</si>
  <si>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</si>
  <si>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</si>
  <si>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</si>
  <si>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</si>
  <si>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</si>
  <si>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</si>
  <si>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</si>
  <si>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</si>
  <si>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</si>
  <si>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</si>
  <si>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</si>
  <si>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</si>
  <si>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</si>
  <si>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</si>
  <si>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</si>
  <si>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</si>
  <si>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</si>
  <si>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</si>
  <si>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</si>
  <si>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</si>
  <si>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</si>
  <si>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</si>
  <si>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</si>
  <si>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</si>
  <si>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</si>
  <si>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</si>
  <si>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</si>
  <si>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</si>
  <si>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</si>
  <si>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</si>
  <si>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</si>
  <si>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</si>
  <si>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</si>
  <si>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</si>
  <si>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</si>
  <si>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</si>
  <si>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</si>
  <si>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</si>
  <si>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</si>
  <si>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</si>
  <si>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</si>
  <si>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</si>
  <si>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TRIMESTRE</t>
  </si>
  <si>
    <t>INSTITUCION</t>
  </si>
  <si>
    <t>CDI CASA CUNA</t>
  </si>
  <si>
    <t>CENTRO DE CONTENCION HUAINA HUASI</t>
  </si>
  <si>
    <t>CENTRO DE CONTENCION SIPAS HUASI</t>
  </si>
  <si>
    <t>CENTRO JUVENIL SANTA ROSA</t>
  </si>
  <si>
    <t>RESIDENCIA DE ADULTOS MAYORES</t>
  </si>
  <si>
    <t>DIR. DEL NIÑO EN CONFLICTO CON LA LEY PENAL</t>
  </si>
  <si>
    <t>45- Ministerio de Desarrollo Social.-</t>
  </si>
  <si>
    <t>CASEROS N° 1050</t>
  </si>
  <si>
    <t>AVENIDA BELGRANO N° 750</t>
  </si>
  <si>
    <t>PASAJE HERNANDO DE PEDRAZA S/N°</t>
  </si>
  <si>
    <t>PASAJE LOS AGUEROS S/N° - VILLA PARQUE CHACABUCO</t>
  </si>
  <si>
    <t>MANUEL DE ZALAZAR S/N° SANTA ROSA, VALLE VIEJO.</t>
  </si>
  <si>
    <t>2.1.1-6539.29</t>
  </si>
  <si>
    <t>FRUTAS; VARIEDAD: BANANA, ESTADO: NATURAL, PRESENTACION: GRANEL, PESO: SIN VALOR</t>
  </si>
  <si>
    <t>2.1.1-611.1</t>
  </si>
  <si>
    <t>CREMAS; CONTENIDO: 200 CM3, TIPO: LARGA VIDA, ENVASE: CAJA CARTON, PRESENTACION: 200 CM3</t>
  </si>
  <si>
    <t>2.1.1-6539.55</t>
  </si>
  <si>
    <t>FRUTAS; ESTADO: NATURAL, VARIEDAD: DURAZNO, PRESENTACION: GRANEL, PESO: SIN VALOR GR</t>
  </si>
  <si>
    <t>2.1.1-6539.16</t>
  </si>
  <si>
    <t>FRUTAS; VARIEDAD: MANZANA RED DELICIOSA, ESTADO: NATURAL, PRESENTACION: GRANEL, PESO: SIN VALOR</t>
  </si>
  <si>
    <t>2.1.1-515.12</t>
  </si>
  <si>
    <t>MANTECAS; TIPO: COMUN, CONSISTENCIA: EN PAN, SAL: CON, PESO: 500 GR</t>
  </si>
  <si>
    <t>2.1.1-2429.1</t>
  </si>
  <si>
    <t>TAPAS P/TARTAS; TIPO: REDONDA, MASA: CASERA, PRESENTACION: BOLSA</t>
  </si>
  <si>
    <t>2.1.1-6539.6</t>
  </si>
  <si>
    <t>FRUTAS; ESTADO: NATURAL, VARIEDAD: NARANJA ESPECIAL, PRESENTACION: A GRANEL, PESO: SIN VALOR</t>
  </si>
  <si>
    <t>2.1.1-6539.31</t>
  </si>
  <si>
    <t>FRUTAS; VARIEDAD: PERA AMARILLA, PRESENTACION: GRANEL, ESTADO: NATURAL, PESO: SIN VALOR</t>
  </si>
  <si>
    <t>2.1.1-542.205</t>
  </si>
  <si>
    <t>QUESOS; TIPO: CREMOSO, PRESENTACION: ENVASE X 4 Kg, ELEM. TRANSPORTE: SIN, MATERIAL ELEM. TRANSPORTE: SIN, MATERIAL ENVASE: BOLSA TERMOCONTRAIBLE, CERTIFICADO FORESTAL (GFS): SIN, LIBRE DE GLUTEN: SI</t>
  </si>
  <si>
    <t>2.1.1-542.240</t>
  </si>
  <si>
    <t>QUESOS; TIPO: SARDO, PRESENTACION: HORMA, ELEM. TRANSPORTE: SIN, MATERIAL ELEM. TRANSPORTE: SIN, MATERIAL ENVASE: SIN, CERTIFICADO FORESTAL (GFS): SIN, LIBRE DE GLUTEN: A DEFINIR</t>
  </si>
  <si>
    <t>2.1.1-542.197</t>
  </si>
  <si>
    <t>QUESOS; TIPO: TYBO, PRESENTACION: HORMA, ELEM. TRANSPORTE: SIN, MATERIAL ELEM. TRANSPORTE: SIN, MATERIAL ENVASE: PLASTICO, CERTIFICADO FORESTAL (GFS): SIN, LIBRE DE GLUTEN: NO</t>
  </si>
  <si>
    <t>2.1.1-707.38</t>
  </si>
  <si>
    <t>PASTAS FRESCAS; VARIEDAD: RAVIOL, RELLENO: VERDURA Y POLLO, PRESENTACION: ENVASE X 500 GR</t>
  </si>
  <si>
    <t>2.1.1-457.6</t>
  </si>
  <si>
    <t>SALCHICHAS; UNIDADES X PAQUETE: 6, TIPO: SIN VALOR, PRESENTACION: 6</t>
  </si>
  <si>
    <t>AVENIDA ALEM Nº 908</t>
  </si>
  <si>
    <t>*SE REALIZA LA ENTREGA DE 13 UNIDADES POR SEMANA ( DISTRIBUIDOS SEGÚN DETALLE PARA CADA INSTITUCION)   LO QUE HACE UNA SUMA DE 52 UNIDADES MENSUALES  QUE REPRESENTA UN TOTAL DE 156 UNIDADES TRIMESTRALES</t>
  </si>
  <si>
    <t>*SE REALIZA LA ENTREGA DE 19 KG POR SEMANA ( DISTRIBUIDOS SEGÚN DETALLE PARA CADA INSTITUCION)   LO QUE HACE UNA SUMA DE 76 KG MENSUALES  QUE REPRESENTA UN TOTAL DE 228 KG TRIMESTRALES</t>
  </si>
  <si>
    <t>HOGAR DE ANCIANOS DE BELEN</t>
  </si>
  <si>
    <t>HOGAR DE ANCIANOS DE TINOGASTA</t>
  </si>
  <si>
    <t>*SE REALIZA LA ENTREGA DE 2 KG POR SEMANA ( DISTRIBUIDOS SEGÚN DETALLE PARA CADA INSTITUCION)   LO QUE HACE UNA SUMA DE 8 KG MENSUALES QUE REPRESENTA UN TOTAL DE 24 KG TRIMESTRALES</t>
  </si>
  <si>
    <t>*SE REALIZA LA ENTREGA DE 46 KG POR SEMANA ( DISTRIBUIDOS SEGÚN DETALLE PARA CADA INSTITUCION)   LO QUE HACE UNA SUMA DE 184 KG MENSUALES  QUE REPRESENTA UN TOTAL DE 552 KG TRIMESTRALES</t>
  </si>
  <si>
    <t>*SE REALIZA LA ENTREGA DE 38 KG POR SEMANA ( DISTRIBUIDOS SEGÚN DETALLE PARA CADA INSTITUCION)   LO QUE HACE UNA SUMA DE 152 KG MENSUALES  QUE REPRESENTA UN TOTAL DE 456  KG TRIMESTRALES</t>
  </si>
  <si>
    <t>*SE REALIZA LA ENTREGA DE 25 KG POR SEMANA ( DISTRIBUIDOS SEGÚN DETALLE PARA CADA INSTITUCION)   LO QUE HACE UNA SUMA DE 100 KG MENSUALES  QUE REPRESENTA UN TOTAL DE 300 KG TRIMESTRALES</t>
  </si>
  <si>
    <t>*SE REALIZA LA ENTREGA DE 3 KG POR SEMANA ( DISTRIBUIDOS SEGÚN DETALLE PARA CADA INSTITUCION)   LO QUE HACE UNA SUMA DE 12 KG MENSUALES QUE REPRESENTA UN TOTAL DE 36 KG TRIMESTRALES</t>
  </si>
  <si>
    <t>2.1.1-6539.82</t>
  </si>
  <si>
    <t>FRUTAS; VARIEDAD: LIMON, ESTADO: NATURAL, PRESENTACION: GRANEL, PESO: SIN VALOR</t>
  </si>
  <si>
    <t>2.1.1-6539.104</t>
  </si>
  <si>
    <t>FRUTAS; VARIEDAD: PALTA, ESTADO: NATURAL, PRESENTACION: GRANEL, PESO: SIN VALOR</t>
  </si>
  <si>
    <t>*SE REALIZA LA ENTREGA DE 10 UNIDADES POR SEMANA ( DISTRIBUIDOS SEGÚN DETALLE PARA CADA INSTITUCION)   LO QUE HACE UNA SUMA DE 40 UNIDADES MENSUALES  QUE REPRESENTA UN TOTAL DE 120 UNIDADES TRIMESTRALES</t>
  </si>
  <si>
    <t>2.1.1-669.20</t>
  </si>
  <si>
    <t>PANES; PRESENTACION: UNIDAD, TIPO: PEBETE</t>
  </si>
  <si>
    <t>2.1.1-669.64</t>
  </si>
  <si>
    <t>PANES; TIPO: FRANCES, PRESENTACION: ENVASE X 1 Kg</t>
  </si>
  <si>
    <t>2.1.1-669.34</t>
  </si>
  <si>
    <t>PANES; TIPO: GALLETA C/GRASA, PRESENTACION: GRANEL</t>
  </si>
  <si>
    <t>*SE REALIZA LA ENTREGA DE 37 UNIDADES POR SEMANA ( DISTRIBUIDOS SEGÚN DETALLE PARA CADA INSTITUCION)   LO QUE HACE UNA SUMA DE 148 UNIDADES MENSUALES  QUE REPRESENTA UN TOTAL DE 444 UNIDADES TRIMESTRALES</t>
  </si>
  <si>
    <t>*SE REALIZA LA ENTREGA DE 28 UNIDADES POR SEMANA ( DISTRIBUIDOS SEGÚN DETALLE PARA CADA INSTITUCION)   LO QUE HACE UNA SUMA DE 112 UNIDADES MENSUALES  QUE REPRESENTA UN TOTAL DE 336 UNIDADES TRIMESTRALES</t>
  </si>
  <si>
    <t>*SE REALIZA LA ENTREGA DE 5 UNIDADES POR SEMANA ( DISTRIBUIDOS SEGÚN DETALLE PARA CADA INSTITUCION)  LO QUE HACE UNA SUMA DE 20 UNIDADES MENSUALES QUE REPRESENTA UN TOTAL DE 60 UNIDADES TRIMESTRALES</t>
  </si>
  <si>
    <t>2.1.1-542.143</t>
  </si>
  <si>
    <t>QUESOS; TIPO: UNTABLE, PRESENTACION: ENVASE X 400 GR, ELEM. TRANSPORTE: SIN, MATERIAL ELEM. TRANSPORTE: SIN, MATERIAL ENVASE: PLASTICO 6 (PS), CERTIFICADO FORESTAL (GFS): SIN</t>
  </si>
  <si>
    <t>11 DE SEPTIEMBRE S/N - BELEN</t>
  </si>
  <si>
    <t>PRESIDENTE PERON ESQUINA RUCHELLY - TINOGASTA</t>
  </si>
  <si>
    <t>DIARIA</t>
  </si>
  <si>
    <t>PAQUETE</t>
  </si>
  <si>
    <t>2.1.1-969.110</t>
  </si>
  <si>
    <t>FIAMBRES; TIPO: JAMON COCIDO, PRESENTACION: ENVASE X 3 Kg</t>
  </si>
  <si>
    <t xml:space="preserve"> BANANA - PESO  APROXIMADO 200 GRS POR CADA BANANA </t>
  </si>
  <si>
    <t>MANZANA  - PESO APROXIMADO POR MANZANA 200 GRS</t>
  </si>
  <si>
    <t xml:space="preserve">PERA AMARILLA PESO 150 GRS APROXIMADO X PERA </t>
  </si>
  <si>
    <t>SALCHICHAS COCIDAS SIN PIEL - UNIDADES X PAQUETE DE 6</t>
  </si>
  <si>
    <t xml:space="preserve">NARANJA CRIOLLA PARA JUGO - PESO APROXIMADO POR NARANJA 200 GRS </t>
  </si>
  <si>
    <t xml:space="preserve">QUESO UNTABLE CLASICO EN ENVASE X 400 GRS  </t>
  </si>
  <si>
    <t xml:space="preserve"> DURAZNO AMARILLO, PESO  APROXIMADO 150 GRS POR CADA DURAZNO</t>
  </si>
  <si>
    <t>*SE REALIZA LA ENTREGA DE 9 UNIDADES POR SEMANA ( DISTRIBUIDOS SEGÚN DETALLE PARA CADA INSTITUCION)  LO QUE HACE UNA SUMA DE 36 UNIDADES MENSUALES  QUE REPRESENTA UN TOTAL DE 108 UNIDADES TRIMESTRALES</t>
  </si>
  <si>
    <t>2 UNIDADES POR BOLSA, CON SEPARADOR</t>
  </si>
  <si>
    <t>LA PRESENTACION DEBERA SER EN HORMA DE 4 KG</t>
  </si>
  <si>
    <t>HORMA</t>
  </si>
  <si>
    <t>QUESO SARDO, PRESENTACION EN HORMA DE 3 KG. APROXIMADAMENTE - LIBRE DE GLUTEN: NO</t>
  </si>
  <si>
    <t>QUESOS TYBO, PRESENTACION EN HORMA DE 3 KG. APROXIMADAMENTE - LIBRE DE GLUTEN: NO</t>
  </si>
  <si>
    <t>*SE REALIZA LA ENTREGA DE 7 HORMAS POR SEMANA ( DISTRIBUIDOS SEGÚN DETALLE PARA CADA INSTITUCION)   LO QUE HACE UNA SUMA DE 28 HORMAS MENSUALES  QUE REPRESENTA UN TOTAL DE 84 HORMAS TRIMESTRALES</t>
  </si>
  <si>
    <t>*SE REALIZA LA ENTREGA DE 5 HORMAS POR SEMANA ( DISTRIBUIDOS SEGÚN DETALLE PARA CADA INSTITUCION)   LO QUE HACE UNA SUMA DE 20 HORMAS MENSUALES  QUE REPRESENTA UN TOTAL DE 60 HORMAS TRIMESTRALES</t>
  </si>
  <si>
    <t>PAN TIPO PEBETE DE 60 GRS. APROXIMADAMENTE CADA PEBETE</t>
  </si>
  <si>
    <t>*SE REALIZA LA ENTREGA DE 35 KG POR SEMANA (DISTRIBUIDOS SEGÚN DETALLE PARA CADA INSTITUCION) LO QUE HACE UNA SUMA DE 140 KG MENSUALES QUE REPRESENTA UN TOTAL DE 420 KG TRIMESTRALES</t>
  </si>
  <si>
    <t>*SE REALIZA LA ENTREGA DE 11 HORMAS POR SEMANA (DISTRIBUIDOS SEGÚN DETALLE PARA CADA INSTITUCION) LO QUE HACE UNA SUMA DE 44 HORMAS MENSUALES  QUE REPRESENTA UN TOTAL DE 132 HORMAS TRIMESTRALES</t>
  </si>
  <si>
    <t>*SE REALIZA LA ENTREGA DE 18 PAQUETES POR SEMANA ( DISTRIBUIDOS SEGÚN DETALLE PARA CADA INSTITUCION)   LO QUE HACE UNA SUMA DE 72 PAQUETES MENSUALES  QUE REPRESENTA UN TOTAL DE 216 PAQUETES TRIMESTRALES</t>
  </si>
  <si>
    <t>*SE REALIZA LA ENTREGA DE 22 KG POR DIA EN EL HORARIO DE 07:30 HS A 10:00 HS (DISTRIBUIDOS SEGÚN DETALLE PARA CADA COMEDOR) RESULTANDO 154 KG POR SEMANA  LO QUE HACE UNA SUMA DE 616 KG MENSUALES  QUE REPRESENTA UN TOTAL DE 1.848 KG TRIMESTRALES</t>
  </si>
  <si>
    <t>*SE REALIZA LA ENTREGA DE 22 KG POR DIA EN EL HORARIO DE 07:30 HS A 10:00 HS ( DISTRIBUIDOS SEGÚN DETALLE PARA CADA COMEDOR) RESULTANDO 154 KG POR SEMANA  LO QUE HACE UNA SUMA DE 616 KG MENSUALES  QUE REPRESENTA UN TOTAL DE 1.848 KG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</si>
</sst>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quot; €&quot;_-;\-* #,##0.00&quot; €&quot;_-;_-* \-??&quot; €&quot;_-;_-@_-"/>
    <numFmt numFmtId="165" formatCode="[$$-2C0A]\ #,##0.00;[$$-2C0A]&quot; -&quot;#,##0.00"/>
    <numFmt numFmtId="166" formatCode="_-[$$-2C0A]\ * #,##0.00_-;\-[$$-2C0A]\ * #,##0.00_-;_-[$$-2C0A]\ * &quot;-&quot;??_-;_-@_-"/>
    <numFmt numFmtId="168" formatCode="&quot;$&quot;\ #,##0.00"/>
  </numFmts>
  <fonts count="18" x14ac:knownFonts="1">
    <font>
      <sz val="10"/>
      <name val="Arial"/>
      <charset val="1"/>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8"/>
      <name val="Arial"/>
      <family val="2"/>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s>
  <borders count="38">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bottom style="medium">
        <color indexed="64"/>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bottom style="medium">
        <color auto="1"/>
      </bottom>
      <diagonal/>
    </border>
  </borders>
  <cellStyleXfs count="5">
    <xf numFmtId="0" fontId="0" fillId="0" borderId="0"/>
    <xf numFmtId="164" fontId="4" fillId="0" borderId="0" applyBorder="0" applyProtection="0"/>
    <xf numFmtId="0" fontId="2" fillId="0" borderId="1" applyProtection="0"/>
    <xf numFmtId="0" fontId="3" fillId="2" borderId="0" applyBorder="0" applyProtection="0"/>
    <xf numFmtId="0" fontId="1" fillId="0" borderId="0"/>
  </cellStyleXfs>
  <cellXfs count="133">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2"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12" fillId="0" borderId="10" xfId="0" applyFont="1" applyBorder="1" applyAlignment="1">
      <alignment horizontal="left" indent="3"/>
    </xf>
    <xf numFmtId="0" fontId="5" fillId="0" borderId="10" xfId="0" applyFont="1" applyBorder="1" applyAlignment="1">
      <alignment horizontal="left" indent="3"/>
    </xf>
    <xf numFmtId="0" fontId="5" fillId="0" borderId="0" xfId="0" applyFont="1" applyAlignment="1">
      <alignment horizontal="center" wrapText="1"/>
    </xf>
    <xf numFmtId="0" fontId="5" fillId="0" borderId="11" xfId="0" applyFont="1" applyBorder="1" applyAlignment="1">
      <alignment horizontal="center" wrapText="1"/>
    </xf>
    <xf numFmtId="0" fontId="5" fillId="0" borderId="12" xfId="0" applyFont="1" applyBorder="1" applyAlignment="1">
      <alignment horizontal="left" indent="3"/>
    </xf>
    <xf numFmtId="0" fontId="5" fillId="0" borderId="13" xfId="0" applyFont="1" applyBorder="1"/>
    <xf numFmtId="0" fontId="5" fillId="0" borderId="14" xfId="0" applyFont="1" applyBorder="1"/>
    <xf numFmtId="0" fontId="13" fillId="3" borderId="0" xfId="0" applyFont="1" applyFill="1" applyAlignment="1">
      <alignment horizontal="left" wrapText="1" indent="1"/>
    </xf>
    <xf numFmtId="0" fontId="9" fillId="0" borderId="0" xfId="0" applyFont="1" applyAlignment="1">
      <alignment horizontal="left" wrapText="1"/>
    </xf>
    <xf numFmtId="0" fontId="0" fillId="0" borderId="4" xfId="0" applyBorder="1"/>
    <xf numFmtId="0" fontId="9" fillId="0" borderId="7"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1" xfId="0" applyFont="1" applyBorder="1" applyAlignment="1">
      <alignment horizontal="center" vertical="center" wrapText="1"/>
    </xf>
    <xf numFmtId="0" fontId="5" fillId="3" borderId="15" xfId="0" applyFont="1" applyFill="1" applyBorder="1" applyAlignment="1">
      <alignment horizontal="center"/>
    </xf>
    <xf numFmtId="0" fontId="9" fillId="0" borderId="0" xfId="0" applyFont="1" applyAlignment="1">
      <alignment horizontal="center" wrapText="1"/>
    </xf>
    <xf numFmtId="0" fontId="5" fillId="0" borderId="8"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10" fillId="4" borderId="2" xfId="0" applyFont="1" applyFill="1" applyBorder="1" applyAlignment="1">
      <alignment horizontal="center" vertical="center"/>
    </xf>
    <xf numFmtId="0" fontId="0" fillId="4" borderId="3" xfId="0" applyFill="1" applyBorder="1"/>
    <xf numFmtId="0" fontId="11" fillId="4" borderId="21" xfId="0" applyFont="1" applyFill="1" applyBorder="1" applyAlignment="1">
      <alignment horizontal="center" vertical="center" wrapText="1"/>
    </xf>
    <xf numFmtId="0" fontId="0" fillId="4" borderId="3" xfId="0" applyFill="1" applyBorder="1" applyAlignment="1">
      <alignment horizontal="center"/>
    </xf>
    <xf numFmtId="3" fontId="14" fillId="4" borderId="3" xfId="0" applyNumberFormat="1" applyFont="1" applyFill="1" applyBorder="1" applyAlignment="1">
      <alignment horizontal="right" vertical="center"/>
    </xf>
    <xf numFmtId="165" fontId="10" fillId="5" borderId="25" xfId="1" applyNumberFormat="1" applyFont="1" applyFill="1" applyBorder="1" applyAlignment="1" applyProtection="1">
      <alignment horizontal="right" vertical="center" wrapText="1"/>
    </xf>
    <xf numFmtId="165" fontId="10" fillId="5" borderId="26" xfId="1" applyNumberFormat="1" applyFont="1" applyFill="1" applyBorder="1" applyAlignment="1" applyProtection="1">
      <alignment horizontal="right" vertical="center" wrapText="1"/>
    </xf>
    <xf numFmtId="0" fontId="10" fillId="4" borderId="29" xfId="0" applyFont="1" applyFill="1" applyBorder="1" applyAlignment="1">
      <alignment horizontal="center" vertical="center"/>
    </xf>
    <xf numFmtId="0" fontId="0" fillId="4" borderId="4" xfId="0" applyFill="1" applyBorder="1"/>
    <xf numFmtId="0" fontId="11" fillId="4" borderId="4" xfId="0" applyFont="1" applyFill="1" applyBorder="1" applyAlignment="1">
      <alignment horizontal="center" vertical="center" wrapText="1"/>
    </xf>
    <xf numFmtId="0" fontId="0" fillId="4" borderId="4" xfId="0" applyFill="1" applyBorder="1" applyAlignment="1">
      <alignment horizontal="center"/>
    </xf>
    <xf numFmtId="3" fontId="14" fillId="4" borderId="4" xfId="0" applyNumberFormat="1" applyFont="1" applyFill="1" applyBorder="1" applyAlignment="1">
      <alignment horizontal="right" vertical="center"/>
    </xf>
    <xf numFmtId="165" fontId="10" fillId="5" borderId="4" xfId="1" applyNumberFormat="1" applyFont="1" applyFill="1" applyBorder="1" applyAlignment="1" applyProtection="1">
      <alignment horizontal="right" vertical="center" wrapText="1"/>
    </xf>
    <xf numFmtId="165" fontId="10" fillId="5" borderId="5" xfId="1" applyNumberFormat="1" applyFont="1" applyFill="1" applyBorder="1" applyAlignment="1" applyProtection="1">
      <alignment horizontal="right" vertical="center" wrapText="1"/>
    </xf>
    <xf numFmtId="0" fontId="4" fillId="4" borderId="4" xfId="0" applyFont="1" applyFill="1" applyBorder="1"/>
    <xf numFmtId="0" fontId="10" fillId="4" borderId="18" xfId="0" applyFont="1" applyFill="1" applyBorder="1" applyAlignment="1">
      <alignment horizontal="center" vertical="center" wrapText="1"/>
    </xf>
    <xf numFmtId="0" fontId="4" fillId="4" borderId="4" xfId="0" applyFont="1" applyFill="1" applyBorder="1" applyAlignment="1">
      <alignment horizontal="center"/>
    </xf>
    <xf numFmtId="0" fontId="10" fillId="4" borderId="4" xfId="0" applyFont="1" applyFill="1" applyBorder="1" applyAlignment="1">
      <alignment horizontal="center" vertical="center" wrapText="1"/>
    </xf>
    <xf numFmtId="0" fontId="0" fillId="4" borderId="18" xfId="0" applyFill="1" applyBorder="1" applyAlignment="1">
      <alignment horizontal="center"/>
    </xf>
    <xf numFmtId="3" fontId="14" fillId="4" borderId="18" xfId="0" applyNumberFormat="1" applyFont="1" applyFill="1" applyBorder="1" applyAlignment="1">
      <alignment horizontal="right" vertical="center"/>
    </xf>
    <xf numFmtId="0" fontId="0" fillId="4" borderId="0" xfId="0" applyFill="1"/>
    <xf numFmtId="3" fontId="14" fillId="4" borderId="20" xfId="0" applyNumberFormat="1" applyFont="1" applyFill="1" applyBorder="1" applyAlignment="1">
      <alignment horizontal="right" vertical="center"/>
    </xf>
    <xf numFmtId="165" fontId="10" fillId="5" borderId="19" xfId="1" applyNumberFormat="1" applyFont="1" applyFill="1" applyBorder="1" applyAlignment="1" applyProtection="1">
      <alignment horizontal="right" vertical="center" wrapText="1"/>
    </xf>
    <xf numFmtId="165" fontId="10" fillId="5" borderId="30" xfId="1" applyNumberFormat="1" applyFont="1" applyFill="1" applyBorder="1" applyAlignment="1" applyProtection="1">
      <alignment horizontal="right" vertical="center" wrapText="1"/>
    </xf>
    <xf numFmtId="0" fontId="4" fillId="4" borderId="18" xfId="0" applyFont="1" applyFill="1" applyBorder="1" applyAlignment="1">
      <alignment horizontal="center"/>
    </xf>
    <xf numFmtId="3" fontId="14" fillId="4" borderId="4" xfId="0" applyNumberFormat="1" applyFont="1" applyFill="1" applyBorder="1" applyAlignment="1">
      <alignment horizontal="right"/>
    </xf>
    <xf numFmtId="0" fontId="10" fillId="4" borderId="34" xfId="0" applyFont="1" applyFill="1" applyBorder="1" applyAlignment="1">
      <alignment horizontal="center" vertical="center"/>
    </xf>
    <xf numFmtId="0" fontId="0" fillId="4" borderId="6" xfId="0" applyFill="1" applyBorder="1"/>
    <xf numFmtId="0" fontId="11" fillId="4" borderId="6" xfId="0" applyFont="1" applyFill="1" applyBorder="1" applyAlignment="1">
      <alignment horizontal="center" vertical="center" wrapText="1"/>
    </xf>
    <xf numFmtId="0" fontId="4" fillId="4" borderId="6" xfId="0" applyFont="1" applyFill="1" applyBorder="1" applyAlignment="1">
      <alignment horizontal="center"/>
    </xf>
    <xf numFmtId="3" fontId="14" fillId="4" borderId="6" xfId="0" applyNumberFormat="1" applyFont="1" applyFill="1" applyBorder="1" applyAlignment="1">
      <alignment horizontal="right"/>
    </xf>
    <xf numFmtId="165" fontId="10" fillId="5" borderId="27" xfId="1" applyNumberFormat="1" applyFont="1" applyFill="1" applyBorder="1" applyAlignment="1" applyProtection="1">
      <alignment horizontal="right" vertical="center" wrapText="1"/>
    </xf>
    <xf numFmtId="165" fontId="10" fillId="5" borderId="28" xfId="1" applyNumberFormat="1" applyFont="1" applyFill="1" applyBorder="1" applyAlignment="1" applyProtection="1">
      <alignment horizontal="right" vertical="center" wrapText="1"/>
    </xf>
    <xf numFmtId="0" fontId="5" fillId="5" borderId="0" xfId="0" applyFont="1" applyFill="1" applyAlignment="1">
      <alignment horizontal="center"/>
    </xf>
    <xf numFmtId="0" fontId="5" fillId="5" borderId="11" xfId="0" applyFont="1" applyFill="1" applyBorder="1"/>
    <xf numFmtId="0" fontId="5" fillId="5" borderId="8" xfId="0" applyFont="1" applyFill="1" applyBorder="1" applyAlignment="1">
      <alignment horizontal="center"/>
    </xf>
    <xf numFmtId="0" fontId="5" fillId="5" borderId="9" xfId="0" applyFont="1" applyFill="1" applyBorder="1"/>
    <xf numFmtId="0" fontId="5" fillId="5" borderId="13" xfId="0" applyFont="1" applyFill="1" applyBorder="1" applyAlignment="1">
      <alignment horizontal="center"/>
    </xf>
    <xf numFmtId="0" fontId="5" fillId="5" borderId="14" xfId="0" applyFont="1" applyFill="1" applyBorder="1"/>
    <xf numFmtId="0" fontId="16" fillId="0" borderId="0" xfId="0" applyFont="1"/>
    <xf numFmtId="0" fontId="4" fillId="0" borderId="0" xfId="0" applyFont="1" applyAlignment="1">
      <alignment horizontal="center"/>
    </xf>
    <xf numFmtId="0" fontId="9" fillId="0" borderId="15" xfId="0" applyFont="1" applyBorder="1" applyAlignment="1">
      <alignment horizontal="center" vertical="center" wrapText="1"/>
    </xf>
    <xf numFmtId="0" fontId="11" fillId="0" borderId="4" xfId="0" applyFont="1" applyBorder="1" applyAlignment="1">
      <alignment horizontal="center" vertical="center" wrapText="1"/>
    </xf>
    <xf numFmtId="0" fontId="4" fillId="0" borderId="4" xfId="0" applyFont="1" applyBorder="1" applyAlignment="1">
      <alignment horizontal="center"/>
    </xf>
    <xf numFmtId="0" fontId="5" fillId="0" borderId="0" xfId="0" applyFont="1" applyAlignment="1">
      <alignment horizontal="left" wrapText="1"/>
    </xf>
    <xf numFmtId="0" fontId="10" fillId="0" borderId="0" xfId="0" applyFont="1" applyAlignment="1">
      <alignment horizontal="center" vertical="center"/>
    </xf>
    <xf numFmtId="0" fontId="11" fillId="0" borderId="0" xfId="0" applyFont="1" applyAlignment="1">
      <alignment horizontal="center" vertical="center" wrapText="1"/>
    </xf>
    <xf numFmtId="0" fontId="15" fillId="0" borderId="15" xfId="0" applyFont="1" applyBorder="1" applyAlignment="1">
      <alignment horizontal="center" vertical="center" wrapText="1"/>
    </xf>
    <xf numFmtId="0" fontId="4" fillId="0" borderId="4" xfId="0" applyFont="1" applyBorder="1" applyAlignment="1">
      <alignment horizontal="center" wrapText="1"/>
    </xf>
    <xf numFmtId="0" fontId="13" fillId="0" borderId="0" xfId="0" applyFont="1" applyAlignment="1">
      <alignment horizontal="left" wrapText="1" indent="1"/>
    </xf>
    <xf numFmtId="165" fontId="10" fillId="0" borderId="4" xfId="1" applyNumberFormat="1" applyFont="1" applyBorder="1" applyAlignment="1" applyProtection="1">
      <alignment horizontal="right" vertical="center" wrapText="1"/>
    </xf>
    <xf numFmtId="165" fontId="15" fillId="0" borderId="37" xfId="0" applyNumberFormat="1" applyFont="1" applyBorder="1"/>
    <xf numFmtId="0" fontId="5" fillId="0" borderId="15" xfId="0" applyFont="1" applyBorder="1" applyAlignment="1">
      <alignment horizontal="center"/>
    </xf>
    <xf numFmtId="0" fontId="5" fillId="0" borderId="19" xfId="0" applyFont="1" applyBorder="1" applyAlignment="1">
      <alignment horizontal="center"/>
    </xf>
    <xf numFmtId="0" fontId="5" fillId="0" borderId="4" xfId="0" applyFont="1" applyBorder="1" applyAlignment="1">
      <alignment horizontal="center"/>
    </xf>
    <xf numFmtId="0" fontId="5" fillId="0" borderId="4" xfId="0" applyFont="1" applyBorder="1"/>
    <xf numFmtId="0" fontId="5" fillId="0" borderId="19" xfId="0" applyFont="1" applyBorder="1"/>
    <xf numFmtId="0" fontId="0" fillId="0" borderId="4" xfId="0" applyBorder="1" applyAlignment="1">
      <alignment vertical="top" wrapText="1"/>
    </xf>
    <xf numFmtId="166" fontId="5" fillId="0" borderId="0" xfId="0" applyNumberFormat="1" applyFont="1"/>
    <xf numFmtId="0" fontId="10" fillId="0" borderId="4" xfId="0" applyFont="1" applyBorder="1" applyAlignment="1">
      <alignment horizontal="center" vertical="center"/>
    </xf>
    <xf numFmtId="0" fontId="4" fillId="0" borderId="4" xfId="0" applyFont="1" applyBorder="1" applyAlignment="1">
      <alignment horizontal="right" vertical="center"/>
    </xf>
    <xf numFmtId="0" fontId="4" fillId="0" borderId="4" xfId="0" applyFont="1" applyBorder="1" applyAlignment="1">
      <alignment horizontal="right"/>
    </xf>
    <xf numFmtId="0" fontId="14" fillId="0" borderId="0" xfId="0" applyFont="1" applyAlignment="1">
      <alignment horizontal="right"/>
    </xf>
    <xf numFmtId="0" fontId="15" fillId="0" borderId="0" xfId="0" applyFont="1" applyAlignment="1">
      <alignment horizontal="left" wrapText="1"/>
    </xf>
    <xf numFmtId="0" fontId="15" fillId="0" borderId="0" xfId="0" applyFont="1"/>
    <xf numFmtId="168" fontId="4" fillId="0" borderId="4" xfId="1" applyNumberFormat="1" applyBorder="1" applyAlignment="1" applyProtection="1">
      <alignment vertical="center"/>
    </xf>
    <xf numFmtId="0" fontId="5" fillId="0" borderId="33" xfId="0" applyFont="1" applyBorder="1" applyAlignment="1">
      <alignment horizontal="center"/>
    </xf>
    <xf numFmtId="0" fontId="5" fillId="0" borderId="20" xfId="0" applyFont="1" applyBorder="1" applyAlignment="1">
      <alignment horizontal="center"/>
    </xf>
    <xf numFmtId="0" fontId="5" fillId="0" borderId="11" xfId="0" applyFont="1" applyBorder="1" applyAlignment="1">
      <alignment horizontal="center" wrapText="1"/>
    </xf>
    <xf numFmtId="0" fontId="5" fillId="0" borderId="11" xfId="0" applyFont="1" applyBorder="1" applyAlignment="1">
      <alignment horizontal="center"/>
    </xf>
    <xf numFmtId="0" fontId="15" fillId="0" borderId="16" xfId="0" applyFont="1" applyBorder="1" applyAlignment="1">
      <alignment horizontal="left" vertical="center" wrapText="1"/>
    </xf>
    <xf numFmtId="0" fontId="15" fillId="0" borderId="32" xfId="0" applyFont="1" applyBorder="1" applyAlignment="1">
      <alignment horizontal="left" vertical="center" wrapText="1"/>
    </xf>
    <xf numFmtId="0" fontId="15" fillId="0" borderId="17" xfId="0" applyFont="1" applyBorder="1" applyAlignment="1">
      <alignment horizontal="left" vertical="center" wrapText="1"/>
    </xf>
    <xf numFmtId="0" fontId="5" fillId="0" borderId="16" xfId="0" applyFont="1" applyBorder="1" applyAlignment="1">
      <alignment horizontal="center"/>
    </xf>
    <xf numFmtId="0" fontId="5" fillId="0" borderId="32" xfId="0" applyFont="1" applyBorder="1" applyAlignment="1">
      <alignment horizontal="center"/>
    </xf>
    <xf numFmtId="0" fontId="5" fillId="0" borderId="17" xfId="0" applyFont="1" applyBorder="1" applyAlignment="1">
      <alignment horizontal="center"/>
    </xf>
    <xf numFmtId="0" fontId="5" fillId="0" borderId="19" xfId="0" applyFont="1" applyBorder="1" applyAlignment="1">
      <alignment horizontal="center"/>
    </xf>
    <xf numFmtId="0" fontId="5" fillId="0" borderId="4" xfId="0" applyFont="1" applyBorder="1" applyAlignment="1">
      <alignment horizontal="center"/>
    </xf>
    <xf numFmtId="0" fontId="5" fillId="6" borderId="0" xfId="0" applyFont="1" applyFill="1" applyAlignment="1">
      <alignment horizontal="center" vertical="center" wrapText="1"/>
    </xf>
    <xf numFmtId="0" fontId="5" fillId="6" borderId="11" xfId="0" applyFont="1" applyFill="1" applyBorder="1" applyAlignment="1">
      <alignment horizontal="center" vertical="center" wrapText="1"/>
    </xf>
    <xf numFmtId="0" fontId="5" fillId="6" borderId="11" xfId="0" applyFont="1" applyFill="1" applyBorder="1" applyAlignment="1">
      <alignment horizontal="center" wrapText="1"/>
    </xf>
    <xf numFmtId="0" fontId="5" fillId="0" borderId="35" xfId="0" applyFont="1" applyBorder="1" applyAlignment="1">
      <alignment horizontal="center"/>
    </xf>
    <xf numFmtId="0" fontId="5" fillId="0" borderId="36" xfId="0" applyFont="1" applyBorder="1" applyAlignment="1">
      <alignment horizontal="center"/>
    </xf>
    <xf numFmtId="0" fontId="7" fillId="0" borderId="0" xfId="0" applyFont="1" applyAlignment="1">
      <alignment horizontal="left" vertical="center" wrapText="1"/>
    </xf>
    <xf numFmtId="0" fontId="13" fillId="0" borderId="0" xfId="0" applyFont="1" applyAlignment="1">
      <alignment horizontal="left" wrapText="1" indent="1"/>
    </xf>
    <xf numFmtId="0" fontId="5" fillId="0" borderId="0" xfId="0" applyFont="1" applyAlignment="1">
      <alignment horizontal="center" wrapText="1"/>
    </xf>
    <xf numFmtId="0" fontId="5" fillId="6" borderId="0" xfId="0" applyFont="1" applyFill="1" applyAlignment="1">
      <alignment horizontal="center"/>
    </xf>
    <xf numFmtId="0" fontId="5" fillId="6" borderId="11" xfId="0" applyFont="1" applyFill="1" applyBorder="1" applyAlignment="1">
      <alignment horizontal="center"/>
    </xf>
    <xf numFmtId="0" fontId="6" fillId="0" borderId="0" xfId="0" applyFont="1" applyAlignment="1">
      <alignment horizontal="center"/>
    </xf>
    <xf numFmtId="0" fontId="5" fillId="5" borderId="10" xfId="0" applyFont="1" applyFill="1" applyBorder="1" applyAlignment="1">
      <alignment horizontal="center"/>
    </xf>
    <xf numFmtId="0" fontId="5" fillId="5" borderId="0" xfId="0" applyFont="1" applyFill="1" applyAlignment="1">
      <alignment horizontal="center"/>
    </xf>
    <xf numFmtId="0" fontId="5" fillId="5" borderId="12" xfId="0" applyFont="1" applyFill="1" applyBorder="1" applyAlignment="1">
      <alignment horizontal="center"/>
    </xf>
    <xf numFmtId="0" fontId="5" fillId="5" borderId="13" xfId="0" applyFont="1" applyFill="1" applyBorder="1" applyAlignment="1">
      <alignment horizontal="center"/>
    </xf>
    <xf numFmtId="0" fontId="5" fillId="3" borderId="11" xfId="0" applyFont="1" applyFill="1" applyBorder="1" applyAlignment="1">
      <alignment horizontal="center" wrapText="1"/>
    </xf>
    <xf numFmtId="0" fontId="5" fillId="3" borderId="11" xfId="0" applyFont="1" applyFill="1" applyBorder="1" applyAlignment="1">
      <alignment horizontal="center"/>
    </xf>
    <xf numFmtId="0" fontId="5" fillId="3" borderId="0" xfId="0" applyFont="1" applyFill="1" applyAlignment="1">
      <alignment horizontal="center" vertical="center" wrapText="1"/>
    </xf>
    <xf numFmtId="0" fontId="5" fillId="3" borderId="11" xfId="0" applyFont="1" applyFill="1" applyBorder="1" applyAlignment="1">
      <alignment horizontal="center" vertical="center" wrapText="1"/>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5" borderId="7" xfId="0" applyFont="1" applyFill="1" applyBorder="1" applyAlignment="1">
      <alignment horizontal="center"/>
    </xf>
    <xf numFmtId="0" fontId="5" fillId="5" borderId="8" xfId="0" applyFont="1" applyFill="1" applyBorder="1" applyAlignment="1">
      <alignment horizontal="center"/>
    </xf>
    <xf numFmtId="0" fontId="13" fillId="3" borderId="0" xfId="0" applyFont="1" applyFill="1" applyAlignment="1">
      <alignment horizontal="left" wrapText="1" indent="1"/>
    </xf>
    <xf numFmtId="0" fontId="5" fillId="3" borderId="32" xfId="0" applyFont="1" applyFill="1" applyBorder="1" applyAlignment="1">
      <alignment horizontal="center"/>
    </xf>
  </cellXfs>
  <cellStyles count="5">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23"/>
  <sheetViews>
    <sheetView tabSelected="1" topLeftCell="D1" zoomScale="70" zoomScaleNormal="70" workbookViewId="0">
      <selection activeCell="J8" sqref="J8"/>
    </sheetView>
  </sheetViews>
  <sheetFormatPr baseColWidth="10" defaultColWidth="11" defaultRowHeight="12.75" x14ac:dyDescent="0.2"/>
  <cols>
    <col min="1" max="1" width="4.42578125" style="1" bestFit="1" customWidth="1"/>
    <col min="2" max="2" width="29.140625" style="1" bestFit="1" customWidth="1"/>
    <col min="3" max="3" width="23" style="1" customWidth="1"/>
    <col min="4" max="4" width="11.140625" style="28" customWidth="1"/>
    <col min="5" max="5" width="152.5703125" style="1" customWidth="1"/>
    <col min="6" max="6" width="14.140625" style="1" customWidth="1"/>
    <col min="7" max="7" width="16" style="94" bestFit="1" customWidth="1"/>
    <col min="8" max="8" width="14.7109375" style="1" bestFit="1" customWidth="1"/>
    <col min="9" max="9" width="17.7109375" style="1" bestFit="1" customWidth="1"/>
    <col min="10" max="10" width="14.140625" style="1" bestFit="1" customWidth="1"/>
    <col min="11" max="11" width="12.85546875" style="1" bestFit="1" customWidth="1"/>
    <col min="12" max="16384" width="11" style="1"/>
  </cols>
  <sheetData>
    <row r="1" spans="1:9" ht="27" x14ac:dyDescent="0.35">
      <c r="A1" s="118" t="s">
        <v>0</v>
      </c>
      <c r="B1" s="118"/>
      <c r="C1" s="118"/>
      <c r="D1" s="118"/>
      <c r="E1" s="118"/>
      <c r="F1" s="118"/>
      <c r="G1" s="118"/>
      <c r="H1" s="118"/>
      <c r="I1" s="118"/>
    </row>
    <row r="3" spans="1:9" ht="16.5" customHeight="1" x14ac:dyDescent="0.25">
      <c r="A3" s="113" t="s">
        <v>1</v>
      </c>
      <c r="B3" s="113"/>
      <c r="C3" s="114" t="s">
        <v>210</v>
      </c>
      <c r="D3" s="114"/>
      <c r="E3" s="114"/>
      <c r="F3" s="74"/>
      <c r="G3" s="93"/>
      <c r="H3" s="11"/>
    </row>
    <row r="4" spans="1:9" ht="17.25" customHeight="1" x14ac:dyDescent="0.25">
      <c r="A4" s="113" t="s">
        <v>2</v>
      </c>
      <c r="B4" s="113"/>
      <c r="C4" s="114" t="s">
        <v>23</v>
      </c>
      <c r="D4" s="114"/>
      <c r="E4" s="114"/>
      <c r="F4" s="74"/>
      <c r="G4" s="93"/>
      <c r="H4" s="11"/>
    </row>
    <row r="5" spans="1:9" ht="15" customHeight="1" x14ac:dyDescent="0.25">
      <c r="A5" s="113" t="s">
        <v>3</v>
      </c>
      <c r="B5" s="113"/>
      <c r="C5" s="79">
        <v>2022</v>
      </c>
      <c r="D5" s="26"/>
      <c r="E5" s="17"/>
      <c r="F5" s="74"/>
      <c r="G5" s="93"/>
      <c r="H5" s="11"/>
    </row>
    <row r="6" spans="1:9" ht="16.5" customHeight="1" x14ac:dyDescent="0.25">
      <c r="A6" s="113" t="s">
        <v>202</v>
      </c>
      <c r="B6" s="113"/>
      <c r="C6" s="79">
        <v>3</v>
      </c>
      <c r="D6" s="26"/>
      <c r="E6" s="17"/>
      <c r="F6" s="74"/>
      <c r="G6" s="93"/>
      <c r="H6" s="11"/>
    </row>
    <row r="7" spans="1:9" ht="13.5" thickBot="1" x14ac:dyDescent="0.25">
      <c r="B7" s="2"/>
      <c r="C7" s="3"/>
      <c r="D7" s="3"/>
      <c r="E7" s="2"/>
      <c r="F7" s="74"/>
      <c r="G7" s="93"/>
      <c r="H7" s="11"/>
    </row>
    <row r="8" spans="1:9" ht="39" customHeight="1" thickBot="1" x14ac:dyDescent="0.25">
      <c r="A8" s="71" t="s">
        <v>5</v>
      </c>
      <c r="B8" s="71" t="s">
        <v>6</v>
      </c>
      <c r="C8" s="71" t="s">
        <v>7</v>
      </c>
      <c r="D8" s="71" t="s">
        <v>8</v>
      </c>
      <c r="E8" s="71" t="s">
        <v>9</v>
      </c>
      <c r="F8" s="77" t="s">
        <v>10</v>
      </c>
      <c r="G8" s="77" t="s">
        <v>11</v>
      </c>
      <c r="H8" s="77" t="s">
        <v>12</v>
      </c>
      <c r="I8" s="71" t="s">
        <v>13</v>
      </c>
    </row>
    <row r="9" spans="1:9" ht="30" customHeight="1" x14ac:dyDescent="0.2">
      <c r="A9" s="89">
        <v>1</v>
      </c>
      <c r="B9" s="18" t="s">
        <v>216</v>
      </c>
      <c r="C9" s="18" t="s">
        <v>22</v>
      </c>
      <c r="D9" s="72" t="s">
        <v>35</v>
      </c>
      <c r="E9" s="87" t="s">
        <v>217</v>
      </c>
      <c r="F9" s="73" t="s">
        <v>72</v>
      </c>
      <c r="G9" s="90">
        <v>420</v>
      </c>
      <c r="H9" s="95">
        <v>160</v>
      </c>
      <c r="I9" s="80">
        <f>G9*H9</f>
        <v>67200</v>
      </c>
    </row>
    <row r="10" spans="1:9" ht="30" customHeight="1" x14ac:dyDescent="0.2">
      <c r="A10" s="89">
        <v>2</v>
      </c>
      <c r="B10" s="18" t="s">
        <v>218</v>
      </c>
      <c r="C10" s="18" t="s">
        <v>22</v>
      </c>
      <c r="D10" s="72" t="s">
        <v>35</v>
      </c>
      <c r="E10" s="87" t="s">
        <v>219</v>
      </c>
      <c r="F10" s="73" t="s">
        <v>14</v>
      </c>
      <c r="G10" s="90">
        <v>108</v>
      </c>
      <c r="H10" s="95">
        <v>250</v>
      </c>
      <c r="I10" s="80">
        <f>G10*H10</f>
        <v>27000</v>
      </c>
    </row>
    <row r="11" spans="1:9" ht="30" customHeight="1" x14ac:dyDescent="0.2">
      <c r="A11" s="89">
        <v>3</v>
      </c>
      <c r="B11" s="18" t="s">
        <v>220</v>
      </c>
      <c r="C11" s="18" t="s">
        <v>22</v>
      </c>
      <c r="D11" s="72" t="s">
        <v>35</v>
      </c>
      <c r="E11" s="87" t="s">
        <v>221</v>
      </c>
      <c r="F11" s="73" t="s">
        <v>72</v>
      </c>
      <c r="G11" s="90">
        <v>228</v>
      </c>
      <c r="H11" s="95">
        <v>399</v>
      </c>
      <c r="I11" s="80">
        <f>G11*H11</f>
        <v>90972</v>
      </c>
    </row>
    <row r="12" spans="1:9" ht="30" customHeight="1" x14ac:dyDescent="0.2">
      <c r="A12" s="89">
        <v>4</v>
      </c>
      <c r="B12" s="18" t="s">
        <v>272</v>
      </c>
      <c r="C12" s="18" t="s">
        <v>22</v>
      </c>
      <c r="D12" s="72" t="s">
        <v>35</v>
      </c>
      <c r="E12" s="87" t="s">
        <v>273</v>
      </c>
      <c r="F12" s="73" t="s">
        <v>14</v>
      </c>
      <c r="G12" s="90">
        <v>120</v>
      </c>
      <c r="H12" s="95">
        <v>4650</v>
      </c>
      <c r="I12" s="80">
        <f>G12*H12</f>
        <v>558000</v>
      </c>
    </row>
    <row r="13" spans="1:9" ht="30" customHeight="1" x14ac:dyDescent="0.2">
      <c r="A13" s="89">
        <v>5</v>
      </c>
      <c r="B13" s="18" t="s">
        <v>222</v>
      </c>
      <c r="C13" s="18" t="s">
        <v>22</v>
      </c>
      <c r="D13" s="72" t="s">
        <v>35</v>
      </c>
      <c r="E13" s="87" t="s">
        <v>223</v>
      </c>
      <c r="F13" s="73" t="s">
        <v>72</v>
      </c>
      <c r="G13" s="90">
        <v>552</v>
      </c>
      <c r="H13" s="95">
        <v>290</v>
      </c>
      <c r="I13" s="80">
        <f>G13*H13</f>
        <v>160080</v>
      </c>
    </row>
    <row r="14" spans="1:9" ht="30" customHeight="1" x14ac:dyDescent="0.2">
      <c r="A14" s="89">
        <v>6</v>
      </c>
      <c r="B14" s="18" t="s">
        <v>224</v>
      </c>
      <c r="C14" s="18" t="s">
        <v>22</v>
      </c>
      <c r="D14" s="72" t="s">
        <v>35</v>
      </c>
      <c r="E14" s="87" t="s">
        <v>225</v>
      </c>
      <c r="F14" s="73" t="s">
        <v>14</v>
      </c>
      <c r="G14" s="90">
        <v>156</v>
      </c>
      <c r="H14" s="95">
        <v>540</v>
      </c>
      <c r="I14" s="80">
        <f>G14*H14</f>
        <v>84240</v>
      </c>
    </row>
    <row r="15" spans="1:9" ht="30" customHeight="1" x14ac:dyDescent="0.2">
      <c r="A15" s="89">
        <v>7</v>
      </c>
      <c r="B15" s="18" t="s">
        <v>226</v>
      </c>
      <c r="C15" s="18" t="s">
        <v>22</v>
      </c>
      <c r="D15" s="72" t="s">
        <v>35</v>
      </c>
      <c r="E15" s="87" t="s">
        <v>227</v>
      </c>
      <c r="F15" s="73" t="s">
        <v>14</v>
      </c>
      <c r="G15" s="90">
        <v>444</v>
      </c>
      <c r="H15" s="95">
        <v>177</v>
      </c>
      <c r="I15" s="80">
        <f>G15*H15</f>
        <v>78588</v>
      </c>
    </row>
    <row r="16" spans="1:9" ht="30" customHeight="1" x14ac:dyDescent="0.2">
      <c r="A16" s="89">
        <v>8</v>
      </c>
      <c r="B16" s="18" t="s">
        <v>228</v>
      </c>
      <c r="C16" s="18" t="s">
        <v>22</v>
      </c>
      <c r="D16" s="72" t="s">
        <v>35</v>
      </c>
      <c r="E16" s="87" t="s">
        <v>229</v>
      </c>
      <c r="F16" s="73" t="s">
        <v>72</v>
      </c>
      <c r="G16" s="90">
        <v>300</v>
      </c>
      <c r="H16" s="95">
        <v>75</v>
      </c>
      <c r="I16" s="80">
        <f>G16*H16</f>
        <v>22500</v>
      </c>
    </row>
    <row r="17" spans="1:10" ht="30" customHeight="1" x14ac:dyDescent="0.2">
      <c r="A17" s="89">
        <v>9</v>
      </c>
      <c r="B17" s="18" t="s">
        <v>230</v>
      </c>
      <c r="C17" s="18" t="s">
        <v>22</v>
      </c>
      <c r="D17" s="72" t="s">
        <v>35</v>
      </c>
      <c r="E17" s="87" t="s">
        <v>231</v>
      </c>
      <c r="F17" s="73" t="s">
        <v>72</v>
      </c>
      <c r="G17" s="90">
        <v>456</v>
      </c>
      <c r="H17" s="95">
        <v>270</v>
      </c>
      <c r="I17" s="80">
        <f>G17*H17</f>
        <v>123120</v>
      </c>
    </row>
    <row r="18" spans="1:10" ht="30" customHeight="1" x14ac:dyDescent="0.2">
      <c r="A18" s="89">
        <v>10</v>
      </c>
      <c r="B18" s="18" t="s">
        <v>232</v>
      </c>
      <c r="C18" s="18" t="s">
        <v>22</v>
      </c>
      <c r="D18" s="72" t="s">
        <v>35</v>
      </c>
      <c r="E18" s="87" t="s">
        <v>233</v>
      </c>
      <c r="F18" s="73" t="s">
        <v>14</v>
      </c>
      <c r="G18" s="90">
        <v>132</v>
      </c>
      <c r="H18" s="95">
        <v>3800</v>
      </c>
      <c r="I18" s="80">
        <f>G18*H18</f>
        <v>501600</v>
      </c>
    </row>
    <row r="19" spans="1:10" ht="30" customHeight="1" x14ac:dyDescent="0.2">
      <c r="A19" s="89">
        <v>11</v>
      </c>
      <c r="B19" s="18" t="s">
        <v>234</v>
      </c>
      <c r="C19" s="18" t="s">
        <v>22</v>
      </c>
      <c r="D19" s="72" t="s">
        <v>35</v>
      </c>
      <c r="E19" s="87" t="s">
        <v>235</v>
      </c>
      <c r="F19" s="73" t="s">
        <v>284</v>
      </c>
      <c r="G19" s="91">
        <v>84</v>
      </c>
      <c r="H19" s="95">
        <v>5950</v>
      </c>
      <c r="I19" s="80">
        <f>G19*H19</f>
        <v>499800</v>
      </c>
    </row>
    <row r="20" spans="1:10" ht="30" customHeight="1" x14ac:dyDescent="0.2">
      <c r="A20" s="89">
        <v>12</v>
      </c>
      <c r="B20" s="18" t="s">
        <v>236</v>
      </c>
      <c r="C20" s="18" t="s">
        <v>22</v>
      </c>
      <c r="D20" s="72" t="s">
        <v>35</v>
      </c>
      <c r="E20" s="87" t="s">
        <v>237</v>
      </c>
      <c r="F20" s="73" t="s">
        <v>284</v>
      </c>
      <c r="G20" s="91">
        <v>60</v>
      </c>
      <c r="H20" s="95">
        <v>5160</v>
      </c>
      <c r="I20" s="80">
        <f>G20*H20</f>
        <v>309600</v>
      </c>
    </row>
    <row r="21" spans="1:10" ht="30" customHeight="1" x14ac:dyDescent="0.2">
      <c r="A21" s="89">
        <v>13</v>
      </c>
      <c r="B21" s="18" t="s">
        <v>238</v>
      </c>
      <c r="C21" s="18" t="s">
        <v>22</v>
      </c>
      <c r="D21" s="72" t="s">
        <v>35</v>
      </c>
      <c r="E21" s="87" t="s">
        <v>239</v>
      </c>
      <c r="F21" s="73" t="s">
        <v>14</v>
      </c>
      <c r="G21" s="91">
        <v>336</v>
      </c>
      <c r="H21" s="95">
        <v>218</v>
      </c>
      <c r="I21" s="80">
        <f>G21*H21</f>
        <v>73248</v>
      </c>
    </row>
    <row r="22" spans="1:10" ht="30" customHeight="1" x14ac:dyDescent="0.2">
      <c r="A22" s="89">
        <v>14</v>
      </c>
      <c r="B22" s="18" t="s">
        <v>240</v>
      </c>
      <c r="C22" s="18" t="s">
        <v>22</v>
      </c>
      <c r="D22" s="72" t="s">
        <v>35</v>
      </c>
      <c r="E22" s="87" t="s">
        <v>241</v>
      </c>
      <c r="F22" s="73" t="s">
        <v>271</v>
      </c>
      <c r="G22" s="91">
        <v>216</v>
      </c>
      <c r="H22" s="95">
        <v>125</v>
      </c>
      <c r="I22" s="80">
        <f>G22*H22</f>
        <v>27000</v>
      </c>
    </row>
    <row r="23" spans="1:10" ht="30" customHeight="1" x14ac:dyDescent="0.2">
      <c r="A23" s="89">
        <v>15</v>
      </c>
      <c r="B23" s="18" t="s">
        <v>252</v>
      </c>
      <c r="C23" s="18" t="s">
        <v>22</v>
      </c>
      <c r="D23" s="72" t="s">
        <v>35</v>
      </c>
      <c r="E23" s="87" t="s">
        <v>253</v>
      </c>
      <c r="F23" s="73" t="s">
        <v>72</v>
      </c>
      <c r="G23" s="91">
        <v>24</v>
      </c>
      <c r="H23" s="95">
        <v>160</v>
      </c>
      <c r="I23" s="80">
        <f>G23*H23</f>
        <v>3840</v>
      </c>
    </row>
    <row r="24" spans="1:10" ht="30" customHeight="1" x14ac:dyDescent="0.2">
      <c r="A24" s="89">
        <v>16</v>
      </c>
      <c r="B24" s="18" t="s">
        <v>254</v>
      </c>
      <c r="C24" s="18" t="s">
        <v>22</v>
      </c>
      <c r="D24" s="72" t="s">
        <v>35</v>
      </c>
      <c r="E24" s="87" t="s">
        <v>255</v>
      </c>
      <c r="F24" s="73" t="s">
        <v>72</v>
      </c>
      <c r="G24" s="91">
        <v>36</v>
      </c>
      <c r="H24" s="95">
        <v>850</v>
      </c>
      <c r="I24" s="80">
        <f>G24*H24</f>
        <v>30600</v>
      </c>
    </row>
    <row r="25" spans="1:10" ht="30" customHeight="1" x14ac:dyDescent="0.2">
      <c r="A25" s="89">
        <v>17</v>
      </c>
      <c r="B25" s="18" t="s">
        <v>257</v>
      </c>
      <c r="C25" s="18" t="s">
        <v>22</v>
      </c>
      <c r="D25" s="72" t="s">
        <v>35</v>
      </c>
      <c r="E25" s="87" t="s">
        <v>258</v>
      </c>
      <c r="F25" s="73" t="s">
        <v>72</v>
      </c>
      <c r="G25" s="91">
        <v>24</v>
      </c>
      <c r="H25" s="95">
        <v>380</v>
      </c>
      <c r="I25" s="80">
        <f>G25*H25</f>
        <v>9120</v>
      </c>
    </row>
    <row r="26" spans="1:10" ht="30" customHeight="1" x14ac:dyDescent="0.2">
      <c r="A26" s="89">
        <v>18</v>
      </c>
      <c r="B26" s="18" t="s">
        <v>259</v>
      </c>
      <c r="C26" s="18" t="s">
        <v>22</v>
      </c>
      <c r="D26" s="72" t="s">
        <v>35</v>
      </c>
      <c r="E26" s="87" t="s">
        <v>260</v>
      </c>
      <c r="F26" s="73" t="s">
        <v>72</v>
      </c>
      <c r="G26" s="91">
        <v>1848</v>
      </c>
      <c r="H26" s="95">
        <v>240</v>
      </c>
      <c r="I26" s="80">
        <f>G26*H26</f>
        <v>443520</v>
      </c>
      <c r="J26" s="88"/>
    </row>
    <row r="27" spans="1:10" ht="30" customHeight="1" x14ac:dyDescent="0.2">
      <c r="A27" s="89">
        <v>19</v>
      </c>
      <c r="B27" s="18" t="s">
        <v>261</v>
      </c>
      <c r="C27" s="18" t="s">
        <v>22</v>
      </c>
      <c r="D27" s="72" t="s">
        <v>35</v>
      </c>
      <c r="E27" s="87" t="s">
        <v>262</v>
      </c>
      <c r="F27" s="73" t="s">
        <v>72</v>
      </c>
      <c r="G27" s="91">
        <v>1848</v>
      </c>
      <c r="H27" s="95">
        <v>260</v>
      </c>
      <c r="I27" s="80">
        <f>G27*H27</f>
        <v>480480</v>
      </c>
      <c r="J27" s="88"/>
    </row>
    <row r="28" spans="1:10" ht="30" customHeight="1" x14ac:dyDescent="0.2">
      <c r="A28" s="89">
        <v>20</v>
      </c>
      <c r="B28" s="18" t="s">
        <v>266</v>
      </c>
      <c r="C28" s="18" t="s">
        <v>22</v>
      </c>
      <c r="D28" s="72" t="s">
        <v>35</v>
      </c>
      <c r="E28" s="87" t="s">
        <v>267</v>
      </c>
      <c r="F28" s="78" t="s">
        <v>14</v>
      </c>
      <c r="G28" s="91">
        <v>60</v>
      </c>
      <c r="H28" s="95">
        <v>476</v>
      </c>
      <c r="I28" s="80">
        <f>G28*H28</f>
        <v>28560</v>
      </c>
      <c r="J28" s="88"/>
    </row>
    <row r="29" spans="1:10" ht="13.5" thickBot="1" x14ac:dyDescent="0.25">
      <c r="A29" s="75"/>
      <c r="B29"/>
      <c r="C29"/>
      <c r="D29" s="76"/>
      <c r="E29"/>
      <c r="F29" s="70"/>
      <c r="H29" s="92"/>
      <c r="I29" s="81">
        <f>SUM(I9:I28)</f>
        <v>3619068</v>
      </c>
    </row>
    <row r="30" spans="1:10" x14ac:dyDescent="0.2">
      <c r="H30" s="92"/>
    </row>
    <row r="32" spans="1:10" ht="13.5" thickBot="1" x14ac:dyDescent="0.25">
      <c r="I32" s="69"/>
    </row>
    <row r="33" spans="2:9" x14ac:dyDescent="0.2">
      <c r="B33" s="4" t="s">
        <v>15</v>
      </c>
      <c r="C33" s="5"/>
      <c r="D33" s="27"/>
      <c r="E33" s="6"/>
      <c r="I33" s="69"/>
    </row>
    <row r="34" spans="2:9" x14ac:dyDescent="0.2">
      <c r="B34" s="7"/>
      <c r="E34" s="8"/>
      <c r="I34" s="69"/>
    </row>
    <row r="35" spans="2:9" x14ac:dyDescent="0.2">
      <c r="B35" s="9" t="s">
        <v>16</v>
      </c>
      <c r="E35" s="8"/>
      <c r="I35" s="69"/>
    </row>
    <row r="36" spans="2:9" x14ac:dyDescent="0.2">
      <c r="B36" s="9"/>
      <c r="C36" s="108" t="s">
        <v>274</v>
      </c>
      <c r="D36" s="108"/>
      <c r="E36" s="109"/>
    </row>
    <row r="37" spans="2:9" ht="13.5" thickBot="1" x14ac:dyDescent="0.25">
      <c r="B37" s="9" t="s">
        <v>17</v>
      </c>
      <c r="E37" s="8"/>
      <c r="I37" s="69"/>
    </row>
    <row r="38" spans="2:9" ht="13.5" thickBot="1" x14ac:dyDescent="0.25">
      <c r="B38" s="103" t="s">
        <v>83</v>
      </c>
      <c r="C38" s="104"/>
      <c r="D38" s="104"/>
      <c r="E38" s="105"/>
      <c r="I38" s="69"/>
    </row>
    <row r="39" spans="2:9" ht="13.5" thickBot="1" x14ac:dyDescent="0.25">
      <c r="B39" s="103" t="s">
        <v>203</v>
      </c>
      <c r="C39" s="105"/>
      <c r="D39" s="82" t="s">
        <v>11</v>
      </c>
      <c r="E39" s="82" t="s">
        <v>85</v>
      </c>
      <c r="I39" s="69"/>
    </row>
    <row r="40" spans="2:9" x14ac:dyDescent="0.2">
      <c r="B40" s="106" t="s">
        <v>204</v>
      </c>
      <c r="C40" s="106"/>
      <c r="D40" s="83">
        <v>3</v>
      </c>
      <c r="E40" s="86" t="s">
        <v>211</v>
      </c>
      <c r="I40" s="69"/>
    </row>
    <row r="41" spans="2:9" x14ac:dyDescent="0.2">
      <c r="B41" s="107" t="s">
        <v>205</v>
      </c>
      <c r="C41" s="107"/>
      <c r="D41" s="84">
        <v>3</v>
      </c>
      <c r="E41" s="85" t="s">
        <v>213</v>
      </c>
      <c r="I41" s="69"/>
    </row>
    <row r="42" spans="2:9" x14ac:dyDescent="0.2">
      <c r="B42" s="107" t="s">
        <v>206</v>
      </c>
      <c r="C42" s="107"/>
      <c r="D42" s="84">
        <v>7</v>
      </c>
      <c r="E42" s="85" t="s">
        <v>214</v>
      </c>
      <c r="I42" s="69"/>
    </row>
    <row r="43" spans="2:9" x14ac:dyDescent="0.2">
      <c r="B43" s="107" t="s">
        <v>208</v>
      </c>
      <c r="C43" s="107"/>
      <c r="D43" s="84">
        <v>15</v>
      </c>
      <c r="E43" s="85" t="s">
        <v>212</v>
      </c>
      <c r="I43" s="69"/>
    </row>
    <row r="44" spans="2:9" x14ac:dyDescent="0.2">
      <c r="B44" s="107" t="s">
        <v>209</v>
      </c>
      <c r="C44" s="107"/>
      <c r="D44" s="84">
        <v>0</v>
      </c>
      <c r="E44" s="85" t="s">
        <v>242</v>
      </c>
      <c r="I44" s="69"/>
    </row>
    <row r="45" spans="2:9" x14ac:dyDescent="0.2">
      <c r="B45" s="96" t="s">
        <v>207</v>
      </c>
      <c r="C45" s="97"/>
      <c r="D45" s="84">
        <v>1</v>
      </c>
      <c r="E45" s="85" t="s">
        <v>215</v>
      </c>
      <c r="I45" s="69"/>
    </row>
    <row r="46" spans="2:9" x14ac:dyDescent="0.2">
      <c r="B46" s="111" t="s">
        <v>245</v>
      </c>
      <c r="C46" s="112"/>
      <c r="D46" s="84">
        <v>4</v>
      </c>
      <c r="E46" s="85" t="s">
        <v>268</v>
      </c>
      <c r="I46" s="69"/>
    </row>
    <row r="47" spans="2:9" ht="13.5" thickBot="1" x14ac:dyDescent="0.25">
      <c r="B47" s="96" t="s">
        <v>246</v>
      </c>
      <c r="C47" s="97"/>
      <c r="D47" s="84">
        <v>2</v>
      </c>
      <c r="E47" s="85" t="s">
        <v>269</v>
      </c>
      <c r="I47" s="69"/>
    </row>
    <row r="48" spans="2:9" ht="26.25" customHeight="1" thickBot="1" x14ac:dyDescent="0.25">
      <c r="B48" s="100" t="s">
        <v>290</v>
      </c>
      <c r="C48" s="101"/>
      <c r="D48" s="101"/>
      <c r="E48" s="102"/>
      <c r="I48" s="69"/>
    </row>
    <row r="49" spans="2:9" x14ac:dyDescent="0.2">
      <c r="B49" s="9" t="s">
        <v>18</v>
      </c>
      <c r="E49" s="8"/>
      <c r="I49" s="69"/>
    </row>
    <row r="50" spans="2:9" x14ac:dyDescent="0.2">
      <c r="B50" s="10"/>
      <c r="C50" s="98" t="s">
        <v>24</v>
      </c>
      <c r="D50" s="98"/>
      <c r="E50" s="98"/>
      <c r="I50" s="69"/>
    </row>
    <row r="51" spans="2:9" x14ac:dyDescent="0.2">
      <c r="B51" s="9" t="s">
        <v>19</v>
      </c>
      <c r="C51" s="11"/>
      <c r="D51" s="11"/>
      <c r="E51" s="12"/>
      <c r="I51" s="69"/>
    </row>
    <row r="52" spans="2:9" x14ac:dyDescent="0.2">
      <c r="B52" s="10"/>
      <c r="C52" s="98" t="s">
        <v>86</v>
      </c>
      <c r="D52" s="98"/>
      <c r="E52" s="98"/>
      <c r="I52" s="69"/>
    </row>
    <row r="53" spans="2:9" x14ac:dyDescent="0.2">
      <c r="B53" s="9" t="s">
        <v>20</v>
      </c>
      <c r="E53" s="8"/>
      <c r="I53" s="69"/>
    </row>
    <row r="54" spans="2:9" x14ac:dyDescent="0.2">
      <c r="B54" s="9"/>
      <c r="C54" s="99" t="s">
        <v>25</v>
      </c>
      <c r="D54" s="99"/>
      <c r="E54" s="99"/>
      <c r="I54" s="69"/>
    </row>
    <row r="55" spans="2:9" ht="13.5" thickBot="1" x14ac:dyDescent="0.25">
      <c r="B55" s="13"/>
      <c r="C55" s="14"/>
      <c r="D55" s="29"/>
      <c r="E55" s="15"/>
      <c r="I55" s="69"/>
    </row>
    <row r="56" spans="2:9" x14ac:dyDescent="0.2">
      <c r="I56" s="69"/>
    </row>
    <row r="57" spans="2:9" ht="13.5" thickBot="1" x14ac:dyDescent="0.25">
      <c r="I57" s="69"/>
    </row>
    <row r="58" spans="2:9" x14ac:dyDescent="0.2">
      <c r="B58" s="4" t="s">
        <v>21</v>
      </c>
      <c r="C58" s="5"/>
      <c r="D58" s="27"/>
      <c r="E58" s="6"/>
      <c r="I58" s="69"/>
    </row>
    <row r="59" spans="2:9" x14ac:dyDescent="0.2">
      <c r="B59" s="7"/>
      <c r="E59" s="8"/>
      <c r="I59" s="69"/>
    </row>
    <row r="60" spans="2:9" x14ac:dyDescent="0.2">
      <c r="B60" s="9" t="s">
        <v>16</v>
      </c>
      <c r="C60" s="108" t="s">
        <v>219</v>
      </c>
      <c r="D60" s="108"/>
      <c r="E60" s="109"/>
    </row>
    <row r="61" spans="2:9" x14ac:dyDescent="0.2">
      <c r="B61" s="9"/>
      <c r="C61" s="98"/>
      <c r="D61" s="98"/>
      <c r="E61" s="98"/>
      <c r="I61" s="69"/>
    </row>
    <row r="62" spans="2:9" ht="13.5" thickBot="1" x14ac:dyDescent="0.25">
      <c r="B62" s="9" t="s">
        <v>17</v>
      </c>
      <c r="E62" s="8"/>
      <c r="I62" s="69"/>
    </row>
    <row r="63" spans="2:9" ht="13.5" thickBot="1" x14ac:dyDescent="0.25">
      <c r="B63" s="103" t="s">
        <v>83</v>
      </c>
      <c r="C63" s="104"/>
      <c r="D63" s="104"/>
      <c r="E63" s="105"/>
      <c r="I63" s="69"/>
    </row>
    <row r="64" spans="2:9" ht="12.75" customHeight="1" thickBot="1" x14ac:dyDescent="0.25">
      <c r="B64" s="103" t="s">
        <v>203</v>
      </c>
      <c r="C64" s="105"/>
      <c r="D64" s="82" t="s">
        <v>11</v>
      </c>
      <c r="E64" s="82" t="s">
        <v>85</v>
      </c>
      <c r="I64" s="69"/>
    </row>
    <row r="65" spans="2:9" x14ac:dyDescent="0.2">
      <c r="B65" s="106" t="s">
        <v>204</v>
      </c>
      <c r="C65" s="106"/>
      <c r="D65" s="83">
        <v>0</v>
      </c>
      <c r="E65" s="86" t="s">
        <v>211</v>
      </c>
      <c r="I65" s="69"/>
    </row>
    <row r="66" spans="2:9" x14ac:dyDescent="0.2">
      <c r="B66" s="107" t="s">
        <v>205</v>
      </c>
      <c r="C66" s="107"/>
      <c r="D66" s="84">
        <v>5</v>
      </c>
      <c r="E66" s="85" t="s">
        <v>213</v>
      </c>
      <c r="I66" s="69"/>
    </row>
    <row r="67" spans="2:9" x14ac:dyDescent="0.2">
      <c r="B67" s="107" t="s">
        <v>206</v>
      </c>
      <c r="C67" s="107"/>
      <c r="D67" s="84">
        <v>2</v>
      </c>
      <c r="E67" s="85" t="s">
        <v>214</v>
      </c>
      <c r="I67" s="69"/>
    </row>
    <row r="68" spans="2:9" x14ac:dyDescent="0.2">
      <c r="B68" s="107" t="s">
        <v>208</v>
      </c>
      <c r="C68" s="107"/>
      <c r="D68" s="84">
        <v>2</v>
      </c>
      <c r="E68" s="85" t="s">
        <v>212</v>
      </c>
      <c r="I68" s="69"/>
    </row>
    <row r="69" spans="2:9" x14ac:dyDescent="0.2">
      <c r="B69" s="107" t="s">
        <v>209</v>
      </c>
      <c r="C69" s="107"/>
      <c r="D69" s="84">
        <v>0</v>
      </c>
      <c r="E69" s="85" t="s">
        <v>242</v>
      </c>
      <c r="I69" s="69"/>
    </row>
    <row r="70" spans="2:9" x14ac:dyDescent="0.2">
      <c r="B70" s="96" t="s">
        <v>207</v>
      </c>
      <c r="C70" s="97"/>
      <c r="D70" s="84">
        <v>0</v>
      </c>
      <c r="E70" s="85" t="s">
        <v>215</v>
      </c>
      <c r="I70" s="69"/>
    </row>
    <row r="71" spans="2:9" x14ac:dyDescent="0.2">
      <c r="B71" s="111" t="s">
        <v>245</v>
      </c>
      <c r="C71" s="112"/>
      <c r="D71" s="84">
        <v>0</v>
      </c>
      <c r="E71" s="85" t="s">
        <v>268</v>
      </c>
      <c r="I71" s="69"/>
    </row>
    <row r="72" spans="2:9" ht="13.5" thickBot="1" x14ac:dyDescent="0.25">
      <c r="B72" s="96" t="s">
        <v>246</v>
      </c>
      <c r="C72" s="97"/>
      <c r="D72" s="84">
        <v>0</v>
      </c>
      <c r="E72" s="85" t="s">
        <v>269</v>
      </c>
      <c r="I72" s="69"/>
    </row>
    <row r="73" spans="2:9" ht="26.25" customHeight="1" thickBot="1" x14ac:dyDescent="0.25">
      <c r="B73" s="100" t="s">
        <v>281</v>
      </c>
      <c r="C73" s="101"/>
      <c r="D73" s="101"/>
      <c r="E73" s="102"/>
      <c r="I73" s="69"/>
    </row>
    <row r="74" spans="2:9" x14ac:dyDescent="0.2">
      <c r="B74" s="9" t="s">
        <v>18</v>
      </c>
      <c r="E74" s="8"/>
      <c r="I74" s="69"/>
    </row>
    <row r="75" spans="2:9" x14ac:dyDescent="0.2">
      <c r="B75" s="10"/>
      <c r="C75" s="98" t="s">
        <v>24</v>
      </c>
      <c r="D75" s="98"/>
      <c r="E75" s="98"/>
      <c r="I75" s="69"/>
    </row>
    <row r="76" spans="2:9" x14ac:dyDescent="0.2">
      <c r="B76" s="9" t="s">
        <v>19</v>
      </c>
      <c r="C76" s="11"/>
      <c r="D76" s="11"/>
      <c r="E76" s="12"/>
      <c r="I76" s="69"/>
    </row>
    <row r="77" spans="2:9" x14ac:dyDescent="0.2">
      <c r="B77" s="10"/>
      <c r="C77" s="98" t="s">
        <v>86</v>
      </c>
      <c r="D77" s="98"/>
      <c r="E77" s="98"/>
      <c r="I77" s="69"/>
    </row>
    <row r="78" spans="2:9" x14ac:dyDescent="0.2">
      <c r="B78" s="9" t="s">
        <v>20</v>
      </c>
      <c r="E78" s="8"/>
      <c r="I78" s="69"/>
    </row>
    <row r="79" spans="2:9" x14ac:dyDescent="0.2">
      <c r="B79" s="9"/>
      <c r="C79" s="99" t="s">
        <v>25</v>
      </c>
      <c r="D79" s="99"/>
      <c r="E79" s="99"/>
      <c r="I79" s="69"/>
    </row>
    <row r="80" spans="2:9" ht="13.5" thickBot="1" x14ac:dyDescent="0.25">
      <c r="B80" s="13"/>
      <c r="C80" s="14"/>
      <c r="D80" s="29"/>
      <c r="E80" s="15"/>
      <c r="I80" s="69"/>
    </row>
    <row r="81" spans="2:9" ht="13.5" thickBot="1" x14ac:dyDescent="0.25">
      <c r="I81" s="69"/>
    </row>
    <row r="82" spans="2:9" x14ac:dyDescent="0.2">
      <c r="B82" s="4" t="s">
        <v>26</v>
      </c>
      <c r="C82" s="5"/>
      <c r="D82" s="27"/>
      <c r="E82" s="6"/>
      <c r="I82" s="69"/>
    </row>
    <row r="83" spans="2:9" x14ac:dyDescent="0.2">
      <c r="B83" s="7"/>
      <c r="E83" s="8"/>
      <c r="I83" s="69"/>
    </row>
    <row r="84" spans="2:9" x14ac:dyDescent="0.2">
      <c r="B84" s="9" t="s">
        <v>16</v>
      </c>
      <c r="E84" s="8"/>
      <c r="I84" s="69"/>
    </row>
    <row r="85" spans="2:9" x14ac:dyDescent="0.2">
      <c r="B85" s="9"/>
      <c r="C85" s="110" t="s">
        <v>280</v>
      </c>
      <c r="D85" s="110"/>
      <c r="E85" s="110"/>
    </row>
    <row r="86" spans="2:9" ht="13.5" thickBot="1" x14ac:dyDescent="0.25">
      <c r="B86" s="9" t="s">
        <v>17</v>
      </c>
      <c r="E86" s="8"/>
      <c r="I86" s="69"/>
    </row>
    <row r="87" spans="2:9" ht="13.5" thickBot="1" x14ac:dyDescent="0.25">
      <c r="B87" s="103" t="s">
        <v>83</v>
      </c>
      <c r="C87" s="104"/>
      <c r="D87" s="104"/>
      <c r="E87" s="105"/>
      <c r="I87" s="69"/>
    </row>
    <row r="88" spans="2:9" ht="13.5" thickBot="1" x14ac:dyDescent="0.25">
      <c r="B88" s="103" t="s">
        <v>203</v>
      </c>
      <c r="C88" s="105"/>
      <c r="D88" s="82" t="s">
        <v>11</v>
      </c>
      <c r="E88" s="82" t="s">
        <v>85</v>
      </c>
      <c r="I88" s="69"/>
    </row>
    <row r="89" spans="2:9" x14ac:dyDescent="0.2">
      <c r="B89" s="106" t="s">
        <v>204</v>
      </c>
      <c r="C89" s="106"/>
      <c r="D89" s="83">
        <v>0</v>
      </c>
      <c r="E89" s="86" t="s">
        <v>211</v>
      </c>
      <c r="I89" s="69"/>
    </row>
    <row r="90" spans="2:9" x14ac:dyDescent="0.2">
      <c r="B90" s="107" t="s">
        <v>205</v>
      </c>
      <c r="C90" s="107"/>
      <c r="D90" s="84">
        <v>0</v>
      </c>
      <c r="E90" s="85" t="s">
        <v>213</v>
      </c>
      <c r="I90" s="69"/>
    </row>
    <row r="91" spans="2:9" x14ac:dyDescent="0.2">
      <c r="B91" s="107" t="s">
        <v>206</v>
      </c>
      <c r="C91" s="107"/>
      <c r="D91" s="84">
        <v>5</v>
      </c>
      <c r="E91" s="85" t="s">
        <v>214</v>
      </c>
      <c r="I91" s="69"/>
    </row>
    <row r="92" spans="2:9" x14ac:dyDescent="0.2">
      <c r="B92" s="107" t="s">
        <v>208</v>
      </c>
      <c r="C92" s="107"/>
      <c r="D92" s="84">
        <v>10</v>
      </c>
      <c r="E92" s="85" t="s">
        <v>212</v>
      </c>
      <c r="I92" s="69"/>
    </row>
    <row r="93" spans="2:9" x14ac:dyDescent="0.2">
      <c r="B93" s="107" t="s">
        <v>209</v>
      </c>
      <c r="C93" s="107"/>
      <c r="D93" s="84">
        <v>0</v>
      </c>
      <c r="E93" s="85" t="s">
        <v>242</v>
      </c>
      <c r="I93" s="69"/>
    </row>
    <row r="94" spans="2:9" x14ac:dyDescent="0.2">
      <c r="B94" s="96" t="s">
        <v>207</v>
      </c>
      <c r="C94" s="97"/>
      <c r="D94" s="84">
        <v>0</v>
      </c>
      <c r="E94" s="85" t="s">
        <v>215</v>
      </c>
      <c r="I94" s="69"/>
    </row>
    <row r="95" spans="2:9" x14ac:dyDescent="0.2">
      <c r="B95" s="111" t="s">
        <v>245</v>
      </c>
      <c r="C95" s="112"/>
      <c r="D95" s="84">
        <v>2</v>
      </c>
      <c r="E95" s="85" t="s">
        <v>268</v>
      </c>
      <c r="I95" s="69"/>
    </row>
    <row r="96" spans="2:9" ht="13.5" thickBot="1" x14ac:dyDescent="0.25">
      <c r="B96" s="96" t="s">
        <v>246</v>
      </c>
      <c r="C96" s="97"/>
      <c r="D96" s="84">
        <v>2</v>
      </c>
      <c r="E96" s="85" t="s">
        <v>269</v>
      </c>
      <c r="I96" s="69"/>
    </row>
    <row r="97" spans="2:9" ht="26.25" customHeight="1" thickBot="1" x14ac:dyDescent="0.25">
      <c r="B97" s="100" t="s">
        <v>244</v>
      </c>
      <c r="C97" s="101"/>
      <c r="D97" s="101"/>
      <c r="E97" s="102"/>
      <c r="I97" s="69"/>
    </row>
    <row r="98" spans="2:9" x14ac:dyDescent="0.2">
      <c r="B98" s="9" t="s">
        <v>18</v>
      </c>
      <c r="E98" s="8"/>
      <c r="I98" s="69"/>
    </row>
    <row r="99" spans="2:9" x14ac:dyDescent="0.2">
      <c r="B99" s="10"/>
      <c r="C99" s="98" t="s">
        <v>24</v>
      </c>
      <c r="D99" s="98"/>
      <c r="E99" s="98"/>
      <c r="I99" s="69"/>
    </row>
    <row r="100" spans="2:9" x14ac:dyDescent="0.2">
      <c r="B100" s="9" t="s">
        <v>19</v>
      </c>
      <c r="C100" s="11"/>
      <c r="D100" s="11"/>
      <c r="E100" s="12"/>
      <c r="I100" s="69"/>
    </row>
    <row r="101" spans="2:9" x14ac:dyDescent="0.2">
      <c r="B101" s="10"/>
      <c r="C101" s="98" t="s">
        <v>86</v>
      </c>
      <c r="D101" s="98"/>
      <c r="E101" s="98"/>
      <c r="I101" s="69"/>
    </row>
    <row r="102" spans="2:9" x14ac:dyDescent="0.2">
      <c r="B102" s="9" t="s">
        <v>20</v>
      </c>
      <c r="E102" s="8"/>
      <c r="I102" s="69"/>
    </row>
    <row r="103" spans="2:9" x14ac:dyDescent="0.2">
      <c r="B103" s="9"/>
      <c r="C103" s="99" t="s">
        <v>25</v>
      </c>
      <c r="D103" s="99"/>
      <c r="E103" s="99"/>
      <c r="I103" s="69"/>
    </row>
    <row r="104" spans="2:9" ht="13.5" thickBot="1" x14ac:dyDescent="0.25">
      <c r="B104" s="13"/>
      <c r="C104" s="14"/>
      <c r="D104" s="29"/>
      <c r="E104" s="15"/>
      <c r="I104" s="69"/>
    </row>
    <row r="105" spans="2:9" x14ac:dyDescent="0.2">
      <c r="I105" s="69"/>
    </row>
    <row r="106" spans="2:9" ht="13.5" thickBot="1" x14ac:dyDescent="0.25">
      <c r="I106" s="69"/>
    </row>
    <row r="107" spans="2:9" x14ac:dyDescent="0.2">
      <c r="B107" s="4" t="s">
        <v>87</v>
      </c>
      <c r="C107" s="5"/>
      <c r="D107" s="27"/>
      <c r="E107" s="6"/>
      <c r="I107" s="69"/>
    </row>
    <row r="108" spans="2:9" x14ac:dyDescent="0.2">
      <c r="B108" s="7"/>
      <c r="E108" s="8"/>
      <c r="I108" s="69"/>
    </row>
    <row r="109" spans="2:9" x14ac:dyDescent="0.2">
      <c r="B109" s="9" t="s">
        <v>16</v>
      </c>
      <c r="C109" s="108" t="s">
        <v>273</v>
      </c>
      <c r="D109" s="108"/>
      <c r="E109" s="109"/>
    </row>
    <row r="110" spans="2:9" x14ac:dyDescent="0.2">
      <c r="B110" s="9"/>
      <c r="C110" s="98"/>
      <c r="D110" s="98"/>
      <c r="E110" s="98"/>
      <c r="I110" s="69"/>
    </row>
    <row r="111" spans="2:9" ht="13.5" thickBot="1" x14ac:dyDescent="0.25">
      <c r="B111" s="9" t="s">
        <v>17</v>
      </c>
      <c r="E111" s="8"/>
      <c r="I111" s="69"/>
    </row>
    <row r="112" spans="2:9" ht="13.5" thickBot="1" x14ac:dyDescent="0.25">
      <c r="B112" s="103" t="s">
        <v>83</v>
      </c>
      <c r="C112" s="104"/>
      <c r="D112" s="104"/>
      <c r="E112" s="105"/>
      <c r="I112" s="69"/>
    </row>
    <row r="113" spans="2:9" ht="13.5" thickBot="1" x14ac:dyDescent="0.25">
      <c r="B113" s="103" t="s">
        <v>203</v>
      </c>
      <c r="C113" s="105"/>
      <c r="D113" s="82" t="s">
        <v>11</v>
      </c>
      <c r="E113" s="82" t="s">
        <v>85</v>
      </c>
      <c r="I113" s="69"/>
    </row>
    <row r="114" spans="2:9" x14ac:dyDescent="0.2">
      <c r="B114" s="106" t="s">
        <v>204</v>
      </c>
      <c r="C114" s="106"/>
      <c r="D114" s="83">
        <v>2</v>
      </c>
      <c r="E114" s="86" t="s">
        <v>211</v>
      </c>
      <c r="I114" s="69"/>
    </row>
    <row r="115" spans="2:9" x14ac:dyDescent="0.2">
      <c r="B115" s="107" t="s">
        <v>205</v>
      </c>
      <c r="C115" s="107"/>
      <c r="D115" s="84">
        <v>2</v>
      </c>
      <c r="E115" s="85" t="s">
        <v>213</v>
      </c>
      <c r="I115" s="69"/>
    </row>
    <row r="116" spans="2:9" x14ac:dyDescent="0.2">
      <c r="B116" s="107" t="s">
        <v>206</v>
      </c>
      <c r="C116" s="107"/>
      <c r="D116" s="84">
        <v>2</v>
      </c>
      <c r="E116" s="85" t="s">
        <v>214</v>
      </c>
      <c r="I116" s="69"/>
    </row>
    <row r="117" spans="2:9" x14ac:dyDescent="0.2">
      <c r="B117" s="107" t="s">
        <v>208</v>
      </c>
      <c r="C117" s="107"/>
      <c r="D117" s="84">
        <v>2</v>
      </c>
      <c r="E117" s="85" t="s">
        <v>212</v>
      </c>
      <c r="I117" s="69"/>
    </row>
    <row r="118" spans="2:9" x14ac:dyDescent="0.2">
      <c r="B118" s="107" t="s">
        <v>209</v>
      </c>
      <c r="C118" s="107"/>
      <c r="D118" s="84">
        <v>0</v>
      </c>
      <c r="E118" s="85" t="s">
        <v>242</v>
      </c>
      <c r="I118" s="69"/>
    </row>
    <row r="119" spans="2:9" x14ac:dyDescent="0.2">
      <c r="B119" s="96" t="s">
        <v>207</v>
      </c>
      <c r="C119" s="97"/>
      <c r="D119" s="84">
        <v>0</v>
      </c>
      <c r="E119" s="85" t="s">
        <v>215</v>
      </c>
      <c r="I119" s="69"/>
    </row>
    <row r="120" spans="2:9" x14ac:dyDescent="0.2">
      <c r="B120" s="111" t="s">
        <v>245</v>
      </c>
      <c r="C120" s="112"/>
      <c r="D120" s="84">
        <v>1</v>
      </c>
      <c r="E120" s="85" t="s">
        <v>268</v>
      </c>
      <c r="I120" s="69"/>
    </row>
    <row r="121" spans="2:9" ht="13.5" thickBot="1" x14ac:dyDescent="0.25">
      <c r="B121" s="96" t="s">
        <v>246</v>
      </c>
      <c r="C121" s="97"/>
      <c r="D121" s="84">
        <v>1</v>
      </c>
      <c r="E121" s="85" t="s">
        <v>269</v>
      </c>
      <c r="I121" s="69"/>
    </row>
    <row r="122" spans="2:9" ht="26.25" customHeight="1" thickBot="1" x14ac:dyDescent="0.25">
      <c r="B122" s="100" t="s">
        <v>256</v>
      </c>
      <c r="C122" s="101"/>
      <c r="D122" s="101"/>
      <c r="E122" s="102"/>
      <c r="I122" s="69"/>
    </row>
    <row r="123" spans="2:9" x14ac:dyDescent="0.2">
      <c r="B123" s="9" t="s">
        <v>18</v>
      </c>
      <c r="E123" s="8"/>
      <c r="I123" s="69"/>
    </row>
    <row r="124" spans="2:9" x14ac:dyDescent="0.2">
      <c r="B124" s="10"/>
      <c r="C124" s="98" t="s">
        <v>24</v>
      </c>
      <c r="D124" s="98"/>
      <c r="E124" s="98"/>
      <c r="I124" s="69"/>
    </row>
    <row r="125" spans="2:9" x14ac:dyDescent="0.2">
      <c r="B125" s="9" t="s">
        <v>19</v>
      </c>
      <c r="C125" s="11"/>
      <c r="D125" s="11"/>
      <c r="E125" s="12"/>
      <c r="I125" s="69"/>
    </row>
    <row r="126" spans="2:9" x14ac:dyDescent="0.2">
      <c r="B126" s="10"/>
      <c r="C126" s="98" t="s">
        <v>86</v>
      </c>
      <c r="D126" s="98"/>
      <c r="E126" s="98"/>
      <c r="I126" s="69"/>
    </row>
    <row r="127" spans="2:9" x14ac:dyDescent="0.2">
      <c r="B127" s="9" t="s">
        <v>20</v>
      </c>
      <c r="E127" s="8"/>
      <c r="I127" s="69"/>
    </row>
    <row r="128" spans="2:9" x14ac:dyDescent="0.2">
      <c r="B128" s="9"/>
      <c r="C128" s="99" t="s">
        <v>25</v>
      </c>
      <c r="D128" s="99"/>
      <c r="E128" s="99"/>
      <c r="I128" s="69"/>
    </row>
    <row r="129" spans="2:9" ht="13.5" thickBot="1" x14ac:dyDescent="0.25">
      <c r="B129" s="13"/>
      <c r="C129" s="14"/>
      <c r="D129" s="29"/>
      <c r="E129" s="15"/>
      <c r="I129" s="69"/>
    </row>
    <row r="130" spans="2:9" x14ac:dyDescent="0.2">
      <c r="I130" s="69"/>
    </row>
    <row r="131" spans="2:9" ht="13.5" thickBot="1" x14ac:dyDescent="0.25">
      <c r="I131" s="69"/>
    </row>
    <row r="132" spans="2:9" x14ac:dyDescent="0.2">
      <c r="B132" s="4" t="s">
        <v>88</v>
      </c>
      <c r="C132" s="5"/>
      <c r="D132" s="27"/>
      <c r="E132" s="6"/>
      <c r="I132" s="69"/>
    </row>
    <row r="133" spans="2:9" x14ac:dyDescent="0.2">
      <c r="B133" s="7"/>
      <c r="E133" s="8"/>
      <c r="I133" s="69"/>
    </row>
    <row r="134" spans="2:9" x14ac:dyDescent="0.2">
      <c r="B134" s="9" t="s">
        <v>16</v>
      </c>
      <c r="E134" s="8"/>
      <c r="I134" s="69"/>
    </row>
    <row r="135" spans="2:9" x14ac:dyDescent="0.2">
      <c r="B135" s="9"/>
      <c r="C135" s="110" t="s">
        <v>275</v>
      </c>
      <c r="D135" s="110"/>
      <c r="E135" s="110"/>
    </row>
    <row r="136" spans="2:9" ht="13.5" thickBot="1" x14ac:dyDescent="0.25">
      <c r="B136" s="9" t="s">
        <v>17</v>
      </c>
      <c r="E136" s="8"/>
      <c r="I136" s="69"/>
    </row>
    <row r="137" spans="2:9" ht="13.5" thickBot="1" x14ac:dyDescent="0.25">
      <c r="B137" s="103" t="s">
        <v>83</v>
      </c>
      <c r="C137" s="104"/>
      <c r="D137" s="104"/>
      <c r="E137" s="105"/>
      <c r="I137" s="69"/>
    </row>
    <row r="138" spans="2:9" ht="13.5" thickBot="1" x14ac:dyDescent="0.25">
      <c r="B138" s="103" t="s">
        <v>203</v>
      </c>
      <c r="C138" s="105"/>
      <c r="D138" s="82" t="s">
        <v>11</v>
      </c>
      <c r="E138" s="82" t="s">
        <v>85</v>
      </c>
      <c r="I138" s="69"/>
    </row>
    <row r="139" spans="2:9" x14ac:dyDescent="0.2">
      <c r="B139" s="106" t="s">
        <v>204</v>
      </c>
      <c r="C139" s="106"/>
      <c r="D139" s="83">
        <v>4</v>
      </c>
      <c r="E139" s="86" t="s">
        <v>211</v>
      </c>
      <c r="I139" s="69"/>
    </row>
    <row r="140" spans="2:9" x14ac:dyDescent="0.2">
      <c r="B140" s="107" t="s">
        <v>205</v>
      </c>
      <c r="C140" s="107"/>
      <c r="D140" s="84">
        <v>7</v>
      </c>
      <c r="E140" s="85" t="s">
        <v>213</v>
      </c>
      <c r="I140" s="69"/>
    </row>
    <row r="141" spans="2:9" x14ac:dyDescent="0.2">
      <c r="B141" s="107" t="s">
        <v>206</v>
      </c>
      <c r="C141" s="107"/>
      <c r="D141" s="84">
        <v>7</v>
      </c>
      <c r="E141" s="85" t="s">
        <v>214</v>
      </c>
      <c r="I141" s="69"/>
    </row>
    <row r="142" spans="2:9" x14ac:dyDescent="0.2">
      <c r="B142" s="107" t="s">
        <v>208</v>
      </c>
      <c r="C142" s="107"/>
      <c r="D142" s="84">
        <v>16</v>
      </c>
      <c r="E142" s="85" t="s">
        <v>212</v>
      </c>
      <c r="I142" s="69"/>
    </row>
    <row r="143" spans="2:9" x14ac:dyDescent="0.2">
      <c r="B143" s="107" t="s">
        <v>209</v>
      </c>
      <c r="C143" s="107"/>
      <c r="D143" s="84">
        <v>0</v>
      </c>
      <c r="E143" s="85" t="s">
        <v>242</v>
      </c>
      <c r="I143" s="69"/>
    </row>
    <row r="144" spans="2:9" x14ac:dyDescent="0.2">
      <c r="B144" s="96" t="s">
        <v>207</v>
      </c>
      <c r="C144" s="97"/>
      <c r="D144" s="84">
        <v>2</v>
      </c>
      <c r="E144" s="85" t="s">
        <v>215</v>
      </c>
      <c r="I144" s="69"/>
    </row>
    <row r="145" spans="2:9" x14ac:dyDescent="0.2">
      <c r="B145" s="111" t="s">
        <v>245</v>
      </c>
      <c r="C145" s="112"/>
      <c r="D145" s="84">
        <v>5</v>
      </c>
      <c r="E145" s="85" t="s">
        <v>268</v>
      </c>
      <c r="I145" s="69"/>
    </row>
    <row r="146" spans="2:9" ht="13.5" thickBot="1" x14ac:dyDescent="0.25">
      <c r="B146" s="96" t="s">
        <v>246</v>
      </c>
      <c r="C146" s="97"/>
      <c r="D146" s="84">
        <v>5</v>
      </c>
      <c r="E146" s="85" t="s">
        <v>269</v>
      </c>
      <c r="I146" s="69"/>
    </row>
    <row r="147" spans="2:9" ht="26.25" customHeight="1" thickBot="1" x14ac:dyDescent="0.25">
      <c r="B147" s="100" t="s">
        <v>248</v>
      </c>
      <c r="C147" s="101"/>
      <c r="D147" s="101"/>
      <c r="E147" s="102"/>
      <c r="I147" s="69"/>
    </row>
    <row r="148" spans="2:9" x14ac:dyDescent="0.2">
      <c r="B148" s="9" t="s">
        <v>18</v>
      </c>
      <c r="E148" s="8"/>
      <c r="I148" s="69"/>
    </row>
    <row r="149" spans="2:9" x14ac:dyDescent="0.2">
      <c r="B149" s="10"/>
      <c r="C149" s="98" t="s">
        <v>24</v>
      </c>
      <c r="D149" s="98"/>
      <c r="E149" s="98"/>
      <c r="I149" s="69"/>
    </row>
    <row r="150" spans="2:9" x14ac:dyDescent="0.2">
      <c r="B150" s="9" t="s">
        <v>19</v>
      </c>
      <c r="C150" s="11"/>
      <c r="D150" s="11"/>
      <c r="E150" s="12"/>
      <c r="I150" s="69"/>
    </row>
    <row r="151" spans="2:9" x14ac:dyDescent="0.2">
      <c r="B151" s="10"/>
      <c r="C151" s="98" t="s">
        <v>86</v>
      </c>
      <c r="D151" s="98"/>
      <c r="E151" s="98"/>
      <c r="I151" s="69"/>
    </row>
    <row r="152" spans="2:9" x14ac:dyDescent="0.2">
      <c r="B152" s="9" t="s">
        <v>20</v>
      </c>
      <c r="E152" s="8"/>
      <c r="I152" s="69"/>
    </row>
    <row r="153" spans="2:9" x14ac:dyDescent="0.2">
      <c r="B153" s="9"/>
      <c r="C153" s="99" t="s">
        <v>25</v>
      </c>
      <c r="D153" s="99"/>
      <c r="E153" s="99"/>
      <c r="I153" s="69"/>
    </row>
    <row r="154" spans="2:9" ht="13.5" thickBot="1" x14ac:dyDescent="0.25">
      <c r="B154" s="13"/>
      <c r="C154" s="14"/>
      <c r="D154" s="29"/>
      <c r="E154" s="15"/>
      <c r="I154" s="69"/>
    </row>
    <row r="155" spans="2:9" ht="13.5" thickBot="1" x14ac:dyDescent="0.25">
      <c r="I155" s="69"/>
    </row>
    <row r="156" spans="2:9" x14ac:dyDescent="0.2">
      <c r="B156" s="4" t="s">
        <v>89</v>
      </c>
      <c r="C156" s="5"/>
      <c r="D156" s="27"/>
      <c r="E156" s="6"/>
      <c r="I156" s="69"/>
    </row>
    <row r="157" spans="2:9" x14ac:dyDescent="0.2">
      <c r="B157" s="7"/>
      <c r="E157" s="8"/>
      <c r="I157" s="69"/>
    </row>
    <row r="158" spans="2:9" x14ac:dyDescent="0.2">
      <c r="B158" s="9" t="s">
        <v>16</v>
      </c>
      <c r="C158" s="108"/>
      <c r="D158" s="108"/>
      <c r="E158" s="109"/>
    </row>
    <row r="159" spans="2:9" x14ac:dyDescent="0.2">
      <c r="B159" s="9"/>
      <c r="C159" s="98"/>
      <c r="D159" s="98"/>
      <c r="E159" s="98"/>
      <c r="I159" s="69"/>
    </row>
    <row r="160" spans="2:9" ht="13.5" thickBot="1" x14ac:dyDescent="0.25">
      <c r="B160" s="9" t="s">
        <v>17</v>
      </c>
      <c r="E160" s="8"/>
      <c r="I160" s="69"/>
    </row>
    <row r="161" spans="2:9" ht="13.5" thickBot="1" x14ac:dyDescent="0.25">
      <c r="B161" s="103" t="s">
        <v>83</v>
      </c>
      <c r="C161" s="104"/>
      <c r="D161" s="104"/>
      <c r="E161" s="105"/>
      <c r="I161" s="69"/>
    </row>
    <row r="162" spans="2:9" ht="13.5" thickBot="1" x14ac:dyDescent="0.25">
      <c r="B162" s="103" t="s">
        <v>203</v>
      </c>
      <c r="C162" s="105"/>
      <c r="D162" s="82" t="s">
        <v>11</v>
      </c>
      <c r="E162" s="82" t="s">
        <v>85</v>
      </c>
      <c r="I162" s="69"/>
    </row>
    <row r="163" spans="2:9" x14ac:dyDescent="0.2">
      <c r="B163" s="106" t="s">
        <v>204</v>
      </c>
      <c r="C163" s="106"/>
      <c r="D163" s="83">
        <v>0</v>
      </c>
      <c r="E163" s="86" t="s">
        <v>211</v>
      </c>
      <c r="I163" s="69"/>
    </row>
    <row r="164" spans="2:9" x14ac:dyDescent="0.2">
      <c r="B164" s="107" t="s">
        <v>205</v>
      </c>
      <c r="C164" s="107"/>
      <c r="D164" s="84">
        <v>6</v>
      </c>
      <c r="E164" s="85" t="s">
        <v>213</v>
      </c>
      <c r="I164" s="69"/>
    </row>
    <row r="165" spans="2:9" x14ac:dyDescent="0.2">
      <c r="B165" s="107" t="s">
        <v>206</v>
      </c>
      <c r="C165" s="107"/>
      <c r="D165" s="84">
        <v>3</v>
      </c>
      <c r="E165" s="85" t="s">
        <v>214</v>
      </c>
      <c r="I165" s="69"/>
    </row>
    <row r="166" spans="2:9" x14ac:dyDescent="0.2">
      <c r="B166" s="107" t="s">
        <v>208</v>
      </c>
      <c r="C166" s="107"/>
      <c r="D166" s="84">
        <v>3</v>
      </c>
      <c r="E166" s="85" t="s">
        <v>212</v>
      </c>
      <c r="I166" s="69"/>
    </row>
    <row r="167" spans="2:9" x14ac:dyDescent="0.2">
      <c r="B167" s="107" t="s">
        <v>209</v>
      </c>
      <c r="C167" s="107"/>
      <c r="D167" s="84">
        <v>0</v>
      </c>
      <c r="E167" s="85" t="s">
        <v>242</v>
      </c>
      <c r="I167" s="69"/>
    </row>
    <row r="168" spans="2:9" x14ac:dyDescent="0.2">
      <c r="B168" s="96" t="s">
        <v>207</v>
      </c>
      <c r="C168" s="97"/>
      <c r="D168" s="84">
        <v>1</v>
      </c>
      <c r="E168" s="85" t="s">
        <v>215</v>
      </c>
      <c r="I168" s="69"/>
    </row>
    <row r="169" spans="2:9" x14ac:dyDescent="0.2">
      <c r="B169" s="111" t="s">
        <v>245</v>
      </c>
      <c r="C169" s="112"/>
      <c r="D169" s="84">
        <v>0</v>
      </c>
      <c r="E169" s="85" t="s">
        <v>268</v>
      </c>
      <c r="I169" s="69"/>
    </row>
    <row r="170" spans="2:9" ht="13.5" thickBot="1" x14ac:dyDescent="0.25">
      <c r="B170" s="96" t="s">
        <v>246</v>
      </c>
      <c r="C170" s="97"/>
      <c r="D170" s="84">
        <v>0</v>
      </c>
      <c r="E170" s="85" t="s">
        <v>269</v>
      </c>
      <c r="I170" s="69"/>
    </row>
    <row r="171" spans="2:9" ht="26.25" customHeight="1" thickBot="1" x14ac:dyDescent="0.25">
      <c r="B171" s="100" t="s">
        <v>243</v>
      </c>
      <c r="C171" s="101"/>
      <c r="D171" s="101"/>
      <c r="E171" s="102"/>
      <c r="I171" s="69"/>
    </row>
    <row r="172" spans="2:9" x14ac:dyDescent="0.2">
      <c r="B172" s="9" t="s">
        <v>18</v>
      </c>
      <c r="E172" s="8"/>
      <c r="I172" s="69"/>
    </row>
    <row r="173" spans="2:9" x14ac:dyDescent="0.2">
      <c r="B173" s="10"/>
      <c r="C173" s="98" t="s">
        <v>24</v>
      </c>
      <c r="D173" s="98"/>
      <c r="E173" s="98"/>
      <c r="I173" s="69"/>
    </row>
    <row r="174" spans="2:9" x14ac:dyDescent="0.2">
      <c r="B174" s="9" t="s">
        <v>19</v>
      </c>
      <c r="C174" s="11"/>
      <c r="D174" s="11"/>
      <c r="E174" s="12"/>
      <c r="I174" s="69"/>
    </row>
    <row r="175" spans="2:9" x14ac:dyDescent="0.2">
      <c r="B175" s="10"/>
      <c r="C175" s="98" t="s">
        <v>86</v>
      </c>
      <c r="D175" s="98"/>
      <c r="E175" s="98"/>
      <c r="I175" s="69"/>
    </row>
    <row r="176" spans="2:9" x14ac:dyDescent="0.2">
      <c r="B176" s="9" t="s">
        <v>20</v>
      </c>
      <c r="E176" s="8"/>
      <c r="I176" s="69"/>
    </row>
    <row r="177" spans="2:9" x14ac:dyDescent="0.2">
      <c r="B177" s="9"/>
      <c r="C177" s="99" t="s">
        <v>25</v>
      </c>
      <c r="D177" s="99"/>
      <c r="E177" s="99"/>
      <c r="I177" s="69"/>
    </row>
    <row r="178" spans="2:9" ht="13.5" thickBot="1" x14ac:dyDescent="0.25">
      <c r="B178" s="13"/>
      <c r="C178" s="14"/>
      <c r="D178" s="29"/>
      <c r="E178" s="15"/>
      <c r="I178" s="69"/>
    </row>
    <row r="179" spans="2:9" ht="13.5" thickBot="1" x14ac:dyDescent="0.25">
      <c r="I179" s="69"/>
    </row>
    <row r="180" spans="2:9" x14ac:dyDescent="0.2">
      <c r="B180" s="4" t="s">
        <v>90</v>
      </c>
      <c r="C180" s="5"/>
      <c r="D180" s="27"/>
      <c r="E180" s="6"/>
      <c r="I180" s="69"/>
    </row>
    <row r="181" spans="2:9" x14ac:dyDescent="0.2">
      <c r="B181" s="7"/>
      <c r="E181" s="8"/>
      <c r="I181" s="69"/>
    </row>
    <row r="182" spans="2:9" x14ac:dyDescent="0.2">
      <c r="B182" s="9" t="s">
        <v>16</v>
      </c>
      <c r="E182" s="8"/>
      <c r="I182" s="69"/>
    </row>
    <row r="183" spans="2:9" x14ac:dyDescent="0.2">
      <c r="B183" s="9"/>
      <c r="C183" s="110" t="s">
        <v>282</v>
      </c>
      <c r="D183" s="110"/>
      <c r="E183" s="110"/>
    </row>
    <row r="184" spans="2:9" ht="13.5" thickBot="1" x14ac:dyDescent="0.25">
      <c r="B184" s="9" t="s">
        <v>17</v>
      </c>
      <c r="E184" s="8"/>
      <c r="I184" s="69"/>
    </row>
    <row r="185" spans="2:9" ht="13.5" thickBot="1" x14ac:dyDescent="0.25">
      <c r="B185" s="103" t="s">
        <v>83</v>
      </c>
      <c r="C185" s="104"/>
      <c r="D185" s="104"/>
      <c r="E185" s="105"/>
      <c r="I185" s="69"/>
    </row>
    <row r="186" spans="2:9" ht="13.5" thickBot="1" x14ac:dyDescent="0.25">
      <c r="B186" s="103" t="s">
        <v>203</v>
      </c>
      <c r="C186" s="105"/>
      <c r="D186" s="82" t="s">
        <v>11</v>
      </c>
      <c r="E186" s="82" t="s">
        <v>85</v>
      </c>
      <c r="I186" s="69"/>
    </row>
    <row r="187" spans="2:9" x14ac:dyDescent="0.2">
      <c r="B187" s="106" t="s">
        <v>204</v>
      </c>
      <c r="C187" s="106"/>
      <c r="D187" s="83">
        <v>4</v>
      </c>
      <c r="E187" s="86" t="s">
        <v>211</v>
      </c>
      <c r="I187" s="69"/>
    </row>
    <row r="188" spans="2:9" x14ac:dyDescent="0.2">
      <c r="B188" s="107" t="s">
        <v>205</v>
      </c>
      <c r="C188" s="107"/>
      <c r="D188" s="84">
        <v>6</v>
      </c>
      <c r="E188" s="85" t="s">
        <v>213</v>
      </c>
      <c r="I188" s="69"/>
    </row>
    <row r="189" spans="2:9" x14ac:dyDescent="0.2">
      <c r="B189" s="107" t="s">
        <v>206</v>
      </c>
      <c r="C189" s="107"/>
      <c r="D189" s="84">
        <v>7</v>
      </c>
      <c r="E189" s="85" t="s">
        <v>214</v>
      </c>
      <c r="I189" s="69"/>
    </row>
    <row r="190" spans="2:9" x14ac:dyDescent="0.2">
      <c r="B190" s="107" t="s">
        <v>208</v>
      </c>
      <c r="C190" s="107"/>
      <c r="D190" s="84">
        <v>16</v>
      </c>
      <c r="E190" s="85" t="s">
        <v>212</v>
      </c>
      <c r="I190" s="69"/>
    </row>
    <row r="191" spans="2:9" x14ac:dyDescent="0.2">
      <c r="B191" s="107" t="s">
        <v>209</v>
      </c>
      <c r="C191" s="107"/>
      <c r="D191" s="84">
        <v>0</v>
      </c>
      <c r="E191" s="85" t="s">
        <v>242</v>
      </c>
      <c r="I191" s="69"/>
    </row>
    <row r="192" spans="2:9" x14ac:dyDescent="0.2">
      <c r="B192" s="96" t="s">
        <v>207</v>
      </c>
      <c r="C192" s="97"/>
      <c r="D192" s="84">
        <v>0</v>
      </c>
      <c r="E192" s="85" t="s">
        <v>215</v>
      </c>
      <c r="I192" s="69"/>
    </row>
    <row r="193" spans="2:9" x14ac:dyDescent="0.2">
      <c r="B193" s="111" t="s">
        <v>245</v>
      </c>
      <c r="C193" s="112"/>
      <c r="D193" s="84">
        <v>4</v>
      </c>
      <c r="E193" s="85" t="s">
        <v>268</v>
      </c>
      <c r="I193" s="69"/>
    </row>
    <row r="194" spans="2:9" ht="13.5" thickBot="1" x14ac:dyDescent="0.25">
      <c r="B194" s="96" t="s">
        <v>246</v>
      </c>
      <c r="C194" s="97"/>
      <c r="D194" s="84">
        <v>0</v>
      </c>
      <c r="E194" s="85" t="s">
        <v>269</v>
      </c>
      <c r="I194" s="69"/>
    </row>
    <row r="195" spans="2:9" ht="25.5" customHeight="1" thickBot="1" x14ac:dyDescent="0.25">
      <c r="B195" s="100" t="s">
        <v>263</v>
      </c>
      <c r="C195" s="101"/>
      <c r="D195" s="101"/>
      <c r="E195" s="102"/>
      <c r="I195" s="69"/>
    </row>
    <row r="196" spans="2:9" x14ac:dyDescent="0.2">
      <c r="B196" s="9" t="s">
        <v>18</v>
      </c>
      <c r="E196" s="8"/>
      <c r="I196" s="69"/>
    </row>
    <row r="197" spans="2:9" x14ac:dyDescent="0.2">
      <c r="B197" s="10"/>
      <c r="C197" s="98" t="s">
        <v>24</v>
      </c>
      <c r="D197" s="98"/>
      <c r="E197" s="98"/>
      <c r="I197" s="69"/>
    </row>
    <row r="198" spans="2:9" x14ac:dyDescent="0.2">
      <c r="B198" s="9" t="s">
        <v>19</v>
      </c>
      <c r="C198" s="11"/>
      <c r="D198" s="11"/>
      <c r="E198" s="12"/>
      <c r="I198" s="69"/>
    </row>
    <row r="199" spans="2:9" x14ac:dyDescent="0.2">
      <c r="B199" s="10"/>
      <c r="C199" s="98" t="s">
        <v>86</v>
      </c>
      <c r="D199" s="98"/>
      <c r="E199" s="98"/>
      <c r="I199" s="69"/>
    </row>
    <row r="200" spans="2:9" x14ac:dyDescent="0.2">
      <c r="B200" s="9" t="s">
        <v>20</v>
      </c>
      <c r="E200" s="8"/>
      <c r="I200" s="69"/>
    </row>
    <row r="201" spans="2:9" x14ac:dyDescent="0.2">
      <c r="B201" s="9"/>
      <c r="C201" s="99" t="s">
        <v>25</v>
      </c>
      <c r="D201" s="99"/>
      <c r="E201" s="99"/>
      <c r="I201" s="69"/>
    </row>
    <row r="202" spans="2:9" ht="13.5" thickBot="1" x14ac:dyDescent="0.25">
      <c r="B202" s="13"/>
      <c r="C202" s="14"/>
      <c r="D202" s="29"/>
      <c r="E202" s="15"/>
      <c r="I202" s="69"/>
    </row>
    <row r="203" spans="2:9" x14ac:dyDescent="0.2">
      <c r="I203" s="69"/>
    </row>
    <row r="204" spans="2:9" ht="13.5" thickBot="1" x14ac:dyDescent="0.25">
      <c r="I204" s="69"/>
    </row>
    <row r="205" spans="2:9" x14ac:dyDescent="0.2">
      <c r="B205" s="4" t="s">
        <v>91</v>
      </c>
      <c r="C205" s="5"/>
      <c r="D205" s="27"/>
      <c r="E205" s="6"/>
      <c r="I205" s="69"/>
    </row>
    <row r="206" spans="2:9" x14ac:dyDescent="0.2">
      <c r="B206" s="7"/>
      <c r="E206" s="8"/>
      <c r="I206" s="69"/>
    </row>
    <row r="207" spans="2:9" x14ac:dyDescent="0.2">
      <c r="B207" s="9" t="s">
        <v>16</v>
      </c>
      <c r="E207" s="8"/>
      <c r="I207" s="69"/>
    </row>
    <row r="208" spans="2:9" x14ac:dyDescent="0.2">
      <c r="B208" s="9"/>
      <c r="C208" s="110" t="s">
        <v>278</v>
      </c>
      <c r="D208" s="110"/>
      <c r="E208" s="110"/>
    </row>
    <row r="209" spans="2:9" ht="13.5" thickBot="1" x14ac:dyDescent="0.25">
      <c r="B209" s="9" t="s">
        <v>17</v>
      </c>
      <c r="E209" s="8"/>
      <c r="I209" s="69"/>
    </row>
    <row r="210" spans="2:9" ht="13.5" thickBot="1" x14ac:dyDescent="0.25">
      <c r="B210" s="103" t="s">
        <v>83</v>
      </c>
      <c r="C210" s="104"/>
      <c r="D210" s="104"/>
      <c r="E210" s="105"/>
      <c r="I210" s="69"/>
    </row>
    <row r="211" spans="2:9" ht="13.5" thickBot="1" x14ac:dyDescent="0.25">
      <c r="B211" s="103" t="s">
        <v>203</v>
      </c>
      <c r="C211" s="105"/>
      <c r="D211" s="82" t="s">
        <v>11</v>
      </c>
      <c r="E211" s="82" t="s">
        <v>85</v>
      </c>
      <c r="I211" s="69"/>
    </row>
    <row r="212" spans="2:9" x14ac:dyDescent="0.2">
      <c r="B212" s="106" t="s">
        <v>204</v>
      </c>
      <c r="C212" s="106"/>
      <c r="D212" s="83">
        <v>4</v>
      </c>
      <c r="E212" s="86" t="s">
        <v>211</v>
      </c>
      <c r="I212" s="69"/>
    </row>
    <row r="213" spans="2:9" x14ac:dyDescent="0.2">
      <c r="B213" s="107" t="s">
        <v>205</v>
      </c>
      <c r="C213" s="107"/>
      <c r="D213" s="84">
        <v>6</v>
      </c>
      <c r="E213" s="85" t="s">
        <v>213</v>
      </c>
      <c r="I213" s="69"/>
    </row>
    <row r="214" spans="2:9" x14ac:dyDescent="0.2">
      <c r="B214" s="107" t="s">
        <v>206</v>
      </c>
      <c r="C214" s="107"/>
      <c r="D214" s="84">
        <v>8</v>
      </c>
      <c r="E214" s="85" t="s">
        <v>214</v>
      </c>
      <c r="I214" s="69"/>
    </row>
    <row r="215" spans="2:9" x14ac:dyDescent="0.2">
      <c r="B215" s="107" t="s">
        <v>208</v>
      </c>
      <c r="C215" s="107"/>
      <c r="D215" s="84">
        <v>0</v>
      </c>
      <c r="E215" s="85" t="s">
        <v>212</v>
      </c>
      <c r="I215" s="69"/>
    </row>
    <row r="216" spans="2:9" x14ac:dyDescent="0.2">
      <c r="B216" s="107" t="s">
        <v>209</v>
      </c>
      <c r="C216" s="107"/>
      <c r="D216" s="84">
        <v>0</v>
      </c>
      <c r="E216" s="85" t="s">
        <v>242</v>
      </c>
      <c r="I216" s="69"/>
    </row>
    <row r="217" spans="2:9" x14ac:dyDescent="0.2">
      <c r="B217" s="96" t="s">
        <v>207</v>
      </c>
      <c r="C217" s="97"/>
      <c r="D217" s="84">
        <v>2</v>
      </c>
      <c r="E217" s="85" t="s">
        <v>215</v>
      </c>
      <c r="I217" s="69"/>
    </row>
    <row r="218" spans="2:9" x14ac:dyDescent="0.2">
      <c r="B218" s="111" t="s">
        <v>245</v>
      </c>
      <c r="C218" s="112"/>
      <c r="D218" s="84">
        <v>2</v>
      </c>
      <c r="E218" s="85" t="s">
        <v>268</v>
      </c>
      <c r="I218" s="69"/>
    </row>
    <row r="219" spans="2:9" ht="13.5" thickBot="1" x14ac:dyDescent="0.25">
      <c r="B219" s="96" t="s">
        <v>246</v>
      </c>
      <c r="C219" s="97"/>
      <c r="D219" s="84">
        <v>3</v>
      </c>
      <c r="E219" s="85" t="s">
        <v>269</v>
      </c>
      <c r="I219" s="69"/>
    </row>
    <row r="220" spans="2:9" ht="24.75" customHeight="1" thickBot="1" x14ac:dyDescent="0.25">
      <c r="B220" s="100" t="s">
        <v>250</v>
      </c>
      <c r="C220" s="101"/>
      <c r="D220" s="101"/>
      <c r="E220" s="102"/>
      <c r="I220" s="69"/>
    </row>
    <row r="221" spans="2:9" x14ac:dyDescent="0.2">
      <c r="B221" s="9" t="s">
        <v>18</v>
      </c>
      <c r="E221" s="8"/>
      <c r="I221" s="69"/>
    </row>
    <row r="222" spans="2:9" x14ac:dyDescent="0.2">
      <c r="B222" s="10"/>
      <c r="C222" s="98" t="s">
        <v>24</v>
      </c>
      <c r="D222" s="98"/>
      <c r="E222" s="98"/>
      <c r="I222" s="69"/>
    </row>
    <row r="223" spans="2:9" x14ac:dyDescent="0.2">
      <c r="B223" s="9" t="s">
        <v>19</v>
      </c>
      <c r="C223" s="11"/>
      <c r="D223" s="11"/>
      <c r="E223" s="12"/>
      <c r="I223" s="69"/>
    </row>
    <row r="224" spans="2:9" x14ac:dyDescent="0.2">
      <c r="B224" s="10"/>
      <c r="C224" s="98" t="s">
        <v>86</v>
      </c>
      <c r="D224" s="98"/>
      <c r="E224" s="98"/>
      <c r="I224" s="69"/>
    </row>
    <row r="225" spans="2:9" x14ac:dyDescent="0.2">
      <c r="B225" s="9" t="s">
        <v>20</v>
      </c>
      <c r="E225" s="8"/>
      <c r="I225" s="69"/>
    </row>
    <row r="226" spans="2:9" x14ac:dyDescent="0.2">
      <c r="B226" s="9"/>
      <c r="C226" s="99" t="s">
        <v>25</v>
      </c>
      <c r="D226" s="99"/>
      <c r="E226" s="99"/>
      <c r="I226" s="69"/>
    </row>
    <row r="227" spans="2:9" ht="13.5" thickBot="1" x14ac:dyDescent="0.25">
      <c r="B227" s="13"/>
      <c r="C227" s="14"/>
      <c r="D227" s="29"/>
      <c r="E227" s="15"/>
      <c r="I227" s="69"/>
    </row>
    <row r="228" spans="2:9" x14ac:dyDescent="0.2">
      <c r="I228" s="69"/>
    </row>
    <row r="229" spans="2:9" ht="13.5" thickBot="1" x14ac:dyDescent="0.25">
      <c r="I229" s="69"/>
    </row>
    <row r="230" spans="2:9" x14ac:dyDescent="0.2">
      <c r="B230" s="4" t="s">
        <v>92</v>
      </c>
      <c r="C230" s="5"/>
      <c r="D230" s="27"/>
      <c r="E230" s="6"/>
      <c r="I230" s="69"/>
    </row>
    <row r="231" spans="2:9" x14ac:dyDescent="0.2">
      <c r="B231" s="7"/>
      <c r="E231" s="8"/>
      <c r="I231" s="69"/>
    </row>
    <row r="232" spans="2:9" x14ac:dyDescent="0.2">
      <c r="B232" s="9" t="s">
        <v>16</v>
      </c>
      <c r="E232" s="8"/>
      <c r="I232" s="69"/>
    </row>
    <row r="233" spans="2:9" x14ac:dyDescent="0.2">
      <c r="B233" s="9"/>
      <c r="C233" s="110" t="s">
        <v>276</v>
      </c>
      <c r="D233" s="110"/>
      <c r="E233" s="110"/>
    </row>
    <row r="234" spans="2:9" ht="13.5" thickBot="1" x14ac:dyDescent="0.25">
      <c r="B234" s="9" t="s">
        <v>17</v>
      </c>
      <c r="E234" s="8"/>
      <c r="I234" s="69"/>
    </row>
    <row r="235" spans="2:9" ht="13.5" thickBot="1" x14ac:dyDescent="0.25">
      <c r="B235" s="103" t="s">
        <v>83</v>
      </c>
      <c r="C235" s="104"/>
      <c r="D235" s="104"/>
      <c r="E235" s="105"/>
      <c r="I235" s="69"/>
    </row>
    <row r="236" spans="2:9" ht="13.5" thickBot="1" x14ac:dyDescent="0.25">
      <c r="B236" s="103" t="s">
        <v>203</v>
      </c>
      <c r="C236" s="105"/>
      <c r="D236" s="82" t="s">
        <v>11</v>
      </c>
      <c r="E236" s="82" t="s">
        <v>85</v>
      </c>
      <c r="I236" s="69"/>
    </row>
    <row r="237" spans="2:9" x14ac:dyDescent="0.2">
      <c r="B237" s="106" t="s">
        <v>204</v>
      </c>
      <c r="C237" s="106"/>
      <c r="D237" s="83">
        <v>3</v>
      </c>
      <c r="E237" s="86" t="s">
        <v>211</v>
      </c>
      <c r="I237" s="69"/>
    </row>
    <row r="238" spans="2:9" x14ac:dyDescent="0.2">
      <c r="B238" s="107" t="s">
        <v>205</v>
      </c>
      <c r="C238" s="107"/>
      <c r="D238" s="84">
        <v>6</v>
      </c>
      <c r="E238" s="85" t="s">
        <v>213</v>
      </c>
      <c r="I238" s="69"/>
    </row>
    <row r="239" spans="2:9" x14ac:dyDescent="0.2">
      <c r="B239" s="107" t="s">
        <v>206</v>
      </c>
      <c r="C239" s="107"/>
      <c r="D239" s="84">
        <v>6</v>
      </c>
      <c r="E239" s="85" t="s">
        <v>214</v>
      </c>
      <c r="I239" s="69"/>
    </row>
    <row r="240" spans="2:9" x14ac:dyDescent="0.2">
      <c r="B240" s="107" t="s">
        <v>208</v>
      </c>
      <c r="C240" s="107"/>
      <c r="D240" s="84">
        <v>15</v>
      </c>
      <c r="E240" s="85" t="s">
        <v>212</v>
      </c>
      <c r="I240" s="69"/>
    </row>
    <row r="241" spans="2:9" x14ac:dyDescent="0.2">
      <c r="B241" s="107" t="s">
        <v>209</v>
      </c>
      <c r="C241" s="107"/>
      <c r="D241" s="84">
        <v>0</v>
      </c>
      <c r="E241" s="85" t="s">
        <v>242</v>
      </c>
      <c r="I241" s="69"/>
    </row>
    <row r="242" spans="2:9" x14ac:dyDescent="0.2">
      <c r="B242" s="96" t="s">
        <v>207</v>
      </c>
      <c r="C242" s="97"/>
      <c r="D242" s="84">
        <v>1</v>
      </c>
      <c r="E242" s="85" t="s">
        <v>215</v>
      </c>
      <c r="I242" s="69"/>
    </row>
    <row r="243" spans="2:9" x14ac:dyDescent="0.2">
      <c r="B243" s="111" t="s">
        <v>245</v>
      </c>
      <c r="C243" s="112"/>
      <c r="D243" s="84">
        <v>5</v>
      </c>
      <c r="E243" s="85" t="s">
        <v>268</v>
      </c>
      <c r="I243" s="69"/>
    </row>
    <row r="244" spans="2:9" ht="13.5" thickBot="1" x14ac:dyDescent="0.25">
      <c r="B244" s="96" t="s">
        <v>246</v>
      </c>
      <c r="C244" s="97"/>
      <c r="D244" s="84">
        <v>2</v>
      </c>
      <c r="E244" s="85" t="s">
        <v>269</v>
      </c>
      <c r="I244" s="69"/>
    </row>
    <row r="245" spans="2:9" ht="25.5" customHeight="1" thickBot="1" x14ac:dyDescent="0.25">
      <c r="B245" s="100" t="s">
        <v>249</v>
      </c>
      <c r="C245" s="101"/>
      <c r="D245" s="101"/>
      <c r="E245" s="102"/>
      <c r="I245" s="69"/>
    </row>
    <row r="246" spans="2:9" x14ac:dyDescent="0.2">
      <c r="B246" s="9" t="s">
        <v>18</v>
      </c>
      <c r="E246" s="8"/>
      <c r="I246" s="69"/>
    </row>
    <row r="247" spans="2:9" x14ac:dyDescent="0.2">
      <c r="B247" s="10"/>
      <c r="C247" s="98" t="s">
        <v>24</v>
      </c>
      <c r="D247" s="98"/>
      <c r="E247" s="98"/>
      <c r="I247" s="69"/>
    </row>
    <row r="248" spans="2:9" x14ac:dyDescent="0.2">
      <c r="B248" s="9" t="s">
        <v>19</v>
      </c>
      <c r="C248" s="11"/>
      <c r="D248" s="11"/>
      <c r="E248" s="12"/>
      <c r="I248" s="69"/>
    </row>
    <row r="249" spans="2:9" x14ac:dyDescent="0.2">
      <c r="B249" s="10"/>
      <c r="C249" s="98" t="s">
        <v>86</v>
      </c>
      <c r="D249" s="98"/>
      <c r="E249" s="98"/>
      <c r="I249" s="69"/>
    </row>
    <row r="250" spans="2:9" x14ac:dyDescent="0.2">
      <c r="B250" s="9" t="s">
        <v>20</v>
      </c>
      <c r="E250" s="8"/>
      <c r="I250" s="69"/>
    </row>
    <row r="251" spans="2:9" x14ac:dyDescent="0.2">
      <c r="B251" s="9"/>
      <c r="C251" s="99" t="s">
        <v>25</v>
      </c>
      <c r="D251" s="99"/>
      <c r="E251" s="99"/>
      <c r="I251" s="69"/>
    </row>
    <row r="252" spans="2:9" ht="13.5" thickBot="1" x14ac:dyDescent="0.25">
      <c r="B252" s="13"/>
      <c r="C252" s="14"/>
      <c r="D252" s="29"/>
      <c r="E252" s="15"/>
      <c r="I252" s="69"/>
    </row>
    <row r="253" spans="2:9" x14ac:dyDescent="0.2">
      <c r="I253" s="69"/>
    </row>
    <row r="254" spans="2:9" x14ac:dyDescent="0.2">
      <c r="I254" s="69"/>
    </row>
    <row r="255" spans="2:9" ht="13.5" thickBot="1" x14ac:dyDescent="0.25">
      <c r="I255" s="69"/>
    </row>
    <row r="256" spans="2:9" x14ac:dyDescent="0.2">
      <c r="B256" s="4" t="s">
        <v>93</v>
      </c>
      <c r="C256" s="5"/>
      <c r="D256" s="27"/>
      <c r="E256" s="6"/>
      <c r="I256" s="69"/>
    </row>
    <row r="257" spans="2:9" x14ac:dyDescent="0.2">
      <c r="B257" s="7"/>
      <c r="C257" s="115"/>
      <c r="D257" s="115"/>
      <c r="E257" s="98"/>
      <c r="I257" s="69"/>
    </row>
    <row r="258" spans="2:9" x14ac:dyDescent="0.2">
      <c r="B258" s="9" t="s">
        <v>16</v>
      </c>
      <c r="E258" s="8"/>
      <c r="I258" s="69"/>
    </row>
    <row r="259" spans="2:9" x14ac:dyDescent="0.2">
      <c r="B259" s="9"/>
      <c r="C259" s="110" t="s">
        <v>283</v>
      </c>
      <c r="D259" s="110"/>
      <c r="E259" s="110"/>
    </row>
    <row r="260" spans="2:9" ht="13.5" thickBot="1" x14ac:dyDescent="0.25">
      <c r="B260" s="9" t="s">
        <v>17</v>
      </c>
      <c r="E260" s="8"/>
      <c r="I260" s="69"/>
    </row>
    <row r="261" spans="2:9" ht="13.5" thickBot="1" x14ac:dyDescent="0.25">
      <c r="B261" s="103" t="s">
        <v>83</v>
      </c>
      <c r="C261" s="104"/>
      <c r="D261" s="104"/>
      <c r="E261" s="105"/>
      <c r="I261" s="69"/>
    </row>
    <row r="262" spans="2:9" ht="13.5" thickBot="1" x14ac:dyDescent="0.25">
      <c r="B262" s="103" t="s">
        <v>203</v>
      </c>
      <c r="C262" s="105"/>
      <c r="D262" s="82" t="s">
        <v>11</v>
      </c>
      <c r="E262" s="82" t="s">
        <v>85</v>
      </c>
      <c r="I262" s="69"/>
    </row>
    <row r="263" spans="2:9" x14ac:dyDescent="0.2">
      <c r="B263" s="106" t="s">
        <v>204</v>
      </c>
      <c r="C263" s="106"/>
      <c r="D263" s="83">
        <v>2</v>
      </c>
      <c r="E263" s="86" t="s">
        <v>211</v>
      </c>
      <c r="I263" s="69"/>
    </row>
    <row r="264" spans="2:9" x14ac:dyDescent="0.2">
      <c r="B264" s="107" t="s">
        <v>205</v>
      </c>
      <c r="C264" s="107"/>
      <c r="D264" s="84">
        <v>2</v>
      </c>
      <c r="E264" s="85" t="s">
        <v>213</v>
      </c>
      <c r="I264" s="69"/>
    </row>
    <row r="265" spans="2:9" x14ac:dyDescent="0.2">
      <c r="B265" s="107" t="s">
        <v>206</v>
      </c>
      <c r="C265" s="107"/>
      <c r="D265" s="84">
        <v>2</v>
      </c>
      <c r="E265" s="85" t="s">
        <v>214</v>
      </c>
      <c r="I265" s="69"/>
    </row>
    <row r="266" spans="2:9" x14ac:dyDescent="0.2">
      <c r="B266" s="107" t="s">
        <v>208</v>
      </c>
      <c r="C266" s="107"/>
      <c r="D266" s="84">
        <v>2</v>
      </c>
      <c r="E266" s="85" t="s">
        <v>212</v>
      </c>
      <c r="I266" s="69"/>
    </row>
    <row r="267" spans="2:9" x14ac:dyDescent="0.2">
      <c r="B267" s="107" t="s">
        <v>209</v>
      </c>
      <c r="C267" s="107"/>
      <c r="D267" s="84">
        <v>0</v>
      </c>
      <c r="E267" s="85" t="s">
        <v>242</v>
      </c>
      <c r="I267" s="69"/>
    </row>
    <row r="268" spans="2:9" x14ac:dyDescent="0.2">
      <c r="B268" s="96" t="s">
        <v>207</v>
      </c>
      <c r="C268" s="97"/>
      <c r="D268" s="84">
        <v>1</v>
      </c>
      <c r="E268" s="85" t="s">
        <v>215</v>
      </c>
      <c r="I268" s="69"/>
    </row>
    <row r="269" spans="2:9" x14ac:dyDescent="0.2">
      <c r="B269" s="111" t="s">
        <v>245</v>
      </c>
      <c r="C269" s="112"/>
      <c r="D269" s="84">
        <v>1</v>
      </c>
      <c r="E269" s="85" t="s">
        <v>268</v>
      </c>
      <c r="I269" s="69"/>
    </row>
    <row r="270" spans="2:9" ht="13.5" thickBot="1" x14ac:dyDescent="0.25">
      <c r="B270" s="96" t="s">
        <v>246</v>
      </c>
      <c r="C270" s="97"/>
      <c r="D270" s="84">
        <v>1</v>
      </c>
      <c r="E270" s="85" t="s">
        <v>269</v>
      </c>
      <c r="I270" s="69"/>
    </row>
    <row r="271" spans="2:9" ht="38.25" customHeight="1" thickBot="1" x14ac:dyDescent="0.25">
      <c r="B271" s="100" t="s">
        <v>291</v>
      </c>
      <c r="C271" s="101"/>
      <c r="D271" s="101"/>
      <c r="E271" s="102"/>
      <c r="I271" s="69"/>
    </row>
    <row r="272" spans="2:9" x14ac:dyDescent="0.2">
      <c r="B272" s="9" t="s">
        <v>18</v>
      </c>
      <c r="E272" s="8"/>
      <c r="I272" s="69"/>
    </row>
    <row r="273" spans="2:9" x14ac:dyDescent="0.2">
      <c r="B273" s="10"/>
      <c r="C273" s="98" t="s">
        <v>24</v>
      </c>
      <c r="D273" s="98"/>
      <c r="E273" s="98"/>
      <c r="I273" s="69"/>
    </row>
    <row r="274" spans="2:9" x14ac:dyDescent="0.2">
      <c r="B274" s="9" t="s">
        <v>19</v>
      </c>
      <c r="C274" s="11"/>
      <c r="D274" s="11"/>
      <c r="E274" s="12"/>
      <c r="I274" s="69"/>
    </row>
    <row r="275" spans="2:9" x14ac:dyDescent="0.2">
      <c r="B275" s="10"/>
      <c r="C275" s="98" t="s">
        <v>86</v>
      </c>
      <c r="D275" s="98"/>
      <c r="E275" s="98"/>
      <c r="I275" s="69"/>
    </row>
    <row r="276" spans="2:9" x14ac:dyDescent="0.2">
      <c r="B276" s="9" t="s">
        <v>20</v>
      </c>
      <c r="E276" s="8"/>
      <c r="I276" s="69"/>
    </row>
    <row r="277" spans="2:9" x14ac:dyDescent="0.2">
      <c r="B277" s="9"/>
      <c r="C277" s="99" t="s">
        <v>25</v>
      </c>
      <c r="D277" s="99"/>
      <c r="E277" s="99"/>
      <c r="I277" s="69"/>
    </row>
    <row r="278" spans="2:9" ht="13.5" thickBot="1" x14ac:dyDescent="0.25">
      <c r="B278" s="13"/>
      <c r="C278" s="14"/>
      <c r="D278" s="29"/>
      <c r="E278" s="15"/>
      <c r="I278" s="69"/>
    </row>
    <row r="279" spans="2:9" ht="13.5" thickBot="1" x14ac:dyDescent="0.25">
      <c r="I279" s="69"/>
    </row>
    <row r="280" spans="2:9" x14ac:dyDescent="0.2">
      <c r="B280" s="4" t="s">
        <v>94</v>
      </c>
      <c r="C280" s="5"/>
      <c r="D280" s="27"/>
      <c r="E280" s="6"/>
      <c r="I280" s="69"/>
    </row>
    <row r="281" spans="2:9" x14ac:dyDescent="0.2">
      <c r="B281" s="7"/>
      <c r="C281" s="116" t="s">
        <v>285</v>
      </c>
      <c r="D281" s="116"/>
      <c r="E281" s="117"/>
      <c r="I281" s="69"/>
    </row>
    <row r="282" spans="2:9" x14ac:dyDescent="0.2">
      <c r="B282" s="9" t="s">
        <v>16</v>
      </c>
      <c r="C282" s="116" t="s">
        <v>285</v>
      </c>
      <c r="D282" s="116"/>
      <c r="E282" s="117"/>
    </row>
    <row r="283" spans="2:9" x14ac:dyDescent="0.2">
      <c r="B283" s="9"/>
      <c r="C283" s="98"/>
      <c r="D283" s="98"/>
      <c r="E283" s="98"/>
      <c r="I283" s="69"/>
    </row>
    <row r="284" spans="2:9" ht="13.5" thickBot="1" x14ac:dyDescent="0.25">
      <c r="B284" s="9" t="s">
        <v>17</v>
      </c>
      <c r="E284" s="8"/>
      <c r="I284" s="69"/>
    </row>
    <row r="285" spans="2:9" ht="13.5" thickBot="1" x14ac:dyDescent="0.25">
      <c r="B285" s="103" t="s">
        <v>83</v>
      </c>
      <c r="C285" s="104"/>
      <c r="D285" s="104"/>
      <c r="E285" s="105"/>
      <c r="I285" s="69"/>
    </row>
    <row r="286" spans="2:9" ht="13.5" thickBot="1" x14ac:dyDescent="0.25">
      <c r="B286" s="103" t="s">
        <v>203</v>
      </c>
      <c r="C286" s="105"/>
      <c r="D286" s="82" t="s">
        <v>11</v>
      </c>
      <c r="E286" s="82" t="s">
        <v>85</v>
      </c>
      <c r="I286" s="69"/>
    </row>
    <row r="287" spans="2:9" x14ac:dyDescent="0.2">
      <c r="B287" s="106" t="s">
        <v>204</v>
      </c>
      <c r="C287" s="106"/>
      <c r="D287" s="83">
        <v>1</v>
      </c>
      <c r="E287" s="86" t="s">
        <v>211</v>
      </c>
      <c r="I287" s="69"/>
    </row>
    <row r="288" spans="2:9" x14ac:dyDescent="0.2">
      <c r="B288" s="107" t="s">
        <v>205</v>
      </c>
      <c r="C288" s="107"/>
      <c r="D288" s="84">
        <v>1</v>
      </c>
      <c r="E288" s="85" t="s">
        <v>213</v>
      </c>
      <c r="I288" s="69"/>
    </row>
    <row r="289" spans="2:9" x14ac:dyDescent="0.2">
      <c r="B289" s="107" t="s">
        <v>206</v>
      </c>
      <c r="C289" s="107"/>
      <c r="D289" s="84">
        <v>1</v>
      </c>
      <c r="E289" s="85" t="s">
        <v>214</v>
      </c>
      <c r="I289" s="69"/>
    </row>
    <row r="290" spans="2:9" x14ac:dyDescent="0.2">
      <c r="B290" s="107" t="s">
        <v>208</v>
      </c>
      <c r="C290" s="107"/>
      <c r="D290" s="84">
        <v>1</v>
      </c>
      <c r="E290" s="85" t="s">
        <v>212</v>
      </c>
      <c r="I290" s="69"/>
    </row>
    <row r="291" spans="2:9" x14ac:dyDescent="0.2">
      <c r="B291" s="107" t="s">
        <v>209</v>
      </c>
      <c r="C291" s="107"/>
      <c r="D291" s="84">
        <v>0</v>
      </c>
      <c r="E291" s="85" t="s">
        <v>242</v>
      </c>
      <c r="I291" s="69"/>
    </row>
    <row r="292" spans="2:9" x14ac:dyDescent="0.2">
      <c r="B292" s="96" t="s">
        <v>207</v>
      </c>
      <c r="C292" s="97"/>
      <c r="D292" s="84">
        <v>1</v>
      </c>
      <c r="E292" s="85" t="s">
        <v>215</v>
      </c>
      <c r="I292" s="69"/>
    </row>
    <row r="293" spans="2:9" x14ac:dyDescent="0.2">
      <c r="B293" s="111" t="s">
        <v>245</v>
      </c>
      <c r="C293" s="112"/>
      <c r="D293" s="84">
        <v>1</v>
      </c>
      <c r="E293" s="85" t="s">
        <v>268</v>
      </c>
      <c r="I293" s="69"/>
    </row>
    <row r="294" spans="2:9" ht="13.5" thickBot="1" x14ac:dyDescent="0.25">
      <c r="B294" s="96" t="s">
        <v>246</v>
      </c>
      <c r="C294" s="97"/>
      <c r="D294" s="84">
        <v>1</v>
      </c>
      <c r="E294" s="85" t="s">
        <v>269</v>
      </c>
      <c r="I294" s="69"/>
    </row>
    <row r="295" spans="2:9" ht="25.5" customHeight="1" thickBot="1" x14ac:dyDescent="0.25">
      <c r="B295" s="100" t="s">
        <v>287</v>
      </c>
      <c r="C295" s="101"/>
      <c r="D295" s="101"/>
      <c r="E295" s="102"/>
      <c r="I295" s="69"/>
    </row>
    <row r="296" spans="2:9" x14ac:dyDescent="0.2">
      <c r="B296" s="9" t="s">
        <v>18</v>
      </c>
      <c r="E296" s="8"/>
      <c r="I296" s="69"/>
    </row>
    <row r="297" spans="2:9" x14ac:dyDescent="0.2">
      <c r="B297" s="10"/>
      <c r="C297" s="98" t="s">
        <v>24</v>
      </c>
      <c r="D297" s="98"/>
      <c r="E297" s="98"/>
      <c r="I297" s="69"/>
    </row>
    <row r="298" spans="2:9" x14ac:dyDescent="0.2">
      <c r="B298" s="9" t="s">
        <v>19</v>
      </c>
      <c r="C298" s="11"/>
      <c r="D298" s="11"/>
      <c r="E298" s="12"/>
      <c r="I298" s="69"/>
    </row>
    <row r="299" spans="2:9" x14ac:dyDescent="0.2">
      <c r="B299" s="10"/>
      <c r="C299" s="98" t="s">
        <v>86</v>
      </c>
      <c r="D299" s="98"/>
      <c r="E299" s="98"/>
      <c r="I299" s="69"/>
    </row>
    <row r="300" spans="2:9" x14ac:dyDescent="0.2">
      <c r="B300" s="9" t="s">
        <v>20</v>
      </c>
      <c r="E300" s="8"/>
      <c r="I300" s="69"/>
    </row>
    <row r="301" spans="2:9" x14ac:dyDescent="0.2">
      <c r="B301" s="9"/>
      <c r="C301" s="99" t="s">
        <v>25</v>
      </c>
      <c r="D301" s="99"/>
      <c r="E301" s="99"/>
      <c r="I301" s="69"/>
    </row>
    <row r="302" spans="2:9" ht="13.5" thickBot="1" x14ac:dyDescent="0.25">
      <c r="B302" s="13"/>
      <c r="C302" s="14"/>
      <c r="D302" s="29"/>
      <c r="E302" s="15"/>
      <c r="I302" s="69"/>
    </row>
    <row r="303" spans="2:9" ht="13.5" thickBot="1" x14ac:dyDescent="0.25">
      <c r="I303" s="69"/>
    </row>
    <row r="304" spans="2:9" x14ac:dyDescent="0.2">
      <c r="B304" s="4" t="s">
        <v>95</v>
      </c>
      <c r="C304" s="5"/>
      <c r="D304" s="27"/>
      <c r="E304" s="6"/>
      <c r="I304" s="69"/>
    </row>
    <row r="305" spans="2:9" x14ac:dyDescent="0.2">
      <c r="B305" s="7"/>
      <c r="C305" s="116" t="s">
        <v>286</v>
      </c>
      <c r="D305" s="116"/>
      <c r="E305" s="117"/>
      <c r="I305" s="69"/>
    </row>
    <row r="306" spans="2:9" x14ac:dyDescent="0.2">
      <c r="B306" s="9" t="s">
        <v>16</v>
      </c>
      <c r="C306" s="116" t="s">
        <v>286</v>
      </c>
      <c r="D306" s="116"/>
      <c r="E306" s="117"/>
    </row>
    <row r="307" spans="2:9" x14ac:dyDescent="0.2">
      <c r="B307" s="9"/>
      <c r="C307" s="98"/>
      <c r="D307" s="98"/>
      <c r="E307" s="98"/>
      <c r="I307" s="69"/>
    </row>
    <row r="308" spans="2:9" ht="13.5" thickBot="1" x14ac:dyDescent="0.25">
      <c r="B308" s="9" t="s">
        <v>17</v>
      </c>
      <c r="E308" s="8"/>
      <c r="I308" s="69"/>
    </row>
    <row r="309" spans="2:9" ht="13.5" thickBot="1" x14ac:dyDescent="0.25">
      <c r="B309" s="103" t="s">
        <v>83</v>
      </c>
      <c r="C309" s="104"/>
      <c r="D309" s="104"/>
      <c r="E309" s="105"/>
      <c r="I309" s="69"/>
    </row>
    <row r="310" spans="2:9" ht="13.5" thickBot="1" x14ac:dyDescent="0.25">
      <c r="B310" s="103" t="s">
        <v>203</v>
      </c>
      <c r="C310" s="105"/>
      <c r="D310" s="82" t="s">
        <v>11</v>
      </c>
      <c r="E310" s="82" t="s">
        <v>85</v>
      </c>
      <c r="I310" s="69"/>
    </row>
    <row r="311" spans="2:9" x14ac:dyDescent="0.2">
      <c r="B311" s="106" t="s">
        <v>204</v>
      </c>
      <c r="C311" s="106"/>
      <c r="D311" s="83">
        <v>1</v>
      </c>
      <c r="E311" s="86" t="s">
        <v>211</v>
      </c>
      <c r="I311" s="69"/>
    </row>
    <row r="312" spans="2:9" x14ac:dyDescent="0.2">
      <c r="B312" s="107" t="s">
        <v>205</v>
      </c>
      <c r="C312" s="107"/>
      <c r="D312" s="84">
        <v>1</v>
      </c>
      <c r="E312" s="85" t="s">
        <v>213</v>
      </c>
      <c r="I312" s="69"/>
    </row>
    <row r="313" spans="2:9" x14ac:dyDescent="0.2">
      <c r="B313" s="107" t="s">
        <v>206</v>
      </c>
      <c r="C313" s="107"/>
      <c r="D313" s="84">
        <v>1</v>
      </c>
      <c r="E313" s="85" t="s">
        <v>214</v>
      </c>
      <c r="I313" s="69"/>
    </row>
    <row r="314" spans="2:9" x14ac:dyDescent="0.2">
      <c r="B314" s="107" t="s">
        <v>208</v>
      </c>
      <c r="C314" s="107"/>
      <c r="D314" s="84">
        <v>1</v>
      </c>
      <c r="E314" s="85" t="s">
        <v>212</v>
      </c>
      <c r="I314" s="69"/>
    </row>
    <row r="315" spans="2:9" x14ac:dyDescent="0.2">
      <c r="B315" s="107" t="s">
        <v>209</v>
      </c>
      <c r="C315" s="107"/>
      <c r="D315" s="84">
        <v>0</v>
      </c>
      <c r="E315" s="85" t="s">
        <v>242</v>
      </c>
      <c r="I315" s="69"/>
    </row>
    <row r="316" spans="2:9" x14ac:dyDescent="0.2">
      <c r="B316" s="96" t="s">
        <v>207</v>
      </c>
      <c r="C316" s="97"/>
      <c r="D316" s="84">
        <v>0</v>
      </c>
      <c r="E316" s="85" t="s">
        <v>215</v>
      </c>
      <c r="I316" s="69"/>
    </row>
    <row r="317" spans="2:9" x14ac:dyDescent="0.2">
      <c r="B317" s="111" t="s">
        <v>245</v>
      </c>
      <c r="C317" s="112"/>
      <c r="D317" s="84">
        <v>1</v>
      </c>
      <c r="E317" s="85" t="s">
        <v>268</v>
      </c>
      <c r="I317" s="69"/>
    </row>
    <row r="318" spans="2:9" ht="13.5" thickBot="1" x14ac:dyDescent="0.25">
      <c r="B318" s="96" t="s">
        <v>246</v>
      </c>
      <c r="C318" s="97"/>
      <c r="D318" s="84">
        <v>0</v>
      </c>
      <c r="E318" s="85" t="s">
        <v>269</v>
      </c>
      <c r="I318" s="69"/>
    </row>
    <row r="319" spans="2:9" ht="24.75" customHeight="1" thickBot="1" x14ac:dyDescent="0.25">
      <c r="B319" s="100" t="s">
        <v>288</v>
      </c>
      <c r="C319" s="101"/>
      <c r="D319" s="101"/>
      <c r="E319" s="102"/>
      <c r="I319" s="69"/>
    </row>
    <row r="320" spans="2:9" x14ac:dyDescent="0.2">
      <c r="B320" s="9" t="s">
        <v>18</v>
      </c>
      <c r="E320" s="8"/>
      <c r="I320" s="69"/>
    </row>
    <row r="321" spans="2:9" x14ac:dyDescent="0.2">
      <c r="B321" s="10"/>
      <c r="C321" s="98" t="s">
        <v>24</v>
      </c>
      <c r="D321" s="98"/>
      <c r="E321" s="98"/>
      <c r="I321" s="69"/>
    </row>
    <row r="322" spans="2:9" x14ac:dyDescent="0.2">
      <c r="B322" s="9" t="s">
        <v>19</v>
      </c>
      <c r="C322" s="11"/>
      <c r="D322" s="11"/>
      <c r="E322" s="12"/>
      <c r="I322" s="69"/>
    </row>
    <row r="323" spans="2:9" x14ac:dyDescent="0.2">
      <c r="B323" s="10"/>
      <c r="C323" s="98" t="e">
        <f>SUM(#REF!)</f>
        <v>#REF!</v>
      </c>
      <c r="D323" s="98"/>
      <c r="E323" s="98"/>
      <c r="I323" s="69"/>
    </row>
    <row r="324" spans="2:9" x14ac:dyDescent="0.2">
      <c r="B324" s="9" t="s">
        <v>20</v>
      </c>
      <c r="E324" s="8"/>
      <c r="I324" s="69"/>
    </row>
    <row r="325" spans="2:9" x14ac:dyDescent="0.2">
      <c r="B325" s="9"/>
      <c r="C325" s="99" t="s">
        <v>25</v>
      </c>
      <c r="D325" s="99"/>
      <c r="E325" s="99"/>
      <c r="I325" s="69"/>
    </row>
    <row r="326" spans="2:9" ht="13.5" thickBot="1" x14ac:dyDescent="0.25">
      <c r="B326" s="13"/>
      <c r="C326" s="14"/>
      <c r="D326" s="29"/>
      <c r="E326" s="15"/>
      <c r="I326" s="69"/>
    </row>
    <row r="327" spans="2:9" ht="13.5" thickBot="1" x14ac:dyDescent="0.25"/>
    <row r="328" spans="2:9" x14ac:dyDescent="0.2">
      <c r="B328" s="4" t="s">
        <v>96</v>
      </c>
      <c r="C328" s="5"/>
      <c r="D328" s="27"/>
      <c r="E328" s="6"/>
    </row>
    <row r="329" spans="2:9" ht="5.25" customHeight="1" x14ac:dyDescent="0.2">
      <c r="B329" s="7"/>
      <c r="E329" s="8"/>
    </row>
    <row r="330" spans="2:9" x14ac:dyDescent="0.2">
      <c r="B330" s="9" t="s">
        <v>16</v>
      </c>
      <c r="E330" s="8"/>
    </row>
    <row r="331" spans="2:9" ht="25.5" customHeight="1" x14ac:dyDescent="0.2">
      <c r="B331" s="9"/>
      <c r="C331" s="108"/>
      <c r="D331" s="108"/>
      <c r="E331" s="109"/>
    </row>
    <row r="332" spans="2:9" ht="13.5" thickBot="1" x14ac:dyDescent="0.25">
      <c r="B332" s="9" t="s">
        <v>17</v>
      </c>
      <c r="E332" s="8"/>
    </row>
    <row r="333" spans="2:9" ht="13.5" thickBot="1" x14ac:dyDescent="0.25">
      <c r="B333" s="103" t="s">
        <v>83</v>
      </c>
      <c r="C333" s="104"/>
      <c r="D333" s="104"/>
      <c r="E333" s="105"/>
    </row>
    <row r="334" spans="2:9" ht="13.5" thickBot="1" x14ac:dyDescent="0.25">
      <c r="B334" s="103" t="s">
        <v>203</v>
      </c>
      <c r="C334" s="105"/>
      <c r="D334" s="82" t="s">
        <v>11</v>
      </c>
      <c r="E334" s="82" t="s">
        <v>85</v>
      </c>
      <c r="I334" s="69"/>
    </row>
    <row r="335" spans="2:9" x14ac:dyDescent="0.2">
      <c r="B335" s="106" t="s">
        <v>204</v>
      </c>
      <c r="C335" s="106"/>
      <c r="D335" s="83">
        <v>2</v>
      </c>
      <c r="E335" s="86" t="s">
        <v>211</v>
      </c>
      <c r="I335" s="69"/>
    </row>
    <row r="336" spans="2:9" x14ac:dyDescent="0.2">
      <c r="B336" s="107" t="s">
        <v>205</v>
      </c>
      <c r="C336" s="107"/>
      <c r="D336" s="84">
        <v>5</v>
      </c>
      <c r="E336" s="85" t="s">
        <v>213</v>
      </c>
      <c r="I336" s="69"/>
    </row>
    <row r="337" spans="2:9" x14ac:dyDescent="0.2">
      <c r="B337" s="107" t="s">
        <v>206</v>
      </c>
      <c r="C337" s="107"/>
      <c r="D337" s="84">
        <v>5</v>
      </c>
      <c r="E337" s="85" t="s">
        <v>214</v>
      </c>
      <c r="I337" s="69"/>
    </row>
    <row r="338" spans="2:9" x14ac:dyDescent="0.2">
      <c r="B338" s="107" t="s">
        <v>208</v>
      </c>
      <c r="C338" s="107"/>
      <c r="D338" s="84">
        <v>12</v>
      </c>
      <c r="E338" s="85" t="s">
        <v>212</v>
      </c>
      <c r="I338" s="69"/>
    </row>
    <row r="339" spans="2:9" x14ac:dyDescent="0.2">
      <c r="B339" s="107" t="s">
        <v>209</v>
      </c>
      <c r="C339" s="107"/>
      <c r="D339" s="84">
        <v>0</v>
      </c>
      <c r="E339" s="85" t="s">
        <v>242</v>
      </c>
      <c r="I339" s="69"/>
    </row>
    <row r="340" spans="2:9" x14ac:dyDescent="0.2">
      <c r="B340" s="96" t="s">
        <v>207</v>
      </c>
      <c r="C340" s="97"/>
      <c r="D340" s="84">
        <v>0</v>
      </c>
      <c r="E340" s="85" t="s">
        <v>215</v>
      </c>
      <c r="I340" s="69"/>
    </row>
    <row r="341" spans="2:9" x14ac:dyDescent="0.2">
      <c r="B341" s="111" t="s">
        <v>245</v>
      </c>
      <c r="C341" s="112"/>
      <c r="D341" s="84">
        <v>4</v>
      </c>
      <c r="E341" s="85" t="s">
        <v>268</v>
      </c>
      <c r="I341" s="69"/>
    </row>
    <row r="342" spans="2:9" ht="13.5" thickBot="1" x14ac:dyDescent="0.25">
      <c r="B342" s="96" t="s">
        <v>246</v>
      </c>
      <c r="C342" s="97"/>
      <c r="D342" s="84">
        <v>0</v>
      </c>
      <c r="E342" s="85" t="s">
        <v>269</v>
      </c>
      <c r="I342" s="69"/>
    </row>
    <row r="343" spans="2:9" ht="25.5" customHeight="1" thickBot="1" x14ac:dyDescent="0.25">
      <c r="B343" s="100" t="s">
        <v>264</v>
      </c>
      <c r="C343" s="101"/>
      <c r="D343" s="101"/>
      <c r="E343" s="102"/>
      <c r="I343" s="69"/>
    </row>
    <row r="344" spans="2:9" x14ac:dyDescent="0.2">
      <c r="B344" s="9" t="s">
        <v>18</v>
      </c>
      <c r="E344" s="8"/>
      <c r="I344" s="69"/>
    </row>
    <row r="345" spans="2:9" x14ac:dyDescent="0.2">
      <c r="B345" s="10"/>
      <c r="C345" s="98" t="s">
        <v>24</v>
      </c>
      <c r="D345" s="98"/>
      <c r="E345" s="98"/>
      <c r="I345" s="69"/>
    </row>
    <row r="346" spans="2:9" x14ac:dyDescent="0.2">
      <c r="B346" s="9" t="s">
        <v>19</v>
      </c>
      <c r="C346" s="11"/>
      <c r="D346" s="11"/>
      <c r="E346" s="12"/>
      <c r="I346" s="69"/>
    </row>
    <row r="347" spans="2:9" x14ac:dyDescent="0.2">
      <c r="B347" s="10"/>
      <c r="C347" s="98" t="s">
        <v>86</v>
      </c>
      <c r="D347" s="98"/>
      <c r="E347" s="98"/>
      <c r="I347" s="69"/>
    </row>
    <row r="348" spans="2:9" x14ac:dyDescent="0.2">
      <c r="B348" s="9" t="s">
        <v>20</v>
      </c>
      <c r="E348" s="8"/>
      <c r="I348" s="69"/>
    </row>
    <row r="349" spans="2:9" x14ac:dyDescent="0.2">
      <c r="B349" s="9"/>
      <c r="C349" s="99" t="s">
        <v>25</v>
      </c>
      <c r="D349" s="99"/>
      <c r="E349" s="99"/>
      <c r="I349" s="69"/>
    </row>
    <row r="350" spans="2:9" ht="13.5" thickBot="1" x14ac:dyDescent="0.25">
      <c r="B350" s="13"/>
      <c r="C350" s="14"/>
      <c r="D350" s="29"/>
      <c r="E350" s="15"/>
      <c r="I350" s="69"/>
    </row>
    <row r="352" spans="2:9" ht="13.5" thickBot="1" x14ac:dyDescent="0.25"/>
    <row r="353" spans="2:9" x14ac:dyDescent="0.2">
      <c r="B353" s="4" t="s">
        <v>97</v>
      </c>
      <c r="C353" s="5"/>
      <c r="D353" s="27"/>
      <c r="E353" s="6"/>
    </row>
    <row r="354" spans="2:9" x14ac:dyDescent="0.2">
      <c r="B354" s="7"/>
      <c r="E354" s="8"/>
    </row>
    <row r="355" spans="2:9" x14ac:dyDescent="0.2">
      <c r="B355" s="9" t="s">
        <v>16</v>
      </c>
      <c r="E355" s="8"/>
    </row>
    <row r="356" spans="2:9" x14ac:dyDescent="0.2">
      <c r="B356" s="9"/>
      <c r="C356" s="110" t="s">
        <v>277</v>
      </c>
      <c r="D356" s="110"/>
      <c r="E356" s="110"/>
    </row>
    <row r="357" spans="2:9" ht="13.5" thickBot="1" x14ac:dyDescent="0.25">
      <c r="B357" s="9" t="s">
        <v>17</v>
      </c>
      <c r="E357" s="8"/>
    </row>
    <row r="358" spans="2:9" ht="13.5" thickBot="1" x14ac:dyDescent="0.25">
      <c r="B358" s="103" t="s">
        <v>83</v>
      </c>
      <c r="C358" s="104"/>
      <c r="D358" s="104"/>
      <c r="E358" s="105"/>
    </row>
    <row r="359" spans="2:9" ht="13.5" thickBot="1" x14ac:dyDescent="0.25">
      <c r="B359" s="103" t="s">
        <v>203</v>
      </c>
      <c r="C359" s="105"/>
      <c r="D359" s="82" t="s">
        <v>11</v>
      </c>
      <c r="E359" s="82" t="s">
        <v>85</v>
      </c>
    </row>
    <row r="360" spans="2:9" x14ac:dyDescent="0.2">
      <c r="B360" s="106" t="s">
        <v>204</v>
      </c>
      <c r="C360" s="106"/>
      <c r="D360" s="83">
        <v>3</v>
      </c>
      <c r="E360" s="86" t="s">
        <v>211</v>
      </c>
    </row>
    <row r="361" spans="2:9" x14ac:dyDescent="0.2">
      <c r="B361" s="107" t="s">
        <v>205</v>
      </c>
      <c r="C361" s="107"/>
      <c r="D361" s="84">
        <v>6</v>
      </c>
      <c r="E361" s="85" t="s">
        <v>213</v>
      </c>
    </row>
    <row r="362" spans="2:9" x14ac:dyDescent="0.2">
      <c r="B362" s="107" t="s">
        <v>206</v>
      </c>
      <c r="C362" s="107"/>
      <c r="D362" s="84">
        <v>6</v>
      </c>
      <c r="E362" s="85" t="s">
        <v>214</v>
      </c>
    </row>
    <row r="363" spans="2:9" x14ac:dyDescent="0.2">
      <c r="B363" s="107" t="s">
        <v>208</v>
      </c>
      <c r="C363" s="107"/>
      <c r="D363" s="84">
        <v>0</v>
      </c>
      <c r="E363" s="85" t="s">
        <v>212</v>
      </c>
    </row>
    <row r="364" spans="2:9" x14ac:dyDescent="0.2">
      <c r="B364" s="107" t="s">
        <v>209</v>
      </c>
      <c r="C364" s="107"/>
      <c r="D364" s="84">
        <v>0</v>
      </c>
      <c r="E364" s="85" t="s">
        <v>242</v>
      </c>
    </row>
    <row r="365" spans="2:9" x14ac:dyDescent="0.2">
      <c r="B365" s="96" t="s">
        <v>207</v>
      </c>
      <c r="C365" s="97"/>
      <c r="D365" s="84">
        <v>3</v>
      </c>
      <c r="E365" s="85" t="s">
        <v>215</v>
      </c>
    </row>
    <row r="366" spans="2:9" x14ac:dyDescent="0.2">
      <c r="B366" s="111" t="s">
        <v>245</v>
      </c>
      <c r="C366" s="112"/>
      <c r="D366" s="84">
        <v>0</v>
      </c>
      <c r="E366" s="85" t="s">
        <v>268</v>
      </c>
      <c r="I366" s="69"/>
    </row>
    <row r="367" spans="2:9" ht="13.5" thickBot="1" x14ac:dyDescent="0.25">
      <c r="B367" s="96" t="s">
        <v>246</v>
      </c>
      <c r="C367" s="97"/>
      <c r="D367" s="84">
        <v>0</v>
      </c>
      <c r="E367" s="85" t="s">
        <v>269</v>
      </c>
      <c r="I367" s="69"/>
    </row>
    <row r="368" spans="2:9" ht="27" customHeight="1" thickBot="1" x14ac:dyDescent="0.25">
      <c r="B368" s="100" t="s">
        <v>292</v>
      </c>
      <c r="C368" s="101"/>
      <c r="D368" s="101"/>
      <c r="E368" s="102"/>
    </row>
    <row r="369" spans="2:5" x14ac:dyDescent="0.2">
      <c r="B369" s="9" t="s">
        <v>18</v>
      </c>
      <c r="E369" s="8"/>
    </row>
    <row r="370" spans="2:5" x14ac:dyDescent="0.2">
      <c r="B370" s="10"/>
      <c r="C370" s="98" t="s">
        <v>24</v>
      </c>
      <c r="D370" s="98"/>
      <c r="E370" s="98"/>
    </row>
    <row r="371" spans="2:5" x14ac:dyDescent="0.2">
      <c r="B371" s="9" t="s">
        <v>19</v>
      </c>
      <c r="C371" s="11"/>
      <c r="D371" s="11"/>
      <c r="E371" s="12"/>
    </row>
    <row r="372" spans="2:5" x14ac:dyDescent="0.2">
      <c r="B372" s="10"/>
      <c r="C372" s="98" t="s">
        <v>86</v>
      </c>
      <c r="D372" s="98"/>
      <c r="E372" s="98"/>
    </row>
    <row r="373" spans="2:5" x14ac:dyDescent="0.2">
      <c r="B373" s="9" t="s">
        <v>20</v>
      </c>
      <c r="E373" s="8"/>
    </row>
    <row r="374" spans="2:5" x14ac:dyDescent="0.2">
      <c r="B374" s="9"/>
      <c r="C374" s="99" t="s">
        <v>25</v>
      </c>
      <c r="D374" s="99"/>
      <c r="E374" s="99"/>
    </row>
    <row r="375" spans="2:5" ht="13.5" thickBot="1" x14ac:dyDescent="0.25">
      <c r="B375" s="13"/>
      <c r="C375" s="14"/>
      <c r="D375" s="29"/>
      <c r="E375" s="15"/>
    </row>
    <row r="377" spans="2:5" ht="13.5" thickBot="1" x14ac:dyDescent="0.25"/>
    <row r="378" spans="2:5" x14ac:dyDescent="0.2">
      <c r="B378" s="4" t="s">
        <v>98</v>
      </c>
      <c r="C378" s="5"/>
      <c r="D378" s="27"/>
      <c r="E378" s="6"/>
    </row>
    <row r="379" spans="2:5" x14ac:dyDescent="0.2">
      <c r="B379" s="7"/>
      <c r="E379" s="8"/>
    </row>
    <row r="380" spans="2:5" x14ac:dyDescent="0.2">
      <c r="B380" s="9" t="s">
        <v>16</v>
      </c>
      <c r="C380" s="108"/>
      <c r="D380" s="108"/>
      <c r="E380" s="109"/>
    </row>
    <row r="381" spans="2:5" x14ac:dyDescent="0.2">
      <c r="B381" s="9"/>
      <c r="C381" s="98"/>
      <c r="D381" s="98"/>
      <c r="E381" s="98"/>
    </row>
    <row r="382" spans="2:5" ht="13.5" thickBot="1" x14ac:dyDescent="0.25">
      <c r="B382" s="9" t="s">
        <v>17</v>
      </c>
      <c r="E382" s="8"/>
    </row>
    <row r="383" spans="2:5" ht="13.5" thickBot="1" x14ac:dyDescent="0.25">
      <c r="B383" s="103" t="s">
        <v>83</v>
      </c>
      <c r="C383" s="104"/>
      <c r="D383" s="104"/>
      <c r="E383" s="105"/>
    </row>
    <row r="384" spans="2:5" ht="13.5" thickBot="1" x14ac:dyDescent="0.25">
      <c r="B384" s="103" t="s">
        <v>203</v>
      </c>
      <c r="C384" s="105"/>
      <c r="D384" s="82" t="s">
        <v>11</v>
      </c>
      <c r="E384" s="82" t="s">
        <v>85</v>
      </c>
    </row>
    <row r="385" spans="2:5" x14ac:dyDescent="0.2">
      <c r="B385" s="106" t="s">
        <v>204</v>
      </c>
      <c r="C385" s="106"/>
      <c r="D385" s="83">
        <v>0</v>
      </c>
      <c r="E385" s="86" t="s">
        <v>211</v>
      </c>
    </row>
    <row r="386" spans="2:5" x14ac:dyDescent="0.2">
      <c r="B386" s="107" t="s">
        <v>205</v>
      </c>
      <c r="C386" s="107"/>
      <c r="D386" s="84">
        <v>0</v>
      </c>
      <c r="E386" s="85" t="s">
        <v>213</v>
      </c>
    </row>
    <row r="387" spans="2:5" x14ac:dyDescent="0.2">
      <c r="B387" s="107" t="s">
        <v>206</v>
      </c>
      <c r="C387" s="107"/>
      <c r="D387" s="84">
        <v>0</v>
      </c>
      <c r="E387" s="85" t="s">
        <v>214</v>
      </c>
    </row>
    <row r="388" spans="2:5" x14ac:dyDescent="0.2">
      <c r="B388" s="107" t="s">
        <v>208</v>
      </c>
      <c r="C388" s="107"/>
      <c r="D388" s="84">
        <v>0</v>
      </c>
      <c r="E388" s="85" t="s">
        <v>212</v>
      </c>
    </row>
    <row r="389" spans="2:5" x14ac:dyDescent="0.2">
      <c r="B389" s="107" t="s">
        <v>209</v>
      </c>
      <c r="C389" s="107"/>
      <c r="D389" s="84">
        <v>0</v>
      </c>
      <c r="E389" s="85" t="s">
        <v>242</v>
      </c>
    </row>
    <row r="390" spans="2:5" x14ac:dyDescent="0.2">
      <c r="B390" s="96" t="s">
        <v>207</v>
      </c>
      <c r="C390" s="97"/>
      <c r="D390" s="84">
        <v>0</v>
      </c>
      <c r="E390" s="85" t="s">
        <v>215</v>
      </c>
    </row>
    <row r="391" spans="2:5" x14ac:dyDescent="0.2">
      <c r="B391" s="111" t="s">
        <v>245</v>
      </c>
      <c r="C391" s="112"/>
      <c r="D391" s="84">
        <v>0</v>
      </c>
      <c r="E391" s="85" t="s">
        <v>268</v>
      </c>
    </row>
    <row r="392" spans="2:5" ht="13.5" thickBot="1" x14ac:dyDescent="0.25">
      <c r="B392" s="96" t="s">
        <v>246</v>
      </c>
      <c r="C392" s="97"/>
      <c r="D392" s="84">
        <v>2</v>
      </c>
      <c r="E392" s="85" t="s">
        <v>269</v>
      </c>
    </row>
    <row r="393" spans="2:5" ht="13.5" thickBot="1" x14ac:dyDescent="0.25">
      <c r="B393" s="100" t="s">
        <v>247</v>
      </c>
      <c r="C393" s="101"/>
      <c r="D393" s="101"/>
      <c r="E393" s="102"/>
    </row>
    <row r="394" spans="2:5" x14ac:dyDescent="0.2">
      <c r="B394" s="9" t="s">
        <v>18</v>
      </c>
      <c r="E394" s="8"/>
    </row>
    <row r="395" spans="2:5" x14ac:dyDescent="0.2">
      <c r="B395" s="10"/>
      <c r="C395" s="98" t="s">
        <v>24</v>
      </c>
      <c r="D395" s="98"/>
      <c r="E395" s="98"/>
    </row>
    <row r="396" spans="2:5" x14ac:dyDescent="0.2">
      <c r="B396" s="9" t="s">
        <v>19</v>
      </c>
      <c r="C396" s="11"/>
      <c r="D396" s="11"/>
      <c r="E396" s="12"/>
    </row>
    <row r="397" spans="2:5" x14ac:dyDescent="0.2">
      <c r="B397" s="10"/>
      <c r="C397" s="98" t="s">
        <v>86</v>
      </c>
      <c r="D397" s="98"/>
      <c r="E397" s="98"/>
    </row>
    <row r="398" spans="2:5" x14ac:dyDescent="0.2">
      <c r="B398" s="9" t="s">
        <v>20</v>
      </c>
      <c r="E398" s="8"/>
    </row>
    <row r="399" spans="2:5" x14ac:dyDescent="0.2">
      <c r="B399" s="9"/>
      <c r="C399" s="99" t="s">
        <v>25</v>
      </c>
      <c r="D399" s="99"/>
      <c r="E399" s="99"/>
    </row>
    <row r="400" spans="2:5" ht="13.5" thickBot="1" x14ac:dyDescent="0.25">
      <c r="B400" s="13"/>
      <c r="C400" s="14"/>
      <c r="D400" s="29"/>
      <c r="E400" s="15"/>
    </row>
    <row r="401" spans="2:5" ht="13.5" thickBot="1" x14ac:dyDescent="0.25"/>
    <row r="402" spans="2:5" x14ac:dyDescent="0.2">
      <c r="B402" s="4" t="s">
        <v>99</v>
      </c>
      <c r="C402" s="5"/>
      <c r="D402" s="27"/>
      <c r="E402" s="6"/>
    </row>
    <row r="403" spans="2:5" x14ac:dyDescent="0.2">
      <c r="B403" s="7"/>
      <c r="E403" s="8"/>
    </row>
    <row r="404" spans="2:5" x14ac:dyDescent="0.2">
      <c r="B404" s="9" t="s">
        <v>16</v>
      </c>
      <c r="C404" s="108"/>
      <c r="D404" s="108"/>
      <c r="E404" s="109"/>
    </row>
    <row r="405" spans="2:5" x14ac:dyDescent="0.2">
      <c r="B405" s="9"/>
      <c r="C405" s="98"/>
      <c r="D405" s="98"/>
      <c r="E405" s="98"/>
    </row>
    <row r="406" spans="2:5" ht="13.5" thickBot="1" x14ac:dyDescent="0.25">
      <c r="B406" s="9" t="s">
        <v>17</v>
      </c>
      <c r="E406" s="8"/>
    </row>
    <row r="407" spans="2:5" ht="13.5" thickBot="1" x14ac:dyDescent="0.25">
      <c r="B407" s="103" t="s">
        <v>83</v>
      </c>
      <c r="C407" s="104"/>
      <c r="D407" s="104"/>
      <c r="E407" s="105"/>
    </row>
    <row r="408" spans="2:5" ht="13.5" thickBot="1" x14ac:dyDescent="0.25">
      <c r="B408" s="103" t="s">
        <v>203</v>
      </c>
      <c r="C408" s="105"/>
      <c r="D408" s="82" t="s">
        <v>11</v>
      </c>
      <c r="E408" s="82" t="s">
        <v>85</v>
      </c>
    </row>
    <row r="409" spans="2:5" x14ac:dyDescent="0.2">
      <c r="B409" s="106" t="s">
        <v>204</v>
      </c>
      <c r="C409" s="106"/>
      <c r="D409" s="83">
        <v>0</v>
      </c>
      <c r="E409" s="86" t="s">
        <v>211</v>
      </c>
    </row>
    <row r="410" spans="2:5" x14ac:dyDescent="0.2">
      <c r="B410" s="107" t="s">
        <v>205</v>
      </c>
      <c r="C410" s="107"/>
      <c r="D410" s="84">
        <v>0</v>
      </c>
      <c r="E410" s="85" t="s">
        <v>213</v>
      </c>
    </row>
    <row r="411" spans="2:5" x14ac:dyDescent="0.2">
      <c r="B411" s="107" t="s">
        <v>206</v>
      </c>
      <c r="C411" s="107"/>
      <c r="D411" s="84">
        <v>0</v>
      </c>
      <c r="E411" s="85" t="s">
        <v>214</v>
      </c>
    </row>
    <row r="412" spans="2:5" x14ac:dyDescent="0.2">
      <c r="B412" s="107" t="s">
        <v>208</v>
      </c>
      <c r="C412" s="107"/>
      <c r="D412" s="84">
        <v>0</v>
      </c>
      <c r="E412" s="85" t="s">
        <v>212</v>
      </c>
    </row>
    <row r="413" spans="2:5" x14ac:dyDescent="0.2">
      <c r="B413" s="107" t="s">
        <v>209</v>
      </c>
      <c r="C413" s="107"/>
      <c r="D413" s="84">
        <v>0</v>
      </c>
      <c r="E413" s="85" t="s">
        <v>242</v>
      </c>
    </row>
    <row r="414" spans="2:5" x14ac:dyDescent="0.2">
      <c r="B414" s="96" t="s">
        <v>207</v>
      </c>
      <c r="C414" s="97"/>
      <c r="D414" s="84">
        <v>0</v>
      </c>
      <c r="E414" s="85" t="s">
        <v>215</v>
      </c>
    </row>
    <row r="415" spans="2:5" x14ac:dyDescent="0.2">
      <c r="B415" s="111" t="s">
        <v>245</v>
      </c>
      <c r="C415" s="112"/>
      <c r="D415" s="84">
        <v>0</v>
      </c>
      <c r="E415" s="85" t="s">
        <v>268</v>
      </c>
    </row>
    <row r="416" spans="2:5" ht="13.5" thickBot="1" x14ac:dyDescent="0.25">
      <c r="B416" s="96" t="s">
        <v>246</v>
      </c>
      <c r="C416" s="97"/>
      <c r="D416" s="84">
        <v>3</v>
      </c>
      <c r="E416" s="85" t="s">
        <v>269</v>
      </c>
    </row>
    <row r="417" spans="2:5" ht="13.5" thickBot="1" x14ac:dyDescent="0.25">
      <c r="B417" s="100" t="s">
        <v>251</v>
      </c>
      <c r="C417" s="101"/>
      <c r="D417" s="101"/>
      <c r="E417" s="102"/>
    </row>
    <row r="418" spans="2:5" x14ac:dyDescent="0.2">
      <c r="B418" s="9" t="s">
        <v>18</v>
      </c>
      <c r="E418" s="8"/>
    </row>
    <row r="419" spans="2:5" x14ac:dyDescent="0.2">
      <c r="B419" s="10"/>
      <c r="C419" s="98" t="s">
        <v>24</v>
      </c>
      <c r="D419" s="98"/>
      <c r="E419" s="98"/>
    </row>
    <row r="420" spans="2:5" x14ac:dyDescent="0.2">
      <c r="B420" s="9" t="s">
        <v>19</v>
      </c>
      <c r="C420" s="11"/>
      <c r="D420" s="11"/>
      <c r="E420" s="12"/>
    </row>
    <row r="421" spans="2:5" x14ac:dyDescent="0.2">
      <c r="B421" s="10"/>
      <c r="C421" s="98" t="s">
        <v>86</v>
      </c>
      <c r="D421" s="98"/>
      <c r="E421" s="98"/>
    </row>
    <row r="422" spans="2:5" x14ac:dyDescent="0.2">
      <c r="B422" s="9" t="s">
        <v>20</v>
      </c>
      <c r="E422" s="8"/>
    </row>
    <row r="423" spans="2:5" x14ac:dyDescent="0.2">
      <c r="B423" s="9"/>
      <c r="C423" s="99" t="s">
        <v>25</v>
      </c>
      <c r="D423" s="99"/>
      <c r="E423" s="99"/>
    </row>
    <row r="424" spans="2:5" ht="13.5" thickBot="1" x14ac:dyDescent="0.25">
      <c r="B424" s="13"/>
      <c r="C424" s="14"/>
      <c r="D424" s="29"/>
      <c r="E424" s="15"/>
    </row>
    <row r="427" spans="2:5" ht="13.5" thickBot="1" x14ac:dyDescent="0.25"/>
    <row r="428" spans="2:5" x14ac:dyDescent="0.2">
      <c r="B428" s="4" t="s">
        <v>100</v>
      </c>
      <c r="C428" s="5"/>
      <c r="D428" s="27"/>
      <c r="E428" s="6"/>
    </row>
    <row r="429" spans="2:5" x14ac:dyDescent="0.2">
      <c r="B429" s="7"/>
      <c r="E429" s="8"/>
    </row>
    <row r="430" spans="2:5" x14ac:dyDescent="0.2">
      <c r="B430" s="9" t="s">
        <v>16</v>
      </c>
      <c r="E430" s="8"/>
    </row>
    <row r="431" spans="2:5" x14ac:dyDescent="0.2">
      <c r="B431" s="9"/>
      <c r="C431" s="110" t="s">
        <v>289</v>
      </c>
      <c r="D431" s="110"/>
      <c r="E431" s="110"/>
    </row>
    <row r="432" spans="2:5" ht="13.5" thickBot="1" x14ac:dyDescent="0.25">
      <c r="B432" s="9" t="s">
        <v>17</v>
      </c>
      <c r="E432" s="8"/>
    </row>
    <row r="433" spans="2:5" ht="13.5" thickBot="1" x14ac:dyDescent="0.25">
      <c r="B433" s="103" t="s">
        <v>83</v>
      </c>
      <c r="C433" s="104"/>
      <c r="D433" s="104"/>
      <c r="E433" s="105"/>
    </row>
    <row r="434" spans="2:5" ht="13.5" thickBot="1" x14ac:dyDescent="0.25">
      <c r="B434" s="103" t="s">
        <v>203</v>
      </c>
      <c r="C434" s="105"/>
      <c r="D434" s="82" t="s">
        <v>11</v>
      </c>
      <c r="E434" s="82" t="s">
        <v>85</v>
      </c>
    </row>
    <row r="435" spans="2:5" x14ac:dyDescent="0.2">
      <c r="B435" s="106" t="s">
        <v>204</v>
      </c>
      <c r="C435" s="106"/>
      <c r="D435" s="83">
        <v>0</v>
      </c>
      <c r="E435" s="86" t="s">
        <v>211</v>
      </c>
    </row>
    <row r="436" spans="2:5" x14ac:dyDescent="0.2">
      <c r="B436" s="107" t="s">
        <v>205</v>
      </c>
      <c r="C436" s="107"/>
      <c r="D436" s="84">
        <v>0</v>
      </c>
      <c r="E436" s="85" t="s">
        <v>213</v>
      </c>
    </row>
    <row r="437" spans="2:5" x14ac:dyDescent="0.2">
      <c r="B437" s="107" t="s">
        <v>206</v>
      </c>
      <c r="C437" s="107"/>
      <c r="D437" s="84">
        <v>0</v>
      </c>
      <c r="E437" s="85" t="s">
        <v>214</v>
      </c>
    </row>
    <row r="438" spans="2:5" x14ac:dyDescent="0.2">
      <c r="B438" s="107" t="s">
        <v>208</v>
      </c>
      <c r="C438" s="107"/>
      <c r="D438" s="84">
        <v>0</v>
      </c>
      <c r="E438" s="85" t="s">
        <v>212</v>
      </c>
    </row>
    <row r="439" spans="2:5" x14ac:dyDescent="0.2">
      <c r="B439" s="107" t="s">
        <v>209</v>
      </c>
      <c r="C439" s="107"/>
      <c r="D439" s="84">
        <v>0</v>
      </c>
      <c r="E439" s="85" t="s">
        <v>242</v>
      </c>
    </row>
    <row r="440" spans="2:5" x14ac:dyDescent="0.2">
      <c r="B440" s="96" t="s">
        <v>207</v>
      </c>
      <c r="C440" s="97"/>
      <c r="D440" s="84">
        <v>0</v>
      </c>
      <c r="E440" s="85" t="s">
        <v>215</v>
      </c>
    </row>
    <row r="441" spans="2:5" x14ac:dyDescent="0.2">
      <c r="B441" s="111" t="s">
        <v>245</v>
      </c>
      <c r="C441" s="112"/>
      <c r="D441" s="84">
        <v>2</v>
      </c>
      <c r="E441" s="85" t="s">
        <v>268</v>
      </c>
    </row>
    <row r="442" spans="2:5" ht="13.5" thickBot="1" x14ac:dyDescent="0.25">
      <c r="B442" s="96" t="s">
        <v>246</v>
      </c>
      <c r="C442" s="97"/>
      <c r="D442" s="84">
        <v>0</v>
      </c>
      <c r="E442" s="85" t="s">
        <v>269</v>
      </c>
    </row>
    <row r="443" spans="2:5" ht="27.75" customHeight="1" thickBot="1" x14ac:dyDescent="0.25">
      <c r="B443" s="100" t="s">
        <v>247</v>
      </c>
      <c r="C443" s="101"/>
      <c r="D443" s="101"/>
      <c r="E443" s="102"/>
    </row>
    <row r="444" spans="2:5" x14ac:dyDescent="0.2">
      <c r="B444" s="9" t="s">
        <v>18</v>
      </c>
      <c r="E444" s="8"/>
    </row>
    <row r="445" spans="2:5" x14ac:dyDescent="0.2">
      <c r="B445" s="10"/>
      <c r="C445" s="98" t="s">
        <v>24</v>
      </c>
      <c r="D445" s="98"/>
      <c r="E445" s="98"/>
    </row>
    <row r="446" spans="2:5" x14ac:dyDescent="0.2">
      <c r="B446" s="9" t="s">
        <v>19</v>
      </c>
      <c r="C446" s="11"/>
      <c r="D446" s="11"/>
      <c r="E446" s="12"/>
    </row>
    <row r="447" spans="2:5" x14ac:dyDescent="0.2">
      <c r="B447" s="10"/>
      <c r="C447" s="98" t="s">
        <v>86</v>
      </c>
      <c r="D447" s="98"/>
      <c r="E447" s="98"/>
    </row>
    <row r="448" spans="2:5" x14ac:dyDescent="0.2">
      <c r="B448" s="9" t="s">
        <v>20</v>
      </c>
      <c r="E448" s="8"/>
    </row>
    <row r="449" spans="2:5" x14ac:dyDescent="0.2">
      <c r="B449" s="9"/>
      <c r="C449" s="99" t="s">
        <v>25</v>
      </c>
      <c r="D449" s="99"/>
      <c r="E449" s="99"/>
    </row>
    <row r="450" spans="2:5" ht="13.5" thickBot="1" x14ac:dyDescent="0.25">
      <c r="B450" s="13"/>
      <c r="C450" s="14"/>
      <c r="D450" s="29"/>
      <c r="E450" s="15"/>
    </row>
    <row r="451" spans="2:5" ht="13.5" thickBot="1" x14ac:dyDescent="0.25"/>
    <row r="452" spans="2:5" x14ac:dyDescent="0.2">
      <c r="B452" s="4" t="s">
        <v>101</v>
      </c>
      <c r="C452" s="5"/>
      <c r="D452" s="27"/>
      <c r="E452" s="6"/>
    </row>
    <row r="453" spans="2:5" x14ac:dyDescent="0.2">
      <c r="B453" s="7"/>
      <c r="E453" s="8"/>
    </row>
    <row r="454" spans="2:5" x14ac:dyDescent="0.2">
      <c r="B454" s="9" t="s">
        <v>16</v>
      </c>
      <c r="E454" s="8"/>
    </row>
    <row r="455" spans="2:5" x14ac:dyDescent="0.2">
      <c r="B455" s="9"/>
      <c r="C455" s="110" t="s">
        <v>260</v>
      </c>
      <c r="D455" s="110"/>
      <c r="E455" s="110"/>
    </row>
    <row r="456" spans="2:5" ht="13.5" thickBot="1" x14ac:dyDescent="0.25">
      <c r="B456" s="9" t="s">
        <v>17</v>
      </c>
      <c r="E456" s="8"/>
    </row>
    <row r="457" spans="2:5" ht="13.5" thickBot="1" x14ac:dyDescent="0.25">
      <c r="B457" s="103" t="s">
        <v>270</v>
      </c>
      <c r="C457" s="104"/>
      <c r="D457" s="104"/>
      <c r="E457" s="105"/>
    </row>
    <row r="458" spans="2:5" ht="13.5" thickBot="1" x14ac:dyDescent="0.25">
      <c r="B458" s="103" t="s">
        <v>203</v>
      </c>
      <c r="C458" s="105"/>
      <c r="D458" s="82" t="s">
        <v>11</v>
      </c>
      <c r="E458" s="82" t="s">
        <v>85</v>
      </c>
    </row>
    <row r="459" spans="2:5" x14ac:dyDescent="0.2">
      <c r="B459" s="106" t="s">
        <v>204</v>
      </c>
      <c r="C459" s="106"/>
      <c r="D459" s="83">
        <v>2</v>
      </c>
      <c r="E459" s="86" t="s">
        <v>211</v>
      </c>
    </row>
    <row r="460" spans="2:5" x14ac:dyDescent="0.2">
      <c r="B460" s="107" t="s">
        <v>205</v>
      </c>
      <c r="C460" s="107"/>
      <c r="D460" s="84">
        <v>3</v>
      </c>
      <c r="E460" s="85" t="s">
        <v>213</v>
      </c>
    </row>
    <row r="461" spans="2:5" x14ac:dyDescent="0.2">
      <c r="B461" s="107" t="s">
        <v>206</v>
      </c>
      <c r="C461" s="107"/>
      <c r="D461" s="84">
        <v>3</v>
      </c>
      <c r="E461" s="85" t="s">
        <v>214</v>
      </c>
    </row>
    <row r="462" spans="2:5" x14ac:dyDescent="0.2">
      <c r="B462" s="107" t="s">
        <v>208</v>
      </c>
      <c r="C462" s="107"/>
      <c r="D462" s="84">
        <v>9</v>
      </c>
      <c r="E462" s="85" t="s">
        <v>212</v>
      </c>
    </row>
    <row r="463" spans="2:5" x14ac:dyDescent="0.2">
      <c r="B463" s="107" t="s">
        <v>209</v>
      </c>
      <c r="C463" s="107"/>
      <c r="D463" s="84">
        <v>1</v>
      </c>
      <c r="E463" s="85" t="s">
        <v>242</v>
      </c>
    </row>
    <row r="464" spans="2:5" x14ac:dyDescent="0.2">
      <c r="B464" s="96" t="s">
        <v>207</v>
      </c>
      <c r="C464" s="97"/>
      <c r="D464" s="84">
        <v>0</v>
      </c>
      <c r="E464" s="85" t="s">
        <v>215</v>
      </c>
    </row>
    <row r="465" spans="2:5" x14ac:dyDescent="0.2">
      <c r="B465" s="111" t="s">
        <v>245</v>
      </c>
      <c r="C465" s="112"/>
      <c r="D465" s="84">
        <v>2</v>
      </c>
      <c r="E465" s="85" t="s">
        <v>268</v>
      </c>
    </row>
    <row r="466" spans="2:5" ht="13.5" thickBot="1" x14ac:dyDescent="0.25">
      <c r="B466" s="96" t="s">
        <v>246</v>
      </c>
      <c r="C466" s="97"/>
      <c r="D466" s="84">
        <v>2</v>
      </c>
      <c r="E466" s="85" t="s">
        <v>269</v>
      </c>
    </row>
    <row r="467" spans="2:5" ht="36" customHeight="1" thickBot="1" x14ac:dyDescent="0.25">
      <c r="B467" s="100" t="s">
        <v>293</v>
      </c>
      <c r="C467" s="101"/>
      <c r="D467" s="101"/>
      <c r="E467" s="102"/>
    </row>
    <row r="468" spans="2:5" x14ac:dyDescent="0.2">
      <c r="B468" s="9" t="s">
        <v>18</v>
      </c>
      <c r="E468" s="8"/>
    </row>
    <row r="469" spans="2:5" x14ac:dyDescent="0.2">
      <c r="B469" s="10"/>
      <c r="C469" s="98" t="s">
        <v>24</v>
      </c>
      <c r="D469" s="98"/>
      <c r="E469" s="98"/>
    </row>
    <row r="470" spans="2:5" x14ac:dyDescent="0.2">
      <c r="B470" s="9" t="s">
        <v>19</v>
      </c>
      <c r="C470" s="11"/>
      <c r="D470" s="11"/>
      <c r="E470" s="12"/>
    </row>
    <row r="471" spans="2:5" x14ac:dyDescent="0.2">
      <c r="B471" s="10"/>
      <c r="C471" s="98" t="s">
        <v>86</v>
      </c>
      <c r="D471" s="98"/>
      <c r="E471" s="98"/>
    </row>
    <row r="472" spans="2:5" x14ac:dyDescent="0.2">
      <c r="B472" s="9" t="s">
        <v>20</v>
      </c>
      <c r="E472" s="8"/>
    </row>
    <row r="473" spans="2:5" x14ac:dyDescent="0.2">
      <c r="B473" s="9"/>
      <c r="C473" s="99" t="s">
        <v>25</v>
      </c>
      <c r="D473" s="99"/>
      <c r="E473" s="99"/>
    </row>
    <row r="474" spans="2:5" ht="13.5" thickBot="1" x14ac:dyDescent="0.25">
      <c r="B474" s="13"/>
      <c r="C474" s="14"/>
      <c r="D474" s="29"/>
      <c r="E474" s="15"/>
    </row>
    <row r="475" spans="2:5" ht="13.5" thickBot="1" x14ac:dyDescent="0.25"/>
    <row r="476" spans="2:5" x14ac:dyDescent="0.2">
      <c r="B476" s="4" t="s">
        <v>102</v>
      </c>
      <c r="C476" s="5"/>
      <c r="D476" s="27"/>
      <c r="E476" s="6"/>
    </row>
    <row r="477" spans="2:5" x14ac:dyDescent="0.2">
      <c r="B477" s="7"/>
      <c r="E477" s="8"/>
    </row>
    <row r="478" spans="2:5" x14ac:dyDescent="0.2">
      <c r="B478" s="9" t="s">
        <v>16</v>
      </c>
      <c r="E478" s="8"/>
    </row>
    <row r="479" spans="2:5" x14ac:dyDescent="0.2">
      <c r="B479" s="9"/>
      <c r="C479" s="110" t="s">
        <v>262</v>
      </c>
      <c r="D479" s="110"/>
      <c r="E479" s="110"/>
    </row>
    <row r="480" spans="2:5" ht="13.5" thickBot="1" x14ac:dyDescent="0.25">
      <c r="B480" s="9" t="s">
        <v>17</v>
      </c>
      <c r="E480" s="8"/>
    </row>
    <row r="481" spans="2:5" ht="13.5" thickBot="1" x14ac:dyDescent="0.25">
      <c r="B481" s="103" t="s">
        <v>270</v>
      </c>
      <c r="C481" s="104"/>
      <c r="D481" s="104"/>
      <c r="E481" s="105"/>
    </row>
    <row r="482" spans="2:5" ht="13.5" thickBot="1" x14ac:dyDescent="0.25">
      <c r="B482" s="103" t="s">
        <v>203</v>
      </c>
      <c r="C482" s="105"/>
      <c r="D482" s="82" t="s">
        <v>11</v>
      </c>
      <c r="E482" s="82" t="s">
        <v>85</v>
      </c>
    </row>
    <row r="483" spans="2:5" x14ac:dyDescent="0.2">
      <c r="B483" s="106" t="s">
        <v>204</v>
      </c>
      <c r="C483" s="106"/>
      <c r="D483" s="83">
        <v>2</v>
      </c>
      <c r="E483" s="86" t="s">
        <v>211</v>
      </c>
    </row>
    <row r="484" spans="2:5" x14ac:dyDescent="0.2">
      <c r="B484" s="107" t="s">
        <v>205</v>
      </c>
      <c r="C484" s="107"/>
      <c r="D484" s="84">
        <v>3</v>
      </c>
      <c r="E484" s="85" t="s">
        <v>213</v>
      </c>
    </row>
    <row r="485" spans="2:5" x14ac:dyDescent="0.2">
      <c r="B485" s="107" t="s">
        <v>206</v>
      </c>
      <c r="C485" s="107"/>
      <c r="D485" s="84">
        <v>3</v>
      </c>
      <c r="E485" s="85" t="s">
        <v>214</v>
      </c>
    </row>
    <row r="486" spans="2:5" x14ac:dyDescent="0.2">
      <c r="B486" s="107" t="s">
        <v>208</v>
      </c>
      <c r="C486" s="107"/>
      <c r="D486" s="84">
        <v>9</v>
      </c>
      <c r="E486" s="85" t="s">
        <v>212</v>
      </c>
    </row>
    <row r="487" spans="2:5" x14ac:dyDescent="0.2">
      <c r="B487" s="107" t="s">
        <v>209</v>
      </c>
      <c r="C487" s="107"/>
      <c r="D487" s="84">
        <v>1</v>
      </c>
      <c r="E487" s="85" t="s">
        <v>242</v>
      </c>
    </row>
    <row r="488" spans="2:5" x14ac:dyDescent="0.2">
      <c r="B488" s="96" t="s">
        <v>207</v>
      </c>
      <c r="C488" s="97"/>
      <c r="D488" s="84">
        <v>0</v>
      </c>
      <c r="E488" s="85" t="s">
        <v>215</v>
      </c>
    </row>
    <row r="489" spans="2:5" x14ac:dyDescent="0.2">
      <c r="B489" s="111" t="s">
        <v>245</v>
      </c>
      <c r="C489" s="112"/>
      <c r="D489" s="84">
        <v>2</v>
      </c>
      <c r="E489" s="85" t="s">
        <v>268</v>
      </c>
    </row>
    <row r="490" spans="2:5" ht="13.5" thickBot="1" x14ac:dyDescent="0.25">
      <c r="B490" s="96" t="s">
        <v>246</v>
      </c>
      <c r="C490" s="97"/>
      <c r="D490" s="84">
        <v>2</v>
      </c>
      <c r="E490" s="85" t="s">
        <v>269</v>
      </c>
    </row>
    <row r="491" spans="2:5" ht="25.5" customHeight="1" thickBot="1" x14ac:dyDescent="0.25">
      <c r="B491" s="100" t="s">
        <v>294</v>
      </c>
      <c r="C491" s="101"/>
      <c r="D491" s="101"/>
      <c r="E491" s="102"/>
    </row>
    <row r="492" spans="2:5" x14ac:dyDescent="0.2">
      <c r="B492" s="9" t="s">
        <v>18</v>
      </c>
      <c r="E492" s="8"/>
    </row>
    <row r="493" spans="2:5" x14ac:dyDescent="0.2">
      <c r="B493" s="10"/>
      <c r="C493" s="98" t="s">
        <v>24</v>
      </c>
      <c r="D493" s="98"/>
      <c r="E493" s="98"/>
    </row>
    <row r="494" spans="2:5" x14ac:dyDescent="0.2">
      <c r="B494" s="9" t="s">
        <v>19</v>
      </c>
      <c r="C494" s="11"/>
      <c r="D494" s="11"/>
      <c r="E494" s="12"/>
    </row>
    <row r="495" spans="2:5" x14ac:dyDescent="0.2">
      <c r="B495" s="10"/>
      <c r="C495" s="98" t="s">
        <v>86</v>
      </c>
      <c r="D495" s="98"/>
      <c r="E495" s="98"/>
    </row>
    <row r="496" spans="2:5" x14ac:dyDescent="0.2">
      <c r="B496" s="9" t="s">
        <v>20</v>
      </c>
      <c r="E496" s="8"/>
    </row>
    <row r="497" spans="2:5" x14ac:dyDescent="0.2">
      <c r="B497" s="9"/>
      <c r="C497" s="99" t="s">
        <v>25</v>
      </c>
      <c r="D497" s="99"/>
      <c r="E497" s="99"/>
    </row>
    <row r="498" spans="2:5" ht="13.5" thickBot="1" x14ac:dyDescent="0.25">
      <c r="B498" s="13"/>
      <c r="C498" s="14"/>
      <c r="D498" s="29"/>
      <c r="E498" s="15"/>
    </row>
    <row r="500" spans="2:5" ht="13.5" thickBot="1" x14ac:dyDescent="0.25"/>
    <row r="501" spans="2:5" x14ac:dyDescent="0.2">
      <c r="B501" s="4" t="s">
        <v>103</v>
      </c>
      <c r="C501" s="5"/>
      <c r="D501" s="27"/>
      <c r="E501" s="6"/>
    </row>
    <row r="502" spans="2:5" x14ac:dyDescent="0.2">
      <c r="B502" s="7"/>
      <c r="E502" s="8"/>
    </row>
    <row r="503" spans="2:5" x14ac:dyDescent="0.2">
      <c r="B503" s="9" t="s">
        <v>16</v>
      </c>
      <c r="E503" s="8"/>
    </row>
    <row r="504" spans="2:5" x14ac:dyDescent="0.2">
      <c r="B504" s="9"/>
      <c r="C504" s="110" t="s">
        <v>279</v>
      </c>
      <c r="D504" s="110"/>
      <c r="E504" s="110"/>
    </row>
    <row r="505" spans="2:5" ht="13.5" thickBot="1" x14ac:dyDescent="0.25">
      <c r="B505" s="9" t="s">
        <v>17</v>
      </c>
      <c r="E505" s="8"/>
    </row>
    <row r="506" spans="2:5" ht="13.5" thickBot="1" x14ac:dyDescent="0.25">
      <c r="B506" s="103" t="s">
        <v>83</v>
      </c>
      <c r="C506" s="104"/>
      <c r="D506" s="104"/>
      <c r="E506" s="105"/>
    </row>
    <row r="507" spans="2:5" ht="13.5" thickBot="1" x14ac:dyDescent="0.25">
      <c r="B507" s="103" t="s">
        <v>203</v>
      </c>
      <c r="C507" s="105"/>
      <c r="D507" s="82" t="s">
        <v>11</v>
      </c>
      <c r="E507" s="82" t="s">
        <v>85</v>
      </c>
    </row>
    <row r="508" spans="2:5" x14ac:dyDescent="0.2">
      <c r="B508" s="106" t="s">
        <v>204</v>
      </c>
      <c r="C508" s="106"/>
      <c r="D508" s="83">
        <v>0</v>
      </c>
      <c r="E508" s="86" t="s">
        <v>211</v>
      </c>
    </row>
    <row r="509" spans="2:5" x14ac:dyDescent="0.2">
      <c r="B509" s="107" t="s">
        <v>205</v>
      </c>
      <c r="C509" s="107"/>
      <c r="D509" s="84">
        <v>0</v>
      </c>
      <c r="E509" s="85" t="s">
        <v>213</v>
      </c>
    </row>
    <row r="510" spans="2:5" x14ac:dyDescent="0.2">
      <c r="B510" s="107" t="s">
        <v>206</v>
      </c>
      <c r="C510" s="107"/>
      <c r="D510" s="84">
        <v>0</v>
      </c>
      <c r="E510" s="85" t="s">
        <v>214</v>
      </c>
    </row>
    <row r="511" spans="2:5" x14ac:dyDescent="0.2">
      <c r="B511" s="107" t="s">
        <v>208</v>
      </c>
      <c r="C511" s="107"/>
      <c r="D511" s="84">
        <v>0</v>
      </c>
      <c r="E511" s="85" t="s">
        <v>212</v>
      </c>
    </row>
    <row r="512" spans="2:5" x14ac:dyDescent="0.2">
      <c r="B512" s="107" t="s">
        <v>209</v>
      </c>
      <c r="C512" s="107"/>
      <c r="D512" s="84">
        <v>0</v>
      </c>
      <c r="E512" s="85" t="s">
        <v>242</v>
      </c>
    </row>
    <row r="513" spans="2:5" x14ac:dyDescent="0.2">
      <c r="B513" s="96" t="s">
        <v>207</v>
      </c>
      <c r="C513" s="97"/>
      <c r="D513" s="84">
        <v>0</v>
      </c>
      <c r="E513" s="85" t="s">
        <v>215</v>
      </c>
    </row>
    <row r="514" spans="2:5" x14ac:dyDescent="0.2">
      <c r="B514" s="111" t="s">
        <v>245</v>
      </c>
      <c r="C514" s="112"/>
      <c r="D514" s="84">
        <v>0</v>
      </c>
      <c r="E514" s="85" t="s">
        <v>268</v>
      </c>
    </row>
    <row r="515" spans="2:5" ht="13.5" thickBot="1" x14ac:dyDescent="0.25">
      <c r="B515" s="96" t="s">
        <v>246</v>
      </c>
      <c r="C515" s="97"/>
      <c r="D515" s="84">
        <v>5</v>
      </c>
      <c r="E515" s="85" t="s">
        <v>269</v>
      </c>
    </row>
    <row r="516" spans="2:5" ht="13.5" customHeight="1" thickBot="1" x14ac:dyDescent="0.25">
      <c r="B516" s="100" t="s">
        <v>265</v>
      </c>
      <c r="C516" s="101"/>
      <c r="D516" s="101"/>
      <c r="E516" s="102"/>
    </row>
    <row r="517" spans="2:5" x14ac:dyDescent="0.2">
      <c r="B517" s="9" t="s">
        <v>18</v>
      </c>
      <c r="E517" s="8"/>
    </row>
    <row r="518" spans="2:5" x14ac:dyDescent="0.2">
      <c r="B518" s="10"/>
      <c r="C518" s="98" t="s">
        <v>24</v>
      </c>
      <c r="D518" s="98"/>
      <c r="E518" s="98"/>
    </row>
    <row r="519" spans="2:5" x14ac:dyDescent="0.2">
      <c r="B519" s="9" t="s">
        <v>19</v>
      </c>
      <c r="C519" s="11"/>
      <c r="D519" s="11"/>
      <c r="E519" s="12"/>
    </row>
    <row r="520" spans="2:5" x14ac:dyDescent="0.2">
      <c r="B520" s="10"/>
      <c r="C520" s="98" t="s">
        <v>86</v>
      </c>
      <c r="D520" s="98"/>
      <c r="E520" s="98"/>
    </row>
    <row r="521" spans="2:5" x14ac:dyDescent="0.2">
      <c r="B521" s="9" t="s">
        <v>20</v>
      </c>
      <c r="E521" s="8"/>
    </row>
    <row r="522" spans="2:5" x14ac:dyDescent="0.2">
      <c r="B522" s="9"/>
      <c r="C522" s="99" t="s">
        <v>25</v>
      </c>
      <c r="D522" s="99"/>
      <c r="E522" s="99"/>
    </row>
    <row r="523" spans="2:5" ht="13.5" thickBot="1" x14ac:dyDescent="0.25">
      <c r="B523" s="13"/>
      <c r="C523" s="14"/>
      <c r="D523" s="29"/>
      <c r="E523" s="15"/>
    </row>
  </sheetData>
  <mergeCells count="317">
    <mergeCell ref="A1:I1"/>
    <mergeCell ref="B514:C514"/>
    <mergeCell ref="B515:C515"/>
    <mergeCell ref="B516:E516"/>
    <mergeCell ref="C518:E518"/>
    <mergeCell ref="C520:E520"/>
    <mergeCell ref="C522:E522"/>
    <mergeCell ref="B512:C512"/>
    <mergeCell ref="C504:E504"/>
    <mergeCell ref="B506:E506"/>
    <mergeCell ref="B507:C507"/>
    <mergeCell ref="B508:C508"/>
    <mergeCell ref="B509:C509"/>
    <mergeCell ref="B510:C510"/>
    <mergeCell ref="B511:C511"/>
    <mergeCell ref="B513:C513"/>
    <mergeCell ref="B46:C46"/>
    <mergeCell ref="B47:C47"/>
    <mergeCell ref="C151:E151"/>
    <mergeCell ref="C153:E153"/>
    <mergeCell ref="C159:E159"/>
    <mergeCell ref="B193:C193"/>
    <mergeCell ref="B194:C194"/>
    <mergeCell ref="C199:E199"/>
    <mergeCell ref="C201:E201"/>
    <mergeCell ref="B145:C145"/>
    <mergeCell ref="B146:C146"/>
    <mergeCell ref="B169:C169"/>
    <mergeCell ref="B170:C170"/>
    <mergeCell ref="B141:C141"/>
    <mergeCell ref="B142:C142"/>
    <mergeCell ref="B143:C143"/>
    <mergeCell ref="B144:C144"/>
    <mergeCell ref="B147:E147"/>
    <mergeCell ref="C149:E149"/>
    <mergeCell ref="B161:E161"/>
    <mergeCell ref="B162:C162"/>
    <mergeCell ref="B163:C163"/>
    <mergeCell ref="B164:C164"/>
    <mergeCell ref="B165:C165"/>
    <mergeCell ref="B166:C166"/>
    <mergeCell ref="B167:C167"/>
    <mergeCell ref="B168:C168"/>
    <mergeCell ref="B171:E171"/>
    <mergeCell ref="B367:C367"/>
    <mergeCell ref="B366:C366"/>
    <mergeCell ref="B368:E368"/>
    <mergeCell ref="C370:E370"/>
    <mergeCell ref="C372:E372"/>
    <mergeCell ref="C374:E374"/>
    <mergeCell ref="C77:E77"/>
    <mergeCell ref="C79:E79"/>
    <mergeCell ref="C85:E85"/>
    <mergeCell ref="B140:C140"/>
    <mergeCell ref="B95:C95"/>
    <mergeCell ref="B96:C96"/>
    <mergeCell ref="B92:C92"/>
    <mergeCell ref="B93:C93"/>
    <mergeCell ref="B94:C94"/>
    <mergeCell ref="B97:E97"/>
    <mergeCell ref="C99:E99"/>
    <mergeCell ref="C101:E101"/>
    <mergeCell ref="C103:E103"/>
    <mergeCell ref="B218:C218"/>
    <mergeCell ref="C208:E208"/>
    <mergeCell ref="B210:E210"/>
    <mergeCell ref="B211:C211"/>
    <mergeCell ref="B212:C212"/>
    <mergeCell ref="C356:E356"/>
    <mergeCell ref="B358:E358"/>
    <mergeCell ref="B359:C359"/>
    <mergeCell ref="B360:C360"/>
    <mergeCell ref="B361:C361"/>
    <mergeCell ref="B362:C362"/>
    <mergeCell ref="B363:C363"/>
    <mergeCell ref="B364:C364"/>
    <mergeCell ref="B365:C365"/>
    <mergeCell ref="C347:E347"/>
    <mergeCell ref="C349:E349"/>
    <mergeCell ref="B317:C317"/>
    <mergeCell ref="B318:C318"/>
    <mergeCell ref="B341:C341"/>
    <mergeCell ref="B342:C342"/>
    <mergeCell ref="B334:C334"/>
    <mergeCell ref="B335:C335"/>
    <mergeCell ref="B336:C336"/>
    <mergeCell ref="B337:C337"/>
    <mergeCell ref="B338:C338"/>
    <mergeCell ref="B339:C339"/>
    <mergeCell ref="B340:C340"/>
    <mergeCell ref="B343:E343"/>
    <mergeCell ref="C345:E345"/>
    <mergeCell ref="B315:C315"/>
    <mergeCell ref="B316:C316"/>
    <mergeCell ref="B319:E319"/>
    <mergeCell ref="C321:E321"/>
    <mergeCell ref="C323:E323"/>
    <mergeCell ref="C325:E325"/>
    <mergeCell ref="C331:E331"/>
    <mergeCell ref="B333:E333"/>
    <mergeCell ref="B293:C293"/>
    <mergeCell ref="B294:C294"/>
    <mergeCell ref="C301:E301"/>
    <mergeCell ref="C305:E305"/>
    <mergeCell ref="C307:E307"/>
    <mergeCell ref="B309:E309"/>
    <mergeCell ref="B310:C310"/>
    <mergeCell ref="B311:C311"/>
    <mergeCell ref="B312:C312"/>
    <mergeCell ref="B313:C313"/>
    <mergeCell ref="B314:C314"/>
    <mergeCell ref="C306:E306"/>
    <mergeCell ref="B289:C289"/>
    <mergeCell ref="C282:E282"/>
    <mergeCell ref="B290:C290"/>
    <mergeCell ref="B291:C291"/>
    <mergeCell ref="B292:C292"/>
    <mergeCell ref="B295:E295"/>
    <mergeCell ref="C297:E297"/>
    <mergeCell ref="C299:E299"/>
    <mergeCell ref="B269:C269"/>
    <mergeCell ref="B270:C270"/>
    <mergeCell ref="B271:E271"/>
    <mergeCell ref="C273:E273"/>
    <mergeCell ref="C275:E275"/>
    <mergeCell ref="C277:E277"/>
    <mergeCell ref="C281:E281"/>
    <mergeCell ref="C283:E283"/>
    <mergeCell ref="B285:E285"/>
    <mergeCell ref="B286:C286"/>
    <mergeCell ref="B287:C287"/>
    <mergeCell ref="B261:E261"/>
    <mergeCell ref="B262:C262"/>
    <mergeCell ref="B263:C263"/>
    <mergeCell ref="B264:C264"/>
    <mergeCell ref="B265:C265"/>
    <mergeCell ref="B266:C266"/>
    <mergeCell ref="B267:C267"/>
    <mergeCell ref="B268:C268"/>
    <mergeCell ref="B288:C288"/>
    <mergeCell ref="B242:C242"/>
    <mergeCell ref="B245:E245"/>
    <mergeCell ref="C247:E247"/>
    <mergeCell ref="C249:E249"/>
    <mergeCell ref="C251:E251"/>
    <mergeCell ref="B243:C243"/>
    <mergeCell ref="B244:C244"/>
    <mergeCell ref="C257:E257"/>
    <mergeCell ref="C259:E259"/>
    <mergeCell ref="B216:C216"/>
    <mergeCell ref="C233:E233"/>
    <mergeCell ref="B235:E235"/>
    <mergeCell ref="B236:C236"/>
    <mergeCell ref="B237:C237"/>
    <mergeCell ref="B238:C238"/>
    <mergeCell ref="B239:C239"/>
    <mergeCell ref="B240:C240"/>
    <mergeCell ref="B241:C241"/>
    <mergeCell ref="C60:E60"/>
    <mergeCell ref="C222:E222"/>
    <mergeCell ref="C224:E224"/>
    <mergeCell ref="C226:E226"/>
    <mergeCell ref="C173:E173"/>
    <mergeCell ref="C175:E175"/>
    <mergeCell ref="C177:E177"/>
    <mergeCell ref="C183:E183"/>
    <mergeCell ref="B185:E185"/>
    <mergeCell ref="B186:C186"/>
    <mergeCell ref="B217:C217"/>
    <mergeCell ref="B220:E220"/>
    <mergeCell ref="B219:C219"/>
    <mergeCell ref="B187:C187"/>
    <mergeCell ref="B188:C188"/>
    <mergeCell ref="B189:C189"/>
    <mergeCell ref="B190:C190"/>
    <mergeCell ref="B191:C191"/>
    <mergeCell ref="B192:C192"/>
    <mergeCell ref="B195:E195"/>
    <mergeCell ref="C197:E197"/>
    <mergeCell ref="B213:C213"/>
    <mergeCell ref="B214:C214"/>
    <mergeCell ref="B215:C215"/>
    <mergeCell ref="B87:E87"/>
    <mergeCell ref="B88:C88"/>
    <mergeCell ref="B89:C89"/>
    <mergeCell ref="B90:C90"/>
    <mergeCell ref="B91:C91"/>
    <mergeCell ref="B71:C71"/>
    <mergeCell ref="B72:C72"/>
    <mergeCell ref="B64:C64"/>
    <mergeCell ref="B65:C65"/>
    <mergeCell ref="B66:C66"/>
    <mergeCell ref="B67:C67"/>
    <mergeCell ref="B68:C68"/>
    <mergeCell ref="B69:C69"/>
    <mergeCell ref="B70:C70"/>
    <mergeCell ref="B73:E73"/>
    <mergeCell ref="C75:E75"/>
    <mergeCell ref="C419:E419"/>
    <mergeCell ref="C421:E421"/>
    <mergeCell ref="C423:E423"/>
    <mergeCell ref="A3:B3"/>
    <mergeCell ref="C3:E3"/>
    <mergeCell ref="A4:B4"/>
    <mergeCell ref="C4:E4"/>
    <mergeCell ref="A5:B5"/>
    <mergeCell ref="A6:B6"/>
    <mergeCell ref="C36:E36"/>
    <mergeCell ref="B38:E38"/>
    <mergeCell ref="B39:C39"/>
    <mergeCell ref="B40:C40"/>
    <mergeCell ref="B41:C41"/>
    <mergeCell ref="B42:C42"/>
    <mergeCell ref="B43:C43"/>
    <mergeCell ref="B44:C44"/>
    <mergeCell ref="B45:C45"/>
    <mergeCell ref="B48:E48"/>
    <mergeCell ref="C50:E50"/>
    <mergeCell ref="C52:E52"/>
    <mergeCell ref="C54:E54"/>
    <mergeCell ref="C61:E61"/>
    <mergeCell ref="B63:E63"/>
    <mergeCell ref="B466:C466"/>
    <mergeCell ref="B467:E467"/>
    <mergeCell ref="C469:E469"/>
    <mergeCell ref="C471:E471"/>
    <mergeCell ref="C431:E431"/>
    <mergeCell ref="C493:E493"/>
    <mergeCell ref="C495:E495"/>
    <mergeCell ref="C497:E497"/>
    <mergeCell ref="C473:E473"/>
    <mergeCell ref="C479:E479"/>
    <mergeCell ref="B481:E481"/>
    <mergeCell ref="B482:C482"/>
    <mergeCell ref="B485:C485"/>
    <mergeCell ref="B486:C486"/>
    <mergeCell ref="B487:C487"/>
    <mergeCell ref="B488:C488"/>
    <mergeCell ref="B489:C489"/>
    <mergeCell ref="B490:C490"/>
    <mergeCell ref="B491:E491"/>
    <mergeCell ref="B483:C483"/>
    <mergeCell ref="B484:C484"/>
    <mergeCell ref="B462:C462"/>
    <mergeCell ref="B433:E433"/>
    <mergeCell ref="B434:C434"/>
    <mergeCell ref="B463:C463"/>
    <mergeCell ref="B464:C464"/>
    <mergeCell ref="B465:C465"/>
    <mergeCell ref="B435:C435"/>
    <mergeCell ref="B436:C436"/>
    <mergeCell ref="B437:C437"/>
    <mergeCell ref="B438:C438"/>
    <mergeCell ref="B439:C439"/>
    <mergeCell ref="B440:C440"/>
    <mergeCell ref="B441:C441"/>
    <mergeCell ref="B442:C442"/>
    <mergeCell ref="B443:E443"/>
    <mergeCell ref="C445:E445"/>
    <mergeCell ref="C447:E447"/>
    <mergeCell ref="C449:E449"/>
    <mergeCell ref="B458:C458"/>
    <mergeCell ref="B459:C459"/>
    <mergeCell ref="B460:C460"/>
    <mergeCell ref="B461:C461"/>
    <mergeCell ref="C455:E455"/>
    <mergeCell ref="B457:E457"/>
    <mergeCell ref="C109:E109"/>
    <mergeCell ref="C158:E158"/>
    <mergeCell ref="C110:E110"/>
    <mergeCell ref="B112:E112"/>
    <mergeCell ref="B113:C113"/>
    <mergeCell ref="B114:C114"/>
    <mergeCell ref="B115:C115"/>
    <mergeCell ref="B116:C116"/>
    <mergeCell ref="B117:C117"/>
    <mergeCell ref="B118:C118"/>
    <mergeCell ref="B119:C119"/>
    <mergeCell ref="B122:E122"/>
    <mergeCell ref="C124:E124"/>
    <mergeCell ref="C126:E126"/>
    <mergeCell ref="C128:E128"/>
    <mergeCell ref="B137:E137"/>
    <mergeCell ref="B138:C138"/>
    <mergeCell ref="B139:C139"/>
    <mergeCell ref="C135:E135"/>
    <mergeCell ref="B120:C120"/>
    <mergeCell ref="B121:C121"/>
    <mergeCell ref="C380:E380"/>
    <mergeCell ref="C404:E404"/>
    <mergeCell ref="B392:C392"/>
    <mergeCell ref="B393:E393"/>
    <mergeCell ref="B407:E407"/>
    <mergeCell ref="B408:C408"/>
    <mergeCell ref="B409:C409"/>
    <mergeCell ref="B410:C410"/>
    <mergeCell ref="B411:C411"/>
    <mergeCell ref="B390:C390"/>
    <mergeCell ref="B391:C391"/>
    <mergeCell ref="B416:C416"/>
    <mergeCell ref="C395:E395"/>
    <mergeCell ref="C397:E397"/>
    <mergeCell ref="C399:E399"/>
    <mergeCell ref="C405:E405"/>
    <mergeCell ref="B417:E417"/>
    <mergeCell ref="C381:E381"/>
    <mergeCell ref="B383:E383"/>
    <mergeCell ref="B384:C384"/>
    <mergeCell ref="B385:C385"/>
    <mergeCell ref="B386:C386"/>
    <mergeCell ref="B387:C387"/>
    <mergeCell ref="B388:C388"/>
    <mergeCell ref="B389:C389"/>
    <mergeCell ref="B412:C412"/>
    <mergeCell ref="B413:C413"/>
    <mergeCell ref="B414:C414"/>
    <mergeCell ref="B415:C415"/>
  </mergeCells>
  <phoneticPr fontId="17" type="noConversion"/>
  <pageMargins left="0" right="0" top="0" bottom="0" header="0" footer="0"/>
  <pageSetup paperSize="5"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1" customWidth="1"/>
    <col min="2" max="2" width="15.5703125" style="1" customWidth="1"/>
    <col min="3" max="3" width="32.42578125" style="1" customWidth="1"/>
    <col min="4" max="4" width="10" style="28" customWidth="1"/>
    <col min="5" max="5" width="168.28515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18" t="s">
        <v>0</v>
      </c>
      <c r="C1" s="118"/>
      <c r="D1" s="118"/>
      <c r="E1" s="118"/>
      <c r="F1" s="118"/>
      <c r="G1" s="118"/>
      <c r="H1" s="118"/>
    </row>
    <row r="2" spans="1:9" ht="6" customHeight="1" x14ac:dyDescent="0.2"/>
    <row r="3" spans="1:9" ht="16.5" customHeight="1" x14ac:dyDescent="0.25">
      <c r="A3" s="113" t="s">
        <v>1</v>
      </c>
      <c r="B3" s="113"/>
      <c r="C3" s="131" t="s">
        <v>27</v>
      </c>
      <c r="D3" s="131"/>
      <c r="E3" s="131"/>
      <c r="F3" s="2"/>
      <c r="G3" s="3"/>
      <c r="H3" s="2"/>
    </row>
    <row r="4" spans="1:9" ht="17.25" customHeight="1" x14ac:dyDescent="0.25">
      <c r="A4" s="113" t="s">
        <v>2</v>
      </c>
      <c r="B4" s="113"/>
      <c r="C4" s="131" t="s">
        <v>23</v>
      </c>
      <c r="D4" s="131"/>
      <c r="E4" s="131"/>
      <c r="F4" s="2"/>
      <c r="G4" s="3"/>
      <c r="H4" s="2"/>
    </row>
    <row r="5" spans="1:9" ht="15" customHeight="1" x14ac:dyDescent="0.25">
      <c r="A5" s="113" t="s">
        <v>3</v>
      </c>
      <c r="B5" s="113"/>
      <c r="C5" s="16">
        <v>2020</v>
      </c>
      <c r="D5" s="26"/>
      <c r="E5" s="17"/>
      <c r="F5" s="2"/>
      <c r="G5" s="3"/>
      <c r="H5" s="2"/>
    </row>
    <row r="6" spans="1:9" ht="16.5" customHeight="1" x14ac:dyDescent="0.25">
      <c r="A6" s="113" t="s">
        <v>4</v>
      </c>
      <c r="B6" s="113"/>
      <c r="C6" s="16">
        <v>3</v>
      </c>
      <c r="D6" s="26"/>
      <c r="E6" s="17"/>
      <c r="F6" s="2"/>
      <c r="G6" s="3"/>
      <c r="H6" s="2"/>
    </row>
    <row r="7" spans="1:9" ht="7.5" customHeight="1" thickBot="1" x14ac:dyDescent="0.25">
      <c r="B7" s="2"/>
      <c r="C7" s="3"/>
      <c r="D7" s="3"/>
      <c r="E7" s="2"/>
      <c r="F7" s="2"/>
      <c r="G7" s="3"/>
      <c r="H7" s="2"/>
    </row>
    <row r="8" spans="1:9" ht="39" thickBot="1" x14ac:dyDescent="0.25">
      <c r="A8" s="19" t="s">
        <v>5</v>
      </c>
      <c r="B8" s="24" t="s">
        <v>6</v>
      </c>
      <c r="C8" s="24" t="s">
        <v>7</v>
      </c>
      <c r="D8" s="23" t="s">
        <v>8</v>
      </c>
      <c r="E8" s="24" t="s">
        <v>9</v>
      </c>
      <c r="F8" s="20" t="s">
        <v>10</v>
      </c>
      <c r="G8" s="21" t="s">
        <v>11</v>
      </c>
      <c r="H8" s="21" t="s">
        <v>12</v>
      </c>
      <c r="I8" s="22" t="s">
        <v>13</v>
      </c>
    </row>
    <row r="9" spans="1:9" ht="15.75" customHeight="1" x14ac:dyDescent="0.2">
      <c r="A9" s="30">
        <v>1</v>
      </c>
      <c r="B9" s="31" t="s">
        <v>28</v>
      </c>
      <c r="C9" s="31" t="s">
        <v>22</v>
      </c>
      <c r="D9" s="32" t="str">
        <f>LEFT(B9,5)</f>
        <v>2.1.1</v>
      </c>
      <c r="E9" s="31" t="s">
        <v>36</v>
      </c>
      <c r="F9" s="33" t="s">
        <v>71</v>
      </c>
      <c r="G9" s="34">
        <v>7164</v>
      </c>
      <c r="H9" s="35"/>
      <c r="I9" s="36"/>
    </row>
    <row r="10" spans="1:9" x14ac:dyDescent="0.2">
      <c r="A10" s="37">
        <v>2</v>
      </c>
      <c r="B10" s="38" t="s">
        <v>29</v>
      </c>
      <c r="C10" s="38" t="s">
        <v>22</v>
      </c>
      <c r="D10" s="39" t="s">
        <v>35</v>
      </c>
      <c r="E10" s="38" t="s">
        <v>37</v>
      </c>
      <c r="F10" s="40" t="s">
        <v>71</v>
      </c>
      <c r="G10" s="41">
        <v>5232</v>
      </c>
      <c r="H10" s="42"/>
      <c r="I10" s="43"/>
    </row>
    <row r="11" spans="1:9" x14ac:dyDescent="0.2">
      <c r="A11" s="37">
        <v>3</v>
      </c>
      <c r="B11" s="44" t="s">
        <v>195</v>
      </c>
      <c r="C11" s="44" t="s">
        <v>22</v>
      </c>
      <c r="D11" s="45" t="s">
        <v>35</v>
      </c>
      <c r="E11" s="44" t="s">
        <v>194</v>
      </c>
      <c r="F11" s="46" t="s">
        <v>71</v>
      </c>
      <c r="G11" s="41">
        <v>9504</v>
      </c>
      <c r="H11" s="42"/>
      <c r="I11" s="43"/>
    </row>
    <row r="12" spans="1:9" x14ac:dyDescent="0.2">
      <c r="A12" s="37">
        <v>4</v>
      </c>
      <c r="B12" s="44" t="s">
        <v>197</v>
      </c>
      <c r="C12" s="44" t="s">
        <v>22</v>
      </c>
      <c r="D12" s="47" t="str">
        <f>LEFT(B12,5)</f>
        <v>2.1.1</v>
      </c>
      <c r="E12" s="44" t="s">
        <v>196</v>
      </c>
      <c r="F12" s="46" t="s">
        <v>71</v>
      </c>
      <c r="G12" s="41">
        <v>9504</v>
      </c>
      <c r="H12" s="42"/>
      <c r="I12" s="43"/>
    </row>
    <row r="13" spans="1:9" x14ac:dyDescent="0.2">
      <c r="A13" s="37">
        <v>5</v>
      </c>
      <c r="B13" s="38" t="s">
        <v>30</v>
      </c>
      <c r="C13" s="38" t="s">
        <v>22</v>
      </c>
      <c r="D13" s="39" t="s">
        <v>35</v>
      </c>
      <c r="E13" s="38" t="s">
        <v>38</v>
      </c>
      <c r="F13" s="40" t="s">
        <v>71</v>
      </c>
      <c r="G13" s="41">
        <v>4284</v>
      </c>
      <c r="H13" s="42"/>
      <c r="I13" s="43"/>
    </row>
    <row r="14" spans="1:9" x14ac:dyDescent="0.2">
      <c r="A14" s="37">
        <v>6</v>
      </c>
      <c r="B14" s="38" t="s">
        <v>31</v>
      </c>
      <c r="C14" s="38" t="s">
        <v>22</v>
      </c>
      <c r="D14" s="39" t="s">
        <v>35</v>
      </c>
      <c r="E14" s="38" t="s">
        <v>39</v>
      </c>
      <c r="F14" s="40" t="s">
        <v>71</v>
      </c>
      <c r="G14" s="41">
        <v>12828</v>
      </c>
      <c r="H14" s="42"/>
      <c r="I14" s="43"/>
    </row>
    <row r="15" spans="1:9" x14ac:dyDescent="0.2">
      <c r="A15" s="37">
        <v>7</v>
      </c>
      <c r="B15" s="38" t="s">
        <v>32</v>
      </c>
      <c r="C15" s="38" t="s">
        <v>22</v>
      </c>
      <c r="D15" s="39" t="str">
        <f t="shared" ref="D15:D34" si="0">LEFT(B15,5)</f>
        <v>2.1.1</v>
      </c>
      <c r="E15" s="38" t="s">
        <v>40</v>
      </c>
      <c r="F15" s="40" t="s">
        <v>71</v>
      </c>
      <c r="G15" s="41">
        <v>8544</v>
      </c>
      <c r="H15" s="42"/>
      <c r="I15" s="43"/>
    </row>
    <row r="16" spans="1:9" x14ac:dyDescent="0.2">
      <c r="A16" s="37">
        <v>8</v>
      </c>
      <c r="B16" s="44" t="s">
        <v>192</v>
      </c>
      <c r="C16" s="38" t="s">
        <v>22</v>
      </c>
      <c r="D16" s="39" t="s">
        <v>35</v>
      </c>
      <c r="E16" s="38" t="s">
        <v>193</v>
      </c>
      <c r="F16" s="40" t="s">
        <v>71</v>
      </c>
      <c r="G16" s="41">
        <v>2412</v>
      </c>
      <c r="H16" s="42"/>
      <c r="I16" s="43"/>
    </row>
    <row r="17" spans="1:9" x14ac:dyDescent="0.2">
      <c r="A17" s="37">
        <v>9</v>
      </c>
      <c r="B17" s="38" t="s">
        <v>33</v>
      </c>
      <c r="C17" s="38" t="s">
        <v>22</v>
      </c>
      <c r="D17" s="39" t="str">
        <f t="shared" si="0"/>
        <v>2.1.1</v>
      </c>
      <c r="E17" s="38" t="s">
        <v>41</v>
      </c>
      <c r="F17" s="40" t="s">
        <v>72</v>
      </c>
      <c r="G17" s="41">
        <v>13296</v>
      </c>
      <c r="H17" s="42"/>
      <c r="I17" s="43"/>
    </row>
    <row r="18" spans="1:9" x14ac:dyDescent="0.2">
      <c r="A18" s="37">
        <v>10</v>
      </c>
      <c r="B18" s="38" t="s">
        <v>34</v>
      </c>
      <c r="C18" s="38" t="s">
        <v>22</v>
      </c>
      <c r="D18" s="39" t="str">
        <f t="shared" si="0"/>
        <v>2.1.1</v>
      </c>
      <c r="E18" s="38" t="s">
        <v>42</v>
      </c>
      <c r="F18" s="40" t="s">
        <v>72</v>
      </c>
      <c r="G18" s="41">
        <v>16668</v>
      </c>
      <c r="H18" s="42"/>
      <c r="I18" s="43"/>
    </row>
    <row r="19" spans="1:9" x14ac:dyDescent="0.2">
      <c r="A19" s="37">
        <v>11</v>
      </c>
      <c r="B19" s="38" t="s">
        <v>43</v>
      </c>
      <c r="C19" s="38" t="s">
        <v>22</v>
      </c>
      <c r="D19" s="39" t="str">
        <f t="shared" si="0"/>
        <v>2.1.1</v>
      </c>
      <c r="E19" s="38" t="s">
        <v>50</v>
      </c>
      <c r="F19" s="48" t="s">
        <v>72</v>
      </c>
      <c r="G19" s="49">
        <v>10464</v>
      </c>
      <c r="H19" s="42"/>
      <c r="I19" s="43"/>
    </row>
    <row r="20" spans="1:9" x14ac:dyDescent="0.2">
      <c r="A20" s="37">
        <v>12</v>
      </c>
      <c r="B20" s="38" t="s">
        <v>44</v>
      </c>
      <c r="C20" s="38" t="s">
        <v>22</v>
      </c>
      <c r="D20" s="39" t="s">
        <v>35</v>
      </c>
      <c r="E20" s="38" t="s">
        <v>51</v>
      </c>
      <c r="F20" s="40" t="s">
        <v>14</v>
      </c>
      <c r="G20" s="41">
        <v>14256</v>
      </c>
      <c r="H20" s="42"/>
      <c r="I20" s="43"/>
    </row>
    <row r="21" spans="1:9" x14ac:dyDescent="0.2">
      <c r="A21" s="37">
        <v>13</v>
      </c>
      <c r="B21" s="38" t="s">
        <v>45</v>
      </c>
      <c r="C21" s="38" t="s">
        <v>22</v>
      </c>
      <c r="D21" s="39" t="str">
        <f>LEFT(B21,5)</f>
        <v>2.1.1</v>
      </c>
      <c r="E21" s="38" t="s">
        <v>52</v>
      </c>
      <c r="F21" s="40" t="s">
        <v>14</v>
      </c>
      <c r="G21" s="41">
        <v>1440</v>
      </c>
      <c r="H21" s="42"/>
      <c r="I21" s="43"/>
    </row>
    <row r="22" spans="1:9" x14ac:dyDescent="0.2">
      <c r="A22" s="37">
        <v>14</v>
      </c>
      <c r="B22" s="50" t="s">
        <v>67</v>
      </c>
      <c r="C22" s="50" t="s">
        <v>22</v>
      </c>
      <c r="D22" s="39" t="str">
        <f t="shared" si="0"/>
        <v>2.1.1</v>
      </c>
      <c r="E22" s="50" t="s">
        <v>68</v>
      </c>
      <c r="F22" s="40" t="s">
        <v>72</v>
      </c>
      <c r="G22" s="41">
        <v>4752</v>
      </c>
      <c r="H22" s="42"/>
      <c r="I22" s="43"/>
    </row>
    <row r="23" spans="1:9" x14ac:dyDescent="0.2">
      <c r="A23" s="37">
        <v>15</v>
      </c>
      <c r="B23" s="38" t="s">
        <v>46</v>
      </c>
      <c r="C23" s="38" t="s">
        <v>22</v>
      </c>
      <c r="D23" s="39" t="s">
        <v>35</v>
      </c>
      <c r="E23" s="38" t="s">
        <v>53</v>
      </c>
      <c r="F23" s="40" t="s">
        <v>14</v>
      </c>
      <c r="G23" s="41">
        <v>2856</v>
      </c>
      <c r="H23" s="42"/>
      <c r="I23" s="43"/>
    </row>
    <row r="24" spans="1:9" x14ac:dyDescent="0.2">
      <c r="A24" s="37">
        <v>16</v>
      </c>
      <c r="B24" s="38" t="s">
        <v>47</v>
      </c>
      <c r="C24" s="38" t="s">
        <v>22</v>
      </c>
      <c r="D24" s="39" t="str">
        <f>LEFT(B24,5)</f>
        <v>2.1.1</v>
      </c>
      <c r="E24" s="38" t="s">
        <v>54</v>
      </c>
      <c r="F24" s="40" t="s">
        <v>72</v>
      </c>
      <c r="G24" s="41">
        <v>9504</v>
      </c>
      <c r="H24" s="42"/>
      <c r="I24" s="43"/>
    </row>
    <row r="25" spans="1:9" x14ac:dyDescent="0.2">
      <c r="A25" s="37">
        <v>17</v>
      </c>
      <c r="B25" s="38" t="s">
        <v>48</v>
      </c>
      <c r="C25" s="38" t="s">
        <v>22</v>
      </c>
      <c r="D25" s="39" t="str">
        <f t="shared" si="0"/>
        <v>2.1.1</v>
      </c>
      <c r="E25" s="38" t="s">
        <v>55</v>
      </c>
      <c r="F25" s="40" t="s">
        <v>72</v>
      </c>
      <c r="G25" s="41">
        <v>4752</v>
      </c>
      <c r="H25" s="42"/>
      <c r="I25" s="43"/>
    </row>
    <row r="26" spans="1:9" x14ac:dyDescent="0.2">
      <c r="A26" s="37">
        <v>18</v>
      </c>
      <c r="B26" s="38" t="s">
        <v>49</v>
      </c>
      <c r="C26" s="38" t="s">
        <v>22</v>
      </c>
      <c r="D26" s="39" t="str">
        <f t="shared" si="0"/>
        <v>2.1.1</v>
      </c>
      <c r="E26" s="38" t="s">
        <v>56</v>
      </c>
      <c r="F26" s="40" t="s">
        <v>72</v>
      </c>
      <c r="G26" s="41">
        <v>8544</v>
      </c>
      <c r="H26" s="42"/>
      <c r="I26" s="43"/>
    </row>
    <row r="27" spans="1:9" x14ac:dyDescent="0.2">
      <c r="A27" s="37">
        <v>19</v>
      </c>
      <c r="B27" s="38" t="s">
        <v>73</v>
      </c>
      <c r="C27" s="38" t="s">
        <v>22</v>
      </c>
      <c r="D27" s="39" t="str">
        <f t="shared" si="0"/>
        <v>2.1.1</v>
      </c>
      <c r="E27" s="38" t="s">
        <v>74</v>
      </c>
      <c r="F27" s="40" t="s">
        <v>72</v>
      </c>
      <c r="G27" s="41">
        <v>7164</v>
      </c>
      <c r="H27" s="42"/>
      <c r="I27" s="43"/>
    </row>
    <row r="28" spans="1:9" x14ac:dyDescent="0.2">
      <c r="A28" s="37">
        <v>20</v>
      </c>
      <c r="B28" s="38" t="s">
        <v>69</v>
      </c>
      <c r="C28" s="38" t="s">
        <v>22</v>
      </c>
      <c r="D28" s="39" t="s">
        <v>35</v>
      </c>
      <c r="E28" s="38" t="s">
        <v>70</v>
      </c>
      <c r="F28" s="40" t="s">
        <v>72</v>
      </c>
      <c r="G28" s="41">
        <v>19008</v>
      </c>
      <c r="H28" s="42"/>
      <c r="I28" s="43"/>
    </row>
    <row r="29" spans="1:9" x14ac:dyDescent="0.2">
      <c r="A29" s="37">
        <v>21</v>
      </c>
      <c r="B29" s="38" t="s">
        <v>57</v>
      </c>
      <c r="C29" s="38" t="s">
        <v>22</v>
      </c>
      <c r="D29" s="39" t="s">
        <v>35</v>
      </c>
      <c r="E29" s="38" t="s">
        <v>62</v>
      </c>
      <c r="F29" s="40" t="s">
        <v>72</v>
      </c>
      <c r="G29" s="51">
        <v>120</v>
      </c>
      <c r="H29" s="42"/>
      <c r="I29" s="43"/>
    </row>
    <row r="30" spans="1:9" x14ac:dyDescent="0.2">
      <c r="A30" s="37">
        <v>22</v>
      </c>
      <c r="B30" s="38" t="s">
        <v>58</v>
      </c>
      <c r="C30" s="38" t="s">
        <v>22</v>
      </c>
      <c r="D30" s="39" t="str">
        <f t="shared" si="0"/>
        <v>2.1.1</v>
      </c>
      <c r="E30" s="38" t="s">
        <v>63</v>
      </c>
      <c r="F30" s="40" t="s">
        <v>72</v>
      </c>
      <c r="G30" s="41">
        <v>120</v>
      </c>
      <c r="H30" s="42"/>
      <c r="I30" s="43"/>
    </row>
    <row r="31" spans="1:9" x14ac:dyDescent="0.2">
      <c r="A31" s="37">
        <v>23</v>
      </c>
      <c r="B31" s="38" t="s">
        <v>59</v>
      </c>
      <c r="C31" s="38" t="s">
        <v>22</v>
      </c>
      <c r="D31" s="39" t="s">
        <v>35</v>
      </c>
      <c r="E31" s="38" t="s">
        <v>64</v>
      </c>
      <c r="F31" s="40" t="s">
        <v>72</v>
      </c>
      <c r="G31" s="41">
        <v>120</v>
      </c>
      <c r="H31" s="42"/>
      <c r="I31" s="43"/>
    </row>
    <row r="32" spans="1:9" x14ac:dyDescent="0.2">
      <c r="A32" s="37">
        <v>24</v>
      </c>
      <c r="B32" s="38" t="s">
        <v>60</v>
      </c>
      <c r="C32" s="38" t="s">
        <v>22</v>
      </c>
      <c r="D32" s="39" t="s">
        <v>35</v>
      </c>
      <c r="E32" s="38" t="s">
        <v>65</v>
      </c>
      <c r="F32" s="40" t="s">
        <v>72</v>
      </c>
      <c r="G32" s="41">
        <v>120</v>
      </c>
      <c r="H32" s="42"/>
      <c r="I32" s="43"/>
    </row>
    <row r="33" spans="1:9" x14ac:dyDescent="0.2">
      <c r="A33" s="37">
        <v>25</v>
      </c>
      <c r="B33" s="44" t="s">
        <v>199</v>
      </c>
      <c r="C33" s="44" t="s">
        <v>22</v>
      </c>
      <c r="D33" s="47" t="str">
        <f>LEFT(B33,5)</f>
        <v>2.1.1</v>
      </c>
      <c r="E33" s="44" t="s">
        <v>198</v>
      </c>
      <c r="F33" s="46" t="s">
        <v>14</v>
      </c>
      <c r="G33" s="41">
        <v>492</v>
      </c>
      <c r="H33" s="42"/>
      <c r="I33" s="43"/>
    </row>
    <row r="34" spans="1:9" x14ac:dyDescent="0.2">
      <c r="A34" s="37">
        <v>26</v>
      </c>
      <c r="B34" s="38" t="s">
        <v>61</v>
      </c>
      <c r="C34" s="38" t="s">
        <v>22</v>
      </c>
      <c r="D34" s="39" t="str">
        <f t="shared" si="0"/>
        <v>2.1.1</v>
      </c>
      <c r="E34" s="38" t="s">
        <v>66</v>
      </c>
      <c r="F34" s="40" t="s">
        <v>72</v>
      </c>
      <c r="G34" s="41">
        <v>270</v>
      </c>
      <c r="H34" s="52"/>
      <c r="I34" s="53"/>
    </row>
    <row r="35" spans="1:9" x14ac:dyDescent="0.2">
      <c r="A35" s="37">
        <v>27</v>
      </c>
      <c r="B35" s="38" t="s">
        <v>75</v>
      </c>
      <c r="C35" s="38" t="s">
        <v>22</v>
      </c>
      <c r="D35" s="39" t="s">
        <v>35</v>
      </c>
      <c r="E35" s="38" t="s">
        <v>79</v>
      </c>
      <c r="F35" s="54" t="s">
        <v>14</v>
      </c>
      <c r="G35" s="55">
        <v>23760</v>
      </c>
      <c r="H35" s="42"/>
      <c r="I35" s="43"/>
    </row>
    <row r="36" spans="1:9" x14ac:dyDescent="0.2">
      <c r="A36" s="37">
        <v>28</v>
      </c>
      <c r="B36" s="38" t="s">
        <v>76</v>
      </c>
      <c r="C36" s="38" t="s">
        <v>22</v>
      </c>
      <c r="D36" s="39" t="s">
        <v>35</v>
      </c>
      <c r="E36" s="38" t="s">
        <v>80</v>
      </c>
      <c r="F36" s="54" t="s">
        <v>14</v>
      </c>
      <c r="G36" s="55">
        <v>23760</v>
      </c>
      <c r="H36" s="42"/>
      <c r="I36" s="43"/>
    </row>
    <row r="37" spans="1:9" x14ac:dyDescent="0.2">
      <c r="A37" s="37">
        <v>29</v>
      </c>
      <c r="B37" s="38" t="s">
        <v>77</v>
      </c>
      <c r="C37" s="38" t="s">
        <v>22</v>
      </c>
      <c r="D37" s="39" t="str">
        <f>LEFT(B37,5)</f>
        <v>2.1.1</v>
      </c>
      <c r="E37" s="38" t="s">
        <v>81</v>
      </c>
      <c r="F37" s="54" t="s">
        <v>14</v>
      </c>
      <c r="G37" s="55">
        <v>23760</v>
      </c>
      <c r="H37" s="42"/>
      <c r="I37" s="43"/>
    </row>
    <row r="38" spans="1:9" ht="13.5" thickBot="1" x14ac:dyDescent="0.25">
      <c r="A38" s="56">
        <v>30</v>
      </c>
      <c r="B38" s="57" t="s">
        <v>78</v>
      </c>
      <c r="C38" s="57" t="s">
        <v>22</v>
      </c>
      <c r="D38" s="58" t="str">
        <f>LEFT(B38,5)</f>
        <v>2.1.1</v>
      </c>
      <c r="E38" s="57" t="s">
        <v>82</v>
      </c>
      <c r="F38" s="59" t="s">
        <v>14</v>
      </c>
      <c r="G38" s="60">
        <v>23760</v>
      </c>
      <c r="H38" s="61"/>
      <c r="I38" s="62"/>
    </row>
    <row r="41" spans="1:9" x14ac:dyDescent="0.2">
      <c r="B41" s="4" t="s">
        <v>15</v>
      </c>
      <c r="C41" s="5"/>
      <c r="D41" s="27"/>
      <c r="E41" s="6"/>
    </row>
    <row r="42" spans="1:9" ht="5.25" customHeight="1" x14ac:dyDescent="0.2">
      <c r="B42" s="7"/>
      <c r="E42" s="8"/>
    </row>
    <row r="43" spans="1:9" x14ac:dyDescent="0.2">
      <c r="B43" s="9" t="s">
        <v>16</v>
      </c>
      <c r="E43" s="8"/>
    </row>
    <row r="44" spans="1:9" ht="25.5" customHeight="1" x14ac:dyDescent="0.2">
      <c r="B44" s="9"/>
      <c r="C44" s="123"/>
      <c r="D44" s="123"/>
      <c r="E44" s="123"/>
    </row>
    <row r="45" spans="1:9" ht="13.5" thickBot="1" x14ac:dyDescent="0.25">
      <c r="B45" s="9" t="s">
        <v>17</v>
      </c>
      <c r="E45" s="8"/>
    </row>
    <row r="46" spans="1:9" ht="13.5" thickBot="1" x14ac:dyDescent="0.25">
      <c r="B46" s="127" t="s">
        <v>83</v>
      </c>
      <c r="C46" s="132"/>
      <c r="D46" s="132"/>
      <c r="E46" s="128"/>
    </row>
    <row r="47" spans="1:9" ht="13.5" thickBot="1" x14ac:dyDescent="0.25">
      <c r="B47" s="127" t="s">
        <v>84</v>
      </c>
      <c r="C47" s="128"/>
      <c r="D47" s="25" t="s">
        <v>11</v>
      </c>
      <c r="E47" s="25" t="s">
        <v>85</v>
      </c>
    </row>
    <row r="48" spans="1:9" x14ac:dyDescent="0.2">
      <c r="B48" s="129" t="str">
        <f>'[1]COMEDORES EMERGENTES'!$B$3</f>
        <v>UNA SONRISA AV. LOS COBACHO</v>
      </c>
      <c r="C48" s="130"/>
      <c r="D48" s="65" t="s">
        <v>114</v>
      </c>
      <c r="E48" s="66" t="str">
        <f>'[1]COMEDORES EMERGENTES'!$G$3</f>
        <v>Bº SAN CARLOS OESTE AV. Bonifacio cobacho 670</v>
      </c>
    </row>
    <row r="49" spans="2:5" x14ac:dyDescent="0.2">
      <c r="B49" s="119" t="str">
        <f>'[1]COMEDORES EMERGENTES'!$B$4</f>
        <v>C.I.F Nº1 - RIVERA DEL VALLE Y FLORIDA</v>
      </c>
      <c r="C49" s="120"/>
      <c r="D49" s="63" t="s">
        <v>116</v>
      </c>
      <c r="E49" s="64" t="str">
        <f>'[1]COMEDORES EMERGENTES'!$G$4</f>
        <v>AV. RIVIERA DEL VALLE ENTRE FLORIDA Y SANTA FE</v>
      </c>
    </row>
    <row r="50" spans="2:5" x14ac:dyDescent="0.2">
      <c r="B50" s="119" t="str">
        <f>'[1]COMEDORES EMERGENTES'!$B$5</f>
        <v>C.I.F - RIVERA DEL VALLE - DILORENZO</v>
      </c>
      <c r="C50" s="120"/>
      <c r="D50" s="63" t="s">
        <v>117</v>
      </c>
      <c r="E50" s="64" t="str">
        <f>'[1]COMEDORES EMERGENTES'!$G$5</f>
        <v>Bº RIVERA DEL VALLE ENTRE VILLA EUMELIA Y MONTE CRISTO</v>
      </c>
    </row>
    <row r="51" spans="2:5" x14ac:dyDescent="0.2">
      <c r="B51" s="119" t="str">
        <f>'[1]COMEDORES EMERGENTES'!$B$6</f>
        <v>ESFUERZO PROPIO- Bº ALTOS DE CHOYA</v>
      </c>
      <c r="C51" s="120"/>
      <c r="D51" s="63" t="s">
        <v>118</v>
      </c>
      <c r="E51" s="64" t="str">
        <f>'[1]COMEDORES EMERGENTES'!$G$6</f>
        <v>Bº MUNICIPAL 35VV. NORTE C/14</v>
      </c>
    </row>
    <row r="52" spans="2:5" x14ac:dyDescent="0.2">
      <c r="B52" s="119" t="str">
        <f>'[1]COMEDORES EMERGENTES'!$B$7</f>
        <v>ANGELITOS - LOTEO SUSSEX</v>
      </c>
      <c r="C52" s="120"/>
      <c r="D52" s="63" t="s">
        <v>119</v>
      </c>
      <c r="E52" s="64" t="str">
        <f>'[1]COMEDORES EMERGENTES'!$G$7</f>
        <v>Bº LOTEO SUSEX MZA.Nº 4 LOTE Nº3</v>
      </c>
    </row>
    <row r="53" spans="2:5" x14ac:dyDescent="0.2">
      <c r="B53" s="119" t="str">
        <f>'[1]COMEDORES EMERGENTES'!$B$8</f>
        <v>CLUB DEPORTIVO CHACARITA</v>
      </c>
      <c r="C53" s="120"/>
      <c r="D53" s="63" t="s">
        <v>120</v>
      </c>
      <c r="E53" s="64" t="str">
        <f>'[1]COMEDORES EMERGENTES'!$G$8</f>
        <v>CALLE DR.DERMIDIO GALINDEZ C/2660</v>
      </c>
    </row>
    <row r="54" spans="2:5" x14ac:dyDescent="0.2">
      <c r="B54" s="119" t="str">
        <f>'[1]COMEDORES EMERGENTES'!$B$9</f>
        <v>LA MORO</v>
      </c>
      <c r="C54" s="120"/>
      <c r="D54" s="63" t="s">
        <v>115</v>
      </c>
      <c r="E54" s="64" t="str">
        <f>'[1]COMEDORES EMERGENTES'!$G$9</f>
        <v>MAIPU NORTE 1º ETAPA MZA "H" Bº MI JARDIN</v>
      </c>
    </row>
    <row r="55" spans="2:5" x14ac:dyDescent="0.2">
      <c r="B55" s="119" t="str">
        <f>'[1]COMEDORES EMERGENTES'!$B$10</f>
        <v>PAPA FRANCISCO</v>
      </c>
      <c r="C55" s="120"/>
      <c r="D55" s="63" t="s">
        <v>121</v>
      </c>
      <c r="E55" s="64" t="str">
        <f>'[1]COMEDORES EMERGENTES'!$G$10</f>
        <v>ENTRE AV.TEREBINTO Y AV.SAN JUAN LOTE "2" MZA. "B"</v>
      </c>
    </row>
    <row r="56" spans="2:5" x14ac:dyDescent="0.2">
      <c r="B56" s="119" t="str">
        <f>'[1]COMEDORES EMERGENTES'!$B$11</f>
        <v>E.P.C - 100 V.V NORTE</v>
      </c>
      <c r="C56" s="120"/>
      <c r="D56" s="63" t="s">
        <v>122</v>
      </c>
      <c r="E56" s="64" t="str">
        <f>'[1]COMEDORES EMERGENTES'!$G$11</f>
        <v>Bº VV NORTE C/48 ENTRE ESPAÑA Y FRANCIA</v>
      </c>
    </row>
    <row r="57" spans="2:5" x14ac:dyDescent="0.2">
      <c r="B57" s="119" t="str">
        <f>'[1]COMEDORES EMERGENTES'!$B$12</f>
        <v>HOGAR DE CRISTO - PADRE RAUL CONTRERAS</v>
      </c>
      <c r="C57" s="120"/>
      <c r="D57" s="63" t="s">
        <v>122</v>
      </c>
      <c r="E57" s="64" t="str">
        <f>'[1]COMEDORES EMERGENTES'!$G$12</f>
        <v>Bº SANTA MARTA MZA. "S" LOTE "M" C/39</v>
      </c>
    </row>
    <row r="58" spans="2:5" x14ac:dyDescent="0.2">
      <c r="B58" s="119" t="str">
        <f>'[1]COMEDORES EMERGENTES'!$B$13</f>
        <v>LA LUCIERNAGA</v>
      </c>
      <c r="C58" s="120"/>
      <c r="D58" s="63" t="s">
        <v>121</v>
      </c>
      <c r="E58" s="64" t="str">
        <f>'[1]COMEDORES EMERGENTES'!$G$13</f>
        <v>Bº 20 V.V NORTE C/3</v>
      </c>
    </row>
    <row r="59" spans="2:5" x14ac:dyDescent="0.2">
      <c r="B59" s="119" t="str">
        <f>'[1]COMEDORES EMERGENTES'!$B$14</f>
        <v>VALLE VIEJO - SUMALAO</v>
      </c>
      <c r="C59" s="120"/>
      <c r="D59" s="63" t="s">
        <v>123</v>
      </c>
      <c r="E59" s="64" t="str">
        <f>'[1]COMEDORES EMERGENTES'!$G$14</f>
        <v>PADRE SEGURA S/N</v>
      </c>
    </row>
    <row r="60" spans="2:5" x14ac:dyDescent="0.2">
      <c r="B60" s="119" t="str">
        <f>'[1]COMEDORES EMERGENTES'!$B$15</f>
        <v>NUESTRO FUTURO - LAS VIAS</v>
      </c>
      <c r="C60" s="120"/>
      <c r="D60" s="63" t="s">
        <v>121</v>
      </c>
      <c r="E60" s="64" t="str">
        <f>'[1]COMEDORES EMERGENTES'!$G$15</f>
        <v>Bº LAS VIAS OESTE LOTE 42</v>
      </c>
    </row>
    <row r="61" spans="2:5" x14ac:dyDescent="0.2">
      <c r="B61" s="119" t="str">
        <f>'[1]COMEDORES EMERGENTES'!$B$16</f>
        <v>SAN JOSE OBRERO</v>
      </c>
      <c r="C61" s="120"/>
      <c r="D61" s="63" t="s">
        <v>120</v>
      </c>
      <c r="E61" s="64" t="str">
        <f>'[1]COMEDORES EMERGENTES'!$G$16</f>
        <v>Bº SAN JOSE OBRERO. PJE. SANDOVAL S/Nº</v>
      </c>
    </row>
    <row r="62" spans="2:5" x14ac:dyDescent="0.2">
      <c r="B62" s="119" t="str">
        <f>'[1]COMEDORES EMERGENTES'!$B$17</f>
        <v>VIRGEN DE LUJAN</v>
      </c>
      <c r="C62" s="120"/>
      <c r="D62" s="63" t="s">
        <v>121</v>
      </c>
      <c r="E62" s="64" t="str">
        <f>'[1]COMEDORES EMERGENTES'!$G$17</f>
        <v>Bº OJO DE AGUA C/DR.TEODULFO BARRIONUEVO S/Nº</v>
      </c>
    </row>
    <row r="63" spans="2:5" x14ac:dyDescent="0.2">
      <c r="B63" s="119" t="str">
        <f>'[1]COMEDORES EMERGENTES'!$B$18</f>
        <v>RENACER</v>
      </c>
      <c r="C63" s="120"/>
      <c r="D63" s="63" t="s">
        <v>124</v>
      </c>
      <c r="E63" s="64" t="str">
        <f>'[1]COMEDORES EMERGENTES'!$G$18</f>
        <v>Bº VIRGEN MORENITA</v>
      </c>
    </row>
    <row r="64" spans="2:5" x14ac:dyDescent="0.2">
      <c r="B64" s="119" t="str">
        <f>'[1]COMEDORES EMERGENTES'!$B$19</f>
        <v>CENTRO VECINAL MI JARDIN</v>
      </c>
      <c r="C64" s="120"/>
      <c r="D64" s="63" t="s">
        <v>125</v>
      </c>
      <c r="E64" s="64" t="str">
        <f>'[1]COMEDORES EMERGENTES'!$G$19</f>
        <v>C/ LOS TULIPANES ENTRE FLOR DE CEREZO Y HOLANDA MZA.27 Bº MI JARDIN</v>
      </c>
    </row>
    <row r="65" spans="2:5" x14ac:dyDescent="0.2">
      <c r="B65" s="119" t="str">
        <f>'[1]COMEDORES EMERGENTES'!$B$20</f>
        <v>LA VIEJA ESQUINA</v>
      </c>
      <c r="C65" s="120"/>
      <c r="D65" s="63" t="s">
        <v>126</v>
      </c>
      <c r="E65" s="64" t="str">
        <f>'[1]COMEDORES EMERGENTES'!$G$20</f>
        <v>B° CRISTO REY PJE CAPATAZ VILLAFAÑEZ Y ARMANDO CORREA</v>
      </c>
    </row>
    <row r="66" spans="2:5" x14ac:dyDescent="0.2">
      <c r="B66" s="119" t="str">
        <f>'[1]COMEDORES EMERGENTES'!$B$21</f>
        <v>GAUCHITO GIL</v>
      </c>
      <c r="C66" s="120"/>
      <c r="D66" s="63" t="s">
        <v>127</v>
      </c>
      <c r="E66" s="64" t="str">
        <f>'[1]COMEDORES EMERGENTES'!$G$21</f>
        <v>B° 26 VIVIENDAS CASA N° 3</v>
      </c>
    </row>
    <row r="67" spans="2:5" ht="13.5" thickBot="1" x14ac:dyDescent="0.25">
      <c r="B67" s="121" t="str">
        <f>'[1]COMEDORES EMERGENTES'!$B$22</f>
        <v>LOS TOLDOS</v>
      </c>
      <c r="C67" s="122"/>
      <c r="D67" s="67" t="s">
        <v>147</v>
      </c>
      <c r="E67" s="68" t="str">
        <f>'[1]COMEDORES EMERGENTES'!$G$22</f>
        <v>LOTEO PARQUE SUR CALLE S/NOMBRE S/N°</v>
      </c>
    </row>
    <row r="68" spans="2:5" x14ac:dyDescent="0.2">
      <c r="B68" s="9" t="s">
        <v>18</v>
      </c>
      <c r="E68" s="8"/>
    </row>
    <row r="69" spans="2:5" ht="12.75" customHeight="1" x14ac:dyDescent="0.2">
      <c r="B69" s="10"/>
      <c r="C69" s="123" t="s">
        <v>24</v>
      </c>
      <c r="D69" s="123"/>
      <c r="E69" s="123"/>
    </row>
    <row r="70" spans="2:5" x14ac:dyDescent="0.2">
      <c r="B70" s="9" t="s">
        <v>19</v>
      </c>
      <c r="C70" s="11"/>
      <c r="D70" s="11"/>
      <c r="E70" s="12"/>
    </row>
    <row r="71" spans="2:5" ht="14.25" customHeight="1" x14ac:dyDescent="0.2">
      <c r="B71" s="10"/>
      <c r="C71" s="123" t="s">
        <v>86</v>
      </c>
      <c r="D71" s="123"/>
      <c r="E71" s="123"/>
    </row>
    <row r="72" spans="2:5" x14ac:dyDescent="0.2">
      <c r="B72" s="9" t="s">
        <v>20</v>
      </c>
      <c r="E72" s="8"/>
    </row>
    <row r="73" spans="2:5" ht="11.25" customHeight="1" x14ac:dyDescent="0.2">
      <c r="B73" s="9"/>
      <c r="C73" s="124" t="s">
        <v>25</v>
      </c>
      <c r="D73" s="124"/>
      <c r="E73" s="124"/>
    </row>
    <row r="74" spans="2:5" x14ac:dyDescent="0.2">
      <c r="B74" s="13"/>
      <c r="C74" s="14"/>
      <c r="D74" s="29"/>
      <c r="E74" s="15"/>
    </row>
    <row r="75" spans="2:5" ht="13.5" thickBot="1" x14ac:dyDescent="0.25"/>
    <row r="76" spans="2:5" x14ac:dyDescent="0.2">
      <c r="B76" s="4" t="s">
        <v>21</v>
      </c>
      <c r="C76" s="5"/>
      <c r="D76" s="27"/>
      <c r="E76" s="6"/>
    </row>
    <row r="77" spans="2:5" ht="5.25" customHeight="1" x14ac:dyDescent="0.2">
      <c r="B77" s="7"/>
      <c r="E77" s="8"/>
    </row>
    <row r="78" spans="2:5" x14ac:dyDescent="0.2">
      <c r="B78" s="9" t="s">
        <v>16</v>
      </c>
      <c r="E78" s="8"/>
    </row>
    <row r="79" spans="2:5" ht="25.5" customHeight="1" x14ac:dyDescent="0.2">
      <c r="B79" s="9"/>
      <c r="C79" s="123"/>
      <c r="D79" s="123"/>
      <c r="E79" s="123"/>
    </row>
    <row r="80" spans="2:5" ht="13.5" thickBot="1" x14ac:dyDescent="0.25">
      <c r="B80" s="9" t="s">
        <v>17</v>
      </c>
      <c r="E80" s="8"/>
    </row>
    <row r="81" spans="2:5" ht="13.5" thickBot="1" x14ac:dyDescent="0.25">
      <c r="B81" s="127" t="s">
        <v>83</v>
      </c>
      <c r="C81" s="132"/>
      <c r="D81" s="132"/>
      <c r="E81" s="128"/>
    </row>
    <row r="82" spans="2:5" ht="13.5" thickBot="1" x14ac:dyDescent="0.25">
      <c r="B82" s="127" t="s">
        <v>84</v>
      </c>
      <c r="C82" s="128"/>
      <c r="D82" s="25" t="s">
        <v>11</v>
      </c>
      <c r="E82" s="25" t="s">
        <v>85</v>
      </c>
    </row>
    <row r="83" spans="2:5" x14ac:dyDescent="0.2">
      <c r="B83" s="129" t="str">
        <f>'[1]COMEDORES EMERGENTES'!$B$3</f>
        <v>UNA SONRISA AV. LOS COBACHO</v>
      </c>
      <c r="C83" s="130"/>
      <c r="D83" s="65" t="s">
        <v>115</v>
      </c>
      <c r="E83" s="66" t="str">
        <f>'[1]COMEDORES EMERGENTES'!$G$3</f>
        <v>Bº SAN CARLOS OESTE AV. Bonifacio cobacho 670</v>
      </c>
    </row>
    <row r="84" spans="2:5" x14ac:dyDescent="0.2">
      <c r="B84" s="119" t="str">
        <f>'[1]COMEDORES EMERGENTES'!$B$4</f>
        <v>C.I.F Nº1 - RIVERA DEL VALLE Y FLORIDA</v>
      </c>
      <c r="C84" s="120"/>
      <c r="D84" s="63" t="s">
        <v>127</v>
      </c>
      <c r="E84" s="64" t="str">
        <f>'[1]COMEDORES EMERGENTES'!$G$4</f>
        <v>AV. RIVIERA DEL VALLE ENTRE FLORIDA Y SANTA FE</v>
      </c>
    </row>
    <row r="85" spans="2:5" x14ac:dyDescent="0.2">
      <c r="B85" s="119" t="str">
        <f>'[1]COMEDORES EMERGENTES'!$B$5</f>
        <v>C.I.F - RIVERA DEL VALLE - DILORENZO</v>
      </c>
      <c r="C85" s="120"/>
      <c r="D85" s="63" t="s">
        <v>121</v>
      </c>
      <c r="E85" s="64" t="str">
        <f>'[1]COMEDORES EMERGENTES'!$G$5</f>
        <v>Bº RIVERA DEL VALLE ENTRE VILLA EUMELIA Y MONTE CRISTO</v>
      </c>
    </row>
    <row r="86" spans="2:5" x14ac:dyDescent="0.2">
      <c r="B86" s="119" t="str">
        <f>'[1]COMEDORES EMERGENTES'!$B$6</f>
        <v>ESFUERZO PROPIO- Bº ALTOS DE CHOYA</v>
      </c>
      <c r="C86" s="120"/>
      <c r="D86" s="63" t="s">
        <v>114</v>
      </c>
      <c r="E86" s="64" t="str">
        <f>'[1]COMEDORES EMERGENTES'!$G$6</f>
        <v>Bº MUNICIPAL 35VV. NORTE C/14</v>
      </c>
    </row>
    <row r="87" spans="2:5" x14ac:dyDescent="0.2">
      <c r="B87" s="119" t="str">
        <f>'[1]COMEDORES EMERGENTES'!$B$7</f>
        <v>ANGELITOS - LOTEO SUSSEX</v>
      </c>
      <c r="C87" s="120"/>
      <c r="D87" s="63" t="s">
        <v>128</v>
      </c>
      <c r="E87" s="64" t="str">
        <f>'[1]COMEDORES EMERGENTES'!$G$7</f>
        <v>Bº LOTEO SUSEX MZA.Nº 4 LOTE Nº3</v>
      </c>
    </row>
    <row r="88" spans="2:5" x14ac:dyDescent="0.2">
      <c r="B88" s="119" t="str">
        <f>'[1]COMEDORES EMERGENTES'!$B$8</f>
        <v>CLUB DEPORTIVO CHACARITA</v>
      </c>
      <c r="C88" s="120"/>
      <c r="D88" s="63" t="s">
        <v>129</v>
      </c>
      <c r="E88" s="64" t="str">
        <f>'[1]COMEDORES EMERGENTES'!$G$8</f>
        <v>CALLE DR.DERMIDIO GALINDEZ C/2660</v>
      </c>
    </row>
    <row r="89" spans="2:5" x14ac:dyDescent="0.2">
      <c r="B89" s="119" t="str">
        <f>'[1]COMEDORES EMERGENTES'!$B$9</f>
        <v>LA MORO</v>
      </c>
      <c r="C89" s="120"/>
      <c r="D89" s="63" t="s">
        <v>130</v>
      </c>
      <c r="E89" s="64" t="str">
        <f>'[1]COMEDORES EMERGENTES'!$G$9</f>
        <v>MAIPU NORTE 1º ETAPA MZA "H" Bº MI JARDIN</v>
      </c>
    </row>
    <row r="90" spans="2:5" x14ac:dyDescent="0.2">
      <c r="B90" s="119" t="str">
        <f>'[1]COMEDORES EMERGENTES'!$B$10</f>
        <v>PAPA FRANCISCO</v>
      </c>
      <c r="C90" s="120"/>
      <c r="D90" s="63" t="s">
        <v>131</v>
      </c>
      <c r="E90" s="64" t="str">
        <f>'[1]COMEDORES EMERGENTES'!$G$10</f>
        <v>ENTRE AV.TEREBINTO Y AV.SAN JUAN LOTE "2" MZA. "B"</v>
      </c>
    </row>
    <row r="91" spans="2:5" x14ac:dyDescent="0.2">
      <c r="B91" s="119" t="str">
        <f>'[1]COMEDORES EMERGENTES'!$B$11</f>
        <v>E.P.C - 100 V.V NORTE</v>
      </c>
      <c r="C91" s="120"/>
      <c r="D91" s="63" t="s">
        <v>118</v>
      </c>
      <c r="E91" s="64" t="str">
        <f>'[1]COMEDORES EMERGENTES'!$G$11</f>
        <v>Bº VV NORTE C/48 ENTRE ESPAÑA Y FRANCIA</v>
      </c>
    </row>
    <row r="92" spans="2:5" x14ac:dyDescent="0.2">
      <c r="B92" s="119" t="str">
        <f>'[1]COMEDORES EMERGENTES'!$B$12</f>
        <v>HOGAR DE CRISTO - PADRE RAUL CONTRERAS</v>
      </c>
      <c r="C92" s="120"/>
      <c r="D92" s="63" t="s">
        <v>118</v>
      </c>
      <c r="E92" s="64" t="str">
        <f>'[1]COMEDORES EMERGENTES'!$G$12</f>
        <v>Bº SANTA MARTA MZA. "S" LOTE "M" C/39</v>
      </c>
    </row>
    <row r="93" spans="2:5" x14ac:dyDescent="0.2">
      <c r="B93" s="119" t="str">
        <f>'[1]COMEDORES EMERGENTES'!$B$13</f>
        <v>LA LUCIERNAGA</v>
      </c>
      <c r="C93" s="120"/>
      <c r="D93" s="63" t="s">
        <v>131</v>
      </c>
      <c r="E93" s="64" t="str">
        <f>'[1]COMEDORES EMERGENTES'!$G$13</f>
        <v>Bº 20 V.V NORTE C/3</v>
      </c>
    </row>
    <row r="94" spans="2:5" x14ac:dyDescent="0.2">
      <c r="B94" s="119" t="str">
        <f>'[1]COMEDORES EMERGENTES'!$B$14</f>
        <v>VALLE VIEJO - SUMALAO</v>
      </c>
      <c r="C94" s="120"/>
      <c r="D94" s="63" t="s">
        <v>132</v>
      </c>
      <c r="E94" s="64" t="str">
        <f>'[1]COMEDORES EMERGENTES'!$G$14</f>
        <v>PADRE SEGURA S/N</v>
      </c>
    </row>
    <row r="95" spans="2:5" x14ac:dyDescent="0.2">
      <c r="B95" s="119" t="str">
        <f>'[1]COMEDORES EMERGENTES'!$B$15</f>
        <v>NUESTRO FUTURO - LAS VIAS</v>
      </c>
      <c r="C95" s="120"/>
      <c r="D95" s="63" t="s">
        <v>131</v>
      </c>
      <c r="E95" s="64" t="str">
        <f>'[1]COMEDORES EMERGENTES'!$G$15</f>
        <v>Bº LAS VIAS OESTE LOTE 42</v>
      </c>
    </row>
    <row r="96" spans="2:5" x14ac:dyDescent="0.2">
      <c r="B96" s="119" t="str">
        <f>'[1]COMEDORES EMERGENTES'!$B$16</f>
        <v>SAN JOSE OBRERO</v>
      </c>
      <c r="C96" s="120"/>
      <c r="D96" s="63" t="s">
        <v>129</v>
      </c>
      <c r="E96" s="64" t="str">
        <f>'[1]COMEDORES EMERGENTES'!$G$16</f>
        <v>Bº SAN JOSE OBRERO. PJE. SANDOVAL S/Nº</v>
      </c>
    </row>
    <row r="97" spans="2:5" x14ac:dyDescent="0.2">
      <c r="B97" s="119" t="str">
        <f>'[1]COMEDORES EMERGENTES'!$B$17</f>
        <v>VIRGEN DE LUJAN</v>
      </c>
      <c r="C97" s="120"/>
      <c r="D97" s="63" t="s">
        <v>131</v>
      </c>
      <c r="E97" s="64" t="str">
        <f>'[1]COMEDORES EMERGENTES'!$G$17</f>
        <v>Bº OJO DE AGUA C/DR.TEODULFO BARRIONUEVO S/Nº</v>
      </c>
    </row>
    <row r="98" spans="2:5" x14ac:dyDescent="0.2">
      <c r="B98" s="119" t="str">
        <f>'[1]COMEDORES EMERGENTES'!$B$18</f>
        <v>RENACER</v>
      </c>
      <c r="C98" s="120"/>
      <c r="D98" s="63" t="s">
        <v>133</v>
      </c>
      <c r="E98" s="64" t="str">
        <f>'[1]COMEDORES EMERGENTES'!$G$18</f>
        <v>Bº VIRGEN MORENITA</v>
      </c>
    </row>
    <row r="99" spans="2:5" x14ac:dyDescent="0.2">
      <c r="B99" s="119" t="str">
        <f>'[1]COMEDORES EMERGENTES'!$B$19</f>
        <v>CENTRO VECINAL MI JARDIN</v>
      </c>
      <c r="C99" s="120"/>
      <c r="D99" s="63" t="s">
        <v>120</v>
      </c>
      <c r="E99" s="64" t="str">
        <f>'[1]COMEDORES EMERGENTES'!$G$19</f>
        <v>C/ LOS TULIPANES ENTRE FLOR DE CEREZO Y HOLANDA MZA.27 Bº MI JARDIN</v>
      </c>
    </row>
    <row r="100" spans="2:5" x14ac:dyDescent="0.2">
      <c r="B100" s="119" t="str">
        <f>'[1]COMEDORES EMERGENTES'!$B$20</f>
        <v>LA VIEJA ESQUINA</v>
      </c>
      <c r="C100" s="120"/>
      <c r="D100" s="63" t="s">
        <v>134</v>
      </c>
      <c r="E100" s="64" t="str">
        <f>'[1]COMEDORES EMERGENTES'!$G$20</f>
        <v>B° CRISTO REY PJE CAPATAZ VILLAFAÑEZ Y ARMANDO CORREA</v>
      </c>
    </row>
    <row r="101" spans="2:5" x14ac:dyDescent="0.2">
      <c r="B101" s="119" t="str">
        <f>'[1]COMEDORES EMERGENTES'!$B$21</f>
        <v>GAUCHITO GIL</v>
      </c>
      <c r="C101" s="120"/>
      <c r="D101" s="63" t="s">
        <v>115</v>
      </c>
      <c r="E101" s="64" t="str">
        <f>'[1]COMEDORES EMERGENTES'!$G$21</f>
        <v>B° 26 VIVIENDAS CASA N° 3</v>
      </c>
    </row>
    <row r="102" spans="2:5" ht="13.5" thickBot="1" x14ac:dyDescent="0.25">
      <c r="B102" s="121" t="str">
        <f>'[1]COMEDORES EMERGENTES'!$B$22</f>
        <v>LOS TOLDOS</v>
      </c>
      <c r="C102" s="122"/>
      <c r="D102" s="67" t="s">
        <v>146</v>
      </c>
      <c r="E102" s="68" t="str">
        <f>'[1]COMEDORES EMERGENTES'!$G$22</f>
        <v>LOTEO PARQUE SUR CALLE S/NOMBRE S/N°</v>
      </c>
    </row>
    <row r="103" spans="2:5" x14ac:dyDescent="0.2">
      <c r="B103" s="9" t="s">
        <v>18</v>
      </c>
      <c r="E103" s="8"/>
    </row>
    <row r="104" spans="2:5" ht="12.75" customHeight="1" x14ac:dyDescent="0.2">
      <c r="B104" s="10"/>
      <c r="C104" s="123" t="s">
        <v>24</v>
      </c>
      <c r="D104" s="123"/>
      <c r="E104" s="123"/>
    </row>
    <row r="105" spans="2:5" x14ac:dyDescent="0.2">
      <c r="B105" s="9" t="s">
        <v>19</v>
      </c>
      <c r="C105" s="11"/>
      <c r="D105" s="11"/>
      <c r="E105" s="12"/>
    </row>
    <row r="106" spans="2:5" ht="14.25" customHeight="1" x14ac:dyDescent="0.2">
      <c r="B106" s="10"/>
      <c r="C106" s="123" t="s">
        <v>86</v>
      </c>
      <c r="D106" s="123"/>
      <c r="E106" s="123"/>
    </row>
    <row r="107" spans="2:5" x14ac:dyDescent="0.2">
      <c r="B107" s="9" t="s">
        <v>20</v>
      </c>
      <c r="E107" s="8"/>
    </row>
    <row r="108" spans="2:5" ht="11.25" customHeight="1" x14ac:dyDescent="0.2">
      <c r="B108" s="9"/>
      <c r="C108" s="124" t="s">
        <v>25</v>
      </c>
      <c r="D108" s="124"/>
      <c r="E108" s="124"/>
    </row>
    <row r="109" spans="2:5" ht="13.5" thickBot="1" x14ac:dyDescent="0.25">
      <c r="B109" s="13"/>
      <c r="C109" s="14"/>
      <c r="D109" s="29"/>
      <c r="E109" s="15"/>
    </row>
    <row r="110" spans="2:5" ht="13.5" thickBot="1" x14ac:dyDescent="0.25"/>
    <row r="111" spans="2:5" x14ac:dyDescent="0.2">
      <c r="B111" s="4" t="s">
        <v>26</v>
      </c>
      <c r="C111" s="5"/>
      <c r="D111" s="27"/>
      <c r="E111" s="6"/>
    </row>
    <row r="112" spans="2:5" ht="5.25" customHeight="1" x14ac:dyDescent="0.2">
      <c r="B112" s="7"/>
      <c r="E112" s="8"/>
    </row>
    <row r="113" spans="2:5" x14ac:dyDescent="0.2">
      <c r="B113" s="9" t="s">
        <v>16</v>
      </c>
      <c r="E113" s="8"/>
    </row>
    <row r="114" spans="2:5" ht="25.5" customHeight="1" x14ac:dyDescent="0.2">
      <c r="B114" s="9"/>
      <c r="C114" s="125"/>
      <c r="D114" s="125"/>
      <c r="E114" s="126"/>
    </row>
    <row r="115" spans="2:5" ht="13.5" thickBot="1" x14ac:dyDescent="0.25">
      <c r="B115" s="9" t="s">
        <v>17</v>
      </c>
      <c r="E115" s="8"/>
    </row>
    <row r="116" spans="2:5" ht="13.5" thickBot="1" x14ac:dyDescent="0.25">
      <c r="B116" s="127" t="s">
        <v>83</v>
      </c>
      <c r="C116" s="132"/>
      <c r="D116" s="132"/>
      <c r="E116" s="128"/>
    </row>
    <row r="117" spans="2:5" ht="13.5" thickBot="1" x14ac:dyDescent="0.25">
      <c r="B117" s="127" t="s">
        <v>84</v>
      </c>
      <c r="C117" s="128"/>
      <c r="D117" s="25" t="s">
        <v>11</v>
      </c>
      <c r="E117" s="25" t="s">
        <v>85</v>
      </c>
    </row>
    <row r="118" spans="2:5" x14ac:dyDescent="0.2">
      <c r="B118" s="129" t="str">
        <f>'[1]COMEDORES EMERGENTES'!$B$3</f>
        <v>UNA SONRISA AV. LOS COBACHO</v>
      </c>
      <c r="C118" s="130"/>
      <c r="D118" s="65" t="s">
        <v>135</v>
      </c>
      <c r="E118" s="66" t="str">
        <f>'[1]COMEDORES EMERGENTES'!$G$3</f>
        <v>Bº SAN CARLOS OESTE AV. Bonifacio cobacho 670</v>
      </c>
    </row>
    <row r="119" spans="2:5" x14ac:dyDescent="0.2">
      <c r="B119" s="119" t="str">
        <f>'[1]COMEDORES EMERGENTES'!$B$4</f>
        <v>C.I.F Nº1 - RIVERA DEL VALLE Y FLORIDA</v>
      </c>
      <c r="C119" s="120"/>
      <c r="D119" s="63" t="s">
        <v>136</v>
      </c>
      <c r="E119" s="64" t="str">
        <f>'[1]COMEDORES EMERGENTES'!$G$4</f>
        <v>AV. RIVIERA DEL VALLE ENTRE FLORIDA Y SANTA FE</v>
      </c>
    </row>
    <row r="120" spans="2:5" x14ac:dyDescent="0.2">
      <c r="B120" s="119" t="str">
        <f>'[1]COMEDORES EMERGENTES'!$B$5</f>
        <v>C.I.F - RIVERA DEL VALLE - DILORENZO</v>
      </c>
      <c r="C120" s="120"/>
      <c r="D120" s="63" t="s">
        <v>137</v>
      </c>
      <c r="E120" s="64" t="str">
        <f>'[1]COMEDORES EMERGENTES'!$G$5</f>
        <v>Bº RIVERA DEL VALLE ENTRE VILLA EUMELIA Y MONTE CRISTO</v>
      </c>
    </row>
    <row r="121" spans="2:5" x14ac:dyDescent="0.2">
      <c r="B121" s="119" t="str">
        <f>'[1]COMEDORES EMERGENTES'!$B$6</f>
        <v>ESFUERZO PROPIO- Bº ALTOS DE CHOYA</v>
      </c>
      <c r="C121" s="120"/>
      <c r="D121" s="63" t="s">
        <v>138</v>
      </c>
      <c r="E121" s="64" t="str">
        <f>'[1]COMEDORES EMERGENTES'!$G$6</f>
        <v>Bº MUNICIPAL 35VV. NORTE C/14</v>
      </c>
    </row>
    <row r="122" spans="2:5" x14ac:dyDescent="0.2">
      <c r="B122" s="119" t="str">
        <f>'[1]COMEDORES EMERGENTES'!$B$7</f>
        <v>ANGELITOS - LOTEO SUSSEX</v>
      </c>
      <c r="C122" s="120"/>
      <c r="D122" s="63" t="s">
        <v>120</v>
      </c>
      <c r="E122" s="64" t="str">
        <f>'[1]COMEDORES EMERGENTES'!$G$7</f>
        <v>Bº LOTEO SUSEX MZA.Nº 4 LOTE Nº3</v>
      </c>
    </row>
    <row r="123" spans="2:5" x14ac:dyDescent="0.2">
      <c r="B123" s="119" t="str">
        <f>'[1]COMEDORES EMERGENTES'!$B$8</f>
        <v>CLUB DEPORTIVO CHACARITA</v>
      </c>
      <c r="C123" s="120"/>
      <c r="D123" s="63" t="s">
        <v>126</v>
      </c>
      <c r="E123" s="64" t="str">
        <f>'[1]COMEDORES EMERGENTES'!$G$8</f>
        <v>CALLE DR.DERMIDIO GALINDEZ C/2660</v>
      </c>
    </row>
    <row r="124" spans="2:5" x14ac:dyDescent="0.2">
      <c r="B124" s="119" t="str">
        <f>'[1]COMEDORES EMERGENTES'!$B$9</f>
        <v>LA MORO</v>
      </c>
      <c r="C124" s="120"/>
      <c r="D124" s="63" t="s">
        <v>114</v>
      </c>
      <c r="E124" s="64" t="str">
        <f>'[1]COMEDORES EMERGENTES'!$G$9</f>
        <v>MAIPU NORTE 1º ETAPA MZA "H" Bº MI JARDIN</v>
      </c>
    </row>
    <row r="125" spans="2:5" x14ac:dyDescent="0.2">
      <c r="B125" s="119" t="str">
        <f>'[1]COMEDORES EMERGENTES'!$B$10</f>
        <v>PAPA FRANCISCO</v>
      </c>
      <c r="C125" s="120"/>
      <c r="D125" s="63" t="s">
        <v>139</v>
      </c>
      <c r="E125" s="64" t="str">
        <f>'[1]COMEDORES EMERGENTES'!$G$10</f>
        <v>ENTRE AV.TEREBINTO Y AV.SAN JUAN LOTE "2" MZA. "B"</v>
      </c>
    </row>
    <row r="126" spans="2:5" x14ac:dyDescent="0.2">
      <c r="B126" s="119" t="str">
        <f>'[1]COMEDORES EMERGENTES'!$B$11</f>
        <v>E.P.C - 100 V.V NORTE</v>
      </c>
      <c r="C126" s="120"/>
      <c r="D126" s="63" t="s">
        <v>140</v>
      </c>
      <c r="E126" s="64" t="str">
        <f>'[1]COMEDORES EMERGENTES'!$G$11</f>
        <v>Bº VV NORTE C/48 ENTRE ESPAÑA Y FRANCIA</v>
      </c>
    </row>
    <row r="127" spans="2:5" x14ac:dyDescent="0.2">
      <c r="B127" s="119" t="str">
        <f>'[1]COMEDORES EMERGENTES'!$B$12</f>
        <v>HOGAR DE CRISTO - PADRE RAUL CONTRERAS</v>
      </c>
      <c r="C127" s="120"/>
      <c r="D127" s="63" t="s">
        <v>140</v>
      </c>
      <c r="E127" s="64" t="str">
        <f>'[1]COMEDORES EMERGENTES'!$G$12</f>
        <v>Bº SANTA MARTA MZA. "S" LOTE "M" C/39</v>
      </c>
    </row>
    <row r="128" spans="2:5" x14ac:dyDescent="0.2">
      <c r="B128" s="119" t="str">
        <f>'[1]COMEDORES EMERGENTES'!$B$13</f>
        <v>LA LUCIERNAGA</v>
      </c>
      <c r="C128" s="120"/>
      <c r="D128" s="63" t="s">
        <v>139</v>
      </c>
      <c r="E128" s="64" t="str">
        <f>'[1]COMEDORES EMERGENTES'!$G$13</f>
        <v>Bº 20 V.V NORTE C/3</v>
      </c>
    </row>
    <row r="129" spans="2:5" x14ac:dyDescent="0.2">
      <c r="B129" s="119" t="str">
        <f>'[1]COMEDORES EMERGENTES'!$B$14</f>
        <v>VALLE VIEJO - SUMALAO</v>
      </c>
      <c r="C129" s="120"/>
      <c r="D129" s="63" t="s">
        <v>141</v>
      </c>
      <c r="E129" s="64" t="str">
        <f>'[1]COMEDORES EMERGENTES'!$G$14</f>
        <v>PADRE SEGURA S/N</v>
      </c>
    </row>
    <row r="130" spans="2:5" x14ac:dyDescent="0.2">
      <c r="B130" s="119" t="str">
        <f>'[1]COMEDORES EMERGENTES'!$B$15</f>
        <v>NUESTRO FUTURO - LAS VIAS</v>
      </c>
      <c r="C130" s="120"/>
      <c r="D130" s="63" t="s">
        <v>139</v>
      </c>
      <c r="E130" s="64" t="str">
        <f>'[1]COMEDORES EMERGENTES'!$G$15</f>
        <v>Bº LAS VIAS OESTE LOTE 42</v>
      </c>
    </row>
    <row r="131" spans="2:5" x14ac:dyDescent="0.2">
      <c r="B131" s="119" t="str">
        <f>'[1]COMEDORES EMERGENTES'!$B$16</f>
        <v>SAN JOSE OBRERO</v>
      </c>
      <c r="C131" s="120"/>
      <c r="D131" s="63" t="s">
        <v>126</v>
      </c>
      <c r="E131" s="64" t="str">
        <f>'[1]COMEDORES EMERGENTES'!$G$16</f>
        <v>Bº SAN JOSE OBRERO. PJE. SANDOVAL S/Nº</v>
      </c>
    </row>
    <row r="132" spans="2:5" x14ac:dyDescent="0.2">
      <c r="B132" s="119" t="str">
        <f>'[1]COMEDORES EMERGENTES'!$B$17</f>
        <v>VIRGEN DE LUJAN</v>
      </c>
      <c r="C132" s="120"/>
      <c r="D132" s="63" t="s">
        <v>139</v>
      </c>
      <c r="E132" s="64" t="str">
        <f>'[1]COMEDORES EMERGENTES'!$G$17</f>
        <v>Bº OJO DE AGUA C/DR.TEODULFO BARRIONUEVO S/Nº</v>
      </c>
    </row>
    <row r="133" spans="2:5" x14ac:dyDescent="0.2">
      <c r="B133" s="119" t="str">
        <f>'[1]COMEDORES EMERGENTES'!$B$18</f>
        <v>RENACER</v>
      </c>
      <c r="C133" s="120"/>
      <c r="D133" s="63" t="s">
        <v>142</v>
      </c>
      <c r="E133" s="64" t="str">
        <f>'[1]COMEDORES EMERGENTES'!$G$18</f>
        <v>Bº VIRGEN MORENITA</v>
      </c>
    </row>
    <row r="134" spans="2:5" x14ac:dyDescent="0.2">
      <c r="B134" s="119" t="str">
        <f>'[1]COMEDORES EMERGENTES'!$B$19</f>
        <v>CENTRO VECINAL MI JARDIN</v>
      </c>
      <c r="C134" s="120"/>
      <c r="D134" s="63" t="s">
        <v>143</v>
      </c>
      <c r="E134" s="64" t="str">
        <f>'[1]COMEDORES EMERGENTES'!$G$19</f>
        <v>C/ LOS TULIPANES ENTRE FLOR DE CEREZO Y HOLANDA MZA.27 Bº MI JARDIN</v>
      </c>
    </row>
    <row r="135" spans="2:5" x14ac:dyDescent="0.2">
      <c r="B135" s="119" t="str">
        <f>'[1]COMEDORES EMERGENTES'!$B$20</f>
        <v>LA VIEJA ESQUINA</v>
      </c>
      <c r="C135" s="120"/>
      <c r="D135" s="63" t="s">
        <v>144</v>
      </c>
      <c r="E135" s="64" t="str">
        <f>'[1]COMEDORES EMERGENTES'!$G$20</f>
        <v>B° CRISTO REY PJE CAPATAZ VILLAFAÑEZ Y ARMANDO CORREA</v>
      </c>
    </row>
    <row r="136" spans="2:5" x14ac:dyDescent="0.2">
      <c r="B136" s="119" t="str">
        <f>'[1]COMEDORES EMERGENTES'!$B$21</f>
        <v>GAUCHITO GIL</v>
      </c>
      <c r="C136" s="120"/>
      <c r="D136" s="63" t="s">
        <v>144</v>
      </c>
      <c r="E136" s="64" t="str">
        <f>'[1]COMEDORES EMERGENTES'!$G$21</f>
        <v>B° 26 VIVIENDAS CASA N° 3</v>
      </c>
    </row>
    <row r="137" spans="2:5" ht="13.5" thickBot="1" x14ac:dyDescent="0.25">
      <c r="B137" s="121" t="str">
        <f>'[1]COMEDORES EMERGENTES'!$B$22</f>
        <v>LOS TOLDOS</v>
      </c>
      <c r="C137" s="122"/>
      <c r="D137" s="67" t="s">
        <v>149</v>
      </c>
      <c r="E137" s="68" t="str">
        <f>'[1]COMEDORES EMERGENTES'!$G$22</f>
        <v>LOTEO PARQUE SUR CALLE S/NOMBRE S/N°</v>
      </c>
    </row>
    <row r="138" spans="2:5" x14ac:dyDescent="0.2">
      <c r="B138" s="9" t="s">
        <v>18</v>
      </c>
      <c r="E138" s="8"/>
    </row>
    <row r="139" spans="2:5" ht="12.75" customHeight="1" x14ac:dyDescent="0.2">
      <c r="B139" s="10"/>
      <c r="C139" s="123" t="s">
        <v>24</v>
      </c>
      <c r="D139" s="123"/>
      <c r="E139" s="123"/>
    </row>
    <row r="140" spans="2:5" x14ac:dyDescent="0.2">
      <c r="B140" s="9" t="s">
        <v>19</v>
      </c>
      <c r="C140" s="11"/>
      <c r="D140" s="11"/>
      <c r="E140" s="12"/>
    </row>
    <row r="141" spans="2:5" ht="14.25" customHeight="1" x14ac:dyDescent="0.2">
      <c r="B141" s="10"/>
      <c r="C141" s="123" t="s">
        <v>86</v>
      </c>
      <c r="D141" s="123"/>
      <c r="E141" s="123"/>
    </row>
    <row r="142" spans="2:5" x14ac:dyDescent="0.2">
      <c r="B142" s="9" t="s">
        <v>20</v>
      </c>
      <c r="E142" s="8"/>
    </row>
    <row r="143" spans="2:5" ht="11.25" customHeight="1" x14ac:dyDescent="0.2">
      <c r="B143" s="9"/>
      <c r="C143" s="124" t="s">
        <v>25</v>
      </c>
      <c r="D143" s="124"/>
      <c r="E143" s="124"/>
    </row>
    <row r="144" spans="2:5" ht="13.5" thickBot="1" x14ac:dyDescent="0.25">
      <c r="B144" s="13"/>
      <c r="C144" s="14"/>
      <c r="D144" s="29"/>
      <c r="E144" s="15"/>
    </row>
    <row r="145" spans="2:5" ht="13.5" thickBot="1" x14ac:dyDescent="0.25"/>
    <row r="146" spans="2:5" x14ac:dyDescent="0.2">
      <c r="B146" s="4" t="s">
        <v>87</v>
      </c>
      <c r="C146" s="5"/>
      <c r="D146" s="27"/>
      <c r="E146" s="6"/>
    </row>
    <row r="147" spans="2:5" ht="5.25" customHeight="1" x14ac:dyDescent="0.2">
      <c r="B147" s="7"/>
      <c r="E147" s="8"/>
    </row>
    <row r="148" spans="2:5" x14ac:dyDescent="0.2">
      <c r="B148" s="9" t="s">
        <v>16</v>
      </c>
      <c r="E148" s="8"/>
    </row>
    <row r="149" spans="2:5" ht="25.5" customHeight="1" x14ac:dyDescent="0.2">
      <c r="B149" s="9"/>
      <c r="C149" s="125"/>
      <c r="D149" s="125"/>
      <c r="E149" s="126"/>
    </row>
    <row r="150" spans="2:5" ht="13.5" thickBot="1" x14ac:dyDescent="0.25">
      <c r="B150" s="9" t="s">
        <v>17</v>
      </c>
      <c r="E150" s="8"/>
    </row>
    <row r="151" spans="2:5" ht="13.5" thickBot="1" x14ac:dyDescent="0.25">
      <c r="B151" s="127" t="s">
        <v>83</v>
      </c>
      <c r="C151" s="132"/>
      <c r="D151" s="132"/>
      <c r="E151" s="128"/>
    </row>
    <row r="152" spans="2:5" ht="13.5" thickBot="1" x14ac:dyDescent="0.25">
      <c r="B152" s="127" t="s">
        <v>84</v>
      </c>
      <c r="C152" s="128"/>
      <c r="D152" s="25" t="s">
        <v>11</v>
      </c>
      <c r="E152" s="25" t="s">
        <v>85</v>
      </c>
    </row>
    <row r="153" spans="2:5" x14ac:dyDescent="0.2">
      <c r="B153" s="129" t="str">
        <f>'[1]COMEDORES EMERGENTES'!$B$3</f>
        <v>UNA SONRISA AV. LOS COBACHO</v>
      </c>
      <c r="C153" s="130"/>
      <c r="D153" s="65" t="s">
        <v>135</v>
      </c>
      <c r="E153" s="66" t="str">
        <f>'[1]COMEDORES EMERGENTES'!$G$3</f>
        <v>Bº SAN CARLOS OESTE AV. Bonifacio cobacho 670</v>
      </c>
    </row>
    <row r="154" spans="2:5" x14ac:dyDescent="0.2">
      <c r="B154" s="119" t="str">
        <f>'[1]COMEDORES EMERGENTES'!$B$4</f>
        <v>C.I.F Nº1 - RIVERA DEL VALLE Y FLORIDA</v>
      </c>
      <c r="C154" s="120"/>
      <c r="D154" s="63" t="s">
        <v>136</v>
      </c>
      <c r="E154" s="64" t="str">
        <f>'[1]COMEDORES EMERGENTES'!$G$4</f>
        <v>AV. RIVIERA DEL VALLE ENTRE FLORIDA Y SANTA FE</v>
      </c>
    </row>
    <row r="155" spans="2:5" x14ac:dyDescent="0.2">
      <c r="B155" s="119" t="str">
        <f>'[1]COMEDORES EMERGENTES'!$B$5</f>
        <v>C.I.F - RIVERA DEL VALLE - DILORENZO</v>
      </c>
      <c r="C155" s="120"/>
      <c r="D155" s="63" t="s">
        <v>137</v>
      </c>
      <c r="E155" s="64" t="str">
        <f>'[1]COMEDORES EMERGENTES'!$G$5</f>
        <v>Bº RIVERA DEL VALLE ENTRE VILLA EUMELIA Y MONTE CRISTO</v>
      </c>
    </row>
    <row r="156" spans="2:5" x14ac:dyDescent="0.2">
      <c r="B156" s="119" t="str">
        <f>'[1]COMEDORES EMERGENTES'!$B$6</f>
        <v>ESFUERZO PROPIO- Bº ALTOS DE CHOYA</v>
      </c>
      <c r="C156" s="120"/>
      <c r="D156" s="63" t="s">
        <v>138</v>
      </c>
      <c r="E156" s="64" t="str">
        <f>'[1]COMEDORES EMERGENTES'!$G$6</f>
        <v>Bº MUNICIPAL 35VV. NORTE C/14</v>
      </c>
    </row>
    <row r="157" spans="2:5" x14ac:dyDescent="0.2">
      <c r="B157" s="119" t="str">
        <f>'[1]COMEDORES EMERGENTES'!$B$7</f>
        <v>ANGELITOS - LOTEO SUSSEX</v>
      </c>
      <c r="C157" s="120"/>
      <c r="D157" s="63" t="s">
        <v>120</v>
      </c>
      <c r="E157" s="64" t="str">
        <f>'[1]COMEDORES EMERGENTES'!$G$7</f>
        <v>Bº LOTEO SUSEX MZA.Nº 4 LOTE Nº3</v>
      </c>
    </row>
    <row r="158" spans="2:5" x14ac:dyDescent="0.2">
      <c r="B158" s="119" t="str">
        <f>'[1]COMEDORES EMERGENTES'!$B$8</f>
        <v>CLUB DEPORTIVO CHACARITA</v>
      </c>
      <c r="C158" s="120"/>
      <c r="D158" s="63" t="s">
        <v>126</v>
      </c>
      <c r="E158" s="64" t="str">
        <f>'[1]COMEDORES EMERGENTES'!$G$8</f>
        <v>CALLE DR.DERMIDIO GALINDEZ C/2660</v>
      </c>
    </row>
    <row r="159" spans="2:5" x14ac:dyDescent="0.2">
      <c r="B159" s="119" t="str">
        <f>'[1]COMEDORES EMERGENTES'!$B$9</f>
        <v>LA MORO</v>
      </c>
      <c r="C159" s="120"/>
      <c r="D159" s="63" t="s">
        <v>114</v>
      </c>
      <c r="E159" s="64" t="str">
        <f>'[1]COMEDORES EMERGENTES'!$G$9</f>
        <v>MAIPU NORTE 1º ETAPA MZA "H" Bº MI JARDIN</v>
      </c>
    </row>
    <row r="160" spans="2:5" x14ac:dyDescent="0.2">
      <c r="B160" s="119" t="str">
        <f>'[1]COMEDORES EMERGENTES'!$B$10</f>
        <v>PAPA FRANCISCO</v>
      </c>
      <c r="C160" s="120"/>
      <c r="D160" s="63" t="s">
        <v>139</v>
      </c>
      <c r="E160" s="64" t="str">
        <f>'[1]COMEDORES EMERGENTES'!$G$10</f>
        <v>ENTRE AV.TEREBINTO Y AV.SAN JUAN LOTE "2" MZA. "B"</v>
      </c>
    </row>
    <row r="161" spans="2:5" x14ac:dyDescent="0.2">
      <c r="B161" s="119" t="str">
        <f>'[1]COMEDORES EMERGENTES'!$B$11</f>
        <v>E.P.C - 100 V.V NORTE</v>
      </c>
      <c r="C161" s="120"/>
      <c r="D161" s="63" t="s">
        <v>140</v>
      </c>
      <c r="E161" s="64" t="str">
        <f>'[1]COMEDORES EMERGENTES'!$G$11</f>
        <v>Bº VV NORTE C/48 ENTRE ESPAÑA Y FRANCIA</v>
      </c>
    </row>
    <row r="162" spans="2:5" x14ac:dyDescent="0.2">
      <c r="B162" s="119" t="str">
        <f>'[1]COMEDORES EMERGENTES'!$B$12</f>
        <v>HOGAR DE CRISTO - PADRE RAUL CONTRERAS</v>
      </c>
      <c r="C162" s="120"/>
      <c r="D162" s="63" t="s">
        <v>140</v>
      </c>
      <c r="E162" s="64" t="str">
        <f>'[1]COMEDORES EMERGENTES'!$G$12</f>
        <v>Bº SANTA MARTA MZA. "S" LOTE "M" C/39</v>
      </c>
    </row>
    <row r="163" spans="2:5" x14ac:dyDescent="0.2">
      <c r="B163" s="119" t="str">
        <f>'[1]COMEDORES EMERGENTES'!$B$13</f>
        <v>LA LUCIERNAGA</v>
      </c>
      <c r="C163" s="120"/>
      <c r="D163" s="63" t="s">
        <v>139</v>
      </c>
      <c r="E163" s="64" t="str">
        <f>'[1]COMEDORES EMERGENTES'!$G$13</f>
        <v>Bº 20 V.V NORTE C/3</v>
      </c>
    </row>
    <row r="164" spans="2:5" x14ac:dyDescent="0.2">
      <c r="B164" s="119" t="str">
        <f>'[1]COMEDORES EMERGENTES'!$B$14</f>
        <v>VALLE VIEJO - SUMALAO</v>
      </c>
      <c r="C164" s="120"/>
      <c r="D164" s="63" t="s">
        <v>141</v>
      </c>
      <c r="E164" s="64" t="str">
        <f>'[1]COMEDORES EMERGENTES'!$G$14</f>
        <v>PADRE SEGURA S/N</v>
      </c>
    </row>
    <row r="165" spans="2:5" x14ac:dyDescent="0.2">
      <c r="B165" s="119" t="str">
        <f>'[1]COMEDORES EMERGENTES'!$B$15</f>
        <v>NUESTRO FUTURO - LAS VIAS</v>
      </c>
      <c r="C165" s="120"/>
      <c r="D165" s="63" t="s">
        <v>139</v>
      </c>
      <c r="E165" s="64" t="str">
        <f>'[1]COMEDORES EMERGENTES'!$G$15</f>
        <v>Bº LAS VIAS OESTE LOTE 42</v>
      </c>
    </row>
    <row r="166" spans="2:5" x14ac:dyDescent="0.2">
      <c r="B166" s="119" t="str">
        <f>'[1]COMEDORES EMERGENTES'!$B$16</f>
        <v>SAN JOSE OBRERO</v>
      </c>
      <c r="C166" s="120"/>
      <c r="D166" s="63" t="s">
        <v>126</v>
      </c>
      <c r="E166" s="64" t="str">
        <f>'[1]COMEDORES EMERGENTES'!$G$16</f>
        <v>Bº SAN JOSE OBRERO. PJE. SANDOVAL S/Nº</v>
      </c>
    </row>
    <row r="167" spans="2:5" x14ac:dyDescent="0.2">
      <c r="B167" s="119" t="str">
        <f>'[1]COMEDORES EMERGENTES'!$B$17</f>
        <v>VIRGEN DE LUJAN</v>
      </c>
      <c r="C167" s="120"/>
      <c r="D167" s="63" t="s">
        <v>139</v>
      </c>
      <c r="E167" s="64" t="str">
        <f>'[1]COMEDORES EMERGENTES'!$G$17</f>
        <v>Bº OJO DE AGUA C/DR.TEODULFO BARRIONUEVO S/Nº</v>
      </c>
    </row>
    <row r="168" spans="2:5" x14ac:dyDescent="0.2">
      <c r="B168" s="119" t="str">
        <f>'[1]COMEDORES EMERGENTES'!$B$18</f>
        <v>RENACER</v>
      </c>
      <c r="C168" s="120"/>
      <c r="D168" s="63" t="s">
        <v>142</v>
      </c>
      <c r="E168" s="64" t="str">
        <f>'[1]COMEDORES EMERGENTES'!$G$18</f>
        <v>Bº VIRGEN MORENITA</v>
      </c>
    </row>
    <row r="169" spans="2:5" x14ac:dyDescent="0.2">
      <c r="B169" s="119" t="str">
        <f>'[1]COMEDORES EMERGENTES'!$B$19</f>
        <v>CENTRO VECINAL MI JARDIN</v>
      </c>
      <c r="C169" s="120"/>
      <c r="D169" s="63" t="s">
        <v>143</v>
      </c>
      <c r="E169" s="64" t="str">
        <f>'[1]COMEDORES EMERGENTES'!$G$19</f>
        <v>C/ LOS TULIPANES ENTRE FLOR DE CEREZO Y HOLANDA MZA.27 Bº MI JARDIN</v>
      </c>
    </row>
    <row r="170" spans="2:5" x14ac:dyDescent="0.2">
      <c r="B170" s="119" t="str">
        <f>'[1]COMEDORES EMERGENTES'!$B$20</f>
        <v>LA VIEJA ESQUINA</v>
      </c>
      <c r="C170" s="120"/>
      <c r="D170" s="63" t="s">
        <v>144</v>
      </c>
      <c r="E170" s="64" t="str">
        <f>'[1]COMEDORES EMERGENTES'!$G$20</f>
        <v>B° CRISTO REY PJE CAPATAZ VILLAFAÑEZ Y ARMANDO CORREA</v>
      </c>
    </row>
    <row r="171" spans="2:5" x14ac:dyDescent="0.2">
      <c r="B171" s="119" t="str">
        <f>'[1]COMEDORES EMERGENTES'!$B$21</f>
        <v>GAUCHITO GIL</v>
      </c>
      <c r="C171" s="120"/>
      <c r="D171" s="63" t="s">
        <v>144</v>
      </c>
      <c r="E171" s="64" t="str">
        <f>'[1]COMEDORES EMERGENTES'!$G$21</f>
        <v>B° 26 VIVIENDAS CASA N° 3</v>
      </c>
    </row>
    <row r="172" spans="2:5" ht="13.5" thickBot="1" x14ac:dyDescent="0.25">
      <c r="B172" s="121" t="str">
        <f>'[1]COMEDORES EMERGENTES'!$B$22</f>
        <v>LOS TOLDOS</v>
      </c>
      <c r="C172" s="122"/>
      <c r="D172" s="67" t="s">
        <v>149</v>
      </c>
      <c r="E172" s="68" t="str">
        <f>'[1]COMEDORES EMERGENTES'!$G$22</f>
        <v>LOTEO PARQUE SUR CALLE S/NOMBRE S/N°</v>
      </c>
    </row>
    <row r="173" spans="2:5" x14ac:dyDescent="0.2">
      <c r="B173" s="9" t="s">
        <v>18</v>
      </c>
      <c r="E173" s="8"/>
    </row>
    <row r="174" spans="2:5" ht="12.75" customHeight="1" x14ac:dyDescent="0.2">
      <c r="B174" s="10"/>
      <c r="C174" s="123" t="s">
        <v>24</v>
      </c>
      <c r="D174" s="123"/>
      <c r="E174" s="123"/>
    </row>
    <row r="175" spans="2:5" x14ac:dyDescent="0.2">
      <c r="B175" s="9" t="s">
        <v>19</v>
      </c>
      <c r="C175" s="11"/>
      <c r="D175" s="11"/>
      <c r="E175" s="12"/>
    </row>
    <row r="176" spans="2:5" ht="14.25" customHeight="1" x14ac:dyDescent="0.2">
      <c r="B176" s="10"/>
      <c r="C176" s="123" t="s">
        <v>86</v>
      </c>
      <c r="D176" s="123"/>
      <c r="E176" s="123"/>
    </row>
    <row r="177" spans="2:5" x14ac:dyDescent="0.2">
      <c r="B177" s="9" t="s">
        <v>20</v>
      </c>
      <c r="E177" s="8"/>
    </row>
    <row r="178" spans="2:5" ht="11.25" customHeight="1" x14ac:dyDescent="0.2">
      <c r="B178" s="9"/>
      <c r="C178" s="124" t="s">
        <v>25</v>
      </c>
      <c r="D178" s="124"/>
      <c r="E178" s="124"/>
    </row>
    <row r="179" spans="2:5" ht="13.5" thickBot="1" x14ac:dyDescent="0.25">
      <c r="B179" s="13"/>
      <c r="C179" s="14"/>
      <c r="D179" s="29"/>
      <c r="E179" s="15"/>
    </row>
    <row r="180" spans="2:5" ht="13.5" thickBot="1" x14ac:dyDescent="0.25"/>
    <row r="181" spans="2:5" x14ac:dyDescent="0.2">
      <c r="B181" s="4" t="s">
        <v>88</v>
      </c>
      <c r="C181" s="5"/>
      <c r="D181" s="27"/>
      <c r="E181" s="6"/>
    </row>
    <row r="182" spans="2:5" ht="5.25" customHeight="1" x14ac:dyDescent="0.2">
      <c r="B182" s="7"/>
      <c r="E182" s="8"/>
    </row>
    <row r="183" spans="2:5" x14ac:dyDescent="0.2">
      <c r="B183" s="9" t="s">
        <v>16</v>
      </c>
      <c r="E183" s="8"/>
    </row>
    <row r="184" spans="2:5" ht="25.5" customHeight="1" x14ac:dyDescent="0.2">
      <c r="B184" s="9"/>
      <c r="C184" s="123"/>
      <c r="D184" s="123"/>
      <c r="E184" s="123"/>
    </row>
    <row r="185" spans="2:5" ht="13.5" thickBot="1" x14ac:dyDescent="0.25">
      <c r="B185" s="9" t="s">
        <v>17</v>
      </c>
      <c r="E185" s="8"/>
    </row>
    <row r="186" spans="2:5" ht="13.5" thickBot="1" x14ac:dyDescent="0.25">
      <c r="B186" s="127" t="s">
        <v>83</v>
      </c>
      <c r="C186" s="132"/>
      <c r="D186" s="132"/>
      <c r="E186" s="128"/>
    </row>
    <row r="187" spans="2:5" ht="13.5" thickBot="1" x14ac:dyDescent="0.25">
      <c r="B187" s="127" t="s">
        <v>84</v>
      </c>
      <c r="C187" s="128"/>
      <c r="D187" s="25" t="s">
        <v>11</v>
      </c>
      <c r="E187" s="25" t="s">
        <v>85</v>
      </c>
    </row>
    <row r="188" spans="2:5" x14ac:dyDescent="0.2">
      <c r="B188" s="129" t="str">
        <f>'[1]COMEDORES EMERGENTES'!$B$3</f>
        <v>UNA SONRISA AV. LOS COBACHO</v>
      </c>
      <c r="C188" s="130"/>
      <c r="D188" s="65" t="s">
        <v>129</v>
      </c>
      <c r="E188" s="66" t="str">
        <f>'[1]COMEDORES EMERGENTES'!$G$3</f>
        <v>Bº SAN CARLOS OESTE AV. Bonifacio cobacho 670</v>
      </c>
    </row>
    <row r="189" spans="2:5" x14ac:dyDescent="0.2">
      <c r="B189" s="119" t="str">
        <f>'[1]COMEDORES EMERGENTES'!$B$4</f>
        <v>C.I.F Nº1 - RIVERA DEL VALLE Y FLORIDA</v>
      </c>
      <c r="C189" s="120"/>
      <c r="D189" s="63" t="s">
        <v>145</v>
      </c>
      <c r="E189" s="64" t="str">
        <f>'[1]COMEDORES EMERGENTES'!$G$4</f>
        <v>AV. RIVIERA DEL VALLE ENTRE FLORIDA Y SANTA FE</v>
      </c>
    </row>
    <row r="190" spans="2:5" x14ac:dyDescent="0.2">
      <c r="B190" s="119" t="str">
        <f>'[1]COMEDORES EMERGENTES'!$B$5</f>
        <v>C.I.F - RIVERA DEL VALLE - DILORENZO</v>
      </c>
      <c r="C190" s="120"/>
      <c r="D190" s="63" t="s">
        <v>114</v>
      </c>
      <c r="E190" s="64" t="str">
        <f>'[1]COMEDORES EMERGENTES'!$G$5</f>
        <v>Bº RIVERA DEL VALLE ENTRE VILLA EUMELIA Y MONTE CRISTO</v>
      </c>
    </row>
    <row r="191" spans="2:5" x14ac:dyDescent="0.2">
      <c r="B191" s="119" t="str">
        <f>'[1]COMEDORES EMERGENTES'!$B$6</f>
        <v>ESFUERZO PROPIO- Bº ALTOS DE CHOYA</v>
      </c>
      <c r="C191" s="120"/>
      <c r="D191" s="63" t="s">
        <v>120</v>
      </c>
      <c r="E191" s="64" t="str">
        <f>'[1]COMEDORES EMERGENTES'!$G$6</f>
        <v>Bº MUNICIPAL 35VV. NORTE C/14</v>
      </c>
    </row>
    <row r="192" spans="2:5" x14ac:dyDescent="0.2">
      <c r="B192" s="119" t="str">
        <f>'[1]COMEDORES EMERGENTES'!$B$7</f>
        <v>ANGELITOS - LOTEO SUSSEX</v>
      </c>
      <c r="C192" s="120"/>
      <c r="D192" s="63" t="s">
        <v>146</v>
      </c>
      <c r="E192" s="64" t="str">
        <f>'[1]COMEDORES EMERGENTES'!$G$7</f>
        <v>Bº LOTEO SUSEX MZA.Nº 4 LOTE Nº3</v>
      </c>
    </row>
    <row r="193" spans="2:5" x14ac:dyDescent="0.2">
      <c r="B193" s="119" t="str">
        <f>'[1]COMEDORES EMERGENTES'!$B$8</f>
        <v>CLUB DEPORTIVO CHACARITA</v>
      </c>
      <c r="C193" s="120"/>
      <c r="D193" s="63" t="s">
        <v>147</v>
      </c>
      <c r="E193" s="64" t="str">
        <f>'[1]COMEDORES EMERGENTES'!$G$8</f>
        <v>CALLE DR.DERMIDIO GALINDEZ C/2660</v>
      </c>
    </row>
    <row r="194" spans="2:5" x14ac:dyDescent="0.2">
      <c r="B194" s="119" t="str">
        <f>'[1]COMEDORES EMERGENTES'!$B$9</f>
        <v>LA MORO</v>
      </c>
      <c r="C194" s="120"/>
      <c r="D194" s="63" t="s">
        <v>128</v>
      </c>
      <c r="E194" s="64" t="str">
        <f>'[1]COMEDORES EMERGENTES'!$G$9</f>
        <v>MAIPU NORTE 1º ETAPA MZA "H" Bº MI JARDIN</v>
      </c>
    </row>
    <row r="195" spans="2:5" x14ac:dyDescent="0.2">
      <c r="B195" s="119" t="str">
        <f>'[1]COMEDORES EMERGENTES'!$B$10</f>
        <v>PAPA FRANCISCO</v>
      </c>
      <c r="C195" s="120"/>
      <c r="D195" s="63" t="s">
        <v>115</v>
      </c>
      <c r="E195" s="64" t="str">
        <f>'[1]COMEDORES EMERGENTES'!$G$10</f>
        <v>ENTRE AV.TEREBINTO Y AV.SAN JUAN LOTE "2" MZA. "B"</v>
      </c>
    </row>
    <row r="196" spans="2:5" x14ac:dyDescent="0.2">
      <c r="B196" s="119" t="str">
        <f>'[1]COMEDORES EMERGENTES'!$B$11</f>
        <v>E.P.C - 100 V.V NORTE</v>
      </c>
      <c r="C196" s="120"/>
      <c r="D196" s="63" t="s">
        <v>125</v>
      </c>
      <c r="E196" s="64" t="str">
        <f>'[1]COMEDORES EMERGENTES'!$G$11</f>
        <v>Bº VV NORTE C/48 ENTRE ESPAÑA Y FRANCIA</v>
      </c>
    </row>
    <row r="197" spans="2:5" x14ac:dyDescent="0.2">
      <c r="B197" s="119" t="str">
        <f>'[1]COMEDORES EMERGENTES'!$B$12</f>
        <v>HOGAR DE CRISTO - PADRE RAUL CONTRERAS</v>
      </c>
      <c r="C197" s="120"/>
      <c r="D197" s="63" t="s">
        <v>125</v>
      </c>
      <c r="E197" s="64" t="str">
        <f>'[1]COMEDORES EMERGENTES'!$G$12</f>
        <v>Bº SANTA MARTA MZA. "S" LOTE "M" C/39</v>
      </c>
    </row>
    <row r="198" spans="2:5" x14ac:dyDescent="0.2">
      <c r="B198" s="119" t="str">
        <f>'[1]COMEDORES EMERGENTES'!$B$13</f>
        <v>LA LUCIERNAGA</v>
      </c>
      <c r="C198" s="120"/>
      <c r="D198" s="63" t="s">
        <v>115</v>
      </c>
      <c r="E198" s="64" t="str">
        <f>'[1]COMEDORES EMERGENTES'!$G$13</f>
        <v>Bº 20 V.V NORTE C/3</v>
      </c>
    </row>
    <row r="199" spans="2:5" x14ac:dyDescent="0.2">
      <c r="B199" s="119" t="str">
        <f>'[1]COMEDORES EMERGENTES'!$B$14</f>
        <v>VALLE VIEJO - SUMALAO</v>
      </c>
      <c r="C199" s="120"/>
      <c r="D199" s="63" t="s">
        <v>135</v>
      </c>
      <c r="E199" s="64" t="str">
        <f>'[1]COMEDORES EMERGENTES'!$G$14</f>
        <v>PADRE SEGURA S/N</v>
      </c>
    </row>
    <row r="200" spans="2:5" x14ac:dyDescent="0.2">
      <c r="B200" s="119" t="str">
        <f>'[1]COMEDORES EMERGENTES'!$B$15</f>
        <v>NUESTRO FUTURO - LAS VIAS</v>
      </c>
      <c r="C200" s="120"/>
      <c r="D200" s="63" t="s">
        <v>115</v>
      </c>
      <c r="E200" s="64" t="str">
        <f>'[1]COMEDORES EMERGENTES'!$G$15</f>
        <v>Bº LAS VIAS OESTE LOTE 42</v>
      </c>
    </row>
    <row r="201" spans="2:5" x14ac:dyDescent="0.2">
      <c r="B201" s="119" t="str">
        <f>'[1]COMEDORES EMERGENTES'!$B$16</f>
        <v>SAN JOSE OBRERO</v>
      </c>
      <c r="C201" s="120"/>
      <c r="D201" s="63" t="s">
        <v>147</v>
      </c>
      <c r="E201" s="64" t="str">
        <f>'[1]COMEDORES EMERGENTES'!$G$16</f>
        <v>Bº SAN JOSE OBRERO. PJE. SANDOVAL S/Nº</v>
      </c>
    </row>
    <row r="202" spans="2:5" x14ac:dyDescent="0.2">
      <c r="B202" s="119" t="str">
        <f>'[1]COMEDORES EMERGENTES'!$B$17</f>
        <v>VIRGEN DE LUJAN</v>
      </c>
      <c r="C202" s="120"/>
      <c r="D202" s="63" t="s">
        <v>115</v>
      </c>
      <c r="E202" s="64" t="str">
        <f>'[1]COMEDORES EMERGENTES'!$G$17</f>
        <v>Bº OJO DE AGUA C/DR.TEODULFO BARRIONUEVO S/Nº</v>
      </c>
    </row>
    <row r="203" spans="2:5" x14ac:dyDescent="0.2">
      <c r="B203" s="119" t="str">
        <f>'[1]COMEDORES EMERGENTES'!$B$18</f>
        <v>RENACER</v>
      </c>
      <c r="C203" s="120"/>
      <c r="D203" s="63" t="s">
        <v>148</v>
      </c>
      <c r="E203" s="64" t="str">
        <f>'[1]COMEDORES EMERGENTES'!$G$18</f>
        <v>Bº VIRGEN MORENITA</v>
      </c>
    </row>
    <row r="204" spans="2:5" x14ac:dyDescent="0.2">
      <c r="B204" s="119" t="str">
        <f>'[1]COMEDORES EMERGENTES'!$B$19</f>
        <v>CENTRO VECINAL MI JARDIN</v>
      </c>
      <c r="C204" s="120"/>
      <c r="D204" s="63" t="s">
        <v>149</v>
      </c>
      <c r="E204" s="64" t="str">
        <f>'[1]COMEDORES EMERGENTES'!$G$19</f>
        <v>C/ LOS TULIPANES ENTRE FLOR DE CEREZO Y HOLANDA MZA.27 Bº MI JARDIN</v>
      </c>
    </row>
    <row r="205" spans="2:5" x14ac:dyDescent="0.2">
      <c r="B205" s="119" t="str">
        <f>'[1]COMEDORES EMERGENTES'!$B$20</f>
        <v>LA VIEJA ESQUINA</v>
      </c>
      <c r="C205" s="120"/>
      <c r="D205" s="63" t="s">
        <v>119</v>
      </c>
      <c r="E205" s="64" t="str">
        <f>'[1]COMEDORES EMERGENTES'!$G$20</f>
        <v>B° CRISTO REY PJE CAPATAZ VILLAFAÑEZ Y ARMANDO CORREA</v>
      </c>
    </row>
    <row r="206" spans="2:5" x14ac:dyDescent="0.2">
      <c r="B206" s="119" t="str">
        <f>'[1]COMEDORES EMERGENTES'!$B$21</f>
        <v>GAUCHITO GIL</v>
      </c>
      <c r="C206" s="120"/>
      <c r="D206" s="63" t="s">
        <v>119</v>
      </c>
      <c r="E206" s="64" t="str">
        <f>'[1]COMEDORES EMERGENTES'!$G$21</f>
        <v>B° 26 VIVIENDAS CASA N° 3</v>
      </c>
    </row>
    <row r="207" spans="2:5" ht="13.5" thickBot="1" x14ac:dyDescent="0.25">
      <c r="B207" s="121" t="str">
        <f>'[1]COMEDORES EMERGENTES'!$B$22</f>
        <v>LOS TOLDOS</v>
      </c>
      <c r="C207" s="122"/>
      <c r="D207" s="67" t="s">
        <v>200</v>
      </c>
      <c r="E207" s="68" t="str">
        <f>'[1]COMEDORES EMERGENTES'!$G$22</f>
        <v>LOTEO PARQUE SUR CALLE S/NOMBRE S/N°</v>
      </c>
    </row>
    <row r="208" spans="2:5" x14ac:dyDescent="0.2">
      <c r="B208" s="9" t="s">
        <v>18</v>
      </c>
      <c r="E208" s="8"/>
    </row>
    <row r="209" spans="2:5" ht="12.75" customHeight="1" x14ac:dyDescent="0.2">
      <c r="B209" s="10"/>
      <c r="C209" s="123" t="s">
        <v>24</v>
      </c>
      <c r="D209" s="123"/>
      <c r="E209" s="123"/>
    </row>
    <row r="210" spans="2:5" x14ac:dyDescent="0.2">
      <c r="B210" s="9" t="s">
        <v>19</v>
      </c>
      <c r="C210" s="11"/>
      <c r="D210" s="11"/>
      <c r="E210" s="12"/>
    </row>
    <row r="211" spans="2:5" ht="14.25" customHeight="1" x14ac:dyDescent="0.2">
      <c r="B211" s="10"/>
      <c r="C211" s="123" t="s">
        <v>86</v>
      </c>
      <c r="D211" s="123"/>
      <c r="E211" s="123"/>
    </row>
    <row r="212" spans="2:5" x14ac:dyDescent="0.2">
      <c r="B212" s="9" t="s">
        <v>20</v>
      </c>
      <c r="E212" s="8"/>
    </row>
    <row r="213" spans="2:5" ht="11.25" customHeight="1" x14ac:dyDescent="0.2">
      <c r="B213" s="9"/>
      <c r="C213" s="124" t="s">
        <v>25</v>
      </c>
      <c r="D213" s="124"/>
      <c r="E213" s="124"/>
    </row>
    <row r="214" spans="2:5" ht="13.5" thickBot="1" x14ac:dyDescent="0.25">
      <c r="B214" s="13"/>
      <c r="C214" s="14"/>
      <c r="D214" s="29"/>
      <c r="E214" s="15"/>
    </row>
    <row r="215" spans="2:5" ht="13.5" thickBot="1" x14ac:dyDescent="0.25"/>
    <row r="216" spans="2:5" x14ac:dyDescent="0.2">
      <c r="B216" s="4" t="s">
        <v>89</v>
      </c>
      <c r="C216" s="5"/>
      <c r="D216" s="27"/>
      <c r="E216" s="6"/>
    </row>
    <row r="217" spans="2:5" ht="5.25" customHeight="1" x14ac:dyDescent="0.2">
      <c r="B217" s="7"/>
      <c r="E217" s="8"/>
    </row>
    <row r="218" spans="2:5" x14ac:dyDescent="0.2">
      <c r="B218" s="9" t="s">
        <v>16</v>
      </c>
      <c r="E218" s="8"/>
    </row>
    <row r="219" spans="2:5" ht="25.5" customHeight="1" x14ac:dyDescent="0.2">
      <c r="B219" s="9"/>
      <c r="C219" s="123"/>
      <c r="D219" s="123"/>
      <c r="E219" s="123"/>
    </row>
    <row r="220" spans="2:5" ht="13.5" thickBot="1" x14ac:dyDescent="0.25">
      <c r="B220" s="9" t="s">
        <v>17</v>
      </c>
      <c r="E220" s="8"/>
    </row>
    <row r="221" spans="2:5" ht="13.5" thickBot="1" x14ac:dyDescent="0.25">
      <c r="B221" s="127" t="s">
        <v>83</v>
      </c>
      <c r="C221" s="132"/>
      <c r="D221" s="132"/>
      <c r="E221" s="128"/>
    </row>
    <row r="222" spans="2:5" ht="13.5" thickBot="1" x14ac:dyDescent="0.25">
      <c r="B222" s="127" t="s">
        <v>84</v>
      </c>
      <c r="C222" s="128"/>
      <c r="D222" s="25" t="s">
        <v>11</v>
      </c>
      <c r="E222" s="25" t="s">
        <v>85</v>
      </c>
    </row>
    <row r="223" spans="2:5" x14ac:dyDescent="0.2">
      <c r="B223" s="129" t="str">
        <f>'[1]COMEDORES EMERGENTES'!$B$3</f>
        <v>UNA SONRISA AV. LOS COBACHO</v>
      </c>
      <c r="C223" s="130"/>
      <c r="D223" s="65">
        <v>43</v>
      </c>
      <c r="E223" s="66" t="str">
        <f>'[1]COMEDORES EMERGENTES'!$G$3</f>
        <v>Bº SAN CARLOS OESTE AV. Bonifacio cobacho 670</v>
      </c>
    </row>
    <row r="224" spans="2:5" x14ac:dyDescent="0.2">
      <c r="B224" s="119" t="str">
        <f>'[1]COMEDORES EMERGENTES'!$B$4</f>
        <v>C.I.F Nº1 - RIVERA DEL VALLE Y FLORIDA</v>
      </c>
      <c r="C224" s="120"/>
      <c r="D224" s="63">
        <v>62</v>
      </c>
      <c r="E224" s="64" t="str">
        <f>'[1]COMEDORES EMERGENTES'!$G$4</f>
        <v>AV. RIVIERA DEL VALLE ENTRE FLORIDA Y SANTA FE</v>
      </c>
    </row>
    <row r="225" spans="2:5" x14ac:dyDescent="0.2">
      <c r="B225" s="119" t="str">
        <f>'[1]COMEDORES EMERGENTES'!$B$5</f>
        <v>C.I.F - RIVERA DEL VALLE - DILORENZO</v>
      </c>
      <c r="C225" s="120"/>
      <c r="D225" s="63">
        <v>73</v>
      </c>
      <c r="E225" s="64" t="str">
        <f>'[1]COMEDORES EMERGENTES'!$G$5</f>
        <v>Bº RIVERA DEL VALLE ENTRE VILLA EUMELIA Y MONTE CRISTO</v>
      </c>
    </row>
    <row r="226" spans="2:5" x14ac:dyDescent="0.2">
      <c r="B226" s="119" t="str">
        <f>'[1]COMEDORES EMERGENTES'!$B$6</f>
        <v>ESFUERZO PROPIO- Bº ALTOS DE CHOYA</v>
      </c>
      <c r="C226" s="120"/>
      <c r="D226" s="63">
        <v>59</v>
      </c>
      <c r="E226" s="64" t="str">
        <f>'[1]COMEDORES EMERGENTES'!$G$6</f>
        <v>Bº MUNICIPAL 35VV. NORTE C/14</v>
      </c>
    </row>
    <row r="227" spans="2:5" x14ac:dyDescent="0.2">
      <c r="B227" s="119" t="str">
        <f>'[1]COMEDORES EMERGENTES'!$B$7</f>
        <v>ANGELITOS - LOTEO SUSSEX</v>
      </c>
      <c r="C227" s="120"/>
      <c r="D227" s="63">
        <v>27</v>
      </c>
      <c r="E227" s="64" t="str">
        <f>'[1]COMEDORES EMERGENTES'!$G$7</f>
        <v>Bº LOTEO SUSEX MZA.Nº 4 LOTE Nº3</v>
      </c>
    </row>
    <row r="228" spans="2:5" x14ac:dyDescent="0.2">
      <c r="B228" s="119" t="str">
        <f>'[1]COMEDORES EMERGENTES'!$B$8</f>
        <v>CLUB DEPORTIVO CHACARITA</v>
      </c>
      <c r="C228" s="120"/>
      <c r="D228" s="63">
        <v>35</v>
      </c>
      <c r="E228" s="64" t="str">
        <f>'[1]COMEDORES EMERGENTES'!$G$8</f>
        <v>CALLE DR.DERMIDIO GALINDEZ C/2660</v>
      </c>
    </row>
    <row r="229" spans="2:5" x14ac:dyDescent="0.2">
      <c r="B229" s="119" t="str">
        <f>'[1]COMEDORES EMERGENTES'!$B$9</f>
        <v>LA MORO</v>
      </c>
      <c r="C229" s="120"/>
      <c r="D229" s="63">
        <v>32</v>
      </c>
      <c r="E229" s="64" t="str">
        <f>'[1]COMEDORES EMERGENTES'!$G$9</f>
        <v>MAIPU NORTE 1º ETAPA MZA "H" Bº MI JARDIN</v>
      </c>
    </row>
    <row r="230" spans="2:5" x14ac:dyDescent="0.2">
      <c r="B230" s="119" t="str">
        <f>'[1]COMEDORES EMERGENTES'!$B$10</f>
        <v>PAPA FRANCISCO</v>
      </c>
      <c r="C230" s="120"/>
      <c r="D230" s="63">
        <v>54</v>
      </c>
      <c r="E230" s="64" t="str">
        <f>'[1]COMEDORES EMERGENTES'!$G$10</f>
        <v>ENTRE AV.TEREBINTO Y AV.SAN JUAN LOTE "2" MZA. "B"</v>
      </c>
    </row>
    <row r="231" spans="2:5" x14ac:dyDescent="0.2">
      <c r="B231" s="119" t="str">
        <f>'[1]COMEDORES EMERGENTES'!$B$11</f>
        <v>E.P.C - 100 V.V NORTE</v>
      </c>
      <c r="C231" s="120"/>
      <c r="D231" s="63">
        <v>81</v>
      </c>
      <c r="E231" s="64" t="str">
        <f>'[1]COMEDORES EMERGENTES'!$G$11</f>
        <v>Bº VV NORTE C/48 ENTRE ESPAÑA Y FRANCIA</v>
      </c>
    </row>
    <row r="232" spans="2:5" x14ac:dyDescent="0.2">
      <c r="B232" s="119" t="str">
        <f>'[1]COMEDORES EMERGENTES'!$B$12</f>
        <v>HOGAR DE CRISTO - PADRE RAUL CONTRERAS</v>
      </c>
      <c r="C232" s="120"/>
      <c r="D232" s="63">
        <v>81</v>
      </c>
      <c r="E232" s="64" t="str">
        <f>'[1]COMEDORES EMERGENTES'!$G$12</f>
        <v>Bº SANTA MARTA MZA. "S" LOTE "M" C/39</v>
      </c>
    </row>
    <row r="233" spans="2:5" x14ac:dyDescent="0.2">
      <c r="B233" s="119" t="str">
        <f>'[1]COMEDORES EMERGENTES'!$B$13</f>
        <v>LA LUCIERNAGA</v>
      </c>
      <c r="C233" s="120"/>
      <c r="D233" s="63">
        <v>54</v>
      </c>
      <c r="E233" s="64" t="str">
        <f>'[1]COMEDORES EMERGENTES'!$G$13</f>
        <v>Bº 20 V.V NORTE C/3</v>
      </c>
    </row>
    <row r="234" spans="2:5" x14ac:dyDescent="0.2">
      <c r="B234" s="119" t="str">
        <f>'[1]COMEDORES EMERGENTES'!$B$14</f>
        <v>VALLE VIEJO - SUMALAO</v>
      </c>
      <c r="C234" s="120"/>
      <c r="D234" s="63">
        <v>95</v>
      </c>
      <c r="E234" s="64" t="str">
        <f>'[1]COMEDORES EMERGENTES'!$G$14</f>
        <v>PADRE SEGURA S/N</v>
      </c>
    </row>
    <row r="235" spans="2:5" x14ac:dyDescent="0.2">
      <c r="B235" s="119" t="str">
        <f>'[1]COMEDORES EMERGENTES'!$B$15</f>
        <v>NUESTRO FUTURO - LAS VIAS</v>
      </c>
      <c r="C235" s="120"/>
      <c r="D235" s="63">
        <v>54</v>
      </c>
      <c r="E235" s="64" t="str">
        <f>'[1]COMEDORES EMERGENTES'!$G$15</f>
        <v>Bº LAS VIAS OESTE LOTE 42</v>
      </c>
    </row>
    <row r="236" spans="2:5" x14ac:dyDescent="0.2">
      <c r="B236" s="119" t="str">
        <f>'[1]COMEDORES EMERGENTES'!$B$16</f>
        <v>SAN JOSE OBRERO</v>
      </c>
      <c r="C236" s="120"/>
      <c r="D236" s="63">
        <v>35</v>
      </c>
      <c r="E236" s="64" t="str">
        <f>'[1]COMEDORES EMERGENTES'!$G$16</f>
        <v>Bº SAN JOSE OBRERO. PJE. SANDOVAL S/Nº</v>
      </c>
    </row>
    <row r="237" spans="2:5" x14ac:dyDescent="0.2">
      <c r="B237" s="119" t="str">
        <f>'[1]COMEDORES EMERGENTES'!$B$17</f>
        <v>VIRGEN DE LUJAN</v>
      </c>
      <c r="C237" s="120"/>
      <c r="D237" s="63">
        <v>54</v>
      </c>
      <c r="E237" s="64" t="str">
        <f>'[1]COMEDORES EMERGENTES'!$G$17</f>
        <v>Bº OJO DE AGUA C/DR.TEODULFO BARRIONUEVO S/Nº</v>
      </c>
    </row>
    <row r="238" spans="2:5" x14ac:dyDescent="0.2">
      <c r="B238" s="119" t="str">
        <f>'[1]COMEDORES EMERGENTES'!$B$18</f>
        <v>RENACER</v>
      </c>
      <c r="C238" s="120"/>
      <c r="D238" s="63">
        <v>68</v>
      </c>
      <c r="E238" s="64" t="str">
        <f>'[1]COMEDORES EMERGENTES'!$G$18</f>
        <v>Bº VIRGEN MORENITA</v>
      </c>
    </row>
    <row r="239" spans="2:5" x14ac:dyDescent="0.2">
      <c r="B239" s="119" t="str">
        <f>'[1]COMEDORES EMERGENTES'!$B$19</f>
        <v>CENTRO VECINAL MI JARDIN</v>
      </c>
      <c r="C239" s="120"/>
      <c r="D239" s="63">
        <v>49</v>
      </c>
      <c r="E239" s="64" t="str">
        <f>'[1]COMEDORES EMERGENTES'!$G$19</f>
        <v>C/ LOS TULIPANES ENTRE FLOR DE CEREZO Y HOLANDA MZA.27 Bº MI JARDIN</v>
      </c>
    </row>
    <row r="240" spans="2:5" x14ac:dyDescent="0.2">
      <c r="B240" s="119" t="str">
        <f>'[1]COMEDORES EMERGENTES'!$B$20</f>
        <v>LA VIEJA ESQUINA</v>
      </c>
      <c r="C240" s="120"/>
      <c r="D240" s="63">
        <v>46</v>
      </c>
      <c r="E240" s="64" t="str">
        <f>'[1]COMEDORES EMERGENTES'!$G$20</f>
        <v>B° CRISTO REY PJE CAPATAZ VILLAFAÑEZ Y ARMANDO CORREA</v>
      </c>
    </row>
    <row r="241" spans="2:5" x14ac:dyDescent="0.2">
      <c r="B241" s="119" t="str">
        <f>'[1]COMEDORES EMERGENTES'!$B$21</f>
        <v>GAUCHITO GIL</v>
      </c>
      <c r="C241" s="120"/>
      <c r="D241" s="63">
        <v>45</v>
      </c>
      <c r="E241" s="64" t="str">
        <f>'[1]COMEDORES EMERGENTES'!$G$21</f>
        <v>B° 26 VIVIENDAS CASA N° 3</v>
      </c>
    </row>
    <row r="242" spans="2:5" ht="13.5" thickBot="1" x14ac:dyDescent="0.25">
      <c r="B242" s="121" t="str">
        <f>'[1]COMEDORES EMERGENTES'!$B$22</f>
        <v>LOS TOLDOS</v>
      </c>
      <c r="C242" s="122"/>
      <c r="D242" s="67">
        <v>22</v>
      </c>
      <c r="E242" s="68" t="str">
        <f>'[1]COMEDORES EMERGENTES'!$G$22</f>
        <v>LOTEO PARQUE SUR CALLE S/NOMBRE S/N°</v>
      </c>
    </row>
    <row r="243" spans="2:5" x14ac:dyDescent="0.2">
      <c r="B243" s="9" t="s">
        <v>18</v>
      </c>
      <c r="E243" s="8"/>
    </row>
    <row r="244" spans="2:5" ht="12.75" customHeight="1" x14ac:dyDescent="0.2">
      <c r="B244" s="10"/>
      <c r="C244" s="123" t="s">
        <v>24</v>
      </c>
      <c r="D244" s="123"/>
      <c r="E244" s="123"/>
    </row>
    <row r="245" spans="2:5" x14ac:dyDescent="0.2">
      <c r="B245" s="9" t="s">
        <v>19</v>
      </c>
      <c r="C245" s="11"/>
      <c r="D245" s="11"/>
      <c r="E245" s="12"/>
    </row>
    <row r="246" spans="2:5" ht="14.25" customHeight="1" x14ac:dyDescent="0.2">
      <c r="B246" s="10"/>
      <c r="C246" s="123" t="s">
        <v>86</v>
      </c>
      <c r="D246" s="123"/>
      <c r="E246" s="123"/>
    </row>
    <row r="247" spans="2:5" x14ac:dyDescent="0.2">
      <c r="B247" s="9" t="s">
        <v>20</v>
      </c>
      <c r="E247" s="8"/>
    </row>
    <row r="248" spans="2:5" ht="11.25" customHeight="1" x14ac:dyDescent="0.2">
      <c r="B248" s="9"/>
      <c r="C248" s="124" t="s">
        <v>25</v>
      </c>
      <c r="D248" s="124"/>
      <c r="E248" s="124"/>
    </row>
    <row r="249" spans="2:5" ht="13.5" thickBot="1" x14ac:dyDescent="0.25">
      <c r="B249" s="13"/>
      <c r="C249" s="14"/>
      <c r="D249" s="29"/>
      <c r="E249" s="15"/>
    </row>
    <row r="250" spans="2:5" ht="13.5" thickBot="1" x14ac:dyDescent="0.25"/>
    <row r="251" spans="2:5" x14ac:dyDescent="0.2">
      <c r="B251" s="4" t="s">
        <v>90</v>
      </c>
      <c r="C251" s="5"/>
      <c r="D251" s="27"/>
      <c r="E251" s="6"/>
    </row>
    <row r="252" spans="2:5" ht="5.25" customHeight="1" x14ac:dyDescent="0.2">
      <c r="B252" s="7"/>
      <c r="E252" s="8"/>
    </row>
    <row r="253" spans="2:5" x14ac:dyDescent="0.2">
      <c r="B253" s="9" t="s">
        <v>16</v>
      </c>
      <c r="E253" s="8"/>
    </row>
    <row r="254" spans="2:5" ht="25.5" customHeight="1" x14ac:dyDescent="0.2">
      <c r="B254" s="9"/>
      <c r="C254" s="123"/>
      <c r="D254" s="123"/>
      <c r="E254" s="123"/>
    </row>
    <row r="255" spans="2:5" ht="13.5" thickBot="1" x14ac:dyDescent="0.25">
      <c r="B255" s="9" t="s">
        <v>17</v>
      </c>
      <c r="E255" s="8"/>
    </row>
    <row r="256" spans="2:5" ht="13.5" thickBot="1" x14ac:dyDescent="0.25">
      <c r="B256" s="127" t="s">
        <v>83</v>
      </c>
      <c r="C256" s="132"/>
      <c r="D256" s="132"/>
      <c r="E256" s="128"/>
    </row>
    <row r="257" spans="2:5" ht="13.5" thickBot="1" x14ac:dyDescent="0.25">
      <c r="B257" s="127" t="s">
        <v>84</v>
      </c>
      <c r="C257" s="128"/>
      <c r="D257" s="25" t="s">
        <v>11</v>
      </c>
      <c r="E257" s="25" t="s">
        <v>85</v>
      </c>
    </row>
    <row r="258" spans="2:5" x14ac:dyDescent="0.2">
      <c r="B258" s="129" t="str">
        <f>'[1]COMEDORES EMERGENTES'!$B$3</f>
        <v>UNA SONRISA AV. LOS COBACHO</v>
      </c>
      <c r="C258" s="130"/>
      <c r="D258" s="65">
        <v>29</v>
      </c>
      <c r="E258" s="66" t="str">
        <f>'[1]COMEDORES EMERGENTES'!$G$3</f>
        <v>Bº SAN CARLOS OESTE AV. Bonifacio cobacho 670</v>
      </c>
    </row>
    <row r="259" spans="2:5" x14ac:dyDescent="0.2">
      <c r="B259" s="119" t="str">
        <f>'[1]COMEDORES EMERGENTES'!$B$4</f>
        <v>C.I.F Nº1 - RIVERA DEL VALLE Y FLORIDA</v>
      </c>
      <c r="C259" s="120"/>
      <c r="D259" s="63">
        <v>41</v>
      </c>
      <c r="E259" s="64" t="str">
        <f>'[1]COMEDORES EMERGENTES'!$G$4</f>
        <v>AV. RIVIERA DEL VALLE ENTRE FLORIDA Y SANTA FE</v>
      </c>
    </row>
    <row r="260" spans="2:5" x14ac:dyDescent="0.2">
      <c r="B260" s="119" t="str">
        <f>'[1]COMEDORES EMERGENTES'!$B$5</f>
        <v>C.I.F - RIVERA DEL VALLE - DILORENZO</v>
      </c>
      <c r="C260" s="120"/>
      <c r="D260" s="63">
        <v>49</v>
      </c>
      <c r="E260" s="64" t="str">
        <f>'[1]COMEDORES EMERGENTES'!$G$5</f>
        <v>Bº RIVERA DEL VALLE ENTRE VILLA EUMELIA Y MONTE CRISTO</v>
      </c>
    </row>
    <row r="261" spans="2:5" x14ac:dyDescent="0.2">
      <c r="B261" s="119" t="str">
        <f>'[1]COMEDORES EMERGENTES'!$B$6</f>
        <v>ESFUERZO PROPIO- Bº ALTOS DE CHOYA</v>
      </c>
      <c r="C261" s="120"/>
      <c r="D261" s="63">
        <v>40</v>
      </c>
      <c r="E261" s="64" t="str">
        <f>'[1]COMEDORES EMERGENTES'!$G$6</f>
        <v>Bº MUNICIPAL 35VV. NORTE C/14</v>
      </c>
    </row>
    <row r="262" spans="2:5" x14ac:dyDescent="0.2">
      <c r="B262" s="119" t="str">
        <f>'[1]COMEDORES EMERGENTES'!$B$7</f>
        <v>ANGELITOS - LOTEO SUSSEX</v>
      </c>
      <c r="C262" s="120"/>
      <c r="D262" s="63">
        <v>18</v>
      </c>
      <c r="E262" s="64" t="str">
        <f>'[1]COMEDORES EMERGENTES'!$G$7</f>
        <v>Bº LOTEO SUSEX MZA.Nº 4 LOTE Nº3</v>
      </c>
    </row>
    <row r="263" spans="2:5" x14ac:dyDescent="0.2">
      <c r="B263" s="119" t="str">
        <f>'[1]COMEDORES EMERGENTES'!$B$8</f>
        <v>CLUB DEPORTIVO CHACARITA</v>
      </c>
      <c r="C263" s="120"/>
      <c r="D263" s="63">
        <v>23</v>
      </c>
      <c r="E263" s="64" t="str">
        <f>'[1]COMEDORES EMERGENTES'!$G$8</f>
        <v>CALLE DR.DERMIDIO GALINDEZ C/2660</v>
      </c>
    </row>
    <row r="264" spans="2:5" x14ac:dyDescent="0.2">
      <c r="B264" s="119" t="str">
        <f>'[1]COMEDORES EMERGENTES'!$B$9</f>
        <v>LA MORO</v>
      </c>
      <c r="C264" s="120"/>
      <c r="D264" s="63">
        <v>22</v>
      </c>
      <c r="E264" s="64" t="str">
        <f>'[1]COMEDORES EMERGENTES'!$G$9</f>
        <v>MAIPU NORTE 1º ETAPA MZA "H" Bº MI JARDIN</v>
      </c>
    </row>
    <row r="265" spans="2:5" x14ac:dyDescent="0.2">
      <c r="B265" s="119" t="str">
        <f>'[1]COMEDORES EMERGENTES'!$B$10</f>
        <v>PAPA FRANCISCO</v>
      </c>
      <c r="C265" s="120"/>
      <c r="D265" s="63">
        <v>36</v>
      </c>
      <c r="E265" s="64" t="str">
        <f>'[1]COMEDORES EMERGENTES'!$G$10</f>
        <v>ENTRE AV.TEREBINTO Y AV.SAN JUAN LOTE "2" MZA. "B"</v>
      </c>
    </row>
    <row r="266" spans="2:5" x14ac:dyDescent="0.2">
      <c r="B266" s="119" t="str">
        <f>'[1]COMEDORES EMERGENTES'!$B$11</f>
        <v>E.P.C - 100 V.V NORTE</v>
      </c>
      <c r="C266" s="120"/>
      <c r="D266" s="63">
        <v>54</v>
      </c>
      <c r="E266" s="64" t="str">
        <f>'[1]COMEDORES EMERGENTES'!$G$11</f>
        <v>Bº VV NORTE C/48 ENTRE ESPAÑA Y FRANCIA</v>
      </c>
    </row>
    <row r="267" spans="2:5" x14ac:dyDescent="0.2">
      <c r="B267" s="119" t="str">
        <f>'[1]COMEDORES EMERGENTES'!$B$12</f>
        <v>HOGAR DE CRISTO - PADRE RAUL CONTRERAS</v>
      </c>
      <c r="C267" s="120"/>
      <c r="D267" s="63">
        <v>54</v>
      </c>
      <c r="E267" s="64" t="str">
        <f>'[1]COMEDORES EMERGENTES'!$G$12</f>
        <v>Bº SANTA MARTA MZA. "S" LOTE "M" C/39</v>
      </c>
    </row>
    <row r="268" spans="2:5" x14ac:dyDescent="0.2">
      <c r="B268" s="119" t="str">
        <f>'[1]COMEDORES EMERGENTES'!$B$13</f>
        <v>LA LUCIERNAGA</v>
      </c>
      <c r="C268" s="120"/>
      <c r="D268" s="63">
        <v>36</v>
      </c>
      <c r="E268" s="64" t="str">
        <f>'[1]COMEDORES EMERGENTES'!$G$13</f>
        <v>Bº 20 V.V NORTE C/3</v>
      </c>
    </row>
    <row r="269" spans="2:5" x14ac:dyDescent="0.2">
      <c r="B269" s="119" t="str">
        <f>'[1]COMEDORES EMERGENTES'!$B$14</f>
        <v>VALLE VIEJO - SUMALAO</v>
      </c>
      <c r="C269" s="120"/>
      <c r="D269" s="63">
        <v>63</v>
      </c>
      <c r="E269" s="64" t="str">
        <f>'[1]COMEDORES EMERGENTES'!$G$14</f>
        <v>PADRE SEGURA S/N</v>
      </c>
    </row>
    <row r="270" spans="2:5" x14ac:dyDescent="0.2">
      <c r="B270" s="119" t="str">
        <f>'[1]COMEDORES EMERGENTES'!$B$15</f>
        <v>NUESTRO FUTURO - LAS VIAS</v>
      </c>
      <c r="C270" s="120"/>
      <c r="D270" s="63">
        <v>36</v>
      </c>
      <c r="E270" s="64" t="str">
        <f>'[1]COMEDORES EMERGENTES'!$G$15</f>
        <v>Bº LAS VIAS OESTE LOTE 42</v>
      </c>
    </row>
    <row r="271" spans="2:5" x14ac:dyDescent="0.2">
      <c r="B271" s="119" t="str">
        <f>'[1]COMEDORES EMERGENTES'!$B$16</f>
        <v>SAN JOSE OBRERO</v>
      </c>
      <c r="C271" s="120"/>
      <c r="D271" s="63">
        <v>23</v>
      </c>
      <c r="E271" s="64" t="str">
        <f>'[1]COMEDORES EMERGENTES'!$G$16</f>
        <v>Bº SAN JOSE OBRERO. PJE. SANDOVAL S/Nº</v>
      </c>
    </row>
    <row r="272" spans="2:5" x14ac:dyDescent="0.2">
      <c r="B272" s="119" t="str">
        <f>'[1]COMEDORES EMERGENTES'!$B$17</f>
        <v>VIRGEN DE LUJAN</v>
      </c>
      <c r="C272" s="120"/>
      <c r="D272" s="63">
        <v>36</v>
      </c>
      <c r="E272" s="64" t="str">
        <f>'[1]COMEDORES EMERGENTES'!$G$17</f>
        <v>Bº OJO DE AGUA C/DR.TEODULFO BARRIONUEVO S/Nº</v>
      </c>
    </row>
    <row r="273" spans="2:5" x14ac:dyDescent="0.2">
      <c r="B273" s="119" t="str">
        <f>'[1]COMEDORES EMERGENTES'!$B$18</f>
        <v>RENACER</v>
      </c>
      <c r="C273" s="120"/>
      <c r="D273" s="63">
        <v>45</v>
      </c>
      <c r="E273" s="64" t="str">
        <f>'[1]COMEDORES EMERGENTES'!$G$18</f>
        <v>Bº VIRGEN MORENITA</v>
      </c>
    </row>
    <row r="274" spans="2:5" x14ac:dyDescent="0.2">
      <c r="B274" s="119" t="str">
        <f>'[1]COMEDORES EMERGENTES'!$B$19</f>
        <v>CENTRO VECINAL MI JARDIN</v>
      </c>
      <c r="C274" s="120"/>
      <c r="D274" s="63">
        <v>32</v>
      </c>
      <c r="E274" s="64" t="str">
        <f>'[1]COMEDORES EMERGENTES'!$G$19</f>
        <v>C/ LOS TULIPANES ENTRE FLOR DE CEREZO Y HOLANDA MZA.27 Bº MI JARDIN</v>
      </c>
    </row>
    <row r="275" spans="2:5" x14ac:dyDescent="0.2">
      <c r="B275" s="119" t="str">
        <f>'[1]COMEDORES EMERGENTES'!$B$20</f>
        <v>LA VIEJA ESQUINA</v>
      </c>
      <c r="C275" s="120"/>
      <c r="D275" s="63">
        <v>31</v>
      </c>
      <c r="E275" s="64" t="str">
        <f>'[1]COMEDORES EMERGENTES'!$G$20</f>
        <v>B° CRISTO REY PJE CAPATAZ VILLAFAÑEZ Y ARMANDO CORREA</v>
      </c>
    </row>
    <row r="276" spans="2:5" x14ac:dyDescent="0.2">
      <c r="B276" s="119" t="str">
        <f>'[1]COMEDORES EMERGENTES'!$B$21</f>
        <v>GAUCHITO GIL</v>
      </c>
      <c r="C276" s="120"/>
      <c r="D276" s="63">
        <v>30</v>
      </c>
      <c r="E276" s="64" t="str">
        <f>'[1]COMEDORES EMERGENTES'!$G$21</f>
        <v>B° 26 VIVIENDAS CASA N° 3</v>
      </c>
    </row>
    <row r="277" spans="2:5" ht="13.5" thickBot="1" x14ac:dyDescent="0.25">
      <c r="B277" s="121" t="str">
        <f>'[1]COMEDORES EMERGENTES'!$B$22</f>
        <v>LOS TOLDOS</v>
      </c>
      <c r="C277" s="122"/>
      <c r="D277" s="67">
        <v>14</v>
      </c>
      <c r="E277" s="68" t="str">
        <f>'[1]COMEDORES EMERGENTES'!$G$22</f>
        <v>LOTEO PARQUE SUR CALLE S/NOMBRE S/N°</v>
      </c>
    </row>
    <row r="278" spans="2:5" x14ac:dyDescent="0.2">
      <c r="B278" s="9" t="s">
        <v>18</v>
      </c>
      <c r="E278" s="8"/>
    </row>
    <row r="279" spans="2:5" ht="12.75" customHeight="1" x14ac:dyDescent="0.2">
      <c r="B279" s="10"/>
      <c r="C279" s="123" t="s">
        <v>24</v>
      </c>
      <c r="D279" s="123"/>
      <c r="E279" s="123"/>
    </row>
    <row r="280" spans="2:5" x14ac:dyDescent="0.2">
      <c r="B280" s="9" t="s">
        <v>19</v>
      </c>
      <c r="C280" s="11"/>
      <c r="D280" s="11"/>
      <c r="E280" s="12"/>
    </row>
    <row r="281" spans="2:5" ht="14.25" customHeight="1" x14ac:dyDescent="0.2">
      <c r="B281" s="10"/>
      <c r="C281" s="123" t="s">
        <v>86</v>
      </c>
      <c r="D281" s="123"/>
      <c r="E281" s="123"/>
    </row>
    <row r="282" spans="2:5" x14ac:dyDescent="0.2">
      <c r="B282" s="9" t="s">
        <v>20</v>
      </c>
      <c r="E282" s="8"/>
    </row>
    <row r="283" spans="2:5" ht="11.25" customHeight="1" x14ac:dyDescent="0.2">
      <c r="B283" s="9"/>
      <c r="C283" s="124" t="s">
        <v>25</v>
      </c>
      <c r="D283" s="124"/>
      <c r="E283" s="124"/>
    </row>
    <row r="284" spans="2:5" ht="13.5" thickBot="1" x14ac:dyDescent="0.25">
      <c r="B284" s="13"/>
      <c r="C284" s="14"/>
      <c r="D284" s="29"/>
      <c r="E284" s="15"/>
    </row>
    <row r="285" spans="2:5" ht="13.5" thickBot="1" x14ac:dyDescent="0.25"/>
    <row r="286" spans="2:5" x14ac:dyDescent="0.2">
      <c r="B286" s="4" t="s">
        <v>91</v>
      </c>
      <c r="C286" s="5"/>
      <c r="D286" s="27"/>
      <c r="E286" s="6"/>
    </row>
    <row r="287" spans="2:5" ht="5.25" customHeight="1" x14ac:dyDescent="0.2">
      <c r="B287" s="7"/>
      <c r="E287" s="8"/>
    </row>
    <row r="288" spans="2:5" x14ac:dyDescent="0.2">
      <c r="B288" s="9" t="s">
        <v>16</v>
      </c>
      <c r="E288" s="8"/>
    </row>
    <row r="289" spans="2:5" ht="25.5" customHeight="1" x14ac:dyDescent="0.2">
      <c r="B289" s="9"/>
      <c r="C289" s="125"/>
      <c r="D289" s="125"/>
      <c r="E289" s="126"/>
    </row>
    <row r="290" spans="2:5" ht="13.5" thickBot="1" x14ac:dyDescent="0.25">
      <c r="B290" s="9" t="s">
        <v>17</v>
      </c>
      <c r="E290" s="8"/>
    </row>
    <row r="291" spans="2:5" ht="13.5" thickBot="1" x14ac:dyDescent="0.25">
      <c r="B291" s="127" t="s">
        <v>83</v>
      </c>
      <c r="C291" s="132"/>
      <c r="D291" s="132"/>
      <c r="E291" s="128"/>
    </row>
    <row r="292" spans="2:5" ht="13.5" thickBot="1" x14ac:dyDescent="0.25">
      <c r="B292" s="127" t="s">
        <v>84</v>
      </c>
      <c r="C292" s="128"/>
      <c r="D292" s="25" t="s">
        <v>11</v>
      </c>
      <c r="E292" s="25" t="s">
        <v>85</v>
      </c>
    </row>
    <row r="293" spans="2:5" x14ac:dyDescent="0.2">
      <c r="B293" s="129" t="str">
        <f>'[1]COMEDORES EMERGENTES'!$B$3</f>
        <v>UNA SONRISA AV. LOS COBACHO</v>
      </c>
      <c r="C293" s="130"/>
      <c r="D293" s="65">
        <v>8</v>
      </c>
      <c r="E293" s="66" t="str">
        <f>'[1]COMEDORES EMERGENTES'!$G$3</f>
        <v>Bº SAN CARLOS OESTE AV. Bonifacio cobacho 670</v>
      </c>
    </row>
    <row r="294" spans="2:5" x14ac:dyDescent="0.2">
      <c r="B294" s="119" t="str">
        <f>'[1]COMEDORES EMERGENTES'!$B$4</f>
        <v>C.I.F Nº1 - RIVERA DEL VALLE Y FLORIDA</v>
      </c>
      <c r="C294" s="120"/>
      <c r="D294" s="63">
        <v>12</v>
      </c>
      <c r="E294" s="64" t="str">
        <f>'[1]COMEDORES EMERGENTES'!$G$4</f>
        <v>AV. RIVIERA DEL VALLE ENTRE FLORIDA Y SANTA FE</v>
      </c>
    </row>
    <row r="295" spans="2:5" x14ac:dyDescent="0.2">
      <c r="B295" s="119" t="str">
        <f>'[1]COMEDORES EMERGENTES'!$B$5</f>
        <v>C.I.F - RIVERA DEL VALLE - DILORENZO</v>
      </c>
      <c r="C295" s="120"/>
      <c r="D295" s="63">
        <v>14</v>
      </c>
      <c r="E295" s="64" t="str">
        <f>'[1]COMEDORES EMERGENTES'!$G$5</f>
        <v>Bº RIVERA DEL VALLE ENTRE VILLA EUMELIA Y MONTE CRISTO</v>
      </c>
    </row>
    <row r="296" spans="2:5" x14ac:dyDescent="0.2">
      <c r="B296" s="119" t="str">
        <f>'[1]COMEDORES EMERGENTES'!$B$6</f>
        <v>ESFUERZO PROPIO- Bº ALTOS DE CHOYA</v>
      </c>
      <c r="C296" s="120"/>
      <c r="D296" s="63">
        <v>11</v>
      </c>
      <c r="E296" s="64" t="str">
        <f>'[1]COMEDORES EMERGENTES'!$G$6</f>
        <v>Bº MUNICIPAL 35VV. NORTE C/14</v>
      </c>
    </row>
    <row r="297" spans="2:5" x14ac:dyDescent="0.2">
      <c r="B297" s="119" t="str">
        <f>'[1]COMEDORES EMERGENTES'!$B$7</f>
        <v>ANGELITOS - LOTEO SUSSEX</v>
      </c>
      <c r="C297" s="120"/>
      <c r="D297" s="63">
        <v>5</v>
      </c>
      <c r="E297" s="64" t="str">
        <f>'[1]COMEDORES EMERGENTES'!$G$7</f>
        <v>Bº LOTEO SUSEX MZA.Nº 4 LOTE Nº3</v>
      </c>
    </row>
    <row r="298" spans="2:5" x14ac:dyDescent="0.2">
      <c r="B298" s="119" t="str">
        <f>'[1]COMEDORES EMERGENTES'!$B$8</f>
        <v>CLUB DEPORTIVO CHACARITA</v>
      </c>
      <c r="C298" s="120"/>
      <c r="D298" s="63">
        <v>7</v>
      </c>
      <c r="E298" s="64" t="str">
        <f>'[1]COMEDORES EMERGENTES'!$G$8</f>
        <v>CALLE DR.DERMIDIO GALINDEZ C/2660</v>
      </c>
    </row>
    <row r="299" spans="2:5" x14ac:dyDescent="0.2">
      <c r="B299" s="119" t="str">
        <f>'[1]COMEDORES EMERGENTES'!$B$9</f>
        <v>LA MORO</v>
      </c>
      <c r="C299" s="120"/>
      <c r="D299" s="63">
        <v>6</v>
      </c>
      <c r="E299" s="64" t="str">
        <f>'[1]COMEDORES EMERGENTES'!$G$9</f>
        <v>MAIPU NORTE 1º ETAPA MZA "H" Bº MI JARDIN</v>
      </c>
    </row>
    <row r="300" spans="2:5" x14ac:dyDescent="0.2">
      <c r="B300" s="119" t="str">
        <f>'[1]COMEDORES EMERGENTES'!$B$10</f>
        <v>PAPA FRANCISCO</v>
      </c>
      <c r="C300" s="120"/>
      <c r="D300" s="63">
        <v>10</v>
      </c>
      <c r="E300" s="64" t="str">
        <f>'[1]COMEDORES EMERGENTES'!$G$10</f>
        <v>ENTRE AV.TEREBINTO Y AV.SAN JUAN LOTE "2" MZA. "B"</v>
      </c>
    </row>
    <row r="301" spans="2:5" x14ac:dyDescent="0.2">
      <c r="B301" s="119" t="str">
        <f>'[1]COMEDORES EMERGENTES'!$B$11</f>
        <v>E.P.C - 100 V.V NORTE</v>
      </c>
      <c r="C301" s="120"/>
      <c r="D301" s="63">
        <v>15</v>
      </c>
      <c r="E301" s="64" t="str">
        <f>'[1]COMEDORES EMERGENTES'!$G$11</f>
        <v>Bº VV NORTE C/48 ENTRE ESPAÑA Y FRANCIA</v>
      </c>
    </row>
    <row r="302" spans="2:5" x14ac:dyDescent="0.2">
      <c r="B302" s="119" t="str">
        <f>'[1]COMEDORES EMERGENTES'!$B$12</f>
        <v>HOGAR DE CRISTO - PADRE RAUL CONTRERAS</v>
      </c>
      <c r="C302" s="120"/>
      <c r="D302" s="63">
        <v>15</v>
      </c>
      <c r="E302" s="64" t="str">
        <f>'[1]COMEDORES EMERGENTES'!$G$12</f>
        <v>Bº SANTA MARTA MZA. "S" LOTE "M" C/39</v>
      </c>
    </row>
    <row r="303" spans="2:5" x14ac:dyDescent="0.2">
      <c r="B303" s="119" t="str">
        <f>'[1]COMEDORES EMERGENTES'!$B$13</f>
        <v>LA LUCIERNAGA</v>
      </c>
      <c r="C303" s="120"/>
      <c r="D303" s="63">
        <v>10</v>
      </c>
      <c r="E303" s="64" t="str">
        <f>'[1]COMEDORES EMERGENTES'!$G$13</f>
        <v>Bº 20 V.V NORTE C/3</v>
      </c>
    </row>
    <row r="304" spans="2:5" x14ac:dyDescent="0.2">
      <c r="B304" s="119" t="str">
        <f>'[1]COMEDORES EMERGENTES'!$B$14</f>
        <v>VALLE VIEJO - SUMALAO</v>
      </c>
      <c r="C304" s="120"/>
      <c r="D304" s="63">
        <v>18</v>
      </c>
      <c r="E304" s="64" t="str">
        <f>'[1]COMEDORES EMERGENTES'!$G$14</f>
        <v>PADRE SEGURA S/N</v>
      </c>
    </row>
    <row r="305" spans="2:5" x14ac:dyDescent="0.2">
      <c r="B305" s="119" t="str">
        <f>'[1]COMEDORES EMERGENTES'!$B$15</f>
        <v>NUESTRO FUTURO - LAS VIAS</v>
      </c>
      <c r="C305" s="120"/>
      <c r="D305" s="63">
        <v>10</v>
      </c>
      <c r="E305" s="64" t="str">
        <f>'[1]COMEDORES EMERGENTES'!$G$15</f>
        <v>Bº LAS VIAS OESTE LOTE 42</v>
      </c>
    </row>
    <row r="306" spans="2:5" x14ac:dyDescent="0.2">
      <c r="B306" s="119" t="str">
        <f>'[1]COMEDORES EMERGENTES'!$B$16</f>
        <v>SAN JOSE OBRERO</v>
      </c>
      <c r="C306" s="120"/>
      <c r="D306" s="63">
        <v>7</v>
      </c>
      <c r="E306" s="64" t="str">
        <f>'[1]COMEDORES EMERGENTES'!$G$16</f>
        <v>Bº SAN JOSE OBRERO. PJE. SANDOVAL S/Nº</v>
      </c>
    </row>
    <row r="307" spans="2:5" x14ac:dyDescent="0.2">
      <c r="B307" s="119" t="str">
        <f>'[1]COMEDORES EMERGENTES'!$B$17</f>
        <v>VIRGEN DE LUJAN</v>
      </c>
      <c r="C307" s="120"/>
      <c r="D307" s="63">
        <v>10</v>
      </c>
      <c r="E307" s="64" t="str">
        <f>'[1]COMEDORES EMERGENTES'!$G$17</f>
        <v>Bº OJO DE AGUA C/DR.TEODULFO BARRIONUEVO S/Nº</v>
      </c>
    </row>
    <row r="308" spans="2:5" x14ac:dyDescent="0.2">
      <c r="B308" s="119" t="str">
        <f>'[1]COMEDORES EMERGENTES'!$B$18</f>
        <v>RENACER</v>
      </c>
      <c r="C308" s="120"/>
      <c r="D308" s="63">
        <v>13</v>
      </c>
      <c r="E308" s="64" t="str">
        <f>'[1]COMEDORES EMERGENTES'!$G$18</f>
        <v>Bº VIRGEN MORENITA</v>
      </c>
    </row>
    <row r="309" spans="2:5" x14ac:dyDescent="0.2">
      <c r="B309" s="119" t="str">
        <f>'[1]COMEDORES EMERGENTES'!$B$19</f>
        <v>CENTRO VECINAL MI JARDIN</v>
      </c>
      <c r="C309" s="120"/>
      <c r="D309" s="63">
        <v>9</v>
      </c>
      <c r="E309" s="64" t="str">
        <f>'[1]COMEDORES EMERGENTES'!$G$19</f>
        <v>C/ LOS TULIPANES ENTRE FLOR DE CEREZO Y HOLANDA MZA.27 Bº MI JARDIN</v>
      </c>
    </row>
    <row r="310" spans="2:5" x14ac:dyDescent="0.2">
      <c r="B310" s="119" t="str">
        <f>'[1]COMEDORES EMERGENTES'!$B$20</f>
        <v>LA VIEJA ESQUINA</v>
      </c>
      <c r="C310" s="120"/>
      <c r="D310" s="63">
        <v>9</v>
      </c>
      <c r="E310" s="64" t="str">
        <f>'[1]COMEDORES EMERGENTES'!$G$20</f>
        <v>B° CRISTO REY PJE CAPATAZ VILLAFAÑEZ Y ARMANDO CORREA</v>
      </c>
    </row>
    <row r="311" spans="2:5" x14ac:dyDescent="0.2">
      <c r="B311" s="119" t="str">
        <f>'[1]COMEDORES EMERGENTES'!$B$21</f>
        <v>GAUCHITO GIL</v>
      </c>
      <c r="C311" s="120"/>
      <c r="D311" s="63">
        <v>8</v>
      </c>
      <c r="E311" s="64" t="str">
        <f>'[1]COMEDORES EMERGENTES'!$G$21</f>
        <v>B° 26 VIVIENDAS CASA N° 3</v>
      </c>
    </row>
    <row r="312" spans="2:5" ht="13.5" thickBot="1" x14ac:dyDescent="0.25">
      <c r="B312" s="121" t="str">
        <f>'[1]COMEDORES EMERGENTES'!$B$22</f>
        <v>LOS TOLDOS</v>
      </c>
      <c r="C312" s="122"/>
      <c r="D312" s="67">
        <v>4</v>
      </c>
      <c r="E312" s="68" t="str">
        <f>'[1]COMEDORES EMERGENTES'!$G$22</f>
        <v>LOTEO PARQUE SUR CALLE S/NOMBRE S/N°</v>
      </c>
    </row>
    <row r="313" spans="2:5" x14ac:dyDescent="0.2">
      <c r="B313" s="9" t="s">
        <v>18</v>
      </c>
      <c r="E313" s="8"/>
    </row>
    <row r="314" spans="2:5" ht="12.75" customHeight="1" x14ac:dyDescent="0.2">
      <c r="B314" s="10"/>
      <c r="C314" s="123" t="s">
        <v>24</v>
      </c>
      <c r="D314" s="123"/>
      <c r="E314" s="123"/>
    </row>
    <row r="315" spans="2:5" x14ac:dyDescent="0.2">
      <c r="B315" s="9" t="s">
        <v>19</v>
      </c>
      <c r="C315" s="11"/>
      <c r="D315" s="11"/>
      <c r="E315" s="12"/>
    </row>
    <row r="316" spans="2:5" ht="14.25" customHeight="1" x14ac:dyDescent="0.2">
      <c r="B316" s="10"/>
      <c r="C316" s="123" t="s">
        <v>86</v>
      </c>
      <c r="D316" s="123"/>
      <c r="E316" s="123"/>
    </row>
    <row r="317" spans="2:5" x14ac:dyDescent="0.2">
      <c r="B317" s="9" t="s">
        <v>20</v>
      </c>
      <c r="E317" s="8"/>
    </row>
    <row r="318" spans="2:5" ht="11.25" customHeight="1" x14ac:dyDescent="0.2">
      <c r="B318" s="9"/>
      <c r="C318" s="124" t="s">
        <v>25</v>
      </c>
      <c r="D318" s="124"/>
      <c r="E318" s="124"/>
    </row>
    <row r="319" spans="2:5" ht="13.5" thickBot="1" x14ac:dyDescent="0.25">
      <c r="B319" s="13"/>
      <c r="C319" s="14"/>
      <c r="D319" s="29"/>
      <c r="E319" s="15"/>
    </row>
    <row r="320" spans="2:5" ht="13.5" thickBot="1" x14ac:dyDescent="0.25"/>
    <row r="321" spans="2:5" x14ac:dyDescent="0.2">
      <c r="B321" s="4" t="s">
        <v>92</v>
      </c>
      <c r="C321" s="5"/>
      <c r="D321" s="27"/>
      <c r="E321" s="6"/>
    </row>
    <row r="322" spans="2:5" ht="5.25" customHeight="1" x14ac:dyDescent="0.2">
      <c r="B322" s="7"/>
      <c r="E322" s="8"/>
    </row>
    <row r="323" spans="2:5" x14ac:dyDescent="0.2">
      <c r="B323" s="9" t="s">
        <v>16</v>
      </c>
      <c r="E323" s="8"/>
    </row>
    <row r="324" spans="2:5" ht="25.5" customHeight="1" x14ac:dyDescent="0.2">
      <c r="B324" s="9"/>
      <c r="C324" s="123"/>
      <c r="D324" s="123"/>
      <c r="E324" s="123"/>
    </row>
    <row r="325" spans="2:5" ht="13.5" thickBot="1" x14ac:dyDescent="0.25">
      <c r="B325" s="9" t="s">
        <v>17</v>
      </c>
      <c r="E325" s="8"/>
    </row>
    <row r="326" spans="2:5" ht="13.5" thickBot="1" x14ac:dyDescent="0.25">
      <c r="B326" s="127" t="s">
        <v>83</v>
      </c>
      <c r="C326" s="132"/>
      <c r="D326" s="132"/>
      <c r="E326" s="128"/>
    </row>
    <row r="327" spans="2:5" ht="13.5" thickBot="1" x14ac:dyDescent="0.25">
      <c r="B327" s="127" t="s">
        <v>84</v>
      </c>
      <c r="C327" s="128"/>
      <c r="D327" s="25" t="s">
        <v>11</v>
      </c>
      <c r="E327" s="25" t="s">
        <v>85</v>
      </c>
    </row>
    <row r="328" spans="2:5" x14ac:dyDescent="0.2">
      <c r="B328" s="129" t="str">
        <f>'[1]COMEDORES EMERGENTES'!$B$3</f>
        <v>UNA SONRISA AV. LOS COBACHO</v>
      </c>
      <c r="C328" s="130"/>
      <c r="D328" s="65" t="s">
        <v>122</v>
      </c>
      <c r="E328" s="66" t="str">
        <f>'[1]COMEDORES EMERGENTES'!$G$3</f>
        <v>Bº SAN CARLOS OESTE AV. Bonifacio cobacho 670</v>
      </c>
    </row>
    <row r="329" spans="2:5" x14ac:dyDescent="0.2">
      <c r="B329" s="119" t="str">
        <f>'[1]COMEDORES EMERGENTES'!$B$4</f>
        <v>C.I.F Nº1 - RIVERA DEL VALLE Y FLORIDA</v>
      </c>
      <c r="C329" s="120"/>
      <c r="D329" s="63" t="s">
        <v>150</v>
      </c>
      <c r="E329" s="64" t="str">
        <f>'[1]COMEDORES EMERGENTES'!$G$4</f>
        <v>AV. RIVIERA DEL VALLE ENTRE FLORIDA Y SANTA FE</v>
      </c>
    </row>
    <row r="330" spans="2:5" x14ac:dyDescent="0.2">
      <c r="B330" s="119" t="str">
        <f>'[1]COMEDORES EMERGENTES'!$B$5</f>
        <v>C.I.F - RIVERA DEL VALLE - DILORENZO</v>
      </c>
      <c r="C330" s="120"/>
      <c r="D330" s="63" t="s">
        <v>151</v>
      </c>
      <c r="E330" s="64" t="str">
        <f>'[1]COMEDORES EMERGENTES'!$G$5</f>
        <v>Bº RIVERA DEL VALLE ENTRE VILLA EUMELIA Y MONTE CRISTO</v>
      </c>
    </row>
    <row r="331" spans="2:5" x14ac:dyDescent="0.2">
      <c r="B331" s="119" t="str">
        <f>'[1]COMEDORES EMERGENTES'!$B$6</f>
        <v>ESFUERZO PROPIO- Bº ALTOS DE CHOYA</v>
      </c>
      <c r="C331" s="120"/>
      <c r="D331" s="63" t="s">
        <v>152</v>
      </c>
      <c r="E331" s="64" t="str">
        <f>'[1]COMEDORES EMERGENTES'!$G$6</f>
        <v>Bº MUNICIPAL 35VV. NORTE C/14</v>
      </c>
    </row>
    <row r="332" spans="2:5" x14ac:dyDescent="0.2">
      <c r="B332" s="119" t="str">
        <f>'[1]COMEDORES EMERGENTES'!$B$7</f>
        <v>ANGELITOS - LOTEO SUSSEX</v>
      </c>
      <c r="C332" s="120"/>
      <c r="D332" s="63" t="s">
        <v>133</v>
      </c>
      <c r="E332" s="64" t="str">
        <f>'[1]COMEDORES EMERGENTES'!$G$7</f>
        <v>Bº LOTEO SUSEX MZA.Nº 4 LOTE Nº3</v>
      </c>
    </row>
    <row r="333" spans="2:5" x14ac:dyDescent="0.2">
      <c r="B333" s="119" t="str">
        <f>'[1]COMEDORES EMERGENTES'!$B$8</f>
        <v>CLUB DEPORTIVO CHACARITA</v>
      </c>
      <c r="C333" s="120"/>
      <c r="D333" s="63" t="s">
        <v>143</v>
      </c>
      <c r="E333" s="64" t="str">
        <f>'[1]COMEDORES EMERGENTES'!$G$8</f>
        <v>CALLE DR.DERMIDIO GALINDEZ C/2660</v>
      </c>
    </row>
    <row r="334" spans="2:5" x14ac:dyDescent="0.2">
      <c r="B334" s="119" t="str">
        <f>'[1]COMEDORES EMERGENTES'!$B$9</f>
        <v>LA MORO</v>
      </c>
      <c r="C334" s="120"/>
      <c r="D334" s="63" t="s">
        <v>144</v>
      </c>
      <c r="E334" s="64" t="str">
        <f>'[1]COMEDORES EMERGENTES'!$G$9</f>
        <v>MAIPU NORTE 1º ETAPA MZA "H" Bº MI JARDIN</v>
      </c>
    </row>
    <row r="335" spans="2:5" x14ac:dyDescent="0.2">
      <c r="B335" s="119" t="str">
        <f>'[1]COMEDORES EMERGENTES'!$B$10</f>
        <v>PAPA FRANCISCO</v>
      </c>
      <c r="C335" s="120"/>
      <c r="D335" s="63" t="s">
        <v>153</v>
      </c>
      <c r="E335" s="64" t="str">
        <f>'[1]COMEDORES EMERGENTES'!$G$10</f>
        <v>ENTRE AV.TEREBINTO Y AV.SAN JUAN LOTE "2" MZA. "B"</v>
      </c>
    </row>
    <row r="336" spans="2:5" x14ac:dyDescent="0.2">
      <c r="B336" s="119" t="str">
        <f>'[1]COMEDORES EMERGENTES'!$B$11</f>
        <v>E.P.C - 100 V.V NORTE</v>
      </c>
      <c r="C336" s="120"/>
      <c r="D336" s="63" t="s">
        <v>154</v>
      </c>
      <c r="E336" s="64" t="str">
        <f>'[1]COMEDORES EMERGENTES'!$G$11</f>
        <v>Bº VV NORTE C/48 ENTRE ESPAÑA Y FRANCIA</v>
      </c>
    </row>
    <row r="337" spans="2:5" x14ac:dyDescent="0.2">
      <c r="B337" s="119" t="str">
        <f>'[1]COMEDORES EMERGENTES'!$B$12</f>
        <v>HOGAR DE CRISTO - PADRE RAUL CONTRERAS</v>
      </c>
      <c r="C337" s="120"/>
      <c r="D337" s="63" t="s">
        <v>154</v>
      </c>
      <c r="E337" s="64" t="str">
        <f>'[1]COMEDORES EMERGENTES'!$G$12</f>
        <v>Bº SANTA MARTA MZA. "S" LOTE "M" C/39</v>
      </c>
    </row>
    <row r="338" spans="2:5" x14ac:dyDescent="0.2">
      <c r="B338" s="119" t="str">
        <f>'[1]COMEDORES EMERGENTES'!$B$13</f>
        <v>LA LUCIERNAGA</v>
      </c>
      <c r="C338" s="120"/>
      <c r="D338" s="63" t="s">
        <v>153</v>
      </c>
      <c r="E338" s="64" t="str">
        <f>'[1]COMEDORES EMERGENTES'!$G$13</f>
        <v>Bº 20 V.V NORTE C/3</v>
      </c>
    </row>
    <row r="339" spans="2:5" x14ac:dyDescent="0.2">
      <c r="B339" s="119" t="str">
        <f>'[1]COMEDORES EMERGENTES'!$B$14</f>
        <v>VALLE VIEJO - SUMALAO</v>
      </c>
      <c r="C339" s="120"/>
      <c r="D339" s="63" t="s">
        <v>155</v>
      </c>
      <c r="E339" s="64" t="str">
        <f>'[1]COMEDORES EMERGENTES'!$G$14</f>
        <v>PADRE SEGURA S/N</v>
      </c>
    </row>
    <row r="340" spans="2:5" x14ac:dyDescent="0.2">
      <c r="B340" s="119" t="str">
        <f>'[1]COMEDORES EMERGENTES'!$B$15</f>
        <v>NUESTRO FUTURO - LAS VIAS</v>
      </c>
      <c r="C340" s="120"/>
      <c r="D340" s="63" t="s">
        <v>153</v>
      </c>
      <c r="E340" s="64" t="str">
        <f>'[1]COMEDORES EMERGENTES'!$G$15</f>
        <v>Bº LAS VIAS OESTE LOTE 42</v>
      </c>
    </row>
    <row r="341" spans="2:5" x14ac:dyDescent="0.2">
      <c r="B341" s="119" t="str">
        <f>'[1]COMEDORES EMERGENTES'!$B$16</f>
        <v>SAN JOSE OBRERO</v>
      </c>
      <c r="C341" s="120"/>
      <c r="D341" s="63" t="s">
        <v>143</v>
      </c>
      <c r="E341" s="64" t="str">
        <f>'[1]COMEDORES EMERGENTES'!$G$16</f>
        <v>Bº SAN JOSE OBRERO. PJE. SANDOVAL S/Nº</v>
      </c>
    </row>
    <row r="342" spans="2:5" x14ac:dyDescent="0.2">
      <c r="B342" s="119" t="str">
        <f>'[1]COMEDORES EMERGENTES'!$B$17</f>
        <v>VIRGEN DE LUJAN</v>
      </c>
      <c r="C342" s="120"/>
      <c r="D342" s="63" t="s">
        <v>153</v>
      </c>
      <c r="E342" s="64" t="str">
        <f>'[1]COMEDORES EMERGENTES'!$G$17</f>
        <v>Bº OJO DE AGUA C/DR.TEODULFO BARRIONUEVO S/Nº</v>
      </c>
    </row>
    <row r="343" spans="2:5" x14ac:dyDescent="0.2">
      <c r="B343" s="119" t="str">
        <f>'[1]COMEDORES EMERGENTES'!$B$18</f>
        <v>RENACER</v>
      </c>
      <c r="C343" s="120"/>
      <c r="D343" s="63" t="s">
        <v>141</v>
      </c>
      <c r="E343" s="64" t="str">
        <f>'[1]COMEDORES EMERGENTES'!$G$18</f>
        <v>Bº VIRGEN MORENITA</v>
      </c>
    </row>
    <row r="344" spans="2:5" x14ac:dyDescent="0.2">
      <c r="B344" s="119" t="str">
        <f>'[1]COMEDORES EMERGENTES'!$B$19</f>
        <v>CENTRO VECINAL MI JARDIN</v>
      </c>
      <c r="C344" s="120"/>
      <c r="D344" s="63" t="s">
        <v>142</v>
      </c>
      <c r="E344" s="64" t="str">
        <f>'[1]COMEDORES EMERGENTES'!$G$19</f>
        <v>C/ LOS TULIPANES ENTRE FLOR DE CEREZO Y HOLANDA MZA.27 Bº MI JARDIN</v>
      </c>
    </row>
    <row r="345" spans="2:5" x14ac:dyDescent="0.2">
      <c r="B345" s="119" t="str">
        <f>'[1]COMEDORES EMERGENTES'!$B$20</f>
        <v>LA VIEJA ESQUINA</v>
      </c>
      <c r="C345" s="120"/>
      <c r="D345" s="63" t="s">
        <v>156</v>
      </c>
      <c r="E345" s="64" t="str">
        <f>'[1]COMEDORES EMERGENTES'!$G$20</f>
        <v>B° CRISTO REY PJE CAPATAZ VILLAFAÑEZ Y ARMANDO CORREA</v>
      </c>
    </row>
    <row r="346" spans="2:5" x14ac:dyDescent="0.2">
      <c r="B346" s="119" t="str">
        <f>'[1]COMEDORES EMERGENTES'!$B$21</f>
        <v>GAUCHITO GIL</v>
      </c>
      <c r="C346" s="120"/>
      <c r="D346" s="63" t="s">
        <v>157</v>
      </c>
      <c r="E346" s="64" t="str">
        <f>'[1]COMEDORES EMERGENTES'!$G$21</f>
        <v>B° 26 VIVIENDAS CASA N° 3</v>
      </c>
    </row>
    <row r="347" spans="2:5" ht="13.5" thickBot="1" x14ac:dyDescent="0.25">
      <c r="B347" s="121" t="str">
        <f>'[1]COMEDORES EMERGENTES'!$B$22</f>
        <v>LOS TOLDOS</v>
      </c>
      <c r="C347" s="122"/>
      <c r="D347" s="67" t="s">
        <v>131</v>
      </c>
      <c r="E347" s="68" t="str">
        <f>'[1]COMEDORES EMERGENTES'!$G$22</f>
        <v>LOTEO PARQUE SUR CALLE S/NOMBRE S/N°</v>
      </c>
    </row>
    <row r="348" spans="2:5" x14ac:dyDescent="0.2">
      <c r="B348" s="9" t="s">
        <v>18</v>
      </c>
      <c r="E348" s="8"/>
    </row>
    <row r="349" spans="2:5" ht="12.75" customHeight="1" x14ac:dyDescent="0.2">
      <c r="B349" s="10"/>
      <c r="C349" s="123" t="s">
        <v>24</v>
      </c>
      <c r="D349" s="123"/>
      <c r="E349" s="123"/>
    </row>
    <row r="350" spans="2:5" x14ac:dyDescent="0.2">
      <c r="B350" s="9" t="s">
        <v>19</v>
      </c>
      <c r="C350" s="11"/>
      <c r="D350" s="11"/>
      <c r="E350" s="12"/>
    </row>
    <row r="351" spans="2:5" ht="14.25" customHeight="1" x14ac:dyDescent="0.2">
      <c r="B351" s="10"/>
      <c r="C351" s="123" t="s">
        <v>86</v>
      </c>
      <c r="D351" s="123"/>
      <c r="E351" s="123"/>
    </row>
    <row r="352" spans="2:5" x14ac:dyDescent="0.2">
      <c r="B352" s="9" t="s">
        <v>20</v>
      </c>
      <c r="E352" s="8"/>
    </row>
    <row r="353" spans="2:5" ht="11.25" customHeight="1" x14ac:dyDescent="0.2">
      <c r="B353" s="9"/>
      <c r="C353" s="124" t="s">
        <v>25</v>
      </c>
      <c r="D353" s="124"/>
      <c r="E353" s="124"/>
    </row>
    <row r="354" spans="2:5" ht="13.5" thickBot="1" x14ac:dyDescent="0.25">
      <c r="B354" s="13"/>
      <c r="C354" s="14"/>
      <c r="D354" s="29"/>
      <c r="E354" s="15"/>
    </row>
    <row r="355" spans="2:5" ht="13.5" thickBot="1" x14ac:dyDescent="0.25"/>
    <row r="356" spans="2:5" x14ac:dyDescent="0.2">
      <c r="B356" s="4" t="s">
        <v>93</v>
      </c>
      <c r="C356" s="5"/>
      <c r="D356" s="27"/>
      <c r="E356" s="6"/>
    </row>
    <row r="357" spans="2:5" ht="5.25" customHeight="1" x14ac:dyDescent="0.2">
      <c r="B357" s="7"/>
      <c r="E357" s="8"/>
    </row>
    <row r="358" spans="2:5" x14ac:dyDescent="0.2">
      <c r="B358" s="9" t="s">
        <v>16</v>
      </c>
      <c r="E358" s="8"/>
    </row>
    <row r="359" spans="2:5" ht="25.5" customHeight="1" x14ac:dyDescent="0.2">
      <c r="B359" s="9"/>
      <c r="C359" s="123"/>
      <c r="D359" s="123"/>
      <c r="E359" s="123"/>
    </row>
    <row r="360" spans="2:5" ht="13.5" thickBot="1" x14ac:dyDescent="0.25">
      <c r="B360" s="9" t="s">
        <v>17</v>
      </c>
      <c r="E360" s="8"/>
    </row>
    <row r="361" spans="2:5" ht="13.5" thickBot="1" x14ac:dyDescent="0.25">
      <c r="B361" s="127" t="s">
        <v>83</v>
      </c>
      <c r="C361" s="132"/>
      <c r="D361" s="132"/>
      <c r="E361" s="128"/>
    </row>
    <row r="362" spans="2:5" ht="13.5" thickBot="1" x14ac:dyDescent="0.25">
      <c r="B362" s="127" t="s">
        <v>84</v>
      </c>
      <c r="C362" s="128"/>
      <c r="D362" s="25" t="s">
        <v>11</v>
      </c>
      <c r="E362" s="25" t="s">
        <v>85</v>
      </c>
    </row>
    <row r="363" spans="2:5" x14ac:dyDescent="0.2">
      <c r="B363" s="129" t="str">
        <f>'[1]COMEDORES EMERGENTES'!$B$3</f>
        <v>UNA SONRISA AV. LOS COBACHO</v>
      </c>
      <c r="C363" s="130"/>
      <c r="D363" s="65" t="s">
        <v>153</v>
      </c>
      <c r="E363" s="66" t="str">
        <f>'[1]COMEDORES EMERGENTES'!$G$3</f>
        <v>Bº SAN CARLOS OESTE AV. Bonifacio cobacho 670</v>
      </c>
    </row>
    <row r="364" spans="2:5" x14ac:dyDescent="0.2">
      <c r="B364" s="119" t="str">
        <f>'[1]COMEDORES EMERGENTES'!$B$4</f>
        <v>C.I.F Nº1 - RIVERA DEL VALLE Y FLORIDA</v>
      </c>
      <c r="C364" s="120"/>
      <c r="D364" s="63" t="s">
        <v>158</v>
      </c>
      <c r="E364" s="64" t="str">
        <f>'[1]COMEDORES EMERGENTES'!$G$4</f>
        <v>AV. RIVIERA DEL VALLE ENTRE FLORIDA Y SANTA FE</v>
      </c>
    </row>
    <row r="365" spans="2:5" x14ac:dyDescent="0.2">
      <c r="B365" s="119" t="str">
        <f>'[1]COMEDORES EMERGENTES'!$B$5</f>
        <v>C.I.F - RIVERA DEL VALLE - DILORENZO</v>
      </c>
      <c r="C365" s="120"/>
      <c r="D365" s="63" t="s">
        <v>159</v>
      </c>
      <c r="E365" s="64" t="str">
        <f>'[1]COMEDORES EMERGENTES'!$G$5</f>
        <v>Bº RIVERA DEL VALLE ENTRE VILLA EUMELIA Y MONTE CRISTO</v>
      </c>
    </row>
    <row r="366" spans="2:5" x14ac:dyDescent="0.2">
      <c r="B366" s="119" t="str">
        <f>'[1]COMEDORES EMERGENTES'!$B$6</f>
        <v>ESFUERZO PROPIO- Bº ALTOS DE CHOYA</v>
      </c>
      <c r="C366" s="120"/>
      <c r="D366" s="63" t="s">
        <v>160</v>
      </c>
      <c r="E366" s="64" t="str">
        <f>'[1]COMEDORES EMERGENTES'!$G$6</f>
        <v>Bº MUNICIPAL 35VV. NORTE C/14</v>
      </c>
    </row>
    <row r="367" spans="2:5" x14ac:dyDescent="0.2">
      <c r="B367" s="119" t="str">
        <f>'[1]COMEDORES EMERGENTES'!$B$7</f>
        <v>ANGELITOS - LOTEO SUSSEX</v>
      </c>
      <c r="C367" s="120"/>
      <c r="D367" s="63" t="s">
        <v>116</v>
      </c>
      <c r="E367" s="64" t="str">
        <f>'[1]COMEDORES EMERGENTES'!$G$7</f>
        <v>Bº LOTEO SUSEX MZA.Nº 4 LOTE Nº3</v>
      </c>
    </row>
    <row r="368" spans="2:5" x14ac:dyDescent="0.2">
      <c r="B368" s="119" t="str">
        <f>'[1]COMEDORES EMERGENTES'!$B$8</f>
        <v>CLUB DEPORTIVO CHACARITA</v>
      </c>
      <c r="C368" s="120"/>
      <c r="D368" s="63" t="s">
        <v>136</v>
      </c>
      <c r="E368" s="64" t="str">
        <f>'[1]COMEDORES EMERGENTES'!$G$8</f>
        <v>CALLE DR.DERMIDIO GALINDEZ C/2660</v>
      </c>
    </row>
    <row r="369" spans="2:5" x14ac:dyDescent="0.2">
      <c r="B369" s="119" t="str">
        <f>'[1]COMEDORES EMERGENTES'!$B$9</f>
        <v>LA MORO</v>
      </c>
      <c r="C369" s="120"/>
      <c r="D369" s="63" t="s">
        <v>161</v>
      </c>
      <c r="E369" s="64" t="str">
        <f>'[1]COMEDORES EMERGENTES'!$G$9</f>
        <v>MAIPU NORTE 1º ETAPA MZA "H" Bº MI JARDIN</v>
      </c>
    </row>
    <row r="370" spans="2:5" x14ac:dyDescent="0.2">
      <c r="B370" s="119" t="str">
        <f>'[1]COMEDORES EMERGENTES'!$B$10</f>
        <v>PAPA FRANCISCO</v>
      </c>
      <c r="C370" s="120"/>
      <c r="D370" s="63" t="s">
        <v>141</v>
      </c>
      <c r="E370" s="64" t="str">
        <f>'[1]COMEDORES EMERGENTES'!$G$10</f>
        <v>ENTRE AV.TEREBINTO Y AV.SAN JUAN LOTE "2" MZA. "B"</v>
      </c>
    </row>
    <row r="371" spans="2:5" x14ac:dyDescent="0.2">
      <c r="B371" s="119" t="str">
        <f>'[1]COMEDORES EMERGENTES'!$B$11</f>
        <v>E.P.C - 100 V.V NORTE</v>
      </c>
      <c r="C371" s="120"/>
      <c r="D371" s="63" t="s">
        <v>162</v>
      </c>
      <c r="E371" s="64" t="str">
        <f>'[1]COMEDORES EMERGENTES'!$G$11</f>
        <v>Bº VV NORTE C/48 ENTRE ESPAÑA Y FRANCIA</v>
      </c>
    </row>
    <row r="372" spans="2:5" x14ac:dyDescent="0.2">
      <c r="B372" s="119" t="str">
        <f>'[1]COMEDORES EMERGENTES'!$B$12</f>
        <v>HOGAR DE CRISTO - PADRE RAUL CONTRERAS</v>
      </c>
      <c r="C372" s="120"/>
      <c r="D372" s="63" t="s">
        <v>162</v>
      </c>
      <c r="E372" s="64" t="str">
        <f>'[1]COMEDORES EMERGENTES'!$G$12</f>
        <v>Bº SANTA MARTA MZA. "S" LOTE "M" C/39</v>
      </c>
    </row>
    <row r="373" spans="2:5" x14ac:dyDescent="0.2">
      <c r="B373" s="119" t="str">
        <f>'[1]COMEDORES EMERGENTES'!$B$13</f>
        <v>LA LUCIERNAGA</v>
      </c>
      <c r="C373" s="120"/>
      <c r="D373" s="63" t="s">
        <v>141</v>
      </c>
      <c r="E373" s="64" t="str">
        <f>'[1]COMEDORES EMERGENTES'!$G$13</f>
        <v>Bº 20 V.V NORTE C/3</v>
      </c>
    </row>
    <row r="374" spans="2:5" x14ac:dyDescent="0.2">
      <c r="B374" s="119" t="str">
        <f>'[1]COMEDORES EMERGENTES'!$B$14</f>
        <v>VALLE VIEJO - SUMALAO</v>
      </c>
      <c r="C374" s="120"/>
      <c r="D374" s="63" t="s">
        <v>163</v>
      </c>
      <c r="E374" s="64" t="str">
        <f>'[1]COMEDORES EMERGENTES'!$G$14</f>
        <v>PADRE SEGURA S/N</v>
      </c>
    </row>
    <row r="375" spans="2:5" x14ac:dyDescent="0.2">
      <c r="B375" s="119" t="str">
        <f>'[1]COMEDORES EMERGENTES'!$B$15</f>
        <v>NUESTRO FUTURO - LAS VIAS</v>
      </c>
      <c r="C375" s="120"/>
      <c r="D375" s="63" t="s">
        <v>141</v>
      </c>
      <c r="E375" s="64" t="str">
        <f>'[1]COMEDORES EMERGENTES'!$G$15</f>
        <v>Bº LAS VIAS OESTE LOTE 42</v>
      </c>
    </row>
    <row r="376" spans="2:5" x14ac:dyDescent="0.2">
      <c r="B376" s="119" t="str">
        <f>'[1]COMEDORES EMERGENTES'!$B$16</f>
        <v>SAN JOSE OBRERO</v>
      </c>
      <c r="C376" s="120"/>
      <c r="D376" s="63" t="s">
        <v>136</v>
      </c>
      <c r="E376" s="64" t="str">
        <f>'[1]COMEDORES EMERGENTES'!$G$16</f>
        <v>Bº SAN JOSE OBRERO. PJE. SANDOVAL S/Nº</v>
      </c>
    </row>
    <row r="377" spans="2:5" x14ac:dyDescent="0.2">
      <c r="B377" s="119" t="str">
        <f>'[1]COMEDORES EMERGENTES'!$B$17</f>
        <v>VIRGEN DE LUJAN</v>
      </c>
      <c r="C377" s="120"/>
      <c r="D377" s="63" t="s">
        <v>141</v>
      </c>
      <c r="E377" s="64" t="str">
        <f>'[1]COMEDORES EMERGENTES'!$G$17</f>
        <v>Bº OJO DE AGUA C/DR.TEODULFO BARRIONUEVO S/Nº</v>
      </c>
    </row>
    <row r="378" spans="2:5" x14ac:dyDescent="0.2">
      <c r="B378" s="119" t="str">
        <f>'[1]COMEDORES EMERGENTES'!$B$18</f>
        <v>RENACER</v>
      </c>
      <c r="C378" s="120"/>
      <c r="D378" s="63" t="s">
        <v>164</v>
      </c>
      <c r="E378" s="64" t="str">
        <f>'[1]COMEDORES EMERGENTES'!$G$18</f>
        <v>Bº VIRGEN MORENITA</v>
      </c>
    </row>
    <row r="379" spans="2:5" x14ac:dyDescent="0.2">
      <c r="B379" s="119" t="str">
        <f>'[1]COMEDORES EMERGENTES'!$B$19</f>
        <v>CENTRO VECINAL MI JARDIN</v>
      </c>
      <c r="C379" s="120"/>
      <c r="D379" s="63" t="s">
        <v>165</v>
      </c>
      <c r="E379" s="64" t="str">
        <f>'[1]COMEDORES EMERGENTES'!$G$19</f>
        <v>C/ LOS TULIPANES ENTRE FLOR DE CEREZO Y HOLANDA MZA.27 Bº MI JARDIN</v>
      </c>
    </row>
    <row r="380" spans="2:5" x14ac:dyDescent="0.2">
      <c r="B380" s="119" t="str">
        <f>'[1]COMEDORES EMERGENTES'!$B$20</f>
        <v>LA VIEJA ESQUINA</v>
      </c>
      <c r="C380" s="120"/>
      <c r="D380" s="63" t="s">
        <v>140</v>
      </c>
      <c r="E380" s="64" t="str">
        <f>'[1]COMEDORES EMERGENTES'!$G$20</f>
        <v>B° CRISTO REY PJE CAPATAZ VILLAFAÑEZ Y ARMANDO CORREA</v>
      </c>
    </row>
    <row r="381" spans="2:5" x14ac:dyDescent="0.2">
      <c r="B381" s="119" t="str">
        <f>'[1]COMEDORES EMERGENTES'!$B$21</f>
        <v>GAUCHITO GIL</v>
      </c>
      <c r="C381" s="120"/>
      <c r="D381" s="63" t="s">
        <v>166</v>
      </c>
      <c r="E381" s="64" t="str">
        <f>'[1]COMEDORES EMERGENTES'!$G$21</f>
        <v>B° 26 VIVIENDAS CASA N° 3</v>
      </c>
    </row>
    <row r="382" spans="2:5" ht="13.5" thickBot="1" x14ac:dyDescent="0.25">
      <c r="B382" s="121" t="str">
        <f>'[1]COMEDORES EMERGENTES'!$B$22</f>
        <v>LOS TOLDOS</v>
      </c>
      <c r="C382" s="122"/>
      <c r="D382" s="67" t="s">
        <v>133</v>
      </c>
      <c r="E382" s="68" t="str">
        <f>'[1]COMEDORES EMERGENTES'!$G$22</f>
        <v>LOTEO PARQUE SUR CALLE S/NOMBRE S/N°</v>
      </c>
    </row>
    <row r="383" spans="2:5" x14ac:dyDescent="0.2">
      <c r="B383" s="9" t="s">
        <v>18</v>
      </c>
      <c r="E383" s="8"/>
    </row>
    <row r="384" spans="2:5" ht="12.75" customHeight="1" x14ac:dyDescent="0.2">
      <c r="B384" s="10"/>
      <c r="C384" s="123" t="s">
        <v>24</v>
      </c>
      <c r="D384" s="123"/>
      <c r="E384" s="123"/>
    </row>
    <row r="385" spans="2:5" x14ac:dyDescent="0.2">
      <c r="B385" s="9" t="s">
        <v>19</v>
      </c>
      <c r="C385" s="11"/>
      <c r="D385" s="11"/>
      <c r="E385" s="12"/>
    </row>
    <row r="386" spans="2:5" ht="14.25" customHeight="1" x14ac:dyDescent="0.2">
      <c r="B386" s="10"/>
      <c r="C386" s="123" t="s">
        <v>86</v>
      </c>
      <c r="D386" s="123"/>
      <c r="E386" s="123"/>
    </row>
    <row r="387" spans="2:5" x14ac:dyDescent="0.2">
      <c r="B387" s="9" t="s">
        <v>20</v>
      </c>
      <c r="E387" s="8"/>
    </row>
    <row r="388" spans="2:5" ht="11.25" customHeight="1" x14ac:dyDescent="0.2">
      <c r="B388" s="9"/>
      <c r="C388" s="124" t="s">
        <v>25</v>
      </c>
      <c r="D388" s="124"/>
      <c r="E388" s="124"/>
    </row>
    <row r="389" spans="2:5" ht="13.5" thickBot="1" x14ac:dyDescent="0.25">
      <c r="B389" s="13"/>
      <c r="C389" s="14"/>
      <c r="D389" s="29"/>
      <c r="E389" s="15"/>
    </row>
    <row r="390" spans="2:5" ht="13.5" thickBot="1" x14ac:dyDescent="0.25"/>
    <row r="391" spans="2:5" x14ac:dyDescent="0.2">
      <c r="B391" s="4" t="s">
        <v>94</v>
      </c>
      <c r="C391" s="5"/>
      <c r="D391" s="27"/>
      <c r="E391" s="6"/>
    </row>
    <row r="392" spans="2:5" ht="5.25" customHeight="1" x14ac:dyDescent="0.2">
      <c r="B392" s="7"/>
      <c r="E392" s="8"/>
    </row>
    <row r="393" spans="2:5" x14ac:dyDescent="0.2">
      <c r="B393" s="9" t="s">
        <v>16</v>
      </c>
      <c r="E393" s="8"/>
    </row>
    <row r="394" spans="2:5" ht="25.5" customHeight="1" x14ac:dyDescent="0.2">
      <c r="B394" s="9"/>
      <c r="C394" s="123"/>
      <c r="D394" s="123"/>
      <c r="E394" s="123"/>
    </row>
    <row r="395" spans="2:5" ht="13.5" thickBot="1" x14ac:dyDescent="0.25">
      <c r="B395" s="9" t="s">
        <v>17</v>
      </c>
      <c r="E395" s="8"/>
    </row>
    <row r="396" spans="2:5" ht="13.5" thickBot="1" x14ac:dyDescent="0.25">
      <c r="B396" s="127" t="s">
        <v>83</v>
      </c>
      <c r="C396" s="132"/>
      <c r="D396" s="132"/>
      <c r="E396" s="128"/>
    </row>
    <row r="397" spans="2:5" ht="13.5" thickBot="1" x14ac:dyDescent="0.25">
      <c r="B397" s="127" t="s">
        <v>84</v>
      </c>
      <c r="C397" s="128"/>
      <c r="D397" s="25" t="s">
        <v>11</v>
      </c>
      <c r="E397" s="25" t="s">
        <v>85</v>
      </c>
    </row>
    <row r="398" spans="2:5" x14ac:dyDescent="0.2">
      <c r="B398" s="129" t="str">
        <f>'[1]COMEDORES EMERGENTES'!$B$3</f>
        <v>UNA SONRISA AV. LOS COBACHO</v>
      </c>
      <c r="C398" s="130"/>
      <c r="D398" s="65" t="s">
        <v>116</v>
      </c>
      <c r="E398" s="66" t="str">
        <f>'[1]COMEDORES EMERGENTES'!$G$3</f>
        <v>Bº SAN CARLOS OESTE AV. Bonifacio cobacho 670</v>
      </c>
    </row>
    <row r="399" spans="2:5" x14ac:dyDescent="0.2">
      <c r="B399" s="119" t="str">
        <f>'[1]COMEDORES EMERGENTES'!$B$4</f>
        <v>C.I.F Nº1 - RIVERA DEL VALLE Y FLORIDA</v>
      </c>
      <c r="C399" s="120"/>
      <c r="D399" s="63" t="s">
        <v>167</v>
      </c>
      <c r="E399" s="64" t="str">
        <f>'[1]COMEDORES EMERGENTES'!$G$4</f>
        <v>AV. RIVIERA DEL VALLE ENTRE FLORIDA Y SANTA FE</v>
      </c>
    </row>
    <row r="400" spans="2:5" x14ac:dyDescent="0.2">
      <c r="B400" s="119" t="str">
        <f>'[1]COMEDORES EMERGENTES'!$B$5</f>
        <v>C.I.F - RIVERA DEL VALLE - DILORENZO</v>
      </c>
      <c r="C400" s="120"/>
      <c r="D400" s="63" t="s">
        <v>166</v>
      </c>
      <c r="E400" s="64" t="str">
        <f>'[1]COMEDORES EMERGENTES'!$G$5</f>
        <v>Bº RIVERA DEL VALLE ENTRE VILLA EUMELIA Y MONTE CRISTO</v>
      </c>
    </row>
    <row r="401" spans="2:5" x14ac:dyDescent="0.2">
      <c r="B401" s="119" t="str">
        <f>'[1]COMEDORES EMERGENTES'!$B$6</f>
        <v>ESFUERZO PROPIO- Bº ALTOS DE CHOYA</v>
      </c>
      <c r="C401" s="120"/>
      <c r="D401" s="63" t="s">
        <v>156</v>
      </c>
      <c r="E401" s="64" t="str">
        <f>'[1]COMEDORES EMERGENTES'!$G$6</f>
        <v>Bº MUNICIPAL 35VV. NORTE C/14</v>
      </c>
    </row>
    <row r="402" spans="2:5" x14ac:dyDescent="0.2">
      <c r="B402" s="119" t="str">
        <f>'[1]COMEDORES EMERGENTES'!$B$7</f>
        <v>ANGELITOS - LOTEO SUSSEX</v>
      </c>
      <c r="C402" s="120"/>
      <c r="D402" s="63" t="s">
        <v>131</v>
      </c>
      <c r="E402" s="64" t="str">
        <f>'[1]COMEDORES EMERGENTES'!$G$7</f>
        <v>Bº LOTEO SUSEX MZA.Nº 4 LOTE Nº3</v>
      </c>
    </row>
    <row r="403" spans="2:5" x14ac:dyDescent="0.2">
      <c r="B403" s="119" t="str">
        <f>'[1]COMEDORES EMERGENTES'!$B$8</f>
        <v>CLUB DEPORTIVO CHACARITA</v>
      </c>
      <c r="C403" s="120"/>
      <c r="D403" s="63" t="s">
        <v>168</v>
      </c>
      <c r="E403" s="64" t="str">
        <f>'[1]COMEDORES EMERGENTES'!$G$8</f>
        <v>CALLE DR.DERMIDIO GALINDEZ C/2660</v>
      </c>
    </row>
    <row r="404" spans="2:5" x14ac:dyDescent="0.2">
      <c r="B404" s="119" t="str">
        <f>'[1]COMEDORES EMERGENTES'!$B$9</f>
        <v>LA MORO</v>
      </c>
      <c r="C404" s="120"/>
      <c r="D404" s="63" t="s">
        <v>126</v>
      </c>
      <c r="E404" s="64" t="str">
        <f>'[1]COMEDORES EMERGENTES'!$G$9</f>
        <v>MAIPU NORTE 1º ETAPA MZA "H" Bº MI JARDIN</v>
      </c>
    </row>
    <row r="405" spans="2:5" x14ac:dyDescent="0.2">
      <c r="B405" s="119" t="str">
        <f>'[1]COMEDORES EMERGENTES'!$B$10</f>
        <v>PAPA FRANCISCO</v>
      </c>
      <c r="C405" s="120"/>
      <c r="D405" s="63" t="s">
        <v>138</v>
      </c>
      <c r="E405" s="64" t="str">
        <f>'[1]COMEDORES EMERGENTES'!$G$10</f>
        <v>ENTRE AV.TEREBINTO Y AV.SAN JUAN LOTE "2" MZA. "B"</v>
      </c>
    </row>
    <row r="406" spans="2:5" x14ac:dyDescent="0.2">
      <c r="B406" s="119" t="str">
        <f>'[1]COMEDORES EMERGENTES'!$B$11</f>
        <v>E.P.C - 100 V.V NORTE</v>
      </c>
      <c r="C406" s="120"/>
      <c r="D406" s="63" t="s">
        <v>169</v>
      </c>
      <c r="E406" s="64" t="str">
        <f>'[1]COMEDORES EMERGENTES'!$G$11</f>
        <v>Bº VV NORTE C/48 ENTRE ESPAÑA Y FRANCIA</v>
      </c>
    </row>
    <row r="407" spans="2:5" x14ac:dyDescent="0.2">
      <c r="B407" s="119" t="str">
        <f>'[1]COMEDORES EMERGENTES'!$B$12</f>
        <v>HOGAR DE CRISTO - PADRE RAUL CONTRERAS</v>
      </c>
      <c r="C407" s="120"/>
      <c r="D407" s="63" t="s">
        <v>169</v>
      </c>
      <c r="E407" s="64" t="str">
        <f>'[1]COMEDORES EMERGENTES'!$G$12</f>
        <v>Bº SANTA MARTA MZA. "S" LOTE "M" C/39</v>
      </c>
    </row>
    <row r="408" spans="2:5" x14ac:dyDescent="0.2">
      <c r="B408" s="119" t="str">
        <f>'[1]COMEDORES EMERGENTES'!$B$13</f>
        <v>LA LUCIERNAGA</v>
      </c>
      <c r="C408" s="120"/>
      <c r="D408" s="63" t="s">
        <v>138</v>
      </c>
      <c r="E408" s="64" t="str">
        <f>'[1]COMEDORES EMERGENTES'!$G$13</f>
        <v>Bº 20 V.V NORTE C/3</v>
      </c>
    </row>
    <row r="409" spans="2:5" x14ac:dyDescent="0.2">
      <c r="B409" s="119" t="str">
        <f>'[1]COMEDORES EMERGENTES'!$B$14</f>
        <v>VALLE VIEJO - SUMALAO</v>
      </c>
      <c r="C409" s="120"/>
      <c r="D409" s="63" t="s">
        <v>160</v>
      </c>
      <c r="E409" s="64" t="str">
        <f>'[1]COMEDORES EMERGENTES'!$G$14</f>
        <v>PADRE SEGURA S/N</v>
      </c>
    </row>
    <row r="410" spans="2:5" x14ac:dyDescent="0.2">
      <c r="B410" s="119" t="str">
        <f>'[1]COMEDORES EMERGENTES'!$B$15</f>
        <v>NUESTRO FUTURO - LAS VIAS</v>
      </c>
      <c r="C410" s="120"/>
      <c r="D410" s="63" t="s">
        <v>138</v>
      </c>
      <c r="E410" s="64" t="str">
        <f>'[1]COMEDORES EMERGENTES'!$G$15</f>
        <v>Bº LAS VIAS OESTE LOTE 42</v>
      </c>
    </row>
    <row r="411" spans="2:5" x14ac:dyDescent="0.2">
      <c r="B411" s="119" t="str">
        <f>'[1]COMEDORES EMERGENTES'!$B$16</f>
        <v>SAN JOSE OBRERO</v>
      </c>
      <c r="C411" s="120"/>
      <c r="D411" s="63" t="s">
        <v>168</v>
      </c>
      <c r="E411" s="64" t="str">
        <f>'[1]COMEDORES EMERGENTES'!$G$16</f>
        <v>Bº SAN JOSE OBRERO. PJE. SANDOVAL S/Nº</v>
      </c>
    </row>
    <row r="412" spans="2:5" x14ac:dyDescent="0.2">
      <c r="B412" s="119" t="str">
        <f>'[1]COMEDORES EMERGENTES'!$B$17</f>
        <v>VIRGEN DE LUJAN</v>
      </c>
      <c r="C412" s="120"/>
      <c r="D412" s="63" t="s">
        <v>138</v>
      </c>
      <c r="E412" s="64" t="str">
        <f>'[1]COMEDORES EMERGENTES'!$G$17</f>
        <v>Bº OJO DE AGUA C/DR.TEODULFO BARRIONUEVO S/Nº</v>
      </c>
    </row>
    <row r="413" spans="2:5" x14ac:dyDescent="0.2">
      <c r="B413" s="119" t="str">
        <f>'[1]COMEDORES EMERGENTES'!$B$18</f>
        <v>RENACER</v>
      </c>
      <c r="C413" s="120"/>
      <c r="D413" s="63" t="s">
        <v>170</v>
      </c>
      <c r="E413" s="64" t="str">
        <f>'[1]COMEDORES EMERGENTES'!$G$18</f>
        <v>Bº VIRGEN MORENITA</v>
      </c>
    </row>
    <row r="414" spans="2:5" x14ac:dyDescent="0.2">
      <c r="B414" s="119" t="str">
        <f>'[1]COMEDORES EMERGENTES'!$B$19</f>
        <v>CENTRO VECINAL MI JARDIN</v>
      </c>
      <c r="C414" s="120"/>
      <c r="D414" s="63" t="s">
        <v>139</v>
      </c>
      <c r="E414" s="64" t="str">
        <f>'[1]COMEDORES EMERGENTES'!$G$19</f>
        <v>C/ LOS TULIPANES ENTRE FLOR DE CEREZO Y HOLANDA MZA.27 Bº MI JARDIN</v>
      </c>
    </row>
    <row r="415" spans="2:5" x14ac:dyDescent="0.2">
      <c r="B415" s="119" t="str">
        <f>'[1]COMEDORES EMERGENTES'!$B$20</f>
        <v>LA VIEJA ESQUINA</v>
      </c>
      <c r="C415" s="120"/>
      <c r="D415" s="63" t="s">
        <v>124</v>
      </c>
      <c r="E415" s="64" t="str">
        <f>'[1]COMEDORES EMERGENTES'!$G$20</f>
        <v>B° CRISTO REY PJE CAPATAZ VILLAFAÑEZ Y ARMANDO CORREA</v>
      </c>
    </row>
    <row r="416" spans="2:5" x14ac:dyDescent="0.2">
      <c r="B416" s="119" t="str">
        <f>'[1]COMEDORES EMERGENTES'!$B$21</f>
        <v>GAUCHITO GIL</v>
      </c>
      <c r="C416" s="120"/>
      <c r="D416" s="63" t="s">
        <v>171</v>
      </c>
      <c r="E416" s="64" t="str">
        <f>'[1]COMEDORES EMERGENTES'!$G$21</f>
        <v>B° 26 VIVIENDAS CASA N° 3</v>
      </c>
    </row>
    <row r="417" spans="2:5" ht="13.5" thickBot="1" x14ac:dyDescent="0.25">
      <c r="B417" s="121" t="str">
        <f>'[1]COMEDORES EMERGENTES'!$B$22</f>
        <v>LOS TOLDOS</v>
      </c>
      <c r="C417" s="122"/>
      <c r="D417" s="67" t="s">
        <v>115</v>
      </c>
      <c r="E417" s="68" t="str">
        <f>'[1]COMEDORES EMERGENTES'!$G$22</f>
        <v>LOTEO PARQUE SUR CALLE S/NOMBRE S/N°</v>
      </c>
    </row>
    <row r="418" spans="2:5" x14ac:dyDescent="0.2">
      <c r="B418" s="9" t="s">
        <v>18</v>
      </c>
      <c r="E418" s="8"/>
    </row>
    <row r="419" spans="2:5" ht="12.75" customHeight="1" x14ac:dyDescent="0.2">
      <c r="B419" s="10"/>
      <c r="C419" s="123" t="s">
        <v>24</v>
      </c>
      <c r="D419" s="123"/>
      <c r="E419" s="123"/>
    </row>
    <row r="420" spans="2:5" x14ac:dyDescent="0.2">
      <c r="B420" s="9" t="s">
        <v>19</v>
      </c>
      <c r="C420" s="11"/>
      <c r="D420" s="11"/>
      <c r="E420" s="12"/>
    </row>
    <row r="421" spans="2:5" ht="14.25" customHeight="1" x14ac:dyDescent="0.2">
      <c r="B421" s="10"/>
      <c r="C421" s="123" t="s">
        <v>86</v>
      </c>
      <c r="D421" s="123"/>
      <c r="E421" s="123"/>
    </row>
    <row r="422" spans="2:5" x14ac:dyDescent="0.2">
      <c r="B422" s="9" t="s">
        <v>20</v>
      </c>
      <c r="E422" s="8"/>
    </row>
    <row r="423" spans="2:5" ht="11.25" customHeight="1" x14ac:dyDescent="0.2">
      <c r="B423" s="9"/>
      <c r="C423" s="124" t="s">
        <v>25</v>
      </c>
      <c r="D423" s="124"/>
      <c r="E423" s="124"/>
    </row>
    <row r="424" spans="2:5" ht="13.5" thickBot="1" x14ac:dyDescent="0.25">
      <c r="B424" s="13"/>
      <c r="C424" s="14"/>
      <c r="D424" s="29"/>
      <c r="E424" s="15"/>
    </row>
    <row r="425" spans="2:5" ht="13.5" thickBot="1" x14ac:dyDescent="0.25"/>
    <row r="426" spans="2:5" x14ac:dyDescent="0.2">
      <c r="B426" s="4" t="s">
        <v>95</v>
      </c>
      <c r="C426" s="5"/>
      <c r="D426" s="27"/>
      <c r="E426" s="6"/>
    </row>
    <row r="427" spans="2:5" x14ac:dyDescent="0.2">
      <c r="B427" s="7"/>
      <c r="E427" s="8"/>
    </row>
    <row r="428" spans="2:5" x14ac:dyDescent="0.2">
      <c r="B428" s="9" t="s">
        <v>16</v>
      </c>
      <c r="E428" s="8"/>
    </row>
    <row r="429" spans="2:5" ht="25.5" customHeight="1" x14ac:dyDescent="0.2">
      <c r="B429" s="9"/>
      <c r="C429" s="123"/>
      <c r="D429" s="123"/>
      <c r="E429" s="123"/>
    </row>
    <row r="430" spans="2:5" ht="13.5" thickBot="1" x14ac:dyDescent="0.25">
      <c r="B430" s="9" t="s">
        <v>17</v>
      </c>
      <c r="E430" s="8"/>
    </row>
    <row r="431" spans="2:5" ht="13.5" thickBot="1" x14ac:dyDescent="0.25">
      <c r="B431" s="127" t="s">
        <v>83</v>
      </c>
      <c r="C431" s="132"/>
      <c r="D431" s="132"/>
      <c r="E431" s="128"/>
    </row>
    <row r="432" spans="2:5" ht="13.5" thickBot="1" x14ac:dyDescent="0.25">
      <c r="B432" s="127" t="s">
        <v>84</v>
      </c>
      <c r="C432" s="128"/>
      <c r="D432" s="25" t="s">
        <v>11</v>
      </c>
      <c r="E432" s="25" t="s">
        <v>85</v>
      </c>
    </row>
    <row r="433" spans="2:5" x14ac:dyDescent="0.2">
      <c r="B433" s="129" t="str">
        <f>'[1]COMEDORES EMERGENTES'!$B$3</f>
        <v>UNA SONRISA AV. LOS COBACHO</v>
      </c>
      <c r="C433" s="130"/>
      <c r="D433" s="65">
        <v>48</v>
      </c>
      <c r="E433" s="66" t="str">
        <f>'[1]COMEDORES EMERGENTES'!$G$3</f>
        <v>Bº SAN CARLOS OESTE AV. Bonifacio cobacho 670</v>
      </c>
    </row>
    <row r="434" spans="2:5" x14ac:dyDescent="0.2">
      <c r="B434" s="119" t="str">
        <f>'[1]COMEDORES EMERGENTES'!$B$4</f>
        <v>C.I.F Nº1 - RIVERA DEL VALLE Y FLORIDA</v>
      </c>
      <c r="C434" s="120"/>
      <c r="D434" s="63">
        <v>69</v>
      </c>
      <c r="E434" s="64" t="str">
        <f>'[1]COMEDORES EMERGENTES'!$G$4</f>
        <v>AV. RIVIERA DEL VALLE ENTRE FLORIDA Y SANTA FE</v>
      </c>
    </row>
    <row r="435" spans="2:5" x14ac:dyDescent="0.2">
      <c r="B435" s="119" t="str">
        <f>'[1]COMEDORES EMERGENTES'!$B$5</f>
        <v>C.I.F - RIVERA DEL VALLE - DILORENZO</v>
      </c>
      <c r="C435" s="120"/>
      <c r="D435" s="63">
        <v>81</v>
      </c>
      <c r="E435" s="64" t="str">
        <f>'[1]COMEDORES EMERGENTES'!$G$5</f>
        <v>Bº RIVERA DEL VALLE ENTRE VILLA EUMELIA Y MONTE CRISTO</v>
      </c>
    </row>
    <row r="436" spans="2:5" x14ac:dyDescent="0.2">
      <c r="B436" s="119" t="str">
        <f>'[1]COMEDORES EMERGENTES'!$B$6</f>
        <v>ESFUERZO PROPIO- Bº ALTOS DE CHOYA</v>
      </c>
      <c r="C436" s="120"/>
      <c r="D436" s="63">
        <v>66</v>
      </c>
      <c r="E436" s="64" t="str">
        <f>'[1]COMEDORES EMERGENTES'!$G$6</f>
        <v>Bº MUNICIPAL 35VV. NORTE C/14</v>
      </c>
    </row>
    <row r="437" spans="2:5" x14ac:dyDescent="0.2">
      <c r="B437" s="119" t="str">
        <f>'[1]COMEDORES EMERGENTES'!$B$7</f>
        <v>ANGELITOS - LOTEO SUSSEX</v>
      </c>
      <c r="C437" s="120"/>
      <c r="D437" s="63">
        <v>30</v>
      </c>
      <c r="E437" s="64" t="str">
        <f>'[1]COMEDORES EMERGENTES'!$G$7</f>
        <v>Bº LOTEO SUSEX MZA.Nº 4 LOTE Nº3</v>
      </c>
    </row>
    <row r="438" spans="2:5" x14ac:dyDescent="0.2">
      <c r="B438" s="119" t="str">
        <f>'[1]COMEDORES EMERGENTES'!$B$8</f>
        <v>CLUB DEPORTIVO CHACARITA</v>
      </c>
      <c r="C438" s="120"/>
      <c r="D438" s="63">
        <v>39</v>
      </c>
      <c r="E438" s="64" t="str">
        <f>'[1]COMEDORES EMERGENTES'!$G$8</f>
        <v>CALLE DR.DERMIDIO GALINDEZ C/2660</v>
      </c>
    </row>
    <row r="439" spans="2:5" x14ac:dyDescent="0.2">
      <c r="B439" s="119" t="str">
        <f>'[1]COMEDORES EMERGENTES'!$B$9</f>
        <v>LA MORO</v>
      </c>
      <c r="C439" s="120"/>
      <c r="D439" s="63">
        <v>36</v>
      </c>
      <c r="E439" s="64" t="str">
        <f>'[1]COMEDORES EMERGENTES'!$G$9</f>
        <v>MAIPU NORTE 1º ETAPA MZA "H" Bº MI JARDIN</v>
      </c>
    </row>
    <row r="440" spans="2:5" x14ac:dyDescent="0.2">
      <c r="B440" s="119" t="str">
        <f>'[1]COMEDORES EMERGENTES'!$B$10</f>
        <v>PAPA FRANCISCO</v>
      </c>
      <c r="C440" s="120"/>
      <c r="D440" s="63">
        <v>60</v>
      </c>
      <c r="E440" s="64" t="str">
        <f>'[1]COMEDORES EMERGENTES'!$G$10</f>
        <v>ENTRE AV.TEREBINTO Y AV.SAN JUAN LOTE "2" MZA. "B"</v>
      </c>
    </row>
    <row r="441" spans="2:5" x14ac:dyDescent="0.2">
      <c r="B441" s="119" t="str">
        <f>'[1]COMEDORES EMERGENTES'!$B$11</f>
        <v>E.P.C - 100 V.V NORTE</v>
      </c>
      <c r="C441" s="120"/>
      <c r="D441" s="63">
        <v>90</v>
      </c>
      <c r="E441" s="64" t="str">
        <f>'[1]COMEDORES EMERGENTES'!$G$11</f>
        <v>Bº VV NORTE C/48 ENTRE ESPAÑA Y FRANCIA</v>
      </c>
    </row>
    <row r="442" spans="2:5" x14ac:dyDescent="0.2">
      <c r="B442" s="119" t="str">
        <f>'[1]COMEDORES EMERGENTES'!$B$12</f>
        <v>HOGAR DE CRISTO - PADRE RAUL CONTRERAS</v>
      </c>
      <c r="C442" s="120"/>
      <c r="D442" s="63">
        <v>90</v>
      </c>
      <c r="E442" s="64" t="str">
        <f>'[1]COMEDORES EMERGENTES'!$G$12</f>
        <v>Bº SANTA MARTA MZA. "S" LOTE "M" C/39</v>
      </c>
    </row>
    <row r="443" spans="2:5" x14ac:dyDescent="0.2">
      <c r="B443" s="119" t="str">
        <f>'[1]COMEDORES EMERGENTES'!$B$13</f>
        <v>LA LUCIERNAGA</v>
      </c>
      <c r="C443" s="120"/>
      <c r="D443" s="63">
        <v>60</v>
      </c>
      <c r="E443" s="64" t="str">
        <f>'[1]COMEDORES EMERGENTES'!$G$13</f>
        <v>Bº 20 V.V NORTE C/3</v>
      </c>
    </row>
    <row r="444" spans="2:5" x14ac:dyDescent="0.2">
      <c r="B444" s="119" t="str">
        <f>'[1]COMEDORES EMERGENTES'!$B$14</f>
        <v>VALLE VIEJO - SUMALAO</v>
      </c>
      <c r="C444" s="120"/>
      <c r="D444" s="63">
        <v>105</v>
      </c>
      <c r="E444" s="64" t="str">
        <f>'[1]COMEDORES EMERGENTES'!$G$14</f>
        <v>PADRE SEGURA S/N</v>
      </c>
    </row>
    <row r="445" spans="2:5" x14ac:dyDescent="0.2">
      <c r="B445" s="119" t="str">
        <f>'[1]COMEDORES EMERGENTES'!$B$15</f>
        <v>NUESTRO FUTURO - LAS VIAS</v>
      </c>
      <c r="C445" s="120"/>
      <c r="D445" s="63">
        <v>60</v>
      </c>
      <c r="E445" s="64" t="str">
        <f>'[1]COMEDORES EMERGENTES'!$G$15</f>
        <v>Bº LAS VIAS OESTE LOTE 42</v>
      </c>
    </row>
    <row r="446" spans="2:5" x14ac:dyDescent="0.2">
      <c r="B446" s="119" t="str">
        <f>'[1]COMEDORES EMERGENTES'!$B$16</f>
        <v>SAN JOSE OBRERO</v>
      </c>
      <c r="C446" s="120"/>
      <c r="D446" s="63">
        <v>39</v>
      </c>
      <c r="E446" s="64" t="str">
        <f>'[1]COMEDORES EMERGENTES'!$G$16</f>
        <v>Bº SAN JOSE OBRERO. PJE. SANDOVAL S/Nº</v>
      </c>
    </row>
    <row r="447" spans="2:5" x14ac:dyDescent="0.2">
      <c r="B447" s="119" t="str">
        <f>'[1]COMEDORES EMERGENTES'!$B$17</f>
        <v>VIRGEN DE LUJAN</v>
      </c>
      <c r="C447" s="120"/>
      <c r="D447" s="63">
        <v>60</v>
      </c>
      <c r="E447" s="64" t="str">
        <f>'[1]COMEDORES EMERGENTES'!$G$17</f>
        <v>Bº OJO DE AGUA C/DR.TEODULFO BARRIONUEVO S/Nº</v>
      </c>
    </row>
    <row r="448" spans="2:5" x14ac:dyDescent="0.2">
      <c r="B448" s="119" t="str">
        <f>'[1]COMEDORES EMERGENTES'!$B$18</f>
        <v>RENACER</v>
      </c>
      <c r="C448" s="120"/>
      <c r="D448" s="63">
        <v>75</v>
      </c>
      <c r="E448" s="64" t="str">
        <f>'[1]COMEDORES EMERGENTES'!$G$18</f>
        <v>Bº VIRGEN MORENITA</v>
      </c>
    </row>
    <row r="449" spans="2:5" x14ac:dyDescent="0.2">
      <c r="B449" s="119" t="str">
        <f>'[1]COMEDORES EMERGENTES'!$B$19</f>
        <v>CENTRO VECINAL MI JARDIN</v>
      </c>
      <c r="C449" s="120"/>
      <c r="D449" s="63">
        <v>54</v>
      </c>
      <c r="E449" s="64" t="str">
        <f>'[1]COMEDORES EMERGENTES'!$G$19</f>
        <v>C/ LOS TULIPANES ENTRE FLOR DE CEREZO Y HOLANDA MZA.27 Bº MI JARDIN</v>
      </c>
    </row>
    <row r="450" spans="2:5" x14ac:dyDescent="0.2">
      <c r="B450" s="119" t="str">
        <f>'[1]COMEDORES EMERGENTES'!$B$20</f>
        <v>LA VIEJA ESQUINA</v>
      </c>
      <c r="C450" s="120"/>
      <c r="D450" s="63">
        <v>52</v>
      </c>
      <c r="E450" s="64" t="str">
        <f>'[1]COMEDORES EMERGENTES'!$G$20</f>
        <v>B° CRISTO REY PJE CAPATAZ VILLAFAÑEZ Y ARMANDO CORREA</v>
      </c>
    </row>
    <row r="451" spans="2:5" x14ac:dyDescent="0.2">
      <c r="B451" s="119" t="str">
        <f>'[1]COMEDORES EMERGENTES'!$B$21</f>
        <v>GAUCHITO GIL</v>
      </c>
      <c r="C451" s="120"/>
      <c r="D451" s="63">
        <v>50</v>
      </c>
      <c r="E451" s="64" t="str">
        <f>'[1]COMEDORES EMERGENTES'!$G$21</f>
        <v>B° 26 VIVIENDAS CASA N° 3</v>
      </c>
    </row>
    <row r="452" spans="2:5" ht="13.5" thickBot="1" x14ac:dyDescent="0.25">
      <c r="B452" s="121" t="str">
        <f>'[1]COMEDORES EMERGENTES'!$B$22</f>
        <v>LOS TOLDOS</v>
      </c>
      <c r="C452" s="122"/>
      <c r="D452" s="67">
        <v>24</v>
      </c>
      <c r="E452" s="68" t="str">
        <f>'[1]COMEDORES EMERGENTES'!$G$22</f>
        <v>LOTEO PARQUE SUR CALLE S/NOMBRE S/N°</v>
      </c>
    </row>
    <row r="453" spans="2:5" x14ac:dyDescent="0.2">
      <c r="B453" s="9" t="s">
        <v>18</v>
      </c>
      <c r="E453" s="8"/>
    </row>
    <row r="454" spans="2:5" x14ac:dyDescent="0.2">
      <c r="B454" s="10"/>
      <c r="C454" s="123" t="s">
        <v>24</v>
      </c>
      <c r="D454" s="123"/>
      <c r="E454" s="123"/>
    </row>
    <row r="455" spans="2:5" x14ac:dyDescent="0.2">
      <c r="B455" s="9" t="s">
        <v>19</v>
      </c>
      <c r="C455" s="11"/>
      <c r="D455" s="11"/>
      <c r="E455" s="12"/>
    </row>
    <row r="456" spans="2:5" x14ac:dyDescent="0.2">
      <c r="B456" s="10"/>
      <c r="C456" s="123" t="s">
        <v>86</v>
      </c>
      <c r="D456" s="123"/>
      <c r="E456" s="123"/>
    </row>
    <row r="457" spans="2:5" x14ac:dyDescent="0.2">
      <c r="B457" s="9" t="s">
        <v>20</v>
      </c>
      <c r="E457" s="8"/>
    </row>
    <row r="458" spans="2:5" x14ac:dyDescent="0.2">
      <c r="B458" s="9"/>
      <c r="C458" s="124" t="s">
        <v>25</v>
      </c>
      <c r="D458" s="124"/>
      <c r="E458" s="124"/>
    </row>
    <row r="459" spans="2:5" ht="13.5" thickBot="1" x14ac:dyDescent="0.25">
      <c r="B459" s="13"/>
      <c r="C459" s="14"/>
      <c r="D459" s="29"/>
      <c r="E459" s="15"/>
    </row>
    <row r="460" spans="2:5" ht="13.5" thickBot="1" x14ac:dyDescent="0.25"/>
    <row r="461" spans="2:5" x14ac:dyDescent="0.2">
      <c r="B461" s="4" t="s">
        <v>96</v>
      </c>
      <c r="C461" s="5"/>
      <c r="D461" s="27"/>
      <c r="E461" s="6"/>
    </row>
    <row r="462" spans="2:5" x14ac:dyDescent="0.2">
      <c r="B462" s="7"/>
      <c r="E462" s="8"/>
    </row>
    <row r="463" spans="2:5" x14ac:dyDescent="0.2">
      <c r="B463" s="9" t="s">
        <v>16</v>
      </c>
      <c r="E463" s="8"/>
    </row>
    <row r="464" spans="2:5" ht="25.5" customHeight="1" x14ac:dyDescent="0.2">
      <c r="B464" s="9"/>
      <c r="C464" s="123"/>
      <c r="D464" s="123"/>
      <c r="E464" s="123"/>
    </row>
    <row r="465" spans="2:5" ht="13.5" thickBot="1" x14ac:dyDescent="0.25">
      <c r="B465" s="9" t="s">
        <v>17</v>
      </c>
      <c r="E465" s="8"/>
    </row>
    <row r="466" spans="2:5" ht="13.5" thickBot="1" x14ac:dyDescent="0.25">
      <c r="B466" s="127" t="s">
        <v>83</v>
      </c>
      <c r="C466" s="132"/>
      <c r="D466" s="132"/>
      <c r="E466" s="128"/>
    </row>
    <row r="467" spans="2:5" ht="13.5" thickBot="1" x14ac:dyDescent="0.25">
      <c r="B467" s="127" t="s">
        <v>84</v>
      </c>
      <c r="C467" s="128"/>
      <c r="D467" s="25" t="s">
        <v>11</v>
      </c>
      <c r="E467" s="25" t="s">
        <v>85</v>
      </c>
    </row>
    <row r="468" spans="2:5" x14ac:dyDescent="0.2">
      <c r="B468" s="129" t="str">
        <f>'[1]COMEDORES EMERGENTES'!$B$3</f>
        <v>UNA SONRISA AV. LOS COBACHO</v>
      </c>
      <c r="C468" s="130"/>
      <c r="D468" s="65">
        <v>5</v>
      </c>
      <c r="E468" s="66" t="str">
        <f>'[1]COMEDORES EMERGENTES'!$G$3</f>
        <v>Bº SAN CARLOS OESTE AV. Bonifacio cobacho 670</v>
      </c>
    </row>
    <row r="469" spans="2:5" x14ac:dyDescent="0.2">
      <c r="B469" s="119" t="str">
        <f>'[1]COMEDORES EMERGENTES'!$B$4</f>
        <v>C.I.F Nº1 - RIVERA DEL VALLE Y FLORIDA</v>
      </c>
      <c r="C469" s="120"/>
      <c r="D469" s="63">
        <v>7</v>
      </c>
      <c r="E469" s="64" t="str">
        <f>'[1]COMEDORES EMERGENTES'!$G$4</f>
        <v>AV. RIVIERA DEL VALLE ENTRE FLORIDA Y SANTA FE</v>
      </c>
    </row>
    <row r="470" spans="2:5" x14ac:dyDescent="0.2">
      <c r="B470" s="119" t="str">
        <f>'[1]COMEDORES EMERGENTES'!$B$5</f>
        <v>C.I.F - RIVERA DEL VALLE - DILORENZO</v>
      </c>
      <c r="C470" s="120"/>
      <c r="D470" s="63">
        <v>8</v>
      </c>
      <c r="E470" s="64" t="str">
        <f>'[1]COMEDORES EMERGENTES'!$G$5</f>
        <v>Bº RIVERA DEL VALLE ENTRE VILLA EUMELIA Y MONTE CRISTO</v>
      </c>
    </row>
    <row r="471" spans="2:5" x14ac:dyDescent="0.2">
      <c r="B471" s="119" t="str">
        <f>'[1]COMEDORES EMERGENTES'!$B$6</f>
        <v>ESFUERZO PROPIO- Bº ALTOS DE CHOYA</v>
      </c>
      <c r="C471" s="120"/>
      <c r="D471" s="63">
        <v>7</v>
      </c>
      <c r="E471" s="64" t="str">
        <f>'[1]COMEDORES EMERGENTES'!$G$6</f>
        <v>Bº MUNICIPAL 35VV. NORTE C/14</v>
      </c>
    </row>
    <row r="472" spans="2:5" x14ac:dyDescent="0.2">
      <c r="B472" s="119" t="str">
        <f>'[1]COMEDORES EMERGENTES'!$B$7</f>
        <v>ANGELITOS - LOTEO SUSSEX</v>
      </c>
      <c r="C472" s="120"/>
      <c r="D472" s="63">
        <v>3</v>
      </c>
      <c r="E472" s="64" t="str">
        <f>'[1]COMEDORES EMERGENTES'!$G$7</f>
        <v>Bº LOTEO SUSEX MZA.Nº 4 LOTE Nº3</v>
      </c>
    </row>
    <row r="473" spans="2:5" x14ac:dyDescent="0.2">
      <c r="B473" s="119" t="str">
        <f>'[1]COMEDORES EMERGENTES'!$B$8</f>
        <v>CLUB DEPORTIVO CHACARITA</v>
      </c>
      <c r="C473" s="120"/>
      <c r="D473" s="63">
        <v>4</v>
      </c>
      <c r="E473" s="64" t="str">
        <f>'[1]COMEDORES EMERGENTES'!$G$8</f>
        <v>CALLE DR.DERMIDIO GALINDEZ C/2660</v>
      </c>
    </row>
    <row r="474" spans="2:5" x14ac:dyDescent="0.2">
      <c r="B474" s="119" t="str">
        <f>'[1]COMEDORES EMERGENTES'!$B$9</f>
        <v>LA MORO</v>
      </c>
      <c r="C474" s="120"/>
      <c r="D474" s="63">
        <v>4</v>
      </c>
      <c r="E474" s="64" t="str">
        <f>'[1]COMEDORES EMERGENTES'!$G$9</f>
        <v>MAIPU NORTE 1º ETAPA MZA "H" Bº MI JARDIN</v>
      </c>
    </row>
    <row r="475" spans="2:5" x14ac:dyDescent="0.2">
      <c r="B475" s="119" t="str">
        <f>'[1]COMEDORES EMERGENTES'!$B$10</f>
        <v>PAPA FRANCISCO</v>
      </c>
      <c r="C475" s="120"/>
      <c r="D475" s="63">
        <v>6</v>
      </c>
      <c r="E475" s="64" t="str">
        <f>'[1]COMEDORES EMERGENTES'!$G$10</f>
        <v>ENTRE AV.TEREBINTO Y AV.SAN JUAN LOTE "2" MZA. "B"</v>
      </c>
    </row>
    <row r="476" spans="2:5" x14ac:dyDescent="0.2">
      <c r="B476" s="119" t="str">
        <f>'[1]COMEDORES EMERGENTES'!$B$11</f>
        <v>E.P.C - 100 V.V NORTE</v>
      </c>
      <c r="C476" s="120"/>
      <c r="D476" s="63">
        <v>9</v>
      </c>
      <c r="E476" s="64" t="str">
        <f>'[1]COMEDORES EMERGENTES'!$G$11</f>
        <v>Bº VV NORTE C/48 ENTRE ESPAÑA Y FRANCIA</v>
      </c>
    </row>
    <row r="477" spans="2:5" x14ac:dyDescent="0.2">
      <c r="B477" s="119" t="str">
        <f>'[1]COMEDORES EMERGENTES'!$B$12</f>
        <v>HOGAR DE CRISTO - PADRE RAUL CONTRERAS</v>
      </c>
      <c r="C477" s="120"/>
      <c r="D477" s="63">
        <v>9</v>
      </c>
      <c r="E477" s="64" t="str">
        <f>'[1]COMEDORES EMERGENTES'!$G$12</f>
        <v>Bº SANTA MARTA MZA. "S" LOTE "M" C/39</v>
      </c>
    </row>
    <row r="478" spans="2:5" x14ac:dyDescent="0.2">
      <c r="B478" s="119" t="str">
        <f>'[1]COMEDORES EMERGENTES'!$B$13</f>
        <v>LA LUCIERNAGA</v>
      </c>
      <c r="C478" s="120"/>
      <c r="D478" s="63">
        <v>6</v>
      </c>
      <c r="E478" s="64" t="str">
        <f>'[1]COMEDORES EMERGENTES'!$G$13</f>
        <v>Bº 20 V.V NORTE C/3</v>
      </c>
    </row>
    <row r="479" spans="2:5" x14ac:dyDescent="0.2">
      <c r="B479" s="119" t="str">
        <f>'[1]COMEDORES EMERGENTES'!$B$14</f>
        <v>VALLE VIEJO - SUMALAO</v>
      </c>
      <c r="C479" s="120"/>
      <c r="D479" s="63">
        <v>11</v>
      </c>
      <c r="E479" s="64" t="str">
        <f>'[1]COMEDORES EMERGENTES'!$G$14</f>
        <v>PADRE SEGURA S/N</v>
      </c>
    </row>
    <row r="480" spans="2:5" x14ac:dyDescent="0.2">
      <c r="B480" s="119" t="str">
        <f>'[1]COMEDORES EMERGENTES'!$B$15</f>
        <v>NUESTRO FUTURO - LAS VIAS</v>
      </c>
      <c r="C480" s="120"/>
      <c r="D480" s="63">
        <v>6</v>
      </c>
      <c r="E480" s="64" t="str">
        <f>'[1]COMEDORES EMERGENTES'!$G$15</f>
        <v>Bº LAS VIAS OESTE LOTE 42</v>
      </c>
    </row>
    <row r="481" spans="2:5" x14ac:dyDescent="0.2">
      <c r="B481" s="119" t="str">
        <f>'[1]COMEDORES EMERGENTES'!$B$16</f>
        <v>SAN JOSE OBRERO</v>
      </c>
      <c r="C481" s="120"/>
      <c r="D481" s="63">
        <v>4</v>
      </c>
      <c r="E481" s="64" t="str">
        <f>'[1]COMEDORES EMERGENTES'!$G$16</f>
        <v>Bº SAN JOSE OBRERO. PJE. SANDOVAL S/Nº</v>
      </c>
    </row>
    <row r="482" spans="2:5" x14ac:dyDescent="0.2">
      <c r="B482" s="119" t="str">
        <f>'[1]COMEDORES EMERGENTES'!$B$17</f>
        <v>VIRGEN DE LUJAN</v>
      </c>
      <c r="C482" s="120"/>
      <c r="D482" s="63">
        <v>6</v>
      </c>
      <c r="E482" s="64" t="str">
        <f>'[1]COMEDORES EMERGENTES'!$G$17</f>
        <v>Bº OJO DE AGUA C/DR.TEODULFO BARRIONUEVO S/Nº</v>
      </c>
    </row>
    <row r="483" spans="2:5" x14ac:dyDescent="0.2">
      <c r="B483" s="119" t="str">
        <f>'[1]COMEDORES EMERGENTES'!$B$18</f>
        <v>RENACER</v>
      </c>
      <c r="C483" s="120"/>
      <c r="D483" s="63">
        <v>8</v>
      </c>
      <c r="E483" s="64" t="str">
        <f>'[1]COMEDORES EMERGENTES'!$G$18</f>
        <v>Bº VIRGEN MORENITA</v>
      </c>
    </row>
    <row r="484" spans="2:5" x14ac:dyDescent="0.2">
      <c r="B484" s="119" t="str">
        <f>'[1]COMEDORES EMERGENTES'!$B$19</f>
        <v>CENTRO VECINAL MI JARDIN</v>
      </c>
      <c r="C484" s="120"/>
      <c r="D484" s="63">
        <v>5</v>
      </c>
      <c r="E484" s="64" t="str">
        <f>'[1]COMEDORES EMERGENTES'!$G$19</f>
        <v>C/ LOS TULIPANES ENTRE FLOR DE CEREZO Y HOLANDA MZA.27 Bº MI JARDIN</v>
      </c>
    </row>
    <row r="485" spans="2:5" x14ac:dyDescent="0.2">
      <c r="B485" s="119" t="str">
        <f>'[1]COMEDORES EMERGENTES'!$B$20</f>
        <v>LA VIEJA ESQUINA</v>
      </c>
      <c r="C485" s="120"/>
      <c r="D485" s="63">
        <v>5</v>
      </c>
      <c r="E485" s="64" t="str">
        <f>'[1]COMEDORES EMERGENTES'!$G$20</f>
        <v>B° CRISTO REY PJE CAPATAZ VILLAFAÑEZ Y ARMANDO CORREA</v>
      </c>
    </row>
    <row r="486" spans="2:5" x14ac:dyDescent="0.2">
      <c r="B486" s="119" t="str">
        <f>'[1]COMEDORES EMERGENTES'!$B$21</f>
        <v>GAUCHITO GIL</v>
      </c>
      <c r="C486" s="120"/>
      <c r="D486" s="63">
        <v>5</v>
      </c>
      <c r="E486" s="64" t="str">
        <f>'[1]COMEDORES EMERGENTES'!$G$21</f>
        <v>B° 26 VIVIENDAS CASA N° 3</v>
      </c>
    </row>
    <row r="487" spans="2:5" ht="13.5" thickBot="1" x14ac:dyDescent="0.25">
      <c r="B487" s="121" t="str">
        <f>'[1]COMEDORES EMERGENTES'!$B$22</f>
        <v>LOS TOLDOS</v>
      </c>
      <c r="C487" s="122"/>
      <c r="D487" s="67">
        <v>2</v>
      </c>
      <c r="E487" s="68" t="str">
        <f>'[1]COMEDORES EMERGENTES'!$G$22</f>
        <v>LOTEO PARQUE SUR CALLE S/NOMBRE S/N°</v>
      </c>
    </row>
    <row r="488" spans="2:5" x14ac:dyDescent="0.2">
      <c r="B488" s="9" t="s">
        <v>18</v>
      </c>
      <c r="E488" s="8"/>
    </row>
    <row r="489" spans="2:5" x14ac:dyDescent="0.2">
      <c r="B489" s="10"/>
      <c r="C489" s="123" t="s">
        <v>24</v>
      </c>
      <c r="D489" s="123"/>
      <c r="E489" s="123"/>
    </row>
    <row r="490" spans="2:5" x14ac:dyDescent="0.2">
      <c r="B490" s="9" t="s">
        <v>19</v>
      </c>
      <c r="C490" s="11"/>
      <c r="D490" s="11"/>
      <c r="E490" s="12"/>
    </row>
    <row r="491" spans="2:5" x14ac:dyDescent="0.2">
      <c r="B491" s="10"/>
      <c r="C491" s="123" t="s">
        <v>86</v>
      </c>
      <c r="D491" s="123"/>
      <c r="E491" s="123"/>
    </row>
    <row r="492" spans="2:5" x14ac:dyDescent="0.2">
      <c r="B492" s="9" t="s">
        <v>20</v>
      </c>
      <c r="E492" s="8"/>
    </row>
    <row r="493" spans="2:5" x14ac:dyDescent="0.2">
      <c r="B493" s="9"/>
      <c r="C493" s="124" t="s">
        <v>25</v>
      </c>
      <c r="D493" s="124"/>
      <c r="E493" s="124"/>
    </row>
    <row r="494" spans="2:5" ht="13.5" thickBot="1" x14ac:dyDescent="0.25">
      <c r="B494" s="13"/>
      <c r="C494" s="14"/>
      <c r="D494" s="29"/>
      <c r="E494" s="15"/>
    </row>
    <row r="495" spans="2:5" ht="13.5" thickBot="1" x14ac:dyDescent="0.25"/>
    <row r="496" spans="2:5" x14ac:dyDescent="0.2">
      <c r="B496" s="4" t="s">
        <v>97</v>
      </c>
      <c r="C496" s="5"/>
      <c r="D496" s="27"/>
      <c r="E496" s="6"/>
    </row>
    <row r="497" spans="2:5" x14ac:dyDescent="0.2">
      <c r="B497" s="7"/>
      <c r="E497" s="8"/>
    </row>
    <row r="498" spans="2:5" x14ac:dyDescent="0.2">
      <c r="B498" s="9" t="s">
        <v>16</v>
      </c>
      <c r="E498" s="8"/>
    </row>
    <row r="499" spans="2:5" ht="25.5" customHeight="1" x14ac:dyDescent="0.2">
      <c r="B499" s="9"/>
      <c r="C499" s="123"/>
      <c r="D499" s="123"/>
      <c r="E499" s="123"/>
    </row>
    <row r="500" spans="2:5" ht="13.5" thickBot="1" x14ac:dyDescent="0.25">
      <c r="B500" s="9" t="s">
        <v>17</v>
      </c>
      <c r="E500" s="8"/>
    </row>
    <row r="501" spans="2:5" ht="13.5" thickBot="1" x14ac:dyDescent="0.25">
      <c r="B501" s="127" t="s">
        <v>83</v>
      </c>
      <c r="C501" s="132"/>
      <c r="D501" s="132"/>
      <c r="E501" s="128"/>
    </row>
    <row r="502" spans="2:5" ht="13.5" thickBot="1" x14ac:dyDescent="0.25">
      <c r="B502" s="127" t="s">
        <v>84</v>
      </c>
      <c r="C502" s="128"/>
      <c r="D502" s="25" t="s">
        <v>11</v>
      </c>
      <c r="E502" s="25" t="s">
        <v>85</v>
      </c>
    </row>
    <row r="503" spans="2:5" x14ac:dyDescent="0.2">
      <c r="B503" s="129" t="str">
        <f>'[1]COMEDORES EMERGENTES'!$B$3</f>
        <v>UNA SONRISA AV. LOS COBACHO</v>
      </c>
      <c r="C503" s="130"/>
      <c r="D503" s="65" t="s">
        <v>149</v>
      </c>
      <c r="E503" s="66" t="str">
        <f>'[1]COMEDORES EMERGENTES'!$G$3</f>
        <v>Bº SAN CARLOS OESTE AV. Bonifacio cobacho 670</v>
      </c>
    </row>
    <row r="504" spans="2:5" x14ac:dyDescent="0.2">
      <c r="B504" s="119" t="str">
        <f>'[1]COMEDORES EMERGENTES'!$B$4</f>
        <v>C.I.F Nº1 - RIVERA DEL VALLE Y FLORIDA</v>
      </c>
      <c r="C504" s="120"/>
      <c r="D504" s="63" t="s">
        <v>148</v>
      </c>
      <c r="E504" s="64" t="str">
        <f>'[1]COMEDORES EMERGENTES'!$G$4</f>
        <v>AV. RIVIERA DEL VALLE ENTRE FLORIDA Y SANTA FE</v>
      </c>
    </row>
    <row r="505" spans="2:5" x14ac:dyDescent="0.2">
      <c r="B505" s="119" t="str">
        <f>'[1]COMEDORES EMERGENTES'!$B$5</f>
        <v>C.I.F - RIVERA DEL VALLE - DILORENZO</v>
      </c>
      <c r="C505" s="120"/>
      <c r="D505" s="63" t="s">
        <v>125</v>
      </c>
      <c r="E505" s="64" t="str">
        <f>'[1]COMEDORES EMERGENTES'!$G$5</f>
        <v>Bº RIVERA DEL VALLE ENTRE VILLA EUMELIA Y MONTE CRISTO</v>
      </c>
    </row>
    <row r="506" spans="2:5" x14ac:dyDescent="0.2">
      <c r="B506" s="119" t="str">
        <f>'[1]COMEDORES EMERGENTES'!$B$6</f>
        <v>ESFUERZO PROPIO- Bº ALTOS DE CHOYA</v>
      </c>
      <c r="C506" s="120"/>
      <c r="D506" s="63" t="s">
        <v>131</v>
      </c>
      <c r="E506" s="64" t="str">
        <f>'[1]COMEDORES EMERGENTES'!$G$6</f>
        <v>Bº MUNICIPAL 35VV. NORTE C/14</v>
      </c>
    </row>
    <row r="507" spans="2:5" x14ac:dyDescent="0.2">
      <c r="B507" s="119" t="str">
        <f>'[1]COMEDORES EMERGENTES'!$B$7</f>
        <v>ANGELITOS - LOTEO SUSSEX</v>
      </c>
      <c r="C507" s="120"/>
      <c r="D507" s="63" t="s">
        <v>172</v>
      </c>
      <c r="E507" s="64" t="str">
        <f>'[1]COMEDORES EMERGENTES'!$G$7</f>
        <v>Bº LOTEO SUSEX MZA.Nº 4 LOTE Nº3</v>
      </c>
    </row>
    <row r="508" spans="2:5" x14ac:dyDescent="0.2">
      <c r="B508" s="119" t="str">
        <f>'[1]COMEDORES EMERGENTES'!$B$8</f>
        <v>CLUB DEPORTIVO CHACARITA</v>
      </c>
      <c r="C508" s="120"/>
      <c r="D508" s="63" t="s">
        <v>130</v>
      </c>
      <c r="E508" s="64" t="str">
        <f>'[1]COMEDORES EMERGENTES'!$G$8</f>
        <v>CALLE DR.DERMIDIO GALINDEZ C/2660</v>
      </c>
    </row>
    <row r="509" spans="2:5" x14ac:dyDescent="0.2">
      <c r="B509" s="119" t="str">
        <f>'[1]COMEDORES EMERGENTES'!$B$9</f>
        <v>LA MORO</v>
      </c>
      <c r="C509" s="120"/>
      <c r="D509" s="63" t="s">
        <v>147</v>
      </c>
      <c r="E509" s="64" t="str">
        <f>'[1]COMEDORES EMERGENTES'!$G$9</f>
        <v>MAIPU NORTE 1º ETAPA MZA "H" Bº MI JARDIN</v>
      </c>
    </row>
    <row r="510" spans="2:5" x14ac:dyDescent="0.2">
      <c r="B510" s="119" t="str">
        <f>'[1]COMEDORES EMERGENTES'!$B$10</f>
        <v>PAPA FRANCISCO</v>
      </c>
      <c r="C510" s="120"/>
      <c r="D510" s="63" t="s">
        <v>120</v>
      </c>
      <c r="E510" s="64" t="str">
        <f>'[1]COMEDORES EMERGENTES'!$G$10</f>
        <v>ENTRE AV.TEREBINTO Y AV.SAN JUAN LOTE "2" MZA. "B"</v>
      </c>
    </row>
    <row r="511" spans="2:5" x14ac:dyDescent="0.2">
      <c r="B511" s="119" t="str">
        <f>'[1]COMEDORES EMERGENTES'!$B$11</f>
        <v>E.P.C - 100 V.V NORTE</v>
      </c>
      <c r="C511" s="120"/>
      <c r="D511" s="63" t="s">
        <v>121</v>
      </c>
      <c r="E511" s="64" t="str">
        <f>'[1]COMEDORES EMERGENTES'!$G$11</f>
        <v>Bº VV NORTE C/48 ENTRE ESPAÑA Y FRANCIA</v>
      </c>
    </row>
    <row r="512" spans="2:5" x14ac:dyDescent="0.2">
      <c r="B512" s="119" t="str">
        <f>'[1]COMEDORES EMERGENTES'!$B$12</f>
        <v>HOGAR DE CRISTO - PADRE RAUL CONTRERAS</v>
      </c>
      <c r="C512" s="120"/>
      <c r="D512" s="63" t="s">
        <v>121</v>
      </c>
      <c r="E512" s="64" t="str">
        <f>'[1]COMEDORES EMERGENTES'!$G$12</f>
        <v>Bº SANTA MARTA MZA. "S" LOTE "M" C/39</v>
      </c>
    </row>
    <row r="513" spans="2:5" x14ac:dyDescent="0.2">
      <c r="B513" s="119" t="str">
        <f>'[1]COMEDORES EMERGENTES'!$B$13</f>
        <v>LA LUCIERNAGA</v>
      </c>
      <c r="C513" s="120"/>
      <c r="D513" s="63" t="s">
        <v>120</v>
      </c>
      <c r="E513" s="64" t="str">
        <f>'[1]COMEDORES EMERGENTES'!$G$13</f>
        <v>Bº 20 V.V NORTE C/3</v>
      </c>
    </row>
    <row r="514" spans="2:5" x14ac:dyDescent="0.2">
      <c r="B514" s="119" t="str">
        <f>'[1]COMEDORES EMERGENTES'!$B$14</f>
        <v>VALLE VIEJO - SUMALAO</v>
      </c>
      <c r="C514" s="120"/>
      <c r="D514" s="63" t="s">
        <v>116</v>
      </c>
      <c r="E514" s="64" t="str">
        <f>'[1]COMEDORES EMERGENTES'!$G$14</f>
        <v>PADRE SEGURA S/N</v>
      </c>
    </row>
    <row r="515" spans="2:5" x14ac:dyDescent="0.2">
      <c r="B515" s="119" t="str">
        <f>'[1]COMEDORES EMERGENTES'!$B$15</f>
        <v>NUESTRO FUTURO - LAS VIAS</v>
      </c>
      <c r="C515" s="120"/>
      <c r="D515" s="63" t="s">
        <v>120</v>
      </c>
      <c r="E515" s="64" t="str">
        <f>'[1]COMEDORES EMERGENTES'!$G$15</f>
        <v>Bº LAS VIAS OESTE LOTE 42</v>
      </c>
    </row>
    <row r="516" spans="2:5" x14ac:dyDescent="0.2">
      <c r="B516" s="119" t="str">
        <f>'[1]COMEDORES EMERGENTES'!$B$16</f>
        <v>SAN JOSE OBRERO</v>
      </c>
      <c r="C516" s="120"/>
      <c r="D516" s="63" t="s">
        <v>130</v>
      </c>
      <c r="E516" s="64" t="str">
        <f>'[1]COMEDORES EMERGENTES'!$G$16</f>
        <v>Bº SAN JOSE OBRERO. PJE. SANDOVAL S/Nº</v>
      </c>
    </row>
    <row r="517" spans="2:5" x14ac:dyDescent="0.2">
      <c r="B517" s="119" t="str">
        <f>'[1]COMEDORES EMERGENTES'!$B$17</f>
        <v>VIRGEN DE LUJAN</v>
      </c>
      <c r="C517" s="120"/>
      <c r="D517" s="63" t="s">
        <v>120</v>
      </c>
      <c r="E517" s="64" t="str">
        <f>'[1]COMEDORES EMERGENTES'!$G$17</f>
        <v>Bº OJO DE AGUA C/DR.TEODULFO BARRIONUEVO S/Nº</v>
      </c>
    </row>
    <row r="518" spans="2:5" x14ac:dyDescent="0.2">
      <c r="B518" s="119" t="str">
        <f>'[1]COMEDORES EMERGENTES'!$B$18</f>
        <v>RENACER</v>
      </c>
      <c r="C518" s="120"/>
      <c r="D518" s="63" t="s">
        <v>127</v>
      </c>
      <c r="E518" s="64" t="str">
        <f>'[1]COMEDORES EMERGENTES'!$G$18</f>
        <v>Bº VIRGEN MORENITA</v>
      </c>
    </row>
    <row r="519" spans="2:5" x14ac:dyDescent="0.2">
      <c r="B519" s="119" t="str">
        <f>'[1]COMEDORES EMERGENTES'!$B$19</f>
        <v>CENTRO VECINAL MI JARDIN</v>
      </c>
      <c r="C519" s="120"/>
      <c r="D519" s="63" t="s">
        <v>115</v>
      </c>
      <c r="E519" s="64" t="str">
        <f>'[1]COMEDORES EMERGENTES'!$G$19</f>
        <v>C/ LOS TULIPANES ENTRE FLOR DE CEREZO Y HOLANDA MZA.27 Bº MI JARDIN</v>
      </c>
    </row>
    <row r="520" spans="2:5" x14ac:dyDescent="0.2">
      <c r="B520" s="119" t="str">
        <f>'[1]COMEDORES EMERGENTES'!$B$20</f>
        <v>LA VIEJA ESQUINA</v>
      </c>
      <c r="C520" s="120"/>
      <c r="D520" s="63" t="s">
        <v>173</v>
      </c>
      <c r="E520" s="64" t="str">
        <f>'[1]COMEDORES EMERGENTES'!$G$20</f>
        <v>B° CRISTO REY PJE CAPATAZ VILLAFAÑEZ Y ARMANDO CORREA</v>
      </c>
    </row>
    <row r="521" spans="2:5" x14ac:dyDescent="0.2">
      <c r="B521" s="119" t="str">
        <f>'[1]COMEDORES EMERGENTES'!$B$21</f>
        <v>GAUCHITO GIL</v>
      </c>
      <c r="C521" s="120"/>
      <c r="D521" s="63" t="s">
        <v>173</v>
      </c>
      <c r="E521" s="64" t="str">
        <f>'[1]COMEDORES EMERGENTES'!$G$21</f>
        <v>B° 26 VIVIENDAS CASA N° 3</v>
      </c>
    </row>
    <row r="522" spans="2:5" ht="13.5" thickBot="1" x14ac:dyDescent="0.25">
      <c r="B522" s="121" t="str">
        <f>'[1]COMEDORES EMERGENTES'!$B$22</f>
        <v>LOS TOLDOS</v>
      </c>
      <c r="C522" s="122"/>
      <c r="D522" s="67" t="s">
        <v>201</v>
      </c>
      <c r="E522" s="68" t="str">
        <f>'[1]COMEDORES EMERGENTES'!$G$22</f>
        <v>LOTEO PARQUE SUR CALLE S/NOMBRE S/N°</v>
      </c>
    </row>
    <row r="523" spans="2:5" x14ac:dyDescent="0.2">
      <c r="B523" s="9" t="s">
        <v>18</v>
      </c>
      <c r="E523" s="8"/>
    </row>
    <row r="524" spans="2:5" x14ac:dyDescent="0.2">
      <c r="B524" s="10"/>
      <c r="C524" s="123" t="s">
        <v>24</v>
      </c>
      <c r="D524" s="123"/>
      <c r="E524" s="123"/>
    </row>
    <row r="525" spans="2:5" x14ac:dyDescent="0.2">
      <c r="B525" s="9" t="s">
        <v>19</v>
      </c>
      <c r="C525" s="11"/>
      <c r="D525" s="11"/>
      <c r="E525" s="12"/>
    </row>
    <row r="526" spans="2:5" x14ac:dyDescent="0.2">
      <c r="B526" s="10"/>
      <c r="C526" s="123" t="s">
        <v>86</v>
      </c>
      <c r="D526" s="123"/>
      <c r="E526" s="123"/>
    </row>
    <row r="527" spans="2:5" x14ac:dyDescent="0.2">
      <c r="B527" s="9" t="s">
        <v>20</v>
      </c>
      <c r="E527" s="8"/>
    </row>
    <row r="528" spans="2:5" x14ac:dyDescent="0.2">
      <c r="B528" s="9"/>
      <c r="C528" s="124" t="s">
        <v>25</v>
      </c>
      <c r="D528" s="124"/>
      <c r="E528" s="124"/>
    </row>
    <row r="529" spans="2:5" ht="13.5" thickBot="1" x14ac:dyDescent="0.25">
      <c r="B529" s="13"/>
      <c r="C529" s="14"/>
      <c r="D529" s="29"/>
      <c r="E529" s="15"/>
    </row>
    <row r="530" spans="2:5" ht="13.5" thickBot="1" x14ac:dyDescent="0.25"/>
    <row r="531" spans="2:5" x14ac:dyDescent="0.2">
      <c r="B531" s="4" t="s">
        <v>98</v>
      </c>
      <c r="C531" s="5"/>
      <c r="D531" s="27"/>
      <c r="E531" s="6"/>
    </row>
    <row r="532" spans="2:5" x14ac:dyDescent="0.2">
      <c r="B532" s="7"/>
      <c r="E532" s="8"/>
    </row>
    <row r="533" spans="2:5" x14ac:dyDescent="0.2">
      <c r="B533" s="9" t="s">
        <v>16</v>
      </c>
      <c r="E533" s="8"/>
    </row>
    <row r="534" spans="2:5" ht="25.5" customHeight="1" x14ac:dyDescent="0.2">
      <c r="B534" s="9"/>
      <c r="C534" s="123"/>
      <c r="D534" s="123"/>
      <c r="E534" s="123"/>
    </row>
    <row r="535" spans="2:5" ht="13.5" thickBot="1" x14ac:dyDescent="0.25">
      <c r="B535" s="9" t="s">
        <v>17</v>
      </c>
      <c r="E535" s="8"/>
    </row>
    <row r="536" spans="2:5" ht="13.5" thickBot="1" x14ac:dyDescent="0.25">
      <c r="B536" s="127" t="s">
        <v>83</v>
      </c>
      <c r="C536" s="132"/>
      <c r="D536" s="132"/>
      <c r="E536" s="128"/>
    </row>
    <row r="537" spans="2:5" ht="13.5" thickBot="1" x14ac:dyDescent="0.25">
      <c r="B537" s="127" t="s">
        <v>84</v>
      </c>
      <c r="C537" s="128"/>
      <c r="D537" s="25" t="s">
        <v>11</v>
      </c>
      <c r="E537" s="25" t="s">
        <v>85</v>
      </c>
    </row>
    <row r="538" spans="2:5" x14ac:dyDescent="0.2">
      <c r="B538" s="129" t="str">
        <f>'[1]COMEDORES EMERGENTES'!$B$3</f>
        <v>UNA SONRISA AV. LOS COBACHO</v>
      </c>
      <c r="C538" s="130"/>
      <c r="D538" s="65">
        <v>10</v>
      </c>
      <c r="E538" s="66" t="str">
        <f>'[1]COMEDORES EMERGENTES'!$G$3</f>
        <v>Bº SAN CARLOS OESTE AV. Bonifacio cobacho 670</v>
      </c>
    </row>
    <row r="539" spans="2:5" x14ac:dyDescent="0.2">
      <c r="B539" s="119" t="str">
        <f>'[1]COMEDORES EMERGENTES'!$B$4</f>
        <v>C.I.F Nº1 - RIVERA DEL VALLE Y FLORIDA</v>
      </c>
      <c r="C539" s="120"/>
      <c r="D539" s="63">
        <v>14</v>
      </c>
      <c r="E539" s="64" t="str">
        <f>'[1]COMEDORES EMERGENTES'!$G$4</f>
        <v>AV. RIVIERA DEL VALLE ENTRE FLORIDA Y SANTA FE</v>
      </c>
    </row>
    <row r="540" spans="2:5" x14ac:dyDescent="0.2">
      <c r="B540" s="119" t="str">
        <f>'[1]COMEDORES EMERGENTES'!$B$5</f>
        <v>C.I.F - RIVERA DEL VALLE - DILORENZO</v>
      </c>
      <c r="C540" s="120"/>
      <c r="D540" s="63">
        <v>16</v>
      </c>
      <c r="E540" s="64" t="str">
        <f>'[1]COMEDORES EMERGENTES'!$G$5</f>
        <v>Bº RIVERA DEL VALLE ENTRE VILLA EUMELIA Y MONTE CRISTO</v>
      </c>
    </row>
    <row r="541" spans="2:5" x14ac:dyDescent="0.2">
      <c r="B541" s="119" t="str">
        <f>'[1]COMEDORES EMERGENTES'!$B$6</f>
        <v>ESFUERZO PROPIO- Bº ALTOS DE CHOYA</v>
      </c>
      <c r="C541" s="120"/>
      <c r="D541" s="63">
        <v>13</v>
      </c>
      <c r="E541" s="64" t="str">
        <f>'[1]COMEDORES EMERGENTES'!$G$6</f>
        <v>Bº MUNICIPAL 35VV. NORTE C/14</v>
      </c>
    </row>
    <row r="542" spans="2:5" x14ac:dyDescent="0.2">
      <c r="B542" s="119" t="str">
        <f>'[1]COMEDORES EMERGENTES'!$B$7</f>
        <v>ANGELITOS - LOTEO SUSSEX</v>
      </c>
      <c r="C542" s="120"/>
      <c r="D542" s="63">
        <v>6</v>
      </c>
      <c r="E542" s="64" t="str">
        <f>'[1]COMEDORES EMERGENTES'!$G$7</f>
        <v>Bº LOTEO SUSEX MZA.Nº 4 LOTE Nº3</v>
      </c>
    </row>
    <row r="543" spans="2:5" x14ac:dyDescent="0.2">
      <c r="B543" s="119" t="str">
        <f>'[1]COMEDORES EMERGENTES'!$B$8</f>
        <v>CLUB DEPORTIVO CHACARITA</v>
      </c>
      <c r="C543" s="120"/>
      <c r="D543" s="63">
        <v>8</v>
      </c>
      <c r="E543" s="64" t="str">
        <f>'[1]COMEDORES EMERGENTES'!$G$8</f>
        <v>CALLE DR.DERMIDIO GALINDEZ C/2660</v>
      </c>
    </row>
    <row r="544" spans="2:5" x14ac:dyDescent="0.2">
      <c r="B544" s="119" t="str">
        <f>'[1]COMEDORES EMERGENTES'!$B$9</f>
        <v>LA MORO</v>
      </c>
      <c r="C544" s="120"/>
      <c r="D544" s="63">
        <v>7</v>
      </c>
      <c r="E544" s="64" t="str">
        <f>'[1]COMEDORES EMERGENTES'!$G$9</f>
        <v>MAIPU NORTE 1º ETAPA MZA "H" Bº MI JARDIN</v>
      </c>
    </row>
    <row r="545" spans="2:5" x14ac:dyDescent="0.2">
      <c r="B545" s="119" t="str">
        <f>'[1]COMEDORES EMERGENTES'!$B$10</f>
        <v>PAPA FRANCISCO</v>
      </c>
      <c r="C545" s="120"/>
      <c r="D545" s="63">
        <v>12</v>
      </c>
      <c r="E545" s="64" t="str">
        <f>'[1]COMEDORES EMERGENTES'!$G$10</f>
        <v>ENTRE AV.TEREBINTO Y AV.SAN JUAN LOTE "2" MZA. "B"</v>
      </c>
    </row>
    <row r="546" spans="2:5" x14ac:dyDescent="0.2">
      <c r="B546" s="119" t="str">
        <f>'[1]COMEDORES EMERGENTES'!$B$11</f>
        <v>E.P.C - 100 V.V NORTE</v>
      </c>
      <c r="C546" s="120"/>
      <c r="D546" s="63">
        <v>18</v>
      </c>
      <c r="E546" s="64" t="str">
        <f>'[1]COMEDORES EMERGENTES'!$G$11</f>
        <v>Bº VV NORTE C/48 ENTRE ESPAÑA Y FRANCIA</v>
      </c>
    </row>
    <row r="547" spans="2:5" x14ac:dyDescent="0.2">
      <c r="B547" s="119" t="str">
        <f>'[1]COMEDORES EMERGENTES'!$B$12</f>
        <v>HOGAR DE CRISTO - PADRE RAUL CONTRERAS</v>
      </c>
      <c r="C547" s="120"/>
      <c r="D547" s="63">
        <v>18</v>
      </c>
      <c r="E547" s="64" t="str">
        <f>'[1]COMEDORES EMERGENTES'!$G$12</f>
        <v>Bº SANTA MARTA MZA. "S" LOTE "M" C/39</v>
      </c>
    </row>
    <row r="548" spans="2:5" x14ac:dyDescent="0.2">
      <c r="B548" s="119" t="str">
        <f>'[1]COMEDORES EMERGENTES'!$B$13</f>
        <v>LA LUCIERNAGA</v>
      </c>
      <c r="C548" s="120"/>
      <c r="D548" s="63">
        <v>12</v>
      </c>
      <c r="E548" s="64" t="str">
        <f>'[1]COMEDORES EMERGENTES'!$G$13</f>
        <v>Bº 20 V.V NORTE C/3</v>
      </c>
    </row>
    <row r="549" spans="2:5" x14ac:dyDescent="0.2">
      <c r="B549" s="119" t="str">
        <f>'[1]COMEDORES EMERGENTES'!$B$14</f>
        <v>VALLE VIEJO - SUMALAO</v>
      </c>
      <c r="C549" s="120"/>
      <c r="D549" s="63">
        <v>21</v>
      </c>
      <c r="E549" s="64" t="str">
        <f>'[1]COMEDORES EMERGENTES'!$G$14</f>
        <v>PADRE SEGURA S/N</v>
      </c>
    </row>
    <row r="550" spans="2:5" x14ac:dyDescent="0.2">
      <c r="B550" s="119" t="str">
        <f>'[1]COMEDORES EMERGENTES'!$B$15</f>
        <v>NUESTRO FUTURO - LAS VIAS</v>
      </c>
      <c r="C550" s="120"/>
      <c r="D550" s="63">
        <v>12</v>
      </c>
      <c r="E550" s="64" t="str">
        <f>'[1]COMEDORES EMERGENTES'!$G$15</f>
        <v>Bº LAS VIAS OESTE LOTE 42</v>
      </c>
    </row>
    <row r="551" spans="2:5" x14ac:dyDescent="0.2">
      <c r="B551" s="119" t="str">
        <f>'[1]COMEDORES EMERGENTES'!$B$16</f>
        <v>SAN JOSE OBRERO</v>
      </c>
      <c r="C551" s="120"/>
      <c r="D551" s="63">
        <v>8</v>
      </c>
      <c r="E551" s="64" t="str">
        <f>'[1]COMEDORES EMERGENTES'!$G$16</f>
        <v>Bº SAN JOSE OBRERO. PJE. SANDOVAL S/Nº</v>
      </c>
    </row>
    <row r="552" spans="2:5" x14ac:dyDescent="0.2">
      <c r="B552" s="119" t="str">
        <f>'[1]COMEDORES EMERGENTES'!$B$17</f>
        <v>VIRGEN DE LUJAN</v>
      </c>
      <c r="C552" s="120"/>
      <c r="D552" s="63">
        <v>12</v>
      </c>
      <c r="E552" s="64" t="str">
        <f>'[1]COMEDORES EMERGENTES'!$G$17</f>
        <v>Bº OJO DE AGUA C/DR.TEODULFO BARRIONUEVO S/Nº</v>
      </c>
    </row>
    <row r="553" spans="2:5" x14ac:dyDescent="0.2">
      <c r="B553" s="119" t="str">
        <f>'[1]COMEDORES EMERGENTES'!$B$18</f>
        <v>RENACER</v>
      </c>
      <c r="C553" s="120"/>
      <c r="D553" s="63">
        <v>15</v>
      </c>
      <c r="E553" s="64" t="str">
        <f>'[1]COMEDORES EMERGENTES'!$G$18</f>
        <v>Bº VIRGEN MORENITA</v>
      </c>
    </row>
    <row r="554" spans="2:5" x14ac:dyDescent="0.2">
      <c r="B554" s="119" t="str">
        <f>'[1]COMEDORES EMERGENTES'!$B$19</f>
        <v>CENTRO VECINAL MI JARDIN</v>
      </c>
      <c r="C554" s="120"/>
      <c r="D554" s="63">
        <v>11</v>
      </c>
      <c r="E554" s="64" t="str">
        <f>'[1]COMEDORES EMERGENTES'!$G$19</f>
        <v>C/ LOS TULIPANES ENTRE FLOR DE CEREZO Y HOLANDA MZA.27 Bº MI JARDIN</v>
      </c>
    </row>
    <row r="555" spans="2:5" x14ac:dyDescent="0.2">
      <c r="B555" s="119" t="str">
        <f>'[1]COMEDORES EMERGENTES'!$B$20</f>
        <v>LA VIEJA ESQUINA</v>
      </c>
      <c r="C555" s="120"/>
      <c r="D555" s="63">
        <v>10</v>
      </c>
      <c r="E555" s="64" t="str">
        <f>'[1]COMEDORES EMERGENTES'!$G$20</f>
        <v>B° CRISTO REY PJE CAPATAZ VILLAFAÑEZ Y ARMANDO CORREA</v>
      </c>
    </row>
    <row r="556" spans="2:5" x14ac:dyDescent="0.2">
      <c r="B556" s="119" t="str">
        <f>'[1]COMEDORES EMERGENTES'!$B$21</f>
        <v>GAUCHITO GIL</v>
      </c>
      <c r="C556" s="120"/>
      <c r="D556" s="63">
        <v>10</v>
      </c>
      <c r="E556" s="64" t="str">
        <f>'[1]COMEDORES EMERGENTES'!$G$21</f>
        <v>B° 26 VIVIENDAS CASA N° 3</v>
      </c>
    </row>
    <row r="557" spans="2:5" ht="13.5" thickBot="1" x14ac:dyDescent="0.25">
      <c r="B557" s="121" t="str">
        <f>'[1]COMEDORES EMERGENTES'!$B$22</f>
        <v>LOS TOLDOS</v>
      </c>
      <c r="C557" s="122"/>
      <c r="D557" s="67">
        <v>5</v>
      </c>
      <c r="E557" s="68" t="str">
        <f>'[1]COMEDORES EMERGENTES'!$G$22</f>
        <v>LOTEO PARQUE SUR CALLE S/NOMBRE S/N°</v>
      </c>
    </row>
    <row r="558" spans="2:5" x14ac:dyDescent="0.2">
      <c r="B558" s="9" t="s">
        <v>18</v>
      </c>
      <c r="E558" s="8"/>
    </row>
    <row r="559" spans="2:5" x14ac:dyDescent="0.2">
      <c r="B559" s="10"/>
      <c r="C559" s="123" t="s">
        <v>24</v>
      </c>
      <c r="D559" s="123"/>
      <c r="E559" s="123"/>
    </row>
    <row r="560" spans="2:5" x14ac:dyDescent="0.2">
      <c r="B560" s="9" t="s">
        <v>19</v>
      </c>
      <c r="C560" s="11"/>
      <c r="D560" s="11"/>
      <c r="E560" s="12"/>
    </row>
    <row r="561" spans="2:5" x14ac:dyDescent="0.2">
      <c r="B561" s="10"/>
      <c r="C561" s="123" t="s">
        <v>86</v>
      </c>
      <c r="D561" s="123"/>
      <c r="E561" s="123"/>
    </row>
    <row r="562" spans="2:5" x14ac:dyDescent="0.2">
      <c r="B562" s="9" t="s">
        <v>20</v>
      </c>
      <c r="E562" s="8"/>
    </row>
    <row r="563" spans="2:5" x14ac:dyDescent="0.2">
      <c r="B563" s="9"/>
      <c r="C563" s="124" t="s">
        <v>25</v>
      </c>
      <c r="D563" s="124"/>
      <c r="E563" s="124"/>
    </row>
    <row r="564" spans="2:5" ht="13.5" thickBot="1" x14ac:dyDescent="0.25">
      <c r="B564" s="13"/>
      <c r="C564" s="14"/>
      <c r="D564" s="29"/>
      <c r="E564" s="15"/>
    </row>
    <row r="565" spans="2:5" ht="13.5" thickBot="1" x14ac:dyDescent="0.25"/>
    <row r="566" spans="2:5" x14ac:dyDescent="0.2">
      <c r="B566" s="4" t="s">
        <v>99</v>
      </c>
      <c r="C566" s="5"/>
      <c r="D566" s="27"/>
      <c r="E566" s="6"/>
    </row>
    <row r="567" spans="2:5" x14ac:dyDescent="0.2">
      <c r="B567" s="7"/>
      <c r="E567" s="8"/>
    </row>
    <row r="568" spans="2:5" x14ac:dyDescent="0.2">
      <c r="B568" s="9" t="s">
        <v>16</v>
      </c>
      <c r="E568" s="8"/>
    </row>
    <row r="569" spans="2:5" ht="25.5" customHeight="1" x14ac:dyDescent="0.2">
      <c r="B569" s="9"/>
      <c r="C569" s="123"/>
      <c r="D569" s="123"/>
      <c r="E569" s="123"/>
    </row>
    <row r="570" spans="2:5" ht="13.5" thickBot="1" x14ac:dyDescent="0.25">
      <c r="B570" s="9" t="s">
        <v>17</v>
      </c>
      <c r="E570" s="8"/>
    </row>
    <row r="571" spans="2:5" ht="13.5" thickBot="1" x14ac:dyDescent="0.25">
      <c r="B571" s="127" t="s">
        <v>83</v>
      </c>
      <c r="C571" s="132"/>
      <c r="D571" s="132"/>
      <c r="E571" s="128"/>
    </row>
    <row r="572" spans="2:5" ht="13.5" thickBot="1" x14ac:dyDescent="0.25">
      <c r="B572" s="127" t="s">
        <v>84</v>
      </c>
      <c r="C572" s="128"/>
      <c r="D572" s="25" t="s">
        <v>11</v>
      </c>
      <c r="E572" s="25" t="s">
        <v>85</v>
      </c>
    </row>
    <row r="573" spans="2:5" x14ac:dyDescent="0.2">
      <c r="B573" s="129" t="str">
        <f>'[1]COMEDORES EMERGENTES'!$B$3</f>
        <v>UNA SONRISA AV. LOS COBACHO</v>
      </c>
      <c r="C573" s="130"/>
      <c r="D573" s="65" t="s">
        <v>135</v>
      </c>
      <c r="E573" s="66" t="str">
        <f>'[1]COMEDORES EMERGENTES'!$G$3</f>
        <v>Bº SAN CARLOS OESTE AV. Bonifacio cobacho 670</v>
      </c>
    </row>
    <row r="574" spans="2:5" x14ac:dyDescent="0.2">
      <c r="B574" s="119" t="str">
        <f>'[1]COMEDORES EMERGENTES'!$B$4</f>
        <v>C.I.F Nº1 - RIVERA DEL VALLE Y FLORIDA</v>
      </c>
      <c r="C574" s="120"/>
      <c r="D574" s="63" t="s">
        <v>136</v>
      </c>
      <c r="E574" s="64" t="str">
        <f>'[1]COMEDORES EMERGENTES'!$G$4</f>
        <v>AV. RIVIERA DEL VALLE ENTRE FLORIDA Y SANTA FE</v>
      </c>
    </row>
    <row r="575" spans="2:5" x14ac:dyDescent="0.2">
      <c r="B575" s="119" t="str">
        <f>'[1]COMEDORES EMERGENTES'!$B$5</f>
        <v>C.I.F - RIVERA DEL VALLE - DILORENZO</v>
      </c>
      <c r="C575" s="120"/>
      <c r="D575" s="63" t="s">
        <v>137</v>
      </c>
      <c r="E575" s="64" t="str">
        <f>'[1]COMEDORES EMERGENTES'!$G$5</f>
        <v>Bº RIVERA DEL VALLE ENTRE VILLA EUMELIA Y MONTE CRISTO</v>
      </c>
    </row>
    <row r="576" spans="2:5" x14ac:dyDescent="0.2">
      <c r="B576" s="119" t="str">
        <f>'[1]COMEDORES EMERGENTES'!$B$6</f>
        <v>ESFUERZO PROPIO- Bº ALTOS DE CHOYA</v>
      </c>
      <c r="C576" s="120"/>
      <c r="D576" s="63" t="s">
        <v>138</v>
      </c>
      <c r="E576" s="64" t="str">
        <f>'[1]COMEDORES EMERGENTES'!$G$6</f>
        <v>Bº MUNICIPAL 35VV. NORTE C/14</v>
      </c>
    </row>
    <row r="577" spans="2:5" x14ac:dyDescent="0.2">
      <c r="B577" s="119" t="str">
        <f>'[1]COMEDORES EMERGENTES'!$B$7</f>
        <v>ANGELITOS - LOTEO SUSSEX</v>
      </c>
      <c r="C577" s="120"/>
      <c r="D577" s="63" t="s">
        <v>120</v>
      </c>
      <c r="E577" s="64" t="str">
        <f>'[1]COMEDORES EMERGENTES'!$G$7</f>
        <v>Bº LOTEO SUSEX MZA.Nº 4 LOTE Nº3</v>
      </c>
    </row>
    <row r="578" spans="2:5" x14ac:dyDescent="0.2">
      <c r="B578" s="119" t="str">
        <f>'[1]COMEDORES EMERGENTES'!$B$8</f>
        <v>CLUB DEPORTIVO CHACARITA</v>
      </c>
      <c r="C578" s="120"/>
      <c r="D578" s="63" t="s">
        <v>126</v>
      </c>
      <c r="E578" s="64" t="str">
        <f>'[1]COMEDORES EMERGENTES'!$G$8</f>
        <v>CALLE DR.DERMIDIO GALINDEZ C/2660</v>
      </c>
    </row>
    <row r="579" spans="2:5" x14ac:dyDescent="0.2">
      <c r="B579" s="119" t="str">
        <f>'[1]COMEDORES EMERGENTES'!$B$9</f>
        <v>LA MORO</v>
      </c>
      <c r="C579" s="120"/>
      <c r="D579" s="63" t="s">
        <v>114</v>
      </c>
      <c r="E579" s="64" t="str">
        <f>'[1]COMEDORES EMERGENTES'!$G$9</f>
        <v>MAIPU NORTE 1º ETAPA MZA "H" Bº MI JARDIN</v>
      </c>
    </row>
    <row r="580" spans="2:5" x14ac:dyDescent="0.2">
      <c r="B580" s="119" t="str">
        <f>'[1]COMEDORES EMERGENTES'!$B$10</f>
        <v>PAPA FRANCISCO</v>
      </c>
      <c r="C580" s="120"/>
      <c r="D580" s="63" t="s">
        <v>139</v>
      </c>
      <c r="E580" s="64" t="str">
        <f>'[1]COMEDORES EMERGENTES'!$G$10</f>
        <v>ENTRE AV.TEREBINTO Y AV.SAN JUAN LOTE "2" MZA. "B"</v>
      </c>
    </row>
    <row r="581" spans="2:5" x14ac:dyDescent="0.2">
      <c r="B581" s="119" t="str">
        <f>'[1]COMEDORES EMERGENTES'!$B$11</f>
        <v>E.P.C - 100 V.V NORTE</v>
      </c>
      <c r="C581" s="120"/>
      <c r="D581" s="63" t="s">
        <v>140</v>
      </c>
      <c r="E581" s="64" t="str">
        <f>'[1]COMEDORES EMERGENTES'!$G$11</f>
        <v>Bº VV NORTE C/48 ENTRE ESPAÑA Y FRANCIA</v>
      </c>
    </row>
    <row r="582" spans="2:5" x14ac:dyDescent="0.2">
      <c r="B582" s="119" t="str">
        <f>'[1]COMEDORES EMERGENTES'!$B$12</f>
        <v>HOGAR DE CRISTO - PADRE RAUL CONTRERAS</v>
      </c>
      <c r="C582" s="120"/>
      <c r="D582" s="63" t="s">
        <v>140</v>
      </c>
      <c r="E582" s="64" t="str">
        <f>'[1]COMEDORES EMERGENTES'!$G$12</f>
        <v>Bº SANTA MARTA MZA. "S" LOTE "M" C/39</v>
      </c>
    </row>
    <row r="583" spans="2:5" x14ac:dyDescent="0.2">
      <c r="B583" s="119" t="str">
        <f>'[1]COMEDORES EMERGENTES'!$B$13</f>
        <v>LA LUCIERNAGA</v>
      </c>
      <c r="C583" s="120"/>
      <c r="D583" s="63" t="s">
        <v>139</v>
      </c>
      <c r="E583" s="64" t="str">
        <f>'[1]COMEDORES EMERGENTES'!$G$13</f>
        <v>Bº 20 V.V NORTE C/3</v>
      </c>
    </row>
    <row r="584" spans="2:5" x14ac:dyDescent="0.2">
      <c r="B584" s="119" t="str">
        <f>'[1]COMEDORES EMERGENTES'!$B$14</f>
        <v>VALLE VIEJO - SUMALAO</v>
      </c>
      <c r="C584" s="120"/>
      <c r="D584" s="63" t="s">
        <v>141</v>
      </c>
      <c r="E584" s="64" t="str">
        <f>'[1]COMEDORES EMERGENTES'!$G$14</f>
        <v>PADRE SEGURA S/N</v>
      </c>
    </row>
    <row r="585" spans="2:5" x14ac:dyDescent="0.2">
      <c r="B585" s="119" t="str">
        <f>'[1]COMEDORES EMERGENTES'!$B$15</f>
        <v>NUESTRO FUTURO - LAS VIAS</v>
      </c>
      <c r="C585" s="120"/>
      <c r="D585" s="63" t="s">
        <v>139</v>
      </c>
      <c r="E585" s="64" t="str">
        <f>'[1]COMEDORES EMERGENTES'!$G$15</f>
        <v>Bº LAS VIAS OESTE LOTE 42</v>
      </c>
    </row>
    <row r="586" spans="2:5" x14ac:dyDescent="0.2">
      <c r="B586" s="119" t="str">
        <f>'[1]COMEDORES EMERGENTES'!$B$16</f>
        <v>SAN JOSE OBRERO</v>
      </c>
      <c r="C586" s="120"/>
      <c r="D586" s="63" t="s">
        <v>126</v>
      </c>
      <c r="E586" s="64" t="str">
        <f>'[1]COMEDORES EMERGENTES'!$G$16</f>
        <v>Bº SAN JOSE OBRERO. PJE. SANDOVAL S/Nº</v>
      </c>
    </row>
    <row r="587" spans="2:5" x14ac:dyDescent="0.2">
      <c r="B587" s="119" t="str">
        <f>'[1]COMEDORES EMERGENTES'!$B$17</f>
        <v>VIRGEN DE LUJAN</v>
      </c>
      <c r="C587" s="120"/>
      <c r="D587" s="63" t="s">
        <v>139</v>
      </c>
      <c r="E587" s="64" t="str">
        <f>'[1]COMEDORES EMERGENTES'!$G$17</f>
        <v>Bº OJO DE AGUA C/DR.TEODULFO BARRIONUEVO S/Nº</v>
      </c>
    </row>
    <row r="588" spans="2:5" x14ac:dyDescent="0.2">
      <c r="B588" s="119" t="str">
        <f>'[1]COMEDORES EMERGENTES'!$B$18</f>
        <v>RENACER</v>
      </c>
      <c r="C588" s="120"/>
      <c r="D588" s="63" t="s">
        <v>142</v>
      </c>
      <c r="E588" s="64" t="str">
        <f>'[1]COMEDORES EMERGENTES'!$G$18</f>
        <v>Bº VIRGEN MORENITA</v>
      </c>
    </row>
    <row r="589" spans="2:5" x14ac:dyDescent="0.2">
      <c r="B589" s="119" t="str">
        <f>'[1]COMEDORES EMERGENTES'!$B$19</f>
        <v>CENTRO VECINAL MI JARDIN</v>
      </c>
      <c r="C589" s="120"/>
      <c r="D589" s="63" t="s">
        <v>143</v>
      </c>
      <c r="E589" s="64" t="str">
        <f>'[1]COMEDORES EMERGENTES'!$G$19</f>
        <v>C/ LOS TULIPANES ENTRE FLOR DE CEREZO Y HOLANDA MZA.27 Bº MI JARDIN</v>
      </c>
    </row>
    <row r="590" spans="2:5" x14ac:dyDescent="0.2">
      <c r="B590" s="119" t="str">
        <f>'[1]COMEDORES EMERGENTES'!$B$20</f>
        <v>LA VIEJA ESQUINA</v>
      </c>
      <c r="C590" s="120"/>
      <c r="D590" s="63" t="s">
        <v>144</v>
      </c>
      <c r="E590" s="64" t="str">
        <f>'[1]COMEDORES EMERGENTES'!$G$20</f>
        <v>B° CRISTO REY PJE CAPATAZ VILLAFAÑEZ Y ARMANDO CORREA</v>
      </c>
    </row>
    <row r="591" spans="2:5" x14ac:dyDescent="0.2">
      <c r="B591" s="119" t="str">
        <f>'[1]COMEDORES EMERGENTES'!$B$21</f>
        <v>GAUCHITO GIL</v>
      </c>
      <c r="C591" s="120"/>
      <c r="D591" s="63" t="s">
        <v>144</v>
      </c>
      <c r="E591" s="64" t="str">
        <f>'[1]COMEDORES EMERGENTES'!$G$21</f>
        <v>B° 26 VIVIENDAS CASA N° 3</v>
      </c>
    </row>
    <row r="592" spans="2:5" ht="13.5" thickBot="1" x14ac:dyDescent="0.25">
      <c r="B592" s="121" t="str">
        <f>'[1]COMEDORES EMERGENTES'!$B$22</f>
        <v>LOS TOLDOS</v>
      </c>
      <c r="C592" s="122"/>
      <c r="D592" s="67" t="s">
        <v>149</v>
      </c>
      <c r="E592" s="68" t="str">
        <f>'[1]COMEDORES EMERGENTES'!$G$22</f>
        <v>LOTEO PARQUE SUR CALLE S/NOMBRE S/N°</v>
      </c>
    </row>
    <row r="593" spans="2:5" x14ac:dyDescent="0.2">
      <c r="B593" s="9" t="s">
        <v>18</v>
      </c>
      <c r="E593" s="8"/>
    </row>
    <row r="594" spans="2:5" x14ac:dyDescent="0.2">
      <c r="B594" s="10"/>
      <c r="C594" s="123" t="s">
        <v>24</v>
      </c>
      <c r="D594" s="123"/>
      <c r="E594" s="123"/>
    </row>
    <row r="595" spans="2:5" x14ac:dyDescent="0.2">
      <c r="B595" s="9" t="s">
        <v>19</v>
      </c>
      <c r="C595" s="11"/>
      <c r="D595" s="11"/>
      <c r="E595" s="12"/>
    </row>
    <row r="596" spans="2:5" x14ac:dyDescent="0.2">
      <c r="B596" s="10"/>
      <c r="C596" s="123" t="s">
        <v>86</v>
      </c>
      <c r="D596" s="123"/>
      <c r="E596" s="123"/>
    </row>
    <row r="597" spans="2:5" x14ac:dyDescent="0.2">
      <c r="B597" s="9" t="s">
        <v>20</v>
      </c>
      <c r="E597" s="8"/>
    </row>
    <row r="598" spans="2:5" x14ac:dyDescent="0.2">
      <c r="B598" s="9"/>
      <c r="C598" s="124" t="s">
        <v>25</v>
      </c>
      <c r="D598" s="124"/>
      <c r="E598" s="124"/>
    </row>
    <row r="599" spans="2:5" ht="13.5" thickBot="1" x14ac:dyDescent="0.25">
      <c r="B599" s="13"/>
      <c r="C599" s="14"/>
      <c r="D599" s="29"/>
      <c r="E599" s="15"/>
    </row>
    <row r="600" spans="2:5" ht="13.5" thickBot="1" x14ac:dyDescent="0.25"/>
    <row r="601" spans="2:5" x14ac:dyDescent="0.2">
      <c r="B601" s="4" t="s">
        <v>100</v>
      </c>
      <c r="C601" s="5"/>
      <c r="D601" s="27"/>
      <c r="E601" s="6"/>
    </row>
    <row r="602" spans="2:5" x14ac:dyDescent="0.2">
      <c r="B602" s="7"/>
      <c r="E602" s="8"/>
    </row>
    <row r="603" spans="2:5" x14ac:dyDescent="0.2">
      <c r="B603" s="9" t="s">
        <v>16</v>
      </c>
      <c r="E603" s="8"/>
    </row>
    <row r="604" spans="2:5" ht="25.5" customHeight="1" x14ac:dyDescent="0.2">
      <c r="B604" s="9"/>
      <c r="C604" s="123"/>
      <c r="D604" s="123"/>
      <c r="E604" s="123"/>
    </row>
    <row r="605" spans="2:5" ht="13.5" thickBot="1" x14ac:dyDescent="0.25">
      <c r="B605" s="9" t="s">
        <v>17</v>
      </c>
      <c r="E605" s="8"/>
    </row>
    <row r="606" spans="2:5" ht="13.5" thickBot="1" x14ac:dyDescent="0.25">
      <c r="B606" s="127" t="s">
        <v>83</v>
      </c>
      <c r="C606" s="132"/>
      <c r="D606" s="132"/>
      <c r="E606" s="128"/>
    </row>
    <row r="607" spans="2:5" ht="13.5" thickBot="1" x14ac:dyDescent="0.25">
      <c r="B607" s="127" t="s">
        <v>84</v>
      </c>
      <c r="C607" s="128"/>
      <c r="D607" s="25" t="s">
        <v>11</v>
      </c>
      <c r="E607" s="25" t="s">
        <v>85</v>
      </c>
    </row>
    <row r="608" spans="2:5" x14ac:dyDescent="0.2">
      <c r="B608" s="129" t="str">
        <f>'[1]COMEDORES EMERGENTES'!$B$3</f>
        <v>UNA SONRISA AV. LOS COBACHO</v>
      </c>
      <c r="C608" s="130"/>
      <c r="D608" s="65" t="s">
        <v>149</v>
      </c>
      <c r="E608" s="66" t="str">
        <f>'[1]COMEDORES EMERGENTES'!$G$3</f>
        <v>Bº SAN CARLOS OESTE AV. Bonifacio cobacho 670</v>
      </c>
    </row>
    <row r="609" spans="2:5" x14ac:dyDescent="0.2">
      <c r="B609" s="119" t="str">
        <f>'[1]COMEDORES EMERGENTES'!$B$4</f>
        <v>C.I.F Nº1 - RIVERA DEL VALLE Y FLORIDA</v>
      </c>
      <c r="C609" s="120"/>
      <c r="D609" s="63" t="s">
        <v>148</v>
      </c>
      <c r="E609" s="64" t="str">
        <f>'[1]COMEDORES EMERGENTES'!$G$4</f>
        <v>AV. RIVIERA DEL VALLE ENTRE FLORIDA Y SANTA FE</v>
      </c>
    </row>
    <row r="610" spans="2:5" x14ac:dyDescent="0.2">
      <c r="B610" s="119" t="str">
        <f>'[1]COMEDORES EMERGENTES'!$B$5</f>
        <v>C.I.F - RIVERA DEL VALLE - DILORENZO</v>
      </c>
      <c r="C610" s="120"/>
      <c r="D610" s="63" t="s">
        <v>125</v>
      </c>
      <c r="E610" s="64" t="str">
        <f>'[1]COMEDORES EMERGENTES'!$G$5</f>
        <v>Bº RIVERA DEL VALLE ENTRE VILLA EUMELIA Y MONTE CRISTO</v>
      </c>
    </row>
    <row r="611" spans="2:5" x14ac:dyDescent="0.2">
      <c r="B611" s="119" t="str">
        <f>'[1]COMEDORES EMERGENTES'!$B$6</f>
        <v>ESFUERZO PROPIO- Bº ALTOS DE CHOYA</v>
      </c>
      <c r="C611" s="120"/>
      <c r="D611" s="63" t="s">
        <v>131</v>
      </c>
      <c r="E611" s="64" t="str">
        <f>'[1]COMEDORES EMERGENTES'!$G$6</f>
        <v>Bº MUNICIPAL 35VV. NORTE C/14</v>
      </c>
    </row>
    <row r="612" spans="2:5" x14ac:dyDescent="0.2">
      <c r="B612" s="119" t="str">
        <f>'[1]COMEDORES EMERGENTES'!$B$7</f>
        <v>ANGELITOS - LOTEO SUSSEX</v>
      </c>
      <c r="C612" s="120"/>
      <c r="D612" s="63" t="s">
        <v>172</v>
      </c>
      <c r="E612" s="64" t="str">
        <f>'[1]COMEDORES EMERGENTES'!$G$7</f>
        <v>Bº LOTEO SUSEX MZA.Nº 4 LOTE Nº3</v>
      </c>
    </row>
    <row r="613" spans="2:5" x14ac:dyDescent="0.2">
      <c r="B613" s="119" t="str">
        <f>'[1]COMEDORES EMERGENTES'!$B$8</f>
        <v>CLUB DEPORTIVO CHACARITA</v>
      </c>
      <c r="C613" s="120"/>
      <c r="D613" s="63" t="s">
        <v>130</v>
      </c>
      <c r="E613" s="64" t="str">
        <f>'[1]COMEDORES EMERGENTES'!$G$8</f>
        <v>CALLE DR.DERMIDIO GALINDEZ C/2660</v>
      </c>
    </row>
    <row r="614" spans="2:5" x14ac:dyDescent="0.2">
      <c r="B614" s="119" t="str">
        <f>'[1]COMEDORES EMERGENTES'!$B$9</f>
        <v>LA MORO</v>
      </c>
      <c r="C614" s="120"/>
      <c r="D614" s="63" t="s">
        <v>147</v>
      </c>
      <c r="E614" s="64" t="str">
        <f>'[1]COMEDORES EMERGENTES'!$G$9</f>
        <v>MAIPU NORTE 1º ETAPA MZA "H" Bº MI JARDIN</v>
      </c>
    </row>
    <row r="615" spans="2:5" x14ac:dyDescent="0.2">
      <c r="B615" s="119" t="str">
        <f>'[1]COMEDORES EMERGENTES'!$B$10</f>
        <v>PAPA FRANCISCO</v>
      </c>
      <c r="C615" s="120"/>
      <c r="D615" s="63" t="s">
        <v>120</v>
      </c>
      <c r="E615" s="64" t="str">
        <f>'[1]COMEDORES EMERGENTES'!$G$10</f>
        <v>ENTRE AV.TEREBINTO Y AV.SAN JUAN LOTE "2" MZA. "B"</v>
      </c>
    </row>
    <row r="616" spans="2:5" x14ac:dyDescent="0.2">
      <c r="B616" s="119" t="str">
        <f>'[1]COMEDORES EMERGENTES'!$B$11</f>
        <v>E.P.C - 100 V.V NORTE</v>
      </c>
      <c r="C616" s="120"/>
      <c r="D616" s="63" t="s">
        <v>121</v>
      </c>
      <c r="E616" s="64" t="str">
        <f>'[1]COMEDORES EMERGENTES'!$G$11</f>
        <v>Bº VV NORTE C/48 ENTRE ESPAÑA Y FRANCIA</v>
      </c>
    </row>
    <row r="617" spans="2:5" x14ac:dyDescent="0.2">
      <c r="B617" s="119" t="str">
        <f>'[1]COMEDORES EMERGENTES'!$B$12</f>
        <v>HOGAR DE CRISTO - PADRE RAUL CONTRERAS</v>
      </c>
      <c r="C617" s="120"/>
      <c r="D617" s="63" t="s">
        <v>121</v>
      </c>
      <c r="E617" s="64" t="str">
        <f>'[1]COMEDORES EMERGENTES'!$G$12</f>
        <v>Bº SANTA MARTA MZA. "S" LOTE "M" C/39</v>
      </c>
    </row>
    <row r="618" spans="2:5" x14ac:dyDescent="0.2">
      <c r="B618" s="119" t="str">
        <f>'[1]COMEDORES EMERGENTES'!$B$13</f>
        <v>LA LUCIERNAGA</v>
      </c>
      <c r="C618" s="120"/>
      <c r="D618" s="63" t="s">
        <v>120</v>
      </c>
      <c r="E618" s="64" t="str">
        <f>'[1]COMEDORES EMERGENTES'!$G$13</f>
        <v>Bº 20 V.V NORTE C/3</v>
      </c>
    </row>
    <row r="619" spans="2:5" x14ac:dyDescent="0.2">
      <c r="B619" s="119" t="str">
        <f>'[1]COMEDORES EMERGENTES'!$B$14</f>
        <v>VALLE VIEJO - SUMALAO</v>
      </c>
      <c r="C619" s="120"/>
      <c r="D619" s="63" t="s">
        <v>116</v>
      </c>
      <c r="E619" s="64" t="str">
        <f>'[1]COMEDORES EMERGENTES'!$G$14</f>
        <v>PADRE SEGURA S/N</v>
      </c>
    </row>
    <row r="620" spans="2:5" x14ac:dyDescent="0.2">
      <c r="B620" s="119" t="str">
        <f>'[1]COMEDORES EMERGENTES'!$B$15</f>
        <v>NUESTRO FUTURO - LAS VIAS</v>
      </c>
      <c r="C620" s="120"/>
      <c r="D620" s="63" t="s">
        <v>120</v>
      </c>
      <c r="E620" s="64" t="str">
        <f>'[1]COMEDORES EMERGENTES'!$G$15</f>
        <v>Bº LAS VIAS OESTE LOTE 42</v>
      </c>
    </row>
    <row r="621" spans="2:5" x14ac:dyDescent="0.2">
      <c r="B621" s="119" t="str">
        <f>'[1]COMEDORES EMERGENTES'!$B$16</f>
        <v>SAN JOSE OBRERO</v>
      </c>
      <c r="C621" s="120"/>
      <c r="D621" s="63" t="s">
        <v>130</v>
      </c>
      <c r="E621" s="64" t="str">
        <f>'[1]COMEDORES EMERGENTES'!$G$16</f>
        <v>Bº SAN JOSE OBRERO. PJE. SANDOVAL S/Nº</v>
      </c>
    </row>
    <row r="622" spans="2:5" x14ac:dyDescent="0.2">
      <c r="B622" s="119" t="str">
        <f>'[1]COMEDORES EMERGENTES'!$B$17</f>
        <v>VIRGEN DE LUJAN</v>
      </c>
      <c r="C622" s="120"/>
      <c r="D622" s="63" t="s">
        <v>120</v>
      </c>
      <c r="E622" s="64" t="str">
        <f>'[1]COMEDORES EMERGENTES'!$G$17</f>
        <v>Bº OJO DE AGUA C/DR.TEODULFO BARRIONUEVO S/Nº</v>
      </c>
    </row>
    <row r="623" spans="2:5" x14ac:dyDescent="0.2">
      <c r="B623" s="119" t="str">
        <f>'[1]COMEDORES EMERGENTES'!$B$18</f>
        <v>RENACER</v>
      </c>
      <c r="C623" s="120"/>
      <c r="D623" s="63" t="s">
        <v>127</v>
      </c>
      <c r="E623" s="64" t="str">
        <f>'[1]COMEDORES EMERGENTES'!$G$18</f>
        <v>Bº VIRGEN MORENITA</v>
      </c>
    </row>
    <row r="624" spans="2:5" x14ac:dyDescent="0.2">
      <c r="B624" s="119" t="str">
        <f>'[1]COMEDORES EMERGENTES'!$B$19</f>
        <v>CENTRO VECINAL MI JARDIN</v>
      </c>
      <c r="C624" s="120"/>
      <c r="D624" s="63" t="s">
        <v>115</v>
      </c>
      <c r="E624" s="64" t="str">
        <f>'[1]COMEDORES EMERGENTES'!$G$19</f>
        <v>C/ LOS TULIPANES ENTRE FLOR DE CEREZO Y HOLANDA MZA.27 Bº MI JARDIN</v>
      </c>
    </row>
    <row r="625" spans="2:5" x14ac:dyDescent="0.2">
      <c r="B625" s="119" t="str">
        <f>'[1]COMEDORES EMERGENTES'!$B$20</f>
        <v>LA VIEJA ESQUINA</v>
      </c>
      <c r="C625" s="120"/>
      <c r="D625" s="63" t="s">
        <v>173</v>
      </c>
      <c r="E625" s="64" t="str">
        <f>'[1]COMEDORES EMERGENTES'!$G$20</f>
        <v>B° CRISTO REY PJE CAPATAZ VILLAFAÑEZ Y ARMANDO CORREA</v>
      </c>
    </row>
    <row r="626" spans="2:5" x14ac:dyDescent="0.2">
      <c r="B626" s="119" t="str">
        <f>'[1]COMEDORES EMERGENTES'!$B$21</f>
        <v>GAUCHITO GIL</v>
      </c>
      <c r="C626" s="120"/>
      <c r="D626" s="63" t="s">
        <v>173</v>
      </c>
      <c r="E626" s="64" t="str">
        <f>'[1]COMEDORES EMERGENTES'!$G$21</f>
        <v>B° 26 VIVIENDAS CASA N° 3</v>
      </c>
    </row>
    <row r="627" spans="2:5" ht="13.5" thickBot="1" x14ac:dyDescent="0.25">
      <c r="B627" s="121" t="str">
        <f>'[1]COMEDORES EMERGENTES'!$B$22</f>
        <v>LOS TOLDOS</v>
      </c>
      <c r="C627" s="122"/>
      <c r="D627" s="67" t="s">
        <v>201</v>
      </c>
      <c r="E627" s="68" t="str">
        <f>'[1]COMEDORES EMERGENTES'!$G$22</f>
        <v>LOTEO PARQUE SUR CALLE S/NOMBRE S/N°</v>
      </c>
    </row>
    <row r="628" spans="2:5" x14ac:dyDescent="0.2">
      <c r="B628" s="9" t="s">
        <v>18</v>
      </c>
      <c r="E628" s="8"/>
    </row>
    <row r="629" spans="2:5" x14ac:dyDescent="0.2">
      <c r="B629" s="10"/>
      <c r="C629" s="123" t="s">
        <v>24</v>
      </c>
      <c r="D629" s="123"/>
      <c r="E629" s="123"/>
    </row>
    <row r="630" spans="2:5" x14ac:dyDescent="0.2">
      <c r="B630" s="9" t="s">
        <v>19</v>
      </c>
      <c r="C630" s="11"/>
      <c r="D630" s="11"/>
      <c r="E630" s="12"/>
    </row>
    <row r="631" spans="2:5" x14ac:dyDescent="0.2">
      <c r="B631" s="10"/>
      <c r="C631" s="123" t="s">
        <v>86</v>
      </c>
      <c r="D631" s="123"/>
      <c r="E631" s="123"/>
    </row>
    <row r="632" spans="2:5" x14ac:dyDescent="0.2">
      <c r="B632" s="9" t="s">
        <v>20</v>
      </c>
      <c r="E632" s="8"/>
    </row>
    <row r="633" spans="2:5" x14ac:dyDescent="0.2">
      <c r="B633" s="9"/>
      <c r="C633" s="124" t="s">
        <v>25</v>
      </c>
      <c r="D633" s="124"/>
      <c r="E633" s="124"/>
    </row>
    <row r="634" spans="2:5" ht="13.5" thickBot="1" x14ac:dyDescent="0.25">
      <c r="B634" s="13"/>
      <c r="C634" s="14"/>
      <c r="D634" s="29"/>
      <c r="E634" s="15"/>
    </row>
    <row r="635" spans="2:5" ht="13.5" thickBot="1" x14ac:dyDescent="0.25"/>
    <row r="636" spans="2:5" x14ac:dyDescent="0.2">
      <c r="B636" s="4" t="s">
        <v>101</v>
      </c>
      <c r="C636" s="5"/>
      <c r="D636" s="27"/>
      <c r="E636" s="6"/>
    </row>
    <row r="637" spans="2:5" x14ac:dyDescent="0.2">
      <c r="B637" s="7"/>
      <c r="E637" s="8"/>
    </row>
    <row r="638" spans="2:5" x14ac:dyDescent="0.2">
      <c r="B638" s="9" t="s">
        <v>16</v>
      </c>
      <c r="E638" s="8"/>
    </row>
    <row r="639" spans="2:5" ht="25.5" customHeight="1" x14ac:dyDescent="0.2">
      <c r="B639" s="9"/>
      <c r="C639" s="123"/>
      <c r="D639" s="123"/>
      <c r="E639" s="123"/>
    </row>
    <row r="640" spans="2:5" ht="13.5" thickBot="1" x14ac:dyDescent="0.25">
      <c r="B640" s="9" t="s">
        <v>17</v>
      </c>
      <c r="E640" s="8"/>
    </row>
    <row r="641" spans="2:5" ht="13.5" thickBot="1" x14ac:dyDescent="0.25">
      <c r="B641" s="127" t="s">
        <v>83</v>
      </c>
      <c r="C641" s="132"/>
      <c r="D641" s="132"/>
      <c r="E641" s="128"/>
    </row>
    <row r="642" spans="2:5" ht="13.5" thickBot="1" x14ac:dyDescent="0.25">
      <c r="B642" s="127" t="s">
        <v>84</v>
      </c>
      <c r="C642" s="128"/>
      <c r="D642" s="25" t="s">
        <v>11</v>
      </c>
      <c r="E642" s="25" t="s">
        <v>85</v>
      </c>
    </row>
    <row r="643" spans="2:5" x14ac:dyDescent="0.2">
      <c r="B643" s="129" t="str">
        <f>'[1]COMEDORES EMERGENTES'!$B$3</f>
        <v>UNA SONRISA AV. LOS COBACHO</v>
      </c>
      <c r="C643" s="130"/>
      <c r="D643" s="65" t="s">
        <v>168</v>
      </c>
      <c r="E643" s="66" t="str">
        <f>'[1]COMEDORES EMERGENTES'!$G$3</f>
        <v>Bº SAN CARLOS OESTE AV. Bonifacio cobacho 670</v>
      </c>
    </row>
    <row r="644" spans="2:5" x14ac:dyDescent="0.2">
      <c r="B644" s="119" t="str">
        <f>'[1]COMEDORES EMERGENTES'!$B$4</f>
        <v>C.I.F Nº1 - RIVERA DEL VALLE Y FLORIDA</v>
      </c>
      <c r="C644" s="120"/>
      <c r="D644" s="63" t="s">
        <v>117</v>
      </c>
      <c r="E644" s="64" t="str">
        <f>'[1]COMEDORES EMERGENTES'!$G$4</f>
        <v>AV. RIVIERA DEL VALLE ENTRE FLORIDA Y SANTA FE</v>
      </c>
    </row>
    <row r="645" spans="2:5" x14ac:dyDescent="0.2">
      <c r="B645" s="119" t="str">
        <f>'[1]COMEDORES EMERGENTES'!$B$5</f>
        <v>C.I.F - RIVERA DEL VALLE - DILORENZO</v>
      </c>
      <c r="C645" s="120"/>
      <c r="D645" s="63" t="s">
        <v>174</v>
      </c>
      <c r="E645" s="64" t="str">
        <f>'[1]COMEDORES EMERGENTES'!$G$5</f>
        <v>Bº RIVERA DEL VALLE ENTRE VILLA EUMELIA Y MONTE CRISTO</v>
      </c>
    </row>
    <row r="646" spans="2:5" x14ac:dyDescent="0.2">
      <c r="B646" s="119" t="str">
        <f>'[1]COMEDORES EMERGENTES'!$B$6</f>
        <v>ESFUERZO PROPIO- Bº ALTOS DE CHOYA</v>
      </c>
      <c r="C646" s="120"/>
      <c r="D646" s="63" t="s">
        <v>139</v>
      </c>
      <c r="E646" s="64" t="str">
        <f>'[1]COMEDORES EMERGENTES'!$G$6</f>
        <v>Bº MUNICIPAL 35VV. NORTE C/14</v>
      </c>
    </row>
    <row r="647" spans="2:5" x14ac:dyDescent="0.2">
      <c r="B647" s="119" t="str">
        <f>'[1]COMEDORES EMERGENTES'!$B$7</f>
        <v>ANGELITOS - LOTEO SUSSEX</v>
      </c>
      <c r="C647" s="120"/>
      <c r="D647" s="63" t="s">
        <v>115</v>
      </c>
      <c r="E647" s="64" t="str">
        <f>'[1]COMEDORES EMERGENTES'!$G$7</f>
        <v>Bº LOTEO SUSEX MZA.Nº 4 LOTE Nº3</v>
      </c>
    </row>
    <row r="648" spans="2:5" x14ac:dyDescent="0.2">
      <c r="B648" s="119" t="str">
        <f>'[1]COMEDORES EMERGENTES'!$B$8</f>
        <v>CLUB DEPORTIVO CHACARITA</v>
      </c>
      <c r="C648" s="120"/>
      <c r="D648" s="63" t="s">
        <v>148</v>
      </c>
      <c r="E648" s="64" t="str">
        <f>'[1]COMEDORES EMERGENTES'!$G$8</f>
        <v>CALLE DR.DERMIDIO GALINDEZ C/2660</v>
      </c>
    </row>
    <row r="649" spans="2:5" x14ac:dyDescent="0.2">
      <c r="B649" s="119" t="str">
        <f>'[1]COMEDORES EMERGENTES'!$B$9</f>
        <v>LA MORO</v>
      </c>
      <c r="C649" s="120"/>
      <c r="D649" s="63" t="s">
        <v>131</v>
      </c>
      <c r="E649" s="64" t="str">
        <f>'[1]COMEDORES EMERGENTES'!$G$9</f>
        <v>MAIPU NORTE 1º ETAPA MZA "H" Bº MI JARDIN</v>
      </c>
    </row>
    <row r="650" spans="2:5" x14ac:dyDescent="0.2">
      <c r="B650" s="119" t="str">
        <f>'[1]COMEDORES EMERGENTES'!$B$10</f>
        <v>PAPA FRANCISCO</v>
      </c>
      <c r="C650" s="120"/>
      <c r="D650" s="63" t="s">
        <v>143</v>
      </c>
      <c r="E650" s="64" t="str">
        <f>'[1]COMEDORES EMERGENTES'!$G$10</f>
        <v>ENTRE AV.TEREBINTO Y AV.SAN JUAN LOTE "2" MZA. "B"</v>
      </c>
    </row>
    <row r="651" spans="2:5" x14ac:dyDescent="0.2">
      <c r="B651" s="119" t="str">
        <f>'[1]COMEDORES EMERGENTES'!$B$11</f>
        <v>E.P.C - 100 V.V NORTE</v>
      </c>
      <c r="C651" s="120"/>
      <c r="D651" s="63" t="s">
        <v>137</v>
      </c>
      <c r="E651" s="64" t="str">
        <f>'[1]COMEDORES EMERGENTES'!$G$11</f>
        <v>Bº VV NORTE C/48 ENTRE ESPAÑA Y FRANCIA</v>
      </c>
    </row>
    <row r="652" spans="2:5" x14ac:dyDescent="0.2">
      <c r="B652" s="119" t="str">
        <f>'[1]COMEDORES EMERGENTES'!$B$12</f>
        <v>HOGAR DE CRISTO - PADRE RAUL CONTRERAS</v>
      </c>
      <c r="C652" s="120"/>
      <c r="D652" s="63" t="s">
        <v>137</v>
      </c>
      <c r="E652" s="64" t="str">
        <f>'[1]COMEDORES EMERGENTES'!$G$12</f>
        <v>Bº SANTA MARTA MZA. "S" LOTE "M" C/39</v>
      </c>
    </row>
    <row r="653" spans="2:5" x14ac:dyDescent="0.2">
      <c r="B653" s="119" t="str">
        <f>'[1]COMEDORES EMERGENTES'!$B$13</f>
        <v>LA LUCIERNAGA</v>
      </c>
      <c r="C653" s="120"/>
      <c r="D653" s="63" t="s">
        <v>143</v>
      </c>
      <c r="E653" s="64" t="str">
        <f>'[1]COMEDORES EMERGENTES'!$G$13</f>
        <v>Bº 20 V.V NORTE C/3</v>
      </c>
    </row>
    <row r="654" spans="2:5" x14ac:dyDescent="0.2">
      <c r="B654" s="119" t="str">
        <f>'[1]COMEDORES EMERGENTES'!$B$14</f>
        <v>VALLE VIEJO - SUMALAO</v>
      </c>
      <c r="C654" s="120"/>
      <c r="D654" s="63" t="s">
        <v>165</v>
      </c>
      <c r="E654" s="64" t="str">
        <f>'[1]COMEDORES EMERGENTES'!$G$14</f>
        <v>PADRE SEGURA S/N</v>
      </c>
    </row>
    <row r="655" spans="2:5" x14ac:dyDescent="0.2">
      <c r="B655" s="119" t="str">
        <f>'[1]COMEDORES EMERGENTES'!$B$15</f>
        <v>NUESTRO FUTURO - LAS VIAS</v>
      </c>
      <c r="C655" s="120"/>
      <c r="D655" s="63" t="s">
        <v>143</v>
      </c>
      <c r="E655" s="64" t="str">
        <f>'[1]COMEDORES EMERGENTES'!$G$15</f>
        <v>Bº LAS VIAS OESTE LOTE 42</v>
      </c>
    </row>
    <row r="656" spans="2:5" x14ac:dyDescent="0.2">
      <c r="B656" s="119" t="str">
        <f>'[1]COMEDORES EMERGENTES'!$B$16</f>
        <v>SAN JOSE OBRERO</v>
      </c>
      <c r="C656" s="120"/>
      <c r="D656" s="63" t="s">
        <v>148</v>
      </c>
      <c r="E656" s="64" t="str">
        <f>'[1]COMEDORES EMERGENTES'!$G$16</f>
        <v>Bº SAN JOSE OBRERO. PJE. SANDOVAL S/Nº</v>
      </c>
    </row>
    <row r="657" spans="2:5" x14ac:dyDescent="0.2">
      <c r="B657" s="119" t="str">
        <f>'[1]COMEDORES EMERGENTES'!$B$17</f>
        <v>VIRGEN DE LUJAN</v>
      </c>
      <c r="C657" s="120"/>
      <c r="D657" s="63" t="s">
        <v>143</v>
      </c>
      <c r="E657" s="64" t="str">
        <f>'[1]COMEDORES EMERGENTES'!$G$17</f>
        <v>Bº OJO DE AGUA C/DR.TEODULFO BARRIONUEVO S/Nº</v>
      </c>
    </row>
    <row r="658" spans="2:5" x14ac:dyDescent="0.2">
      <c r="B658" s="119" t="str">
        <f>'[1]COMEDORES EMERGENTES'!$B$18</f>
        <v>RENACER</v>
      </c>
      <c r="C658" s="120"/>
      <c r="D658" s="63" t="s">
        <v>122</v>
      </c>
      <c r="E658" s="64" t="str">
        <f>'[1]COMEDORES EMERGENTES'!$G$18</f>
        <v>Bº VIRGEN MORENITA</v>
      </c>
    </row>
    <row r="659" spans="2:5" x14ac:dyDescent="0.2">
      <c r="B659" s="119" t="str">
        <f>'[1]COMEDORES EMERGENTES'!$B$19</f>
        <v>CENTRO VECINAL MI JARDIN</v>
      </c>
      <c r="C659" s="120"/>
      <c r="D659" s="63" t="s">
        <v>135</v>
      </c>
      <c r="E659" s="64" t="str">
        <f>'[1]COMEDORES EMERGENTES'!$G$19</f>
        <v>C/ LOS TULIPANES ENTRE FLOR DE CEREZO Y HOLANDA MZA.27 Bº MI JARDIN</v>
      </c>
    </row>
    <row r="660" spans="2:5" x14ac:dyDescent="0.2">
      <c r="B660" s="119" t="str">
        <f>'[1]COMEDORES EMERGENTES'!$B$20</f>
        <v>LA VIEJA ESQUINA</v>
      </c>
      <c r="C660" s="120"/>
      <c r="D660" s="63" t="s">
        <v>175</v>
      </c>
      <c r="E660" s="64" t="str">
        <f>'[1]COMEDORES EMERGENTES'!$G$20</f>
        <v>B° CRISTO REY PJE CAPATAZ VILLAFAÑEZ Y ARMANDO CORREA</v>
      </c>
    </row>
    <row r="661" spans="2:5" x14ac:dyDescent="0.2">
      <c r="B661" s="119" t="str">
        <f>'[1]COMEDORES EMERGENTES'!$B$21</f>
        <v>GAUCHITO GIL</v>
      </c>
      <c r="C661" s="120"/>
      <c r="D661" s="63" t="s">
        <v>121</v>
      </c>
      <c r="E661" s="64" t="str">
        <f>'[1]COMEDORES EMERGENTES'!$G$21</f>
        <v>B° 26 VIVIENDAS CASA N° 3</v>
      </c>
    </row>
    <row r="662" spans="2:5" ht="13.5" thickBot="1" x14ac:dyDescent="0.25">
      <c r="B662" s="121" t="str">
        <f>'[1]COMEDORES EMERGENTES'!$B$22</f>
        <v>LOS TOLDOS</v>
      </c>
      <c r="C662" s="122"/>
      <c r="D662" s="67" t="s">
        <v>129</v>
      </c>
      <c r="E662" s="68" t="str">
        <f>'[1]COMEDORES EMERGENTES'!$G$22</f>
        <v>LOTEO PARQUE SUR CALLE S/NOMBRE S/N°</v>
      </c>
    </row>
    <row r="663" spans="2:5" x14ac:dyDescent="0.2">
      <c r="B663" s="9" t="s">
        <v>18</v>
      </c>
      <c r="E663" s="8"/>
    </row>
    <row r="664" spans="2:5" x14ac:dyDescent="0.2">
      <c r="B664" s="10"/>
      <c r="C664" s="123" t="s">
        <v>24</v>
      </c>
      <c r="D664" s="123"/>
      <c r="E664" s="123"/>
    </row>
    <row r="665" spans="2:5" x14ac:dyDescent="0.2">
      <c r="B665" s="9" t="s">
        <v>19</v>
      </c>
      <c r="C665" s="11"/>
      <c r="D665" s="11"/>
      <c r="E665" s="12"/>
    </row>
    <row r="666" spans="2:5" x14ac:dyDescent="0.2">
      <c r="B666" s="10"/>
      <c r="C666" s="123" t="s">
        <v>86</v>
      </c>
      <c r="D666" s="123"/>
      <c r="E666" s="123"/>
    </row>
    <row r="667" spans="2:5" x14ac:dyDescent="0.2">
      <c r="B667" s="9" t="s">
        <v>20</v>
      </c>
      <c r="E667" s="8"/>
    </row>
    <row r="668" spans="2:5" x14ac:dyDescent="0.2">
      <c r="B668" s="9"/>
      <c r="C668" s="124" t="s">
        <v>25</v>
      </c>
      <c r="D668" s="124"/>
      <c r="E668" s="124"/>
    </row>
    <row r="669" spans="2:5" ht="13.5" thickBot="1" x14ac:dyDescent="0.25">
      <c r="B669" s="13"/>
      <c r="C669" s="14"/>
      <c r="D669" s="29"/>
      <c r="E669" s="15"/>
    </row>
    <row r="670" spans="2:5" ht="13.5" thickBot="1" x14ac:dyDescent="0.25"/>
    <row r="671" spans="2:5" x14ac:dyDescent="0.2">
      <c r="B671" s="4" t="s">
        <v>102</v>
      </c>
      <c r="C671" s="5"/>
      <c r="D671" s="27"/>
      <c r="E671" s="6"/>
    </row>
    <row r="672" spans="2:5" x14ac:dyDescent="0.2">
      <c r="B672" s="7"/>
      <c r="E672" s="8"/>
    </row>
    <row r="673" spans="2:5" x14ac:dyDescent="0.2">
      <c r="B673" s="9" t="s">
        <v>16</v>
      </c>
      <c r="E673" s="8"/>
    </row>
    <row r="674" spans="2:5" ht="25.5" customHeight="1" x14ac:dyDescent="0.2">
      <c r="B674" s="9"/>
      <c r="C674" s="123"/>
      <c r="D674" s="123"/>
      <c r="E674" s="123"/>
    </row>
    <row r="675" spans="2:5" ht="13.5" thickBot="1" x14ac:dyDescent="0.25">
      <c r="B675" s="9" t="s">
        <v>17</v>
      </c>
      <c r="E675" s="8"/>
    </row>
    <row r="676" spans="2:5" ht="13.5" thickBot="1" x14ac:dyDescent="0.25">
      <c r="B676" s="127" t="s">
        <v>83</v>
      </c>
      <c r="C676" s="132"/>
      <c r="D676" s="132"/>
      <c r="E676" s="128"/>
    </row>
    <row r="677" spans="2:5" ht="13.5" thickBot="1" x14ac:dyDescent="0.25">
      <c r="B677" s="127" t="s">
        <v>84</v>
      </c>
      <c r="C677" s="128"/>
      <c r="D677" s="25" t="s">
        <v>11</v>
      </c>
      <c r="E677" s="25" t="s">
        <v>85</v>
      </c>
    </row>
    <row r="678" spans="2:5" x14ac:dyDescent="0.2">
      <c r="B678" s="129" t="str">
        <f>'[1]COMEDORES EMERGENTES'!$B$3</f>
        <v>UNA SONRISA AV. LOS COBACHO</v>
      </c>
      <c r="C678" s="130"/>
      <c r="D678" s="65" t="s">
        <v>114</v>
      </c>
      <c r="E678" s="66" t="str">
        <f>'[1]COMEDORES EMERGENTES'!$G$3</f>
        <v>Bº SAN CARLOS OESTE AV. Bonifacio cobacho 670</v>
      </c>
    </row>
    <row r="679" spans="2:5" x14ac:dyDescent="0.2">
      <c r="B679" s="119" t="str">
        <f>'[1]COMEDORES EMERGENTES'!$B$4</f>
        <v>C.I.F Nº1 - RIVERA DEL VALLE Y FLORIDA</v>
      </c>
      <c r="C679" s="120"/>
      <c r="D679" s="63" t="s">
        <v>116</v>
      </c>
      <c r="E679" s="64" t="str">
        <f>'[1]COMEDORES EMERGENTES'!$G$4</f>
        <v>AV. RIVIERA DEL VALLE ENTRE FLORIDA Y SANTA FE</v>
      </c>
    </row>
    <row r="680" spans="2:5" x14ac:dyDescent="0.2">
      <c r="B680" s="119" t="str">
        <f>'[1]COMEDORES EMERGENTES'!$B$5</f>
        <v>C.I.F - RIVERA DEL VALLE - DILORENZO</v>
      </c>
      <c r="C680" s="120"/>
      <c r="D680" s="63" t="s">
        <v>117</v>
      </c>
      <c r="E680" s="64" t="str">
        <f>'[1]COMEDORES EMERGENTES'!$G$5</f>
        <v>Bº RIVERA DEL VALLE ENTRE VILLA EUMELIA Y MONTE CRISTO</v>
      </c>
    </row>
    <row r="681" spans="2:5" x14ac:dyDescent="0.2">
      <c r="B681" s="119" t="str">
        <f>'[1]COMEDORES EMERGENTES'!$B$6</f>
        <v>ESFUERZO PROPIO- Bº ALTOS DE CHOYA</v>
      </c>
      <c r="C681" s="120"/>
      <c r="D681" s="63" t="s">
        <v>118</v>
      </c>
      <c r="E681" s="64" t="str">
        <f>'[1]COMEDORES EMERGENTES'!$G$6</f>
        <v>Bº MUNICIPAL 35VV. NORTE C/14</v>
      </c>
    </row>
    <row r="682" spans="2:5" x14ac:dyDescent="0.2">
      <c r="B682" s="119" t="str">
        <f>'[1]COMEDORES EMERGENTES'!$B$7</f>
        <v>ANGELITOS - LOTEO SUSSEX</v>
      </c>
      <c r="C682" s="120"/>
      <c r="D682" s="63" t="s">
        <v>119</v>
      </c>
      <c r="E682" s="64" t="str">
        <f>'[1]COMEDORES EMERGENTES'!$G$7</f>
        <v>Bº LOTEO SUSEX MZA.Nº 4 LOTE Nº3</v>
      </c>
    </row>
    <row r="683" spans="2:5" x14ac:dyDescent="0.2">
      <c r="B683" s="119" t="str">
        <f>'[1]COMEDORES EMERGENTES'!$B$8</f>
        <v>CLUB DEPORTIVO CHACARITA</v>
      </c>
      <c r="C683" s="120"/>
      <c r="D683" s="63" t="s">
        <v>120</v>
      </c>
      <c r="E683" s="64" t="str">
        <f>'[1]COMEDORES EMERGENTES'!$G$8</f>
        <v>CALLE DR.DERMIDIO GALINDEZ C/2660</v>
      </c>
    </row>
    <row r="684" spans="2:5" x14ac:dyDescent="0.2">
      <c r="B684" s="119" t="str">
        <f>'[1]COMEDORES EMERGENTES'!$B$9</f>
        <v>LA MORO</v>
      </c>
      <c r="C684" s="120"/>
      <c r="D684" s="63" t="s">
        <v>115</v>
      </c>
      <c r="E684" s="64" t="str">
        <f>'[1]COMEDORES EMERGENTES'!$G$9</f>
        <v>MAIPU NORTE 1º ETAPA MZA "H" Bº MI JARDIN</v>
      </c>
    </row>
    <row r="685" spans="2:5" x14ac:dyDescent="0.2">
      <c r="B685" s="119" t="str">
        <f>'[1]COMEDORES EMERGENTES'!$B$10</f>
        <v>PAPA FRANCISCO</v>
      </c>
      <c r="C685" s="120"/>
      <c r="D685" s="63" t="s">
        <v>121</v>
      </c>
      <c r="E685" s="64" t="str">
        <f>'[1]COMEDORES EMERGENTES'!$G$10</f>
        <v>ENTRE AV.TEREBINTO Y AV.SAN JUAN LOTE "2" MZA. "B"</v>
      </c>
    </row>
    <row r="686" spans="2:5" x14ac:dyDescent="0.2">
      <c r="B686" s="119" t="str">
        <f>'[1]COMEDORES EMERGENTES'!$B$11</f>
        <v>E.P.C - 100 V.V NORTE</v>
      </c>
      <c r="C686" s="120"/>
      <c r="D686" s="63" t="s">
        <v>122</v>
      </c>
      <c r="E686" s="64" t="str">
        <f>'[1]COMEDORES EMERGENTES'!$G$11</f>
        <v>Bº VV NORTE C/48 ENTRE ESPAÑA Y FRANCIA</v>
      </c>
    </row>
    <row r="687" spans="2:5" x14ac:dyDescent="0.2">
      <c r="B687" s="119" t="str">
        <f>'[1]COMEDORES EMERGENTES'!$B$12</f>
        <v>HOGAR DE CRISTO - PADRE RAUL CONTRERAS</v>
      </c>
      <c r="C687" s="120"/>
      <c r="D687" s="63" t="s">
        <v>122</v>
      </c>
      <c r="E687" s="64" t="str">
        <f>'[1]COMEDORES EMERGENTES'!$G$12</f>
        <v>Bº SANTA MARTA MZA. "S" LOTE "M" C/39</v>
      </c>
    </row>
    <row r="688" spans="2:5" x14ac:dyDescent="0.2">
      <c r="B688" s="119" t="str">
        <f>'[1]COMEDORES EMERGENTES'!$B$13</f>
        <v>LA LUCIERNAGA</v>
      </c>
      <c r="C688" s="120"/>
      <c r="D688" s="63" t="s">
        <v>121</v>
      </c>
      <c r="E688" s="64" t="str">
        <f>'[1]COMEDORES EMERGENTES'!$G$13</f>
        <v>Bº 20 V.V NORTE C/3</v>
      </c>
    </row>
    <row r="689" spans="2:5" x14ac:dyDescent="0.2">
      <c r="B689" s="119" t="str">
        <f>'[1]COMEDORES EMERGENTES'!$B$14</f>
        <v>VALLE VIEJO - SUMALAO</v>
      </c>
      <c r="C689" s="120"/>
      <c r="D689" s="63" t="s">
        <v>123</v>
      </c>
      <c r="E689" s="64" t="str">
        <f>'[1]COMEDORES EMERGENTES'!$G$14</f>
        <v>PADRE SEGURA S/N</v>
      </c>
    </row>
    <row r="690" spans="2:5" x14ac:dyDescent="0.2">
      <c r="B690" s="119" t="str">
        <f>'[1]COMEDORES EMERGENTES'!$B$15</f>
        <v>NUESTRO FUTURO - LAS VIAS</v>
      </c>
      <c r="C690" s="120"/>
      <c r="D690" s="63" t="s">
        <v>121</v>
      </c>
      <c r="E690" s="64" t="str">
        <f>'[1]COMEDORES EMERGENTES'!$G$15</f>
        <v>Bº LAS VIAS OESTE LOTE 42</v>
      </c>
    </row>
    <row r="691" spans="2:5" x14ac:dyDescent="0.2">
      <c r="B691" s="119" t="str">
        <f>'[1]COMEDORES EMERGENTES'!$B$16</f>
        <v>SAN JOSE OBRERO</v>
      </c>
      <c r="C691" s="120"/>
      <c r="D691" s="63" t="s">
        <v>120</v>
      </c>
      <c r="E691" s="64" t="str">
        <f>'[1]COMEDORES EMERGENTES'!$G$16</f>
        <v>Bº SAN JOSE OBRERO. PJE. SANDOVAL S/Nº</v>
      </c>
    </row>
    <row r="692" spans="2:5" x14ac:dyDescent="0.2">
      <c r="B692" s="119" t="str">
        <f>'[1]COMEDORES EMERGENTES'!$B$17</f>
        <v>VIRGEN DE LUJAN</v>
      </c>
      <c r="C692" s="120"/>
      <c r="D692" s="63" t="s">
        <v>121</v>
      </c>
      <c r="E692" s="64" t="str">
        <f>'[1]COMEDORES EMERGENTES'!$G$17</f>
        <v>Bº OJO DE AGUA C/DR.TEODULFO BARRIONUEVO S/Nº</v>
      </c>
    </row>
    <row r="693" spans="2:5" x14ac:dyDescent="0.2">
      <c r="B693" s="119" t="str">
        <f>'[1]COMEDORES EMERGENTES'!$B$18</f>
        <v>RENACER</v>
      </c>
      <c r="C693" s="120"/>
      <c r="D693" s="63" t="s">
        <v>124</v>
      </c>
      <c r="E693" s="64" t="str">
        <f>'[1]COMEDORES EMERGENTES'!$G$18</f>
        <v>Bº VIRGEN MORENITA</v>
      </c>
    </row>
    <row r="694" spans="2:5" x14ac:dyDescent="0.2">
      <c r="B694" s="119" t="str">
        <f>'[1]COMEDORES EMERGENTES'!$B$19</f>
        <v>CENTRO VECINAL MI JARDIN</v>
      </c>
      <c r="C694" s="120"/>
      <c r="D694" s="63" t="s">
        <v>125</v>
      </c>
      <c r="E694" s="64" t="str">
        <f>'[1]COMEDORES EMERGENTES'!$G$19</f>
        <v>C/ LOS TULIPANES ENTRE FLOR DE CEREZO Y HOLANDA MZA.27 Bº MI JARDIN</v>
      </c>
    </row>
    <row r="695" spans="2:5" x14ac:dyDescent="0.2">
      <c r="B695" s="119" t="str">
        <f>'[1]COMEDORES EMERGENTES'!$B$20</f>
        <v>LA VIEJA ESQUINA</v>
      </c>
      <c r="C695" s="120"/>
      <c r="D695" s="63" t="s">
        <v>126</v>
      </c>
      <c r="E695" s="64" t="str">
        <f>'[1]COMEDORES EMERGENTES'!$G$20</f>
        <v>B° CRISTO REY PJE CAPATAZ VILLAFAÑEZ Y ARMANDO CORREA</v>
      </c>
    </row>
    <row r="696" spans="2:5" x14ac:dyDescent="0.2">
      <c r="B696" s="119" t="str">
        <f>'[1]COMEDORES EMERGENTES'!$B$21</f>
        <v>GAUCHITO GIL</v>
      </c>
      <c r="C696" s="120"/>
      <c r="D696" s="63" t="s">
        <v>127</v>
      </c>
      <c r="E696" s="64" t="str">
        <f>'[1]COMEDORES EMERGENTES'!$G$21</f>
        <v>B° 26 VIVIENDAS CASA N° 3</v>
      </c>
    </row>
    <row r="697" spans="2:5" ht="13.5" thickBot="1" x14ac:dyDescent="0.25">
      <c r="B697" s="121" t="str">
        <f>'[1]COMEDORES EMERGENTES'!$B$22</f>
        <v>LOS TOLDOS</v>
      </c>
      <c r="C697" s="122"/>
      <c r="D697" s="67" t="s">
        <v>147</v>
      </c>
      <c r="E697" s="68" t="str">
        <f>'[1]COMEDORES EMERGENTES'!$G$22</f>
        <v>LOTEO PARQUE SUR CALLE S/NOMBRE S/N°</v>
      </c>
    </row>
    <row r="698" spans="2:5" x14ac:dyDescent="0.2">
      <c r="B698" s="9" t="s">
        <v>18</v>
      </c>
      <c r="E698" s="8"/>
    </row>
    <row r="699" spans="2:5" x14ac:dyDescent="0.2">
      <c r="B699" s="10"/>
      <c r="C699" s="123" t="s">
        <v>24</v>
      </c>
      <c r="D699" s="123"/>
      <c r="E699" s="123"/>
    </row>
    <row r="700" spans="2:5" x14ac:dyDescent="0.2">
      <c r="B700" s="9" t="s">
        <v>19</v>
      </c>
      <c r="C700" s="11"/>
      <c r="D700" s="11"/>
      <c r="E700" s="12"/>
    </row>
    <row r="701" spans="2:5" x14ac:dyDescent="0.2">
      <c r="B701" s="10"/>
      <c r="C701" s="123" t="s">
        <v>86</v>
      </c>
      <c r="D701" s="123"/>
      <c r="E701" s="123"/>
    </row>
    <row r="702" spans="2:5" x14ac:dyDescent="0.2">
      <c r="B702" s="9" t="s">
        <v>20</v>
      </c>
      <c r="E702" s="8"/>
    </row>
    <row r="703" spans="2:5" x14ac:dyDescent="0.2">
      <c r="B703" s="9"/>
      <c r="C703" s="124" t="s">
        <v>25</v>
      </c>
      <c r="D703" s="124"/>
      <c r="E703" s="124"/>
    </row>
    <row r="704" spans="2:5" ht="13.5" thickBot="1" x14ac:dyDescent="0.25">
      <c r="B704" s="13"/>
      <c r="C704" s="14"/>
      <c r="D704" s="29"/>
      <c r="E704" s="15"/>
    </row>
    <row r="705" spans="2:5" ht="13.5" thickBot="1" x14ac:dyDescent="0.25"/>
    <row r="706" spans="2:5" x14ac:dyDescent="0.2">
      <c r="B706" s="4" t="s">
        <v>103</v>
      </c>
      <c r="C706" s="5"/>
      <c r="D706" s="27"/>
      <c r="E706" s="6"/>
    </row>
    <row r="707" spans="2:5" x14ac:dyDescent="0.2">
      <c r="B707" s="7"/>
      <c r="E707" s="8"/>
    </row>
    <row r="708" spans="2:5" x14ac:dyDescent="0.2">
      <c r="B708" s="9" t="s">
        <v>16</v>
      </c>
      <c r="E708" s="8"/>
    </row>
    <row r="709" spans="2:5" ht="25.5" customHeight="1" x14ac:dyDescent="0.2">
      <c r="B709" s="9"/>
      <c r="C709" s="123"/>
      <c r="D709" s="123"/>
      <c r="E709" s="123"/>
    </row>
    <row r="710" spans="2:5" ht="13.5" thickBot="1" x14ac:dyDescent="0.25">
      <c r="B710" s="9" t="s">
        <v>17</v>
      </c>
      <c r="E710" s="8"/>
    </row>
    <row r="711" spans="2:5" ht="13.5" thickBot="1" x14ac:dyDescent="0.25">
      <c r="B711" s="127" t="s">
        <v>83</v>
      </c>
      <c r="C711" s="132"/>
      <c r="D711" s="132"/>
      <c r="E711" s="128"/>
    </row>
    <row r="712" spans="2:5" ht="13.5" thickBot="1" x14ac:dyDescent="0.25">
      <c r="B712" s="127" t="s">
        <v>84</v>
      </c>
      <c r="C712" s="128"/>
      <c r="D712" s="25" t="s">
        <v>11</v>
      </c>
      <c r="E712" s="25" t="s">
        <v>85</v>
      </c>
    </row>
    <row r="713" spans="2:5" x14ac:dyDescent="0.2">
      <c r="B713" s="129" t="str">
        <f>'[1]COMEDORES EMERGENTES'!$B$3</f>
        <v>UNA SONRISA AV. LOS COBACHO</v>
      </c>
      <c r="C713" s="130"/>
      <c r="D713" s="65" t="s">
        <v>150</v>
      </c>
      <c r="E713" s="66" t="str">
        <f>'[1]COMEDORES EMERGENTES'!$G$3</f>
        <v>Bº SAN CARLOS OESTE AV. Bonifacio cobacho 670</v>
      </c>
    </row>
    <row r="714" spans="2:5" x14ac:dyDescent="0.2">
      <c r="B714" s="119" t="str">
        <f>'[1]COMEDORES EMERGENTES'!$B$4</f>
        <v>C.I.F Nº1 - RIVERA DEL VALLE Y FLORIDA</v>
      </c>
      <c r="C714" s="120"/>
      <c r="D714" s="63" t="s">
        <v>176</v>
      </c>
      <c r="E714" s="64" t="str">
        <f>'[1]COMEDORES EMERGENTES'!$G$4</f>
        <v>AV. RIVIERA DEL VALLE ENTRE FLORIDA Y SANTA FE</v>
      </c>
    </row>
    <row r="715" spans="2:5" x14ac:dyDescent="0.2">
      <c r="B715" s="119" t="str">
        <f>'[1]COMEDORES EMERGENTES'!$B$5</f>
        <v>C.I.F - RIVERA DEL VALLE - DILORENZO</v>
      </c>
      <c r="C715" s="120"/>
      <c r="D715" s="63" t="s">
        <v>177</v>
      </c>
      <c r="E715" s="64" t="str">
        <f>'[1]COMEDORES EMERGENTES'!$G$5</f>
        <v>Bº RIVERA DEL VALLE ENTRE VILLA EUMELIA Y MONTE CRISTO</v>
      </c>
    </row>
    <row r="716" spans="2:5" x14ac:dyDescent="0.2">
      <c r="B716" s="119" t="str">
        <f>'[1]COMEDORES EMERGENTES'!$B$6</f>
        <v>ESFUERZO PROPIO- Bº ALTOS DE CHOYA</v>
      </c>
      <c r="C716" s="120"/>
      <c r="D716" s="63" t="s">
        <v>164</v>
      </c>
      <c r="E716" s="64" t="str">
        <f>'[1]COMEDORES EMERGENTES'!$G$6</f>
        <v>Bº MUNICIPAL 35VV. NORTE C/14</v>
      </c>
    </row>
    <row r="717" spans="2:5" x14ac:dyDescent="0.2">
      <c r="B717" s="119" t="str">
        <f>'[1]COMEDORES EMERGENTES'!$B$7</f>
        <v>ANGELITOS - LOTEO SUSSEX</v>
      </c>
      <c r="C717" s="120"/>
      <c r="D717" s="63" t="s">
        <v>139</v>
      </c>
      <c r="E717" s="64" t="str">
        <f>'[1]COMEDORES EMERGENTES'!$G$7</f>
        <v>Bº LOTEO SUSEX MZA.Nº 4 LOTE Nº3</v>
      </c>
    </row>
    <row r="718" spans="2:5" x14ac:dyDescent="0.2">
      <c r="B718" s="119" t="str">
        <f>'[1]COMEDORES EMERGENTES'!$B$8</f>
        <v>CLUB DEPORTIVO CHACARITA</v>
      </c>
      <c r="C718" s="120"/>
      <c r="D718" s="63" t="s">
        <v>178</v>
      </c>
      <c r="E718" s="64" t="str">
        <f>'[1]COMEDORES EMERGENTES'!$G$8</f>
        <v>CALLE DR.DERMIDIO GALINDEZ C/2660</v>
      </c>
    </row>
    <row r="719" spans="2:5" x14ac:dyDescent="0.2">
      <c r="B719" s="119" t="str">
        <f>'[1]COMEDORES EMERGENTES'!$B$9</f>
        <v>LA MORO</v>
      </c>
      <c r="C719" s="120"/>
      <c r="D719" s="63" t="s">
        <v>156</v>
      </c>
      <c r="E719" s="64" t="str">
        <f>'[1]COMEDORES EMERGENTES'!$G$9</f>
        <v>MAIPU NORTE 1º ETAPA MZA "H" Bº MI JARDIN</v>
      </c>
    </row>
    <row r="720" spans="2:5" x14ac:dyDescent="0.2">
      <c r="B720" s="119" t="str">
        <f>'[1]COMEDORES EMERGENTES'!$B$10</f>
        <v>PAPA FRANCISCO</v>
      </c>
      <c r="C720" s="120"/>
      <c r="D720" s="63" t="s">
        <v>179</v>
      </c>
      <c r="E720" s="64" t="str">
        <f>'[1]COMEDORES EMERGENTES'!$G$10</f>
        <v>ENTRE AV.TEREBINTO Y AV.SAN JUAN LOTE "2" MZA. "B"</v>
      </c>
    </row>
    <row r="721" spans="2:5" x14ac:dyDescent="0.2">
      <c r="B721" s="119" t="str">
        <f>'[1]COMEDORES EMERGENTES'!$B$11</f>
        <v>E.P.C - 100 V.V NORTE</v>
      </c>
      <c r="C721" s="120"/>
      <c r="D721" s="63" t="s">
        <v>180</v>
      </c>
      <c r="E721" s="64" t="str">
        <f>'[1]COMEDORES EMERGENTES'!$G$11</f>
        <v>Bº VV NORTE C/48 ENTRE ESPAÑA Y FRANCIA</v>
      </c>
    </row>
    <row r="722" spans="2:5" x14ac:dyDescent="0.2">
      <c r="B722" s="119" t="str">
        <f>'[1]COMEDORES EMERGENTES'!$B$12</f>
        <v>HOGAR DE CRISTO - PADRE RAUL CONTRERAS</v>
      </c>
      <c r="C722" s="120"/>
      <c r="D722" s="63" t="s">
        <v>180</v>
      </c>
      <c r="E722" s="64" t="str">
        <f>'[1]COMEDORES EMERGENTES'!$G$12</f>
        <v>Bº SANTA MARTA MZA. "S" LOTE "M" C/39</v>
      </c>
    </row>
    <row r="723" spans="2:5" x14ac:dyDescent="0.2">
      <c r="B723" s="119" t="str">
        <f>'[1]COMEDORES EMERGENTES'!$B$13</f>
        <v>LA LUCIERNAGA</v>
      </c>
      <c r="C723" s="120"/>
      <c r="D723" s="63" t="s">
        <v>179</v>
      </c>
      <c r="E723" s="64" t="str">
        <f>'[1]COMEDORES EMERGENTES'!$G$13</f>
        <v>Bº 20 V.V NORTE C/3</v>
      </c>
    </row>
    <row r="724" spans="2:5" x14ac:dyDescent="0.2">
      <c r="B724" s="119" t="str">
        <f>'[1]COMEDORES EMERGENTES'!$B$14</f>
        <v>VALLE VIEJO - SUMALAO</v>
      </c>
      <c r="C724" s="120"/>
      <c r="D724" s="63" t="s">
        <v>181</v>
      </c>
      <c r="E724" s="64" t="str">
        <f>'[1]COMEDORES EMERGENTES'!$G$14</f>
        <v>PADRE SEGURA S/N</v>
      </c>
    </row>
    <row r="725" spans="2:5" x14ac:dyDescent="0.2">
      <c r="B725" s="119" t="str">
        <f>'[1]COMEDORES EMERGENTES'!$B$15</f>
        <v>NUESTRO FUTURO - LAS VIAS</v>
      </c>
      <c r="C725" s="120"/>
      <c r="D725" s="63" t="s">
        <v>179</v>
      </c>
      <c r="E725" s="64" t="str">
        <f>'[1]COMEDORES EMERGENTES'!$G$15</f>
        <v>Bº LAS VIAS OESTE LOTE 42</v>
      </c>
    </row>
    <row r="726" spans="2:5" x14ac:dyDescent="0.2">
      <c r="B726" s="119" t="str">
        <f>'[1]COMEDORES EMERGENTES'!$B$16</f>
        <v>SAN JOSE OBRERO</v>
      </c>
      <c r="C726" s="120"/>
      <c r="D726" s="63" t="s">
        <v>178</v>
      </c>
      <c r="E726" s="64" t="str">
        <f>'[1]COMEDORES EMERGENTES'!$G$16</f>
        <v>Bº SAN JOSE OBRERO. PJE. SANDOVAL S/Nº</v>
      </c>
    </row>
    <row r="727" spans="2:5" x14ac:dyDescent="0.2">
      <c r="B727" s="119" t="str">
        <f>'[1]COMEDORES EMERGENTES'!$B$17</f>
        <v>VIRGEN DE LUJAN</v>
      </c>
      <c r="C727" s="120"/>
      <c r="D727" s="63" t="s">
        <v>179</v>
      </c>
      <c r="E727" s="64" t="str">
        <f>'[1]COMEDORES EMERGENTES'!$G$17</f>
        <v>Bº OJO DE AGUA C/DR.TEODULFO BARRIONUEVO S/Nº</v>
      </c>
    </row>
    <row r="728" spans="2:5" x14ac:dyDescent="0.2">
      <c r="B728" s="119" t="str">
        <f>'[1]COMEDORES EMERGENTES'!$B$18</f>
        <v>RENACER</v>
      </c>
      <c r="C728" s="120"/>
      <c r="D728" s="63" t="s">
        <v>182</v>
      </c>
      <c r="E728" s="64" t="str">
        <f>'[1]COMEDORES EMERGENTES'!$G$18</f>
        <v>Bº VIRGEN MORENITA</v>
      </c>
    </row>
    <row r="729" spans="2:5" x14ac:dyDescent="0.2">
      <c r="B729" s="119" t="str">
        <f>'[1]COMEDORES EMERGENTES'!$B$19</f>
        <v>CENTRO VECINAL MI JARDIN</v>
      </c>
      <c r="C729" s="120"/>
      <c r="D729" s="63" t="s">
        <v>183</v>
      </c>
      <c r="E729" s="64" t="str">
        <f>'[1]COMEDORES EMERGENTES'!$G$19</f>
        <v>C/ LOS TULIPANES ENTRE FLOR DE CEREZO Y HOLANDA MZA.27 Bº MI JARDIN</v>
      </c>
    </row>
    <row r="730" spans="2:5" x14ac:dyDescent="0.2">
      <c r="B730" s="119" t="str">
        <f>'[1]COMEDORES EMERGENTES'!$B$20</f>
        <v>LA VIEJA ESQUINA</v>
      </c>
      <c r="C730" s="120"/>
      <c r="D730" s="63" t="s">
        <v>184</v>
      </c>
      <c r="E730" s="64" t="str">
        <f>'[1]COMEDORES EMERGENTES'!$G$20</f>
        <v>B° CRISTO REY PJE CAPATAZ VILLAFAÑEZ Y ARMANDO CORREA</v>
      </c>
    </row>
    <row r="731" spans="2:5" x14ac:dyDescent="0.2">
      <c r="B731" s="119" t="str">
        <f>'[1]COMEDORES EMERGENTES'!$B$21</f>
        <v>GAUCHITO GIL</v>
      </c>
      <c r="C731" s="120"/>
      <c r="D731" s="63" t="s">
        <v>185</v>
      </c>
      <c r="E731" s="64" t="str">
        <f>'[1]COMEDORES EMERGENTES'!$G$21</f>
        <v>B° 26 VIVIENDAS CASA N° 3</v>
      </c>
    </row>
    <row r="732" spans="2:5" ht="13.5" thickBot="1" x14ac:dyDescent="0.25">
      <c r="B732" s="121" t="str">
        <f>'[1]COMEDORES EMERGENTES'!$B$22</f>
        <v>LOS TOLDOS</v>
      </c>
      <c r="C732" s="122"/>
      <c r="D732" s="67" t="s">
        <v>135</v>
      </c>
      <c r="E732" s="68" t="str">
        <f>'[1]COMEDORES EMERGENTES'!$G$22</f>
        <v>LOTEO PARQUE SUR CALLE S/NOMBRE S/N°</v>
      </c>
    </row>
    <row r="733" spans="2:5" x14ac:dyDescent="0.2">
      <c r="B733" s="9" t="s">
        <v>18</v>
      </c>
      <c r="E733" s="8"/>
    </row>
    <row r="734" spans="2:5" x14ac:dyDescent="0.2">
      <c r="B734" s="10"/>
      <c r="C734" s="123" t="s">
        <v>24</v>
      </c>
      <c r="D734" s="123"/>
      <c r="E734" s="123"/>
    </row>
    <row r="735" spans="2:5" x14ac:dyDescent="0.2">
      <c r="B735" s="9" t="s">
        <v>19</v>
      </c>
      <c r="C735" s="11"/>
      <c r="D735" s="11"/>
      <c r="E735" s="12"/>
    </row>
    <row r="736" spans="2:5" x14ac:dyDescent="0.2">
      <c r="B736" s="10"/>
      <c r="C736" s="123" t="s">
        <v>86</v>
      </c>
      <c r="D736" s="123"/>
      <c r="E736" s="123"/>
    </row>
    <row r="737" spans="2:5" x14ac:dyDescent="0.2">
      <c r="B737" s="9" t="s">
        <v>20</v>
      </c>
      <c r="E737" s="8"/>
    </row>
    <row r="738" spans="2:5" x14ac:dyDescent="0.2">
      <c r="B738" s="9"/>
      <c r="C738" s="124" t="s">
        <v>25</v>
      </c>
      <c r="D738" s="124"/>
      <c r="E738" s="124"/>
    </row>
    <row r="739" spans="2:5" ht="13.5" thickBot="1" x14ac:dyDescent="0.25">
      <c r="B739" s="13"/>
      <c r="C739" s="14"/>
      <c r="D739" s="29"/>
      <c r="E739" s="15"/>
    </row>
    <row r="740" spans="2:5" ht="13.5" thickBot="1" x14ac:dyDescent="0.25"/>
    <row r="741" spans="2:5" x14ac:dyDescent="0.2">
      <c r="B741" s="4" t="s">
        <v>104</v>
      </c>
      <c r="C741" s="5"/>
      <c r="D741" s="27"/>
      <c r="E741" s="6"/>
    </row>
    <row r="742" spans="2:5" x14ac:dyDescent="0.2">
      <c r="B742" s="7"/>
      <c r="E742" s="8"/>
    </row>
    <row r="743" spans="2:5" x14ac:dyDescent="0.2">
      <c r="B743" s="9" t="s">
        <v>16</v>
      </c>
      <c r="E743" s="8"/>
    </row>
    <row r="744" spans="2:5" ht="25.5" customHeight="1" x14ac:dyDescent="0.2">
      <c r="B744" s="9"/>
      <c r="C744" s="123"/>
      <c r="D744" s="123"/>
      <c r="E744" s="123"/>
    </row>
    <row r="745" spans="2:5" ht="13.5" thickBot="1" x14ac:dyDescent="0.25">
      <c r="B745" s="9" t="s">
        <v>17</v>
      </c>
      <c r="E745" s="8"/>
    </row>
    <row r="746" spans="2:5" ht="13.5" thickBot="1" x14ac:dyDescent="0.25">
      <c r="B746" s="127" t="s">
        <v>186</v>
      </c>
      <c r="C746" s="132"/>
      <c r="D746" s="132"/>
      <c r="E746" s="128"/>
    </row>
    <row r="747" spans="2:5" ht="13.5" thickBot="1" x14ac:dyDescent="0.25">
      <c r="B747" s="127" t="s">
        <v>84</v>
      </c>
      <c r="C747" s="128"/>
      <c r="D747" s="25" t="s">
        <v>11</v>
      </c>
      <c r="E747" s="25" t="s">
        <v>85</v>
      </c>
    </row>
    <row r="748" spans="2:5" x14ac:dyDescent="0.2">
      <c r="B748" s="129" t="str">
        <f>'[1]COMEDORES EMERGENTES'!$B$3</f>
        <v>UNA SONRISA AV. LOS COBACHO</v>
      </c>
      <c r="C748" s="130"/>
      <c r="D748" s="65" t="s">
        <v>187</v>
      </c>
      <c r="E748" s="66" t="str">
        <f>'[1]COMEDORES EMERGENTES'!$G$3</f>
        <v>Bº SAN CARLOS OESTE AV. Bonifacio cobacho 670</v>
      </c>
    </row>
    <row r="749" spans="2:5" x14ac:dyDescent="0.2">
      <c r="B749" s="119" t="str">
        <f>'[1]COMEDORES EMERGENTES'!$B$4</f>
        <v>C.I.F Nº1 - RIVERA DEL VALLE Y FLORIDA</v>
      </c>
      <c r="C749" s="120"/>
      <c r="D749" s="63" t="s">
        <v>187</v>
      </c>
      <c r="E749" s="64" t="str">
        <f>'[1]COMEDORES EMERGENTES'!$G$4</f>
        <v>AV. RIVIERA DEL VALLE ENTRE FLORIDA Y SANTA FE</v>
      </c>
    </row>
    <row r="750" spans="2:5" x14ac:dyDescent="0.2">
      <c r="B750" s="119" t="str">
        <f>'[1]COMEDORES EMERGENTES'!$B$5</f>
        <v>C.I.F - RIVERA DEL VALLE - DILORENZO</v>
      </c>
      <c r="C750" s="120"/>
      <c r="D750" s="63" t="s">
        <v>187</v>
      </c>
      <c r="E750" s="64" t="str">
        <f>'[1]COMEDORES EMERGENTES'!$G$5</f>
        <v>Bº RIVERA DEL VALLE ENTRE VILLA EUMELIA Y MONTE CRISTO</v>
      </c>
    </row>
    <row r="751" spans="2:5" x14ac:dyDescent="0.2">
      <c r="B751" s="119" t="str">
        <f>'[1]COMEDORES EMERGENTES'!$B$6</f>
        <v>ESFUERZO PROPIO- Bº ALTOS DE CHOYA</v>
      </c>
      <c r="C751" s="120"/>
      <c r="D751" s="63" t="s">
        <v>187</v>
      </c>
      <c r="E751" s="64" t="str">
        <f>'[1]COMEDORES EMERGENTES'!$G$6</f>
        <v>Bº MUNICIPAL 35VV. NORTE C/14</v>
      </c>
    </row>
    <row r="752" spans="2:5" x14ac:dyDescent="0.2">
      <c r="B752" s="119" t="str">
        <f>'[1]COMEDORES EMERGENTES'!$B$7</f>
        <v>ANGELITOS - LOTEO SUSSEX</v>
      </c>
      <c r="C752" s="120"/>
      <c r="D752" s="63" t="s">
        <v>187</v>
      </c>
      <c r="E752" s="64" t="str">
        <f>'[1]COMEDORES EMERGENTES'!$G$7</f>
        <v>Bº LOTEO SUSEX MZA.Nº 4 LOTE Nº3</v>
      </c>
    </row>
    <row r="753" spans="2:5" x14ac:dyDescent="0.2">
      <c r="B753" s="119" t="str">
        <f>'[1]COMEDORES EMERGENTES'!$B$8</f>
        <v>CLUB DEPORTIVO CHACARITA</v>
      </c>
      <c r="C753" s="120"/>
      <c r="D753" s="63" t="s">
        <v>187</v>
      </c>
      <c r="E753" s="64" t="str">
        <f>'[1]COMEDORES EMERGENTES'!$G$8</f>
        <v>CALLE DR.DERMIDIO GALINDEZ C/2660</v>
      </c>
    </row>
    <row r="754" spans="2:5" x14ac:dyDescent="0.2">
      <c r="B754" s="119" t="str">
        <f>'[1]COMEDORES EMERGENTES'!$B$9</f>
        <v>LA MORO</v>
      </c>
      <c r="C754" s="120"/>
      <c r="D754" s="63" t="s">
        <v>187</v>
      </c>
      <c r="E754" s="64" t="str">
        <f>'[1]COMEDORES EMERGENTES'!$G$9</f>
        <v>MAIPU NORTE 1º ETAPA MZA "H" Bº MI JARDIN</v>
      </c>
    </row>
    <row r="755" spans="2:5" x14ac:dyDescent="0.2">
      <c r="B755" s="119" t="str">
        <f>'[1]COMEDORES EMERGENTES'!$B$10</f>
        <v>PAPA FRANCISCO</v>
      </c>
      <c r="C755" s="120"/>
      <c r="D755" s="63" t="s">
        <v>187</v>
      </c>
      <c r="E755" s="64" t="str">
        <f>'[1]COMEDORES EMERGENTES'!$G$10</f>
        <v>ENTRE AV.TEREBINTO Y AV.SAN JUAN LOTE "2" MZA. "B"</v>
      </c>
    </row>
    <row r="756" spans="2:5" x14ac:dyDescent="0.2">
      <c r="B756" s="119" t="str">
        <f>'[1]COMEDORES EMERGENTES'!$B$11</f>
        <v>E.P.C - 100 V.V NORTE</v>
      </c>
      <c r="C756" s="120"/>
      <c r="D756" s="63" t="s">
        <v>187</v>
      </c>
      <c r="E756" s="64" t="str">
        <f>'[1]COMEDORES EMERGENTES'!$G$11</f>
        <v>Bº VV NORTE C/48 ENTRE ESPAÑA Y FRANCIA</v>
      </c>
    </row>
    <row r="757" spans="2:5" x14ac:dyDescent="0.2">
      <c r="B757" s="119" t="str">
        <f>'[1]COMEDORES EMERGENTES'!$B$12</f>
        <v>HOGAR DE CRISTO - PADRE RAUL CONTRERAS</v>
      </c>
      <c r="C757" s="120"/>
      <c r="D757" s="63" t="s">
        <v>187</v>
      </c>
      <c r="E757" s="64" t="str">
        <f>'[1]COMEDORES EMERGENTES'!$G$12</f>
        <v>Bº SANTA MARTA MZA. "S" LOTE "M" C/39</v>
      </c>
    </row>
    <row r="758" spans="2:5" x14ac:dyDescent="0.2">
      <c r="B758" s="119" t="str">
        <f>'[1]COMEDORES EMERGENTES'!$B$13</f>
        <v>LA LUCIERNAGA</v>
      </c>
      <c r="C758" s="120"/>
      <c r="D758" s="63" t="s">
        <v>187</v>
      </c>
      <c r="E758" s="64" t="str">
        <f>'[1]COMEDORES EMERGENTES'!$G$13</f>
        <v>Bº 20 V.V NORTE C/3</v>
      </c>
    </row>
    <row r="759" spans="2:5" x14ac:dyDescent="0.2">
      <c r="B759" s="119" t="str">
        <f>'[1]COMEDORES EMERGENTES'!$B$14</f>
        <v>VALLE VIEJO - SUMALAO</v>
      </c>
      <c r="C759" s="120"/>
      <c r="D759" s="63" t="s">
        <v>187</v>
      </c>
      <c r="E759" s="64" t="str">
        <f>'[1]COMEDORES EMERGENTES'!$G$14</f>
        <v>PADRE SEGURA S/N</v>
      </c>
    </row>
    <row r="760" spans="2:5" x14ac:dyDescent="0.2">
      <c r="B760" s="119" t="str">
        <f>'[1]COMEDORES EMERGENTES'!$B$15</f>
        <v>NUESTRO FUTURO - LAS VIAS</v>
      </c>
      <c r="C760" s="120"/>
      <c r="D760" s="63" t="s">
        <v>187</v>
      </c>
      <c r="E760" s="64" t="str">
        <f>'[1]COMEDORES EMERGENTES'!$G$15</f>
        <v>Bº LAS VIAS OESTE LOTE 42</v>
      </c>
    </row>
    <row r="761" spans="2:5" x14ac:dyDescent="0.2">
      <c r="B761" s="119" t="str">
        <f>'[1]COMEDORES EMERGENTES'!$B$16</f>
        <v>SAN JOSE OBRERO</v>
      </c>
      <c r="C761" s="120"/>
      <c r="D761" s="63" t="s">
        <v>187</v>
      </c>
      <c r="E761" s="64" t="str">
        <f>'[1]COMEDORES EMERGENTES'!$G$16</f>
        <v>Bº SAN JOSE OBRERO. PJE. SANDOVAL S/Nº</v>
      </c>
    </row>
    <row r="762" spans="2:5" x14ac:dyDescent="0.2">
      <c r="B762" s="119" t="str">
        <f>'[1]COMEDORES EMERGENTES'!$B$17</f>
        <v>VIRGEN DE LUJAN</v>
      </c>
      <c r="C762" s="120"/>
      <c r="D762" s="63" t="s">
        <v>187</v>
      </c>
      <c r="E762" s="64" t="str">
        <f>'[1]COMEDORES EMERGENTES'!$G$17</f>
        <v>Bº OJO DE AGUA C/DR.TEODULFO BARRIONUEVO S/Nº</v>
      </c>
    </row>
    <row r="763" spans="2:5" x14ac:dyDescent="0.2">
      <c r="B763" s="119" t="str">
        <f>'[1]COMEDORES EMERGENTES'!$B$18</f>
        <v>RENACER</v>
      </c>
      <c r="C763" s="120"/>
      <c r="D763" s="63" t="s">
        <v>187</v>
      </c>
      <c r="E763" s="64" t="str">
        <f>'[1]COMEDORES EMERGENTES'!$G$18</f>
        <v>Bº VIRGEN MORENITA</v>
      </c>
    </row>
    <row r="764" spans="2:5" x14ac:dyDescent="0.2">
      <c r="B764" s="119" t="str">
        <f>'[1]COMEDORES EMERGENTES'!$B$19</f>
        <v>CENTRO VECINAL MI JARDIN</v>
      </c>
      <c r="C764" s="120"/>
      <c r="D764" s="63" t="s">
        <v>187</v>
      </c>
      <c r="E764" s="64" t="str">
        <f>'[1]COMEDORES EMERGENTES'!$G$19</f>
        <v>C/ LOS TULIPANES ENTRE FLOR DE CEREZO Y HOLANDA MZA.27 Bº MI JARDIN</v>
      </c>
    </row>
    <row r="765" spans="2:5" x14ac:dyDescent="0.2">
      <c r="B765" s="119" t="str">
        <f>'[1]COMEDORES EMERGENTES'!$B$20</f>
        <v>LA VIEJA ESQUINA</v>
      </c>
      <c r="C765" s="120"/>
      <c r="D765" s="63" t="s">
        <v>187</v>
      </c>
      <c r="E765" s="64" t="str">
        <f>'[1]COMEDORES EMERGENTES'!$G$20</f>
        <v>B° CRISTO REY PJE CAPATAZ VILLAFAÑEZ Y ARMANDO CORREA</v>
      </c>
    </row>
    <row r="766" spans="2:5" x14ac:dyDescent="0.2">
      <c r="B766" s="119" t="str">
        <f>'[1]COMEDORES EMERGENTES'!$B$21</f>
        <v>GAUCHITO GIL</v>
      </c>
      <c r="C766" s="120"/>
      <c r="D766" s="63" t="s">
        <v>187</v>
      </c>
      <c r="E766" s="64" t="str">
        <f>'[1]COMEDORES EMERGENTES'!$G$21</f>
        <v>B° 26 VIVIENDAS CASA N° 3</v>
      </c>
    </row>
    <row r="767" spans="2:5" ht="13.5" thickBot="1" x14ac:dyDescent="0.25">
      <c r="B767" s="121" t="str">
        <f>'[1]COMEDORES EMERGENTES'!$B$22</f>
        <v>LOS TOLDOS</v>
      </c>
      <c r="C767" s="122"/>
      <c r="D767" s="67" t="s">
        <v>187</v>
      </c>
      <c r="E767" s="68" t="str">
        <f>'[1]COMEDORES EMERGENTES'!$G$22</f>
        <v>LOTEO PARQUE SUR CALLE S/NOMBRE S/N°</v>
      </c>
    </row>
    <row r="768" spans="2:5" x14ac:dyDescent="0.2">
      <c r="B768" s="9" t="s">
        <v>18</v>
      </c>
      <c r="E768" s="8"/>
    </row>
    <row r="769" spans="2:5" x14ac:dyDescent="0.2">
      <c r="B769" s="10"/>
      <c r="C769" s="123" t="s">
        <v>24</v>
      </c>
      <c r="D769" s="123"/>
      <c r="E769" s="123"/>
    </row>
    <row r="770" spans="2:5" x14ac:dyDescent="0.2">
      <c r="B770" s="9" t="s">
        <v>19</v>
      </c>
      <c r="C770" s="11"/>
      <c r="D770" s="11"/>
      <c r="E770" s="12"/>
    </row>
    <row r="771" spans="2:5" x14ac:dyDescent="0.2">
      <c r="B771" s="10"/>
      <c r="C771" s="123" t="s">
        <v>86</v>
      </c>
      <c r="D771" s="123"/>
      <c r="E771" s="123"/>
    </row>
    <row r="772" spans="2:5" x14ac:dyDescent="0.2">
      <c r="B772" s="9" t="s">
        <v>20</v>
      </c>
      <c r="E772" s="8"/>
    </row>
    <row r="773" spans="2:5" x14ac:dyDescent="0.2">
      <c r="B773" s="9"/>
      <c r="C773" s="124" t="s">
        <v>25</v>
      </c>
      <c r="D773" s="124"/>
      <c r="E773" s="124"/>
    </row>
    <row r="774" spans="2:5" ht="13.5" thickBot="1" x14ac:dyDescent="0.25">
      <c r="B774" s="13"/>
      <c r="C774" s="14"/>
      <c r="D774" s="29"/>
      <c r="E774" s="15"/>
    </row>
    <row r="775" spans="2:5" ht="13.5" thickBot="1" x14ac:dyDescent="0.25"/>
    <row r="776" spans="2:5" x14ac:dyDescent="0.2">
      <c r="B776" s="4" t="s">
        <v>105</v>
      </c>
      <c r="C776" s="5"/>
      <c r="D776" s="27"/>
      <c r="E776" s="6"/>
    </row>
    <row r="777" spans="2:5" x14ac:dyDescent="0.2">
      <c r="B777" s="7"/>
      <c r="E777" s="8"/>
    </row>
    <row r="778" spans="2:5" x14ac:dyDescent="0.2">
      <c r="B778" s="9" t="s">
        <v>16</v>
      </c>
      <c r="E778" s="8"/>
    </row>
    <row r="779" spans="2:5" ht="25.5" customHeight="1" x14ac:dyDescent="0.2">
      <c r="B779" s="9"/>
      <c r="C779" s="123"/>
      <c r="D779" s="123"/>
      <c r="E779" s="123"/>
    </row>
    <row r="780" spans="2:5" ht="13.5" thickBot="1" x14ac:dyDescent="0.25">
      <c r="B780" s="9" t="s">
        <v>17</v>
      </c>
      <c r="E780" s="8"/>
    </row>
    <row r="781" spans="2:5" ht="13.5" thickBot="1" x14ac:dyDescent="0.25">
      <c r="B781" s="127" t="s">
        <v>186</v>
      </c>
      <c r="C781" s="132"/>
      <c r="D781" s="132"/>
      <c r="E781" s="128"/>
    </row>
    <row r="782" spans="2:5" ht="13.5" thickBot="1" x14ac:dyDescent="0.25">
      <c r="B782" s="127" t="s">
        <v>84</v>
      </c>
      <c r="C782" s="128"/>
      <c r="D782" s="25" t="s">
        <v>11</v>
      </c>
      <c r="E782" s="25" t="s">
        <v>85</v>
      </c>
    </row>
    <row r="783" spans="2:5" x14ac:dyDescent="0.2">
      <c r="B783" s="129" t="str">
        <f>'[1]COMEDORES EMERGENTES'!$B$3</f>
        <v>UNA SONRISA AV. LOS COBACHO</v>
      </c>
      <c r="C783" s="130"/>
      <c r="D783" s="65" t="s">
        <v>187</v>
      </c>
      <c r="E783" s="66" t="str">
        <f>'[1]COMEDORES EMERGENTES'!$G$3</f>
        <v>Bº SAN CARLOS OESTE AV. Bonifacio cobacho 670</v>
      </c>
    </row>
    <row r="784" spans="2:5" x14ac:dyDescent="0.2">
      <c r="B784" s="119" t="str">
        <f>'[1]COMEDORES EMERGENTES'!$B$4</f>
        <v>C.I.F Nº1 - RIVERA DEL VALLE Y FLORIDA</v>
      </c>
      <c r="C784" s="120"/>
      <c r="D784" s="63" t="s">
        <v>187</v>
      </c>
      <c r="E784" s="64" t="str">
        <f>'[1]COMEDORES EMERGENTES'!$G$4</f>
        <v>AV. RIVIERA DEL VALLE ENTRE FLORIDA Y SANTA FE</v>
      </c>
    </row>
    <row r="785" spans="2:5" x14ac:dyDescent="0.2">
      <c r="B785" s="119" t="str">
        <f>'[1]COMEDORES EMERGENTES'!$B$5</f>
        <v>C.I.F - RIVERA DEL VALLE - DILORENZO</v>
      </c>
      <c r="C785" s="120"/>
      <c r="D785" s="63" t="s">
        <v>187</v>
      </c>
      <c r="E785" s="64" t="str">
        <f>'[1]COMEDORES EMERGENTES'!$G$5</f>
        <v>Bº RIVERA DEL VALLE ENTRE VILLA EUMELIA Y MONTE CRISTO</v>
      </c>
    </row>
    <row r="786" spans="2:5" x14ac:dyDescent="0.2">
      <c r="B786" s="119" t="str">
        <f>'[1]COMEDORES EMERGENTES'!$B$6</f>
        <v>ESFUERZO PROPIO- Bº ALTOS DE CHOYA</v>
      </c>
      <c r="C786" s="120"/>
      <c r="D786" s="63" t="s">
        <v>187</v>
      </c>
      <c r="E786" s="64" t="str">
        <f>'[1]COMEDORES EMERGENTES'!$G$6</f>
        <v>Bº MUNICIPAL 35VV. NORTE C/14</v>
      </c>
    </row>
    <row r="787" spans="2:5" x14ac:dyDescent="0.2">
      <c r="B787" s="119" t="str">
        <f>'[1]COMEDORES EMERGENTES'!$B$7</f>
        <v>ANGELITOS - LOTEO SUSSEX</v>
      </c>
      <c r="C787" s="120"/>
      <c r="D787" s="63" t="s">
        <v>187</v>
      </c>
      <c r="E787" s="64" t="str">
        <f>'[1]COMEDORES EMERGENTES'!$G$7</f>
        <v>Bº LOTEO SUSEX MZA.Nº 4 LOTE Nº3</v>
      </c>
    </row>
    <row r="788" spans="2:5" x14ac:dyDescent="0.2">
      <c r="B788" s="119" t="str">
        <f>'[1]COMEDORES EMERGENTES'!$B$8</f>
        <v>CLUB DEPORTIVO CHACARITA</v>
      </c>
      <c r="C788" s="120"/>
      <c r="D788" s="63" t="s">
        <v>187</v>
      </c>
      <c r="E788" s="64" t="str">
        <f>'[1]COMEDORES EMERGENTES'!$G$8</f>
        <v>CALLE DR.DERMIDIO GALINDEZ C/2660</v>
      </c>
    </row>
    <row r="789" spans="2:5" x14ac:dyDescent="0.2">
      <c r="B789" s="119" t="str">
        <f>'[1]COMEDORES EMERGENTES'!$B$9</f>
        <v>LA MORO</v>
      </c>
      <c r="C789" s="120"/>
      <c r="D789" s="63" t="s">
        <v>187</v>
      </c>
      <c r="E789" s="64" t="str">
        <f>'[1]COMEDORES EMERGENTES'!$G$9</f>
        <v>MAIPU NORTE 1º ETAPA MZA "H" Bº MI JARDIN</v>
      </c>
    </row>
    <row r="790" spans="2:5" x14ac:dyDescent="0.2">
      <c r="B790" s="119" t="str">
        <f>'[1]COMEDORES EMERGENTES'!$B$10</f>
        <v>PAPA FRANCISCO</v>
      </c>
      <c r="C790" s="120"/>
      <c r="D790" s="63" t="s">
        <v>187</v>
      </c>
      <c r="E790" s="64" t="str">
        <f>'[1]COMEDORES EMERGENTES'!$G$10</f>
        <v>ENTRE AV.TEREBINTO Y AV.SAN JUAN LOTE "2" MZA. "B"</v>
      </c>
    </row>
    <row r="791" spans="2:5" x14ac:dyDescent="0.2">
      <c r="B791" s="119" t="str">
        <f>'[1]COMEDORES EMERGENTES'!$B$11</f>
        <v>E.P.C - 100 V.V NORTE</v>
      </c>
      <c r="C791" s="120"/>
      <c r="D791" s="63" t="s">
        <v>187</v>
      </c>
      <c r="E791" s="64" t="str">
        <f>'[1]COMEDORES EMERGENTES'!$G$11</f>
        <v>Bº VV NORTE C/48 ENTRE ESPAÑA Y FRANCIA</v>
      </c>
    </row>
    <row r="792" spans="2:5" x14ac:dyDescent="0.2">
      <c r="B792" s="119" t="str">
        <f>'[1]COMEDORES EMERGENTES'!$B$12</f>
        <v>HOGAR DE CRISTO - PADRE RAUL CONTRERAS</v>
      </c>
      <c r="C792" s="120"/>
      <c r="D792" s="63" t="s">
        <v>187</v>
      </c>
      <c r="E792" s="64" t="str">
        <f>'[1]COMEDORES EMERGENTES'!$G$12</f>
        <v>Bº SANTA MARTA MZA. "S" LOTE "M" C/39</v>
      </c>
    </row>
    <row r="793" spans="2:5" x14ac:dyDescent="0.2">
      <c r="B793" s="119" t="str">
        <f>'[1]COMEDORES EMERGENTES'!$B$13</f>
        <v>LA LUCIERNAGA</v>
      </c>
      <c r="C793" s="120"/>
      <c r="D793" s="63" t="s">
        <v>187</v>
      </c>
      <c r="E793" s="64" t="str">
        <f>'[1]COMEDORES EMERGENTES'!$G$13</f>
        <v>Bº 20 V.V NORTE C/3</v>
      </c>
    </row>
    <row r="794" spans="2:5" x14ac:dyDescent="0.2">
      <c r="B794" s="119" t="str">
        <f>'[1]COMEDORES EMERGENTES'!$B$14</f>
        <v>VALLE VIEJO - SUMALAO</v>
      </c>
      <c r="C794" s="120"/>
      <c r="D794" s="63" t="s">
        <v>187</v>
      </c>
      <c r="E794" s="64" t="str">
        <f>'[1]COMEDORES EMERGENTES'!$G$14</f>
        <v>PADRE SEGURA S/N</v>
      </c>
    </row>
    <row r="795" spans="2:5" x14ac:dyDescent="0.2">
      <c r="B795" s="119" t="str">
        <f>'[1]COMEDORES EMERGENTES'!$B$15</f>
        <v>NUESTRO FUTURO - LAS VIAS</v>
      </c>
      <c r="C795" s="120"/>
      <c r="D795" s="63" t="s">
        <v>187</v>
      </c>
      <c r="E795" s="64" t="str">
        <f>'[1]COMEDORES EMERGENTES'!$G$15</f>
        <v>Bº LAS VIAS OESTE LOTE 42</v>
      </c>
    </row>
    <row r="796" spans="2:5" x14ac:dyDescent="0.2">
      <c r="B796" s="119" t="str">
        <f>'[1]COMEDORES EMERGENTES'!$B$16</f>
        <v>SAN JOSE OBRERO</v>
      </c>
      <c r="C796" s="120"/>
      <c r="D796" s="63" t="s">
        <v>187</v>
      </c>
      <c r="E796" s="64" t="str">
        <f>'[1]COMEDORES EMERGENTES'!$G$16</f>
        <v>Bº SAN JOSE OBRERO. PJE. SANDOVAL S/Nº</v>
      </c>
    </row>
    <row r="797" spans="2:5" x14ac:dyDescent="0.2">
      <c r="B797" s="119" t="str">
        <f>'[1]COMEDORES EMERGENTES'!$B$17</f>
        <v>VIRGEN DE LUJAN</v>
      </c>
      <c r="C797" s="120"/>
      <c r="D797" s="63" t="s">
        <v>187</v>
      </c>
      <c r="E797" s="64" t="str">
        <f>'[1]COMEDORES EMERGENTES'!$G$17</f>
        <v>Bº OJO DE AGUA C/DR.TEODULFO BARRIONUEVO S/Nº</v>
      </c>
    </row>
    <row r="798" spans="2:5" x14ac:dyDescent="0.2">
      <c r="B798" s="119" t="str">
        <f>'[1]COMEDORES EMERGENTES'!$B$18</f>
        <v>RENACER</v>
      </c>
      <c r="C798" s="120"/>
      <c r="D798" s="63" t="s">
        <v>187</v>
      </c>
      <c r="E798" s="64" t="str">
        <f>'[1]COMEDORES EMERGENTES'!$G$18</f>
        <v>Bº VIRGEN MORENITA</v>
      </c>
    </row>
    <row r="799" spans="2:5" x14ac:dyDescent="0.2">
      <c r="B799" s="119" t="str">
        <f>'[1]COMEDORES EMERGENTES'!$B$19</f>
        <v>CENTRO VECINAL MI JARDIN</v>
      </c>
      <c r="C799" s="120"/>
      <c r="D799" s="63" t="s">
        <v>187</v>
      </c>
      <c r="E799" s="64" t="str">
        <f>'[1]COMEDORES EMERGENTES'!$G$19</f>
        <v>C/ LOS TULIPANES ENTRE FLOR DE CEREZO Y HOLANDA MZA.27 Bº MI JARDIN</v>
      </c>
    </row>
    <row r="800" spans="2:5" x14ac:dyDescent="0.2">
      <c r="B800" s="119" t="str">
        <f>'[1]COMEDORES EMERGENTES'!$B$20</f>
        <v>LA VIEJA ESQUINA</v>
      </c>
      <c r="C800" s="120"/>
      <c r="D800" s="63" t="s">
        <v>187</v>
      </c>
      <c r="E800" s="64" t="str">
        <f>'[1]COMEDORES EMERGENTES'!$G$20</f>
        <v>B° CRISTO REY PJE CAPATAZ VILLAFAÑEZ Y ARMANDO CORREA</v>
      </c>
    </row>
    <row r="801" spans="2:5" x14ac:dyDescent="0.2">
      <c r="B801" s="119" t="str">
        <f>'[1]COMEDORES EMERGENTES'!$B$21</f>
        <v>GAUCHITO GIL</v>
      </c>
      <c r="C801" s="120"/>
      <c r="D801" s="63" t="s">
        <v>187</v>
      </c>
      <c r="E801" s="64" t="str">
        <f>'[1]COMEDORES EMERGENTES'!$G$21</f>
        <v>B° 26 VIVIENDAS CASA N° 3</v>
      </c>
    </row>
    <row r="802" spans="2:5" ht="13.5" thickBot="1" x14ac:dyDescent="0.25">
      <c r="B802" s="121" t="str">
        <f>'[1]COMEDORES EMERGENTES'!$B$22</f>
        <v>LOS TOLDOS</v>
      </c>
      <c r="C802" s="122"/>
      <c r="D802" s="67" t="s">
        <v>187</v>
      </c>
      <c r="E802" s="68" t="str">
        <f>'[1]COMEDORES EMERGENTES'!$G$22</f>
        <v>LOTEO PARQUE SUR CALLE S/NOMBRE S/N°</v>
      </c>
    </row>
    <row r="803" spans="2:5" x14ac:dyDescent="0.2">
      <c r="B803" s="9" t="s">
        <v>18</v>
      </c>
      <c r="E803" s="8"/>
    </row>
    <row r="804" spans="2:5" x14ac:dyDescent="0.2">
      <c r="B804" s="10"/>
      <c r="C804" s="123" t="s">
        <v>24</v>
      </c>
      <c r="D804" s="123"/>
      <c r="E804" s="123"/>
    </row>
    <row r="805" spans="2:5" x14ac:dyDescent="0.2">
      <c r="B805" s="9" t="s">
        <v>19</v>
      </c>
      <c r="C805" s="11"/>
      <c r="D805" s="11"/>
      <c r="E805" s="12"/>
    </row>
    <row r="806" spans="2:5" x14ac:dyDescent="0.2">
      <c r="B806" s="10"/>
      <c r="C806" s="123" t="s">
        <v>86</v>
      </c>
      <c r="D806" s="123"/>
      <c r="E806" s="123"/>
    </row>
    <row r="807" spans="2:5" x14ac:dyDescent="0.2">
      <c r="B807" s="9" t="s">
        <v>20</v>
      </c>
      <c r="E807" s="8"/>
    </row>
    <row r="808" spans="2:5" x14ac:dyDescent="0.2">
      <c r="B808" s="9"/>
      <c r="C808" s="124" t="s">
        <v>25</v>
      </c>
      <c r="D808" s="124"/>
      <c r="E808" s="124"/>
    </row>
    <row r="809" spans="2:5" ht="13.5" thickBot="1" x14ac:dyDescent="0.25">
      <c r="B809" s="13"/>
      <c r="C809" s="14"/>
      <c r="D809" s="29"/>
      <c r="E809" s="15"/>
    </row>
    <row r="810" spans="2:5" ht="13.5" thickBot="1" x14ac:dyDescent="0.25"/>
    <row r="811" spans="2:5" x14ac:dyDescent="0.2">
      <c r="B811" s="4" t="s">
        <v>106</v>
      </c>
      <c r="C811" s="5"/>
      <c r="D811" s="27"/>
      <c r="E811" s="6"/>
    </row>
    <row r="812" spans="2:5" x14ac:dyDescent="0.2">
      <c r="B812" s="7"/>
      <c r="E812" s="8"/>
    </row>
    <row r="813" spans="2:5" x14ac:dyDescent="0.2">
      <c r="B813" s="9" t="s">
        <v>16</v>
      </c>
      <c r="E813" s="8"/>
    </row>
    <row r="814" spans="2:5" ht="25.5" customHeight="1" x14ac:dyDescent="0.2">
      <c r="B814" s="9"/>
      <c r="C814" s="123"/>
      <c r="D814" s="123"/>
      <c r="E814" s="123"/>
    </row>
    <row r="815" spans="2:5" ht="13.5" thickBot="1" x14ac:dyDescent="0.25">
      <c r="B815" s="9" t="s">
        <v>17</v>
      </c>
      <c r="E815" s="8"/>
    </row>
    <row r="816" spans="2:5" ht="13.5" thickBot="1" x14ac:dyDescent="0.25">
      <c r="B816" s="127" t="s">
        <v>186</v>
      </c>
      <c r="C816" s="132"/>
      <c r="D816" s="132"/>
      <c r="E816" s="128"/>
    </row>
    <row r="817" spans="2:5" ht="13.5" thickBot="1" x14ac:dyDescent="0.25">
      <c r="B817" s="127" t="s">
        <v>84</v>
      </c>
      <c r="C817" s="128"/>
      <c r="D817" s="25" t="s">
        <v>11</v>
      </c>
      <c r="E817" s="25" t="s">
        <v>85</v>
      </c>
    </row>
    <row r="818" spans="2:5" x14ac:dyDescent="0.2">
      <c r="B818" s="129" t="str">
        <f>'[1]COMEDORES EMERGENTES'!$B$3</f>
        <v>UNA SONRISA AV. LOS COBACHO</v>
      </c>
      <c r="C818" s="130"/>
      <c r="D818" s="65" t="s">
        <v>187</v>
      </c>
      <c r="E818" s="66" t="str">
        <f>'[1]COMEDORES EMERGENTES'!$G$3</f>
        <v>Bº SAN CARLOS OESTE AV. Bonifacio cobacho 670</v>
      </c>
    </row>
    <row r="819" spans="2:5" x14ac:dyDescent="0.2">
      <c r="B819" s="119" t="str">
        <f>'[1]COMEDORES EMERGENTES'!$B$4</f>
        <v>C.I.F Nº1 - RIVERA DEL VALLE Y FLORIDA</v>
      </c>
      <c r="C819" s="120"/>
      <c r="D819" s="63" t="s">
        <v>187</v>
      </c>
      <c r="E819" s="64" t="str">
        <f>'[1]COMEDORES EMERGENTES'!$G$4</f>
        <v>AV. RIVIERA DEL VALLE ENTRE FLORIDA Y SANTA FE</v>
      </c>
    </row>
    <row r="820" spans="2:5" x14ac:dyDescent="0.2">
      <c r="B820" s="119" t="str">
        <f>'[1]COMEDORES EMERGENTES'!$B$5</f>
        <v>C.I.F - RIVERA DEL VALLE - DILORENZO</v>
      </c>
      <c r="C820" s="120"/>
      <c r="D820" s="63" t="s">
        <v>187</v>
      </c>
      <c r="E820" s="64" t="str">
        <f>'[1]COMEDORES EMERGENTES'!$G$5</f>
        <v>Bº RIVERA DEL VALLE ENTRE VILLA EUMELIA Y MONTE CRISTO</v>
      </c>
    </row>
    <row r="821" spans="2:5" x14ac:dyDescent="0.2">
      <c r="B821" s="119" t="str">
        <f>'[1]COMEDORES EMERGENTES'!$B$6</f>
        <v>ESFUERZO PROPIO- Bº ALTOS DE CHOYA</v>
      </c>
      <c r="C821" s="120"/>
      <c r="D821" s="63" t="s">
        <v>187</v>
      </c>
      <c r="E821" s="64" t="str">
        <f>'[1]COMEDORES EMERGENTES'!$G$6</f>
        <v>Bº MUNICIPAL 35VV. NORTE C/14</v>
      </c>
    </row>
    <row r="822" spans="2:5" x14ac:dyDescent="0.2">
      <c r="B822" s="119" t="str">
        <f>'[1]COMEDORES EMERGENTES'!$B$7</f>
        <v>ANGELITOS - LOTEO SUSSEX</v>
      </c>
      <c r="C822" s="120"/>
      <c r="D822" s="63" t="s">
        <v>187</v>
      </c>
      <c r="E822" s="64" t="str">
        <f>'[1]COMEDORES EMERGENTES'!$G$7</f>
        <v>Bº LOTEO SUSEX MZA.Nº 4 LOTE Nº3</v>
      </c>
    </row>
    <row r="823" spans="2:5" x14ac:dyDescent="0.2">
      <c r="B823" s="119" t="str">
        <f>'[1]COMEDORES EMERGENTES'!$B$8</f>
        <v>CLUB DEPORTIVO CHACARITA</v>
      </c>
      <c r="C823" s="120"/>
      <c r="D823" s="63" t="s">
        <v>187</v>
      </c>
      <c r="E823" s="64" t="str">
        <f>'[1]COMEDORES EMERGENTES'!$G$8</f>
        <v>CALLE DR.DERMIDIO GALINDEZ C/2660</v>
      </c>
    </row>
    <row r="824" spans="2:5" x14ac:dyDescent="0.2">
      <c r="B824" s="119" t="str">
        <f>'[1]COMEDORES EMERGENTES'!$B$9</f>
        <v>LA MORO</v>
      </c>
      <c r="C824" s="120"/>
      <c r="D824" s="63" t="s">
        <v>187</v>
      </c>
      <c r="E824" s="64" t="str">
        <f>'[1]COMEDORES EMERGENTES'!$G$9</f>
        <v>MAIPU NORTE 1º ETAPA MZA "H" Bº MI JARDIN</v>
      </c>
    </row>
    <row r="825" spans="2:5" x14ac:dyDescent="0.2">
      <c r="B825" s="119" t="str">
        <f>'[1]COMEDORES EMERGENTES'!$B$10</f>
        <v>PAPA FRANCISCO</v>
      </c>
      <c r="C825" s="120"/>
      <c r="D825" s="63" t="s">
        <v>187</v>
      </c>
      <c r="E825" s="64" t="str">
        <f>'[1]COMEDORES EMERGENTES'!$G$10</f>
        <v>ENTRE AV.TEREBINTO Y AV.SAN JUAN LOTE "2" MZA. "B"</v>
      </c>
    </row>
    <row r="826" spans="2:5" x14ac:dyDescent="0.2">
      <c r="B826" s="119" t="str">
        <f>'[1]COMEDORES EMERGENTES'!$B$11</f>
        <v>E.P.C - 100 V.V NORTE</v>
      </c>
      <c r="C826" s="120"/>
      <c r="D826" s="63" t="s">
        <v>187</v>
      </c>
      <c r="E826" s="64" t="str">
        <f>'[1]COMEDORES EMERGENTES'!$G$11</f>
        <v>Bº VV NORTE C/48 ENTRE ESPAÑA Y FRANCIA</v>
      </c>
    </row>
    <row r="827" spans="2:5" x14ac:dyDescent="0.2">
      <c r="B827" s="119" t="str">
        <f>'[1]COMEDORES EMERGENTES'!$B$12</f>
        <v>HOGAR DE CRISTO - PADRE RAUL CONTRERAS</v>
      </c>
      <c r="C827" s="120"/>
      <c r="D827" s="63" t="s">
        <v>187</v>
      </c>
      <c r="E827" s="64" t="str">
        <f>'[1]COMEDORES EMERGENTES'!$G$12</f>
        <v>Bº SANTA MARTA MZA. "S" LOTE "M" C/39</v>
      </c>
    </row>
    <row r="828" spans="2:5" x14ac:dyDescent="0.2">
      <c r="B828" s="119" t="str">
        <f>'[1]COMEDORES EMERGENTES'!$B$13</f>
        <v>LA LUCIERNAGA</v>
      </c>
      <c r="C828" s="120"/>
      <c r="D828" s="63" t="s">
        <v>187</v>
      </c>
      <c r="E828" s="64" t="str">
        <f>'[1]COMEDORES EMERGENTES'!$G$13</f>
        <v>Bº 20 V.V NORTE C/3</v>
      </c>
    </row>
    <row r="829" spans="2:5" x14ac:dyDescent="0.2">
      <c r="B829" s="119" t="str">
        <f>'[1]COMEDORES EMERGENTES'!$B$14</f>
        <v>VALLE VIEJO - SUMALAO</v>
      </c>
      <c r="C829" s="120"/>
      <c r="D829" s="63" t="s">
        <v>187</v>
      </c>
      <c r="E829" s="64" t="str">
        <f>'[1]COMEDORES EMERGENTES'!$G$14</f>
        <v>PADRE SEGURA S/N</v>
      </c>
    </row>
    <row r="830" spans="2:5" x14ac:dyDescent="0.2">
      <c r="B830" s="119" t="str">
        <f>'[1]COMEDORES EMERGENTES'!$B$15</f>
        <v>NUESTRO FUTURO - LAS VIAS</v>
      </c>
      <c r="C830" s="120"/>
      <c r="D830" s="63" t="s">
        <v>187</v>
      </c>
      <c r="E830" s="64" t="str">
        <f>'[1]COMEDORES EMERGENTES'!$G$15</f>
        <v>Bº LAS VIAS OESTE LOTE 42</v>
      </c>
    </row>
    <row r="831" spans="2:5" x14ac:dyDescent="0.2">
      <c r="B831" s="119" t="str">
        <f>'[1]COMEDORES EMERGENTES'!$B$16</f>
        <v>SAN JOSE OBRERO</v>
      </c>
      <c r="C831" s="120"/>
      <c r="D831" s="63" t="s">
        <v>187</v>
      </c>
      <c r="E831" s="64" t="str">
        <f>'[1]COMEDORES EMERGENTES'!$G$16</f>
        <v>Bº SAN JOSE OBRERO. PJE. SANDOVAL S/Nº</v>
      </c>
    </row>
    <row r="832" spans="2:5" x14ac:dyDescent="0.2">
      <c r="B832" s="119" t="str">
        <f>'[1]COMEDORES EMERGENTES'!$B$17</f>
        <v>VIRGEN DE LUJAN</v>
      </c>
      <c r="C832" s="120"/>
      <c r="D832" s="63" t="s">
        <v>187</v>
      </c>
      <c r="E832" s="64" t="str">
        <f>'[1]COMEDORES EMERGENTES'!$G$17</f>
        <v>Bº OJO DE AGUA C/DR.TEODULFO BARRIONUEVO S/Nº</v>
      </c>
    </row>
    <row r="833" spans="2:5" x14ac:dyDescent="0.2">
      <c r="B833" s="119" t="str">
        <f>'[1]COMEDORES EMERGENTES'!$B$18</f>
        <v>RENACER</v>
      </c>
      <c r="C833" s="120"/>
      <c r="D833" s="63" t="s">
        <v>187</v>
      </c>
      <c r="E833" s="64" t="str">
        <f>'[1]COMEDORES EMERGENTES'!$G$18</f>
        <v>Bº VIRGEN MORENITA</v>
      </c>
    </row>
    <row r="834" spans="2:5" x14ac:dyDescent="0.2">
      <c r="B834" s="119" t="str">
        <f>'[1]COMEDORES EMERGENTES'!$B$19</f>
        <v>CENTRO VECINAL MI JARDIN</v>
      </c>
      <c r="C834" s="120"/>
      <c r="D834" s="63" t="s">
        <v>187</v>
      </c>
      <c r="E834" s="64" t="str">
        <f>'[1]COMEDORES EMERGENTES'!$G$19</f>
        <v>C/ LOS TULIPANES ENTRE FLOR DE CEREZO Y HOLANDA MZA.27 Bº MI JARDIN</v>
      </c>
    </row>
    <row r="835" spans="2:5" x14ac:dyDescent="0.2">
      <c r="B835" s="119" t="str">
        <f>'[1]COMEDORES EMERGENTES'!$B$20</f>
        <v>LA VIEJA ESQUINA</v>
      </c>
      <c r="C835" s="120"/>
      <c r="D835" s="63" t="s">
        <v>187</v>
      </c>
      <c r="E835" s="64" t="str">
        <f>'[1]COMEDORES EMERGENTES'!$G$20</f>
        <v>B° CRISTO REY PJE CAPATAZ VILLAFAÑEZ Y ARMANDO CORREA</v>
      </c>
    </row>
    <row r="836" spans="2:5" x14ac:dyDescent="0.2">
      <c r="B836" s="119" t="str">
        <f>'[1]COMEDORES EMERGENTES'!$B$21</f>
        <v>GAUCHITO GIL</v>
      </c>
      <c r="C836" s="120"/>
      <c r="D836" s="63" t="s">
        <v>187</v>
      </c>
      <c r="E836" s="64" t="str">
        <f>'[1]COMEDORES EMERGENTES'!$G$21</f>
        <v>B° 26 VIVIENDAS CASA N° 3</v>
      </c>
    </row>
    <row r="837" spans="2:5" ht="13.5" thickBot="1" x14ac:dyDescent="0.25">
      <c r="B837" s="121" t="str">
        <f>'[1]COMEDORES EMERGENTES'!$B$22</f>
        <v>LOS TOLDOS</v>
      </c>
      <c r="C837" s="122"/>
      <c r="D837" s="67" t="s">
        <v>187</v>
      </c>
      <c r="E837" s="68" t="str">
        <f>'[1]COMEDORES EMERGENTES'!$G$22</f>
        <v>LOTEO PARQUE SUR CALLE S/NOMBRE S/N°</v>
      </c>
    </row>
    <row r="838" spans="2:5" x14ac:dyDescent="0.2">
      <c r="B838" s="9" t="s">
        <v>18</v>
      </c>
      <c r="E838" s="8"/>
    </row>
    <row r="839" spans="2:5" x14ac:dyDescent="0.2">
      <c r="B839" s="10"/>
      <c r="C839" s="123" t="s">
        <v>24</v>
      </c>
      <c r="D839" s="123"/>
      <c r="E839" s="123"/>
    </row>
    <row r="840" spans="2:5" x14ac:dyDescent="0.2">
      <c r="B840" s="9" t="s">
        <v>19</v>
      </c>
      <c r="C840" s="11"/>
      <c r="D840" s="11"/>
      <c r="E840" s="12"/>
    </row>
    <row r="841" spans="2:5" x14ac:dyDescent="0.2">
      <c r="B841" s="10"/>
      <c r="C841" s="123" t="s">
        <v>86</v>
      </c>
      <c r="D841" s="123"/>
      <c r="E841" s="123"/>
    </row>
    <row r="842" spans="2:5" x14ac:dyDescent="0.2">
      <c r="B842" s="9" t="s">
        <v>20</v>
      </c>
      <c r="E842" s="8"/>
    </row>
    <row r="843" spans="2:5" x14ac:dyDescent="0.2">
      <c r="B843" s="9"/>
      <c r="C843" s="124" t="s">
        <v>25</v>
      </c>
      <c r="D843" s="124"/>
      <c r="E843" s="124"/>
    </row>
    <row r="844" spans="2:5" ht="13.5" thickBot="1" x14ac:dyDescent="0.25">
      <c r="B844" s="13"/>
      <c r="C844" s="14"/>
      <c r="D844" s="29"/>
      <c r="E844" s="15"/>
    </row>
    <row r="845" spans="2:5" ht="13.5" thickBot="1" x14ac:dyDescent="0.25"/>
    <row r="846" spans="2:5" x14ac:dyDescent="0.2">
      <c r="B846" s="4" t="s">
        <v>107</v>
      </c>
      <c r="C846" s="5"/>
      <c r="D846" s="27"/>
      <c r="E846" s="6"/>
    </row>
    <row r="847" spans="2:5" x14ac:dyDescent="0.2">
      <c r="B847" s="7"/>
      <c r="E847" s="8"/>
    </row>
    <row r="848" spans="2:5" x14ac:dyDescent="0.2">
      <c r="B848" s="9" t="s">
        <v>16</v>
      </c>
      <c r="E848" s="8"/>
    </row>
    <row r="849" spans="2:5" ht="25.5" customHeight="1" x14ac:dyDescent="0.2">
      <c r="B849" s="9"/>
      <c r="C849" s="123"/>
      <c r="D849" s="123"/>
      <c r="E849" s="123"/>
    </row>
    <row r="850" spans="2:5" ht="13.5" thickBot="1" x14ac:dyDescent="0.25">
      <c r="B850" s="9" t="s">
        <v>17</v>
      </c>
      <c r="E850" s="8"/>
    </row>
    <row r="851" spans="2:5" ht="13.5" thickBot="1" x14ac:dyDescent="0.25">
      <c r="B851" s="127" t="s">
        <v>186</v>
      </c>
      <c r="C851" s="132"/>
      <c r="D851" s="132"/>
      <c r="E851" s="128"/>
    </row>
    <row r="852" spans="2:5" ht="13.5" thickBot="1" x14ac:dyDescent="0.25">
      <c r="B852" s="127" t="s">
        <v>84</v>
      </c>
      <c r="C852" s="128"/>
      <c r="D852" s="25" t="s">
        <v>11</v>
      </c>
      <c r="E852" s="25" t="s">
        <v>85</v>
      </c>
    </row>
    <row r="853" spans="2:5" x14ac:dyDescent="0.2">
      <c r="B853" s="129" t="str">
        <f>'[1]COMEDORES EMERGENTES'!$B$3</f>
        <v>UNA SONRISA AV. LOS COBACHO</v>
      </c>
      <c r="C853" s="130"/>
      <c r="D853" s="65" t="s">
        <v>187</v>
      </c>
      <c r="E853" s="66" t="str">
        <f>'[1]COMEDORES EMERGENTES'!$G$3</f>
        <v>Bº SAN CARLOS OESTE AV. Bonifacio cobacho 670</v>
      </c>
    </row>
    <row r="854" spans="2:5" x14ac:dyDescent="0.2">
      <c r="B854" s="119" t="str">
        <f>'[1]COMEDORES EMERGENTES'!$B$4</f>
        <v>C.I.F Nº1 - RIVERA DEL VALLE Y FLORIDA</v>
      </c>
      <c r="C854" s="120"/>
      <c r="D854" s="63" t="s">
        <v>187</v>
      </c>
      <c r="E854" s="64" t="str">
        <f>'[1]COMEDORES EMERGENTES'!$G$4</f>
        <v>AV. RIVIERA DEL VALLE ENTRE FLORIDA Y SANTA FE</v>
      </c>
    </row>
    <row r="855" spans="2:5" x14ac:dyDescent="0.2">
      <c r="B855" s="119" t="str">
        <f>'[1]COMEDORES EMERGENTES'!$B$5</f>
        <v>C.I.F - RIVERA DEL VALLE - DILORENZO</v>
      </c>
      <c r="C855" s="120"/>
      <c r="D855" s="63" t="s">
        <v>187</v>
      </c>
      <c r="E855" s="64" t="str">
        <f>'[1]COMEDORES EMERGENTES'!$G$5</f>
        <v>Bº RIVERA DEL VALLE ENTRE VILLA EUMELIA Y MONTE CRISTO</v>
      </c>
    </row>
    <row r="856" spans="2:5" x14ac:dyDescent="0.2">
      <c r="B856" s="119" t="str">
        <f>'[1]COMEDORES EMERGENTES'!$B$6</f>
        <v>ESFUERZO PROPIO- Bº ALTOS DE CHOYA</v>
      </c>
      <c r="C856" s="120"/>
      <c r="D856" s="63" t="s">
        <v>187</v>
      </c>
      <c r="E856" s="64" t="str">
        <f>'[1]COMEDORES EMERGENTES'!$G$6</f>
        <v>Bº MUNICIPAL 35VV. NORTE C/14</v>
      </c>
    </row>
    <row r="857" spans="2:5" x14ac:dyDescent="0.2">
      <c r="B857" s="119" t="str">
        <f>'[1]COMEDORES EMERGENTES'!$B$7</f>
        <v>ANGELITOS - LOTEO SUSSEX</v>
      </c>
      <c r="C857" s="120"/>
      <c r="D857" s="63" t="s">
        <v>187</v>
      </c>
      <c r="E857" s="64" t="str">
        <f>'[1]COMEDORES EMERGENTES'!$G$7</f>
        <v>Bº LOTEO SUSEX MZA.Nº 4 LOTE Nº3</v>
      </c>
    </row>
    <row r="858" spans="2:5" x14ac:dyDescent="0.2">
      <c r="B858" s="119" t="str">
        <f>'[1]COMEDORES EMERGENTES'!$B$8</f>
        <v>CLUB DEPORTIVO CHACARITA</v>
      </c>
      <c r="C858" s="120"/>
      <c r="D858" s="63" t="s">
        <v>187</v>
      </c>
      <c r="E858" s="64" t="str">
        <f>'[1]COMEDORES EMERGENTES'!$G$8</f>
        <v>CALLE DR.DERMIDIO GALINDEZ C/2660</v>
      </c>
    </row>
    <row r="859" spans="2:5" x14ac:dyDescent="0.2">
      <c r="B859" s="119" t="str">
        <f>'[1]COMEDORES EMERGENTES'!$B$9</f>
        <v>LA MORO</v>
      </c>
      <c r="C859" s="120"/>
      <c r="D859" s="63" t="s">
        <v>187</v>
      </c>
      <c r="E859" s="64" t="str">
        <f>'[1]COMEDORES EMERGENTES'!$G$9</f>
        <v>MAIPU NORTE 1º ETAPA MZA "H" Bº MI JARDIN</v>
      </c>
    </row>
    <row r="860" spans="2:5" x14ac:dyDescent="0.2">
      <c r="B860" s="119" t="str">
        <f>'[1]COMEDORES EMERGENTES'!$B$10</f>
        <v>PAPA FRANCISCO</v>
      </c>
      <c r="C860" s="120"/>
      <c r="D860" s="63" t="s">
        <v>187</v>
      </c>
      <c r="E860" s="64" t="str">
        <f>'[1]COMEDORES EMERGENTES'!$G$10</f>
        <v>ENTRE AV.TEREBINTO Y AV.SAN JUAN LOTE "2" MZA. "B"</v>
      </c>
    </row>
    <row r="861" spans="2:5" x14ac:dyDescent="0.2">
      <c r="B861" s="119" t="str">
        <f>'[1]COMEDORES EMERGENTES'!$B$11</f>
        <v>E.P.C - 100 V.V NORTE</v>
      </c>
      <c r="C861" s="120"/>
      <c r="D861" s="63" t="s">
        <v>187</v>
      </c>
      <c r="E861" s="64" t="str">
        <f>'[1]COMEDORES EMERGENTES'!$G$11</f>
        <v>Bº VV NORTE C/48 ENTRE ESPAÑA Y FRANCIA</v>
      </c>
    </row>
    <row r="862" spans="2:5" x14ac:dyDescent="0.2">
      <c r="B862" s="119" t="str">
        <f>'[1]COMEDORES EMERGENTES'!$B$12</f>
        <v>HOGAR DE CRISTO - PADRE RAUL CONTRERAS</v>
      </c>
      <c r="C862" s="120"/>
      <c r="D862" s="63" t="s">
        <v>187</v>
      </c>
      <c r="E862" s="64" t="str">
        <f>'[1]COMEDORES EMERGENTES'!$G$12</f>
        <v>Bº SANTA MARTA MZA. "S" LOTE "M" C/39</v>
      </c>
    </row>
    <row r="863" spans="2:5" x14ac:dyDescent="0.2">
      <c r="B863" s="119" t="str">
        <f>'[1]COMEDORES EMERGENTES'!$B$13</f>
        <v>LA LUCIERNAGA</v>
      </c>
      <c r="C863" s="120"/>
      <c r="D863" s="63" t="s">
        <v>187</v>
      </c>
      <c r="E863" s="64" t="str">
        <f>'[1]COMEDORES EMERGENTES'!$G$13</f>
        <v>Bº 20 V.V NORTE C/3</v>
      </c>
    </row>
    <row r="864" spans="2:5" x14ac:dyDescent="0.2">
      <c r="B864" s="119" t="str">
        <f>'[1]COMEDORES EMERGENTES'!$B$14</f>
        <v>VALLE VIEJO - SUMALAO</v>
      </c>
      <c r="C864" s="120"/>
      <c r="D864" s="63" t="s">
        <v>187</v>
      </c>
      <c r="E864" s="64" t="str">
        <f>'[1]COMEDORES EMERGENTES'!$G$14</f>
        <v>PADRE SEGURA S/N</v>
      </c>
    </row>
    <row r="865" spans="2:5" x14ac:dyDescent="0.2">
      <c r="B865" s="119" t="str">
        <f>'[1]COMEDORES EMERGENTES'!$B$15</f>
        <v>NUESTRO FUTURO - LAS VIAS</v>
      </c>
      <c r="C865" s="120"/>
      <c r="D865" s="63" t="s">
        <v>187</v>
      </c>
      <c r="E865" s="64" t="str">
        <f>'[1]COMEDORES EMERGENTES'!$G$15</f>
        <v>Bº LAS VIAS OESTE LOTE 42</v>
      </c>
    </row>
    <row r="866" spans="2:5" x14ac:dyDescent="0.2">
      <c r="B866" s="119" t="str">
        <f>'[1]COMEDORES EMERGENTES'!$B$16</f>
        <v>SAN JOSE OBRERO</v>
      </c>
      <c r="C866" s="120"/>
      <c r="D866" s="63" t="s">
        <v>187</v>
      </c>
      <c r="E866" s="64" t="str">
        <f>'[1]COMEDORES EMERGENTES'!$G$16</f>
        <v>Bº SAN JOSE OBRERO. PJE. SANDOVAL S/Nº</v>
      </c>
    </row>
    <row r="867" spans="2:5" x14ac:dyDescent="0.2">
      <c r="B867" s="119" t="str">
        <f>'[1]COMEDORES EMERGENTES'!$B$17</f>
        <v>VIRGEN DE LUJAN</v>
      </c>
      <c r="C867" s="120"/>
      <c r="D867" s="63" t="s">
        <v>187</v>
      </c>
      <c r="E867" s="64" t="str">
        <f>'[1]COMEDORES EMERGENTES'!$G$17</f>
        <v>Bº OJO DE AGUA C/DR.TEODULFO BARRIONUEVO S/Nº</v>
      </c>
    </row>
    <row r="868" spans="2:5" x14ac:dyDescent="0.2">
      <c r="B868" s="119" t="str">
        <f>'[1]COMEDORES EMERGENTES'!$B$18</f>
        <v>RENACER</v>
      </c>
      <c r="C868" s="120"/>
      <c r="D868" s="63" t="s">
        <v>187</v>
      </c>
      <c r="E868" s="64" t="str">
        <f>'[1]COMEDORES EMERGENTES'!$G$18</f>
        <v>Bº VIRGEN MORENITA</v>
      </c>
    </row>
    <row r="869" spans="2:5" x14ac:dyDescent="0.2">
      <c r="B869" s="119" t="str">
        <f>'[1]COMEDORES EMERGENTES'!$B$19</f>
        <v>CENTRO VECINAL MI JARDIN</v>
      </c>
      <c r="C869" s="120"/>
      <c r="D869" s="63" t="s">
        <v>187</v>
      </c>
      <c r="E869" s="64" t="str">
        <f>'[1]COMEDORES EMERGENTES'!$G$19</f>
        <v>C/ LOS TULIPANES ENTRE FLOR DE CEREZO Y HOLANDA MZA.27 Bº MI JARDIN</v>
      </c>
    </row>
    <row r="870" spans="2:5" x14ac:dyDescent="0.2">
      <c r="B870" s="119" t="str">
        <f>'[1]COMEDORES EMERGENTES'!$B$20</f>
        <v>LA VIEJA ESQUINA</v>
      </c>
      <c r="C870" s="120"/>
      <c r="D870" s="63" t="s">
        <v>187</v>
      </c>
      <c r="E870" s="64" t="str">
        <f>'[1]COMEDORES EMERGENTES'!$G$20</f>
        <v>B° CRISTO REY PJE CAPATAZ VILLAFAÑEZ Y ARMANDO CORREA</v>
      </c>
    </row>
    <row r="871" spans="2:5" x14ac:dyDescent="0.2">
      <c r="B871" s="119" t="str">
        <f>'[1]COMEDORES EMERGENTES'!$B$21</f>
        <v>GAUCHITO GIL</v>
      </c>
      <c r="C871" s="120"/>
      <c r="D871" s="63" t="s">
        <v>187</v>
      </c>
      <c r="E871" s="64" t="str">
        <f>'[1]COMEDORES EMERGENTES'!$G$21</f>
        <v>B° 26 VIVIENDAS CASA N° 3</v>
      </c>
    </row>
    <row r="872" spans="2:5" ht="13.5" thickBot="1" x14ac:dyDescent="0.25">
      <c r="B872" s="121" t="str">
        <f>'[1]COMEDORES EMERGENTES'!$B$22</f>
        <v>LOS TOLDOS</v>
      </c>
      <c r="C872" s="122"/>
      <c r="D872" s="67" t="s">
        <v>187</v>
      </c>
      <c r="E872" s="68" t="str">
        <f>'[1]COMEDORES EMERGENTES'!$G$22</f>
        <v>LOTEO PARQUE SUR CALLE S/NOMBRE S/N°</v>
      </c>
    </row>
    <row r="873" spans="2:5" x14ac:dyDescent="0.2">
      <c r="B873" s="9" t="s">
        <v>18</v>
      </c>
      <c r="E873" s="8"/>
    </row>
    <row r="874" spans="2:5" x14ac:dyDescent="0.2">
      <c r="B874" s="10"/>
      <c r="C874" s="123" t="s">
        <v>24</v>
      </c>
      <c r="D874" s="123"/>
      <c r="E874" s="123"/>
    </row>
    <row r="875" spans="2:5" x14ac:dyDescent="0.2">
      <c r="B875" s="9" t="s">
        <v>19</v>
      </c>
      <c r="C875" s="11"/>
      <c r="D875" s="11"/>
      <c r="E875" s="12"/>
    </row>
    <row r="876" spans="2:5" x14ac:dyDescent="0.2">
      <c r="B876" s="10"/>
      <c r="C876" s="123" t="s">
        <v>86</v>
      </c>
      <c r="D876" s="123"/>
      <c r="E876" s="123"/>
    </row>
    <row r="877" spans="2:5" x14ac:dyDescent="0.2">
      <c r="B877" s="9" t="s">
        <v>20</v>
      </c>
      <c r="E877" s="8"/>
    </row>
    <row r="878" spans="2:5" x14ac:dyDescent="0.2">
      <c r="B878" s="9"/>
      <c r="C878" s="124" t="s">
        <v>25</v>
      </c>
      <c r="D878" s="124"/>
      <c r="E878" s="124"/>
    </row>
    <row r="879" spans="2:5" ht="13.5" thickBot="1" x14ac:dyDescent="0.25">
      <c r="B879" s="13"/>
      <c r="C879" s="14"/>
      <c r="D879" s="29"/>
      <c r="E879" s="15"/>
    </row>
    <row r="880" spans="2:5" ht="13.5" thickBot="1" x14ac:dyDescent="0.25"/>
    <row r="881" spans="2:5" x14ac:dyDescent="0.2">
      <c r="B881" s="4" t="s">
        <v>108</v>
      </c>
      <c r="C881" s="5"/>
      <c r="D881" s="27"/>
      <c r="E881" s="6"/>
    </row>
    <row r="882" spans="2:5" x14ac:dyDescent="0.2">
      <c r="B882" s="7"/>
      <c r="E882" s="8"/>
    </row>
    <row r="883" spans="2:5" x14ac:dyDescent="0.2">
      <c r="B883" s="9" t="s">
        <v>16</v>
      </c>
      <c r="E883" s="8"/>
    </row>
    <row r="884" spans="2:5" ht="25.5" customHeight="1" x14ac:dyDescent="0.2">
      <c r="B884" s="9"/>
      <c r="C884" s="125"/>
      <c r="D884" s="125"/>
      <c r="E884" s="126"/>
    </row>
    <row r="885" spans="2:5" ht="13.5" thickBot="1" x14ac:dyDescent="0.25">
      <c r="B885" s="9" t="s">
        <v>17</v>
      </c>
      <c r="E885" s="8"/>
    </row>
    <row r="886" spans="2:5" ht="13.5" thickBot="1" x14ac:dyDescent="0.25">
      <c r="B886" s="127" t="s">
        <v>83</v>
      </c>
      <c r="C886" s="132"/>
      <c r="D886" s="132"/>
      <c r="E886" s="128"/>
    </row>
    <row r="887" spans="2:5" ht="13.5" thickBot="1" x14ac:dyDescent="0.25">
      <c r="B887" s="127" t="s">
        <v>84</v>
      </c>
      <c r="C887" s="128"/>
      <c r="D887" s="25" t="s">
        <v>11</v>
      </c>
      <c r="E887" s="25" t="s">
        <v>85</v>
      </c>
    </row>
    <row r="888" spans="2:5" x14ac:dyDescent="0.2">
      <c r="B888" s="129" t="str">
        <f>'[1]COMEDORES EMERGENTES'!$B$3</f>
        <v>UNA SONRISA AV. LOS COBACHO</v>
      </c>
      <c r="C888" s="130"/>
      <c r="D888" s="65">
        <v>2</v>
      </c>
      <c r="E888" s="66" t="str">
        <f>'[1]COMEDORES EMERGENTES'!$G$3</f>
        <v>Bº SAN CARLOS OESTE AV. Bonifacio cobacho 670</v>
      </c>
    </row>
    <row r="889" spans="2:5" x14ac:dyDescent="0.2">
      <c r="B889" s="119" t="str">
        <f>'[1]COMEDORES EMERGENTES'!$B$4</f>
        <v>C.I.F Nº1 - RIVERA DEL VALLE Y FLORIDA</v>
      </c>
      <c r="C889" s="120"/>
      <c r="D889" s="63">
        <v>2</v>
      </c>
      <c r="E889" s="64" t="str">
        <f>'[1]COMEDORES EMERGENTES'!$G$4</f>
        <v>AV. RIVIERA DEL VALLE ENTRE FLORIDA Y SANTA FE</v>
      </c>
    </row>
    <row r="890" spans="2:5" x14ac:dyDescent="0.2">
      <c r="B890" s="119" t="str">
        <f>'[1]COMEDORES EMERGENTES'!$B$5</f>
        <v>C.I.F - RIVERA DEL VALLE - DILORENZO</v>
      </c>
      <c r="C890" s="120"/>
      <c r="D890" s="63">
        <v>3</v>
      </c>
      <c r="E890" s="64" t="str">
        <f>'[1]COMEDORES EMERGENTES'!$G$5</f>
        <v>Bº RIVERA DEL VALLE ENTRE VILLA EUMELIA Y MONTE CRISTO</v>
      </c>
    </row>
    <row r="891" spans="2:5" x14ac:dyDescent="0.2">
      <c r="B891" s="119" t="str">
        <f>'[1]COMEDORES EMERGENTES'!$B$6</f>
        <v>ESFUERZO PROPIO- Bº ALTOS DE CHOYA</v>
      </c>
      <c r="C891" s="120"/>
      <c r="D891" s="63">
        <v>2</v>
      </c>
      <c r="E891" s="64" t="str">
        <f>'[1]COMEDORES EMERGENTES'!$G$6</f>
        <v>Bº MUNICIPAL 35VV. NORTE C/14</v>
      </c>
    </row>
    <row r="892" spans="2:5" x14ac:dyDescent="0.2">
      <c r="B892" s="119" t="str">
        <f>'[1]COMEDORES EMERGENTES'!$B$7</f>
        <v>ANGELITOS - LOTEO SUSSEX</v>
      </c>
      <c r="C892" s="120"/>
      <c r="D892" s="63">
        <v>1</v>
      </c>
      <c r="E892" s="64" t="str">
        <f>'[1]COMEDORES EMERGENTES'!$G$7</f>
        <v>Bº LOTEO SUSEX MZA.Nº 4 LOTE Nº3</v>
      </c>
    </row>
    <row r="893" spans="2:5" x14ac:dyDescent="0.2">
      <c r="B893" s="119" t="str">
        <f>'[1]COMEDORES EMERGENTES'!$B$8</f>
        <v>CLUB DEPORTIVO CHACARITA</v>
      </c>
      <c r="C893" s="120"/>
      <c r="D893" s="63">
        <v>1</v>
      </c>
      <c r="E893" s="64" t="str">
        <f>'[1]COMEDORES EMERGENTES'!$G$8</f>
        <v>CALLE DR.DERMIDIO GALINDEZ C/2660</v>
      </c>
    </row>
    <row r="894" spans="2:5" x14ac:dyDescent="0.2">
      <c r="B894" s="119" t="str">
        <f>'[1]COMEDORES EMERGENTES'!$B$9</f>
        <v>LA MORO</v>
      </c>
      <c r="C894" s="120"/>
      <c r="D894" s="63">
        <v>1</v>
      </c>
      <c r="E894" s="64" t="str">
        <f>'[1]COMEDORES EMERGENTES'!$G$9</f>
        <v>MAIPU NORTE 1º ETAPA MZA "H" Bº MI JARDIN</v>
      </c>
    </row>
    <row r="895" spans="2:5" x14ac:dyDescent="0.2">
      <c r="B895" s="119" t="str">
        <f>'[1]COMEDORES EMERGENTES'!$B$10</f>
        <v>PAPA FRANCISCO</v>
      </c>
      <c r="C895" s="120"/>
      <c r="D895" s="63">
        <v>2</v>
      </c>
      <c r="E895" s="64" t="str">
        <f>'[1]COMEDORES EMERGENTES'!$G$10</f>
        <v>ENTRE AV.TEREBINTO Y AV.SAN JUAN LOTE "2" MZA. "B"</v>
      </c>
    </row>
    <row r="896" spans="2:5" x14ac:dyDescent="0.2">
      <c r="B896" s="119" t="str">
        <f>'[1]COMEDORES EMERGENTES'!$B$11</f>
        <v>E.P.C - 100 V.V NORTE</v>
      </c>
      <c r="C896" s="120"/>
      <c r="D896" s="63">
        <v>3</v>
      </c>
      <c r="E896" s="64" t="str">
        <f>'[1]COMEDORES EMERGENTES'!$G$11</f>
        <v>Bº VV NORTE C/48 ENTRE ESPAÑA Y FRANCIA</v>
      </c>
    </row>
    <row r="897" spans="2:5" x14ac:dyDescent="0.2">
      <c r="B897" s="119" t="str">
        <f>'[1]COMEDORES EMERGENTES'!$B$12</f>
        <v>HOGAR DE CRISTO - PADRE RAUL CONTRERAS</v>
      </c>
      <c r="C897" s="120"/>
      <c r="D897" s="63">
        <v>3</v>
      </c>
      <c r="E897" s="64" t="str">
        <f>'[1]COMEDORES EMERGENTES'!$G$12</f>
        <v>Bº SANTA MARTA MZA. "S" LOTE "M" C/39</v>
      </c>
    </row>
    <row r="898" spans="2:5" x14ac:dyDescent="0.2">
      <c r="B898" s="119" t="str">
        <f>'[1]COMEDORES EMERGENTES'!$B$13</f>
        <v>LA LUCIERNAGA</v>
      </c>
      <c r="C898" s="120"/>
      <c r="D898" s="63">
        <v>2</v>
      </c>
      <c r="E898" s="64" t="str">
        <f>'[1]COMEDORES EMERGENTES'!$G$13</f>
        <v>Bº 20 V.V NORTE C/3</v>
      </c>
    </row>
    <row r="899" spans="2:5" x14ac:dyDescent="0.2">
      <c r="B899" s="119" t="str">
        <f>'[1]COMEDORES EMERGENTES'!$B$14</f>
        <v>VALLE VIEJO - SUMALAO</v>
      </c>
      <c r="C899" s="120"/>
      <c r="D899" s="63">
        <v>4</v>
      </c>
      <c r="E899" s="64" t="str">
        <f>'[1]COMEDORES EMERGENTES'!$G$14</f>
        <v>PADRE SEGURA S/N</v>
      </c>
    </row>
    <row r="900" spans="2:5" x14ac:dyDescent="0.2">
      <c r="B900" s="119" t="str">
        <f>'[1]COMEDORES EMERGENTES'!$B$15</f>
        <v>NUESTRO FUTURO - LAS VIAS</v>
      </c>
      <c r="C900" s="120"/>
      <c r="D900" s="63">
        <v>2</v>
      </c>
      <c r="E900" s="64" t="str">
        <f>'[1]COMEDORES EMERGENTES'!$G$15</f>
        <v>Bº LAS VIAS OESTE LOTE 42</v>
      </c>
    </row>
    <row r="901" spans="2:5" x14ac:dyDescent="0.2">
      <c r="B901" s="119" t="str">
        <f>'[1]COMEDORES EMERGENTES'!$B$16</f>
        <v>SAN JOSE OBRERO</v>
      </c>
      <c r="C901" s="120"/>
      <c r="D901" s="63">
        <v>1</v>
      </c>
      <c r="E901" s="64" t="str">
        <f>'[1]COMEDORES EMERGENTES'!$G$16</f>
        <v>Bº SAN JOSE OBRERO. PJE. SANDOVAL S/Nº</v>
      </c>
    </row>
    <row r="902" spans="2:5" x14ac:dyDescent="0.2">
      <c r="B902" s="119" t="str">
        <f>'[1]COMEDORES EMERGENTES'!$B$17</f>
        <v>VIRGEN DE LUJAN</v>
      </c>
      <c r="C902" s="120"/>
      <c r="D902" s="63">
        <v>2</v>
      </c>
      <c r="E902" s="64" t="str">
        <f>'[1]COMEDORES EMERGENTES'!$G$17</f>
        <v>Bº OJO DE AGUA C/DR.TEODULFO BARRIONUEVO S/Nº</v>
      </c>
    </row>
    <row r="903" spans="2:5" x14ac:dyDescent="0.2">
      <c r="B903" s="119" t="str">
        <f>'[1]COMEDORES EMERGENTES'!$B$18</f>
        <v>RENACER</v>
      </c>
      <c r="C903" s="120"/>
      <c r="D903" s="63">
        <v>3</v>
      </c>
      <c r="E903" s="64" t="str">
        <f>'[1]COMEDORES EMERGENTES'!$G$18</f>
        <v>Bº VIRGEN MORENITA</v>
      </c>
    </row>
    <row r="904" spans="2:5" x14ac:dyDescent="0.2">
      <c r="B904" s="119" t="str">
        <f>'[1]COMEDORES EMERGENTES'!$B$19</f>
        <v>CENTRO VECINAL MI JARDIN</v>
      </c>
      <c r="C904" s="120"/>
      <c r="D904" s="63">
        <v>2</v>
      </c>
      <c r="E904" s="64" t="str">
        <f>'[1]COMEDORES EMERGENTES'!$G$19</f>
        <v>C/ LOS TULIPANES ENTRE FLOR DE CEREZO Y HOLANDA MZA.27 Bº MI JARDIN</v>
      </c>
    </row>
    <row r="905" spans="2:5" x14ac:dyDescent="0.2">
      <c r="B905" s="119" t="str">
        <f>'[1]COMEDORES EMERGENTES'!$B$20</f>
        <v>LA VIEJA ESQUINA</v>
      </c>
      <c r="C905" s="120"/>
      <c r="D905" s="63">
        <v>2</v>
      </c>
      <c r="E905" s="64" t="str">
        <f>'[1]COMEDORES EMERGENTES'!$G$20</f>
        <v>B° CRISTO REY PJE CAPATAZ VILLAFAÑEZ Y ARMANDO CORREA</v>
      </c>
    </row>
    <row r="906" spans="2:5" x14ac:dyDescent="0.2">
      <c r="B906" s="119" t="str">
        <f>'[1]COMEDORES EMERGENTES'!$B$21</f>
        <v>GAUCHITO GIL</v>
      </c>
      <c r="C906" s="120"/>
      <c r="D906" s="63">
        <v>2</v>
      </c>
      <c r="E906" s="64" t="str">
        <f>'[1]COMEDORES EMERGENTES'!$G$21</f>
        <v>B° 26 VIVIENDAS CASA N° 3</v>
      </c>
    </row>
    <row r="907" spans="2:5" ht="13.5" thickBot="1" x14ac:dyDescent="0.25">
      <c r="B907" s="121" t="str">
        <f>'[1]COMEDORES EMERGENTES'!$B$22</f>
        <v>LOS TOLDOS</v>
      </c>
      <c r="C907" s="122"/>
      <c r="D907" s="67">
        <v>1</v>
      </c>
      <c r="E907" s="68" t="str">
        <f>'[1]COMEDORES EMERGENTES'!$G$22</f>
        <v>LOTEO PARQUE SUR CALLE S/NOMBRE S/N°</v>
      </c>
    </row>
    <row r="908" spans="2:5" x14ac:dyDescent="0.2">
      <c r="B908" s="9" t="s">
        <v>18</v>
      </c>
      <c r="E908" s="8"/>
    </row>
    <row r="909" spans="2:5" x14ac:dyDescent="0.2">
      <c r="B909" s="10"/>
      <c r="C909" s="123" t="s">
        <v>24</v>
      </c>
      <c r="D909" s="123"/>
      <c r="E909" s="123"/>
    </row>
    <row r="910" spans="2:5" x14ac:dyDescent="0.2">
      <c r="B910" s="9" t="s">
        <v>19</v>
      </c>
      <c r="C910" s="11"/>
      <c r="D910" s="11"/>
      <c r="E910" s="12"/>
    </row>
    <row r="911" spans="2:5" x14ac:dyDescent="0.2">
      <c r="B911" s="10"/>
      <c r="C911" s="123" t="s">
        <v>86</v>
      </c>
      <c r="D911" s="123"/>
      <c r="E911" s="123"/>
    </row>
    <row r="912" spans="2:5" x14ac:dyDescent="0.2">
      <c r="B912" s="9" t="s">
        <v>20</v>
      </c>
      <c r="E912" s="8"/>
    </row>
    <row r="913" spans="2:5" x14ac:dyDescent="0.2">
      <c r="B913" s="9"/>
      <c r="C913" s="124" t="s">
        <v>25</v>
      </c>
      <c r="D913" s="124"/>
      <c r="E913" s="124"/>
    </row>
    <row r="914" spans="2:5" ht="13.5" thickBot="1" x14ac:dyDescent="0.25">
      <c r="B914" s="13"/>
      <c r="C914" s="14"/>
      <c r="D914" s="29"/>
      <c r="E914" s="15"/>
    </row>
    <row r="915" spans="2:5" ht="13.5" thickBot="1" x14ac:dyDescent="0.25"/>
    <row r="916" spans="2:5" x14ac:dyDescent="0.2">
      <c r="B916" s="4" t="s">
        <v>109</v>
      </c>
      <c r="C916" s="5"/>
      <c r="D916" s="27"/>
      <c r="E916" s="6"/>
    </row>
    <row r="917" spans="2:5" x14ac:dyDescent="0.2">
      <c r="B917" s="7"/>
      <c r="E917" s="8"/>
    </row>
    <row r="918" spans="2:5" x14ac:dyDescent="0.2">
      <c r="B918" s="9" t="s">
        <v>16</v>
      </c>
      <c r="E918" s="8"/>
    </row>
    <row r="919" spans="2:5" ht="25.5" customHeight="1" x14ac:dyDescent="0.2">
      <c r="B919" s="9"/>
      <c r="C919" s="123"/>
      <c r="D919" s="123"/>
      <c r="E919" s="123"/>
    </row>
    <row r="920" spans="2:5" ht="13.5" thickBot="1" x14ac:dyDescent="0.25">
      <c r="B920" s="9" t="s">
        <v>17</v>
      </c>
      <c r="E920" s="8"/>
    </row>
    <row r="921" spans="2:5" ht="13.5" thickBot="1" x14ac:dyDescent="0.25">
      <c r="B921" s="127" t="s">
        <v>83</v>
      </c>
      <c r="C921" s="132"/>
      <c r="D921" s="132"/>
      <c r="E921" s="128"/>
    </row>
    <row r="922" spans="2:5" ht="13.5" thickBot="1" x14ac:dyDescent="0.25">
      <c r="B922" s="127" t="s">
        <v>84</v>
      </c>
      <c r="C922" s="128"/>
      <c r="D922" s="25" t="s">
        <v>11</v>
      </c>
      <c r="E922" s="25" t="s">
        <v>85</v>
      </c>
    </row>
    <row r="923" spans="2:5" x14ac:dyDescent="0.2">
      <c r="B923" s="129" t="str">
        <f>'[1]COMEDORES EMERGENTES'!$B$3</f>
        <v>UNA SONRISA AV. LOS COBACHO</v>
      </c>
      <c r="C923" s="130"/>
      <c r="D923" s="65">
        <v>1</v>
      </c>
      <c r="E923" s="66" t="str">
        <f>'[1]COMEDORES EMERGENTES'!$G$3</f>
        <v>Bº SAN CARLOS OESTE AV. Bonifacio cobacho 670</v>
      </c>
    </row>
    <row r="924" spans="2:5" x14ac:dyDescent="0.2">
      <c r="B924" s="119" t="str">
        <f>'[1]COMEDORES EMERGENTES'!$B$4</f>
        <v>C.I.F Nº1 - RIVERA DEL VALLE Y FLORIDA</v>
      </c>
      <c r="C924" s="120"/>
      <c r="D924" s="63">
        <v>1</v>
      </c>
      <c r="E924" s="64" t="str">
        <f>'[1]COMEDORES EMERGENTES'!$G$4</f>
        <v>AV. RIVIERA DEL VALLE ENTRE FLORIDA Y SANTA FE</v>
      </c>
    </row>
    <row r="925" spans="2:5" x14ac:dyDescent="0.2">
      <c r="B925" s="119" t="str">
        <f>'[1]COMEDORES EMERGENTES'!$B$5</f>
        <v>C.I.F - RIVERA DEL VALLE - DILORENZO</v>
      </c>
      <c r="C925" s="120"/>
      <c r="D925" s="63">
        <v>1</v>
      </c>
      <c r="E925" s="64" t="str">
        <f>'[1]COMEDORES EMERGENTES'!$G$5</f>
        <v>Bº RIVERA DEL VALLE ENTRE VILLA EUMELIA Y MONTE CRISTO</v>
      </c>
    </row>
    <row r="926" spans="2:5" x14ac:dyDescent="0.2">
      <c r="B926" s="119" t="str">
        <f>'[1]COMEDORES EMERGENTES'!$B$6</f>
        <v>ESFUERZO PROPIO- Bº ALTOS DE CHOYA</v>
      </c>
      <c r="C926" s="120"/>
      <c r="D926" s="63">
        <v>1</v>
      </c>
      <c r="E926" s="64" t="str">
        <f>'[1]COMEDORES EMERGENTES'!$G$6</f>
        <v>Bº MUNICIPAL 35VV. NORTE C/14</v>
      </c>
    </row>
    <row r="927" spans="2:5" x14ac:dyDescent="0.2">
      <c r="B927" s="119" t="str">
        <f>'[1]COMEDORES EMERGENTES'!$B$7</f>
        <v>ANGELITOS - LOTEO SUSSEX</v>
      </c>
      <c r="C927" s="120"/>
      <c r="D927" s="63">
        <v>1</v>
      </c>
      <c r="E927" s="64" t="str">
        <f>'[1]COMEDORES EMERGENTES'!$G$7</f>
        <v>Bº LOTEO SUSEX MZA.Nº 4 LOTE Nº3</v>
      </c>
    </row>
    <row r="928" spans="2:5" x14ac:dyDescent="0.2">
      <c r="B928" s="119" t="str">
        <f>'[1]COMEDORES EMERGENTES'!$B$8</f>
        <v>CLUB DEPORTIVO CHACARITA</v>
      </c>
      <c r="C928" s="120"/>
      <c r="D928" s="63">
        <v>1</v>
      </c>
      <c r="E928" s="64" t="str">
        <f>'[1]COMEDORES EMERGENTES'!$G$8</f>
        <v>CALLE DR.DERMIDIO GALINDEZ C/2660</v>
      </c>
    </row>
    <row r="929" spans="2:5" x14ac:dyDescent="0.2">
      <c r="B929" s="119" t="str">
        <f>'[1]COMEDORES EMERGENTES'!$B$9</f>
        <v>LA MORO</v>
      </c>
      <c r="C929" s="120"/>
      <c r="D929" s="63">
        <v>1</v>
      </c>
      <c r="E929" s="64" t="str">
        <f>'[1]COMEDORES EMERGENTES'!$G$9</f>
        <v>MAIPU NORTE 1º ETAPA MZA "H" Bº MI JARDIN</v>
      </c>
    </row>
    <row r="930" spans="2:5" x14ac:dyDescent="0.2">
      <c r="B930" s="119" t="str">
        <f>'[1]COMEDORES EMERGENTES'!$B$10</f>
        <v>PAPA FRANCISCO</v>
      </c>
      <c r="C930" s="120"/>
      <c r="D930" s="63">
        <v>1</v>
      </c>
      <c r="E930" s="64" t="str">
        <f>'[1]COMEDORES EMERGENTES'!$G$10</f>
        <v>ENTRE AV.TEREBINTO Y AV.SAN JUAN LOTE "2" MZA. "B"</v>
      </c>
    </row>
    <row r="931" spans="2:5" x14ac:dyDescent="0.2">
      <c r="B931" s="119" t="str">
        <f>'[1]COMEDORES EMERGENTES'!$B$11</f>
        <v>E.P.C - 100 V.V NORTE</v>
      </c>
      <c r="C931" s="120"/>
      <c r="D931" s="63">
        <v>2</v>
      </c>
      <c r="E931" s="64" t="str">
        <f>'[1]COMEDORES EMERGENTES'!$G$11</f>
        <v>Bº VV NORTE C/48 ENTRE ESPAÑA Y FRANCIA</v>
      </c>
    </row>
    <row r="932" spans="2:5" x14ac:dyDescent="0.2">
      <c r="B932" s="119" t="str">
        <f>'[1]COMEDORES EMERGENTES'!$B$12</f>
        <v>HOGAR DE CRISTO - PADRE RAUL CONTRERAS</v>
      </c>
      <c r="C932" s="120"/>
      <c r="D932" s="63">
        <v>2</v>
      </c>
      <c r="E932" s="64" t="str">
        <f>'[1]COMEDORES EMERGENTES'!$G$12</f>
        <v>Bº SANTA MARTA MZA. "S" LOTE "M" C/39</v>
      </c>
    </row>
    <row r="933" spans="2:5" x14ac:dyDescent="0.2">
      <c r="B933" s="119" t="str">
        <f>'[1]COMEDORES EMERGENTES'!$B$13</f>
        <v>LA LUCIERNAGA</v>
      </c>
      <c r="C933" s="120"/>
      <c r="D933" s="63">
        <v>1</v>
      </c>
      <c r="E933" s="64" t="str">
        <f>'[1]COMEDORES EMERGENTES'!$G$13</f>
        <v>Bº 20 V.V NORTE C/3</v>
      </c>
    </row>
    <row r="934" spans="2:5" x14ac:dyDescent="0.2">
      <c r="B934" s="119" t="str">
        <f>'[1]COMEDORES EMERGENTES'!$B$14</f>
        <v>VALLE VIEJO - SUMALAO</v>
      </c>
      <c r="C934" s="120"/>
      <c r="D934" s="63">
        <v>2</v>
      </c>
      <c r="E934" s="64" t="str">
        <f>'[1]COMEDORES EMERGENTES'!$G$14</f>
        <v>PADRE SEGURA S/N</v>
      </c>
    </row>
    <row r="935" spans="2:5" x14ac:dyDescent="0.2">
      <c r="B935" s="119" t="str">
        <f>'[1]COMEDORES EMERGENTES'!$B$15</f>
        <v>NUESTRO FUTURO - LAS VIAS</v>
      </c>
      <c r="C935" s="120"/>
      <c r="D935" s="63">
        <v>1</v>
      </c>
      <c r="E935" s="64" t="str">
        <f>'[1]COMEDORES EMERGENTES'!$G$15</f>
        <v>Bº LAS VIAS OESTE LOTE 42</v>
      </c>
    </row>
    <row r="936" spans="2:5" x14ac:dyDescent="0.2">
      <c r="B936" s="119" t="str">
        <f>'[1]COMEDORES EMERGENTES'!$B$16</f>
        <v>SAN JOSE OBRERO</v>
      </c>
      <c r="C936" s="120"/>
      <c r="D936" s="63">
        <v>1</v>
      </c>
      <c r="E936" s="64" t="str">
        <f>'[1]COMEDORES EMERGENTES'!$G$16</f>
        <v>Bº SAN JOSE OBRERO. PJE. SANDOVAL S/Nº</v>
      </c>
    </row>
    <row r="937" spans="2:5" x14ac:dyDescent="0.2">
      <c r="B937" s="119" t="str">
        <f>'[1]COMEDORES EMERGENTES'!$B$17</f>
        <v>VIRGEN DE LUJAN</v>
      </c>
      <c r="C937" s="120"/>
      <c r="D937" s="63">
        <v>1</v>
      </c>
      <c r="E937" s="64" t="str">
        <f>'[1]COMEDORES EMERGENTES'!$G$17</f>
        <v>Bº OJO DE AGUA C/DR.TEODULFO BARRIONUEVO S/Nº</v>
      </c>
    </row>
    <row r="938" spans="2:5" x14ac:dyDescent="0.2">
      <c r="B938" s="119" t="str">
        <f>'[1]COMEDORES EMERGENTES'!$B$18</f>
        <v>RENACER</v>
      </c>
      <c r="C938" s="120"/>
      <c r="D938" s="63">
        <v>1</v>
      </c>
      <c r="E938" s="64" t="str">
        <f>'[1]COMEDORES EMERGENTES'!$G$18</f>
        <v>Bº VIRGEN MORENITA</v>
      </c>
    </row>
    <row r="939" spans="2:5" x14ac:dyDescent="0.2">
      <c r="B939" s="119" t="str">
        <f>'[1]COMEDORES EMERGENTES'!$B$19</f>
        <v>CENTRO VECINAL MI JARDIN</v>
      </c>
      <c r="C939" s="120"/>
      <c r="D939" s="63">
        <v>1</v>
      </c>
      <c r="E939" s="64" t="str">
        <f>'[1]COMEDORES EMERGENTES'!$G$19</f>
        <v>C/ LOS TULIPANES ENTRE FLOR DE CEREZO Y HOLANDA MZA.27 Bº MI JARDIN</v>
      </c>
    </row>
    <row r="940" spans="2:5" x14ac:dyDescent="0.2">
      <c r="B940" s="119" t="str">
        <f>'[1]COMEDORES EMERGENTES'!$B$20</f>
        <v>LA VIEJA ESQUINA</v>
      </c>
      <c r="C940" s="120"/>
      <c r="D940" s="63">
        <v>1</v>
      </c>
      <c r="E940" s="64" t="str">
        <f>'[1]COMEDORES EMERGENTES'!$G$20</f>
        <v>B° CRISTO REY PJE CAPATAZ VILLAFAÑEZ Y ARMANDO CORREA</v>
      </c>
    </row>
    <row r="941" spans="2:5" x14ac:dyDescent="0.2">
      <c r="B941" s="119" t="str">
        <f>'[1]COMEDORES EMERGENTES'!$B$21</f>
        <v>GAUCHITO GIL</v>
      </c>
      <c r="C941" s="120"/>
      <c r="D941" s="63">
        <v>1</v>
      </c>
      <c r="E941" s="64" t="str">
        <f>'[1]COMEDORES EMERGENTES'!$G$21</f>
        <v>B° 26 VIVIENDAS CASA N° 3</v>
      </c>
    </row>
    <row r="942" spans="2:5" ht="13.5" thickBot="1" x14ac:dyDescent="0.25">
      <c r="B942" s="121" t="str">
        <f>'[1]COMEDORES EMERGENTES'!$B$22</f>
        <v>LOS TOLDOS</v>
      </c>
      <c r="C942" s="122"/>
      <c r="D942" s="67">
        <v>1</v>
      </c>
      <c r="E942" s="68" t="str">
        <f>'[1]COMEDORES EMERGENTES'!$G$22</f>
        <v>LOTEO PARQUE SUR CALLE S/NOMBRE S/N°</v>
      </c>
    </row>
    <row r="943" spans="2:5" x14ac:dyDescent="0.2">
      <c r="B943" s="9" t="s">
        <v>18</v>
      </c>
      <c r="E943" s="8"/>
    </row>
    <row r="944" spans="2:5" x14ac:dyDescent="0.2">
      <c r="B944" s="10"/>
      <c r="C944" s="123" t="s">
        <v>24</v>
      </c>
      <c r="D944" s="123"/>
      <c r="E944" s="123"/>
    </row>
    <row r="945" spans="2:5" x14ac:dyDescent="0.2">
      <c r="B945" s="9" t="s">
        <v>19</v>
      </c>
      <c r="C945" s="11"/>
      <c r="D945" s="11"/>
      <c r="E945" s="12"/>
    </row>
    <row r="946" spans="2:5" x14ac:dyDescent="0.2">
      <c r="B946" s="10"/>
      <c r="C946" s="123" t="s">
        <v>86</v>
      </c>
      <c r="D946" s="123"/>
      <c r="E946" s="123"/>
    </row>
    <row r="947" spans="2:5" x14ac:dyDescent="0.2">
      <c r="B947" s="9" t="s">
        <v>20</v>
      </c>
      <c r="E947" s="8"/>
    </row>
    <row r="948" spans="2:5" x14ac:dyDescent="0.2">
      <c r="B948" s="9"/>
      <c r="C948" s="124" t="s">
        <v>25</v>
      </c>
      <c r="D948" s="124"/>
      <c r="E948" s="124"/>
    </row>
    <row r="949" spans="2:5" ht="13.5" thickBot="1" x14ac:dyDescent="0.25">
      <c r="B949" s="13"/>
      <c r="C949" s="14"/>
      <c r="D949" s="29"/>
      <c r="E949" s="15"/>
    </row>
    <row r="950" spans="2:5" ht="13.5" thickBot="1" x14ac:dyDescent="0.25"/>
    <row r="951" spans="2:5" x14ac:dyDescent="0.2">
      <c r="B951" s="4" t="s">
        <v>110</v>
      </c>
      <c r="C951" s="5"/>
      <c r="D951" s="27"/>
      <c r="E951" s="6"/>
    </row>
    <row r="952" spans="2:5" x14ac:dyDescent="0.2">
      <c r="B952" s="7"/>
      <c r="E952" s="8"/>
    </row>
    <row r="953" spans="2:5" x14ac:dyDescent="0.2">
      <c r="B953" s="9" t="s">
        <v>16</v>
      </c>
      <c r="E953" s="8"/>
    </row>
    <row r="954" spans="2:5" ht="25.5" customHeight="1" x14ac:dyDescent="0.2">
      <c r="B954" s="9"/>
      <c r="C954" s="123"/>
      <c r="D954" s="123"/>
      <c r="E954" s="123"/>
    </row>
    <row r="955" spans="2:5" ht="13.5" thickBot="1" x14ac:dyDescent="0.25">
      <c r="B955" s="9" t="s">
        <v>17</v>
      </c>
      <c r="E955" s="8"/>
    </row>
    <row r="956" spans="2:5" ht="13.5" thickBot="1" x14ac:dyDescent="0.25">
      <c r="B956" s="127" t="s">
        <v>188</v>
      </c>
      <c r="C956" s="132"/>
      <c r="D956" s="132"/>
      <c r="E956" s="128"/>
    </row>
    <row r="957" spans="2:5" ht="13.5" thickBot="1" x14ac:dyDescent="0.25">
      <c r="B957" s="127" t="s">
        <v>84</v>
      </c>
      <c r="C957" s="128"/>
      <c r="D957" s="25" t="s">
        <v>11</v>
      </c>
      <c r="E957" s="25" t="s">
        <v>85</v>
      </c>
    </row>
    <row r="958" spans="2:5" x14ac:dyDescent="0.2">
      <c r="B958" s="129" t="str">
        <f>'[1]COMEDORES EMERGENTES'!$B$3</f>
        <v>UNA SONRISA AV. LOS COBACHO</v>
      </c>
      <c r="C958" s="130"/>
      <c r="D958" s="65">
        <v>160</v>
      </c>
      <c r="E958" s="66" t="str">
        <f>'[1]COMEDORES EMERGENTES'!$G$3</f>
        <v>Bº SAN CARLOS OESTE AV. Bonifacio cobacho 670</v>
      </c>
    </row>
    <row r="959" spans="2:5" x14ac:dyDescent="0.2">
      <c r="B959" s="119" t="str">
        <f>'[1]COMEDORES EMERGENTES'!$B$4</f>
        <v>C.I.F Nº1 - RIVERA DEL VALLE Y FLORIDA</v>
      </c>
      <c r="C959" s="120"/>
      <c r="D959" s="63">
        <v>230</v>
      </c>
      <c r="E959" s="64" t="str">
        <f>'[1]COMEDORES EMERGENTES'!$G$4</f>
        <v>AV. RIVIERA DEL VALLE ENTRE FLORIDA Y SANTA FE</v>
      </c>
    </row>
    <row r="960" spans="2:5" x14ac:dyDescent="0.2">
      <c r="B960" s="119" t="str">
        <f>'[1]COMEDORES EMERGENTES'!$B$5</f>
        <v>C.I.F - RIVERA DEL VALLE - DILORENZO</v>
      </c>
      <c r="C960" s="120"/>
      <c r="D960" s="63">
        <v>270</v>
      </c>
      <c r="E960" s="64" t="str">
        <f>'[1]COMEDORES EMERGENTES'!$G$5</f>
        <v>Bº RIVERA DEL VALLE ENTRE VILLA EUMELIA Y MONTE CRISTO</v>
      </c>
    </row>
    <row r="961" spans="2:5" x14ac:dyDescent="0.2">
      <c r="B961" s="119" t="str">
        <f>'[1]COMEDORES EMERGENTES'!$B$6</f>
        <v>ESFUERZO PROPIO- Bº ALTOS DE CHOYA</v>
      </c>
      <c r="C961" s="120"/>
      <c r="D961" s="63">
        <v>220</v>
      </c>
      <c r="E961" s="64" t="str">
        <f>'[1]COMEDORES EMERGENTES'!$G$6</f>
        <v>Bº MUNICIPAL 35VV. NORTE C/14</v>
      </c>
    </row>
    <row r="962" spans="2:5" x14ac:dyDescent="0.2">
      <c r="B962" s="119" t="str">
        <f>'[1]COMEDORES EMERGENTES'!$B$7</f>
        <v>ANGELITOS - LOTEO SUSSEX</v>
      </c>
      <c r="C962" s="120"/>
      <c r="D962" s="63">
        <v>100</v>
      </c>
      <c r="E962" s="64" t="str">
        <f>'[1]COMEDORES EMERGENTES'!$G$7</f>
        <v>Bº LOTEO SUSEX MZA.Nº 4 LOTE Nº3</v>
      </c>
    </row>
    <row r="963" spans="2:5" x14ac:dyDescent="0.2">
      <c r="B963" s="119" t="str">
        <f>'[1]COMEDORES EMERGENTES'!$B$8</f>
        <v>CLUB DEPORTIVO CHACARITA</v>
      </c>
      <c r="C963" s="120"/>
      <c r="D963" s="63">
        <v>130</v>
      </c>
      <c r="E963" s="64" t="str">
        <f>'[1]COMEDORES EMERGENTES'!$G$8</f>
        <v>CALLE DR.DERMIDIO GALINDEZ C/2660</v>
      </c>
    </row>
    <row r="964" spans="2:5" x14ac:dyDescent="0.2">
      <c r="B964" s="119" t="str">
        <f>'[1]COMEDORES EMERGENTES'!$B$9</f>
        <v>LA MORO</v>
      </c>
      <c r="C964" s="120"/>
      <c r="D964" s="63">
        <v>120</v>
      </c>
      <c r="E964" s="64" t="str">
        <f>'[1]COMEDORES EMERGENTES'!$G$9</f>
        <v>MAIPU NORTE 1º ETAPA MZA "H" Bº MI JARDIN</v>
      </c>
    </row>
    <row r="965" spans="2:5" x14ac:dyDescent="0.2">
      <c r="B965" s="119" t="str">
        <f>'[1]COMEDORES EMERGENTES'!$B$10</f>
        <v>PAPA FRANCISCO</v>
      </c>
      <c r="C965" s="120"/>
      <c r="D965" s="63">
        <v>200</v>
      </c>
      <c r="E965" s="64" t="str">
        <f>'[1]COMEDORES EMERGENTES'!$G$10</f>
        <v>ENTRE AV.TEREBINTO Y AV.SAN JUAN LOTE "2" MZA. "B"</v>
      </c>
    </row>
    <row r="966" spans="2:5" x14ac:dyDescent="0.2">
      <c r="B966" s="119" t="str">
        <f>'[1]COMEDORES EMERGENTES'!$B$11</f>
        <v>E.P.C - 100 V.V NORTE</v>
      </c>
      <c r="C966" s="120"/>
      <c r="D966" s="63">
        <v>300</v>
      </c>
      <c r="E966" s="64" t="str">
        <f>'[1]COMEDORES EMERGENTES'!$G$11</f>
        <v>Bº VV NORTE C/48 ENTRE ESPAÑA Y FRANCIA</v>
      </c>
    </row>
    <row r="967" spans="2:5" x14ac:dyDescent="0.2">
      <c r="B967" s="119" t="str">
        <f>'[1]COMEDORES EMERGENTES'!$B$12</f>
        <v>HOGAR DE CRISTO - PADRE RAUL CONTRERAS</v>
      </c>
      <c r="C967" s="120"/>
      <c r="D967" s="63">
        <v>300</v>
      </c>
      <c r="E967" s="64" t="str">
        <f>'[1]COMEDORES EMERGENTES'!$G$12</f>
        <v>Bº SANTA MARTA MZA. "S" LOTE "M" C/39</v>
      </c>
    </row>
    <row r="968" spans="2:5" x14ac:dyDescent="0.2">
      <c r="B968" s="119" t="str">
        <f>'[1]COMEDORES EMERGENTES'!$B$13</f>
        <v>LA LUCIERNAGA</v>
      </c>
      <c r="C968" s="120"/>
      <c r="D968" s="63">
        <v>200</v>
      </c>
      <c r="E968" s="64" t="str">
        <f>'[1]COMEDORES EMERGENTES'!$G$13</f>
        <v>Bº 20 V.V NORTE C/3</v>
      </c>
    </row>
    <row r="969" spans="2:5" x14ac:dyDescent="0.2">
      <c r="B969" s="119" t="str">
        <f>'[1]COMEDORES EMERGENTES'!$B$14</f>
        <v>VALLE VIEJO - SUMALAO</v>
      </c>
      <c r="C969" s="120"/>
      <c r="D969" s="63">
        <v>350</v>
      </c>
      <c r="E969" s="64" t="str">
        <f>'[1]COMEDORES EMERGENTES'!$G$14</f>
        <v>PADRE SEGURA S/N</v>
      </c>
    </row>
    <row r="970" spans="2:5" x14ac:dyDescent="0.2">
      <c r="B970" s="119" t="str">
        <f>'[1]COMEDORES EMERGENTES'!$B$15</f>
        <v>NUESTRO FUTURO - LAS VIAS</v>
      </c>
      <c r="C970" s="120"/>
      <c r="D970" s="63">
        <v>200</v>
      </c>
      <c r="E970" s="64" t="str">
        <f>'[1]COMEDORES EMERGENTES'!$G$15</f>
        <v>Bº LAS VIAS OESTE LOTE 42</v>
      </c>
    </row>
    <row r="971" spans="2:5" x14ac:dyDescent="0.2">
      <c r="B971" s="119" t="str">
        <f>'[1]COMEDORES EMERGENTES'!$B$16</f>
        <v>SAN JOSE OBRERO</v>
      </c>
      <c r="C971" s="120"/>
      <c r="D971" s="63">
        <v>130</v>
      </c>
      <c r="E971" s="64" t="str">
        <f>'[1]COMEDORES EMERGENTES'!$G$16</f>
        <v>Bº SAN JOSE OBRERO. PJE. SANDOVAL S/Nº</v>
      </c>
    </row>
    <row r="972" spans="2:5" x14ac:dyDescent="0.2">
      <c r="B972" s="119" t="str">
        <f>'[1]COMEDORES EMERGENTES'!$B$17</f>
        <v>VIRGEN DE LUJAN</v>
      </c>
      <c r="C972" s="120"/>
      <c r="D972" s="63">
        <v>200</v>
      </c>
      <c r="E972" s="64" t="str">
        <f>'[1]COMEDORES EMERGENTES'!$G$17</f>
        <v>Bº OJO DE AGUA C/DR.TEODULFO BARRIONUEVO S/Nº</v>
      </c>
    </row>
    <row r="973" spans="2:5" x14ac:dyDescent="0.2">
      <c r="B973" s="119" t="str">
        <f>'[1]COMEDORES EMERGENTES'!$B$18</f>
        <v>RENACER</v>
      </c>
      <c r="C973" s="120"/>
      <c r="D973" s="63">
        <v>250</v>
      </c>
      <c r="E973" s="64" t="str">
        <f>'[1]COMEDORES EMERGENTES'!$G$18</f>
        <v>Bº VIRGEN MORENITA</v>
      </c>
    </row>
    <row r="974" spans="2:5" x14ac:dyDescent="0.2">
      <c r="B974" s="119" t="str">
        <f>'[1]COMEDORES EMERGENTES'!$B$19</f>
        <v>CENTRO VECINAL MI JARDIN</v>
      </c>
      <c r="C974" s="120"/>
      <c r="D974" s="63">
        <v>180</v>
      </c>
      <c r="E974" s="64" t="str">
        <f>'[1]COMEDORES EMERGENTES'!$G$19</f>
        <v>C/ LOS TULIPANES ENTRE FLOR DE CEREZO Y HOLANDA MZA.27 Bº MI JARDIN</v>
      </c>
    </row>
    <row r="975" spans="2:5" x14ac:dyDescent="0.2">
      <c r="B975" s="119" t="str">
        <f>'[1]COMEDORES EMERGENTES'!$B$20</f>
        <v>LA VIEJA ESQUINA</v>
      </c>
      <c r="C975" s="120"/>
      <c r="D975" s="63">
        <v>172</v>
      </c>
      <c r="E975" s="64" t="str">
        <f>'[1]COMEDORES EMERGENTES'!$G$20</f>
        <v>B° CRISTO REY PJE CAPATAZ VILLAFAÑEZ Y ARMANDO CORREA</v>
      </c>
    </row>
    <row r="976" spans="2:5" x14ac:dyDescent="0.2">
      <c r="B976" s="119" t="str">
        <f>'[1]COMEDORES EMERGENTES'!$B$21</f>
        <v>GAUCHITO GIL</v>
      </c>
      <c r="C976" s="120"/>
      <c r="D976" s="63">
        <v>168</v>
      </c>
      <c r="E976" s="64" t="str">
        <f>'[1]COMEDORES EMERGENTES'!$G$21</f>
        <v>B° 26 VIVIENDAS CASA N° 3</v>
      </c>
    </row>
    <row r="977" spans="2:5" ht="13.5" thickBot="1" x14ac:dyDescent="0.25">
      <c r="B977" s="121" t="str">
        <f>'[1]COMEDORES EMERGENTES'!$B$22</f>
        <v>LOS TOLDOS</v>
      </c>
      <c r="C977" s="122"/>
      <c r="D977" s="67">
        <v>80</v>
      </c>
      <c r="E977" s="68" t="str">
        <f>'[1]COMEDORES EMERGENTES'!$G$22</f>
        <v>LOTEO PARQUE SUR CALLE S/NOMBRE S/N°</v>
      </c>
    </row>
    <row r="978" spans="2:5" x14ac:dyDescent="0.2">
      <c r="B978" s="9" t="s">
        <v>18</v>
      </c>
      <c r="E978" s="8"/>
    </row>
    <row r="979" spans="2:5" x14ac:dyDescent="0.2">
      <c r="B979" s="10"/>
      <c r="C979" s="123" t="s">
        <v>24</v>
      </c>
      <c r="D979" s="123"/>
      <c r="E979" s="123"/>
    </row>
    <row r="980" spans="2:5" x14ac:dyDescent="0.2">
      <c r="B980" s="9" t="s">
        <v>19</v>
      </c>
      <c r="C980" s="11"/>
      <c r="D980" s="11"/>
      <c r="E980" s="12"/>
    </row>
    <row r="981" spans="2:5" x14ac:dyDescent="0.2">
      <c r="B981" s="10"/>
      <c r="C981" s="123" t="s">
        <v>86</v>
      </c>
      <c r="D981" s="123"/>
      <c r="E981" s="123"/>
    </row>
    <row r="982" spans="2:5" x14ac:dyDescent="0.2">
      <c r="B982" s="9" t="s">
        <v>20</v>
      </c>
      <c r="E982" s="8"/>
    </row>
    <row r="983" spans="2:5" x14ac:dyDescent="0.2">
      <c r="B983" s="9"/>
      <c r="C983" s="124" t="s">
        <v>25</v>
      </c>
      <c r="D983" s="124"/>
      <c r="E983" s="124"/>
    </row>
    <row r="984" spans="2:5" ht="13.5" thickBot="1" x14ac:dyDescent="0.25">
      <c r="B984" s="13"/>
      <c r="C984" s="14"/>
      <c r="D984" s="29"/>
      <c r="E984" s="15"/>
    </row>
    <row r="985" spans="2:5" ht="13.5" thickBot="1" x14ac:dyDescent="0.25"/>
    <row r="986" spans="2:5" x14ac:dyDescent="0.2">
      <c r="B986" s="4" t="s">
        <v>111</v>
      </c>
      <c r="C986" s="5"/>
      <c r="D986" s="27"/>
      <c r="E986" s="6"/>
    </row>
    <row r="987" spans="2:5" x14ac:dyDescent="0.2">
      <c r="B987" s="7"/>
      <c r="E987" s="8"/>
    </row>
    <row r="988" spans="2:5" x14ac:dyDescent="0.2">
      <c r="B988" s="9" t="s">
        <v>16</v>
      </c>
      <c r="E988" s="8"/>
    </row>
    <row r="989" spans="2:5" ht="30" customHeight="1" x14ac:dyDescent="0.2">
      <c r="B989" s="9"/>
      <c r="C989" s="123"/>
      <c r="D989" s="123"/>
      <c r="E989" s="123"/>
    </row>
    <row r="990" spans="2:5" ht="13.5" thickBot="1" x14ac:dyDescent="0.25">
      <c r="B990" s="9" t="s">
        <v>17</v>
      </c>
      <c r="E990" s="8"/>
    </row>
    <row r="991" spans="2:5" ht="13.5" thickBot="1" x14ac:dyDescent="0.25">
      <c r="B991" s="127" t="s">
        <v>189</v>
      </c>
      <c r="C991" s="132"/>
      <c r="D991" s="132"/>
      <c r="E991" s="128"/>
    </row>
    <row r="992" spans="2:5" ht="13.5" thickBot="1" x14ac:dyDescent="0.25">
      <c r="B992" s="127" t="s">
        <v>84</v>
      </c>
      <c r="C992" s="128"/>
      <c r="D992" s="25" t="s">
        <v>11</v>
      </c>
      <c r="E992" s="25" t="s">
        <v>85</v>
      </c>
    </row>
    <row r="993" spans="2:5" x14ac:dyDescent="0.2">
      <c r="B993" s="129" t="str">
        <f>'[1]COMEDORES EMERGENTES'!$B$3</f>
        <v>UNA SONRISA AV. LOS COBACHO</v>
      </c>
      <c r="C993" s="130"/>
      <c r="D993" s="65">
        <v>160</v>
      </c>
      <c r="E993" s="66" t="str">
        <f>'[1]COMEDORES EMERGENTES'!$G$3</f>
        <v>Bº SAN CARLOS OESTE AV. Bonifacio cobacho 670</v>
      </c>
    </row>
    <row r="994" spans="2:5" x14ac:dyDescent="0.2">
      <c r="B994" s="119" t="str">
        <f>'[1]COMEDORES EMERGENTES'!$B$4</f>
        <v>C.I.F Nº1 - RIVERA DEL VALLE Y FLORIDA</v>
      </c>
      <c r="C994" s="120"/>
      <c r="D994" s="63">
        <v>230</v>
      </c>
      <c r="E994" s="64" t="str">
        <f>'[1]COMEDORES EMERGENTES'!$G$4</f>
        <v>AV. RIVIERA DEL VALLE ENTRE FLORIDA Y SANTA FE</v>
      </c>
    </row>
    <row r="995" spans="2:5" x14ac:dyDescent="0.2">
      <c r="B995" s="119" t="str">
        <f>'[1]COMEDORES EMERGENTES'!$B$5</f>
        <v>C.I.F - RIVERA DEL VALLE - DILORENZO</v>
      </c>
      <c r="C995" s="120"/>
      <c r="D995" s="63">
        <v>270</v>
      </c>
      <c r="E995" s="64" t="str">
        <f>'[1]COMEDORES EMERGENTES'!$G$5</f>
        <v>Bº RIVERA DEL VALLE ENTRE VILLA EUMELIA Y MONTE CRISTO</v>
      </c>
    </row>
    <row r="996" spans="2:5" x14ac:dyDescent="0.2">
      <c r="B996" s="119" t="str">
        <f>'[1]COMEDORES EMERGENTES'!$B$6</f>
        <v>ESFUERZO PROPIO- Bº ALTOS DE CHOYA</v>
      </c>
      <c r="C996" s="120"/>
      <c r="D996" s="63">
        <v>220</v>
      </c>
      <c r="E996" s="64" t="str">
        <f>'[1]COMEDORES EMERGENTES'!$G$6</f>
        <v>Bº MUNICIPAL 35VV. NORTE C/14</v>
      </c>
    </row>
    <row r="997" spans="2:5" x14ac:dyDescent="0.2">
      <c r="B997" s="119" t="str">
        <f>'[1]COMEDORES EMERGENTES'!$B$7</f>
        <v>ANGELITOS - LOTEO SUSSEX</v>
      </c>
      <c r="C997" s="120"/>
      <c r="D997" s="63">
        <v>100</v>
      </c>
      <c r="E997" s="64" t="str">
        <f>'[1]COMEDORES EMERGENTES'!$G$7</f>
        <v>Bº LOTEO SUSEX MZA.Nº 4 LOTE Nº3</v>
      </c>
    </row>
    <row r="998" spans="2:5" x14ac:dyDescent="0.2">
      <c r="B998" s="119" t="str">
        <f>'[1]COMEDORES EMERGENTES'!$B$8</f>
        <v>CLUB DEPORTIVO CHACARITA</v>
      </c>
      <c r="C998" s="120"/>
      <c r="D998" s="63">
        <v>130</v>
      </c>
      <c r="E998" s="64" t="str">
        <f>'[1]COMEDORES EMERGENTES'!$G$8</f>
        <v>CALLE DR.DERMIDIO GALINDEZ C/2660</v>
      </c>
    </row>
    <row r="999" spans="2:5" x14ac:dyDescent="0.2">
      <c r="B999" s="119" t="str">
        <f>'[1]COMEDORES EMERGENTES'!$B$9</f>
        <v>LA MORO</v>
      </c>
      <c r="C999" s="120"/>
      <c r="D999" s="63">
        <v>120</v>
      </c>
      <c r="E999" s="64" t="str">
        <f>'[1]COMEDORES EMERGENTES'!$G$9</f>
        <v>MAIPU NORTE 1º ETAPA MZA "H" Bº MI JARDIN</v>
      </c>
    </row>
    <row r="1000" spans="2:5" x14ac:dyDescent="0.2">
      <c r="B1000" s="119" t="str">
        <f>'[1]COMEDORES EMERGENTES'!$B$10</f>
        <v>PAPA FRANCISCO</v>
      </c>
      <c r="C1000" s="120"/>
      <c r="D1000" s="63">
        <v>200</v>
      </c>
      <c r="E1000" s="64" t="str">
        <f>'[1]COMEDORES EMERGENTES'!$G$10</f>
        <v>ENTRE AV.TEREBINTO Y AV.SAN JUAN LOTE "2" MZA. "B"</v>
      </c>
    </row>
    <row r="1001" spans="2:5" x14ac:dyDescent="0.2">
      <c r="B1001" s="119" t="str">
        <f>'[1]COMEDORES EMERGENTES'!$B$11</f>
        <v>E.P.C - 100 V.V NORTE</v>
      </c>
      <c r="C1001" s="120"/>
      <c r="D1001" s="63">
        <v>300</v>
      </c>
      <c r="E1001" s="64" t="str">
        <f>'[1]COMEDORES EMERGENTES'!$G$11</f>
        <v>Bº VV NORTE C/48 ENTRE ESPAÑA Y FRANCIA</v>
      </c>
    </row>
    <row r="1002" spans="2:5" x14ac:dyDescent="0.2">
      <c r="B1002" s="119" t="str">
        <f>'[1]COMEDORES EMERGENTES'!$B$12</f>
        <v>HOGAR DE CRISTO - PADRE RAUL CONTRERAS</v>
      </c>
      <c r="C1002" s="120"/>
      <c r="D1002" s="63">
        <v>300</v>
      </c>
      <c r="E1002" s="64" t="str">
        <f>'[1]COMEDORES EMERGENTES'!$G$12</f>
        <v>Bº SANTA MARTA MZA. "S" LOTE "M" C/39</v>
      </c>
    </row>
    <row r="1003" spans="2:5" x14ac:dyDescent="0.2">
      <c r="B1003" s="119" t="str">
        <f>'[1]COMEDORES EMERGENTES'!$B$13</f>
        <v>LA LUCIERNAGA</v>
      </c>
      <c r="C1003" s="120"/>
      <c r="D1003" s="63">
        <v>200</v>
      </c>
      <c r="E1003" s="64" t="str">
        <f>'[1]COMEDORES EMERGENTES'!$G$13</f>
        <v>Bº 20 V.V NORTE C/3</v>
      </c>
    </row>
    <row r="1004" spans="2:5" x14ac:dyDescent="0.2">
      <c r="B1004" s="119" t="str">
        <f>'[1]COMEDORES EMERGENTES'!$B$14</f>
        <v>VALLE VIEJO - SUMALAO</v>
      </c>
      <c r="C1004" s="120"/>
      <c r="D1004" s="63">
        <v>350</v>
      </c>
      <c r="E1004" s="64" t="str">
        <f>'[1]COMEDORES EMERGENTES'!$G$14</f>
        <v>PADRE SEGURA S/N</v>
      </c>
    </row>
    <row r="1005" spans="2:5" x14ac:dyDescent="0.2">
      <c r="B1005" s="119" t="str">
        <f>'[1]COMEDORES EMERGENTES'!$B$15</f>
        <v>NUESTRO FUTURO - LAS VIAS</v>
      </c>
      <c r="C1005" s="120"/>
      <c r="D1005" s="63">
        <v>200</v>
      </c>
      <c r="E1005" s="64" t="str">
        <f>'[1]COMEDORES EMERGENTES'!$G$15</f>
        <v>Bº LAS VIAS OESTE LOTE 42</v>
      </c>
    </row>
    <row r="1006" spans="2:5" x14ac:dyDescent="0.2">
      <c r="B1006" s="119" t="str">
        <f>'[1]COMEDORES EMERGENTES'!$B$16</f>
        <v>SAN JOSE OBRERO</v>
      </c>
      <c r="C1006" s="120"/>
      <c r="D1006" s="63">
        <v>130</v>
      </c>
      <c r="E1006" s="64" t="str">
        <f>'[1]COMEDORES EMERGENTES'!$G$16</f>
        <v>Bº SAN JOSE OBRERO. PJE. SANDOVAL S/Nº</v>
      </c>
    </row>
    <row r="1007" spans="2:5" x14ac:dyDescent="0.2">
      <c r="B1007" s="119" t="str">
        <f>'[1]COMEDORES EMERGENTES'!$B$17</f>
        <v>VIRGEN DE LUJAN</v>
      </c>
      <c r="C1007" s="120"/>
      <c r="D1007" s="63">
        <v>200</v>
      </c>
      <c r="E1007" s="64" t="str">
        <f>'[1]COMEDORES EMERGENTES'!$G$17</f>
        <v>Bº OJO DE AGUA C/DR.TEODULFO BARRIONUEVO S/Nº</v>
      </c>
    </row>
    <row r="1008" spans="2:5" x14ac:dyDescent="0.2">
      <c r="B1008" s="119" t="str">
        <f>'[1]COMEDORES EMERGENTES'!$B$18</f>
        <v>RENACER</v>
      </c>
      <c r="C1008" s="120"/>
      <c r="D1008" s="63">
        <v>250</v>
      </c>
      <c r="E1008" s="64" t="str">
        <f>'[1]COMEDORES EMERGENTES'!$G$18</f>
        <v>Bº VIRGEN MORENITA</v>
      </c>
    </row>
    <row r="1009" spans="2:5" x14ac:dyDescent="0.2">
      <c r="B1009" s="119" t="str">
        <f>'[1]COMEDORES EMERGENTES'!$B$19</f>
        <v>CENTRO VECINAL MI JARDIN</v>
      </c>
      <c r="C1009" s="120"/>
      <c r="D1009" s="63">
        <v>180</v>
      </c>
      <c r="E1009" s="64" t="str">
        <f>'[1]COMEDORES EMERGENTES'!$G$19</f>
        <v>C/ LOS TULIPANES ENTRE FLOR DE CEREZO Y HOLANDA MZA.27 Bº MI JARDIN</v>
      </c>
    </row>
    <row r="1010" spans="2:5" x14ac:dyDescent="0.2">
      <c r="B1010" s="119" t="str">
        <f>'[1]COMEDORES EMERGENTES'!$B$20</f>
        <v>LA VIEJA ESQUINA</v>
      </c>
      <c r="C1010" s="120"/>
      <c r="D1010" s="63">
        <v>172</v>
      </c>
      <c r="E1010" s="64" t="str">
        <f>'[1]COMEDORES EMERGENTES'!$G$20</f>
        <v>B° CRISTO REY PJE CAPATAZ VILLAFAÑEZ Y ARMANDO CORREA</v>
      </c>
    </row>
    <row r="1011" spans="2:5" x14ac:dyDescent="0.2">
      <c r="B1011" s="119" t="str">
        <f>'[1]COMEDORES EMERGENTES'!$B$21</f>
        <v>GAUCHITO GIL</v>
      </c>
      <c r="C1011" s="120"/>
      <c r="D1011" s="63">
        <v>168</v>
      </c>
      <c r="E1011" s="64" t="str">
        <f>'[1]COMEDORES EMERGENTES'!$G$21</f>
        <v>B° 26 VIVIENDAS CASA N° 3</v>
      </c>
    </row>
    <row r="1012" spans="2:5" ht="13.5" thickBot="1" x14ac:dyDescent="0.25">
      <c r="B1012" s="121" t="str">
        <f>'[1]COMEDORES EMERGENTES'!$B$22</f>
        <v>LOS TOLDOS</v>
      </c>
      <c r="C1012" s="122"/>
      <c r="D1012" s="67">
        <v>80</v>
      </c>
      <c r="E1012" s="68" t="str">
        <f>'[1]COMEDORES EMERGENTES'!$G$22</f>
        <v>LOTEO PARQUE SUR CALLE S/NOMBRE S/N°</v>
      </c>
    </row>
    <row r="1013" spans="2:5" x14ac:dyDescent="0.2">
      <c r="B1013" s="9" t="s">
        <v>18</v>
      </c>
      <c r="E1013" s="8"/>
    </row>
    <row r="1014" spans="2:5" x14ac:dyDescent="0.2">
      <c r="B1014" s="10"/>
      <c r="C1014" s="123" t="s">
        <v>24</v>
      </c>
      <c r="D1014" s="123"/>
      <c r="E1014" s="123"/>
    </row>
    <row r="1015" spans="2:5" x14ac:dyDescent="0.2">
      <c r="B1015" s="9" t="s">
        <v>19</v>
      </c>
      <c r="C1015" s="11"/>
      <c r="D1015" s="11"/>
      <c r="E1015" s="12"/>
    </row>
    <row r="1016" spans="2:5" x14ac:dyDescent="0.2">
      <c r="B1016" s="10"/>
      <c r="C1016" s="123" t="s">
        <v>86</v>
      </c>
      <c r="D1016" s="123"/>
      <c r="E1016" s="123"/>
    </row>
    <row r="1017" spans="2:5" x14ac:dyDescent="0.2">
      <c r="B1017" s="9" t="s">
        <v>20</v>
      </c>
      <c r="E1017" s="8"/>
    </row>
    <row r="1018" spans="2:5" x14ac:dyDescent="0.2">
      <c r="B1018" s="9"/>
      <c r="C1018" s="124" t="s">
        <v>25</v>
      </c>
      <c r="D1018" s="124"/>
      <c r="E1018" s="124"/>
    </row>
    <row r="1019" spans="2:5" ht="13.5" thickBot="1" x14ac:dyDescent="0.25">
      <c r="B1019" s="13"/>
      <c r="C1019" s="14"/>
      <c r="D1019" s="29"/>
      <c r="E1019" s="15"/>
    </row>
    <row r="1020" spans="2:5" ht="13.5" thickBot="1" x14ac:dyDescent="0.25"/>
    <row r="1021" spans="2:5" x14ac:dyDescent="0.2">
      <c r="B1021" s="4" t="s">
        <v>112</v>
      </c>
      <c r="C1021" s="5"/>
      <c r="D1021" s="27"/>
      <c r="E1021" s="6"/>
    </row>
    <row r="1022" spans="2:5" x14ac:dyDescent="0.2">
      <c r="B1022" s="7"/>
      <c r="E1022" s="8"/>
    </row>
    <row r="1023" spans="2:5" x14ac:dyDescent="0.2">
      <c r="B1023" s="9" t="s">
        <v>16</v>
      </c>
      <c r="E1023" s="8"/>
    </row>
    <row r="1024" spans="2:5" ht="25.5" customHeight="1" x14ac:dyDescent="0.2">
      <c r="B1024" s="9"/>
      <c r="C1024" s="123"/>
      <c r="D1024" s="123"/>
      <c r="E1024" s="123"/>
    </row>
    <row r="1025" spans="2:5" ht="13.5" thickBot="1" x14ac:dyDescent="0.25">
      <c r="B1025" s="9" t="s">
        <v>17</v>
      </c>
      <c r="E1025" s="8"/>
    </row>
    <row r="1026" spans="2:5" ht="13.5" thickBot="1" x14ac:dyDescent="0.25">
      <c r="B1026" s="127" t="s">
        <v>191</v>
      </c>
      <c r="C1026" s="132"/>
      <c r="D1026" s="132"/>
      <c r="E1026" s="128"/>
    </row>
    <row r="1027" spans="2:5" ht="13.5" thickBot="1" x14ac:dyDescent="0.25">
      <c r="B1027" s="127" t="s">
        <v>84</v>
      </c>
      <c r="C1027" s="128"/>
      <c r="D1027" s="25" t="s">
        <v>11</v>
      </c>
      <c r="E1027" s="25" t="s">
        <v>85</v>
      </c>
    </row>
    <row r="1028" spans="2:5" x14ac:dyDescent="0.2">
      <c r="B1028" s="129" t="str">
        <f>'[1]COMEDORES EMERGENTES'!$B$3</f>
        <v>UNA SONRISA AV. LOS COBACHO</v>
      </c>
      <c r="C1028" s="130"/>
      <c r="D1028" s="65">
        <v>160</v>
      </c>
      <c r="E1028" s="66" t="str">
        <f>'[1]COMEDORES EMERGENTES'!$G$3</f>
        <v>Bº SAN CARLOS OESTE AV. Bonifacio cobacho 670</v>
      </c>
    </row>
    <row r="1029" spans="2:5" x14ac:dyDescent="0.2">
      <c r="B1029" s="119" t="str">
        <f>'[1]COMEDORES EMERGENTES'!$B$4</f>
        <v>C.I.F Nº1 - RIVERA DEL VALLE Y FLORIDA</v>
      </c>
      <c r="C1029" s="120"/>
      <c r="D1029" s="63">
        <v>230</v>
      </c>
      <c r="E1029" s="64" t="str">
        <f>'[1]COMEDORES EMERGENTES'!$G$4</f>
        <v>AV. RIVIERA DEL VALLE ENTRE FLORIDA Y SANTA FE</v>
      </c>
    </row>
    <row r="1030" spans="2:5" x14ac:dyDescent="0.2">
      <c r="B1030" s="119" t="str">
        <f>'[1]COMEDORES EMERGENTES'!$B$5</f>
        <v>C.I.F - RIVERA DEL VALLE - DILORENZO</v>
      </c>
      <c r="C1030" s="120"/>
      <c r="D1030" s="63">
        <v>270</v>
      </c>
      <c r="E1030" s="64" t="str">
        <f>'[1]COMEDORES EMERGENTES'!$G$5</f>
        <v>Bº RIVERA DEL VALLE ENTRE VILLA EUMELIA Y MONTE CRISTO</v>
      </c>
    </row>
    <row r="1031" spans="2:5" x14ac:dyDescent="0.2">
      <c r="B1031" s="119" t="str">
        <f>'[1]COMEDORES EMERGENTES'!$B$6</f>
        <v>ESFUERZO PROPIO- Bº ALTOS DE CHOYA</v>
      </c>
      <c r="C1031" s="120"/>
      <c r="D1031" s="63">
        <v>220</v>
      </c>
      <c r="E1031" s="64" t="str">
        <f>'[1]COMEDORES EMERGENTES'!$G$6</f>
        <v>Bº MUNICIPAL 35VV. NORTE C/14</v>
      </c>
    </row>
    <row r="1032" spans="2:5" x14ac:dyDescent="0.2">
      <c r="B1032" s="119" t="str">
        <f>'[1]COMEDORES EMERGENTES'!$B$7</f>
        <v>ANGELITOS - LOTEO SUSSEX</v>
      </c>
      <c r="C1032" s="120"/>
      <c r="D1032" s="63">
        <v>100</v>
      </c>
      <c r="E1032" s="64" t="str">
        <f>'[1]COMEDORES EMERGENTES'!$G$7</f>
        <v>Bº LOTEO SUSEX MZA.Nº 4 LOTE Nº3</v>
      </c>
    </row>
    <row r="1033" spans="2:5" x14ac:dyDescent="0.2">
      <c r="B1033" s="119" t="str">
        <f>'[1]COMEDORES EMERGENTES'!$B$8</f>
        <v>CLUB DEPORTIVO CHACARITA</v>
      </c>
      <c r="C1033" s="120"/>
      <c r="D1033" s="63">
        <v>130</v>
      </c>
      <c r="E1033" s="64" t="str">
        <f>'[1]COMEDORES EMERGENTES'!$G$8</f>
        <v>CALLE DR.DERMIDIO GALINDEZ C/2660</v>
      </c>
    </row>
    <row r="1034" spans="2:5" x14ac:dyDescent="0.2">
      <c r="B1034" s="119" t="str">
        <f>'[1]COMEDORES EMERGENTES'!$B$9</f>
        <v>LA MORO</v>
      </c>
      <c r="C1034" s="120"/>
      <c r="D1034" s="63">
        <v>120</v>
      </c>
      <c r="E1034" s="64" t="str">
        <f>'[1]COMEDORES EMERGENTES'!$G$9</f>
        <v>MAIPU NORTE 1º ETAPA MZA "H" Bº MI JARDIN</v>
      </c>
    </row>
    <row r="1035" spans="2:5" x14ac:dyDescent="0.2">
      <c r="B1035" s="119" t="str">
        <f>'[1]COMEDORES EMERGENTES'!$B$10</f>
        <v>PAPA FRANCISCO</v>
      </c>
      <c r="C1035" s="120"/>
      <c r="D1035" s="63">
        <v>200</v>
      </c>
      <c r="E1035" s="64" t="str">
        <f>'[1]COMEDORES EMERGENTES'!$G$10</f>
        <v>ENTRE AV.TEREBINTO Y AV.SAN JUAN LOTE "2" MZA. "B"</v>
      </c>
    </row>
    <row r="1036" spans="2:5" x14ac:dyDescent="0.2">
      <c r="B1036" s="119" t="str">
        <f>'[1]COMEDORES EMERGENTES'!$B$11</f>
        <v>E.P.C - 100 V.V NORTE</v>
      </c>
      <c r="C1036" s="120"/>
      <c r="D1036" s="63">
        <v>300</v>
      </c>
      <c r="E1036" s="64" t="str">
        <f>'[1]COMEDORES EMERGENTES'!$G$11</f>
        <v>Bº VV NORTE C/48 ENTRE ESPAÑA Y FRANCIA</v>
      </c>
    </row>
    <row r="1037" spans="2:5" x14ac:dyDescent="0.2">
      <c r="B1037" s="119" t="str">
        <f>'[1]COMEDORES EMERGENTES'!$B$12</f>
        <v>HOGAR DE CRISTO - PADRE RAUL CONTRERAS</v>
      </c>
      <c r="C1037" s="120"/>
      <c r="D1037" s="63">
        <v>300</v>
      </c>
      <c r="E1037" s="64" t="str">
        <f>'[1]COMEDORES EMERGENTES'!$G$12</f>
        <v>Bº SANTA MARTA MZA. "S" LOTE "M" C/39</v>
      </c>
    </row>
    <row r="1038" spans="2:5" x14ac:dyDescent="0.2">
      <c r="B1038" s="119" t="str">
        <f>'[1]COMEDORES EMERGENTES'!$B$13</f>
        <v>LA LUCIERNAGA</v>
      </c>
      <c r="C1038" s="120"/>
      <c r="D1038" s="63">
        <v>200</v>
      </c>
      <c r="E1038" s="64" t="str">
        <f>'[1]COMEDORES EMERGENTES'!$G$13</f>
        <v>Bº 20 V.V NORTE C/3</v>
      </c>
    </row>
    <row r="1039" spans="2:5" x14ac:dyDescent="0.2">
      <c r="B1039" s="119" t="str">
        <f>'[1]COMEDORES EMERGENTES'!$B$14</f>
        <v>VALLE VIEJO - SUMALAO</v>
      </c>
      <c r="C1039" s="120"/>
      <c r="D1039" s="63">
        <v>350</v>
      </c>
      <c r="E1039" s="64" t="str">
        <f>'[1]COMEDORES EMERGENTES'!$G$14</f>
        <v>PADRE SEGURA S/N</v>
      </c>
    </row>
    <row r="1040" spans="2:5" x14ac:dyDescent="0.2">
      <c r="B1040" s="119" t="str">
        <f>'[1]COMEDORES EMERGENTES'!$B$15</f>
        <v>NUESTRO FUTURO - LAS VIAS</v>
      </c>
      <c r="C1040" s="120"/>
      <c r="D1040" s="63">
        <v>200</v>
      </c>
      <c r="E1040" s="64" t="str">
        <f>'[1]COMEDORES EMERGENTES'!$G$15</f>
        <v>Bº LAS VIAS OESTE LOTE 42</v>
      </c>
    </row>
    <row r="1041" spans="2:5" x14ac:dyDescent="0.2">
      <c r="B1041" s="119" t="str">
        <f>'[1]COMEDORES EMERGENTES'!$B$16</f>
        <v>SAN JOSE OBRERO</v>
      </c>
      <c r="C1041" s="120"/>
      <c r="D1041" s="63">
        <v>130</v>
      </c>
      <c r="E1041" s="64" t="str">
        <f>'[1]COMEDORES EMERGENTES'!$G$16</f>
        <v>Bº SAN JOSE OBRERO. PJE. SANDOVAL S/Nº</v>
      </c>
    </row>
    <row r="1042" spans="2:5" x14ac:dyDescent="0.2">
      <c r="B1042" s="119" t="str">
        <f>'[1]COMEDORES EMERGENTES'!$B$17</f>
        <v>VIRGEN DE LUJAN</v>
      </c>
      <c r="C1042" s="120"/>
      <c r="D1042" s="63">
        <v>200</v>
      </c>
      <c r="E1042" s="64" t="str">
        <f>'[1]COMEDORES EMERGENTES'!$G$17</f>
        <v>Bº OJO DE AGUA C/DR.TEODULFO BARRIONUEVO S/Nº</v>
      </c>
    </row>
    <row r="1043" spans="2:5" x14ac:dyDescent="0.2">
      <c r="B1043" s="119" t="str">
        <f>'[1]COMEDORES EMERGENTES'!$B$18</f>
        <v>RENACER</v>
      </c>
      <c r="C1043" s="120"/>
      <c r="D1043" s="63">
        <v>250</v>
      </c>
      <c r="E1043" s="64" t="str">
        <f>'[1]COMEDORES EMERGENTES'!$G$18</f>
        <v>Bº VIRGEN MORENITA</v>
      </c>
    </row>
    <row r="1044" spans="2:5" x14ac:dyDescent="0.2">
      <c r="B1044" s="119" t="str">
        <f>'[1]COMEDORES EMERGENTES'!$B$19</f>
        <v>CENTRO VECINAL MI JARDIN</v>
      </c>
      <c r="C1044" s="120"/>
      <c r="D1044" s="63">
        <v>180</v>
      </c>
      <c r="E1044" s="64" t="str">
        <f>'[1]COMEDORES EMERGENTES'!$G$19</f>
        <v>C/ LOS TULIPANES ENTRE FLOR DE CEREZO Y HOLANDA MZA.27 Bº MI JARDIN</v>
      </c>
    </row>
    <row r="1045" spans="2:5" x14ac:dyDescent="0.2">
      <c r="B1045" s="119" t="str">
        <f>'[1]COMEDORES EMERGENTES'!$B$20</f>
        <v>LA VIEJA ESQUINA</v>
      </c>
      <c r="C1045" s="120"/>
      <c r="D1045" s="63">
        <v>172</v>
      </c>
      <c r="E1045" s="64" t="str">
        <f>'[1]COMEDORES EMERGENTES'!$G$20</f>
        <v>B° CRISTO REY PJE CAPATAZ VILLAFAÑEZ Y ARMANDO CORREA</v>
      </c>
    </row>
    <row r="1046" spans="2:5" x14ac:dyDescent="0.2">
      <c r="B1046" s="119" t="str">
        <f>'[1]COMEDORES EMERGENTES'!$B$21</f>
        <v>GAUCHITO GIL</v>
      </c>
      <c r="C1046" s="120"/>
      <c r="D1046" s="63">
        <v>168</v>
      </c>
      <c r="E1046" s="64" t="str">
        <f>'[1]COMEDORES EMERGENTES'!$G$21</f>
        <v>B° 26 VIVIENDAS CASA N° 3</v>
      </c>
    </row>
    <row r="1047" spans="2:5" ht="13.5" thickBot="1" x14ac:dyDescent="0.25">
      <c r="B1047" s="121" t="str">
        <f>'[1]COMEDORES EMERGENTES'!$B$22</f>
        <v>LOS TOLDOS</v>
      </c>
      <c r="C1047" s="122"/>
      <c r="D1047" s="67">
        <v>80</v>
      </c>
      <c r="E1047" s="68" t="str">
        <f>'[1]COMEDORES EMERGENTES'!$G$22</f>
        <v>LOTEO PARQUE SUR CALLE S/NOMBRE S/N°</v>
      </c>
    </row>
    <row r="1048" spans="2:5" x14ac:dyDescent="0.2">
      <c r="B1048" s="9" t="s">
        <v>18</v>
      </c>
      <c r="E1048" s="8"/>
    </row>
    <row r="1049" spans="2:5" x14ac:dyDescent="0.2">
      <c r="B1049" s="10"/>
      <c r="C1049" s="123" t="s">
        <v>24</v>
      </c>
      <c r="D1049" s="123"/>
      <c r="E1049" s="123"/>
    </row>
    <row r="1050" spans="2:5" x14ac:dyDescent="0.2">
      <c r="B1050" s="9" t="s">
        <v>19</v>
      </c>
      <c r="C1050" s="11"/>
      <c r="D1050" s="11"/>
      <c r="E1050" s="12"/>
    </row>
    <row r="1051" spans="2:5" x14ac:dyDescent="0.2">
      <c r="B1051" s="10"/>
      <c r="C1051" s="123" t="s">
        <v>86</v>
      </c>
      <c r="D1051" s="123"/>
      <c r="E1051" s="123"/>
    </row>
    <row r="1052" spans="2:5" x14ac:dyDescent="0.2">
      <c r="B1052" s="9" t="s">
        <v>20</v>
      </c>
      <c r="E1052" s="8"/>
    </row>
    <row r="1053" spans="2:5" x14ac:dyDescent="0.2">
      <c r="B1053" s="9"/>
      <c r="C1053" s="124" t="s">
        <v>25</v>
      </c>
      <c r="D1053" s="124"/>
      <c r="E1053" s="124"/>
    </row>
    <row r="1054" spans="2:5" ht="13.5" thickBot="1" x14ac:dyDescent="0.25">
      <c r="B1054" s="13"/>
      <c r="C1054" s="14"/>
      <c r="D1054" s="29"/>
      <c r="E1054" s="15"/>
    </row>
    <row r="1055" spans="2:5" ht="13.5" thickBot="1" x14ac:dyDescent="0.25"/>
    <row r="1056" spans="2:5" x14ac:dyDescent="0.2">
      <c r="B1056" s="4" t="s">
        <v>113</v>
      </c>
      <c r="C1056" s="5"/>
      <c r="D1056" s="27"/>
      <c r="E1056" s="6"/>
    </row>
    <row r="1057" spans="2:5" x14ac:dyDescent="0.2">
      <c r="B1057" s="7"/>
      <c r="E1057" s="8"/>
    </row>
    <row r="1058" spans="2:5" x14ac:dyDescent="0.2">
      <c r="B1058" s="9" t="s">
        <v>16</v>
      </c>
      <c r="E1058" s="8"/>
    </row>
    <row r="1059" spans="2:5" ht="25.5" customHeight="1" x14ac:dyDescent="0.2">
      <c r="B1059" s="9"/>
      <c r="C1059" s="123"/>
      <c r="D1059" s="123"/>
      <c r="E1059" s="123"/>
    </row>
    <row r="1060" spans="2:5" ht="13.5" thickBot="1" x14ac:dyDescent="0.25">
      <c r="B1060" s="9" t="s">
        <v>17</v>
      </c>
      <c r="E1060" s="8"/>
    </row>
    <row r="1061" spans="2:5" ht="13.5" thickBot="1" x14ac:dyDescent="0.25">
      <c r="B1061" s="127" t="s">
        <v>190</v>
      </c>
      <c r="C1061" s="132"/>
      <c r="D1061" s="132"/>
      <c r="E1061" s="128"/>
    </row>
    <row r="1062" spans="2:5" ht="13.5" thickBot="1" x14ac:dyDescent="0.25">
      <c r="B1062" s="127" t="s">
        <v>84</v>
      </c>
      <c r="C1062" s="128"/>
      <c r="D1062" s="25" t="s">
        <v>11</v>
      </c>
      <c r="E1062" s="25" t="s">
        <v>85</v>
      </c>
    </row>
    <row r="1063" spans="2:5" x14ac:dyDescent="0.2">
      <c r="B1063" s="129" t="str">
        <f>'[1]COMEDORES EMERGENTES'!$B$3</f>
        <v>UNA SONRISA AV. LOS COBACHO</v>
      </c>
      <c r="C1063" s="130"/>
      <c r="D1063" s="65">
        <v>160</v>
      </c>
      <c r="E1063" s="66" t="str">
        <f>'[1]COMEDORES EMERGENTES'!$G$3</f>
        <v>Bº SAN CARLOS OESTE AV. Bonifacio cobacho 670</v>
      </c>
    </row>
    <row r="1064" spans="2:5" x14ac:dyDescent="0.2">
      <c r="B1064" s="119" t="str">
        <f>'[1]COMEDORES EMERGENTES'!$B$4</f>
        <v>C.I.F Nº1 - RIVERA DEL VALLE Y FLORIDA</v>
      </c>
      <c r="C1064" s="120"/>
      <c r="D1064" s="63">
        <v>230</v>
      </c>
      <c r="E1064" s="64" t="str">
        <f>'[1]COMEDORES EMERGENTES'!$G$4</f>
        <v>AV. RIVIERA DEL VALLE ENTRE FLORIDA Y SANTA FE</v>
      </c>
    </row>
    <row r="1065" spans="2:5" x14ac:dyDescent="0.2">
      <c r="B1065" s="119" t="str">
        <f>'[1]COMEDORES EMERGENTES'!$B$5</f>
        <v>C.I.F - RIVERA DEL VALLE - DILORENZO</v>
      </c>
      <c r="C1065" s="120"/>
      <c r="D1065" s="63">
        <v>270</v>
      </c>
      <c r="E1065" s="64" t="str">
        <f>'[1]COMEDORES EMERGENTES'!$G$5</f>
        <v>Bº RIVERA DEL VALLE ENTRE VILLA EUMELIA Y MONTE CRISTO</v>
      </c>
    </row>
    <row r="1066" spans="2:5" x14ac:dyDescent="0.2">
      <c r="B1066" s="119" t="str">
        <f>'[1]COMEDORES EMERGENTES'!$B$6</f>
        <v>ESFUERZO PROPIO- Bº ALTOS DE CHOYA</v>
      </c>
      <c r="C1066" s="120"/>
      <c r="D1066" s="63">
        <v>220</v>
      </c>
      <c r="E1066" s="64" t="str">
        <f>'[1]COMEDORES EMERGENTES'!$G$6</f>
        <v>Bº MUNICIPAL 35VV. NORTE C/14</v>
      </c>
    </row>
    <row r="1067" spans="2:5" x14ac:dyDescent="0.2">
      <c r="B1067" s="119" t="str">
        <f>'[1]COMEDORES EMERGENTES'!$B$7</f>
        <v>ANGELITOS - LOTEO SUSSEX</v>
      </c>
      <c r="C1067" s="120"/>
      <c r="D1067" s="63">
        <v>100</v>
      </c>
      <c r="E1067" s="64" t="str">
        <f>'[1]COMEDORES EMERGENTES'!$G$7</f>
        <v>Bº LOTEO SUSEX MZA.Nº 4 LOTE Nº3</v>
      </c>
    </row>
    <row r="1068" spans="2:5" x14ac:dyDescent="0.2">
      <c r="B1068" s="119" t="str">
        <f>'[1]COMEDORES EMERGENTES'!$B$8</f>
        <v>CLUB DEPORTIVO CHACARITA</v>
      </c>
      <c r="C1068" s="120"/>
      <c r="D1068" s="63">
        <v>130</v>
      </c>
      <c r="E1068" s="64" t="str">
        <f>'[1]COMEDORES EMERGENTES'!$G$8</f>
        <v>CALLE DR.DERMIDIO GALINDEZ C/2660</v>
      </c>
    </row>
    <row r="1069" spans="2:5" x14ac:dyDescent="0.2">
      <c r="B1069" s="119" t="str">
        <f>'[1]COMEDORES EMERGENTES'!$B$9</f>
        <v>LA MORO</v>
      </c>
      <c r="C1069" s="120"/>
      <c r="D1069" s="63">
        <v>120</v>
      </c>
      <c r="E1069" s="64" t="str">
        <f>'[1]COMEDORES EMERGENTES'!$G$9</f>
        <v>MAIPU NORTE 1º ETAPA MZA "H" Bº MI JARDIN</v>
      </c>
    </row>
    <row r="1070" spans="2:5" x14ac:dyDescent="0.2">
      <c r="B1070" s="119" t="str">
        <f>'[1]COMEDORES EMERGENTES'!$B$10</f>
        <v>PAPA FRANCISCO</v>
      </c>
      <c r="C1070" s="120"/>
      <c r="D1070" s="63">
        <v>200</v>
      </c>
      <c r="E1070" s="64" t="str">
        <f>'[1]COMEDORES EMERGENTES'!$G$10</f>
        <v>ENTRE AV.TEREBINTO Y AV.SAN JUAN LOTE "2" MZA. "B"</v>
      </c>
    </row>
    <row r="1071" spans="2:5" x14ac:dyDescent="0.2">
      <c r="B1071" s="119" t="str">
        <f>'[1]COMEDORES EMERGENTES'!$B$11</f>
        <v>E.P.C - 100 V.V NORTE</v>
      </c>
      <c r="C1071" s="120"/>
      <c r="D1071" s="63">
        <v>300</v>
      </c>
      <c r="E1071" s="64" t="str">
        <f>'[1]COMEDORES EMERGENTES'!$G$11</f>
        <v>Bº VV NORTE C/48 ENTRE ESPAÑA Y FRANCIA</v>
      </c>
    </row>
    <row r="1072" spans="2:5" x14ac:dyDescent="0.2">
      <c r="B1072" s="119" t="str">
        <f>'[1]COMEDORES EMERGENTES'!$B$12</f>
        <v>HOGAR DE CRISTO - PADRE RAUL CONTRERAS</v>
      </c>
      <c r="C1072" s="120"/>
      <c r="D1072" s="63">
        <v>300</v>
      </c>
      <c r="E1072" s="64" t="str">
        <f>'[1]COMEDORES EMERGENTES'!$G$12</f>
        <v>Bº SANTA MARTA MZA. "S" LOTE "M" C/39</v>
      </c>
    </row>
    <row r="1073" spans="2:5" x14ac:dyDescent="0.2">
      <c r="B1073" s="119" t="str">
        <f>'[1]COMEDORES EMERGENTES'!$B$13</f>
        <v>LA LUCIERNAGA</v>
      </c>
      <c r="C1073" s="120"/>
      <c r="D1073" s="63">
        <v>200</v>
      </c>
      <c r="E1073" s="64" t="str">
        <f>'[1]COMEDORES EMERGENTES'!$G$13</f>
        <v>Bº 20 V.V NORTE C/3</v>
      </c>
    </row>
    <row r="1074" spans="2:5" x14ac:dyDescent="0.2">
      <c r="B1074" s="119" t="str">
        <f>'[1]COMEDORES EMERGENTES'!$B$14</f>
        <v>VALLE VIEJO - SUMALAO</v>
      </c>
      <c r="C1074" s="120"/>
      <c r="D1074" s="63">
        <v>350</v>
      </c>
      <c r="E1074" s="64" t="str">
        <f>'[1]COMEDORES EMERGENTES'!$G$14</f>
        <v>PADRE SEGURA S/N</v>
      </c>
    </row>
    <row r="1075" spans="2:5" x14ac:dyDescent="0.2">
      <c r="B1075" s="119" t="str">
        <f>'[1]COMEDORES EMERGENTES'!$B$15</f>
        <v>NUESTRO FUTURO - LAS VIAS</v>
      </c>
      <c r="C1075" s="120"/>
      <c r="D1075" s="63">
        <v>200</v>
      </c>
      <c r="E1075" s="64" t="str">
        <f>'[1]COMEDORES EMERGENTES'!$G$15</f>
        <v>Bº LAS VIAS OESTE LOTE 42</v>
      </c>
    </row>
    <row r="1076" spans="2:5" x14ac:dyDescent="0.2">
      <c r="B1076" s="119" t="str">
        <f>'[1]COMEDORES EMERGENTES'!$B$16</f>
        <v>SAN JOSE OBRERO</v>
      </c>
      <c r="C1076" s="120"/>
      <c r="D1076" s="63">
        <v>130</v>
      </c>
      <c r="E1076" s="64" t="str">
        <f>'[1]COMEDORES EMERGENTES'!$G$16</f>
        <v>Bº SAN JOSE OBRERO. PJE. SANDOVAL S/Nº</v>
      </c>
    </row>
    <row r="1077" spans="2:5" x14ac:dyDescent="0.2">
      <c r="B1077" s="119" t="str">
        <f>'[1]COMEDORES EMERGENTES'!$B$17</f>
        <v>VIRGEN DE LUJAN</v>
      </c>
      <c r="C1077" s="120"/>
      <c r="D1077" s="63">
        <v>200</v>
      </c>
      <c r="E1077" s="64" t="str">
        <f>'[1]COMEDORES EMERGENTES'!$G$17</f>
        <v>Bº OJO DE AGUA C/DR.TEODULFO BARRIONUEVO S/Nº</v>
      </c>
    </row>
    <row r="1078" spans="2:5" x14ac:dyDescent="0.2">
      <c r="B1078" s="119" t="str">
        <f>'[1]COMEDORES EMERGENTES'!$B$18</f>
        <v>RENACER</v>
      </c>
      <c r="C1078" s="120"/>
      <c r="D1078" s="63">
        <v>250</v>
      </c>
      <c r="E1078" s="64" t="str">
        <f>'[1]COMEDORES EMERGENTES'!$G$18</f>
        <v>Bº VIRGEN MORENITA</v>
      </c>
    </row>
    <row r="1079" spans="2:5" x14ac:dyDescent="0.2">
      <c r="B1079" s="119" t="str">
        <f>'[1]COMEDORES EMERGENTES'!$B$19</f>
        <v>CENTRO VECINAL MI JARDIN</v>
      </c>
      <c r="C1079" s="120"/>
      <c r="D1079" s="63">
        <v>180</v>
      </c>
      <c r="E1079" s="64" t="str">
        <f>'[1]COMEDORES EMERGENTES'!$G$19</f>
        <v>C/ LOS TULIPANES ENTRE FLOR DE CEREZO Y HOLANDA MZA.27 Bº MI JARDIN</v>
      </c>
    </row>
    <row r="1080" spans="2:5" x14ac:dyDescent="0.2">
      <c r="B1080" s="119" t="str">
        <f>'[1]COMEDORES EMERGENTES'!$B$20</f>
        <v>LA VIEJA ESQUINA</v>
      </c>
      <c r="C1080" s="120"/>
      <c r="D1080" s="63">
        <v>172</v>
      </c>
      <c r="E1080" s="64" t="str">
        <f>'[1]COMEDORES EMERGENTES'!$G$20</f>
        <v>B° CRISTO REY PJE CAPATAZ VILLAFAÑEZ Y ARMANDO CORREA</v>
      </c>
    </row>
    <row r="1081" spans="2:5" x14ac:dyDescent="0.2">
      <c r="B1081" s="119" t="str">
        <f>'[1]COMEDORES EMERGENTES'!$B$21</f>
        <v>GAUCHITO GIL</v>
      </c>
      <c r="C1081" s="120"/>
      <c r="D1081" s="63">
        <v>168</v>
      </c>
      <c r="E1081" s="64" t="str">
        <f>'[1]COMEDORES EMERGENTES'!$G$21</f>
        <v>B° 26 VIVIENDAS CASA N° 3</v>
      </c>
    </row>
    <row r="1082" spans="2:5" ht="13.5" thickBot="1" x14ac:dyDescent="0.25">
      <c r="B1082" s="121" t="str">
        <f>'[1]COMEDORES EMERGENTES'!$B$22</f>
        <v>LOS TOLDOS</v>
      </c>
      <c r="C1082" s="122"/>
      <c r="D1082" s="67">
        <v>80</v>
      </c>
      <c r="E1082" s="68" t="str">
        <f>'[1]COMEDORES EMERGENTES'!$G$22</f>
        <v>LOTEO PARQUE SUR CALLE S/NOMBRE S/N°</v>
      </c>
    </row>
    <row r="1083" spans="2:5" x14ac:dyDescent="0.2">
      <c r="B1083" s="9" t="s">
        <v>18</v>
      </c>
      <c r="E1083" s="8"/>
    </row>
    <row r="1084" spans="2:5" x14ac:dyDescent="0.2">
      <c r="B1084" s="10"/>
      <c r="C1084" s="123" t="s">
        <v>24</v>
      </c>
      <c r="D1084" s="123"/>
      <c r="E1084" s="123"/>
    </row>
    <row r="1085" spans="2:5" x14ac:dyDescent="0.2">
      <c r="B1085" s="9" t="s">
        <v>19</v>
      </c>
      <c r="C1085" s="11"/>
      <c r="D1085" s="11"/>
      <c r="E1085" s="12"/>
    </row>
    <row r="1086" spans="2:5" x14ac:dyDescent="0.2">
      <c r="B1086" s="10"/>
      <c r="C1086" s="123" t="s">
        <v>86</v>
      </c>
      <c r="D1086" s="123"/>
      <c r="E1086" s="123"/>
    </row>
    <row r="1087" spans="2:5" x14ac:dyDescent="0.2">
      <c r="B1087" s="9" t="s">
        <v>20</v>
      </c>
      <c r="E1087" s="8"/>
    </row>
    <row r="1088" spans="2:5" x14ac:dyDescent="0.2">
      <c r="B1088" s="9"/>
      <c r="C1088" s="124" t="s">
        <v>25</v>
      </c>
      <c r="D1088" s="124"/>
      <c r="E1088" s="124"/>
    </row>
    <row r="1089" spans="2:5" ht="13.5" thickBot="1" x14ac:dyDescent="0.25">
      <c r="B1089" s="13"/>
      <c r="C1089" s="14"/>
      <c r="D1089" s="29"/>
      <c r="E1089" s="15"/>
    </row>
  </sheetData>
  <mergeCells count="787">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B1035:C1035"/>
    <mergeCell ref="B1036:C1036"/>
    <mergeCell ref="B1037:C1037"/>
    <mergeCell ref="B1038:C1038"/>
    <mergeCell ref="B1039:C1039"/>
    <mergeCell ref="B1030:C1030"/>
    <mergeCell ref="B1031:C1031"/>
    <mergeCell ref="B1032:C1032"/>
    <mergeCell ref="B1033:C1033"/>
    <mergeCell ref="B1034:C1034"/>
    <mergeCell ref="C1024:E1024"/>
    <mergeCell ref="B1026:E1026"/>
    <mergeCell ref="B1027:C1027"/>
    <mergeCell ref="B1028:C1028"/>
    <mergeCell ref="B1029:C1029"/>
    <mergeCell ref="B1011:C1011"/>
    <mergeCell ref="C1014:E1014"/>
    <mergeCell ref="C1016:E1016"/>
    <mergeCell ref="C1018:E1018"/>
    <mergeCell ref="B1006:C1006"/>
    <mergeCell ref="B1007:C1007"/>
    <mergeCell ref="B1008:C1008"/>
    <mergeCell ref="B1009:C1009"/>
    <mergeCell ref="B1010:C1010"/>
    <mergeCell ref="B1012:C1012"/>
    <mergeCell ref="B1001:C1001"/>
    <mergeCell ref="B1002:C1002"/>
    <mergeCell ref="B1003:C1003"/>
    <mergeCell ref="B1004:C1004"/>
    <mergeCell ref="B1005:C1005"/>
    <mergeCell ref="B996:C996"/>
    <mergeCell ref="B997:C997"/>
    <mergeCell ref="B998:C998"/>
    <mergeCell ref="B999:C999"/>
    <mergeCell ref="B1000:C1000"/>
    <mergeCell ref="B991:E991"/>
    <mergeCell ref="B992:C992"/>
    <mergeCell ref="B993:C993"/>
    <mergeCell ref="B994:C994"/>
    <mergeCell ref="B995:C995"/>
    <mergeCell ref="C979:E979"/>
    <mergeCell ref="C981:E981"/>
    <mergeCell ref="C983:E983"/>
    <mergeCell ref="C989:E989"/>
    <mergeCell ref="B972:C972"/>
    <mergeCell ref="B973:C973"/>
    <mergeCell ref="B974:C974"/>
    <mergeCell ref="B975:C975"/>
    <mergeCell ref="B976:C976"/>
    <mergeCell ref="B967:C967"/>
    <mergeCell ref="B968:C968"/>
    <mergeCell ref="B969:C969"/>
    <mergeCell ref="B970:C970"/>
    <mergeCell ref="B971:C971"/>
    <mergeCell ref="B962:C962"/>
    <mergeCell ref="B963:C963"/>
    <mergeCell ref="B964:C964"/>
    <mergeCell ref="B965:C965"/>
    <mergeCell ref="B966:C966"/>
    <mergeCell ref="B957:C957"/>
    <mergeCell ref="B958:C958"/>
    <mergeCell ref="B959:C959"/>
    <mergeCell ref="B960:C960"/>
    <mergeCell ref="B961:C961"/>
    <mergeCell ref="C944:E944"/>
    <mergeCell ref="C946:E946"/>
    <mergeCell ref="C948:E948"/>
    <mergeCell ref="C954:E954"/>
    <mergeCell ref="B956:E956"/>
    <mergeCell ref="B938:C938"/>
    <mergeCell ref="B939:C939"/>
    <mergeCell ref="B940:C940"/>
    <mergeCell ref="B941:C941"/>
    <mergeCell ref="B942:C942"/>
    <mergeCell ref="B933:C933"/>
    <mergeCell ref="B934:C934"/>
    <mergeCell ref="B935:C935"/>
    <mergeCell ref="B936:C936"/>
    <mergeCell ref="B937:C937"/>
    <mergeCell ref="B928:C928"/>
    <mergeCell ref="B929:C929"/>
    <mergeCell ref="B930:C930"/>
    <mergeCell ref="B931:C931"/>
    <mergeCell ref="B932:C932"/>
    <mergeCell ref="B923:C923"/>
    <mergeCell ref="B924:C924"/>
    <mergeCell ref="B925:C925"/>
    <mergeCell ref="B926:C926"/>
    <mergeCell ref="B927:C927"/>
    <mergeCell ref="C911:E911"/>
    <mergeCell ref="C913:E913"/>
    <mergeCell ref="C919:E919"/>
    <mergeCell ref="B921:E921"/>
    <mergeCell ref="B922:C922"/>
    <mergeCell ref="B904:C904"/>
    <mergeCell ref="B905:C905"/>
    <mergeCell ref="B906:C906"/>
    <mergeCell ref="C909:E909"/>
    <mergeCell ref="B899:C899"/>
    <mergeCell ref="B900:C900"/>
    <mergeCell ref="B901:C901"/>
    <mergeCell ref="B902:C902"/>
    <mergeCell ref="B903:C903"/>
    <mergeCell ref="B907:C907"/>
    <mergeCell ref="B894:C894"/>
    <mergeCell ref="B895:C895"/>
    <mergeCell ref="B896:C896"/>
    <mergeCell ref="B897:C897"/>
    <mergeCell ref="B898:C898"/>
    <mergeCell ref="B889:C889"/>
    <mergeCell ref="B890:C890"/>
    <mergeCell ref="B891:C891"/>
    <mergeCell ref="B892:C892"/>
    <mergeCell ref="B893:C893"/>
    <mergeCell ref="C878:E878"/>
    <mergeCell ref="C884:E884"/>
    <mergeCell ref="B886:E886"/>
    <mergeCell ref="B887:C887"/>
    <mergeCell ref="B888:C888"/>
    <mergeCell ref="B870:C870"/>
    <mergeCell ref="B871:C871"/>
    <mergeCell ref="C874:E874"/>
    <mergeCell ref="C876:E876"/>
    <mergeCell ref="B872:C872"/>
    <mergeCell ref="B865:C865"/>
    <mergeCell ref="B866:C866"/>
    <mergeCell ref="B867:C867"/>
    <mergeCell ref="B868:C868"/>
    <mergeCell ref="B869:C869"/>
    <mergeCell ref="B860:C860"/>
    <mergeCell ref="B861:C861"/>
    <mergeCell ref="B862:C862"/>
    <mergeCell ref="B863:C863"/>
    <mergeCell ref="B864:C864"/>
    <mergeCell ref="B855:C855"/>
    <mergeCell ref="B856:C856"/>
    <mergeCell ref="B857:C857"/>
    <mergeCell ref="B858:C858"/>
    <mergeCell ref="B859:C859"/>
    <mergeCell ref="C849:E849"/>
    <mergeCell ref="B851:E851"/>
    <mergeCell ref="B852:C852"/>
    <mergeCell ref="B853:C853"/>
    <mergeCell ref="B854:C854"/>
    <mergeCell ref="B836:C836"/>
    <mergeCell ref="C839:E839"/>
    <mergeCell ref="C841:E841"/>
    <mergeCell ref="C843:E843"/>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787:C787"/>
    <mergeCell ref="B788:C788"/>
    <mergeCell ref="B789:C789"/>
    <mergeCell ref="B790:C790"/>
    <mergeCell ref="B791:C791"/>
    <mergeCell ref="B782:C782"/>
    <mergeCell ref="B783:C783"/>
    <mergeCell ref="B784:C784"/>
    <mergeCell ref="B785:C785"/>
    <mergeCell ref="B786:C786"/>
    <mergeCell ref="C769:E769"/>
    <mergeCell ref="C771:E771"/>
    <mergeCell ref="C773:E773"/>
    <mergeCell ref="C779:E779"/>
    <mergeCell ref="B781:E781"/>
    <mergeCell ref="B763:C763"/>
    <mergeCell ref="B764:C764"/>
    <mergeCell ref="B765:C765"/>
    <mergeCell ref="B766:C766"/>
    <mergeCell ref="B767:C767"/>
    <mergeCell ref="B758:C758"/>
    <mergeCell ref="B759:C759"/>
    <mergeCell ref="B760:C760"/>
    <mergeCell ref="B761:C761"/>
    <mergeCell ref="B762:C762"/>
    <mergeCell ref="B753:C753"/>
    <mergeCell ref="B754:C754"/>
    <mergeCell ref="B755:C755"/>
    <mergeCell ref="B756:C756"/>
    <mergeCell ref="B757:C757"/>
    <mergeCell ref="B748:C748"/>
    <mergeCell ref="B749:C749"/>
    <mergeCell ref="B750:C750"/>
    <mergeCell ref="B751:C751"/>
    <mergeCell ref="B752:C752"/>
    <mergeCell ref="C736:E736"/>
    <mergeCell ref="C738:E738"/>
    <mergeCell ref="C744:E744"/>
    <mergeCell ref="B746:E746"/>
    <mergeCell ref="B747:C747"/>
    <mergeCell ref="B729:C729"/>
    <mergeCell ref="B730:C730"/>
    <mergeCell ref="B731:C731"/>
    <mergeCell ref="C734:E734"/>
    <mergeCell ref="B724:C724"/>
    <mergeCell ref="B725:C725"/>
    <mergeCell ref="B726:C726"/>
    <mergeCell ref="B727:C727"/>
    <mergeCell ref="B728:C728"/>
    <mergeCell ref="B732:C732"/>
    <mergeCell ref="B719:C719"/>
    <mergeCell ref="B720:C720"/>
    <mergeCell ref="B721:C721"/>
    <mergeCell ref="B722:C722"/>
    <mergeCell ref="B723:C723"/>
    <mergeCell ref="B714:C714"/>
    <mergeCell ref="B715:C715"/>
    <mergeCell ref="B716:C716"/>
    <mergeCell ref="B717:C717"/>
    <mergeCell ref="B718:C718"/>
    <mergeCell ref="C703:E703"/>
    <mergeCell ref="C709:E709"/>
    <mergeCell ref="B711:E711"/>
    <mergeCell ref="B712:C712"/>
    <mergeCell ref="B713:C713"/>
    <mergeCell ref="B695:C695"/>
    <mergeCell ref="B696:C696"/>
    <mergeCell ref="C699:E699"/>
    <mergeCell ref="C701:E701"/>
    <mergeCell ref="B697:C697"/>
    <mergeCell ref="B690:C690"/>
    <mergeCell ref="B691:C691"/>
    <mergeCell ref="B692:C692"/>
    <mergeCell ref="B693:C693"/>
    <mergeCell ref="B694:C694"/>
    <mergeCell ref="B685:C685"/>
    <mergeCell ref="B686:C686"/>
    <mergeCell ref="B687:C687"/>
    <mergeCell ref="B688:C688"/>
    <mergeCell ref="B689:C689"/>
    <mergeCell ref="B680:C680"/>
    <mergeCell ref="B681:C681"/>
    <mergeCell ref="B682:C682"/>
    <mergeCell ref="B683:C683"/>
    <mergeCell ref="B684:C684"/>
    <mergeCell ref="C674:E674"/>
    <mergeCell ref="B676:E676"/>
    <mergeCell ref="B677:C677"/>
    <mergeCell ref="B678:C678"/>
    <mergeCell ref="B679:C679"/>
    <mergeCell ref="B661:C661"/>
    <mergeCell ref="C664:E664"/>
    <mergeCell ref="C666:E666"/>
    <mergeCell ref="C668:E668"/>
    <mergeCell ref="B656:C656"/>
    <mergeCell ref="B657:C657"/>
    <mergeCell ref="B658:C658"/>
    <mergeCell ref="B659:C659"/>
    <mergeCell ref="B660:C660"/>
    <mergeCell ref="B662:C662"/>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22:C622"/>
    <mergeCell ref="B623:C623"/>
    <mergeCell ref="B624:C624"/>
    <mergeCell ref="B625:C625"/>
    <mergeCell ref="B626:C626"/>
    <mergeCell ref="B617:C617"/>
    <mergeCell ref="B618:C618"/>
    <mergeCell ref="B619:C619"/>
    <mergeCell ref="B620:C620"/>
    <mergeCell ref="B621:C621"/>
    <mergeCell ref="B612:C612"/>
    <mergeCell ref="B613:C613"/>
    <mergeCell ref="B614:C614"/>
    <mergeCell ref="B615:C615"/>
    <mergeCell ref="B616:C616"/>
    <mergeCell ref="B607:C607"/>
    <mergeCell ref="B608:C608"/>
    <mergeCell ref="B609:C609"/>
    <mergeCell ref="B610:C610"/>
    <mergeCell ref="B611:C611"/>
    <mergeCell ref="C594:E594"/>
    <mergeCell ref="C596:E596"/>
    <mergeCell ref="C598:E598"/>
    <mergeCell ref="C604:E604"/>
    <mergeCell ref="B606:E606"/>
    <mergeCell ref="B588:C588"/>
    <mergeCell ref="B589:C589"/>
    <mergeCell ref="B590:C590"/>
    <mergeCell ref="B591:C591"/>
    <mergeCell ref="B592:C592"/>
    <mergeCell ref="B583:C583"/>
    <mergeCell ref="B584:C584"/>
    <mergeCell ref="B585:C585"/>
    <mergeCell ref="B586:C586"/>
    <mergeCell ref="B587:C587"/>
    <mergeCell ref="B578:C578"/>
    <mergeCell ref="B579:C579"/>
    <mergeCell ref="B580:C580"/>
    <mergeCell ref="B581:C581"/>
    <mergeCell ref="B582:C582"/>
    <mergeCell ref="B573:C573"/>
    <mergeCell ref="B574:C574"/>
    <mergeCell ref="B575:C575"/>
    <mergeCell ref="B576:C576"/>
    <mergeCell ref="B577:C577"/>
    <mergeCell ref="C561:E561"/>
    <mergeCell ref="C563:E563"/>
    <mergeCell ref="C569:E569"/>
    <mergeCell ref="B571:E571"/>
    <mergeCell ref="B572:C572"/>
    <mergeCell ref="B554:C554"/>
    <mergeCell ref="B555:C555"/>
    <mergeCell ref="B556:C556"/>
    <mergeCell ref="C559:E559"/>
    <mergeCell ref="B549:C549"/>
    <mergeCell ref="B550:C550"/>
    <mergeCell ref="B551:C551"/>
    <mergeCell ref="B552:C552"/>
    <mergeCell ref="B553:C553"/>
    <mergeCell ref="B544:C544"/>
    <mergeCell ref="B545:C545"/>
    <mergeCell ref="B546:C546"/>
    <mergeCell ref="B547:C547"/>
    <mergeCell ref="B548:C548"/>
    <mergeCell ref="B539:C539"/>
    <mergeCell ref="B540:C540"/>
    <mergeCell ref="B541:C541"/>
    <mergeCell ref="B542:C542"/>
    <mergeCell ref="B543:C543"/>
    <mergeCell ref="C528:E528"/>
    <mergeCell ref="C534:E534"/>
    <mergeCell ref="B536:E536"/>
    <mergeCell ref="B537:C537"/>
    <mergeCell ref="B538:C538"/>
    <mergeCell ref="B520:C520"/>
    <mergeCell ref="B521:C521"/>
    <mergeCell ref="C524:E524"/>
    <mergeCell ref="C526:E526"/>
    <mergeCell ref="B515:C515"/>
    <mergeCell ref="B516:C516"/>
    <mergeCell ref="B517:C517"/>
    <mergeCell ref="B518:C518"/>
    <mergeCell ref="B519:C519"/>
    <mergeCell ref="B510:C510"/>
    <mergeCell ref="B511:C511"/>
    <mergeCell ref="B512:C512"/>
    <mergeCell ref="B513:C513"/>
    <mergeCell ref="B514:C514"/>
    <mergeCell ref="B505:C505"/>
    <mergeCell ref="B506:C506"/>
    <mergeCell ref="B507:C507"/>
    <mergeCell ref="B508:C508"/>
    <mergeCell ref="B509:C509"/>
    <mergeCell ref="C499:E499"/>
    <mergeCell ref="B501:E501"/>
    <mergeCell ref="B502:C502"/>
    <mergeCell ref="B503:C503"/>
    <mergeCell ref="B504:C504"/>
    <mergeCell ref="B486:C486"/>
    <mergeCell ref="C489:E489"/>
    <mergeCell ref="C491:E491"/>
    <mergeCell ref="C493:E493"/>
    <mergeCell ref="B481:C481"/>
    <mergeCell ref="B482:C482"/>
    <mergeCell ref="B483:C483"/>
    <mergeCell ref="B484:C484"/>
    <mergeCell ref="B485:C485"/>
    <mergeCell ref="B476:C476"/>
    <mergeCell ref="B477:C477"/>
    <mergeCell ref="B478:C478"/>
    <mergeCell ref="B479:C479"/>
    <mergeCell ref="B480:C480"/>
    <mergeCell ref="B471:C471"/>
    <mergeCell ref="B472:C472"/>
    <mergeCell ref="B473:C473"/>
    <mergeCell ref="B474:C474"/>
    <mergeCell ref="B475:C475"/>
    <mergeCell ref="B466:E466"/>
    <mergeCell ref="B467:C467"/>
    <mergeCell ref="B468:C468"/>
    <mergeCell ref="B469:C469"/>
    <mergeCell ref="B470:C470"/>
    <mergeCell ref="C454:E454"/>
    <mergeCell ref="C456:E456"/>
    <mergeCell ref="C458:E458"/>
    <mergeCell ref="C464:E464"/>
    <mergeCell ref="B447:C447"/>
    <mergeCell ref="B448:C448"/>
    <mergeCell ref="B449:C449"/>
    <mergeCell ref="B450:C450"/>
    <mergeCell ref="B451:C451"/>
    <mergeCell ref="B442:C442"/>
    <mergeCell ref="B443:C443"/>
    <mergeCell ref="B444:C444"/>
    <mergeCell ref="B445:C445"/>
    <mergeCell ref="B446:C446"/>
    <mergeCell ref="B437:C437"/>
    <mergeCell ref="B438:C438"/>
    <mergeCell ref="B439:C439"/>
    <mergeCell ref="B440:C440"/>
    <mergeCell ref="B441:C441"/>
    <mergeCell ref="B432:C432"/>
    <mergeCell ref="B433:C433"/>
    <mergeCell ref="B434:C434"/>
    <mergeCell ref="B435:C435"/>
    <mergeCell ref="B436:C436"/>
    <mergeCell ref="C419:E419"/>
    <mergeCell ref="C421:E421"/>
    <mergeCell ref="C423:E423"/>
    <mergeCell ref="C429:E429"/>
    <mergeCell ref="B431:E431"/>
    <mergeCell ref="B413:C413"/>
    <mergeCell ref="B414:C414"/>
    <mergeCell ref="B415:C415"/>
    <mergeCell ref="B416:C416"/>
    <mergeCell ref="B408:C408"/>
    <mergeCell ref="B409:C409"/>
    <mergeCell ref="B410:C410"/>
    <mergeCell ref="B411:C411"/>
    <mergeCell ref="B412:C412"/>
    <mergeCell ref="B403:C403"/>
    <mergeCell ref="B404:C404"/>
    <mergeCell ref="B405:C405"/>
    <mergeCell ref="B406:C406"/>
    <mergeCell ref="B407:C407"/>
    <mergeCell ref="B398:C398"/>
    <mergeCell ref="B399:C399"/>
    <mergeCell ref="B400:C400"/>
    <mergeCell ref="B401:C401"/>
    <mergeCell ref="B402:C402"/>
    <mergeCell ref="C386:E386"/>
    <mergeCell ref="C388:E388"/>
    <mergeCell ref="C394:E394"/>
    <mergeCell ref="B396:E396"/>
    <mergeCell ref="B397:C397"/>
    <mergeCell ref="B379:C379"/>
    <mergeCell ref="B380:C380"/>
    <mergeCell ref="B381:C381"/>
    <mergeCell ref="C384:E384"/>
    <mergeCell ref="B374:C374"/>
    <mergeCell ref="B375:C375"/>
    <mergeCell ref="B376:C376"/>
    <mergeCell ref="B377:C377"/>
    <mergeCell ref="B378:C378"/>
    <mergeCell ref="B369:C369"/>
    <mergeCell ref="B370:C370"/>
    <mergeCell ref="B371:C371"/>
    <mergeCell ref="B372:C372"/>
    <mergeCell ref="B373:C373"/>
    <mergeCell ref="B364:C364"/>
    <mergeCell ref="B365:C365"/>
    <mergeCell ref="B366:C366"/>
    <mergeCell ref="B367:C367"/>
    <mergeCell ref="B368:C368"/>
    <mergeCell ref="C353:E353"/>
    <mergeCell ref="C359:E359"/>
    <mergeCell ref="B361:E361"/>
    <mergeCell ref="B362:C362"/>
    <mergeCell ref="B363:C363"/>
    <mergeCell ref="B345:C345"/>
    <mergeCell ref="B346:C346"/>
    <mergeCell ref="C349:E349"/>
    <mergeCell ref="C351:E351"/>
    <mergeCell ref="B340:C340"/>
    <mergeCell ref="B341:C341"/>
    <mergeCell ref="B342:C342"/>
    <mergeCell ref="B343:C343"/>
    <mergeCell ref="B344:C344"/>
    <mergeCell ref="B335:C335"/>
    <mergeCell ref="B336:C336"/>
    <mergeCell ref="B337:C337"/>
    <mergeCell ref="B338:C338"/>
    <mergeCell ref="B339:C339"/>
    <mergeCell ref="B330:C330"/>
    <mergeCell ref="B331:C331"/>
    <mergeCell ref="B332:C332"/>
    <mergeCell ref="B333:C333"/>
    <mergeCell ref="B334:C334"/>
    <mergeCell ref="C324:E324"/>
    <mergeCell ref="B326:E326"/>
    <mergeCell ref="B327:C327"/>
    <mergeCell ref="B328:C328"/>
    <mergeCell ref="B329:C329"/>
    <mergeCell ref="B311:C311"/>
    <mergeCell ref="C314:E314"/>
    <mergeCell ref="C316:E316"/>
    <mergeCell ref="C318:E318"/>
    <mergeCell ref="B306:C306"/>
    <mergeCell ref="B307:C307"/>
    <mergeCell ref="B308:C308"/>
    <mergeCell ref="B309:C309"/>
    <mergeCell ref="B310:C310"/>
    <mergeCell ref="B302:C302"/>
    <mergeCell ref="B303:C303"/>
    <mergeCell ref="B304:C304"/>
    <mergeCell ref="B305:C305"/>
    <mergeCell ref="B296:C296"/>
    <mergeCell ref="B297:C297"/>
    <mergeCell ref="B298:C298"/>
    <mergeCell ref="B299:C299"/>
    <mergeCell ref="B300:C300"/>
    <mergeCell ref="B291:E291"/>
    <mergeCell ref="B292:C292"/>
    <mergeCell ref="B293:C293"/>
    <mergeCell ref="B294:C294"/>
    <mergeCell ref="B295:C295"/>
    <mergeCell ref="C279:E279"/>
    <mergeCell ref="C281:E281"/>
    <mergeCell ref="C283:E283"/>
    <mergeCell ref="B301:C301"/>
    <mergeCell ref="B272:C272"/>
    <mergeCell ref="B273:C273"/>
    <mergeCell ref="B274:C274"/>
    <mergeCell ref="B275:C275"/>
    <mergeCell ref="B276:C276"/>
    <mergeCell ref="B267:C267"/>
    <mergeCell ref="B268:C268"/>
    <mergeCell ref="B269:C269"/>
    <mergeCell ref="B270:C270"/>
    <mergeCell ref="B271:C271"/>
    <mergeCell ref="B262:C262"/>
    <mergeCell ref="B263:C263"/>
    <mergeCell ref="B264:C264"/>
    <mergeCell ref="B265:C265"/>
    <mergeCell ref="B266:C266"/>
    <mergeCell ref="B257:C257"/>
    <mergeCell ref="B258:C258"/>
    <mergeCell ref="B259:C259"/>
    <mergeCell ref="B260:C260"/>
    <mergeCell ref="B261:C261"/>
    <mergeCell ref="C244:E244"/>
    <mergeCell ref="C246:E246"/>
    <mergeCell ref="C248:E248"/>
    <mergeCell ref="C254:E254"/>
    <mergeCell ref="B256:E256"/>
    <mergeCell ref="B238:C238"/>
    <mergeCell ref="B239:C239"/>
    <mergeCell ref="B240:C240"/>
    <mergeCell ref="B241:C241"/>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C211:E211"/>
    <mergeCell ref="C213:E213"/>
    <mergeCell ref="C219:E219"/>
    <mergeCell ref="B221:E221"/>
    <mergeCell ref="B222:C222"/>
    <mergeCell ref="B204:C204"/>
    <mergeCell ref="B205:C205"/>
    <mergeCell ref="B206:C206"/>
    <mergeCell ref="C209:E209"/>
    <mergeCell ref="B199:C199"/>
    <mergeCell ref="B200:C200"/>
    <mergeCell ref="B201:C201"/>
    <mergeCell ref="B202:C202"/>
    <mergeCell ref="B203:C203"/>
    <mergeCell ref="B194:C194"/>
    <mergeCell ref="B195:C195"/>
    <mergeCell ref="B196:C196"/>
    <mergeCell ref="B197:C197"/>
    <mergeCell ref="B198:C198"/>
    <mergeCell ref="B189:C189"/>
    <mergeCell ref="B190:C190"/>
    <mergeCell ref="B191:C191"/>
    <mergeCell ref="B192:C192"/>
    <mergeCell ref="B193:C193"/>
    <mergeCell ref="C178:E178"/>
    <mergeCell ref="C184:E184"/>
    <mergeCell ref="B186:E186"/>
    <mergeCell ref="B187:C187"/>
    <mergeCell ref="B188:C188"/>
    <mergeCell ref="B170:C170"/>
    <mergeCell ref="B171:C171"/>
    <mergeCell ref="C174:E174"/>
    <mergeCell ref="C176:E176"/>
    <mergeCell ref="B165:C165"/>
    <mergeCell ref="B166:C166"/>
    <mergeCell ref="B167:C167"/>
    <mergeCell ref="B168:C168"/>
    <mergeCell ref="B169:C169"/>
    <mergeCell ref="B160:C160"/>
    <mergeCell ref="B161:C161"/>
    <mergeCell ref="B162:C162"/>
    <mergeCell ref="B163:C163"/>
    <mergeCell ref="B164:C164"/>
    <mergeCell ref="B156:C156"/>
    <mergeCell ref="B157:C157"/>
    <mergeCell ref="B158:C158"/>
    <mergeCell ref="B159:C159"/>
    <mergeCell ref="C149:E149"/>
    <mergeCell ref="B151:E151"/>
    <mergeCell ref="B152:C152"/>
    <mergeCell ref="B153:C153"/>
    <mergeCell ref="B154:C154"/>
    <mergeCell ref="B155:C155"/>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B48:C48"/>
    <mergeCell ref="B49:C49"/>
    <mergeCell ref="B50:C50"/>
    <mergeCell ref="B51:C51"/>
    <mergeCell ref="B52:C52"/>
    <mergeCell ref="B53:C53"/>
    <mergeCell ref="B54:C54"/>
    <mergeCell ref="B55:C55"/>
    <mergeCell ref="B56:C56"/>
    <mergeCell ref="B1:H1"/>
    <mergeCell ref="A3:B3"/>
    <mergeCell ref="C3:E3"/>
    <mergeCell ref="A4:B4"/>
    <mergeCell ref="C4:E4"/>
    <mergeCell ref="A5:B5"/>
    <mergeCell ref="A6:B6"/>
    <mergeCell ref="C44:E44"/>
    <mergeCell ref="B47:C47"/>
    <mergeCell ref="B99:C99"/>
    <mergeCell ref="B100:C100"/>
    <mergeCell ref="B101:C101"/>
    <mergeCell ref="C114:E114"/>
    <mergeCell ref="B117:C117"/>
    <mergeCell ref="B118:C118"/>
    <mergeCell ref="B119:C119"/>
    <mergeCell ref="B120:C120"/>
    <mergeCell ref="B121:C121"/>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s>
  <pageMargins left="0" right="0" top="0.21" bottom="0" header="0.18" footer="0.21"/>
  <pageSetup paperSize="5" scale="60" firstPageNumber="0"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Necesidades Trimestrales AP</vt:lpstr>
      <vt:lpstr>alimento</vt:lpstr>
      <vt:lpstr>'Necesidades Trimestrales AP'!Área_de_impresión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2022-07-26T12:05:54Z</cp:lastPrinted>
  <dcterms:created xsi:type="dcterms:W3CDTF">2020-07-17T23:44:49Z</dcterms:created>
  <dcterms:modified xsi:type="dcterms:W3CDTF">2022-09-09T14:08:06Z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