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E:\SILVINA\AGOSTO 2021\CONSOLIDADO DESCARTABLE (Desier.yFracas.II trimestre)\"/>
    </mc:Choice>
  </mc:AlternateContent>
  <xr:revisionPtr revIDLastSave="0" documentId="13_ncr:1_{2E712F8B-DD71-424A-BA0F-92659BB8E884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Trimestrales'!$A$9:$I$186</definedName>
    <definedName name="_xlnm.Print_Area" localSheetId="0">'Necesidades Trimestrales'!$E$9:$E$107</definedName>
  </definedNames>
  <calcPr calcId="181029"/>
</workbook>
</file>

<file path=xl/calcChain.xml><?xml version="1.0" encoding="utf-8"?>
<calcChain xmlns="http://schemas.openxmlformats.org/spreadsheetml/2006/main">
  <c r="I178" i="1" l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9" i="1"/>
  <c r="I180" i="1"/>
  <c r="I181" i="1"/>
  <c r="I182" i="1"/>
  <c r="I183" i="1"/>
  <c r="I184" i="1"/>
  <c r="I185" i="1"/>
  <c r="I186" i="1"/>
  <c r="I11" i="1"/>
  <c r="I10" i="1"/>
</calcChain>
</file>

<file path=xl/sharedStrings.xml><?xml version="1.0" encoding="utf-8"?>
<sst xmlns="http://schemas.openxmlformats.org/spreadsheetml/2006/main" count="746" uniqueCount="218">
  <si>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</si>
  <si>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</si>
  <si>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</si>
  <si>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</si>
  <si>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</si>
  <si>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</si>
  <si>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</si>
  <si>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</si>
  <si>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</si>
  <si>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</si>
  <si>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</si>
  <si>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</si>
  <si>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</si>
  <si>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</si>
  <si>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024 - Hospital Interzonal de Niños</t>
  </si>
  <si>
    <t>040 - Ministerio de Salud</t>
  </si>
  <si>
    <t xml:space="preserve"> </t>
  </si>
  <si>
    <t>PROD. MEDICO/ FARMACEUTICOS/LAB</t>
  </si>
  <si>
    <t>Plazos y lugares de entrega</t>
  </si>
  <si>
    <t>Descripción técnica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</si>
  <si>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</si>
  <si>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</si>
  <si>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t>AGUJA ESPINAL 18 G X 3-1/2</t>
  </si>
  <si>
    <t>AGUJA ESPINAL 19 G 3-1/2</t>
  </si>
  <si>
    <t>AGUJA ESPINAL 22 G X 1</t>
  </si>
  <si>
    <t>Aguja ESPINAL 23 G 3 1/2</t>
  </si>
  <si>
    <t>Aguja ESPINAL 25 G 3 1/2</t>
  </si>
  <si>
    <t>AGUJA ESPINAL 25G 31/2 PUNTA LAPIZ</t>
  </si>
  <si>
    <t>Aguja ESPINAL 26 G 31/2</t>
  </si>
  <si>
    <t>Aguja ESPINAL 26 G 31/2  PUNTA LAPIZ</t>
  </si>
  <si>
    <t>Aguja ESPINAL 27 G 3 1/2</t>
  </si>
  <si>
    <t xml:space="preserve">AGUJA ESPINAL 27G 3 1/2 PUNTA LAPIZ </t>
  </si>
  <si>
    <t>AGUJA P/PUNCION/ASP.16G X 70MM T/BLOODLINE</t>
  </si>
  <si>
    <t>AGUJA P/SUTURA CURVAS CV310 X 12 UNID.</t>
  </si>
  <si>
    <t>AGUJA P/SUTURA RECTA X 1</t>
  </si>
  <si>
    <t>AGUJA PARA BLOQUEO PERIFERICO CON PUNTA LAPIZ N°22</t>
  </si>
  <si>
    <t>AGUJA POLY PORT CON PUNTA T/HUBER 621</t>
  </si>
  <si>
    <t>AGUJA POLY PORT CON PUNTA T/HUBER 623</t>
  </si>
  <si>
    <t>AGUJA PUNTA CURVA HUBER Nº 20 X 25 MM</t>
  </si>
  <si>
    <t>AGUJA PUNTA CURVA HUBER Nº 21 X 25 MM</t>
  </si>
  <si>
    <t>AGUJA PUNTA CURVA HUBER Nº 22 X 25 MM</t>
  </si>
  <si>
    <t>AGUJA TROCAR X 1 - 30/12</t>
  </si>
  <si>
    <t>ALAMBRE QUIRURGICO 1,5MM X 1 MT.</t>
  </si>
  <si>
    <t>ALAMBRE QUIRURGICO 1MM X 1 MT.</t>
  </si>
  <si>
    <t>ANTEOJOS ANTI HIV X 1</t>
  </si>
  <si>
    <t>BRAZALETE PNI 1 TUBO  Nº 1  TIPO  WELCH ALLYN/DRAGUER</t>
  </si>
  <si>
    <t>BRAZALETE PNI 1 TUBO  Nº 2  TIPO  WELCH ALLYN/DRAGUER</t>
  </si>
  <si>
    <t>BRAZALETE PNI 1 TUBO  Nº 3  TIPO  WELCH ALLYN/DRAGUER</t>
  </si>
  <si>
    <t>BRAZALETE PNI 1 TUBO  Nº 4  TIPO  WELCH ALLYN/DRAGUER</t>
  </si>
  <si>
    <t>BRAZALETE PNI 2 TUBO  Nº 1  TIPO  WELCH ALLYN/DRAGUER</t>
  </si>
  <si>
    <t>BRAZALETE PNI 2 TUBO  Nº 2  TIPO  WELCH ALLYN/DRAGUER</t>
  </si>
  <si>
    <t>BRAZALETE PNI 2 TUBO  Nº 3  TIPO  WELCH ALLYN/DRAGUER</t>
  </si>
  <si>
    <t>BRAZALETE PNI 2 TUBO  Nº 4  TIPO  WELCH ALLYN/DRAGUER</t>
  </si>
  <si>
    <t>CANULA DE ASPIRACION DE CAMPO QUIRURGICO TIPO K 66</t>
  </si>
  <si>
    <t>CARTUCHO ARTERIAL I-STAT • EG7+ caja x 25 unidades</t>
  </si>
  <si>
    <t>CARTUCHO I-STAT • CHEM8+ caja x 25 unidades</t>
  </si>
  <si>
    <t>CARTUCHO I-STAT • EG7+ caja x 25 unidades</t>
  </si>
  <si>
    <t>CARTUCHO VENOSO I-STAT • CHEM8+ caja x 25 unidades</t>
  </si>
  <si>
    <t>CLAVIJAS DE ACERO 2.5 MM</t>
  </si>
  <si>
    <t>Collar Philadelfia Chico 1unidad (UNICA x 1)</t>
  </si>
  <si>
    <t>Collar Philadelfia Grande 1unidad (UNICA x 1)</t>
  </si>
  <si>
    <t>Collar Philadelfia Mediano 1unidad (UNICA x 1)</t>
  </si>
  <si>
    <t>ESTETOSCOPIO PEDIATRICO - DE CAMAPANA SIMPLE</t>
  </si>
  <si>
    <t>JUEGO DE TRANSDUCTOR SENCILLO T/DTX PLUS DT4812-BD</t>
  </si>
  <si>
    <t>KIT RESUCITADOR MANUAL NEONATAL - TIPO "FISHER PAYKEL" SIN MASCARA</t>
  </si>
  <si>
    <t>MANGO P/CANULA ASP.E IRRIGACION C/CONTROL MANUAL D</t>
  </si>
  <si>
    <t>MANGUITOS NEONATALES 1 TUBO TIPO &lt;ETHOX&gt; tamaño 1 - MODELO 5101</t>
  </si>
  <si>
    <t>MANGUITOS NEONATALES 1 TUBO TIPO &lt;ETHOX&gt; tamaño 2 - MODELO 5102</t>
  </si>
  <si>
    <t>MANGUITOS NEONATALES 1 TUBO TIPO &lt;ETHOX&gt; tamaño 3 - MODELO 5103</t>
  </si>
  <si>
    <t>MASCARA AMBU BORDE INFLABLE Nª1 (INFANTIL)</t>
  </si>
  <si>
    <t>MASCARA AMBU BORDE INFLABLE Nª2 (INFANTIL)</t>
  </si>
  <si>
    <t>MASCARA AMBU BORDE INFLABLE Nª3 (INFANTIL)</t>
  </si>
  <si>
    <t>MASCARA AMBU BORDE INFLABLE Nª4 (INFANTIL)</t>
  </si>
  <si>
    <t>MASCARA FACIAL CON BORDE INFLABLE P/RESUCITADOR MANUAL ADULTO</t>
  </si>
  <si>
    <t>MASCARA FACIAL CON BORDE INFLABLE P/RESUCITADOR MANUAL PEDIATRICA</t>
  </si>
  <si>
    <t xml:space="preserve">Mascara facial para ventilación N° 1, adulto </t>
  </si>
  <si>
    <t xml:space="preserve">Mascara facial para ventilación N° 2, adulto </t>
  </si>
  <si>
    <t>MASCARA LARINGEA N°2</t>
  </si>
  <si>
    <t>MASCARA LARINGEA N°3</t>
  </si>
  <si>
    <t xml:space="preserve">MASCARA LARINGEA N°4 </t>
  </si>
  <si>
    <t>MASCARA P/AERO-KAM SILFAB BEBES COD.PA04</t>
  </si>
  <si>
    <t>MASCARA P/AERO-KAM SILFAB NIÑOS COD.PA02</t>
  </si>
  <si>
    <t>MASCARA P/ALTA CONCENTRACION DE O2 C/RECER.PED.</t>
  </si>
  <si>
    <t>Mascaras ANESTESICA BORDE INFLABLE Nº 0 TIPO  "MERCURY"</t>
  </si>
  <si>
    <t>Mascaras ANESTESICA BORDE INFLABLE Nº 1 TIPO  "MERCURY"</t>
  </si>
  <si>
    <t>RESUCITADOR MANUAL ADULTO REUTILIZABLE</t>
  </si>
  <si>
    <t>RESUCITADOR MANUAL NEONATAL - TIPO "MERCURY" CON MANOMETRO DE PRESION Y  VALVULA DE PIT</t>
  </si>
  <si>
    <t xml:space="preserve">RESUCITADOR MANUAL PEDIATRICO REUTILIZABLE </t>
  </si>
  <si>
    <t>TENSIOMETRO+ESTETOSCOPIO NEONATAL X 1</t>
  </si>
  <si>
    <t>TENSIOMETRO+ESTETOSCOPIO PEDIATRICO X 1</t>
  </si>
  <si>
    <t>TRANSDUCTOR DE PRESION INV COMPLETO T/EDWARDS</t>
  </si>
  <si>
    <t>TUBO DE KHER DE GOMA Nº16</t>
  </si>
  <si>
    <t>TUBO DE KHER DE GOMA Nº18</t>
  </si>
  <si>
    <t>TUBO DE KHER DE GOMA Nº10</t>
  </si>
  <si>
    <t>TUBO DE KHER DE GOMA Nº12</t>
  </si>
  <si>
    <t>TUBO DE KHER DE GOMA Nº14</t>
  </si>
  <si>
    <t>TUBO DE KHER DE GOMA Nº20</t>
  </si>
  <si>
    <t>VARA ESCHMANN N° 6 mm</t>
  </si>
  <si>
    <t>VARA ESCHMANN N° 9 mm</t>
  </si>
  <si>
    <t xml:space="preserve">VENDA COBAN 10CM </t>
  </si>
  <si>
    <t>VENDA COBAN 10CM TIPO 3M</t>
  </si>
  <si>
    <t>JUEGO DE TRANSDUCTOR SENCILLO T/DTX PLUS DT4812-BD MARCA EDWARDS</t>
  </si>
  <si>
    <t>HILO DE SUTURA MONOFILAMENTO 4-0 AGUJA PS-1 3/8 CIRC 24 MM</t>
  </si>
  <si>
    <t>HILO DE SUTURA TIPO SEDA 2-0 COD K833 H</t>
  </si>
  <si>
    <t>SUT.ABS.CATGUT SIMP.2-0 C/A SH Ó CT1 X 1 UNID</t>
  </si>
  <si>
    <t>SUT.ABS.CATGUT SIMP.3-0 C/A SH/CT1 X 1 UNID</t>
  </si>
  <si>
    <t>SUT.ABS.CATGUT SIMP.4-0 C/A SH X 1 UNID.</t>
  </si>
  <si>
    <t>SUT.ABS.CATGUT SIMP.5-0 C/A RB-1 X UNID.</t>
  </si>
  <si>
    <t xml:space="preserve">SUTURA QUIRURGICA ACIDO POLIGLICOLICO Nª 8/0 J546G OFTALMOLOGICO TIPO VICRYL </t>
  </si>
  <si>
    <t>SUTURA QUIRURGICA ACIDO POLIGLICOLICO TRENZADA ABSORBIBLE Nª 7/0 J546G OFTALMOLOGICO TIPO VICRYL</t>
  </si>
  <si>
    <t>COLECTORES DE ORINA PEDIATRICO BOLSA X 1</t>
  </si>
  <si>
    <t>CONTENEDOR ALIMENTACION 250CC T/DEALER (BIOM) X 1</t>
  </si>
  <si>
    <t>GUIA ALIMENTACION BIOM-14E X 1</t>
  </si>
  <si>
    <t>MANOPLAS DE POLIETILENO X 100</t>
  </si>
  <si>
    <t>PASTA CONDUCTORA PARA ELECTRODOS X 250 GRS</t>
  </si>
  <si>
    <t>PASTA CONDUCTORA PARA ELECTRODOS X 400 GRS</t>
  </si>
  <si>
    <t>SONDA FOLEY 2V SILICONA EST. Nº6</t>
  </si>
  <si>
    <t>SONDA FOLEY 2V SILICONA EST.Nº 8</t>
  </si>
  <si>
    <t>SONDA FOLEY 2V SILICONA EST.Nº10</t>
  </si>
  <si>
    <t>SONDA FOLEY 2V SILICONA EST.Nº12</t>
  </si>
  <si>
    <t>SONDA NELATON DE GOMA Nº  8</t>
  </si>
  <si>
    <t>SONDA NELATON DE GOMA Nº 10</t>
  </si>
  <si>
    <t>SONDA NELATON DE GOMA Nº 14</t>
  </si>
  <si>
    <t>SONDA NELATON DE GOMA Nº 18</t>
  </si>
  <si>
    <t>TUBO DE LATEX  3 X 5 X METRO</t>
  </si>
  <si>
    <t>TUBO ENDOTRAQ.S/B N°6-0</t>
  </si>
  <si>
    <t>TUBO ENDOTRAQ.S/B Nº2-5</t>
  </si>
  <si>
    <t>TUBO ENDOTRAQ.S/B Nº4-0</t>
  </si>
  <si>
    <t>TUBO ENDOTRAQ.S/B Nº4-1/2</t>
  </si>
  <si>
    <t>TUBO ENDOTRAQ.S/B Nº5-0</t>
  </si>
  <si>
    <t>TUBO ENDOTRAQ.S/B Nº5-1/2</t>
  </si>
  <si>
    <t>TUBO ENDOTRAQUEALES TIPO RUSH S/B 3</t>
  </si>
  <si>
    <t>TUBO ENDOTRAQUEALES TIPO RUSH S/B 3,5</t>
  </si>
  <si>
    <t>CEPILLO P/LAVAR TUBOS MEDIANOS X 1</t>
  </si>
  <si>
    <t>CEPILLO P/LAVAR TUBOS GRANDES X 1</t>
  </si>
  <si>
    <t>Cassettes P/Sterrad NX x 5 unidades Tipo ASP</t>
  </si>
  <si>
    <t>Bolsas Termosellables P/bib 250 X 100 X 380mm TipoYellow Pack x 1000</t>
  </si>
  <si>
    <t>GASAS; TIPO: CORTADA, MEDIDA: 40 X 40 Cm, PRESENTACION: X KILO</t>
  </si>
  <si>
    <t>GASA HIDROFILA PIEZA X 1,8 KGS. TIPO HIDROSAN</t>
  </si>
  <si>
    <t xml:space="preserve">Espuma deterg. - desinf. de dispositivos medicos.Pulverizador x 750 CC. </t>
  </si>
  <si>
    <t>Compresa de Gasa Cosida; 40cm x 40cm, Rx y Cola, 5u/ doble sobre -Pouch, 50u/Caja Estéril,</t>
  </si>
  <si>
    <t>Polietileno de 40 micrones 25cm. X  100 mts. Tipo MP</t>
  </si>
  <si>
    <t>PAPEL GRADO MEDICO 120 CM X 100 MTS</t>
  </si>
  <si>
    <t>MALLA TUBULAR ALGODÓN 20 CM X 25 MTS</t>
  </si>
  <si>
    <t>LUPAS; POTENCIA: 75 Diop, DIAMETRO: 65 mm, MATERIAL LENTE: VIDRIO, ACCESORIO: C/LUZ, ARMAZON: PLASTICO, ESTRUCTURA: PLASTICO</t>
  </si>
  <si>
    <t>ROLLO EN PAPEL TERMICO  ORIGINALES 57 mm. X 20 mts.</t>
  </si>
  <si>
    <t>LIBRERIA,PAP. Y UTILES OFICINA</t>
  </si>
  <si>
    <t>BOLSA P/ANESTESIA NORMAL X 1LTS.</t>
  </si>
  <si>
    <t>BOLSA P/ANESTESIA NORMAL X 2LTS.</t>
  </si>
  <si>
    <t>BOLSA P/ANESTESIA NORMAL X 3LTS.</t>
  </si>
  <si>
    <t>BOLSA P/ANESTESIA NORMAL X 4 LTS</t>
  </si>
  <si>
    <t>BOLSA P/COLOSTOMIA NEONATAL</t>
  </si>
  <si>
    <t>CATETER DOBLE P/DIAG.NEUMONIA T/BRONCHOCATH DCD</t>
  </si>
  <si>
    <t>CATETER EPICUTANEO CAVA COD.541-50 T/SILMAG</t>
  </si>
  <si>
    <t>CLAVIJAS ULTRAFINAS 0,5 MM</t>
  </si>
  <si>
    <t>DRENAJE DE SILICONA ESTERIL TIPO DRENAJE BLAKE</t>
  </si>
  <si>
    <t>JERINGA DE BONEAU</t>
  </si>
  <si>
    <t>MANGO P/TENSIOMETRO PED.X 1</t>
  </si>
  <si>
    <t>RESUCITADOR PED.MANUAL REUTILIZABLE HAND</t>
  </si>
  <si>
    <t>SET P/ANESTESIA EPIDURAL X 1</t>
  </si>
  <si>
    <t>SONDA FOLEY TRIPLE VIA HEMATURICA Nº18</t>
  </si>
  <si>
    <t>TROCAR P/DRENAJE PLEURAL FR 10</t>
  </si>
  <si>
    <t>TROCAR P/DRENAJE PLEURAL FR 12</t>
  </si>
  <si>
    <t>TROCAR P/DRENAJE PLEURAL FR 14</t>
  </si>
  <si>
    <t>TROCAR P/DRENAJE PLEURAL FR 16</t>
  </si>
  <si>
    <t>TROCAR P/DRENAJE PLEURAL FR 18</t>
  </si>
  <si>
    <t>TROCAR P/DRENAJE PLEURAL FR 20</t>
  </si>
  <si>
    <t>TROCAR P/DRENAJE PLEURAL FR 22</t>
  </si>
  <si>
    <t>TROCAR P/DRENAJE PLEURAL FR 24</t>
  </si>
  <si>
    <t>TROCAR P/DRENAJE PLEURAL FR 28</t>
  </si>
  <si>
    <t>TROCAR P/DRENAJE PLEURAL FR 8</t>
  </si>
  <si>
    <t>TUBO DE INTUBACION SELECTIVA DERECHO CH 25</t>
  </si>
  <si>
    <t>TUBO DE INTUBACION SELECTIVA DERECHO CH 35</t>
  </si>
  <si>
    <t>VALVULA DE PIC P/MASC.AMBU</t>
  </si>
  <si>
    <t xml:space="preserve">AEROCAMARA C/ MASCARA PEDIATRICA  </t>
  </si>
  <si>
    <t>BUTERFLY N 27</t>
  </si>
  <si>
    <t>BUTERFLY Nº 19</t>
  </si>
  <si>
    <t>BUTERFLY Nº 21</t>
  </si>
  <si>
    <t>BUTERFLY Nº 23</t>
  </si>
  <si>
    <t>BUTERFLY Nº 25</t>
  </si>
  <si>
    <t>SONDA FOLEY DOBLE VIA DE LATEX RECUBIERTA CON SILICONA  Nº 14</t>
  </si>
  <si>
    <t>SONDA FOLEY DOBLE VIA DE LATEX RECUBIERTA CON SILICONA  Nº 16</t>
  </si>
  <si>
    <t>SONDA FOLEY DOBLE VIA DE LATEX RECUBIERTA CON SILICONA Nº 18</t>
  </si>
  <si>
    <t>SONDA PARA INTUBACION GASTRICA K 9</t>
  </si>
  <si>
    <t>SONDA PARA INTUBACION GASTRICA K11</t>
  </si>
  <si>
    <t>SET CATETER PERIDURAL N 20</t>
  </si>
  <si>
    <t>SET P/VIA PERCUTANEA 3FR.</t>
  </si>
  <si>
    <t>SET P/VIA PERCUTANEA 4 FR</t>
  </si>
  <si>
    <t>TUBO TRAQUEAL EN "T" COD.260/10 T/SILMAG</t>
  </si>
  <si>
    <t>TINTURA DE IODO FUERTE X 1 LITRO</t>
  </si>
  <si>
    <t>VALVULA DE PEEP 1' MASCARA AMBU</t>
  </si>
  <si>
    <t>TIPO "ELEFIX", PASTA PARA EEG CONDUCTORA Y ADHESIVA DE ELECTRODOS.</t>
  </si>
  <si>
    <t>PARA EQUIPOS DE MARCA ON CALL.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</si>
  <si>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Compra. </t>
    </r>
  </si>
  <si>
    <t>AGUJA ESPINA Nº 20</t>
  </si>
  <si>
    <t xml:space="preserve">ALCOHOL IODADO 2% X 1 LITRO </t>
  </si>
  <si>
    <t>GLUTARALDEHIDO 2% SIN SURFACTANTE BIDON X 4 LITROS</t>
  </si>
  <si>
    <t>HILO DE SUTURA MONOFILAMENTO 2-0 164 T CON AGUJA</t>
  </si>
  <si>
    <t>HILO DE SUTURA MONOFILAMENTO 3-0 163 T CON AGUJA</t>
  </si>
  <si>
    <t>JERINGA DESCARTABLE PARA INSULINA 100UI CON AGUJA</t>
  </si>
  <si>
    <t>Mascara facial para ventilación N° 3, adulto</t>
  </si>
  <si>
    <t xml:space="preserve">Mascara facial para ventilación N° 4, adulto </t>
  </si>
  <si>
    <t>Tela de Lienzo rollo 100 mts largo x 1,60 mts ancho</t>
  </si>
  <si>
    <t>Tela de Toalla rollo 50 mts largo ( doble ancho)</t>
  </si>
  <si>
    <t>Tela verde brin de algodón rollo 50 mtrs largo (doble ancho) Indantrend</t>
  </si>
  <si>
    <t>TIRAS REACTIVAS PARA DETERMINACION DE GLUCOSA EN SANGRE X 50 UNIDADES</t>
  </si>
  <si>
    <t>2.9.5</t>
  </si>
  <si>
    <t>2.5.2</t>
  </si>
  <si>
    <t>2.5.8</t>
  </si>
  <si>
    <t>2.5.1</t>
  </si>
  <si>
    <t>2.3.4</t>
  </si>
  <si>
    <t>2.2.1</t>
  </si>
  <si>
    <t>unidad</t>
  </si>
  <si>
    <t>Especificidades Item N° 77:</t>
  </si>
  <si>
    <t>Especificidades Item N° 106-107:</t>
  </si>
  <si>
    <t>Especificidades Item N° 144:</t>
  </si>
  <si>
    <t>Especificidades Item N° 174:</t>
  </si>
  <si>
    <t>Especificidades Item N° 177: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</si>
</sst>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70" formatCode="&quot;$&quot;\ #,##0.00"/>
    <numFmt numFmtId="171" formatCode="[$$-2C0A]#,##0.00"/>
  </numFmts>
  <fonts count="2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6" fontId="7" fillId="0" borderId="0" applyBorder="0" applyProtection="0"/>
    <xf numFmtId="0" fontId="4" fillId="0" borderId="1" applyProtection="0"/>
    <xf numFmtId="0" fontId="6" fillId="2" borderId="0" applyBorder="0" applyProtection="0"/>
    <xf numFmtId="0" fontId="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76">
    <xf numFmtId="0" fontId="0" fillId="0" borderId="0" xfId="0"/>
    <xf numFmtId="0" fontId="18" fillId="0" borderId="14" xfId="0" applyFont="1" applyFill="1" applyBorder="1" applyAlignment="1">
      <alignment vertical="center" wrapText="1"/>
    </xf>
    <xf numFmtId="0" fontId="19" fillId="0" borderId="14" xfId="0" applyFont="1" applyFill="1" applyBorder="1" applyAlignment="1">
      <alignment vertical="center" wrapText="1"/>
    </xf>
    <xf numFmtId="0" fontId="18" fillId="0" borderId="14" xfId="6" applyFont="1" applyFill="1" applyBorder="1" applyAlignment="1">
      <alignment vertical="center" wrapText="1"/>
    </xf>
    <xf numFmtId="0" fontId="0" fillId="0" borderId="14" xfId="0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 wrapText="1"/>
    </xf>
    <xf numFmtId="0" fontId="8" fillId="0" borderId="10" xfId="0" applyFont="1" applyFill="1" applyBorder="1" applyAlignment="1">
      <alignment horizontal="center" wrapText="1"/>
    </xf>
    <xf numFmtId="0" fontId="13" fillId="0" borderId="13" xfId="0" applyFont="1" applyFill="1" applyBorder="1" applyAlignment="1">
      <alignment horizontal="center" vertical="center"/>
    </xf>
    <xf numFmtId="0" fontId="0" fillId="0" borderId="2" xfId="0" applyFill="1" applyBorder="1"/>
    <xf numFmtId="0" fontId="7" fillId="0" borderId="2" xfId="0" applyFont="1" applyFill="1" applyBorder="1" applyAlignment="1">
      <alignment wrapText="1"/>
    </xf>
    <xf numFmtId="0" fontId="1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4" xfId="0" applyFill="1" applyBorder="1"/>
    <xf numFmtId="0" fontId="7" fillId="0" borderId="14" xfId="0" applyFont="1" applyFill="1" applyBorder="1" applyAlignment="1">
      <alignment wrapText="1"/>
    </xf>
    <xf numFmtId="0" fontId="14" fillId="0" borderId="14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0" fillId="0" borderId="14" xfId="0" applyNumberFormat="1" applyFill="1" applyBorder="1" applyAlignment="1">
      <alignment horizontal="center" vertical="center"/>
    </xf>
    <xf numFmtId="0" fontId="7" fillId="0" borderId="14" xfId="4" applyFont="1" applyFill="1" applyBorder="1" applyAlignment="1">
      <alignment horizontal="left" vertical="center" wrapText="1"/>
    </xf>
    <xf numFmtId="167" fontId="8" fillId="0" borderId="0" xfId="0" applyNumberFormat="1" applyFont="1" applyFill="1"/>
    <xf numFmtId="0" fontId="12" fillId="0" borderId="12" xfId="0" applyFont="1" applyFill="1" applyBorder="1" applyAlignment="1">
      <alignment horizontal="center" vertical="center" wrapText="1"/>
    </xf>
    <xf numFmtId="170" fontId="17" fillId="0" borderId="12" xfId="0" applyNumberFormat="1" applyFont="1" applyFill="1" applyBorder="1" applyAlignment="1">
      <alignment horizontal="center" vertical="center" wrapText="1"/>
    </xf>
    <xf numFmtId="0" fontId="8" fillId="0" borderId="0" xfId="0" applyFont="1" applyFill="1"/>
    <xf numFmtId="164" fontId="0" fillId="0" borderId="14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0" fontId="18" fillId="0" borderId="14" xfId="7" applyFont="1" applyFill="1" applyBorder="1" applyAlignment="1">
      <alignment horizontal="left" vertical="center" wrapText="1"/>
    </xf>
    <xf numFmtId="0" fontId="20" fillId="0" borderId="14" xfId="0" applyFont="1" applyFill="1" applyBorder="1" applyAlignment="1">
      <alignment horizontal="center" vertical="center"/>
    </xf>
    <xf numFmtId="170" fontId="13" fillId="0" borderId="0" xfId="0" applyNumberFormat="1" applyFont="1" applyFill="1"/>
    <xf numFmtId="0" fontId="15" fillId="0" borderId="4" xfId="0" applyFont="1" applyFill="1" applyBorder="1" applyAlignment="1">
      <alignment horizontal="left" indent="3"/>
    </xf>
    <xf numFmtId="0" fontId="8" fillId="0" borderId="5" xfId="0" applyFont="1" applyFill="1" applyBorder="1"/>
    <xf numFmtId="0" fontId="8" fillId="0" borderId="6" xfId="0" applyFont="1" applyFill="1" applyBorder="1"/>
    <xf numFmtId="0" fontId="8" fillId="0" borderId="7" xfId="0" applyFont="1" applyFill="1" applyBorder="1"/>
    <xf numFmtId="0" fontId="8" fillId="0" borderId="0" xfId="0" applyFont="1" applyFill="1" applyBorder="1"/>
    <xf numFmtId="0" fontId="15" fillId="0" borderId="9" xfId="0" applyFont="1" applyFill="1" applyBorder="1" applyAlignment="1"/>
    <xf numFmtId="0" fontId="8" fillId="0" borderId="11" xfId="0" applyFont="1" applyFill="1" applyBorder="1" applyAlignment="1">
      <alignment horizontal="center" wrapText="1"/>
    </xf>
    <xf numFmtId="0" fontId="11" fillId="0" borderId="0" xfId="0" applyFont="1" applyFill="1" applyAlignment="1">
      <alignment horizontal="left" wrapText="1"/>
    </xf>
    <xf numFmtId="0" fontId="11" fillId="0" borderId="0" xfId="0" applyFont="1" applyFill="1" applyAlignment="1">
      <alignment horizontal="center" wrapText="1"/>
    </xf>
    <xf numFmtId="170" fontId="14" fillId="0" borderId="0" xfId="0" applyNumberFormat="1" applyFont="1" applyFill="1" applyAlignment="1">
      <alignment horizontal="left" wrapText="1"/>
    </xf>
    <xf numFmtId="0" fontId="16" fillId="0" borderId="0" xfId="0" applyFont="1" applyFill="1" applyAlignment="1">
      <alignment horizontal="left" wrapText="1" indent="1"/>
    </xf>
    <xf numFmtId="0" fontId="12" fillId="0" borderId="0" xfId="0" applyFont="1" applyFill="1" applyAlignment="1">
      <alignment horizontal="left" wrapText="1"/>
    </xf>
    <xf numFmtId="168" fontId="8" fillId="0" borderId="0" xfId="0" applyNumberFormat="1" applyFont="1" applyFill="1"/>
    <xf numFmtId="171" fontId="8" fillId="0" borderId="0" xfId="0" applyNumberFormat="1" applyFont="1" applyFill="1"/>
    <xf numFmtId="0" fontId="15" fillId="0" borderId="4" xfId="0" applyFont="1" applyFill="1" applyBorder="1"/>
    <xf numFmtId="0" fontId="15" fillId="0" borderId="7" xfId="0" applyFont="1" applyFill="1" applyBorder="1" applyAlignment="1"/>
    <xf numFmtId="0" fontId="8" fillId="0" borderId="8" xfId="0" applyFont="1" applyFill="1" applyBorder="1"/>
    <xf numFmtId="0" fontId="7" fillId="0" borderId="14" xfId="0" applyFont="1" applyBorder="1" applyAlignment="1">
      <alignment wrapText="1"/>
    </xf>
    <xf numFmtId="0" fontId="14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7" fillId="0" borderId="2" xfId="0" applyFont="1" applyFill="1" applyBorder="1" applyAlignment="1">
      <alignment vertical="center" wrapText="1"/>
    </xf>
    <xf numFmtId="0" fontId="13" fillId="0" borderId="15" xfId="0" applyFont="1" applyFill="1" applyBorder="1" applyAlignment="1">
      <alignment horizontal="center" vertical="center"/>
    </xf>
    <xf numFmtId="0" fontId="7" fillId="0" borderId="14" xfId="7" applyFont="1" applyFill="1" applyBorder="1" applyAlignment="1">
      <alignment horizontal="left" vertical="center" wrapText="1"/>
    </xf>
    <xf numFmtId="0" fontId="7" fillId="0" borderId="14" xfId="4" applyFont="1" applyFill="1" applyBorder="1" applyAlignment="1">
      <alignment vertical="center" wrapText="1"/>
    </xf>
    <xf numFmtId="0" fontId="18" fillId="0" borderId="14" xfId="7" applyFont="1" applyFill="1" applyBorder="1" applyAlignment="1">
      <alignment vertical="center" wrapText="1"/>
    </xf>
    <xf numFmtId="0" fontId="0" fillId="0" borderId="14" xfId="0" applyFill="1" applyBorder="1" applyAlignment="1">
      <alignment wrapText="1"/>
    </xf>
    <xf numFmtId="0" fontId="15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15" fillId="0" borderId="7" xfId="0" applyFont="1" applyBorder="1" applyAlignment="1"/>
    <xf numFmtId="0" fontId="8" fillId="0" borderId="0" xfId="0" applyFont="1" applyBorder="1"/>
    <xf numFmtId="0" fontId="8" fillId="0" borderId="8" xfId="0" applyFont="1" applyBorder="1"/>
    <xf numFmtId="164" fontId="0" fillId="0" borderId="2" xfId="1" applyNumberFormat="1" applyFont="1" applyFill="1" applyBorder="1" applyAlignment="1">
      <alignment horizontal="center" vertical="center"/>
    </xf>
    <xf numFmtId="164" fontId="13" fillId="0" borderId="3" xfId="1" applyNumberFormat="1" applyFont="1" applyFill="1" applyBorder="1" applyAlignment="1" applyProtection="1">
      <alignment horizontal="right" vertical="center" wrapText="1"/>
    </xf>
    <xf numFmtId="164" fontId="0" fillId="0" borderId="14" xfId="1" applyNumberFormat="1" applyFont="1" applyFill="1" applyBorder="1" applyAlignment="1">
      <alignment horizontal="center" vertical="center"/>
    </xf>
    <xf numFmtId="164" fontId="13" fillId="0" borderId="16" xfId="1" applyNumberFormat="1" applyFont="1" applyFill="1" applyBorder="1" applyAlignment="1" applyProtection="1">
      <alignment horizontal="right" vertical="center" wrapText="1"/>
    </xf>
    <xf numFmtId="164" fontId="0" fillId="0" borderId="14" xfId="1" applyNumberFormat="1" applyFont="1" applyFill="1" applyBorder="1" applyAlignment="1">
      <alignment horizontal="center"/>
    </xf>
    <xf numFmtId="164" fontId="0" fillId="0" borderId="14" xfId="1" applyNumberFormat="1" applyFont="1" applyFill="1" applyBorder="1"/>
    <xf numFmtId="164" fontId="0" fillId="0" borderId="14" xfId="1" applyNumberFormat="1" applyFont="1" applyBorder="1" applyAlignment="1">
      <alignment horizontal="center" vertical="center" wrapText="1"/>
    </xf>
    <xf numFmtId="164" fontId="0" fillId="0" borderId="14" xfId="1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wrapText="1" indent="1"/>
    </xf>
    <xf numFmtId="0" fontId="8" fillId="0" borderId="7" xfId="4" applyFont="1" applyFill="1" applyBorder="1" applyAlignment="1">
      <alignment horizontal="left" wrapText="1"/>
    </xf>
    <xf numFmtId="0" fontId="8" fillId="0" borderId="0" xfId="4" applyFont="1" applyFill="1" applyBorder="1" applyAlignment="1">
      <alignment horizontal="left" wrapText="1"/>
    </xf>
    <xf numFmtId="0" fontId="8" fillId="0" borderId="8" xfId="4" applyFont="1" applyFill="1" applyBorder="1" applyAlignment="1">
      <alignment horizontal="left" wrapText="1"/>
    </xf>
  </cellXfs>
  <cellStyles count="8">
    <cellStyle name="Encabezado 1" xfId="2" xr:uid="{00000000-0005-0000-0000-000000000000}"/>
    <cellStyle name="Millares 2" xfId="5" xr:uid="{00000000-0005-0000-0000-000001000000}"/>
    <cellStyle name="Moneda" xfId="1" builtinId="4"/>
    <cellStyle name="Neutral 1" xfId="3" xr:uid="{00000000-0005-0000-0000-000004000000}"/>
    <cellStyle name="Normal" xfId="0" builtinId="0"/>
    <cellStyle name="Normal 2 3" xfId="4" xr:uid="{00000000-0005-0000-0000-000006000000}"/>
    <cellStyle name="Normal 3" xfId="6" xr:uid="{00000000-0005-0000-0000-000007000000}"/>
    <cellStyle name="Normal 4" xfId="7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217"/>
  <sheetViews>
    <sheetView tabSelected="1" topLeftCell="A112" zoomScale="93" zoomScaleNormal="93" workbookViewId="0">
      <selection activeCell="E15" sqref="E15"/>
    </sheetView>
  </sheetViews>
  <sheetFormatPr baseColWidth="10" defaultColWidth="11" defaultRowHeight="12.75" x14ac:dyDescent="0.2"/>
  <cols>
    <col min="1" max="1" width="6.42578125" style="21" customWidth="1"/>
    <col min="2" max="2" width="12.5703125" style="21" customWidth="1"/>
    <col min="3" max="3" width="24" style="21" customWidth="1"/>
    <col min="4" max="4" width="8.42578125" style="21" customWidth="1"/>
    <col min="5" max="5" width="64.140625" style="21" customWidth="1"/>
    <col min="6" max="6" width="11" style="21"/>
    <col min="7" max="7" width="10.42578125" style="21" bestFit="1" customWidth="1"/>
    <col min="8" max="8" width="13.85546875" style="26" customWidth="1"/>
    <col min="9" max="9" width="18.5703125" style="21" customWidth="1"/>
    <col min="10" max="10" width="14.7109375" style="21" customWidth="1"/>
    <col min="11" max="11" width="11" style="21"/>
    <col min="12" max="12" width="13.140625" style="21" customWidth="1"/>
    <col min="13" max="16384" width="11" style="21"/>
  </cols>
  <sheetData>
    <row r="2" spans="1:10" ht="27" x14ac:dyDescent="0.35">
      <c r="B2" s="70" t="s">
        <v>0</v>
      </c>
      <c r="C2" s="70"/>
      <c r="D2" s="70"/>
      <c r="E2" s="70"/>
      <c r="F2" s="70"/>
      <c r="G2" s="70"/>
      <c r="H2" s="70"/>
    </row>
    <row r="3" spans="1:10" ht="12" customHeight="1" x14ac:dyDescent="0.2"/>
    <row r="4" spans="1:10" ht="21.75" customHeight="1" x14ac:dyDescent="0.25">
      <c r="A4" s="71" t="s">
        <v>1</v>
      </c>
      <c r="B4" s="71"/>
      <c r="C4" s="72" t="s">
        <v>15</v>
      </c>
      <c r="D4" s="72"/>
      <c r="E4" s="72"/>
      <c r="F4" s="34"/>
      <c r="G4" s="35"/>
      <c r="H4" s="36"/>
    </row>
    <row r="5" spans="1:10" ht="18" customHeight="1" x14ac:dyDescent="0.25">
      <c r="A5" s="71" t="s">
        <v>2</v>
      </c>
      <c r="B5" s="71"/>
      <c r="C5" s="72" t="s">
        <v>14</v>
      </c>
      <c r="D5" s="72"/>
      <c r="E5" s="72"/>
      <c r="F5" s="34"/>
      <c r="G5" s="35" t="s">
        <v>16</v>
      </c>
      <c r="H5" s="36"/>
    </row>
    <row r="6" spans="1:10" ht="16.5" customHeight="1" x14ac:dyDescent="0.25">
      <c r="A6" s="71" t="s">
        <v>3</v>
      </c>
      <c r="B6" s="71"/>
      <c r="C6" s="37">
        <v>2021</v>
      </c>
      <c r="D6" s="38"/>
      <c r="E6" s="38"/>
      <c r="F6" s="34"/>
      <c r="G6" s="35"/>
      <c r="H6" s="36"/>
    </row>
    <row r="7" spans="1:10" ht="16.5" customHeight="1" x14ac:dyDescent="0.25">
      <c r="A7" s="71" t="s">
        <v>4</v>
      </c>
      <c r="B7" s="71"/>
      <c r="C7" s="37">
        <v>3</v>
      </c>
      <c r="D7" s="38"/>
      <c r="E7" s="38"/>
      <c r="F7" s="34"/>
      <c r="G7" s="35"/>
      <c r="H7" s="36"/>
    </row>
    <row r="8" spans="1:10" ht="13.5" thickBot="1" x14ac:dyDescent="0.25">
      <c r="B8" s="34"/>
      <c r="C8" s="35"/>
      <c r="D8" s="34"/>
      <c r="E8" s="34"/>
      <c r="F8" s="34"/>
      <c r="G8" s="35"/>
      <c r="H8" s="36"/>
      <c r="J8" s="39"/>
    </row>
    <row r="9" spans="1:10" ht="36.75" thickBot="1" x14ac:dyDescent="0.25">
      <c r="A9" s="19" t="s">
        <v>5</v>
      </c>
      <c r="B9" s="19" t="s">
        <v>6</v>
      </c>
      <c r="C9" s="19" t="s">
        <v>7</v>
      </c>
      <c r="D9" s="19" t="s">
        <v>8</v>
      </c>
      <c r="E9" s="19" t="s">
        <v>9</v>
      </c>
      <c r="F9" s="19" t="s">
        <v>10</v>
      </c>
      <c r="G9" s="19" t="s">
        <v>11</v>
      </c>
      <c r="H9" s="20" t="s">
        <v>12</v>
      </c>
      <c r="I9" s="19" t="s">
        <v>13</v>
      </c>
    </row>
    <row r="10" spans="1:10" ht="26.25" thickBot="1" x14ac:dyDescent="0.25">
      <c r="A10" s="7">
        <v>1</v>
      </c>
      <c r="B10" s="8"/>
      <c r="C10" s="9" t="s">
        <v>17</v>
      </c>
      <c r="D10" s="10" t="s">
        <v>206</v>
      </c>
      <c r="E10" s="47" t="s">
        <v>174</v>
      </c>
      <c r="F10" s="11" t="s">
        <v>212</v>
      </c>
      <c r="G10" s="11">
        <v>2000</v>
      </c>
      <c r="H10" s="59">
        <v>230</v>
      </c>
      <c r="I10" s="60">
        <f>G10*H10</f>
        <v>460000</v>
      </c>
    </row>
    <row r="11" spans="1:10" ht="26.25" thickBot="1" x14ac:dyDescent="0.25">
      <c r="A11" s="48">
        <v>2</v>
      </c>
      <c r="B11" s="12"/>
      <c r="C11" s="13" t="s">
        <v>17</v>
      </c>
      <c r="D11" s="14" t="s">
        <v>206</v>
      </c>
      <c r="E11" s="5" t="s">
        <v>22</v>
      </c>
      <c r="F11" s="11" t="s">
        <v>212</v>
      </c>
      <c r="G11" s="4">
        <v>50</v>
      </c>
      <c r="H11" s="61">
        <v>520</v>
      </c>
      <c r="I11" s="62">
        <f>G11*H11</f>
        <v>26000</v>
      </c>
    </row>
    <row r="12" spans="1:10" ht="26.25" thickBot="1" x14ac:dyDescent="0.25">
      <c r="A12" s="48">
        <v>3</v>
      </c>
      <c r="B12" s="12"/>
      <c r="C12" s="13" t="s">
        <v>17</v>
      </c>
      <c r="D12" s="14" t="s">
        <v>206</v>
      </c>
      <c r="E12" s="5" t="s">
        <v>23</v>
      </c>
      <c r="F12" s="11" t="s">
        <v>212</v>
      </c>
      <c r="G12" s="4">
        <v>50</v>
      </c>
      <c r="H12" s="61">
        <v>520</v>
      </c>
      <c r="I12" s="62">
        <f t="shared" ref="I12:I75" si="0">G12*H12</f>
        <v>26000</v>
      </c>
    </row>
    <row r="13" spans="1:10" ht="26.25" thickBot="1" x14ac:dyDescent="0.25">
      <c r="A13" s="48">
        <v>4</v>
      </c>
      <c r="B13" s="12"/>
      <c r="C13" s="13" t="s">
        <v>17</v>
      </c>
      <c r="D13" s="14" t="s">
        <v>206</v>
      </c>
      <c r="E13" s="49" t="s">
        <v>194</v>
      </c>
      <c r="F13" s="11" t="s">
        <v>212</v>
      </c>
      <c r="G13" s="4">
        <v>50</v>
      </c>
      <c r="H13" s="61">
        <v>230</v>
      </c>
      <c r="I13" s="62">
        <f t="shared" si="0"/>
        <v>11500</v>
      </c>
    </row>
    <row r="14" spans="1:10" ht="26.25" thickBot="1" x14ac:dyDescent="0.25">
      <c r="A14" s="48">
        <v>5</v>
      </c>
      <c r="B14" s="12"/>
      <c r="C14" s="13" t="s">
        <v>17</v>
      </c>
      <c r="D14" s="14" t="s">
        <v>206</v>
      </c>
      <c r="E14" s="49" t="s">
        <v>24</v>
      </c>
      <c r="F14" s="11" t="s">
        <v>212</v>
      </c>
      <c r="G14" s="4">
        <v>50</v>
      </c>
      <c r="H14" s="61">
        <v>520</v>
      </c>
      <c r="I14" s="62">
        <f t="shared" si="0"/>
        <v>26000</v>
      </c>
    </row>
    <row r="15" spans="1:10" ht="26.25" thickBot="1" x14ac:dyDescent="0.25">
      <c r="A15" s="48">
        <v>6</v>
      </c>
      <c r="B15" s="12"/>
      <c r="C15" s="13" t="s">
        <v>17</v>
      </c>
      <c r="D15" s="14" t="s">
        <v>206</v>
      </c>
      <c r="E15" s="5" t="s">
        <v>25</v>
      </c>
      <c r="F15" s="11" t="s">
        <v>212</v>
      </c>
      <c r="G15" s="4">
        <v>50</v>
      </c>
      <c r="H15" s="61">
        <v>520</v>
      </c>
      <c r="I15" s="62">
        <f t="shared" si="0"/>
        <v>26000</v>
      </c>
    </row>
    <row r="16" spans="1:10" ht="26.25" thickBot="1" x14ac:dyDescent="0.25">
      <c r="A16" s="48">
        <v>7</v>
      </c>
      <c r="B16" s="12"/>
      <c r="C16" s="13" t="s">
        <v>17</v>
      </c>
      <c r="D16" s="14" t="s">
        <v>206</v>
      </c>
      <c r="E16" s="49" t="s">
        <v>26</v>
      </c>
      <c r="F16" s="11" t="s">
        <v>212</v>
      </c>
      <c r="G16" s="4">
        <v>50</v>
      </c>
      <c r="H16" s="61">
        <v>520</v>
      </c>
      <c r="I16" s="62">
        <f t="shared" si="0"/>
        <v>26000</v>
      </c>
    </row>
    <row r="17" spans="1:9" ht="26.25" thickBot="1" x14ac:dyDescent="0.25">
      <c r="A17" s="48">
        <v>8</v>
      </c>
      <c r="B17" s="12"/>
      <c r="C17" s="13" t="s">
        <v>17</v>
      </c>
      <c r="D17" s="14" t="s">
        <v>206</v>
      </c>
      <c r="E17" s="49" t="s">
        <v>27</v>
      </c>
      <c r="F17" s="11" t="s">
        <v>212</v>
      </c>
      <c r="G17" s="4">
        <v>50</v>
      </c>
      <c r="H17" s="61">
        <v>520</v>
      </c>
      <c r="I17" s="62">
        <f t="shared" si="0"/>
        <v>26000</v>
      </c>
    </row>
    <row r="18" spans="1:9" ht="26.25" thickBot="1" x14ac:dyDescent="0.25">
      <c r="A18" s="48">
        <v>9</v>
      </c>
      <c r="B18" s="12"/>
      <c r="C18" s="13" t="s">
        <v>17</v>
      </c>
      <c r="D18" s="14" t="s">
        <v>206</v>
      </c>
      <c r="E18" s="49" t="s">
        <v>28</v>
      </c>
      <c r="F18" s="11" t="s">
        <v>212</v>
      </c>
      <c r="G18" s="4">
        <v>50</v>
      </c>
      <c r="H18" s="61">
        <v>520</v>
      </c>
      <c r="I18" s="62">
        <f t="shared" si="0"/>
        <v>26000</v>
      </c>
    </row>
    <row r="19" spans="1:9" ht="26.25" thickBot="1" x14ac:dyDescent="0.25">
      <c r="A19" s="48">
        <v>10</v>
      </c>
      <c r="B19" s="12"/>
      <c r="C19" s="13" t="s">
        <v>17</v>
      </c>
      <c r="D19" s="14" t="s">
        <v>206</v>
      </c>
      <c r="E19" s="5" t="s">
        <v>29</v>
      </c>
      <c r="F19" s="11" t="s">
        <v>212</v>
      </c>
      <c r="G19" s="4">
        <v>50</v>
      </c>
      <c r="H19" s="61">
        <v>520</v>
      </c>
      <c r="I19" s="62">
        <f t="shared" si="0"/>
        <v>26000</v>
      </c>
    </row>
    <row r="20" spans="1:9" ht="26.25" thickBot="1" x14ac:dyDescent="0.25">
      <c r="A20" s="48">
        <v>11</v>
      </c>
      <c r="B20" s="12"/>
      <c r="C20" s="13" t="s">
        <v>17</v>
      </c>
      <c r="D20" s="14" t="s">
        <v>206</v>
      </c>
      <c r="E20" s="5" t="s">
        <v>30</v>
      </c>
      <c r="F20" s="11" t="s">
        <v>212</v>
      </c>
      <c r="G20" s="4">
        <v>50</v>
      </c>
      <c r="H20" s="61">
        <v>520</v>
      </c>
      <c r="I20" s="62">
        <f t="shared" si="0"/>
        <v>26000</v>
      </c>
    </row>
    <row r="21" spans="1:9" ht="26.25" thickBot="1" x14ac:dyDescent="0.25">
      <c r="A21" s="48">
        <v>12</v>
      </c>
      <c r="B21" s="12"/>
      <c r="C21" s="13" t="s">
        <v>17</v>
      </c>
      <c r="D21" s="14" t="s">
        <v>206</v>
      </c>
      <c r="E21" s="5" t="s">
        <v>31</v>
      </c>
      <c r="F21" s="11" t="s">
        <v>212</v>
      </c>
      <c r="G21" s="4">
        <v>200</v>
      </c>
      <c r="H21" s="61">
        <v>520</v>
      </c>
      <c r="I21" s="62">
        <f t="shared" si="0"/>
        <v>104000</v>
      </c>
    </row>
    <row r="22" spans="1:9" ht="26.25" thickBot="1" x14ac:dyDescent="0.25">
      <c r="A22" s="48">
        <v>13</v>
      </c>
      <c r="B22" s="12"/>
      <c r="C22" s="13" t="s">
        <v>17</v>
      </c>
      <c r="D22" s="14" t="s">
        <v>206</v>
      </c>
      <c r="E22" s="5" t="s">
        <v>32</v>
      </c>
      <c r="F22" s="11" t="s">
        <v>212</v>
      </c>
      <c r="G22" s="4">
        <v>10</v>
      </c>
      <c r="H22" s="61">
        <v>3200</v>
      </c>
      <c r="I22" s="62">
        <f t="shared" si="0"/>
        <v>32000</v>
      </c>
    </row>
    <row r="23" spans="1:9" ht="26.25" thickBot="1" x14ac:dyDescent="0.25">
      <c r="A23" s="48">
        <v>14</v>
      </c>
      <c r="B23" s="12"/>
      <c r="C23" s="13" t="s">
        <v>17</v>
      </c>
      <c r="D23" s="14" t="s">
        <v>206</v>
      </c>
      <c r="E23" s="5" t="s">
        <v>33</v>
      </c>
      <c r="F23" s="11" t="s">
        <v>212</v>
      </c>
      <c r="G23" s="4">
        <v>20</v>
      </c>
      <c r="H23" s="61">
        <v>200</v>
      </c>
      <c r="I23" s="62">
        <f t="shared" si="0"/>
        <v>4000</v>
      </c>
    </row>
    <row r="24" spans="1:9" ht="26.25" thickBot="1" x14ac:dyDescent="0.25">
      <c r="A24" s="48">
        <v>15</v>
      </c>
      <c r="B24" s="12"/>
      <c r="C24" s="13" t="s">
        <v>17</v>
      </c>
      <c r="D24" s="14" t="s">
        <v>206</v>
      </c>
      <c r="E24" s="15" t="s">
        <v>34</v>
      </c>
      <c r="F24" s="11" t="s">
        <v>212</v>
      </c>
      <c r="G24" s="4">
        <v>20</v>
      </c>
      <c r="H24" s="61">
        <v>200</v>
      </c>
      <c r="I24" s="62">
        <f t="shared" si="0"/>
        <v>4000</v>
      </c>
    </row>
    <row r="25" spans="1:9" ht="26.25" thickBot="1" x14ac:dyDescent="0.25">
      <c r="A25" s="48">
        <v>16</v>
      </c>
      <c r="B25" s="12"/>
      <c r="C25" s="13" t="s">
        <v>17</v>
      </c>
      <c r="D25" s="14" t="s">
        <v>206</v>
      </c>
      <c r="E25" s="5" t="s">
        <v>35</v>
      </c>
      <c r="F25" s="11" t="s">
        <v>212</v>
      </c>
      <c r="G25" s="4">
        <v>40</v>
      </c>
      <c r="H25" s="61">
        <v>325</v>
      </c>
      <c r="I25" s="62">
        <f t="shared" si="0"/>
        <v>13000</v>
      </c>
    </row>
    <row r="26" spans="1:9" ht="26.25" thickBot="1" x14ac:dyDescent="0.25">
      <c r="A26" s="48">
        <v>17</v>
      </c>
      <c r="B26" s="12"/>
      <c r="C26" s="13" t="s">
        <v>17</v>
      </c>
      <c r="D26" s="14" t="s">
        <v>206</v>
      </c>
      <c r="E26" s="5" t="s">
        <v>36</v>
      </c>
      <c r="F26" s="11" t="s">
        <v>212</v>
      </c>
      <c r="G26" s="4">
        <v>50</v>
      </c>
      <c r="H26" s="61">
        <v>500</v>
      </c>
      <c r="I26" s="62">
        <f t="shared" si="0"/>
        <v>25000</v>
      </c>
    </row>
    <row r="27" spans="1:9" ht="26.25" thickBot="1" x14ac:dyDescent="0.25">
      <c r="A27" s="48">
        <v>18</v>
      </c>
      <c r="B27" s="12"/>
      <c r="C27" s="13" t="s">
        <v>17</v>
      </c>
      <c r="D27" s="14" t="s">
        <v>206</v>
      </c>
      <c r="E27" s="5" t="s">
        <v>37</v>
      </c>
      <c r="F27" s="11" t="s">
        <v>212</v>
      </c>
      <c r="G27" s="4">
        <v>50</v>
      </c>
      <c r="H27" s="61">
        <v>500</v>
      </c>
      <c r="I27" s="62">
        <f t="shared" si="0"/>
        <v>25000</v>
      </c>
    </row>
    <row r="28" spans="1:9" ht="26.25" thickBot="1" x14ac:dyDescent="0.25">
      <c r="A28" s="48">
        <v>19</v>
      </c>
      <c r="B28" s="12"/>
      <c r="C28" s="13" t="s">
        <v>17</v>
      </c>
      <c r="D28" s="14" t="s">
        <v>206</v>
      </c>
      <c r="E28" s="5" t="s">
        <v>38</v>
      </c>
      <c r="F28" s="11" t="s">
        <v>212</v>
      </c>
      <c r="G28" s="4">
        <v>50</v>
      </c>
      <c r="H28" s="61">
        <v>182</v>
      </c>
      <c r="I28" s="62">
        <f t="shared" si="0"/>
        <v>9100</v>
      </c>
    </row>
    <row r="29" spans="1:9" ht="26.25" thickBot="1" x14ac:dyDescent="0.25">
      <c r="A29" s="48">
        <v>20</v>
      </c>
      <c r="B29" s="12"/>
      <c r="C29" s="13" t="s">
        <v>17</v>
      </c>
      <c r="D29" s="14" t="s">
        <v>206</v>
      </c>
      <c r="E29" s="5" t="s">
        <v>39</v>
      </c>
      <c r="F29" s="11" t="s">
        <v>212</v>
      </c>
      <c r="G29" s="4">
        <v>50</v>
      </c>
      <c r="H29" s="61">
        <v>182</v>
      </c>
      <c r="I29" s="62">
        <f t="shared" si="0"/>
        <v>9100</v>
      </c>
    </row>
    <row r="30" spans="1:9" ht="26.25" thickBot="1" x14ac:dyDescent="0.25">
      <c r="A30" s="48">
        <v>21</v>
      </c>
      <c r="B30" s="12"/>
      <c r="C30" s="13" t="s">
        <v>17</v>
      </c>
      <c r="D30" s="14" t="s">
        <v>206</v>
      </c>
      <c r="E30" s="5" t="s">
        <v>40</v>
      </c>
      <c r="F30" s="11" t="s">
        <v>212</v>
      </c>
      <c r="G30" s="4">
        <v>50</v>
      </c>
      <c r="H30" s="61">
        <v>182</v>
      </c>
      <c r="I30" s="62">
        <f t="shared" si="0"/>
        <v>9100</v>
      </c>
    </row>
    <row r="31" spans="1:9" ht="26.25" thickBot="1" x14ac:dyDescent="0.25">
      <c r="A31" s="48">
        <v>22</v>
      </c>
      <c r="B31" s="12"/>
      <c r="C31" s="13" t="s">
        <v>17</v>
      </c>
      <c r="D31" s="14" t="s">
        <v>206</v>
      </c>
      <c r="E31" s="5" t="s">
        <v>41</v>
      </c>
      <c r="F31" s="11" t="s">
        <v>212</v>
      </c>
      <c r="G31" s="4">
        <v>500</v>
      </c>
      <c r="H31" s="61">
        <v>1.32</v>
      </c>
      <c r="I31" s="62">
        <f t="shared" si="0"/>
        <v>660</v>
      </c>
    </row>
    <row r="32" spans="1:9" ht="26.25" thickBot="1" x14ac:dyDescent="0.25">
      <c r="A32" s="48">
        <v>23</v>
      </c>
      <c r="B32" s="12"/>
      <c r="C32" s="13" t="s">
        <v>17</v>
      </c>
      <c r="D32" s="14" t="s">
        <v>206</v>
      </c>
      <c r="E32" s="5" t="s">
        <v>42</v>
      </c>
      <c r="F32" s="11" t="s">
        <v>212</v>
      </c>
      <c r="G32" s="4">
        <v>100</v>
      </c>
      <c r="H32" s="61">
        <v>391</v>
      </c>
      <c r="I32" s="62">
        <f t="shared" si="0"/>
        <v>39100</v>
      </c>
    </row>
    <row r="33" spans="1:11" ht="26.25" thickBot="1" x14ac:dyDescent="0.25">
      <c r="A33" s="48">
        <v>24</v>
      </c>
      <c r="B33" s="12"/>
      <c r="C33" s="13" t="s">
        <v>17</v>
      </c>
      <c r="D33" s="14" t="s">
        <v>206</v>
      </c>
      <c r="E33" s="5" t="s">
        <v>43</v>
      </c>
      <c r="F33" s="11" t="s">
        <v>212</v>
      </c>
      <c r="G33" s="4">
        <v>210</v>
      </c>
      <c r="H33" s="61">
        <v>391</v>
      </c>
      <c r="I33" s="62">
        <f t="shared" si="0"/>
        <v>82110</v>
      </c>
    </row>
    <row r="34" spans="1:11" ht="26.25" thickBot="1" x14ac:dyDescent="0.25">
      <c r="A34" s="48">
        <v>25</v>
      </c>
      <c r="B34" s="12"/>
      <c r="C34" s="44" t="s">
        <v>17</v>
      </c>
      <c r="D34" s="45" t="s">
        <v>207</v>
      </c>
      <c r="E34" s="15" t="s">
        <v>195</v>
      </c>
      <c r="F34" s="11" t="s">
        <v>212</v>
      </c>
      <c r="G34" s="4">
        <v>70</v>
      </c>
      <c r="H34" s="61">
        <v>850</v>
      </c>
      <c r="I34" s="62">
        <f t="shared" si="0"/>
        <v>59500</v>
      </c>
      <c r="K34" s="18"/>
    </row>
    <row r="35" spans="1:11" ht="26.25" thickBot="1" x14ac:dyDescent="0.25">
      <c r="A35" s="48">
        <v>26</v>
      </c>
      <c r="B35" s="12"/>
      <c r="C35" s="13" t="s">
        <v>17</v>
      </c>
      <c r="D35" s="14" t="s">
        <v>206</v>
      </c>
      <c r="E35" s="1" t="s">
        <v>44</v>
      </c>
      <c r="F35" s="11" t="s">
        <v>212</v>
      </c>
      <c r="G35" s="4">
        <v>300</v>
      </c>
      <c r="H35" s="61">
        <v>200</v>
      </c>
      <c r="I35" s="62">
        <f t="shared" si="0"/>
        <v>60000</v>
      </c>
    </row>
    <row r="36" spans="1:11" ht="26.25" thickBot="1" x14ac:dyDescent="0.25">
      <c r="A36" s="48">
        <v>27</v>
      </c>
      <c r="B36" s="12"/>
      <c r="C36" s="13" t="s">
        <v>17</v>
      </c>
      <c r="D36" s="14" t="s">
        <v>206</v>
      </c>
      <c r="E36" s="3" t="s">
        <v>147</v>
      </c>
      <c r="F36" s="11" t="s">
        <v>212</v>
      </c>
      <c r="G36" s="4">
        <v>100</v>
      </c>
      <c r="H36" s="61">
        <v>495</v>
      </c>
      <c r="I36" s="62">
        <f t="shared" si="0"/>
        <v>49500</v>
      </c>
    </row>
    <row r="37" spans="1:11" ht="26.25" thickBot="1" x14ac:dyDescent="0.25">
      <c r="A37" s="48">
        <v>28</v>
      </c>
      <c r="B37" s="12"/>
      <c r="C37" s="13" t="s">
        <v>17</v>
      </c>
      <c r="D37" s="14" t="s">
        <v>206</v>
      </c>
      <c r="E37" s="3" t="s">
        <v>148</v>
      </c>
      <c r="F37" s="11" t="s">
        <v>212</v>
      </c>
      <c r="G37" s="4">
        <v>100</v>
      </c>
      <c r="H37" s="61">
        <v>520.5</v>
      </c>
      <c r="I37" s="62">
        <f t="shared" si="0"/>
        <v>52050</v>
      </c>
    </row>
    <row r="38" spans="1:11" ht="26.25" thickBot="1" x14ac:dyDescent="0.25">
      <c r="A38" s="48">
        <v>29</v>
      </c>
      <c r="B38" s="12"/>
      <c r="C38" s="13" t="s">
        <v>17</v>
      </c>
      <c r="D38" s="14" t="s">
        <v>206</v>
      </c>
      <c r="E38" s="3" t="s">
        <v>149</v>
      </c>
      <c r="F38" s="11" t="s">
        <v>212</v>
      </c>
      <c r="G38" s="4">
        <v>100</v>
      </c>
      <c r="H38" s="61">
        <v>520.5</v>
      </c>
      <c r="I38" s="62">
        <f t="shared" si="0"/>
        <v>52050</v>
      </c>
    </row>
    <row r="39" spans="1:11" ht="26.25" thickBot="1" x14ac:dyDescent="0.25">
      <c r="A39" s="48">
        <v>30</v>
      </c>
      <c r="B39" s="12"/>
      <c r="C39" s="13" t="s">
        <v>17</v>
      </c>
      <c r="D39" s="14" t="s">
        <v>206</v>
      </c>
      <c r="E39" s="3" t="s">
        <v>150</v>
      </c>
      <c r="F39" s="11" t="s">
        <v>212</v>
      </c>
      <c r="G39" s="4">
        <v>100</v>
      </c>
      <c r="H39" s="61">
        <v>520.5</v>
      </c>
      <c r="I39" s="62">
        <f t="shared" si="0"/>
        <v>52050</v>
      </c>
    </row>
    <row r="40" spans="1:11" ht="26.25" thickBot="1" x14ac:dyDescent="0.25">
      <c r="A40" s="48">
        <v>31</v>
      </c>
      <c r="B40" s="12"/>
      <c r="C40" s="13" t="s">
        <v>17</v>
      </c>
      <c r="D40" s="14" t="s">
        <v>206</v>
      </c>
      <c r="E40" s="3" t="s">
        <v>151</v>
      </c>
      <c r="F40" s="11" t="s">
        <v>212</v>
      </c>
      <c r="G40" s="4">
        <v>50</v>
      </c>
      <c r="H40" s="61">
        <v>156</v>
      </c>
      <c r="I40" s="62">
        <f t="shared" si="0"/>
        <v>7800</v>
      </c>
    </row>
    <row r="41" spans="1:11" ht="26.25" thickBot="1" x14ac:dyDescent="0.25">
      <c r="A41" s="48">
        <v>32</v>
      </c>
      <c r="B41" s="12"/>
      <c r="C41" s="13" t="s">
        <v>17</v>
      </c>
      <c r="D41" s="14" t="s">
        <v>208</v>
      </c>
      <c r="E41" s="3" t="s">
        <v>136</v>
      </c>
      <c r="F41" s="11" t="s">
        <v>212</v>
      </c>
      <c r="G41" s="4">
        <v>10</v>
      </c>
      <c r="H41" s="61">
        <v>5460</v>
      </c>
      <c r="I41" s="62">
        <f t="shared" si="0"/>
        <v>54600</v>
      </c>
    </row>
    <row r="42" spans="1:11" ht="26.25" thickBot="1" x14ac:dyDescent="0.25">
      <c r="A42" s="48">
        <v>33</v>
      </c>
      <c r="B42" s="12"/>
      <c r="C42" s="13" t="s">
        <v>17</v>
      </c>
      <c r="D42" s="14" t="s">
        <v>206</v>
      </c>
      <c r="E42" s="3" t="s">
        <v>45</v>
      </c>
      <c r="F42" s="11" t="s">
        <v>212</v>
      </c>
      <c r="G42" s="4">
        <v>10</v>
      </c>
      <c r="H42" s="61">
        <v>787</v>
      </c>
      <c r="I42" s="62">
        <f t="shared" si="0"/>
        <v>7870</v>
      </c>
    </row>
    <row r="43" spans="1:11" ht="26.25" thickBot="1" x14ac:dyDescent="0.25">
      <c r="A43" s="48">
        <v>34</v>
      </c>
      <c r="B43" s="12"/>
      <c r="C43" s="13" t="s">
        <v>17</v>
      </c>
      <c r="D43" s="14" t="s">
        <v>206</v>
      </c>
      <c r="E43" s="3" t="s">
        <v>46</v>
      </c>
      <c r="F43" s="11" t="s">
        <v>212</v>
      </c>
      <c r="G43" s="4">
        <v>10</v>
      </c>
      <c r="H43" s="61">
        <v>787</v>
      </c>
      <c r="I43" s="62">
        <f t="shared" si="0"/>
        <v>7870</v>
      </c>
    </row>
    <row r="44" spans="1:11" ht="26.25" thickBot="1" x14ac:dyDescent="0.25">
      <c r="A44" s="48">
        <v>35</v>
      </c>
      <c r="B44" s="12"/>
      <c r="C44" s="13" t="s">
        <v>17</v>
      </c>
      <c r="D44" s="14" t="s">
        <v>206</v>
      </c>
      <c r="E44" s="1" t="s">
        <v>47</v>
      </c>
      <c r="F44" s="11" t="s">
        <v>212</v>
      </c>
      <c r="G44" s="4">
        <v>10</v>
      </c>
      <c r="H44" s="61">
        <v>3090</v>
      </c>
      <c r="I44" s="62">
        <f t="shared" si="0"/>
        <v>30900</v>
      </c>
    </row>
    <row r="45" spans="1:11" ht="26.25" thickBot="1" x14ac:dyDescent="0.25">
      <c r="A45" s="48">
        <v>36</v>
      </c>
      <c r="B45" s="12"/>
      <c r="C45" s="13" t="s">
        <v>17</v>
      </c>
      <c r="D45" s="14" t="s">
        <v>206</v>
      </c>
      <c r="E45" s="5" t="s">
        <v>48</v>
      </c>
      <c r="F45" s="11" t="s">
        <v>212</v>
      </c>
      <c r="G45" s="4">
        <v>10</v>
      </c>
      <c r="H45" s="61">
        <v>3090</v>
      </c>
      <c r="I45" s="62">
        <f t="shared" si="0"/>
        <v>30900</v>
      </c>
    </row>
    <row r="46" spans="1:11" ht="26.25" thickBot="1" x14ac:dyDescent="0.25">
      <c r="A46" s="48">
        <v>37</v>
      </c>
      <c r="B46" s="12"/>
      <c r="C46" s="13" t="s">
        <v>17</v>
      </c>
      <c r="D46" s="14" t="s">
        <v>206</v>
      </c>
      <c r="E46" s="3" t="s">
        <v>49</v>
      </c>
      <c r="F46" s="11" t="s">
        <v>212</v>
      </c>
      <c r="G46" s="4">
        <v>10</v>
      </c>
      <c r="H46" s="61">
        <v>3090</v>
      </c>
      <c r="I46" s="62">
        <f t="shared" si="0"/>
        <v>30900</v>
      </c>
    </row>
    <row r="47" spans="1:11" ht="26.25" thickBot="1" x14ac:dyDescent="0.25">
      <c r="A47" s="48">
        <v>38</v>
      </c>
      <c r="B47" s="12"/>
      <c r="C47" s="13" t="s">
        <v>17</v>
      </c>
      <c r="D47" s="14" t="s">
        <v>206</v>
      </c>
      <c r="E47" s="3" t="s">
        <v>50</v>
      </c>
      <c r="F47" s="11" t="s">
        <v>212</v>
      </c>
      <c r="G47" s="4">
        <v>10</v>
      </c>
      <c r="H47" s="61">
        <v>3090</v>
      </c>
      <c r="I47" s="62">
        <f t="shared" si="0"/>
        <v>30900</v>
      </c>
    </row>
    <row r="48" spans="1:11" ht="26.25" thickBot="1" x14ac:dyDescent="0.25">
      <c r="A48" s="48">
        <v>39</v>
      </c>
      <c r="B48" s="12"/>
      <c r="C48" s="13" t="s">
        <v>17</v>
      </c>
      <c r="D48" s="14" t="s">
        <v>206</v>
      </c>
      <c r="E48" s="3" t="s">
        <v>51</v>
      </c>
      <c r="F48" s="11" t="s">
        <v>212</v>
      </c>
      <c r="G48" s="4">
        <v>10</v>
      </c>
      <c r="H48" s="61">
        <v>3090</v>
      </c>
      <c r="I48" s="62">
        <f t="shared" si="0"/>
        <v>30900</v>
      </c>
    </row>
    <row r="49" spans="1:9" ht="26.25" thickBot="1" x14ac:dyDescent="0.25">
      <c r="A49" s="48">
        <v>40</v>
      </c>
      <c r="B49" s="12"/>
      <c r="C49" s="13" t="s">
        <v>17</v>
      </c>
      <c r="D49" s="14" t="s">
        <v>206</v>
      </c>
      <c r="E49" s="3" t="s">
        <v>52</v>
      </c>
      <c r="F49" s="11" t="s">
        <v>212</v>
      </c>
      <c r="G49" s="4">
        <v>10</v>
      </c>
      <c r="H49" s="61">
        <v>3090</v>
      </c>
      <c r="I49" s="62">
        <f t="shared" si="0"/>
        <v>30900</v>
      </c>
    </row>
    <row r="50" spans="1:9" ht="26.25" thickBot="1" x14ac:dyDescent="0.25">
      <c r="A50" s="48">
        <v>41</v>
      </c>
      <c r="B50" s="12"/>
      <c r="C50" s="13" t="s">
        <v>17</v>
      </c>
      <c r="D50" s="14" t="s">
        <v>206</v>
      </c>
      <c r="E50" s="5" t="s">
        <v>176</v>
      </c>
      <c r="F50" s="11" t="s">
        <v>212</v>
      </c>
      <c r="G50" s="4">
        <v>300</v>
      </c>
      <c r="H50" s="61">
        <v>14.5</v>
      </c>
      <c r="I50" s="62">
        <f t="shared" si="0"/>
        <v>4350</v>
      </c>
    </row>
    <row r="51" spans="1:9" ht="26.25" thickBot="1" x14ac:dyDescent="0.25">
      <c r="A51" s="48">
        <v>42</v>
      </c>
      <c r="B51" s="12"/>
      <c r="C51" s="13" t="s">
        <v>17</v>
      </c>
      <c r="D51" s="14" t="s">
        <v>206</v>
      </c>
      <c r="E51" s="24" t="s">
        <v>177</v>
      </c>
      <c r="F51" s="11" t="s">
        <v>212</v>
      </c>
      <c r="G51" s="4">
        <v>300</v>
      </c>
      <c r="H51" s="61">
        <v>14.5</v>
      </c>
      <c r="I51" s="62">
        <f t="shared" si="0"/>
        <v>4350</v>
      </c>
    </row>
    <row r="52" spans="1:9" ht="26.25" thickBot="1" x14ac:dyDescent="0.25">
      <c r="A52" s="48">
        <v>43</v>
      </c>
      <c r="B52" s="12"/>
      <c r="C52" s="13" t="s">
        <v>17</v>
      </c>
      <c r="D52" s="14" t="s">
        <v>206</v>
      </c>
      <c r="E52" s="24" t="s">
        <v>178</v>
      </c>
      <c r="F52" s="11" t="s">
        <v>212</v>
      </c>
      <c r="G52" s="4">
        <v>1000</v>
      </c>
      <c r="H52" s="61">
        <v>14.5</v>
      </c>
      <c r="I52" s="62">
        <f t="shared" si="0"/>
        <v>14500</v>
      </c>
    </row>
    <row r="53" spans="1:9" ht="26.25" thickBot="1" x14ac:dyDescent="0.25">
      <c r="A53" s="48">
        <v>44</v>
      </c>
      <c r="B53" s="12"/>
      <c r="C53" s="13" t="s">
        <v>17</v>
      </c>
      <c r="D53" s="14" t="s">
        <v>206</v>
      </c>
      <c r="E53" s="24" t="s">
        <v>179</v>
      </c>
      <c r="F53" s="11" t="s">
        <v>212</v>
      </c>
      <c r="G53" s="4">
        <v>1000</v>
      </c>
      <c r="H53" s="61">
        <v>14.5</v>
      </c>
      <c r="I53" s="62">
        <f t="shared" si="0"/>
        <v>14500</v>
      </c>
    </row>
    <row r="54" spans="1:9" ht="26.25" thickBot="1" x14ac:dyDescent="0.25">
      <c r="A54" s="48">
        <v>45</v>
      </c>
      <c r="B54" s="12"/>
      <c r="C54" s="13" t="s">
        <v>17</v>
      </c>
      <c r="D54" s="14" t="s">
        <v>206</v>
      </c>
      <c r="E54" s="3" t="s">
        <v>175</v>
      </c>
      <c r="F54" s="11" t="s">
        <v>212</v>
      </c>
      <c r="G54" s="4">
        <v>300</v>
      </c>
      <c r="H54" s="61">
        <v>14.5</v>
      </c>
      <c r="I54" s="62">
        <f t="shared" si="0"/>
        <v>4350</v>
      </c>
    </row>
    <row r="55" spans="1:9" ht="26.25" thickBot="1" x14ac:dyDescent="0.25">
      <c r="A55" s="48">
        <v>46</v>
      </c>
      <c r="B55" s="12"/>
      <c r="C55" s="13" t="s">
        <v>17</v>
      </c>
      <c r="D55" s="14" t="s">
        <v>206</v>
      </c>
      <c r="E55" s="5" t="s">
        <v>53</v>
      </c>
      <c r="F55" s="11" t="s">
        <v>212</v>
      </c>
      <c r="G55" s="4">
        <v>3000</v>
      </c>
      <c r="H55" s="61">
        <v>150</v>
      </c>
      <c r="I55" s="62">
        <f t="shared" si="0"/>
        <v>450000</v>
      </c>
    </row>
    <row r="56" spans="1:9" ht="26.25" thickBot="1" x14ac:dyDescent="0.25">
      <c r="A56" s="48">
        <v>47</v>
      </c>
      <c r="B56" s="12"/>
      <c r="C56" s="13" t="s">
        <v>17</v>
      </c>
      <c r="D56" s="14" t="s">
        <v>206</v>
      </c>
      <c r="E56" s="5" t="s">
        <v>54</v>
      </c>
      <c r="F56" s="11" t="s">
        <v>212</v>
      </c>
      <c r="G56" s="4">
        <v>4</v>
      </c>
      <c r="H56" s="61">
        <v>2000</v>
      </c>
      <c r="I56" s="62">
        <f t="shared" si="0"/>
        <v>8000</v>
      </c>
    </row>
    <row r="57" spans="1:9" ht="26.25" thickBot="1" x14ac:dyDescent="0.25">
      <c r="A57" s="48">
        <v>48</v>
      </c>
      <c r="B57" s="12"/>
      <c r="C57" s="13" t="s">
        <v>17</v>
      </c>
      <c r="D57" s="14" t="s">
        <v>206</v>
      </c>
      <c r="E57" s="5" t="s">
        <v>55</v>
      </c>
      <c r="F57" s="11" t="s">
        <v>212</v>
      </c>
      <c r="G57" s="4">
        <v>4</v>
      </c>
      <c r="H57" s="61">
        <v>2000</v>
      </c>
      <c r="I57" s="62">
        <f t="shared" si="0"/>
        <v>8000</v>
      </c>
    </row>
    <row r="58" spans="1:9" ht="26.25" thickBot="1" x14ac:dyDescent="0.25">
      <c r="A58" s="48">
        <v>49</v>
      </c>
      <c r="B58" s="12"/>
      <c r="C58" s="13" t="s">
        <v>17</v>
      </c>
      <c r="D58" s="14" t="s">
        <v>206</v>
      </c>
      <c r="E58" s="5" t="s">
        <v>56</v>
      </c>
      <c r="F58" s="11" t="s">
        <v>212</v>
      </c>
      <c r="G58" s="4">
        <v>4</v>
      </c>
      <c r="H58" s="61">
        <v>2000</v>
      </c>
      <c r="I58" s="62">
        <f t="shared" si="0"/>
        <v>8000</v>
      </c>
    </row>
    <row r="59" spans="1:9" ht="26.25" thickBot="1" x14ac:dyDescent="0.25">
      <c r="A59" s="48">
        <v>50</v>
      </c>
      <c r="B59" s="12"/>
      <c r="C59" s="13" t="s">
        <v>17</v>
      </c>
      <c r="D59" s="14" t="s">
        <v>206</v>
      </c>
      <c r="E59" s="3" t="s">
        <v>57</v>
      </c>
      <c r="F59" s="11" t="s">
        <v>212</v>
      </c>
      <c r="G59" s="4">
        <v>4</v>
      </c>
      <c r="H59" s="61">
        <v>2000</v>
      </c>
      <c r="I59" s="62">
        <f t="shared" si="0"/>
        <v>8000</v>
      </c>
    </row>
    <row r="60" spans="1:9" ht="26.25" thickBot="1" x14ac:dyDescent="0.25">
      <c r="A60" s="48">
        <v>51</v>
      </c>
      <c r="B60" s="12"/>
      <c r="C60" s="13" t="s">
        <v>17</v>
      </c>
      <c r="D60" s="14" t="s">
        <v>206</v>
      </c>
      <c r="E60" s="5" t="s">
        <v>135</v>
      </c>
      <c r="F60" s="11" t="s">
        <v>212</v>
      </c>
      <c r="G60" s="4">
        <v>2</v>
      </c>
      <c r="H60" s="61">
        <v>82500</v>
      </c>
      <c r="I60" s="62">
        <f t="shared" si="0"/>
        <v>165000</v>
      </c>
    </row>
    <row r="61" spans="1:9" ht="26.25" thickBot="1" x14ac:dyDescent="0.25">
      <c r="A61" s="48">
        <v>52</v>
      </c>
      <c r="B61" s="12"/>
      <c r="C61" s="13" t="s">
        <v>17</v>
      </c>
      <c r="D61" s="14" t="s">
        <v>206</v>
      </c>
      <c r="E61" s="3" t="s">
        <v>152</v>
      </c>
      <c r="F61" s="11" t="s">
        <v>212</v>
      </c>
      <c r="G61" s="4">
        <v>50</v>
      </c>
      <c r="H61" s="61">
        <v>2638</v>
      </c>
      <c r="I61" s="62">
        <f t="shared" si="0"/>
        <v>131900</v>
      </c>
    </row>
    <row r="62" spans="1:9" ht="26.25" thickBot="1" x14ac:dyDescent="0.25">
      <c r="A62" s="48">
        <v>53</v>
      </c>
      <c r="B62" s="12"/>
      <c r="C62" s="13" t="s">
        <v>17</v>
      </c>
      <c r="D62" s="14" t="s">
        <v>206</v>
      </c>
      <c r="E62" s="3" t="s">
        <v>153</v>
      </c>
      <c r="F62" s="11" t="s">
        <v>212</v>
      </c>
      <c r="G62" s="4">
        <v>10</v>
      </c>
      <c r="H62" s="61">
        <v>2760</v>
      </c>
      <c r="I62" s="62">
        <f t="shared" si="0"/>
        <v>27600</v>
      </c>
    </row>
    <row r="63" spans="1:9" ht="26.25" thickBot="1" x14ac:dyDescent="0.25">
      <c r="A63" s="48">
        <v>54</v>
      </c>
      <c r="B63" s="12"/>
      <c r="C63" s="13" t="s">
        <v>17</v>
      </c>
      <c r="D63" s="14" t="s">
        <v>206</v>
      </c>
      <c r="E63" s="3" t="s">
        <v>134</v>
      </c>
      <c r="F63" s="11" t="s">
        <v>212</v>
      </c>
      <c r="G63" s="4">
        <v>10</v>
      </c>
      <c r="H63" s="61">
        <v>290</v>
      </c>
      <c r="I63" s="62">
        <f t="shared" si="0"/>
        <v>2900</v>
      </c>
    </row>
    <row r="64" spans="1:9" ht="26.25" thickBot="1" x14ac:dyDescent="0.25">
      <c r="A64" s="48">
        <v>55</v>
      </c>
      <c r="B64" s="12"/>
      <c r="C64" s="13" t="s">
        <v>17</v>
      </c>
      <c r="D64" s="14" t="s">
        <v>206</v>
      </c>
      <c r="E64" s="5" t="s">
        <v>133</v>
      </c>
      <c r="F64" s="11" t="s">
        <v>212</v>
      </c>
      <c r="G64" s="4">
        <v>10</v>
      </c>
      <c r="H64" s="61">
        <v>310</v>
      </c>
      <c r="I64" s="62">
        <f t="shared" si="0"/>
        <v>3100</v>
      </c>
    </row>
    <row r="65" spans="1:9" ht="26.25" thickBot="1" x14ac:dyDescent="0.25">
      <c r="A65" s="48">
        <v>56</v>
      </c>
      <c r="B65" s="12"/>
      <c r="C65" s="13" t="s">
        <v>17</v>
      </c>
      <c r="D65" s="14" t="s">
        <v>206</v>
      </c>
      <c r="E65" s="5" t="s">
        <v>58</v>
      </c>
      <c r="F65" s="11" t="s">
        <v>212</v>
      </c>
      <c r="G65" s="4">
        <v>200</v>
      </c>
      <c r="H65" s="61">
        <v>990</v>
      </c>
      <c r="I65" s="62">
        <f t="shared" si="0"/>
        <v>198000</v>
      </c>
    </row>
    <row r="66" spans="1:9" ht="26.25" thickBot="1" x14ac:dyDescent="0.25">
      <c r="A66" s="48">
        <v>57</v>
      </c>
      <c r="B66" s="12"/>
      <c r="C66" s="13" t="s">
        <v>17</v>
      </c>
      <c r="D66" s="14" t="s">
        <v>206</v>
      </c>
      <c r="E66" s="5" t="s">
        <v>154</v>
      </c>
      <c r="F66" s="11" t="s">
        <v>212</v>
      </c>
      <c r="G66" s="4">
        <v>300</v>
      </c>
      <c r="H66" s="61">
        <v>180</v>
      </c>
      <c r="I66" s="62">
        <f t="shared" si="0"/>
        <v>54000</v>
      </c>
    </row>
    <row r="67" spans="1:9" ht="26.25" thickBot="1" x14ac:dyDescent="0.25">
      <c r="A67" s="48">
        <v>58</v>
      </c>
      <c r="B67" s="12"/>
      <c r="C67" s="13" t="s">
        <v>17</v>
      </c>
      <c r="D67" s="14" t="s">
        <v>206</v>
      </c>
      <c r="E67" s="5" t="s">
        <v>110</v>
      </c>
      <c r="F67" s="11" t="s">
        <v>212</v>
      </c>
      <c r="G67" s="4">
        <v>2000</v>
      </c>
      <c r="H67" s="61">
        <v>29</v>
      </c>
      <c r="I67" s="62">
        <f t="shared" si="0"/>
        <v>58000</v>
      </c>
    </row>
    <row r="68" spans="1:9" ht="26.25" thickBot="1" x14ac:dyDescent="0.25">
      <c r="A68" s="48">
        <v>59</v>
      </c>
      <c r="B68" s="12"/>
      <c r="C68" s="13" t="s">
        <v>17</v>
      </c>
      <c r="D68" s="14" t="s">
        <v>206</v>
      </c>
      <c r="E68" s="1" t="s">
        <v>59</v>
      </c>
      <c r="F68" s="11" t="s">
        <v>212</v>
      </c>
      <c r="G68" s="4">
        <v>10</v>
      </c>
      <c r="H68" s="61">
        <v>1160</v>
      </c>
      <c r="I68" s="62">
        <f t="shared" si="0"/>
        <v>11600</v>
      </c>
    </row>
    <row r="69" spans="1:9" ht="26.25" thickBot="1" x14ac:dyDescent="0.25">
      <c r="A69" s="48">
        <v>60</v>
      </c>
      <c r="B69" s="12"/>
      <c r="C69" s="13" t="s">
        <v>17</v>
      </c>
      <c r="D69" s="14" t="s">
        <v>206</v>
      </c>
      <c r="E69" s="1" t="s">
        <v>61</v>
      </c>
      <c r="F69" s="11" t="s">
        <v>212</v>
      </c>
      <c r="G69" s="4">
        <v>10</v>
      </c>
      <c r="H69" s="61">
        <v>1160</v>
      </c>
      <c r="I69" s="62">
        <f t="shared" si="0"/>
        <v>11600</v>
      </c>
    </row>
    <row r="70" spans="1:9" ht="26.25" thickBot="1" x14ac:dyDescent="0.25">
      <c r="A70" s="48">
        <v>61</v>
      </c>
      <c r="B70" s="12"/>
      <c r="C70" s="13" t="s">
        <v>17</v>
      </c>
      <c r="D70" s="14" t="s">
        <v>206</v>
      </c>
      <c r="E70" s="2" t="s">
        <v>60</v>
      </c>
      <c r="F70" s="11" t="s">
        <v>212</v>
      </c>
      <c r="G70" s="4">
        <v>10</v>
      </c>
      <c r="H70" s="61">
        <v>1160</v>
      </c>
      <c r="I70" s="62">
        <f t="shared" si="0"/>
        <v>11600</v>
      </c>
    </row>
    <row r="71" spans="1:9" ht="26.25" thickBot="1" x14ac:dyDescent="0.25">
      <c r="A71" s="48">
        <v>62</v>
      </c>
      <c r="B71" s="12"/>
      <c r="C71" s="13" t="s">
        <v>17</v>
      </c>
      <c r="D71" s="14" t="s">
        <v>206</v>
      </c>
      <c r="E71" s="2" t="s">
        <v>140</v>
      </c>
      <c r="F71" s="11" t="s">
        <v>212</v>
      </c>
      <c r="G71" s="4">
        <v>100</v>
      </c>
      <c r="H71" s="61">
        <v>450</v>
      </c>
      <c r="I71" s="62">
        <f t="shared" si="0"/>
        <v>45000</v>
      </c>
    </row>
    <row r="72" spans="1:9" ht="26.25" thickBot="1" x14ac:dyDescent="0.25">
      <c r="A72" s="48">
        <v>63</v>
      </c>
      <c r="B72" s="12"/>
      <c r="C72" s="13" t="s">
        <v>17</v>
      </c>
      <c r="D72" s="14" t="s">
        <v>206</v>
      </c>
      <c r="E72" s="2" t="s">
        <v>111</v>
      </c>
      <c r="F72" s="11" t="s">
        <v>212</v>
      </c>
      <c r="G72" s="4">
        <v>30</v>
      </c>
      <c r="H72" s="61">
        <v>125</v>
      </c>
      <c r="I72" s="62">
        <f t="shared" si="0"/>
        <v>3750</v>
      </c>
    </row>
    <row r="73" spans="1:9" ht="26.25" thickBot="1" x14ac:dyDescent="0.25">
      <c r="A73" s="48">
        <v>64</v>
      </c>
      <c r="B73" s="12"/>
      <c r="C73" s="13" t="s">
        <v>17</v>
      </c>
      <c r="D73" s="14" t="s">
        <v>206</v>
      </c>
      <c r="E73" s="2" t="s">
        <v>155</v>
      </c>
      <c r="F73" s="11" t="s">
        <v>212</v>
      </c>
      <c r="G73" s="4">
        <v>100</v>
      </c>
      <c r="H73" s="61">
        <v>320</v>
      </c>
      <c r="I73" s="62">
        <f t="shared" si="0"/>
        <v>32000</v>
      </c>
    </row>
    <row r="74" spans="1:9" ht="26.25" thickBot="1" x14ac:dyDescent="0.25">
      <c r="A74" s="48">
        <v>65</v>
      </c>
      <c r="B74" s="12"/>
      <c r="C74" s="13" t="s">
        <v>17</v>
      </c>
      <c r="D74" s="14" t="s">
        <v>209</v>
      </c>
      <c r="E74" s="2" t="s">
        <v>139</v>
      </c>
      <c r="F74" s="11" t="s">
        <v>212</v>
      </c>
      <c r="G74" s="4">
        <v>30</v>
      </c>
      <c r="H74" s="61">
        <v>2900</v>
      </c>
      <c r="I74" s="62">
        <f t="shared" si="0"/>
        <v>87000</v>
      </c>
    </row>
    <row r="75" spans="1:9" ht="26.25" thickBot="1" x14ac:dyDescent="0.25">
      <c r="A75" s="48">
        <v>66</v>
      </c>
      <c r="B75" s="12"/>
      <c r="C75" s="13" t="s">
        <v>17</v>
      </c>
      <c r="D75" s="14" t="s">
        <v>206</v>
      </c>
      <c r="E75" s="2" t="s">
        <v>62</v>
      </c>
      <c r="F75" s="11" t="s">
        <v>212</v>
      </c>
      <c r="G75" s="4">
        <v>40</v>
      </c>
      <c r="H75" s="61">
        <v>1300</v>
      </c>
      <c r="I75" s="62">
        <f t="shared" si="0"/>
        <v>52000</v>
      </c>
    </row>
    <row r="76" spans="1:9" ht="26.25" thickBot="1" x14ac:dyDescent="0.25">
      <c r="A76" s="48">
        <v>67</v>
      </c>
      <c r="B76" s="12"/>
      <c r="C76" s="13" t="s">
        <v>17</v>
      </c>
      <c r="D76" s="14" t="s">
        <v>206</v>
      </c>
      <c r="E76" s="2" t="s">
        <v>138</v>
      </c>
      <c r="F76" s="11" t="s">
        <v>212</v>
      </c>
      <c r="G76" s="4">
        <v>300</v>
      </c>
      <c r="H76" s="61">
        <v>1500</v>
      </c>
      <c r="I76" s="62">
        <f t="shared" ref="I76:I139" si="1">G76*H76</f>
        <v>450000</v>
      </c>
    </row>
    <row r="77" spans="1:9" ht="26.25" thickBot="1" x14ac:dyDescent="0.25">
      <c r="A77" s="48">
        <v>68</v>
      </c>
      <c r="B77" s="12"/>
      <c r="C77" s="13" t="s">
        <v>17</v>
      </c>
      <c r="D77" s="14" t="s">
        <v>206</v>
      </c>
      <c r="E77" s="5" t="s">
        <v>137</v>
      </c>
      <c r="F77" s="11" t="s">
        <v>212</v>
      </c>
      <c r="G77" s="4">
        <v>500</v>
      </c>
      <c r="H77" s="61">
        <v>850</v>
      </c>
      <c r="I77" s="62">
        <f t="shared" si="1"/>
        <v>425000</v>
      </c>
    </row>
    <row r="78" spans="1:9" ht="26.25" thickBot="1" x14ac:dyDescent="0.25">
      <c r="A78" s="48">
        <v>69</v>
      </c>
      <c r="B78" s="12"/>
      <c r="C78" s="13" t="s">
        <v>17</v>
      </c>
      <c r="D78" s="14" t="s">
        <v>209</v>
      </c>
      <c r="E78" s="5" t="s">
        <v>196</v>
      </c>
      <c r="F78" s="11" t="s">
        <v>212</v>
      </c>
      <c r="G78" s="4">
        <v>10</v>
      </c>
      <c r="H78" s="61">
        <v>1100</v>
      </c>
      <c r="I78" s="62">
        <f t="shared" si="1"/>
        <v>11000</v>
      </c>
    </row>
    <row r="79" spans="1:9" ht="26.25" thickBot="1" x14ac:dyDescent="0.25">
      <c r="A79" s="48">
        <v>70</v>
      </c>
      <c r="B79" s="12"/>
      <c r="C79" s="13" t="s">
        <v>17</v>
      </c>
      <c r="D79" s="14" t="s">
        <v>206</v>
      </c>
      <c r="E79" s="5" t="s">
        <v>112</v>
      </c>
      <c r="F79" s="11" t="s">
        <v>212</v>
      </c>
      <c r="G79" s="4">
        <v>30</v>
      </c>
      <c r="H79" s="61">
        <v>250</v>
      </c>
      <c r="I79" s="62">
        <f t="shared" si="1"/>
        <v>7500</v>
      </c>
    </row>
    <row r="80" spans="1:9" ht="26.25" thickBot="1" x14ac:dyDescent="0.25">
      <c r="A80" s="48">
        <v>71</v>
      </c>
      <c r="B80" s="12"/>
      <c r="C80" s="13" t="s">
        <v>17</v>
      </c>
      <c r="D80" s="14" t="s">
        <v>206</v>
      </c>
      <c r="E80" s="3" t="s">
        <v>197</v>
      </c>
      <c r="F80" s="11" t="s">
        <v>212</v>
      </c>
      <c r="G80" s="4">
        <v>2000</v>
      </c>
      <c r="H80" s="61">
        <v>180</v>
      </c>
      <c r="I80" s="62">
        <f t="shared" si="1"/>
        <v>360000</v>
      </c>
    </row>
    <row r="81" spans="1:9" ht="26.25" thickBot="1" x14ac:dyDescent="0.25">
      <c r="A81" s="48">
        <v>72</v>
      </c>
      <c r="B81" s="12"/>
      <c r="C81" s="13" t="s">
        <v>17</v>
      </c>
      <c r="D81" s="14" t="s">
        <v>206</v>
      </c>
      <c r="E81" s="3" t="s">
        <v>198</v>
      </c>
      <c r="F81" s="11" t="s">
        <v>212</v>
      </c>
      <c r="G81" s="4">
        <v>2000</v>
      </c>
      <c r="H81" s="61">
        <v>180</v>
      </c>
      <c r="I81" s="62">
        <f t="shared" si="1"/>
        <v>360000</v>
      </c>
    </row>
    <row r="82" spans="1:9" ht="26.25" thickBot="1" x14ac:dyDescent="0.25">
      <c r="A82" s="48">
        <v>73</v>
      </c>
      <c r="B82" s="12"/>
      <c r="C82" s="13" t="s">
        <v>17</v>
      </c>
      <c r="D82" s="14" t="s">
        <v>206</v>
      </c>
      <c r="E82" s="5" t="s">
        <v>102</v>
      </c>
      <c r="F82" s="11" t="s">
        <v>212</v>
      </c>
      <c r="G82" s="4">
        <v>240</v>
      </c>
      <c r="H82" s="61">
        <v>180</v>
      </c>
      <c r="I82" s="62">
        <f t="shared" si="1"/>
        <v>43200</v>
      </c>
    </row>
    <row r="83" spans="1:9" ht="26.25" thickBot="1" x14ac:dyDescent="0.25">
      <c r="A83" s="48">
        <v>74</v>
      </c>
      <c r="B83" s="12"/>
      <c r="C83" s="13" t="s">
        <v>17</v>
      </c>
      <c r="D83" s="14" t="s">
        <v>206</v>
      </c>
      <c r="E83" s="1" t="s">
        <v>103</v>
      </c>
      <c r="F83" s="11" t="s">
        <v>212</v>
      </c>
      <c r="G83" s="4">
        <v>60</v>
      </c>
      <c r="H83" s="61">
        <v>156</v>
      </c>
      <c r="I83" s="62">
        <f t="shared" si="1"/>
        <v>9360</v>
      </c>
    </row>
    <row r="84" spans="1:9" ht="26.25" thickBot="1" x14ac:dyDescent="0.25">
      <c r="A84" s="48">
        <v>75</v>
      </c>
      <c r="B84" s="12"/>
      <c r="C84" s="13" t="s">
        <v>17</v>
      </c>
      <c r="D84" s="14" t="s">
        <v>206</v>
      </c>
      <c r="E84" s="1" t="s">
        <v>156</v>
      </c>
      <c r="F84" s="11" t="s">
        <v>212</v>
      </c>
      <c r="G84" s="4">
        <v>50</v>
      </c>
      <c r="H84" s="61">
        <v>252</v>
      </c>
      <c r="I84" s="62">
        <f t="shared" si="1"/>
        <v>12600</v>
      </c>
    </row>
    <row r="85" spans="1:9" ht="26.25" thickBot="1" x14ac:dyDescent="0.25">
      <c r="A85" s="48">
        <v>76</v>
      </c>
      <c r="B85" s="12"/>
      <c r="C85" s="13" t="s">
        <v>17</v>
      </c>
      <c r="D85" s="14" t="s">
        <v>206</v>
      </c>
      <c r="E85" s="2" t="s">
        <v>199</v>
      </c>
      <c r="F85" s="11" t="s">
        <v>212</v>
      </c>
      <c r="G85" s="4">
        <v>300</v>
      </c>
      <c r="H85" s="61">
        <v>3.15</v>
      </c>
      <c r="I85" s="62">
        <f t="shared" si="1"/>
        <v>945</v>
      </c>
    </row>
    <row r="86" spans="1:9" ht="26.25" thickBot="1" x14ac:dyDescent="0.25">
      <c r="A86" s="48">
        <v>77</v>
      </c>
      <c r="B86" s="12"/>
      <c r="C86" s="13" t="s">
        <v>17</v>
      </c>
      <c r="D86" s="14" t="s">
        <v>206</v>
      </c>
      <c r="E86" s="3" t="s">
        <v>63</v>
      </c>
      <c r="F86" s="11" t="s">
        <v>212</v>
      </c>
      <c r="G86" s="4">
        <v>30</v>
      </c>
      <c r="H86" s="61">
        <v>3100</v>
      </c>
      <c r="I86" s="62">
        <f t="shared" si="1"/>
        <v>93000</v>
      </c>
    </row>
    <row r="87" spans="1:9" ht="26.25" thickBot="1" x14ac:dyDescent="0.25">
      <c r="A87" s="48">
        <v>78</v>
      </c>
      <c r="B87" s="12"/>
      <c r="C87" s="13" t="s">
        <v>17</v>
      </c>
      <c r="D87" s="14" t="s">
        <v>206</v>
      </c>
      <c r="E87" s="2" t="s">
        <v>64</v>
      </c>
      <c r="F87" s="11" t="s">
        <v>212</v>
      </c>
      <c r="G87" s="4">
        <v>4</v>
      </c>
      <c r="H87" s="61">
        <v>2600</v>
      </c>
      <c r="I87" s="62">
        <f t="shared" si="1"/>
        <v>10400</v>
      </c>
    </row>
    <row r="88" spans="1:9" ht="39" thickBot="1" x14ac:dyDescent="0.25">
      <c r="A88" s="48">
        <v>79</v>
      </c>
      <c r="B88" s="12"/>
      <c r="C88" s="13" t="s">
        <v>17</v>
      </c>
      <c r="D88" s="14" t="s">
        <v>206</v>
      </c>
      <c r="E88" s="3" t="s">
        <v>144</v>
      </c>
      <c r="F88" s="11" t="s">
        <v>212</v>
      </c>
      <c r="G88" s="4">
        <v>1</v>
      </c>
      <c r="H88" s="61">
        <v>900</v>
      </c>
      <c r="I88" s="62">
        <f t="shared" si="1"/>
        <v>900</v>
      </c>
    </row>
    <row r="89" spans="1:9" ht="26.25" thickBot="1" x14ac:dyDescent="0.25">
      <c r="A89" s="48">
        <v>80</v>
      </c>
      <c r="B89" s="12"/>
      <c r="C89" s="13" t="s">
        <v>17</v>
      </c>
      <c r="D89" s="14" t="s">
        <v>206</v>
      </c>
      <c r="E89" s="5" t="s">
        <v>143</v>
      </c>
      <c r="F89" s="11" t="s">
        <v>212</v>
      </c>
      <c r="G89" s="4">
        <v>10</v>
      </c>
      <c r="H89" s="61">
        <v>1250</v>
      </c>
      <c r="I89" s="62">
        <f t="shared" si="1"/>
        <v>12500</v>
      </c>
    </row>
    <row r="90" spans="1:9" ht="26.25" thickBot="1" x14ac:dyDescent="0.25">
      <c r="A90" s="48">
        <v>81</v>
      </c>
      <c r="B90" s="12"/>
      <c r="C90" s="13" t="s">
        <v>17</v>
      </c>
      <c r="D90" s="14" t="s">
        <v>206</v>
      </c>
      <c r="E90" s="1" t="s">
        <v>65</v>
      </c>
      <c r="F90" s="11" t="s">
        <v>212</v>
      </c>
      <c r="G90" s="4">
        <v>50</v>
      </c>
      <c r="H90" s="61">
        <v>390</v>
      </c>
      <c r="I90" s="62">
        <f t="shared" si="1"/>
        <v>19500</v>
      </c>
    </row>
    <row r="91" spans="1:9" ht="26.25" thickBot="1" x14ac:dyDescent="0.25">
      <c r="A91" s="48">
        <v>82</v>
      </c>
      <c r="B91" s="12"/>
      <c r="C91" s="13" t="s">
        <v>17</v>
      </c>
      <c r="D91" s="14" t="s">
        <v>206</v>
      </c>
      <c r="E91" s="1" t="s">
        <v>157</v>
      </c>
      <c r="F91" s="11" t="s">
        <v>212</v>
      </c>
      <c r="G91" s="4">
        <v>50</v>
      </c>
      <c r="H91" s="61">
        <v>700</v>
      </c>
      <c r="I91" s="62">
        <f t="shared" si="1"/>
        <v>35000</v>
      </c>
    </row>
    <row r="92" spans="1:9" ht="26.25" thickBot="1" x14ac:dyDescent="0.25">
      <c r="A92" s="48">
        <v>83</v>
      </c>
      <c r="B92" s="12"/>
      <c r="C92" s="13" t="s">
        <v>17</v>
      </c>
      <c r="D92" s="14" t="s">
        <v>206</v>
      </c>
      <c r="E92" s="3" t="s">
        <v>66</v>
      </c>
      <c r="F92" s="11" t="s">
        <v>212</v>
      </c>
      <c r="G92" s="4">
        <v>10</v>
      </c>
      <c r="H92" s="61">
        <v>1643</v>
      </c>
      <c r="I92" s="62">
        <f t="shared" si="1"/>
        <v>16430</v>
      </c>
    </row>
    <row r="93" spans="1:9" ht="26.25" thickBot="1" x14ac:dyDescent="0.25">
      <c r="A93" s="48">
        <v>84</v>
      </c>
      <c r="B93" s="12"/>
      <c r="C93" s="13" t="s">
        <v>17</v>
      </c>
      <c r="D93" s="14" t="s">
        <v>206</v>
      </c>
      <c r="E93" s="5" t="s">
        <v>67</v>
      </c>
      <c r="F93" s="11" t="s">
        <v>212</v>
      </c>
      <c r="G93" s="4">
        <v>10</v>
      </c>
      <c r="H93" s="61">
        <v>1643</v>
      </c>
      <c r="I93" s="62">
        <f t="shared" si="1"/>
        <v>16430</v>
      </c>
    </row>
    <row r="94" spans="1:9" ht="26.25" thickBot="1" x14ac:dyDescent="0.25">
      <c r="A94" s="48">
        <v>85</v>
      </c>
      <c r="B94" s="12"/>
      <c r="C94" s="44" t="s">
        <v>17</v>
      </c>
      <c r="D94" s="45" t="s">
        <v>206</v>
      </c>
      <c r="E94" s="17" t="s">
        <v>68</v>
      </c>
      <c r="F94" s="11" t="s">
        <v>212</v>
      </c>
      <c r="G94" s="4">
        <v>10</v>
      </c>
      <c r="H94" s="61">
        <v>1643</v>
      </c>
      <c r="I94" s="62">
        <f t="shared" si="1"/>
        <v>16430</v>
      </c>
    </row>
    <row r="95" spans="1:9" ht="26.25" thickBot="1" x14ac:dyDescent="0.25">
      <c r="A95" s="48">
        <v>86</v>
      </c>
      <c r="B95" s="12"/>
      <c r="C95" s="13" t="s">
        <v>17</v>
      </c>
      <c r="D95" s="14" t="s">
        <v>206</v>
      </c>
      <c r="E95" s="5" t="s">
        <v>113</v>
      </c>
      <c r="F95" s="11" t="s">
        <v>212</v>
      </c>
      <c r="G95" s="4">
        <v>1000</v>
      </c>
      <c r="H95" s="61">
        <v>79.900000000000006</v>
      </c>
      <c r="I95" s="62">
        <f t="shared" si="1"/>
        <v>79900</v>
      </c>
    </row>
    <row r="96" spans="1:9" ht="26.25" thickBot="1" x14ac:dyDescent="0.25">
      <c r="A96" s="48">
        <v>87</v>
      </c>
      <c r="B96" s="12"/>
      <c r="C96" s="13" t="s">
        <v>17</v>
      </c>
      <c r="D96" s="14" t="s">
        <v>206</v>
      </c>
      <c r="E96" s="5" t="s">
        <v>69</v>
      </c>
      <c r="F96" s="11" t="s">
        <v>212</v>
      </c>
      <c r="G96" s="4">
        <v>200</v>
      </c>
      <c r="H96" s="61">
        <v>408</v>
      </c>
      <c r="I96" s="62">
        <f t="shared" si="1"/>
        <v>81600</v>
      </c>
    </row>
    <row r="97" spans="1:9" ht="26.25" thickBot="1" x14ac:dyDescent="0.25">
      <c r="A97" s="48">
        <v>88</v>
      </c>
      <c r="B97" s="12"/>
      <c r="C97" s="13" t="s">
        <v>17</v>
      </c>
      <c r="D97" s="14" t="s">
        <v>206</v>
      </c>
      <c r="E97" s="5" t="s">
        <v>70</v>
      </c>
      <c r="F97" s="11" t="s">
        <v>212</v>
      </c>
      <c r="G97" s="4">
        <v>200</v>
      </c>
      <c r="H97" s="61">
        <v>408</v>
      </c>
      <c r="I97" s="62">
        <f t="shared" si="1"/>
        <v>81600</v>
      </c>
    </row>
    <row r="98" spans="1:9" ht="26.25" thickBot="1" x14ac:dyDescent="0.25">
      <c r="A98" s="48">
        <v>89</v>
      </c>
      <c r="B98" s="12"/>
      <c r="C98" s="13" t="s">
        <v>17</v>
      </c>
      <c r="D98" s="14" t="s">
        <v>206</v>
      </c>
      <c r="E98" s="5" t="s">
        <v>71</v>
      </c>
      <c r="F98" s="11" t="s">
        <v>212</v>
      </c>
      <c r="G98" s="4">
        <v>200</v>
      </c>
      <c r="H98" s="61">
        <v>408</v>
      </c>
      <c r="I98" s="62">
        <f t="shared" si="1"/>
        <v>81600</v>
      </c>
    </row>
    <row r="99" spans="1:9" ht="26.25" thickBot="1" x14ac:dyDescent="0.25">
      <c r="A99" s="48">
        <v>90</v>
      </c>
      <c r="B99" s="12"/>
      <c r="C99" s="13" t="s">
        <v>17</v>
      </c>
      <c r="D99" s="14" t="s">
        <v>206</v>
      </c>
      <c r="E99" s="5" t="s">
        <v>72</v>
      </c>
      <c r="F99" s="11" t="s">
        <v>212</v>
      </c>
      <c r="G99" s="4">
        <v>200</v>
      </c>
      <c r="H99" s="61">
        <v>408</v>
      </c>
      <c r="I99" s="62">
        <f t="shared" si="1"/>
        <v>81600</v>
      </c>
    </row>
    <row r="100" spans="1:9" ht="26.25" thickBot="1" x14ac:dyDescent="0.25">
      <c r="A100" s="48">
        <v>91</v>
      </c>
      <c r="B100" s="12"/>
      <c r="C100" s="13" t="s">
        <v>17</v>
      </c>
      <c r="D100" s="14" t="s">
        <v>206</v>
      </c>
      <c r="E100" s="5" t="s">
        <v>73</v>
      </c>
      <c r="F100" s="11" t="s">
        <v>212</v>
      </c>
      <c r="G100" s="4">
        <v>100</v>
      </c>
      <c r="H100" s="61">
        <v>408</v>
      </c>
      <c r="I100" s="62">
        <f t="shared" si="1"/>
        <v>40800</v>
      </c>
    </row>
    <row r="101" spans="1:9" ht="26.25" thickBot="1" x14ac:dyDescent="0.25">
      <c r="A101" s="48">
        <v>92</v>
      </c>
      <c r="B101" s="12"/>
      <c r="C101" s="13" t="s">
        <v>17</v>
      </c>
      <c r="D101" s="14" t="s">
        <v>206</v>
      </c>
      <c r="E101" s="5" t="s">
        <v>74</v>
      </c>
      <c r="F101" s="11" t="s">
        <v>212</v>
      </c>
      <c r="G101" s="4">
        <v>100</v>
      </c>
      <c r="H101" s="61">
        <v>408</v>
      </c>
      <c r="I101" s="62">
        <f t="shared" si="1"/>
        <v>40800</v>
      </c>
    </row>
    <row r="102" spans="1:9" ht="26.25" thickBot="1" x14ac:dyDescent="0.25">
      <c r="A102" s="48">
        <v>93</v>
      </c>
      <c r="B102" s="12"/>
      <c r="C102" s="13" t="s">
        <v>17</v>
      </c>
      <c r="D102" s="14" t="s">
        <v>206</v>
      </c>
      <c r="E102" s="5" t="s">
        <v>75</v>
      </c>
      <c r="F102" s="11" t="s">
        <v>212</v>
      </c>
      <c r="G102" s="4">
        <v>100</v>
      </c>
      <c r="H102" s="61">
        <v>390</v>
      </c>
      <c r="I102" s="62">
        <f t="shared" si="1"/>
        <v>39000</v>
      </c>
    </row>
    <row r="103" spans="1:9" ht="26.25" thickBot="1" x14ac:dyDescent="0.25">
      <c r="A103" s="48">
        <v>94</v>
      </c>
      <c r="B103" s="12"/>
      <c r="C103" s="13" t="s">
        <v>17</v>
      </c>
      <c r="D103" s="14" t="s">
        <v>206</v>
      </c>
      <c r="E103" s="5" t="s">
        <v>76</v>
      </c>
      <c r="F103" s="11" t="s">
        <v>212</v>
      </c>
      <c r="G103" s="4">
        <v>100</v>
      </c>
      <c r="H103" s="61">
        <v>390</v>
      </c>
      <c r="I103" s="62">
        <f t="shared" si="1"/>
        <v>39000</v>
      </c>
    </row>
    <row r="104" spans="1:9" ht="26.25" thickBot="1" x14ac:dyDescent="0.25">
      <c r="A104" s="48">
        <v>95</v>
      </c>
      <c r="B104" s="12"/>
      <c r="C104" s="13" t="s">
        <v>17</v>
      </c>
      <c r="D104" s="14" t="s">
        <v>206</v>
      </c>
      <c r="E104" s="5" t="s">
        <v>200</v>
      </c>
      <c r="F104" s="11" t="s">
        <v>212</v>
      </c>
      <c r="G104" s="4">
        <v>100</v>
      </c>
      <c r="H104" s="61">
        <v>390</v>
      </c>
      <c r="I104" s="62">
        <f t="shared" si="1"/>
        <v>39000</v>
      </c>
    </row>
    <row r="105" spans="1:9" ht="26.25" thickBot="1" x14ac:dyDescent="0.25">
      <c r="A105" s="48">
        <v>96</v>
      </c>
      <c r="B105" s="12"/>
      <c r="C105" s="13" t="s">
        <v>17</v>
      </c>
      <c r="D105" s="14" t="s">
        <v>206</v>
      </c>
      <c r="E105" s="2" t="s">
        <v>201</v>
      </c>
      <c r="F105" s="11" t="s">
        <v>212</v>
      </c>
      <c r="G105" s="4">
        <v>100</v>
      </c>
      <c r="H105" s="61">
        <v>390</v>
      </c>
      <c r="I105" s="62">
        <f t="shared" si="1"/>
        <v>39000</v>
      </c>
    </row>
    <row r="106" spans="1:9" ht="26.25" thickBot="1" x14ac:dyDescent="0.25">
      <c r="A106" s="48">
        <v>97</v>
      </c>
      <c r="B106" s="12"/>
      <c r="C106" s="13" t="s">
        <v>17</v>
      </c>
      <c r="D106" s="14" t="s">
        <v>206</v>
      </c>
      <c r="E106" s="2" t="s">
        <v>77</v>
      </c>
      <c r="F106" s="11" t="s">
        <v>212</v>
      </c>
      <c r="G106" s="4">
        <v>50</v>
      </c>
      <c r="H106" s="61">
        <v>860</v>
      </c>
      <c r="I106" s="62">
        <f t="shared" si="1"/>
        <v>43000</v>
      </c>
    </row>
    <row r="107" spans="1:9" ht="26.25" thickBot="1" x14ac:dyDescent="0.25">
      <c r="A107" s="48">
        <v>98</v>
      </c>
      <c r="B107" s="12"/>
      <c r="C107" s="13" t="s">
        <v>17</v>
      </c>
      <c r="D107" s="14" t="s">
        <v>206</v>
      </c>
      <c r="E107" s="5" t="s">
        <v>78</v>
      </c>
      <c r="F107" s="11" t="s">
        <v>212</v>
      </c>
      <c r="G107" s="4">
        <v>50</v>
      </c>
      <c r="H107" s="61">
        <v>860</v>
      </c>
      <c r="I107" s="62">
        <f t="shared" si="1"/>
        <v>43000</v>
      </c>
    </row>
    <row r="108" spans="1:9" ht="26.25" thickBot="1" x14ac:dyDescent="0.25">
      <c r="A108" s="48">
        <v>99</v>
      </c>
      <c r="B108" s="12"/>
      <c r="C108" s="13" t="s">
        <v>17</v>
      </c>
      <c r="D108" s="14" t="s">
        <v>206</v>
      </c>
      <c r="E108" s="50" t="s">
        <v>79</v>
      </c>
      <c r="F108" s="11" t="s">
        <v>212</v>
      </c>
      <c r="G108" s="4">
        <v>50</v>
      </c>
      <c r="H108" s="63">
        <v>860</v>
      </c>
      <c r="I108" s="62">
        <f t="shared" si="1"/>
        <v>43000</v>
      </c>
    </row>
    <row r="109" spans="1:9" ht="26.25" thickBot="1" x14ac:dyDescent="0.25">
      <c r="A109" s="48">
        <v>100</v>
      </c>
      <c r="B109" s="12"/>
      <c r="C109" s="13" t="s">
        <v>17</v>
      </c>
      <c r="D109" s="14" t="s">
        <v>206</v>
      </c>
      <c r="E109" s="50" t="s">
        <v>80</v>
      </c>
      <c r="F109" s="11" t="s">
        <v>212</v>
      </c>
      <c r="G109" s="4">
        <v>1000</v>
      </c>
      <c r="H109" s="63">
        <v>40</v>
      </c>
      <c r="I109" s="62">
        <f t="shared" si="1"/>
        <v>40000</v>
      </c>
    </row>
    <row r="110" spans="1:9" ht="26.25" thickBot="1" x14ac:dyDescent="0.25">
      <c r="A110" s="48">
        <v>101</v>
      </c>
      <c r="B110" s="12"/>
      <c r="C110" s="13" t="s">
        <v>17</v>
      </c>
      <c r="D110" s="14" t="s">
        <v>206</v>
      </c>
      <c r="E110" s="50" t="s">
        <v>81</v>
      </c>
      <c r="F110" s="11" t="s">
        <v>212</v>
      </c>
      <c r="G110" s="4">
        <v>1000</v>
      </c>
      <c r="H110" s="63">
        <v>40</v>
      </c>
      <c r="I110" s="62">
        <f t="shared" si="1"/>
        <v>40000</v>
      </c>
    </row>
    <row r="111" spans="1:9" ht="26.25" thickBot="1" x14ac:dyDescent="0.25">
      <c r="A111" s="48">
        <v>102</v>
      </c>
      <c r="B111" s="12"/>
      <c r="C111" s="13" t="s">
        <v>17</v>
      </c>
      <c r="D111" s="14" t="s">
        <v>206</v>
      </c>
      <c r="E111" s="50" t="s">
        <v>82</v>
      </c>
      <c r="F111" s="11" t="s">
        <v>212</v>
      </c>
      <c r="G111" s="4">
        <v>3000</v>
      </c>
      <c r="H111" s="63">
        <v>235</v>
      </c>
      <c r="I111" s="62">
        <f t="shared" si="1"/>
        <v>705000</v>
      </c>
    </row>
    <row r="112" spans="1:9" ht="26.25" thickBot="1" x14ac:dyDescent="0.25">
      <c r="A112" s="48">
        <v>103</v>
      </c>
      <c r="B112" s="12"/>
      <c r="C112" s="13" t="s">
        <v>17</v>
      </c>
      <c r="D112" s="14" t="s">
        <v>206</v>
      </c>
      <c r="E112" s="5" t="s">
        <v>83</v>
      </c>
      <c r="F112" s="11" t="s">
        <v>212</v>
      </c>
      <c r="G112" s="4">
        <v>50</v>
      </c>
      <c r="H112" s="63">
        <v>2250</v>
      </c>
      <c r="I112" s="62">
        <f t="shared" si="1"/>
        <v>112500</v>
      </c>
    </row>
    <row r="113" spans="1:9" ht="26.25" thickBot="1" x14ac:dyDescent="0.25">
      <c r="A113" s="48">
        <v>104</v>
      </c>
      <c r="B113" s="12"/>
      <c r="C113" s="13" t="s">
        <v>17</v>
      </c>
      <c r="D113" s="14" t="s">
        <v>206</v>
      </c>
      <c r="E113" s="5" t="s">
        <v>84</v>
      </c>
      <c r="F113" s="11" t="s">
        <v>212</v>
      </c>
      <c r="G113" s="4">
        <v>50</v>
      </c>
      <c r="H113" s="63">
        <v>2250</v>
      </c>
      <c r="I113" s="62">
        <f t="shared" si="1"/>
        <v>112500</v>
      </c>
    </row>
    <row r="114" spans="1:9" ht="26.25" thickBot="1" x14ac:dyDescent="0.25">
      <c r="A114" s="48">
        <v>105</v>
      </c>
      <c r="B114" s="12"/>
      <c r="C114" s="13" t="s">
        <v>17</v>
      </c>
      <c r="D114" s="14" t="s">
        <v>210</v>
      </c>
      <c r="E114" s="5" t="s">
        <v>142</v>
      </c>
      <c r="F114" s="11" t="s">
        <v>212</v>
      </c>
      <c r="G114" s="4">
        <v>30</v>
      </c>
      <c r="H114" s="63">
        <v>4500</v>
      </c>
      <c r="I114" s="62">
        <f t="shared" si="1"/>
        <v>135000</v>
      </c>
    </row>
    <row r="115" spans="1:9" ht="26.25" thickBot="1" x14ac:dyDescent="0.25">
      <c r="A115" s="48">
        <v>106</v>
      </c>
      <c r="B115" s="12"/>
      <c r="C115" s="13" t="s">
        <v>17</v>
      </c>
      <c r="D115" s="14" t="s">
        <v>209</v>
      </c>
      <c r="E115" s="5" t="s">
        <v>114</v>
      </c>
      <c r="F115" s="11" t="s">
        <v>212</v>
      </c>
      <c r="G115" s="4">
        <v>5</v>
      </c>
      <c r="H115" s="63">
        <v>4100</v>
      </c>
      <c r="I115" s="62">
        <f t="shared" si="1"/>
        <v>20500</v>
      </c>
    </row>
    <row r="116" spans="1:9" ht="26.25" thickBot="1" x14ac:dyDescent="0.25">
      <c r="A116" s="48">
        <v>107</v>
      </c>
      <c r="B116" s="12"/>
      <c r="C116" s="13" t="s">
        <v>17</v>
      </c>
      <c r="D116" s="14" t="s">
        <v>207</v>
      </c>
      <c r="E116" s="15" t="s">
        <v>115</v>
      </c>
      <c r="F116" s="11" t="s">
        <v>212</v>
      </c>
      <c r="G116" s="4">
        <v>5</v>
      </c>
      <c r="H116" s="63">
        <v>6000</v>
      </c>
      <c r="I116" s="62">
        <f t="shared" si="1"/>
        <v>30000</v>
      </c>
    </row>
    <row r="117" spans="1:9" ht="26.25" thickBot="1" x14ac:dyDescent="0.25">
      <c r="A117" s="48">
        <v>108</v>
      </c>
      <c r="B117" s="12"/>
      <c r="C117" s="13" t="s">
        <v>17</v>
      </c>
      <c r="D117" s="14" t="s">
        <v>208</v>
      </c>
      <c r="E117" s="15" t="s">
        <v>141</v>
      </c>
      <c r="F117" s="11" t="s">
        <v>212</v>
      </c>
      <c r="G117" s="4">
        <v>5</v>
      </c>
      <c r="H117" s="63">
        <v>3900</v>
      </c>
      <c r="I117" s="62">
        <f t="shared" si="1"/>
        <v>19500</v>
      </c>
    </row>
    <row r="118" spans="1:9" ht="26.25" thickBot="1" x14ac:dyDescent="0.25">
      <c r="A118" s="48">
        <v>109</v>
      </c>
      <c r="B118" s="12"/>
      <c r="C118" s="13" t="s">
        <v>17</v>
      </c>
      <c r="D118" s="14" t="s">
        <v>206</v>
      </c>
      <c r="E118" s="1" t="s">
        <v>85</v>
      </c>
      <c r="F118" s="11" t="s">
        <v>212</v>
      </c>
      <c r="G118" s="16">
        <v>50</v>
      </c>
      <c r="H118" s="64">
        <v>4500</v>
      </c>
      <c r="I118" s="62">
        <f t="shared" si="1"/>
        <v>225000</v>
      </c>
    </row>
    <row r="119" spans="1:9" ht="26.25" thickBot="1" x14ac:dyDescent="0.25">
      <c r="A119" s="48">
        <v>110</v>
      </c>
      <c r="B119" s="12"/>
      <c r="C119" s="13" t="s">
        <v>17</v>
      </c>
      <c r="D119" s="14" t="s">
        <v>206</v>
      </c>
      <c r="E119" s="1" t="s">
        <v>86</v>
      </c>
      <c r="F119" s="11" t="s">
        <v>212</v>
      </c>
      <c r="G119" s="16">
        <v>5</v>
      </c>
      <c r="H119" s="64">
        <v>4500</v>
      </c>
      <c r="I119" s="62">
        <f t="shared" si="1"/>
        <v>22500</v>
      </c>
    </row>
    <row r="120" spans="1:9" ht="26.25" thickBot="1" x14ac:dyDescent="0.25">
      <c r="A120" s="48">
        <v>111</v>
      </c>
      <c r="B120" s="12"/>
      <c r="C120" s="13" t="s">
        <v>17</v>
      </c>
      <c r="D120" s="14" t="s">
        <v>206</v>
      </c>
      <c r="E120" s="5" t="s">
        <v>87</v>
      </c>
      <c r="F120" s="11" t="s">
        <v>212</v>
      </c>
      <c r="G120" s="16">
        <v>5</v>
      </c>
      <c r="H120" s="64">
        <v>4500</v>
      </c>
      <c r="I120" s="62">
        <f t="shared" si="1"/>
        <v>22500</v>
      </c>
    </row>
    <row r="121" spans="1:9" ht="26.25" thickBot="1" x14ac:dyDescent="0.25">
      <c r="A121" s="48">
        <v>112</v>
      </c>
      <c r="B121" s="12"/>
      <c r="C121" s="13" t="s">
        <v>17</v>
      </c>
      <c r="D121" s="14" t="s">
        <v>206</v>
      </c>
      <c r="E121" s="5" t="s">
        <v>158</v>
      </c>
      <c r="F121" s="11" t="s">
        <v>212</v>
      </c>
      <c r="G121" s="16">
        <v>100</v>
      </c>
      <c r="H121" s="64">
        <v>4500</v>
      </c>
      <c r="I121" s="62">
        <f t="shared" si="1"/>
        <v>450000</v>
      </c>
    </row>
    <row r="122" spans="1:9" ht="26.25" thickBot="1" x14ac:dyDescent="0.25">
      <c r="A122" s="48">
        <v>113</v>
      </c>
      <c r="B122" s="12"/>
      <c r="C122" s="13" t="s">
        <v>17</v>
      </c>
      <c r="D122" s="14" t="s">
        <v>210</v>
      </c>
      <c r="E122" s="5" t="s">
        <v>145</v>
      </c>
      <c r="F122" s="11" t="s">
        <v>212</v>
      </c>
      <c r="G122" s="16">
        <v>24</v>
      </c>
      <c r="H122" s="64">
        <v>220</v>
      </c>
      <c r="I122" s="62">
        <f t="shared" si="1"/>
        <v>5280</v>
      </c>
    </row>
    <row r="123" spans="1:9" ht="26.25" thickBot="1" x14ac:dyDescent="0.25">
      <c r="A123" s="48">
        <v>114</v>
      </c>
      <c r="B123" s="12"/>
      <c r="C123" s="13" t="s">
        <v>17</v>
      </c>
      <c r="D123" s="14" t="s">
        <v>206</v>
      </c>
      <c r="E123" s="15" t="s">
        <v>185</v>
      </c>
      <c r="F123" s="11" t="s">
        <v>212</v>
      </c>
      <c r="G123" s="16">
        <v>30</v>
      </c>
      <c r="H123" s="64">
        <v>3540</v>
      </c>
      <c r="I123" s="62">
        <f t="shared" si="1"/>
        <v>106200</v>
      </c>
    </row>
    <row r="124" spans="1:9" ht="26.25" thickBot="1" x14ac:dyDescent="0.25">
      <c r="A124" s="48">
        <v>115</v>
      </c>
      <c r="B124" s="12"/>
      <c r="C124" s="13" t="s">
        <v>17</v>
      </c>
      <c r="D124" s="14" t="s">
        <v>206</v>
      </c>
      <c r="E124" s="5" t="s">
        <v>159</v>
      </c>
      <c r="F124" s="11" t="s">
        <v>212</v>
      </c>
      <c r="G124" s="16">
        <v>100</v>
      </c>
      <c r="H124" s="64">
        <v>1800</v>
      </c>
      <c r="I124" s="62">
        <f t="shared" si="1"/>
        <v>180000</v>
      </c>
    </row>
    <row r="125" spans="1:9" ht="26.25" thickBot="1" x14ac:dyDescent="0.25">
      <c r="A125" s="48">
        <v>116</v>
      </c>
      <c r="B125" s="12"/>
      <c r="C125" s="13" t="s">
        <v>17</v>
      </c>
      <c r="D125" s="14" t="s">
        <v>206</v>
      </c>
      <c r="E125" s="17" t="s">
        <v>186</v>
      </c>
      <c r="F125" s="11" t="s">
        <v>212</v>
      </c>
      <c r="G125" s="16">
        <v>10</v>
      </c>
      <c r="H125" s="64">
        <v>1500</v>
      </c>
      <c r="I125" s="62">
        <f t="shared" si="1"/>
        <v>15000</v>
      </c>
    </row>
    <row r="126" spans="1:9" ht="26.25" thickBot="1" x14ac:dyDescent="0.25">
      <c r="A126" s="48">
        <v>117</v>
      </c>
      <c r="B126" s="12"/>
      <c r="C126" s="13" t="s">
        <v>17</v>
      </c>
      <c r="D126" s="14" t="s">
        <v>206</v>
      </c>
      <c r="E126" s="17" t="s">
        <v>187</v>
      </c>
      <c r="F126" s="11" t="s">
        <v>212</v>
      </c>
      <c r="G126" s="16">
        <v>10</v>
      </c>
      <c r="H126" s="64">
        <v>1500</v>
      </c>
      <c r="I126" s="62">
        <f t="shared" si="1"/>
        <v>15000</v>
      </c>
    </row>
    <row r="127" spans="1:9" ht="26.25" thickBot="1" x14ac:dyDescent="0.25">
      <c r="A127" s="48">
        <v>118</v>
      </c>
      <c r="B127" s="12"/>
      <c r="C127" s="13" t="s">
        <v>17</v>
      </c>
      <c r="D127" s="14" t="s">
        <v>206</v>
      </c>
      <c r="E127" s="5" t="s">
        <v>116</v>
      </c>
      <c r="F127" s="11" t="s">
        <v>212</v>
      </c>
      <c r="G127" s="16">
        <v>40</v>
      </c>
      <c r="H127" s="64">
        <v>654</v>
      </c>
      <c r="I127" s="62">
        <f t="shared" si="1"/>
        <v>26160</v>
      </c>
    </row>
    <row r="128" spans="1:9" ht="26.25" thickBot="1" x14ac:dyDescent="0.25">
      <c r="A128" s="48">
        <v>119</v>
      </c>
      <c r="B128" s="12"/>
      <c r="C128" s="13" t="s">
        <v>17</v>
      </c>
      <c r="D128" s="14" t="s">
        <v>206</v>
      </c>
      <c r="E128" s="5" t="s">
        <v>117</v>
      </c>
      <c r="F128" s="11" t="s">
        <v>212</v>
      </c>
      <c r="G128" s="16">
        <v>40</v>
      </c>
      <c r="H128" s="64">
        <v>654</v>
      </c>
      <c r="I128" s="62">
        <f t="shared" si="1"/>
        <v>26160</v>
      </c>
    </row>
    <row r="129" spans="1:9" ht="26.25" thickBot="1" x14ac:dyDescent="0.25">
      <c r="A129" s="48">
        <v>120</v>
      </c>
      <c r="B129" s="12"/>
      <c r="C129" s="13" t="s">
        <v>17</v>
      </c>
      <c r="D129" s="14" t="s">
        <v>206</v>
      </c>
      <c r="E129" s="5" t="s">
        <v>118</v>
      </c>
      <c r="F129" s="11" t="s">
        <v>212</v>
      </c>
      <c r="G129" s="16">
        <v>40</v>
      </c>
      <c r="H129" s="64">
        <v>654</v>
      </c>
      <c r="I129" s="62">
        <f t="shared" si="1"/>
        <v>26160</v>
      </c>
    </row>
    <row r="130" spans="1:9" ht="26.25" thickBot="1" x14ac:dyDescent="0.25">
      <c r="A130" s="48">
        <v>121</v>
      </c>
      <c r="B130" s="12"/>
      <c r="C130" s="13" t="s">
        <v>17</v>
      </c>
      <c r="D130" s="14" t="s">
        <v>206</v>
      </c>
      <c r="E130" s="5" t="s">
        <v>119</v>
      </c>
      <c r="F130" s="11" t="s">
        <v>212</v>
      </c>
      <c r="G130" s="16">
        <v>30</v>
      </c>
      <c r="H130" s="64">
        <v>654</v>
      </c>
      <c r="I130" s="62">
        <f t="shared" si="1"/>
        <v>19620</v>
      </c>
    </row>
    <row r="131" spans="1:9" ht="26.25" thickBot="1" x14ac:dyDescent="0.25">
      <c r="A131" s="48">
        <v>122</v>
      </c>
      <c r="B131" s="12"/>
      <c r="C131" s="13" t="s">
        <v>17</v>
      </c>
      <c r="D131" s="14" t="s">
        <v>206</v>
      </c>
      <c r="E131" s="5" t="s">
        <v>180</v>
      </c>
      <c r="F131" s="11" t="s">
        <v>212</v>
      </c>
      <c r="G131" s="16">
        <v>50</v>
      </c>
      <c r="H131" s="64">
        <v>85</v>
      </c>
      <c r="I131" s="62">
        <f t="shared" si="1"/>
        <v>4250</v>
      </c>
    </row>
    <row r="132" spans="1:9" ht="26.25" thickBot="1" x14ac:dyDescent="0.25">
      <c r="A132" s="48">
        <v>123</v>
      </c>
      <c r="B132" s="12"/>
      <c r="C132" s="13" t="s">
        <v>17</v>
      </c>
      <c r="D132" s="14" t="s">
        <v>206</v>
      </c>
      <c r="E132" s="5" t="s">
        <v>181</v>
      </c>
      <c r="F132" s="11" t="s">
        <v>212</v>
      </c>
      <c r="G132" s="16">
        <v>50</v>
      </c>
      <c r="H132" s="64">
        <v>85</v>
      </c>
      <c r="I132" s="62">
        <f t="shared" si="1"/>
        <v>4250</v>
      </c>
    </row>
    <row r="133" spans="1:9" ht="26.25" thickBot="1" x14ac:dyDescent="0.25">
      <c r="A133" s="48">
        <v>124</v>
      </c>
      <c r="B133" s="12"/>
      <c r="C133" s="13" t="s">
        <v>17</v>
      </c>
      <c r="D133" s="14" t="s">
        <v>206</v>
      </c>
      <c r="E133" s="5" t="s">
        <v>182</v>
      </c>
      <c r="F133" s="11" t="s">
        <v>212</v>
      </c>
      <c r="G133" s="16">
        <v>50</v>
      </c>
      <c r="H133" s="64">
        <v>85</v>
      </c>
      <c r="I133" s="62">
        <f t="shared" si="1"/>
        <v>4250</v>
      </c>
    </row>
    <row r="134" spans="1:9" ht="26.25" thickBot="1" x14ac:dyDescent="0.25">
      <c r="A134" s="48">
        <v>125</v>
      </c>
      <c r="B134" s="12"/>
      <c r="C134" s="13" t="s">
        <v>17</v>
      </c>
      <c r="D134" s="14" t="s">
        <v>206</v>
      </c>
      <c r="E134" s="5" t="s">
        <v>160</v>
      </c>
      <c r="F134" s="11" t="s">
        <v>212</v>
      </c>
      <c r="G134" s="16">
        <v>15</v>
      </c>
      <c r="H134" s="64">
        <v>1350</v>
      </c>
      <c r="I134" s="62">
        <f t="shared" si="1"/>
        <v>20250</v>
      </c>
    </row>
    <row r="135" spans="1:9" ht="26.25" thickBot="1" x14ac:dyDescent="0.25">
      <c r="A135" s="48">
        <v>126</v>
      </c>
      <c r="B135" s="12"/>
      <c r="C135" s="13" t="s">
        <v>17</v>
      </c>
      <c r="D135" s="14" t="s">
        <v>206</v>
      </c>
      <c r="E135" s="5" t="s">
        <v>120</v>
      </c>
      <c r="F135" s="11" t="s">
        <v>212</v>
      </c>
      <c r="G135" s="16">
        <v>50</v>
      </c>
      <c r="H135" s="64">
        <v>348</v>
      </c>
      <c r="I135" s="62">
        <f t="shared" si="1"/>
        <v>17400</v>
      </c>
    </row>
    <row r="136" spans="1:9" ht="26.25" thickBot="1" x14ac:dyDescent="0.25">
      <c r="A136" s="48">
        <v>127</v>
      </c>
      <c r="B136" s="12"/>
      <c r="C136" s="13" t="s">
        <v>17</v>
      </c>
      <c r="D136" s="14" t="s">
        <v>206</v>
      </c>
      <c r="E136" s="5" t="s">
        <v>121</v>
      </c>
      <c r="F136" s="11" t="s">
        <v>212</v>
      </c>
      <c r="G136" s="16">
        <v>50</v>
      </c>
      <c r="H136" s="64">
        <v>348</v>
      </c>
      <c r="I136" s="62">
        <f t="shared" si="1"/>
        <v>17400</v>
      </c>
    </row>
    <row r="137" spans="1:9" ht="26.25" thickBot="1" x14ac:dyDescent="0.25">
      <c r="A137" s="48">
        <v>128</v>
      </c>
      <c r="B137" s="12"/>
      <c r="C137" s="13" t="s">
        <v>17</v>
      </c>
      <c r="D137" s="14" t="s">
        <v>206</v>
      </c>
      <c r="E137" s="5" t="s">
        <v>122</v>
      </c>
      <c r="F137" s="11" t="s">
        <v>212</v>
      </c>
      <c r="G137" s="16">
        <v>50</v>
      </c>
      <c r="H137" s="64">
        <v>348</v>
      </c>
      <c r="I137" s="62">
        <f t="shared" si="1"/>
        <v>17400</v>
      </c>
    </row>
    <row r="138" spans="1:9" ht="26.25" thickBot="1" x14ac:dyDescent="0.25">
      <c r="A138" s="48">
        <v>129</v>
      </c>
      <c r="B138" s="12"/>
      <c r="C138" s="13" t="s">
        <v>17</v>
      </c>
      <c r="D138" s="14" t="s">
        <v>206</v>
      </c>
      <c r="E138" s="5" t="s">
        <v>123</v>
      </c>
      <c r="F138" s="11" t="s">
        <v>212</v>
      </c>
      <c r="G138" s="16">
        <v>50</v>
      </c>
      <c r="H138" s="64">
        <v>348</v>
      </c>
      <c r="I138" s="62">
        <f t="shared" si="1"/>
        <v>17400</v>
      </c>
    </row>
    <row r="139" spans="1:9" ht="26.25" thickBot="1" x14ac:dyDescent="0.25">
      <c r="A139" s="48">
        <v>130</v>
      </c>
      <c r="B139" s="12"/>
      <c r="C139" s="13" t="s">
        <v>17</v>
      </c>
      <c r="D139" s="14" t="s">
        <v>206</v>
      </c>
      <c r="E139" s="5" t="s">
        <v>183</v>
      </c>
      <c r="F139" s="11" t="s">
        <v>212</v>
      </c>
      <c r="G139" s="16">
        <v>300</v>
      </c>
      <c r="H139" s="64">
        <v>19.5</v>
      </c>
      <c r="I139" s="62">
        <f t="shared" si="1"/>
        <v>5850</v>
      </c>
    </row>
    <row r="140" spans="1:9" ht="26.25" thickBot="1" x14ac:dyDescent="0.25">
      <c r="A140" s="48">
        <v>131</v>
      </c>
      <c r="B140" s="12"/>
      <c r="C140" s="13" t="s">
        <v>17</v>
      </c>
      <c r="D140" s="14" t="s">
        <v>206</v>
      </c>
      <c r="E140" s="5" t="s">
        <v>184</v>
      </c>
      <c r="F140" s="11" t="s">
        <v>212</v>
      </c>
      <c r="G140" s="16">
        <v>100</v>
      </c>
      <c r="H140" s="64">
        <v>58.2</v>
      </c>
      <c r="I140" s="62">
        <f t="shared" ref="I140:I186" si="2">G140*H140</f>
        <v>5820</v>
      </c>
    </row>
    <row r="141" spans="1:9" ht="26.25" thickBot="1" x14ac:dyDescent="0.25">
      <c r="A141" s="48">
        <v>132</v>
      </c>
      <c r="B141" s="12"/>
      <c r="C141" s="13" t="s">
        <v>17</v>
      </c>
      <c r="D141" s="14" t="s">
        <v>206</v>
      </c>
      <c r="E141" s="5" t="s">
        <v>104</v>
      </c>
      <c r="F141" s="11" t="s">
        <v>212</v>
      </c>
      <c r="G141" s="16">
        <v>24</v>
      </c>
      <c r="H141" s="64">
        <v>260</v>
      </c>
      <c r="I141" s="62">
        <f t="shared" si="2"/>
        <v>6240</v>
      </c>
    </row>
    <row r="142" spans="1:9" ht="26.25" thickBot="1" x14ac:dyDescent="0.25">
      <c r="A142" s="48">
        <v>133</v>
      </c>
      <c r="B142" s="12"/>
      <c r="C142" s="13" t="s">
        <v>17</v>
      </c>
      <c r="D142" s="14" t="s">
        <v>206</v>
      </c>
      <c r="E142" s="5" t="s">
        <v>105</v>
      </c>
      <c r="F142" s="11" t="s">
        <v>212</v>
      </c>
      <c r="G142" s="16">
        <v>24</v>
      </c>
      <c r="H142" s="64">
        <v>260</v>
      </c>
      <c r="I142" s="62">
        <f t="shared" si="2"/>
        <v>6240</v>
      </c>
    </row>
    <row r="143" spans="1:9" ht="26.25" thickBot="1" x14ac:dyDescent="0.25">
      <c r="A143" s="48">
        <v>134</v>
      </c>
      <c r="B143" s="12"/>
      <c r="C143" s="13" t="s">
        <v>17</v>
      </c>
      <c r="D143" s="14" t="s">
        <v>206</v>
      </c>
      <c r="E143" s="5" t="s">
        <v>106</v>
      </c>
      <c r="F143" s="11" t="s">
        <v>212</v>
      </c>
      <c r="G143" s="16">
        <v>24</v>
      </c>
      <c r="H143" s="64">
        <v>260</v>
      </c>
      <c r="I143" s="62">
        <f t="shared" si="2"/>
        <v>6240</v>
      </c>
    </row>
    <row r="144" spans="1:9" ht="26.25" thickBot="1" x14ac:dyDescent="0.25">
      <c r="A144" s="48">
        <v>135</v>
      </c>
      <c r="B144" s="12"/>
      <c r="C144" s="13" t="s">
        <v>17</v>
      </c>
      <c r="D144" s="14" t="s">
        <v>206</v>
      </c>
      <c r="E144" s="5" t="s">
        <v>107</v>
      </c>
      <c r="F144" s="11" t="s">
        <v>212</v>
      </c>
      <c r="G144" s="16">
        <v>24</v>
      </c>
      <c r="H144" s="64">
        <v>260</v>
      </c>
      <c r="I144" s="62">
        <f t="shared" si="2"/>
        <v>6240</v>
      </c>
    </row>
    <row r="145" spans="1:12" ht="26.25" thickBot="1" x14ac:dyDescent="0.25">
      <c r="A145" s="48">
        <v>136</v>
      </c>
      <c r="B145" s="12"/>
      <c r="C145" s="13" t="s">
        <v>17</v>
      </c>
      <c r="D145" s="14" t="s">
        <v>206</v>
      </c>
      <c r="E145" s="3" t="s">
        <v>108</v>
      </c>
      <c r="F145" s="11" t="s">
        <v>212</v>
      </c>
      <c r="G145" s="16">
        <v>60</v>
      </c>
      <c r="H145" s="64">
        <v>580</v>
      </c>
      <c r="I145" s="62">
        <f t="shared" si="2"/>
        <v>34800</v>
      </c>
    </row>
    <row r="146" spans="1:12" ht="26.25" thickBot="1" x14ac:dyDescent="0.25">
      <c r="A146" s="48">
        <v>137</v>
      </c>
      <c r="B146" s="12"/>
      <c r="C146" s="13" t="s">
        <v>17</v>
      </c>
      <c r="D146" s="14" t="s">
        <v>206</v>
      </c>
      <c r="E146" s="3" t="s">
        <v>109</v>
      </c>
      <c r="F146" s="11" t="s">
        <v>212</v>
      </c>
      <c r="G146" s="16">
        <v>60</v>
      </c>
      <c r="H146" s="64">
        <v>260</v>
      </c>
      <c r="I146" s="62">
        <f t="shared" si="2"/>
        <v>15600</v>
      </c>
    </row>
    <row r="147" spans="1:12" ht="26.25" thickBot="1" x14ac:dyDescent="0.25">
      <c r="A147" s="48">
        <v>138</v>
      </c>
      <c r="B147" s="12"/>
      <c r="C147" s="13" t="s">
        <v>17</v>
      </c>
      <c r="D147" s="14" t="s">
        <v>211</v>
      </c>
      <c r="E147" s="2" t="s">
        <v>202</v>
      </c>
      <c r="F147" s="11" t="s">
        <v>212</v>
      </c>
      <c r="G147" s="16">
        <v>2</v>
      </c>
      <c r="H147" s="64">
        <v>28000</v>
      </c>
      <c r="I147" s="62">
        <f t="shared" si="2"/>
        <v>56000</v>
      </c>
    </row>
    <row r="148" spans="1:12" ht="26.25" thickBot="1" x14ac:dyDescent="0.25">
      <c r="A148" s="48">
        <v>139</v>
      </c>
      <c r="B148" s="12"/>
      <c r="C148" s="44" t="s">
        <v>17</v>
      </c>
      <c r="D148" s="45" t="s">
        <v>211</v>
      </c>
      <c r="E148" s="2" t="s">
        <v>203</v>
      </c>
      <c r="F148" s="11" t="s">
        <v>212</v>
      </c>
      <c r="G148" s="46">
        <v>4</v>
      </c>
      <c r="H148" s="65">
        <v>11000</v>
      </c>
      <c r="I148" s="62">
        <f t="shared" si="2"/>
        <v>44000</v>
      </c>
    </row>
    <row r="149" spans="1:12" ht="26.25" thickBot="1" x14ac:dyDescent="0.25">
      <c r="A149" s="48">
        <v>140</v>
      </c>
      <c r="B149" s="4"/>
      <c r="C149" s="13" t="s">
        <v>17</v>
      </c>
      <c r="D149" s="14" t="s">
        <v>211</v>
      </c>
      <c r="E149" s="17" t="s">
        <v>204</v>
      </c>
      <c r="F149" s="11" t="s">
        <v>212</v>
      </c>
      <c r="G149" s="4">
        <v>4</v>
      </c>
      <c r="H149" s="22">
        <v>22500</v>
      </c>
      <c r="I149" s="62">
        <f t="shared" si="2"/>
        <v>90000</v>
      </c>
      <c r="L149" s="40"/>
    </row>
    <row r="150" spans="1:12" ht="26.25" thickBot="1" x14ac:dyDescent="0.25">
      <c r="A150" s="48">
        <v>141</v>
      </c>
      <c r="B150" s="4"/>
      <c r="C150" s="13" t="s">
        <v>17</v>
      </c>
      <c r="D150" s="14" t="s">
        <v>206</v>
      </c>
      <c r="E150" s="17" t="s">
        <v>88</v>
      </c>
      <c r="F150" s="11" t="s">
        <v>212</v>
      </c>
      <c r="G150" s="4">
        <v>20</v>
      </c>
      <c r="H150" s="22">
        <v>2700</v>
      </c>
      <c r="I150" s="62">
        <f t="shared" si="2"/>
        <v>54000</v>
      </c>
      <c r="L150" s="40"/>
    </row>
    <row r="151" spans="1:12" ht="26.25" thickBot="1" x14ac:dyDescent="0.25">
      <c r="A151" s="48">
        <v>142</v>
      </c>
      <c r="B151" s="4"/>
      <c r="C151" s="44" t="s">
        <v>17</v>
      </c>
      <c r="D151" s="45" t="s">
        <v>206</v>
      </c>
      <c r="E151" s="1" t="s">
        <v>89</v>
      </c>
      <c r="F151" s="11" t="s">
        <v>212</v>
      </c>
      <c r="G151" s="46">
        <v>20</v>
      </c>
      <c r="H151" s="65">
        <v>2700</v>
      </c>
      <c r="I151" s="62">
        <f t="shared" si="2"/>
        <v>54000</v>
      </c>
      <c r="L151" s="40"/>
    </row>
    <row r="152" spans="1:12" ht="26.25" thickBot="1" x14ac:dyDescent="0.25">
      <c r="A152" s="48">
        <v>143</v>
      </c>
      <c r="B152" s="4"/>
      <c r="C152" s="44" t="s">
        <v>17</v>
      </c>
      <c r="D152" s="45" t="s">
        <v>209</v>
      </c>
      <c r="E152" s="1" t="s">
        <v>189</v>
      </c>
      <c r="F152" s="11" t="s">
        <v>212</v>
      </c>
      <c r="G152" s="46">
        <v>3</v>
      </c>
      <c r="H152" s="65">
        <v>829</v>
      </c>
      <c r="I152" s="62">
        <f t="shared" si="2"/>
        <v>2487</v>
      </c>
      <c r="L152" s="40"/>
    </row>
    <row r="153" spans="1:12" ht="26.25" thickBot="1" x14ac:dyDescent="0.25">
      <c r="A153" s="48">
        <v>144</v>
      </c>
      <c r="B153" s="4"/>
      <c r="C153" s="13" t="s">
        <v>17</v>
      </c>
      <c r="D153" s="14" t="s">
        <v>209</v>
      </c>
      <c r="E153" s="5" t="s">
        <v>205</v>
      </c>
      <c r="F153" s="11" t="s">
        <v>212</v>
      </c>
      <c r="G153" s="4">
        <v>150</v>
      </c>
      <c r="H153" s="22">
        <v>1400</v>
      </c>
      <c r="I153" s="62">
        <f t="shared" si="2"/>
        <v>210000</v>
      </c>
      <c r="L153" s="18"/>
    </row>
    <row r="154" spans="1:12" ht="26.25" thickBot="1" x14ac:dyDescent="0.25">
      <c r="A154" s="48">
        <v>145</v>
      </c>
      <c r="B154" s="4"/>
      <c r="C154" s="13" t="s">
        <v>17</v>
      </c>
      <c r="D154" s="14" t="s">
        <v>206</v>
      </c>
      <c r="E154" s="5" t="s">
        <v>90</v>
      </c>
      <c r="F154" s="11" t="s">
        <v>212</v>
      </c>
      <c r="G154" s="4">
        <v>100</v>
      </c>
      <c r="H154" s="22">
        <v>580</v>
      </c>
      <c r="I154" s="62">
        <f t="shared" si="2"/>
        <v>58000</v>
      </c>
    </row>
    <row r="155" spans="1:12" ht="26.25" thickBot="1" x14ac:dyDescent="0.25">
      <c r="A155" s="48">
        <v>146</v>
      </c>
      <c r="B155" s="23"/>
      <c r="C155" s="13" t="s">
        <v>17</v>
      </c>
      <c r="D155" s="14" t="s">
        <v>206</v>
      </c>
      <c r="E155" s="51" t="s">
        <v>170</v>
      </c>
      <c r="F155" s="11" t="s">
        <v>212</v>
      </c>
      <c r="G155" s="4">
        <v>30</v>
      </c>
      <c r="H155" s="22">
        <v>448</v>
      </c>
      <c r="I155" s="62">
        <f t="shared" si="2"/>
        <v>13440</v>
      </c>
    </row>
    <row r="156" spans="1:12" ht="26.25" thickBot="1" x14ac:dyDescent="0.25">
      <c r="A156" s="48">
        <v>147</v>
      </c>
      <c r="B156" s="4"/>
      <c r="C156" s="13" t="s">
        <v>17</v>
      </c>
      <c r="D156" s="14" t="s">
        <v>206</v>
      </c>
      <c r="E156" s="17" t="s">
        <v>161</v>
      </c>
      <c r="F156" s="11" t="s">
        <v>212</v>
      </c>
      <c r="G156" s="4">
        <v>30</v>
      </c>
      <c r="H156" s="22">
        <v>448</v>
      </c>
      <c r="I156" s="62">
        <f t="shared" si="2"/>
        <v>13440</v>
      </c>
    </row>
    <row r="157" spans="1:12" ht="26.25" thickBot="1" x14ac:dyDescent="0.25">
      <c r="A157" s="48">
        <v>148</v>
      </c>
      <c r="B157" s="4"/>
      <c r="C157" s="13" t="s">
        <v>17</v>
      </c>
      <c r="D157" s="14" t="s">
        <v>206</v>
      </c>
      <c r="E157" s="1" t="s">
        <v>162</v>
      </c>
      <c r="F157" s="11" t="s">
        <v>212</v>
      </c>
      <c r="G157" s="4">
        <v>30</v>
      </c>
      <c r="H157" s="22">
        <v>448</v>
      </c>
      <c r="I157" s="62">
        <f t="shared" si="2"/>
        <v>13440</v>
      </c>
    </row>
    <row r="158" spans="1:12" ht="26.25" thickBot="1" x14ac:dyDescent="0.25">
      <c r="A158" s="48">
        <v>149</v>
      </c>
      <c r="B158" s="23"/>
      <c r="C158" s="13" t="s">
        <v>17</v>
      </c>
      <c r="D158" s="14" t="s">
        <v>206</v>
      </c>
      <c r="E158" s="51" t="s">
        <v>163</v>
      </c>
      <c r="F158" s="11" t="s">
        <v>212</v>
      </c>
      <c r="G158" s="4">
        <v>30</v>
      </c>
      <c r="H158" s="22">
        <v>448</v>
      </c>
      <c r="I158" s="62">
        <f t="shared" si="2"/>
        <v>13440</v>
      </c>
    </row>
    <row r="159" spans="1:12" ht="26.25" thickBot="1" x14ac:dyDescent="0.25">
      <c r="A159" s="48">
        <v>150</v>
      </c>
      <c r="B159" s="23"/>
      <c r="C159" s="13" t="s">
        <v>17</v>
      </c>
      <c r="D159" s="14" t="s">
        <v>206</v>
      </c>
      <c r="E159" s="24" t="s">
        <v>164</v>
      </c>
      <c r="F159" s="11" t="s">
        <v>212</v>
      </c>
      <c r="G159" s="4">
        <v>30</v>
      </c>
      <c r="H159" s="22">
        <v>448</v>
      </c>
      <c r="I159" s="62">
        <f t="shared" si="2"/>
        <v>13440</v>
      </c>
    </row>
    <row r="160" spans="1:12" ht="26.25" thickBot="1" x14ac:dyDescent="0.25">
      <c r="A160" s="48">
        <v>151</v>
      </c>
      <c r="B160" s="4"/>
      <c r="C160" s="13" t="s">
        <v>17</v>
      </c>
      <c r="D160" s="14" t="s">
        <v>206</v>
      </c>
      <c r="E160" s="5" t="s">
        <v>165</v>
      </c>
      <c r="F160" s="11" t="s">
        <v>212</v>
      </c>
      <c r="G160" s="4">
        <v>30</v>
      </c>
      <c r="H160" s="22">
        <v>448</v>
      </c>
      <c r="I160" s="62">
        <f t="shared" si="2"/>
        <v>13440</v>
      </c>
    </row>
    <row r="161" spans="1:9" ht="26.25" thickBot="1" x14ac:dyDescent="0.25">
      <c r="A161" s="48">
        <v>152</v>
      </c>
      <c r="B161" s="4"/>
      <c r="C161" s="13" t="s">
        <v>17</v>
      </c>
      <c r="D161" s="14" t="s">
        <v>206</v>
      </c>
      <c r="E161" s="17" t="s">
        <v>166</v>
      </c>
      <c r="F161" s="11" t="s">
        <v>212</v>
      </c>
      <c r="G161" s="4">
        <v>30</v>
      </c>
      <c r="H161" s="22">
        <v>448</v>
      </c>
      <c r="I161" s="62">
        <f t="shared" si="2"/>
        <v>13440</v>
      </c>
    </row>
    <row r="162" spans="1:9" ht="26.25" thickBot="1" x14ac:dyDescent="0.25">
      <c r="A162" s="48">
        <v>153</v>
      </c>
      <c r="B162" s="25"/>
      <c r="C162" s="13" t="s">
        <v>17</v>
      </c>
      <c r="D162" s="14" t="s">
        <v>206</v>
      </c>
      <c r="E162" s="17" t="s">
        <v>167</v>
      </c>
      <c r="F162" s="11" t="s">
        <v>212</v>
      </c>
      <c r="G162" s="4">
        <v>30</v>
      </c>
      <c r="H162" s="22">
        <v>448</v>
      </c>
      <c r="I162" s="62">
        <f t="shared" si="2"/>
        <v>13440</v>
      </c>
    </row>
    <row r="163" spans="1:9" ht="34.5" customHeight="1" thickBot="1" x14ac:dyDescent="0.25">
      <c r="A163" s="48">
        <v>154</v>
      </c>
      <c r="B163" s="4"/>
      <c r="C163" s="52" t="s">
        <v>146</v>
      </c>
      <c r="D163" s="14" t="s">
        <v>206</v>
      </c>
      <c r="E163" s="1" t="s">
        <v>168</v>
      </c>
      <c r="F163" s="11" t="s">
        <v>212</v>
      </c>
      <c r="G163" s="4">
        <v>30</v>
      </c>
      <c r="H163" s="22">
        <v>448</v>
      </c>
      <c r="I163" s="62">
        <f t="shared" si="2"/>
        <v>13440</v>
      </c>
    </row>
    <row r="164" spans="1:9" ht="26.25" thickBot="1" x14ac:dyDescent="0.25">
      <c r="A164" s="48">
        <v>155</v>
      </c>
      <c r="B164" s="12"/>
      <c r="C164" s="13" t="s">
        <v>17</v>
      </c>
      <c r="D164" s="14" t="s">
        <v>206</v>
      </c>
      <c r="E164" s="5" t="s">
        <v>169</v>
      </c>
      <c r="F164" s="11" t="s">
        <v>212</v>
      </c>
      <c r="G164" s="4">
        <v>30</v>
      </c>
      <c r="H164" s="66">
        <v>448</v>
      </c>
      <c r="I164" s="62">
        <f t="shared" si="2"/>
        <v>13440</v>
      </c>
    </row>
    <row r="165" spans="1:9" ht="26.25" thickBot="1" x14ac:dyDescent="0.25">
      <c r="A165" s="48">
        <v>156</v>
      </c>
      <c r="B165" s="12"/>
      <c r="C165" s="13" t="s">
        <v>17</v>
      </c>
      <c r="D165" s="14" t="s">
        <v>206</v>
      </c>
      <c r="E165" s="5" t="s">
        <v>171</v>
      </c>
      <c r="F165" s="11" t="s">
        <v>212</v>
      </c>
      <c r="G165" s="4">
        <v>5</v>
      </c>
      <c r="H165" s="66">
        <v>3900</v>
      </c>
      <c r="I165" s="62">
        <f t="shared" si="2"/>
        <v>19500</v>
      </c>
    </row>
    <row r="166" spans="1:9" ht="26.25" thickBot="1" x14ac:dyDescent="0.25">
      <c r="A166" s="48">
        <v>157</v>
      </c>
      <c r="B166" s="12"/>
      <c r="C166" s="13" t="s">
        <v>17</v>
      </c>
      <c r="D166" s="14" t="s">
        <v>206</v>
      </c>
      <c r="E166" s="5" t="s">
        <v>172</v>
      </c>
      <c r="F166" s="11" t="s">
        <v>212</v>
      </c>
      <c r="G166" s="4">
        <v>5</v>
      </c>
      <c r="H166" s="66">
        <v>3900</v>
      </c>
      <c r="I166" s="62">
        <f t="shared" si="2"/>
        <v>19500</v>
      </c>
    </row>
    <row r="167" spans="1:9" ht="26.25" thickBot="1" x14ac:dyDescent="0.25">
      <c r="A167" s="48">
        <v>158</v>
      </c>
      <c r="B167" s="12"/>
      <c r="C167" s="13" t="s">
        <v>17</v>
      </c>
      <c r="D167" s="14" t="s">
        <v>206</v>
      </c>
      <c r="E167" s="5" t="s">
        <v>93</v>
      </c>
      <c r="F167" s="11" t="s">
        <v>212</v>
      </c>
      <c r="G167" s="4">
        <v>20</v>
      </c>
      <c r="H167" s="66">
        <v>500</v>
      </c>
      <c r="I167" s="62">
        <f t="shared" si="2"/>
        <v>10000</v>
      </c>
    </row>
    <row r="168" spans="1:9" ht="26.25" thickBot="1" x14ac:dyDescent="0.25">
      <c r="A168" s="48">
        <v>159</v>
      </c>
      <c r="B168" s="12"/>
      <c r="C168" s="13" t="s">
        <v>17</v>
      </c>
      <c r="D168" s="14" t="s">
        <v>206</v>
      </c>
      <c r="E168" s="5" t="s">
        <v>94</v>
      </c>
      <c r="F168" s="11" t="s">
        <v>212</v>
      </c>
      <c r="G168" s="4">
        <v>20</v>
      </c>
      <c r="H168" s="66">
        <v>500</v>
      </c>
      <c r="I168" s="62">
        <f t="shared" si="2"/>
        <v>10000</v>
      </c>
    </row>
    <row r="169" spans="1:9" ht="26.25" thickBot="1" x14ac:dyDescent="0.25">
      <c r="A169" s="48">
        <v>160</v>
      </c>
      <c r="B169" s="12"/>
      <c r="C169" s="13" t="s">
        <v>17</v>
      </c>
      <c r="D169" s="14" t="s">
        <v>206</v>
      </c>
      <c r="E169" s="5" t="s">
        <v>95</v>
      </c>
      <c r="F169" s="11" t="s">
        <v>212</v>
      </c>
      <c r="G169" s="4">
        <v>20</v>
      </c>
      <c r="H169" s="66">
        <v>500</v>
      </c>
      <c r="I169" s="62">
        <f t="shared" si="2"/>
        <v>10000</v>
      </c>
    </row>
    <row r="170" spans="1:9" ht="26.25" thickBot="1" x14ac:dyDescent="0.25">
      <c r="A170" s="48">
        <v>161</v>
      </c>
      <c r="B170" s="12"/>
      <c r="C170" s="13" t="s">
        <v>17</v>
      </c>
      <c r="D170" s="14" t="s">
        <v>206</v>
      </c>
      <c r="E170" s="5" t="s">
        <v>91</v>
      </c>
      <c r="F170" s="11" t="s">
        <v>212</v>
      </c>
      <c r="G170" s="4">
        <v>20</v>
      </c>
      <c r="H170" s="66">
        <v>500</v>
      </c>
      <c r="I170" s="62">
        <f t="shared" si="2"/>
        <v>10000</v>
      </c>
    </row>
    <row r="171" spans="1:9" ht="26.25" thickBot="1" x14ac:dyDescent="0.25">
      <c r="A171" s="48">
        <v>162</v>
      </c>
      <c r="B171" s="12"/>
      <c r="C171" s="13" t="s">
        <v>17</v>
      </c>
      <c r="D171" s="14" t="s">
        <v>206</v>
      </c>
      <c r="E171" s="5" t="s">
        <v>92</v>
      </c>
      <c r="F171" s="11" t="s">
        <v>212</v>
      </c>
      <c r="G171" s="4">
        <v>20</v>
      </c>
      <c r="H171" s="66">
        <v>500</v>
      </c>
      <c r="I171" s="62">
        <f t="shared" si="2"/>
        <v>10000</v>
      </c>
    </row>
    <row r="172" spans="1:9" ht="26.25" thickBot="1" x14ac:dyDescent="0.25">
      <c r="A172" s="48">
        <v>163</v>
      </c>
      <c r="B172" s="12"/>
      <c r="C172" s="13" t="s">
        <v>17</v>
      </c>
      <c r="D172" s="14" t="s">
        <v>206</v>
      </c>
      <c r="E172" s="5" t="s">
        <v>96</v>
      </c>
      <c r="F172" s="11" t="s">
        <v>212</v>
      </c>
      <c r="G172" s="4">
        <v>20</v>
      </c>
      <c r="H172" s="66">
        <v>500</v>
      </c>
      <c r="I172" s="62">
        <f t="shared" si="2"/>
        <v>10000</v>
      </c>
    </row>
    <row r="173" spans="1:9" ht="26.25" thickBot="1" x14ac:dyDescent="0.25">
      <c r="A173" s="48">
        <v>164</v>
      </c>
      <c r="B173" s="12"/>
      <c r="C173" s="13" t="s">
        <v>17</v>
      </c>
      <c r="D173" s="14" t="s">
        <v>206</v>
      </c>
      <c r="E173" s="5" t="s">
        <v>124</v>
      </c>
      <c r="F173" s="11" t="s">
        <v>212</v>
      </c>
      <c r="G173" s="4">
        <v>100</v>
      </c>
      <c r="H173" s="66">
        <v>84</v>
      </c>
      <c r="I173" s="62">
        <f t="shared" si="2"/>
        <v>8400</v>
      </c>
    </row>
    <row r="174" spans="1:9" ht="26.25" thickBot="1" x14ac:dyDescent="0.25">
      <c r="A174" s="48">
        <v>165</v>
      </c>
      <c r="B174" s="12"/>
      <c r="C174" s="13" t="s">
        <v>17</v>
      </c>
      <c r="D174" s="14" t="s">
        <v>206</v>
      </c>
      <c r="E174" s="5" t="s">
        <v>126</v>
      </c>
      <c r="F174" s="11" t="s">
        <v>212</v>
      </c>
      <c r="G174" s="4">
        <v>20</v>
      </c>
      <c r="H174" s="66">
        <v>54.5</v>
      </c>
      <c r="I174" s="62">
        <f t="shared" si="2"/>
        <v>1090</v>
      </c>
    </row>
    <row r="175" spans="1:9" ht="26.25" thickBot="1" x14ac:dyDescent="0.25">
      <c r="A175" s="48">
        <v>166</v>
      </c>
      <c r="B175" s="12"/>
      <c r="C175" s="13" t="s">
        <v>17</v>
      </c>
      <c r="D175" s="14" t="s">
        <v>206</v>
      </c>
      <c r="E175" s="1" t="s">
        <v>127</v>
      </c>
      <c r="F175" s="11" t="s">
        <v>212</v>
      </c>
      <c r="G175" s="4">
        <v>50</v>
      </c>
      <c r="H175" s="66">
        <v>54.5</v>
      </c>
      <c r="I175" s="62">
        <f t="shared" si="2"/>
        <v>2725</v>
      </c>
    </row>
    <row r="176" spans="1:9" ht="26.25" thickBot="1" x14ac:dyDescent="0.25">
      <c r="A176" s="48">
        <v>167</v>
      </c>
      <c r="B176" s="12"/>
      <c r="C176" s="13" t="s">
        <v>17</v>
      </c>
      <c r="D176" s="14" t="s">
        <v>206</v>
      </c>
      <c r="E176" s="5" t="s">
        <v>128</v>
      </c>
      <c r="F176" s="11" t="s">
        <v>212</v>
      </c>
      <c r="G176" s="4">
        <v>50</v>
      </c>
      <c r="H176" s="66">
        <v>54.5</v>
      </c>
      <c r="I176" s="62">
        <f t="shared" si="2"/>
        <v>2725</v>
      </c>
    </row>
    <row r="177" spans="1:11" ht="26.25" thickBot="1" x14ac:dyDescent="0.25">
      <c r="A177" s="48">
        <v>168</v>
      </c>
      <c r="B177" s="12"/>
      <c r="C177" s="13" t="s">
        <v>17</v>
      </c>
      <c r="D177" s="14" t="s">
        <v>206</v>
      </c>
      <c r="E177" s="5" t="s">
        <v>129</v>
      </c>
      <c r="F177" s="11" t="s">
        <v>212</v>
      </c>
      <c r="G177" s="4">
        <v>50</v>
      </c>
      <c r="H177" s="66">
        <v>54.5</v>
      </c>
      <c r="I177" s="62">
        <f t="shared" si="2"/>
        <v>2725</v>
      </c>
    </row>
    <row r="178" spans="1:11" ht="26.25" thickBot="1" x14ac:dyDescent="0.25">
      <c r="A178" s="48">
        <v>169</v>
      </c>
      <c r="B178" s="12"/>
      <c r="C178" s="44" t="s">
        <v>17</v>
      </c>
      <c r="D178" s="45" t="s">
        <v>206</v>
      </c>
      <c r="E178" s="15" t="s">
        <v>130</v>
      </c>
      <c r="F178" s="11" t="s">
        <v>212</v>
      </c>
      <c r="G178" s="4">
        <v>20</v>
      </c>
      <c r="H178" s="61">
        <v>54.5</v>
      </c>
      <c r="I178" s="62">
        <f t="shared" si="2"/>
        <v>1090</v>
      </c>
    </row>
    <row r="179" spans="1:11" ht="26.25" thickBot="1" x14ac:dyDescent="0.25">
      <c r="A179" s="48">
        <v>170</v>
      </c>
      <c r="B179" s="12"/>
      <c r="C179" s="13" t="s">
        <v>17</v>
      </c>
      <c r="D179" s="14" t="s">
        <v>206</v>
      </c>
      <c r="E179" s="5" t="s">
        <v>125</v>
      </c>
      <c r="F179" s="11" t="s">
        <v>212</v>
      </c>
      <c r="G179" s="4">
        <v>30</v>
      </c>
      <c r="H179" s="66">
        <v>86</v>
      </c>
      <c r="I179" s="62">
        <f t="shared" si="2"/>
        <v>2580</v>
      </c>
    </row>
    <row r="180" spans="1:11" ht="26.25" thickBot="1" x14ac:dyDescent="0.25">
      <c r="A180" s="48">
        <v>171</v>
      </c>
      <c r="B180" s="12"/>
      <c r="C180" s="13" t="s">
        <v>17</v>
      </c>
      <c r="D180" s="14" t="s">
        <v>206</v>
      </c>
      <c r="E180" s="5" t="s">
        <v>131</v>
      </c>
      <c r="F180" s="11" t="s">
        <v>212</v>
      </c>
      <c r="G180" s="4">
        <v>20</v>
      </c>
      <c r="H180" s="66">
        <v>54.5</v>
      </c>
      <c r="I180" s="62">
        <f t="shared" si="2"/>
        <v>1090</v>
      </c>
    </row>
    <row r="181" spans="1:11" ht="26.25" thickBot="1" x14ac:dyDescent="0.25">
      <c r="A181" s="48">
        <v>172</v>
      </c>
      <c r="B181" s="12"/>
      <c r="C181" s="13" t="s">
        <v>17</v>
      </c>
      <c r="D181" s="14" t="s">
        <v>206</v>
      </c>
      <c r="E181" s="5" t="s">
        <v>132</v>
      </c>
      <c r="F181" s="11" t="s">
        <v>212</v>
      </c>
      <c r="G181" s="4">
        <v>20</v>
      </c>
      <c r="H181" s="66">
        <v>54.5</v>
      </c>
      <c r="I181" s="62">
        <f t="shared" si="2"/>
        <v>1090</v>
      </c>
      <c r="K181" s="21" t="s">
        <v>16</v>
      </c>
    </row>
    <row r="182" spans="1:11" ht="26.25" thickBot="1" x14ac:dyDescent="0.25">
      <c r="A182" s="48">
        <v>173</v>
      </c>
      <c r="B182" s="12"/>
      <c r="C182" s="13" t="s">
        <v>17</v>
      </c>
      <c r="D182" s="14" t="s">
        <v>206</v>
      </c>
      <c r="E182" s="1" t="s">
        <v>188</v>
      </c>
      <c r="F182" s="11" t="s">
        <v>212</v>
      </c>
      <c r="G182" s="4">
        <v>20</v>
      </c>
      <c r="H182" s="66">
        <v>617</v>
      </c>
      <c r="I182" s="62">
        <f t="shared" si="2"/>
        <v>12340</v>
      </c>
    </row>
    <row r="183" spans="1:11" ht="26.25" thickBot="1" x14ac:dyDescent="0.25">
      <c r="A183" s="48">
        <v>174</v>
      </c>
      <c r="B183" s="12"/>
      <c r="C183" s="13" t="s">
        <v>17</v>
      </c>
      <c r="D183" s="14" t="s">
        <v>206</v>
      </c>
      <c r="E183" s="5" t="s">
        <v>173</v>
      </c>
      <c r="F183" s="11" t="s">
        <v>212</v>
      </c>
      <c r="G183" s="4">
        <v>30</v>
      </c>
      <c r="H183" s="66">
        <v>1600</v>
      </c>
      <c r="I183" s="62">
        <f t="shared" si="2"/>
        <v>48000</v>
      </c>
    </row>
    <row r="184" spans="1:11" ht="26.25" thickBot="1" x14ac:dyDescent="0.25">
      <c r="A184" s="48">
        <v>175</v>
      </c>
      <c r="B184" s="12"/>
      <c r="C184" s="13" t="s">
        <v>17</v>
      </c>
      <c r="D184" s="14" t="s">
        <v>206</v>
      </c>
      <c r="E184" s="5" t="s">
        <v>97</v>
      </c>
      <c r="F184" s="11" t="s">
        <v>212</v>
      </c>
      <c r="G184" s="4">
        <v>5</v>
      </c>
      <c r="H184" s="66">
        <v>1875</v>
      </c>
      <c r="I184" s="62">
        <f t="shared" si="2"/>
        <v>9375</v>
      </c>
    </row>
    <row r="185" spans="1:11" ht="26.25" thickBot="1" x14ac:dyDescent="0.25">
      <c r="A185" s="48">
        <v>176</v>
      </c>
      <c r="B185" s="12"/>
      <c r="C185" s="13" t="s">
        <v>17</v>
      </c>
      <c r="D185" s="14" t="s">
        <v>206</v>
      </c>
      <c r="E185" s="5" t="s">
        <v>98</v>
      </c>
      <c r="F185" s="11" t="s">
        <v>212</v>
      </c>
      <c r="G185" s="4">
        <v>5</v>
      </c>
      <c r="H185" s="66">
        <v>1875</v>
      </c>
      <c r="I185" s="62">
        <f t="shared" si="2"/>
        <v>9375</v>
      </c>
    </row>
    <row r="186" spans="1:11" ht="25.5" x14ac:dyDescent="0.2">
      <c r="A186" s="48">
        <v>177</v>
      </c>
      <c r="B186" s="12"/>
      <c r="C186" s="13" t="s">
        <v>17</v>
      </c>
      <c r="D186" s="14" t="s">
        <v>206</v>
      </c>
      <c r="E186" s="5" t="s">
        <v>99</v>
      </c>
      <c r="F186" s="11" t="s">
        <v>212</v>
      </c>
      <c r="G186" s="4">
        <v>50</v>
      </c>
      <c r="H186" s="66">
        <v>230</v>
      </c>
      <c r="I186" s="62">
        <f t="shared" si="2"/>
        <v>11500</v>
      </c>
    </row>
    <row r="187" spans="1:11" ht="24" customHeight="1" thickBot="1" x14ac:dyDescent="0.25">
      <c r="I187" s="18"/>
    </row>
    <row r="188" spans="1:11" x14ac:dyDescent="0.2">
      <c r="B188" s="27" t="s">
        <v>18</v>
      </c>
      <c r="C188" s="28"/>
      <c r="D188" s="28"/>
      <c r="E188" s="29"/>
      <c r="I188" s="18"/>
    </row>
    <row r="189" spans="1:11" ht="13.5" customHeight="1" x14ac:dyDescent="0.2">
      <c r="B189" s="73" t="s">
        <v>20</v>
      </c>
      <c r="C189" s="74"/>
      <c r="D189" s="74"/>
      <c r="E189" s="75"/>
    </row>
    <row r="190" spans="1:11" ht="25.5" customHeight="1" x14ac:dyDescent="0.2">
      <c r="B190" s="73"/>
      <c r="C190" s="74"/>
      <c r="D190" s="74"/>
      <c r="E190" s="75"/>
      <c r="F190" s="30"/>
      <c r="G190" s="31"/>
    </row>
    <row r="191" spans="1:11" x14ac:dyDescent="0.2">
      <c r="B191" s="73" t="s">
        <v>193</v>
      </c>
      <c r="C191" s="74"/>
      <c r="D191" s="74"/>
      <c r="E191" s="75"/>
      <c r="F191" s="30"/>
      <c r="G191" s="31"/>
    </row>
    <row r="192" spans="1:11" ht="13.5" thickBot="1" x14ac:dyDescent="0.25">
      <c r="B192" s="32" t="s">
        <v>21</v>
      </c>
      <c r="C192" s="6"/>
      <c r="D192" s="6"/>
      <c r="E192" s="33"/>
      <c r="F192" s="30"/>
      <c r="G192" s="31"/>
    </row>
    <row r="193" spans="2:5" ht="12" customHeight="1" thickBot="1" x14ac:dyDescent="0.25"/>
    <row r="194" spans="2:5" x14ac:dyDescent="0.2">
      <c r="B194" s="41" t="s">
        <v>213</v>
      </c>
      <c r="C194" s="28"/>
      <c r="D194" s="28"/>
      <c r="E194" s="29"/>
    </row>
    <row r="195" spans="2:5" x14ac:dyDescent="0.2">
      <c r="B195" s="42" t="s">
        <v>19</v>
      </c>
      <c r="C195" s="31"/>
      <c r="D195" s="31"/>
      <c r="E195" s="43"/>
    </row>
    <row r="196" spans="2:5" ht="13.5" thickBot="1" x14ac:dyDescent="0.25">
      <c r="B196" s="67" t="s">
        <v>101</v>
      </c>
      <c r="C196" s="68"/>
      <c r="D196" s="68"/>
      <c r="E196" s="69"/>
    </row>
    <row r="197" spans="2:5" ht="13.5" thickBot="1" x14ac:dyDescent="0.25"/>
    <row r="198" spans="2:5" x14ac:dyDescent="0.2">
      <c r="B198" s="53" t="s">
        <v>214</v>
      </c>
      <c r="C198" s="54"/>
      <c r="D198" s="54"/>
      <c r="E198" s="55"/>
    </row>
    <row r="199" spans="2:5" x14ac:dyDescent="0.2">
      <c r="B199" s="56" t="s">
        <v>19</v>
      </c>
      <c r="C199" s="57"/>
      <c r="D199" s="57"/>
      <c r="E199" s="58"/>
    </row>
    <row r="200" spans="2:5" ht="13.5" thickBot="1" x14ac:dyDescent="0.25">
      <c r="B200" s="67" t="s">
        <v>191</v>
      </c>
      <c r="C200" s="68"/>
      <c r="D200" s="68"/>
      <c r="E200" s="69"/>
    </row>
    <row r="202" spans="2:5" ht="13.5" thickBot="1" x14ac:dyDescent="0.25"/>
    <row r="203" spans="2:5" x14ac:dyDescent="0.2">
      <c r="B203" s="53" t="s">
        <v>215</v>
      </c>
      <c r="C203" s="54"/>
      <c r="D203" s="54"/>
      <c r="E203" s="55"/>
    </row>
    <row r="204" spans="2:5" x14ac:dyDescent="0.2">
      <c r="B204" s="56" t="s">
        <v>19</v>
      </c>
      <c r="C204" s="57"/>
      <c r="D204" s="57"/>
      <c r="E204" s="58"/>
    </row>
    <row r="205" spans="2:5" ht="13.5" thickBot="1" x14ac:dyDescent="0.25">
      <c r="B205" s="67" t="s">
        <v>192</v>
      </c>
      <c r="C205" s="68"/>
      <c r="D205" s="68"/>
      <c r="E205" s="69"/>
    </row>
    <row r="206" spans="2:5" ht="13.5" thickBot="1" x14ac:dyDescent="0.25"/>
    <row r="207" spans="2:5" x14ac:dyDescent="0.2">
      <c r="B207" s="53" t="s">
        <v>216</v>
      </c>
      <c r="C207" s="54"/>
      <c r="D207" s="54"/>
      <c r="E207" s="55"/>
    </row>
    <row r="208" spans="2:5" x14ac:dyDescent="0.2">
      <c r="B208" s="56" t="s">
        <v>19</v>
      </c>
      <c r="C208" s="57"/>
      <c r="D208" s="57"/>
      <c r="E208" s="58"/>
    </row>
    <row r="209" spans="2:5" ht="13.5" thickBot="1" x14ac:dyDescent="0.25">
      <c r="B209" s="67" t="s">
        <v>190</v>
      </c>
      <c r="C209" s="68"/>
      <c r="D209" s="68"/>
      <c r="E209" s="69"/>
    </row>
    <row r="210" spans="2:5" ht="13.5" thickBot="1" x14ac:dyDescent="0.25"/>
    <row r="211" spans="2:5" x14ac:dyDescent="0.2">
      <c r="B211" s="41" t="s">
        <v>217</v>
      </c>
      <c r="C211" s="28"/>
      <c r="D211" s="28"/>
      <c r="E211" s="29"/>
    </row>
    <row r="212" spans="2:5" x14ac:dyDescent="0.2">
      <c r="B212" s="42" t="s">
        <v>19</v>
      </c>
      <c r="C212" s="31"/>
      <c r="D212" s="31"/>
      <c r="E212" s="43"/>
    </row>
    <row r="213" spans="2:5" ht="13.5" thickBot="1" x14ac:dyDescent="0.25">
      <c r="B213" s="67" t="s">
        <v>100</v>
      </c>
      <c r="C213" s="68"/>
      <c r="D213" s="68"/>
      <c r="E213" s="69"/>
    </row>
    <row r="217" spans="2:5" x14ac:dyDescent="0.2">
      <c r="E217" s="21" t="s">
        <v>16</v>
      </c>
    </row>
  </sheetData>
  <mergeCells count="14">
    <mergeCell ref="B213:E213"/>
    <mergeCell ref="B196:E196"/>
    <mergeCell ref="B2:H2"/>
    <mergeCell ref="A4:B4"/>
    <mergeCell ref="C4:E4"/>
    <mergeCell ref="A5:B5"/>
    <mergeCell ref="C5:E5"/>
    <mergeCell ref="A6:B6"/>
    <mergeCell ref="A7:B7"/>
    <mergeCell ref="B189:E190"/>
    <mergeCell ref="B191:E191"/>
    <mergeCell ref="B209:E209"/>
    <mergeCell ref="B200:E200"/>
    <mergeCell ref="B205:E205"/>
  </mergeCells>
  <printOptions horizontalCentered="1"/>
  <pageMargins left="0.11811023622047245" right="0.11811023622047245" top="0.74803149606299213" bottom="0.35433070866141736" header="0.11811023622047245" footer="0"/>
  <pageSetup paperSize="9" firstPageNumber="0" fitToWidth="2" fitToHeight="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SILVINA ATENCIO</cp:lastModifiedBy>
  <cp:revision>2</cp:revision>
  <cp:lastPrinted>2021-06-23T13:21:08Z</cp:lastPrinted>
  <dcterms:created xsi:type="dcterms:W3CDTF">2020-07-17T23:44:49Z</dcterms:created>
  <dcterms:modified xsi:type="dcterms:W3CDTF">2021-08-12T16:02:15Z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