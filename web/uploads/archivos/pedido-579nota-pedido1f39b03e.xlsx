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 MALDONADO\Downloads\"/>
    </mc:Choice>
  </mc:AlternateContent>
  <xr:revisionPtr revIDLastSave="0" documentId="13_ncr:1_{8AE56328-2CA6-4121-89FE-A27E32F0C3DD}" xr6:coauthVersionLast="47" xr6:coauthVersionMax="47" xr10:uidLastSave="{00000000-0000-0000-0000-000000000000}"/>
  <bookViews>
    <workbookView xWindow="-120" yWindow="-120" windowWidth="29040" windowHeight="15720" tabRatio="905" xr2:uid="{00000000-000D-0000-FFFF-FFFF00000000}"/>
  </bookViews>
  <sheets>
    <sheet name="SAF 011" sheetId="1" r:id="rId1"/>
    <sheet name="NP BCO DESANGRE" sheetId="2" r:id="rId2"/>
    <sheet name="APG BCO SANGRE" sheetId="3" r:id="rId3"/>
    <sheet name="NP APS" sheetId="4" r:id="rId4"/>
    <sheet name="APG APS" sheetId="5" r:id="rId5"/>
    <sheet name="NP FARMACIA" sheetId="6" r:id="rId6"/>
    <sheet name="APG FARMACIA" sheetId="7" r:id="rId7"/>
    <sheet name="NP SAME" sheetId="9" r:id="rId8"/>
    <sheet name="APG SAME" sheetId="10" r:id="rId9"/>
    <sheet name="NP S.A.S.P." sheetId="13" r:id="rId10"/>
    <sheet name="APG S.A.S.P." sheetId="14" r:id="rId11"/>
    <sheet name="NPyE DPAIPD" sheetId="26" r:id="rId12"/>
    <sheet name="APG DPAIPD" sheetId="25" r:id="rId13"/>
    <sheet name="NP REGUL Y CONTROL" sheetId="17" r:id="rId14"/>
    <sheet name="APG REGUL Y CONTROL" sheetId="18" r:id="rId15"/>
    <sheet name="NPyE SPyGS" sheetId="27" r:id="rId16"/>
    <sheet name="APG SPyGS" sheetId="28" r:id="rId17"/>
    <sheet name="NP. EPIDEMIO." sheetId="19" r:id="rId18"/>
    <sheet name="APG.   EPIDEMIO." sheetId="20" r:id="rId19"/>
    <sheet name="NP. M.S." sheetId="21" r:id="rId20"/>
    <sheet name="APG. M.S. " sheetId="22" r:id="rId21"/>
    <sheet name="Hoja1" sheetId="29" r:id="rId22"/>
    <sheet name="NP. SUMAR" sheetId="23" r:id="rId23"/>
    <sheet name="APG. SUMAR" sheetId="24" r:id="rId24"/>
  </sheets>
  <externalReferences>
    <externalReference r:id="rId25"/>
    <externalReference r:id="rId26"/>
  </externalReferences>
  <definedNames>
    <definedName name="_xlnm._FilterDatabase" localSheetId="0" hidden="1">'SAF 011'!$A$9:$BC$53</definedName>
    <definedName name="_xlnm.Print_Area" localSheetId="4">'APG APS'!$A$1:$Q$49</definedName>
    <definedName name="_xlnm.Print_Area" localSheetId="2">'APG BCO SANGRE'!$A$1:$Q$49</definedName>
    <definedName name="_xlnm.Print_Area" localSheetId="6">'APG FARMACIA'!$A$1:$Q$54</definedName>
    <definedName name="_xlnm.Print_Area" localSheetId="14">'APG REGUL Y CONTROL'!$A$1:$Q$51</definedName>
    <definedName name="_xlnm.Print_Area" localSheetId="10">'APG S.A.S.P.'!$A$1:$Q$54</definedName>
    <definedName name="_xlnm.Print_Area" localSheetId="8">'APG SAME'!$A$1:$Q$53</definedName>
    <definedName name="_xlnm.Print_Area" localSheetId="18">'APG.   EPIDEMIO.'!$A$1:$Q$48</definedName>
    <definedName name="_xlnm.Print_Area" localSheetId="20">'APG. M.S. '!$A$1:$Q$56</definedName>
    <definedName name="_xlnm.Print_Area" localSheetId="23">'APG. SUMAR'!$A$1:$Q$52</definedName>
    <definedName name="_xlnm.Print_Area" localSheetId="3">'NP APS'!$A$1:$H$32</definedName>
    <definedName name="_xlnm.Print_Area" localSheetId="5">'NP FARMACIA'!$A$1:$G$34</definedName>
    <definedName name="_xlnm.Print_Area" localSheetId="13">'NP REGUL Y CONTROL'!$A$1:$I$29</definedName>
    <definedName name="_xlnm.Print_Area" localSheetId="9">'NP S.A.S.P.'!$A$1:$I$29</definedName>
    <definedName name="_xlnm.Print_Area" localSheetId="7">'NP SAME'!$A$1:$H$28</definedName>
    <definedName name="_xlnm.Print_Area" localSheetId="17">'NP. EPIDEMIO.'!$A$1:$G$23</definedName>
    <definedName name="_xlnm.Print_Area" localSheetId="19">'NP. M.S.'!$A$1:$I$51</definedName>
    <definedName name="_xlnm.Print_Area" localSheetId="22">'NP. SUMAR'!$A$1:$I$34</definedName>
  </definedNames>
  <calcPr calcId="181029"/>
</workbook>
</file>

<file path=xl/calcChain.xml><?xml version="1.0" encoding="utf-8"?>
<calcChain xmlns="http://schemas.openxmlformats.org/spreadsheetml/2006/main">
  <c r="BC55" i="1" l="1"/>
  <c r="BA52" i="1"/>
  <c r="BA51" i="1"/>
  <c r="BC51" i="1" s="1"/>
  <c r="BA50" i="1"/>
  <c r="BA49" i="1"/>
  <c r="BA48" i="1"/>
  <c r="BA47" i="1"/>
  <c r="BC47" i="1" s="1"/>
  <c r="BA46" i="1"/>
  <c r="BA45" i="1"/>
  <c r="BA44" i="1"/>
  <c r="BA43" i="1"/>
  <c r="BC43" i="1" s="1"/>
  <c r="BA42" i="1"/>
  <c r="BA41" i="1"/>
  <c r="BA40" i="1"/>
  <c r="BA39" i="1"/>
  <c r="BC39" i="1" s="1"/>
  <c r="BA38" i="1"/>
  <c r="BA37" i="1"/>
  <c r="BA36" i="1"/>
  <c r="BA35" i="1"/>
  <c r="BC35" i="1" s="1"/>
  <c r="BA34" i="1"/>
  <c r="BA33" i="1"/>
  <c r="BA32" i="1"/>
  <c r="BA31" i="1"/>
  <c r="BC31" i="1" s="1"/>
  <c r="BA30" i="1"/>
  <c r="BA29" i="1"/>
  <c r="BA28" i="1"/>
  <c r="BA27" i="1"/>
  <c r="BC27" i="1" s="1"/>
  <c r="BA26" i="1"/>
  <c r="BA25" i="1"/>
  <c r="BA24" i="1"/>
  <c r="BA23" i="1"/>
  <c r="BC23" i="1" s="1"/>
  <c r="BA22" i="1"/>
  <c r="BC22" i="1" s="1"/>
  <c r="BA21" i="1"/>
  <c r="BA20" i="1"/>
  <c r="BA19" i="1"/>
  <c r="BC19" i="1" s="1"/>
  <c r="BA18" i="1"/>
  <c r="BA17" i="1"/>
  <c r="BA16" i="1"/>
  <c r="BA15" i="1"/>
  <c r="BC15" i="1" s="1"/>
  <c r="BA14" i="1"/>
  <c r="BA13" i="1"/>
  <c r="BA12" i="1"/>
  <c r="BA11" i="1"/>
  <c r="BC11" i="1" s="1"/>
  <c r="BA10" i="1"/>
  <c r="BC10" i="1" s="1"/>
  <c r="BC53" i="1" s="1"/>
  <c r="BC52" i="1"/>
  <c r="BC50" i="1"/>
  <c r="BC49" i="1"/>
  <c r="BC48" i="1"/>
  <c r="BC46" i="1"/>
  <c r="BC45" i="1"/>
  <c r="BC44" i="1"/>
  <c r="BC42" i="1"/>
  <c r="BC41" i="1"/>
  <c r="BC40" i="1"/>
  <c r="BC38" i="1"/>
  <c r="BC37" i="1"/>
  <c r="BC36" i="1"/>
  <c r="BC34" i="1"/>
  <c r="BC33" i="1"/>
  <c r="BC32" i="1"/>
  <c r="BC30" i="1"/>
  <c r="BC29" i="1"/>
  <c r="BC28" i="1"/>
  <c r="BC26" i="1"/>
  <c r="BC25" i="1"/>
  <c r="BC24" i="1"/>
  <c r="BC21" i="1"/>
  <c r="BC20" i="1"/>
  <c r="BC18" i="1"/>
  <c r="BC17" i="1"/>
  <c r="BC16" i="1"/>
  <c r="BC14" i="1"/>
  <c r="BC13" i="1"/>
  <c r="BC12" i="1"/>
  <c r="H20" i="23" l="1"/>
  <c r="H19" i="23"/>
  <c r="H18" i="23"/>
  <c r="H17" i="23"/>
  <c r="J14" i="23" s="1"/>
  <c r="H16" i="23"/>
  <c r="H15" i="23"/>
  <c r="H14" i="23"/>
  <c r="H13" i="23"/>
  <c r="H12" i="23"/>
  <c r="J12" i="23" s="1"/>
  <c r="J14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H20" i="21"/>
  <c r="H19" i="21"/>
  <c r="H18" i="21"/>
  <c r="H17" i="21"/>
  <c r="H16" i="21"/>
  <c r="H15" i="21"/>
  <c r="H14" i="21"/>
  <c r="H13" i="21"/>
  <c r="H12" i="21"/>
  <c r="J12" i="21" s="1"/>
  <c r="H13" i="19" l="1"/>
  <c r="H12" i="19"/>
  <c r="Q37" i="28"/>
  <c r="G5" i="28"/>
  <c r="G4" i="28"/>
  <c r="F13" i="27"/>
  <c r="C4" i="27"/>
  <c r="C3" i="27"/>
  <c r="H17" i="17"/>
  <c r="H16" i="17"/>
  <c r="H15" i="17"/>
  <c r="H14" i="17"/>
  <c r="H13" i="17"/>
  <c r="H12" i="17"/>
  <c r="F18" i="17" s="1"/>
  <c r="Q37" i="25"/>
  <c r="G5" i="25"/>
  <c r="G4" i="25"/>
  <c r="F13" i="26"/>
  <c r="C4" i="26"/>
  <c r="C3" i="26"/>
  <c r="F18" i="13"/>
  <c r="H17" i="13"/>
  <c r="H16" i="13"/>
  <c r="H15" i="13"/>
  <c r="J14" i="13" s="1"/>
  <c r="H14" i="13"/>
  <c r="H13" i="13"/>
  <c r="H12" i="13"/>
  <c r="J13" i="13" s="1"/>
  <c r="F14" i="19" l="1"/>
  <c r="J12" i="17"/>
  <c r="H26" i="6"/>
  <c r="H25" i="6"/>
  <c r="H24" i="6"/>
  <c r="H23" i="6"/>
  <c r="H22" i="6"/>
  <c r="H21" i="6"/>
  <c r="H20" i="6"/>
  <c r="H19" i="6"/>
  <c r="H18" i="6"/>
  <c r="H17" i="6"/>
  <c r="H16" i="6"/>
  <c r="H15" i="6"/>
  <c r="F27" i="6" s="1"/>
  <c r="H14" i="6"/>
  <c r="H13" i="6"/>
  <c r="H12" i="6"/>
  <c r="H29" i="4" l="1"/>
  <c r="H28" i="4"/>
  <c r="H27" i="4"/>
  <c r="J27" i="4" s="1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F30" i="4" s="1"/>
  <c r="H12" i="4"/>
  <c r="J26" i="4" s="1"/>
  <c r="H43" i="2" l="1"/>
  <c r="H42" i="2"/>
  <c r="H41" i="2"/>
  <c r="H40" i="2"/>
  <c r="H39" i="2"/>
  <c r="H38" i="2"/>
  <c r="H37" i="2"/>
  <c r="H36" i="2"/>
  <c r="H35" i="2"/>
  <c r="H34" i="2"/>
  <c r="J15" i="2" s="1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J14" i="2" l="1"/>
  <c r="J13" i="2"/>
  <c r="F44" i="2"/>
  <c r="H13" i="9"/>
  <c r="H14" i="9"/>
  <c r="H15" i="9"/>
  <c r="H16" i="9"/>
  <c r="H17" i="9"/>
  <c r="H18" i="9"/>
  <c r="H19" i="9"/>
  <c r="H12" i="9"/>
  <c r="Q36" i="24"/>
  <c r="G5" i="24"/>
  <c r="G4" i="24"/>
  <c r="C4" i="23"/>
  <c r="C3" i="23"/>
  <c r="Q36" i="22"/>
  <c r="G5" i="22"/>
  <c r="G4" i="22"/>
  <c r="C4" i="21"/>
  <c r="C3" i="21"/>
  <c r="C4" i="19"/>
  <c r="C3" i="19"/>
  <c r="Q36" i="20"/>
  <c r="G5" i="20"/>
  <c r="G4" i="20"/>
  <c r="Q37" i="18"/>
  <c r="G5" i="18"/>
  <c r="G4" i="18"/>
  <c r="J12" i="9" l="1"/>
  <c r="F20" i="9" s="1"/>
  <c r="C4" i="17"/>
  <c r="C3" i="17"/>
  <c r="Q38" i="14" l="1"/>
  <c r="G5" i="14"/>
  <c r="G4" i="14"/>
  <c r="C4" i="13"/>
  <c r="C3" i="13"/>
  <c r="Q38" i="10" l="1"/>
  <c r="G5" i="10"/>
  <c r="G4" i="10"/>
  <c r="C4" i="9"/>
  <c r="C3" i="9"/>
  <c r="G5" i="7"/>
  <c r="Q36" i="7"/>
  <c r="G4" i="7"/>
  <c r="C4" i="6"/>
  <c r="C3" i="6"/>
  <c r="Q38" i="5" l="1"/>
  <c r="G5" i="5"/>
  <c r="G4" i="5"/>
  <c r="C3" i="4"/>
  <c r="C4" i="4"/>
  <c r="Q38" i="3"/>
  <c r="G7" i="3"/>
  <c r="G6" i="3"/>
  <c r="G5" i="3"/>
  <c r="G4" i="3"/>
  <c r="C3" i="2"/>
  <c r="C4" i="2"/>
  <c r="AX11" i="1" l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10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11" i="1"/>
  <c r="AX53" i="1" l="1"/>
  <c r="T10" i="1"/>
  <c r="T53" i="1" s="1"/>
  <c r="P11" i="1" l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T53" i="1" l="1"/>
  <c r="L10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AV10" i="1" l="1"/>
  <c r="AV53" i="1" s="1"/>
  <c r="AL10" i="1" l="1"/>
  <c r="AL53" i="1" s="1"/>
  <c r="AN10" i="1" l="1"/>
  <c r="AN53" i="1" s="1"/>
  <c r="AJ10" i="1" l="1"/>
  <c r="AJ53" i="1" s="1"/>
  <c r="P10" i="1"/>
  <c r="P53" i="1" s="1"/>
  <c r="AD10" i="1" l="1"/>
  <c r="AD53" i="1" s="1"/>
  <c r="X10" i="1" l="1"/>
  <c r="X53" i="1" s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10" i="1"/>
  <c r="L11" i="1" l="1"/>
  <c r="N10" i="1"/>
  <c r="N53" i="1" s="1"/>
  <c r="L33" i="1" l="1"/>
</calcChain>
</file>

<file path=xl/sharedStrings.xml><?xml version="1.0" encoding="utf-8"?>
<sst xmlns="http://schemas.openxmlformats.org/spreadsheetml/2006/main" count="1378" uniqueCount="254">
  <si>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</si>
  <si>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</si>
  <si>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</si>
  <si>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</si>
  <si>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</si>
  <si>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</si>
  <si>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</si>
  <si>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</si>
  <si>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</si>
  <si>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</si>
  <si>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</si>
  <si>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</si>
  <si>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</si>
  <si>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</si>
  <si>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</si>
  <si>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</si>
  <si>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</si>
  <si>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</si>
  <si>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</si>
  <si>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</si>
  <si>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</si>
  <si>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</si>
  <si>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</si>
  <si>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</si>
  <si>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</si>
  <si>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</si>
  <si>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</si>
  <si>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</si>
  <si>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</si>
  <si>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</si>
  <si>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</si>
  <si>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</si>
  <si>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</si>
  <si>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</si>
  <si>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</si>
  <si>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</si>
  <si>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</si>
  <si>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</si>
  <si>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SPyGS</t>
  </si>
  <si>
    <t>TOTAL SPyGS</t>
  </si>
  <si>
    <t>SALUD MENTAL</t>
  </si>
  <si>
    <t>TOTAL SALUD MENTAL</t>
  </si>
  <si>
    <t>AREAS Y DPAS</t>
  </si>
  <si>
    <t>TOTAL DPAS</t>
  </si>
  <si>
    <t xml:space="preserve">IMPORTE TOTAL ESTIMADO </t>
  </si>
  <si>
    <t>ESPECIFICACION TECNICA</t>
  </si>
  <si>
    <t>CAJA</t>
  </si>
  <si>
    <t>UNIDAD</t>
  </si>
  <si>
    <t>ELEMENTOS DE LIMPIEZA</t>
  </si>
  <si>
    <t>BIDON</t>
  </si>
  <si>
    <t>2.9.1-6956.27</t>
  </si>
  <si>
    <t>2.9.1</t>
  </si>
  <si>
    <t>ARTICULOS DE TOCADOR; TIPO: JABON DE TOCADOR LIQUIDO, PRESENTACION: ENVASE X 5 L</t>
  </si>
  <si>
    <t>2.9.1-646.56</t>
  </si>
  <si>
    <t>BOLSAS DE RESIDUOS; DIMENSION: 100 X 80 Cm, PRESENTACION: BOLSA X 10 UN, ESPESOR: 80 Mn, COLOR: NEGRO</t>
  </si>
  <si>
    <t>PACK</t>
  </si>
  <si>
    <t>2.9.1-646.7</t>
  </si>
  <si>
    <t>BOLSAS DE RESIDUOS; PRESENTACION: BOLSA X 10, DIMENSION: 50 X 70 Cm, ESPESOR: SIN VALOR, COLOR: SIN VALOR</t>
  </si>
  <si>
    <t>2.9.1-6952.54</t>
  </si>
  <si>
    <t>CEPILLOS; TIPO: ESCOBILLON, MATERIAL: PLASTICO</t>
  </si>
  <si>
    <t>2.9.1-544.82</t>
  </si>
  <si>
    <t>DESODORANTES DE AMBIENTE; FORMATO: AEROSOL, FRAGANCIA: ORIGINAL, PRESENTACION: ENVASE X 360 CM3, LIBRE DE CFC: SI</t>
  </si>
  <si>
    <t>2.9.1-1083.8</t>
  </si>
  <si>
    <t>ESPONJA DE ACERO; PESO: 25 GR, MATERIAL: ACERO</t>
  </si>
  <si>
    <t>2.9.1-1164.6</t>
  </si>
  <si>
    <t>ESPONJAS; USO: P/COCINA, ADITAMENTO: FIBRA POLIESTER SUAVE, FORMA: PRISMATICA, LARGO X ANCHO X ESP: 12 X 8 X 2 Cm, COLOR: AMARILLO, MATERIAL: POLIURETANO POLIESTER</t>
  </si>
  <si>
    <t>2.9.1-714.1</t>
  </si>
  <si>
    <t>FRANELAS; DIMENSION: 40 X 60 Cm</t>
  </si>
  <si>
    <t>2.9.1-761.2</t>
  </si>
  <si>
    <t>GUANTES P/LIMPIEZA; MATERIAL: LATEX, TAMAÑO: MEDIANO</t>
  </si>
  <si>
    <t>PAR</t>
  </si>
  <si>
    <t>2.9.1-761.1</t>
  </si>
  <si>
    <t>GUANTES P/LIMPIEZA; TAMAÑO: GRANDE, MATERIAL: LATEX</t>
  </si>
  <si>
    <t>2.9.1-6951.41</t>
  </si>
  <si>
    <t>LIMPIADORES; TIPO: DESINFECTANTE P/PISO, PRESENTACION: ENVASE X 5 L</t>
  </si>
  <si>
    <t>2.9.1-6951.5</t>
  </si>
  <si>
    <t>LIMPIADORES; TIPO: DETERGENTE, PRESENTACION: ENVASE X 500 CM3</t>
  </si>
  <si>
    <t>2.9.1-6951.30</t>
  </si>
  <si>
    <t>LIMPIADORES; TIPO: LAVANDINA, PRESENTACION: ENVASE X 5 L</t>
  </si>
  <si>
    <t>2.9.1-6951.1</t>
  </si>
  <si>
    <t>LIMPIADORES; TIPO: LIMPIAVIDRIOS, PRESENTACION: ATOMIZADOR X 500 CM3</t>
  </si>
  <si>
    <t>2.9.1-6950.1</t>
  </si>
  <si>
    <t>LUSTRADORES; PRESENTACION: AEROSOL X 440 CM3, TIPO: LUSTRAMUEBLES</t>
  </si>
  <si>
    <t>2.9.1-2437.2</t>
  </si>
  <si>
    <t>MANT. REPARACION Y LIMPIEZA</t>
  </si>
  <si>
    <t>PALAS DE RESIDUOS; MATERIAL: PLASTICO, MANGO: LARGO</t>
  </si>
  <si>
    <t>2.3.4-786.34</t>
  </si>
  <si>
    <t>PAPEL HIGIENICO; PRESENTACION: PAQUETE X 4 UN, TIPO: ROLLO PRECORTADO, HOJA: DOBLE, ANCHO: 10 Cm, LARGO: 30 M, TIPO DE HOJA: DOBLE, MATERIAL HOJA: DOBLE</t>
  </si>
  <si>
    <t>2.9.1-683.18</t>
  </si>
  <si>
    <t>SECADORES DE GOMA; LARGO: 45 Cm</t>
  </si>
  <si>
    <t>2.9.1-683.4</t>
  </si>
  <si>
    <t>SECADORES DE GOMA; LARGO: 80 Cm, COLOR: ROJO</t>
  </si>
  <si>
    <t>2.9.1-713.18</t>
  </si>
  <si>
    <t>TRAPOS DE PISO; DIMENSION: 48 X 60 Cm</t>
  </si>
  <si>
    <t>2.9.1-678.1</t>
  </si>
  <si>
    <t>TRAPOS REJILLA; DIMENSION: 38 X 42 Cm, MATERIAL: PURO ALGODON, COLOR: BLANCO</t>
  </si>
  <si>
    <t>2.9.1-1654.13</t>
  </si>
  <si>
    <t>TRAPOS; TIPO: MICROFIBRA MULTIUSO, PRESENTACION: UNIDAD</t>
  </si>
  <si>
    <t>2.9.1-1081.1</t>
  </si>
  <si>
    <t>VIRUTAS; PRESENTACION: ROLLITO, CONTENIDO: 10 UNIDADES, MATERIAL: ACERO</t>
  </si>
  <si>
    <t>TOTAL RUBRO LIMPIEZA</t>
  </si>
  <si>
    <t>TOTAL SAME</t>
  </si>
  <si>
    <t>EPIDEMIOLOGIA</t>
  </si>
  <si>
    <t>TOTAL EPIDEMIOLOGIA</t>
  </si>
  <si>
    <t>PAQUETE</t>
  </si>
  <si>
    <t>2.9.1-564.22</t>
  </si>
  <si>
    <t>BALDES DE PLASTICO; CAPACIDAD: 11 L</t>
  </si>
  <si>
    <t>MS</t>
  </si>
  <si>
    <t>TOTAL MS</t>
  </si>
  <si>
    <t>DISCAPACIDAD</t>
  </si>
  <si>
    <t>TOTAL DISCAPACIDAD</t>
  </si>
  <si>
    <t>SUMAR</t>
  </si>
  <si>
    <t>TOTAL SUMAR</t>
  </si>
  <si>
    <t>REG Y CONTROL EN SALUD</t>
  </si>
  <si>
    <t>TOTAL REG Y CONTROL EN SALUD</t>
  </si>
  <si>
    <t>2.3.4-783.46</t>
  </si>
  <si>
    <t>TOALLAS DE PAPEL; MATERIAL: PAPEL TISSUE, GRAMAJE: 55/60 GR/M2, DIMENSION: 24 X 20,5 Cm, COLOR: BLANCO, PRESENTACION: ENVASE X 2500 UN</t>
  </si>
  <si>
    <t>2.3.4-783.69</t>
  </si>
  <si>
    <t>TOALLAS DE PAPEL; MATERIAL: PAPEL ABSORVENTE, GRAMAJE: 45 GR/M2, DIMENSION: 45 X 30 Cm, PRESENTACION: BOBINA X 550 M</t>
  </si>
  <si>
    <t>INCLUYE CABO (PLASTICO O MADERA)</t>
  </si>
  <si>
    <t>2.9.1-6961.6</t>
  </si>
  <si>
    <t>ELEM. P/LIMPIEZA SANITARIOS; TIPO: PASTILLA DESODORANTE, PRESENTACION: UNIDAD</t>
  </si>
  <si>
    <t>2.9.1-1156.8</t>
  </si>
  <si>
    <t>PLUMEROS; PLUMA: SINTETICA, CLASE: PARA TECHO, MATERIAL MANGO: METAL, LARGO MANGO: EXTENSIBLE, Nº VUELTAS PENACHO: 3, TIPO: PARA TECHO</t>
  </si>
  <si>
    <t>2.9.1-4784.9</t>
  </si>
  <si>
    <t>2.9.1-6951.60</t>
  </si>
  <si>
    <t>LIMPIADORES MULTIUSO; TIPO: CREMOSO, PRESENTACION: ENVASE X 750 GR</t>
  </si>
  <si>
    <t>LIMPIADORES; TIPO: DESENGRASANTE, PRESENTACION: ENVASE X 5 L</t>
  </si>
  <si>
    <t>2.3.4-938.59</t>
  </si>
  <si>
    <t>2.3.4</t>
  </si>
  <si>
    <t>SERVILLETAS DE PAPEL; TIPO: ROLLO, MOTIVO: SIN, DIMENSION: 25 X 10 Cm, PRESENTACION: ENVASE X 3 UN</t>
  </si>
  <si>
    <t>2.9.1-1156.9</t>
  </si>
  <si>
    <t>PLUMEROS; PLUMA: NATURAL, CLASE: MEDIO, MATERIAL MANGO: MADERA, LARGO MANGO: 50 Cm, Nº VUELTAS PENACHO: 3, TIPO: MEDIO</t>
  </si>
  <si>
    <t>2.9.1-2661.13</t>
  </si>
  <si>
    <t>TACHOS DE RESIDUOS; MATERIAL: PLASTICO, SECCION: CIRCULAR, DIMENSION: 46 X 67  Cm, TAPA: CON</t>
  </si>
  <si>
    <t>2.5.4-506.36</t>
  </si>
  <si>
    <t>2.5.4</t>
  </si>
  <si>
    <t>INSECTICIDAS; CAPACIDAD: 440 CM3, ACCION: SIN VALOR, PRINCIPIO ACTIVO: SIN VALOR, PRESENTACION: AEROSOL X 440 CM3, CONTROL: MOSCAS Y MOSQUITOS, USO P/CONTROL: MOSCAS Y MOSQUITOS</t>
  </si>
  <si>
    <t>2.5.4-506.28</t>
  </si>
  <si>
    <t>INSECTICIDAS; PRESENTACION: AEROSOL X 440 CM3, CAPACIDAD: 440 CM3, USO P/CONTROL: CUCARACHA, ACCION: SIN VALOR, PRINCIPIO ACTIVO: SIN VALOR, CONTROL: CUCARACHA</t>
  </si>
  <si>
    <t>2.9.1-683.11</t>
  </si>
  <si>
    <t>SECADORES DE GOMA; LARGO: 28 Cm, COLOR: NEGRO</t>
  </si>
  <si>
    <t>2.9.1-6952.3</t>
  </si>
  <si>
    <t>CEPILLOS; TIPO: DE MANO, MATERIAL: PVC</t>
  </si>
  <si>
    <t>2.9.1-6951.84</t>
  </si>
  <si>
    <t>LIMPIADORES; TIPO: MULTIUSO, PRESENTACION: ENVASE X 5 L</t>
  </si>
  <si>
    <t xml:space="preserve">BIDON </t>
  </si>
  <si>
    <t>2.9.1-6951.28</t>
  </si>
  <si>
    <t>LIMPIADORES; TIPO: LAVANDINA, PRESENTACION: ENVASE X 1 L</t>
  </si>
  <si>
    <t>2.9.1-6952.75</t>
  </si>
  <si>
    <t>CEPILLOS; TIPO: ESCOBA BARREHOJAS, MATERIAL: CERDAS METALICAS</t>
  </si>
  <si>
    <t>2.9.1-6952.77</t>
  </si>
  <si>
    <t>CEPILLOS; TIPO: ESCOBA BARREHOJAS, MATERIAL: PLASTICO</t>
  </si>
  <si>
    <t>2.9.1-6952.61</t>
  </si>
  <si>
    <t>CEPILLOS; TIPO: ESCOBA REFORZADA, MATERIAL: PLASTICO</t>
  </si>
  <si>
    <t>2.5.4-5668.6</t>
  </si>
  <si>
    <t>REPELENTES; TIPO: INSECTOS, PRESENTACION: ENVASE X 165 CM3</t>
  </si>
  <si>
    <t>UAI</t>
  </si>
  <si>
    <t>TOTAL UAI</t>
  </si>
  <si>
    <t>TOTAL SIRM</t>
  </si>
  <si>
    <t>SIRM</t>
  </si>
  <si>
    <t>CUARTO</t>
  </si>
  <si>
    <t>NOTA DE PEDIDO</t>
  </si>
  <si>
    <t>N°</t>
  </si>
  <si>
    <t xml:space="preserve">JURISDICCIÓN: </t>
  </si>
  <si>
    <t>SAF:</t>
  </si>
  <si>
    <t>UNIDAD EJECUTORA:</t>
  </si>
  <si>
    <t>747 - DIRECCION PROVINCIAL BANCO DE SANGRE</t>
  </si>
  <si>
    <t xml:space="preserve">DEPENDENCIA SOLICITANTE: </t>
  </si>
  <si>
    <t>PERIODO UTILIZACIÓN:</t>
  </si>
  <si>
    <t>TRES (3) MESES</t>
  </si>
  <si>
    <t>OBJETO:</t>
  </si>
  <si>
    <t>Ítem</t>
  </si>
  <si>
    <t>Codigo Item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</si>
  <si>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</si>
  <si>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</si>
  <si>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</si>
  <si>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</si>
  <si>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</si>
  <si>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</si>
  <si>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</si>
  <si>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</si>
  <si>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</si>
  <si>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Autorizo la realización de los  trámites correspondientes, a fin de proveer a  este Organismo los bienes que se detallan en Nota  de Pedido N°....... , afectando la erogación resultante a los créditos presupuestarios aprobados a favor de esta Unidad Ejecutora, conforme al siguiente detalle: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</si>
  <si>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</si>
  <si>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</si>
  <si>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</si>
  <si>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</si>
  <si>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</si>
  <si>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</si>
  <si>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</si>
  <si>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</si>
  <si>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</si>
  <si>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</si>
  <si>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</si>
  <si>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</si>
  <si>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</si>
  <si>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</si>
  <si>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</si>
  <si>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</si>
  <si>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</si>
  <si>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</si>
  <si>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</si>
  <si>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750 - DIRECCION PROVINCIAL PRIMER NIVEL DE ATENCIÓN PRIMARIA</t>
  </si>
  <si>
    <t>ADQ. DEL RUBRO ELEMENTOS DE LIMPIEZA</t>
  </si>
  <si>
    <t>Costo total estimado: PESOS CINCUENTA MIL SEISCIENTOS OCHENTA Y TRES  CON 00/100.-</t>
  </si>
  <si>
    <t>TOTAL DE PESOS: CINCUENTA MIL SEISCIENTOS OCHENTA Y TRES CON 00/100.-</t>
  </si>
  <si>
    <t>Descripcion</t>
  </si>
  <si>
    <t>469 - DIRECCION PROVINCIAL DE FARMACIA E INSUMOS</t>
  </si>
  <si>
    <t>748 - DIRECCION PROVINCIAL DE SISTEMA DE ATENCION MEDICA DE EMERGENCIA</t>
  </si>
  <si>
    <t>748- DIRECCION PROVINCIAL DE SISTEMA DE ATENCION MEDICA DE EMERGENCIA</t>
  </si>
  <si>
    <t>743- SECRETARIA DE ASISTENCIA EN SALUD PUBLICA</t>
  </si>
  <si>
    <t>743- S.A.S.P. - REGULACION Y CONTROL EN SALUD</t>
  </si>
  <si>
    <t>482- DIRECCION PROVINCIAL DE EPIDEMIOLOGIA</t>
  </si>
  <si>
    <t>Costo total estimado: PESOS CIENTO CUARENTA Y NUEVE MIL CIENTO TREINTA  CON 00/100.-</t>
  </si>
  <si>
    <t>352- MINISTERIO DE SALUD</t>
  </si>
  <si>
    <t>TOTAL DE PESOS: CIENTO CUARENTA Y NUEVE MIL CIENTO TREINTA  CON 00/100.-</t>
  </si>
  <si>
    <t>318- UNIDAD DE GESTION DE SEGURO PROVINCIAL CATAMARCA (SUMAR)</t>
  </si>
  <si>
    <t>TOTAL DE PESOS: DIECIOCHO MIL OCHOCIENTOS CINCUENTA  CON 00/100.-</t>
  </si>
  <si>
    <t>Costo total estimado: PESOS DIECIOCHO  MIL OCHOCIENTOS CINCUENTA  CON 00/100.-</t>
  </si>
  <si>
    <t>PRODUCTOS DE PAPEL Y CARTON</t>
  </si>
  <si>
    <t>INSECTICIDAS, FUMIGANTES Y OTROS</t>
  </si>
  <si>
    <t>2,9,1</t>
  </si>
  <si>
    <t>2,5,4</t>
  </si>
  <si>
    <t>Costo total estimado: PESOS CIENTO VEINTISIETE MILOCHOCIENTOS SESENTA  CON 00/100.-</t>
  </si>
  <si>
    <t>TOTAL DE PESOS: CIENTO VEINTISIETE MIL OCHOCIENTOS SESENTA CON 00/100.-</t>
  </si>
  <si>
    <t>Costo total estimado: PESOS VEINTIDOS MIL SEISCIENTOS TREINTAY UNO CON 00/100.-</t>
  </si>
  <si>
    <t>TOTAL DE PESOS: VEINTIDOS MIL SEISCIENTOS TREINTAY UNO CON 00/100.-</t>
  </si>
  <si>
    <t>TOTAL DE PESOS: DOSCIENTOS QUINCE MIL TRESCIENTOS CINCUENTA CON 00/100.-</t>
  </si>
  <si>
    <t>Costo total estimado: PESOS DOSCIENTOS QUINCE MIL TRESCIENTOS CINCUENTACON 00/100.-</t>
  </si>
  <si>
    <t>93- DIRECCIÓN PROVINCIAL DE ASISTENCIA INTEGRAL A PERSONAS CON DISCAPACIDAD</t>
  </si>
  <si>
    <t>PRODUCTOS DE PAPEL Y CARTÓN</t>
  </si>
  <si>
    <t>TOTAL DE PESOS: NUEVE MIL OCHOCIENTOS CON 00/100.-</t>
  </si>
  <si>
    <t>Costo total estimado: PESOS VEINTIUN MIL CUATROCIENTOS NOVENTA CON 00/100.-</t>
  </si>
  <si>
    <t>TOTAL DE PESOS: VEINTIUN MIL CUATROCIENTOS NOVENTA CON 00/100.-</t>
  </si>
  <si>
    <t>382- SECRETARIA DE PLANIFICACIÓN Y GESTIÓN EN SALUD</t>
  </si>
  <si>
    <t>Costo total estimado: PESOS TREINTA Y CINCO MIL CON 00/100.-</t>
  </si>
  <si>
    <t>TOTAL DE PESOS: TREINTA Y CINCO MIL CON 00/100.-</t>
  </si>
  <si>
    <t>Costo total estimado: PESOS VEINTITRES MIL OCHOCIENTOS CON 00/100.-</t>
  </si>
  <si>
    <t>TOTAL DE PESOS: VEINTITRES MIL OCHOCIENTOS CON 00/100.-</t>
  </si>
  <si>
    <t xml:space="preserve">Descripción técnica:   </t>
  </si>
  <si>
    <t xml:space="preserve">Plazos de entrega: </t>
  </si>
  <si>
    <t>Lugar de Entrega:</t>
  </si>
  <si>
    <t>SECRETARIA DE AMINISTRACION - CHACABUCO N° 169 - en el horario de 8:00hs a 12:00hs de lunes a viernes. DEBIENDO CORRER LOS GASTOS DE FLETES, ACARREO, CARGA, DESCARGA Y SEGURO A CARGO DEL ADJUDICATARIO.</t>
  </si>
  <si>
    <t xml:space="preserve">Mantenimiento: </t>
  </si>
  <si>
    <t>CUARENTA Y CINCO (45) DÍAS.</t>
  </si>
  <si>
    <t xml:space="preserve"> - INDICAR MARCA COMERCIAL DE PRODUCTO COTIZADO POR ÍTEM.</t>
  </si>
  <si>
    <t xml:space="preserve"> </t>
  </si>
  <si>
    <t>10 (DIEZ) DÍAS HÁBILES.</t>
  </si>
  <si>
    <t>Costo total estimado: PESOS NUEVE MIL OCHOCIENTOS CON 00/100.-</t>
  </si>
  <si>
    <t>Costo total estimado: PESOS SESENTA Y SEIS MIL SEISCIENTOS CON 00/100.-</t>
  </si>
  <si>
    <t>TOTAL DE PESOS: SESENTA Y SEIS MIL SEISCIENTOS CON 00/100.-</t>
  </si>
  <si>
    <t>CANTIDAD</t>
  </si>
  <si>
    <t>PRECIO UNITARIO ESTIMADO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</si>
</sst>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[$$-2C0A]\ #,##0.00"/>
    <numFmt numFmtId="167" formatCode="_-[$$-2C0A]\ * #,##0.00_-;\-[$$-2C0A]\ * #,##0.00_-;_-[$$-2C0A]\ * &quot;-&quot;??_-;_-@_-"/>
    <numFmt numFmtId="168" formatCode="_-* #,##0.00&quot; €&quot;_-;\-* #,##0.00&quot; €&quot;_-;_-* \-??&quot; €&quot;_-;_-@_-"/>
    <numFmt numFmtId="169" formatCode="dd\-mm\-yy;@"/>
    <numFmt numFmtId="170" formatCode="_(\$* #,##0.00_);_(\$* \(#,##0.00\);_(\$* \-??_);_(@_)"/>
    <numFmt numFmtId="171" formatCode="[$$-2C0A]\ #,##0.00;[$$-2C0A]&quot; -&quot;#,##0.0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2"/>
      <name val="Times New Roman"/>
      <family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Times New Roman"/>
      <family val="1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99"/>
        <bgColor rgb="FFFFFFCC"/>
      </patternFill>
    </fill>
  </fills>
  <borders count="6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/>
      <top style="medium">
        <color rgb="FF3D3D3D"/>
      </top>
      <bottom/>
      <diagonal/>
    </border>
    <border>
      <left style="thin">
        <color indexed="64"/>
      </left>
      <right/>
      <top style="thin">
        <color rgb="FF3D3D3D"/>
      </top>
      <bottom style="thin">
        <color rgb="FF3D3D3D"/>
      </bottom>
      <diagonal/>
    </border>
    <border>
      <left style="thin">
        <color indexed="64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4">
    <xf numFmtId="0" fontId="0" fillId="0" borderId="0"/>
    <xf numFmtId="44" fontId="1" fillId="0" borderId="0" applyFont="0" applyFill="0" applyBorder="0" applyAlignment="0" applyProtection="0"/>
    <xf numFmtId="0" fontId="7" fillId="0" borderId="0"/>
    <xf numFmtId="164" fontId="7" fillId="0" borderId="0" applyBorder="0" applyAlignment="0" applyProtection="0"/>
    <xf numFmtId="0" fontId="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168" fontId="7" fillId="0" borderId="0" applyBorder="0" applyProtection="0"/>
    <xf numFmtId="0" fontId="13" fillId="0" borderId="8" applyProtection="0"/>
    <xf numFmtId="0" fontId="14" fillId="5" borderId="0" applyBorder="0" applyProtection="0"/>
    <xf numFmtId="0" fontId="7" fillId="0" borderId="0"/>
    <xf numFmtId="0" fontId="7" fillId="0" borderId="0"/>
    <xf numFmtId="168" fontId="7" fillId="0" borderId="0" applyBorder="0" applyProtection="0"/>
    <xf numFmtId="0" fontId="13" fillId="0" borderId="8" applyProtection="0"/>
    <xf numFmtId="164" fontId="7" fillId="0" borderId="0" applyBorder="0" applyAlignment="0" applyProtection="0"/>
    <xf numFmtId="0" fontId="7" fillId="0" borderId="0"/>
    <xf numFmtId="0" fontId="7" fillId="0" borderId="0"/>
    <xf numFmtId="0" fontId="7" fillId="0" borderId="0"/>
    <xf numFmtId="43" fontId="1" fillId="0" borderId="0" applyFont="0" applyFill="0" applyBorder="0" applyAlignment="0" applyProtection="0"/>
    <xf numFmtId="168" fontId="7" fillId="0" borderId="0" applyBorder="0" applyProtection="0"/>
    <xf numFmtId="0" fontId="1" fillId="0" borderId="0"/>
    <xf numFmtId="0" fontId="1" fillId="0" borderId="0"/>
    <xf numFmtId="0" fontId="7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7" fillId="0" borderId="0"/>
    <xf numFmtId="0" fontId="15" fillId="0" borderId="0"/>
    <xf numFmtId="0" fontId="16" fillId="0" borderId="0"/>
    <xf numFmtId="0" fontId="7" fillId="0" borderId="0"/>
    <xf numFmtId="170" fontId="32" fillId="0" borderId="0" applyBorder="0" applyProtection="0"/>
  </cellStyleXfs>
  <cellXfs count="286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167" fontId="4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6" fillId="2" borderId="1" xfId="2" applyNumberFormat="1" applyFont="1" applyFill="1" applyBorder="1" applyAlignment="1">
      <alignment horizontal="center" vertical="center" wrapText="1"/>
    </xf>
    <xf numFmtId="0" fontId="0" fillId="0" borderId="0" xfId="0"/>
    <xf numFmtId="167" fontId="6" fillId="2" borderId="2" xfId="2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7" fontId="5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167" fontId="10" fillId="2" borderId="7" xfId="2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167" fontId="17" fillId="0" borderId="0" xfId="0" applyNumberFormat="1" applyFont="1" applyAlignment="1">
      <alignment horizontal="center" vertical="center"/>
    </xf>
    <xf numFmtId="0" fontId="19" fillId="0" borderId="0" xfId="0" applyFont="1"/>
    <xf numFmtId="0" fontId="4" fillId="0" borderId="10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65" fontId="10" fillId="2" borderId="4" xfId="0" applyNumberFormat="1" applyFont="1" applyFill="1" applyBorder="1" applyAlignment="1">
      <alignment horizontal="center" vertical="center" wrapText="1"/>
    </xf>
    <xf numFmtId="167" fontId="10" fillId="2" borderId="4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1" fontId="10" fillId="2" borderId="4" xfId="0" applyNumberFormat="1" applyFont="1" applyFill="1" applyBorder="1" applyAlignment="1">
      <alignment horizontal="center" vertical="center" wrapText="1"/>
    </xf>
    <xf numFmtId="3" fontId="10" fillId="2" borderId="4" xfId="0" applyNumberFormat="1" applyFont="1" applyFill="1" applyBorder="1" applyAlignment="1">
      <alignment horizontal="center" vertical="center" wrapText="1"/>
    </xf>
    <xf numFmtId="0" fontId="10" fillId="2" borderId="4" xfId="0" applyNumberFormat="1" applyFont="1" applyFill="1" applyBorder="1" applyAlignment="1">
      <alignment horizontal="center" vertical="center" wrapText="1"/>
    </xf>
    <xf numFmtId="167" fontId="10" fillId="4" borderId="4" xfId="3" applyNumberFormat="1" applyFont="1" applyFill="1" applyBorder="1" applyAlignment="1" applyProtection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horizontal="center" vertical="center" wrapText="1"/>
    </xf>
    <xf numFmtId="166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167" fontId="6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2" borderId="1" xfId="0" applyNumberFormat="1" applyFont="1" applyFill="1" applyBorder="1" applyAlignment="1">
      <alignment horizontal="center" vertical="center"/>
    </xf>
    <xf numFmtId="166" fontId="6" fillId="2" borderId="10" xfId="0" applyNumberFormat="1" applyFont="1" applyFill="1" applyBorder="1" applyAlignment="1">
      <alignment horizontal="center" vertical="center"/>
    </xf>
    <xf numFmtId="167" fontId="6" fillId="2" borderId="1" xfId="3" applyNumberFormat="1" applyFont="1" applyFill="1" applyBorder="1" applyAlignment="1" applyProtection="1">
      <alignment horizontal="center" vertical="center" wrapText="1"/>
    </xf>
    <xf numFmtId="0" fontId="8" fillId="2" borderId="6" xfId="0" applyFont="1" applyFill="1" applyBorder="1"/>
    <xf numFmtId="0" fontId="8" fillId="2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 wrapText="1"/>
    </xf>
    <xf numFmtId="167" fontId="8" fillId="2" borderId="1" xfId="2" applyNumberFormat="1" applyFont="1" applyFill="1" applyBorder="1" applyAlignment="1">
      <alignment horizontal="center" vertical="center" wrapText="1"/>
    </xf>
    <xf numFmtId="1" fontId="8" fillId="2" borderId="1" xfId="2" applyNumberFormat="1" applyFont="1" applyFill="1" applyBorder="1" applyAlignment="1">
      <alignment horizontal="center" vertical="center" wrapText="1"/>
    </xf>
    <xf numFmtId="1" fontId="8" fillId="2" borderId="1" xfId="5" applyNumberFormat="1" applyFont="1" applyFill="1" applyBorder="1" applyAlignment="1">
      <alignment horizontal="center" vertical="center"/>
    </xf>
    <xf numFmtId="167" fontId="8" fillId="2" borderId="1" xfId="1" applyNumberFormat="1" applyFont="1" applyFill="1" applyBorder="1" applyAlignment="1">
      <alignment horizontal="center" vertical="center"/>
    </xf>
    <xf numFmtId="3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167" fontId="6" fillId="2" borderId="1" xfId="0" applyNumberFormat="1" applyFont="1" applyFill="1" applyBorder="1" applyAlignment="1">
      <alignment horizontal="center" vertical="center" wrapText="1"/>
    </xf>
    <xf numFmtId="167" fontId="6" fillId="2" borderId="2" xfId="0" applyNumberFormat="1" applyFont="1" applyFill="1" applyBorder="1" applyAlignment="1">
      <alignment horizontal="center" vertical="center"/>
    </xf>
    <xf numFmtId="3" fontId="6" fillId="2" borderId="2" xfId="2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167" fontId="6" fillId="2" borderId="1" xfId="1" applyNumberFormat="1" applyFont="1" applyFill="1" applyBorder="1" applyAlignment="1">
      <alignment horizontal="center" vertical="center"/>
    </xf>
    <xf numFmtId="0" fontId="6" fillId="2" borderId="6" xfId="0" applyFont="1" applyFill="1" applyBorder="1"/>
    <xf numFmtId="0" fontId="6" fillId="2" borderId="0" xfId="0" applyFont="1" applyFill="1"/>
    <xf numFmtId="0" fontId="6" fillId="2" borderId="9" xfId="0" applyFont="1" applyFill="1" applyBorder="1"/>
    <xf numFmtId="3" fontId="6" fillId="2" borderId="5" xfId="0" applyNumberFormat="1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center" vertical="center"/>
    </xf>
    <xf numFmtId="167" fontId="6" fillId="2" borderId="5" xfId="0" applyNumberFormat="1" applyFont="1" applyFill="1" applyBorder="1" applyAlignment="1">
      <alignment horizontal="center" vertical="center"/>
    </xf>
    <xf numFmtId="165" fontId="6" fillId="2" borderId="5" xfId="0" applyNumberFormat="1" applyFont="1" applyFill="1" applyBorder="1" applyAlignment="1">
      <alignment horizontal="center" vertical="center"/>
    </xf>
    <xf numFmtId="1" fontId="6" fillId="2" borderId="5" xfId="0" applyNumberFormat="1" applyFont="1" applyFill="1" applyBorder="1" applyAlignment="1">
      <alignment horizontal="center" vertical="center"/>
    </xf>
    <xf numFmtId="3" fontId="6" fillId="2" borderId="5" xfId="0" applyNumberFormat="1" applyFont="1" applyFill="1" applyBorder="1" applyAlignment="1">
      <alignment horizontal="center" vertical="center"/>
    </xf>
    <xf numFmtId="166" fontId="6" fillId="2" borderId="5" xfId="0" applyNumberFormat="1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5" xfId="0" applyNumberFormat="1" applyFont="1" applyFill="1" applyBorder="1" applyAlignment="1">
      <alignment horizontal="center" vertical="center"/>
    </xf>
    <xf numFmtId="167" fontId="6" fillId="2" borderId="5" xfId="1" applyNumberFormat="1" applyFont="1" applyFill="1" applyBorder="1" applyAlignment="1">
      <alignment horizontal="center" vertical="center"/>
    </xf>
    <xf numFmtId="0" fontId="22" fillId="0" borderId="12" xfId="0" applyFont="1" applyBorder="1" applyAlignment="1">
      <alignment horizontal="right" vertical="center"/>
    </xf>
    <xf numFmtId="0" fontId="23" fillId="0" borderId="13" xfId="0" applyFont="1" applyBorder="1" applyAlignment="1">
      <alignment horizontal="center" vertical="center"/>
    </xf>
    <xf numFmtId="0" fontId="22" fillId="0" borderId="14" xfId="0" applyFont="1" applyBorder="1" applyAlignment="1">
      <alignment vertical="center"/>
    </xf>
    <xf numFmtId="0" fontId="22" fillId="0" borderId="15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22" fillId="0" borderId="16" xfId="0" applyFont="1" applyBorder="1" applyAlignment="1">
      <alignment vertical="center"/>
    </xf>
    <xf numFmtId="0" fontId="23" fillId="0" borderId="18" xfId="0" applyFont="1" applyBorder="1" applyAlignment="1">
      <alignment vertical="center"/>
    </xf>
    <xf numFmtId="0" fontId="23" fillId="0" borderId="19" xfId="0" applyFont="1" applyBorder="1" applyAlignment="1">
      <alignment vertical="center"/>
    </xf>
    <xf numFmtId="0" fontId="23" fillId="0" borderId="20" xfId="0" applyFont="1" applyBorder="1" applyAlignment="1">
      <alignment vertical="center"/>
    </xf>
    <xf numFmtId="0" fontId="23" fillId="0" borderId="23" xfId="0" applyFont="1" applyBorder="1" applyAlignment="1">
      <alignment vertical="center"/>
    </xf>
    <xf numFmtId="0" fontId="24" fillId="0" borderId="24" xfId="0" applyFont="1" applyBorder="1" applyAlignment="1">
      <alignment horizontal="left" vertical="center"/>
    </xf>
    <xf numFmtId="0" fontId="24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left" vertical="center" wrapText="1" indent="1"/>
    </xf>
    <xf numFmtId="0" fontId="23" fillId="0" borderId="16" xfId="0" applyFont="1" applyBorder="1" applyAlignment="1">
      <alignment horizontal="left" vertical="center" wrapText="1" indent="1"/>
    </xf>
    <xf numFmtId="0" fontId="26" fillId="0" borderId="10" xfId="0" applyFont="1" applyBorder="1" applyAlignment="1">
      <alignment horizontal="center" vertical="center"/>
    </xf>
    <xf numFmtId="167" fontId="8" fillId="2" borderId="2" xfId="1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 applyProtection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left" vertical="center" wrapText="1"/>
    </xf>
    <xf numFmtId="167" fontId="0" fillId="0" borderId="0" xfId="0" applyNumberFormat="1"/>
    <xf numFmtId="1" fontId="8" fillId="2" borderId="2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8" fillId="2" borderId="2" xfId="2" applyFont="1" applyFill="1" applyBorder="1" applyAlignment="1">
      <alignment horizontal="center" vertical="center" wrapText="1"/>
    </xf>
    <xf numFmtId="167" fontId="8" fillId="2" borderId="2" xfId="2" applyNumberFormat="1" applyFont="1" applyFill="1" applyBorder="1" applyAlignment="1">
      <alignment horizontal="center" vertical="center" wrapText="1"/>
    </xf>
    <xf numFmtId="1" fontId="8" fillId="2" borderId="2" xfId="2" applyNumberFormat="1" applyFont="1" applyFill="1" applyBorder="1" applyAlignment="1">
      <alignment horizontal="center" vertical="center" wrapText="1"/>
    </xf>
    <xf numFmtId="165" fontId="6" fillId="2" borderId="2" xfId="0" applyNumberFormat="1" applyFont="1" applyFill="1" applyBorder="1" applyAlignment="1">
      <alignment horizontal="center" vertical="center"/>
    </xf>
    <xf numFmtId="3" fontId="6" fillId="2" borderId="2" xfId="0" applyNumberFormat="1" applyFont="1" applyFill="1" applyBorder="1" applyAlignment="1">
      <alignment horizontal="center" vertical="center"/>
    </xf>
    <xf numFmtId="166" fontId="6" fillId="2" borderId="2" xfId="0" applyNumberFormat="1" applyFont="1" applyFill="1" applyBorder="1" applyAlignment="1">
      <alignment horizontal="center" vertical="center"/>
    </xf>
    <xf numFmtId="1" fontId="6" fillId="2" borderId="2" xfId="0" applyNumberFormat="1" applyFont="1" applyFill="1" applyBorder="1" applyAlignment="1">
      <alignment horizontal="center" vertical="center"/>
    </xf>
    <xf numFmtId="0" fontId="6" fillId="2" borderId="2" xfId="0" applyNumberFormat="1" applyFont="1" applyFill="1" applyBorder="1" applyAlignment="1">
      <alignment horizontal="center" vertical="center"/>
    </xf>
    <xf numFmtId="0" fontId="8" fillId="2" borderId="1" xfId="0" applyFont="1" applyFill="1" applyBorder="1"/>
    <xf numFmtId="3" fontId="30" fillId="0" borderId="25" xfId="0" applyNumberFormat="1" applyFont="1" applyBorder="1" applyAlignment="1"/>
    <xf numFmtId="169" fontId="0" fillId="0" borderId="25" xfId="0" applyNumberFormat="1" applyBorder="1" applyAlignment="1">
      <alignment horizontal="left"/>
    </xf>
    <xf numFmtId="0" fontId="0" fillId="0" borderId="25" xfId="0" applyBorder="1"/>
    <xf numFmtId="0" fontId="0" fillId="0" borderId="24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9" fontId="0" fillId="0" borderId="0" xfId="0" applyNumberFormat="1" applyBorder="1" applyAlignment="1">
      <alignment horizontal="left"/>
    </xf>
    <xf numFmtId="0" fontId="0" fillId="0" borderId="16" xfId="0" applyBorder="1"/>
    <xf numFmtId="0" fontId="0" fillId="0" borderId="14" xfId="0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32" xfId="0" applyBorder="1"/>
    <xf numFmtId="0" fontId="35" fillId="0" borderId="35" xfId="0" applyFont="1" applyBorder="1" applyAlignment="1">
      <alignment horizontal="center" vertical="center"/>
    </xf>
    <xf numFmtId="0" fontId="35" fillId="0" borderId="36" xfId="0" applyFont="1" applyBorder="1" applyAlignment="1">
      <alignment horizontal="center" vertical="center"/>
    </xf>
    <xf numFmtId="0" fontId="35" fillId="0" borderId="36" xfId="0" applyFont="1" applyBorder="1" applyAlignment="1">
      <alignment horizontal="left" vertical="center"/>
    </xf>
    <xf numFmtId="0" fontId="35" fillId="0" borderId="37" xfId="0" applyFont="1" applyBorder="1" applyAlignment="1">
      <alignment horizontal="center" vertical="center"/>
    </xf>
    <xf numFmtId="0" fontId="35" fillId="0" borderId="38" xfId="0" applyFont="1" applyBorder="1" applyAlignment="1">
      <alignment horizontal="center" vertical="center"/>
    </xf>
    <xf numFmtId="171" fontId="0" fillId="0" borderId="40" xfId="33" applyNumberFormat="1" applyFont="1" applyBorder="1" applyAlignment="1" applyProtection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171" fontId="0" fillId="0" borderId="45" xfId="33" applyNumberFormat="1" applyFont="1" applyBorder="1" applyAlignment="1" applyProtection="1">
      <alignment horizontal="center" vertical="center"/>
    </xf>
    <xf numFmtId="0" fontId="33" fillId="0" borderId="41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33" fillId="0" borderId="43" xfId="0" applyFont="1" applyBorder="1" applyAlignment="1">
      <alignment horizontal="center" vertical="center"/>
    </xf>
    <xf numFmtId="0" fontId="33" fillId="0" borderId="44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171" fontId="0" fillId="0" borderId="49" xfId="33" applyNumberFormat="1" applyFont="1" applyBorder="1" applyAlignment="1" applyProtection="1">
      <alignment horizontal="center" vertical="center"/>
    </xf>
    <xf numFmtId="171" fontId="35" fillId="0" borderId="51" xfId="0" applyNumberFormat="1" applyFont="1" applyBorder="1" applyAlignment="1">
      <alignment horizontal="center" vertical="center"/>
    </xf>
    <xf numFmtId="0" fontId="36" fillId="2" borderId="1" xfId="0" applyFont="1" applyFill="1" applyBorder="1" applyAlignment="1">
      <alignment horizontal="left" vertical="center" wrapText="1"/>
    </xf>
    <xf numFmtId="0" fontId="38" fillId="2" borderId="1" xfId="0" applyFont="1" applyFill="1" applyBorder="1" applyAlignment="1">
      <alignment horizontal="left" vertical="center" wrapText="1"/>
    </xf>
    <xf numFmtId="0" fontId="24" fillId="0" borderId="10" xfId="0" applyFont="1" applyBorder="1" applyAlignment="1">
      <alignment horizontal="center" vertical="center"/>
    </xf>
    <xf numFmtId="0" fontId="24" fillId="2" borderId="10" xfId="0" applyFont="1" applyFill="1" applyBorder="1" applyAlignment="1">
      <alignment horizontal="center" vertical="center"/>
    </xf>
    <xf numFmtId="3" fontId="38" fillId="2" borderId="1" xfId="0" applyNumberFormat="1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/>
    </xf>
    <xf numFmtId="3" fontId="38" fillId="2" borderId="1" xfId="0" applyNumberFormat="1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 wrapText="1"/>
    </xf>
    <xf numFmtId="167" fontId="38" fillId="2" borderId="1" xfId="3" applyNumberFormat="1" applyFont="1" applyFill="1" applyBorder="1" applyAlignment="1" applyProtection="1">
      <alignment horizontal="center" vertical="center" wrapText="1"/>
    </xf>
    <xf numFmtId="167" fontId="38" fillId="2" borderId="1" xfId="1" applyNumberFormat="1" applyFont="1" applyFill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55" xfId="0" applyFont="1" applyBorder="1" applyAlignment="1">
      <alignment horizontal="center" vertical="center"/>
    </xf>
    <xf numFmtId="0" fontId="0" fillId="0" borderId="56" xfId="0" applyFont="1" applyBorder="1" applyAlignment="1">
      <alignment horizontal="center" vertical="center"/>
    </xf>
    <xf numFmtId="0" fontId="0" fillId="0" borderId="57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27" fillId="2" borderId="10" xfId="0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 wrapText="1"/>
    </xf>
    <xf numFmtId="0" fontId="37" fillId="0" borderId="0" xfId="0" applyFont="1"/>
    <xf numFmtId="0" fontId="0" fillId="0" borderId="44" xfId="0" applyFont="1" applyBorder="1" applyAlignment="1">
      <alignment horizontal="center" vertical="center"/>
    </xf>
    <xf numFmtId="0" fontId="8" fillId="2" borderId="1" xfId="4" applyFont="1" applyFill="1" applyBorder="1" applyAlignment="1">
      <alignment horizontal="center" vertical="center"/>
    </xf>
    <xf numFmtId="167" fontId="9" fillId="2" borderId="1" xfId="0" applyNumberFormat="1" applyFont="1" applyFill="1" applyBorder="1" applyAlignment="1">
      <alignment horizontal="center" vertical="center" wrapText="1"/>
    </xf>
    <xf numFmtId="0" fontId="10" fillId="2" borderId="0" xfId="0" applyFont="1" applyFill="1"/>
    <xf numFmtId="0" fontId="26" fillId="2" borderId="10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left" vertical="center" wrapText="1"/>
    </xf>
    <xf numFmtId="166" fontId="10" fillId="2" borderId="4" xfId="0" applyNumberFormat="1" applyFont="1" applyFill="1" applyBorder="1" applyAlignment="1">
      <alignment horizontal="center" vertical="center"/>
    </xf>
    <xf numFmtId="3" fontId="20" fillId="2" borderId="4" xfId="2" applyNumberFormat="1" applyFont="1" applyFill="1" applyBorder="1" applyAlignment="1">
      <alignment horizontal="center" vertical="center" wrapText="1"/>
    </xf>
    <xf numFmtId="0" fontId="10" fillId="2" borderId="9" xfId="0" applyFont="1" applyFill="1" applyBorder="1"/>
    <xf numFmtId="3" fontId="6" fillId="2" borderId="10" xfId="0" applyNumberFormat="1" applyFont="1" applyFill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167" fontId="6" fillId="2" borderId="10" xfId="1" applyNumberFormat="1" applyFont="1" applyFill="1" applyBorder="1" applyAlignment="1">
      <alignment horizontal="center" vertical="center"/>
    </xf>
    <xf numFmtId="0" fontId="39" fillId="0" borderId="24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9" fillId="0" borderId="62" xfId="0" applyFont="1" applyBorder="1" applyAlignment="1">
      <alignment horizontal="center" wrapText="1"/>
    </xf>
    <xf numFmtId="0" fontId="3" fillId="0" borderId="63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/>
    </xf>
    <xf numFmtId="0" fontId="3" fillId="0" borderId="64" xfId="0" applyFont="1" applyBorder="1" applyAlignment="1">
      <alignment horizontal="center" vertical="center" wrapText="1"/>
    </xf>
    <xf numFmtId="0" fontId="40" fillId="0" borderId="0" xfId="0" applyFont="1"/>
    <xf numFmtId="167" fontId="40" fillId="2" borderId="0" xfId="0" applyNumberFormat="1" applyFont="1" applyFill="1"/>
    <xf numFmtId="167" fontId="40" fillId="0" borderId="0" xfId="0" applyNumberFormat="1" applyFont="1"/>
    <xf numFmtId="0" fontId="40" fillId="2" borderId="0" xfId="0" applyFont="1" applyFill="1"/>
    <xf numFmtId="44" fontId="40" fillId="2" borderId="0" xfId="1" applyFont="1" applyFill="1"/>
    <xf numFmtId="44" fontId="40" fillId="2" borderId="0" xfId="0" applyNumberFormat="1" applyFont="1" applyFill="1"/>
    <xf numFmtId="0" fontId="37" fillId="2" borderId="1" xfId="4" applyFont="1" applyFill="1" applyBorder="1" applyAlignment="1">
      <alignment horizontal="center" vertical="center"/>
    </xf>
    <xf numFmtId="167" fontId="37" fillId="2" borderId="1" xfId="1" applyNumberFormat="1" applyFont="1" applyFill="1" applyBorder="1" applyAlignment="1">
      <alignment horizontal="center" vertical="center"/>
    </xf>
    <xf numFmtId="0" fontId="38" fillId="2" borderId="2" xfId="0" applyFont="1" applyFill="1" applyBorder="1" applyAlignment="1">
      <alignment horizontal="center" vertical="center" wrapText="1"/>
    </xf>
    <xf numFmtId="0" fontId="38" fillId="2" borderId="2" xfId="0" applyFont="1" applyFill="1" applyBorder="1" applyAlignment="1">
      <alignment horizontal="left" vertical="center" wrapText="1"/>
    </xf>
    <xf numFmtId="167" fontId="38" fillId="2" borderId="2" xfId="1" applyNumberFormat="1" applyFont="1" applyFill="1" applyBorder="1" applyAlignment="1">
      <alignment horizontal="center" vertical="center"/>
    </xf>
    <xf numFmtId="3" fontId="38" fillId="2" borderId="2" xfId="0" applyNumberFormat="1" applyFont="1" applyFill="1" applyBorder="1" applyAlignment="1">
      <alignment horizontal="center" vertical="center"/>
    </xf>
    <xf numFmtId="167" fontId="38" fillId="2" borderId="1" xfId="1" applyNumberFormat="1" applyFont="1" applyFill="1" applyBorder="1" applyAlignment="1" applyProtection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8" fillId="2" borderId="0" xfId="0" applyNumberFormat="1" applyFont="1" applyFill="1"/>
    <xf numFmtId="0" fontId="3" fillId="0" borderId="0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9" fillId="0" borderId="11" xfId="0" applyFont="1" applyBorder="1" applyAlignment="1">
      <alignment horizontal="center" vertical="center" wrapText="1"/>
    </xf>
    <xf numFmtId="0" fontId="39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61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0" fontId="28" fillId="0" borderId="10" xfId="0" applyFont="1" applyBorder="1" applyAlignment="1">
      <alignment horizontal="left" vertical="center" wrapText="1" indent="1"/>
    </xf>
    <xf numFmtId="166" fontId="29" fillId="0" borderId="10" xfId="0" applyNumberFormat="1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left" vertical="center"/>
    </xf>
    <xf numFmtId="0" fontId="25" fillId="0" borderId="10" xfId="0" applyFont="1" applyBorder="1" applyAlignment="1">
      <alignment horizontal="center" vertical="center"/>
    </xf>
    <xf numFmtId="0" fontId="24" fillId="0" borderId="21" xfId="0" applyFont="1" applyBorder="1" applyAlignment="1">
      <alignment horizontal="left" vertical="center" wrapText="1"/>
    </xf>
    <xf numFmtId="0" fontId="21" fillId="0" borderId="11" xfId="0" applyFont="1" applyBorder="1" applyAlignment="1">
      <alignment horizontal="center" vertical="center"/>
    </xf>
    <xf numFmtId="0" fontId="24" fillId="0" borderId="17" xfId="0" applyFont="1" applyBorder="1" applyAlignment="1">
      <alignment horizontal="left" vertical="center" wrapText="1"/>
    </xf>
    <xf numFmtId="0" fontId="30" fillId="0" borderId="27" xfId="0" applyFont="1" applyBorder="1" applyAlignment="1">
      <alignment vertical="center" wrapText="1"/>
    </xf>
    <xf numFmtId="0" fontId="33" fillId="0" borderId="34" xfId="0" applyFont="1" applyBorder="1" applyAlignment="1">
      <alignment vertical="center" wrapText="1"/>
    </xf>
    <xf numFmtId="0" fontId="33" fillId="0" borderId="52" xfId="0" applyFont="1" applyBorder="1" applyAlignment="1">
      <alignment horizontal="left" vertical="center" wrapText="1" indent="1"/>
    </xf>
    <xf numFmtId="0" fontId="0" fillId="0" borderId="44" xfId="0" applyFont="1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30" fillId="0" borderId="50" xfId="0" applyFont="1" applyBorder="1" applyAlignment="1">
      <alignment horizontal="left" vertical="center" wrapText="1"/>
    </xf>
    <xf numFmtId="0" fontId="0" fillId="0" borderId="31" xfId="0" applyBorder="1"/>
    <xf numFmtId="0" fontId="0" fillId="0" borderId="44" xfId="0" applyFont="1" applyBorder="1" applyAlignment="1">
      <alignment horizontal="center" vertical="center"/>
    </xf>
    <xf numFmtId="49" fontId="33" fillId="0" borderId="26" xfId="0" applyNumberFormat="1" applyFont="1" applyBorder="1" applyAlignment="1">
      <alignment horizontal="justify" vertical="center" wrapText="1"/>
    </xf>
    <xf numFmtId="0" fontId="35" fillId="0" borderId="31" xfId="0" applyFont="1" applyBorder="1" applyAlignment="1">
      <alignment horizontal="center" vertical="center"/>
    </xf>
    <xf numFmtId="0" fontId="35" fillId="0" borderId="28" xfId="0" applyFont="1" applyBorder="1" applyAlignment="1">
      <alignment horizontal="center" vertical="center"/>
    </xf>
    <xf numFmtId="0" fontId="35" fillId="0" borderId="33" xfId="0" applyFont="1" applyBorder="1" applyAlignment="1">
      <alignment horizontal="center" vertical="center" wrapText="1"/>
    </xf>
    <xf numFmtId="0" fontId="35" fillId="0" borderId="34" xfId="0" applyFont="1" applyBorder="1" applyAlignment="1">
      <alignment horizontal="center" vertical="center"/>
    </xf>
    <xf numFmtId="0" fontId="0" fillId="0" borderId="39" xfId="0" applyFont="1" applyBorder="1" applyAlignment="1">
      <alignment horizontal="left" vertical="center" wrapText="1"/>
    </xf>
    <xf numFmtId="0" fontId="0" fillId="0" borderId="54" xfId="0" applyFont="1" applyBorder="1" applyAlignment="1">
      <alignment horizontal="left" vertical="center"/>
    </xf>
    <xf numFmtId="0" fontId="0" fillId="0" borderId="58" xfId="0" applyBorder="1" applyAlignment="1">
      <alignment horizontal="left"/>
    </xf>
    <xf numFmtId="0" fontId="0" fillId="0" borderId="54" xfId="0" applyBorder="1" applyAlignment="1">
      <alignment horizontal="left"/>
    </xf>
    <xf numFmtId="0" fontId="33" fillId="0" borderId="31" xfId="0" applyFont="1" applyBorder="1" applyAlignment="1">
      <alignment horizontal="left"/>
    </xf>
    <xf numFmtId="0" fontId="0" fillId="0" borderId="18" xfId="0" applyFont="1" applyBorder="1" applyAlignment="1">
      <alignment horizontal="center"/>
    </xf>
    <xf numFmtId="3" fontId="30" fillId="0" borderId="20" xfId="0" applyNumberFormat="1" applyFont="1" applyBorder="1" applyAlignment="1">
      <alignment horizontal="center"/>
    </xf>
    <xf numFmtId="0" fontId="31" fillId="0" borderId="13" xfId="0" applyFont="1" applyBorder="1" applyAlignment="1">
      <alignment horizontal="center" vertical="center" wrapText="1"/>
    </xf>
    <xf numFmtId="0" fontId="32" fillId="0" borderId="28" xfId="0" applyFont="1" applyBorder="1"/>
    <xf numFmtId="0" fontId="33" fillId="0" borderId="29" xfId="0" applyFont="1" applyBorder="1" applyAlignment="1">
      <alignment horizontal="left" indent="1"/>
    </xf>
    <xf numFmtId="0" fontId="27" fillId="0" borderId="28" xfId="0" applyFont="1" applyBorder="1" applyAlignment="1">
      <alignment horizontal="left" vertical="center" wrapText="1"/>
    </xf>
    <xf numFmtId="0" fontId="34" fillId="0" borderId="30" xfId="0" applyFont="1" applyBorder="1" applyAlignment="1">
      <alignment horizontal="left"/>
    </xf>
    <xf numFmtId="0" fontId="0" fillId="0" borderId="53" xfId="0" applyFont="1" applyBorder="1" applyAlignment="1">
      <alignment horizontal="left" vertical="center" wrapText="1"/>
    </xf>
    <xf numFmtId="0" fontId="0" fillId="0" borderId="58" xfId="0" applyFont="1" applyBorder="1" applyAlignment="1">
      <alignment horizontal="left" vertical="center"/>
    </xf>
    <xf numFmtId="0" fontId="0" fillId="0" borderId="44" xfId="0" applyBorder="1" applyAlignment="1">
      <alignment horizontal="center"/>
    </xf>
    <xf numFmtId="0" fontId="0" fillId="0" borderId="59" xfId="0" applyFont="1" applyBorder="1" applyAlignment="1">
      <alignment vertical="center" wrapText="1"/>
    </xf>
    <xf numFmtId="0" fontId="0" fillId="0" borderId="53" xfId="0" applyFont="1" applyBorder="1" applyAlignment="1">
      <alignment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left" vertical="center" wrapText="1" indent="1"/>
    </xf>
    <xf numFmtId="0" fontId="23" fillId="0" borderId="10" xfId="0" applyFont="1" applyBorder="1" applyAlignment="1">
      <alignment horizontal="center" vertical="center"/>
    </xf>
    <xf numFmtId="0" fontId="0" fillId="0" borderId="60" xfId="0" applyBorder="1" applyAlignment="1">
      <alignment horizontal="left"/>
    </xf>
    <xf numFmtId="167" fontId="6" fillId="0" borderId="2" xfId="0" applyNumberFormat="1" applyFont="1" applyFill="1" applyBorder="1" applyAlignment="1">
      <alignment horizontal="center" vertical="center"/>
    </xf>
    <xf numFmtId="0" fontId="20" fillId="0" borderId="2" xfId="0" applyNumberFormat="1" applyFont="1" applyFill="1" applyBorder="1" applyAlignment="1">
      <alignment horizontal="center" vertical="center"/>
    </xf>
    <xf numFmtId="167" fontId="20" fillId="0" borderId="2" xfId="0" applyNumberFormat="1" applyFont="1" applyFill="1" applyBorder="1" applyAlignment="1">
      <alignment horizontal="center" vertical="center"/>
    </xf>
  </cellXfs>
  <cellStyles count="34">
    <cellStyle name="Encabezado 1" xfId="10" xr:uid="{00000000-0005-0000-0000-000000000000}"/>
    <cellStyle name="Encabezado 1 2" xfId="15" xr:uid="{00000000-0005-0000-0000-000001000000}"/>
    <cellStyle name="Millares 2" xfId="20" xr:uid="{00000000-0005-0000-0000-000002000000}"/>
    <cellStyle name="Millares 2 2" xfId="26" xr:uid="{00000000-0005-0000-0000-000003000000}"/>
    <cellStyle name="Moneda" xfId="1" builtinId="4"/>
    <cellStyle name="Moneda 2" xfId="3" xr:uid="{00000000-0005-0000-0000-000005000000}"/>
    <cellStyle name="Moneda 2 2" xfId="16" xr:uid="{00000000-0005-0000-0000-000006000000}"/>
    <cellStyle name="Moneda 3" xfId="14" xr:uid="{00000000-0005-0000-0000-000007000000}"/>
    <cellStyle name="Moneda 4" xfId="21" xr:uid="{00000000-0005-0000-0000-000008000000}"/>
    <cellStyle name="Moneda 5" xfId="9" xr:uid="{00000000-0005-0000-0000-000009000000}"/>
    <cellStyle name="Moneda_AUTORIZACION Y NOTA DE PEDIDO" xfId="33" xr:uid="{00000000-0005-0000-0000-00000A000000}"/>
    <cellStyle name="Neutral 1" xfId="11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2 3" xfId="32" xr:uid="{00000000-0005-0000-0000-00000F000000}"/>
    <cellStyle name="Normal 3" xfId="7" xr:uid="{00000000-0005-0000-0000-000010000000}"/>
    <cellStyle name="Normal 3 2" xfId="12" xr:uid="{00000000-0005-0000-0000-000011000000}"/>
    <cellStyle name="Normal 3 2 2" xfId="18" xr:uid="{00000000-0005-0000-0000-000012000000}"/>
    <cellStyle name="Normal 3 3" xfId="17" xr:uid="{00000000-0005-0000-0000-000013000000}"/>
    <cellStyle name="Normal 3 4" xfId="22" xr:uid="{00000000-0005-0000-0000-000014000000}"/>
    <cellStyle name="Normal 3 4 2" xfId="27" xr:uid="{00000000-0005-0000-0000-000015000000}"/>
    <cellStyle name="Normal 4" xfId="6" xr:uid="{00000000-0005-0000-0000-000016000000}"/>
    <cellStyle name="Normal 4 2" xfId="19" xr:uid="{00000000-0005-0000-0000-000017000000}"/>
    <cellStyle name="Normal 4 3" xfId="23" xr:uid="{00000000-0005-0000-0000-000018000000}"/>
    <cellStyle name="Normal 4 3 2" xfId="28" xr:uid="{00000000-0005-0000-0000-000019000000}"/>
    <cellStyle name="Normal 5" xfId="4" xr:uid="{00000000-0005-0000-0000-00001A000000}"/>
    <cellStyle name="Normal 5 2" xfId="25" xr:uid="{00000000-0005-0000-0000-00001B000000}"/>
    <cellStyle name="Normal 6" xfId="13" xr:uid="{00000000-0005-0000-0000-00001C000000}"/>
    <cellStyle name="Normal 7" xfId="24" xr:uid="{00000000-0005-0000-0000-00001D000000}"/>
    <cellStyle name="Normal 8" xfId="8" xr:uid="{00000000-0005-0000-0000-00001E000000}"/>
    <cellStyle name="Normal 8 2" xfId="29" xr:uid="{00000000-0005-0000-0000-00001F000000}"/>
    <cellStyle name="Normal 8 3" xfId="30" xr:uid="{00000000-0005-0000-0000-000020000000}"/>
    <cellStyle name="Normal 8 4" xfId="31" xr:uid="{00000000-0005-0000-0000-000021000000}"/>
  </cellStyles>
  <dxfs count="184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124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124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124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7124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915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6915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915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6915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8429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8429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8429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8429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00297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00297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>
          <a:off x="100297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>
          <a:off x="100297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/>
      </xdr:nvSpPr>
      <xdr:spPr>
        <a:xfrm>
          <a:off x="9572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/>
      </xdr:nvSpPr>
      <xdr:spPr>
        <a:xfrm>
          <a:off x="9572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/>
      </xdr:nvSpPr>
      <xdr:spPr>
        <a:xfrm>
          <a:off x="9572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/>
      </xdr:nvSpPr>
      <xdr:spPr>
        <a:xfrm>
          <a:off x="9572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8820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8820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/>
      </xdr:nvSpPr>
      <xdr:spPr>
        <a:xfrm>
          <a:off x="8820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/>
      </xdr:nvSpPr>
      <xdr:spPr>
        <a:xfrm>
          <a:off x="8820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SpPr/>
      </xdr:nvSpPr>
      <xdr:spPr>
        <a:xfrm>
          <a:off x="96677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SpPr/>
      </xdr:nvSpPr>
      <xdr:spPr>
        <a:xfrm>
          <a:off x="96677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SpPr/>
      </xdr:nvSpPr>
      <xdr:spPr>
        <a:xfrm>
          <a:off x="96677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SpPr/>
      </xdr:nvSpPr>
      <xdr:spPr>
        <a:xfrm>
          <a:off x="96677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/>
      </xdr:nvSpPr>
      <xdr:spPr>
        <a:xfrm>
          <a:off x="9629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/>
      </xdr:nvSpPr>
      <xdr:spPr>
        <a:xfrm>
          <a:off x="9629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SpPr/>
      </xdr:nvSpPr>
      <xdr:spPr>
        <a:xfrm>
          <a:off x="9629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SpPr/>
      </xdr:nvSpPr>
      <xdr:spPr>
        <a:xfrm>
          <a:off x="9629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/>
      </xdr:nvSpPr>
      <xdr:spPr>
        <a:xfrm>
          <a:off x="90200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/>
      </xdr:nvSpPr>
      <xdr:spPr>
        <a:xfrm>
          <a:off x="90200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/>
      </xdr:nvSpPr>
      <xdr:spPr>
        <a:xfrm>
          <a:off x="90200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/>
      </xdr:nvSpPr>
      <xdr:spPr>
        <a:xfrm>
          <a:off x="90200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AJO/2022/NECESIDADES%20TRIMESTRALES/3&#176;%20TRIMESTRE/AGUA/3ER%20TRIMESTRE%202022%20-%20RUBRO%20ALIMENTOS%20(BIDONES%20DE%20AGUA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scacha88\MAJO\2022\NECESIDADES%20TRIMESTRALES\3&#176;%20TRIMESTRE\AGUA\3ER%20TRIMESTRE%202022%20-%20RUBRO%20ALIMENTOS%20(BIDONES%20DE%20AGUA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F 011"/>
      <sheetName val="NP SMPyPS"/>
      <sheetName val="APG SMPyPS"/>
      <sheetName val="NP Lab."/>
      <sheetName val="APG Lab."/>
      <sheetName val="NP DPBS"/>
      <sheetName val="APG DPBS"/>
      <sheetName val="NP DPMIA"/>
      <sheetName val="APG DPMIA"/>
      <sheetName val="NP SASP"/>
      <sheetName val="APG SASP"/>
      <sheetName val="NP DCVyZ"/>
      <sheetName val="APG DCVyZ"/>
      <sheetName val="NP DPAIPD"/>
      <sheetName val="APG DPAIPD"/>
      <sheetName val="NP SPyGS"/>
      <sheetName val="APG SPyGS"/>
      <sheetName val="NP SSMyA"/>
      <sheetName val="APG SSMyA"/>
      <sheetName val="NP DPE"/>
      <sheetName val="APG DPE"/>
      <sheetName val="NP MS"/>
      <sheetName val="APG MS"/>
      <sheetName val="NP SUMAR"/>
      <sheetName val="APG SUMAR"/>
    </sheetNames>
    <sheetDataSet>
      <sheetData sheetId="0">
        <row r="4">
          <cell r="C4" t="str">
            <v>040 - MINISTERIO DE SALUD</v>
          </cell>
        </row>
        <row r="5">
          <cell r="C5" t="str">
            <v>011 - DIRECCION PROVINCIAL DE ADMINISTRACION - MINISTERIO DE SALUD</v>
          </cell>
        </row>
      </sheetData>
      <sheetData sheetId="1">
        <row r="3">
          <cell r="D3" t="str">
            <v>040 - MINISTERIO DE SALUD</v>
          </cell>
        </row>
      </sheetData>
      <sheetData sheetId="2"/>
      <sheetData sheetId="3"/>
      <sheetData sheetId="4"/>
      <sheetData sheetId="5">
        <row r="3">
          <cell r="D3" t="str">
            <v>040 - MINISTERIO DE SALUD</v>
          </cell>
        </row>
        <row r="4">
          <cell r="D4" t="str">
            <v>011 - DIRECCION PROVINCIAL DE ADMINISTRACION - MINISTERIO DE SALUD</v>
          </cell>
        </row>
        <row r="5">
          <cell r="D5" t="str">
            <v>747 - DIRECCION PROVINCIAL BANCO DE SANGRE</v>
          </cell>
        </row>
        <row r="6">
          <cell r="D6" t="str">
            <v>747 - DIRECCION PROVINCIAL BANCO DE SANGRE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F 011"/>
      <sheetName val="NP SMPyPS"/>
      <sheetName val="APG SMPyPS"/>
      <sheetName val="NP Lab."/>
      <sheetName val="APG Lab."/>
      <sheetName val="NP DPBS"/>
      <sheetName val="APG DPBS"/>
      <sheetName val="NP DPMIA"/>
      <sheetName val="APG DPMIA"/>
      <sheetName val="NP SASP"/>
      <sheetName val="APG SASP"/>
      <sheetName val="NP DCVyZ"/>
      <sheetName val="APG DCVyZ"/>
      <sheetName val="NP DPAIPD"/>
      <sheetName val="APG DPAIPD"/>
      <sheetName val="NP SPyGS"/>
      <sheetName val="APG SPyGS"/>
      <sheetName val="NP SSMyA"/>
      <sheetName val="APG SSMyA"/>
      <sheetName val="NP DPE"/>
      <sheetName val="APG DPE"/>
      <sheetName val="NP MS"/>
      <sheetName val="APG MS"/>
      <sheetName val="NP SUMAR"/>
      <sheetName val="APG SUMAR"/>
    </sheetNames>
    <sheetDataSet>
      <sheetData sheetId="0" refreshError="1">
        <row r="4">
          <cell r="C4" t="str">
            <v>040 - MINISTERIO DE SALUD</v>
          </cell>
        </row>
        <row r="5">
          <cell r="C5" t="str">
            <v>011 - DIRECCION PROVINCIAL DE ADMINISTRACION - MINISTERIO DE SALUD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65"/>
  <sheetViews>
    <sheetView tabSelected="1" topLeftCell="A5" zoomScaleNormal="100" workbookViewId="0">
      <pane xSplit="1" topLeftCell="B1" activePane="topRight" state="frozen"/>
      <selection activeCell="C51" sqref="C51"/>
      <selection pane="topRight" activeCell="AS16" sqref="AS16"/>
    </sheetView>
  </sheetViews>
  <sheetFormatPr baseColWidth="10" defaultRowHeight="15" x14ac:dyDescent="0.25"/>
  <cols>
    <col min="1" max="1" width="5.42578125" style="27" bestFit="1" customWidth="1"/>
    <col min="2" max="2" width="16.140625" style="27" customWidth="1"/>
    <col min="3" max="3" width="37" style="27" customWidth="1"/>
    <col min="4" max="4" width="9.7109375" style="27" customWidth="1"/>
    <col min="5" max="5" width="99.85546875" style="28" customWidth="1"/>
    <col min="6" max="6" width="22.7109375" style="27" customWidth="1"/>
    <col min="7" max="7" width="17.140625" style="27" customWidth="1"/>
    <col min="8" max="8" width="12.42578125" style="27" customWidth="1"/>
    <col min="9" max="9" width="15" style="27" customWidth="1"/>
    <col min="10" max="10" width="14.5703125" style="40" customWidth="1"/>
    <col min="11" max="11" width="12.42578125" style="27" customWidth="1"/>
    <col min="12" max="12" width="18.85546875" style="27" customWidth="1"/>
    <col min="13" max="13" width="12.42578125" style="27" customWidth="1"/>
    <col min="14" max="14" width="14.140625" style="27" customWidth="1"/>
    <col min="15" max="15" width="11.7109375" style="27" customWidth="1"/>
    <col min="16" max="16" width="16.42578125" style="27" customWidth="1"/>
    <col min="17" max="18" width="11.7109375" style="27" customWidth="1"/>
    <col min="19" max="19" width="11.7109375" style="29" customWidth="1"/>
    <col min="20" max="20" width="20.42578125" style="40" customWidth="1"/>
    <col min="21" max="23" width="11.7109375" style="27" customWidth="1"/>
    <col min="24" max="24" width="21.28515625" style="40" customWidth="1"/>
    <col min="25" max="27" width="11.7109375" style="27" customWidth="1"/>
    <col min="28" max="28" width="16.85546875" style="40" customWidth="1"/>
    <col min="29" max="29" width="11.7109375" style="27" customWidth="1"/>
    <col min="30" max="30" width="15.85546875" style="27" customWidth="1"/>
    <col min="31" max="31" width="11.7109375" style="27" customWidth="1"/>
    <col min="32" max="32" width="17.7109375" style="40" customWidth="1"/>
    <col min="33" max="34" width="11.7109375" style="27" customWidth="1"/>
    <col min="35" max="35" width="15.85546875" style="27" customWidth="1"/>
    <col min="36" max="36" width="15.85546875" style="40" customWidth="1"/>
    <col min="37" max="37" width="11.7109375" style="27" customWidth="1"/>
    <col min="38" max="38" width="16.42578125" style="27" customWidth="1"/>
    <col min="39" max="39" width="11.7109375" style="27" customWidth="1"/>
    <col min="40" max="40" width="16" style="40" customWidth="1"/>
    <col min="41" max="41" width="11.7109375" style="27" customWidth="1"/>
    <col min="42" max="42" width="14.42578125" style="27" customWidth="1"/>
    <col min="43" max="43" width="11.7109375" style="27" customWidth="1"/>
    <col min="44" max="44" width="11.7109375" style="40" customWidth="1"/>
    <col min="45" max="45" width="15.7109375" style="35" customWidth="1"/>
    <col min="46" max="46" width="15.7109375" style="40" customWidth="1"/>
    <col min="47" max="47" width="11.7109375" style="35" customWidth="1"/>
    <col min="48" max="48" width="15.28515625" style="40" customWidth="1"/>
    <col min="49" max="49" width="10" style="35" customWidth="1"/>
    <col min="50" max="50" width="13.140625" style="38" customWidth="1"/>
    <col min="51" max="52" width="11.7109375" style="38" customWidth="1"/>
    <col min="53" max="53" width="13.85546875" style="29" customWidth="1"/>
    <col min="54" max="54" width="13.85546875" style="40" customWidth="1"/>
    <col min="55" max="55" width="21" style="30" bestFit="1" customWidth="1"/>
    <col min="56" max="56" width="62" customWidth="1"/>
  </cols>
  <sheetData>
    <row r="1" spans="1:57" ht="14.45" x14ac:dyDescent="0.3">
      <c r="A1" s="1">
        <v>2022</v>
      </c>
      <c r="B1" s="2"/>
      <c r="C1" s="3"/>
      <c r="D1" s="3"/>
      <c r="E1" s="4"/>
      <c r="F1" s="3"/>
      <c r="G1" s="3"/>
      <c r="H1" s="3"/>
      <c r="I1" s="3"/>
      <c r="J1" s="9"/>
      <c r="K1" s="3"/>
      <c r="L1" s="3"/>
      <c r="M1" s="5"/>
      <c r="N1" s="6"/>
      <c r="O1" s="7"/>
      <c r="P1" s="3"/>
      <c r="Q1" s="5"/>
      <c r="R1" s="3"/>
      <c r="S1" s="7"/>
      <c r="T1" s="9"/>
      <c r="U1" s="5"/>
      <c r="V1" s="3"/>
      <c r="W1" s="7"/>
      <c r="X1" s="9"/>
      <c r="Y1" s="7"/>
      <c r="Z1" s="3"/>
      <c r="AA1" s="7"/>
      <c r="AB1" s="9"/>
      <c r="AC1" s="7"/>
      <c r="AD1" s="3"/>
      <c r="AE1" s="7"/>
      <c r="AF1" s="9"/>
      <c r="AG1" s="7"/>
      <c r="AH1" s="3"/>
      <c r="AI1" s="7"/>
      <c r="AJ1" s="9"/>
      <c r="AK1" s="7"/>
      <c r="AL1" s="3"/>
      <c r="AM1" s="7"/>
      <c r="AN1" s="9"/>
      <c r="AO1" s="7"/>
      <c r="AP1" s="3"/>
      <c r="AQ1" s="7"/>
      <c r="AR1" s="9"/>
      <c r="AS1" s="37"/>
      <c r="AT1" s="9"/>
      <c r="AU1" s="37"/>
      <c r="AV1" s="9"/>
      <c r="AW1" s="37"/>
      <c r="AX1" s="3"/>
      <c r="AY1" s="3"/>
      <c r="AZ1" s="3"/>
      <c r="BA1" s="7"/>
      <c r="BB1" s="8"/>
      <c r="BC1" s="9"/>
    </row>
    <row r="2" spans="1:57" s="44" customFormat="1" ht="18" x14ac:dyDescent="0.35">
      <c r="A2" s="42"/>
      <c r="B2" s="237" t="s">
        <v>0</v>
      </c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7"/>
      <c r="AC2" s="237"/>
      <c r="AD2" s="237"/>
      <c r="AE2" s="237"/>
      <c r="AF2" s="237"/>
      <c r="AG2" s="237"/>
      <c r="AH2" s="237"/>
      <c r="AI2" s="237"/>
      <c r="AJ2" s="237"/>
      <c r="AK2" s="237"/>
      <c r="AL2" s="237"/>
      <c r="AM2" s="237"/>
      <c r="AN2" s="237"/>
      <c r="AO2" s="237"/>
      <c r="AP2" s="237"/>
      <c r="AQ2" s="237"/>
      <c r="AR2" s="237"/>
      <c r="AS2" s="237"/>
      <c r="AT2" s="237"/>
      <c r="AU2" s="237"/>
      <c r="AV2" s="237"/>
      <c r="AW2" s="237"/>
      <c r="AX2" s="237"/>
      <c r="AY2" s="237"/>
      <c r="AZ2" s="237"/>
      <c r="BA2" s="237"/>
      <c r="BB2" s="237"/>
      <c r="BC2" s="43"/>
    </row>
    <row r="3" spans="1:57" ht="14.45" x14ac:dyDescent="0.3">
      <c r="A3" s="3"/>
      <c r="B3" s="2"/>
      <c r="C3" s="3"/>
      <c r="D3" s="3"/>
      <c r="E3" s="4"/>
      <c r="F3" s="3"/>
      <c r="G3" s="3"/>
      <c r="H3" s="3"/>
      <c r="I3" s="3"/>
      <c r="J3" s="9"/>
      <c r="K3" s="3"/>
      <c r="L3" s="3"/>
      <c r="M3" s="5"/>
      <c r="N3" s="6"/>
      <c r="O3" s="7"/>
      <c r="P3" s="3"/>
      <c r="Q3" s="5"/>
      <c r="R3" s="3"/>
      <c r="S3" s="7"/>
      <c r="T3" s="9"/>
      <c r="U3" s="5"/>
      <c r="V3" s="3"/>
      <c r="W3" s="7"/>
      <c r="X3" s="9"/>
      <c r="Y3" s="7"/>
      <c r="Z3" s="3"/>
      <c r="AA3" s="7"/>
      <c r="AB3" s="9"/>
      <c r="AC3" s="7"/>
      <c r="AD3" s="3"/>
      <c r="AE3" s="7"/>
      <c r="AF3" s="9"/>
      <c r="AG3" s="7"/>
      <c r="AH3" s="3"/>
      <c r="AI3" s="7"/>
      <c r="AJ3" s="9"/>
      <c r="AK3" s="7"/>
      <c r="AL3" s="3"/>
      <c r="AM3" s="7"/>
      <c r="AN3" s="9"/>
      <c r="AO3" s="7"/>
      <c r="AP3" s="3"/>
      <c r="AQ3" s="7"/>
      <c r="AR3" s="9"/>
      <c r="AS3" s="37"/>
      <c r="AT3" s="9"/>
      <c r="AU3" s="37"/>
      <c r="AV3" s="9"/>
      <c r="AW3" s="37"/>
      <c r="AX3" s="3"/>
      <c r="AY3" s="3"/>
      <c r="AZ3" s="3"/>
      <c r="BA3" s="7"/>
      <c r="BB3" s="8"/>
      <c r="BC3" s="9"/>
    </row>
    <row r="4" spans="1:57" ht="14.45" x14ac:dyDescent="0.3">
      <c r="A4" s="236" t="s">
        <v>1</v>
      </c>
      <c r="B4" s="236"/>
      <c r="C4" s="238" t="s">
        <v>2</v>
      </c>
      <c r="D4" s="238"/>
      <c r="E4" s="238"/>
      <c r="F4" s="10"/>
      <c r="G4" s="10"/>
      <c r="H4" s="10"/>
      <c r="I4" s="10"/>
      <c r="J4" s="39"/>
      <c r="K4" s="10"/>
      <c r="L4" s="10"/>
      <c r="M4" s="11"/>
      <c r="N4" s="12"/>
      <c r="O4" s="13"/>
      <c r="P4" s="10"/>
      <c r="Q4" s="11"/>
      <c r="R4" s="10"/>
      <c r="S4" s="13"/>
      <c r="T4" s="39"/>
      <c r="U4" s="11"/>
      <c r="V4" s="10"/>
      <c r="W4" s="13"/>
      <c r="X4" s="39"/>
      <c r="Y4" s="13"/>
      <c r="Z4" s="10"/>
      <c r="AA4" s="13"/>
      <c r="AB4" s="39"/>
      <c r="AC4" s="13"/>
      <c r="AD4" s="10"/>
      <c r="AE4" s="13"/>
      <c r="AF4" s="39"/>
      <c r="AG4" s="13"/>
      <c r="AH4" s="10"/>
      <c r="AI4" s="13"/>
      <c r="AJ4" s="39"/>
      <c r="AK4" s="13"/>
      <c r="AL4" s="10"/>
      <c r="AM4" s="13"/>
      <c r="AN4" s="39"/>
      <c r="AO4" s="13"/>
      <c r="AP4" s="10"/>
      <c r="AQ4" s="13"/>
      <c r="AR4" s="39"/>
      <c r="AS4" s="34"/>
      <c r="AT4" s="39"/>
      <c r="AU4" s="34"/>
      <c r="AV4" s="39"/>
      <c r="AW4" s="34"/>
      <c r="AX4" s="10"/>
      <c r="AY4" s="10"/>
      <c r="AZ4" s="10"/>
      <c r="BA4" s="13"/>
      <c r="BB4" s="8"/>
      <c r="BC4" s="9"/>
    </row>
    <row r="5" spans="1:57" x14ac:dyDescent="0.25">
      <c r="A5" s="236" t="s">
        <v>3</v>
      </c>
      <c r="B5" s="236"/>
      <c r="C5" s="239" t="s">
        <v>4</v>
      </c>
      <c r="D5" s="239"/>
      <c r="E5" s="239"/>
      <c r="F5" s="10"/>
      <c r="G5" s="10"/>
      <c r="H5" s="10"/>
      <c r="I5" s="10"/>
      <c r="J5" s="39"/>
      <c r="K5" s="10"/>
      <c r="L5" s="10"/>
      <c r="M5" s="11"/>
      <c r="N5" s="12"/>
      <c r="O5" s="13"/>
      <c r="P5" s="10"/>
      <c r="Q5" s="11"/>
      <c r="R5" s="10"/>
      <c r="S5" s="13"/>
      <c r="T5" s="39"/>
      <c r="U5" s="11"/>
      <c r="V5" s="10"/>
      <c r="W5" s="13"/>
      <c r="X5" s="39"/>
      <c r="Y5" s="13"/>
      <c r="Z5" s="10"/>
      <c r="AA5" s="13"/>
      <c r="AB5" s="39"/>
      <c r="AC5" s="13"/>
      <c r="AD5" s="10"/>
      <c r="AE5" s="13"/>
      <c r="AF5" s="39"/>
      <c r="AG5" s="13"/>
      <c r="AH5" s="10"/>
      <c r="AI5" s="13"/>
      <c r="AJ5" s="39"/>
      <c r="AK5" s="13"/>
      <c r="AL5" s="10"/>
      <c r="AM5" s="13"/>
      <c r="AN5" s="39"/>
      <c r="AO5" s="13"/>
      <c r="AP5" s="10"/>
      <c r="AQ5" s="13"/>
      <c r="AR5" s="39"/>
      <c r="AS5" s="34"/>
      <c r="AT5" s="39"/>
      <c r="AU5" s="34"/>
      <c r="AV5" s="39"/>
      <c r="AW5" s="34"/>
      <c r="AX5" s="10"/>
      <c r="AY5" s="10"/>
      <c r="AZ5" s="10"/>
      <c r="BA5" s="13"/>
      <c r="BB5" s="8"/>
      <c r="BC5" s="9"/>
    </row>
    <row r="6" spans="1:57" ht="14.45" x14ac:dyDescent="0.3">
      <c r="A6" s="236" t="s">
        <v>5</v>
      </c>
      <c r="B6" s="236"/>
      <c r="C6" s="14">
        <v>2022</v>
      </c>
      <c r="D6" s="15"/>
      <c r="E6" s="14"/>
      <c r="F6" s="10"/>
      <c r="G6" s="10"/>
      <c r="H6" s="10"/>
      <c r="I6" s="10"/>
      <c r="J6" s="39"/>
      <c r="K6" s="10"/>
      <c r="L6" s="10"/>
      <c r="M6" s="11"/>
      <c r="N6" s="12"/>
      <c r="O6" s="13"/>
      <c r="P6" s="10"/>
      <c r="Q6" s="11"/>
      <c r="R6" s="10"/>
      <c r="S6" s="13"/>
      <c r="T6" s="39"/>
      <c r="U6" s="11"/>
      <c r="V6" s="10"/>
      <c r="W6" s="13"/>
      <c r="X6" s="39"/>
      <c r="Y6" s="13"/>
      <c r="Z6" s="10"/>
      <c r="AA6" s="13"/>
      <c r="AB6" s="39"/>
      <c r="AC6" s="13"/>
      <c r="AD6" s="10"/>
      <c r="AE6" s="13"/>
      <c r="AF6" s="39"/>
      <c r="AG6" s="13"/>
      <c r="AH6" s="10"/>
      <c r="AI6" s="13"/>
      <c r="AJ6" s="39"/>
      <c r="AK6" s="13"/>
      <c r="AL6" s="10"/>
      <c r="AM6" s="13"/>
      <c r="AN6" s="39"/>
      <c r="AO6" s="13"/>
      <c r="AP6" s="10"/>
      <c r="AQ6" s="13"/>
      <c r="AR6" s="39"/>
      <c r="AS6" s="34"/>
      <c r="AT6" s="39"/>
      <c r="AU6" s="34"/>
      <c r="AV6" s="39"/>
      <c r="AW6" s="34"/>
      <c r="AX6" s="10"/>
      <c r="AY6" s="10"/>
      <c r="AZ6" s="10"/>
      <c r="BA6" s="13"/>
      <c r="BB6" s="8"/>
      <c r="BC6" s="9"/>
    </row>
    <row r="7" spans="1:57" ht="14.45" x14ac:dyDescent="0.3">
      <c r="A7" s="236" t="s">
        <v>6</v>
      </c>
      <c r="B7" s="236"/>
      <c r="C7" s="14" t="s">
        <v>161</v>
      </c>
      <c r="D7" s="15"/>
      <c r="E7" s="14"/>
      <c r="F7" s="10"/>
      <c r="G7" s="10"/>
      <c r="H7" s="10"/>
      <c r="I7" s="10"/>
      <c r="J7" s="39"/>
      <c r="K7" s="10"/>
      <c r="L7" s="10"/>
      <c r="M7" s="11"/>
      <c r="N7" s="12"/>
      <c r="O7" s="13"/>
      <c r="P7" s="10"/>
      <c r="Q7" s="11"/>
      <c r="R7" s="10"/>
      <c r="S7" s="13"/>
      <c r="T7" s="39"/>
      <c r="U7" s="11"/>
      <c r="V7" s="10"/>
      <c r="W7" s="13"/>
      <c r="X7" s="39"/>
      <c r="Y7" s="13"/>
      <c r="Z7" s="10"/>
      <c r="AA7" s="13"/>
      <c r="AB7" s="39"/>
      <c r="AC7" s="13"/>
      <c r="AD7" s="10"/>
      <c r="AE7" s="13"/>
      <c r="AF7" s="39"/>
      <c r="AG7" s="13"/>
      <c r="AH7" s="10"/>
      <c r="AI7" s="13"/>
      <c r="AJ7" s="39"/>
      <c r="AK7" s="13"/>
      <c r="AL7" s="10"/>
      <c r="AM7" s="13"/>
      <c r="AN7" s="39"/>
      <c r="AO7" s="13"/>
      <c r="AP7" s="10"/>
      <c r="AQ7" s="13"/>
      <c r="AR7" s="39"/>
      <c r="AS7" s="34"/>
      <c r="AT7" s="39"/>
      <c r="AU7" s="34"/>
      <c r="AV7" s="39"/>
      <c r="AW7" s="34"/>
      <c r="AX7" s="10"/>
      <c r="AY7" s="10"/>
      <c r="AZ7" s="10"/>
      <c r="BA7" s="13"/>
      <c r="BB7" s="8"/>
      <c r="BC7" s="9"/>
    </row>
    <row r="8" spans="1:57" x14ac:dyDescent="0.25">
      <c r="A8" s="3"/>
      <c r="B8" s="10"/>
      <c r="C8" s="10"/>
      <c r="D8" s="10"/>
      <c r="E8" s="16"/>
      <c r="F8" s="10"/>
      <c r="G8" s="10"/>
      <c r="H8" s="10"/>
      <c r="I8" s="10"/>
      <c r="J8" s="39"/>
      <c r="K8" s="10"/>
      <c r="L8" s="10"/>
      <c r="M8" s="11"/>
      <c r="N8" s="12"/>
      <c r="O8" s="13"/>
      <c r="P8" s="10"/>
      <c r="Q8" s="11"/>
      <c r="R8" s="10"/>
      <c r="S8" s="13"/>
      <c r="T8" s="39"/>
      <c r="U8" s="11"/>
      <c r="V8" s="10"/>
      <c r="W8" s="13"/>
      <c r="X8" s="39"/>
      <c r="Y8" s="13"/>
      <c r="Z8" s="10"/>
      <c r="AA8" s="13"/>
      <c r="AB8" s="39"/>
      <c r="AC8" s="13"/>
      <c r="AD8" s="10"/>
      <c r="AE8" s="13"/>
      <c r="AF8" s="39"/>
      <c r="AG8" s="13"/>
      <c r="AH8" s="10"/>
      <c r="AI8" s="13"/>
      <c r="AJ8" s="39"/>
      <c r="AK8" s="13"/>
      <c r="AL8" s="10"/>
      <c r="AM8" s="13"/>
      <c r="AN8" s="39"/>
      <c r="AO8" s="13"/>
      <c r="AP8" s="10"/>
      <c r="AQ8" s="13"/>
      <c r="AR8" s="39"/>
      <c r="AS8" s="34"/>
      <c r="AT8" s="39"/>
      <c r="AU8" s="34"/>
      <c r="AV8" s="39"/>
      <c r="AW8" s="34"/>
      <c r="AX8" s="10"/>
      <c r="AY8" s="10"/>
      <c r="AZ8" s="10"/>
      <c r="BA8" s="13"/>
      <c r="BB8" s="8"/>
      <c r="BC8" s="9"/>
    </row>
    <row r="9" spans="1:57" ht="50.25" customHeight="1" x14ac:dyDescent="0.25">
      <c r="A9" s="17" t="s">
        <v>7</v>
      </c>
      <c r="B9" s="17" t="s">
        <v>8</v>
      </c>
      <c r="C9" s="18" t="s">
        <v>9</v>
      </c>
      <c r="D9" s="17" t="s">
        <v>10</v>
      </c>
      <c r="E9" s="19" t="s">
        <v>11</v>
      </c>
      <c r="F9" s="18" t="s">
        <v>12</v>
      </c>
      <c r="G9" s="18" t="s">
        <v>13</v>
      </c>
      <c r="H9" s="18" t="s">
        <v>14</v>
      </c>
      <c r="I9" s="69" t="s">
        <v>15</v>
      </c>
      <c r="J9" s="24" t="s">
        <v>16</v>
      </c>
      <c r="K9" s="18" t="s">
        <v>17</v>
      </c>
      <c r="L9" s="18" t="s">
        <v>18</v>
      </c>
      <c r="M9" s="20" t="s">
        <v>19</v>
      </c>
      <c r="N9" s="21" t="s">
        <v>20</v>
      </c>
      <c r="O9" s="22" t="s">
        <v>21</v>
      </c>
      <c r="P9" s="18" t="s">
        <v>22</v>
      </c>
      <c r="Q9" s="20" t="s">
        <v>23</v>
      </c>
      <c r="R9" s="18" t="s">
        <v>24</v>
      </c>
      <c r="S9" s="22" t="s">
        <v>25</v>
      </c>
      <c r="T9" s="24" t="s">
        <v>26</v>
      </c>
      <c r="U9" s="20" t="s">
        <v>27</v>
      </c>
      <c r="V9" s="18" t="s">
        <v>28</v>
      </c>
      <c r="W9" s="22" t="s">
        <v>29</v>
      </c>
      <c r="X9" s="24" t="s">
        <v>101</v>
      </c>
      <c r="Y9" s="22" t="s">
        <v>157</v>
      </c>
      <c r="Z9" s="18" t="s">
        <v>158</v>
      </c>
      <c r="AA9" s="22" t="s">
        <v>30</v>
      </c>
      <c r="AB9" s="24" t="s">
        <v>31</v>
      </c>
      <c r="AC9" s="23" t="s">
        <v>32</v>
      </c>
      <c r="AD9" s="18" t="s">
        <v>33</v>
      </c>
      <c r="AE9" s="22" t="s">
        <v>34</v>
      </c>
      <c r="AF9" s="24" t="s">
        <v>35</v>
      </c>
      <c r="AG9" s="22" t="s">
        <v>36</v>
      </c>
      <c r="AH9" s="18" t="s">
        <v>37</v>
      </c>
      <c r="AI9" s="22" t="s">
        <v>109</v>
      </c>
      <c r="AJ9" s="24" t="s">
        <v>110</v>
      </c>
      <c r="AK9" s="22" t="s">
        <v>113</v>
      </c>
      <c r="AL9" s="18" t="s">
        <v>114</v>
      </c>
      <c r="AM9" s="23" t="s">
        <v>38</v>
      </c>
      <c r="AN9" s="24" t="s">
        <v>39</v>
      </c>
      <c r="AO9" s="23" t="s">
        <v>40</v>
      </c>
      <c r="AP9" s="18" t="s">
        <v>41</v>
      </c>
      <c r="AQ9" s="22" t="s">
        <v>42</v>
      </c>
      <c r="AR9" s="24" t="s">
        <v>43</v>
      </c>
      <c r="AS9" s="36" t="s">
        <v>102</v>
      </c>
      <c r="AT9" s="24" t="s">
        <v>103</v>
      </c>
      <c r="AU9" s="36" t="s">
        <v>107</v>
      </c>
      <c r="AV9" s="24" t="s">
        <v>108</v>
      </c>
      <c r="AW9" s="36" t="s">
        <v>111</v>
      </c>
      <c r="AX9" s="18" t="s">
        <v>112</v>
      </c>
      <c r="AY9" s="45" t="s">
        <v>160</v>
      </c>
      <c r="AZ9" s="45" t="s">
        <v>159</v>
      </c>
      <c r="BA9" s="24" t="s">
        <v>252</v>
      </c>
      <c r="BB9" s="24" t="s">
        <v>253</v>
      </c>
      <c r="BC9" s="24" t="s">
        <v>44</v>
      </c>
      <c r="BD9" s="25" t="s">
        <v>45</v>
      </c>
      <c r="BE9" s="32"/>
    </row>
    <row r="10" spans="1:57" s="68" customFormat="1" ht="12.75" x14ac:dyDescent="0.2">
      <c r="A10" s="122">
        <v>1</v>
      </c>
      <c r="B10" s="118" t="s">
        <v>50</v>
      </c>
      <c r="C10" s="122" t="s">
        <v>48</v>
      </c>
      <c r="D10" s="123" t="s">
        <v>51</v>
      </c>
      <c r="E10" s="119" t="s">
        <v>52</v>
      </c>
      <c r="F10" s="123" t="s">
        <v>49</v>
      </c>
      <c r="G10" s="124"/>
      <c r="H10" s="124"/>
      <c r="I10" s="124"/>
      <c r="J10" s="125"/>
      <c r="K10" s="126"/>
      <c r="L10" s="58">
        <f>+K10*BB10</f>
        <v>0</v>
      </c>
      <c r="M10" s="121">
        <v>10</v>
      </c>
      <c r="N10" s="127">
        <f>+M10*BB10</f>
        <v>12000</v>
      </c>
      <c r="O10" s="128">
        <v>3</v>
      </c>
      <c r="P10" s="129">
        <f t="shared" ref="P10:P52" si="0">+O10*BB10</f>
        <v>3600</v>
      </c>
      <c r="Q10" s="130"/>
      <c r="R10" s="129"/>
      <c r="S10" s="128"/>
      <c r="T10" s="78">
        <f>S10*BB10</f>
        <v>0</v>
      </c>
      <c r="U10" s="130"/>
      <c r="V10" s="129"/>
      <c r="W10" s="128"/>
      <c r="X10" s="78">
        <f t="shared" ref="X10:X52" si="1">+W10*BB10</f>
        <v>0</v>
      </c>
      <c r="Y10" s="128"/>
      <c r="Z10" s="129"/>
      <c r="AA10" s="128"/>
      <c r="AB10" s="78"/>
      <c r="AC10" s="128"/>
      <c r="AD10" s="129">
        <f t="shared" ref="AD10:AD52" si="2">+AC10*BB10</f>
        <v>0</v>
      </c>
      <c r="AE10" s="128"/>
      <c r="AF10" s="78"/>
      <c r="AG10" s="63"/>
      <c r="AH10" s="129">
        <f t="shared" ref="AH10:AH33" si="3">+AG10*BB10</f>
        <v>0</v>
      </c>
      <c r="AI10" s="128"/>
      <c r="AJ10" s="78">
        <f t="shared" ref="AJ10:AJ52" si="4">+AI10*BB10</f>
        <v>0</v>
      </c>
      <c r="AK10" s="128"/>
      <c r="AL10" s="129">
        <f t="shared" ref="AL10:AL52" si="5">+AK10*BB10</f>
        <v>0</v>
      </c>
      <c r="AM10" s="128"/>
      <c r="AN10" s="78">
        <f t="shared" ref="AN10:AN52" si="6">+AM10*BB10</f>
        <v>0</v>
      </c>
      <c r="AO10" s="128"/>
      <c r="AP10" s="129"/>
      <c r="AQ10" s="128"/>
      <c r="AR10" s="283"/>
      <c r="AS10" s="284"/>
      <c r="AT10" s="285"/>
      <c r="AU10" s="131">
        <v>8</v>
      </c>
      <c r="AV10" s="78">
        <f t="shared" ref="AV10:AV52" si="7">+AU10*BB10</f>
        <v>9600</v>
      </c>
      <c r="AW10" s="131"/>
      <c r="AX10" s="129">
        <f>AW10*BB10</f>
        <v>0</v>
      </c>
      <c r="AY10" s="129"/>
      <c r="AZ10" s="129"/>
      <c r="BA10" s="79">
        <f>+M10+O10+S10+W10+AC10+AI10+AK10+AM10+AS10+AU10+AW10</f>
        <v>21</v>
      </c>
      <c r="BB10" s="116">
        <v>1200</v>
      </c>
      <c r="BC10" s="33">
        <f>+BB10*BA10</f>
        <v>25200</v>
      </c>
      <c r="BD10" s="132"/>
      <c r="BE10" s="225"/>
    </row>
    <row r="11" spans="1:57" s="68" customFormat="1" ht="12.75" x14ac:dyDescent="0.2">
      <c r="A11" s="54">
        <v>2</v>
      </c>
      <c r="B11" s="75" t="s">
        <v>105</v>
      </c>
      <c r="C11" s="26" t="s">
        <v>48</v>
      </c>
      <c r="D11" s="55" t="s">
        <v>51</v>
      </c>
      <c r="E11" s="76" t="s">
        <v>106</v>
      </c>
      <c r="F11" s="63" t="s">
        <v>47</v>
      </c>
      <c r="G11" s="70"/>
      <c r="H11" s="70"/>
      <c r="I11" s="70"/>
      <c r="J11" s="71"/>
      <c r="K11" s="55"/>
      <c r="L11" s="58">
        <f>+K11*BB11</f>
        <v>0</v>
      </c>
      <c r="M11" s="59">
        <v>10</v>
      </c>
      <c r="N11" s="127">
        <f t="shared" ref="N11:N52" si="8">+M11*BB11</f>
        <v>6500</v>
      </c>
      <c r="O11" s="61">
        <v>3</v>
      </c>
      <c r="P11" s="129">
        <f t="shared" si="0"/>
        <v>1950</v>
      </c>
      <c r="Q11" s="59"/>
      <c r="R11" s="58"/>
      <c r="S11" s="61">
        <v>1</v>
      </c>
      <c r="T11" s="78">
        <f>S11*BB11</f>
        <v>650</v>
      </c>
      <c r="U11" s="59"/>
      <c r="V11" s="129"/>
      <c r="W11" s="61"/>
      <c r="X11" s="78">
        <f t="shared" si="1"/>
        <v>0</v>
      </c>
      <c r="Y11" s="61"/>
      <c r="Z11" s="58"/>
      <c r="AA11" s="61"/>
      <c r="AB11" s="78"/>
      <c r="AC11" s="61"/>
      <c r="AD11" s="129">
        <f t="shared" si="2"/>
        <v>0</v>
      </c>
      <c r="AE11" s="61"/>
      <c r="AF11" s="78"/>
      <c r="AG11" s="63"/>
      <c r="AH11" s="58">
        <f t="shared" si="3"/>
        <v>0</v>
      </c>
      <c r="AI11" s="61"/>
      <c r="AJ11" s="78">
        <f t="shared" si="4"/>
        <v>0</v>
      </c>
      <c r="AK11" s="61"/>
      <c r="AL11" s="129">
        <f t="shared" si="5"/>
        <v>0</v>
      </c>
      <c r="AM11" s="61"/>
      <c r="AN11" s="78">
        <f t="shared" si="6"/>
        <v>0</v>
      </c>
      <c r="AO11" s="61"/>
      <c r="AP11" s="129"/>
      <c r="AQ11" s="61"/>
      <c r="AR11" s="62"/>
      <c r="AS11" s="64"/>
      <c r="AT11" s="78">
        <f t="shared" ref="AT10:AT52" si="9">+AS11*BB11</f>
        <v>0</v>
      </c>
      <c r="AU11" s="64">
        <v>3</v>
      </c>
      <c r="AV11" s="78">
        <f t="shared" si="7"/>
        <v>1950</v>
      </c>
      <c r="AW11" s="64"/>
      <c r="AX11" s="129">
        <f t="shared" ref="AX11:AX52" si="10">AW11*BB11</f>
        <v>0</v>
      </c>
      <c r="AY11" s="65"/>
      <c r="AZ11" s="65"/>
      <c r="BA11" s="79">
        <f t="shared" ref="BA11:BA52" si="11">+M11+O11+S11+W11+AC11+AI11+AK11+AM11+AS11+AU11+AW11</f>
        <v>17</v>
      </c>
      <c r="BB11" s="117">
        <v>650</v>
      </c>
      <c r="BC11" s="33">
        <f t="shared" ref="BC11:BC52" si="12">+BB11*BA11</f>
        <v>11050</v>
      </c>
      <c r="BD11" s="67"/>
    </row>
    <row r="12" spans="1:57" s="68" customFormat="1" ht="12.75" x14ac:dyDescent="0.2">
      <c r="A12" s="122">
        <v>3</v>
      </c>
      <c r="B12" s="26" t="s">
        <v>53</v>
      </c>
      <c r="C12" s="26" t="s">
        <v>48</v>
      </c>
      <c r="D12" s="55" t="s">
        <v>51</v>
      </c>
      <c r="E12" s="56" t="s">
        <v>54</v>
      </c>
      <c r="F12" s="55" t="s">
        <v>55</v>
      </c>
      <c r="G12" s="57"/>
      <c r="H12" s="57"/>
      <c r="I12" s="57"/>
      <c r="J12" s="31"/>
      <c r="K12" s="55"/>
      <c r="L12" s="58">
        <f t="shared" ref="L12:L32" si="13">+K12*BB12</f>
        <v>0</v>
      </c>
      <c r="M12" s="59">
        <v>20</v>
      </c>
      <c r="N12" s="127">
        <f t="shared" si="8"/>
        <v>13000</v>
      </c>
      <c r="O12" s="61">
        <v>7</v>
      </c>
      <c r="P12" s="129">
        <f t="shared" si="0"/>
        <v>4550</v>
      </c>
      <c r="Q12" s="59"/>
      <c r="R12" s="58"/>
      <c r="S12" s="61"/>
      <c r="T12" s="78">
        <f t="shared" ref="T12:T52" si="14">S12*BB12</f>
        <v>0</v>
      </c>
      <c r="U12" s="59"/>
      <c r="V12" s="129"/>
      <c r="W12" s="61">
        <v>100</v>
      </c>
      <c r="X12" s="78">
        <f t="shared" si="1"/>
        <v>65000</v>
      </c>
      <c r="Y12" s="61"/>
      <c r="Z12" s="58"/>
      <c r="AA12" s="61"/>
      <c r="AB12" s="78"/>
      <c r="AC12" s="61">
        <v>30</v>
      </c>
      <c r="AD12" s="129">
        <f t="shared" si="2"/>
        <v>19500</v>
      </c>
      <c r="AE12" s="61"/>
      <c r="AF12" s="78"/>
      <c r="AG12" s="63"/>
      <c r="AH12" s="58">
        <f t="shared" si="3"/>
        <v>0</v>
      </c>
      <c r="AI12" s="61"/>
      <c r="AJ12" s="78">
        <f t="shared" si="4"/>
        <v>0</v>
      </c>
      <c r="AK12" s="61">
        <v>8</v>
      </c>
      <c r="AL12" s="129">
        <f t="shared" si="5"/>
        <v>5200</v>
      </c>
      <c r="AM12" s="61"/>
      <c r="AN12" s="78">
        <f t="shared" si="6"/>
        <v>0</v>
      </c>
      <c r="AO12" s="61"/>
      <c r="AP12" s="129"/>
      <c r="AQ12" s="61"/>
      <c r="AR12" s="62"/>
      <c r="AS12" s="64"/>
      <c r="AT12" s="78">
        <f t="shared" si="9"/>
        <v>0</v>
      </c>
      <c r="AU12" s="64">
        <v>50</v>
      </c>
      <c r="AV12" s="78">
        <f t="shared" si="7"/>
        <v>32500</v>
      </c>
      <c r="AW12" s="64"/>
      <c r="AX12" s="129">
        <f t="shared" si="10"/>
        <v>0</v>
      </c>
      <c r="AY12" s="65"/>
      <c r="AZ12" s="65"/>
      <c r="BA12" s="79">
        <f t="shared" si="11"/>
        <v>215</v>
      </c>
      <c r="BB12" s="66">
        <v>650</v>
      </c>
      <c r="BC12" s="33">
        <f t="shared" si="12"/>
        <v>139750</v>
      </c>
      <c r="BD12" s="67"/>
    </row>
    <row r="13" spans="1:57" s="68" customFormat="1" ht="12.75" x14ac:dyDescent="0.2">
      <c r="A13" s="54">
        <v>4</v>
      </c>
      <c r="B13" s="46" t="s">
        <v>56</v>
      </c>
      <c r="C13" s="26" t="s">
        <v>48</v>
      </c>
      <c r="D13" s="55" t="s">
        <v>51</v>
      </c>
      <c r="E13" s="56" t="s">
        <v>57</v>
      </c>
      <c r="F13" s="55" t="s">
        <v>55</v>
      </c>
      <c r="G13" s="57"/>
      <c r="H13" s="57"/>
      <c r="I13" s="57"/>
      <c r="J13" s="31"/>
      <c r="K13" s="55"/>
      <c r="L13" s="58">
        <f t="shared" si="13"/>
        <v>0</v>
      </c>
      <c r="M13" s="59">
        <v>30</v>
      </c>
      <c r="N13" s="127">
        <f t="shared" si="8"/>
        <v>3000</v>
      </c>
      <c r="O13" s="61">
        <v>7</v>
      </c>
      <c r="P13" s="129">
        <f t="shared" si="0"/>
        <v>700</v>
      </c>
      <c r="Q13" s="59"/>
      <c r="R13" s="58"/>
      <c r="S13" s="61"/>
      <c r="T13" s="78">
        <f t="shared" si="14"/>
        <v>0</v>
      </c>
      <c r="U13" s="59"/>
      <c r="V13" s="129"/>
      <c r="W13" s="61">
        <v>40</v>
      </c>
      <c r="X13" s="78">
        <f t="shared" si="1"/>
        <v>4000</v>
      </c>
      <c r="Y13" s="61"/>
      <c r="Z13" s="58"/>
      <c r="AA13" s="61"/>
      <c r="AB13" s="78"/>
      <c r="AC13" s="61">
        <v>30</v>
      </c>
      <c r="AD13" s="129">
        <f t="shared" si="2"/>
        <v>3000</v>
      </c>
      <c r="AE13" s="61"/>
      <c r="AF13" s="78"/>
      <c r="AG13" s="63"/>
      <c r="AH13" s="58">
        <f t="shared" si="3"/>
        <v>0</v>
      </c>
      <c r="AI13" s="61"/>
      <c r="AJ13" s="78">
        <f t="shared" si="4"/>
        <v>0</v>
      </c>
      <c r="AK13" s="61">
        <v>8</v>
      </c>
      <c r="AL13" s="129">
        <f t="shared" si="5"/>
        <v>800</v>
      </c>
      <c r="AM13" s="61"/>
      <c r="AN13" s="78">
        <f t="shared" si="6"/>
        <v>0</v>
      </c>
      <c r="AO13" s="61"/>
      <c r="AP13" s="129"/>
      <c r="AQ13" s="61"/>
      <c r="AR13" s="62"/>
      <c r="AS13" s="64"/>
      <c r="AT13" s="78">
        <f t="shared" si="9"/>
        <v>0</v>
      </c>
      <c r="AU13" s="64">
        <v>50</v>
      </c>
      <c r="AV13" s="78">
        <f t="shared" si="7"/>
        <v>5000</v>
      </c>
      <c r="AW13" s="64">
        <v>30</v>
      </c>
      <c r="AX13" s="129">
        <f t="shared" si="10"/>
        <v>3000</v>
      </c>
      <c r="AY13" s="65"/>
      <c r="AZ13" s="65"/>
      <c r="BA13" s="79">
        <f t="shared" si="11"/>
        <v>195</v>
      </c>
      <c r="BB13" s="66">
        <v>100</v>
      </c>
      <c r="BC13" s="33">
        <f t="shared" si="12"/>
        <v>19500</v>
      </c>
      <c r="BD13" s="67"/>
    </row>
    <row r="14" spans="1:57" s="68" customFormat="1" ht="12.75" x14ac:dyDescent="0.2">
      <c r="A14" s="122">
        <v>5</v>
      </c>
      <c r="B14" s="46" t="s">
        <v>58</v>
      </c>
      <c r="C14" s="26" t="s">
        <v>48</v>
      </c>
      <c r="D14" s="55" t="s">
        <v>51</v>
      </c>
      <c r="E14" s="56" t="s">
        <v>59</v>
      </c>
      <c r="F14" s="55" t="s">
        <v>47</v>
      </c>
      <c r="G14" s="57"/>
      <c r="H14" s="57"/>
      <c r="I14" s="57"/>
      <c r="J14" s="31"/>
      <c r="K14" s="55"/>
      <c r="L14" s="58">
        <f t="shared" si="13"/>
        <v>0</v>
      </c>
      <c r="M14" s="59">
        <v>5</v>
      </c>
      <c r="N14" s="127">
        <f t="shared" si="8"/>
        <v>1930</v>
      </c>
      <c r="O14" s="61">
        <v>3</v>
      </c>
      <c r="P14" s="129">
        <f t="shared" si="0"/>
        <v>1158</v>
      </c>
      <c r="Q14" s="59"/>
      <c r="R14" s="58"/>
      <c r="S14" s="61">
        <v>1</v>
      </c>
      <c r="T14" s="78">
        <f t="shared" si="14"/>
        <v>386</v>
      </c>
      <c r="U14" s="59"/>
      <c r="V14" s="129"/>
      <c r="W14" s="61"/>
      <c r="X14" s="78">
        <f t="shared" si="1"/>
        <v>0</v>
      </c>
      <c r="Y14" s="61"/>
      <c r="Z14" s="58"/>
      <c r="AA14" s="61"/>
      <c r="AB14" s="78"/>
      <c r="AC14" s="61"/>
      <c r="AD14" s="129">
        <f t="shared" si="2"/>
        <v>0</v>
      </c>
      <c r="AE14" s="61"/>
      <c r="AF14" s="78"/>
      <c r="AG14" s="63"/>
      <c r="AH14" s="58">
        <f t="shared" si="3"/>
        <v>0</v>
      </c>
      <c r="AI14" s="61"/>
      <c r="AJ14" s="78">
        <f t="shared" si="4"/>
        <v>0</v>
      </c>
      <c r="AK14" s="61"/>
      <c r="AL14" s="129">
        <f t="shared" si="5"/>
        <v>0</v>
      </c>
      <c r="AM14" s="61"/>
      <c r="AN14" s="78">
        <f t="shared" si="6"/>
        <v>0</v>
      </c>
      <c r="AO14" s="61"/>
      <c r="AP14" s="129"/>
      <c r="AQ14" s="61"/>
      <c r="AR14" s="62"/>
      <c r="AS14" s="64"/>
      <c r="AT14" s="78">
        <f t="shared" si="9"/>
        <v>0</v>
      </c>
      <c r="AU14" s="64">
        <v>5</v>
      </c>
      <c r="AV14" s="78">
        <f t="shared" si="7"/>
        <v>1930</v>
      </c>
      <c r="AW14" s="64"/>
      <c r="AX14" s="129">
        <f t="shared" si="10"/>
        <v>0</v>
      </c>
      <c r="AY14" s="65"/>
      <c r="AZ14" s="65"/>
      <c r="BA14" s="79">
        <f t="shared" si="11"/>
        <v>14</v>
      </c>
      <c r="BB14" s="66">
        <v>386</v>
      </c>
      <c r="BC14" s="33">
        <f t="shared" si="12"/>
        <v>5404</v>
      </c>
      <c r="BD14" s="67" t="s">
        <v>119</v>
      </c>
    </row>
    <row r="15" spans="1:57" s="68" customFormat="1" ht="25.5" x14ac:dyDescent="0.2">
      <c r="A15" s="54">
        <v>6</v>
      </c>
      <c r="B15" s="46" t="s">
        <v>60</v>
      </c>
      <c r="C15" s="26" t="s">
        <v>48</v>
      </c>
      <c r="D15" s="55" t="s">
        <v>51</v>
      </c>
      <c r="E15" s="56" t="s">
        <v>61</v>
      </c>
      <c r="F15" s="55" t="s">
        <v>47</v>
      </c>
      <c r="G15" s="70"/>
      <c r="H15" s="70"/>
      <c r="I15" s="70"/>
      <c r="J15" s="71"/>
      <c r="K15" s="72"/>
      <c r="L15" s="58">
        <f t="shared" si="13"/>
        <v>0</v>
      </c>
      <c r="M15" s="73">
        <v>10</v>
      </c>
      <c r="N15" s="127">
        <f t="shared" si="8"/>
        <v>2900</v>
      </c>
      <c r="O15" s="61">
        <v>10</v>
      </c>
      <c r="P15" s="129">
        <f t="shared" si="0"/>
        <v>2900</v>
      </c>
      <c r="Q15" s="59"/>
      <c r="R15" s="58"/>
      <c r="S15" s="61">
        <v>10</v>
      </c>
      <c r="T15" s="78">
        <f t="shared" si="14"/>
        <v>2900</v>
      </c>
      <c r="U15" s="59"/>
      <c r="V15" s="129"/>
      <c r="W15" s="61">
        <v>10</v>
      </c>
      <c r="X15" s="78">
        <f t="shared" si="1"/>
        <v>2900</v>
      </c>
      <c r="Y15" s="61"/>
      <c r="Z15" s="58"/>
      <c r="AA15" s="61"/>
      <c r="AB15" s="78"/>
      <c r="AC15" s="61"/>
      <c r="AD15" s="129">
        <f t="shared" si="2"/>
        <v>0</v>
      </c>
      <c r="AE15" s="61"/>
      <c r="AF15" s="78"/>
      <c r="AG15" s="63"/>
      <c r="AH15" s="58">
        <f t="shared" si="3"/>
        <v>0</v>
      </c>
      <c r="AI15" s="61"/>
      <c r="AJ15" s="78">
        <f t="shared" si="4"/>
        <v>0</v>
      </c>
      <c r="AK15" s="61"/>
      <c r="AL15" s="129">
        <f t="shared" si="5"/>
        <v>0</v>
      </c>
      <c r="AM15" s="61"/>
      <c r="AN15" s="78">
        <f t="shared" si="6"/>
        <v>0</v>
      </c>
      <c r="AO15" s="61"/>
      <c r="AP15" s="129"/>
      <c r="AQ15" s="61"/>
      <c r="AR15" s="62"/>
      <c r="AS15" s="64"/>
      <c r="AT15" s="78">
        <f t="shared" si="9"/>
        <v>0</v>
      </c>
      <c r="AU15" s="64">
        <v>30</v>
      </c>
      <c r="AV15" s="78">
        <f t="shared" si="7"/>
        <v>8700</v>
      </c>
      <c r="AW15" s="64">
        <v>5</v>
      </c>
      <c r="AX15" s="129">
        <f t="shared" si="10"/>
        <v>1450</v>
      </c>
      <c r="AY15" s="65"/>
      <c r="AZ15" s="65"/>
      <c r="BA15" s="79">
        <f t="shared" si="11"/>
        <v>75</v>
      </c>
      <c r="BB15" s="74">
        <v>290</v>
      </c>
      <c r="BC15" s="33">
        <f t="shared" si="12"/>
        <v>21750</v>
      </c>
      <c r="BD15" s="67"/>
    </row>
    <row r="16" spans="1:57" s="68" customFormat="1" ht="12.75" x14ac:dyDescent="0.2">
      <c r="A16" s="122">
        <v>7</v>
      </c>
      <c r="B16" s="75" t="s">
        <v>62</v>
      </c>
      <c r="C16" s="26" t="s">
        <v>48</v>
      </c>
      <c r="D16" s="55" t="s">
        <v>51</v>
      </c>
      <c r="E16" s="76" t="s">
        <v>63</v>
      </c>
      <c r="F16" s="63" t="s">
        <v>47</v>
      </c>
      <c r="G16" s="70"/>
      <c r="H16" s="70"/>
      <c r="I16" s="70"/>
      <c r="J16" s="71"/>
      <c r="K16" s="72"/>
      <c r="L16" s="58">
        <f t="shared" si="13"/>
        <v>0</v>
      </c>
      <c r="M16" s="73">
        <v>10</v>
      </c>
      <c r="N16" s="127">
        <f t="shared" si="8"/>
        <v>800</v>
      </c>
      <c r="O16" s="61">
        <v>5</v>
      </c>
      <c r="P16" s="129">
        <f t="shared" si="0"/>
        <v>400</v>
      </c>
      <c r="Q16" s="59"/>
      <c r="R16" s="58"/>
      <c r="S16" s="61"/>
      <c r="T16" s="78">
        <f t="shared" si="14"/>
        <v>0</v>
      </c>
      <c r="U16" s="59"/>
      <c r="V16" s="129"/>
      <c r="W16" s="61"/>
      <c r="X16" s="78">
        <f t="shared" si="1"/>
        <v>0</v>
      </c>
      <c r="Y16" s="61"/>
      <c r="Z16" s="58"/>
      <c r="AA16" s="61"/>
      <c r="AB16" s="78"/>
      <c r="AC16" s="61"/>
      <c r="AD16" s="129">
        <f t="shared" si="2"/>
        <v>0</v>
      </c>
      <c r="AE16" s="61"/>
      <c r="AF16" s="78"/>
      <c r="AG16" s="63"/>
      <c r="AH16" s="58">
        <f t="shared" si="3"/>
        <v>0</v>
      </c>
      <c r="AI16" s="61"/>
      <c r="AJ16" s="78">
        <f t="shared" si="4"/>
        <v>0</v>
      </c>
      <c r="AK16" s="61"/>
      <c r="AL16" s="129">
        <f t="shared" si="5"/>
        <v>0</v>
      </c>
      <c r="AM16" s="61"/>
      <c r="AN16" s="78">
        <f t="shared" si="6"/>
        <v>0</v>
      </c>
      <c r="AO16" s="61"/>
      <c r="AP16" s="129"/>
      <c r="AQ16" s="61"/>
      <c r="AR16" s="62"/>
      <c r="AS16" s="64"/>
      <c r="AT16" s="78">
        <f t="shared" si="9"/>
        <v>0</v>
      </c>
      <c r="AU16" s="64"/>
      <c r="AV16" s="78">
        <f t="shared" si="7"/>
        <v>0</v>
      </c>
      <c r="AW16" s="64"/>
      <c r="AX16" s="129">
        <f t="shared" si="10"/>
        <v>0</v>
      </c>
      <c r="AY16" s="65"/>
      <c r="AZ16" s="65"/>
      <c r="BA16" s="79">
        <f t="shared" si="11"/>
        <v>15</v>
      </c>
      <c r="BB16" s="74">
        <v>80</v>
      </c>
      <c r="BC16" s="33">
        <f t="shared" si="12"/>
        <v>1200</v>
      </c>
      <c r="BD16" s="67"/>
    </row>
    <row r="17" spans="1:56" s="68" customFormat="1" ht="25.5" x14ac:dyDescent="0.2">
      <c r="A17" s="54">
        <v>8</v>
      </c>
      <c r="B17" s="75" t="s">
        <v>64</v>
      </c>
      <c r="C17" s="26" t="s">
        <v>48</v>
      </c>
      <c r="D17" s="55" t="s">
        <v>51</v>
      </c>
      <c r="E17" s="76" t="s">
        <v>65</v>
      </c>
      <c r="F17" s="63" t="s">
        <v>47</v>
      </c>
      <c r="G17" s="70"/>
      <c r="H17" s="70"/>
      <c r="I17" s="70"/>
      <c r="J17" s="71"/>
      <c r="K17" s="72"/>
      <c r="L17" s="58">
        <f t="shared" si="13"/>
        <v>0</v>
      </c>
      <c r="M17" s="73">
        <v>10</v>
      </c>
      <c r="N17" s="127">
        <f t="shared" si="8"/>
        <v>1200</v>
      </c>
      <c r="O17" s="61">
        <v>5</v>
      </c>
      <c r="P17" s="129">
        <f t="shared" si="0"/>
        <v>600</v>
      </c>
      <c r="Q17" s="59"/>
      <c r="R17" s="58"/>
      <c r="S17" s="61">
        <v>10</v>
      </c>
      <c r="T17" s="78">
        <f t="shared" si="14"/>
        <v>1200</v>
      </c>
      <c r="U17" s="59"/>
      <c r="V17" s="129"/>
      <c r="W17" s="61"/>
      <c r="X17" s="78">
        <f t="shared" si="1"/>
        <v>0</v>
      </c>
      <c r="Y17" s="61"/>
      <c r="Z17" s="58"/>
      <c r="AA17" s="61"/>
      <c r="AB17" s="78"/>
      <c r="AC17" s="61"/>
      <c r="AD17" s="129">
        <f t="shared" si="2"/>
        <v>0</v>
      </c>
      <c r="AE17" s="61"/>
      <c r="AF17" s="78"/>
      <c r="AG17" s="63"/>
      <c r="AH17" s="58">
        <f t="shared" si="3"/>
        <v>0</v>
      </c>
      <c r="AI17" s="61"/>
      <c r="AJ17" s="78">
        <f t="shared" si="4"/>
        <v>0</v>
      </c>
      <c r="AK17" s="61"/>
      <c r="AL17" s="129">
        <f t="shared" si="5"/>
        <v>0</v>
      </c>
      <c r="AM17" s="61"/>
      <c r="AN17" s="78">
        <f t="shared" si="6"/>
        <v>0</v>
      </c>
      <c r="AO17" s="61"/>
      <c r="AP17" s="129"/>
      <c r="AQ17" s="61"/>
      <c r="AR17" s="62"/>
      <c r="AS17" s="64"/>
      <c r="AT17" s="78">
        <f t="shared" si="9"/>
        <v>0</v>
      </c>
      <c r="AU17" s="64"/>
      <c r="AV17" s="78">
        <f t="shared" si="7"/>
        <v>0</v>
      </c>
      <c r="AW17" s="64">
        <v>5</v>
      </c>
      <c r="AX17" s="129">
        <f t="shared" si="10"/>
        <v>600</v>
      </c>
      <c r="AY17" s="65"/>
      <c r="AZ17" s="65"/>
      <c r="BA17" s="79">
        <f t="shared" si="11"/>
        <v>30</v>
      </c>
      <c r="BB17" s="74">
        <v>120</v>
      </c>
      <c r="BC17" s="33">
        <f t="shared" si="12"/>
        <v>3600</v>
      </c>
      <c r="BD17" s="67"/>
    </row>
    <row r="18" spans="1:56" s="68" customFormat="1" ht="12.75" x14ac:dyDescent="0.2">
      <c r="A18" s="122">
        <v>9</v>
      </c>
      <c r="B18" s="75" t="s">
        <v>66</v>
      </c>
      <c r="C18" s="54" t="s">
        <v>48</v>
      </c>
      <c r="D18" s="55" t="s">
        <v>51</v>
      </c>
      <c r="E18" s="76" t="s">
        <v>67</v>
      </c>
      <c r="F18" s="63" t="s">
        <v>47</v>
      </c>
      <c r="G18" s="26"/>
      <c r="H18" s="26"/>
      <c r="I18" s="26"/>
      <c r="J18" s="77"/>
      <c r="K18" s="55"/>
      <c r="L18" s="58">
        <f t="shared" si="13"/>
        <v>0</v>
      </c>
      <c r="M18" s="59"/>
      <c r="N18" s="127">
        <f t="shared" si="8"/>
        <v>0</v>
      </c>
      <c r="O18" s="61">
        <v>10</v>
      </c>
      <c r="P18" s="129">
        <f t="shared" si="0"/>
        <v>2500</v>
      </c>
      <c r="Q18" s="59"/>
      <c r="R18" s="58"/>
      <c r="S18" s="61"/>
      <c r="T18" s="78">
        <f t="shared" si="14"/>
        <v>0</v>
      </c>
      <c r="U18" s="59"/>
      <c r="V18" s="129"/>
      <c r="W18" s="61"/>
      <c r="X18" s="78">
        <f t="shared" si="1"/>
        <v>0</v>
      </c>
      <c r="Y18" s="61"/>
      <c r="Z18" s="58"/>
      <c r="AA18" s="61"/>
      <c r="AB18" s="78"/>
      <c r="AC18" s="61"/>
      <c r="AD18" s="129">
        <f t="shared" si="2"/>
        <v>0</v>
      </c>
      <c r="AE18" s="61"/>
      <c r="AF18" s="78"/>
      <c r="AG18" s="63"/>
      <c r="AH18" s="58">
        <f t="shared" si="3"/>
        <v>0</v>
      </c>
      <c r="AI18" s="61"/>
      <c r="AJ18" s="78">
        <f t="shared" si="4"/>
        <v>0</v>
      </c>
      <c r="AK18" s="61"/>
      <c r="AL18" s="129">
        <f t="shared" si="5"/>
        <v>0</v>
      </c>
      <c r="AM18" s="61"/>
      <c r="AN18" s="78">
        <f t="shared" si="6"/>
        <v>0</v>
      </c>
      <c r="AO18" s="61"/>
      <c r="AP18" s="129"/>
      <c r="AQ18" s="61"/>
      <c r="AR18" s="62"/>
      <c r="AS18" s="64"/>
      <c r="AT18" s="78">
        <f t="shared" si="9"/>
        <v>0</v>
      </c>
      <c r="AU18" s="64">
        <v>10</v>
      </c>
      <c r="AV18" s="78">
        <f t="shared" si="7"/>
        <v>2500</v>
      </c>
      <c r="AW18" s="64"/>
      <c r="AX18" s="129">
        <f t="shared" si="10"/>
        <v>0</v>
      </c>
      <c r="AY18" s="65"/>
      <c r="AZ18" s="65"/>
      <c r="BA18" s="79">
        <f t="shared" si="11"/>
        <v>20</v>
      </c>
      <c r="BB18" s="66">
        <v>250</v>
      </c>
      <c r="BC18" s="33">
        <f t="shared" si="12"/>
        <v>5000</v>
      </c>
      <c r="BD18" s="67"/>
    </row>
    <row r="19" spans="1:56" s="68" customFormat="1" ht="12.75" x14ac:dyDescent="0.2">
      <c r="A19" s="54">
        <v>10</v>
      </c>
      <c r="B19" s="26" t="s">
        <v>68</v>
      </c>
      <c r="C19" s="54" t="s">
        <v>48</v>
      </c>
      <c r="D19" s="55" t="s">
        <v>51</v>
      </c>
      <c r="E19" s="56" t="s">
        <v>69</v>
      </c>
      <c r="F19" s="55" t="s">
        <v>70</v>
      </c>
      <c r="G19" s="70"/>
      <c r="H19" s="70"/>
      <c r="I19" s="70"/>
      <c r="J19" s="71"/>
      <c r="K19" s="72"/>
      <c r="L19" s="58">
        <f t="shared" si="13"/>
        <v>0</v>
      </c>
      <c r="M19" s="73">
        <v>10</v>
      </c>
      <c r="N19" s="127">
        <f t="shared" si="8"/>
        <v>3500</v>
      </c>
      <c r="O19" s="61">
        <v>10</v>
      </c>
      <c r="P19" s="129">
        <f t="shared" si="0"/>
        <v>3500</v>
      </c>
      <c r="Q19" s="59"/>
      <c r="R19" s="58"/>
      <c r="S19" s="61">
        <v>5</v>
      </c>
      <c r="T19" s="78">
        <f t="shared" si="14"/>
        <v>1750</v>
      </c>
      <c r="U19" s="59"/>
      <c r="V19" s="129"/>
      <c r="W19" s="61"/>
      <c r="X19" s="78">
        <f t="shared" si="1"/>
        <v>0</v>
      </c>
      <c r="Y19" s="61"/>
      <c r="Z19" s="58"/>
      <c r="AA19" s="61"/>
      <c r="AB19" s="78"/>
      <c r="AC19" s="61"/>
      <c r="AD19" s="129">
        <f t="shared" si="2"/>
        <v>0</v>
      </c>
      <c r="AE19" s="61"/>
      <c r="AF19" s="78"/>
      <c r="AG19" s="63"/>
      <c r="AH19" s="58">
        <f t="shared" si="3"/>
        <v>0</v>
      </c>
      <c r="AI19" s="61"/>
      <c r="AJ19" s="78">
        <f t="shared" si="4"/>
        <v>0</v>
      </c>
      <c r="AK19" s="61"/>
      <c r="AL19" s="129">
        <f t="shared" si="5"/>
        <v>0</v>
      </c>
      <c r="AM19" s="61"/>
      <c r="AN19" s="78">
        <f t="shared" si="6"/>
        <v>0</v>
      </c>
      <c r="AO19" s="61"/>
      <c r="AP19" s="129"/>
      <c r="AQ19" s="61"/>
      <c r="AR19" s="62"/>
      <c r="AS19" s="64"/>
      <c r="AT19" s="78">
        <f t="shared" si="9"/>
        <v>0</v>
      </c>
      <c r="AU19" s="64">
        <v>10</v>
      </c>
      <c r="AV19" s="78">
        <f t="shared" si="7"/>
        <v>3500</v>
      </c>
      <c r="AW19" s="64"/>
      <c r="AX19" s="129">
        <f t="shared" si="10"/>
        <v>0</v>
      </c>
      <c r="AY19" s="65"/>
      <c r="AZ19" s="65"/>
      <c r="BA19" s="79">
        <f t="shared" si="11"/>
        <v>35</v>
      </c>
      <c r="BB19" s="74">
        <v>350</v>
      </c>
      <c r="BC19" s="33">
        <f t="shared" si="12"/>
        <v>12250</v>
      </c>
      <c r="BD19" s="67"/>
    </row>
    <row r="20" spans="1:56" s="68" customFormat="1" ht="12.75" x14ac:dyDescent="0.2">
      <c r="A20" s="122">
        <v>11</v>
      </c>
      <c r="B20" s="75" t="s">
        <v>71</v>
      </c>
      <c r="C20" s="54" t="s">
        <v>48</v>
      </c>
      <c r="D20" s="55" t="s">
        <v>51</v>
      </c>
      <c r="E20" s="76" t="s">
        <v>72</v>
      </c>
      <c r="F20" s="63" t="s">
        <v>70</v>
      </c>
      <c r="G20" s="57"/>
      <c r="H20" s="57"/>
      <c r="I20" s="57"/>
      <c r="J20" s="31"/>
      <c r="K20" s="55"/>
      <c r="L20" s="58">
        <f t="shared" si="13"/>
        <v>0</v>
      </c>
      <c r="M20" s="59"/>
      <c r="N20" s="127">
        <f t="shared" si="8"/>
        <v>0</v>
      </c>
      <c r="O20" s="61"/>
      <c r="P20" s="129">
        <f t="shared" si="0"/>
        <v>0</v>
      </c>
      <c r="Q20" s="59"/>
      <c r="R20" s="58"/>
      <c r="S20" s="61"/>
      <c r="T20" s="78">
        <f t="shared" si="14"/>
        <v>0</v>
      </c>
      <c r="U20" s="59"/>
      <c r="V20" s="129"/>
      <c r="W20" s="61"/>
      <c r="X20" s="78">
        <f t="shared" si="1"/>
        <v>0</v>
      </c>
      <c r="Y20" s="61"/>
      <c r="Z20" s="58"/>
      <c r="AA20" s="61"/>
      <c r="AB20" s="78"/>
      <c r="AC20" s="61"/>
      <c r="AD20" s="129">
        <f t="shared" si="2"/>
        <v>0</v>
      </c>
      <c r="AE20" s="61"/>
      <c r="AF20" s="78"/>
      <c r="AG20" s="63"/>
      <c r="AH20" s="58">
        <f t="shared" si="3"/>
        <v>0</v>
      </c>
      <c r="AI20" s="61"/>
      <c r="AJ20" s="78">
        <f t="shared" si="4"/>
        <v>0</v>
      </c>
      <c r="AK20" s="61"/>
      <c r="AL20" s="129">
        <f t="shared" si="5"/>
        <v>0</v>
      </c>
      <c r="AM20" s="61"/>
      <c r="AN20" s="78">
        <f t="shared" si="6"/>
        <v>0</v>
      </c>
      <c r="AO20" s="61"/>
      <c r="AP20" s="129"/>
      <c r="AQ20" s="61"/>
      <c r="AR20" s="62"/>
      <c r="AS20" s="64"/>
      <c r="AT20" s="78">
        <f t="shared" si="9"/>
        <v>0</v>
      </c>
      <c r="AU20" s="64">
        <v>10</v>
      </c>
      <c r="AV20" s="78">
        <f t="shared" si="7"/>
        <v>3500</v>
      </c>
      <c r="AW20" s="64"/>
      <c r="AX20" s="129">
        <f t="shared" si="10"/>
        <v>0</v>
      </c>
      <c r="AY20" s="65"/>
      <c r="AZ20" s="65"/>
      <c r="BA20" s="79">
        <f t="shared" si="11"/>
        <v>10</v>
      </c>
      <c r="BB20" s="66">
        <v>350</v>
      </c>
      <c r="BC20" s="33">
        <f t="shared" si="12"/>
        <v>3500</v>
      </c>
      <c r="BD20" s="67"/>
    </row>
    <row r="21" spans="1:56" s="68" customFormat="1" ht="13.5" customHeight="1" x14ac:dyDescent="0.2">
      <c r="A21" s="54">
        <v>12</v>
      </c>
      <c r="B21" s="80" t="s">
        <v>73</v>
      </c>
      <c r="C21" s="54" t="s">
        <v>48</v>
      </c>
      <c r="D21" s="55" t="s">
        <v>51</v>
      </c>
      <c r="E21" s="56" t="s">
        <v>74</v>
      </c>
      <c r="F21" s="55" t="s">
        <v>49</v>
      </c>
      <c r="G21" s="70"/>
      <c r="H21" s="70"/>
      <c r="I21" s="70"/>
      <c r="J21" s="71"/>
      <c r="K21" s="55"/>
      <c r="L21" s="58">
        <f t="shared" si="13"/>
        <v>0</v>
      </c>
      <c r="M21" s="59">
        <v>10</v>
      </c>
      <c r="N21" s="127">
        <f t="shared" si="8"/>
        <v>6500</v>
      </c>
      <c r="O21" s="61">
        <v>10</v>
      </c>
      <c r="P21" s="129">
        <f t="shared" si="0"/>
        <v>6500</v>
      </c>
      <c r="Q21" s="59"/>
      <c r="R21" s="58"/>
      <c r="S21" s="61">
        <v>5</v>
      </c>
      <c r="T21" s="78">
        <f t="shared" si="14"/>
        <v>3250</v>
      </c>
      <c r="U21" s="59"/>
      <c r="V21" s="129"/>
      <c r="W21" s="61">
        <v>192</v>
      </c>
      <c r="X21" s="78">
        <f t="shared" si="1"/>
        <v>124800</v>
      </c>
      <c r="Y21" s="61"/>
      <c r="Z21" s="58"/>
      <c r="AA21" s="61"/>
      <c r="AB21" s="78"/>
      <c r="AC21" s="61"/>
      <c r="AD21" s="129">
        <f t="shared" si="2"/>
        <v>0</v>
      </c>
      <c r="AE21" s="61"/>
      <c r="AF21" s="78"/>
      <c r="AG21" s="63"/>
      <c r="AH21" s="58">
        <f t="shared" si="3"/>
        <v>0</v>
      </c>
      <c r="AI21" s="61"/>
      <c r="AJ21" s="78">
        <f t="shared" si="4"/>
        <v>0</v>
      </c>
      <c r="AK21" s="61"/>
      <c r="AL21" s="129">
        <f t="shared" si="5"/>
        <v>0</v>
      </c>
      <c r="AM21" s="61"/>
      <c r="AN21" s="78">
        <f t="shared" si="6"/>
        <v>0</v>
      </c>
      <c r="AO21" s="61"/>
      <c r="AP21" s="129"/>
      <c r="AQ21" s="61"/>
      <c r="AR21" s="62"/>
      <c r="AS21" s="64"/>
      <c r="AT21" s="78">
        <f t="shared" si="9"/>
        <v>0</v>
      </c>
      <c r="AU21" s="64">
        <v>5</v>
      </c>
      <c r="AV21" s="78">
        <f t="shared" si="7"/>
        <v>3250</v>
      </c>
      <c r="AW21" s="64"/>
      <c r="AX21" s="129">
        <f t="shared" si="10"/>
        <v>0</v>
      </c>
      <c r="AY21" s="65"/>
      <c r="AZ21" s="65"/>
      <c r="BA21" s="79">
        <f t="shared" si="11"/>
        <v>222</v>
      </c>
      <c r="BB21" s="66">
        <v>650</v>
      </c>
      <c r="BC21" s="33">
        <f t="shared" si="12"/>
        <v>144300</v>
      </c>
      <c r="BD21" s="67"/>
    </row>
    <row r="22" spans="1:56" s="68" customFormat="1" ht="12.75" x14ac:dyDescent="0.2">
      <c r="A22" s="122">
        <v>13</v>
      </c>
      <c r="B22" s="26" t="s">
        <v>75</v>
      </c>
      <c r="C22" s="54" t="s">
        <v>48</v>
      </c>
      <c r="D22" s="55" t="s">
        <v>51</v>
      </c>
      <c r="E22" s="56" t="s">
        <v>76</v>
      </c>
      <c r="F22" s="55" t="s">
        <v>47</v>
      </c>
      <c r="G22" s="57"/>
      <c r="H22" s="57"/>
      <c r="I22" s="57"/>
      <c r="J22" s="31"/>
      <c r="K22" s="55"/>
      <c r="L22" s="58">
        <f t="shared" si="13"/>
        <v>0</v>
      </c>
      <c r="M22" s="59">
        <v>10</v>
      </c>
      <c r="N22" s="127">
        <f t="shared" si="8"/>
        <v>4000</v>
      </c>
      <c r="O22" s="61">
        <v>5</v>
      </c>
      <c r="P22" s="129">
        <f t="shared" si="0"/>
        <v>2000</v>
      </c>
      <c r="Q22" s="59"/>
      <c r="R22" s="58"/>
      <c r="S22" s="61"/>
      <c r="T22" s="78">
        <f t="shared" si="14"/>
        <v>0</v>
      </c>
      <c r="U22" s="59"/>
      <c r="V22" s="129"/>
      <c r="W22" s="61"/>
      <c r="X22" s="78">
        <f t="shared" si="1"/>
        <v>0</v>
      </c>
      <c r="Y22" s="61"/>
      <c r="Z22" s="58"/>
      <c r="AA22" s="61"/>
      <c r="AB22" s="78"/>
      <c r="AC22" s="61"/>
      <c r="AD22" s="129">
        <f t="shared" si="2"/>
        <v>0</v>
      </c>
      <c r="AE22" s="61"/>
      <c r="AF22" s="78"/>
      <c r="AG22" s="63"/>
      <c r="AH22" s="58">
        <f t="shared" si="3"/>
        <v>0</v>
      </c>
      <c r="AI22" s="61"/>
      <c r="AJ22" s="78">
        <f t="shared" si="4"/>
        <v>0</v>
      </c>
      <c r="AK22" s="61"/>
      <c r="AL22" s="129">
        <f t="shared" si="5"/>
        <v>0</v>
      </c>
      <c r="AM22" s="61"/>
      <c r="AN22" s="78">
        <f t="shared" si="6"/>
        <v>0</v>
      </c>
      <c r="AO22" s="61"/>
      <c r="AP22" s="129"/>
      <c r="AQ22" s="61"/>
      <c r="AR22" s="62"/>
      <c r="AS22" s="64"/>
      <c r="AT22" s="78">
        <f t="shared" si="9"/>
        <v>0</v>
      </c>
      <c r="AU22" s="64">
        <v>10</v>
      </c>
      <c r="AV22" s="78">
        <f t="shared" si="7"/>
        <v>4000</v>
      </c>
      <c r="AW22" s="64">
        <v>2</v>
      </c>
      <c r="AX22" s="129">
        <f t="shared" si="10"/>
        <v>800</v>
      </c>
      <c r="AY22" s="65"/>
      <c r="AZ22" s="65"/>
      <c r="BA22" s="79">
        <f t="shared" si="11"/>
        <v>27</v>
      </c>
      <c r="BB22" s="66">
        <v>400</v>
      </c>
      <c r="BC22" s="33">
        <f t="shared" si="12"/>
        <v>10800</v>
      </c>
      <c r="BD22" s="67"/>
    </row>
    <row r="23" spans="1:56" s="68" customFormat="1" ht="12.75" x14ac:dyDescent="0.2">
      <c r="A23" s="54">
        <v>14</v>
      </c>
      <c r="B23" s="81" t="s">
        <v>77</v>
      </c>
      <c r="C23" s="54" t="s">
        <v>48</v>
      </c>
      <c r="D23" s="55" t="s">
        <v>51</v>
      </c>
      <c r="E23" s="56" t="s">
        <v>78</v>
      </c>
      <c r="F23" s="55" t="s">
        <v>49</v>
      </c>
      <c r="G23" s="26"/>
      <c r="H23" s="26"/>
      <c r="I23" s="26"/>
      <c r="J23" s="77"/>
      <c r="K23" s="55"/>
      <c r="L23" s="58">
        <f t="shared" si="13"/>
        <v>0</v>
      </c>
      <c r="M23" s="59">
        <v>10</v>
      </c>
      <c r="N23" s="127">
        <f t="shared" si="8"/>
        <v>3000</v>
      </c>
      <c r="O23" s="61">
        <v>10</v>
      </c>
      <c r="P23" s="129">
        <f t="shared" si="0"/>
        <v>3000</v>
      </c>
      <c r="Q23" s="59"/>
      <c r="R23" s="58"/>
      <c r="S23" s="61">
        <v>1</v>
      </c>
      <c r="T23" s="78">
        <f t="shared" si="14"/>
        <v>300</v>
      </c>
      <c r="U23" s="59"/>
      <c r="V23" s="129"/>
      <c r="W23" s="61"/>
      <c r="X23" s="78">
        <f t="shared" si="1"/>
        <v>0</v>
      </c>
      <c r="Y23" s="61"/>
      <c r="Z23" s="58"/>
      <c r="AA23" s="61"/>
      <c r="AB23" s="78"/>
      <c r="AC23" s="61"/>
      <c r="AD23" s="129">
        <f t="shared" si="2"/>
        <v>0</v>
      </c>
      <c r="AE23" s="61"/>
      <c r="AF23" s="78"/>
      <c r="AG23" s="63"/>
      <c r="AH23" s="58">
        <f t="shared" si="3"/>
        <v>0</v>
      </c>
      <c r="AI23" s="61"/>
      <c r="AJ23" s="78">
        <f t="shared" si="4"/>
        <v>0</v>
      </c>
      <c r="AK23" s="61"/>
      <c r="AL23" s="129">
        <f t="shared" si="5"/>
        <v>0</v>
      </c>
      <c r="AM23" s="61"/>
      <c r="AN23" s="78">
        <f t="shared" si="6"/>
        <v>0</v>
      </c>
      <c r="AO23" s="61"/>
      <c r="AP23" s="129"/>
      <c r="AQ23" s="61"/>
      <c r="AR23" s="62"/>
      <c r="AS23" s="64"/>
      <c r="AT23" s="78">
        <f t="shared" si="9"/>
        <v>0</v>
      </c>
      <c r="AU23" s="64">
        <v>5</v>
      </c>
      <c r="AV23" s="78">
        <f t="shared" si="7"/>
        <v>1500</v>
      </c>
      <c r="AW23" s="64"/>
      <c r="AX23" s="129">
        <f t="shared" si="10"/>
        <v>0</v>
      </c>
      <c r="AY23" s="65"/>
      <c r="AZ23" s="65"/>
      <c r="BA23" s="79">
        <f t="shared" si="11"/>
        <v>26</v>
      </c>
      <c r="BB23" s="66">
        <v>300</v>
      </c>
      <c r="BC23" s="33">
        <f t="shared" si="12"/>
        <v>7800</v>
      </c>
      <c r="BD23" s="67"/>
    </row>
    <row r="24" spans="1:56" s="68" customFormat="1" ht="12" customHeight="1" x14ac:dyDescent="0.2">
      <c r="A24" s="122">
        <v>15</v>
      </c>
      <c r="B24" s="46" t="s">
        <v>79</v>
      </c>
      <c r="C24" s="54" t="s">
        <v>48</v>
      </c>
      <c r="D24" s="55" t="s">
        <v>51</v>
      </c>
      <c r="E24" s="56" t="s">
        <v>80</v>
      </c>
      <c r="F24" s="55" t="s">
        <v>47</v>
      </c>
      <c r="G24" s="70"/>
      <c r="H24" s="70"/>
      <c r="I24" s="70"/>
      <c r="J24" s="71"/>
      <c r="K24" s="55"/>
      <c r="L24" s="58">
        <f t="shared" si="13"/>
        <v>0</v>
      </c>
      <c r="M24" s="59"/>
      <c r="N24" s="127">
        <f t="shared" si="8"/>
        <v>0</v>
      </c>
      <c r="O24" s="61">
        <v>5</v>
      </c>
      <c r="P24" s="129">
        <f t="shared" si="0"/>
        <v>1450</v>
      </c>
      <c r="Q24" s="59"/>
      <c r="R24" s="58"/>
      <c r="S24" s="61"/>
      <c r="T24" s="78">
        <f t="shared" si="14"/>
        <v>0</v>
      </c>
      <c r="U24" s="59"/>
      <c r="V24" s="129"/>
      <c r="W24" s="61"/>
      <c r="X24" s="78">
        <f t="shared" si="1"/>
        <v>0</v>
      </c>
      <c r="Y24" s="61"/>
      <c r="Z24" s="58"/>
      <c r="AA24" s="61"/>
      <c r="AB24" s="78"/>
      <c r="AC24" s="61"/>
      <c r="AD24" s="129">
        <f t="shared" si="2"/>
        <v>0</v>
      </c>
      <c r="AE24" s="61"/>
      <c r="AF24" s="78"/>
      <c r="AG24" s="63"/>
      <c r="AH24" s="58">
        <f t="shared" si="3"/>
        <v>0</v>
      </c>
      <c r="AI24" s="61"/>
      <c r="AJ24" s="78">
        <f t="shared" si="4"/>
        <v>0</v>
      </c>
      <c r="AK24" s="61"/>
      <c r="AL24" s="129">
        <f t="shared" si="5"/>
        <v>0</v>
      </c>
      <c r="AM24" s="61"/>
      <c r="AN24" s="78">
        <f t="shared" si="6"/>
        <v>0</v>
      </c>
      <c r="AO24" s="61"/>
      <c r="AP24" s="129"/>
      <c r="AQ24" s="61"/>
      <c r="AR24" s="62"/>
      <c r="AS24" s="64"/>
      <c r="AT24" s="78">
        <f t="shared" si="9"/>
        <v>0</v>
      </c>
      <c r="AU24" s="64">
        <v>10</v>
      </c>
      <c r="AV24" s="78">
        <f t="shared" si="7"/>
        <v>2900</v>
      </c>
      <c r="AW24" s="64"/>
      <c r="AX24" s="129">
        <f t="shared" si="10"/>
        <v>0</v>
      </c>
      <c r="AY24" s="65"/>
      <c r="AZ24" s="65"/>
      <c r="BA24" s="79">
        <f t="shared" si="11"/>
        <v>15</v>
      </c>
      <c r="BB24" s="66">
        <v>290</v>
      </c>
      <c r="BC24" s="33">
        <f t="shared" si="12"/>
        <v>4350</v>
      </c>
      <c r="BD24" s="67"/>
    </row>
    <row r="25" spans="1:56" s="68" customFormat="1" ht="12.75" x14ac:dyDescent="0.2">
      <c r="A25" s="54">
        <v>16</v>
      </c>
      <c r="B25" s="46" t="s">
        <v>81</v>
      </c>
      <c r="C25" s="54" t="s">
        <v>48</v>
      </c>
      <c r="D25" s="55" t="s">
        <v>51</v>
      </c>
      <c r="E25" s="56" t="s">
        <v>82</v>
      </c>
      <c r="F25" s="55" t="s">
        <v>47</v>
      </c>
      <c r="G25" s="55"/>
      <c r="H25" s="55"/>
      <c r="I25" s="55"/>
      <c r="J25" s="187"/>
      <c r="K25" s="55"/>
      <c r="L25" s="58">
        <f t="shared" si="13"/>
        <v>0</v>
      </c>
      <c r="M25" s="59">
        <v>10</v>
      </c>
      <c r="N25" s="127">
        <f t="shared" si="8"/>
        <v>4500</v>
      </c>
      <c r="O25" s="61">
        <v>8</v>
      </c>
      <c r="P25" s="129">
        <f t="shared" si="0"/>
        <v>3600</v>
      </c>
      <c r="Q25" s="59"/>
      <c r="R25" s="58"/>
      <c r="S25" s="61"/>
      <c r="T25" s="78">
        <f t="shared" si="14"/>
        <v>0</v>
      </c>
      <c r="U25" s="59"/>
      <c r="V25" s="129"/>
      <c r="W25" s="61"/>
      <c r="X25" s="78">
        <f t="shared" si="1"/>
        <v>0</v>
      </c>
      <c r="Y25" s="61"/>
      <c r="Z25" s="58"/>
      <c r="AA25" s="61"/>
      <c r="AB25" s="78"/>
      <c r="AC25" s="61">
        <v>10</v>
      </c>
      <c r="AD25" s="129">
        <f t="shared" si="2"/>
        <v>4500</v>
      </c>
      <c r="AE25" s="61"/>
      <c r="AF25" s="78"/>
      <c r="AG25" s="63"/>
      <c r="AH25" s="58">
        <f t="shared" si="3"/>
        <v>0</v>
      </c>
      <c r="AI25" s="61"/>
      <c r="AJ25" s="78">
        <f t="shared" si="4"/>
        <v>0</v>
      </c>
      <c r="AK25" s="61">
        <v>4</v>
      </c>
      <c r="AL25" s="129">
        <f t="shared" si="5"/>
        <v>1800</v>
      </c>
      <c r="AM25" s="61"/>
      <c r="AN25" s="78">
        <f t="shared" si="6"/>
        <v>0</v>
      </c>
      <c r="AO25" s="61"/>
      <c r="AP25" s="129"/>
      <c r="AQ25" s="61"/>
      <c r="AR25" s="62"/>
      <c r="AS25" s="64"/>
      <c r="AT25" s="78">
        <f t="shared" si="9"/>
        <v>0</v>
      </c>
      <c r="AU25" s="64">
        <v>10</v>
      </c>
      <c r="AV25" s="78">
        <f t="shared" si="7"/>
        <v>4500</v>
      </c>
      <c r="AW25" s="64">
        <v>3</v>
      </c>
      <c r="AX25" s="129">
        <f t="shared" si="10"/>
        <v>1350</v>
      </c>
      <c r="AY25" s="65"/>
      <c r="AZ25" s="65"/>
      <c r="BA25" s="79">
        <f t="shared" si="11"/>
        <v>45</v>
      </c>
      <c r="BB25" s="66">
        <v>450</v>
      </c>
      <c r="BC25" s="33">
        <f t="shared" si="12"/>
        <v>20250</v>
      </c>
      <c r="BD25" s="67"/>
    </row>
    <row r="26" spans="1:56" s="68" customFormat="1" ht="12.75" x14ac:dyDescent="0.2">
      <c r="A26" s="122">
        <v>17</v>
      </c>
      <c r="B26" s="46" t="s">
        <v>83</v>
      </c>
      <c r="C26" s="54" t="s">
        <v>84</v>
      </c>
      <c r="D26" s="55" t="s">
        <v>51</v>
      </c>
      <c r="E26" s="56" t="s">
        <v>85</v>
      </c>
      <c r="F26" s="55" t="s">
        <v>47</v>
      </c>
      <c r="G26" s="57"/>
      <c r="H26" s="57"/>
      <c r="I26" s="57"/>
      <c r="J26" s="31"/>
      <c r="K26" s="55"/>
      <c r="L26" s="58">
        <f t="shared" si="13"/>
        <v>0</v>
      </c>
      <c r="M26" s="59"/>
      <c r="N26" s="127">
        <f t="shared" si="8"/>
        <v>0</v>
      </c>
      <c r="O26" s="61"/>
      <c r="P26" s="129">
        <f t="shared" si="0"/>
        <v>0</v>
      </c>
      <c r="Q26" s="59"/>
      <c r="R26" s="58"/>
      <c r="S26" s="61"/>
      <c r="T26" s="78">
        <f t="shared" si="14"/>
        <v>0</v>
      </c>
      <c r="U26" s="59"/>
      <c r="V26" s="129"/>
      <c r="W26" s="61"/>
      <c r="X26" s="78">
        <f t="shared" si="1"/>
        <v>0</v>
      </c>
      <c r="Y26" s="61"/>
      <c r="Z26" s="58"/>
      <c r="AA26" s="61"/>
      <c r="AB26" s="78"/>
      <c r="AC26" s="61"/>
      <c r="AD26" s="129">
        <f t="shared" si="2"/>
        <v>0</v>
      </c>
      <c r="AE26" s="61"/>
      <c r="AF26" s="78"/>
      <c r="AG26" s="63"/>
      <c r="AH26" s="58">
        <f t="shared" si="3"/>
        <v>0</v>
      </c>
      <c r="AI26" s="61"/>
      <c r="AJ26" s="78">
        <f t="shared" si="4"/>
        <v>0</v>
      </c>
      <c r="AK26" s="61"/>
      <c r="AL26" s="129">
        <f t="shared" si="5"/>
        <v>0</v>
      </c>
      <c r="AM26" s="61"/>
      <c r="AN26" s="78">
        <f t="shared" si="6"/>
        <v>0</v>
      </c>
      <c r="AO26" s="61"/>
      <c r="AP26" s="129"/>
      <c r="AQ26" s="61"/>
      <c r="AR26" s="62"/>
      <c r="AS26" s="64"/>
      <c r="AT26" s="78">
        <f t="shared" si="9"/>
        <v>0</v>
      </c>
      <c r="AU26" s="64">
        <v>5</v>
      </c>
      <c r="AV26" s="78">
        <f t="shared" si="7"/>
        <v>3750</v>
      </c>
      <c r="AW26" s="64"/>
      <c r="AX26" s="129">
        <f t="shared" si="10"/>
        <v>0</v>
      </c>
      <c r="AY26" s="65"/>
      <c r="AZ26" s="65"/>
      <c r="BA26" s="79">
        <f t="shared" si="11"/>
        <v>5</v>
      </c>
      <c r="BB26" s="66">
        <v>750</v>
      </c>
      <c r="BC26" s="33">
        <f t="shared" si="12"/>
        <v>3750</v>
      </c>
      <c r="BD26" s="67"/>
    </row>
    <row r="27" spans="1:56" s="188" customFormat="1" ht="25.5" x14ac:dyDescent="0.2">
      <c r="A27" s="54">
        <v>18</v>
      </c>
      <c r="B27" s="46" t="s">
        <v>86</v>
      </c>
      <c r="C27" s="54" t="s">
        <v>48</v>
      </c>
      <c r="D27" s="55" t="s">
        <v>51</v>
      </c>
      <c r="E27" s="56" t="s">
        <v>87</v>
      </c>
      <c r="F27" s="55" t="s">
        <v>55</v>
      </c>
      <c r="G27" s="26"/>
      <c r="H27" s="26"/>
      <c r="I27" s="26"/>
      <c r="J27" s="77"/>
      <c r="K27" s="55"/>
      <c r="L27" s="58">
        <f t="shared" si="13"/>
        <v>0</v>
      </c>
      <c r="M27" s="59">
        <v>8</v>
      </c>
      <c r="N27" s="127">
        <f t="shared" si="8"/>
        <v>2800</v>
      </c>
      <c r="O27" s="61">
        <v>30</v>
      </c>
      <c r="P27" s="129">
        <f t="shared" si="0"/>
        <v>10500</v>
      </c>
      <c r="Q27" s="59"/>
      <c r="R27" s="58"/>
      <c r="S27" s="61"/>
      <c r="T27" s="78">
        <f t="shared" si="14"/>
        <v>0</v>
      </c>
      <c r="U27" s="59"/>
      <c r="V27" s="129"/>
      <c r="W27" s="61">
        <v>15</v>
      </c>
      <c r="X27" s="78">
        <f t="shared" si="1"/>
        <v>5250</v>
      </c>
      <c r="Y27" s="61"/>
      <c r="Z27" s="58"/>
      <c r="AA27" s="61"/>
      <c r="AB27" s="78"/>
      <c r="AC27" s="61">
        <v>84</v>
      </c>
      <c r="AD27" s="129">
        <f t="shared" si="2"/>
        <v>29400</v>
      </c>
      <c r="AE27" s="61"/>
      <c r="AF27" s="78"/>
      <c r="AG27" s="63"/>
      <c r="AH27" s="58">
        <f t="shared" si="3"/>
        <v>0</v>
      </c>
      <c r="AI27" s="61">
        <v>28</v>
      </c>
      <c r="AJ27" s="78">
        <f t="shared" si="4"/>
        <v>9800</v>
      </c>
      <c r="AK27" s="61">
        <v>20</v>
      </c>
      <c r="AL27" s="129">
        <f t="shared" si="5"/>
        <v>7000</v>
      </c>
      <c r="AM27" s="61">
        <v>100</v>
      </c>
      <c r="AN27" s="78">
        <f t="shared" si="6"/>
        <v>35000</v>
      </c>
      <c r="AO27" s="61"/>
      <c r="AP27" s="129"/>
      <c r="AQ27" s="61"/>
      <c r="AR27" s="62"/>
      <c r="AS27" s="64"/>
      <c r="AT27" s="78">
        <f t="shared" si="9"/>
        <v>0</v>
      </c>
      <c r="AU27" s="64">
        <v>50</v>
      </c>
      <c r="AV27" s="78">
        <f t="shared" si="7"/>
        <v>17500</v>
      </c>
      <c r="AW27" s="64">
        <v>10</v>
      </c>
      <c r="AX27" s="129">
        <f t="shared" si="10"/>
        <v>3500</v>
      </c>
      <c r="AY27" s="65"/>
      <c r="AZ27" s="65"/>
      <c r="BA27" s="79">
        <f t="shared" si="11"/>
        <v>345</v>
      </c>
      <c r="BB27" s="66">
        <v>350</v>
      </c>
      <c r="BC27" s="33">
        <f t="shared" si="12"/>
        <v>120750</v>
      </c>
      <c r="BD27" s="67"/>
    </row>
    <row r="28" spans="1:56" s="68" customFormat="1" ht="12.75" x14ac:dyDescent="0.2">
      <c r="A28" s="122">
        <v>19</v>
      </c>
      <c r="B28" s="46" t="s">
        <v>88</v>
      </c>
      <c r="C28" s="54" t="s">
        <v>48</v>
      </c>
      <c r="D28" s="55" t="s">
        <v>51</v>
      </c>
      <c r="E28" s="56" t="s">
        <v>89</v>
      </c>
      <c r="F28" s="55" t="s">
        <v>47</v>
      </c>
      <c r="G28" s="57"/>
      <c r="H28" s="57"/>
      <c r="I28" s="57"/>
      <c r="J28" s="31"/>
      <c r="K28" s="55"/>
      <c r="L28" s="58">
        <f t="shared" si="13"/>
        <v>0</v>
      </c>
      <c r="M28" s="59">
        <v>10</v>
      </c>
      <c r="N28" s="127">
        <f t="shared" si="8"/>
        <v>4000</v>
      </c>
      <c r="O28" s="61"/>
      <c r="P28" s="129">
        <f t="shared" si="0"/>
        <v>0</v>
      </c>
      <c r="Q28" s="59"/>
      <c r="R28" s="58"/>
      <c r="S28" s="61">
        <v>3</v>
      </c>
      <c r="T28" s="78">
        <f t="shared" si="14"/>
        <v>1200</v>
      </c>
      <c r="U28" s="59"/>
      <c r="V28" s="129"/>
      <c r="W28" s="61"/>
      <c r="X28" s="78">
        <f t="shared" si="1"/>
        <v>0</v>
      </c>
      <c r="Y28" s="61"/>
      <c r="Z28" s="58"/>
      <c r="AA28" s="61"/>
      <c r="AB28" s="78"/>
      <c r="AC28" s="61"/>
      <c r="AD28" s="129">
        <f t="shared" si="2"/>
        <v>0</v>
      </c>
      <c r="AE28" s="61"/>
      <c r="AF28" s="78"/>
      <c r="AG28" s="63"/>
      <c r="AH28" s="58">
        <f t="shared" si="3"/>
        <v>0</v>
      </c>
      <c r="AI28" s="61"/>
      <c r="AJ28" s="78">
        <f t="shared" si="4"/>
        <v>0</v>
      </c>
      <c r="AK28" s="61"/>
      <c r="AL28" s="129">
        <f t="shared" si="5"/>
        <v>0</v>
      </c>
      <c r="AM28" s="61"/>
      <c r="AN28" s="78">
        <f t="shared" si="6"/>
        <v>0</v>
      </c>
      <c r="AO28" s="61"/>
      <c r="AP28" s="129"/>
      <c r="AQ28" s="61"/>
      <c r="AR28" s="62"/>
      <c r="AS28" s="64"/>
      <c r="AT28" s="78">
        <f t="shared" si="9"/>
        <v>0</v>
      </c>
      <c r="AU28" s="64"/>
      <c r="AV28" s="78">
        <f t="shared" si="7"/>
        <v>0</v>
      </c>
      <c r="AW28" s="64"/>
      <c r="AX28" s="129">
        <f t="shared" si="10"/>
        <v>0</v>
      </c>
      <c r="AY28" s="65"/>
      <c r="AZ28" s="65"/>
      <c r="BA28" s="79">
        <f t="shared" si="11"/>
        <v>13</v>
      </c>
      <c r="BB28" s="66">
        <v>400</v>
      </c>
      <c r="BC28" s="33">
        <f t="shared" si="12"/>
        <v>5200</v>
      </c>
      <c r="BD28" s="67" t="s">
        <v>119</v>
      </c>
    </row>
    <row r="29" spans="1:56" s="68" customFormat="1" ht="12.75" x14ac:dyDescent="0.2">
      <c r="A29" s="54">
        <v>20</v>
      </c>
      <c r="B29" s="46" t="s">
        <v>90</v>
      </c>
      <c r="C29" s="54" t="s">
        <v>48</v>
      </c>
      <c r="D29" s="55" t="s">
        <v>51</v>
      </c>
      <c r="E29" s="56" t="s">
        <v>91</v>
      </c>
      <c r="F29" s="55" t="s">
        <v>47</v>
      </c>
      <c r="G29" s="63"/>
      <c r="H29" s="63"/>
      <c r="I29" s="63"/>
      <c r="J29" s="31"/>
      <c r="K29" s="55"/>
      <c r="L29" s="58">
        <f t="shared" si="13"/>
        <v>0</v>
      </c>
      <c r="M29" s="59"/>
      <c r="N29" s="127">
        <f t="shared" si="8"/>
        <v>0</v>
      </c>
      <c r="O29" s="61"/>
      <c r="P29" s="129">
        <f t="shared" si="0"/>
        <v>0</v>
      </c>
      <c r="Q29" s="59"/>
      <c r="R29" s="58"/>
      <c r="S29" s="61"/>
      <c r="T29" s="78">
        <f t="shared" si="14"/>
        <v>0</v>
      </c>
      <c r="U29" s="59"/>
      <c r="V29" s="129"/>
      <c r="W29" s="61"/>
      <c r="X29" s="78">
        <f t="shared" si="1"/>
        <v>0</v>
      </c>
      <c r="Y29" s="61"/>
      <c r="Z29" s="58"/>
      <c r="AA29" s="61"/>
      <c r="AB29" s="78"/>
      <c r="AC29" s="61"/>
      <c r="AD29" s="129">
        <f t="shared" si="2"/>
        <v>0</v>
      </c>
      <c r="AE29" s="61"/>
      <c r="AF29" s="78"/>
      <c r="AG29" s="63"/>
      <c r="AH29" s="58">
        <f t="shared" si="3"/>
        <v>0</v>
      </c>
      <c r="AI29" s="61"/>
      <c r="AJ29" s="78">
        <f t="shared" si="4"/>
        <v>0</v>
      </c>
      <c r="AK29" s="61"/>
      <c r="AL29" s="129">
        <f t="shared" si="5"/>
        <v>0</v>
      </c>
      <c r="AM29" s="61"/>
      <c r="AN29" s="78">
        <f t="shared" si="6"/>
        <v>0</v>
      </c>
      <c r="AO29" s="61"/>
      <c r="AP29" s="129"/>
      <c r="AQ29" s="61"/>
      <c r="AR29" s="62"/>
      <c r="AS29" s="64"/>
      <c r="AT29" s="78">
        <f t="shared" si="9"/>
        <v>0</v>
      </c>
      <c r="AU29" s="64">
        <v>5</v>
      </c>
      <c r="AV29" s="78">
        <f t="shared" si="7"/>
        <v>4000</v>
      </c>
      <c r="AW29" s="64"/>
      <c r="AX29" s="129">
        <f t="shared" si="10"/>
        <v>0</v>
      </c>
      <c r="AY29" s="65"/>
      <c r="AZ29" s="65"/>
      <c r="BA29" s="79">
        <f t="shared" si="11"/>
        <v>5</v>
      </c>
      <c r="BB29" s="74">
        <v>800</v>
      </c>
      <c r="BC29" s="33">
        <f t="shared" si="12"/>
        <v>4000</v>
      </c>
      <c r="BD29" s="67" t="s">
        <v>119</v>
      </c>
    </row>
    <row r="30" spans="1:56" s="68" customFormat="1" ht="12.75" x14ac:dyDescent="0.2">
      <c r="A30" s="122">
        <v>21</v>
      </c>
      <c r="B30" s="46" t="s">
        <v>92</v>
      </c>
      <c r="C30" s="54" t="s">
        <v>48</v>
      </c>
      <c r="D30" s="55" t="s">
        <v>51</v>
      </c>
      <c r="E30" s="76" t="s">
        <v>93</v>
      </c>
      <c r="F30" s="55" t="s">
        <v>47</v>
      </c>
      <c r="G30" s="63"/>
      <c r="H30" s="63"/>
      <c r="I30" s="63"/>
      <c r="J30" s="31"/>
      <c r="K30" s="55"/>
      <c r="L30" s="58">
        <f t="shared" si="13"/>
        <v>0</v>
      </c>
      <c r="M30" s="59">
        <v>20</v>
      </c>
      <c r="N30" s="127">
        <f t="shared" si="8"/>
        <v>2400</v>
      </c>
      <c r="O30" s="61">
        <v>10</v>
      </c>
      <c r="P30" s="129">
        <f t="shared" si="0"/>
        <v>1200</v>
      </c>
      <c r="Q30" s="59"/>
      <c r="R30" s="58"/>
      <c r="S30" s="61">
        <v>3</v>
      </c>
      <c r="T30" s="78">
        <f t="shared" si="14"/>
        <v>360</v>
      </c>
      <c r="U30" s="59"/>
      <c r="V30" s="129"/>
      <c r="W30" s="61">
        <v>40</v>
      </c>
      <c r="X30" s="78">
        <f t="shared" si="1"/>
        <v>4800</v>
      </c>
      <c r="Y30" s="61"/>
      <c r="Z30" s="58"/>
      <c r="AA30" s="61"/>
      <c r="AB30" s="78"/>
      <c r="AC30" s="61"/>
      <c r="AD30" s="129">
        <f t="shared" si="2"/>
        <v>0</v>
      </c>
      <c r="AE30" s="61"/>
      <c r="AF30" s="78"/>
      <c r="AG30" s="63"/>
      <c r="AH30" s="58">
        <f t="shared" si="3"/>
        <v>0</v>
      </c>
      <c r="AI30" s="61"/>
      <c r="AJ30" s="78">
        <f t="shared" si="4"/>
        <v>0</v>
      </c>
      <c r="AK30" s="61"/>
      <c r="AL30" s="129">
        <f t="shared" si="5"/>
        <v>0</v>
      </c>
      <c r="AM30" s="61"/>
      <c r="AN30" s="78">
        <f t="shared" si="6"/>
        <v>0</v>
      </c>
      <c r="AO30" s="61"/>
      <c r="AP30" s="129"/>
      <c r="AQ30" s="61"/>
      <c r="AR30" s="62"/>
      <c r="AS30" s="64"/>
      <c r="AT30" s="78">
        <f t="shared" si="9"/>
        <v>0</v>
      </c>
      <c r="AU30" s="64">
        <v>10</v>
      </c>
      <c r="AV30" s="78">
        <f t="shared" si="7"/>
        <v>1200</v>
      </c>
      <c r="AW30" s="64"/>
      <c r="AX30" s="129">
        <f t="shared" si="10"/>
        <v>0</v>
      </c>
      <c r="AY30" s="65"/>
      <c r="AZ30" s="65"/>
      <c r="BA30" s="79">
        <f t="shared" si="11"/>
        <v>83</v>
      </c>
      <c r="BB30" s="74">
        <v>120</v>
      </c>
      <c r="BC30" s="33">
        <f t="shared" si="12"/>
        <v>9960</v>
      </c>
      <c r="BD30" s="67"/>
    </row>
    <row r="31" spans="1:56" s="68" customFormat="1" ht="12.75" x14ac:dyDescent="0.2">
      <c r="A31" s="54">
        <v>22</v>
      </c>
      <c r="B31" s="46" t="s">
        <v>94</v>
      </c>
      <c r="C31" s="54" t="s">
        <v>48</v>
      </c>
      <c r="D31" s="55" t="s">
        <v>51</v>
      </c>
      <c r="E31" s="76" t="s">
        <v>95</v>
      </c>
      <c r="F31" s="55" t="s">
        <v>47</v>
      </c>
      <c r="G31" s="55"/>
      <c r="H31" s="55"/>
      <c r="I31" s="55"/>
      <c r="J31" s="187"/>
      <c r="K31" s="55"/>
      <c r="L31" s="58">
        <f t="shared" si="13"/>
        <v>0</v>
      </c>
      <c r="M31" s="59">
        <v>10</v>
      </c>
      <c r="N31" s="127">
        <f t="shared" si="8"/>
        <v>1150</v>
      </c>
      <c r="O31" s="61">
        <v>5</v>
      </c>
      <c r="P31" s="129">
        <f t="shared" si="0"/>
        <v>575</v>
      </c>
      <c r="Q31" s="59"/>
      <c r="R31" s="58"/>
      <c r="S31" s="61">
        <v>3</v>
      </c>
      <c r="T31" s="78">
        <f t="shared" si="14"/>
        <v>345</v>
      </c>
      <c r="U31" s="59"/>
      <c r="V31" s="129"/>
      <c r="W31" s="61">
        <v>40</v>
      </c>
      <c r="X31" s="78">
        <f t="shared" si="1"/>
        <v>4600</v>
      </c>
      <c r="Y31" s="61"/>
      <c r="Z31" s="58"/>
      <c r="AA31" s="61"/>
      <c r="AB31" s="78"/>
      <c r="AC31" s="61"/>
      <c r="AD31" s="129">
        <f t="shared" si="2"/>
        <v>0</v>
      </c>
      <c r="AE31" s="61"/>
      <c r="AF31" s="78"/>
      <c r="AG31" s="63"/>
      <c r="AH31" s="58">
        <f t="shared" si="3"/>
        <v>0</v>
      </c>
      <c r="AI31" s="61"/>
      <c r="AJ31" s="78">
        <f t="shared" si="4"/>
        <v>0</v>
      </c>
      <c r="AK31" s="61">
        <v>6</v>
      </c>
      <c r="AL31" s="129">
        <f t="shared" si="5"/>
        <v>690</v>
      </c>
      <c r="AM31" s="61"/>
      <c r="AN31" s="78">
        <f t="shared" si="6"/>
        <v>0</v>
      </c>
      <c r="AO31" s="61"/>
      <c r="AP31" s="129"/>
      <c r="AQ31" s="61"/>
      <c r="AR31" s="62"/>
      <c r="AS31" s="64"/>
      <c r="AT31" s="78">
        <f t="shared" si="9"/>
        <v>0</v>
      </c>
      <c r="AU31" s="64">
        <v>10</v>
      </c>
      <c r="AV31" s="78">
        <f t="shared" si="7"/>
        <v>1150</v>
      </c>
      <c r="AW31" s="64">
        <v>10</v>
      </c>
      <c r="AX31" s="129">
        <f t="shared" si="10"/>
        <v>1150</v>
      </c>
      <c r="AY31" s="65"/>
      <c r="AZ31" s="65"/>
      <c r="BA31" s="79">
        <f t="shared" si="11"/>
        <v>84</v>
      </c>
      <c r="BB31" s="66">
        <v>115</v>
      </c>
      <c r="BC31" s="33">
        <f t="shared" si="12"/>
        <v>9660</v>
      </c>
      <c r="BD31" s="67"/>
    </row>
    <row r="32" spans="1:56" s="68" customFormat="1" ht="12.75" x14ac:dyDescent="0.2">
      <c r="A32" s="122">
        <v>23</v>
      </c>
      <c r="B32" s="186" t="s">
        <v>96</v>
      </c>
      <c r="C32" s="54" t="s">
        <v>48</v>
      </c>
      <c r="D32" s="55" t="s">
        <v>51</v>
      </c>
      <c r="E32" s="56" t="s">
        <v>97</v>
      </c>
      <c r="F32" s="55" t="s">
        <v>47</v>
      </c>
      <c r="G32" s="70"/>
      <c r="H32" s="70"/>
      <c r="I32" s="70"/>
      <c r="J32" s="71"/>
      <c r="K32" s="72"/>
      <c r="L32" s="58">
        <f t="shared" si="13"/>
        <v>0</v>
      </c>
      <c r="M32" s="82">
        <v>15</v>
      </c>
      <c r="N32" s="127">
        <f t="shared" si="8"/>
        <v>1800</v>
      </c>
      <c r="O32" s="61"/>
      <c r="P32" s="129">
        <f t="shared" si="0"/>
        <v>0</v>
      </c>
      <c r="Q32" s="59"/>
      <c r="R32" s="58"/>
      <c r="S32" s="61"/>
      <c r="T32" s="78">
        <f t="shared" si="14"/>
        <v>0</v>
      </c>
      <c r="U32" s="59"/>
      <c r="V32" s="129"/>
      <c r="W32" s="61"/>
      <c r="X32" s="78">
        <f t="shared" si="1"/>
        <v>0</v>
      </c>
      <c r="Y32" s="61"/>
      <c r="Z32" s="58"/>
      <c r="AA32" s="61"/>
      <c r="AB32" s="78"/>
      <c r="AC32" s="61">
        <v>10</v>
      </c>
      <c r="AD32" s="129">
        <f t="shared" si="2"/>
        <v>1200</v>
      </c>
      <c r="AE32" s="61"/>
      <c r="AF32" s="78"/>
      <c r="AG32" s="63"/>
      <c r="AH32" s="58">
        <f t="shared" si="3"/>
        <v>0</v>
      </c>
      <c r="AI32" s="61"/>
      <c r="AJ32" s="78">
        <f t="shared" si="4"/>
        <v>0</v>
      </c>
      <c r="AK32" s="61"/>
      <c r="AL32" s="129">
        <f t="shared" si="5"/>
        <v>0</v>
      </c>
      <c r="AM32" s="61"/>
      <c r="AN32" s="78">
        <f t="shared" si="6"/>
        <v>0</v>
      </c>
      <c r="AO32" s="61"/>
      <c r="AP32" s="129"/>
      <c r="AQ32" s="61"/>
      <c r="AR32" s="62"/>
      <c r="AS32" s="64"/>
      <c r="AT32" s="78">
        <f t="shared" si="9"/>
        <v>0</v>
      </c>
      <c r="AU32" s="64">
        <v>10</v>
      </c>
      <c r="AV32" s="78">
        <f t="shared" si="7"/>
        <v>1200</v>
      </c>
      <c r="AW32" s="64"/>
      <c r="AX32" s="129">
        <f t="shared" si="10"/>
        <v>0</v>
      </c>
      <c r="AY32" s="65"/>
      <c r="AZ32" s="65"/>
      <c r="BA32" s="79">
        <f t="shared" si="11"/>
        <v>35</v>
      </c>
      <c r="BB32" s="74">
        <v>120</v>
      </c>
      <c r="BC32" s="33">
        <f t="shared" si="12"/>
        <v>4200</v>
      </c>
      <c r="BD32" s="67"/>
    </row>
    <row r="33" spans="1:56" s="87" customFormat="1" ht="12.75" x14ac:dyDescent="0.2">
      <c r="A33" s="54">
        <v>24</v>
      </c>
      <c r="B33" s="83" t="s">
        <v>98</v>
      </c>
      <c r="C33" s="26" t="s">
        <v>48</v>
      </c>
      <c r="D33" s="26" t="s">
        <v>51</v>
      </c>
      <c r="E33" s="84" t="s">
        <v>99</v>
      </c>
      <c r="F33" s="46" t="s">
        <v>55</v>
      </c>
      <c r="G33" s="46"/>
      <c r="H33" s="46"/>
      <c r="I33" s="46"/>
      <c r="J33" s="62"/>
      <c r="K33" s="46"/>
      <c r="L33" s="60">
        <f>SUM(L10:L32)</f>
        <v>0</v>
      </c>
      <c r="M33" s="59">
        <v>5</v>
      </c>
      <c r="N33" s="127">
        <f t="shared" si="8"/>
        <v>2250</v>
      </c>
      <c r="O33" s="61"/>
      <c r="P33" s="129">
        <f t="shared" si="0"/>
        <v>0</v>
      </c>
      <c r="Q33" s="59"/>
      <c r="R33" s="46"/>
      <c r="S33" s="61"/>
      <c r="T33" s="78">
        <f t="shared" si="14"/>
        <v>0</v>
      </c>
      <c r="U33" s="59"/>
      <c r="V33" s="129"/>
      <c r="W33" s="61"/>
      <c r="X33" s="78">
        <f t="shared" si="1"/>
        <v>0</v>
      </c>
      <c r="Y33" s="61"/>
      <c r="Z33" s="46"/>
      <c r="AA33" s="61"/>
      <c r="AB33" s="78"/>
      <c r="AC33" s="61"/>
      <c r="AD33" s="129">
        <f t="shared" si="2"/>
        <v>0</v>
      </c>
      <c r="AE33" s="61"/>
      <c r="AF33" s="78"/>
      <c r="AG33" s="63"/>
      <c r="AH33" s="58">
        <f t="shared" si="3"/>
        <v>0</v>
      </c>
      <c r="AI33" s="61"/>
      <c r="AJ33" s="78">
        <f t="shared" si="4"/>
        <v>0</v>
      </c>
      <c r="AK33" s="61"/>
      <c r="AL33" s="129">
        <f t="shared" si="5"/>
        <v>0</v>
      </c>
      <c r="AM33" s="61"/>
      <c r="AN33" s="78">
        <f t="shared" si="6"/>
        <v>0</v>
      </c>
      <c r="AO33" s="61"/>
      <c r="AP33" s="129"/>
      <c r="AQ33" s="61"/>
      <c r="AR33" s="62"/>
      <c r="AS33" s="64"/>
      <c r="AT33" s="78">
        <f t="shared" si="9"/>
        <v>0</v>
      </c>
      <c r="AU33" s="64"/>
      <c r="AV33" s="78">
        <f t="shared" si="7"/>
        <v>0</v>
      </c>
      <c r="AW33" s="64"/>
      <c r="AX33" s="129">
        <f t="shared" si="10"/>
        <v>0</v>
      </c>
      <c r="AY33" s="65"/>
      <c r="AZ33" s="65"/>
      <c r="BA33" s="79">
        <f t="shared" si="11"/>
        <v>5</v>
      </c>
      <c r="BB33" s="85">
        <v>450</v>
      </c>
      <c r="BC33" s="33">
        <f t="shared" si="12"/>
        <v>2250</v>
      </c>
      <c r="BD33" s="86"/>
    </row>
    <row r="34" spans="1:56" s="87" customFormat="1" ht="25.5" x14ac:dyDescent="0.2">
      <c r="A34" s="122">
        <v>25</v>
      </c>
      <c r="B34" s="83" t="s">
        <v>115</v>
      </c>
      <c r="C34" s="26" t="s">
        <v>48</v>
      </c>
      <c r="D34" s="26">
        <v>234</v>
      </c>
      <c r="E34" s="84" t="s">
        <v>116</v>
      </c>
      <c r="F34" s="46" t="s">
        <v>46</v>
      </c>
      <c r="G34" s="46"/>
      <c r="H34" s="46"/>
      <c r="I34" s="46"/>
      <c r="J34" s="62"/>
      <c r="K34" s="46"/>
      <c r="L34" s="60"/>
      <c r="M34" s="59"/>
      <c r="N34" s="127">
        <f t="shared" si="8"/>
        <v>0</v>
      </c>
      <c r="O34" s="61"/>
      <c r="P34" s="129">
        <f t="shared" si="0"/>
        <v>0</v>
      </c>
      <c r="Q34" s="59"/>
      <c r="R34" s="46"/>
      <c r="S34" s="61"/>
      <c r="T34" s="78">
        <f t="shared" si="14"/>
        <v>0</v>
      </c>
      <c r="U34" s="59"/>
      <c r="V34" s="129"/>
      <c r="W34" s="61"/>
      <c r="X34" s="78">
        <f t="shared" si="1"/>
        <v>0</v>
      </c>
      <c r="Y34" s="61"/>
      <c r="Z34" s="46"/>
      <c r="AA34" s="61"/>
      <c r="AB34" s="78"/>
      <c r="AC34" s="61"/>
      <c r="AD34" s="129">
        <f t="shared" si="2"/>
        <v>0</v>
      </c>
      <c r="AE34" s="61"/>
      <c r="AF34" s="78"/>
      <c r="AG34" s="63"/>
      <c r="AH34" s="58"/>
      <c r="AI34" s="61"/>
      <c r="AJ34" s="78">
        <f t="shared" si="4"/>
        <v>0</v>
      </c>
      <c r="AK34" s="61"/>
      <c r="AL34" s="129">
        <f t="shared" si="5"/>
        <v>0</v>
      </c>
      <c r="AM34" s="61"/>
      <c r="AN34" s="78">
        <f t="shared" si="6"/>
        <v>0</v>
      </c>
      <c r="AO34" s="61"/>
      <c r="AP34" s="129"/>
      <c r="AQ34" s="61"/>
      <c r="AR34" s="62"/>
      <c r="AS34" s="64">
        <v>4</v>
      </c>
      <c r="AT34" s="78">
        <f t="shared" si="9"/>
        <v>5600</v>
      </c>
      <c r="AU34" s="64">
        <v>25</v>
      </c>
      <c r="AV34" s="78">
        <f t="shared" si="7"/>
        <v>35000</v>
      </c>
      <c r="AW34" s="64"/>
      <c r="AX34" s="129">
        <f t="shared" si="10"/>
        <v>0</v>
      </c>
      <c r="AY34" s="65"/>
      <c r="AZ34" s="65"/>
      <c r="BA34" s="79">
        <f t="shared" si="11"/>
        <v>29</v>
      </c>
      <c r="BB34" s="85">
        <v>1400</v>
      </c>
      <c r="BC34" s="33">
        <f t="shared" si="12"/>
        <v>40600</v>
      </c>
      <c r="BD34" s="86"/>
    </row>
    <row r="35" spans="1:56" s="87" customFormat="1" ht="25.5" x14ac:dyDescent="0.2">
      <c r="A35" s="54">
        <v>26</v>
      </c>
      <c r="B35" s="83" t="s">
        <v>117</v>
      </c>
      <c r="C35" s="26" t="s">
        <v>48</v>
      </c>
      <c r="D35" s="26">
        <v>234</v>
      </c>
      <c r="E35" s="84" t="s">
        <v>118</v>
      </c>
      <c r="F35" s="46" t="s">
        <v>47</v>
      </c>
      <c r="G35" s="46"/>
      <c r="H35" s="46"/>
      <c r="I35" s="46"/>
      <c r="J35" s="62"/>
      <c r="K35" s="46"/>
      <c r="L35" s="60"/>
      <c r="M35" s="59">
        <v>2</v>
      </c>
      <c r="N35" s="127">
        <f t="shared" si="8"/>
        <v>2800</v>
      </c>
      <c r="O35" s="61"/>
      <c r="P35" s="129">
        <f t="shared" si="0"/>
        <v>0</v>
      </c>
      <c r="Q35" s="59"/>
      <c r="R35" s="46"/>
      <c r="S35" s="61"/>
      <c r="T35" s="78">
        <f t="shared" si="14"/>
        <v>0</v>
      </c>
      <c r="U35" s="59"/>
      <c r="V35" s="129"/>
      <c r="W35" s="61"/>
      <c r="X35" s="78">
        <f t="shared" si="1"/>
        <v>0</v>
      </c>
      <c r="Y35" s="61"/>
      <c r="Z35" s="58"/>
      <c r="AA35" s="61"/>
      <c r="AB35" s="78"/>
      <c r="AC35" s="61"/>
      <c r="AD35" s="129">
        <f t="shared" si="2"/>
        <v>0</v>
      </c>
      <c r="AE35" s="61"/>
      <c r="AF35" s="78"/>
      <c r="AG35" s="63"/>
      <c r="AH35" s="58"/>
      <c r="AI35" s="61"/>
      <c r="AJ35" s="78">
        <f t="shared" si="4"/>
        <v>0</v>
      </c>
      <c r="AK35" s="61"/>
      <c r="AL35" s="129">
        <f t="shared" si="5"/>
        <v>0</v>
      </c>
      <c r="AM35" s="61"/>
      <c r="AN35" s="78">
        <f t="shared" si="6"/>
        <v>0</v>
      </c>
      <c r="AO35" s="61"/>
      <c r="AP35" s="129"/>
      <c r="AQ35" s="61"/>
      <c r="AR35" s="62"/>
      <c r="AS35" s="64">
        <v>13</v>
      </c>
      <c r="AT35" s="78">
        <f t="shared" si="9"/>
        <v>18200</v>
      </c>
      <c r="AU35" s="64"/>
      <c r="AV35" s="78">
        <f t="shared" si="7"/>
        <v>0</v>
      </c>
      <c r="AW35" s="64"/>
      <c r="AX35" s="129">
        <f t="shared" si="10"/>
        <v>0</v>
      </c>
      <c r="AY35" s="65"/>
      <c r="AZ35" s="65"/>
      <c r="BA35" s="79">
        <f t="shared" si="11"/>
        <v>15</v>
      </c>
      <c r="BB35" s="85">
        <v>1400</v>
      </c>
      <c r="BC35" s="33">
        <f t="shared" si="12"/>
        <v>21000</v>
      </c>
      <c r="BD35" s="86"/>
    </row>
    <row r="36" spans="1:56" s="87" customFormat="1" ht="25.5" x14ac:dyDescent="0.2">
      <c r="A36" s="122">
        <v>27</v>
      </c>
      <c r="B36" s="83" t="s">
        <v>131</v>
      </c>
      <c r="C36" s="26" t="s">
        <v>48</v>
      </c>
      <c r="D36" s="26" t="s">
        <v>51</v>
      </c>
      <c r="E36" s="84" t="s">
        <v>132</v>
      </c>
      <c r="F36" s="46" t="s">
        <v>47</v>
      </c>
      <c r="G36" s="46"/>
      <c r="H36" s="46"/>
      <c r="I36" s="46"/>
      <c r="J36" s="62"/>
      <c r="K36" s="46"/>
      <c r="L36" s="60"/>
      <c r="M36" s="59">
        <v>5</v>
      </c>
      <c r="N36" s="127">
        <f t="shared" si="8"/>
        <v>4000</v>
      </c>
      <c r="O36" s="61"/>
      <c r="P36" s="129">
        <f t="shared" si="0"/>
        <v>0</v>
      </c>
      <c r="Q36" s="59"/>
      <c r="R36" s="46"/>
      <c r="S36" s="61">
        <v>2</v>
      </c>
      <c r="T36" s="78">
        <f t="shared" si="14"/>
        <v>1600</v>
      </c>
      <c r="U36" s="59"/>
      <c r="V36" s="129"/>
      <c r="W36" s="61">
        <v>5</v>
      </c>
      <c r="X36" s="78">
        <f t="shared" si="1"/>
        <v>4000</v>
      </c>
      <c r="Y36" s="61"/>
      <c r="Z36" s="46"/>
      <c r="AA36" s="61"/>
      <c r="AB36" s="78"/>
      <c r="AC36" s="61"/>
      <c r="AD36" s="129">
        <f t="shared" si="2"/>
        <v>0</v>
      </c>
      <c r="AE36" s="61"/>
      <c r="AF36" s="78"/>
      <c r="AG36" s="63"/>
      <c r="AH36" s="58"/>
      <c r="AI36" s="61"/>
      <c r="AJ36" s="78">
        <f t="shared" si="4"/>
        <v>0</v>
      </c>
      <c r="AK36" s="61"/>
      <c r="AL36" s="129">
        <f t="shared" si="5"/>
        <v>0</v>
      </c>
      <c r="AM36" s="61"/>
      <c r="AN36" s="78">
        <f t="shared" si="6"/>
        <v>0</v>
      </c>
      <c r="AO36" s="61"/>
      <c r="AP36" s="129"/>
      <c r="AQ36" s="61"/>
      <c r="AR36" s="62"/>
      <c r="AS36" s="64"/>
      <c r="AT36" s="78">
        <f t="shared" si="9"/>
        <v>0</v>
      </c>
      <c r="AU36" s="64"/>
      <c r="AV36" s="78">
        <f t="shared" si="7"/>
        <v>0</v>
      </c>
      <c r="AW36" s="64"/>
      <c r="AX36" s="129">
        <f t="shared" si="10"/>
        <v>0</v>
      </c>
      <c r="AY36" s="65"/>
      <c r="AZ36" s="65"/>
      <c r="BA36" s="79">
        <f t="shared" si="11"/>
        <v>12</v>
      </c>
      <c r="BB36" s="85">
        <v>800</v>
      </c>
      <c r="BC36" s="33">
        <f t="shared" si="12"/>
        <v>9600</v>
      </c>
      <c r="BD36" s="88"/>
    </row>
    <row r="37" spans="1:56" s="87" customFormat="1" ht="12.75" x14ac:dyDescent="0.2">
      <c r="A37" s="54">
        <v>28</v>
      </c>
      <c r="B37" s="83" t="s">
        <v>120</v>
      </c>
      <c r="C37" s="26" t="s">
        <v>48</v>
      </c>
      <c r="D37" s="26" t="s">
        <v>222</v>
      </c>
      <c r="E37" s="84" t="s">
        <v>121</v>
      </c>
      <c r="F37" s="46" t="s">
        <v>47</v>
      </c>
      <c r="G37" s="46"/>
      <c r="H37" s="46"/>
      <c r="I37" s="46"/>
      <c r="J37" s="62"/>
      <c r="K37" s="46"/>
      <c r="L37" s="60"/>
      <c r="M37" s="59"/>
      <c r="N37" s="127">
        <f t="shared" si="8"/>
        <v>0</v>
      </c>
      <c r="O37" s="61"/>
      <c r="P37" s="129">
        <f t="shared" si="0"/>
        <v>0</v>
      </c>
      <c r="Q37" s="59"/>
      <c r="R37" s="46"/>
      <c r="S37" s="61">
        <v>20</v>
      </c>
      <c r="T37" s="78">
        <f t="shared" si="14"/>
        <v>3600</v>
      </c>
      <c r="U37" s="59"/>
      <c r="V37" s="129"/>
      <c r="W37" s="61"/>
      <c r="X37" s="78">
        <f t="shared" si="1"/>
        <v>0</v>
      </c>
      <c r="Y37" s="61"/>
      <c r="Z37" s="46"/>
      <c r="AA37" s="61"/>
      <c r="AB37" s="78"/>
      <c r="AC37" s="61"/>
      <c r="AD37" s="129">
        <f t="shared" si="2"/>
        <v>0</v>
      </c>
      <c r="AE37" s="61"/>
      <c r="AF37" s="78"/>
      <c r="AG37" s="63"/>
      <c r="AH37" s="58"/>
      <c r="AI37" s="61"/>
      <c r="AJ37" s="78">
        <f t="shared" si="4"/>
        <v>0</v>
      </c>
      <c r="AK37" s="61"/>
      <c r="AL37" s="129">
        <f t="shared" si="5"/>
        <v>0</v>
      </c>
      <c r="AM37" s="61"/>
      <c r="AN37" s="78">
        <f t="shared" si="6"/>
        <v>0</v>
      </c>
      <c r="AO37" s="61"/>
      <c r="AP37" s="129"/>
      <c r="AQ37" s="61"/>
      <c r="AR37" s="62"/>
      <c r="AS37" s="64"/>
      <c r="AT37" s="78">
        <f t="shared" si="9"/>
        <v>0</v>
      </c>
      <c r="AU37" s="64"/>
      <c r="AV37" s="78">
        <f t="shared" si="7"/>
        <v>0</v>
      </c>
      <c r="AW37" s="64"/>
      <c r="AX37" s="129">
        <f t="shared" si="10"/>
        <v>0</v>
      </c>
      <c r="AY37" s="65"/>
      <c r="AZ37" s="65"/>
      <c r="BA37" s="79">
        <f t="shared" si="11"/>
        <v>20</v>
      </c>
      <c r="BB37" s="85">
        <v>180</v>
      </c>
      <c r="BC37" s="33">
        <f t="shared" si="12"/>
        <v>3600</v>
      </c>
      <c r="BD37" s="88"/>
    </row>
    <row r="38" spans="1:56" s="87" customFormat="1" ht="25.5" x14ac:dyDescent="0.2">
      <c r="A38" s="122">
        <v>29</v>
      </c>
      <c r="B38" s="83" t="s">
        <v>122</v>
      </c>
      <c r="C38" s="26" t="s">
        <v>48</v>
      </c>
      <c r="D38" s="26" t="s">
        <v>222</v>
      </c>
      <c r="E38" s="84" t="s">
        <v>123</v>
      </c>
      <c r="F38" s="46" t="s">
        <v>47</v>
      </c>
      <c r="G38" s="46"/>
      <c r="H38" s="46"/>
      <c r="I38" s="46"/>
      <c r="J38" s="62"/>
      <c r="K38" s="46"/>
      <c r="L38" s="60"/>
      <c r="M38" s="59"/>
      <c r="N38" s="127">
        <f t="shared" si="8"/>
        <v>0</v>
      </c>
      <c r="O38" s="61"/>
      <c r="P38" s="129">
        <f t="shared" si="0"/>
        <v>0</v>
      </c>
      <c r="Q38" s="59"/>
      <c r="R38" s="46"/>
      <c r="S38" s="61">
        <v>3</v>
      </c>
      <c r="T38" s="78">
        <f t="shared" si="14"/>
        <v>2340</v>
      </c>
      <c r="U38" s="59"/>
      <c r="V38" s="129"/>
      <c r="W38" s="61"/>
      <c r="X38" s="78">
        <f t="shared" si="1"/>
        <v>0</v>
      </c>
      <c r="Y38" s="61"/>
      <c r="Z38" s="46"/>
      <c r="AA38" s="61"/>
      <c r="AB38" s="78"/>
      <c r="AC38" s="61"/>
      <c r="AD38" s="129">
        <f t="shared" si="2"/>
        <v>0</v>
      </c>
      <c r="AE38" s="61"/>
      <c r="AF38" s="78"/>
      <c r="AG38" s="63"/>
      <c r="AH38" s="58"/>
      <c r="AI38" s="61"/>
      <c r="AJ38" s="78">
        <f t="shared" si="4"/>
        <v>0</v>
      </c>
      <c r="AK38" s="61"/>
      <c r="AL38" s="129">
        <f t="shared" si="5"/>
        <v>0</v>
      </c>
      <c r="AM38" s="61"/>
      <c r="AN38" s="78">
        <f t="shared" si="6"/>
        <v>0</v>
      </c>
      <c r="AO38" s="61"/>
      <c r="AP38" s="129"/>
      <c r="AQ38" s="61"/>
      <c r="AR38" s="62"/>
      <c r="AS38" s="64"/>
      <c r="AT38" s="78">
        <f t="shared" si="9"/>
        <v>0</v>
      </c>
      <c r="AU38" s="64"/>
      <c r="AV38" s="78">
        <f t="shared" si="7"/>
        <v>0</v>
      </c>
      <c r="AW38" s="64"/>
      <c r="AX38" s="129">
        <f t="shared" si="10"/>
        <v>0</v>
      </c>
      <c r="AY38" s="65"/>
      <c r="AZ38" s="65"/>
      <c r="BA38" s="79">
        <f t="shared" si="11"/>
        <v>3</v>
      </c>
      <c r="BB38" s="85">
        <v>780</v>
      </c>
      <c r="BC38" s="33">
        <f t="shared" si="12"/>
        <v>2340</v>
      </c>
      <c r="BD38" s="88"/>
    </row>
    <row r="39" spans="1:56" s="87" customFormat="1" ht="12.75" x14ac:dyDescent="0.2">
      <c r="A39" s="54">
        <v>30</v>
      </c>
      <c r="B39" s="83" t="s">
        <v>124</v>
      </c>
      <c r="C39" s="26" t="s">
        <v>48</v>
      </c>
      <c r="D39" s="26" t="s">
        <v>222</v>
      </c>
      <c r="E39" s="84" t="s">
        <v>126</v>
      </c>
      <c r="F39" s="46" t="s">
        <v>47</v>
      </c>
      <c r="G39" s="46"/>
      <c r="H39" s="46"/>
      <c r="I39" s="46"/>
      <c r="J39" s="62"/>
      <c r="K39" s="46"/>
      <c r="L39" s="60"/>
      <c r="M39" s="59"/>
      <c r="N39" s="127">
        <f t="shared" si="8"/>
        <v>0</v>
      </c>
      <c r="O39" s="61"/>
      <c r="P39" s="129">
        <f t="shared" si="0"/>
        <v>0</v>
      </c>
      <c r="Q39" s="59"/>
      <c r="R39" s="46"/>
      <c r="S39" s="61">
        <v>5</v>
      </c>
      <c r="T39" s="78">
        <f t="shared" si="14"/>
        <v>1450</v>
      </c>
      <c r="U39" s="59"/>
      <c r="V39" s="129"/>
      <c r="W39" s="61"/>
      <c r="X39" s="78">
        <f t="shared" si="1"/>
        <v>0</v>
      </c>
      <c r="Y39" s="61"/>
      <c r="Z39" s="46"/>
      <c r="AA39" s="61"/>
      <c r="AB39" s="78"/>
      <c r="AC39" s="61"/>
      <c r="AD39" s="129">
        <f t="shared" si="2"/>
        <v>0</v>
      </c>
      <c r="AE39" s="61"/>
      <c r="AF39" s="78"/>
      <c r="AG39" s="63"/>
      <c r="AH39" s="58"/>
      <c r="AI39" s="61"/>
      <c r="AJ39" s="78">
        <f t="shared" si="4"/>
        <v>0</v>
      </c>
      <c r="AK39" s="61"/>
      <c r="AL39" s="129">
        <f t="shared" si="5"/>
        <v>0</v>
      </c>
      <c r="AM39" s="61"/>
      <c r="AN39" s="78">
        <f t="shared" si="6"/>
        <v>0</v>
      </c>
      <c r="AO39" s="61"/>
      <c r="AP39" s="129"/>
      <c r="AQ39" s="61"/>
      <c r="AR39" s="62"/>
      <c r="AS39" s="64"/>
      <c r="AT39" s="78">
        <f t="shared" si="9"/>
        <v>0</v>
      </c>
      <c r="AU39" s="64"/>
      <c r="AV39" s="78">
        <f t="shared" si="7"/>
        <v>0</v>
      </c>
      <c r="AW39" s="64"/>
      <c r="AX39" s="129">
        <f t="shared" si="10"/>
        <v>0</v>
      </c>
      <c r="AY39" s="65"/>
      <c r="AZ39" s="65"/>
      <c r="BA39" s="79">
        <f t="shared" si="11"/>
        <v>5</v>
      </c>
      <c r="BB39" s="85">
        <v>290</v>
      </c>
      <c r="BC39" s="33">
        <f t="shared" si="12"/>
        <v>1450</v>
      </c>
      <c r="BD39" s="88"/>
    </row>
    <row r="40" spans="1:56" s="87" customFormat="1" ht="12.75" x14ac:dyDescent="0.2">
      <c r="A40" s="122">
        <v>31</v>
      </c>
      <c r="B40" s="83" t="s">
        <v>125</v>
      </c>
      <c r="C40" s="26" t="s">
        <v>48</v>
      </c>
      <c r="D40" s="26" t="s">
        <v>222</v>
      </c>
      <c r="E40" s="84" t="s">
        <v>127</v>
      </c>
      <c r="F40" s="46" t="s">
        <v>47</v>
      </c>
      <c r="G40" s="46"/>
      <c r="H40" s="46"/>
      <c r="I40" s="46"/>
      <c r="J40" s="62"/>
      <c r="K40" s="46"/>
      <c r="L40" s="60"/>
      <c r="M40" s="59"/>
      <c r="N40" s="127">
        <f t="shared" si="8"/>
        <v>0</v>
      </c>
      <c r="O40" s="61"/>
      <c r="P40" s="129">
        <f t="shared" si="0"/>
        <v>0</v>
      </c>
      <c r="Q40" s="59"/>
      <c r="R40" s="46"/>
      <c r="S40" s="61">
        <v>1</v>
      </c>
      <c r="T40" s="78">
        <f t="shared" si="14"/>
        <v>1300</v>
      </c>
      <c r="U40" s="59"/>
      <c r="V40" s="129"/>
      <c r="W40" s="61"/>
      <c r="X40" s="78">
        <f t="shared" si="1"/>
        <v>0</v>
      </c>
      <c r="Y40" s="61"/>
      <c r="Z40" s="46"/>
      <c r="AA40" s="61"/>
      <c r="AB40" s="78"/>
      <c r="AC40" s="61"/>
      <c r="AD40" s="129">
        <f t="shared" si="2"/>
        <v>0</v>
      </c>
      <c r="AE40" s="61"/>
      <c r="AF40" s="78"/>
      <c r="AG40" s="63"/>
      <c r="AH40" s="58"/>
      <c r="AI40" s="61"/>
      <c r="AJ40" s="78">
        <f t="shared" si="4"/>
        <v>0</v>
      </c>
      <c r="AK40" s="61"/>
      <c r="AL40" s="129">
        <f t="shared" si="5"/>
        <v>0</v>
      </c>
      <c r="AM40" s="61"/>
      <c r="AN40" s="78">
        <f t="shared" si="6"/>
        <v>0</v>
      </c>
      <c r="AO40" s="61"/>
      <c r="AP40" s="129"/>
      <c r="AQ40" s="61"/>
      <c r="AR40" s="62"/>
      <c r="AS40" s="64"/>
      <c r="AT40" s="78">
        <f t="shared" si="9"/>
        <v>0</v>
      </c>
      <c r="AU40" s="64"/>
      <c r="AV40" s="78">
        <f t="shared" si="7"/>
        <v>0</v>
      </c>
      <c r="AW40" s="64"/>
      <c r="AX40" s="129">
        <f t="shared" si="10"/>
        <v>0</v>
      </c>
      <c r="AY40" s="65"/>
      <c r="AZ40" s="65"/>
      <c r="BA40" s="79">
        <f t="shared" si="11"/>
        <v>1</v>
      </c>
      <c r="BB40" s="85">
        <v>1300</v>
      </c>
      <c r="BC40" s="33">
        <f t="shared" si="12"/>
        <v>1300</v>
      </c>
      <c r="BD40" s="88"/>
    </row>
    <row r="41" spans="1:56" s="87" customFormat="1" ht="12.75" x14ac:dyDescent="0.2">
      <c r="A41" s="54">
        <v>32</v>
      </c>
      <c r="B41" s="83" t="s">
        <v>128</v>
      </c>
      <c r="C41" s="26" t="s">
        <v>48</v>
      </c>
      <c r="D41" s="26" t="s">
        <v>129</v>
      </c>
      <c r="E41" s="84" t="s">
        <v>130</v>
      </c>
      <c r="F41" s="46" t="s">
        <v>104</v>
      </c>
      <c r="G41" s="46"/>
      <c r="H41" s="46"/>
      <c r="I41" s="46"/>
      <c r="J41" s="62"/>
      <c r="K41" s="46"/>
      <c r="L41" s="60"/>
      <c r="M41" s="59">
        <v>5</v>
      </c>
      <c r="N41" s="127">
        <f t="shared" si="8"/>
        <v>1500</v>
      </c>
      <c r="O41" s="61"/>
      <c r="P41" s="129">
        <f t="shared" si="0"/>
        <v>0</v>
      </c>
      <c r="Q41" s="59"/>
      <c r="R41" s="46"/>
      <c r="S41" s="61"/>
      <c r="T41" s="78">
        <f t="shared" si="14"/>
        <v>0</v>
      </c>
      <c r="U41" s="59"/>
      <c r="V41" s="129"/>
      <c r="W41" s="61"/>
      <c r="X41" s="78">
        <f t="shared" si="1"/>
        <v>0</v>
      </c>
      <c r="Y41" s="61"/>
      <c r="Z41" s="46"/>
      <c r="AA41" s="61"/>
      <c r="AB41" s="78"/>
      <c r="AC41" s="61">
        <v>30</v>
      </c>
      <c r="AD41" s="129">
        <f t="shared" si="2"/>
        <v>9000</v>
      </c>
      <c r="AE41" s="61"/>
      <c r="AF41" s="78"/>
      <c r="AG41" s="63"/>
      <c r="AH41" s="58"/>
      <c r="AI41" s="61"/>
      <c r="AJ41" s="78">
        <f t="shared" si="4"/>
        <v>0</v>
      </c>
      <c r="AK41" s="61">
        <v>20</v>
      </c>
      <c r="AL41" s="129">
        <f t="shared" si="5"/>
        <v>6000</v>
      </c>
      <c r="AM41" s="61"/>
      <c r="AN41" s="78">
        <f t="shared" si="6"/>
        <v>0</v>
      </c>
      <c r="AO41" s="61"/>
      <c r="AP41" s="129"/>
      <c r="AQ41" s="61"/>
      <c r="AR41" s="62"/>
      <c r="AS41" s="64"/>
      <c r="AT41" s="78">
        <f t="shared" si="9"/>
        <v>0</v>
      </c>
      <c r="AU41" s="64"/>
      <c r="AV41" s="78">
        <f t="shared" si="7"/>
        <v>0</v>
      </c>
      <c r="AW41" s="64">
        <v>10</v>
      </c>
      <c r="AX41" s="129">
        <f t="shared" si="10"/>
        <v>3000</v>
      </c>
      <c r="AY41" s="65"/>
      <c r="AZ41" s="65"/>
      <c r="BA41" s="79">
        <f t="shared" si="11"/>
        <v>65</v>
      </c>
      <c r="BB41" s="85">
        <v>300</v>
      </c>
      <c r="BC41" s="33">
        <f t="shared" si="12"/>
        <v>19500</v>
      </c>
      <c r="BD41" s="88"/>
    </row>
    <row r="42" spans="1:56" s="87" customFormat="1" ht="12.75" x14ac:dyDescent="0.2">
      <c r="A42" s="122">
        <v>33</v>
      </c>
      <c r="B42" s="83" t="s">
        <v>133</v>
      </c>
      <c r="C42" s="26" t="s">
        <v>48</v>
      </c>
      <c r="D42" s="26" t="s">
        <v>51</v>
      </c>
      <c r="E42" s="84" t="s">
        <v>134</v>
      </c>
      <c r="F42" s="46" t="s">
        <v>47</v>
      </c>
      <c r="G42" s="46"/>
      <c r="H42" s="46"/>
      <c r="I42" s="46"/>
      <c r="J42" s="62"/>
      <c r="K42" s="46"/>
      <c r="L42" s="60"/>
      <c r="M42" s="59"/>
      <c r="N42" s="127">
        <f t="shared" si="8"/>
        <v>0</v>
      </c>
      <c r="O42" s="61"/>
      <c r="P42" s="129">
        <f t="shared" si="0"/>
        <v>0</v>
      </c>
      <c r="Q42" s="59"/>
      <c r="R42" s="46"/>
      <c r="S42" s="61"/>
      <c r="T42" s="78">
        <f t="shared" si="14"/>
        <v>0</v>
      </c>
      <c r="U42" s="59"/>
      <c r="V42" s="129"/>
      <c r="W42" s="61"/>
      <c r="X42" s="78">
        <f t="shared" si="1"/>
        <v>0</v>
      </c>
      <c r="Y42" s="61"/>
      <c r="Z42" s="46"/>
      <c r="AA42" s="61"/>
      <c r="AB42" s="78"/>
      <c r="AC42" s="61"/>
      <c r="AD42" s="129">
        <f t="shared" si="2"/>
        <v>0</v>
      </c>
      <c r="AE42" s="61"/>
      <c r="AF42" s="78"/>
      <c r="AG42" s="63"/>
      <c r="AH42" s="58"/>
      <c r="AI42" s="61"/>
      <c r="AJ42" s="78">
        <f t="shared" si="4"/>
        <v>0</v>
      </c>
      <c r="AK42" s="61"/>
      <c r="AL42" s="129">
        <f t="shared" si="5"/>
        <v>0</v>
      </c>
      <c r="AM42" s="61"/>
      <c r="AN42" s="78">
        <f t="shared" si="6"/>
        <v>0</v>
      </c>
      <c r="AO42" s="61"/>
      <c r="AP42" s="129"/>
      <c r="AQ42" s="61"/>
      <c r="AR42" s="62"/>
      <c r="AS42" s="64"/>
      <c r="AT42" s="78">
        <f t="shared" si="9"/>
        <v>0</v>
      </c>
      <c r="AU42" s="64"/>
      <c r="AV42" s="78">
        <f t="shared" si="7"/>
        <v>0</v>
      </c>
      <c r="AW42" s="64">
        <v>2</v>
      </c>
      <c r="AX42" s="129">
        <f t="shared" si="10"/>
        <v>4000</v>
      </c>
      <c r="AY42" s="65"/>
      <c r="AZ42" s="65"/>
      <c r="BA42" s="79">
        <f t="shared" si="11"/>
        <v>2</v>
      </c>
      <c r="BB42" s="85">
        <v>2000</v>
      </c>
      <c r="BC42" s="33">
        <f t="shared" si="12"/>
        <v>4000</v>
      </c>
      <c r="BD42" s="88"/>
    </row>
    <row r="43" spans="1:56" s="87" customFormat="1" ht="25.5" x14ac:dyDescent="0.2">
      <c r="A43" s="54">
        <v>34</v>
      </c>
      <c r="B43" s="83" t="s">
        <v>135</v>
      </c>
      <c r="C43" s="26" t="s">
        <v>48</v>
      </c>
      <c r="D43" s="26" t="s">
        <v>136</v>
      </c>
      <c r="E43" s="84" t="s">
        <v>137</v>
      </c>
      <c r="F43" s="46" t="s">
        <v>47</v>
      </c>
      <c r="G43" s="46"/>
      <c r="H43" s="46"/>
      <c r="I43" s="46"/>
      <c r="J43" s="62"/>
      <c r="K43" s="46"/>
      <c r="L43" s="60"/>
      <c r="M43" s="59">
        <v>10</v>
      </c>
      <c r="N43" s="127">
        <f t="shared" si="8"/>
        <v>3600</v>
      </c>
      <c r="O43" s="61"/>
      <c r="P43" s="129">
        <f t="shared" si="0"/>
        <v>0</v>
      </c>
      <c r="Q43" s="59"/>
      <c r="R43" s="46"/>
      <c r="S43" s="61"/>
      <c r="T43" s="78">
        <f t="shared" si="14"/>
        <v>0</v>
      </c>
      <c r="U43" s="59"/>
      <c r="V43" s="129"/>
      <c r="W43" s="61"/>
      <c r="X43" s="78">
        <f t="shared" si="1"/>
        <v>0</v>
      </c>
      <c r="Y43" s="61"/>
      <c r="Z43" s="46"/>
      <c r="AA43" s="61"/>
      <c r="AB43" s="78"/>
      <c r="AC43" s="61"/>
      <c r="AD43" s="129">
        <f t="shared" si="2"/>
        <v>0</v>
      </c>
      <c r="AE43" s="61"/>
      <c r="AF43" s="78"/>
      <c r="AG43" s="63"/>
      <c r="AH43" s="58"/>
      <c r="AI43" s="61"/>
      <c r="AJ43" s="78">
        <f t="shared" si="4"/>
        <v>0</v>
      </c>
      <c r="AK43" s="61"/>
      <c r="AL43" s="129">
        <f t="shared" si="5"/>
        <v>0</v>
      </c>
      <c r="AM43" s="61"/>
      <c r="AN43" s="78">
        <f t="shared" si="6"/>
        <v>0</v>
      </c>
      <c r="AO43" s="61"/>
      <c r="AP43" s="129"/>
      <c r="AQ43" s="61"/>
      <c r="AR43" s="62"/>
      <c r="AS43" s="64"/>
      <c r="AT43" s="78">
        <f t="shared" si="9"/>
        <v>0</v>
      </c>
      <c r="AU43" s="64"/>
      <c r="AV43" s="78">
        <f t="shared" si="7"/>
        <v>0</v>
      </c>
      <c r="AW43" s="64"/>
      <c r="AX43" s="129">
        <f t="shared" si="10"/>
        <v>0</v>
      </c>
      <c r="AY43" s="65"/>
      <c r="AZ43" s="65"/>
      <c r="BA43" s="79">
        <f t="shared" si="11"/>
        <v>10</v>
      </c>
      <c r="BB43" s="85">
        <v>360</v>
      </c>
      <c r="BC43" s="33">
        <f t="shared" si="12"/>
        <v>3600</v>
      </c>
      <c r="BD43" s="88"/>
    </row>
    <row r="44" spans="1:56" s="87" customFormat="1" ht="25.5" x14ac:dyDescent="0.2">
      <c r="A44" s="122">
        <v>35</v>
      </c>
      <c r="B44" s="83" t="s">
        <v>138</v>
      </c>
      <c r="C44" s="26" t="s">
        <v>48</v>
      </c>
      <c r="D44" s="26" t="s">
        <v>136</v>
      </c>
      <c r="E44" s="84" t="s">
        <v>139</v>
      </c>
      <c r="F44" s="46" t="s">
        <v>47</v>
      </c>
      <c r="G44" s="46"/>
      <c r="H44" s="46"/>
      <c r="I44" s="46"/>
      <c r="J44" s="62"/>
      <c r="K44" s="46"/>
      <c r="L44" s="60"/>
      <c r="M44" s="59">
        <v>10</v>
      </c>
      <c r="N44" s="127">
        <f t="shared" si="8"/>
        <v>3600</v>
      </c>
      <c r="O44" s="61"/>
      <c r="P44" s="129">
        <f t="shared" si="0"/>
        <v>0</v>
      </c>
      <c r="Q44" s="59"/>
      <c r="R44" s="46"/>
      <c r="S44" s="61"/>
      <c r="T44" s="78">
        <f t="shared" si="14"/>
        <v>0</v>
      </c>
      <c r="U44" s="59"/>
      <c r="V44" s="129"/>
      <c r="W44" s="61"/>
      <c r="X44" s="78">
        <f t="shared" si="1"/>
        <v>0</v>
      </c>
      <c r="Y44" s="61"/>
      <c r="Z44" s="46"/>
      <c r="AA44" s="61"/>
      <c r="AB44" s="78"/>
      <c r="AC44" s="61"/>
      <c r="AD44" s="129">
        <f t="shared" si="2"/>
        <v>0</v>
      </c>
      <c r="AE44" s="61"/>
      <c r="AF44" s="78"/>
      <c r="AG44" s="63"/>
      <c r="AH44" s="58"/>
      <c r="AI44" s="61"/>
      <c r="AJ44" s="78">
        <f t="shared" si="4"/>
        <v>0</v>
      </c>
      <c r="AK44" s="61"/>
      <c r="AL44" s="129">
        <f t="shared" si="5"/>
        <v>0</v>
      </c>
      <c r="AM44" s="61"/>
      <c r="AN44" s="78">
        <f t="shared" si="6"/>
        <v>0</v>
      </c>
      <c r="AO44" s="61"/>
      <c r="AP44" s="129"/>
      <c r="AQ44" s="61"/>
      <c r="AR44" s="62"/>
      <c r="AS44" s="64"/>
      <c r="AT44" s="78">
        <f t="shared" si="9"/>
        <v>0</v>
      </c>
      <c r="AU44" s="64"/>
      <c r="AV44" s="78">
        <f t="shared" si="7"/>
        <v>0</v>
      </c>
      <c r="AW44" s="64"/>
      <c r="AX44" s="129">
        <f t="shared" si="10"/>
        <v>0</v>
      </c>
      <c r="AY44" s="65"/>
      <c r="AZ44" s="65"/>
      <c r="BA44" s="79">
        <f t="shared" si="11"/>
        <v>10</v>
      </c>
      <c r="BB44" s="85">
        <v>360</v>
      </c>
      <c r="BC44" s="33">
        <f t="shared" si="12"/>
        <v>3600</v>
      </c>
      <c r="BD44" s="88"/>
    </row>
    <row r="45" spans="1:56" s="87" customFormat="1" ht="12.75" x14ac:dyDescent="0.2">
      <c r="A45" s="54">
        <v>36</v>
      </c>
      <c r="B45" s="83" t="s">
        <v>140</v>
      </c>
      <c r="C45" s="26" t="s">
        <v>48</v>
      </c>
      <c r="D45" s="26" t="s">
        <v>51</v>
      </c>
      <c r="E45" s="84" t="s">
        <v>141</v>
      </c>
      <c r="F45" s="46" t="s">
        <v>47</v>
      </c>
      <c r="G45" s="46"/>
      <c r="H45" s="46"/>
      <c r="I45" s="46"/>
      <c r="J45" s="62"/>
      <c r="K45" s="46"/>
      <c r="L45" s="60"/>
      <c r="M45" s="59">
        <v>10</v>
      </c>
      <c r="N45" s="127">
        <f t="shared" si="8"/>
        <v>3300</v>
      </c>
      <c r="O45" s="61"/>
      <c r="P45" s="129">
        <f t="shared" si="0"/>
        <v>0</v>
      </c>
      <c r="Q45" s="59"/>
      <c r="R45" s="46"/>
      <c r="S45" s="61"/>
      <c r="T45" s="78">
        <f t="shared" si="14"/>
        <v>0</v>
      </c>
      <c r="U45" s="59"/>
      <c r="V45" s="129"/>
      <c r="W45" s="61"/>
      <c r="X45" s="78">
        <f t="shared" si="1"/>
        <v>0</v>
      </c>
      <c r="Y45" s="61"/>
      <c r="Z45" s="46"/>
      <c r="AA45" s="61"/>
      <c r="AB45" s="78"/>
      <c r="AC45" s="61"/>
      <c r="AD45" s="129">
        <f t="shared" si="2"/>
        <v>0</v>
      </c>
      <c r="AE45" s="61"/>
      <c r="AF45" s="78"/>
      <c r="AG45" s="63"/>
      <c r="AH45" s="58"/>
      <c r="AI45" s="61"/>
      <c r="AJ45" s="78">
        <f t="shared" si="4"/>
        <v>0</v>
      </c>
      <c r="AK45" s="61"/>
      <c r="AL45" s="129">
        <f t="shared" si="5"/>
        <v>0</v>
      </c>
      <c r="AM45" s="61"/>
      <c r="AN45" s="78">
        <f t="shared" si="6"/>
        <v>0</v>
      </c>
      <c r="AO45" s="61"/>
      <c r="AP45" s="129"/>
      <c r="AQ45" s="61"/>
      <c r="AR45" s="62"/>
      <c r="AS45" s="64"/>
      <c r="AT45" s="78">
        <f t="shared" si="9"/>
        <v>0</v>
      </c>
      <c r="AU45" s="64"/>
      <c r="AV45" s="78">
        <f t="shared" si="7"/>
        <v>0</v>
      </c>
      <c r="AW45" s="64"/>
      <c r="AX45" s="129">
        <f t="shared" si="10"/>
        <v>0</v>
      </c>
      <c r="AY45" s="65"/>
      <c r="AZ45" s="65"/>
      <c r="BA45" s="79">
        <f t="shared" si="11"/>
        <v>10</v>
      </c>
      <c r="BB45" s="85">
        <v>330</v>
      </c>
      <c r="BC45" s="33">
        <f t="shared" si="12"/>
        <v>3300</v>
      </c>
      <c r="BD45" s="88" t="s">
        <v>119</v>
      </c>
    </row>
    <row r="46" spans="1:56" s="87" customFormat="1" ht="12.75" x14ac:dyDescent="0.2">
      <c r="A46" s="122">
        <v>37</v>
      </c>
      <c r="B46" s="83" t="s">
        <v>142</v>
      </c>
      <c r="C46" s="26" t="s">
        <v>48</v>
      </c>
      <c r="D46" s="26" t="s">
        <v>51</v>
      </c>
      <c r="E46" s="84" t="s">
        <v>143</v>
      </c>
      <c r="F46" s="46" t="s">
        <v>47</v>
      </c>
      <c r="G46" s="46"/>
      <c r="H46" s="46"/>
      <c r="I46" s="46"/>
      <c r="J46" s="62"/>
      <c r="K46" s="46"/>
      <c r="L46" s="60"/>
      <c r="M46" s="59">
        <v>3</v>
      </c>
      <c r="N46" s="127">
        <f t="shared" si="8"/>
        <v>720</v>
      </c>
      <c r="O46" s="61"/>
      <c r="P46" s="129">
        <f t="shared" si="0"/>
        <v>0</v>
      </c>
      <c r="Q46" s="59"/>
      <c r="R46" s="46"/>
      <c r="S46" s="61"/>
      <c r="T46" s="78">
        <f t="shared" si="14"/>
        <v>0</v>
      </c>
      <c r="U46" s="59"/>
      <c r="V46" s="129"/>
      <c r="W46" s="61"/>
      <c r="X46" s="78">
        <f t="shared" si="1"/>
        <v>0</v>
      </c>
      <c r="Y46" s="61"/>
      <c r="Z46" s="46"/>
      <c r="AA46" s="61"/>
      <c r="AB46" s="78"/>
      <c r="AC46" s="61"/>
      <c r="AD46" s="129">
        <f t="shared" si="2"/>
        <v>0</v>
      </c>
      <c r="AE46" s="61"/>
      <c r="AF46" s="78"/>
      <c r="AG46" s="63"/>
      <c r="AH46" s="58"/>
      <c r="AI46" s="61"/>
      <c r="AJ46" s="78">
        <f t="shared" si="4"/>
        <v>0</v>
      </c>
      <c r="AK46" s="61"/>
      <c r="AL46" s="129">
        <f t="shared" si="5"/>
        <v>0</v>
      </c>
      <c r="AM46" s="61"/>
      <c r="AN46" s="78">
        <f t="shared" si="6"/>
        <v>0</v>
      </c>
      <c r="AO46" s="61"/>
      <c r="AP46" s="129"/>
      <c r="AQ46" s="61"/>
      <c r="AR46" s="62"/>
      <c r="AS46" s="64"/>
      <c r="AT46" s="78">
        <f t="shared" si="9"/>
        <v>0</v>
      </c>
      <c r="AU46" s="64"/>
      <c r="AV46" s="78">
        <f t="shared" si="7"/>
        <v>0</v>
      </c>
      <c r="AW46" s="64"/>
      <c r="AX46" s="129">
        <f t="shared" si="10"/>
        <v>0</v>
      </c>
      <c r="AY46" s="65"/>
      <c r="AZ46" s="65"/>
      <c r="BA46" s="79">
        <f t="shared" si="11"/>
        <v>3</v>
      </c>
      <c r="BB46" s="85">
        <v>240</v>
      </c>
      <c r="BC46" s="33">
        <f t="shared" si="12"/>
        <v>720</v>
      </c>
      <c r="BD46" s="88"/>
    </row>
    <row r="47" spans="1:56" s="87" customFormat="1" ht="12.75" x14ac:dyDescent="0.2">
      <c r="A47" s="54">
        <v>38</v>
      </c>
      <c r="B47" s="83" t="s">
        <v>144</v>
      </c>
      <c r="C47" s="26" t="s">
        <v>48</v>
      </c>
      <c r="D47" s="26" t="s">
        <v>51</v>
      </c>
      <c r="E47" s="84" t="s">
        <v>145</v>
      </c>
      <c r="F47" s="46" t="s">
        <v>146</v>
      </c>
      <c r="G47" s="46"/>
      <c r="H47" s="46"/>
      <c r="I47" s="46"/>
      <c r="J47" s="62"/>
      <c r="K47" s="46"/>
      <c r="L47" s="60"/>
      <c r="M47" s="59">
        <v>4</v>
      </c>
      <c r="N47" s="127">
        <f t="shared" si="8"/>
        <v>600</v>
      </c>
      <c r="O47" s="61"/>
      <c r="P47" s="129">
        <f t="shared" si="0"/>
        <v>0</v>
      </c>
      <c r="Q47" s="59"/>
      <c r="R47" s="46"/>
      <c r="S47" s="61"/>
      <c r="T47" s="78">
        <f t="shared" si="14"/>
        <v>0</v>
      </c>
      <c r="U47" s="59"/>
      <c r="V47" s="129"/>
      <c r="W47" s="61"/>
      <c r="X47" s="78">
        <f t="shared" si="1"/>
        <v>0</v>
      </c>
      <c r="Y47" s="61"/>
      <c r="Z47" s="46"/>
      <c r="AA47" s="61"/>
      <c r="AB47" s="78"/>
      <c r="AC47" s="61"/>
      <c r="AD47" s="129">
        <f t="shared" si="2"/>
        <v>0</v>
      </c>
      <c r="AE47" s="61"/>
      <c r="AF47" s="78"/>
      <c r="AG47" s="63"/>
      <c r="AH47" s="58"/>
      <c r="AI47" s="61"/>
      <c r="AJ47" s="78">
        <f t="shared" si="4"/>
        <v>0</v>
      </c>
      <c r="AK47" s="61"/>
      <c r="AL47" s="129">
        <f t="shared" si="5"/>
        <v>0</v>
      </c>
      <c r="AM47" s="61"/>
      <c r="AN47" s="78">
        <f t="shared" si="6"/>
        <v>0</v>
      </c>
      <c r="AO47" s="61"/>
      <c r="AP47" s="129"/>
      <c r="AQ47" s="61"/>
      <c r="AR47" s="62"/>
      <c r="AS47" s="64"/>
      <c r="AT47" s="78">
        <f t="shared" si="9"/>
        <v>0</v>
      </c>
      <c r="AU47" s="64"/>
      <c r="AV47" s="78">
        <f t="shared" si="7"/>
        <v>0</v>
      </c>
      <c r="AW47" s="64"/>
      <c r="AX47" s="129">
        <f t="shared" si="10"/>
        <v>0</v>
      </c>
      <c r="AY47" s="65"/>
      <c r="AZ47" s="65"/>
      <c r="BA47" s="79">
        <f t="shared" si="11"/>
        <v>4</v>
      </c>
      <c r="BB47" s="85">
        <v>150</v>
      </c>
      <c r="BC47" s="33">
        <f t="shared" si="12"/>
        <v>600</v>
      </c>
      <c r="BD47" s="88"/>
    </row>
    <row r="48" spans="1:56" s="87" customFormat="1" ht="12.75" x14ac:dyDescent="0.2">
      <c r="A48" s="122">
        <v>39</v>
      </c>
      <c r="B48" s="83" t="s">
        <v>147</v>
      </c>
      <c r="C48" s="26" t="s">
        <v>48</v>
      </c>
      <c r="D48" s="26" t="s">
        <v>51</v>
      </c>
      <c r="E48" s="84" t="s">
        <v>148</v>
      </c>
      <c r="F48" s="46" t="s">
        <v>47</v>
      </c>
      <c r="G48" s="46"/>
      <c r="H48" s="46"/>
      <c r="I48" s="46"/>
      <c r="J48" s="62"/>
      <c r="K48" s="46"/>
      <c r="L48" s="60"/>
      <c r="M48" s="59">
        <v>20</v>
      </c>
      <c r="N48" s="127">
        <f t="shared" si="8"/>
        <v>1800</v>
      </c>
      <c r="O48" s="61"/>
      <c r="P48" s="129">
        <f t="shared" si="0"/>
        <v>0</v>
      </c>
      <c r="Q48" s="59"/>
      <c r="R48" s="46"/>
      <c r="S48" s="61"/>
      <c r="T48" s="78">
        <f t="shared" si="14"/>
        <v>0</v>
      </c>
      <c r="U48" s="59"/>
      <c r="V48" s="129"/>
      <c r="W48" s="61"/>
      <c r="X48" s="78">
        <f t="shared" si="1"/>
        <v>0</v>
      </c>
      <c r="Y48" s="61"/>
      <c r="Z48" s="46"/>
      <c r="AA48" s="61"/>
      <c r="AB48" s="78"/>
      <c r="AC48" s="61"/>
      <c r="AD48" s="129">
        <f t="shared" si="2"/>
        <v>0</v>
      </c>
      <c r="AE48" s="61"/>
      <c r="AF48" s="78"/>
      <c r="AG48" s="63"/>
      <c r="AH48" s="58"/>
      <c r="AI48" s="61"/>
      <c r="AJ48" s="78">
        <f t="shared" si="4"/>
        <v>0</v>
      </c>
      <c r="AK48" s="61"/>
      <c r="AL48" s="129">
        <f t="shared" si="5"/>
        <v>0</v>
      </c>
      <c r="AM48" s="61"/>
      <c r="AN48" s="78">
        <f t="shared" si="6"/>
        <v>0</v>
      </c>
      <c r="AO48" s="61"/>
      <c r="AP48" s="129"/>
      <c r="AQ48" s="61"/>
      <c r="AR48" s="62"/>
      <c r="AS48" s="64"/>
      <c r="AT48" s="78">
        <f t="shared" si="9"/>
        <v>0</v>
      </c>
      <c r="AU48" s="64"/>
      <c r="AV48" s="78">
        <f t="shared" si="7"/>
        <v>0</v>
      </c>
      <c r="AW48" s="64"/>
      <c r="AX48" s="129">
        <f t="shared" si="10"/>
        <v>0</v>
      </c>
      <c r="AY48" s="65"/>
      <c r="AZ48" s="65"/>
      <c r="BA48" s="79">
        <f t="shared" si="11"/>
        <v>20</v>
      </c>
      <c r="BB48" s="85">
        <v>90</v>
      </c>
      <c r="BC48" s="33">
        <f t="shared" si="12"/>
        <v>1800</v>
      </c>
      <c r="BD48" s="88"/>
    </row>
    <row r="49" spans="1:56" s="87" customFormat="1" ht="12.75" x14ac:dyDescent="0.2">
      <c r="A49" s="54">
        <v>40</v>
      </c>
      <c r="B49" s="83" t="s">
        <v>149</v>
      </c>
      <c r="C49" s="26" t="s">
        <v>48</v>
      </c>
      <c r="D49" s="26" t="s">
        <v>51</v>
      </c>
      <c r="E49" s="84" t="s">
        <v>150</v>
      </c>
      <c r="F49" s="46" t="s">
        <v>47</v>
      </c>
      <c r="G49" s="46"/>
      <c r="H49" s="46"/>
      <c r="I49" s="46"/>
      <c r="J49" s="62"/>
      <c r="K49" s="46"/>
      <c r="L49" s="60"/>
      <c r="M49" s="59">
        <v>2</v>
      </c>
      <c r="N49" s="127">
        <f t="shared" si="8"/>
        <v>6400</v>
      </c>
      <c r="O49" s="61"/>
      <c r="P49" s="129">
        <f t="shared" si="0"/>
        <v>0</v>
      </c>
      <c r="Q49" s="59"/>
      <c r="R49" s="46"/>
      <c r="S49" s="61"/>
      <c r="T49" s="78">
        <f t="shared" si="14"/>
        <v>0</v>
      </c>
      <c r="U49" s="59"/>
      <c r="V49" s="129"/>
      <c r="W49" s="61"/>
      <c r="X49" s="78">
        <f t="shared" si="1"/>
        <v>0</v>
      </c>
      <c r="Y49" s="61"/>
      <c r="Z49" s="46"/>
      <c r="AA49" s="61"/>
      <c r="AB49" s="78"/>
      <c r="AC49" s="61"/>
      <c r="AD49" s="129">
        <f t="shared" si="2"/>
        <v>0</v>
      </c>
      <c r="AE49" s="61"/>
      <c r="AF49" s="78"/>
      <c r="AG49" s="63"/>
      <c r="AH49" s="58"/>
      <c r="AI49" s="61"/>
      <c r="AJ49" s="78">
        <f t="shared" si="4"/>
        <v>0</v>
      </c>
      <c r="AK49" s="61"/>
      <c r="AL49" s="129">
        <f t="shared" si="5"/>
        <v>0</v>
      </c>
      <c r="AM49" s="61"/>
      <c r="AN49" s="78">
        <f t="shared" si="6"/>
        <v>0</v>
      </c>
      <c r="AO49" s="61"/>
      <c r="AP49" s="129"/>
      <c r="AQ49" s="61"/>
      <c r="AR49" s="62"/>
      <c r="AS49" s="64"/>
      <c r="AT49" s="78">
        <f t="shared" si="9"/>
        <v>0</v>
      </c>
      <c r="AU49" s="64"/>
      <c r="AV49" s="78">
        <f t="shared" si="7"/>
        <v>0</v>
      </c>
      <c r="AW49" s="64"/>
      <c r="AX49" s="129">
        <f t="shared" si="10"/>
        <v>0</v>
      </c>
      <c r="AY49" s="65"/>
      <c r="AZ49" s="65"/>
      <c r="BA49" s="79">
        <f t="shared" si="11"/>
        <v>2</v>
      </c>
      <c r="BB49" s="85">
        <v>3200</v>
      </c>
      <c r="BC49" s="33">
        <f t="shared" si="12"/>
        <v>6400</v>
      </c>
      <c r="BD49" s="88" t="s">
        <v>119</v>
      </c>
    </row>
    <row r="50" spans="1:56" s="87" customFormat="1" ht="12.75" x14ac:dyDescent="0.2">
      <c r="A50" s="122">
        <v>41</v>
      </c>
      <c r="B50" s="83" t="s">
        <v>151</v>
      </c>
      <c r="C50" s="26" t="s">
        <v>48</v>
      </c>
      <c r="D50" s="26" t="s">
        <v>51</v>
      </c>
      <c r="E50" s="84" t="s">
        <v>152</v>
      </c>
      <c r="F50" s="46" t="s">
        <v>47</v>
      </c>
      <c r="G50" s="46"/>
      <c r="H50" s="46"/>
      <c r="I50" s="46"/>
      <c r="J50" s="62"/>
      <c r="K50" s="46"/>
      <c r="L50" s="60"/>
      <c r="M50" s="59">
        <v>5</v>
      </c>
      <c r="N50" s="127">
        <f t="shared" si="8"/>
        <v>13000</v>
      </c>
      <c r="O50" s="61"/>
      <c r="P50" s="129">
        <f t="shared" si="0"/>
        <v>0</v>
      </c>
      <c r="Q50" s="59"/>
      <c r="R50" s="46"/>
      <c r="S50" s="61"/>
      <c r="T50" s="78">
        <f t="shared" si="14"/>
        <v>0</v>
      </c>
      <c r="U50" s="59"/>
      <c r="V50" s="129"/>
      <c r="W50" s="61"/>
      <c r="X50" s="78">
        <f t="shared" si="1"/>
        <v>0</v>
      </c>
      <c r="Y50" s="61"/>
      <c r="Z50" s="46"/>
      <c r="AA50" s="61"/>
      <c r="AB50" s="78"/>
      <c r="AC50" s="61"/>
      <c r="AD50" s="129">
        <f t="shared" si="2"/>
        <v>0</v>
      </c>
      <c r="AE50" s="61"/>
      <c r="AF50" s="78"/>
      <c r="AG50" s="63"/>
      <c r="AH50" s="58"/>
      <c r="AI50" s="61"/>
      <c r="AJ50" s="78">
        <f t="shared" si="4"/>
        <v>0</v>
      </c>
      <c r="AK50" s="61"/>
      <c r="AL50" s="129">
        <f t="shared" si="5"/>
        <v>0</v>
      </c>
      <c r="AM50" s="61"/>
      <c r="AN50" s="78">
        <f t="shared" si="6"/>
        <v>0</v>
      </c>
      <c r="AO50" s="61"/>
      <c r="AP50" s="129"/>
      <c r="AQ50" s="61"/>
      <c r="AR50" s="62"/>
      <c r="AS50" s="64"/>
      <c r="AT50" s="78">
        <f t="shared" si="9"/>
        <v>0</v>
      </c>
      <c r="AU50" s="64"/>
      <c r="AV50" s="78">
        <f t="shared" si="7"/>
        <v>0</v>
      </c>
      <c r="AW50" s="64"/>
      <c r="AX50" s="129">
        <f t="shared" si="10"/>
        <v>0</v>
      </c>
      <c r="AY50" s="65"/>
      <c r="AZ50" s="65"/>
      <c r="BA50" s="79">
        <f t="shared" si="11"/>
        <v>5</v>
      </c>
      <c r="BB50" s="85">
        <v>2600</v>
      </c>
      <c r="BC50" s="33">
        <f t="shared" si="12"/>
        <v>13000</v>
      </c>
      <c r="BD50" s="88" t="s">
        <v>119</v>
      </c>
    </row>
    <row r="51" spans="1:56" s="87" customFormat="1" ht="12.75" x14ac:dyDescent="0.2">
      <c r="A51" s="54">
        <v>42</v>
      </c>
      <c r="B51" s="83" t="s">
        <v>153</v>
      </c>
      <c r="C51" s="26" t="s">
        <v>48</v>
      </c>
      <c r="D51" s="26" t="s">
        <v>51</v>
      </c>
      <c r="E51" s="84" t="s">
        <v>154</v>
      </c>
      <c r="F51" s="46" t="s">
        <v>47</v>
      </c>
      <c r="G51" s="46"/>
      <c r="H51" s="46"/>
      <c r="I51" s="46"/>
      <c r="J51" s="62"/>
      <c r="K51" s="46"/>
      <c r="L51" s="60"/>
      <c r="M51" s="59">
        <v>5</v>
      </c>
      <c r="N51" s="127">
        <f t="shared" si="8"/>
        <v>4950</v>
      </c>
      <c r="O51" s="61"/>
      <c r="P51" s="129">
        <f t="shared" si="0"/>
        <v>0</v>
      </c>
      <c r="Q51" s="59"/>
      <c r="R51" s="46"/>
      <c r="S51" s="61"/>
      <c r="T51" s="78">
        <f t="shared" si="14"/>
        <v>0</v>
      </c>
      <c r="U51" s="59"/>
      <c r="V51" s="129"/>
      <c r="W51" s="61"/>
      <c r="X51" s="78">
        <f t="shared" si="1"/>
        <v>0</v>
      </c>
      <c r="Y51" s="61"/>
      <c r="Z51" s="46"/>
      <c r="AA51" s="61"/>
      <c r="AB51" s="78"/>
      <c r="AC51" s="61"/>
      <c r="AD51" s="129">
        <f t="shared" si="2"/>
        <v>0</v>
      </c>
      <c r="AE51" s="61"/>
      <c r="AF51" s="78"/>
      <c r="AG51" s="63"/>
      <c r="AH51" s="58"/>
      <c r="AI51" s="61"/>
      <c r="AJ51" s="78">
        <f t="shared" si="4"/>
        <v>0</v>
      </c>
      <c r="AK51" s="61"/>
      <c r="AL51" s="129">
        <f t="shared" si="5"/>
        <v>0</v>
      </c>
      <c r="AM51" s="61"/>
      <c r="AN51" s="78">
        <f t="shared" si="6"/>
        <v>0</v>
      </c>
      <c r="AO51" s="61"/>
      <c r="AP51" s="129"/>
      <c r="AQ51" s="61"/>
      <c r="AR51" s="62"/>
      <c r="AS51" s="64"/>
      <c r="AT51" s="78">
        <f t="shared" si="9"/>
        <v>0</v>
      </c>
      <c r="AU51" s="64"/>
      <c r="AV51" s="78">
        <f t="shared" si="7"/>
        <v>0</v>
      </c>
      <c r="AW51" s="64"/>
      <c r="AX51" s="129">
        <f t="shared" si="10"/>
        <v>0</v>
      </c>
      <c r="AY51" s="65"/>
      <c r="AZ51" s="65"/>
      <c r="BA51" s="79">
        <f t="shared" si="11"/>
        <v>5</v>
      </c>
      <c r="BB51" s="85">
        <v>990</v>
      </c>
      <c r="BC51" s="33">
        <f t="shared" si="12"/>
        <v>4950</v>
      </c>
      <c r="BD51" s="88" t="s">
        <v>119</v>
      </c>
    </row>
    <row r="52" spans="1:56" s="87" customFormat="1" ht="13.5" thickBot="1" x14ac:dyDescent="0.25">
      <c r="A52" s="122">
        <v>43</v>
      </c>
      <c r="B52" s="89" t="s">
        <v>155</v>
      </c>
      <c r="C52" s="90" t="s">
        <v>48</v>
      </c>
      <c r="D52" s="90" t="s">
        <v>223</v>
      </c>
      <c r="E52" s="91" t="s">
        <v>156</v>
      </c>
      <c r="F52" s="92" t="s">
        <v>47</v>
      </c>
      <c r="G52" s="92"/>
      <c r="H52" s="92"/>
      <c r="I52" s="92"/>
      <c r="J52" s="93"/>
      <c r="K52" s="92"/>
      <c r="L52" s="94"/>
      <c r="M52" s="95">
        <v>10</v>
      </c>
      <c r="N52" s="127">
        <f t="shared" si="8"/>
        <v>4360</v>
      </c>
      <c r="O52" s="96"/>
      <c r="P52" s="129">
        <f t="shared" si="0"/>
        <v>0</v>
      </c>
      <c r="Q52" s="95"/>
      <c r="R52" s="92"/>
      <c r="S52" s="96"/>
      <c r="T52" s="78">
        <f t="shared" si="14"/>
        <v>0</v>
      </c>
      <c r="U52" s="95"/>
      <c r="V52" s="129"/>
      <c r="W52" s="96"/>
      <c r="X52" s="78">
        <f t="shared" si="1"/>
        <v>0</v>
      </c>
      <c r="Y52" s="96"/>
      <c r="Z52" s="92"/>
      <c r="AA52" s="96"/>
      <c r="AB52" s="78"/>
      <c r="AC52" s="96"/>
      <c r="AD52" s="129">
        <f t="shared" si="2"/>
        <v>0</v>
      </c>
      <c r="AE52" s="96"/>
      <c r="AF52" s="78"/>
      <c r="AG52" s="98"/>
      <c r="AH52" s="97"/>
      <c r="AI52" s="96"/>
      <c r="AJ52" s="78">
        <f t="shared" si="4"/>
        <v>0</v>
      </c>
      <c r="AK52" s="96"/>
      <c r="AL52" s="129">
        <f t="shared" si="5"/>
        <v>0</v>
      </c>
      <c r="AM52" s="96"/>
      <c r="AN52" s="78">
        <f t="shared" si="6"/>
        <v>0</v>
      </c>
      <c r="AO52" s="96"/>
      <c r="AP52" s="129"/>
      <c r="AQ52" s="96"/>
      <c r="AR52" s="93"/>
      <c r="AS52" s="99"/>
      <c r="AT52" s="78">
        <f t="shared" si="9"/>
        <v>0</v>
      </c>
      <c r="AU52" s="99"/>
      <c r="AV52" s="78">
        <f t="shared" si="7"/>
        <v>0</v>
      </c>
      <c r="AW52" s="99"/>
      <c r="AX52" s="129">
        <f t="shared" si="10"/>
        <v>0</v>
      </c>
      <c r="AY52" s="97"/>
      <c r="AZ52" s="97"/>
      <c r="BA52" s="79">
        <f t="shared" si="11"/>
        <v>10</v>
      </c>
      <c r="BB52" s="100">
        <v>436</v>
      </c>
      <c r="BC52" s="33">
        <f t="shared" si="12"/>
        <v>4360</v>
      </c>
      <c r="BD52" s="88"/>
    </row>
    <row r="53" spans="1:56" s="188" customFormat="1" ht="26.25" customHeight="1" thickBot="1" x14ac:dyDescent="0.25">
      <c r="A53" s="190"/>
      <c r="B53" s="49"/>
      <c r="C53" s="191"/>
      <c r="D53" s="191"/>
      <c r="E53" s="192" t="s">
        <v>100</v>
      </c>
      <c r="F53" s="191"/>
      <c r="G53" s="49"/>
      <c r="H53" s="49"/>
      <c r="I53" s="49"/>
      <c r="J53" s="48"/>
      <c r="K53" s="49"/>
      <c r="L53" s="193"/>
      <c r="M53" s="50"/>
      <c r="N53" s="47">
        <f>SUM(N10:N52)</f>
        <v>127860</v>
      </c>
      <c r="O53" s="51"/>
      <c r="P53" s="47">
        <f>SUM(P10:P52)</f>
        <v>50683</v>
      </c>
      <c r="Q53" s="50"/>
      <c r="R53" s="47"/>
      <c r="S53" s="51"/>
      <c r="T53" s="48">
        <f>SUM(T10:T52)</f>
        <v>22631</v>
      </c>
      <c r="U53" s="50"/>
      <c r="V53" s="47"/>
      <c r="W53" s="51"/>
      <c r="X53" s="48">
        <f>SUM(X10:X52)</f>
        <v>215350</v>
      </c>
      <c r="Y53" s="51"/>
      <c r="Z53" s="47"/>
      <c r="AA53" s="51"/>
      <c r="AB53" s="48"/>
      <c r="AC53" s="51"/>
      <c r="AD53" s="47">
        <f>SUM(AD10:AD52)</f>
        <v>66600</v>
      </c>
      <c r="AE53" s="51"/>
      <c r="AF53" s="48"/>
      <c r="AG53" s="51"/>
      <c r="AH53" s="47"/>
      <c r="AI53" s="51"/>
      <c r="AJ53" s="48">
        <f>SUM(AJ10:AJ52)</f>
        <v>9800</v>
      </c>
      <c r="AK53" s="51"/>
      <c r="AL53" s="47">
        <f>SUM(AL10:AL52)</f>
        <v>21490</v>
      </c>
      <c r="AM53" s="51"/>
      <c r="AN53" s="48">
        <f>SUM(AN10:AN52)</f>
        <v>35000</v>
      </c>
      <c r="AO53" s="51"/>
      <c r="AP53" s="47"/>
      <c r="AQ53" s="51"/>
      <c r="AR53" s="48"/>
      <c r="AS53" s="52"/>
      <c r="AT53" s="48">
        <f>+AT34+AT35</f>
        <v>23800</v>
      </c>
      <c r="AU53" s="52"/>
      <c r="AV53" s="48">
        <f>SUM(AV10:AV52)</f>
        <v>149130</v>
      </c>
      <c r="AW53" s="52"/>
      <c r="AX53" s="47">
        <f>SUM(AX10:AX52)</f>
        <v>18850</v>
      </c>
      <c r="AY53" s="47"/>
      <c r="AZ53" s="47"/>
      <c r="BA53" s="194"/>
      <c r="BB53" s="53"/>
      <c r="BC53" s="41">
        <f>SUM(BC10:BC52)</f>
        <v>741194</v>
      </c>
      <c r="BD53" s="195"/>
    </row>
    <row r="55" spans="1:56" ht="15.75" thickBot="1" x14ac:dyDescent="0.3">
      <c r="AX55" s="40"/>
      <c r="BC55" s="30">
        <f>+AX53+AV53+AT53+AN53+AL53+AJ53+AD53+X53+T53+P53+N53</f>
        <v>741194</v>
      </c>
    </row>
    <row r="56" spans="1:56" x14ac:dyDescent="0.25">
      <c r="B56" s="232" t="s">
        <v>240</v>
      </c>
      <c r="C56" s="234"/>
      <c r="D56" s="234"/>
      <c r="E56" s="235"/>
      <c r="N56" s="223"/>
      <c r="P56" s="224"/>
    </row>
    <row r="57" spans="1:56" x14ac:dyDescent="0.25">
      <c r="B57" s="233"/>
      <c r="C57" s="228" t="s">
        <v>246</v>
      </c>
      <c r="D57" s="230"/>
      <c r="E57" s="231"/>
    </row>
    <row r="58" spans="1:56" x14ac:dyDescent="0.25">
      <c r="B58" s="200"/>
      <c r="C58" s="201"/>
      <c r="D58" s="201"/>
      <c r="E58" s="202"/>
    </row>
    <row r="59" spans="1:56" ht="28.5" x14ac:dyDescent="0.25">
      <c r="B59" s="200" t="s">
        <v>241</v>
      </c>
      <c r="C59" s="203" t="s">
        <v>248</v>
      </c>
      <c r="D59" s="204" t="s">
        <v>247</v>
      </c>
      <c r="E59" s="205"/>
    </row>
    <row r="60" spans="1:56" x14ac:dyDescent="0.25">
      <c r="B60" s="200"/>
      <c r="C60" s="226"/>
      <c r="D60" s="226"/>
      <c r="E60" s="227"/>
    </row>
    <row r="61" spans="1:56" ht="28.5" x14ac:dyDescent="0.25">
      <c r="B61" s="200" t="s">
        <v>242</v>
      </c>
      <c r="C61" s="228" t="s">
        <v>243</v>
      </c>
      <c r="D61" s="228"/>
      <c r="E61" s="229"/>
    </row>
    <row r="62" spans="1:56" x14ac:dyDescent="0.25">
      <c r="B62" s="200"/>
      <c r="C62" s="204"/>
      <c r="D62" s="204"/>
      <c r="E62" s="205"/>
    </row>
    <row r="63" spans="1:56" x14ac:dyDescent="0.25">
      <c r="B63" s="200"/>
      <c r="C63" s="201"/>
      <c r="D63" s="201"/>
      <c r="E63" s="202"/>
    </row>
    <row r="64" spans="1:56" x14ac:dyDescent="0.25">
      <c r="B64" s="200" t="s">
        <v>244</v>
      </c>
      <c r="C64" s="230" t="s">
        <v>245</v>
      </c>
      <c r="D64" s="230"/>
      <c r="E64" s="231"/>
    </row>
    <row r="65" spans="2:5" ht="15.75" thickBot="1" x14ac:dyDescent="0.3">
      <c r="B65" s="206"/>
      <c r="C65" s="207"/>
      <c r="D65" s="208"/>
      <c r="E65" s="209"/>
    </row>
  </sheetData>
  <mergeCells count="13">
    <mergeCell ref="A7:B7"/>
    <mergeCell ref="B2:BB2"/>
    <mergeCell ref="A4:B4"/>
    <mergeCell ref="C4:E4"/>
    <mergeCell ref="A5:B5"/>
    <mergeCell ref="C5:E5"/>
    <mergeCell ref="A6:B6"/>
    <mergeCell ref="C60:E60"/>
    <mergeCell ref="C61:E61"/>
    <mergeCell ref="C64:E64"/>
    <mergeCell ref="B56:B57"/>
    <mergeCell ref="C56:E56"/>
    <mergeCell ref="C57:E57"/>
  </mergeCells>
  <conditionalFormatting sqref="B1:B9 E1:E9">
    <cfRule type="duplicateValues" dxfId="183" priority="269"/>
  </conditionalFormatting>
  <conditionalFormatting sqref="E1:E9 B1:B9">
    <cfRule type="duplicateValues" dxfId="182" priority="270"/>
  </conditionalFormatting>
  <conditionalFormatting sqref="B25">
    <cfRule type="duplicateValues" dxfId="181" priority="116"/>
  </conditionalFormatting>
  <conditionalFormatting sqref="E25">
    <cfRule type="duplicateValues" dxfId="180" priority="147"/>
  </conditionalFormatting>
  <conditionalFormatting sqref="B25 E25">
    <cfRule type="duplicateValues" dxfId="179" priority="148"/>
  </conditionalFormatting>
  <conditionalFormatting sqref="B21:B24 E21:E24">
    <cfRule type="duplicateValues" dxfId="178" priority="153"/>
  </conditionalFormatting>
  <conditionalFormatting sqref="B1:B9">
    <cfRule type="duplicateValues" dxfId="177" priority="627"/>
  </conditionalFormatting>
  <conditionalFormatting sqref="E1:E9">
    <cfRule type="duplicateValues" dxfId="176" priority="628"/>
  </conditionalFormatting>
  <conditionalFormatting sqref="E1:E9">
    <cfRule type="duplicateValues" dxfId="175" priority="629"/>
    <cfRule type="duplicateValues" dxfId="174" priority="630"/>
  </conditionalFormatting>
  <conditionalFormatting sqref="B65">
    <cfRule type="duplicateValues" dxfId="173" priority="6"/>
  </conditionalFormatting>
  <conditionalFormatting sqref="E65">
    <cfRule type="duplicateValues" dxfId="172" priority="7"/>
  </conditionalFormatting>
  <conditionalFormatting sqref="B65 E65">
    <cfRule type="duplicateValues" dxfId="171" priority="8"/>
  </conditionalFormatting>
  <conditionalFormatting sqref="E65">
    <cfRule type="duplicateValues" dxfId="170" priority="9"/>
  </conditionalFormatting>
  <conditionalFormatting sqref="B65">
    <cfRule type="duplicateValues" dxfId="169" priority="10"/>
  </conditionalFormatting>
  <conditionalFormatting sqref="E65">
    <cfRule type="duplicateValues" dxfId="168" priority="11"/>
    <cfRule type="duplicateValues" dxfId="167" priority="12"/>
  </conditionalFormatting>
  <conditionalFormatting sqref="E63 E58">
    <cfRule type="duplicateValues" dxfId="166" priority="1"/>
  </conditionalFormatting>
  <conditionalFormatting sqref="E63 B56 E58 B58:B64">
    <cfRule type="duplicateValues" dxfId="165" priority="2"/>
  </conditionalFormatting>
  <conditionalFormatting sqref="E63">
    <cfRule type="duplicateValues" dxfId="164" priority="3"/>
  </conditionalFormatting>
  <conditionalFormatting sqref="E63 E58">
    <cfRule type="duplicateValues" dxfId="163" priority="4"/>
    <cfRule type="duplicateValues" dxfId="162" priority="5"/>
  </conditionalFormatting>
  <conditionalFormatting sqref="B58:B64 B56">
    <cfRule type="duplicateValues" dxfId="161" priority="13"/>
  </conditionalFormatting>
  <conditionalFormatting sqref="B58:B64 B56">
    <cfRule type="duplicateValues" dxfId="160" priority="14"/>
  </conditionalFormatting>
  <conditionalFormatting sqref="E10:E53">
    <cfRule type="duplicateValues" dxfId="159" priority="744"/>
  </conditionalFormatting>
  <conditionalFormatting sqref="E10:E53">
    <cfRule type="duplicateValues" dxfId="158" priority="746"/>
    <cfRule type="duplicateValues" dxfId="157" priority="747"/>
  </conditionalFormatting>
  <conditionalFormatting sqref="E26:E53 E10:E20 B10:B20 B26:B53">
    <cfRule type="duplicateValues" dxfId="156" priority="750"/>
  </conditionalFormatting>
  <conditionalFormatting sqref="E26:E53 E10:E24 B10:B24 B26:B53">
    <cfRule type="duplicateValues" dxfId="155" priority="756"/>
  </conditionalFormatting>
  <conditionalFormatting sqref="E10:E53 B10:B53">
    <cfRule type="duplicateValues" dxfId="154" priority="762"/>
  </conditionalFormatting>
  <conditionalFormatting sqref="B10:B53">
    <cfRule type="duplicateValues" dxfId="153" priority="766"/>
  </conditionalFormatting>
  <pageMargins left="0.7" right="0.7" top="0.75" bottom="0.75" header="0.3" footer="0.3"/>
  <pageSetup paperSize="5" scale="46" orientation="landscape" r:id="rId1"/>
  <colBreaks count="1" manualBreakCount="1">
    <brk id="1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8"/>
  <sheetViews>
    <sheetView topLeftCell="A28" zoomScaleNormal="100" workbookViewId="0">
      <selection activeCell="C51" sqref="C51"/>
    </sheetView>
  </sheetViews>
  <sheetFormatPr baseColWidth="10" defaultRowHeight="15" x14ac:dyDescent="0.25"/>
  <cols>
    <col min="2" max="2" width="20.85546875" customWidth="1"/>
    <col min="3" max="3" width="81.140625" customWidth="1"/>
    <col min="7" max="7" width="16.140625" customWidth="1"/>
    <col min="8" max="8" width="25.42578125" customWidth="1"/>
    <col min="10" max="10" width="13" bestFit="1" customWidth="1"/>
  </cols>
  <sheetData>
    <row r="1" spans="1:11" ht="30.75" thickBot="1" x14ac:dyDescent="0.3">
      <c r="A1" s="246" t="s">
        <v>162</v>
      </c>
      <c r="B1" s="246"/>
      <c r="C1" s="246"/>
      <c r="D1" s="246"/>
      <c r="E1" s="246"/>
      <c r="F1" s="101" t="s">
        <v>163</v>
      </c>
      <c r="G1" s="102"/>
    </row>
    <row r="2" spans="1:11" ht="16.5" thickBot="1" x14ac:dyDescent="0.3">
      <c r="A2" s="103"/>
      <c r="B2" s="104"/>
      <c r="C2" s="105"/>
      <c r="D2" s="105"/>
      <c r="E2" s="105"/>
      <c r="F2" s="105"/>
      <c r="G2" s="106"/>
    </row>
    <row r="3" spans="1:11" ht="16.5" thickBot="1" x14ac:dyDescent="0.3">
      <c r="A3" s="247" t="s">
        <v>164</v>
      </c>
      <c r="B3" s="247"/>
      <c r="C3" s="107" t="str">
        <f>'[1]SAF 011'!C4</f>
        <v>040 - MINISTERIO DE SALUD</v>
      </c>
      <c r="D3" s="108"/>
      <c r="E3" s="108"/>
      <c r="F3" s="108"/>
      <c r="G3" s="109"/>
    </row>
    <row r="4" spans="1:11" ht="16.5" thickBot="1" x14ac:dyDescent="0.3">
      <c r="A4" s="245" t="s">
        <v>165</v>
      </c>
      <c r="B4" s="245"/>
      <c r="C4" s="107" t="str">
        <f>'[1]SAF 011'!C5</f>
        <v>011 - DIRECCION PROVINCIAL DE ADMINISTRACION - MINISTERIO DE SALUD</v>
      </c>
      <c r="D4" s="108"/>
      <c r="E4" s="108"/>
      <c r="F4" s="108"/>
      <c r="G4" s="109"/>
    </row>
    <row r="5" spans="1:11" ht="16.5" thickBot="1" x14ac:dyDescent="0.3">
      <c r="A5" s="245" t="s">
        <v>166</v>
      </c>
      <c r="B5" s="245"/>
      <c r="C5" s="107" t="s">
        <v>167</v>
      </c>
      <c r="D5" s="108"/>
      <c r="E5" s="108"/>
      <c r="F5" s="108"/>
      <c r="G5" s="109"/>
    </row>
    <row r="6" spans="1:11" ht="16.5" thickBot="1" x14ac:dyDescent="0.3">
      <c r="A6" s="247" t="s">
        <v>168</v>
      </c>
      <c r="B6" s="247"/>
      <c r="C6" s="107" t="s">
        <v>167</v>
      </c>
      <c r="D6" s="108"/>
      <c r="E6" s="108"/>
      <c r="F6" s="108"/>
      <c r="G6" s="109"/>
    </row>
    <row r="7" spans="1:11" ht="16.5" thickBot="1" x14ac:dyDescent="0.3">
      <c r="A7" s="245" t="s">
        <v>169</v>
      </c>
      <c r="B7" s="245"/>
      <c r="C7" s="107" t="s">
        <v>170</v>
      </c>
      <c r="D7" s="108"/>
      <c r="E7" s="108"/>
      <c r="F7" s="108"/>
      <c r="G7" s="109"/>
    </row>
    <row r="8" spans="1:11" ht="16.5" thickBot="1" x14ac:dyDescent="0.3">
      <c r="A8" s="243" t="s">
        <v>171</v>
      </c>
      <c r="B8" s="243"/>
      <c r="C8" s="110" t="s">
        <v>204</v>
      </c>
      <c r="D8" s="108"/>
      <c r="E8" s="108"/>
      <c r="F8" s="108"/>
      <c r="G8" s="109"/>
    </row>
    <row r="9" spans="1:11" ht="15.75" x14ac:dyDescent="0.25">
      <c r="A9" s="111"/>
      <c r="B9" s="112"/>
      <c r="C9" s="113"/>
      <c r="D9" s="113"/>
      <c r="E9" s="113"/>
      <c r="F9" s="113"/>
      <c r="G9" s="114"/>
    </row>
    <row r="10" spans="1:11" x14ac:dyDescent="0.25">
      <c r="A10" s="244" t="s">
        <v>172</v>
      </c>
      <c r="B10" s="242" t="s">
        <v>173</v>
      </c>
      <c r="C10" s="242" t="s">
        <v>11</v>
      </c>
      <c r="D10" s="242" t="s">
        <v>174</v>
      </c>
      <c r="E10" s="242" t="s">
        <v>175</v>
      </c>
      <c r="F10" s="242" t="s">
        <v>176</v>
      </c>
      <c r="G10" s="242" t="s">
        <v>177</v>
      </c>
    </row>
    <row r="11" spans="1:11" ht="35.25" customHeight="1" x14ac:dyDescent="0.25">
      <c r="A11" s="244"/>
      <c r="B11" s="242"/>
      <c r="C11" s="242"/>
      <c r="D11" s="242"/>
      <c r="E11" s="242"/>
      <c r="F11" s="242"/>
      <c r="G11" s="242"/>
    </row>
    <row r="12" spans="1:11" x14ac:dyDescent="0.25">
      <c r="A12" s="189">
        <v>1</v>
      </c>
      <c r="B12" s="118" t="s">
        <v>50</v>
      </c>
      <c r="C12" s="119" t="s">
        <v>52</v>
      </c>
      <c r="D12" s="189" t="s">
        <v>178</v>
      </c>
      <c r="E12" s="123" t="s">
        <v>49</v>
      </c>
      <c r="F12" s="116">
        <v>1200</v>
      </c>
      <c r="G12" s="121">
        <v>10</v>
      </c>
      <c r="H12" s="211">
        <f>+F12*G12</f>
        <v>12000</v>
      </c>
      <c r="I12" s="213"/>
      <c r="J12" s="210"/>
      <c r="K12" s="210"/>
    </row>
    <row r="13" spans="1:11" s="32" customFormat="1" x14ac:dyDescent="0.25">
      <c r="A13" s="189">
        <v>2</v>
      </c>
      <c r="B13" s="75" t="s">
        <v>105</v>
      </c>
      <c r="C13" s="76" t="s">
        <v>106</v>
      </c>
      <c r="D13" s="189" t="s">
        <v>178</v>
      </c>
      <c r="E13" s="63" t="s">
        <v>47</v>
      </c>
      <c r="F13" s="117">
        <v>650</v>
      </c>
      <c r="G13" s="59">
        <v>10</v>
      </c>
      <c r="H13" s="211">
        <f t="shared" ref="H13:H43" si="0">+F13*G13</f>
        <v>6500</v>
      </c>
      <c r="I13" s="213"/>
      <c r="J13" s="211">
        <f>+H12+H13+H14+H15+H16+H17+H18+H19+H20+H21+H22+H23+H24+H26+H27+H28+H29+H30+H32+H36+H37+H38+H39+H40+H41+H42</f>
        <v>109200</v>
      </c>
      <c r="K13" s="210"/>
    </row>
    <row r="14" spans="1:11" s="32" customFormat="1" ht="25.5" x14ac:dyDescent="0.25">
      <c r="A14" s="189">
        <v>3</v>
      </c>
      <c r="B14" s="26" t="s">
        <v>53</v>
      </c>
      <c r="C14" s="56" t="s">
        <v>54</v>
      </c>
      <c r="D14" s="189" t="s">
        <v>178</v>
      </c>
      <c r="E14" s="55" t="s">
        <v>55</v>
      </c>
      <c r="F14" s="66">
        <v>650</v>
      </c>
      <c r="G14" s="59">
        <v>20</v>
      </c>
      <c r="H14" s="211">
        <f t="shared" si="0"/>
        <v>13000</v>
      </c>
      <c r="I14" s="213"/>
      <c r="J14" s="211">
        <f>+H25+H31+H33</f>
        <v>7100</v>
      </c>
      <c r="K14" s="210"/>
    </row>
    <row r="15" spans="1:11" s="32" customFormat="1" ht="25.5" x14ac:dyDescent="0.25">
      <c r="A15" s="189">
        <v>4</v>
      </c>
      <c r="B15" s="46" t="s">
        <v>56</v>
      </c>
      <c r="C15" s="56" t="s">
        <v>57</v>
      </c>
      <c r="D15" s="189" t="s">
        <v>178</v>
      </c>
      <c r="E15" s="55" t="s">
        <v>55</v>
      </c>
      <c r="F15" s="66">
        <v>100</v>
      </c>
      <c r="G15" s="59">
        <v>30</v>
      </c>
      <c r="H15" s="211">
        <f t="shared" si="0"/>
        <v>3000</v>
      </c>
      <c r="I15" s="213"/>
      <c r="J15" s="211">
        <f>+H34+H35+H43</f>
        <v>11560</v>
      </c>
      <c r="K15" s="210"/>
    </row>
    <row r="16" spans="1:11" s="32" customFormat="1" x14ac:dyDescent="0.25">
      <c r="A16" s="189">
        <v>5</v>
      </c>
      <c r="B16" s="46" t="s">
        <v>58</v>
      </c>
      <c r="C16" s="56" t="s">
        <v>59</v>
      </c>
      <c r="D16" s="189" t="s">
        <v>178</v>
      </c>
      <c r="E16" s="55" t="s">
        <v>47</v>
      </c>
      <c r="F16" s="66">
        <v>386</v>
      </c>
      <c r="G16" s="59">
        <v>5</v>
      </c>
      <c r="H16" s="211">
        <f t="shared" si="0"/>
        <v>1930</v>
      </c>
      <c r="I16" s="213"/>
      <c r="J16" s="210"/>
      <c r="K16" s="210"/>
    </row>
    <row r="17" spans="1:11" s="32" customFormat="1" ht="25.5" x14ac:dyDescent="0.25">
      <c r="A17" s="189">
        <v>6</v>
      </c>
      <c r="B17" s="46" t="s">
        <v>60</v>
      </c>
      <c r="C17" s="56" t="s">
        <v>61</v>
      </c>
      <c r="D17" s="189" t="s">
        <v>178</v>
      </c>
      <c r="E17" s="55" t="s">
        <v>47</v>
      </c>
      <c r="F17" s="74">
        <v>290</v>
      </c>
      <c r="G17" s="73">
        <v>10</v>
      </c>
      <c r="H17" s="211">
        <f t="shared" si="0"/>
        <v>2900</v>
      </c>
      <c r="I17" s="213"/>
      <c r="J17" s="210"/>
      <c r="K17" s="210"/>
    </row>
    <row r="18" spans="1:11" s="32" customFormat="1" x14ac:dyDescent="0.25">
      <c r="A18" s="189">
        <v>7</v>
      </c>
      <c r="B18" s="75" t="s">
        <v>62</v>
      </c>
      <c r="C18" s="76" t="s">
        <v>63</v>
      </c>
      <c r="D18" s="189" t="s">
        <v>178</v>
      </c>
      <c r="E18" s="63" t="s">
        <v>47</v>
      </c>
      <c r="F18" s="74">
        <v>80</v>
      </c>
      <c r="G18" s="73">
        <v>10</v>
      </c>
      <c r="H18" s="211">
        <f t="shared" si="0"/>
        <v>800</v>
      </c>
      <c r="I18" s="213"/>
      <c r="J18" s="210"/>
      <c r="K18" s="210"/>
    </row>
    <row r="19" spans="1:11" s="32" customFormat="1" ht="25.5" x14ac:dyDescent="0.25">
      <c r="A19" s="189">
        <v>8</v>
      </c>
      <c r="B19" s="75" t="s">
        <v>64</v>
      </c>
      <c r="C19" s="76" t="s">
        <v>65</v>
      </c>
      <c r="D19" s="189" t="s">
        <v>178</v>
      </c>
      <c r="E19" s="63" t="s">
        <v>47</v>
      </c>
      <c r="F19" s="74">
        <v>120</v>
      </c>
      <c r="G19" s="73">
        <v>10</v>
      </c>
      <c r="H19" s="211">
        <f t="shared" si="0"/>
        <v>1200</v>
      </c>
      <c r="I19" s="213"/>
      <c r="J19" s="210"/>
      <c r="K19" s="210"/>
    </row>
    <row r="20" spans="1:11" s="32" customFormat="1" x14ac:dyDescent="0.25">
      <c r="A20" s="189">
        <v>9</v>
      </c>
      <c r="B20" s="26" t="s">
        <v>68</v>
      </c>
      <c r="C20" s="56" t="s">
        <v>69</v>
      </c>
      <c r="D20" s="189" t="s">
        <v>178</v>
      </c>
      <c r="E20" s="55" t="s">
        <v>70</v>
      </c>
      <c r="F20" s="74">
        <v>350</v>
      </c>
      <c r="G20" s="73">
        <v>10</v>
      </c>
      <c r="H20" s="211">
        <f t="shared" si="0"/>
        <v>3500</v>
      </c>
      <c r="I20" s="213"/>
      <c r="J20" s="210"/>
      <c r="K20" s="210"/>
    </row>
    <row r="21" spans="1:11" s="32" customFormat="1" x14ac:dyDescent="0.25">
      <c r="A21" s="189">
        <v>10</v>
      </c>
      <c r="B21" s="80" t="s">
        <v>73</v>
      </c>
      <c r="C21" s="56" t="s">
        <v>74</v>
      </c>
      <c r="D21" s="189" t="s">
        <v>178</v>
      </c>
      <c r="E21" s="55" t="s">
        <v>49</v>
      </c>
      <c r="F21" s="66">
        <v>650</v>
      </c>
      <c r="G21" s="59">
        <v>10</v>
      </c>
      <c r="H21" s="211">
        <f t="shared" si="0"/>
        <v>6500</v>
      </c>
      <c r="I21" s="213"/>
      <c r="J21" s="210"/>
      <c r="K21" s="210"/>
    </row>
    <row r="22" spans="1:11" s="32" customFormat="1" x14ac:dyDescent="0.25">
      <c r="A22" s="189">
        <v>11</v>
      </c>
      <c r="B22" s="26" t="s">
        <v>75</v>
      </c>
      <c r="C22" s="56" t="s">
        <v>76</v>
      </c>
      <c r="D22" s="189" t="s">
        <v>178</v>
      </c>
      <c r="E22" s="55" t="s">
        <v>47</v>
      </c>
      <c r="F22" s="66">
        <v>400</v>
      </c>
      <c r="G22" s="59">
        <v>10</v>
      </c>
      <c r="H22" s="211">
        <f t="shared" si="0"/>
        <v>4000</v>
      </c>
      <c r="I22" s="213"/>
      <c r="J22" s="210"/>
      <c r="K22" s="210"/>
    </row>
    <row r="23" spans="1:11" s="32" customFormat="1" x14ac:dyDescent="0.25">
      <c r="A23" s="189">
        <v>12</v>
      </c>
      <c r="B23" s="81" t="s">
        <v>77</v>
      </c>
      <c r="C23" s="56" t="s">
        <v>78</v>
      </c>
      <c r="D23" s="189" t="s">
        <v>178</v>
      </c>
      <c r="E23" s="55" t="s">
        <v>49</v>
      </c>
      <c r="F23" s="66">
        <v>300</v>
      </c>
      <c r="G23" s="59">
        <v>10</v>
      </c>
      <c r="H23" s="211">
        <f t="shared" si="0"/>
        <v>3000</v>
      </c>
      <c r="I23" s="213"/>
      <c r="J23" s="210"/>
      <c r="K23" s="210"/>
    </row>
    <row r="24" spans="1:11" s="32" customFormat="1" x14ac:dyDescent="0.25">
      <c r="A24" s="189">
        <v>13</v>
      </c>
      <c r="B24" s="46" t="s">
        <v>81</v>
      </c>
      <c r="C24" s="56" t="s">
        <v>82</v>
      </c>
      <c r="D24" s="189" t="s">
        <v>178</v>
      </c>
      <c r="E24" s="55" t="s">
        <v>47</v>
      </c>
      <c r="F24" s="66">
        <v>450</v>
      </c>
      <c r="G24" s="59">
        <v>10</v>
      </c>
      <c r="H24" s="211">
        <f t="shared" si="0"/>
        <v>4500</v>
      </c>
      <c r="I24" s="213"/>
      <c r="J24" s="210"/>
      <c r="K24" s="210"/>
    </row>
    <row r="25" spans="1:11" s="32" customFormat="1" ht="25.5" x14ac:dyDescent="0.25">
      <c r="A25" s="189">
        <v>14</v>
      </c>
      <c r="B25" s="46" t="s">
        <v>86</v>
      </c>
      <c r="C25" s="56" t="s">
        <v>87</v>
      </c>
      <c r="D25" s="189" t="s">
        <v>178</v>
      </c>
      <c r="E25" s="55" t="s">
        <v>55</v>
      </c>
      <c r="F25" s="66">
        <v>350</v>
      </c>
      <c r="G25" s="59">
        <v>8</v>
      </c>
      <c r="H25" s="211">
        <f t="shared" si="0"/>
        <v>2800</v>
      </c>
      <c r="I25" s="213"/>
      <c r="J25" s="210"/>
      <c r="K25" s="210"/>
    </row>
    <row r="26" spans="1:11" s="32" customFormat="1" x14ac:dyDescent="0.25">
      <c r="A26" s="189">
        <v>15</v>
      </c>
      <c r="B26" s="46" t="s">
        <v>88</v>
      </c>
      <c r="C26" s="56" t="s">
        <v>89</v>
      </c>
      <c r="D26" s="189" t="s">
        <v>178</v>
      </c>
      <c r="E26" s="55" t="s">
        <v>47</v>
      </c>
      <c r="F26" s="66">
        <v>400</v>
      </c>
      <c r="G26" s="59">
        <v>10</v>
      </c>
      <c r="H26" s="211">
        <f t="shared" si="0"/>
        <v>4000</v>
      </c>
      <c r="I26" s="213"/>
      <c r="J26" s="210"/>
      <c r="K26" s="210"/>
    </row>
    <row r="27" spans="1:11" s="32" customFormat="1" x14ac:dyDescent="0.25">
      <c r="A27" s="189">
        <v>16</v>
      </c>
      <c r="B27" s="46" t="s">
        <v>92</v>
      </c>
      <c r="C27" s="76" t="s">
        <v>93</v>
      </c>
      <c r="D27" s="189" t="s">
        <v>178</v>
      </c>
      <c r="E27" s="55" t="s">
        <v>47</v>
      </c>
      <c r="F27" s="74">
        <v>120</v>
      </c>
      <c r="G27" s="59">
        <v>20</v>
      </c>
      <c r="H27" s="211">
        <f t="shared" si="0"/>
        <v>2400</v>
      </c>
      <c r="I27" s="213"/>
      <c r="J27" s="210"/>
      <c r="K27" s="210"/>
    </row>
    <row r="28" spans="1:11" s="32" customFormat="1" x14ac:dyDescent="0.25">
      <c r="A28" s="189">
        <v>17</v>
      </c>
      <c r="B28" s="46" t="s">
        <v>94</v>
      </c>
      <c r="C28" s="76" t="s">
        <v>95</v>
      </c>
      <c r="D28" s="189" t="s">
        <v>178</v>
      </c>
      <c r="E28" s="55" t="s">
        <v>47</v>
      </c>
      <c r="F28" s="66">
        <v>115</v>
      </c>
      <c r="G28" s="59">
        <v>10</v>
      </c>
      <c r="H28" s="211">
        <f t="shared" si="0"/>
        <v>1150</v>
      </c>
      <c r="I28" s="213"/>
      <c r="J28" s="210"/>
      <c r="K28" s="210"/>
    </row>
    <row r="29" spans="1:11" s="32" customFormat="1" x14ac:dyDescent="0.25">
      <c r="A29" s="189">
        <v>18</v>
      </c>
      <c r="B29" s="186" t="s">
        <v>96</v>
      </c>
      <c r="C29" s="56" t="s">
        <v>97</v>
      </c>
      <c r="D29" s="189" t="s">
        <v>178</v>
      </c>
      <c r="E29" s="55" t="s">
        <v>47</v>
      </c>
      <c r="F29" s="74">
        <v>120</v>
      </c>
      <c r="G29" s="82">
        <v>15</v>
      </c>
      <c r="H29" s="211">
        <f t="shared" si="0"/>
        <v>1800</v>
      </c>
      <c r="I29" s="213"/>
      <c r="J29" s="210"/>
      <c r="K29" s="210"/>
    </row>
    <row r="30" spans="1:11" x14ac:dyDescent="0.25">
      <c r="A30" s="189">
        <v>19</v>
      </c>
      <c r="B30" s="83" t="s">
        <v>98</v>
      </c>
      <c r="C30" s="84" t="s">
        <v>99</v>
      </c>
      <c r="D30" s="189" t="s">
        <v>178</v>
      </c>
      <c r="E30" s="46" t="s">
        <v>55</v>
      </c>
      <c r="F30" s="85">
        <v>450</v>
      </c>
      <c r="G30" s="59">
        <v>5</v>
      </c>
      <c r="H30" s="211">
        <f t="shared" si="0"/>
        <v>2250</v>
      </c>
      <c r="I30" s="213"/>
      <c r="J30" s="210"/>
      <c r="K30" s="210"/>
    </row>
    <row r="31" spans="1:11" ht="25.5" x14ac:dyDescent="0.25">
      <c r="A31" s="189">
        <v>20</v>
      </c>
      <c r="B31" s="83" t="s">
        <v>117</v>
      </c>
      <c r="C31" s="84" t="s">
        <v>118</v>
      </c>
      <c r="D31" s="189" t="s">
        <v>178</v>
      </c>
      <c r="E31" s="46" t="s">
        <v>47</v>
      </c>
      <c r="F31" s="85">
        <v>1400</v>
      </c>
      <c r="G31" s="59">
        <v>2</v>
      </c>
      <c r="H31" s="211">
        <f t="shared" si="0"/>
        <v>2800</v>
      </c>
      <c r="I31" s="213"/>
      <c r="J31" s="210"/>
      <c r="K31" s="210"/>
    </row>
    <row r="32" spans="1:11" ht="60.75" customHeight="1" x14ac:dyDescent="0.25">
      <c r="A32" s="189">
        <v>21</v>
      </c>
      <c r="B32" s="83" t="s">
        <v>131</v>
      </c>
      <c r="C32" s="84" t="s">
        <v>132</v>
      </c>
      <c r="D32" s="189" t="s">
        <v>178</v>
      </c>
      <c r="E32" s="46" t="s">
        <v>47</v>
      </c>
      <c r="F32" s="85">
        <v>800</v>
      </c>
      <c r="G32" s="59">
        <v>5</v>
      </c>
      <c r="H32" s="211">
        <f t="shared" si="0"/>
        <v>4000</v>
      </c>
      <c r="I32" s="213"/>
      <c r="J32" s="210"/>
      <c r="K32" s="210"/>
    </row>
    <row r="33" spans="1:11" ht="60.75" customHeight="1" x14ac:dyDescent="0.25">
      <c r="A33" s="189">
        <v>22</v>
      </c>
      <c r="B33" s="83" t="s">
        <v>128</v>
      </c>
      <c r="C33" s="84" t="s">
        <v>130</v>
      </c>
      <c r="D33" s="189" t="s">
        <v>178</v>
      </c>
      <c r="E33" s="46" t="s">
        <v>104</v>
      </c>
      <c r="F33" s="85">
        <v>300</v>
      </c>
      <c r="G33" s="59">
        <v>5</v>
      </c>
      <c r="H33" s="211">
        <f t="shared" si="0"/>
        <v>1500</v>
      </c>
      <c r="I33" s="213"/>
      <c r="J33" s="210"/>
      <c r="K33" s="210"/>
    </row>
    <row r="34" spans="1:11" ht="38.25" x14ac:dyDescent="0.25">
      <c r="A34" s="189">
        <v>23</v>
      </c>
      <c r="B34" s="83" t="s">
        <v>135</v>
      </c>
      <c r="C34" s="84" t="s">
        <v>137</v>
      </c>
      <c r="D34" s="189" t="s">
        <v>178</v>
      </c>
      <c r="E34" s="46" t="s">
        <v>47</v>
      </c>
      <c r="F34" s="85">
        <v>360</v>
      </c>
      <c r="G34" s="59">
        <v>10</v>
      </c>
      <c r="H34" s="211">
        <f t="shared" si="0"/>
        <v>3600</v>
      </c>
      <c r="I34" s="213"/>
      <c r="J34" s="210"/>
      <c r="K34" s="210"/>
    </row>
    <row r="35" spans="1:11" ht="25.5" x14ac:dyDescent="0.25">
      <c r="A35" s="189">
        <v>24</v>
      </c>
      <c r="B35" s="83" t="s">
        <v>138</v>
      </c>
      <c r="C35" s="84" t="s">
        <v>139</v>
      </c>
      <c r="D35" s="189" t="s">
        <v>178</v>
      </c>
      <c r="E35" s="46" t="s">
        <v>47</v>
      </c>
      <c r="F35" s="85">
        <v>360</v>
      </c>
      <c r="G35" s="59">
        <v>10</v>
      </c>
      <c r="H35" s="211">
        <f t="shared" si="0"/>
        <v>3600</v>
      </c>
      <c r="I35" s="213"/>
      <c r="J35" s="210"/>
      <c r="K35" s="210"/>
    </row>
    <row r="36" spans="1:11" x14ac:dyDescent="0.25">
      <c r="A36" s="189">
        <v>25</v>
      </c>
      <c r="B36" s="83" t="s">
        <v>140</v>
      </c>
      <c r="C36" s="84" t="s">
        <v>141</v>
      </c>
      <c r="D36" s="189" t="s">
        <v>178</v>
      </c>
      <c r="E36" s="46" t="s">
        <v>47</v>
      </c>
      <c r="F36" s="85">
        <v>330</v>
      </c>
      <c r="G36" s="59">
        <v>10</v>
      </c>
      <c r="H36" s="211">
        <f t="shared" si="0"/>
        <v>3300</v>
      </c>
      <c r="I36" s="213"/>
      <c r="J36" s="210"/>
      <c r="K36" s="210"/>
    </row>
    <row r="37" spans="1:11" x14ac:dyDescent="0.25">
      <c r="A37" s="189">
        <v>26</v>
      </c>
      <c r="B37" s="83" t="s">
        <v>142</v>
      </c>
      <c r="C37" s="84" t="s">
        <v>143</v>
      </c>
      <c r="D37" s="189" t="s">
        <v>178</v>
      </c>
      <c r="E37" s="46" t="s">
        <v>47</v>
      </c>
      <c r="F37" s="85">
        <v>240</v>
      </c>
      <c r="G37" s="59">
        <v>3</v>
      </c>
      <c r="H37" s="211">
        <f t="shared" si="0"/>
        <v>720</v>
      </c>
      <c r="I37" s="213"/>
      <c r="J37" s="210"/>
      <c r="K37" s="210"/>
    </row>
    <row r="38" spans="1:11" x14ac:dyDescent="0.25">
      <c r="A38" s="189">
        <v>27</v>
      </c>
      <c r="B38" s="83" t="s">
        <v>144</v>
      </c>
      <c r="C38" s="84" t="s">
        <v>145</v>
      </c>
      <c r="D38" s="189" t="s">
        <v>178</v>
      </c>
      <c r="E38" s="46" t="s">
        <v>146</v>
      </c>
      <c r="F38" s="85">
        <v>150</v>
      </c>
      <c r="G38" s="59">
        <v>4</v>
      </c>
      <c r="H38" s="211">
        <f t="shared" si="0"/>
        <v>600</v>
      </c>
      <c r="I38" s="213"/>
      <c r="J38" s="210"/>
      <c r="K38" s="210"/>
    </row>
    <row r="39" spans="1:11" s="32" customFormat="1" x14ac:dyDescent="0.25">
      <c r="A39" s="189">
        <v>28</v>
      </c>
      <c r="B39" s="83" t="s">
        <v>147</v>
      </c>
      <c r="C39" s="84" t="s">
        <v>148</v>
      </c>
      <c r="D39" s="189" t="s">
        <v>178</v>
      </c>
      <c r="E39" s="46" t="s">
        <v>47</v>
      </c>
      <c r="F39" s="85">
        <v>90</v>
      </c>
      <c r="G39" s="59">
        <v>20</v>
      </c>
      <c r="H39" s="211">
        <f t="shared" si="0"/>
        <v>1800</v>
      </c>
      <c r="I39" s="213"/>
      <c r="J39" s="210"/>
      <c r="K39" s="210"/>
    </row>
    <row r="40" spans="1:11" s="32" customFormat="1" x14ac:dyDescent="0.25">
      <c r="A40" s="189">
        <v>29</v>
      </c>
      <c r="B40" s="83" t="s">
        <v>149</v>
      </c>
      <c r="C40" s="84" t="s">
        <v>150</v>
      </c>
      <c r="D40" s="189" t="s">
        <v>178</v>
      </c>
      <c r="E40" s="46" t="s">
        <v>47</v>
      </c>
      <c r="F40" s="85">
        <v>3200</v>
      </c>
      <c r="G40" s="59">
        <v>2</v>
      </c>
      <c r="H40" s="211">
        <f t="shared" si="0"/>
        <v>6400</v>
      </c>
      <c r="I40" s="213"/>
      <c r="J40" s="210"/>
      <c r="K40" s="210"/>
    </row>
    <row r="41" spans="1:11" x14ac:dyDescent="0.25">
      <c r="A41" s="189">
        <v>30</v>
      </c>
      <c r="B41" s="83" t="s">
        <v>151</v>
      </c>
      <c r="C41" s="84" t="s">
        <v>152</v>
      </c>
      <c r="D41" s="189" t="s">
        <v>178</v>
      </c>
      <c r="E41" s="46" t="s">
        <v>47</v>
      </c>
      <c r="F41" s="85">
        <v>2600</v>
      </c>
      <c r="G41" s="59">
        <v>5</v>
      </c>
      <c r="H41" s="211">
        <f t="shared" si="0"/>
        <v>13000</v>
      </c>
      <c r="I41" s="213"/>
      <c r="J41" s="210"/>
      <c r="K41" s="210"/>
    </row>
    <row r="42" spans="1:11" x14ac:dyDescent="0.25">
      <c r="A42" s="189">
        <v>31</v>
      </c>
      <c r="B42" s="83" t="s">
        <v>153</v>
      </c>
      <c r="C42" s="84" t="s">
        <v>154</v>
      </c>
      <c r="D42" s="189" t="s">
        <v>178</v>
      </c>
      <c r="E42" s="46" t="s">
        <v>47</v>
      </c>
      <c r="F42" s="85">
        <v>990</v>
      </c>
      <c r="G42" s="59">
        <v>5</v>
      </c>
      <c r="H42" s="211">
        <f t="shared" si="0"/>
        <v>4950</v>
      </c>
      <c r="I42" s="213"/>
      <c r="J42" s="210"/>
      <c r="K42" s="210"/>
    </row>
    <row r="43" spans="1:11" x14ac:dyDescent="0.25">
      <c r="A43" s="189">
        <v>32</v>
      </c>
      <c r="B43" s="89" t="s">
        <v>155</v>
      </c>
      <c r="C43" s="91" t="s">
        <v>156</v>
      </c>
      <c r="D43" s="189" t="s">
        <v>178</v>
      </c>
      <c r="E43" s="92" t="s">
        <v>47</v>
      </c>
      <c r="F43" s="100">
        <v>436</v>
      </c>
      <c r="G43" s="95">
        <v>10</v>
      </c>
      <c r="H43" s="211">
        <f t="shared" si="0"/>
        <v>4360</v>
      </c>
      <c r="I43" s="213"/>
      <c r="J43" s="210"/>
      <c r="K43" s="210"/>
    </row>
    <row r="44" spans="1:11" ht="18.75" x14ac:dyDescent="0.25">
      <c r="A44" s="240" t="s">
        <v>224</v>
      </c>
      <c r="B44" s="240"/>
      <c r="C44" s="240"/>
      <c r="D44" s="240"/>
      <c r="E44" s="240"/>
      <c r="F44" s="241">
        <f>+H12+H13+H14+H15+H16+H17+H18+H19+H20+H21+H22+H23+H24+H25+H26+H27+H28+H29+H30+H31+H32+H33+H34+H35+H36+H37+H38+H39+H40+H41+H42+H43</f>
        <v>127860</v>
      </c>
      <c r="G44" s="241"/>
      <c r="H44" s="212"/>
      <c r="I44" s="210"/>
      <c r="J44" s="210"/>
      <c r="K44" s="210"/>
    </row>
    <row r="45" spans="1:11" x14ac:dyDescent="0.25">
      <c r="A45" s="32"/>
      <c r="B45" s="32"/>
      <c r="C45" s="32"/>
      <c r="D45" s="32"/>
      <c r="E45" s="32"/>
      <c r="F45" s="32"/>
      <c r="G45" s="32"/>
    </row>
    <row r="46" spans="1:11" x14ac:dyDescent="0.25">
      <c r="A46" s="32"/>
      <c r="B46" s="32"/>
      <c r="C46" s="32"/>
      <c r="D46" s="32"/>
      <c r="E46" s="32"/>
      <c r="F46" s="32"/>
      <c r="G46" s="32"/>
    </row>
    <row r="47" spans="1:11" x14ac:dyDescent="0.25">
      <c r="A47" s="32"/>
      <c r="B47" s="32"/>
      <c r="C47" s="32"/>
      <c r="D47" s="32"/>
      <c r="E47" s="32"/>
      <c r="F47" s="32"/>
      <c r="G47" s="32"/>
    </row>
    <row r="48" spans="1:11" x14ac:dyDescent="0.25">
      <c r="A48" s="32"/>
      <c r="B48" s="32"/>
      <c r="C48" s="32"/>
      <c r="D48" s="32"/>
      <c r="E48" s="32"/>
      <c r="F48" s="32"/>
      <c r="G48" s="32"/>
    </row>
  </sheetData>
  <mergeCells count="16">
    <mergeCell ref="A7:B7"/>
    <mergeCell ref="A1:E1"/>
    <mergeCell ref="A3:B3"/>
    <mergeCell ref="A4:B4"/>
    <mergeCell ref="A5:B5"/>
    <mergeCell ref="A6:B6"/>
    <mergeCell ref="A44:E44"/>
    <mergeCell ref="F44:G44"/>
    <mergeCell ref="F10:F11"/>
    <mergeCell ref="G10:G11"/>
    <mergeCell ref="A8:B8"/>
    <mergeCell ref="A10:A11"/>
    <mergeCell ref="B10:B11"/>
    <mergeCell ref="C10:C11"/>
    <mergeCell ref="D10:D11"/>
    <mergeCell ref="E10:E11"/>
  </mergeCells>
  <conditionalFormatting sqref="B25:B43 B12:B20">
    <cfRule type="duplicateValues" dxfId="152" priority="13"/>
  </conditionalFormatting>
  <conditionalFormatting sqref="B25:B43 B12:B23">
    <cfRule type="duplicateValues" dxfId="151" priority="14"/>
  </conditionalFormatting>
  <conditionalFormatting sqref="B24">
    <cfRule type="duplicateValues" dxfId="150" priority="10"/>
  </conditionalFormatting>
  <conditionalFormatting sqref="B24">
    <cfRule type="duplicateValues" dxfId="149" priority="11"/>
  </conditionalFormatting>
  <conditionalFormatting sqref="C25:C43 C12:C20">
    <cfRule type="duplicateValues" dxfId="148" priority="7"/>
  </conditionalFormatting>
  <conditionalFormatting sqref="C25:C43 C12:C23">
    <cfRule type="duplicateValues" dxfId="147" priority="8"/>
  </conditionalFormatting>
  <conditionalFormatting sqref="C24">
    <cfRule type="duplicateValues" dxfId="146" priority="1"/>
  </conditionalFormatting>
  <conditionalFormatting sqref="C24">
    <cfRule type="duplicateValues" dxfId="145" priority="2"/>
  </conditionalFormatting>
  <conditionalFormatting sqref="B21:B23">
    <cfRule type="duplicateValues" dxfId="144" priority="663"/>
  </conditionalFormatting>
  <conditionalFormatting sqref="C21:C23">
    <cfRule type="duplicateValues" dxfId="143" priority="666"/>
  </conditionalFormatting>
  <conditionalFormatting sqref="B12:B43">
    <cfRule type="duplicateValues" dxfId="142" priority="667"/>
  </conditionalFormatting>
  <conditionalFormatting sqref="B12:B43">
    <cfRule type="duplicateValues" dxfId="141" priority="669"/>
  </conditionalFormatting>
  <conditionalFormatting sqref="C12:C43">
    <cfRule type="duplicateValues" dxfId="140" priority="671"/>
  </conditionalFormatting>
  <conditionalFormatting sqref="C12:C43">
    <cfRule type="duplicateValues" dxfId="139" priority="673"/>
    <cfRule type="duplicateValues" dxfId="138" priority="674"/>
  </conditionalFormatting>
  <conditionalFormatting sqref="C12:C43">
    <cfRule type="duplicateValues" dxfId="137" priority="677"/>
  </conditionalFormatting>
  <pageMargins left="0.7" right="0.7" top="0.75" bottom="0.75" header="0.3" footer="0.3"/>
  <pageSetup paperSize="5" scale="57" orientation="landscape" r:id="rId1"/>
  <colBreaks count="1" manualBreakCount="1">
    <brk id="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43"/>
  <sheetViews>
    <sheetView topLeftCell="A13" zoomScaleNormal="100" workbookViewId="0">
      <selection activeCell="C51" sqref="C51"/>
    </sheetView>
  </sheetViews>
  <sheetFormatPr baseColWidth="10" defaultRowHeight="15" x14ac:dyDescent="0.25"/>
  <cols>
    <col min="1" max="14" width="6.5703125" customWidth="1"/>
    <col min="16" max="16" width="24.7109375" customWidth="1"/>
    <col min="17" max="17" width="18" customWidth="1"/>
  </cols>
  <sheetData>
    <row r="1" spans="1:17" ht="15.75" thickBot="1" x14ac:dyDescent="0.3">
      <c r="A1" s="267" t="s">
        <v>5</v>
      </c>
      <c r="B1" s="267"/>
      <c r="C1" s="267"/>
      <c r="D1" s="268">
        <v>2022</v>
      </c>
      <c r="E1" s="268"/>
      <c r="F1" s="133"/>
      <c r="G1" s="133"/>
      <c r="H1" s="134"/>
      <c r="I1" s="134"/>
      <c r="J1" s="134"/>
      <c r="K1" s="134"/>
      <c r="L1" s="134"/>
      <c r="M1" s="134"/>
      <c r="N1" s="134"/>
      <c r="O1" s="135"/>
      <c r="P1" s="269" t="s">
        <v>179</v>
      </c>
      <c r="Q1" s="269"/>
    </row>
    <row r="2" spans="1:17" ht="15.75" thickBot="1" x14ac:dyDescent="0.3">
      <c r="A2" s="136"/>
      <c r="B2" s="137"/>
      <c r="C2" s="137"/>
      <c r="D2" s="137"/>
      <c r="E2" s="137"/>
      <c r="F2" s="137"/>
      <c r="G2" s="138"/>
      <c r="H2" s="139"/>
      <c r="I2" s="139"/>
      <c r="J2" s="139"/>
      <c r="K2" s="139"/>
      <c r="L2" s="139"/>
      <c r="M2" s="139"/>
      <c r="N2" s="139"/>
      <c r="O2" s="137"/>
      <c r="P2" s="269"/>
      <c r="Q2" s="269"/>
    </row>
    <row r="3" spans="1:17" ht="15.75" thickBot="1" x14ac:dyDescent="0.3">
      <c r="A3" s="136"/>
      <c r="B3" s="137"/>
      <c r="C3" s="137"/>
      <c r="D3" s="137"/>
      <c r="E3" s="137"/>
      <c r="F3" s="137"/>
      <c r="G3" s="138"/>
      <c r="H3" s="137"/>
      <c r="I3" s="137"/>
      <c r="J3" s="137"/>
      <c r="K3" s="137"/>
      <c r="L3" s="137"/>
      <c r="M3" s="137"/>
      <c r="N3" s="137"/>
      <c r="O3" s="137"/>
      <c r="P3" s="137"/>
      <c r="Q3" s="140"/>
    </row>
    <row r="4" spans="1:17" ht="15.75" thickBot="1" x14ac:dyDescent="0.3">
      <c r="A4" s="270" t="s">
        <v>180</v>
      </c>
      <c r="B4" s="270"/>
      <c r="C4" s="270"/>
      <c r="D4" s="270"/>
      <c r="E4" s="270"/>
      <c r="F4" s="270"/>
      <c r="G4" s="271" t="str">
        <f>'[1]NP DPBS'!D3</f>
        <v>040 - MINISTERIO DE SALUD</v>
      </c>
      <c r="H4" s="271"/>
      <c r="I4" s="271"/>
      <c r="J4" s="271"/>
      <c r="K4" s="271"/>
      <c r="L4" s="271"/>
      <c r="M4" s="271"/>
      <c r="N4" s="271"/>
      <c r="O4" s="271"/>
      <c r="P4" s="271"/>
      <c r="Q4" s="271"/>
    </row>
    <row r="5" spans="1:17" ht="15.75" thickBot="1" x14ac:dyDescent="0.3">
      <c r="A5" s="272" t="s">
        <v>165</v>
      </c>
      <c r="B5" s="272"/>
      <c r="C5" s="272"/>
      <c r="D5" s="272"/>
      <c r="E5" s="272"/>
      <c r="F5" s="272"/>
      <c r="G5" s="271" t="str">
        <f>'[1]NP DPBS'!D4</f>
        <v>011 - DIRECCION PROVINCIAL DE ADMINISTRACION - MINISTERIO DE SALUD</v>
      </c>
      <c r="H5" s="271"/>
      <c r="I5" s="271"/>
      <c r="J5" s="271"/>
      <c r="K5" s="271"/>
      <c r="L5" s="271"/>
      <c r="M5" s="271"/>
      <c r="N5" s="271"/>
      <c r="O5" s="271"/>
      <c r="P5" s="271"/>
      <c r="Q5" s="271"/>
    </row>
    <row r="6" spans="1:17" ht="15.75" thickBot="1" x14ac:dyDescent="0.3">
      <c r="A6" s="272" t="s">
        <v>166</v>
      </c>
      <c r="B6" s="272"/>
      <c r="C6" s="272"/>
      <c r="D6" s="272"/>
      <c r="E6" s="272"/>
      <c r="F6" s="272"/>
      <c r="G6" s="271" t="str">
        <f>'[1]NP DPBS'!D5</f>
        <v>747 - DIRECCION PROVINCIAL BANCO DE SANGRE</v>
      </c>
      <c r="H6" s="271"/>
      <c r="I6" s="271"/>
      <c r="J6" s="271"/>
      <c r="K6" s="271"/>
      <c r="L6" s="271"/>
      <c r="M6" s="271"/>
      <c r="N6" s="271"/>
      <c r="O6" s="271"/>
      <c r="P6" s="271"/>
      <c r="Q6" s="271"/>
    </row>
    <row r="7" spans="1:17" ht="15.75" thickBot="1" x14ac:dyDescent="0.3">
      <c r="A7" s="272" t="s">
        <v>168</v>
      </c>
      <c r="B7" s="272"/>
      <c r="C7" s="272"/>
      <c r="D7" s="272"/>
      <c r="E7" s="272"/>
      <c r="F7" s="272"/>
      <c r="G7" s="271" t="str">
        <f>'[1]NP DPBS'!D6</f>
        <v>747 - DIRECCION PROVINCIAL BANCO DE SANGRE</v>
      </c>
      <c r="H7" s="271"/>
      <c r="I7" s="271"/>
      <c r="J7" s="271"/>
      <c r="K7" s="271"/>
      <c r="L7" s="271"/>
      <c r="M7" s="271"/>
      <c r="N7" s="271"/>
      <c r="O7" s="271"/>
      <c r="P7" s="271"/>
      <c r="Q7" s="271"/>
    </row>
    <row r="8" spans="1:17" ht="15.75" thickBot="1" x14ac:dyDescent="0.3">
      <c r="A8" s="273" t="s">
        <v>181</v>
      </c>
      <c r="B8" s="273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</row>
    <row r="9" spans="1:17" x14ac:dyDescent="0.25">
      <c r="A9" s="266" t="s">
        <v>182</v>
      </c>
      <c r="B9" s="266"/>
      <c r="C9" s="266"/>
      <c r="D9" s="266"/>
      <c r="E9" s="266"/>
      <c r="F9" s="266"/>
      <c r="G9" s="266"/>
      <c r="H9" s="266"/>
      <c r="I9" s="266"/>
      <c r="J9" s="266"/>
      <c r="K9" s="266"/>
      <c r="L9" s="266"/>
      <c r="M9" s="266"/>
      <c r="N9" s="266"/>
      <c r="O9" s="266"/>
      <c r="P9" s="266"/>
      <c r="Q9" s="266"/>
    </row>
    <row r="10" spans="1:17" ht="42" customHeight="1" x14ac:dyDescent="0.25">
      <c r="A10" s="257" t="s">
        <v>183</v>
      </c>
      <c r="B10" s="257"/>
      <c r="C10" s="257"/>
      <c r="D10" s="257"/>
      <c r="E10" s="257"/>
      <c r="F10" s="257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257"/>
    </row>
    <row r="11" spans="1:17" ht="15.75" thickBot="1" x14ac:dyDescent="0.3">
      <c r="A11" s="141"/>
      <c r="B11" s="142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4"/>
    </row>
    <row r="12" spans="1:17" ht="15.75" thickBot="1" x14ac:dyDescent="0.3">
      <c r="A12" s="258" t="s">
        <v>184</v>
      </c>
      <c r="B12" s="258"/>
      <c r="C12" s="258"/>
      <c r="D12" s="258"/>
      <c r="E12" s="258"/>
      <c r="F12" s="258"/>
      <c r="G12" s="258"/>
      <c r="H12" s="258"/>
      <c r="I12" s="258"/>
      <c r="J12" s="258"/>
      <c r="K12" s="258"/>
      <c r="L12" s="258"/>
      <c r="M12" s="258"/>
      <c r="N12" s="258"/>
      <c r="O12" s="258"/>
      <c r="P12" s="258"/>
      <c r="Q12" s="258"/>
    </row>
    <row r="13" spans="1:17" ht="15.75" thickBot="1" x14ac:dyDescent="0.3">
      <c r="A13" s="259" t="s">
        <v>185</v>
      </c>
      <c r="B13" s="259"/>
      <c r="C13" s="259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259"/>
      <c r="O13" s="260" t="s">
        <v>186</v>
      </c>
      <c r="P13" s="260"/>
      <c r="Q13" s="261" t="s">
        <v>187</v>
      </c>
    </row>
    <row r="14" spans="1:17" ht="15.75" thickBot="1" x14ac:dyDescent="0.3">
      <c r="A14" s="145" t="s">
        <v>188</v>
      </c>
      <c r="B14" s="146" t="s">
        <v>189</v>
      </c>
      <c r="C14" s="146" t="s">
        <v>190</v>
      </c>
      <c r="D14" s="146" t="s">
        <v>191</v>
      </c>
      <c r="E14" s="146" t="s">
        <v>192</v>
      </c>
      <c r="F14" s="146" t="s">
        <v>193</v>
      </c>
      <c r="G14" s="147" t="s">
        <v>194</v>
      </c>
      <c r="H14" s="146" t="s">
        <v>195</v>
      </c>
      <c r="I14" s="146" t="s">
        <v>196</v>
      </c>
      <c r="J14" s="146" t="s">
        <v>197</v>
      </c>
      <c r="K14" s="146" t="s">
        <v>197</v>
      </c>
      <c r="L14" s="146" t="s">
        <v>198</v>
      </c>
      <c r="M14" s="148" t="s">
        <v>199</v>
      </c>
      <c r="N14" s="149" t="s">
        <v>200</v>
      </c>
      <c r="O14" s="260"/>
      <c r="P14" s="260"/>
      <c r="Q14" s="261"/>
    </row>
    <row r="15" spans="1:17" x14ac:dyDescent="0.25">
      <c r="A15" s="177">
        <v>27</v>
      </c>
      <c r="B15" s="178"/>
      <c r="C15" s="178"/>
      <c r="D15" s="178">
        <v>1</v>
      </c>
      <c r="E15" s="178"/>
      <c r="F15" s="178">
        <v>4901</v>
      </c>
      <c r="G15" s="178">
        <v>3</v>
      </c>
      <c r="H15" s="178">
        <v>1</v>
      </c>
      <c r="I15" s="178">
        <v>2</v>
      </c>
      <c r="J15" s="178">
        <v>9</v>
      </c>
      <c r="K15" s="178">
        <v>1</v>
      </c>
      <c r="L15" s="178"/>
      <c r="M15" s="179">
        <v>1</v>
      </c>
      <c r="N15" s="178" t="s">
        <v>201</v>
      </c>
      <c r="O15" s="262" t="s">
        <v>48</v>
      </c>
      <c r="P15" s="262"/>
      <c r="Q15" s="150">
        <v>109200</v>
      </c>
    </row>
    <row r="16" spans="1:17" x14ac:dyDescent="0.25">
      <c r="A16" s="176">
        <v>27</v>
      </c>
      <c r="B16" s="176"/>
      <c r="C16" s="176"/>
      <c r="D16" s="176">
        <v>1</v>
      </c>
      <c r="E16" s="176"/>
      <c r="F16" s="176">
        <v>4901</v>
      </c>
      <c r="G16" s="176">
        <v>3</v>
      </c>
      <c r="H16" s="176">
        <v>1</v>
      </c>
      <c r="I16" s="176">
        <v>2</v>
      </c>
      <c r="J16" s="176">
        <v>3</v>
      </c>
      <c r="K16" s="176">
        <v>4</v>
      </c>
      <c r="L16" s="176"/>
      <c r="M16" s="176">
        <v>1</v>
      </c>
      <c r="N16" s="176" t="s">
        <v>201</v>
      </c>
      <c r="O16" s="263" t="s">
        <v>220</v>
      </c>
      <c r="P16" s="251"/>
      <c r="Q16" s="155">
        <v>7100</v>
      </c>
    </row>
    <row r="17" spans="1:17" x14ac:dyDescent="0.25">
      <c r="A17" s="176">
        <v>27</v>
      </c>
      <c r="B17" s="176"/>
      <c r="C17" s="176"/>
      <c r="D17" s="176">
        <v>1</v>
      </c>
      <c r="E17" s="176"/>
      <c r="F17" s="176">
        <v>4901</v>
      </c>
      <c r="G17" s="176">
        <v>3</v>
      </c>
      <c r="H17" s="176">
        <v>1</v>
      </c>
      <c r="I17" s="176">
        <v>2</v>
      </c>
      <c r="J17" s="176">
        <v>5</v>
      </c>
      <c r="K17" s="176">
        <v>4</v>
      </c>
      <c r="L17" s="176"/>
      <c r="M17" s="176">
        <v>1</v>
      </c>
      <c r="N17" s="176" t="s">
        <v>201</v>
      </c>
      <c r="O17" s="264" t="s">
        <v>221</v>
      </c>
      <c r="P17" s="265"/>
      <c r="Q17" s="155">
        <v>11560</v>
      </c>
    </row>
    <row r="18" spans="1:17" x14ac:dyDescent="0.25">
      <c r="A18" s="151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3"/>
      <c r="N18" s="152"/>
      <c r="O18" s="256"/>
      <c r="P18" s="256"/>
      <c r="Q18" s="155"/>
    </row>
    <row r="19" spans="1:17" x14ac:dyDescent="0.25">
      <c r="A19" s="151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3"/>
      <c r="N19" s="154"/>
      <c r="O19" s="256"/>
      <c r="P19" s="256"/>
      <c r="Q19" s="155"/>
    </row>
    <row r="20" spans="1:17" x14ac:dyDescent="0.25">
      <c r="A20" s="151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3"/>
      <c r="N20" s="154"/>
      <c r="O20" s="256"/>
      <c r="P20" s="256"/>
      <c r="Q20" s="155"/>
    </row>
    <row r="21" spans="1:17" x14ac:dyDescent="0.25">
      <c r="A21" s="151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3"/>
      <c r="N21" s="154"/>
      <c r="O21" s="256"/>
      <c r="P21" s="256"/>
      <c r="Q21" s="155"/>
    </row>
    <row r="22" spans="1:17" x14ac:dyDescent="0.25">
      <c r="A22" s="151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3"/>
      <c r="N22" s="154"/>
      <c r="O22" s="256"/>
      <c r="P22" s="256"/>
      <c r="Q22" s="155"/>
    </row>
    <row r="23" spans="1:17" x14ac:dyDescent="0.25">
      <c r="A23" s="151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3"/>
      <c r="N23" s="154"/>
      <c r="O23" s="256"/>
      <c r="P23" s="256"/>
      <c r="Q23" s="155"/>
    </row>
    <row r="24" spans="1:17" x14ac:dyDescent="0.25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54"/>
      <c r="O24" s="256"/>
      <c r="P24" s="256"/>
      <c r="Q24" s="155"/>
    </row>
    <row r="25" spans="1:17" x14ac:dyDescent="0.25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54"/>
      <c r="O25" s="256"/>
      <c r="P25" s="256"/>
      <c r="Q25" s="155"/>
    </row>
    <row r="26" spans="1:17" x14ac:dyDescent="0.25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54"/>
      <c r="O26" s="256"/>
      <c r="P26" s="256"/>
      <c r="Q26" s="155"/>
    </row>
    <row r="27" spans="1:17" x14ac:dyDescent="0.25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54"/>
      <c r="O27" s="256"/>
      <c r="P27" s="256"/>
      <c r="Q27" s="155"/>
    </row>
    <row r="28" spans="1:17" x14ac:dyDescent="0.25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54"/>
      <c r="O28" s="256"/>
      <c r="P28" s="256"/>
      <c r="Q28" s="155"/>
    </row>
    <row r="29" spans="1:17" x14ac:dyDescent="0.25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54"/>
      <c r="O29" s="256"/>
      <c r="P29" s="256"/>
      <c r="Q29" s="155"/>
    </row>
    <row r="30" spans="1:17" x14ac:dyDescent="0.25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54"/>
      <c r="O30" s="256"/>
      <c r="P30" s="256"/>
      <c r="Q30" s="155"/>
    </row>
    <row r="31" spans="1:17" x14ac:dyDescent="0.25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54"/>
      <c r="O31" s="256"/>
      <c r="P31" s="256"/>
      <c r="Q31" s="155"/>
    </row>
    <row r="32" spans="1:17" x14ac:dyDescent="0.25">
      <c r="A32" s="151"/>
      <c r="B32" s="152"/>
      <c r="C32" s="152"/>
      <c r="D32" s="152"/>
      <c r="E32" s="152"/>
      <c r="F32" s="154"/>
      <c r="G32" s="152"/>
      <c r="H32" s="152"/>
      <c r="I32" s="152"/>
      <c r="J32" s="152"/>
      <c r="K32" s="152"/>
      <c r="L32" s="152"/>
      <c r="M32" s="153"/>
      <c r="N32" s="154"/>
      <c r="O32" s="251"/>
      <c r="P32" s="251"/>
      <c r="Q32" s="155"/>
    </row>
    <row r="33" spans="1:17" x14ac:dyDescent="0.25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54"/>
      <c r="O33" s="251"/>
      <c r="P33" s="251"/>
      <c r="Q33" s="155"/>
    </row>
    <row r="34" spans="1:17" x14ac:dyDescent="0.25">
      <c r="A34" s="151"/>
      <c r="B34" s="152"/>
      <c r="C34" s="152"/>
      <c r="D34" s="152"/>
      <c r="E34" s="152"/>
      <c r="F34" s="154"/>
      <c r="G34" s="152"/>
      <c r="H34" s="152"/>
      <c r="I34" s="152"/>
      <c r="J34" s="152"/>
      <c r="K34" s="152"/>
      <c r="L34" s="152"/>
      <c r="M34" s="153"/>
      <c r="N34" s="154"/>
      <c r="O34" s="251"/>
      <c r="P34" s="251"/>
      <c r="Q34" s="155"/>
    </row>
    <row r="35" spans="1:17" x14ac:dyDescent="0.25">
      <c r="A35" s="151"/>
      <c r="B35" s="152"/>
      <c r="C35" s="152"/>
      <c r="D35" s="152"/>
      <c r="E35" s="152"/>
      <c r="F35" s="154"/>
      <c r="G35" s="152"/>
      <c r="H35" s="152"/>
      <c r="I35" s="152"/>
      <c r="J35" s="152"/>
      <c r="K35" s="152"/>
      <c r="L35" s="152"/>
      <c r="M35" s="153"/>
      <c r="N35" s="154"/>
      <c r="O35" s="251"/>
      <c r="P35" s="251"/>
      <c r="Q35" s="155"/>
    </row>
    <row r="36" spans="1:17" x14ac:dyDescent="0.25">
      <c r="A36" s="156"/>
      <c r="B36" s="157"/>
      <c r="C36" s="157"/>
      <c r="D36" s="157"/>
      <c r="E36" s="157"/>
      <c r="F36" s="158"/>
      <c r="G36" s="157"/>
      <c r="H36" s="157"/>
      <c r="I36" s="157"/>
      <c r="J36" s="157"/>
      <c r="K36" s="157"/>
      <c r="L36" s="157"/>
      <c r="M36" s="159"/>
      <c r="N36" s="160"/>
      <c r="O36" s="252"/>
      <c r="P36" s="252"/>
      <c r="Q36" s="155"/>
    </row>
    <row r="37" spans="1:17" ht="15.75" thickBot="1" x14ac:dyDescent="0.3">
      <c r="A37" s="161"/>
      <c r="B37" s="162"/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3"/>
      <c r="N37" s="162"/>
      <c r="O37" s="253"/>
      <c r="P37" s="253"/>
      <c r="Q37" s="164"/>
    </row>
    <row r="38" spans="1:17" ht="15.75" thickBot="1" x14ac:dyDescent="0.3">
      <c r="A38" s="254" t="s">
        <v>225</v>
      </c>
      <c r="B38" s="254"/>
      <c r="C38" s="254"/>
      <c r="D38" s="254"/>
      <c r="E38" s="254"/>
      <c r="F38" s="254"/>
      <c r="G38" s="254"/>
      <c r="H38" s="254"/>
      <c r="I38" s="254"/>
      <c r="J38" s="254"/>
      <c r="K38" s="254"/>
      <c r="L38" s="254"/>
      <c r="M38" s="254"/>
      <c r="N38" s="254"/>
      <c r="O38" s="254"/>
      <c r="P38" s="254"/>
      <c r="Q38" s="165">
        <f>SUM(Q15:Q37)</f>
        <v>127860</v>
      </c>
    </row>
    <row r="39" spans="1:17" ht="15.75" thickBot="1" x14ac:dyDescent="0.3">
      <c r="A39" s="255"/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5"/>
      <c r="M39" s="255"/>
      <c r="N39" s="255"/>
      <c r="O39" s="255"/>
      <c r="P39" s="255"/>
      <c r="Q39" s="255"/>
    </row>
    <row r="40" spans="1:17" ht="15.75" thickBot="1" x14ac:dyDescent="0.3">
      <c r="A40" s="248" t="s">
        <v>202</v>
      </c>
      <c r="B40" s="248"/>
      <c r="C40" s="248"/>
      <c r="D40" s="248"/>
      <c r="E40" s="248"/>
      <c r="F40" s="248"/>
      <c r="G40" s="249"/>
      <c r="H40" s="249"/>
      <c r="I40" s="249"/>
      <c r="J40" s="249"/>
      <c r="K40" s="249"/>
      <c r="L40" s="249"/>
      <c r="M40" s="249"/>
      <c r="N40" s="249"/>
      <c r="O40" s="249"/>
      <c r="P40" s="249"/>
      <c r="Q40" s="249"/>
    </row>
    <row r="41" spans="1:17" ht="15.75" thickBot="1" x14ac:dyDescent="0.3">
      <c r="A41" s="250" t="s">
        <v>204</v>
      </c>
      <c r="B41" s="250"/>
      <c r="C41" s="250"/>
      <c r="D41" s="250"/>
      <c r="E41" s="250"/>
      <c r="F41" s="250"/>
      <c r="G41" s="250"/>
      <c r="H41" s="250"/>
      <c r="I41" s="250"/>
      <c r="J41" s="250"/>
      <c r="K41" s="250"/>
      <c r="L41" s="250"/>
      <c r="M41" s="250"/>
      <c r="N41" s="250"/>
      <c r="O41" s="250"/>
      <c r="P41" s="250"/>
      <c r="Q41" s="250"/>
    </row>
    <row r="42" spans="1:17" ht="15.75" thickBot="1" x14ac:dyDescent="0.3">
      <c r="A42" s="250"/>
      <c r="B42" s="250"/>
      <c r="C42" s="250"/>
      <c r="D42" s="250"/>
      <c r="E42" s="250"/>
      <c r="F42" s="250"/>
      <c r="G42" s="250"/>
      <c r="H42" s="250"/>
      <c r="I42" s="250"/>
      <c r="J42" s="250"/>
      <c r="K42" s="250"/>
      <c r="L42" s="250"/>
      <c r="M42" s="250"/>
      <c r="N42" s="250"/>
      <c r="O42" s="250"/>
      <c r="P42" s="250"/>
      <c r="Q42" s="250"/>
    </row>
    <row r="43" spans="1:17" x14ac:dyDescent="0.25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pageSetup paperSize="5" scale="6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31"/>
  <sheetViews>
    <sheetView topLeftCell="A22" zoomScaleNormal="100" workbookViewId="0">
      <selection activeCell="C51" sqref="C51"/>
    </sheetView>
  </sheetViews>
  <sheetFormatPr baseColWidth="10" defaultRowHeight="15" x14ac:dyDescent="0.25"/>
  <cols>
    <col min="1" max="1" width="11.5703125" bestFit="1" customWidth="1"/>
    <col min="2" max="2" width="17.5703125" customWidth="1"/>
    <col min="3" max="3" width="59.28515625" customWidth="1"/>
    <col min="4" max="4" width="20.85546875" customWidth="1"/>
    <col min="6" max="6" width="12.140625" bestFit="1" customWidth="1"/>
    <col min="7" max="7" width="11.5703125" bestFit="1" customWidth="1"/>
    <col min="8" max="8" width="24.140625" customWidth="1"/>
    <col min="9" max="10" width="12" bestFit="1" customWidth="1"/>
  </cols>
  <sheetData>
    <row r="1" spans="1:11" ht="30.75" thickBot="1" x14ac:dyDescent="0.3">
      <c r="A1" s="246" t="s">
        <v>162</v>
      </c>
      <c r="B1" s="246"/>
      <c r="C1" s="246"/>
      <c r="D1" s="246"/>
      <c r="E1" s="246"/>
      <c r="F1" s="101" t="s">
        <v>163</v>
      </c>
      <c r="G1" s="102"/>
    </row>
    <row r="2" spans="1:11" ht="16.5" thickBot="1" x14ac:dyDescent="0.3">
      <c r="A2" s="103"/>
      <c r="B2" s="104"/>
      <c r="C2" s="105"/>
      <c r="D2" s="105"/>
      <c r="E2" s="105"/>
      <c r="F2" s="105"/>
      <c r="G2" s="106"/>
    </row>
    <row r="3" spans="1:11" ht="16.5" thickBot="1" x14ac:dyDescent="0.3">
      <c r="A3" s="247" t="s">
        <v>164</v>
      </c>
      <c r="B3" s="247"/>
      <c r="C3" s="107" t="str">
        <f>'[1]SAF 011'!C4</f>
        <v>040 - MINISTERIO DE SALUD</v>
      </c>
      <c r="D3" s="108"/>
      <c r="E3" s="108"/>
      <c r="F3" s="108"/>
      <c r="G3" s="109"/>
    </row>
    <row r="4" spans="1:11" ht="16.5" thickBot="1" x14ac:dyDescent="0.3">
      <c r="A4" s="245" t="s">
        <v>165</v>
      </c>
      <c r="B4" s="245"/>
      <c r="C4" s="107" t="str">
        <f>'[1]SAF 011'!C5</f>
        <v>011 - DIRECCION PROVINCIAL DE ADMINISTRACION - MINISTERIO DE SALUD</v>
      </c>
      <c r="D4" s="108"/>
      <c r="E4" s="108"/>
      <c r="F4" s="108"/>
      <c r="G4" s="109"/>
    </row>
    <row r="5" spans="1:11" ht="16.5" thickBot="1" x14ac:dyDescent="0.3">
      <c r="A5" s="245" t="s">
        <v>166</v>
      </c>
      <c r="B5" s="245"/>
      <c r="C5" s="107" t="s">
        <v>203</v>
      </c>
      <c r="D5" s="108"/>
      <c r="E5" s="108"/>
      <c r="F5" s="108"/>
      <c r="G5" s="109"/>
    </row>
    <row r="6" spans="1:11" ht="16.5" thickBot="1" x14ac:dyDescent="0.3">
      <c r="A6" s="247" t="s">
        <v>168</v>
      </c>
      <c r="B6" s="247"/>
      <c r="C6" s="107" t="s">
        <v>203</v>
      </c>
      <c r="D6" s="108"/>
      <c r="E6" s="108"/>
      <c r="F6" s="108"/>
      <c r="G6" s="109"/>
    </row>
    <row r="7" spans="1:11" ht="16.5" thickBot="1" x14ac:dyDescent="0.3">
      <c r="A7" s="245" t="s">
        <v>169</v>
      </c>
      <c r="B7" s="245"/>
      <c r="C7" s="107" t="s">
        <v>170</v>
      </c>
      <c r="D7" s="108"/>
      <c r="E7" s="108"/>
      <c r="F7" s="108"/>
      <c r="G7" s="109"/>
    </row>
    <row r="8" spans="1:11" ht="16.5" thickBot="1" x14ac:dyDescent="0.3">
      <c r="A8" s="243" t="s">
        <v>171</v>
      </c>
      <c r="B8" s="243"/>
      <c r="C8" s="110" t="s">
        <v>204</v>
      </c>
      <c r="D8" s="108"/>
      <c r="E8" s="108"/>
      <c r="F8" s="108"/>
      <c r="G8" s="109"/>
    </row>
    <row r="9" spans="1:11" ht="15.75" x14ac:dyDescent="0.25">
      <c r="A9" s="111"/>
      <c r="B9" s="112"/>
      <c r="C9" s="113"/>
      <c r="D9" s="113"/>
      <c r="E9" s="113"/>
      <c r="F9" s="113"/>
      <c r="G9" s="114"/>
    </row>
    <row r="10" spans="1:11" x14ac:dyDescent="0.25">
      <c r="A10" s="244" t="s">
        <v>172</v>
      </c>
      <c r="B10" s="242" t="s">
        <v>173</v>
      </c>
      <c r="C10" s="242" t="s">
        <v>11</v>
      </c>
      <c r="D10" s="242" t="s">
        <v>174</v>
      </c>
      <c r="E10" s="242" t="s">
        <v>175</v>
      </c>
      <c r="F10" s="242" t="s">
        <v>176</v>
      </c>
      <c r="G10" s="242" t="s">
        <v>177</v>
      </c>
    </row>
    <row r="11" spans="1:11" ht="27" customHeight="1" x14ac:dyDescent="0.25">
      <c r="A11" s="244"/>
      <c r="B11" s="242"/>
      <c r="C11" s="242"/>
      <c r="D11" s="242"/>
      <c r="E11" s="242"/>
      <c r="F11" s="242"/>
      <c r="G11" s="242"/>
    </row>
    <row r="12" spans="1:11" ht="33" customHeight="1" x14ac:dyDescent="0.25">
      <c r="A12" s="169">
        <v>1</v>
      </c>
      <c r="B12" s="218" t="s">
        <v>50</v>
      </c>
      <c r="C12" s="219" t="s">
        <v>52</v>
      </c>
      <c r="D12" s="169" t="s">
        <v>178</v>
      </c>
      <c r="E12" s="218" t="s">
        <v>49</v>
      </c>
      <c r="F12" s="220">
        <v>1200</v>
      </c>
      <c r="G12" s="221">
        <v>3</v>
      </c>
      <c r="H12" s="211">
        <f>+F12*G12</f>
        <v>3600</v>
      </c>
      <c r="I12" s="214"/>
      <c r="J12" s="213"/>
      <c r="K12" s="213"/>
    </row>
    <row r="13" spans="1:11" s="32" customFormat="1" ht="19.5" customHeight="1" x14ac:dyDescent="0.25">
      <c r="A13" s="169">
        <v>2</v>
      </c>
      <c r="B13" s="170" t="s">
        <v>105</v>
      </c>
      <c r="C13" s="167" t="s">
        <v>106</v>
      </c>
      <c r="D13" s="169" t="s">
        <v>178</v>
      </c>
      <c r="E13" s="171" t="s">
        <v>47</v>
      </c>
      <c r="F13" s="222">
        <v>650</v>
      </c>
      <c r="G13" s="172">
        <v>3</v>
      </c>
      <c r="H13" s="211">
        <f t="shared" ref="H13:H29" si="0">+F13*G13</f>
        <v>1950</v>
      </c>
      <c r="I13" s="214"/>
      <c r="J13" s="213"/>
      <c r="K13" s="213"/>
    </row>
    <row r="14" spans="1:11" s="32" customFormat="1" ht="47.25" customHeight="1" x14ac:dyDescent="0.25">
      <c r="A14" s="169">
        <v>3</v>
      </c>
      <c r="B14" s="173" t="s">
        <v>53</v>
      </c>
      <c r="C14" s="167" t="s">
        <v>54</v>
      </c>
      <c r="D14" s="169" t="s">
        <v>178</v>
      </c>
      <c r="E14" s="173" t="s">
        <v>55</v>
      </c>
      <c r="F14" s="174">
        <v>650</v>
      </c>
      <c r="G14" s="172">
        <v>7</v>
      </c>
      <c r="H14" s="211">
        <f t="shared" si="0"/>
        <v>4550</v>
      </c>
      <c r="I14" s="214"/>
      <c r="J14" s="213"/>
      <c r="K14" s="213"/>
    </row>
    <row r="15" spans="1:11" s="32" customFormat="1" ht="51" customHeight="1" x14ac:dyDescent="0.25">
      <c r="A15" s="169">
        <v>4</v>
      </c>
      <c r="B15" s="171" t="s">
        <v>56</v>
      </c>
      <c r="C15" s="167" t="s">
        <v>57</v>
      </c>
      <c r="D15" s="169" t="s">
        <v>178</v>
      </c>
      <c r="E15" s="173" t="s">
        <v>55</v>
      </c>
      <c r="F15" s="174">
        <v>100</v>
      </c>
      <c r="G15" s="172">
        <v>7</v>
      </c>
      <c r="H15" s="211">
        <f t="shared" si="0"/>
        <v>700</v>
      </c>
      <c r="I15" s="214"/>
      <c r="J15" s="213"/>
      <c r="K15" s="213"/>
    </row>
    <row r="16" spans="1:11" s="32" customFormat="1" ht="21" customHeight="1" x14ac:dyDescent="0.25">
      <c r="A16" s="169">
        <v>5</v>
      </c>
      <c r="B16" s="171" t="s">
        <v>58</v>
      </c>
      <c r="C16" s="167" t="s">
        <v>59</v>
      </c>
      <c r="D16" s="169" t="s">
        <v>178</v>
      </c>
      <c r="E16" s="173" t="s">
        <v>47</v>
      </c>
      <c r="F16" s="174">
        <v>386</v>
      </c>
      <c r="G16" s="172">
        <v>3</v>
      </c>
      <c r="H16" s="211">
        <f t="shared" si="0"/>
        <v>1158</v>
      </c>
      <c r="I16" s="214"/>
      <c r="J16" s="213"/>
      <c r="K16" s="213"/>
    </row>
    <row r="17" spans="1:11" s="32" customFormat="1" ht="51" customHeight="1" x14ac:dyDescent="0.25">
      <c r="A17" s="169">
        <v>6</v>
      </c>
      <c r="B17" s="171" t="s">
        <v>60</v>
      </c>
      <c r="C17" s="167" t="s">
        <v>61</v>
      </c>
      <c r="D17" s="169" t="s">
        <v>178</v>
      </c>
      <c r="E17" s="173" t="s">
        <v>47</v>
      </c>
      <c r="F17" s="175">
        <v>290</v>
      </c>
      <c r="G17" s="172">
        <v>10</v>
      </c>
      <c r="H17" s="211">
        <f t="shared" si="0"/>
        <v>2900</v>
      </c>
      <c r="I17" s="214"/>
      <c r="J17" s="213"/>
      <c r="K17" s="213"/>
    </row>
    <row r="18" spans="1:11" s="32" customFormat="1" ht="22.5" customHeight="1" x14ac:dyDescent="0.25">
      <c r="A18" s="169">
        <v>7</v>
      </c>
      <c r="B18" s="170" t="s">
        <v>62</v>
      </c>
      <c r="C18" s="167" t="s">
        <v>63</v>
      </c>
      <c r="D18" s="169" t="s">
        <v>178</v>
      </c>
      <c r="E18" s="171" t="s">
        <v>47</v>
      </c>
      <c r="F18" s="175">
        <v>80</v>
      </c>
      <c r="G18" s="172">
        <v>5</v>
      </c>
      <c r="H18" s="211">
        <f t="shared" si="0"/>
        <v>400</v>
      </c>
      <c r="I18" s="214"/>
      <c r="J18" s="213"/>
      <c r="K18" s="213"/>
    </row>
    <row r="19" spans="1:11" s="32" customFormat="1" ht="67.5" customHeight="1" x14ac:dyDescent="0.25">
      <c r="A19" s="169">
        <v>8</v>
      </c>
      <c r="B19" s="170" t="s">
        <v>64</v>
      </c>
      <c r="C19" s="167" t="s">
        <v>65</v>
      </c>
      <c r="D19" s="169" t="s">
        <v>178</v>
      </c>
      <c r="E19" s="171" t="s">
        <v>47</v>
      </c>
      <c r="F19" s="175">
        <v>120</v>
      </c>
      <c r="G19" s="172">
        <v>5</v>
      </c>
      <c r="H19" s="211">
        <f t="shared" si="0"/>
        <v>600</v>
      </c>
      <c r="I19" s="214"/>
      <c r="J19" s="213"/>
      <c r="K19" s="213"/>
    </row>
    <row r="20" spans="1:11" s="32" customFormat="1" ht="22.5" customHeight="1" x14ac:dyDescent="0.25">
      <c r="A20" s="169">
        <v>9</v>
      </c>
      <c r="B20" s="170" t="s">
        <v>66</v>
      </c>
      <c r="C20" s="167" t="s">
        <v>67</v>
      </c>
      <c r="D20" s="169" t="s">
        <v>178</v>
      </c>
      <c r="E20" s="171" t="s">
        <v>47</v>
      </c>
      <c r="F20" s="174">
        <v>250</v>
      </c>
      <c r="G20" s="172">
        <v>10</v>
      </c>
      <c r="H20" s="211">
        <f t="shared" si="0"/>
        <v>2500</v>
      </c>
      <c r="I20" s="214"/>
      <c r="J20" s="213"/>
      <c r="K20" s="213"/>
    </row>
    <row r="21" spans="1:11" s="32" customFormat="1" ht="21" customHeight="1" x14ac:dyDescent="0.25">
      <c r="A21" s="169">
        <v>10</v>
      </c>
      <c r="B21" s="173" t="s">
        <v>68</v>
      </c>
      <c r="C21" s="167" t="s">
        <v>69</v>
      </c>
      <c r="D21" s="169" t="s">
        <v>178</v>
      </c>
      <c r="E21" s="173" t="s">
        <v>70</v>
      </c>
      <c r="F21" s="175">
        <v>350</v>
      </c>
      <c r="G21" s="172">
        <v>10</v>
      </c>
      <c r="H21" s="211">
        <f t="shared" si="0"/>
        <v>3500</v>
      </c>
      <c r="I21" s="214"/>
      <c r="J21" s="213"/>
      <c r="K21" s="213"/>
    </row>
    <row r="22" spans="1:11" s="32" customFormat="1" ht="33.75" customHeight="1" x14ac:dyDescent="0.25">
      <c r="A22" s="169">
        <v>11</v>
      </c>
      <c r="B22" s="171" t="s">
        <v>73</v>
      </c>
      <c r="C22" s="167" t="s">
        <v>74</v>
      </c>
      <c r="D22" s="169" t="s">
        <v>178</v>
      </c>
      <c r="E22" s="173" t="s">
        <v>49</v>
      </c>
      <c r="F22" s="174">
        <v>650</v>
      </c>
      <c r="G22" s="172">
        <v>10</v>
      </c>
      <c r="H22" s="211">
        <f t="shared" si="0"/>
        <v>6500</v>
      </c>
      <c r="I22" s="214"/>
      <c r="J22" s="213"/>
      <c r="K22" s="213"/>
    </row>
    <row r="23" spans="1:11" ht="33.75" customHeight="1" x14ac:dyDescent="0.25">
      <c r="A23" s="169">
        <v>12</v>
      </c>
      <c r="B23" s="173" t="s">
        <v>75</v>
      </c>
      <c r="C23" s="167" t="s">
        <v>76</v>
      </c>
      <c r="D23" s="169" t="s">
        <v>178</v>
      </c>
      <c r="E23" s="173" t="s">
        <v>47</v>
      </c>
      <c r="F23" s="174">
        <v>400</v>
      </c>
      <c r="G23" s="172">
        <v>5</v>
      </c>
      <c r="H23" s="211">
        <f t="shared" si="0"/>
        <v>2000</v>
      </c>
      <c r="I23" s="214"/>
      <c r="J23" s="213"/>
      <c r="K23" s="213"/>
    </row>
    <row r="24" spans="1:11" ht="33.75" customHeight="1" x14ac:dyDescent="0.25">
      <c r="A24" s="169">
        <v>13</v>
      </c>
      <c r="B24" s="173" t="s">
        <v>77</v>
      </c>
      <c r="C24" s="167" t="s">
        <v>78</v>
      </c>
      <c r="D24" s="169" t="s">
        <v>178</v>
      </c>
      <c r="E24" s="173" t="s">
        <v>49</v>
      </c>
      <c r="F24" s="174">
        <v>300</v>
      </c>
      <c r="G24" s="172">
        <v>10</v>
      </c>
      <c r="H24" s="211">
        <f t="shared" si="0"/>
        <v>3000</v>
      </c>
      <c r="I24" s="214"/>
      <c r="J24" s="213"/>
      <c r="K24" s="213"/>
    </row>
    <row r="25" spans="1:11" ht="38.25" customHeight="1" x14ac:dyDescent="0.25">
      <c r="A25" s="169">
        <v>14</v>
      </c>
      <c r="B25" s="171" t="s">
        <v>79</v>
      </c>
      <c r="C25" s="167" t="s">
        <v>80</v>
      </c>
      <c r="D25" s="169" t="s">
        <v>178</v>
      </c>
      <c r="E25" s="173" t="s">
        <v>47</v>
      </c>
      <c r="F25" s="174">
        <v>290</v>
      </c>
      <c r="G25" s="172">
        <v>5</v>
      </c>
      <c r="H25" s="211">
        <f t="shared" si="0"/>
        <v>1450</v>
      </c>
      <c r="I25" s="214"/>
      <c r="J25" s="213"/>
      <c r="K25" s="213"/>
    </row>
    <row r="26" spans="1:11" ht="36" customHeight="1" x14ac:dyDescent="0.25">
      <c r="A26" s="169">
        <v>15</v>
      </c>
      <c r="B26" s="171" t="s">
        <v>81</v>
      </c>
      <c r="C26" s="167" t="s">
        <v>82</v>
      </c>
      <c r="D26" s="169" t="s">
        <v>178</v>
      </c>
      <c r="E26" s="173" t="s">
        <v>47</v>
      </c>
      <c r="F26" s="174">
        <v>450</v>
      </c>
      <c r="G26" s="172">
        <v>8</v>
      </c>
      <c r="H26" s="211">
        <f t="shared" si="0"/>
        <v>3600</v>
      </c>
      <c r="I26" s="214"/>
      <c r="J26" s="211">
        <f>+H12+H13+H14+H15+H16+H17+H18+H19+H20+H21+H22+H23+H24+H25+H26+H28+H29</f>
        <v>40183</v>
      </c>
      <c r="K26" s="213"/>
    </row>
    <row r="27" spans="1:11" s="32" customFormat="1" ht="51" customHeight="1" x14ac:dyDescent="0.25">
      <c r="A27" s="169">
        <v>16</v>
      </c>
      <c r="B27" s="171" t="s">
        <v>86</v>
      </c>
      <c r="C27" s="167" t="s">
        <v>87</v>
      </c>
      <c r="D27" s="169" t="s">
        <v>178</v>
      </c>
      <c r="E27" s="173" t="s">
        <v>55</v>
      </c>
      <c r="F27" s="174">
        <v>350</v>
      </c>
      <c r="G27" s="172">
        <v>30</v>
      </c>
      <c r="H27" s="211">
        <f t="shared" si="0"/>
        <v>10500</v>
      </c>
      <c r="I27" s="214"/>
      <c r="J27" s="211">
        <f>+H27</f>
        <v>10500</v>
      </c>
      <c r="K27" s="213"/>
    </row>
    <row r="28" spans="1:11" ht="23.25" customHeight="1" x14ac:dyDescent="0.25">
      <c r="A28" s="169">
        <v>17</v>
      </c>
      <c r="B28" s="171" t="s">
        <v>92</v>
      </c>
      <c r="C28" s="167" t="s">
        <v>93</v>
      </c>
      <c r="D28" s="169" t="s">
        <v>178</v>
      </c>
      <c r="E28" s="173" t="s">
        <v>47</v>
      </c>
      <c r="F28" s="175">
        <v>120</v>
      </c>
      <c r="G28" s="172">
        <v>10</v>
      </c>
      <c r="H28" s="211">
        <f t="shared" si="0"/>
        <v>1200</v>
      </c>
      <c r="I28" s="214"/>
      <c r="J28" s="210"/>
      <c r="K28" s="210"/>
    </row>
    <row r="29" spans="1:11" ht="31.5" customHeight="1" x14ac:dyDescent="0.25">
      <c r="A29" s="169">
        <v>18</v>
      </c>
      <c r="B29" s="171" t="s">
        <v>94</v>
      </c>
      <c r="C29" s="167" t="s">
        <v>95</v>
      </c>
      <c r="D29" s="169" t="s">
        <v>178</v>
      </c>
      <c r="E29" s="173" t="s">
        <v>47</v>
      </c>
      <c r="F29" s="174">
        <v>115</v>
      </c>
      <c r="G29" s="172">
        <v>5</v>
      </c>
      <c r="H29" s="211">
        <f t="shared" si="0"/>
        <v>575</v>
      </c>
      <c r="I29" s="214"/>
      <c r="J29" s="210"/>
      <c r="K29" s="210"/>
    </row>
    <row r="30" spans="1:11" ht="28.5" customHeight="1" x14ac:dyDescent="0.25">
      <c r="A30" s="240" t="s">
        <v>205</v>
      </c>
      <c r="B30" s="240"/>
      <c r="C30" s="240"/>
      <c r="D30" s="240"/>
      <c r="E30" s="240"/>
      <c r="F30" s="241">
        <f>+H12+H13+H14+H15+H16+H17+H18+H19+H20+H21+H22+H23+H24+H25+H26+H27+H28+H29</f>
        <v>50683</v>
      </c>
      <c r="G30" s="241"/>
      <c r="H30" s="210"/>
      <c r="I30" s="210"/>
      <c r="J30" s="210"/>
      <c r="K30" s="210"/>
    </row>
    <row r="31" spans="1:11" x14ac:dyDescent="0.25">
      <c r="A31" s="32"/>
      <c r="B31" s="32"/>
      <c r="C31" s="32"/>
      <c r="D31" s="32"/>
      <c r="E31" s="32"/>
      <c r="F31" s="32"/>
      <c r="G31" s="32"/>
    </row>
  </sheetData>
  <mergeCells count="16">
    <mergeCell ref="A7:B7"/>
    <mergeCell ref="A1:E1"/>
    <mergeCell ref="A3:B3"/>
    <mergeCell ref="A4:B4"/>
    <mergeCell ref="A5:B5"/>
    <mergeCell ref="A6:B6"/>
    <mergeCell ref="A30:E30"/>
    <mergeCell ref="F30:G30"/>
    <mergeCell ref="F10:F11"/>
    <mergeCell ref="G10:G11"/>
    <mergeCell ref="A8:B8"/>
    <mergeCell ref="A10:A11"/>
    <mergeCell ref="B10:B11"/>
    <mergeCell ref="C10:C11"/>
    <mergeCell ref="D10:D11"/>
    <mergeCell ref="E10:E11"/>
  </mergeCells>
  <conditionalFormatting sqref="C12:C29">
    <cfRule type="duplicateValues" dxfId="136" priority="11"/>
  </conditionalFormatting>
  <conditionalFormatting sqref="C12:C29">
    <cfRule type="duplicateValues" dxfId="135" priority="12"/>
    <cfRule type="duplicateValues" dxfId="134" priority="13"/>
  </conditionalFormatting>
  <conditionalFormatting sqref="C27:C29 C12:C21">
    <cfRule type="duplicateValues" dxfId="133" priority="14"/>
  </conditionalFormatting>
  <conditionalFormatting sqref="C27:C29 C12:C25">
    <cfRule type="duplicateValues" dxfId="132" priority="15"/>
  </conditionalFormatting>
  <conditionalFormatting sqref="C12:C29">
    <cfRule type="duplicateValues" dxfId="131" priority="16"/>
  </conditionalFormatting>
  <conditionalFormatting sqref="C26">
    <cfRule type="duplicateValues" dxfId="130" priority="8"/>
  </conditionalFormatting>
  <conditionalFormatting sqref="C26">
    <cfRule type="duplicateValues" dxfId="129" priority="9"/>
  </conditionalFormatting>
  <conditionalFormatting sqref="C22:C25">
    <cfRule type="duplicateValues" dxfId="128" priority="10"/>
  </conditionalFormatting>
  <conditionalFormatting sqref="B27:B29 B12:B21">
    <cfRule type="duplicateValues" dxfId="127" priority="4"/>
  </conditionalFormatting>
  <conditionalFormatting sqref="B27:B29 B12:B25">
    <cfRule type="duplicateValues" dxfId="126" priority="5"/>
  </conditionalFormatting>
  <conditionalFormatting sqref="B12:B29">
    <cfRule type="duplicateValues" dxfId="125" priority="6"/>
  </conditionalFormatting>
  <conditionalFormatting sqref="B12:B29">
    <cfRule type="duplicateValues" dxfId="124" priority="7"/>
  </conditionalFormatting>
  <conditionalFormatting sqref="B26">
    <cfRule type="duplicateValues" dxfId="123" priority="1"/>
  </conditionalFormatting>
  <conditionalFormatting sqref="B26">
    <cfRule type="duplicateValues" dxfId="122" priority="2"/>
  </conditionalFormatting>
  <conditionalFormatting sqref="B22:B25">
    <cfRule type="duplicateValues" dxfId="121" priority="3"/>
  </conditionalFormatting>
  <pageMargins left="0.7" right="0.7" top="0.75" bottom="0.75" header="0.3" footer="0.3"/>
  <pageSetup paperSize="5" scale="5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2"/>
  <sheetViews>
    <sheetView topLeftCell="A13" zoomScaleNormal="100" workbookViewId="0">
      <selection activeCell="C51" sqref="C51"/>
    </sheetView>
  </sheetViews>
  <sheetFormatPr baseColWidth="10" defaultRowHeight="15" x14ac:dyDescent="0.25"/>
  <cols>
    <col min="1" max="14" width="5.7109375" customWidth="1"/>
    <col min="16" max="16" width="24" customWidth="1"/>
    <col min="17" max="17" width="21.5703125" customWidth="1"/>
  </cols>
  <sheetData>
    <row r="1" spans="1:17" ht="15.75" thickBot="1" x14ac:dyDescent="0.3">
      <c r="A1" s="267" t="s">
        <v>5</v>
      </c>
      <c r="B1" s="267"/>
      <c r="C1" s="267"/>
      <c r="D1" s="268">
        <v>2022</v>
      </c>
      <c r="E1" s="268"/>
      <c r="F1" s="133"/>
      <c r="G1" s="133"/>
      <c r="H1" s="134"/>
      <c r="I1" s="134"/>
      <c r="J1" s="134"/>
      <c r="K1" s="134"/>
      <c r="L1" s="134"/>
      <c r="M1" s="134"/>
      <c r="N1" s="134"/>
      <c r="O1" s="135"/>
      <c r="P1" s="269" t="s">
        <v>179</v>
      </c>
      <c r="Q1" s="269"/>
    </row>
    <row r="2" spans="1:17" ht="15.75" thickBot="1" x14ac:dyDescent="0.3">
      <c r="A2" s="136"/>
      <c r="B2" s="137"/>
      <c r="C2" s="137"/>
      <c r="D2" s="137"/>
      <c r="E2" s="137"/>
      <c r="F2" s="137"/>
      <c r="G2" s="138"/>
      <c r="H2" s="139"/>
      <c r="I2" s="139"/>
      <c r="J2" s="139"/>
      <c r="K2" s="139"/>
      <c r="L2" s="139"/>
      <c r="M2" s="139"/>
      <c r="N2" s="139"/>
      <c r="O2" s="137"/>
      <c r="P2" s="269"/>
      <c r="Q2" s="269"/>
    </row>
    <row r="3" spans="1:17" ht="15.75" thickBot="1" x14ac:dyDescent="0.3">
      <c r="A3" s="136"/>
      <c r="B3" s="137"/>
      <c r="C3" s="137"/>
      <c r="D3" s="137"/>
      <c r="E3" s="137"/>
      <c r="F3" s="137"/>
      <c r="G3" s="138"/>
      <c r="H3" s="137"/>
      <c r="I3" s="137"/>
      <c r="J3" s="137"/>
      <c r="K3" s="137"/>
      <c r="L3" s="137"/>
      <c r="M3" s="137"/>
      <c r="N3" s="137"/>
      <c r="O3" s="137"/>
      <c r="P3" s="137"/>
      <c r="Q3" s="140"/>
    </row>
    <row r="4" spans="1:17" ht="15.75" thickBot="1" x14ac:dyDescent="0.3">
      <c r="A4" s="270" t="s">
        <v>180</v>
      </c>
      <c r="B4" s="270"/>
      <c r="C4" s="270"/>
      <c r="D4" s="270"/>
      <c r="E4" s="270"/>
      <c r="F4" s="270"/>
      <c r="G4" s="271" t="str">
        <f>'[1]NP DPBS'!D3</f>
        <v>040 - MINISTERIO DE SALUD</v>
      </c>
      <c r="H4" s="271"/>
      <c r="I4" s="271"/>
      <c r="J4" s="271"/>
      <c r="K4" s="271"/>
      <c r="L4" s="271"/>
      <c r="M4" s="271"/>
      <c r="N4" s="271"/>
      <c r="O4" s="271"/>
      <c r="P4" s="271"/>
      <c r="Q4" s="271"/>
    </row>
    <row r="5" spans="1:17" ht="15.75" thickBot="1" x14ac:dyDescent="0.3">
      <c r="A5" s="272" t="s">
        <v>165</v>
      </c>
      <c r="B5" s="272"/>
      <c r="C5" s="272"/>
      <c r="D5" s="272"/>
      <c r="E5" s="272"/>
      <c r="F5" s="272"/>
      <c r="G5" s="271" t="str">
        <f>'[1]NP DPBS'!D4</f>
        <v>011 - DIRECCION PROVINCIAL DE ADMINISTRACION - MINISTERIO DE SALUD</v>
      </c>
      <c r="H5" s="271"/>
      <c r="I5" s="271"/>
      <c r="J5" s="271"/>
      <c r="K5" s="271"/>
      <c r="L5" s="271"/>
      <c r="M5" s="271"/>
      <c r="N5" s="271"/>
      <c r="O5" s="271"/>
      <c r="P5" s="271"/>
      <c r="Q5" s="271"/>
    </row>
    <row r="6" spans="1:17" ht="15.75" thickBot="1" x14ac:dyDescent="0.3">
      <c r="A6" s="272" t="s">
        <v>166</v>
      </c>
      <c r="B6" s="272"/>
      <c r="C6" s="272"/>
      <c r="D6" s="272"/>
      <c r="E6" s="272"/>
      <c r="F6" s="272"/>
      <c r="G6" s="271" t="s">
        <v>203</v>
      </c>
      <c r="H6" s="271"/>
      <c r="I6" s="271"/>
      <c r="J6" s="271"/>
      <c r="K6" s="271"/>
      <c r="L6" s="271"/>
      <c r="M6" s="271"/>
      <c r="N6" s="271"/>
      <c r="O6" s="271"/>
      <c r="P6" s="271"/>
      <c r="Q6" s="271"/>
    </row>
    <row r="7" spans="1:17" ht="15.75" thickBot="1" x14ac:dyDescent="0.3">
      <c r="A7" s="272" t="s">
        <v>168</v>
      </c>
      <c r="B7" s="272"/>
      <c r="C7" s="272"/>
      <c r="D7" s="272"/>
      <c r="E7" s="272"/>
      <c r="F7" s="272"/>
      <c r="G7" s="271" t="s">
        <v>203</v>
      </c>
      <c r="H7" s="271"/>
      <c r="I7" s="271"/>
      <c r="J7" s="271"/>
      <c r="K7" s="271"/>
      <c r="L7" s="271"/>
      <c r="M7" s="271"/>
      <c r="N7" s="271"/>
      <c r="O7" s="271"/>
      <c r="P7" s="271"/>
      <c r="Q7" s="271"/>
    </row>
    <row r="8" spans="1:17" ht="15.75" thickBot="1" x14ac:dyDescent="0.3">
      <c r="A8" s="273" t="s">
        <v>181</v>
      </c>
      <c r="B8" s="273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</row>
    <row r="9" spans="1:17" x14ac:dyDescent="0.25">
      <c r="A9" s="266" t="s">
        <v>182</v>
      </c>
      <c r="B9" s="266"/>
      <c r="C9" s="266"/>
      <c r="D9" s="266"/>
      <c r="E9" s="266"/>
      <c r="F9" s="266"/>
      <c r="G9" s="266"/>
      <c r="H9" s="266"/>
      <c r="I9" s="266"/>
      <c r="J9" s="266"/>
      <c r="K9" s="266"/>
      <c r="L9" s="266"/>
      <c r="M9" s="266"/>
      <c r="N9" s="266"/>
      <c r="O9" s="266"/>
      <c r="P9" s="266"/>
      <c r="Q9" s="266"/>
    </row>
    <row r="10" spans="1:17" ht="40.5" customHeight="1" x14ac:dyDescent="0.25">
      <c r="A10" s="257" t="s">
        <v>183</v>
      </c>
      <c r="B10" s="257"/>
      <c r="C10" s="257"/>
      <c r="D10" s="257"/>
      <c r="E10" s="257"/>
      <c r="F10" s="257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257"/>
    </row>
    <row r="11" spans="1:17" ht="15.75" thickBot="1" x14ac:dyDescent="0.3">
      <c r="A11" s="141"/>
      <c r="B11" s="142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4"/>
    </row>
    <row r="12" spans="1:17" ht="15.75" thickBot="1" x14ac:dyDescent="0.3">
      <c r="A12" s="258" t="s">
        <v>184</v>
      </c>
      <c r="B12" s="258"/>
      <c r="C12" s="258"/>
      <c r="D12" s="258"/>
      <c r="E12" s="258"/>
      <c r="F12" s="258"/>
      <c r="G12" s="258"/>
      <c r="H12" s="258"/>
      <c r="I12" s="258"/>
      <c r="J12" s="258"/>
      <c r="K12" s="258"/>
      <c r="L12" s="258"/>
      <c r="M12" s="258"/>
      <c r="N12" s="258"/>
      <c r="O12" s="258"/>
      <c r="P12" s="258"/>
      <c r="Q12" s="258"/>
    </row>
    <row r="13" spans="1:17" ht="15.75" thickBot="1" x14ac:dyDescent="0.3">
      <c r="A13" s="259" t="s">
        <v>185</v>
      </c>
      <c r="B13" s="259"/>
      <c r="C13" s="259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259"/>
      <c r="O13" s="260" t="s">
        <v>186</v>
      </c>
      <c r="P13" s="260"/>
      <c r="Q13" s="261" t="s">
        <v>187</v>
      </c>
    </row>
    <row r="14" spans="1:17" ht="15.75" thickBot="1" x14ac:dyDescent="0.3">
      <c r="A14" s="145" t="s">
        <v>188</v>
      </c>
      <c r="B14" s="146" t="s">
        <v>189</v>
      </c>
      <c r="C14" s="146" t="s">
        <v>190</v>
      </c>
      <c r="D14" s="146" t="s">
        <v>191</v>
      </c>
      <c r="E14" s="146" t="s">
        <v>192</v>
      </c>
      <c r="F14" s="146" t="s">
        <v>193</v>
      </c>
      <c r="G14" s="147" t="s">
        <v>194</v>
      </c>
      <c r="H14" s="146" t="s">
        <v>195</v>
      </c>
      <c r="I14" s="146" t="s">
        <v>196</v>
      </c>
      <c r="J14" s="146" t="s">
        <v>197</v>
      </c>
      <c r="K14" s="146" t="s">
        <v>197</v>
      </c>
      <c r="L14" s="146" t="s">
        <v>198</v>
      </c>
      <c r="M14" s="148" t="s">
        <v>199</v>
      </c>
      <c r="N14" s="149" t="s">
        <v>200</v>
      </c>
      <c r="O14" s="260"/>
      <c r="P14" s="260"/>
      <c r="Q14" s="261"/>
    </row>
    <row r="15" spans="1:17" x14ac:dyDescent="0.25">
      <c r="A15" s="176">
        <v>47</v>
      </c>
      <c r="B15" s="176"/>
      <c r="C15" s="176"/>
      <c r="D15" s="176">
        <v>1</v>
      </c>
      <c r="E15" s="176"/>
      <c r="F15" s="176">
        <v>4901</v>
      </c>
      <c r="G15" s="176">
        <v>3</v>
      </c>
      <c r="H15" s="176">
        <v>1</v>
      </c>
      <c r="I15" s="176">
        <v>2</v>
      </c>
      <c r="J15" s="176">
        <v>9</v>
      </c>
      <c r="K15" s="176">
        <v>1</v>
      </c>
      <c r="L15" s="176"/>
      <c r="M15" s="176">
        <v>1</v>
      </c>
      <c r="N15" s="176" t="s">
        <v>201</v>
      </c>
      <c r="O15" s="274" t="s">
        <v>48</v>
      </c>
      <c r="P15" s="262"/>
      <c r="Q15" s="150">
        <v>40183</v>
      </c>
    </row>
    <row r="16" spans="1:17" x14ac:dyDescent="0.25">
      <c r="A16" s="176">
        <v>47</v>
      </c>
      <c r="B16" s="176"/>
      <c r="C16" s="176"/>
      <c r="D16" s="176">
        <v>1</v>
      </c>
      <c r="E16" s="176"/>
      <c r="F16" s="176">
        <v>4901</v>
      </c>
      <c r="G16" s="176">
        <v>3</v>
      </c>
      <c r="H16" s="176">
        <v>1</v>
      </c>
      <c r="I16" s="176">
        <v>2</v>
      </c>
      <c r="J16" s="176">
        <v>3</v>
      </c>
      <c r="K16" s="176">
        <v>4</v>
      </c>
      <c r="L16" s="176"/>
      <c r="M16" s="176">
        <v>1</v>
      </c>
      <c r="N16" s="176" t="s">
        <v>201</v>
      </c>
      <c r="O16" s="275" t="s">
        <v>220</v>
      </c>
      <c r="P16" s="263"/>
      <c r="Q16" s="155">
        <v>10500</v>
      </c>
    </row>
    <row r="17" spans="1:17" x14ac:dyDescent="0.25">
      <c r="A17" s="151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3"/>
      <c r="N17" s="152"/>
      <c r="O17" s="276"/>
      <c r="P17" s="276"/>
      <c r="Q17" s="155"/>
    </row>
    <row r="18" spans="1:17" x14ac:dyDescent="0.25">
      <c r="A18" s="151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3"/>
      <c r="N18" s="154"/>
      <c r="O18" s="256"/>
      <c r="P18" s="256"/>
      <c r="Q18" s="155"/>
    </row>
    <row r="19" spans="1:17" x14ac:dyDescent="0.25">
      <c r="A19" s="151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3"/>
      <c r="N19" s="154"/>
      <c r="O19" s="256"/>
      <c r="P19" s="256"/>
      <c r="Q19" s="155"/>
    </row>
    <row r="20" spans="1:17" x14ac:dyDescent="0.25">
      <c r="A20" s="151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3"/>
      <c r="N20" s="154"/>
      <c r="O20" s="256"/>
      <c r="P20" s="256"/>
      <c r="Q20" s="155"/>
    </row>
    <row r="21" spans="1:17" x14ac:dyDescent="0.25">
      <c r="A21" s="151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3"/>
      <c r="N21" s="154"/>
      <c r="O21" s="256"/>
      <c r="P21" s="256"/>
      <c r="Q21" s="155"/>
    </row>
    <row r="22" spans="1:17" x14ac:dyDescent="0.25">
      <c r="A22" s="151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3"/>
      <c r="N22" s="154"/>
      <c r="O22" s="256"/>
      <c r="P22" s="256"/>
      <c r="Q22" s="155"/>
    </row>
    <row r="23" spans="1:17" x14ac:dyDescent="0.25">
      <c r="A23" s="151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3"/>
      <c r="N23" s="154"/>
      <c r="O23" s="256"/>
      <c r="P23" s="256"/>
      <c r="Q23" s="155"/>
    </row>
    <row r="24" spans="1:17" x14ac:dyDescent="0.25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54"/>
      <c r="O24" s="256"/>
      <c r="P24" s="256"/>
      <c r="Q24" s="155"/>
    </row>
    <row r="25" spans="1:17" x14ac:dyDescent="0.25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54"/>
      <c r="O25" s="256"/>
      <c r="P25" s="256"/>
      <c r="Q25" s="155"/>
    </row>
    <row r="26" spans="1:17" x14ac:dyDescent="0.25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54"/>
      <c r="O26" s="256"/>
      <c r="P26" s="256"/>
      <c r="Q26" s="155"/>
    </row>
    <row r="27" spans="1:17" x14ac:dyDescent="0.25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54"/>
      <c r="O27" s="256"/>
      <c r="P27" s="256"/>
      <c r="Q27" s="155"/>
    </row>
    <row r="28" spans="1:17" x14ac:dyDescent="0.25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54"/>
      <c r="O28" s="256"/>
      <c r="P28" s="256"/>
      <c r="Q28" s="155"/>
    </row>
    <row r="29" spans="1:17" x14ac:dyDescent="0.25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54"/>
      <c r="O29" s="256"/>
      <c r="P29" s="256"/>
      <c r="Q29" s="155"/>
    </row>
    <row r="30" spans="1:17" x14ac:dyDescent="0.25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54"/>
      <c r="O30" s="256"/>
      <c r="P30" s="256"/>
      <c r="Q30" s="155"/>
    </row>
    <row r="31" spans="1:17" x14ac:dyDescent="0.25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54"/>
      <c r="O31" s="256"/>
      <c r="P31" s="256"/>
      <c r="Q31" s="155"/>
    </row>
    <row r="32" spans="1:17" x14ac:dyDescent="0.25">
      <c r="A32" s="151"/>
      <c r="B32" s="152"/>
      <c r="C32" s="152"/>
      <c r="D32" s="152"/>
      <c r="E32" s="152"/>
      <c r="F32" s="154"/>
      <c r="G32" s="152"/>
      <c r="H32" s="152"/>
      <c r="I32" s="152"/>
      <c r="J32" s="152"/>
      <c r="K32" s="152"/>
      <c r="L32" s="152"/>
      <c r="M32" s="153"/>
      <c r="N32" s="154"/>
      <c r="O32" s="251"/>
      <c r="P32" s="251"/>
      <c r="Q32" s="155"/>
    </row>
    <row r="33" spans="1:17" x14ac:dyDescent="0.25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54"/>
      <c r="O33" s="251"/>
      <c r="P33" s="251"/>
      <c r="Q33" s="155"/>
    </row>
    <row r="34" spans="1:17" x14ac:dyDescent="0.25">
      <c r="A34" s="151"/>
      <c r="B34" s="152"/>
      <c r="C34" s="152"/>
      <c r="D34" s="152"/>
      <c r="E34" s="152"/>
      <c r="F34" s="154"/>
      <c r="G34" s="152"/>
      <c r="H34" s="152"/>
      <c r="I34" s="152"/>
      <c r="J34" s="152"/>
      <c r="K34" s="152"/>
      <c r="L34" s="152"/>
      <c r="M34" s="153"/>
      <c r="N34" s="154"/>
      <c r="O34" s="251"/>
      <c r="P34" s="251"/>
      <c r="Q34" s="155"/>
    </row>
    <row r="35" spans="1:17" x14ac:dyDescent="0.25">
      <c r="A35" s="151"/>
      <c r="B35" s="152"/>
      <c r="C35" s="152"/>
      <c r="D35" s="152"/>
      <c r="E35" s="152"/>
      <c r="F35" s="154"/>
      <c r="G35" s="152"/>
      <c r="H35" s="152"/>
      <c r="I35" s="152"/>
      <c r="J35" s="152"/>
      <c r="K35" s="152"/>
      <c r="L35" s="152"/>
      <c r="M35" s="153"/>
      <c r="N35" s="154"/>
      <c r="O35" s="251"/>
      <c r="P35" s="251"/>
      <c r="Q35" s="155"/>
    </row>
    <row r="36" spans="1:17" x14ac:dyDescent="0.25">
      <c r="A36" s="156"/>
      <c r="B36" s="157"/>
      <c r="C36" s="157"/>
      <c r="D36" s="157"/>
      <c r="E36" s="157"/>
      <c r="F36" s="158"/>
      <c r="G36" s="157"/>
      <c r="H36" s="157"/>
      <c r="I36" s="157"/>
      <c r="J36" s="157"/>
      <c r="K36" s="157"/>
      <c r="L36" s="157"/>
      <c r="M36" s="159"/>
      <c r="N36" s="160"/>
      <c r="O36" s="252"/>
      <c r="P36" s="252"/>
      <c r="Q36" s="155"/>
    </row>
    <row r="37" spans="1:17" ht="15.75" thickBot="1" x14ac:dyDescent="0.3">
      <c r="A37" s="161"/>
      <c r="B37" s="162"/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3"/>
      <c r="N37" s="162"/>
      <c r="O37" s="253"/>
      <c r="P37" s="253"/>
      <c r="Q37" s="164"/>
    </row>
    <row r="38" spans="1:17" ht="15.75" thickBot="1" x14ac:dyDescent="0.3">
      <c r="A38" s="254" t="s">
        <v>206</v>
      </c>
      <c r="B38" s="254"/>
      <c r="C38" s="254"/>
      <c r="D38" s="254"/>
      <c r="E38" s="254"/>
      <c r="F38" s="254"/>
      <c r="G38" s="254"/>
      <c r="H38" s="254"/>
      <c r="I38" s="254"/>
      <c r="J38" s="254"/>
      <c r="K38" s="254"/>
      <c r="L38" s="254"/>
      <c r="M38" s="254"/>
      <c r="N38" s="254"/>
      <c r="O38" s="254"/>
      <c r="P38" s="254"/>
      <c r="Q38" s="165">
        <f>SUM(Q15:Q37)</f>
        <v>50683</v>
      </c>
    </row>
    <row r="39" spans="1:17" ht="15.75" thickBot="1" x14ac:dyDescent="0.3">
      <c r="A39" s="255"/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5"/>
      <c r="M39" s="255"/>
      <c r="N39" s="255"/>
      <c r="O39" s="255"/>
      <c r="P39" s="255"/>
      <c r="Q39" s="255"/>
    </row>
    <row r="40" spans="1:17" ht="15.75" thickBot="1" x14ac:dyDescent="0.3">
      <c r="A40" s="248" t="s">
        <v>202</v>
      </c>
      <c r="B40" s="248"/>
      <c r="C40" s="248"/>
      <c r="D40" s="248"/>
      <c r="E40" s="248"/>
      <c r="F40" s="248"/>
      <c r="G40" s="249"/>
      <c r="H40" s="249"/>
      <c r="I40" s="249"/>
      <c r="J40" s="249"/>
      <c r="K40" s="249"/>
      <c r="L40" s="249"/>
      <c r="M40" s="249"/>
      <c r="N40" s="249"/>
      <c r="O40" s="249"/>
      <c r="P40" s="249"/>
      <c r="Q40" s="249"/>
    </row>
    <row r="41" spans="1:17" ht="15.75" thickBot="1" x14ac:dyDescent="0.3">
      <c r="A41" s="250" t="s">
        <v>204</v>
      </c>
      <c r="B41" s="250"/>
      <c r="C41" s="250"/>
      <c r="D41" s="250"/>
      <c r="E41" s="250"/>
      <c r="F41" s="250"/>
      <c r="G41" s="250"/>
      <c r="H41" s="250"/>
      <c r="I41" s="250"/>
      <c r="J41" s="250"/>
      <c r="K41" s="250"/>
      <c r="L41" s="250"/>
      <c r="M41" s="250"/>
      <c r="N41" s="250"/>
      <c r="O41" s="250"/>
      <c r="P41" s="250"/>
      <c r="Q41" s="250"/>
    </row>
    <row r="42" spans="1:17" ht="15.75" thickBot="1" x14ac:dyDescent="0.3">
      <c r="A42" s="250"/>
      <c r="B42" s="250"/>
      <c r="C42" s="250"/>
      <c r="D42" s="250"/>
      <c r="E42" s="250"/>
      <c r="F42" s="250"/>
      <c r="G42" s="250"/>
      <c r="H42" s="250"/>
      <c r="I42" s="250"/>
      <c r="J42" s="250"/>
      <c r="K42" s="250"/>
      <c r="L42" s="250"/>
      <c r="M42" s="250"/>
      <c r="N42" s="250"/>
      <c r="O42" s="250"/>
      <c r="P42" s="250"/>
      <c r="Q42" s="250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pageSetup paperSize="5" scale="6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28"/>
  <sheetViews>
    <sheetView topLeftCell="A10" zoomScaleNormal="100" workbookViewId="0">
      <selection activeCell="C51" sqref="C51"/>
    </sheetView>
  </sheetViews>
  <sheetFormatPr baseColWidth="10" defaultRowHeight="15" x14ac:dyDescent="0.25"/>
  <cols>
    <col min="2" max="2" width="18.85546875" customWidth="1"/>
    <col min="3" max="3" width="53.140625" customWidth="1"/>
    <col min="8" max="8" width="16" customWidth="1"/>
    <col min="10" max="10" width="12" bestFit="1" customWidth="1"/>
  </cols>
  <sheetData>
    <row r="1" spans="1:9" ht="30.75" thickBot="1" x14ac:dyDescent="0.3">
      <c r="A1" s="246" t="s">
        <v>162</v>
      </c>
      <c r="B1" s="246"/>
      <c r="C1" s="246"/>
      <c r="D1" s="246"/>
      <c r="E1" s="246"/>
      <c r="F1" s="101" t="s">
        <v>163</v>
      </c>
      <c r="G1" s="102"/>
    </row>
    <row r="2" spans="1:9" ht="16.5" thickBot="1" x14ac:dyDescent="0.3">
      <c r="A2" s="103"/>
      <c r="B2" s="104"/>
      <c r="C2" s="105"/>
      <c r="D2" s="105"/>
      <c r="E2" s="105"/>
      <c r="F2" s="105"/>
      <c r="G2" s="106"/>
    </row>
    <row r="3" spans="1:9" ht="16.5" thickBot="1" x14ac:dyDescent="0.3">
      <c r="A3" s="247" t="s">
        <v>164</v>
      </c>
      <c r="B3" s="247"/>
      <c r="C3" s="107" t="str">
        <f>'[2]SAF 011'!C4</f>
        <v>040 - MINISTERIO DE SALUD</v>
      </c>
      <c r="D3" s="108"/>
      <c r="E3" s="108"/>
      <c r="F3" s="108"/>
      <c r="G3" s="109"/>
    </row>
    <row r="4" spans="1:9" ht="16.5" thickBot="1" x14ac:dyDescent="0.3">
      <c r="A4" s="245" t="s">
        <v>165</v>
      </c>
      <c r="B4" s="245"/>
      <c r="C4" s="107" t="str">
        <f>'[2]SAF 011'!C5</f>
        <v>011 - DIRECCION PROVINCIAL DE ADMINISTRACION - MINISTERIO DE SALUD</v>
      </c>
      <c r="D4" s="108"/>
      <c r="E4" s="108"/>
      <c r="F4" s="108"/>
      <c r="G4" s="109"/>
    </row>
    <row r="5" spans="1:9" ht="16.5" thickBot="1" x14ac:dyDescent="0.3">
      <c r="A5" s="245" t="s">
        <v>166</v>
      </c>
      <c r="B5" s="245"/>
      <c r="C5" s="107" t="s">
        <v>208</v>
      </c>
      <c r="D5" s="108"/>
      <c r="E5" s="108"/>
      <c r="F5" s="108"/>
      <c r="G5" s="109"/>
    </row>
    <row r="6" spans="1:9" ht="16.5" thickBot="1" x14ac:dyDescent="0.3">
      <c r="A6" s="247" t="s">
        <v>168</v>
      </c>
      <c r="B6" s="247"/>
      <c r="C6" s="107" t="s">
        <v>208</v>
      </c>
      <c r="D6" s="108"/>
      <c r="E6" s="108"/>
      <c r="F6" s="108"/>
      <c r="G6" s="109"/>
    </row>
    <row r="7" spans="1:9" ht="16.5" thickBot="1" x14ac:dyDescent="0.3">
      <c r="A7" s="245" t="s">
        <v>169</v>
      </c>
      <c r="B7" s="245"/>
      <c r="C7" s="107" t="s">
        <v>170</v>
      </c>
      <c r="D7" s="108"/>
      <c r="E7" s="108"/>
      <c r="F7" s="108"/>
      <c r="G7" s="109"/>
    </row>
    <row r="8" spans="1:9" ht="16.5" thickBot="1" x14ac:dyDescent="0.3">
      <c r="A8" s="243" t="s">
        <v>171</v>
      </c>
      <c r="B8" s="243"/>
      <c r="C8" s="110" t="s">
        <v>204</v>
      </c>
      <c r="D8" s="108"/>
      <c r="E8" s="108"/>
      <c r="F8" s="108"/>
      <c r="G8" s="109"/>
    </row>
    <row r="9" spans="1:9" ht="15.75" x14ac:dyDescent="0.25">
      <c r="A9" s="111"/>
      <c r="B9" s="112"/>
      <c r="C9" s="113"/>
      <c r="D9" s="113"/>
      <c r="E9" s="113"/>
      <c r="F9" s="113"/>
      <c r="G9" s="114"/>
    </row>
    <row r="10" spans="1:9" x14ac:dyDescent="0.25">
      <c r="A10" s="244" t="s">
        <v>172</v>
      </c>
      <c r="B10" s="242" t="s">
        <v>173</v>
      </c>
      <c r="C10" s="242" t="s">
        <v>207</v>
      </c>
      <c r="D10" s="242" t="s">
        <v>174</v>
      </c>
      <c r="E10" s="242" t="s">
        <v>175</v>
      </c>
      <c r="F10" s="242" t="s">
        <v>176</v>
      </c>
      <c r="G10" s="242" t="s">
        <v>177</v>
      </c>
    </row>
    <row r="11" spans="1:9" ht="27" customHeight="1" x14ac:dyDescent="0.25">
      <c r="A11" s="244"/>
      <c r="B11" s="242"/>
      <c r="C11" s="242"/>
      <c r="D11" s="242"/>
      <c r="E11" s="242"/>
      <c r="F11" s="242"/>
      <c r="G11" s="242"/>
    </row>
    <row r="12" spans="1:9" ht="18" customHeight="1" x14ac:dyDescent="0.25">
      <c r="A12" s="115">
        <v>1</v>
      </c>
      <c r="B12" s="75" t="s">
        <v>105</v>
      </c>
      <c r="C12" s="76" t="s">
        <v>106</v>
      </c>
      <c r="D12" s="182" t="s">
        <v>178</v>
      </c>
      <c r="E12" s="63" t="s">
        <v>47</v>
      </c>
      <c r="F12" s="117">
        <v>650</v>
      </c>
      <c r="G12" s="61">
        <v>1</v>
      </c>
      <c r="H12" s="212">
        <f>+G12*F12</f>
        <v>650</v>
      </c>
      <c r="I12" s="210"/>
    </row>
    <row r="13" spans="1:9" x14ac:dyDescent="0.25">
      <c r="A13" s="115">
        <v>2</v>
      </c>
      <c r="B13" s="46" t="s">
        <v>58</v>
      </c>
      <c r="C13" s="56" t="s">
        <v>59</v>
      </c>
      <c r="D13" s="182" t="s">
        <v>178</v>
      </c>
      <c r="E13" s="55" t="s">
        <v>47</v>
      </c>
      <c r="F13" s="66">
        <v>386</v>
      </c>
      <c r="G13" s="61">
        <v>1</v>
      </c>
      <c r="H13" s="212">
        <f t="shared" ref="H13:H26" si="0">+G13*F13</f>
        <v>386</v>
      </c>
      <c r="I13" s="210"/>
    </row>
    <row r="14" spans="1:9" ht="25.5" x14ac:dyDescent="0.25">
      <c r="A14" s="115">
        <v>3</v>
      </c>
      <c r="B14" s="46" t="s">
        <v>60</v>
      </c>
      <c r="C14" s="56" t="s">
        <v>61</v>
      </c>
      <c r="D14" s="182" t="s">
        <v>178</v>
      </c>
      <c r="E14" s="55" t="s">
        <v>47</v>
      </c>
      <c r="F14" s="74">
        <v>290</v>
      </c>
      <c r="G14" s="61">
        <v>10</v>
      </c>
      <c r="H14" s="212">
        <f t="shared" si="0"/>
        <v>2900</v>
      </c>
      <c r="I14" s="210"/>
    </row>
    <row r="15" spans="1:9" ht="38.25" x14ac:dyDescent="0.25">
      <c r="A15" s="115">
        <v>4</v>
      </c>
      <c r="B15" s="75" t="s">
        <v>64</v>
      </c>
      <c r="C15" s="76" t="s">
        <v>65</v>
      </c>
      <c r="D15" s="182" t="s">
        <v>178</v>
      </c>
      <c r="E15" s="63" t="s">
        <v>47</v>
      </c>
      <c r="F15" s="74">
        <v>120</v>
      </c>
      <c r="G15" s="61">
        <v>10</v>
      </c>
      <c r="H15" s="212">
        <f t="shared" si="0"/>
        <v>1200</v>
      </c>
      <c r="I15" s="210"/>
    </row>
    <row r="16" spans="1:9" x14ac:dyDescent="0.25">
      <c r="A16" s="115">
        <v>5</v>
      </c>
      <c r="B16" s="26" t="s">
        <v>68</v>
      </c>
      <c r="C16" s="56" t="s">
        <v>69</v>
      </c>
      <c r="D16" s="182" t="s">
        <v>178</v>
      </c>
      <c r="E16" s="55" t="s">
        <v>70</v>
      </c>
      <c r="F16" s="74">
        <v>350</v>
      </c>
      <c r="G16" s="61">
        <v>5</v>
      </c>
      <c r="H16" s="212">
        <f t="shared" si="0"/>
        <v>1750</v>
      </c>
      <c r="I16" s="210"/>
    </row>
    <row r="17" spans="1:9" ht="25.5" x14ac:dyDescent="0.25">
      <c r="A17" s="115">
        <v>6</v>
      </c>
      <c r="B17" s="80" t="s">
        <v>73</v>
      </c>
      <c r="C17" s="56" t="s">
        <v>74</v>
      </c>
      <c r="D17" s="182" t="s">
        <v>178</v>
      </c>
      <c r="E17" s="55" t="s">
        <v>49</v>
      </c>
      <c r="F17" s="66">
        <v>650</v>
      </c>
      <c r="G17" s="61">
        <v>5</v>
      </c>
      <c r="H17" s="212">
        <f t="shared" si="0"/>
        <v>3250</v>
      </c>
      <c r="I17" s="210"/>
    </row>
    <row r="18" spans="1:9" x14ac:dyDescent="0.25">
      <c r="A18" s="115">
        <v>7</v>
      </c>
      <c r="B18" s="81" t="s">
        <v>77</v>
      </c>
      <c r="C18" s="56" t="s">
        <v>78</v>
      </c>
      <c r="D18" s="182" t="s">
        <v>178</v>
      </c>
      <c r="E18" s="55" t="s">
        <v>49</v>
      </c>
      <c r="F18" s="66">
        <v>300</v>
      </c>
      <c r="G18" s="61">
        <v>1</v>
      </c>
      <c r="H18" s="212">
        <f t="shared" si="0"/>
        <v>300</v>
      </c>
      <c r="I18" s="210"/>
    </row>
    <row r="19" spans="1:9" x14ac:dyDescent="0.25">
      <c r="A19" s="115">
        <v>8</v>
      </c>
      <c r="B19" s="46" t="s">
        <v>88</v>
      </c>
      <c r="C19" s="56" t="s">
        <v>89</v>
      </c>
      <c r="D19" s="182" t="s">
        <v>178</v>
      </c>
      <c r="E19" s="55" t="s">
        <v>47</v>
      </c>
      <c r="F19" s="66">
        <v>400</v>
      </c>
      <c r="G19" s="61">
        <v>3</v>
      </c>
      <c r="H19" s="212">
        <f t="shared" si="0"/>
        <v>1200</v>
      </c>
      <c r="I19" s="210"/>
    </row>
    <row r="20" spans="1:9" x14ac:dyDescent="0.25">
      <c r="A20" s="115">
        <v>9</v>
      </c>
      <c r="B20" s="46" t="s">
        <v>92</v>
      </c>
      <c r="C20" s="76" t="s">
        <v>93</v>
      </c>
      <c r="D20" s="182" t="s">
        <v>178</v>
      </c>
      <c r="E20" s="55" t="s">
        <v>47</v>
      </c>
      <c r="F20" s="74">
        <v>120</v>
      </c>
      <c r="G20" s="61">
        <v>3</v>
      </c>
      <c r="H20" s="212">
        <f t="shared" si="0"/>
        <v>360</v>
      </c>
      <c r="I20" s="210"/>
    </row>
    <row r="21" spans="1:9" ht="25.5" x14ac:dyDescent="0.25">
      <c r="A21" s="115">
        <v>10</v>
      </c>
      <c r="B21" s="46" t="s">
        <v>94</v>
      </c>
      <c r="C21" s="76" t="s">
        <v>95</v>
      </c>
      <c r="D21" s="182" t="s">
        <v>178</v>
      </c>
      <c r="E21" s="55" t="s">
        <v>47</v>
      </c>
      <c r="F21" s="66">
        <v>115</v>
      </c>
      <c r="G21" s="61">
        <v>3</v>
      </c>
      <c r="H21" s="212">
        <f t="shared" si="0"/>
        <v>345</v>
      </c>
      <c r="I21" s="210"/>
    </row>
    <row r="22" spans="1:9" ht="38.25" x14ac:dyDescent="0.25">
      <c r="A22" s="115">
        <v>11</v>
      </c>
      <c r="B22" s="83" t="s">
        <v>131</v>
      </c>
      <c r="C22" s="84" t="s">
        <v>132</v>
      </c>
      <c r="D22" s="182" t="s">
        <v>178</v>
      </c>
      <c r="E22" s="46" t="s">
        <v>47</v>
      </c>
      <c r="F22" s="85">
        <v>800</v>
      </c>
      <c r="G22" s="61">
        <v>2</v>
      </c>
      <c r="H22" s="212">
        <f t="shared" si="0"/>
        <v>1600</v>
      </c>
      <c r="I22" s="210"/>
    </row>
    <row r="23" spans="1:9" s="32" customFormat="1" ht="25.5" x14ac:dyDescent="0.25">
      <c r="A23" s="115">
        <v>12</v>
      </c>
      <c r="B23" s="83" t="s">
        <v>120</v>
      </c>
      <c r="C23" s="84" t="s">
        <v>121</v>
      </c>
      <c r="D23" s="182" t="s">
        <v>178</v>
      </c>
      <c r="E23" s="46" t="s">
        <v>47</v>
      </c>
      <c r="F23" s="85">
        <v>180</v>
      </c>
      <c r="G23" s="61">
        <v>20</v>
      </c>
      <c r="H23" s="212">
        <f t="shared" si="0"/>
        <v>3600</v>
      </c>
      <c r="I23" s="210"/>
    </row>
    <row r="24" spans="1:9" s="32" customFormat="1" ht="38.25" x14ac:dyDescent="0.25">
      <c r="A24" s="115">
        <v>13</v>
      </c>
      <c r="B24" s="83" t="s">
        <v>122</v>
      </c>
      <c r="C24" s="84" t="s">
        <v>123</v>
      </c>
      <c r="D24" s="182" t="s">
        <v>178</v>
      </c>
      <c r="E24" s="46" t="s">
        <v>47</v>
      </c>
      <c r="F24" s="85">
        <v>780</v>
      </c>
      <c r="G24" s="61">
        <v>3</v>
      </c>
      <c r="H24" s="212">
        <f t="shared" si="0"/>
        <v>2340</v>
      </c>
      <c r="I24" s="210"/>
    </row>
    <row r="25" spans="1:9" s="32" customFormat="1" ht="25.5" x14ac:dyDescent="0.25">
      <c r="A25" s="115">
        <v>14</v>
      </c>
      <c r="B25" s="83" t="s">
        <v>124</v>
      </c>
      <c r="C25" s="84" t="s">
        <v>126</v>
      </c>
      <c r="D25" s="182" t="s">
        <v>178</v>
      </c>
      <c r="E25" s="198" t="s">
        <v>47</v>
      </c>
      <c r="F25" s="199">
        <v>290</v>
      </c>
      <c r="G25" s="196">
        <v>5</v>
      </c>
      <c r="H25" s="212">
        <f t="shared" si="0"/>
        <v>1450</v>
      </c>
      <c r="I25" s="210"/>
    </row>
    <row r="26" spans="1:9" ht="25.5" x14ac:dyDescent="0.25">
      <c r="A26" s="115">
        <v>15</v>
      </c>
      <c r="B26" s="83" t="s">
        <v>125</v>
      </c>
      <c r="C26" s="84" t="s">
        <v>127</v>
      </c>
      <c r="D26" s="182" t="s">
        <v>178</v>
      </c>
      <c r="E26" s="46" t="s">
        <v>47</v>
      </c>
      <c r="F26" s="85">
        <v>1300</v>
      </c>
      <c r="G26" s="61">
        <v>1</v>
      </c>
      <c r="H26" s="212">
        <f t="shared" si="0"/>
        <v>1300</v>
      </c>
      <c r="I26" s="210"/>
    </row>
    <row r="27" spans="1:9" ht="45.75" customHeight="1" x14ac:dyDescent="0.25">
      <c r="A27" s="240" t="s">
        <v>226</v>
      </c>
      <c r="B27" s="240"/>
      <c r="C27" s="240"/>
      <c r="D27" s="240"/>
      <c r="E27" s="240"/>
      <c r="F27" s="241">
        <f>+H12+H13+H14+H15+H16+H17+H18+H19+H20+H21+H22+H23+H24+H25+H26</f>
        <v>22631</v>
      </c>
      <c r="G27" s="241"/>
      <c r="H27" s="210"/>
      <c r="I27" s="210"/>
    </row>
    <row r="28" spans="1:9" x14ac:dyDescent="0.25">
      <c r="A28" s="32"/>
      <c r="B28" s="32"/>
      <c r="C28" s="32"/>
      <c r="D28" s="32"/>
      <c r="E28" s="32"/>
      <c r="F28" s="32"/>
      <c r="G28" s="32"/>
    </row>
  </sheetData>
  <mergeCells count="16">
    <mergeCell ref="A27:E27"/>
    <mergeCell ref="F27:G27"/>
    <mergeCell ref="F10:F11"/>
    <mergeCell ref="G10:G11"/>
    <mergeCell ref="A8:B8"/>
    <mergeCell ref="A10:A11"/>
    <mergeCell ref="B10:B11"/>
    <mergeCell ref="C10:C11"/>
    <mergeCell ref="D10:D11"/>
    <mergeCell ref="E10:E11"/>
    <mergeCell ref="A7:B7"/>
    <mergeCell ref="A1:E1"/>
    <mergeCell ref="A3:B3"/>
    <mergeCell ref="A4:B4"/>
    <mergeCell ref="A5:B5"/>
    <mergeCell ref="A6:B6"/>
  </mergeCells>
  <conditionalFormatting sqref="B17:B18">
    <cfRule type="duplicateValues" dxfId="120" priority="28"/>
  </conditionalFormatting>
  <conditionalFormatting sqref="C17:C18">
    <cfRule type="duplicateValues" dxfId="119" priority="21"/>
  </conditionalFormatting>
  <conditionalFormatting sqref="B19:B24 B12:B16 B26">
    <cfRule type="duplicateValues" dxfId="118" priority="647"/>
  </conditionalFormatting>
  <conditionalFormatting sqref="B12:B24 B26">
    <cfRule type="duplicateValues" dxfId="117" priority="649"/>
  </conditionalFormatting>
  <conditionalFormatting sqref="B12:B24 B26">
    <cfRule type="duplicateValues" dxfId="116" priority="653"/>
  </conditionalFormatting>
  <conditionalFormatting sqref="C12:C24 C26">
    <cfRule type="duplicateValues" dxfId="115" priority="655"/>
  </conditionalFormatting>
  <conditionalFormatting sqref="C12:C24 C26">
    <cfRule type="duplicateValues" dxfId="114" priority="657"/>
    <cfRule type="duplicateValues" dxfId="113" priority="658"/>
  </conditionalFormatting>
  <conditionalFormatting sqref="C19:C24 C12:C16 C26">
    <cfRule type="duplicateValues" dxfId="112" priority="661"/>
  </conditionalFormatting>
  <conditionalFormatting sqref="C12:C24 C26">
    <cfRule type="duplicateValues" dxfId="111" priority="663"/>
  </conditionalFormatting>
  <conditionalFormatting sqref="B25">
    <cfRule type="duplicateValues" dxfId="110" priority="7"/>
  </conditionalFormatting>
  <conditionalFormatting sqref="B25">
    <cfRule type="duplicateValues" dxfId="109" priority="8"/>
  </conditionalFormatting>
  <conditionalFormatting sqref="B25">
    <cfRule type="duplicateValues" dxfId="108" priority="9"/>
  </conditionalFormatting>
  <conditionalFormatting sqref="B25">
    <cfRule type="duplicateValues" dxfId="107" priority="10"/>
  </conditionalFormatting>
  <conditionalFormatting sqref="C25">
    <cfRule type="duplicateValues" dxfId="106" priority="1"/>
  </conditionalFormatting>
  <conditionalFormatting sqref="C25">
    <cfRule type="duplicateValues" dxfId="105" priority="2"/>
    <cfRule type="duplicateValues" dxfId="104" priority="3"/>
  </conditionalFormatting>
  <conditionalFormatting sqref="C25">
    <cfRule type="duplicateValues" dxfId="103" priority="4"/>
  </conditionalFormatting>
  <conditionalFormatting sqref="C25">
    <cfRule type="duplicateValues" dxfId="102" priority="5"/>
  </conditionalFormatting>
  <conditionalFormatting sqref="C25">
    <cfRule type="duplicateValues" dxfId="101" priority="6"/>
  </conditionalFormatting>
  <pageMargins left="0.7" right="0.7" top="0.75" bottom="0.75" header="0.3" footer="0.3"/>
  <pageSetup paperSize="5" scale="7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Q41"/>
  <sheetViews>
    <sheetView topLeftCell="A10" zoomScaleNormal="100" workbookViewId="0">
      <selection activeCell="C51" sqref="C51"/>
    </sheetView>
  </sheetViews>
  <sheetFormatPr baseColWidth="10" defaultRowHeight="15" x14ac:dyDescent="0.25"/>
  <cols>
    <col min="1" max="5" width="4.5703125" customWidth="1"/>
    <col min="6" max="6" width="6" customWidth="1"/>
    <col min="7" max="11" width="4.5703125" customWidth="1"/>
    <col min="12" max="12" width="5.5703125" customWidth="1"/>
    <col min="13" max="15" width="4.5703125" customWidth="1"/>
    <col min="16" max="16" width="23.85546875" customWidth="1"/>
    <col min="17" max="17" width="19.5703125" customWidth="1"/>
  </cols>
  <sheetData>
    <row r="1" spans="1:17" ht="15.75" thickBot="1" x14ac:dyDescent="0.3">
      <c r="A1" s="267" t="s">
        <v>5</v>
      </c>
      <c r="B1" s="267"/>
      <c r="C1" s="267"/>
      <c r="D1" s="268">
        <v>2022</v>
      </c>
      <c r="E1" s="268"/>
      <c r="F1" s="133"/>
      <c r="G1" s="133"/>
      <c r="H1" s="134"/>
      <c r="I1" s="134"/>
      <c r="J1" s="134"/>
      <c r="K1" s="134"/>
      <c r="L1" s="134"/>
      <c r="M1" s="134"/>
      <c r="N1" s="134"/>
      <c r="O1" s="135"/>
      <c r="P1" s="269" t="s">
        <v>179</v>
      </c>
      <c r="Q1" s="269"/>
    </row>
    <row r="2" spans="1:17" ht="15.75" thickBot="1" x14ac:dyDescent="0.3">
      <c r="A2" s="136"/>
      <c r="B2" s="137"/>
      <c r="C2" s="137"/>
      <c r="D2" s="137"/>
      <c r="E2" s="137"/>
      <c r="F2" s="137"/>
      <c r="G2" s="138"/>
      <c r="H2" s="139"/>
      <c r="I2" s="139"/>
      <c r="J2" s="139"/>
      <c r="K2" s="139"/>
      <c r="L2" s="139"/>
      <c r="M2" s="139"/>
      <c r="N2" s="139"/>
      <c r="O2" s="137"/>
      <c r="P2" s="269"/>
      <c r="Q2" s="269"/>
    </row>
    <row r="3" spans="1:17" ht="15.75" thickBot="1" x14ac:dyDescent="0.3">
      <c r="A3" s="136"/>
      <c r="B3" s="137"/>
      <c r="C3" s="137"/>
      <c r="D3" s="137"/>
      <c r="E3" s="137"/>
      <c r="F3" s="137"/>
      <c r="G3" s="138"/>
      <c r="H3" s="137"/>
      <c r="I3" s="137"/>
      <c r="J3" s="137"/>
      <c r="K3" s="137"/>
      <c r="L3" s="137"/>
      <c r="M3" s="137"/>
      <c r="N3" s="137"/>
      <c r="O3" s="137"/>
      <c r="P3" s="137"/>
      <c r="Q3" s="140"/>
    </row>
    <row r="4" spans="1:17" ht="15.75" thickBot="1" x14ac:dyDescent="0.3">
      <c r="A4" s="270" t="s">
        <v>180</v>
      </c>
      <c r="B4" s="270"/>
      <c r="C4" s="270"/>
      <c r="D4" s="270"/>
      <c r="E4" s="270"/>
      <c r="F4" s="270"/>
      <c r="G4" s="271" t="str">
        <f>'[1]NP DPBS'!D3</f>
        <v>040 - MINISTERIO DE SALUD</v>
      </c>
      <c r="H4" s="271"/>
      <c r="I4" s="271"/>
      <c r="J4" s="271"/>
      <c r="K4" s="271"/>
      <c r="L4" s="271"/>
      <c r="M4" s="271"/>
      <c r="N4" s="271"/>
      <c r="O4" s="271"/>
      <c r="P4" s="271"/>
      <c r="Q4" s="271"/>
    </row>
    <row r="5" spans="1:17" ht="15.75" thickBot="1" x14ac:dyDescent="0.3">
      <c r="A5" s="272" t="s">
        <v>165</v>
      </c>
      <c r="B5" s="272"/>
      <c r="C5" s="272"/>
      <c r="D5" s="272"/>
      <c r="E5" s="272"/>
      <c r="F5" s="272"/>
      <c r="G5" s="271" t="str">
        <f>'[1]NP DPBS'!D4</f>
        <v>011 - DIRECCION PROVINCIAL DE ADMINISTRACION - MINISTERIO DE SALUD</v>
      </c>
      <c r="H5" s="271"/>
      <c r="I5" s="271"/>
      <c r="J5" s="271"/>
      <c r="K5" s="271"/>
      <c r="L5" s="271"/>
      <c r="M5" s="271"/>
      <c r="N5" s="271"/>
      <c r="O5" s="271"/>
      <c r="P5" s="271"/>
      <c r="Q5" s="271"/>
    </row>
    <row r="6" spans="1:17" ht="15.75" thickBot="1" x14ac:dyDescent="0.3">
      <c r="A6" s="272" t="s">
        <v>166</v>
      </c>
      <c r="B6" s="272"/>
      <c r="C6" s="272"/>
      <c r="D6" s="272"/>
      <c r="E6" s="272"/>
      <c r="F6" s="272"/>
      <c r="G6" s="271" t="s">
        <v>208</v>
      </c>
      <c r="H6" s="271"/>
      <c r="I6" s="271"/>
      <c r="J6" s="271"/>
      <c r="K6" s="271"/>
      <c r="L6" s="271"/>
      <c r="M6" s="271"/>
      <c r="N6" s="271"/>
      <c r="O6" s="271"/>
      <c r="P6" s="271"/>
      <c r="Q6" s="271"/>
    </row>
    <row r="7" spans="1:17" ht="15.75" thickBot="1" x14ac:dyDescent="0.3">
      <c r="A7" s="272" t="s">
        <v>168</v>
      </c>
      <c r="B7" s="272"/>
      <c r="C7" s="272"/>
      <c r="D7" s="272"/>
      <c r="E7" s="272"/>
      <c r="F7" s="272"/>
      <c r="G7" s="271" t="s">
        <v>208</v>
      </c>
      <c r="H7" s="271"/>
      <c r="I7" s="271"/>
      <c r="J7" s="271"/>
      <c r="K7" s="271"/>
      <c r="L7" s="271"/>
      <c r="M7" s="271"/>
      <c r="N7" s="271"/>
      <c r="O7" s="271"/>
      <c r="P7" s="271"/>
      <c r="Q7" s="271"/>
    </row>
    <row r="8" spans="1:17" ht="15.75" thickBot="1" x14ac:dyDescent="0.3">
      <c r="A8" s="273" t="s">
        <v>181</v>
      </c>
      <c r="B8" s="273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</row>
    <row r="9" spans="1:17" x14ac:dyDescent="0.25">
      <c r="A9" s="266" t="s">
        <v>182</v>
      </c>
      <c r="B9" s="266"/>
      <c r="C9" s="266"/>
      <c r="D9" s="266"/>
      <c r="E9" s="266"/>
      <c r="F9" s="266"/>
      <c r="G9" s="266"/>
      <c r="H9" s="266"/>
      <c r="I9" s="266"/>
      <c r="J9" s="266"/>
      <c r="K9" s="266"/>
      <c r="L9" s="266"/>
      <c r="M9" s="266"/>
      <c r="N9" s="266"/>
      <c r="O9" s="266"/>
      <c r="P9" s="266"/>
      <c r="Q9" s="266"/>
    </row>
    <row r="10" spans="1:17" ht="39.75" customHeight="1" x14ac:dyDescent="0.25">
      <c r="A10" s="257" t="s">
        <v>183</v>
      </c>
      <c r="B10" s="257"/>
      <c r="C10" s="257"/>
      <c r="D10" s="257"/>
      <c r="E10" s="257"/>
      <c r="F10" s="257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257"/>
    </row>
    <row r="11" spans="1:17" ht="15.75" thickBot="1" x14ac:dyDescent="0.3">
      <c r="A11" s="141"/>
      <c r="B11" s="142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4"/>
    </row>
    <row r="12" spans="1:17" ht="15.75" thickBot="1" x14ac:dyDescent="0.3">
      <c r="A12" s="258" t="s">
        <v>184</v>
      </c>
      <c r="B12" s="258"/>
      <c r="C12" s="258"/>
      <c r="D12" s="258"/>
      <c r="E12" s="258"/>
      <c r="F12" s="258"/>
      <c r="G12" s="258"/>
      <c r="H12" s="258"/>
      <c r="I12" s="258"/>
      <c r="J12" s="258"/>
      <c r="K12" s="258"/>
      <c r="L12" s="258"/>
      <c r="M12" s="258"/>
      <c r="N12" s="258"/>
      <c r="O12" s="258"/>
      <c r="P12" s="258"/>
      <c r="Q12" s="258"/>
    </row>
    <row r="13" spans="1:17" ht="15.75" thickBot="1" x14ac:dyDescent="0.3">
      <c r="A13" s="259" t="s">
        <v>185</v>
      </c>
      <c r="B13" s="259"/>
      <c r="C13" s="259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259"/>
      <c r="O13" s="260" t="s">
        <v>186</v>
      </c>
      <c r="P13" s="260"/>
      <c r="Q13" s="261" t="s">
        <v>187</v>
      </c>
    </row>
    <row r="14" spans="1:17" ht="15.75" thickBot="1" x14ac:dyDescent="0.3">
      <c r="A14" s="145" t="s">
        <v>188</v>
      </c>
      <c r="B14" s="146" t="s">
        <v>189</v>
      </c>
      <c r="C14" s="146" t="s">
        <v>190</v>
      </c>
      <c r="D14" s="146" t="s">
        <v>191</v>
      </c>
      <c r="E14" s="146" t="s">
        <v>192</v>
      </c>
      <c r="F14" s="146" t="s">
        <v>193</v>
      </c>
      <c r="G14" s="147" t="s">
        <v>194</v>
      </c>
      <c r="H14" s="146" t="s">
        <v>195</v>
      </c>
      <c r="I14" s="146" t="s">
        <v>196</v>
      </c>
      <c r="J14" s="146" t="s">
        <v>197</v>
      </c>
      <c r="K14" s="146" t="s">
        <v>197</v>
      </c>
      <c r="L14" s="146" t="s">
        <v>198</v>
      </c>
      <c r="M14" s="148" t="s">
        <v>199</v>
      </c>
      <c r="N14" s="149" t="s">
        <v>200</v>
      </c>
      <c r="O14" s="260"/>
      <c r="P14" s="260"/>
      <c r="Q14" s="261"/>
    </row>
    <row r="15" spans="1:17" ht="15" customHeight="1" x14ac:dyDescent="0.25">
      <c r="A15" s="176">
        <v>30</v>
      </c>
      <c r="B15" s="176"/>
      <c r="C15" s="176"/>
      <c r="D15" s="176">
        <v>1</v>
      </c>
      <c r="E15" s="176"/>
      <c r="F15" s="176">
        <v>4901</v>
      </c>
      <c r="G15" s="176">
        <v>3</v>
      </c>
      <c r="H15" s="176"/>
      <c r="I15" s="176">
        <v>2</v>
      </c>
      <c r="J15" s="176">
        <v>9</v>
      </c>
      <c r="K15" s="176">
        <v>1</v>
      </c>
      <c r="L15" s="176"/>
      <c r="M15" s="176">
        <v>1</v>
      </c>
      <c r="N15" s="176" t="s">
        <v>201</v>
      </c>
      <c r="O15" s="277" t="s">
        <v>48</v>
      </c>
      <c r="P15" s="278"/>
      <c r="Q15" s="150">
        <v>22631</v>
      </c>
    </row>
    <row r="16" spans="1:17" x14ac:dyDescent="0.25">
      <c r="A16" s="151"/>
      <c r="B16" s="152"/>
      <c r="C16" s="152"/>
      <c r="D16" s="152"/>
      <c r="E16" s="152"/>
      <c r="F16" s="176"/>
      <c r="G16" s="176"/>
      <c r="H16" s="152"/>
      <c r="I16" s="152"/>
      <c r="J16" s="152"/>
      <c r="K16" s="152"/>
      <c r="L16" s="152"/>
      <c r="M16" s="176"/>
      <c r="N16" s="180"/>
      <c r="O16" s="256"/>
      <c r="P16" s="256"/>
      <c r="Q16" s="155"/>
    </row>
    <row r="17" spans="1:17" x14ac:dyDescent="0.25">
      <c r="A17" s="151"/>
      <c r="B17" s="152"/>
      <c r="C17" s="152"/>
      <c r="D17" s="152"/>
      <c r="E17" s="152"/>
      <c r="F17" s="176"/>
      <c r="G17" s="176"/>
      <c r="H17" s="152"/>
      <c r="I17" s="152"/>
      <c r="J17" s="152"/>
      <c r="K17" s="152"/>
      <c r="L17" s="152"/>
      <c r="M17" s="176"/>
      <c r="N17" s="180"/>
      <c r="O17" s="256"/>
      <c r="P17" s="256"/>
      <c r="Q17" s="155"/>
    </row>
    <row r="18" spans="1:17" x14ac:dyDescent="0.25">
      <c r="A18" s="151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3"/>
      <c r="N18" s="180"/>
      <c r="O18" s="256"/>
      <c r="P18" s="256"/>
      <c r="Q18" s="155"/>
    </row>
    <row r="19" spans="1:17" x14ac:dyDescent="0.25">
      <c r="A19" s="151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3"/>
      <c r="N19" s="180"/>
      <c r="O19" s="256"/>
      <c r="P19" s="256"/>
      <c r="Q19" s="155"/>
    </row>
    <row r="20" spans="1:17" x14ac:dyDescent="0.25">
      <c r="A20" s="151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3"/>
      <c r="N20" s="180"/>
      <c r="O20" s="256"/>
      <c r="P20" s="256"/>
      <c r="Q20" s="155"/>
    </row>
    <row r="21" spans="1:17" x14ac:dyDescent="0.25">
      <c r="A21" s="151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3"/>
      <c r="N21" s="180"/>
      <c r="O21" s="256"/>
      <c r="P21" s="256"/>
      <c r="Q21" s="155"/>
    </row>
    <row r="22" spans="1:17" x14ac:dyDescent="0.25">
      <c r="A22" s="151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3"/>
      <c r="N22" s="180"/>
      <c r="O22" s="256"/>
      <c r="P22" s="256"/>
      <c r="Q22" s="155"/>
    </row>
    <row r="23" spans="1:17" x14ac:dyDescent="0.25">
      <c r="A23" s="151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3"/>
      <c r="N23" s="180"/>
      <c r="O23" s="256"/>
      <c r="P23" s="256"/>
      <c r="Q23" s="155"/>
    </row>
    <row r="24" spans="1:17" x14ac:dyDescent="0.25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80"/>
      <c r="O24" s="256"/>
      <c r="P24" s="256"/>
      <c r="Q24" s="155"/>
    </row>
    <row r="25" spans="1:17" x14ac:dyDescent="0.25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80"/>
      <c r="O25" s="256"/>
      <c r="P25" s="256"/>
      <c r="Q25" s="155"/>
    </row>
    <row r="26" spans="1:17" x14ac:dyDescent="0.25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80"/>
      <c r="O26" s="256"/>
      <c r="P26" s="256"/>
      <c r="Q26" s="155"/>
    </row>
    <row r="27" spans="1:17" x14ac:dyDescent="0.25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80"/>
      <c r="O27" s="256"/>
      <c r="P27" s="256"/>
      <c r="Q27" s="155"/>
    </row>
    <row r="28" spans="1:17" x14ac:dyDescent="0.25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80"/>
      <c r="O28" s="256"/>
      <c r="P28" s="256"/>
      <c r="Q28" s="155"/>
    </row>
    <row r="29" spans="1:17" x14ac:dyDescent="0.25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80"/>
      <c r="O29" s="256"/>
      <c r="P29" s="256"/>
      <c r="Q29" s="155"/>
    </row>
    <row r="30" spans="1:17" x14ac:dyDescent="0.25">
      <c r="A30" s="151"/>
      <c r="B30" s="152"/>
      <c r="C30" s="152"/>
      <c r="D30" s="152"/>
      <c r="E30" s="152"/>
      <c r="F30" s="180"/>
      <c r="G30" s="152"/>
      <c r="H30" s="152"/>
      <c r="I30" s="152"/>
      <c r="J30" s="152"/>
      <c r="K30" s="152"/>
      <c r="L30" s="152"/>
      <c r="M30" s="153"/>
      <c r="N30" s="180"/>
      <c r="O30" s="251"/>
      <c r="P30" s="251"/>
      <c r="Q30" s="155"/>
    </row>
    <row r="31" spans="1:17" x14ac:dyDescent="0.25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80"/>
      <c r="O31" s="251"/>
      <c r="P31" s="251"/>
      <c r="Q31" s="155"/>
    </row>
    <row r="32" spans="1:17" x14ac:dyDescent="0.25">
      <c r="A32" s="151"/>
      <c r="B32" s="152"/>
      <c r="C32" s="152"/>
      <c r="D32" s="152"/>
      <c r="E32" s="152"/>
      <c r="F32" s="180"/>
      <c r="G32" s="152"/>
      <c r="H32" s="152"/>
      <c r="I32" s="152"/>
      <c r="J32" s="152"/>
      <c r="K32" s="152"/>
      <c r="L32" s="152"/>
      <c r="M32" s="153"/>
      <c r="N32" s="180"/>
      <c r="O32" s="251"/>
      <c r="P32" s="251"/>
      <c r="Q32" s="155"/>
    </row>
    <row r="33" spans="1:17" x14ac:dyDescent="0.25">
      <c r="A33" s="151"/>
      <c r="B33" s="152"/>
      <c r="C33" s="152"/>
      <c r="D33" s="152"/>
      <c r="E33" s="152"/>
      <c r="F33" s="180"/>
      <c r="G33" s="152"/>
      <c r="H33" s="152"/>
      <c r="I33" s="152"/>
      <c r="J33" s="152"/>
      <c r="K33" s="152"/>
      <c r="L33" s="152"/>
      <c r="M33" s="153"/>
      <c r="N33" s="180"/>
      <c r="O33" s="251"/>
      <c r="P33" s="251"/>
      <c r="Q33" s="155"/>
    </row>
    <row r="34" spans="1:17" x14ac:dyDescent="0.25">
      <c r="A34" s="156"/>
      <c r="B34" s="157"/>
      <c r="C34" s="157"/>
      <c r="D34" s="157"/>
      <c r="E34" s="157"/>
      <c r="F34" s="158"/>
      <c r="G34" s="157"/>
      <c r="H34" s="157"/>
      <c r="I34" s="157"/>
      <c r="J34" s="157"/>
      <c r="K34" s="157"/>
      <c r="L34" s="157"/>
      <c r="M34" s="159"/>
      <c r="N34" s="160"/>
      <c r="O34" s="252"/>
      <c r="P34" s="252"/>
      <c r="Q34" s="155"/>
    </row>
    <row r="35" spans="1:17" ht="15.75" thickBot="1" x14ac:dyDescent="0.3">
      <c r="A35" s="161"/>
      <c r="B35" s="162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3"/>
      <c r="N35" s="162"/>
      <c r="O35" s="253"/>
      <c r="P35" s="253"/>
      <c r="Q35" s="164"/>
    </row>
    <row r="36" spans="1:17" ht="15.75" thickBot="1" x14ac:dyDescent="0.3">
      <c r="A36" s="254" t="s">
        <v>227</v>
      </c>
      <c r="B36" s="254"/>
      <c r="C36" s="254"/>
      <c r="D36" s="254"/>
      <c r="E36" s="254"/>
      <c r="F36" s="254"/>
      <c r="G36" s="254"/>
      <c r="H36" s="254"/>
      <c r="I36" s="254"/>
      <c r="J36" s="254"/>
      <c r="K36" s="254"/>
      <c r="L36" s="254"/>
      <c r="M36" s="254"/>
      <c r="N36" s="254"/>
      <c r="O36" s="254"/>
      <c r="P36" s="254"/>
      <c r="Q36" s="165">
        <f>SUM(Q15:Q35)</f>
        <v>22631</v>
      </c>
    </row>
    <row r="37" spans="1:17" ht="15.75" thickBot="1" x14ac:dyDescent="0.3">
      <c r="A37" s="255"/>
      <c r="B37" s="255"/>
      <c r="C37" s="255"/>
      <c r="D37" s="255"/>
      <c r="E37" s="255"/>
      <c r="F37" s="255"/>
      <c r="G37" s="255"/>
      <c r="H37" s="255"/>
      <c r="I37" s="255"/>
      <c r="J37" s="255"/>
      <c r="K37" s="255"/>
      <c r="L37" s="255"/>
      <c r="M37" s="255"/>
      <c r="N37" s="255"/>
      <c r="O37" s="255"/>
      <c r="P37" s="255"/>
      <c r="Q37" s="255"/>
    </row>
    <row r="38" spans="1:17" ht="15.75" thickBot="1" x14ac:dyDescent="0.3">
      <c r="A38" s="248" t="s">
        <v>202</v>
      </c>
      <c r="B38" s="248"/>
      <c r="C38" s="248"/>
      <c r="D38" s="248"/>
      <c r="E38" s="248"/>
      <c r="F38" s="248"/>
      <c r="G38" s="249"/>
      <c r="H38" s="249"/>
      <c r="I38" s="249"/>
      <c r="J38" s="249"/>
      <c r="K38" s="249"/>
      <c r="L38" s="249"/>
      <c r="M38" s="249"/>
      <c r="N38" s="249"/>
      <c r="O38" s="249"/>
      <c r="P38" s="249"/>
      <c r="Q38" s="249"/>
    </row>
    <row r="39" spans="1:17" ht="15.75" thickBot="1" x14ac:dyDescent="0.3">
      <c r="A39" s="250" t="s">
        <v>204</v>
      </c>
      <c r="B39" s="250"/>
      <c r="C39" s="250"/>
      <c r="D39" s="250"/>
      <c r="E39" s="250"/>
      <c r="F39" s="250"/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</row>
    <row r="40" spans="1:17" ht="15.75" thickBot="1" x14ac:dyDescent="0.3">
      <c r="A40" s="250"/>
      <c r="B40" s="250"/>
      <c r="C40" s="250"/>
      <c r="D40" s="250"/>
      <c r="E40" s="250"/>
      <c r="F40" s="250"/>
      <c r="G40" s="250"/>
      <c r="H40" s="250"/>
      <c r="I40" s="250"/>
      <c r="J40" s="250"/>
      <c r="K40" s="250"/>
      <c r="L40" s="250"/>
      <c r="M40" s="250"/>
      <c r="N40" s="250"/>
      <c r="O40" s="250"/>
      <c r="P40" s="250"/>
      <c r="Q40" s="250"/>
    </row>
    <row r="41" spans="1:17" x14ac:dyDescent="0.25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</row>
  </sheetData>
  <mergeCells count="44">
    <mergeCell ref="A38:F38"/>
    <mergeCell ref="G38:Q38"/>
    <mergeCell ref="A39:Q40"/>
    <mergeCell ref="O32:P32"/>
    <mergeCell ref="O33:P33"/>
    <mergeCell ref="O34:P34"/>
    <mergeCell ref="O35:P35"/>
    <mergeCell ref="A36:P36"/>
    <mergeCell ref="A37:Q37"/>
    <mergeCell ref="O31:P31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19:P1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0866141732283472" right="0.70866141732283472" top="0.74803149606299213" bottom="0.74803149606299213" header="0.31496062992125984" footer="0.31496062992125984"/>
  <pageSetup paperSize="5" scale="78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22"/>
  <sheetViews>
    <sheetView topLeftCell="A13" zoomScale="120" zoomScaleNormal="120" workbookViewId="0">
      <selection activeCell="C51" sqref="C51"/>
    </sheetView>
  </sheetViews>
  <sheetFormatPr baseColWidth="10" defaultRowHeight="15" x14ac:dyDescent="0.25"/>
  <cols>
    <col min="2" max="2" width="23.28515625" customWidth="1"/>
    <col min="3" max="3" width="44.7109375" customWidth="1"/>
    <col min="4" max="4" width="11.7109375" customWidth="1"/>
    <col min="5" max="5" width="15.140625" customWidth="1"/>
    <col min="6" max="6" width="21.42578125" customWidth="1"/>
    <col min="7" max="7" width="15" customWidth="1"/>
    <col min="8" max="8" width="17.140625" customWidth="1"/>
    <col min="10" max="10" width="13.7109375" bestFit="1" customWidth="1"/>
  </cols>
  <sheetData>
    <row r="1" spans="1:10" ht="30.75" thickBot="1" x14ac:dyDescent="0.3">
      <c r="A1" s="246" t="s">
        <v>162</v>
      </c>
      <c r="B1" s="246"/>
      <c r="C1" s="246"/>
      <c r="D1" s="246"/>
      <c r="E1" s="246"/>
      <c r="F1" s="101" t="s">
        <v>163</v>
      </c>
      <c r="G1" s="102"/>
    </row>
    <row r="2" spans="1:10" ht="16.5" thickBot="1" x14ac:dyDescent="0.3">
      <c r="A2" s="103"/>
      <c r="B2" s="104"/>
      <c r="C2" s="105"/>
      <c r="D2" s="105"/>
      <c r="E2" s="105"/>
      <c r="F2" s="105"/>
      <c r="G2" s="106"/>
    </row>
    <row r="3" spans="1:10" ht="16.5" thickBot="1" x14ac:dyDescent="0.3">
      <c r="A3" s="247" t="s">
        <v>164</v>
      </c>
      <c r="B3" s="247"/>
      <c r="C3" s="107" t="str">
        <f>'[2]SAF 011'!C4</f>
        <v>040 - MINISTERIO DE SALUD</v>
      </c>
      <c r="D3" s="108"/>
      <c r="E3" s="108"/>
      <c r="F3" s="108"/>
      <c r="G3" s="109"/>
    </row>
    <row r="4" spans="1:10" ht="16.5" thickBot="1" x14ac:dyDescent="0.3">
      <c r="A4" s="245" t="s">
        <v>165</v>
      </c>
      <c r="B4" s="245"/>
      <c r="C4" s="107" t="str">
        <f>'[2]SAF 011'!C5</f>
        <v>011 - DIRECCION PROVINCIAL DE ADMINISTRACION - MINISTERIO DE SALUD</v>
      </c>
      <c r="D4" s="108"/>
      <c r="E4" s="108"/>
      <c r="F4" s="108"/>
      <c r="G4" s="109"/>
    </row>
    <row r="5" spans="1:10" ht="16.5" thickBot="1" x14ac:dyDescent="0.3">
      <c r="A5" s="245" t="s">
        <v>166</v>
      </c>
      <c r="B5" s="245"/>
      <c r="C5" s="107" t="s">
        <v>209</v>
      </c>
      <c r="D5" s="108"/>
      <c r="E5" s="108"/>
      <c r="F5" s="108"/>
      <c r="G5" s="109"/>
    </row>
    <row r="6" spans="1:10" ht="16.5" thickBot="1" x14ac:dyDescent="0.3">
      <c r="A6" s="247" t="s">
        <v>168</v>
      </c>
      <c r="B6" s="247"/>
      <c r="C6" s="107" t="s">
        <v>210</v>
      </c>
      <c r="D6" s="108"/>
      <c r="E6" s="108"/>
      <c r="F6" s="108"/>
      <c r="G6" s="109"/>
    </row>
    <row r="7" spans="1:10" ht="16.5" thickBot="1" x14ac:dyDescent="0.3">
      <c r="A7" s="245" t="s">
        <v>169</v>
      </c>
      <c r="B7" s="245"/>
      <c r="C7" s="107" t="s">
        <v>170</v>
      </c>
      <c r="D7" s="108"/>
      <c r="E7" s="108"/>
      <c r="F7" s="108"/>
      <c r="G7" s="109"/>
    </row>
    <row r="8" spans="1:10" ht="16.5" thickBot="1" x14ac:dyDescent="0.3">
      <c r="A8" s="243" t="s">
        <v>171</v>
      </c>
      <c r="B8" s="243"/>
      <c r="C8" s="110" t="s">
        <v>204</v>
      </c>
      <c r="D8" s="108"/>
      <c r="E8" s="108"/>
      <c r="F8" s="108"/>
      <c r="G8" s="109"/>
    </row>
    <row r="9" spans="1:10" ht="15.75" x14ac:dyDescent="0.25">
      <c r="A9" s="111"/>
      <c r="B9" s="112"/>
      <c r="C9" s="113"/>
      <c r="D9" s="113"/>
      <c r="E9" s="113"/>
      <c r="F9" s="113"/>
      <c r="G9" s="114"/>
    </row>
    <row r="10" spans="1:10" x14ac:dyDescent="0.25">
      <c r="A10" s="244" t="s">
        <v>172</v>
      </c>
      <c r="B10" s="242" t="s">
        <v>173</v>
      </c>
      <c r="C10" s="242" t="s">
        <v>207</v>
      </c>
      <c r="D10" s="242" t="s">
        <v>174</v>
      </c>
      <c r="E10" s="242" t="s">
        <v>175</v>
      </c>
      <c r="F10" s="242" t="s">
        <v>176</v>
      </c>
      <c r="G10" s="242" t="s">
        <v>177</v>
      </c>
    </row>
    <row r="11" spans="1:10" ht="32.25" customHeight="1" x14ac:dyDescent="0.25">
      <c r="A11" s="244"/>
      <c r="B11" s="242"/>
      <c r="C11" s="242"/>
      <c r="D11" s="242"/>
      <c r="E11" s="242"/>
      <c r="F11" s="242"/>
      <c r="G11" s="242"/>
    </row>
    <row r="12" spans="1:10" ht="38.25" customHeight="1" x14ac:dyDescent="0.25">
      <c r="A12" s="189">
        <v>1</v>
      </c>
      <c r="B12" s="26" t="s">
        <v>53</v>
      </c>
      <c r="C12" s="56" t="s">
        <v>54</v>
      </c>
      <c r="D12" s="182" t="s">
        <v>178</v>
      </c>
      <c r="E12" s="55" t="s">
        <v>55</v>
      </c>
      <c r="F12" s="66">
        <v>650</v>
      </c>
      <c r="G12" s="61">
        <v>100</v>
      </c>
      <c r="H12" s="211">
        <f>F12*G12</f>
        <v>65000</v>
      </c>
      <c r="I12" s="213"/>
      <c r="J12" s="211">
        <f>+H12+H13+H14+H15+H17+H18+H19</f>
        <v>210100</v>
      </c>
    </row>
    <row r="13" spans="1:10" ht="38.25" customHeight="1" x14ac:dyDescent="0.25">
      <c r="A13" s="189">
        <v>2</v>
      </c>
      <c r="B13" s="46" t="s">
        <v>56</v>
      </c>
      <c r="C13" s="56" t="s">
        <v>57</v>
      </c>
      <c r="D13" s="182" t="s">
        <v>178</v>
      </c>
      <c r="E13" s="55" t="s">
        <v>55</v>
      </c>
      <c r="F13" s="66">
        <v>100</v>
      </c>
      <c r="G13" s="61">
        <v>40</v>
      </c>
      <c r="H13" s="211">
        <f t="shared" ref="H13:H19" si="0">F13*G13</f>
        <v>4000</v>
      </c>
      <c r="I13" s="213"/>
      <c r="J13" s="213"/>
    </row>
    <row r="14" spans="1:10" ht="38.25" customHeight="1" x14ac:dyDescent="0.25">
      <c r="A14" s="189">
        <v>3</v>
      </c>
      <c r="B14" s="46" t="s">
        <v>60</v>
      </c>
      <c r="C14" s="56" t="s">
        <v>61</v>
      </c>
      <c r="D14" s="182" t="s">
        <v>178</v>
      </c>
      <c r="E14" s="55" t="s">
        <v>47</v>
      </c>
      <c r="F14" s="74">
        <v>290</v>
      </c>
      <c r="G14" s="61">
        <v>10</v>
      </c>
      <c r="H14" s="211">
        <f t="shared" si="0"/>
        <v>2900</v>
      </c>
      <c r="I14" s="213"/>
      <c r="J14" s="213"/>
    </row>
    <row r="15" spans="1:10" ht="25.5" x14ac:dyDescent="0.25">
      <c r="A15" s="189">
        <v>4</v>
      </c>
      <c r="B15" s="80" t="s">
        <v>73</v>
      </c>
      <c r="C15" s="56" t="s">
        <v>74</v>
      </c>
      <c r="D15" s="182" t="s">
        <v>178</v>
      </c>
      <c r="E15" s="55" t="s">
        <v>49</v>
      </c>
      <c r="F15" s="66">
        <v>650</v>
      </c>
      <c r="G15" s="61">
        <v>192</v>
      </c>
      <c r="H15" s="211">
        <f t="shared" si="0"/>
        <v>124800</v>
      </c>
      <c r="I15" s="213"/>
      <c r="J15" s="213"/>
    </row>
    <row r="16" spans="1:10" ht="51" x14ac:dyDescent="0.25">
      <c r="A16" s="189">
        <v>5</v>
      </c>
      <c r="B16" s="46" t="s">
        <v>86</v>
      </c>
      <c r="C16" s="56" t="s">
        <v>87</v>
      </c>
      <c r="D16" s="182" t="s">
        <v>178</v>
      </c>
      <c r="E16" s="55" t="s">
        <v>55</v>
      </c>
      <c r="F16" s="66">
        <v>350</v>
      </c>
      <c r="G16" s="61">
        <v>15</v>
      </c>
      <c r="H16" s="211">
        <f t="shared" si="0"/>
        <v>5250</v>
      </c>
      <c r="I16" s="213"/>
      <c r="J16" s="213"/>
    </row>
    <row r="17" spans="1:10" x14ac:dyDescent="0.25">
      <c r="A17" s="189">
        <v>6</v>
      </c>
      <c r="B17" s="46" t="s">
        <v>92</v>
      </c>
      <c r="C17" s="76" t="s">
        <v>93</v>
      </c>
      <c r="D17" s="182" t="s">
        <v>178</v>
      </c>
      <c r="E17" s="55" t="s">
        <v>47</v>
      </c>
      <c r="F17" s="74">
        <v>120</v>
      </c>
      <c r="G17" s="61">
        <v>40</v>
      </c>
      <c r="H17" s="211">
        <f t="shared" si="0"/>
        <v>4800</v>
      </c>
      <c r="I17" s="213"/>
      <c r="J17" s="213"/>
    </row>
    <row r="18" spans="1:10" ht="25.5" x14ac:dyDescent="0.25">
      <c r="A18" s="189">
        <v>7</v>
      </c>
      <c r="B18" s="46" t="s">
        <v>94</v>
      </c>
      <c r="C18" s="76" t="s">
        <v>95</v>
      </c>
      <c r="D18" s="182" t="s">
        <v>178</v>
      </c>
      <c r="E18" s="55" t="s">
        <v>47</v>
      </c>
      <c r="F18" s="66">
        <v>115</v>
      </c>
      <c r="G18" s="61">
        <v>40</v>
      </c>
      <c r="H18" s="211">
        <f t="shared" si="0"/>
        <v>4600</v>
      </c>
      <c r="I18" s="213"/>
      <c r="J18" s="213"/>
    </row>
    <row r="19" spans="1:10" ht="38.25" customHeight="1" x14ac:dyDescent="0.25">
      <c r="A19" s="189">
        <v>8</v>
      </c>
      <c r="B19" s="83" t="s">
        <v>131</v>
      </c>
      <c r="C19" s="84" t="s">
        <v>132</v>
      </c>
      <c r="D19" s="182" t="s">
        <v>178</v>
      </c>
      <c r="E19" s="46" t="s">
        <v>47</v>
      </c>
      <c r="F19" s="85">
        <v>800</v>
      </c>
      <c r="G19" s="61">
        <v>5</v>
      </c>
      <c r="H19" s="211">
        <f t="shared" si="0"/>
        <v>4000</v>
      </c>
      <c r="I19" s="213"/>
      <c r="J19" s="213"/>
    </row>
    <row r="20" spans="1:10" ht="39.75" customHeight="1" x14ac:dyDescent="0.25">
      <c r="A20" s="240" t="s">
        <v>229</v>
      </c>
      <c r="B20" s="240"/>
      <c r="C20" s="240"/>
      <c r="D20" s="240"/>
      <c r="E20" s="240"/>
      <c r="F20" s="241">
        <f>+J12+H16</f>
        <v>215350</v>
      </c>
      <c r="G20" s="241"/>
      <c r="H20" s="210"/>
      <c r="I20" s="210"/>
      <c r="J20" s="210"/>
    </row>
    <row r="21" spans="1:10" x14ac:dyDescent="0.25">
      <c r="A21" s="32"/>
      <c r="B21" s="32"/>
      <c r="C21" s="32"/>
      <c r="D21" s="32"/>
      <c r="E21" s="32"/>
      <c r="F21" s="32"/>
      <c r="G21" s="32"/>
    </row>
    <row r="22" spans="1:10" x14ac:dyDescent="0.25">
      <c r="A22" s="32"/>
      <c r="B22" s="32"/>
      <c r="C22" s="32"/>
      <c r="D22" s="32"/>
      <c r="E22" s="32"/>
      <c r="F22" s="32"/>
      <c r="G22" s="32"/>
    </row>
  </sheetData>
  <mergeCells count="16">
    <mergeCell ref="F10:F11"/>
    <mergeCell ref="G10:G11"/>
    <mergeCell ref="A20:E20"/>
    <mergeCell ref="F20:G20"/>
    <mergeCell ref="A8:B8"/>
    <mergeCell ref="A10:A11"/>
    <mergeCell ref="B10:B11"/>
    <mergeCell ref="C10:C11"/>
    <mergeCell ref="D10:D11"/>
    <mergeCell ref="E10:E11"/>
    <mergeCell ref="A7:B7"/>
    <mergeCell ref="A1:E1"/>
    <mergeCell ref="A3:B3"/>
    <mergeCell ref="A4:B4"/>
    <mergeCell ref="A5:B5"/>
    <mergeCell ref="A6:B6"/>
  </mergeCells>
  <conditionalFormatting sqref="C12:C19">
    <cfRule type="duplicateValues" dxfId="100" priority="7"/>
  </conditionalFormatting>
  <conditionalFormatting sqref="C12:C19">
    <cfRule type="duplicateValues" dxfId="99" priority="8"/>
    <cfRule type="duplicateValues" dxfId="98" priority="9"/>
  </conditionalFormatting>
  <conditionalFormatting sqref="C16:C19 C12:C14">
    <cfRule type="duplicateValues" dxfId="97" priority="10"/>
  </conditionalFormatting>
  <conditionalFormatting sqref="C12:C19">
    <cfRule type="duplicateValues" dxfId="96" priority="11"/>
  </conditionalFormatting>
  <conditionalFormatting sqref="C12:C19">
    <cfRule type="duplicateValues" dxfId="95" priority="12"/>
  </conditionalFormatting>
  <conditionalFormatting sqref="C15">
    <cfRule type="duplicateValues" dxfId="94" priority="6"/>
  </conditionalFormatting>
  <conditionalFormatting sqref="B16:B19 B12:B14">
    <cfRule type="duplicateValues" dxfId="93" priority="2"/>
  </conditionalFormatting>
  <conditionalFormatting sqref="B12:B19">
    <cfRule type="duplicateValues" dxfId="92" priority="3"/>
  </conditionalFormatting>
  <conditionalFormatting sqref="B12:B19">
    <cfRule type="duplicateValues" dxfId="91" priority="4"/>
  </conditionalFormatting>
  <conditionalFormatting sqref="B12:B19">
    <cfRule type="duplicateValues" dxfId="90" priority="5"/>
  </conditionalFormatting>
  <conditionalFormatting sqref="B15">
    <cfRule type="duplicateValues" dxfId="89" priority="1"/>
  </conditionalFormatting>
  <pageMargins left="0.70866141732283472" right="0.70866141732283472" top="0.74803149606299213" bottom="0.74803149606299213" header="0.31496062992125984" footer="0.31496062992125984"/>
  <pageSetup paperSize="5" scale="8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Q43"/>
  <sheetViews>
    <sheetView topLeftCell="A4" zoomScaleNormal="100" workbookViewId="0">
      <selection activeCell="C51" sqref="C51"/>
    </sheetView>
  </sheetViews>
  <sheetFormatPr baseColWidth="10" defaultRowHeight="15" x14ac:dyDescent="0.25"/>
  <cols>
    <col min="1" max="11" width="7" customWidth="1"/>
    <col min="12" max="12" width="6.7109375" customWidth="1"/>
    <col min="13" max="14" width="7" customWidth="1"/>
    <col min="16" max="16" width="19.7109375" customWidth="1"/>
    <col min="17" max="17" width="20.42578125" customWidth="1"/>
  </cols>
  <sheetData>
    <row r="1" spans="1:17" ht="15.75" thickBot="1" x14ac:dyDescent="0.3">
      <c r="A1" s="267" t="s">
        <v>5</v>
      </c>
      <c r="B1" s="267"/>
      <c r="C1" s="267"/>
      <c r="D1" s="268">
        <v>2022</v>
      </c>
      <c r="E1" s="268"/>
      <c r="F1" s="133"/>
      <c r="G1" s="133"/>
      <c r="H1" s="134"/>
      <c r="I1" s="134"/>
      <c r="J1" s="134"/>
      <c r="K1" s="134"/>
      <c r="L1" s="134"/>
      <c r="M1" s="134"/>
      <c r="N1" s="134"/>
      <c r="O1" s="135"/>
      <c r="P1" s="269" t="s">
        <v>179</v>
      </c>
      <c r="Q1" s="269"/>
    </row>
    <row r="2" spans="1:17" ht="15.75" thickBot="1" x14ac:dyDescent="0.3">
      <c r="A2" s="136"/>
      <c r="B2" s="137"/>
      <c r="C2" s="137"/>
      <c r="D2" s="137"/>
      <c r="E2" s="137"/>
      <c r="F2" s="137"/>
      <c r="G2" s="138"/>
      <c r="H2" s="139"/>
      <c r="I2" s="139"/>
      <c r="J2" s="139"/>
      <c r="K2" s="139"/>
      <c r="L2" s="139"/>
      <c r="M2" s="139"/>
      <c r="N2" s="139"/>
      <c r="O2" s="137"/>
      <c r="P2" s="269"/>
      <c r="Q2" s="269"/>
    </row>
    <row r="3" spans="1:17" ht="15.75" thickBot="1" x14ac:dyDescent="0.3">
      <c r="A3" s="136"/>
      <c r="B3" s="137"/>
      <c r="C3" s="137"/>
      <c r="D3" s="137"/>
      <c r="E3" s="137"/>
      <c r="F3" s="137"/>
      <c r="G3" s="138"/>
      <c r="H3" s="137"/>
      <c r="I3" s="137"/>
      <c r="J3" s="137"/>
      <c r="K3" s="137"/>
      <c r="L3" s="137"/>
      <c r="M3" s="137"/>
      <c r="N3" s="137"/>
      <c r="O3" s="137"/>
      <c r="P3" s="137"/>
      <c r="Q3" s="140"/>
    </row>
    <row r="4" spans="1:17" ht="15.75" thickBot="1" x14ac:dyDescent="0.3">
      <c r="A4" s="270" t="s">
        <v>180</v>
      </c>
      <c r="B4" s="270"/>
      <c r="C4" s="270"/>
      <c r="D4" s="270"/>
      <c r="E4" s="270"/>
      <c r="F4" s="270"/>
      <c r="G4" s="271" t="str">
        <f>'[1]NP DPBS'!D3</f>
        <v>040 - MINISTERIO DE SALUD</v>
      </c>
      <c r="H4" s="271"/>
      <c r="I4" s="271"/>
      <c r="J4" s="271"/>
      <c r="K4" s="271"/>
      <c r="L4" s="271"/>
      <c r="M4" s="271"/>
      <c r="N4" s="271"/>
      <c r="O4" s="271"/>
      <c r="P4" s="271"/>
      <c r="Q4" s="271"/>
    </row>
    <row r="5" spans="1:17" ht="15.75" thickBot="1" x14ac:dyDescent="0.3">
      <c r="A5" s="272" t="s">
        <v>165</v>
      </c>
      <c r="B5" s="272"/>
      <c r="C5" s="272"/>
      <c r="D5" s="272"/>
      <c r="E5" s="272"/>
      <c r="F5" s="272"/>
      <c r="G5" s="271" t="str">
        <f>'[1]NP DPBS'!D4</f>
        <v>011 - DIRECCION PROVINCIAL DE ADMINISTRACION - MINISTERIO DE SALUD</v>
      </c>
      <c r="H5" s="271"/>
      <c r="I5" s="271"/>
      <c r="J5" s="271"/>
      <c r="K5" s="271"/>
      <c r="L5" s="271"/>
      <c r="M5" s="271"/>
      <c r="N5" s="271"/>
      <c r="O5" s="271"/>
      <c r="P5" s="271"/>
      <c r="Q5" s="271"/>
    </row>
    <row r="6" spans="1:17" ht="15.75" thickBot="1" x14ac:dyDescent="0.3">
      <c r="A6" s="272" t="s">
        <v>166</v>
      </c>
      <c r="B6" s="272"/>
      <c r="C6" s="272"/>
      <c r="D6" s="272"/>
      <c r="E6" s="272"/>
      <c r="F6" s="272"/>
      <c r="G6" s="271" t="s">
        <v>209</v>
      </c>
      <c r="H6" s="271"/>
      <c r="I6" s="271"/>
      <c r="J6" s="271"/>
      <c r="K6" s="271"/>
      <c r="L6" s="271"/>
      <c r="M6" s="271"/>
      <c r="N6" s="271"/>
      <c r="O6" s="271"/>
      <c r="P6" s="271"/>
      <c r="Q6" s="271"/>
    </row>
    <row r="7" spans="1:17" ht="15.75" thickBot="1" x14ac:dyDescent="0.3">
      <c r="A7" s="272" t="s">
        <v>168</v>
      </c>
      <c r="B7" s="272"/>
      <c r="C7" s="272"/>
      <c r="D7" s="272"/>
      <c r="E7" s="272"/>
      <c r="F7" s="272"/>
      <c r="G7" s="271" t="s">
        <v>209</v>
      </c>
      <c r="H7" s="271"/>
      <c r="I7" s="271"/>
      <c r="J7" s="271"/>
      <c r="K7" s="271"/>
      <c r="L7" s="271"/>
      <c r="M7" s="271"/>
      <c r="N7" s="271"/>
      <c r="O7" s="271"/>
      <c r="P7" s="271"/>
      <c r="Q7" s="271"/>
    </row>
    <row r="8" spans="1:17" ht="15.75" thickBot="1" x14ac:dyDescent="0.3">
      <c r="A8" s="273" t="s">
        <v>181</v>
      </c>
      <c r="B8" s="273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</row>
    <row r="9" spans="1:17" x14ac:dyDescent="0.25">
      <c r="A9" s="266" t="s">
        <v>182</v>
      </c>
      <c r="B9" s="266"/>
      <c r="C9" s="266"/>
      <c r="D9" s="266"/>
      <c r="E9" s="266"/>
      <c r="F9" s="266"/>
      <c r="G9" s="266"/>
      <c r="H9" s="266"/>
      <c r="I9" s="266"/>
      <c r="J9" s="266"/>
      <c r="K9" s="266"/>
      <c r="L9" s="266"/>
      <c r="M9" s="266"/>
      <c r="N9" s="266"/>
      <c r="O9" s="266"/>
      <c r="P9" s="266"/>
      <c r="Q9" s="266"/>
    </row>
    <row r="10" spans="1:17" ht="29.25" customHeight="1" x14ac:dyDescent="0.25">
      <c r="A10" s="257" t="s">
        <v>183</v>
      </c>
      <c r="B10" s="257"/>
      <c r="C10" s="257"/>
      <c r="D10" s="257"/>
      <c r="E10" s="257"/>
      <c r="F10" s="257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257"/>
    </row>
    <row r="11" spans="1:17" ht="15.75" thickBot="1" x14ac:dyDescent="0.3">
      <c r="A11" s="141"/>
      <c r="B11" s="142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4"/>
    </row>
    <row r="12" spans="1:17" ht="15.75" thickBot="1" x14ac:dyDescent="0.3">
      <c r="A12" s="258" t="s">
        <v>184</v>
      </c>
      <c r="B12" s="258"/>
      <c r="C12" s="258"/>
      <c r="D12" s="258"/>
      <c r="E12" s="258"/>
      <c r="F12" s="258"/>
      <c r="G12" s="258"/>
      <c r="H12" s="258"/>
      <c r="I12" s="258"/>
      <c r="J12" s="258"/>
      <c r="K12" s="258"/>
      <c r="L12" s="258"/>
      <c r="M12" s="258"/>
      <c r="N12" s="258"/>
      <c r="O12" s="258"/>
      <c r="P12" s="258"/>
      <c r="Q12" s="258"/>
    </row>
    <row r="13" spans="1:17" ht="15.75" thickBot="1" x14ac:dyDescent="0.3">
      <c r="A13" s="259" t="s">
        <v>185</v>
      </c>
      <c r="B13" s="259"/>
      <c r="C13" s="259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259"/>
      <c r="O13" s="260" t="s">
        <v>186</v>
      </c>
      <c r="P13" s="260"/>
      <c r="Q13" s="261" t="s">
        <v>187</v>
      </c>
    </row>
    <row r="14" spans="1:17" ht="15.75" thickBot="1" x14ac:dyDescent="0.3">
      <c r="A14" s="145" t="s">
        <v>188</v>
      </c>
      <c r="B14" s="146" t="s">
        <v>189</v>
      </c>
      <c r="C14" s="146" t="s">
        <v>190</v>
      </c>
      <c r="D14" s="146" t="s">
        <v>191</v>
      </c>
      <c r="E14" s="146" t="s">
        <v>192</v>
      </c>
      <c r="F14" s="146" t="s">
        <v>193</v>
      </c>
      <c r="G14" s="147" t="s">
        <v>194</v>
      </c>
      <c r="H14" s="146" t="s">
        <v>195</v>
      </c>
      <c r="I14" s="146" t="s">
        <v>196</v>
      </c>
      <c r="J14" s="146" t="s">
        <v>197</v>
      </c>
      <c r="K14" s="146" t="s">
        <v>197</v>
      </c>
      <c r="L14" s="146" t="s">
        <v>198</v>
      </c>
      <c r="M14" s="148" t="s">
        <v>199</v>
      </c>
      <c r="N14" s="149" t="s">
        <v>200</v>
      </c>
      <c r="O14" s="260"/>
      <c r="P14" s="260"/>
      <c r="Q14" s="261"/>
    </row>
    <row r="15" spans="1:17" x14ac:dyDescent="0.25">
      <c r="A15" s="176">
        <v>31</v>
      </c>
      <c r="B15" s="176"/>
      <c r="C15" s="176"/>
      <c r="D15" s="176">
        <v>1</v>
      </c>
      <c r="E15" s="176"/>
      <c r="F15" s="176">
        <v>4901</v>
      </c>
      <c r="G15" s="176">
        <v>3</v>
      </c>
      <c r="H15" s="176">
        <v>1</v>
      </c>
      <c r="I15" s="176">
        <v>2</v>
      </c>
      <c r="J15" s="176">
        <v>9</v>
      </c>
      <c r="K15" s="176">
        <v>1</v>
      </c>
      <c r="L15" s="176"/>
      <c r="M15" s="176">
        <v>1</v>
      </c>
      <c r="N15" s="176" t="s">
        <v>201</v>
      </c>
      <c r="O15" s="274" t="s">
        <v>48</v>
      </c>
      <c r="P15" s="262"/>
      <c r="Q15" s="150">
        <v>210100</v>
      </c>
    </row>
    <row r="16" spans="1:17" x14ac:dyDescent="0.25">
      <c r="A16" s="176">
        <v>31</v>
      </c>
      <c r="B16" s="176"/>
      <c r="C16" s="176"/>
      <c r="D16" s="176">
        <v>1</v>
      </c>
      <c r="E16" s="176"/>
      <c r="F16" s="176">
        <v>4901</v>
      </c>
      <c r="G16" s="176">
        <v>3</v>
      </c>
      <c r="H16" s="176">
        <v>1</v>
      </c>
      <c r="I16" s="176">
        <v>2</v>
      </c>
      <c r="J16" s="176">
        <v>3</v>
      </c>
      <c r="K16" s="176">
        <v>4</v>
      </c>
      <c r="L16" s="176"/>
      <c r="M16" s="176">
        <v>1</v>
      </c>
      <c r="N16" s="176" t="s">
        <v>201</v>
      </c>
      <c r="O16" s="263" t="s">
        <v>220</v>
      </c>
      <c r="P16" s="251"/>
      <c r="Q16" s="155">
        <v>5250</v>
      </c>
    </row>
    <row r="17" spans="1:17" x14ac:dyDescent="0.25">
      <c r="A17" s="151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3"/>
      <c r="N17" s="152"/>
      <c r="O17" s="276"/>
      <c r="P17" s="276"/>
      <c r="Q17" s="155"/>
    </row>
    <row r="18" spans="1:17" x14ac:dyDescent="0.25">
      <c r="A18" s="151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3"/>
      <c r="N18" s="180"/>
      <c r="O18" s="256"/>
      <c r="P18" s="256"/>
      <c r="Q18" s="155"/>
    </row>
    <row r="19" spans="1:17" x14ac:dyDescent="0.25">
      <c r="A19" s="151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3"/>
      <c r="N19" s="180"/>
      <c r="O19" s="256"/>
      <c r="P19" s="256"/>
      <c r="Q19" s="155"/>
    </row>
    <row r="20" spans="1:17" x14ac:dyDescent="0.25">
      <c r="A20" s="151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3"/>
      <c r="N20" s="180"/>
      <c r="O20" s="256"/>
      <c r="P20" s="256"/>
      <c r="Q20" s="155"/>
    </row>
    <row r="21" spans="1:17" x14ac:dyDescent="0.25">
      <c r="A21" s="151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3"/>
      <c r="N21" s="180"/>
      <c r="O21" s="256"/>
      <c r="P21" s="256"/>
      <c r="Q21" s="155"/>
    </row>
    <row r="22" spans="1:17" x14ac:dyDescent="0.25">
      <c r="A22" s="151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3"/>
      <c r="N22" s="180"/>
      <c r="O22" s="256"/>
      <c r="P22" s="256"/>
      <c r="Q22" s="155"/>
    </row>
    <row r="23" spans="1:17" x14ac:dyDescent="0.25">
      <c r="A23" s="151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3"/>
      <c r="N23" s="180"/>
      <c r="O23" s="256"/>
      <c r="P23" s="256"/>
      <c r="Q23" s="155"/>
    </row>
    <row r="24" spans="1:17" x14ac:dyDescent="0.25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80"/>
      <c r="O24" s="256"/>
      <c r="P24" s="256"/>
      <c r="Q24" s="155"/>
    </row>
    <row r="25" spans="1:17" x14ac:dyDescent="0.25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80"/>
      <c r="O25" s="256"/>
      <c r="P25" s="256"/>
      <c r="Q25" s="155"/>
    </row>
    <row r="26" spans="1:17" x14ac:dyDescent="0.25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80"/>
      <c r="O26" s="256"/>
      <c r="P26" s="256"/>
      <c r="Q26" s="155"/>
    </row>
    <row r="27" spans="1:17" x14ac:dyDescent="0.25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80"/>
      <c r="O27" s="256"/>
      <c r="P27" s="256"/>
      <c r="Q27" s="155"/>
    </row>
    <row r="28" spans="1:17" x14ac:dyDescent="0.25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80"/>
      <c r="O28" s="256"/>
      <c r="P28" s="256"/>
      <c r="Q28" s="155"/>
    </row>
    <row r="29" spans="1:17" x14ac:dyDescent="0.25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80"/>
      <c r="O29" s="256"/>
      <c r="P29" s="256"/>
      <c r="Q29" s="155"/>
    </row>
    <row r="30" spans="1:17" x14ac:dyDescent="0.25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80"/>
      <c r="O30" s="256"/>
      <c r="P30" s="256"/>
      <c r="Q30" s="155"/>
    </row>
    <row r="31" spans="1:17" x14ac:dyDescent="0.25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80"/>
      <c r="O31" s="256"/>
      <c r="P31" s="256"/>
      <c r="Q31" s="155"/>
    </row>
    <row r="32" spans="1:17" x14ac:dyDescent="0.25">
      <c r="A32" s="151"/>
      <c r="B32" s="152"/>
      <c r="C32" s="152"/>
      <c r="D32" s="152"/>
      <c r="E32" s="152"/>
      <c r="F32" s="180"/>
      <c r="G32" s="152"/>
      <c r="H32" s="152"/>
      <c r="I32" s="152"/>
      <c r="J32" s="152"/>
      <c r="K32" s="152"/>
      <c r="L32" s="152"/>
      <c r="M32" s="153"/>
      <c r="N32" s="180"/>
      <c r="O32" s="251"/>
      <c r="P32" s="251"/>
      <c r="Q32" s="155"/>
    </row>
    <row r="33" spans="1:17" x14ac:dyDescent="0.25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80"/>
      <c r="O33" s="251"/>
      <c r="P33" s="251"/>
      <c r="Q33" s="155"/>
    </row>
    <row r="34" spans="1:17" x14ac:dyDescent="0.25">
      <c r="A34" s="151"/>
      <c r="B34" s="152"/>
      <c r="C34" s="152"/>
      <c r="D34" s="152"/>
      <c r="E34" s="152"/>
      <c r="F34" s="180"/>
      <c r="G34" s="152"/>
      <c r="H34" s="152"/>
      <c r="I34" s="152"/>
      <c r="J34" s="152"/>
      <c r="K34" s="152"/>
      <c r="L34" s="152"/>
      <c r="M34" s="153"/>
      <c r="N34" s="180"/>
      <c r="O34" s="251"/>
      <c r="P34" s="251"/>
      <c r="Q34" s="155"/>
    </row>
    <row r="35" spans="1:17" x14ac:dyDescent="0.25">
      <c r="A35" s="151"/>
      <c r="B35" s="152"/>
      <c r="C35" s="152"/>
      <c r="D35" s="152"/>
      <c r="E35" s="152"/>
      <c r="F35" s="180"/>
      <c r="G35" s="152"/>
      <c r="H35" s="152"/>
      <c r="I35" s="152"/>
      <c r="J35" s="152"/>
      <c r="K35" s="152"/>
      <c r="L35" s="152"/>
      <c r="M35" s="153"/>
      <c r="N35" s="180"/>
      <c r="O35" s="251"/>
      <c r="P35" s="251"/>
      <c r="Q35" s="155"/>
    </row>
    <row r="36" spans="1:17" x14ac:dyDescent="0.25">
      <c r="A36" s="156"/>
      <c r="B36" s="157"/>
      <c r="C36" s="157"/>
      <c r="D36" s="157"/>
      <c r="E36" s="157"/>
      <c r="F36" s="158"/>
      <c r="G36" s="157"/>
      <c r="H36" s="157"/>
      <c r="I36" s="157"/>
      <c r="J36" s="157"/>
      <c r="K36" s="157"/>
      <c r="L36" s="157"/>
      <c r="M36" s="159"/>
      <c r="N36" s="160"/>
      <c r="O36" s="252"/>
      <c r="P36" s="252"/>
      <c r="Q36" s="155"/>
    </row>
    <row r="37" spans="1:17" ht="15.75" thickBot="1" x14ac:dyDescent="0.3">
      <c r="A37" s="161"/>
      <c r="B37" s="162"/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3"/>
      <c r="N37" s="162"/>
      <c r="O37" s="253"/>
      <c r="P37" s="253"/>
      <c r="Q37" s="164"/>
    </row>
    <row r="38" spans="1:17" ht="15.75" thickBot="1" x14ac:dyDescent="0.3">
      <c r="A38" s="254" t="s">
        <v>228</v>
      </c>
      <c r="B38" s="254"/>
      <c r="C38" s="254"/>
      <c r="D38" s="254"/>
      <c r="E38" s="254"/>
      <c r="F38" s="254"/>
      <c r="G38" s="254"/>
      <c r="H38" s="254"/>
      <c r="I38" s="254"/>
      <c r="J38" s="254"/>
      <c r="K38" s="254"/>
      <c r="L38" s="254"/>
      <c r="M38" s="254"/>
      <c r="N38" s="254"/>
      <c r="O38" s="254"/>
      <c r="P38" s="254"/>
      <c r="Q38" s="165">
        <f>SUM(Q15:Q37)</f>
        <v>215350</v>
      </c>
    </row>
    <row r="39" spans="1:17" ht="15.75" thickBot="1" x14ac:dyDescent="0.3">
      <c r="A39" s="255"/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5"/>
      <c r="M39" s="255"/>
      <c r="N39" s="255"/>
      <c r="O39" s="255"/>
      <c r="P39" s="255"/>
      <c r="Q39" s="255"/>
    </row>
    <row r="40" spans="1:17" ht="15.75" thickBot="1" x14ac:dyDescent="0.3">
      <c r="A40" s="248" t="s">
        <v>202</v>
      </c>
      <c r="B40" s="248"/>
      <c r="C40" s="248"/>
      <c r="D40" s="248"/>
      <c r="E40" s="248"/>
      <c r="F40" s="248"/>
      <c r="G40" s="249"/>
      <c r="H40" s="249"/>
      <c r="I40" s="249"/>
      <c r="J40" s="249"/>
      <c r="K40" s="249"/>
      <c r="L40" s="249"/>
      <c r="M40" s="249"/>
      <c r="N40" s="249"/>
      <c r="O40" s="249"/>
      <c r="P40" s="249"/>
      <c r="Q40" s="249"/>
    </row>
    <row r="41" spans="1:17" ht="15.75" thickBot="1" x14ac:dyDescent="0.3">
      <c r="A41" s="250" t="s">
        <v>204</v>
      </c>
      <c r="B41" s="250"/>
      <c r="C41" s="250"/>
      <c r="D41" s="250"/>
      <c r="E41" s="250"/>
      <c r="F41" s="250"/>
      <c r="G41" s="250"/>
      <c r="H41" s="250"/>
      <c r="I41" s="250"/>
      <c r="J41" s="250"/>
      <c r="K41" s="250"/>
      <c r="L41" s="250"/>
      <c r="M41" s="250"/>
      <c r="N41" s="250"/>
      <c r="O41" s="250"/>
      <c r="P41" s="250"/>
      <c r="Q41" s="250"/>
    </row>
    <row r="42" spans="1:17" ht="15.75" thickBot="1" x14ac:dyDescent="0.3">
      <c r="A42" s="250"/>
      <c r="B42" s="250"/>
      <c r="C42" s="250"/>
      <c r="D42" s="250"/>
      <c r="E42" s="250"/>
      <c r="F42" s="250"/>
      <c r="G42" s="250"/>
      <c r="H42" s="250"/>
      <c r="I42" s="250"/>
      <c r="J42" s="250"/>
      <c r="K42" s="250"/>
      <c r="L42" s="250"/>
      <c r="M42" s="250"/>
      <c r="N42" s="250"/>
      <c r="O42" s="250"/>
      <c r="P42" s="250"/>
      <c r="Q42" s="250"/>
    </row>
    <row r="43" spans="1:17" x14ac:dyDescent="0.25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pageSetup paperSize="5" scale="6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P20"/>
  <sheetViews>
    <sheetView topLeftCell="A4" zoomScaleNormal="100" workbookViewId="0">
      <selection activeCell="C51" sqref="C51"/>
    </sheetView>
  </sheetViews>
  <sheetFormatPr baseColWidth="10" defaultRowHeight="15" x14ac:dyDescent="0.25"/>
  <cols>
    <col min="1" max="1" width="6.85546875" customWidth="1"/>
    <col min="2" max="2" width="27.7109375" customWidth="1"/>
    <col min="3" max="3" width="64.28515625" customWidth="1"/>
    <col min="4" max="4" width="21.28515625" customWidth="1"/>
    <col min="5" max="5" width="18" customWidth="1"/>
    <col min="6" max="6" width="22.85546875" customWidth="1"/>
    <col min="7" max="7" width="15.85546875" customWidth="1"/>
    <col min="8" max="8" width="12" bestFit="1" customWidth="1"/>
    <col min="10" max="10" width="12" bestFit="1" customWidth="1"/>
  </cols>
  <sheetData>
    <row r="1" spans="1:16" ht="30.75" thickBot="1" x14ac:dyDescent="0.3">
      <c r="A1" s="246" t="s">
        <v>162</v>
      </c>
      <c r="B1" s="246"/>
      <c r="C1" s="246"/>
      <c r="D1" s="246"/>
      <c r="E1" s="246"/>
      <c r="F1" s="101" t="s">
        <v>163</v>
      </c>
      <c r="G1" s="102"/>
    </row>
    <row r="2" spans="1:16" ht="16.5" thickBot="1" x14ac:dyDescent="0.3">
      <c r="A2" s="103"/>
      <c r="B2" s="104"/>
      <c r="C2" s="105"/>
      <c r="D2" s="105"/>
      <c r="E2" s="105"/>
      <c r="F2" s="105"/>
      <c r="G2" s="106"/>
    </row>
    <row r="3" spans="1:16" ht="16.5" thickBot="1" x14ac:dyDescent="0.3">
      <c r="A3" s="247" t="s">
        <v>164</v>
      </c>
      <c r="B3" s="247"/>
      <c r="C3" s="107" t="str">
        <f>'[2]SAF 011'!C4</f>
        <v>040 - MINISTERIO DE SALUD</v>
      </c>
      <c r="D3" s="108"/>
      <c r="E3" s="108"/>
      <c r="F3" s="108"/>
      <c r="G3" s="109"/>
    </row>
    <row r="4" spans="1:16" ht="16.5" thickBot="1" x14ac:dyDescent="0.3">
      <c r="A4" s="245" t="s">
        <v>165</v>
      </c>
      <c r="B4" s="245"/>
      <c r="C4" s="107" t="str">
        <f>'[2]SAF 011'!C5</f>
        <v>011 - DIRECCION PROVINCIAL DE ADMINISTRACION - MINISTERIO DE SALUD</v>
      </c>
      <c r="D4" s="108"/>
      <c r="E4" s="108"/>
      <c r="F4" s="108"/>
      <c r="G4" s="109"/>
    </row>
    <row r="5" spans="1:16" ht="16.5" thickBot="1" x14ac:dyDescent="0.3">
      <c r="A5" s="245" t="s">
        <v>166</v>
      </c>
      <c r="B5" s="245"/>
      <c r="C5" s="107" t="s">
        <v>211</v>
      </c>
      <c r="D5" s="108"/>
      <c r="E5" s="108"/>
      <c r="F5" s="108"/>
      <c r="G5" s="109"/>
    </row>
    <row r="6" spans="1:16" ht="16.5" thickBot="1" x14ac:dyDescent="0.3">
      <c r="A6" s="247" t="s">
        <v>168</v>
      </c>
      <c r="B6" s="247"/>
      <c r="C6" s="107" t="s">
        <v>211</v>
      </c>
      <c r="D6" s="108"/>
      <c r="E6" s="108"/>
      <c r="F6" s="108"/>
      <c r="G6" s="109"/>
    </row>
    <row r="7" spans="1:16" ht="16.5" thickBot="1" x14ac:dyDescent="0.3">
      <c r="A7" s="245" t="s">
        <v>169</v>
      </c>
      <c r="B7" s="245"/>
      <c r="C7" s="107" t="s">
        <v>170</v>
      </c>
      <c r="D7" s="108"/>
      <c r="E7" s="108"/>
      <c r="F7" s="108"/>
      <c r="G7" s="109"/>
    </row>
    <row r="8" spans="1:16" ht="16.5" thickBot="1" x14ac:dyDescent="0.3">
      <c r="A8" s="243" t="s">
        <v>171</v>
      </c>
      <c r="B8" s="243"/>
      <c r="C8" s="110" t="s">
        <v>204</v>
      </c>
      <c r="D8" s="108"/>
      <c r="E8" s="108"/>
      <c r="F8" s="108"/>
      <c r="G8" s="109"/>
    </row>
    <row r="9" spans="1:16" ht="15.75" x14ac:dyDescent="0.25">
      <c r="A9" s="111"/>
      <c r="B9" s="112"/>
      <c r="C9" s="113"/>
      <c r="D9" s="113"/>
      <c r="E9" s="113"/>
      <c r="F9" s="113"/>
      <c r="G9" s="114"/>
    </row>
    <row r="10" spans="1:16" x14ac:dyDescent="0.25">
      <c r="A10" s="281" t="s">
        <v>172</v>
      </c>
      <c r="B10" s="279" t="s">
        <v>173</v>
      </c>
      <c r="C10" s="279" t="s">
        <v>207</v>
      </c>
      <c r="D10" s="279" t="s">
        <v>174</v>
      </c>
      <c r="E10" s="279" t="s">
        <v>175</v>
      </c>
      <c r="F10" s="279" t="s">
        <v>176</v>
      </c>
      <c r="G10" s="279" t="s">
        <v>177</v>
      </c>
    </row>
    <row r="11" spans="1:16" x14ac:dyDescent="0.25">
      <c r="A11" s="281"/>
      <c r="B11" s="279"/>
      <c r="C11" s="279"/>
      <c r="D11" s="279"/>
      <c r="E11" s="279"/>
      <c r="F11" s="279"/>
      <c r="G11" s="279"/>
    </row>
    <row r="12" spans="1:16" ht="44.25" customHeight="1" x14ac:dyDescent="0.25">
      <c r="A12" s="169">
        <v>1</v>
      </c>
      <c r="B12" s="173" t="s">
        <v>53</v>
      </c>
      <c r="C12" s="166" t="s">
        <v>54</v>
      </c>
      <c r="D12" s="169" t="s">
        <v>178</v>
      </c>
      <c r="E12" s="183" t="s">
        <v>55</v>
      </c>
      <c r="F12" s="174">
        <v>650</v>
      </c>
      <c r="G12" s="172">
        <v>30</v>
      </c>
      <c r="H12" s="214">
        <f>+G12*F12</f>
        <v>19500</v>
      </c>
      <c r="I12" s="213"/>
      <c r="J12" s="213"/>
      <c r="K12" s="213"/>
      <c r="L12" s="210"/>
      <c r="M12" s="210"/>
      <c r="N12" s="210"/>
      <c r="O12" s="210"/>
      <c r="P12" s="210"/>
    </row>
    <row r="13" spans="1:16" ht="44.25" customHeight="1" x14ac:dyDescent="0.25">
      <c r="A13" s="169">
        <v>2</v>
      </c>
      <c r="B13" s="171" t="s">
        <v>56</v>
      </c>
      <c r="C13" s="166" t="s">
        <v>57</v>
      </c>
      <c r="D13" s="169" t="s">
        <v>178</v>
      </c>
      <c r="E13" s="183" t="s">
        <v>55</v>
      </c>
      <c r="F13" s="174">
        <v>100</v>
      </c>
      <c r="G13" s="172">
        <v>30</v>
      </c>
      <c r="H13" s="214">
        <f t="shared" ref="H13:H17" si="0">+G13*F13</f>
        <v>3000</v>
      </c>
      <c r="I13" s="213"/>
      <c r="J13" s="215">
        <f>+H12+H13+H14+H16</f>
        <v>28200</v>
      </c>
      <c r="K13" s="213"/>
      <c r="L13" s="210"/>
      <c r="M13" s="210"/>
      <c r="N13" s="210"/>
      <c r="O13" s="210"/>
      <c r="P13" s="210"/>
    </row>
    <row r="14" spans="1:16" ht="44.25" customHeight="1" x14ac:dyDescent="0.25">
      <c r="A14" s="169">
        <v>3</v>
      </c>
      <c r="B14" s="171" t="s">
        <v>81</v>
      </c>
      <c r="C14" s="166" t="s">
        <v>82</v>
      </c>
      <c r="D14" s="169" t="s">
        <v>178</v>
      </c>
      <c r="E14" s="183" t="s">
        <v>47</v>
      </c>
      <c r="F14" s="174">
        <v>450</v>
      </c>
      <c r="G14" s="172">
        <v>10</v>
      </c>
      <c r="H14" s="214">
        <f t="shared" si="0"/>
        <v>4500</v>
      </c>
      <c r="I14" s="213"/>
      <c r="J14" s="215">
        <f>+H15+H17</f>
        <v>38400</v>
      </c>
      <c r="K14" s="213"/>
      <c r="L14" s="210"/>
      <c r="M14" s="210"/>
      <c r="N14" s="210"/>
      <c r="O14" s="210"/>
      <c r="P14" s="210"/>
    </row>
    <row r="15" spans="1:16" ht="44.25" customHeight="1" x14ac:dyDescent="0.25">
      <c r="A15" s="169">
        <v>4</v>
      </c>
      <c r="B15" s="171" t="s">
        <v>86</v>
      </c>
      <c r="C15" s="166" t="s">
        <v>87</v>
      </c>
      <c r="D15" s="169" t="s">
        <v>178</v>
      </c>
      <c r="E15" s="183" t="s">
        <v>55</v>
      </c>
      <c r="F15" s="174">
        <v>350</v>
      </c>
      <c r="G15" s="172">
        <v>84</v>
      </c>
      <c r="H15" s="214">
        <f t="shared" si="0"/>
        <v>29400</v>
      </c>
      <c r="I15" s="213"/>
      <c r="J15" s="213"/>
      <c r="K15" s="213"/>
      <c r="L15" s="210"/>
      <c r="M15" s="210"/>
      <c r="N15" s="210"/>
      <c r="O15" s="210"/>
      <c r="P15" s="210"/>
    </row>
    <row r="16" spans="1:16" s="32" customFormat="1" ht="44.25" customHeight="1" x14ac:dyDescent="0.25">
      <c r="A16" s="169">
        <v>5</v>
      </c>
      <c r="B16" s="216" t="s">
        <v>96</v>
      </c>
      <c r="C16" s="166" t="s">
        <v>97</v>
      </c>
      <c r="D16" s="169" t="s">
        <v>178</v>
      </c>
      <c r="E16" s="183" t="s">
        <v>47</v>
      </c>
      <c r="F16" s="217">
        <v>120</v>
      </c>
      <c r="G16" s="172">
        <v>10</v>
      </c>
      <c r="H16" s="214">
        <f t="shared" si="0"/>
        <v>1200</v>
      </c>
      <c r="I16" s="213"/>
      <c r="J16" s="213"/>
      <c r="K16" s="213"/>
      <c r="L16" s="210"/>
      <c r="M16" s="210"/>
      <c r="N16" s="210"/>
      <c r="O16" s="210"/>
      <c r="P16" s="210"/>
    </row>
    <row r="17" spans="1:16" ht="44.25" customHeight="1" x14ac:dyDescent="0.25">
      <c r="A17" s="168">
        <v>6</v>
      </c>
      <c r="B17" s="170" t="s">
        <v>128</v>
      </c>
      <c r="C17" s="167" t="s">
        <v>130</v>
      </c>
      <c r="D17" s="169" t="s">
        <v>178</v>
      </c>
      <c r="E17" s="171" t="s">
        <v>104</v>
      </c>
      <c r="F17" s="175">
        <v>300</v>
      </c>
      <c r="G17" s="172">
        <v>30</v>
      </c>
      <c r="H17" s="214">
        <f t="shared" si="0"/>
        <v>9000</v>
      </c>
      <c r="I17" s="210"/>
      <c r="J17" s="210"/>
      <c r="K17" s="210"/>
      <c r="L17" s="210"/>
      <c r="M17" s="210"/>
      <c r="N17" s="210"/>
      <c r="O17" s="210"/>
      <c r="P17" s="210"/>
    </row>
    <row r="18" spans="1:16" ht="15.75" x14ac:dyDescent="0.25">
      <c r="A18" s="280" t="s">
        <v>250</v>
      </c>
      <c r="B18" s="280"/>
      <c r="C18" s="280"/>
      <c r="D18" s="280"/>
      <c r="E18" s="280"/>
      <c r="F18" s="241">
        <f>+H12+H13+H14+H15+H16+H17</f>
        <v>66600</v>
      </c>
      <c r="G18" s="241"/>
      <c r="H18" s="210"/>
      <c r="I18" s="210"/>
      <c r="J18" s="210"/>
      <c r="K18" s="210"/>
      <c r="L18" s="210"/>
      <c r="M18" s="210"/>
      <c r="N18" s="210"/>
      <c r="O18" s="210"/>
      <c r="P18" s="210"/>
    </row>
    <row r="19" spans="1:16" ht="15.75" x14ac:dyDescent="0.25">
      <c r="A19" s="184"/>
      <c r="B19" s="184"/>
      <c r="C19" s="184"/>
      <c r="D19" s="184"/>
      <c r="E19" s="184"/>
      <c r="F19" s="184"/>
      <c r="G19" s="184"/>
    </row>
    <row r="20" spans="1:16" x14ac:dyDescent="0.25">
      <c r="A20" s="32"/>
      <c r="B20" s="32"/>
      <c r="C20" s="32"/>
      <c r="D20" s="32"/>
      <c r="E20" s="32"/>
      <c r="F20" s="32"/>
      <c r="G20" s="32"/>
    </row>
  </sheetData>
  <mergeCells count="16">
    <mergeCell ref="A7:B7"/>
    <mergeCell ref="A1:E1"/>
    <mergeCell ref="A3:B3"/>
    <mergeCell ref="A4:B4"/>
    <mergeCell ref="A5:B5"/>
    <mergeCell ref="A6:B6"/>
    <mergeCell ref="F10:F11"/>
    <mergeCell ref="G10:G11"/>
    <mergeCell ref="A18:E18"/>
    <mergeCell ref="F18:G18"/>
    <mergeCell ref="A8:B8"/>
    <mergeCell ref="A10:A11"/>
    <mergeCell ref="B10:B11"/>
    <mergeCell ref="C10:C11"/>
    <mergeCell ref="D10:D11"/>
    <mergeCell ref="E10:E11"/>
  </mergeCells>
  <conditionalFormatting sqref="C12:C17">
    <cfRule type="duplicateValues" dxfId="88" priority="9"/>
  </conditionalFormatting>
  <conditionalFormatting sqref="C12:C17">
    <cfRule type="duplicateValues" dxfId="87" priority="10"/>
    <cfRule type="duplicateValues" dxfId="86" priority="11"/>
  </conditionalFormatting>
  <conditionalFormatting sqref="C15:C17 C12:C13">
    <cfRule type="duplicateValues" dxfId="85" priority="12"/>
  </conditionalFormatting>
  <conditionalFormatting sqref="C15:C17 C12:C13">
    <cfRule type="duplicateValues" dxfId="84" priority="13"/>
  </conditionalFormatting>
  <conditionalFormatting sqref="C12:C17">
    <cfRule type="duplicateValues" dxfId="83" priority="14"/>
  </conditionalFormatting>
  <conditionalFormatting sqref="C14">
    <cfRule type="duplicateValues" dxfId="82" priority="7"/>
  </conditionalFormatting>
  <conditionalFormatting sqref="C14">
    <cfRule type="duplicateValues" dxfId="81" priority="8"/>
  </conditionalFormatting>
  <conditionalFormatting sqref="B15:B17 B12:B13">
    <cfRule type="duplicateValues" dxfId="80" priority="3"/>
  </conditionalFormatting>
  <conditionalFormatting sqref="B15:B17 B12:B13">
    <cfRule type="duplicateValues" dxfId="79" priority="4"/>
  </conditionalFormatting>
  <conditionalFormatting sqref="B12:B17">
    <cfRule type="duplicateValues" dxfId="78" priority="5"/>
  </conditionalFormatting>
  <conditionalFormatting sqref="B12:B17">
    <cfRule type="duplicateValues" dxfId="77" priority="6"/>
  </conditionalFormatting>
  <conditionalFormatting sqref="B14">
    <cfRule type="duplicateValues" dxfId="76" priority="1"/>
  </conditionalFormatting>
  <conditionalFormatting sqref="B14">
    <cfRule type="duplicateValues" dxfId="75" priority="2"/>
  </conditionalFormatting>
  <pageMargins left="0.70866141732283472" right="0.70866141732283472" top="0.74803149606299213" bottom="0.74803149606299213" header="0.31496062992125984" footer="0.31496062992125984"/>
  <pageSetup paperSize="5" scale="80" orientation="landscape" r:id="rId1"/>
  <colBreaks count="1" manualBreakCount="1">
    <brk id="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45"/>
  <sheetViews>
    <sheetView topLeftCell="A16" zoomScaleNormal="100" workbookViewId="0">
      <selection activeCell="C51" sqref="C51"/>
    </sheetView>
  </sheetViews>
  <sheetFormatPr baseColWidth="10" defaultRowHeight="15" x14ac:dyDescent="0.25"/>
  <cols>
    <col min="1" max="14" width="6.7109375" customWidth="1"/>
    <col min="16" max="16" width="26.85546875" customWidth="1"/>
    <col min="17" max="17" width="24.140625" customWidth="1"/>
  </cols>
  <sheetData>
    <row r="1" spans="1:17" ht="15.75" thickBot="1" x14ac:dyDescent="0.3">
      <c r="A1" s="267" t="s">
        <v>5</v>
      </c>
      <c r="B1" s="267"/>
      <c r="C1" s="267"/>
      <c r="D1" s="268">
        <v>2022</v>
      </c>
      <c r="E1" s="268"/>
      <c r="F1" s="133"/>
      <c r="G1" s="133"/>
      <c r="H1" s="134"/>
      <c r="I1" s="134"/>
      <c r="J1" s="134"/>
      <c r="K1" s="134"/>
      <c r="L1" s="134"/>
      <c r="M1" s="134"/>
      <c r="N1" s="134"/>
      <c r="O1" s="135"/>
      <c r="P1" s="269" t="s">
        <v>179</v>
      </c>
      <c r="Q1" s="269"/>
    </row>
    <row r="2" spans="1:17" ht="15.75" thickBot="1" x14ac:dyDescent="0.3">
      <c r="A2" s="136"/>
      <c r="B2" s="137"/>
      <c r="C2" s="137"/>
      <c r="D2" s="137"/>
      <c r="E2" s="137"/>
      <c r="F2" s="137"/>
      <c r="G2" s="138"/>
      <c r="H2" s="139"/>
      <c r="I2" s="139"/>
      <c r="J2" s="139"/>
      <c r="K2" s="139"/>
      <c r="L2" s="139"/>
      <c r="M2" s="139"/>
      <c r="N2" s="139"/>
      <c r="O2" s="137"/>
      <c r="P2" s="269"/>
      <c r="Q2" s="269"/>
    </row>
    <row r="3" spans="1:17" ht="15.75" thickBot="1" x14ac:dyDescent="0.3">
      <c r="A3" s="136"/>
      <c r="B3" s="137"/>
      <c r="C3" s="137"/>
      <c r="D3" s="137"/>
      <c r="E3" s="137"/>
      <c r="F3" s="137"/>
      <c r="G3" s="138"/>
      <c r="H3" s="137"/>
      <c r="I3" s="137"/>
      <c r="J3" s="137"/>
      <c r="K3" s="137"/>
      <c r="L3" s="137"/>
      <c r="M3" s="137"/>
      <c r="N3" s="137"/>
      <c r="O3" s="137"/>
      <c r="P3" s="137"/>
      <c r="Q3" s="140"/>
    </row>
    <row r="4" spans="1:17" ht="15.75" thickBot="1" x14ac:dyDescent="0.3">
      <c r="A4" s="270" t="s">
        <v>180</v>
      </c>
      <c r="B4" s="270"/>
      <c r="C4" s="270"/>
      <c r="D4" s="270"/>
      <c r="E4" s="270"/>
      <c r="F4" s="270"/>
      <c r="G4" s="271" t="str">
        <f>'[1]NP DPBS'!D3</f>
        <v>040 - MINISTERIO DE SALUD</v>
      </c>
      <c r="H4" s="271"/>
      <c r="I4" s="271"/>
      <c r="J4" s="271"/>
      <c r="K4" s="271"/>
      <c r="L4" s="271"/>
      <c r="M4" s="271"/>
      <c r="N4" s="271"/>
      <c r="O4" s="271"/>
      <c r="P4" s="271"/>
      <c r="Q4" s="271"/>
    </row>
    <row r="5" spans="1:17" ht="15.75" thickBot="1" x14ac:dyDescent="0.3">
      <c r="A5" s="272" t="s">
        <v>165</v>
      </c>
      <c r="B5" s="272"/>
      <c r="C5" s="272"/>
      <c r="D5" s="272"/>
      <c r="E5" s="272"/>
      <c r="F5" s="272"/>
      <c r="G5" s="271" t="str">
        <f>'[1]NP DPBS'!D4</f>
        <v>011 - DIRECCION PROVINCIAL DE ADMINISTRACION - MINISTERIO DE SALUD</v>
      </c>
      <c r="H5" s="271"/>
      <c r="I5" s="271"/>
      <c r="J5" s="271"/>
      <c r="K5" s="271"/>
      <c r="L5" s="271"/>
      <c r="M5" s="271"/>
      <c r="N5" s="271"/>
      <c r="O5" s="271"/>
      <c r="P5" s="271"/>
      <c r="Q5" s="271"/>
    </row>
    <row r="6" spans="1:17" ht="15.75" thickBot="1" x14ac:dyDescent="0.3">
      <c r="A6" s="272" t="s">
        <v>166</v>
      </c>
      <c r="B6" s="272"/>
      <c r="C6" s="272"/>
      <c r="D6" s="272"/>
      <c r="E6" s="272"/>
      <c r="F6" s="272"/>
      <c r="G6" s="271" t="s">
        <v>211</v>
      </c>
      <c r="H6" s="271"/>
      <c r="I6" s="271"/>
      <c r="J6" s="271"/>
      <c r="K6" s="271"/>
      <c r="L6" s="271"/>
      <c r="M6" s="271"/>
      <c r="N6" s="271"/>
      <c r="O6" s="271"/>
      <c r="P6" s="271"/>
      <c r="Q6" s="271"/>
    </row>
    <row r="7" spans="1:17" ht="15.75" thickBot="1" x14ac:dyDescent="0.3">
      <c r="A7" s="272" t="s">
        <v>168</v>
      </c>
      <c r="B7" s="272"/>
      <c r="C7" s="272"/>
      <c r="D7" s="272"/>
      <c r="E7" s="272"/>
      <c r="F7" s="272"/>
      <c r="G7" s="271" t="s">
        <v>211</v>
      </c>
      <c r="H7" s="271"/>
      <c r="I7" s="271"/>
      <c r="J7" s="271"/>
      <c r="K7" s="271"/>
      <c r="L7" s="271"/>
      <c r="M7" s="271"/>
      <c r="N7" s="271"/>
      <c r="O7" s="271"/>
      <c r="P7" s="271"/>
      <c r="Q7" s="271"/>
    </row>
    <row r="8" spans="1:17" ht="15.75" thickBot="1" x14ac:dyDescent="0.3">
      <c r="A8" s="273" t="s">
        <v>181</v>
      </c>
      <c r="B8" s="273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</row>
    <row r="9" spans="1:17" x14ac:dyDescent="0.25">
      <c r="A9" s="266" t="s">
        <v>182</v>
      </c>
      <c r="B9" s="266"/>
      <c r="C9" s="266"/>
      <c r="D9" s="266"/>
      <c r="E9" s="266"/>
      <c r="F9" s="266"/>
      <c r="G9" s="266"/>
      <c r="H9" s="266"/>
      <c r="I9" s="266"/>
      <c r="J9" s="266"/>
      <c r="K9" s="266"/>
      <c r="L9" s="266"/>
      <c r="M9" s="266"/>
      <c r="N9" s="266"/>
      <c r="O9" s="266"/>
      <c r="P9" s="266"/>
      <c r="Q9" s="266"/>
    </row>
    <row r="10" spans="1:17" ht="37.5" customHeight="1" x14ac:dyDescent="0.25">
      <c r="A10" s="257" t="s">
        <v>183</v>
      </c>
      <c r="B10" s="257"/>
      <c r="C10" s="257"/>
      <c r="D10" s="257"/>
      <c r="E10" s="257"/>
      <c r="F10" s="257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257"/>
    </row>
    <row r="11" spans="1:17" ht="15.75" thickBot="1" x14ac:dyDescent="0.3">
      <c r="A11" s="141"/>
      <c r="B11" s="142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4"/>
    </row>
    <row r="12" spans="1:17" ht="15.75" thickBot="1" x14ac:dyDescent="0.3">
      <c r="A12" s="258" t="s">
        <v>184</v>
      </c>
      <c r="B12" s="258"/>
      <c r="C12" s="258"/>
      <c r="D12" s="258"/>
      <c r="E12" s="258"/>
      <c r="F12" s="258"/>
      <c r="G12" s="258"/>
      <c r="H12" s="258"/>
      <c r="I12" s="258"/>
      <c r="J12" s="258"/>
      <c r="K12" s="258"/>
      <c r="L12" s="258"/>
      <c r="M12" s="258"/>
      <c r="N12" s="258"/>
      <c r="O12" s="258"/>
      <c r="P12" s="258"/>
      <c r="Q12" s="258"/>
    </row>
    <row r="13" spans="1:17" ht="15.75" thickBot="1" x14ac:dyDescent="0.3">
      <c r="A13" s="259" t="s">
        <v>185</v>
      </c>
      <c r="B13" s="259"/>
      <c r="C13" s="259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259"/>
      <c r="O13" s="260" t="s">
        <v>186</v>
      </c>
      <c r="P13" s="260"/>
      <c r="Q13" s="261" t="s">
        <v>187</v>
      </c>
    </row>
    <row r="14" spans="1:17" ht="15.75" thickBot="1" x14ac:dyDescent="0.3">
      <c r="A14" s="145" t="s">
        <v>188</v>
      </c>
      <c r="B14" s="146" t="s">
        <v>189</v>
      </c>
      <c r="C14" s="146" t="s">
        <v>190</v>
      </c>
      <c r="D14" s="146" t="s">
        <v>191</v>
      </c>
      <c r="E14" s="146" t="s">
        <v>192</v>
      </c>
      <c r="F14" s="146" t="s">
        <v>193</v>
      </c>
      <c r="G14" s="147" t="s">
        <v>194</v>
      </c>
      <c r="H14" s="146" t="s">
        <v>195</v>
      </c>
      <c r="I14" s="146" t="s">
        <v>196</v>
      </c>
      <c r="J14" s="146" t="s">
        <v>197</v>
      </c>
      <c r="K14" s="146" t="s">
        <v>197</v>
      </c>
      <c r="L14" s="146" t="s">
        <v>198</v>
      </c>
      <c r="M14" s="148" t="s">
        <v>199</v>
      </c>
      <c r="N14" s="149" t="s">
        <v>200</v>
      </c>
      <c r="O14" s="260"/>
      <c r="P14" s="260"/>
      <c r="Q14" s="261"/>
    </row>
    <row r="15" spans="1:17" x14ac:dyDescent="0.25">
      <c r="A15" s="176">
        <v>3</v>
      </c>
      <c r="B15" s="176"/>
      <c r="C15" s="176"/>
      <c r="D15" s="176">
        <v>1</v>
      </c>
      <c r="E15" s="176"/>
      <c r="F15" s="176">
        <v>4901</v>
      </c>
      <c r="G15" s="176">
        <v>1</v>
      </c>
      <c r="H15" s="176">
        <v>3</v>
      </c>
      <c r="I15" s="176">
        <v>2</v>
      </c>
      <c r="J15" s="176">
        <v>9</v>
      </c>
      <c r="K15" s="176">
        <v>1</v>
      </c>
      <c r="L15" s="176"/>
      <c r="M15" s="176">
        <v>1</v>
      </c>
      <c r="N15" s="176" t="s">
        <v>201</v>
      </c>
      <c r="O15" s="274" t="s">
        <v>48</v>
      </c>
      <c r="P15" s="262"/>
      <c r="Q15" s="150">
        <v>28200</v>
      </c>
    </row>
    <row r="16" spans="1:17" x14ac:dyDescent="0.25">
      <c r="A16" s="176">
        <v>3</v>
      </c>
      <c r="B16" s="176"/>
      <c r="C16" s="176"/>
      <c r="D16" s="176">
        <v>1</v>
      </c>
      <c r="E16" s="176"/>
      <c r="F16" s="176">
        <v>4901</v>
      </c>
      <c r="G16" s="176">
        <v>1</v>
      </c>
      <c r="H16" s="176">
        <v>3</v>
      </c>
      <c r="I16" s="176">
        <v>2</v>
      </c>
      <c r="J16" s="176">
        <v>3</v>
      </c>
      <c r="K16" s="176">
        <v>4</v>
      </c>
      <c r="L16" s="176"/>
      <c r="M16" s="176">
        <v>1</v>
      </c>
      <c r="N16" s="176" t="s">
        <v>201</v>
      </c>
      <c r="O16" s="263" t="s">
        <v>220</v>
      </c>
      <c r="P16" s="251"/>
      <c r="Q16" s="155">
        <v>38400</v>
      </c>
    </row>
    <row r="17" spans="1:17" x14ac:dyDescent="0.25">
      <c r="A17" s="151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3"/>
      <c r="N17" s="152"/>
      <c r="O17" s="276"/>
      <c r="P17" s="276"/>
      <c r="Q17" s="155"/>
    </row>
    <row r="18" spans="1:17" x14ac:dyDescent="0.25">
      <c r="A18" s="151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3"/>
      <c r="N18" s="181"/>
      <c r="O18" s="256"/>
      <c r="P18" s="256"/>
      <c r="Q18" s="155"/>
    </row>
    <row r="19" spans="1:17" x14ac:dyDescent="0.25">
      <c r="A19" s="151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3"/>
      <c r="N19" s="181"/>
      <c r="O19" s="256"/>
      <c r="P19" s="256"/>
      <c r="Q19" s="155"/>
    </row>
    <row r="20" spans="1:17" x14ac:dyDescent="0.25">
      <c r="A20" s="151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3"/>
      <c r="N20" s="181"/>
      <c r="O20" s="256"/>
      <c r="P20" s="256"/>
      <c r="Q20" s="155"/>
    </row>
    <row r="21" spans="1:17" x14ac:dyDescent="0.25">
      <c r="A21" s="151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3"/>
      <c r="N21" s="181"/>
      <c r="O21" s="256"/>
      <c r="P21" s="256"/>
      <c r="Q21" s="155"/>
    </row>
    <row r="22" spans="1:17" x14ac:dyDescent="0.25">
      <c r="A22" s="151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3"/>
      <c r="N22" s="181"/>
      <c r="O22" s="256"/>
      <c r="P22" s="256"/>
      <c r="Q22" s="155"/>
    </row>
    <row r="23" spans="1:17" x14ac:dyDescent="0.25">
      <c r="A23" s="151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3"/>
      <c r="N23" s="181"/>
      <c r="O23" s="256"/>
      <c r="P23" s="256"/>
      <c r="Q23" s="155"/>
    </row>
    <row r="24" spans="1:17" x14ac:dyDescent="0.25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81"/>
      <c r="O24" s="256"/>
      <c r="P24" s="256"/>
      <c r="Q24" s="155"/>
    </row>
    <row r="25" spans="1:17" x14ac:dyDescent="0.25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81"/>
      <c r="O25" s="256"/>
      <c r="P25" s="256"/>
      <c r="Q25" s="155"/>
    </row>
    <row r="26" spans="1:17" x14ac:dyDescent="0.25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81"/>
      <c r="O26" s="256"/>
      <c r="P26" s="256"/>
      <c r="Q26" s="155"/>
    </row>
    <row r="27" spans="1:17" x14ac:dyDescent="0.25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81"/>
      <c r="O27" s="256"/>
      <c r="P27" s="256"/>
      <c r="Q27" s="155"/>
    </row>
    <row r="28" spans="1:17" x14ac:dyDescent="0.25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81"/>
      <c r="O28" s="256"/>
      <c r="P28" s="256"/>
      <c r="Q28" s="155"/>
    </row>
    <row r="29" spans="1:17" x14ac:dyDescent="0.25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81"/>
      <c r="O29" s="256"/>
      <c r="P29" s="256"/>
      <c r="Q29" s="155"/>
    </row>
    <row r="30" spans="1:17" x14ac:dyDescent="0.25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81"/>
      <c r="O30" s="256"/>
      <c r="P30" s="256"/>
      <c r="Q30" s="155"/>
    </row>
    <row r="31" spans="1:17" x14ac:dyDescent="0.25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81"/>
      <c r="O31" s="256"/>
      <c r="P31" s="256"/>
      <c r="Q31" s="155"/>
    </row>
    <row r="32" spans="1:17" x14ac:dyDescent="0.25">
      <c r="A32" s="151"/>
      <c r="B32" s="152"/>
      <c r="C32" s="152"/>
      <c r="D32" s="152"/>
      <c r="E32" s="152"/>
      <c r="F32" s="181"/>
      <c r="G32" s="152"/>
      <c r="H32" s="152"/>
      <c r="I32" s="152"/>
      <c r="J32" s="152"/>
      <c r="K32" s="152"/>
      <c r="L32" s="152"/>
      <c r="M32" s="153"/>
      <c r="N32" s="181"/>
      <c r="O32" s="251"/>
      <c r="P32" s="251"/>
      <c r="Q32" s="155"/>
    </row>
    <row r="33" spans="1:17" x14ac:dyDescent="0.25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81"/>
      <c r="O33" s="251"/>
      <c r="P33" s="251"/>
      <c r="Q33" s="155"/>
    </row>
    <row r="34" spans="1:17" x14ac:dyDescent="0.25">
      <c r="A34" s="151"/>
      <c r="B34" s="152"/>
      <c r="C34" s="152"/>
      <c r="D34" s="152"/>
      <c r="E34" s="152"/>
      <c r="F34" s="181"/>
      <c r="G34" s="152"/>
      <c r="H34" s="152"/>
      <c r="I34" s="152"/>
      <c r="J34" s="152"/>
      <c r="K34" s="152"/>
      <c r="L34" s="152"/>
      <c r="M34" s="153"/>
      <c r="N34" s="181"/>
      <c r="O34" s="251"/>
      <c r="P34" s="251"/>
      <c r="Q34" s="155"/>
    </row>
    <row r="35" spans="1:17" x14ac:dyDescent="0.25">
      <c r="A35" s="151"/>
      <c r="B35" s="152"/>
      <c r="C35" s="152"/>
      <c r="D35" s="152"/>
      <c r="E35" s="152"/>
      <c r="F35" s="181"/>
      <c r="G35" s="152"/>
      <c r="H35" s="152"/>
      <c r="I35" s="152"/>
      <c r="J35" s="152"/>
      <c r="K35" s="152"/>
      <c r="L35" s="152"/>
      <c r="M35" s="153"/>
      <c r="N35" s="181"/>
      <c r="O35" s="251"/>
      <c r="P35" s="251"/>
      <c r="Q35" s="155"/>
    </row>
    <row r="36" spans="1:17" x14ac:dyDescent="0.25">
      <c r="A36" s="156"/>
      <c r="B36" s="157"/>
      <c r="C36" s="157"/>
      <c r="D36" s="157"/>
      <c r="E36" s="157"/>
      <c r="F36" s="158"/>
      <c r="G36" s="157"/>
      <c r="H36" s="157"/>
      <c r="I36" s="157"/>
      <c r="J36" s="157"/>
      <c r="K36" s="157"/>
      <c r="L36" s="157"/>
      <c r="M36" s="159"/>
      <c r="N36" s="160"/>
      <c r="O36" s="252"/>
      <c r="P36" s="252"/>
      <c r="Q36" s="155"/>
    </row>
    <row r="37" spans="1:17" ht="15.75" thickBot="1" x14ac:dyDescent="0.3">
      <c r="A37" s="161"/>
      <c r="B37" s="162"/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3"/>
      <c r="N37" s="162"/>
      <c r="O37" s="253"/>
      <c r="P37" s="253"/>
      <c r="Q37" s="164"/>
    </row>
    <row r="38" spans="1:17" ht="15.75" thickBot="1" x14ac:dyDescent="0.3">
      <c r="A38" s="254" t="s">
        <v>251</v>
      </c>
      <c r="B38" s="254"/>
      <c r="C38" s="254"/>
      <c r="D38" s="254"/>
      <c r="E38" s="254"/>
      <c r="F38" s="254"/>
      <c r="G38" s="254"/>
      <c r="H38" s="254"/>
      <c r="I38" s="254"/>
      <c r="J38" s="254"/>
      <c r="K38" s="254"/>
      <c r="L38" s="254"/>
      <c r="M38" s="254"/>
      <c r="N38" s="254"/>
      <c r="O38" s="254"/>
      <c r="P38" s="254"/>
      <c r="Q38" s="165">
        <f>SUM(Q15:Q37)</f>
        <v>66600</v>
      </c>
    </row>
    <row r="39" spans="1:17" ht="15.75" thickBot="1" x14ac:dyDescent="0.3">
      <c r="A39" s="255"/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5"/>
      <c r="M39" s="255"/>
      <c r="N39" s="255"/>
      <c r="O39" s="255"/>
      <c r="P39" s="255"/>
      <c r="Q39" s="255"/>
    </row>
    <row r="40" spans="1:17" ht="15.75" thickBot="1" x14ac:dyDescent="0.3">
      <c r="A40" s="248" t="s">
        <v>202</v>
      </c>
      <c r="B40" s="248"/>
      <c r="C40" s="248"/>
      <c r="D40" s="248"/>
      <c r="E40" s="248"/>
      <c r="F40" s="248"/>
      <c r="G40" s="249"/>
      <c r="H40" s="249"/>
      <c r="I40" s="249"/>
      <c r="J40" s="249"/>
      <c r="K40" s="249"/>
      <c r="L40" s="249"/>
      <c r="M40" s="249"/>
      <c r="N40" s="249"/>
      <c r="O40" s="249"/>
      <c r="P40" s="249"/>
      <c r="Q40" s="249"/>
    </row>
    <row r="41" spans="1:17" ht="15.75" thickBot="1" x14ac:dyDescent="0.3">
      <c r="A41" s="250" t="s">
        <v>204</v>
      </c>
      <c r="B41" s="250"/>
      <c r="C41" s="250"/>
      <c r="D41" s="250"/>
      <c r="E41" s="250"/>
      <c r="F41" s="250"/>
      <c r="G41" s="250"/>
      <c r="H41" s="250"/>
      <c r="I41" s="250"/>
      <c r="J41" s="250"/>
      <c r="K41" s="250"/>
      <c r="L41" s="250"/>
      <c r="M41" s="250"/>
      <c r="N41" s="250"/>
      <c r="O41" s="250"/>
      <c r="P41" s="250"/>
      <c r="Q41" s="250"/>
    </row>
    <row r="42" spans="1:17" ht="15.75" thickBot="1" x14ac:dyDescent="0.3">
      <c r="A42" s="250"/>
      <c r="B42" s="250"/>
      <c r="C42" s="250"/>
      <c r="D42" s="250"/>
      <c r="E42" s="250"/>
      <c r="F42" s="250"/>
      <c r="G42" s="250"/>
      <c r="H42" s="250"/>
      <c r="I42" s="250"/>
      <c r="J42" s="250"/>
      <c r="K42" s="250"/>
      <c r="L42" s="250"/>
      <c r="M42" s="250"/>
      <c r="N42" s="250"/>
      <c r="O42" s="250"/>
      <c r="P42" s="250"/>
      <c r="Q42" s="250"/>
    </row>
    <row r="43" spans="1:17" x14ac:dyDescent="0.25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</row>
    <row r="44" spans="1:17" x14ac:dyDescent="0.25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</row>
    <row r="45" spans="1:17" x14ac:dyDescent="0.2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pageSetup paperSize="5" scale="5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G13"/>
  <sheetViews>
    <sheetView workbookViewId="0">
      <selection activeCell="C51" sqref="C51"/>
    </sheetView>
  </sheetViews>
  <sheetFormatPr baseColWidth="10" defaultRowHeight="15" x14ac:dyDescent="0.25"/>
  <cols>
    <col min="2" max="2" width="13.140625" customWidth="1"/>
    <col min="3" max="3" width="51.42578125" customWidth="1"/>
    <col min="4" max="4" width="15.140625" customWidth="1"/>
    <col min="6" max="6" width="13.5703125" customWidth="1"/>
    <col min="7" max="7" width="21.5703125" customWidth="1"/>
  </cols>
  <sheetData>
    <row r="1" spans="1:7" ht="30.75" thickBot="1" x14ac:dyDescent="0.3">
      <c r="A1" s="246" t="s">
        <v>162</v>
      </c>
      <c r="B1" s="246"/>
      <c r="C1" s="246"/>
      <c r="D1" s="246"/>
      <c r="E1" s="246"/>
      <c r="F1" s="101" t="s">
        <v>163</v>
      </c>
      <c r="G1" s="102"/>
    </row>
    <row r="2" spans="1:7" ht="16.5" thickBot="1" x14ac:dyDescent="0.3">
      <c r="A2" s="103"/>
      <c r="B2" s="104"/>
      <c r="C2" s="105"/>
      <c r="D2" s="105"/>
      <c r="E2" s="105"/>
      <c r="F2" s="105"/>
      <c r="G2" s="106"/>
    </row>
    <row r="3" spans="1:7" ht="16.5" thickBot="1" x14ac:dyDescent="0.3">
      <c r="A3" s="247" t="s">
        <v>164</v>
      </c>
      <c r="B3" s="247"/>
      <c r="C3" s="107" t="str">
        <f>'[2]SAF 011'!C4</f>
        <v>040 - MINISTERIO DE SALUD</v>
      </c>
      <c r="D3" s="108"/>
      <c r="E3" s="108"/>
      <c r="F3" s="108"/>
      <c r="G3" s="109"/>
    </row>
    <row r="4" spans="1:7" ht="16.5" thickBot="1" x14ac:dyDescent="0.3">
      <c r="A4" s="245" t="s">
        <v>165</v>
      </c>
      <c r="B4" s="245"/>
      <c r="C4" s="107" t="str">
        <f>'[2]SAF 011'!C5</f>
        <v>011 - DIRECCION PROVINCIAL DE ADMINISTRACION - MINISTERIO DE SALUD</v>
      </c>
      <c r="D4" s="108"/>
      <c r="E4" s="108"/>
      <c r="F4" s="108"/>
      <c r="G4" s="109"/>
    </row>
    <row r="5" spans="1:7" ht="16.5" thickBot="1" x14ac:dyDescent="0.3">
      <c r="A5" s="245" t="s">
        <v>166</v>
      </c>
      <c r="B5" s="245"/>
      <c r="C5" s="107" t="s">
        <v>230</v>
      </c>
      <c r="D5" s="108"/>
      <c r="E5" s="108"/>
      <c r="F5" s="108"/>
      <c r="G5" s="109"/>
    </row>
    <row r="6" spans="1:7" ht="16.5" thickBot="1" x14ac:dyDescent="0.3">
      <c r="A6" s="247" t="s">
        <v>168</v>
      </c>
      <c r="B6" s="247"/>
      <c r="C6" s="107" t="s">
        <v>230</v>
      </c>
      <c r="D6" s="108"/>
      <c r="E6" s="108"/>
      <c r="F6" s="108"/>
      <c r="G6" s="109"/>
    </row>
    <row r="7" spans="1:7" ht="16.5" thickBot="1" x14ac:dyDescent="0.3">
      <c r="A7" s="245" t="s">
        <v>169</v>
      </c>
      <c r="B7" s="245"/>
      <c r="C7" s="107" t="s">
        <v>170</v>
      </c>
      <c r="D7" s="108"/>
      <c r="E7" s="108"/>
      <c r="F7" s="108"/>
      <c r="G7" s="109"/>
    </row>
    <row r="8" spans="1:7" ht="16.5" thickBot="1" x14ac:dyDescent="0.3">
      <c r="A8" s="243" t="s">
        <v>171</v>
      </c>
      <c r="B8" s="243"/>
      <c r="C8" s="110" t="s">
        <v>204</v>
      </c>
      <c r="D8" s="108"/>
      <c r="E8" s="108"/>
      <c r="F8" s="108"/>
      <c r="G8" s="109"/>
    </row>
    <row r="9" spans="1:7" ht="15.75" x14ac:dyDescent="0.25">
      <c r="A9" s="111"/>
      <c r="B9" s="112"/>
      <c r="C9" s="113"/>
      <c r="D9" s="113"/>
      <c r="E9" s="113"/>
      <c r="F9" s="113"/>
      <c r="G9" s="114"/>
    </row>
    <row r="10" spans="1:7" x14ac:dyDescent="0.25">
      <c r="A10" s="244" t="s">
        <v>172</v>
      </c>
      <c r="B10" s="242" t="s">
        <v>173</v>
      </c>
      <c r="C10" s="242" t="s">
        <v>207</v>
      </c>
      <c r="D10" s="242" t="s">
        <v>174</v>
      </c>
      <c r="E10" s="242" t="s">
        <v>175</v>
      </c>
      <c r="F10" s="242" t="s">
        <v>176</v>
      </c>
      <c r="G10" s="242" t="s">
        <v>177</v>
      </c>
    </row>
    <row r="11" spans="1:7" ht="27.75" customHeight="1" x14ac:dyDescent="0.25">
      <c r="A11" s="244"/>
      <c r="B11" s="242"/>
      <c r="C11" s="242"/>
      <c r="D11" s="242"/>
      <c r="E11" s="242"/>
      <c r="F11" s="242"/>
      <c r="G11" s="242"/>
    </row>
    <row r="12" spans="1:7" ht="52.5" customHeight="1" x14ac:dyDescent="0.25">
      <c r="A12" s="115">
        <v>1</v>
      </c>
      <c r="B12" s="26" t="s">
        <v>86</v>
      </c>
      <c r="C12" s="56" t="s">
        <v>87</v>
      </c>
      <c r="D12" s="182" t="s">
        <v>178</v>
      </c>
      <c r="E12" s="55" t="s">
        <v>55</v>
      </c>
      <c r="F12" s="66">
        <v>350</v>
      </c>
      <c r="G12" s="61">
        <v>28</v>
      </c>
    </row>
    <row r="13" spans="1:7" ht="18.75" x14ac:dyDescent="0.25">
      <c r="A13" s="240" t="s">
        <v>249</v>
      </c>
      <c r="B13" s="240"/>
      <c r="C13" s="240"/>
      <c r="D13" s="240"/>
      <c r="E13" s="240"/>
      <c r="F13" s="241">
        <f>+G12*F12</f>
        <v>9800</v>
      </c>
      <c r="G13" s="241"/>
    </row>
  </sheetData>
  <mergeCells count="16">
    <mergeCell ref="F10:F11"/>
    <mergeCell ref="G10:G11"/>
    <mergeCell ref="A13:E13"/>
    <mergeCell ref="F13:G13"/>
    <mergeCell ref="A8:B8"/>
    <mergeCell ref="A10:A11"/>
    <mergeCell ref="B10:B11"/>
    <mergeCell ref="C10:C11"/>
    <mergeCell ref="D10:D11"/>
    <mergeCell ref="E10:E11"/>
    <mergeCell ref="A7:B7"/>
    <mergeCell ref="A1:E1"/>
    <mergeCell ref="A3:B3"/>
    <mergeCell ref="A4:B4"/>
    <mergeCell ref="A5:B5"/>
    <mergeCell ref="A6:B6"/>
  </mergeCells>
  <conditionalFormatting sqref="B12">
    <cfRule type="duplicateValues" dxfId="74" priority="703"/>
  </conditionalFormatting>
  <conditionalFormatting sqref="B12">
    <cfRule type="duplicateValues" dxfId="73" priority="705"/>
  </conditionalFormatting>
  <conditionalFormatting sqref="B12">
    <cfRule type="duplicateValues" dxfId="72" priority="706"/>
  </conditionalFormatting>
  <conditionalFormatting sqref="C12">
    <cfRule type="duplicateValues" dxfId="71" priority="1"/>
  </conditionalFormatting>
  <conditionalFormatting sqref="C12">
    <cfRule type="duplicateValues" dxfId="70" priority="2"/>
    <cfRule type="duplicateValues" dxfId="69" priority="3"/>
  </conditionalFormatting>
  <conditionalFormatting sqref="C12">
    <cfRule type="duplicateValues" dxfId="68" priority="4"/>
  </conditionalFormatting>
  <conditionalFormatting sqref="C12">
    <cfRule type="duplicateValues" dxfId="67" priority="5"/>
  </conditionalFormatting>
  <conditionalFormatting sqref="C12">
    <cfRule type="duplicateValues" dxfId="66" priority="6"/>
  </conditionalFormatting>
  <pageMargins left="0.7" right="0.7" top="0.75" bottom="0.75" header="0.3" footer="0.3"/>
  <pageSetup paperSize="9" scale="9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Q41"/>
  <sheetViews>
    <sheetView topLeftCell="A16" workbookViewId="0">
      <selection activeCell="C51" sqref="C51"/>
    </sheetView>
  </sheetViews>
  <sheetFormatPr baseColWidth="10" defaultRowHeight="15" x14ac:dyDescent="0.25"/>
  <cols>
    <col min="1" max="5" width="4.5703125" customWidth="1"/>
    <col min="6" max="6" width="6" customWidth="1"/>
    <col min="7" max="11" width="4.5703125" customWidth="1"/>
    <col min="12" max="12" width="6.140625" customWidth="1"/>
    <col min="13" max="14" width="4.5703125" customWidth="1"/>
    <col min="16" max="16" width="18.42578125" customWidth="1"/>
    <col min="17" max="17" width="13.5703125" customWidth="1"/>
  </cols>
  <sheetData>
    <row r="1" spans="1:17" ht="15.75" thickBot="1" x14ac:dyDescent="0.3">
      <c r="A1" s="267" t="s">
        <v>5</v>
      </c>
      <c r="B1" s="267"/>
      <c r="C1" s="267"/>
      <c r="D1" s="268">
        <v>2022</v>
      </c>
      <c r="E1" s="268"/>
      <c r="F1" s="133"/>
      <c r="G1" s="133"/>
      <c r="H1" s="134"/>
      <c r="I1" s="134"/>
      <c r="J1" s="134"/>
      <c r="K1" s="134"/>
      <c r="L1" s="134"/>
      <c r="M1" s="134"/>
      <c r="N1" s="134"/>
      <c r="O1" s="135"/>
      <c r="P1" s="269" t="s">
        <v>179</v>
      </c>
      <c r="Q1" s="269"/>
    </row>
    <row r="2" spans="1:17" ht="15.75" thickBot="1" x14ac:dyDescent="0.3">
      <c r="A2" s="136"/>
      <c r="B2" s="137"/>
      <c r="C2" s="137"/>
      <c r="D2" s="137"/>
      <c r="E2" s="137"/>
      <c r="F2" s="137"/>
      <c r="G2" s="138"/>
      <c r="H2" s="139"/>
      <c r="I2" s="139"/>
      <c r="J2" s="139"/>
      <c r="K2" s="139"/>
      <c r="L2" s="139"/>
      <c r="M2" s="139"/>
      <c r="N2" s="139"/>
      <c r="O2" s="137"/>
      <c r="P2" s="269"/>
      <c r="Q2" s="269"/>
    </row>
    <row r="3" spans="1:17" ht="15.75" thickBot="1" x14ac:dyDescent="0.3">
      <c r="A3" s="136"/>
      <c r="B3" s="137"/>
      <c r="C3" s="137"/>
      <c r="D3" s="137"/>
      <c r="E3" s="137"/>
      <c r="F3" s="137"/>
      <c r="G3" s="138"/>
      <c r="H3" s="137"/>
      <c r="I3" s="137"/>
      <c r="J3" s="137"/>
      <c r="K3" s="137"/>
      <c r="L3" s="137"/>
      <c r="M3" s="137"/>
      <c r="N3" s="137"/>
      <c r="O3" s="137"/>
      <c r="P3" s="137"/>
      <c r="Q3" s="140"/>
    </row>
    <row r="4" spans="1:17" ht="15.75" thickBot="1" x14ac:dyDescent="0.3">
      <c r="A4" s="270" t="s">
        <v>180</v>
      </c>
      <c r="B4" s="270"/>
      <c r="C4" s="270"/>
      <c r="D4" s="270"/>
      <c r="E4" s="270"/>
      <c r="F4" s="270"/>
      <c r="G4" s="271" t="str">
        <f>'[1]NP DPBS'!D3</f>
        <v>040 - MINISTERIO DE SALUD</v>
      </c>
      <c r="H4" s="271"/>
      <c r="I4" s="271"/>
      <c r="J4" s="271"/>
      <c r="K4" s="271"/>
      <c r="L4" s="271"/>
      <c r="M4" s="271"/>
      <c r="N4" s="271"/>
      <c r="O4" s="271"/>
      <c r="P4" s="271"/>
      <c r="Q4" s="271"/>
    </row>
    <row r="5" spans="1:17" ht="15.75" thickBot="1" x14ac:dyDescent="0.3">
      <c r="A5" s="272" t="s">
        <v>165</v>
      </c>
      <c r="B5" s="272"/>
      <c r="C5" s="272"/>
      <c r="D5" s="272"/>
      <c r="E5" s="272"/>
      <c r="F5" s="272"/>
      <c r="G5" s="271" t="str">
        <f>'[1]NP DPBS'!D4</f>
        <v>011 - DIRECCION PROVINCIAL DE ADMINISTRACION - MINISTERIO DE SALUD</v>
      </c>
      <c r="H5" s="271"/>
      <c r="I5" s="271"/>
      <c r="J5" s="271"/>
      <c r="K5" s="271"/>
      <c r="L5" s="271"/>
      <c r="M5" s="271"/>
      <c r="N5" s="271"/>
      <c r="O5" s="271"/>
      <c r="P5" s="271"/>
      <c r="Q5" s="271"/>
    </row>
    <row r="6" spans="1:17" ht="15.75" thickBot="1" x14ac:dyDescent="0.3">
      <c r="A6" s="272" t="s">
        <v>166</v>
      </c>
      <c r="B6" s="272"/>
      <c r="C6" s="272"/>
      <c r="D6" s="272"/>
      <c r="E6" s="272"/>
      <c r="F6" s="272"/>
      <c r="G6" s="271" t="s">
        <v>230</v>
      </c>
      <c r="H6" s="271"/>
      <c r="I6" s="271"/>
      <c r="J6" s="271"/>
      <c r="K6" s="271"/>
      <c r="L6" s="271"/>
      <c r="M6" s="271"/>
      <c r="N6" s="271"/>
      <c r="O6" s="271"/>
      <c r="P6" s="271"/>
      <c r="Q6" s="271"/>
    </row>
    <row r="7" spans="1:17" ht="15.75" thickBot="1" x14ac:dyDescent="0.3">
      <c r="A7" s="272" t="s">
        <v>168</v>
      </c>
      <c r="B7" s="272"/>
      <c r="C7" s="272"/>
      <c r="D7" s="272"/>
      <c r="E7" s="272"/>
      <c r="F7" s="272"/>
      <c r="G7" s="271" t="s">
        <v>230</v>
      </c>
      <c r="H7" s="271"/>
      <c r="I7" s="271"/>
      <c r="J7" s="271"/>
      <c r="K7" s="271"/>
      <c r="L7" s="271"/>
      <c r="M7" s="271"/>
      <c r="N7" s="271"/>
      <c r="O7" s="271"/>
      <c r="P7" s="271"/>
      <c r="Q7" s="271"/>
    </row>
    <row r="8" spans="1:17" ht="15.75" thickBot="1" x14ac:dyDescent="0.3">
      <c r="A8" s="273" t="s">
        <v>181</v>
      </c>
      <c r="B8" s="273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</row>
    <row r="9" spans="1:17" x14ac:dyDescent="0.25">
      <c r="A9" s="266" t="s">
        <v>182</v>
      </c>
      <c r="B9" s="266"/>
      <c r="C9" s="266"/>
      <c r="D9" s="266"/>
      <c r="E9" s="266"/>
      <c r="F9" s="266"/>
      <c r="G9" s="266"/>
      <c r="H9" s="266"/>
      <c r="I9" s="266"/>
      <c r="J9" s="266"/>
      <c r="K9" s="266"/>
      <c r="L9" s="266"/>
      <c r="M9" s="266"/>
      <c r="N9" s="266"/>
      <c r="O9" s="266"/>
      <c r="P9" s="266"/>
      <c r="Q9" s="266"/>
    </row>
    <row r="10" spans="1:17" ht="45" customHeight="1" x14ac:dyDescent="0.25">
      <c r="A10" s="257" t="s">
        <v>183</v>
      </c>
      <c r="B10" s="257"/>
      <c r="C10" s="257"/>
      <c r="D10" s="257"/>
      <c r="E10" s="257"/>
      <c r="F10" s="257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257"/>
    </row>
    <row r="11" spans="1:17" ht="15.75" thickBot="1" x14ac:dyDescent="0.3">
      <c r="A11" s="141"/>
      <c r="B11" s="142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4"/>
    </row>
    <row r="12" spans="1:17" ht="15.75" thickBot="1" x14ac:dyDescent="0.3">
      <c r="A12" s="258" t="s">
        <v>184</v>
      </c>
      <c r="B12" s="258"/>
      <c r="C12" s="258"/>
      <c r="D12" s="258"/>
      <c r="E12" s="258"/>
      <c r="F12" s="258"/>
      <c r="G12" s="258"/>
      <c r="H12" s="258"/>
      <c r="I12" s="258"/>
      <c r="J12" s="258"/>
      <c r="K12" s="258"/>
      <c r="L12" s="258"/>
      <c r="M12" s="258"/>
      <c r="N12" s="258"/>
      <c r="O12" s="258"/>
      <c r="P12" s="258"/>
      <c r="Q12" s="258"/>
    </row>
    <row r="13" spans="1:17" ht="15.75" thickBot="1" x14ac:dyDescent="0.3">
      <c r="A13" s="259" t="s">
        <v>185</v>
      </c>
      <c r="B13" s="259"/>
      <c r="C13" s="259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259"/>
      <c r="O13" s="260" t="s">
        <v>186</v>
      </c>
      <c r="P13" s="260"/>
      <c r="Q13" s="261" t="s">
        <v>187</v>
      </c>
    </row>
    <row r="14" spans="1:17" ht="25.5" customHeight="1" thickBot="1" x14ac:dyDescent="0.3">
      <c r="A14" s="145" t="s">
        <v>188</v>
      </c>
      <c r="B14" s="146" t="s">
        <v>189</v>
      </c>
      <c r="C14" s="146" t="s">
        <v>190</v>
      </c>
      <c r="D14" s="146" t="s">
        <v>191</v>
      </c>
      <c r="E14" s="146" t="s">
        <v>192</v>
      </c>
      <c r="F14" s="146" t="s">
        <v>193</v>
      </c>
      <c r="G14" s="147" t="s">
        <v>194</v>
      </c>
      <c r="H14" s="146" t="s">
        <v>195</v>
      </c>
      <c r="I14" s="146" t="s">
        <v>196</v>
      </c>
      <c r="J14" s="146" t="s">
        <v>197</v>
      </c>
      <c r="K14" s="146" t="s">
        <v>197</v>
      </c>
      <c r="L14" s="146" t="s">
        <v>198</v>
      </c>
      <c r="M14" s="148" t="s">
        <v>199</v>
      </c>
      <c r="N14" s="149" t="s">
        <v>200</v>
      </c>
      <c r="O14" s="260"/>
      <c r="P14" s="260"/>
      <c r="Q14" s="261"/>
    </row>
    <row r="15" spans="1:17" ht="15" customHeight="1" x14ac:dyDescent="0.25">
      <c r="A15" s="176">
        <v>26</v>
      </c>
      <c r="B15" s="176"/>
      <c r="C15" s="176"/>
      <c r="D15" s="176">
        <v>1</v>
      </c>
      <c r="E15" s="176"/>
      <c r="F15" s="176">
        <v>4901</v>
      </c>
      <c r="G15" s="176">
        <v>3</v>
      </c>
      <c r="H15" s="176">
        <v>1</v>
      </c>
      <c r="I15" s="176">
        <v>2</v>
      </c>
      <c r="J15" s="176">
        <v>3</v>
      </c>
      <c r="K15" s="176">
        <v>4</v>
      </c>
      <c r="L15" s="176"/>
      <c r="M15" s="176">
        <v>1</v>
      </c>
      <c r="N15" s="176" t="s">
        <v>201</v>
      </c>
      <c r="O15" s="263" t="s">
        <v>231</v>
      </c>
      <c r="P15" s="251"/>
      <c r="Q15" s="150">
        <v>9800</v>
      </c>
    </row>
    <row r="16" spans="1:17" x14ac:dyDescent="0.25">
      <c r="A16" s="176"/>
      <c r="B16" s="176"/>
      <c r="C16" s="176"/>
      <c r="D16" s="176"/>
      <c r="E16" s="176"/>
      <c r="F16" s="176"/>
      <c r="G16" s="176"/>
      <c r="H16" s="176"/>
      <c r="I16" s="152"/>
      <c r="J16" s="152"/>
      <c r="K16" s="152"/>
      <c r="L16" s="152"/>
      <c r="M16" s="153"/>
      <c r="N16" s="152"/>
      <c r="O16" s="282"/>
      <c r="P16" s="265"/>
      <c r="Q16" s="155"/>
    </row>
    <row r="17" spans="1:17" x14ac:dyDescent="0.25">
      <c r="A17" s="151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3"/>
      <c r="N17" s="197"/>
      <c r="O17" s="256"/>
      <c r="P17" s="256"/>
      <c r="Q17" s="155"/>
    </row>
    <row r="18" spans="1:17" x14ac:dyDescent="0.25">
      <c r="A18" s="151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3"/>
      <c r="N18" s="197"/>
      <c r="O18" s="256"/>
      <c r="P18" s="256"/>
      <c r="Q18" s="155"/>
    </row>
    <row r="19" spans="1:17" x14ac:dyDescent="0.25">
      <c r="A19" s="151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3"/>
      <c r="N19" s="197"/>
      <c r="O19" s="256"/>
      <c r="P19" s="256"/>
      <c r="Q19" s="155"/>
    </row>
    <row r="20" spans="1:17" x14ac:dyDescent="0.25">
      <c r="A20" s="151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3"/>
      <c r="N20" s="197"/>
      <c r="O20" s="256"/>
      <c r="P20" s="256"/>
      <c r="Q20" s="155"/>
    </row>
    <row r="21" spans="1:17" x14ac:dyDescent="0.25">
      <c r="A21" s="151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3"/>
      <c r="N21" s="197"/>
      <c r="O21" s="256"/>
      <c r="P21" s="256"/>
      <c r="Q21" s="155"/>
    </row>
    <row r="22" spans="1:17" x14ac:dyDescent="0.25">
      <c r="A22" s="151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3"/>
      <c r="N22" s="197"/>
      <c r="O22" s="256"/>
      <c r="P22" s="256"/>
      <c r="Q22" s="155"/>
    </row>
    <row r="23" spans="1:17" x14ac:dyDescent="0.25">
      <c r="A23" s="151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3"/>
      <c r="N23" s="197"/>
      <c r="O23" s="256"/>
      <c r="P23" s="256"/>
      <c r="Q23" s="155"/>
    </row>
    <row r="24" spans="1:17" x14ac:dyDescent="0.25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97"/>
      <c r="O24" s="256"/>
      <c r="P24" s="256"/>
      <c r="Q24" s="155"/>
    </row>
    <row r="25" spans="1:17" x14ac:dyDescent="0.25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97"/>
      <c r="O25" s="256"/>
      <c r="P25" s="256"/>
      <c r="Q25" s="155"/>
    </row>
    <row r="26" spans="1:17" x14ac:dyDescent="0.25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97"/>
      <c r="O26" s="256"/>
      <c r="P26" s="256"/>
      <c r="Q26" s="155"/>
    </row>
    <row r="27" spans="1:17" x14ac:dyDescent="0.25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97"/>
      <c r="O27" s="256"/>
      <c r="P27" s="256"/>
      <c r="Q27" s="155"/>
    </row>
    <row r="28" spans="1:17" x14ac:dyDescent="0.25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97"/>
      <c r="O28" s="256"/>
      <c r="P28" s="256"/>
      <c r="Q28" s="155"/>
    </row>
    <row r="29" spans="1:17" x14ac:dyDescent="0.25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97"/>
      <c r="O29" s="256"/>
      <c r="P29" s="256"/>
      <c r="Q29" s="155"/>
    </row>
    <row r="30" spans="1:17" x14ac:dyDescent="0.25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97"/>
      <c r="O30" s="256"/>
      <c r="P30" s="256"/>
      <c r="Q30" s="155"/>
    </row>
    <row r="31" spans="1:17" x14ac:dyDescent="0.25">
      <c r="A31" s="151"/>
      <c r="B31" s="152"/>
      <c r="C31" s="152"/>
      <c r="D31" s="152"/>
      <c r="E31" s="152"/>
      <c r="F31" s="197"/>
      <c r="G31" s="152"/>
      <c r="H31" s="152"/>
      <c r="I31" s="152"/>
      <c r="J31" s="152"/>
      <c r="K31" s="152"/>
      <c r="L31" s="152"/>
      <c r="M31" s="153"/>
      <c r="N31" s="197"/>
      <c r="O31" s="251"/>
      <c r="P31" s="251"/>
      <c r="Q31" s="155"/>
    </row>
    <row r="32" spans="1:17" x14ac:dyDescent="0.25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97"/>
      <c r="O32" s="251"/>
      <c r="P32" s="251"/>
      <c r="Q32" s="155"/>
    </row>
    <row r="33" spans="1:17" x14ac:dyDescent="0.25">
      <c r="A33" s="151"/>
      <c r="B33" s="152"/>
      <c r="C33" s="152"/>
      <c r="D33" s="152"/>
      <c r="E33" s="152"/>
      <c r="F33" s="197"/>
      <c r="G33" s="152"/>
      <c r="H33" s="152"/>
      <c r="I33" s="152"/>
      <c r="J33" s="152"/>
      <c r="K33" s="152"/>
      <c r="L33" s="152"/>
      <c r="M33" s="153"/>
      <c r="N33" s="197"/>
      <c r="O33" s="251"/>
      <c r="P33" s="251"/>
      <c r="Q33" s="155"/>
    </row>
    <row r="34" spans="1:17" x14ac:dyDescent="0.25">
      <c r="A34" s="151"/>
      <c r="B34" s="152"/>
      <c r="C34" s="152"/>
      <c r="D34" s="152"/>
      <c r="E34" s="152"/>
      <c r="F34" s="197"/>
      <c r="G34" s="152"/>
      <c r="H34" s="152"/>
      <c r="I34" s="152"/>
      <c r="J34" s="152"/>
      <c r="K34" s="152"/>
      <c r="L34" s="152"/>
      <c r="M34" s="153"/>
      <c r="N34" s="197"/>
      <c r="O34" s="251"/>
      <c r="P34" s="251"/>
      <c r="Q34" s="155"/>
    </row>
    <row r="35" spans="1:17" x14ac:dyDescent="0.25">
      <c r="A35" s="156"/>
      <c r="B35" s="157"/>
      <c r="C35" s="157"/>
      <c r="D35" s="157"/>
      <c r="E35" s="157"/>
      <c r="F35" s="158"/>
      <c r="G35" s="157"/>
      <c r="H35" s="157"/>
      <c r="I35" s="157"/>
      <c r="J35" s="157"/>
      <c r="K35" s="157"/>
      <c r="L35" s="157"/>
      <c r="M35" s="159"/>
      <c r="N35" s="160"/>
      <c r="O35" s="252"/>
      <c r="P35" s="252"/>
      <c r="Q35" s="155"/>
    </row>
    <row r="36" spans="1:17" ht="15.75" thickBot="1" x14ac:dyDescent="0.3">
      <c r="A36" s="161"/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3"/>
      <c r="N36" s="162"/>
      <c r="O36" s="253"/>
      <c r="P36" s="253"/>
      <c r="Q36" s="164"/>
    </row>
    <row r="37" spans="1:17" ht="15.75" thickBot="1" x14ac:dyDescent="0.3">
      <c r="A37" s="254" t="s">
        <v>232</v>
      </c>
      <c r="B37" s="254"/>
      <c r="C37" s="254"/>
      <c r="D37" s="254"/>
      <c r="E37" s="254"/>
      <c r="F37" s="254"/>
      <c r="G37" s="254"/>
      <c r="H37" s="254"/>
      <c r="I37" s="254"/>
      <c r="J37" s="254"/>
      <c r="K37" s="254"/>
      <c r="L37" s="254"/>
      <c r="M37" s="254"/>
      <c r="N37" s="254"/>
      <c r="O37" s="254"/>
      <c r="P37" s="254"/>
      <c r="Q37" s="165">
        <f>SUM(Q15:Q36)</f>
        <v>9800</v>
      </c>
    </row>
    <row r="38" spans="1:17" ht="15.75" thickBot="1" x14ac:dyDescent="0.3">
      <c r="A38" s="255"/>
      <c r="B38" s="255"/>
      <c r="C38" s="255"/>
      <c r="D38" s="255"/>
      <c r="E38" s="255"/>
      <c r="F38" s="255"/>
      <c r="G38" s="255"/>
      <c r="H38" s="255"/>
      <c r="I38" s="255"/>
      <c r="J38" s="255"/>
      <c r="K38" s="255"/>
      <c r="L38" s="255"/>
      <c r="M38" s="255"/>
      <c r="N38" s="255"/>
      <c r="O38" s="255"/>
      <c r="P38" s="255"/>
      <c r="Q38" s="255"/>
    </row>
    <row r="39" spans="1:17" ht="15.75" thickBot="1" x14ac:dyDescent="0.3">
      <c r="A39" s="248" t="s">
        <v>202</v>
      </c>
      <c r="B39" s="248"/>
      <c r="C39" s="248"/>
      <c r="D39" s="248"/>
      <c r="E39" s="248"/>
      <c r="F39" s="248"/>
      <c r="G39" s="249"/>
      <c r="H39" s="249"/>
      <c r="I39" s="249"/>
      <c r="J39" s="249"/>
      <c r="K39" s="249"/>
      <c r="L39" s="249"/>
      <c r="M39" s="249"/>
      <c r="N39" s="249"/>
      <c r="O39" s="249"/>
      <c r="P39" s="249"/>
      <c r="Q39" s="249"/>
    </row>
    <row r="40" spans="1:17" ht="15.75" thickBot="1" x14ac:dyDescent="0.3">
      <c r="A40" s="250" t="s">
        <v>204</v>
      </c>
      <c r="B40" s="250"/>
      <c r="C40" s="250"/>
      <c r="D40" s="250"/>
      <c r="E40" s="250"/>
      <c r="F40" s="250"/>
      <c r="G40" s="250"/>
      <c r="H40" s="250"/>
      <c r="I40" s="250"/>
      <c r="J40" s="250"/>
      <c r="K40" s="250"/>
      <c r="L40" s="250"/>
      <c r="M40" s="250"/>
      <c r="N40" s="250"/>
      <c r="O40" s="250"/>
      <c r="P40" s="250"/>
      <c r="Q40" s="250"/>
    </row>
    <row r="41" spans="1:17" ht="15.75" thickBot="1" x14ac:dyDescent="0.3">
      <c r="A41" s="250"/>
      <c r="B41" s="250"/>
      <c r="C41" s="250"/>
      <c r="D41" s="250"/>
      <c r="E41" s="250"/>
      <c r="F41" s="250"/>
      <c r="G41" s="250"/>
      <c r="H41" s="250"/>
      <c r="I41" s="250"/>
      <c r="J41" s="250"/>
      <c r="K41" s="250"/>
      <c r="L41" s="250"/>
      <c r="M41" s="250"/>
      <c r="N41" s="250"/>
      <c r="O41" s="250"/>
      <c r="P41" s="250"/>
      <c r="Q41" s="250"/>
    </row>
  </sheetData>
  <mergeCells count="45">
    <mergeCell ref="A40:Q41"/>
    <mergeCell ref="O34:P34"/>
    <mergeCell ref="O35:P35"/>
    <mergeCell ref="O36:P36"/>
    <mergeCell ref="A37:P37"/>
    <mergeCell ref="A38:Q38"/>
    <mergeCell ref="A39:F39"/>
    <mergeCell ref="G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pageSetup paperSize="9" scale="7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9"/>
  <sheetViews>
    <sheetView zoomScale="120" zoomScaleNormal="120" workbookViewId="0">
      <selection activeCell="C51" sqref="C51"/>
    </sheetView>
  </sheetViews>
  <sheetFormatPr baseColWidth="10" defaultRowHeight="15" x14ac:dyDescent="0.25"/>
  <cols>
    <col min="2" max="2" width="25.85546875" customWidth="1"/>
    <col min="3" max="3" width="55" customWidth="1"/>
    <col min="6" max="6" width="20.5703125" customWidth="1"/>
    <col min="8" max="8" width="12.7109375" bestFit="1" customWidth="1"/>
    <col min="10" max="10" width="12.7109375" bestFit="1" customWidth="1"/>
  </cols>
  <sheetData>
    <row r="1" spans="1:10" ht="30.75" thickBot="1" x14ac:dyDescent="0.3">
      <c r="A1" s="246" t="s">
        <v>162</v>
      </c>
      <c r="B1" s="246"/>
      <c r="C1" s="246"/>
      <c r="D1" s="246"/>
      <c r="E1" s="246"/>
      <c r="F1" s="101" t="s">
        <v>163</v>
      </c>
      <c r="G1" s="102"/>
    </row>
    <row r="2" spans="1:10" ht="16.5" thickBot="1" x14ac:dyDescent="0.3">
      <c r="A2" s="103"/>
      <c r="B2" s="104"/>
      <c r="C2" s="105"/>
      <c r="D2" s="105"/>
      <c r="E2" s="105"/>
      <c r="F2" s="105"/>
      <c r="G2" s="106"/>
    </row>
    <row r="3" spans="1:10" ht="16.5" thickBot="1" x14ac:dyDescent="0.3">
      <c r="A3" s="247" t="s">
        <v>164</v>
      </c>
      <c r="B3" s="247"/>
      <c r="C3" s="107" t="str">
        <f>'[2]SAF 011'!C4</f>
        <v>040 - MINISTERIO DE SALUD</v>
      </c>
      <c r="D3" s="108"/>
      <c r="E3" s="108"/>
      <c r="F3" s="108"/>
      <c r="G3" s="109"/>
    </row>
    <row r="4" spans="1:10" ht="16.5" thickBot="1" x14ac:dyDescent="0.3">
      <c r="A4" s="245" t="s">
        <v>165</v>
      </c>
      <c r="B4" s="245"/>
      <c r="C4" s="107" t="str">
        <f>'[2]SAF 011'!C5</f>
        <v>011 - DIRECCION PROVINCIAL DE ADMINISTRACION - MINISTERIO DE SALUD</v>
      </c>
      <c r="D4" s="108"/>
      <c r="E4" s="108"/>
      <c r="F4" s="108"/>
      <c r="G4" s="109"/>
    </row>
    <row r="5" spans="1:10" ht="16.5" thickBot="1" x14ac:dyDescent="0.3">
      <c r="A5" s="245" t="s">
        <v>166</v>
      </c>
      <c r="B5" s="245"/>
      <c r="C5" s="107" t="s">
        <v>212</v>
      </c>
      <c r="D5" s="108"/>
      <c r="E5" s="108"/>
      <c r="F5" s="108"/>
      <c r="G5" s="109"/>
    </row>
    <row r="6" spans="1:10" ht="16.5" thickBot="1" x14ac:dyDescent="0.3">
      <c r="A6" s="247" t="s">
        <v>168</v>
      </c>
      <c r="B6" s="247"/>
      <c r="C6" s="107" t="s">
        <v>212</v>
      </c>
      <c r="D6" s="108"/>
      <c r="E6" s="108"/>
      <c r="F6" s="108"/>
      <c r="G6" s="109"/>
    </row>
    <row r="7" spans="1:10" ht="16.5" thickBot="1" x14ac:dyDescent="0.3">
      <c r="A7" s="245" t="s">
        <v>169</v>
      </c>
      <c r="B7" s="245"/>
      <c r="C7" s="107" t="s">
        <v>170</v>
      </c>
      <c r="D7" s="108"/>
      <c r="E7" s="108"/>
      <c r="F7" s="108"/>
      <c r="G7" s="109"/>
    </row>
    <row r="8" spans="1:10" ht="16.5" thickBot="1" x14ac:dyDescent="0.3">
      <c r="A8" s="243" t="s">
        <v>171</v>
      </c>
      <c r="B8" s="243"/>
      <c r="C8" s="110" t="s">
        <v>204</v>
      </c>
      <c r="D8" s="108"/>
      <c r="E8" s="108"/>
      <c r="F8" s="108"/>
      <c r="G8" s="109"/>
    </row>
    <row r="9" spans="1:10" ht="15.75" x14ac:dyDescent="0.25">
      <c r="A9" s="111"/>
      <c r="B9" s="112"/>
      <c r="C9" s="113"/>
      <c r="D9" s="113"/>
      <c r="E9" s="113"/>
      <c r="F9" s="113"/>
      <c r="G9" s="114"/>
    </row>
    <row r="10" spans="1:10" x14ac:dyDescent="0.25">
      <c r="A10" s="244" t="s">
        <v>172</v>
      </c>
      <c r="B10" s="242" t="s">
        <v>173</v>
      </c>
      <c r="C10" s="242" t="s">
        <v>207</v>
      </c>
      <c r="D10" s="242" t="s">
        <v>174</v>
      </c>
      <c r="E10" s="242" t="s">
        <v>175</v>
      </c>
      <c r="F10" s="242" t="s">
        <v>176</v>
      </c>
      <c r="G10" s="242" t="s">
        <v>177</v>
      </c>
    </row>
    <row r="11" spans="1:10" ht="32.25" customHeight="1" x14ac:dyDescent="0.25">
      <c r="A11" s="244"/>
      <c r="B11" s="242"/>
      <c r="C11" s="242"/>
      <c r="D11" s="242"/>
      <c r="E11" s="242"/>
      <c r="F11" s="242"/>
      <c r="G11" s="242"/>
    </row>
    <row r="12" spans="1:10" ht="25.5" x14ac:dyDescent="0.25">
      <c r="A12" s="189">
        <v>1</v>
      </c>
      <c r="B12" s="26" t="s">
        <v>53</v>
      </c>
      <c r="C12" s="56" t="s">
        <v>54</v>
      </c>
      <c r="D12" s="182" t="s">
        <v>178</v>
      </c>
      <c r="E12" s="55" t="s">
        <v>55</v>
      </c>
      <c r="F12" s="66">
        <v>650</v>
      </c>
      <c r="G12" s="61">
        <v>8</v>
      </c>
      <c r="H12" s="214">
        <f>+F12*G12</f>
        <v>5200</v>
      </c>
      <c r="I12" s="213"/>
      <c r="J12" s="215">
        <f>+H12+H13+H14+H16+H17</f>
        <v>14490</v>
      </c>
    </row>
    <row r="13" spans="1:10" ht="25.5" x14ac:dyDescent="0.25">
      <c r="A13" s="189">
        <v>2</v>
      </c>
      <c r="B13" s="46" t="s">
        <v>56</v>
      </c>
      <c r="C13" s="56" t="s">
        <v>57</v>
      </c>
      <c r="D13" s="182" t="s">
        <v>178</v>
      </c>
      <c r="E13" s="55" t="s">
        <v>55</v>
      </c>
      <c r="F13" s="66">
        <v>100</v>
      </c>
      <c r="G13" s="61">
        <v>8</v>
      </c>
      <c r="H13" s="214">
        <f t="shared" ref="H13:H17" si="0">+F13*G13</f>
        <v>800</v>
      </c>
      <c r="I13" s="213"/>
      <c r="J13" s="213"/>
    </row>
    <row r="14" spans="1:10" ht="25.5" x14ac:dyDescent="0.25">
      <c r="A14" s="189">
        <v>3</v>
      </c>
      <c r="B14" s="46" t="s">
        <v>81</v>
      </c>
      <c r="C14" s="56" t="s">
        <v>82</v>
      </c>
      <c r="D14" s="182" t="s">
        <v>178</v>
      </c>
      <c r="E14" s="55" t="s">
        <v>47</v>
      </c>
      <c r="F14" s="66">
        <v>450</v>
      </c>
      <c r="G14" s="61">
        <v>4</v>
      </c>
      <c r="H14" s="214">
        <f t="shared" si="0"/>
        <v>1800</v>
      </c>
      <c r="I14" s="213"/>
      <c r="J14" s="213"/>
    </row>
    <row r="15" spans="1:10" ht="38.25" x14ac:dyDescent="0.25">
      <c r="A15" s="189">
        <v>4</v>
      </c>
      <c r="B15" s="46" t="s">
        <v>86</v>
      </c>
      <c r="C15" s="56" t="s">
        <v>87</v>
      </c>
      <c r="D15" s="182" t="s">
        <v>178</v>
      </c>
      <c r="E15" s="55" t="s">
        <v>55</v>
      </c>
      <c r="F15" s="66">
        <v>350</v>
      </c>
      <c r="G15" s="61">
        <v>20</v>
      </c>
      <c r="H15" s="214">
        <f t="shared" si="0"/>
        <v>7000</v>
      </c>
      <c r="I15" s="213"/>
      <c r="J15" s="213"/>
    </row>
    <row r="16" spans="1:10" ht="25.5" x14ac:dyDescent="0.25">
      <c r="A16" s="189">
        <v>5</v>
      </c>
      <c r="B16" s="46" t="s">
        <v>94</v>
      </c>
      <c r="C16" s="76" t="s">
        <v>95</v>
      </c>
      <c r="D16" s="182" t="s">
        <v>178</v>
      </c>
      <c r="E16" s="55" t="s">
        <v>47</v>
      </c>
      <c r="F16" s="66">
        <v>115</v>
      </c>
      <c r="G16" s="61">
        <v>6</v>
      </c>
      <c r="H16" s="214">
        <f t="shared" si="0"/>
        <v>690</v>
      </c>
      <c r="I16" s="213"/>
      <c r="J16" s="213"/>
    </row>
    <row r="17" spans="1:10" ht="25.5" x14ac:dyDescent="0.25">
      <c r="A17" s="189">
        <v>6</v>
      </c>
      <c r="B17" s="83" t="s">
        <v>128</v>
      </c>
      <c r="C17" s="84" t="s">
        <v>130</v>
      </c>
      <c r="D17" s="182" t="s">
        <v>178</v>
      </c>
      <c r="E17" s="46" t="s">
        <v>104</v>
      </c>
      <c r="F17" s="85">
        <v>300</v>
      </c>
      <c r="G17" s="61">
        <v>20</v>
      </c>
      <c r="H17" s="214">
        <f t="shared" si="0"/>
        <v>6000</v>
      </c>
      <c r="I17" s="213"/>
      <c r="J17" s="213"/>
    </row>
    <row r="18" spans="1:10" ht="42" customHeight="1" x14ac:dyDescent="0.25">
      <c r="A18" s="240" t="s">
        <v>233</v>
      </c>
      <c r="B18" s="240"/>
      <c r="C18" s="240"/>
      <c r="D18" s="240"/>
      <c r="E18" s="240"/>
      <c r="F18" s="241">
        <f>+H12+H13+H14+H15+H16+H17</f>
        <v>21490</v>
      </c>
      <c r="G18" s="241"/>
      <c r="H18" s="210"/>
      <c r="I18" s="210"/>
      <c r="J18" s="210"/>
    </row>
    <row r="19" spans="1:10" x14ac:dyDescent="0.25">
      <c r="A19" s="32"/>
      <c r="B19" s="32"/>
      <c r="C19" s="32"/>
      <c r="D19" s="32"/>
      <c r="E19" s="32"/>
      <c r="F19" s="32"/>
      <c r="G19" s="32"/>
    </row>
  </sheetData>
  <mergeCells count="16">
    <mergeCell ref="F10:F11"/>
    <mergeCell ref="G10:G11"/>
    <mergeCell ref="A18:E18"/>
    <mergeCell ref="F18:G18"/>
    <mergeCell ref="A8:B8"/>
    <mergeCell ref="A10:A11"/>
    <mergeCell ref="B10:B11"/>
    <mergeCell ref="C10:C11"/>
    <mergeCell ref="D10:D11"/>
    <mergeCell ref="E10:E11"/>
    <mergeCell ref="A7:B7"/>
    <mergeCell ref="A1:E1"/>
    <mergeCell ref="A3:B3"/>
    <mergeCell ref="A4:B4"/>
    <mergeCell ref="A5:B5"/>
    <mergeCell ref="A6:B6"/>
  </mergeCells>
  <conditionalFormatting sqref="B15:B17 B12:B13">
    <cfRule type="duplicateValues" dxfId="65" priority="11"/>
  </conditionalFormatting>
  <conditionalFormatting sqref="B15:B17 B12:B13">
    <cfRule type="duplicateValues" dxfId="64" priority="12"/>
  </conditionalFormatting>
  <conditionalFormatting sqref="B12:B17">
    <cfRule type="duplicateValues" dxfId="63" priority="13"/>
  </conditionalFormatting>
  <conditionalFormatting sqref="B12:B17">
    <cfRule type="duplicateValues" dxfId="62" priority="14"/>
  </conditionalFormatting>
  <conditionalFormatting sqref="B14">
    <cfRule type="duplicateValues" dxfId="61" priority="9"/>
  </conditionalFormatting>
  <conditionalFormatting sqref="B14">
    <cfRule type="duplicateValues" dxfId="60" priority="10"/>
  </conditionalFormatting>
  <conditionalFormatting sqref="C12:C17">
    <cfRule type="duplicateValues" dxfId="59" priority="3"/>
  </conditionalFormatting>
  <conditionalFormatting sqref="C12:C17">
    <cfRule type="duplicateValues" dxfId="58" priority="4"/>
    <cfRule type="duplicateValues" dxfId="57" priority="5"/>
  </conditionalFormatting>
  <conditionalFormatting sqref="C15:C17 C12:C13">
    <cfRule type="duplicateValues" dxfId="56" priority="6"/>
  </conditionalFormatting>
  <conditionalFormatting sqref="C15:C17 C12:C13">
    <cfRule type="duplicateValues" dxfId="55" priority="7"/>
  </conditionalFormatting>
  <conditionalFormatting sqref="C12:C17">
    <cfRule type="duplicateValues" dxfId="54" priority="8"/>
  </conditionalFormatting>
  <conditionalFormatting sqref="C14">
    <cfRule type="duplicateValues" dxfId="53" priority="1"/>
  </conditionalFormatting>
  <conditionalFormatting sqref="C14">
    <cfRule type="duplicateValues" dxfId="52" priority="2"/>
  </conditionalFormatting>
  <pageMargins left="0.70866141732283472" right="0.70866141732283472" top="0.74803149606299213" bottom="0.74803149606299213" header="0.31496062992125984" footer="0.31496062992125984"/>
  <pageSetup paperSize="5" scale="90" orientation="landscape" r:id="rId1"/>
  <colBreaks count="1" manualBreakCount="1">
    <brk id="7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Q42"/>
  <sheetViews>
    <sheetView zoomScaleNormal="100" workbookViewId="0">
      <selection activeCell="C51" sqref="C51"/>
    </sheetView>
  </sheetViews>
  <sheetFormatPr baseColWidth="10" defaultRowHeight="15" x14ac:dyDescent="0.25"/>
  <cols>
    <col min="1" max="14" width="6.42578125" customWidth="1"/>
    <col min="16" max="16" width="19.85546875" customWidth="1"/>
    <col min="17" max="17" width="20.7109375" customWidth="1"/>
  </cols>
  <sheetData>
    <row r="1" spans="1:17" ht="15.75" thickBot="1" x14ac:dyDescent="0.3">
      <c r="A1" s="267" t="s">
        <v>5</v>
      </c>
      <c r="B1" s="267"/>
      <c r="C1" s="267"/>
      <c r="D1" s="268">
        <v>2022</v>
      </c>
      <c r="E1" s="268"/>
      <c r="F1" s="133"/>
      <c r="G1" s="133"/>
      <c r="H1" s="134"/>
      <c r="I1" s="134"/>
      <c r="J1" s="134"/>
      <c r="K1" s="134"/>
      <c r="L1" s="134"/>
      <c r="M1" s="134"/>
      <c r="N1" s="134"/>
      <c r="O1" s="135"/>
      <c r="P1" s="269" t="s">
        <v>179</v>
      </c>
      <c r="Q1" s="269"/>
    </row>
    <row r="2" spans="1:17" ht="15.75" thickBot="1" x14ac:dyDescent="0.3">
      <c r="A2" s="136"/>
      <c r="B2" s="137"/>
      <c r="C2" s="137"/>
      <c r="D2" s="137"/>
      <c r="E2" s="137"/>
      <c r="F2" s="137"/>
      <c r="G2" s="138"/>
      <c r="H2" s="139"/>
      <c r="I2" s="139"/>
      <c r="J2" s="139"/>
      <c r="K2" s="139"/>
      <c r="L2" s="139"/>
      <c r="M2" s="139"/>
      <c r="N2" s="139"/>
      <c r="O2" s="137"/>
      <c r="P2" s="269"/>
      <c r="Q2" s="269"/>
    </row>
    <row r="3" spans="1:17" ht="15.75" thickBot="1" x14ac:dyDescent="0.3">
      <c r="A3" s="136"/>
      <c r="B3" s="137"/>
      <c r="C3" s="137"/>
      <c r="D3" s="137"/>
      <c r="E3" s="137"/>
      <c r="F3" s="137"/>
      <c r="G3" s="138"/>
      <c r="H3" s="137"/>
      <c r="I3" s="137"/>
      <c r="J3" s="137"/>
      <c r="K3" s="137"/>
      <c r="L3" s="137"/>
      <c r="M3" s="137"/>
      <c r="N3" s="137"/>
      <c r="O3" s="137"/>
      <c r="P3" s="137"/>
      <c r="Q3" s="140"/>
    </row>
    <row r="4" spans="1:17" ht="15.75" thickBot="1" x14ac:dyDescent="0.3">
      <c r="A4" s="270" t="s">
        <v>180</v>
      </c>
      <c r="B4" s="270"/>
      <c r="C4" s="270"/>
      <c r="D4" s="270"/>
      <c r="E4" s="270"/>
      <c r="F4" s="270"/>
      <c r="G4" s="271" t="str">
        <f>'[1]NP DPBS'!D3</f>
        <v>040 - MINISTERIO DE SALUD</v>
      </c>
      <c r="H4" s="271"/>
      <c r="I4" s="271"/>
      <c r="J4" s="271"/>
      <c r="K4" s="271"/>
      <c r="L4" s="271"/>
      <c r="M4" s="271"/>
      <c r="N4" s="271"/>
      <c r="O4" s="271"/>
      <c r="P4" s="271"/>
      <c r="Q4" s="271"/>
    </row>
    <row r="5" spans="1:17" ht="15.75" thickBot="1" x14ac:dyDescent="0.3">
      <c r="A5" s="272" t="s">
        <v>165</v>
      </c>
      <c r="B5" s="272"/>
      <c r="C5" s="272"/>
      <c r="D5" s="272"/>
      <c r="E5" s="272"/>
      <c r="F5" s="272"/>
      <c r="G5" s="271" t="str">
        <f>'[1]NP DPBS'!D4</f>
        <v>011 - DIRECCION PROVINCIAL DE ADMINISTRACION - MINISTERIO DE SALUD</v>
      </c>
      <c r="H5" s="271"/>
      <c r="I5" s="271"/>
      <c r="J5" s="271"/>
      <c r="K5" s="271"/>
      <c r="L5" s="271"/>
      <c r="M5" s="271"/>
      <c r="N5" s="271"/>
      <c r="O5" s="271"/>
      <c r="P5" s="271"/>
      <c r="Q5" s="271"/>
    </row>
    <row r="6" spans="1:17" ht="15.75" thickBot="1" x14ac:dyDescent="0.3">
      <c r="A6" s="272" t="s">
        <v>166</v>
      </c>
      <c r="B6" s="272"/>
      <c r="C6" s="272"/>
      <c r="D6" s="272"/>
      <c r="E6" s="272"/>
      <c r="F6" s="272"/>
      <c r="G6" s="271" t="s">
        <v>212</v>
      </c>
      <c r="H6" s="271"/>
      <c r="I6" s="271"/>
      <c r="J6" s="271"/>
      <c r="K6" s="271"/>
      <c r="L6" s="271"/>
      <c r="M6" s="271"/>
      <c r="N6" s="271"/>
      <c r="O6" s="271"/>
      <c r="P6" s="271"/>
      <c r="Q6" s="271"/>
    </row>
    <row r="7" spans="1:17" ht="15.75" thickBot="1" x14ac:dyDescent="0.3">
      <c r="A7" s="272" t="s">
        <v>168</v>
      </c>
      <c r="B7" s="272"/>
      <c r="C7" s="272"/>
      <c r="D7" s="272"/>
      <c r="E7" s="272"/>
      <c r="F7" s="272"/>
      <c r="G7" s="271" t="s">
        <v>212</v>
      </c>
      <c r="H7" s="271"/>
      <c r="I7" s="271"/>
      <c r="J7" s="271"/>
      <c r="K7" s="271"/>
      <c r="L7" s="271"/>
      <c r="M7" s="271"/>
      <c r="N7" s="271"/>
      <c r="O7" s="271"/>
      <c r="P7" s="271"/>
      <c r="Q7" s="271"/>
    </row>
    <row r="8" spans="1:17" ht="15.75" thickBot="1" x14ac:dyDescent="0.3">
      <c r="A8" s="273" t="s">
        <v>181</v>
      </c>
      <c r="B8" s="273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</row>
    <row r="9" spans="1:17" x14ac:dyDescent="0.25">
      <c r="A9" s="266" t="s">
        <v>182</v>
      </c>
      <c r="B9" s="266"/>
      <c r="C9" s="266"/>
      <c r="D9" s="266"/>
      <c r="E9" s="266"/>
      <c r="F9" s="266"/>
      <c r="G9" s="266"/>
      <c r="H9" s="266"/>
      <c r="I9" s="266"/>
      <c r="J9" s="266"/>
      <c r="K9" s="266"/>
      <c r="L9" s="266"/>
      <c r="M9" s="266"/>
      <c r="N9" s="266"/>
      <c r="O9" s="266"/>
      <c r="P9" s="266"/>
      <c r="Q9" s="266"/>
    </row>
    <row r="10" spans="1:17" ht="36.75" customHeight="1" x14ac:dyDescent="0.25">
      <c r="A10" s="257" t="s">
        <v>183</v>
      </c>
      <c r="B10" s="257"/>
      <c r="C10" s="257"/>
      <c r="D10" s="257"/>
      <c r="E10" s="257"/>
      <c r="F10" s="257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257"/>
    </row>
    <row r="11" spans="1:17" ht="15.75" thickBot="1" x14ac:dyDescent="0.3">
      <c r="A11" s="141"/>
      <c r="B11" s="142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4"/>
    </row>
    <row r="12" spans="1:17" ht="15.75" thickBot="1" x14ac:dyDescent="0.3">
      <c r="A12" s="258" t="s">
        <v>184</v>
      </c>
      <c r="B12" s="258"/>
      <c r="C12" s="258"/>
      <c r="D12" s="258"/>
      <c r="E12" s="258"/>
      <c r="F12" s="258"/>
      <c r="G12" s="258"/>
      <c r="H12" s="258"/>
      <c r="I12" s="258"/>
      <c r="J12" s="258"/>
      <c r="K12" s="258"/>
      <c r="L12" s="258"/>
      <c r="M12" s="258"/>
      <c r="N12" s="258"/>
      <c r="O12" s="258"/>
      <c r="P12" s="258"/>
      <c r="Q12" s="258"/>
    </row>
    <row r="13" spans="1:17" ht="15.75" thickBot="1" x14ac:dyDescent="0.3">
      <c r="A13" s="259" t="s">
        <v>185</v>
      </c>
      <c r="B13" s="259"/>
      <c r="C13" s="259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259"/>
      <c r="O13" s="260" t="s">
        <v>186</v>
      </c>
      <c r="P13" s="260"/>
      <c r="Q13" s="261" t="s">
        <v>187</v>
      </c>
    </row>
    <row r="14" spans="1:17" ht="15.75" thickBot="1" x14ac:dyDescent="0.3">
      <c r="A14" s="145" t="s">
        <v>188</v>
      </c>
      <c r="B14" s="146" t="s">
        <v>189</v>
      </c>
      <c r="C14" s="146" t="s">
        <v>190</v>
      </c>
      <c r="D14" s="146" t="s">
        <v>191</v>
      </c>
      <c r="E14" s="146" t="s">
        <v>192</v>
      </c>
      <c r="F14" s="146" t="s">
        <v>193</v>
      </c>
      <c r="G14" s="147" t="s">
        <v>194</v>
      </c>
      <c r="H14" s="146" t="s">
        <v>195</v>
      </c>
      <c r="I14" s="146" t="s">
        <v>196</v>
      </c>
      <c r="J14" s="146" t="s">
        <v>197</v>
      </c>
      <c r="K14" s="146" t="s">
        <v>197</v>
      </c>
      <c r="L14" s="146" t="s">
        <v>198</v>
      </c>
      <c r="M14" s="148" t="s">
        <v>199</v>
      </c>
      <c r="N14" s="149" t="s">
        <v>200</v>
      </c>
      <c r="O14" s="260"/>
      <c r="P14" s="260"/>
      <c r="Q14" s="261"/>
    </row>
    <row r="15" spans="1:17" x14ac:dyDescent="0.25">
      <c r="A15" s="176">
        <v>3</v>
      </c>
      <c r="B15" s="176"/>
      <c r="C15" s="176"/>
      <c r="D15" s="176">
        <v>3</v>
      </c>
      <c r="E15" s="176"/>
      <c r="F15" s="176">
        <v>4901</v>
      </c>
      <c r="G15" s="176">
        <v>3</v>
      </c>
      <c r="H15" s="176">
        <v>1</v>
      </c>
      <c r="I15" s="176">
        <v>2</v>
      </c>
      <c r="J15" s="176">
        <v>3</v>
      </c>
      <c r="K15" s="176">
        <v>4</v>
      </c>
      <c r="L15" s="176"/>
      <c r="M15" s="176">
        <v>1</v>
      </c>
      <c r="N15" s="176" t="s">
        <v>201</v>
      </c>
      <c r="O15" s="274" t="s">
        <v>220</v>
      </c>
      <c r="P15" s="262"/>
      <c r="Q15" s="150">
        <v>7000</v>
      </c>
    </row>
    <row r="16" spans="1:17" x14ac:dyDescent="0.25">
      <c r="A16" s="176">
        <v>3</v>
      </c>
      <c r="B16" s="176"/>
      <c r="C16" s="176"/>
      <c r="D16" s="176">
        <v>3</v>
      </c>
      <c r="E16" s="176"/>
      <c r="F16" s="176">
        <v>4901</v>
      </c>
      <c r="G16" s="176">
        <v>3</v>
      </c>
      <c r="H16" s="176">
        <v>1</v>
      </c>
      <c r="I16" s="152">
        <v>2</v>
      </c>
      <c r="J16" s="152">
        <v>9</v>
      </c>
      <c r="K16" s="152">
        <v>1</v>
      </c>
      <c r="L16" s="152"/>
      <c r="M16" s="153">
        <v>1</v>
      </c>
      <c r="N16" s="152" t="s">
        <v>201</v>
      </c>
      <c r="O16" s="282" t="s">
        <v>48</v>
      </c>
      <c r="P16" s="265"/>
      <c r="Q16" s="155">
        <v>14490</v>
      </c>
    </row>
    <row r="17" spans="1:17" x14ac:dyDescent="0.25">
      <c r="A17" s="151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3"/>
      <c r="N17" s="185"/>
      <c r="O17" s="256"/>
      <c r="P17" s="256"/>
      <c r="Q17" s="155"/>
    </row>
    <row r="18" spans="1:17" x14ac:dyDescent="0.25">
      <c r="A18" s="151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3"/>
      <c r="N18" s="185"/>
      <c r="O18" s="256"/>
      <c r="P18" s="256"/>
      <c r="Q18" s="155"/>
    </row>
    <row r="19" spans="1:17" x14ac:dyDescent="0.25">
      <c r="A19" s="151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3"/>
      <c r="N19" s="185"/>
      <c r="O19" s="256"/>
      <c r="P19" s="256"/>
      <c r="Q19" s="155"/>
    </row>
    <row r="20" spans="1:17" x14ac:dyDescent="0.25">
      <c r="A20" s="151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3"/>
      <c r="N20" s="185"/>
      <c r="O20" s="256"/>
      <c r="P20" s="256"/>
      <c r="Q20" s="155"/>
    </row>
    <row r="21" spans="1:17" x14ac:dyDescent="0.25">
      <c r="A21" s="151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3"/>
      <c r="N21" s="185"/>
      <c r="O21" s="256"/>
      <c r="P21" s="256"/>
      <c r="Q21" s="155"/>
    </row>
    <row r="22" spans="1:17" x14ac:dyDescent="0.25">
      <c r="A22" s="151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3"/>
      <c r="N22" s="185"/>
      <c r="O22" s="256"/>
      <c r="P22" s="256"/>
      <c r="Q22" s="155"/>
    </row>
    <row r="23" spans="1:17" x14ac:dyDescent="0.25">
      <c r="A23" s="151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3"/>
      <c r="N23" s="185"/>
      <c r="O23" s="256"/>
      <c r="P23" s="256"/>
      <c r="Q23" s="155"/>
    </row>
    <row r="24" spans="1:17" x14ac:dyDescent="0.25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85"/>
      <c r="O24" s="256"/>
      <c r="P24" s="256"/>
      <c r="Q24" s="155"/>
    </row>
    <row r="25" spans="1:17" x14ac:dyDescent="0.25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85"/>
      <c r="O25" s="256"/>
      <c r="P25" s="256"/>
      <c r="Q25" s="155"/>
    </row>
    <row r="26" spans="1:17" x14ac:dyDescent="0.25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85"/>
      <c r="O26" s="256"/>
      <c r="P26" s="256"/>
      <c r="Q26" s="155"/>
    </row>
    <row r="27" spans="1:17" x14ac:dyDescent="0.25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85"/>
      <c r="O27" s="256"/>
      <c r="P27" s="256"/>
      <c r="Q27" s="155"/>
    </row>
    <row r="28" spans="1:17" x14ac:dyDescent="0.25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85"/>
      <c r="O28" s="256"/>
      <c r="P28" s="256"/>
      <c r="Q28" s="155"/>
    </row>
    <row r="29" spans="1:17" x14ac:dyDescent="0.25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85"/>
      <c r="O29" s="256"/>
      <c r="P29" s="256"/>
      <c r="Q29" s="155"/>
    </row>
    <row r="30" spans="1:17" x14ac:dyDescent="0.25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85"/>
      <c r="O30" s="256"/>
      <c r="P30" s="256"/>
      <c r="Q30" s="155"/>
    </row>
    <row r="31" spans="1:17" x14ac:dyDescent="0.25">
      <c r="A31" s="151"/>
      <c r="B31" s="152"/>
      <c r="C31" s="152"/>
      <c r="D31" s="152"/>
      <c r="E31" s="152"/>
      <c r="F31" s="185"/>
      <c r="G31" s="152"/>
      <c r="H31" s="152"/>
      <c r="I31" s="152"/>
      <c r="J31" s="152"/>
      <c r="K31" s="152"/>
      <c r="L31" s="152"/>
      <c r="M31" s="153"/>
      <c r="N31" s="185"/>
      <c r="O31" s="251"/>
      <c r="P31" s="251"/>
      <c r="Q31" s="155"/>
    </row>
    <row r="32" spans="1:17" x14ac:dyDescent="0.25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85"/>
      <c r="O32" s="251"/>
      <c r="P32" s="251"/>
      <c r="Q32" s="155"/>
    </row>
    <row r="33" spans="1:17" x14ac:dyDescent="0.25">
      <c r="A33" s="151"/>
      <c r="B33" s="152"/>
      <c r="C33" s="152"/>
      <c r="D33" s="152"/>
      <c r="E33" s="152"/>
      <c r="F33" s="185"/>
      <c r="G33" s="152"/>
      <c r="H33" s="152"/>
      <c r="I33" s="152"/>
      <c r="J33" s="152"/>
      <c r="K33" s="152"/>
      <c r="L33" s="152"/>
      <c r="M33" s="153"/>
      <c r="N33" s="185"/>
      <c r="O33" s="251"/>
      <c r="P33" s="251"/>
      <c r="Q33" s="155"/>
    </row>
    <row r="34" spans="1:17" x14ac:dyDescent="0.25">
      <c r="A34" s="151"/>
      <c r="B34" s="152"/>
      <c r="C34" s="152"/>
      <c r="D34" s="152"/>
      <c r="E34" s="152"/>
      <c r="F34" s="185"/>
      <c r="G34" s="152"/>
      <c r="H34" s="152"/>
      <c r="I34" s="152"/>
      <c r="J34" s="152"/>
      <c r="K34" s="152"/>
      <c r="L34" s="152"/>
      <c r="M34" s="153"/>
      <c r="N34" s="185"/>
      <c r="O34" s="251"/>
      <c r="P34" s="251"/>
      <c r="Q34" s="155"/>
    </row>
    <row r="35" spans="1:17" x14ac:dyDescent="0.25">
      <c r="A35" s="156"/>
      <c r="B35" s="157"/>
      <c r="C35" s="157"/>
      <c r="D35" s="157"/>
      <c r="E35" s="157"/>
      <c r="F35" s="158"/>
      <c r="G35" s="157"/>
      <c r="H35" s="157"/>
      <c r="I35" s="157"/>
      <c r="J35" s="157"/>
      <c r="K35" s="157"/>
      <c r="L35" s="157"/>
      <c r="M35" s="159"/>
      <c r="N35" s="160"/>
      <c r="O35" s="252"/>
      <c r="P35" s="252"/>
      <c r="Q35" s="155"/>
    </row>
    <row r="36" spans="1:17" ht="15.75" thickBot="1" x14ac:dyDescent="0.3">
      <c r="A36" s="161"/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3"/>
      <c r="N36" s="162"/>
      <c r="O36" s="253"/>
      <c r="P36" s="253"/>
      <c r="Q36" s="164"/>
    </row>
    <row r="37" spans="1:17" ht="15.75" thickBot="1" x14ac:dyDescent="0.3">
      <c r="A37" s="254" t="s">
        <v>234</v>
      </c>
      <c r="B37" s="254"/>
      <c r="C37" s="254"/>
      <c r="D37" s="254"/>
      <c r="E37" s="254"/>
      <c r="F37" s="254"/>
      <c r="G37" s="254"/>
      <c r="H37" s="254"/>
      <c r="I37" s="254"/>
      <c r="J37" s="254"/>
      <c r="K37" s="254"/>
      <c r="L37" s="254"/>
      <c r="M37" s="254"/>
      <c r="N37" s="254"/>
      <c r="O37" s="254"/>
      <c r="P37" s="254"/>
      <c r="Q37" s="165">
        <f>SUM(Q15:Q36)</f>
        <v>21490</v>
      </c>
    </row>
    <row r="38" spans="1:17" ht="15.75" thickBot="1" x14ac:dyDescent="0.3">
      <c r="A38" s="255"/>
      <c r="B38" s="255"/>
      <c r="C38" s="255"/>
      <c r="D38" s="255"/>
      <c r="E38" s="255"/>
      <c r="F38" s="255"/>
      <c r="G38" s="255"/>
      <c r="H38" s="255"/>
      <c r="I38" s="255"/>
      <c r="J38" s="255"/>
      <c r="K38" s="255"/>
      <c r="L38" s="255"/>
      <c r="M38" s="255"/>
      <c r="N38" s="255"/>
      <c r="O38" s="255"/>
      <c r="P38" s="255"/>
      <c r="Q38" s="255"/>
    </row>
    <row r="39" spans="1:17" ht="15.75" thickBot="1" x14ac:dyDescent="0.3">
      <c r="A39" s="248" t="s">
        <v>202</v>
      </c>
      <c r="B39" s="248"/>
      <c r="C39" s="248"/>
      <c r="D39" s="248"/>
      <c r="E39" s="248"/>
      <c r="F39" s="248"/>
      <c r="G39" s="249"/>
      <c r="H39" s="249"/>
      <c r="I39" s="249"/>
      <c r="J39" s="249"/>
      <c r="K39" s="249"/>
      <c r="L39" s="249"/>
      <c r="M39" s="249"/>
      <c r="N39" s="249"/>
      <c r="O39" s="249"/>
      <c r="P39" s="249"/>
      <c r="Q39" s="249"/>
    </row>
    <row r="40" spans="1:17" ht="15.75" thickBot="1" x14ac:dyDescent="0.3">
      <c r="A40" s="250" t="s">
        <v>204</v>
      </c>
      <c r="B40" s="250"/>
      <c r="C40" s="250"/>
      <c r="D40" s="250"/>
      <c r="E40" s="250"/>
      <c r="F40" s="250"/>
      <c r="G40" s="250"/>
      <c r="H40" s="250"/>
      <c r="I40" s="250"/>
      <c r="J40" s="250"/>
      <c r="K40" s="250"/>
      <c r="L40" s="250"/>
      <c r="M40" s="250"/>
      <c r="N40" s="250"/>
      <c r="O40" s="250"/>
      <c r="P40" s="250"/>
      <c r="Q40" s="250"/>
    </row>
    <row r="41" spans="1:17" ht="15.75" thickBot="1" x14ac:dyDescent="0.3">
      <c r="A41" s="250"/>
      <c r="B41" s="250"/>
      <c r="C41" s="250"/>
      <c r="D41" s="250"/>
      <c r="E41" s="250"/>
      <c r="F41" s="250"/>
      <c r="G41" s="250"/>
      <c r="H41" s="250"/>
      <c r="I41" s="250"/>
      <c r="J41" s="250"/>
      <c r="K41" s="250"/>
      <c r="L41" s="250"/>
      <c r="M41" s="250"/>
      <c r="N41" s="250"/>
      <c r="O41" s="250"/>
      <c r="P41" s="250"/>
      <c r="Q41" s="250"/>
    </row>
    <row r="42" spans="1:17" x14ac:dyDescent="0.25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</row>
  </sheetData>
  <mergeCells count="45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Q41"/>
    <mergeCell ref="O34:P34"/>
    <mergeCell ref="O35:P35"/>
    <mergeCell ref="O36:P36"/>
    <mergeCell ref="A37:P37"/>
    <mergeCell ref="A38:Q38"/>
    <mergeCell ref="A39:F39"/>
    <mergeCell ref="G39:Q39"/>
  </mergeCells>
  <pageMargins left="0.7" right="0.7" top="0.75" bottom="0.75" header="0.3" footer="0.3"/>
  <pageSetup paperSize="5" scale="63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13"/>
  <sheetViews>
    <sheetView workbookViewId="0">
      <selection activeCell="C51" sqref="C51"/>
    </sheetView>
  </sheetViews>
  <sheetFormatPr baseColWidth="10" defaultRowHeight="15" x14ac:dyDescent="0.25"/>
  <cols>
    <col min="2" max="2" width="13" customWidth="1"/>
    <col min="3" max="3" width="51.7109375" customWidth="1"/>
    <col min="6" max="6" width="12.85546875" customWidth="1"/>
    <col min="7" max="7" width="20.28515625" customWidth="1"/>
  </cols>
  <sheetData>
    <row r="1" spans="1:7" ht="30.75" thickBot="1" x14ac:dyDescent="0.3">
      <c r="A1" s="246" t="s">
        <v>162</v>
      </c>
      <c r="B1" s="246"/>
      <c r="C1" s="246"/>
      <c r="D1" s="246"/>
      <c r="E1" s="246"/>
      <c r="F1" s="101" t="s">
        <v>163</v>
      </c>
      <c r="G1" s="102"/>
    </row>
    <row r="2" spans="1:7" ht="16.5" thickBot="1" x14ac:dyDescent="0.3">
      <c r="A2" s="103"/>
      <c r="B2" s="104"/>
      <c r="C2" s="105"/>
      <c r="D2" s="105"/>
      <c r="E2" s="105"/>
      <c r="F2" s="105"/>
      <c r="G2" s="106"/>
    </row>
    <row r="3" spans="1:7" ht="16.5" thickBot="1" x14ac:dyDescent="0.3">
      <c r="A3" s="247" t="s">
        <v>164</v>
      </c>
      <c r="B3" s="247"/>
      <c r="C3" s="107" t="str">
        <f>'[2]SAF 011'!C4</f>
        <v>040 - MINISTERIO DE SALUD</v>
      </c>
      <c r="D3" s="108"/>
      <c r="E3" s="108"/>
      <c r="F3" s="108"/>
      <c r="G3" s="109"/>
    </row>
    <row r="4" spans="1:7" ht="16.5" thickBot="1" x14ac:dyDescent="0.3">
      <c r="A4" s="245" t="s">
        <v>165</v>
      </c>
      <c r="B4" s="245"/>
      <c r="C4" s="107" t="str">
        <f>'[2]SAF 011'!C5</f>
        <v>011 - DIRECCION PROVINCIAL DE ADMINISTRACION - MINISTERIO DE SALUD</v>
      </c>
      <c r="D4" s="108"/>
      <c r="E4" s="108"/>
      <c r="F4" s="108"/>
      <c r="G4" s="109"/>
    </row>
    <row r="5" spans="1:7" ht="16.5" thickBot="1" x14ac:dyDescent="0.3">
      <c r="A5" s="245" t="s">
        <v>166</v>
      </c>
      <c r="B5" s="245"/>
      <c r="C5" s="107" t="s">
        <v>235</v>
      </c>
      <c r="D5" s="108"/>
      <c r="E5" s="108"/>
      <c r="F5" s="108"/>
      <c r="G5" s="109"/>
    </row>
    <row r="6" spans="1:7" ht="16.5" thickBot="1" x14ac:dyDescent="0.3">
      <c r="A6" s="247" t="s">
        <v>168</v>
      </c>
      <c r="B6" s="247"/>
      <c r="C6" s="107" t="s">
        <v>235</v>
      </c>
      <c r="D6" s="108"/>
      <c r="E6" s="108"/>
      <c r="F6" s="108"/>
      <c r="G6" s="109"/>
    </row>
    <row r="7" spans="1:7" ht="16.5" thickBot="1" x14ac:dyDescent="0.3">
      <c r="A7" s="245" t="s">
        <v>169</v>
      </c>
      <c r="B7" s="245"/>
      <c r="C7" s="107" t="s">
        <v>170</v>
      </c>
      <c r="D7" s="108"/>
      <c r="E7" s="108"/>
      <c r="F7" s="108"/>
      <c r="G7" s="109"/>
    </row>
    <row r="8" spans="1:7" ht="16.5" thickBot="1" x14ac:dyDescent="0.3">
      <c r="A8" s="243" t="s">
        <v>171</v>
      </c>
      <c r="B8" s="243"/>
      <c r="C8" s="110" t="s">
        <v>204</v>
      </c>
      <c r="D8" s="108"/>
      <c r="E8" s="108"/>
      <c r="F8" s="108"/>
      <c r="G8" s="109"/>
    </row>
    <row r="9" spans="1:7" ht="15.75" x14ac:dyDescent="0.25">
      <c r="A9" s="111"/>
      <c r="B9" s="112"/>
      <c r="C9" s="113"/>
      <c r="D9" s="113"/>
      <c r="E9" s="113"/>
      <c r="F9" s="113"/>
      <c r="G9" s="114"/>
    </row>
    <row r="10" spans="1:7" x14ac:dyDescent="0.25">
      <c r="A10" s="244" t="s">
        <v>172</v>
      </c>
      <c r="B10" s="242" t="s">
        <v>173</v>
      </c>
      <c r="C10" s="242" t="s">
        <v>207</v>
      </c>
      <c r="D10" s="242" t="s">
        <v>174</v>
      </c>
      <c r="E10" s="242" t="s">
        <v>175</v>
      </c>
      <c r="F10" s="242" t="s">
        <v>176</v>
      </c>
      <c r="G10" s="242" t="s">
        <v>177</v>
      </c>
    </row>
    <row r="11" spans="1:7" ht="28.5" customHeight="1" x14ac:dyDescent="0.25">
      <c r="A11" s="244"/>
      <c r="B11" s="242"/>
      <c r="C11" s="242"/>
      <c r="D11" s="242"/>
      <c r="E11" s="242"/>
      <c r="F11" s="242"/>
      <c r="G11" s="242"/>
    </row>
    <row r="12" spans="1:7" ht="51.75" customHeight="1" x14ac:dyDescent="0.25">
      <c r="A12" s="115">
        <v>1</v>
      </c>
      <c r="B12" s="46" t="s">
        <v>86</v>
      </c>
      <c r="C12" s="56" t="s">
        <v>87</v>
      </c>
      <c r="D12" s="182" t="s">
        <v>178</v>
      </c>
      <c r="E12" s="46" t="s">
        <v>55</v>
      </c>
      <c r="F12" s="85">
        <v>350</v>
      </c>
      <c r="G12" s="64">
        <v>100</v>
      </c>
    </row>
    <row r="13" spans="1:7" ht="18.75" x14ac:dyDescent="0.25">
      <c r="A13" s="240" t="s">
        <v>236</v>
      </c>
      <c r="B13" s="240"/>
      <c r="C13" s="240"/>
      <c r="D13" s="240"/>
      <c r="E13" s="240"/>
      <c r="F13" s="241">
        <f>+F12*G12</f>
        <v>35000</v>
      </c>
      <c r="G13" s="241"/>
    </row>
  </sheetData>
  <mergeCells count="16">
    <mergeCell ref="F10:F11"/>
    <mergeCell ref="G10:G11"/>
    <mergeCell ref="A13:E13"/>
    <mergeCell ref="F13:G13"/>
    <mergeCell ref="A8:B8"/>
    <mergeCell ref="A10:A11"/>
    <mergeCell ref="B10:B11"/>
    <mergeCell ref="C10:C11"/>
    <mergeCell ref="D10:D11"/>
    <mergeCell ref="E10:E11"/>
    <mergeCell ref="A7:B7"/>
    <mergeCell ref="A1:E1"/>
    <mergeCell ref="A3:B3"/>
    <mergeCell ref="A4:B4"/>
    <mergeCell ref="A5:B5"/>
    <mergeCell ref="A6:B6"/>
  </mergeCells>
  <conditionalFormatting sqref="B12">
    <cfRule type="duplicateValues" dxfId="51" priority="7"/>
  </conditionalFormatting>
  <conditionalFormatting sqref="B12">
    <cfRule type="duplicateValues" dxfId="50" priority="8"/>
  </conditionalFormatting>
  <conditionalFormatting sqref="B12">
    <cfRule type="duplicateValues" dxfId="49" priority="9"/>
  </conditionalFormatting>
  <conditionalFormatting sqref="B12">
    <cfRule type="duplicateValues" dxfId="48" priority="10"/>
  </conditionalFormatting>
  <conditionalFormatting sqref="C12">
    <cfRule type="duplicateValues" dxfId="47" priority="1"/>
  </conditionalFormatting>
  <conditionalFormatting sqref="C12">
    <cfRule type="duplicateValues" dxfId="46" priority="2"/>
    <cfRule type="duplicateValues" dxfId="45" priority="3"/>
  </conditionalFormatting>
  <conditionalFormatting sqref="C12">
    <cfRule type="duplicateValues" dxfId="44" priority="4"/>
  </conditionalFormatting>
  <conditionalFormatting sqref="C12">
    <cfRule type="duplicateValues" dxfId="43" priority="5"/>
  </conditionalFormatting>
  <conditionalFormatting sqref="C12">
    <cfRule type="duplicateValues" dxfId="42" priority="6"/>
  </conditionalFormatting>
  <pageMargins left="0.7" right="0.7" top="0.75" bottom="0.75" header="0.3" footer="0.3"/>
  <pageSetup paperSize="9" scale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Q41"/>
  <sheetViews>
    <sheetView topLeftCell="A25" workbookViewId="0">
      <selection activeCell="C51" sqref="C51"/>
    </sheetView>
  </sheetViews>
  <sheetFormatPr baseColWidth="10" defaultRowHeight="15" x14ac:dyDescent="0.25"/>
  <cols>
    <col min="1" max="5" width="4.5703125" customWidth="1"/>
    <col min="6" max="6" width="6.140625" customWidth="1"/>
    <col min="7" max="11" width="4.5703125" customWidth="1"/>
    <col min="12" max="12" width="6.85546875" customWidth="1"/>
    <col min="13" max="15" width="4.5703125" customWidth="1"/>
    <col min="16" max="16" width="26.140625" customWidth="1"/>
  </cols>
  <sheetData>
    <row r="1" spans="1:17" ht="15.75" thickBot="1" x14ac:dyDescent="0.3">
      <c r="A1" s="267" t="s">
        <v>5</v>
      </c>
      <c r="B1" s="267"/>
      <c r="C1" s="267"/>
      <c r="D1" s="268">
        <v>2022</v>
      </c>
      <c r="E1" s="268"/>
      <c r="F1" s="133"/>
      <c r="G1" s="133"/>
      <c r="H1" s="134"/>
      <c r="I1" s="134"/>
      <c r="J1" s="134"/>
      <c r="K1" s="134"/>
      <c r="L1" s="134"/>
      <c r="M1" s="134"/>
      <c r="N1" s="134"/>
      <c r="O1" s="135"/>
      <c r="P1" s="269" t="s">
        <v>179</v>
      </c>
      <c r="Q1" s="269"/>
    </row>
    <row r="2" spans="1:17" ht="15.75" thickBot="1" x14ac:dyDescent="0.3">
      <c r="A2" s="136"/>
      <c r="B2" s="137"/>
      <c r="C2" s="137"/>
      <c r="D2" s="137"/>
      <c r="E2" s="137"/>
      <c r="F2" s="137"/>
      <c r="G2" s="138"/>
      <c r="H2" s="139"/>
      <c r="I2" s="139"/>
      <c r="J2" s="139"/>
      <c r="K2" s="139"/>
      <c r="L2" s="139"/>
      <c r="M2" s="139"/>
      <c r="N2" s="139"/>
      <c r="O2" s="137"/>
      <c r="P2" s="269"/>
      <c r="Q2" s="269"/>
    </row>
    <row r="3" spans="1:17" ht="15.75" thickBot="1" x14ac:dyDescent="0.3">
      <c r="A3" s="136"/>
      <c r="B3" s="137"/>
      <c r="C3" s="137"/>
      <c r="D3" s="137"/>
      <c r="E3" s="137"/>
      <c r="F3" s="137"/>
      <c r="G3" s="138"/>
      <c r="H3" s="137"/>
      <c r="I3" s="137"/>
      <c r="J3" s="137"/>
      <c r="K3" s="137"/>
      <c r="L3" s="137"/>
      <c r="M3" s="137"/>
      <c r="N3" s="137"/>
      <c r="O3" s="137"/>
      <c r="P3" s="137"/>
      <c r="Q3" s="140"/>
    </row>
    <row r="4" spans="1:17" ht="15.75" thickBot="1" x14ac:dyDescent="0.3">
      <c r="A4" s="270" t="s">
        <v>180</v>
      </c>
      <c r="B4" s="270"/>
      <c r="C4" s="270"/>
      <c r="D4" s="270"/>
      <c r="E4" s="270"/>
      <c r="F4" s="270"/>
      <c r="G4" s="271" t="str">
        <f>'[1]NP DPBS'!D3</f>
        <v>040 - MINISTERIO DE SALUD</v>
      </c>
      <c r="H4" s="271"/>
      <c r="I4" s="271"/>
      <c r="J4" s="271"/>
      <c r="K4" s="271"/>
      <c r="L4" s="271"/>
      <c r="M4" s="271"/>
      <c r="N4" s="271"/>
      <c r="O4" s="271"/>
      <c r="P4" s="271"/>
      <c r="Q4" s="271"/>
    </row>
    <row r="5" spans="1:17" ht="15.75" thickBot="1" x14ac:dyDescent="0.3">
      <c r="A5" s="272" t="s">
        <v>165</v>
      </c>
      <c r="B5" s="272"/>
      <c r="C5" s="272"/>
      <c r="D5" s="272"/>
      <c r="E5" s="272"/>
      <c r="F5" s="272"/>
      <c r="G5" s="271" t="str">
        <f>'[1]NP DPBS'!D4</f>
        <v>011 - DIRECCION PROVINCIAL DE ADMINISTRACION - MINISTERIO DE SALUD</v>
      </c>
      <c r="H5" s="271"/>
      <c r="I5" s="271"/>
      <c r="J5" s="271"/>
      <c r="K5" s="271"/>
      <c r="L5" s="271"/>
      <c r="M5" s="271"/>
      <c r="N5" s="271"/>
      <c r="O5" s="271"/>
      <c r="P5" s="271"/>
      <c r="Q5" s="271"/>
    </row>
    <row r="6" spans="1:17" ht="15.75" thickBot="1" x14ac:dyDescent="0.3">
      <c r="A6" s="272" t="s">
        <v>166</v>
      </c>
      <c r="B6" s="272"/>
      <c r="C6" s="272"/>
      <c r="D6" s="272"/>
      <c r="E6" s="272"/>
      <c r="F6" s="272"/>
      <c r="G6" s="271" t="s">
        <v>235</v>
      </c>
      <c r="H6" s="271"/>
      <c r="I6" s="271"/>
      <c r="J6" s="271"/>
      <c r="K6" s="271"/>
      <c r="L6" s="271"/>
      <c r="M6" s="271"/>
      <c r="N6" s="271"/>
      <c r="O6" s="271"/>
      <c r="P6" s="271"/>
      <c r="Q6" s="271"/>
    </row>
    <row r="7" spans="1:17" ht="15.75" thickBot="1" x14ac:dyDescent="0.3">
      <c r="A7" s="272" t="s">
        <v>168</v>
      </c>
      <c r="B7" s="272"/>
      <c r="C7" s="272"/>
      <c r="D7" s="272"/>
      <c r="E7" s="272"/>
      <c r="F7" s="272"/>
      <c r="G7" s="271" t="s">
        <v>235</v>
      </c>
      <c r="H7" s="271"/>
      <c r="I7" s="271"/>
      <c r="J7" s="271"/>
      <c r="K7" s="271"/>
      <c r="L7" s="271"/>
      <c r="M7" s="271"/>
      <c r="N7" s="271"/>
      <c r="O7" s="271"/>
      <c r="P7" s="271"/>
      <c r="Q7" s="271"/>
    </row>
    <row r="8" spans="1:17" ht="15.75" thickBot="1" x14ac:dyDescent="0.3">
      <c r="A8" s="273" t="s">
        <v>181</v>
      </c>
      <c r="B8" s="273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</row>
    <row r="9" spans="1:17" x14ac:dyDescent="0.25">
      <c r="A9" s="266" t="s">
        <v>182</v>
      </c>
      <c r="B9" s="266"/>
      <c r="C9" s="266"/>
      <c r="D9" s="266"/>
      <c r="E9" s="266"/>
      <c r="F9" s="266"/>
      <c r="G9" s="266"/>
      <c r="H9" s="266"/>
      <c r="I9" s="266"/>
      <c r="J9" s="266"/>
      <c r="K9" s="266"/>
      <c r="L9" s="266"/>
      <c r="M9" s="266"/>
      <c r="N9" s="266"/>
      <c r="O9" s="266"/>
      <c r="P9" s="266"/>
      <c r="Q9" s="266"/>
    </row>
    <row r="10" spans="1:17" ht="42" customHeight="1" x14ac:dyDescent="0.25">
      <c r="A10" s="257" t="s">
        <v>183</v>
      </c>
      <c r="B10" s="257"/>
      <c r="C10" s="257"/>
      <c r="D10" s="257"/>
      <c r="E10" s="257"/>
      <c r="F10" s="257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257"/>
    </row>
    <row r="11" spans="1:17" ht="15.75" thickBot="1" x14ac:dyDescent="0.3">
      <c r="A11" s="141"/>
      <c r="B11" s="142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4"/>
    </row>
    <row r="12" spans="1:17" ht="15.75" thickBot="1" x14ac:dyDescent="0.3">
      <c r="A12" s="258" t="s">
        <v>184</v>
      </c>
      <c r="B12" s="258"/>
      <c r="C12" s="258"/>
      <c r="D12" s="258"/>
      <c r="E12" s="258"/>
      <c r="F12" s="258"/>
      <c r="G12" s="258"/>
      <c r="H12" s="258"/>
      <c r="I12" s="258"/>
      <c r="J12" s="258"/>
      <c r="K12" s="258"/>
      <c r="L12" s="258"/>
      <c r="M12" s="258"/>
      <c r="N12" s="258"/>
      <c r="O12" s="258"/>
      <c r="P12" s="258"/>
      <c r="Q12" s="258"/>
    </row>
    <row r="13" spans="1:17" ht="15.75" thickBot="1" x14ac:dyDescent="0.3">
      <c r="A13" s="259" t="s">
        <v>185</v>
      </c>
      <c r="B13" s="259"/>
      <c r="C13" s="259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259"/>
      <c r="O13" s="260" t="s">
        <v>186</v>
      </c>
      <c r="P13" s="260"/>
      <c r="Q13" s="261" t="s">
        <v>187</v>
      </c>
    </row>
    <row r="14" spans="1:17" ht="15.75" thickBot="1" x14ac:dyDescent="0.3">
      <c r="A14" s="145" t="s">
        <v>188</v>
      </c>
      <c r="B14" s="146" t="s">
        <v>189</v>
      </c>
      <c r="C14" s="146" t="s">
        <v>190</v>
      </c>
      <c r="D14" s="146" t="s">
        <v>191</v>
      </c>
      <c r="E14" s="146" t="s">
        <v>192</v>
      </c>
      <c r="F14" s="146" t="s">
        <v>193</v>
      </c>
      <c r="G14" s="147" t="s">
        <v>194</v>
      </c>
      <c r="H14" s="146" t="s">
        <v>195</v>
      </c>
      <c r="I14" s="146" t="s">
        <v>196</v>
      </c>
      <c r="J14" s="146" t="s">
        <v>197</v>
      </c>
      <c r="K14" s="146" t="s">
        <v>197</v>
      </c>
      <c r="L14" s="146" t="s">
        <v>198</v>
      </c>
      <c r="M14" s="148" t="s">
        <v>199</v>
      </c>
      <c r="N14" s="149" t="s">
        <v>200</v>
      </c>
      <c r="O14" s="260"/>
      <c r="P14" s="260"/>
      <c r="Q14" s="261"/>
    </row>
    <row r="15" spans="1:17" x14ac:dyDescent="0.25">
      <c r="A15" s="176">
        <v>2</v>
      </c>
      <c r="B15" s="176"/>
      <c r="C15" s="176"/>
      <c r="D15" s="176">
        <v>1</v>
      </c>
      <c r="E15" s="176"/>
      <c r="F15" s="176">
        <v>4901</v>
      </c>
      <c r="G15" s="176">
        <v>1</v>
      </c>
      <c r="H15" s="176">
        <v>3</v>
      </c>
      <c r="I15" s="176">
        <v>2</v>
      </c>
      <c r="J15" s="176">
        <v>3</v>
      </c>
      <c r="K15" s="176">
        <v>4</v>
      </c>
      <c r="L15" s="176"/>
      <c r="M15" s="176">
        <v>1</v>
      </c>
      <c r="N15" s="176" t="s">
        <v>201</v>
      </c>
      <c r="O15" s="274" t="s">
        <v>220</v>
      </c>
      <c r="P15" s="262"/>
      <c r="Q15" s="150">
        <v>35000</v>
      </c>
    </row>
    <row r="16" spans="1:17" x14ac:dyDescent="0.25">
      <c r="A16" s="176"/>
      <c r="B16" s="176"/>
      <c r="C16" s="176"/>
      <c r="D16" s="176"/>
      <c r="E16" s="176"/>
      <c r="F16" s="176"/>
      <c r="G16" s="176"/>
      <c r="H16" s="176"/>
      <c r="I16" s="152"/>
      <c r="J16" s="152"/>
      <c r="K16" s="152"/>
      <c r="L16" s="152"/>
      <c r="M16" s="153"/>
      <c r="N16" s="152"/>
      <c r="O16" s="282"/>
      <c r="P16" s="265"/>
      <c r="Q16" s="155"/>
    </row>
    <row r="17" spans="1:17" x14ac:dyDescent="0.25">
      <c r="A17" s="151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3"/>
      <c r="N17" s="197"/>
      <c r="O17" s="256"/>
      <c r="P17" s="256"/>
      <c r="Q17" s="155"/>
    </row>
    <row r="18" spans="1:17" x14ac:dyDescent="0.25">
      <c r="A18" s="151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3"/>
      <c r="N18" s="197"/>
      <c r="O18" s="256"/>
      <c r="P18" s="256"/>
      <c r="Q18" s="155"/>
    </row>
    <row r="19" spans="1:17" x14ac:dyDescent="0.25">
      <c r="A19" s="151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3"/>
      <c r="N19" s="197"/>
      <c r="O19" s="256"/>
      <c r="P19" s="256"/>
      <c r="Q19" s="155"/>
    </row>
    <row r="20" spans="1:17" x14ac:dyDescent="0.25">
      <c r="A20" s="151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3"/>
      <c r="N20" s="197"/>
      <c r="O20" s="256"/>
      <c r="P20" s="256"/>
      <c r="Q20" s="155"/>
    </row>
    <row r="21" spans="1:17" x14ac:dyDescent="0.25">
      <c r="A21" s="151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3"/>
      <c r="N21" s="197"/>
      <c r="O21" s="256"/>
      <c r="P21" s="256"/>
      <c r="Q21" s="155"/>
    </row>
    <row r="22" spans="1:17" x14ac:dyDescent="0.25">
      <c r="A22" s="151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3"/>
      <c r="N22" s="197"/>
      <c r="O22" s="256"/>
      <c r="P22" s="256"/>
      <c r="Q22" s="155"/>
    </row>
    <row r="23" spans="1:17" x14ac:dyDescent="0.25">
      <c r="A23" s="151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3"/>
      <c r="N23" s="197"/>
      <c r="O23" s="256"/>
      <c r="P23" s="256"/>
      <c r="Q23" s="155"/>
    </row>
    <row r="24" spans="1:17" x14ac:dyDescent="0.25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97"/>
      <c r="O24" s="256"/>
      <c r="P24" s="256"/>
      <c r="Q24" s="155"/>
    </row>
    <row r="25" spans="1:17" x14ac:dyDescent="0.25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97"/>
      <c r="O25" s="256"/>
      <c r="P25" s="256"/>
      <c r="Q25" s="155"/>
    </row>
    <row r="26" spans="1:17" x14ac:dyDescent="0.25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97"/>
      <c r="O26" s="256"/>
      <c r="P26" s="256"/>
      <c r="Q26" s="155"/>
    </row>
    <row r="27" spans="1:17" x14ac:dyDescent="0.25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97"/>
      <c r="O27" s="256"/>
      <c r="P27" s="256"/>
      <c r="Q27" s="155"/>
    </row>
    <row r="28" spans="1:17" x14ac:dyDescent="0.25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97"/>
      <c r="O28" s="256"/>
      <c r="P28" s="256"/>
      <c r="Q28" s="155"/>
    </row>
    <row r="29" spans="1:17" x14ac:dyDescent="0.25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97"/>
      <c r="O29" s="256"/>
      <c r="P29" s="256"/>
      <c r="Q29" s="155"/>
    </row>
    <row r="30" spans="1:17" x14ac:dyDescent="0.25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97"/>
      <c r="O30" s="256"/>
      <c r="P30" s="256"/>
      <c r="Q30" s="155"/>
    </row>
    <row r="31" spans="1:17" x14ac:dyDescent="0.25">
      <c r="A31" s="151"/>
      <c r="B31" s="152"/>
      <c r="C31" s="152"/>
      <c r="D31" s="152"/>
      <c r="E31" s="152"/>
      <c r="F31" s="197"/>
      <c r="G31" s="152"/>
      <c r="H31" s="152"/>
      <c r="I31" s="152"/>
      <c r="J31" s="152"/>
      <c r="K31" s="152"/>
      <c r="L31" s="152"/>
      <c r="M31" s="153"/>
      <c r="N31" s="197"/>
      <c r="O31" s="251"/>
      <c r="P31" s="251"/>
      <c r="Q31" s="155"/>
    </row>
    <row r="32" spans="1:17" x14ac:dyDescent="0.25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97"/>
      <c r="O32" s="251"/>
      <c r="P32" s="251"/>
      <c r="Q32" s="155"/>
    </row>
    <row r="33" spans="1:17" x14ac:dyDescent="0.25">
      <c r="A33" s="151"/>
      <c r="B33" s="152"/>
      <c r="C33" s="152"/>
      <c r="D33" s="152"/>
      <c r="E33" s="152"/>
      <c r="F33" s="197"/>
      <c r="G33" s="152"/>
      <c r="H33" s="152"/>
      <c r="I33" s="152"/>
      <c r="J33" s="152"/>
      <c r="K33" s="152"/>
      <c r="L33" s="152"/>
      <c r="M33" s="153"/>
      <c r="N33" s="197"/>
      <c r="O33" s="251"/>
      <c r="P33" s="251"/>
      <c r="Q33" s="155"/>
    </row>
    <row r="34" spans="1:17" x14ac:dyDescent="0.25">
      <c r="A34" s="151"/>
      <c r="B34" s="152"/>
      <c r="C34" s="152"/>
      <c r="D34" s="152"/>
      <c r="E34" s="152"/>
      <c r="F34" s="197"/>
      <c r="G34" s="152"/>
      <c r="H34" s="152"/>
      <c r="I34" s="152"/>
      <c r="J34" s="152"/>
      <c r="K34" s="152"/>
      <c r="L34" s="152"/>
      <c r="M34" s="153"/>
      <c r="N34" s="197"/>
      <c r="O34" s="251"/>
      <c r="P34" s="251"/>
      <c r="Q34" s="155"/>
    </row>
    <row r="35" spans="1:17" x14ac:dyDescent="0.25">
      <c r="A35" s="156"/>
      <c r="B35" s="157"/>
      <c r="C35" s="157"/>
      <c r="D35" s="157"/>
      <c r="E35" s="157"/>
      <c r="F35" s="158"/>
      <c r="G35" s="157"/>
      <c r="H35" s="157"/>
      <c r="I35" s="157"/>
      <c r="J35" s="157"/>
      <c r="K35" s="157"/>
      <c r="L35" s="157"/>
      <c r="M35" s="159"/>
      <c r="N35" s="160"/>
      <c r="O35" s="252"/>
      <c r="P35" s="252"/>
      <c r="Q35" s="155"/>
    </row>
    <row r="36" spans="1:17" ht="15.75" thickBot="1" x14ac:dyDescent="0.3">
      <c r="A36" s="161"/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3"/>
      <c r="N36" s="162"/>
      <c r="O36" s="253"/>
      <c r="P36" s="253"/>
      <c r="Q36" s="164"/>
    </row>
    <row r="37" spans="1:17" ht="15.75" thickBot="1" x14ac:dyDescent="0.3">
      <c r="A37" s="254" t="s">
        <v>237</v>
      </c>
      <c r="B37" s="254"/>
      <c r="C37" s="254"/>
      <c r="D37" s="254"/>
      <c r="E37" s="254"/>
      <c r="F37" s="254"/>
      <c r="G37" s="254"/>
      <c r="H37" s="254"/>
      <c r="I37" s="254"/>
      <c r="J37" s="254"/>
      <c r="K37" s="254"/>
      <c r="L37" s="254"/>
      <c r="M37" s="254"/>
      <c r="N37" s="254"/>
      <c r="O37" s="254"/>
      <c r="P37" s="254"/>
      <c r="Q37" s="165">
        <f>SUM(Q15:Q36)</f>
        <v>35000</v>
      </c>
    </row>
    <row r="38" spans="1:17" ht="15.75" thickBot="1" x14ac:dyDescent="0.3">
      <c r="A38" s="255"/>
      <c r="B38" s="255"/>
      <c r="C38" s="255"/>
      <c r="D38" s="255"/>
      <c r="E38" s="255"/>
      <c r="F38" s="255"/>
      <c r="G38" s="255"/>
      <c r="H38" s="255"/>
      <c r="I38" s="255"/>
      <c r="J38" s="255"/>
      <c r="K38" s="255"/>
      <c r="L38" s="255"/>
      <c r="M38" s="255"/>
      <c r="N38" s="255"/>
      <c r="O38" s="255"/>
      <c r="P38" s="255"/>
      <c r="Q38" s="255"/>
    </row>
    <row r="39" spans="1:17" ht="15.75" thickBot="1" x14ac:dyDescent="0.3">
      <c r="A39" s="248" t="s">
        <v>202</v>
      </c>
      <c r="B39" s="248"/>
      <c r="C39" s="248"/>
      <c r="D39" s="248"/>
      <c r="E39" s="248"/>
      <c r="F39" s="248"/>
      <c r="G39" s="249"/>
      <c r="H39" s="249"/>
      <c r="I39" s="249"/>
      <c r="J39" s="249"/>
      <c r="K39" s="249"/>
      <c r="L39" s="249"/>
      <c r="M39" s="249"/>
      <c r="N39" s="249"/>
      <c r="O39" s="249"/>
      <c r="P39" s="249"/>
      <c r="Q39" s="249"/>
    </row>
    <row r="40" spans="1:17" ht="15.75" thickBot="1" x14ac:dyDescent="0.3">
      <c r="A40" s="250" t="s">
        <v>204</v>
      </c>
      <c r="B40" s="250"/>
      <c r="C40" s="250"/>
      <c r="D40" s="250"/>
      <c r="E40" s="250"/>
      <c r="F40" s="250"/>
      <c r="G40" s="250"/>
      <c r="H40" s="250"/>
      <c r="I40" s="250"/>
      <c r="J40" s="250"/>
      <c r="K40" s="250"/>
      <c r="L40" s="250"/>
      <c r="M40" s="250"/>
      <c r="N40" s="250"/>
      <c r="O40" s="250"/>
      <c r="P40" s="250"/>
      <c r="Q40" s="250"/>
    </row>
    <row r="41" spans="1:17" ht="15.75" thickBot="1" x14ac:dyDescent="0.3">
      <c r="A41" s="250"/>
      <c r="B41" s="250"/>
      <c r="C41" s="250"/>
      <c r="D41" s="250"/>
      <c r="E41" s="250"/>
      <c r="F41" s="250"/>
      <c r="G41" s="250"/>
      <c r="H41" s="250"/>
      <c r="I41" s="250"/>
      <c r="J41" s="250"/>
      <c r="K41" s="250"/>
      <c r="L41" s="250"/>
      <c r="M41" s="250"/>
      <c r="N41" s="250"/>
      <c r="O41" s="250"/>
      <c r="P41" s="250"/>
      <c r="Q41" s="250"/>
    </row>
  </sheetData>
  <mergeCells count="45">
    <mergeCell ref="A40:Q41"/>
    <mergeCell ref="O34:P34"/>
    <mergeCell ref="O35:P35"/>
    <mergeCell ref="O36:P36"/>
    <mergeCell ref="A37:P37"/>
    <mergeCell ref="A38:Q38"/>
    <mergeCell ref="A39:F39"/>
    <mergeCell ref="G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pageSetup paperSize="9" scale="7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5"/>
  <sheetViews>
    <sheetView zoomScale="130" zoomScaleNormal="130" workbookViewId="0">
      <selection activeCell="C51" sqref="C51"/>
    </sheetView>
  </sheetViews>
  <sheetFormatPr baseColWidth="10" defaultRowHeight="15" x14ac:dyDescent="0.25"/>
  <cols>
    <col min="2" max="2" width="21.85546875" customWidth="1"/>
    <col min="3" max="3" width="53.140625" customWidth="1"/>
    <col min="6" max="6" width="17" customWidth="1"/>
    <col min="8" max="8" width="12.7109375" bestFit="1" customWidth="1"/>
  </cols>
  <sheetData>
    <row r="1" spans="1:8" ht="30.75" thickBot="1" x14ac:dyDescent="0.3">
      <c r="A1" s="246" t="s">
        <v>162</v>
      </c>
      <c r="B1" s="246"/>
      <c r="C1" s="246"/>
      <c r="D1" s="246"/>
      <c r="E1" s="246"/>
      <c r="F1" s="101" t="s">
        <v>163</v>
      </c>
      <c r="G1" s="102"/>
    </row>
    <row r="2" spans="1:8" ht="16.5" thickBot="1" x14ac:dyDescent="0.3">
      <c r="A2" s="103"/>
      <c r="B2" s="104"/>
      <c r="C2" s="105"/>
      <c r="D2" s="105"/>
      <c r="E2" s="105"/>
      <c r="F2" s="105"/>
      <c r="G2" s="106"/>
    </row>
    <row r="3" spans="1:8" ht="16.5" thickBot="1" x14ac:dyDescent="0.3">
      <c r="A3" s="247" t="s">
        <v>164</v>
      </c>
      <c r="B3" s="247"/>
      <c r="C3" s="107" t="str">
        <f>'[2]SAF 011'!C4</f>
        <v>040 - MINISTERIO DE SALUD</v>
      </c>
      <c r="D3" s="108"/>
      <c r="E3" s="108"/>
      <c r="F3" s="108"/>
      <c r="G3" s="109"/>
    </row>
    <row r="4" spans="1:8" ht="16.5" thickBot="1" x14ac:dyDescent="0.3">
      <c r="A4" s="245" t="s">
        <v>165</v>
      </c>
      <c r="B4" s="245"/>
      <c r="C4" s="107" t="str">
        <f>'[2]SAF 011'!C5</f>
        <v>011 - DIRECCION PROVINCIAL DE ADMINISTRACION - MINISTERIO DE SALUD</v>
      </c>
      <c r="D4" s="108"/>
      <c r="E4" s="108"/>
      <c r="F4" s="108"/>
      <c r="G4" s="109"/>
    </row>
    <row r="5" spans="1:8" ht="16.5" thickBot="1" x14ac:dyDescent="0.3">
      <c r="A5" s="245" t="s">
        <v>166</v>
      </c>
      <c r="B5" s="245"/>
      <c r="C5" s="107" t="s">
        <v>213</v>
      </c>
      <c r="D5" s="108"/>
      <c r="E5" s="108"/>
      <c r="F5" s="108"/>
      <c r="G5" s="109"/>
    </row>
    <row r="6" spans="1:8" ht="16.5" thickBot="1" x14ac:dyDescent="0.3">
      <c r="A6" s="247" t="s">
        <v>168</v>
      </c>
      <c r="B6" s="247"/>
      <c r="C6" s="107" t="s">
        <v>213</v>
      </c>
      <c r="D6" s="108"/>
      <c r="E6" s="108"/>
      <c r="F6" s="108"/>
      <c r="G6" s="109"/>
    </row>
    <row r="7" spans="1:8" ht="16.5" thickBot="1" x14ac:dyDescent="0.3">
      <c r="A7" s="245" t="s">
        <v>169</v>
      </c>
      <c r="B7" s="245"/>
      <c r="C7" s="107" t="s">
        <v>170</v>
      </c>
      <c r="D7" s="108"/>
      <c r="E7" s="108"/>
      <c r="F7" s="108"/>
      <c r="G7" s="109"/>
    </row>
    <row r="8" spans="1:8" ht="16.5" thickBot="1" x14ac:dyDescent="0.3">
      <c r="A8" s="243" t="s">
        <v>171</v>
      </c>
      <c r="B8" s="243"/>
      <c r="C8" s="110" t="s">
        <v>204</v>
      </c>
      <c r="D8" s="108"/>
      <c r="E8" s="108"/>
      <c r="F8" s="108"/>
      <c r="G8" s="109"/>
    </row>
    <row r="9" spans="1:8" ht="15.75" x14ac:dyDescent="0.25">
      <c r="A9" s="111"/>
      <c r="B9" s="112"/>
      <c r="C9" s="113"/>
      <c r="D9" s="113"/>
      <c r="E9" s="113"/>
      <c r="F9" s="113"/>
      <c r="G9" s="114"/>
    </row>
    <row r="10" spans="1:8" x14ac:dyDescent="0.25">
      <c r="A10" s="244" t="s">
        <v>172</v>
      </c>
      <c r="B10" s="242" t="s">
        <v>173</v>
      </c>
      <c r="C10" s="242" t="s">
        <v>207</v>
      </c>
      <c r="D10" s="242" t="s">
        <v>174</v>
      </c>
      <c r="E10" s="242" t="s">
        <v>175</v>
      </c>
      <c r="F10" s="242" t="s">
        <v>176</v>
      </c>
      <c r="G10" s="242" t="s">
        <v>177</v>
      </c>
    </row>
    <row r="11" spans="1:8" ht="32.25" customHeight="1" x14ac:dyDescent="0.25">
      <c r="A11" s="244"/>
      <c r="B11" s="242"/>
      <c r="C11" s="242"/>
      <c r="D11" s="242"/>
      <c r="E11" s="242"/>
      <c r="F11" s="242"/>
      <c r="G11" s="242"/>
    </row>
    <row r="12" spans="1:8" ht="38.25" x14ac:dyDescent="0.25">
      <c r="A12" s="115">
        <v>1</v>
      </c>
      <c r="B12" s="83" t="s">
        <v>115</v>
      </c>
      <c r="C12" s="84" t="s">
        <v>116</v>
      </c>
      <c r="D12" s="182" t="s">
        <v>178</v>
      </c>
      <c r="E12" s="46" t="s">
        <v>46</v>
      </c>
      <c r="F12" s="85">
        <v>1400</v>
      </c>
      <c r="G12" s="64">
        <v>4</v>
      </c>
      <c r="H12" s="212">
        <f>+G12*F12</f>
        <v>5600</v>
      </c>
    </row>
    <row r="13" spans="1:8" ht="25.5" x14ac:dyDescent="0.25">
      <c r="A13" s="115">
        <v>2</v>
      </c>
      <c r="B13" s="83" t="s">
        <v>117</v>
      </c>
      <c r="C13" s="84" t="s">
        <v>118</v>
      </c>
      <c r="D13" s="182" t="s">
        <v>178</v>
      </c>
      <c r="E13" s="46" t="s">
        <v>47</v>
      </c>
      <c r="F13" s="85">
        <v>1400</v>
      </c>
      <c r="G13" s="64">
        <v>13</v>
      </c>
      <c r="H13" s="212">
        <f>+G13*F13</f>
        <v>18200</v>
      </c>
    </row>
    <row r="14" spans="1:8" ht="37.5" customHeight="1" x14ac:dyDescent="0.25">
      <c r="A14" s="240" t="s">
        <v>238</v>
      </c>
      <c r="B14" s="240"/>
      <c r="C14" s="240"/>
      <c r="D14" s="240"/>
      <c r="E14" s="240"/>
      <c r="F14" s="241">
        <f>+H12+H13</f>
        <v>23800</v>
      </c>
      <c r="G14" s="241"/>
    </row>
    <row r="15" spans="1:8" x14ac:dyDescent="0.25">
      <c r="A15" s="32"/>
      <c r="B15" s="32"/>
      <c r="C15" s="32"/>
      <c r="D15" s="32"/>
      <c r="E15" s="32"/>
      <c r="F15" s="32"/>
      <c r="G15" s="32"/>
    </row>
  </sheetData>
  <mergeCells count="16">
    <mergeCell ref="A7:B7"/>
    <mergeCell ref="A1:E1"/>
    <mergeCell ref="A3:B3"/>
    <mergeCell ref="A4:B4"/>
    <mergeCell ref="A5:B5"/>
    <mergeCell ref="A6:B6"/>
    <mergeCell ref="F10:F11"/>
    <mergeCell ref="G10:G11"/>
    <mergeCell ref="A14:E14"/>
    <mergeCell ref="F14:G14"/>
    <mergeCell ref="A8:B8"/>
    <mergeCell ref="A10:A11"/>
    <mergeCell ref="B10:B11"/>
    <mergeCell ref="C10:C11"/>
    <mergeCell ref="D10:D11"/>
    <mergeCell ref="E10:E11"/>
  </mergeCells>
  <conditionalFormatting sqref="B12:B13">
    <cfRule type="duplicateValues" dxfId="41" priority="617"/>
  </conditionalFormatting>
  <conditionalFormatting sqref="B12:B13">
    <cfRule type="duplicateValues" dxfId="40" priority="618"/>
  </conditionalFormatting>
  <conditionalFormatting sqref="B12:B13">
    <cfRule type="duplicateValues" dxfId="39" priority="619"/>
  </conditionalFormatting>
  <conditionalFormatting sqref="B12:B13">
    <cfRule type="duplicateValues" dxfId="38" priority="620"/>
  </conditionalFormatting>
  <conditionalFormatting sqref="C12:C13">
    <cfRule type="duplicateValues" dxfId="37" priority="621"/>
  </conditionalFormatting>
  <conditionalFormatting sqref="C12:C13">
    <cfRule type="duplicateValues" dxfId="36" priority="622"/>
    <cfRule type="duplicateValues" dxfId="35" priority="623"/>
  </conditionalFormatting>
  <conditionalFormatting sqref="C12:C13">
    <cfRule type="duplicateValues" dxfId="34" priority="624"/>
  </conditionalFormatting>
  <conditionalFormatting sqref="C12:C13">
    <cfRule type="duplicateValues" dxfId="33" priority="625"/>
  </conditionalFormatting>
  <conditionalFormatting sqref="C12:C13">
    <cfRule type="duplicateValues" dxfId="32" priority="626"/>
  </conditionalFormatting>
  <pageMargins left="0.70866141732283472" right="0.70866141732283472" top="0.74803149606299213" bottom="0.74803149606299213" header="0.31496062992125984" footer="0.31496062992125984"/>
  <pageSetup paperSize="5" scale="9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Q41"/>
  <sheetViews>
    <sheetView topLeftCell="A19" zoomScaleNormal="100" workbookViewId="0">
      <selection activeCell="C51" sqref="C51"/>
    </sheetView>
  </sheetViews>
  <sheetFormatPr baseColWidth="10" defaultRowHeight="15" x14ac:dyDescent="0.25"/>
  <cols>
    <col min="1" max="14" width="6.28515625" customWidth="1"/>
    <col min="16" max="16" width="24.140625" customWidth="1"/>
    <col min="17" max="17" width="24" customWidth="1"/>
  </cols>
  <sheetData>
    <row r="1" spans="1:17" ht="15.75" thickBot="1" x14ac:dyDescent="0.3">
      <c r="A1" s="267" t="s">
        <v>5</v>
      </c>
      <c r="B1" s="267"/>
      <c r="C1" s="267"/>
      <c r="D1" s="268">
        <v>2022</v>
      </c>
      <c r="E1" s="268"/>
      <c r="F1" s="133"/>
      <c r="G1" s="133"/>
      <c r="H1" s="134"/>
      <c r="I1" s="134"/>
      <c r="J1" s="134"/>
      <c r="K1" s="134"/>
      <c r="L1" s="134"/>
      <c r="M1" s="134"/>
      <c r="N1" s="134"/>
      <c r="O1" s="135"/>
      <c r="P1" s="269" t="s">
        <v>179</v>
      </c>
      <c r="Q1" s="269"/>
    </row>
    <row r="2" spans="1:17" ht="15.75" thickBot="1" x14ac:dyDescent="0.3">
      <c r="A2" s="136"/>
      <c r="B2" s="137"/>
      <c r="C2" s="137"/>
      <c r="D2" s="137"/>
      <c r="E2" s="137"/>
      <c r="F2" s="137"/>
      <c r="G2" s="138"/>
      <c r="H2" s="139"/>
      <c r="I2" s="139"/>
      <c r="J2" s="139"/>
      <c r="K2" s="139"/>
      <c r="L2" s="139"/>
      <c r="M2" s="139"/>
      <c r="N2" s="139"/>
      <c r="O2" s="137"/>
      <c r="P2" s="269"/>
      <c r="Q2" s="269"/>
    </row>
    <row r="3" spans="1:17" ht="15.75" thickBot="1" x14ac:dyDescent="0.3">
      <c r="A3" s="136"/>
      <c r="B3" s="137"/>
      <c r="C3" s="137"/>
      <c r="D3" s="137"/>
      <c r="E3" s="137"/>
      <c r="F3" s="137"/>
      <c r="G3" s="138"/>
      <c r="H3" s="137"/>
      <c r="I3" s="137"/>
      <c r="J3" s="137"/>
      <c r="K3" s="137"/>
      <c r="L3" s="137"/>
      <c r="M3" s="137"/>
      <c r="N3" s="137"/>
      <c r="O3" s="137"/>
      <c r="P3" s="137"/>
      <c r="Q3" s="140"/>
    </row>
    <row r="4" spans="1:17" ht="15.75" thickBot="1" x14ac:dyDescent="0.3">
      <c r="A4" s="270" t="s">
        <v>180</v>
      </c>
      <c r="B4" s="270"/>
      <c r="C4" s="270"/>
      <c r="D4" s="270"/>
      <c r="E4" s="270"/>
      <c r="F4" s="270"/>
      <c r="G4" s="271" t="str">
        <f>'[1]NP DPBS'!D3</f>
        <v>040 - MINISTERIO DE SALUD</v>
      </c>
      <c r="H4" s="271"/>
      <c r="I4" s="271"/>
      <c r="J4" s="271"/>
      <c r="K4" s="271"/>
      <c r="L4" s="271"/>
      <c r="M4" s="271"/>
      <c r="N4" s="271"/>
      <c r="O4" s="271"/>
      <c r="P4" s="271"/>
      <c r="Q4" s="271"/>
    </row>
    <row r="5" spans="1:17" ht="15.75" thickBot="1" x14ac:dyDescent="0.3">
      <c r="A5" s="272" t="s">
        <v>165</v>
      </c>
      <c r="B5" s="272"/>
      <c r="C5" s="272"/>
      <c r="D5" s="272"/>
      <c r="E5" s="272"/>
      <c r="F5" s="272"/>
      <c r="G5" s="271" t="str">
        <f>'[1]NP DPBS'!D4</f>
        <v>011 - DIRECCION PROVINCIAL DE ADMINISTRACION - MINISTERIO DE SALUD</v>
      </c>
      <c r="H5" s="271"/>
      <c r="I5" s="271"/>
      <c r="J5" s="271"/>
      <c r="K5" s="271"/>
      <c r="L5" s="271"/>
      <c r="M5" s="271"/>
      <c r="N5" s="271"/>
      <c r="O5" s="271"/>
      <c r="P5" s="271"/>
      <c r="Q5" s="271"/>
    </row>
    <row r="6" spans="1:17" ht="15.75" thickBot="1" x14ac:dyDescent="0.3">
      <c r="A6" s="272" t="s">
        <v>166</v>
      </c>
      <c r="B6" s="272"/>
      <c r="C6" s="272"/>
      <c r="D6" s="272"/>
      <c r="E6" s="272"/>
      <c r="F6" s="272"/>
      <c r="G6" s="271" t="s">
        <v>213</v>
      </c>
      <c r="H6" s="271"/>
      <c r="I6" s="271"/>
      <c r="J6" s="271"/>
      <c r="K6" s="271"/>
      <c r="L6" s="271"/>
      <c r="M6" s="271"/>
      <c r="N6" s="271"/>
      <c r="O6" s="271"/>
      <c r="P6" s="271"/>
      <c r="Q6" s="271"/>
    </row>
    <row r="7" spans="1:17" ht="15.75" thickBot="1" x14ac:dyDescent="0.3">
      <c r="A7" s="272" t="s">
        <v>168</v>
      </c>
      <c r="B7" s="272"/>
      <c r="C7" s="272"/>
      <c r="D7" s="272"/>
      <c r="E7" s="272"/>
      <c r="F7" s="272"/>
      <c r="G7" s="271" t="s">
        <v>213</v>
      </c>
      <c r="H7" s="271"/>
      <c r="I7" s="271"/>
      <c r="J7" s="271"/>
      <c r="K7" s="271"/>
      <c r="L7" s="271"/>
      <c r="M7" s="271"/>
      <c r="N7" s="271"/>
      <c r="O7" s="271"/>
      <c r="P7" s="271"/>
      <c r="Q7" s="271"/>
    </row>
    <row r="8" spans="1:17" ht="15.75" thickBot="1" x14ac:dyDescent="0.3">
      <c r="A8" s="273" t="s">
        <v>181</v>
      </c>
      <c r="B8" s="273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</row>
    <row r="9" spans="1:17" x14ac:dyDescent="0.25">
      <c r="A9" s="266" t="s">
        <v>182</v>
      </c>
      <c r="B9" s="266"/>
      <c r="C9" s="266"/>
      <c r="D9" s="266"/>
      <c r="E9" s="266"/>
      <c r="F9" s="266"/>
      <c r="G9" s="266"/>
      <c r="H9" s="266"/>
      <c r="I9" s="266"/>
      <c r="J9" s="266"/>
      <c r="K9" s="266"/>
      <c r="L9" s="266"/>
      <c r="M9" s="266"/>
      <c r="N9" s="266"/>
      <c r="O9" s="266"/>
      <c r="P9" s="266"/>
      <c r="Q9" s="266"/>
    </row>
    <row r="10" spans="1:17" ht="32.25" customHeight="1" x14ac:dyDescent="0.25">
      <c r="A10" s="257" t="s">
        <v>183</v>
      </c>
      <c r="B10" s="257"/>
      <c r="C10" s="257"/>
      <c r="D10" s="257"/>
      <c r="E10" s="257"/>
      <c r="F10" s="257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257"/>
    </row>
    <row r="11" spans="1:17" ht="15.75" thickBot="1" x14ac:dyDescent="0.3">
      <c r="A11" s="141"/>
      <c r="B11" s="142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4"/>
    </row>
    <row r="12" spans="1:17" ht="15.75" thickBot="1" x14ac:dyDescent="0.3">
      <c r="A12" s="258" t="s">
        <v>184</v>
      </c>
      <c r="B12" s="258"/>
      <c r="C12" s="258"/>
      <c r="D12" s="258"/>
      <c r="E12" s="258"/>
      <c r="F12" s="258"/>
      <c r="G12" s="258"/>
      <c r="H12" s="258"/>
      <c r="I12" s="258"/>
      <c r="J12" s="258"/>
      <c r="K12" s="258"/>
      <c r="L12" s="258"/>
      <c r="M12" s="258"/>
      <c r="N12" s="258"/>
      <c r="O12" s="258"/>
      <c r="P12" s="258"/>
      <c r="Q12" s="258"/>
    </row>
    <row r="13" spans="1:17" ht="15.75" thickBot="1" x14ac:dyDescent="0.3">
      <c r="A13" s="259" t="s">
        <v>185</v>
      </c>
      <c r="B13" s="259"/>
      <c r="C13" s="259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259"/>
      <c r="O13" s="260" t="s">
        <v>186</v>
      </c>
      <c r="P13" s="260"/>
      <c r="Q13" s="261" t="s">
        <v>187</v>
      </c>
    </row>
    <row r="14" spans="1:17" ht="15.75" thickBot="1" x14ac:dyDescent="0.3">
      <c r="A14" s="145" t="s">
        <v>188</v>
      </c>
      <c r="B14" s="146" t="s">
        <v>189</v>
      </c>
      <c r="C14" s="146" t="s">
        <v>190</v>
      </c>
      <c r="D14" s="146" t="s">
        <v>191</v>
      </c>
      <c r="E14" s="146" t="s">
        <v>192</v>
      </c>
      <c r="F14" s="146" t="s">
        <v>193</v>
      </c>
      <c r="G14" s="147" t="s">
        <v>194</v>
      </c>
      <c r="H14" s="146" t="s">
        <v>195</v>
      </c>
      <c r="I14" s="146" t="s">
        <v>196</v>
      </c>
      <c r="J14" s="146" t="s">
        <v>197</v>
      </c>
      <c r="K14" s="146" t="s">
        <v>197</v>
      </c>
      <c r="L14" s="146" t="s">
        <v>198</v>
      </c>
      <c r="M14" s="148" t="s">
        <v>199</v>
      </c>
      <c r="N14" s="149" t="s">
        <v>200</v>
      </c>
      <c r="O14" s="260"/>
      <c r="P14" s="260"/>
      <c r="Q14" s="261"/>
    </row>
    <row r="15" spans="1:17" x14ac:dyDescent="0.25">
      <c r="A15" s="176">
        <v>28</v>
      </c>
      <c r="B15" s="176"/>
      <c r="C15" s="176"/>
      <c r="D15" s="176">
        <v>1</v>
      </c>
      <c r="E15" s="176"/>
      <c r="F15" s="176">
        <v>4901</v>
      </c>
      <c r="G15" s="176">
        <v>3</v>
      </c>
      <c r="H15" s="176">
        <v>1</v>
      </c>
      <c r="I15" s="176">
        <v>2</v>
      </c>
      <c r="J15" s="176">
        <v>3</v>
      </c>
      <c r="K15" s="176">
        <v>4</v>
      </c>
      <c r="L15" s="176"/>
      <c r="M15" s="176">
        <v>1</v>
      </c>
      <c r="N15" s="176" t="s">
        <v>201</v>
      </c>
      <c r="O15" s="274" t="s">
        <v>220</v>
      </c>
      <c r="P15" s="262"/>
      <c r="Q15" s="150">
        <v>23800</v>
      </c>
    </row>
    <row r="16" spans="1:17" x14ac:dyDescent="0.25">
      <c r="A16" s="151"/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3"/>
      <c r="N16" s="185"/>
      <c r="O16" s="256"/>
      <c r="P16" s="256"/>
      <c r="Q16" s="155"/>
    </row>
    <row r="17" spans="1:17" x14ac:dyDescent="0.25">
      <c r="A17" s="151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3"/>
      <c r="N17" s="185"/>
      <c r="O17" s="256"/>
      <c r="P17" s="256"/>
      <c r="Q17" s="155"/>
    </row>
    <row r="18" spans="1:17" x14ac:dyDescent="0.25">
      <c r="A18" s="151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3"/>
      <c r="N18" s="185"/>
      <c r="O18" s="256"/>
      <c r="P18" s="256"/>
      <c r="Q18" s="155"/>
    </row>
    <row r="19" spans="1:17" x14ac:dyDescent="0.25">
      <c r="A19" s="151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3"/>
      <c r="N19" s="185"/>
      <c r="O19" s="256"/>
      <c r="P19" s="256"/>
      <c r="Q19" s="155"/>
    </row>
    <row r="20" spans="1:17" x14ac:dyDescent="0.25">
      <c r="A20" s="151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3"/>
      <c r="N20" s="185"/>
      <c r="O20" s="256"/>
      <c r="P20" s="256"/>
      <c r="Q20" s="155"/>
    </row>
    <row r="21" spans="1:17" x14ac:dyDescent="0.25">
      <c r="A21" s="151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3"/>
      <c r="N21" s="185"/>
      <c r="O21" s="256"/>
      <c r="P21" s="256"/>
      <c r="Q21" s="155"/>
    </row>
    <row r="22" spans="1:17" x14ac:dyDescent="0.25">
      <c r="A22" s="151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3"/>
      <c r="N22" s="185"/>
      <c r="O22" s="256"/>
      <c r="P22" s="256"/>
      <c r="Q22" s="155"/>
    </row>
    <row r="23" spans="1:17" x14ac:dyDescent="0.25">
      <c r="A23" s="151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3"/>
      <c r="N23" s="185"/>
      <c r="O23" s="256"/>
      <c r="P23" s="256"/>
      <c r="Q23" s="155"/>
    </row>
    <row r="24" spans="1:17" x14ac:dyDescent="0.25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85"/>
      <c r="O24" s="256"/>
      <c r="P24" s="256"/>
      <c r="Q24" s="155"/>
    </row>
    <row r="25" spans="1:17" x14ac:dyDescent="0.25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85"/>
      <c r="O25" s="256"/>
      <c r="P25" s="256"/>
      <c r="Q25" s="155"/>
    </row>
    <row r="26" spans="1:17" x14ac:dyDescent="0.25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85"/>
      <c r="O26" s="256"/>
      <c r="P26" s="256"/>
      <c r="Q26" s="155"/>
    </row>
    <row r="27" spans="1:17" x14ac:dyDescent="0.25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85"/>
      <c r="O27" s="256"/>
      <c r="P27" s="256"/>
      <c r="Q27" s="155"/>
    </row>
    <row r="28" spans="1:17" x14ac:dyDescent="0.25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85"/>
      <c r="O28" s="256"/>
      <c r="P28" s="256"/>
      <c r="Q28" s="155"/>
    </row>
    <row r="29" spans="1:17" x14ac:dyDescent="0.25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85"/>
      <c r="O29" s="256"/>
      <c r="P29" s="256"/>
      <c r="Q29" s="155"/>
    </row>
    <row r="30" spans="1:17" x14ac:dyDescent="0.25">
      <c r="A30" s="151"/>
      <c r="B30" s="152"/>
      <c r="C30" s="152"/>
      <c r="D30" s="152"/>
      <c r="E30" s="152"/>
      <c r="F30" s="185"/>
      <c r="G30" s="152"/>
      <c r="H30" s="152"/>
      <c r="I30" s="152"/>
      <c r="J30" s="152"/>
      <c r="K30" s="152"/>
      <c r="L30" s="152"/>
      <c r="M30" s="153"/>
      <c r="N30" s="185"/>
      <c r="O30" s="251"/>
      <c r="P30" s="251"/>
      <c r="Q30" s="155"/>
    </row>
    <row r="31" spans="1:17" x14ac:dyDescent="0.25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85"/>
      <c r="O31" s="251"/>
      <c r="P31" s="251"/>
      <c r="Q31" s="155"/>
    </row>
    <row r="32" spans="1:17" x14ac:dyDescent="0.25">
      <c r="A32" s="151"/>
      <c r="B32" s="152"/>
      <c r="C32" s="152"/>
      <c r="D32" s="152"/>
      <c r="E32" s="152"/>
      <c r="F32" s="185"/>
      <c r="G32" s="152"/>
      <c r="H32" s="152"/>
      <c r="I32" s="152"/>
      <c r="J32" s="152"/>
      <c r="K32" s="152"/>
      <c r="L32" s="152"/>
      <c r="M32" s="153"/>
      <c r="N32" s="185"/>
      <c r="O32" s="251"/>
      <c r="P32" s="251"/>
      <c r="Q32" s="155"/>
    </row>
    <row r="33" spans="1:17" x14ac:dyDescent="0.25">
      <c r="A33" s="151"/>
      <c r="B33" s="152"/>
      <c r="C33" s="152"/>
      <c r="D33" s="152"/>
      <c r="E33" s="152"/>
      <c r="F33" s="185"/>
      <c r="G33" s="152"/>
      <c r="H33" s="152"/>
      <c r="I33" s="152"/>
      <c r="J33" s="152"/>
      <c r="K33" s="152"/>
      <c r="L33" s="152"/>
      <c r="M33" s="153"/>
      <c r="N33" s="185"/>
      <c r="O33" s="251"/>
      <c r="P33" s="251"/>
      <c r="Q33" s="155"/>
    </row>
    <row r="34" spans="1:17" x14ac:dyDescent="0.25">
      <c r="A34" s="156"/>
      <c r="B34" s="157"/>
      <c r="C34" s="157"/>
      <c r="D34" s="157"/>
      <c r="E34" s="157"/>
      <c r="F34" s="158"/>
      <c r="G34" s="157"/>
      <c r="H34" s="157"/>
      <c r="I34" s="157"/>
      <c r="J34" s="157"/>
      <c r="K34" s="157"/>
      <c r="L34" s="157"/>
      <c r="M34" s="159"/>
      <c r="N34" s="160"/>
      <c r="O34" s="252"/>
      <c r="P34" s="252"/>
      <c r="Q34" s="155"/>
    </row>
    <row r="35" spans="1:17" ht="15.75" thickBot="1" x14ac:dyDescent="0.3">
      <c r="A35" s="161"/>
      <c r="B35" s="162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3"/>
      <c r="N35" s="162"/>
      <c r="O35" s="253"/>
      <c r="P35" s="253"/>
      <c r="Q35" s="164"/>
    </row>
    <row r="36" spans="1:17" ht="15.75" thickBot="1" x14ac:dyDescent="0.3">
      <c r="A36" s="254" t="s">
        <v>239</v>
      </c>
      <c r="B36" s="254"/>
      <c r="C36" s="254"/>
      <c r="D36" s="254"/>
      <c r="E36" s="254"/>
      <c r="F36" s="254"/>
      <c r="G36" s="254"/>
      <c r="H36" s="254"/>
      <c r="I36" s="254"/>
      <c r="J36" s="254"/>
      <c r="K36" s="254"/>
      <c r="L36" s="254"/>
      <c r="M36" s="254"/>
      <c r="N36" s="254"/>
      <c r="O36" s="254"/>
      <c r="P36" s="254"/>
      <c r="Q36" s="165">
        <f>SUM(Q15:Q35)</f>
        <v>23800</v>
      </c>
    </row>
    <row r="37" spans="1:17" ht="15.75" thickBot="1" x14ac:dyDescent="0.3">
      <c r="A37" s="255"/>
      <c r="B37" s="255"/>
      <c r="C37" s="255"/>
      <c r="D37" s="255"/>
      <c r="E37" s="255"/>
      <c r="F37" s="255"/>
      <c r="G37" s="255"/>
      <c r="H37" s="255"/>
      <c r="I37" s="255"/>
      <c r="J37" s="255"/>
      <c r="K37" s="255"/>
      <c r="L37" s="255"/>
      <c r="M37" s="255"/>
      <c r="N37" s="255"/>
      <c r="O37" s="255"/>
      <c r="P37" s="255"/>
      <c r="Q37" s="255"/>
    </row>
    <row r="38" spans="1:17" ht="15.75" thickBot="1" x14ac:dyDescent="0.3">
      <c r="A38" s="248" t="s">
        <v>202</v>
      </c>
      <c r="B38" s="248"/>
      <c r="C38" s="248"/>
      <c r="D38" s="248"/>
      <c r="E38" s="248"/>
      <c r="F38" s="248"/>
      <c r="G38" s="249"/>
      <c r="H38" s="249"/>
      <c r="I38" s="249"/>
      <c r="J38" s="249"/>
      <c r="K38" s="249"/>
      <c r="L38" s="249"/>
      <c r="M38" s="249"/>
      <c r="N38" s="249"/>
      <c r="O38" s="249"/>
      <c r="P38" s="249"/>
      <c r="Q38" s="249"/>
    </row>
    <row r="39" spans="1:17" ht="15.75" thickBot="1" x14ac:dyDescent="0.3">
      <c r="A39" s="250" t="s">
        <v>204</v>
      </c>
      <c r="B39" s="250"/>
      <c r="C39" s="250"/>
      <c r="D39" s="250"/>
      <c r="E39" s="250"/>
      <c r="F39" s="250"/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</row>
    <row r="40" spans="1:17" ht="15.75" thickBot="1" x14ac:dyDescent="0.3">
      <c r="A40" s="250"/>
      <c r="B40" s="250"/>
      <c r="C40" s="250"/>
      <c r="D40" s="250"/>
      <c r="E40" s="250"/>
      <c r="F40" s="250"/>
      <c r="G40" s="250"/>
      <c r="H40" s="250"/>
      <c r="I40" s="250"/>
      <c r="J40" s="250"/>
      <c r="K40" s="250"/>
      <c r="L40" s="250"/>
      <c r="M40" s="250"/>
      <c r="N40" s="250"/>
      <c r="O40" s="250"/>
      <c r="P40" s="250"/>
      <c r="Q40" s="250"/>
    </row>
    <row r="41" spans="1:17" x14ac:dyDescent="0.25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</row>
  </sheetData>
  <mergeCells count="44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Q9"/>
    <mergeCell ref="A10:Q10"/>
    <mergeCell ref="A12:Q12"/>
    <mergeCell ref="A13:N13"/>
    <mergeCell ref="O13:P14"/>
    <mergeCell ref="Q13:Q14"/>
    <mergeCell ref="O16:P16"/>
    <mergeCell ref="O17:P17"/>
    <mergeCell ref="O18:P18"/>
    <mergeCell ref="O19:P19"/>
    <mergeCell ref="O20:P20"/>
    <mergeCell ref="O32:P32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A39:Q40"/>
    <mergeCell ref="O33:P33"/>
    <mergeCell ref="O34:P34"/>
    <mergeCell ref="O35:P35"/>
    <mergeCell ref="A36:P36"/>
    <mergeCell ref="A37:Q37"/>
    <mergeCell ref="A38:F38"/>
    <mergeCell ref="G38:Q38"/>
  </mergeCells>
  <pageMargins left="0.7" right="0.7" top="0.75" bottom="0.75" header="0.3" footer="0.3"/>
  <pageSetup paperSize="5" scale="61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J34"/>
  <sheetViews>
    <sheetView topLeftCell="C1" zoomScale="120" zoomScaleNormal="120" workbookViewId="0">
      <selection activeCell="C51" sqref="C51"/>
    </sheetView>
  </sheetViews>
  <sheetFormatPr baseColWidth="10" defaultRowHeight="15" x14ac:dyDescent="0.25"/>
  <cols>
    <col min="2" max="2" width="22.28515625" customWidth="1"/>
    <col min="3" max="3" width="62.85546875" customWidth="1"/>
    <col min="6" max="6" width="17.7109375" customWidth="1"/>
    <col min="8" max="8" width="17.7109375" customWidth="1"/>
    <col min="10" max="10" width="12.7109375" bestFit="1" customWidth="1"/>
  </cols>
  <sheetData>
    <row r="1" spans="1:10" ht="30.75" thickBot="1" x14ac:dyDescent="0.3">
      <c r="A1" s="246" t="s">
        <v>162</v>
      </c>
      <c r="B1" s="246"/>
      <c r="C1" s="246"/>
      <c r="D1" s="246"/>
      <c r="E1" s="246"/>
      <c r="F1" s="101" t="s">
        <v>163</v>
      </c>
      <c r="G1" s="102"/>
    </row>
    <row r="2" spans="1:10" ht="16.5" thickBot="1" x14ac:dyDescent="0.3">
      <c r="A2" s="103"/>
      <c r="B2" s="104"/>
      <c r="C2" s="105"/>
      <c r="D2" s="105"/>
      <c r="E2" s="105"/>
      <c r="F2" s="105"/>
      <c r="G2" s="106"/>
    </row>
    <row r="3" spans="1:10" ht="16.5" thickBot="1" x14ac:dyDescent="0.3">
      <c r="A3" s="247" t="s">
        <v>164</v>
      </c>
      <c r="B3" s="247"/>
      <c r="C3" s="107" t="str">
        <f>'[2]SAF 011'!C4</f>
        <v>040 - MINISTERIO DE SALUD</v>
      </c>
      <c r="D3" s="108"/>
      <c r="E3" s="108"/>
      <c r="F3" s="108"/>
      <c r="G3" s="109"/>
    </row>
    <row r="4" spans="1:10" ht="16.5" thickBot="1" x14ac:dyDescent="0.3">
      <c r="A4" s="245" t="s">
        <v>165</v>
      </c>
      <c r="B4" s="245"/>
      <c r="C4" s="107" t="str">
        <f>'[2]SAF 011'!C5</f>
        <v>011 - DIRECCION PROVINCIAL DE ADMINISTRACION - MINISTERIO DE SALUD</v>
      </c>
      <c r="D4" s="108"/>
      <c r="E4" s="108"/>
      <c r="F4" s="108"/>
      <c r="G4" s="109"/>
    </row>
    <row r="5" spans="1:10" ht="16.5" thickBot="1" x14ac:dyDescent="0.3">
      <c r="A5" s="245" t="s">
        <v>166</v>
      </c>
      <c r="B5" s="245"/>
      <c r="C5" s="107" t="s">
        <v>215</v>
      </c>
      <c r="D5" s="108"/>
      <c r="E5" s="108"/>
      <c r="F5" s="108"/>
      <c r="G5" s="109"/>
    </row>
    <row r="6" spans="1:10" ht="16.5" thickBot="1" x14ac:dyDescent="0.3">
      <c r="A6" s="247" t="s">
        <v>168</v>
      </c>
      <c r="B6" s="247"/>
      <c r="C6" s="107" t="s">
        <v>215</v>
      </c>
      <c r="D6" s="108"/>
      <c r="E6" s="108"/>
      <c r="F6" s="108"/>
      <c r="G6" s="109"/>
    </row>
    <row r="7" spans="1:10" ht="16.5" thickBot="1" x14ac:dyDescent="0.3">
      <c r="A7" s="245" t="s">
        <v>169</v>
      </c>
      <c r="B7" s="245"/>
      <c r="C7" s="107" t="s">
        <v>170</v>
      </c>
      <c r="D7" s="108"/>
      <c r="E7" s="108"/>
      <c r="F7" s="108"/>
      <c r="G7" s="109"/>
    </row>
    <row r="8" spans="1:10" ht="16.5" thickBot="1" x14ac:dyDescent="0.3">
      <c r="A8" s="243" t="s">
        <v>171</v>
      </c>
      <c r="B8" s="243"/>
      <c r="C8" s="110" t="s">
        <v>204</v>
      </c>
      <c r="D8" s="108"/>
      <c r="E8" s="108"/>
      <c r="F8" s="108"/>
      <c r="G8" s="109"/>
    </row>
    <row r="9" spans="1:10" ht="15.75" x14ac:dyDescent="0.25">
      <c r="A9" s="111"/>
      <c r="B9" s="112"/>
      <c r="C9" s="113"/>
      <c r="D9" s="113"/>
      <c r="E9" s="113"/>
      <c r="F9" s="113"/>
      <c r="G9" s="114"/>
    </row>
    <row r="10" spans="1:10" x14ac:dyDescent="0.25">
      <c r="A10" s="244" t="s">
        <v>172</v>
      </c>
      <c r="B10" s="242" t="s">
        <v>173</v>
      </c>
      <c r="C10" s="242" t="s">
        <v>207</v>
      </c>
      <c r="D10" s="242" t="s">
        <v>174</v>
      </c>
      <c r="E10" s="242" t="s">
        <v>175</v>
      </c>
      <c r="F10" s="242" t="s">
        <v>176</v>
      </c>
      <c r="G10" s="242" t="s">
        <v>177</v>
      </c>
    </row>
    <row r="11" spans="1:10" ht="28.5" customHeight="1" x14ac:dyDescent="0.25">
      <c r="A11" s="244"/>
      <c r="B11" s="242"/>
      <c r="C11" s="242"/>
      <c r="D11" s="242"/>
      <c r="E11" s="242"/>
      <c r="F11" s="242"/>
      <c r="G11" s="242"/>
    </row>
    <row r="12" spans="1:10" ht="25.5" x14ac:dyDescent="0.25">
      <c r="A12" s="189">
        <v>1</v>
      </c>
      <c r="B12" s="118" t="s">
        <v>50</v>
      </c>
      <c r="C12" s="119" t="s">
        <v>52</v>
      </c>
      <c r="D12" s="182" t="s">
        <v>178</v>
      </c>
      <c r="E12" s="123" t="s">
        <v>49</v>
      </c>
      <c r="F12" s="116">
        <v>1200</v>
      </c>
      <c r="G12" s="131">
        <v>8</v>
      </c>
      <c r="H12" s="211">
        <f>+G12*F12</f>
        <v>9600</v>
      </c>
      <c r="I12" s="213"/>
      <c r="J12" s="212">
        <f>+H12+H13+H14+H15+H16+H17+H18+H19+H20+H21+H22+H23+H24+H25+H26+H28+H29+H30+H31</f>
        <v>96630</v>
      </c>
    </row>
    <row r="13" spans="1:10" s="32" customFormat="1" x14ac:dyDescent="0.25">
      <c r="A13" s="189">
        <v>2</v>
      </c>
      <c r="B13" s="75" t="s">
        <v>105</v>
      </c>
      <c r="C13" s="76" t="s">
        <v>106</v>
      </c>
      <c r="D13" s="182" t="s">
        <v>178</v>
      </c>
      <c r="E13" s="63" t="s">
        <v>47</v>
      </c>
      <c r="F13" s="117">
        <v>650</v>
      </c>
      <c r="G13" s="64">
        <v>3</v>
      </c>
      <c r="H13" s="211">
        <f t="shared" ref="H13:H32" si="0">+G13*F13</f>
        <v>1950</v>
      </c>
      <c r="I13" s="213"/>
      <c r="J13" s="210"/>
    </row>
    <row r="14" spans="1:10" s="32" customFormat="1" ht="25.5" x14ac:dyDescent="0.25">
      <c r="A14" s="189">
        <v>3</v>
      </c>
      <c r="B14" s="26" t="s">
        <v>53</v>
      </c>
      <c r="C14" s="56" t="s">
        <v>54</v>
      </c>
      <c r="D14" s="182" t="s">
        <v>178</v>
      </c>
      <c r="E14" s="55" t="s">
        <v>55</v>
      </c>
      <c r="F14" s="66">
        <v>650</v>
      </c>
      <c r="G14" s="64">
        <v>50</v>
      </c>
      <c r="H14" s="211">
        <f t="shared" si="0"/>
        <v>32500</v>
      </c>
      <c r="I14" s="213"/>
      <c r="J14" s="212">
        <f>+H27+H32</f>
        <v>52500</v>
      </c>
    </row>
    <row r="15" spans="1:10" s="32" customFormat="1" ht="25.5" x14ac:dyDescent="0.25">
      <c r="A15" s="189">
        <v>4</v>
      </c>
      <c r="B15" s="46" t="s">
        <v>56</v>
      </c>
      <c r="C15" s="56" t="s">
        <v>57</v>
      </c>
      <c r="D15" s="182" t="s">
        <v>178</v>
      </c>
      <c r="E15" s="55" t="s">
        <v>55</v>
      </c>
      <c r="F15" s="66">
        <v>100</v>
      </c>
      <c r="G15" s="64">
        <v>50</v>
      </c>
      <c r="H15" s="211">
        <f t="shared" si="0"/>
        <v>5000</v>
      </c>
      <c r="I15" s="213"/>
      <c r="J15" s="210"/>
    </row>
    <row r="16" spans="1:10" s="32" customFormat="1" x14ac:dyDescent="0.25">
      <c r="A16" s="189">
        <v>5</v>
      </c>
      <c r="B16" s="46" t="s">
        <v>58</v>
      </c>
      <c r="C16" s="56" t="s">
        <v>59</v>
      </c>
      <c r="D16" s="182" t="s">
        <v>178</v>
      </c>
      <c r="E16" s="55" t="s">
        <v>47</v>
      </c>
      <c r="F16" s="66">
        <v>386</v>
      </c>
      <c r="G16" s="64">
        <v>5</v>
      </c>
      <c r="H16" s="211">
        <f t="shared" si="0"/>
        <v>1930</v>
      </c>
      <c r="I16" s="213"/>
      <c r="J16" s="210"/>
    </row>
    <row r="17" spans="1:10" s="32" customFormat="1" ht="25.5" x14ac:dyDescent="0.25">
      <c r="A17" s="189">
        <v>6</v>
      </c>
      <c r="B17" s="46" t="s">
        <v>60</v>
      </c>
      <c r="C17" s="56" t="s">
        <v>61</v>
      </c>
      <c r="D17" s="182" t="s">
        <v>178</v>
      </c>
      <c r="E17" s="55" t="s">
        <v>47</v>
      </c>
      <c r="F17" s="74">
        <v>290</v>
      </c>
      <c r="G17" s="64">
        <v>30</v>
      </c>
      <c r="H17" s="211">
        <f t="shared" si="0"/>
        <v>8700</v>
      </c>
      <c r="I17" s="213"/>
      <c r="J17" s="210"/>
    </row>
    <row r="18" spans="1:10" s="32" customFormat="1" x14ac:dyDescent="0.25">
      <c r="A18" s="189">
        <v>7</v>
      </c>
      <c r="B18" s="75" t="s">
        <v>66</v>
      </c>
      <c r="C18" s="76" t="s">
        <v>67</v>
      </c>
      <c r="D18" s="182" t="s">
        <v>178</v>
      </c>
      <c r="E18" s="63" t="s">
        <v>47</v>
      </c>
      <c r="F18" s="66">
        <v>250</v>
      </c>
      <c r="G18" s="64">
        <v>10</v>
      </c>
      <c r="H18" s="211">
        <f t="shared" si="0"/>
        <v>2500</v>
      </c>
      <c r="I18" s="213"/>
      <c r="J18" s="210"/>
    </row>
    <row r="19" spans="1:10" s="32" customFormat="1" x14ac:dyDescent="0.25">
      <c r="A19" s="189">
        <v>8</v>
      </c>
      <c r="B19" s="26" t="s">
        <v>68</v>
      </c>
      <c r="C19" s="56" t="s">
        <v>69</v>
      </c>
      <c r="D19" s="182" t="s">
        <v>178</v>
      </c>
      <c r="E19" s="55" t="s">
        <v>70</v>
      </c>
      <c r="F19" s="74">
        <v>350</v>
      </c>
      <c r="G19" s="64">
        <v>10</v>
      </c>
      <c r="H19" s="211">
        <f t="shared" si="0"/>
        <v>3500</v>
      </c>
      <c r="I19" s="213"/>
      <c r="J19" s="210"/>
    </row>
    <row r="20" spans="1:10" s="32" customFormat="1" x14ac:dyDescent="0.25">
      <c r="A20" s="189">
        <v>9</v>
      </c>
      <c r="B20" s="75" t="s">
        <v>71</v>
      </c>
      <c r="C20" s="76" t="s">
        <v>72</v>
      </c>
      <c r="D20" s="182" t="s">
        <v>178</v>
      </c>
      <c r="E20" s="63" t="s">
        <v>70</v>
      </c>
      <c r="F20" s="66">
        <v>350</v>
      </c>
      <c r="G20" s="64">
        <v>10</v>
      </c>
      <c r="H20" s="211">
        <f t="shared" si="0"/>
        <v>3500</v>
      </c>
      <c r="I20" s="213"/>
      <c r="J20" s="210"/>
    </row>
    <row r="21" spans="1:10" s="32" customFormat="1" x14ac:dyDescent="0.25">
      <c r="A21" s="189">
        <v>10</v>
      </c>
      <c r="B21" s="80" t="s">
        <v>73</v>
      </c>
      <c r="C21" s="56" t="s">
        <v>74</v>
      </c>
      <c r="D21" s="182" t="s">
        <v>178</v>
      </c>
      <c r="E21" s="55" t="s">
        <v>49</v>
      </c>
      <c r="F21" s="66">
        <v>650</v>
      </c>
      <c r="G21" s="64">
        <v>5</v>
      </c>
      <c r="H21" s="211">
        <f t="shared" si="0"/>
        <v>3250</v>
      </c>
      <c r="I21" s="213"/>
      <c r="J21" s="210"/>
    </row>
    <row r="22" spans="1:10" s="32" customFormat="1" x14ac:dyDescent="0.25">
      <c r="A22" s="189">
        <v>11</v>
      </c>
      <c r="B22" s="26" t="s">
        <v>75</v>
      </c>
      <c r="C22" s="56" t="s">
        <v>76</v>
      </c>
      <c r="D22" s="182" t="s">
        <v>178</v>
      </c>
      <c r="E22" s="55" t="s">
        <v>47</v>
      </c>
      <c r="F22" s="66">
        <v>400</v>
      </c>
      <c r="G22" s="64">
        <v>10</v>
      </c>
      <c r="H22" s="211">
        <f t="shared" si="0"/>
        <v>4000</v>
      </c>
      <c r="I22" s="213"/>
      <c r="J22" s="210"/>
    </row>
    <row r="23" spans="1:10" s="32" customFormat="1" x14ac:dyDescent="0.25">
      <c r="A23" s="189">
        <v>12</v>
      </c>
      <c r="B23" s="81" t="s">
        <v>77</v>
      </c>
      <c r="C23" s="56" t="s">
        <v>78</v>
      </c>
      <c r="D23" s="182" t="s">
        <v>178</v>
      </c>
      <c r="E23" s="55" t="s">
        <v>49</v>
      </c>
      <c r="F23" s="66">
        <v>300</v>
      </c>
      <c r="G23" s="64">
        <v>5</v>
      </c>
      <c r="H23" s="211">
        <f t="shared" si="0"/>
        <v>1500</v>
      </c>
      <c r="I23" s="213"/>
      <c r="J23" s="210"/>
    </row>
    <row r="24" spans="1:10" s="32" customFormat="1" ht="25.5" x14ac:dyDescent="0.25">
      <c r="A24" s="189">
        <v>13</v>
      </c>
      <c r="B24" s="46" t="s">
        <v>79</v>
      </c>
      <c r="C24" s="56" t="s">
        <v>80</v>
      </c>
      <c r="D24" s="182" t="s">
        <v>178</v>
      </c>
      <c r="E24" s="55" t="s">
        <v>47</v>
      </c>
      <c r="F24" s="66">
        <v>290</v>
      </c>
      <c r="G24" s="64">
        <v>10</v>
      </c>
      <c r="H24" s="211">
        <f t="shared" si="0"/>
        <v>2900</v>
      </c>
      <c r="I24" s="213"/>
      <c r="J24" s="210"/>
    </row>
    <row r="25" spans="1:10" s="32" customFormat="1" x14ac:dyDescent="0.25">
      <c r="A25" s="189">
        <v>14</v>
      </c>
      <c r="B25" s="46" t="s">
        <v>81</v>
      </c>
      <c r="C25" s="56" t="s">
        <v>82</v>
      </c>
      <c r="D25" s="182" t="s">
        <v>178</v>
      </c>
      <c r="E25" s="55" t="s">
        <v>47</v>
      </c>
      <c r="F25" s="66">
        <v>450</v>
      </c>
      <c r="G25" s="64">
        <v>10</v>
      </c>
      <c r="H25" s="211">
        <f t="shared" si="0"/>
        <v>4500</v>
      </c>
      <c r="I25" s="213"/>
      <c r="J25" s="210"/>
    </row>
    <row r="26" spans="1:10" s="32" customFormat="1" x14ac:dyDescent="0.25">
      <c r="A26" s="189">
        <v>15</v>
      </c>
      <c r="B26" s="46" t="s">
        <v>83</v>
      </c>
      <c r="C26" s="56" t="s">
        <v>85</v>
      </c>
      <c r="D26" s="182" t="s">
        <v>178</v>
      </c>
      <c r="E26" s="55" t="s">
        <v>47</v>
      </c>
      <c r="F26" s="66">
        <v>750</v>
      </c>
      <c r="G26" s="64">
        <v>5</v>
      </c>
      <c r="H26" s="211">
        <f t="shared" si="0"/>
        <v>3750</v>
      </c>
      <c r="I26" s="213"/>
      <c r="J26" s="210"/>
    </row>
    <row r="27" spans="1:10" s="32" customFormat="1" ht="38.25" x14ac:dyDescent="0.25">
      <c r="A27" s="189">
        <v>16</v>
      </c>
      <c r="B27" s="46" t="s">
        <v>86</v>
      </c>
      <c r="C27" s="56" t="s">
        <v>87</v>
      </c>
      <c r="D27" s="182" t="s">
        <v>178</v>
      </c>
      <c r="E27" s="55" t="s">
        <v>55</v>
      </c>
      <c r="F27" s="66">
        <v>350</v>
      </c>
      <c r="G27" s="64">
        <v>50</v>
      </c>
      <c r="H27" s="211">
        <f t="shared" si="0"/>
        <v>17500</v>
      </c>
      <c r="I27" s="213"/>
      <c r="J27" s="210"/>
    </row>
    <row r="28" spans="1:10" s="32" customFormat="1" x14ac:dyDescent="0.25">
      <c r="A28" s="189">
        <v>17</v>
      </c>
      <c r="B28" s="46" t="s">
        <v>90</v>
      </c>
      <c r="C28" s="56" t="s">
        <v>91</v>
      </c>
      <c r="D28" s="182" t="s">
        <v>178</v>
      </c>
      <c r="E28" s="55" t="s">
        <v>47</v>
      </c>
      <c r="F28" s="74">
        <v>800</v>
      </c>
      <c r="G28" s="64">
        <v>5</v>
      </c>
      <c r="H28" s="211">
        <f t="shared" si="0"/>
        <v>4000</v>
      </c>
      <c r="I28" s="213"/>
      <c r="J28" s="210"/>
    </row>
    <row r="29" spans="1:10" s="32" customFormat="1" x14ac:dyDescent="0.25">
      <c r="A29" s="189">
        <v>18</v>
      </c>
      <c r="B29" s="46" t="s">
        <v>92</v>
      </c>
      <c r="C29" s="76" t="s">
        <v>93</v>
      </c>
      <c r="D29" s="182" t="s">
        <v>178</v>
      </c>
      <c r="E29" s="55" t="s">
        <v>47</v>
      </c>
      <c r="F29" s="74">
        <v>120</v>
      </c>
      <c r="G29" s="64">
        <v>10</v>
      </c>
      <c r="H29" s="211">
        <f t="shared" si="0"/>
        <v>1200</v>
      </c>
      <c r="I29" s="213"/>
      <c r="J29" s="210"/>
    </row>
    <row r="30" spans="1:10" s="32" customFormat="1" ht="25.5" x14ac:dyDescent="0.25">
      <c r="A30" s="189">
        <v>19</v>
      </c>
      <c r="B30" s="46" t="s">
        <v>94</v>
      </c>
      <c r="C30" s="76" t="s">
        <v>95</v>
      </c>
      <c r="D30" s="182" t="s">
        <v>178</v>
      </c>
      <c r="E30" s="55" t="s">
        <v>47</v>
      </c>
      <c r="F30" s="66">
        <v>115</v>
      </c>
      <c r="G30" s="64">
        <v>10</v>
      </c>
      <c r="H30" s="211">
        <f t="shared" si="0"/>
        <v>1150</v>
      </c>
      <c r="I30" s="213"/>
      <c r="J30" s="210"/>
    </row>
    <row r="31" spans="1:10" s="32" customFormat="1" x14ac:dyDescent="0.25">
      <c r="A31" s="189">
        <v>20</v>
      </c>
      <c r="B31" s="186" t="s">
        <v>96</v>
      </c>
      <c r="C31" s="56" t="s">
        <v>97</v>
      </c>
      <c r="D31" s="182" t="s">
        <v>178</v>
      </c>
      <c r="E31" s="55" t="s">
        <v>47</v>
      </c>
      <c r="F31" s="74">
        <v>120</v>
      </c>
      <c r="G31" s="64">
        <v>10</v>
      </c>
      <c r="H31" s="211">
        <f t="shared" si="0"/>
        <v>1200</v>
      </c>
      <c r="I31" s="213"/>
      <c r="J31" s="210"/>
    </row>
    <row r="32" spans="1:10" s="32" customFormat="1" ht="54" customHeight="1" x14ac:dyDescent="0.25">
      <c r="A32" s="189">
        <v>21</v>
      </c>
      <c r="B32" s="83" t="s">
        <v>115</v>
      </c>
      <c r="C32" s="84" t="s">
        <v>116</v>
      </c>
      <c r="D32" s="182" t="s">
        <v>178</v>
      </c>
      <c r="E32" s="46" t="s">
        <v>46</v>
      </c>
      <c r="F32" s="85">
        <v>1400</v>
      </c>
      <c r="G32" s="64">
        <v>25</v>
      </c>
      <c r="H32" s="211">
        <f t="shared" si="0"/>
        <v>35000</v>
      </c>
      <c r="I32" s="213"/>
      <c r="J32" s="210"/>
    </row>
    <row r="33" spans="1:10" ht="36.75" customHeight="1" x14ac:dyDescent="0.25">
      <c r="A33" s="240" t="s">
        <v>214</v>
      </c>
      <c r="B33" s="240"/>
      <c r="C33" s="240"/>
      <c r="D33" s="240"/>
      <c r="E33" s="240"/>
      <c r="F33" s="241">
        <v>149130</v>
      </c>
      <c r="G33" s="241"/>
      <c r="H33" s="210"/>
      <c r="I33" s="210"/>
      <c r="J33" s="210"/>
    </row>
    <row r="34" spans="1:10" x14ac:dyDescent="0.25">
      <c r="A34" s="32"/>
      <c r="B34" s="32"/>
      <c r="C34" s="32"/>
      <c r="D34" s="32"/>
      <c r="E34" s="32"/>
      <c r="F34" s="32"/>
      <c r="G34" s="32"/>
    </row>
  </sheetData>
  <mergeCells count="16">
    <mergeCell ref="A7:B7"/>
    <mergeCell ref="A1:E1"/>
    <mergeCell ref="A3:B3"/>
    <mergeCell ref="A4:B4"/>
    <mergeCell ref="A5:B5"/>
    <mergeCell ref="A6:B6"/>
    <mergeCell ref="F10:F11"/>
    <mergeCell ref="G10:G11"/>
    <mergeCell ref="A33:E33"/>
    <mergeCell ref="F33:G33"/>
    <mergeCell ref="A8:B8"/>
    <mergeCell ref="A10:A11"/>
    <mergeCell ref="B10:B11"/>
    <mergeCell ref="C10:C11"/>
    <mergeCell ref="D10:D11"/>
    <mergeCell ref="E10:E11"/>
  </mergeCells>
  <conditionalFormatting sqref="B26:B32 B12:B20">
    <cfRule type="duplicateValues" dxfId="31" priority="13"/>
  </conditionalFormatting>
  <conditionalFormatting sqref="B26:B32 B12:B24">
    <cfRule type="duplicateValues" dxfId="30" priority="14"/>
  </conditionalFormatting>
  <conditionalFormatting sqref="B12:B32">
    <cfRule type="duplicateValues" dxfId="29" priority="15"/>
  </conditionalFormatting>
  <conditionalFormatting sqref="B12:B32">
    <cfRule type="duplicateValues" dxfId="28" priority="16"/>
  </conditionalFormatting>
  <conditionalFormatting sqref="B25">
    <cfRule type="duplicateValues" dxfId="27" priority="10"/>
  </conditionalFormatting>
  <conditionalFormatting sqref="B25">
    <cfRule type="duplicateValues" dxfId="26" priority="11"/>
  </conditionalFormatting>
  <conditionalFormatting sqref="B21:B24">
    <cfRule type="duplicateValues" dxfId="25" priority="12"/>
  </conditionalFormatting>
  <conditionalFormatting sqref="C12:C32">
    <cfRule type="duplicateValues" dxfId="24" priority="4"/>
  </conditionalFormatting>
  <conditionalFormatting sqref="C12:C32">
    <cfRule type="duplicateValues" dxfId="23" priority="5"/>
    <cfRule type="duplicateValues" dxfId="22" priority="6"/>
  </conditionalFormatting>
  <conditionalFormatting sqref="C26:C32 C12:C20">
    <cfRule type="duplicateValues" dxfId="21" priority="7"/>
  </conditionalFormatting>
  <conditionalFormatting sqref="C26:C32 C12:C24">
    <cfRule type="duplicateValues" dxfId="20" priority="8"/>
  </conditionalFormatting>
  <conditionalFormatting sqref="C12:C32">
    <cfRule type="duplicateValues" dxfId="19" priority="9"/>
  </conditionalFormatting>
  <conditionalFormatting sqref="C25">
    <cfRule type="duplicateValues" dxfId="18" priority="1"/>
  </conditionalFormatting>
  <conditionalFormatting sqref="C25">
    <cfRule type="duplicateValues" dxfId="17" priority="2"/>
  </conditionalFormatting>
  <conditionalFormatting sqref="C21:C24">
    <cfRule type="duplicateValues" dxfId="16" priority="3"/>
  </conditionalFormatting>
  <pageMargins left="0.70866141732283472" right="0.70866141732283472" top="0.74803149606299213" bottom="0.74803149606299213" header="0.31496062992125984" footer="0.31496062992125984"/>
  <pageSetup paperSize="5" scale="54" orientation="landscape" r:id="rId1"/>
  <colBreaks count="1" manualBreakCount="1">
    <brk id="7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Q41"/>
  <sheetViews>
    <sheetView zoomScaleNormal="100" workbookViewId="0">
      <selection activeCell="C51" sqref="C51"/>
    </sheetView>
  </sheetViews>
  <sheetFormatPr baseColWidth="10" defaultRowHeight="15" x14ac:dyDescent="0.25"/>
  <cols>
    <col min="1" max="14" width="5.42578125" customWidth="1"/>
    <col min="16" max="16" width="24.85546875" customWidth="1"/>
    <col min="17" max="17" width="21" customWidth="1"/>
  </cols>
  <sheetData>
    <row r="1" spans="1:17" ht="15.75" thickBot="1" x14ac:dyDescent="0.3">
      <c r="A1" s="267" t="s">
        <v>5</v>
      </c>
      <c r="B1" s="267"/>
      <c r="C1" s="267"/>
      <c r="D1" s="268">
        <v>2022</v>
      </c>
      <c r="E1" s="268"/>
      <c r="F1" s="133"/>
      <c r="G1" s="133"/>
      <c r="H1" s="134"/>
      <c r="I1" s="134"/>
      <c r="J1" s="134"/>
      <c r="K1" s="134"/>
      <c r="L1" s="134"/>
      <c r="M1" s="134"/>
      <c r="N1" s="134"/>
      <c r="O1" s="135"/>
      <c r="P1" s="269" t="s">
        <v>179</v>
      </c>
      <c r="Q1" s="269"/>
    </row>
    <row r="2" spans="1:17" ht="15.75" thickBot="1" x14ac:dyDescent="0.3">
      <c r="A2" s="136"/>
      <c r="B2" s="137"/>
      <c r="C2" s="137"/>
      <c r="D2" s="137"/>
      <c r="E2" s="137"/>
      <c r="F2" s="137"/>
      <c r="G2" s="138"/>
      <c r="H2" s="139"/>
      <c r="I2" s="139"/>
      <c r="J2" s="139"/>
      <c r="K2" s="139"/>
      <c r="L2" s="139"/>
      <c r="M2" s="139"/>
      <c r="N2" s="139"/>
      <c r="O2" s="137"/>
      <c r="P2" s="269"/>
      <c r="Q2" s="269"/>
    </row>
    <row r="3" spans="1:17" ht="15.75" thickBot="1" x14ac:dyDescent="0.3">
      <c r="A3" s="136"/>
      <c r="B3" s="137"/>
      <c r="C3" s="137"/>
      <c r="D3" s="137"/>
      <c r="E3" s="137"/>
      <c r="F3" s="137"/>
      <c r="G3" s="138"/>
      <c r="H3" s="137"/>
      <c r="I3" s="137"/>
      <c r="J3" s="137"/>
      <c r="K3" s="137"/>
      <c r="L3" s="137"/>
      <c r="M3" s="137"/>
      <c r="N3" s="137"/>
      <c r="O3" s="137"/>
      <c r="P3" s="137"/>
      <c r="Q3" s="140"/>
    </row>
    <row r="4" spans="1:17" ht="15.75" thickBot="1" x14ac:dyDescent="0.3">
      <c r="A4" s="270" t="s">
        <v>180</v>
      </c>
      <c r="B4" s="270"/>
      <c r="C4" s="270"/>
      <c r="D4" s="270"/>
      <c r="E4" s="270"/>
      <c r="F4" s="270"/>
      <c r="G4" s="271" t="str">
        <f>'[1]NP DPBS'!D3</f>
        <v>040 - MINISTERIO DE SALUD</v>
      </c>
      <c r="H4" s="271"/>
      <c r="I4" s="271"/>
      <c r="J4" s="271"/>
      <c r="K4" s="271"/>
      <c r="L4" s="271"/>
      <c r="M4" s="271"/>
      <c r="N4" s="271"/>
      <c r="O4" s="271"/>
      <c r="P4" s="271"/>
      <c r="Q4" s="271"/>
    </row>
    <row r="5" spans="1:17" ht="15.75" thickBot="1" x14ac:dyDescent="0.3">
      <c r="A5" s="272" t="s">
        <v>165</v>
      </c>
      <c r="B5" s="272"/>
      <c r="C5" s="272"/>
      <c r="D5" s="272"/>
      <c r="E5" s="272"/>
      <c r="F5" s="272"/>
      <c r="G5" s="271" t="str">
        <f>'[1]NP DPBS'!D4</f>
        <v>011 - DIRECCION PROVINCIAL DE ADMINISTRACION - MINISTERIO DE SALUD</v>
      </c>
      <c r="H5" s="271"/>
      <c r="I5" s="271"/>
      <c r="J5" s="271"/>
      <c r="K5" s="271"/>
      <c r="L5" s="271"/>
      <c r="M5" s="271"/>
      <c r="N5" s="271"/>
      <c r="O5" s="271"/>
      <c r="P5" s="271"/>
      <c r="Q5" s="271"/>
    </row>
    <row r="6" spans="1:17" ht="15.75" thickBot="1" x14ac:dyDescent="0.3">
      <c r="A6" s="272" t="s">
        <v>166</v>
      </c>
      <c r="B6" s="272"/>
      <c r="C6" s="272"/>
      <c r="D6" s="272"/>
      <c r="E6" s="272"/>
      <c r="F6" s="272"/>
      <c r="G6" s="271" t="s">
        <v>215</v>
      </c>
      <c r="H6" s="271"/>
      <c r="I6" s="271"/>
      <c r="J6" s="271"/>
      <c r="K6" s="271"/>
      <c r="L6" s="271"/>
      <c r="M6" s="271"/>
      <c r="N6" s="271"/>
      <c r="O6" s="271"/>
      <c r="P6" s="271"/>
      <c r="Q6" s="271"/>
    </row>
    <row r="7" spans="1:17" ht="15.75" thickBot="1" x14ac:dyDescent="0.3">
      <c r="A7" s="272" t="s">
        <v>168</v>
      </c>
      <c r="B7" s="272"/>
      <c r="C7" s="272"/>
      <c r="D7" s="272"/>
      <c r="E7" s="272"/>
      <c r="F7" s="272"/>
      <c r="G7" s="271" t="s">
        <v>215</v>
      </c>
      <c r="H7" s="271"/>
      <c r="I7" s="271"/>
      <c r="J7" s="271"/>
      <c r="K7" s="271"/>
      <c r="L7" s="271"/>
      <c r="M7" s="271"/>
      <c r="N7" s="271"/>
      <c r="O7" s="271"/>
      <c r="P7" s="271"/>
      <c r="Q7" s="271"/>
    </row>
    <row r="8" spans="1:17" ht="15.75" thickBot="1" x14ac:dyDescent="0.3">
      <c r="A8" s="273" t="s">
        <v>181</v>
      </c>
      <c r="B8" s="273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</row>
    <row r="9" spans="1:17" x14ac:dyDescent="0.25">
      <c r="A9" s="266" t="s">
        <v>182</v>
      </c>
      <c r="B9" s="266"/>
      <c r="C9" s="266"/>
      <c r="D9" s="266"/>
      <c r="E9" s="266"/>
      <c r="F9" s="266"/>
      <c r="G9" s="266"/>
      <c r="H9" s="266"/>
      <c r="I9" s="266"/>
      <c r="J9" s="266"/>
      <c r="K9" s="266"/>
      <c r="L9" s="266"/>
      <c r="M9" s="266"/>
      <c r="N9" s="266"/>
      <c r="O9" s="266"/>
      <c r="P9" s="266"/>
      <c r="Q9" s="266"/>
    </row>
    <row r="10" spans="1:17" ht="42" customHeight="1" x14ac:dyDescent="0.25">
      <c r="A10" s="257" t="s">
        <v>183</v>
      </c>
      <c r="B10" s="257"/>
      <c r="C10" s="257"/>
      <c r="D10" s="257"/>
      <c r="E10" s="257"/>
      <c r="F10" s="257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257"/>
    </row>
    <row r="11" spans="1:17" ht="15.75" thickBot="1" x14ac:dyDescent="0.3">
      <c r="A11" s="141"/>
      <c r="B11" s="142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4"/>
    </row>
    <row r="12" spans="1:17" ht="15.75" thickBot="1" x14ac:dyDescent="0.3">
      <c r="A12" s="258" t="s">
        <v>184</v>
      </c>
      <c r="B12" s="258"/>
      <c r="C12" s="258"/>
      <c r="D12" s="258"/>
      <c r="E12" s="258"/>
      <c r="F12" s="258"/>
      <c r="G12" s="258"/>
      <c r="H12" s="258"/>
      <c r="I12" s="258"/>
      <c r="J12" s="258"/>
      <c r="K12" s="258"/>
      <c r="L12" s="258"/>
      <c r="M12" s="258"/>
      <c r="N12" s="258"/>
      <c r="O12" s="258"/>
      <c r="P12" s="258"/>
      <c r="Q12" s="258"/>
    </row>
    <row r="13" spans="1:17" ht="15.75" thickBot="1" x14ac:dyDescent="0.3">
      <c r="A13" s="259" t="s">
        <v>185</v>
      </c>
      <c r="B13" s="259"/>
      <c r="C13" s="259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259"/>
      <c r="O13" s="260" t="s">
        <v>186</v>
      </c>
      <c r="P13" s="260"/>
      <c r="Q13" s="261" t="s">
        <v>187</v>
      </c>
    </row>
    <row r="14" spans="1:17" ht="15.75" thickBot="1" x14ac:dyDescent="0.3">
      <c r="A14" s="145" t="s">
        <v>188</v>
      </c>
      <c r="B14" s="146" t="s">
        <v>189</v>
      </c>
      <c r="C14" s="146" t="s">
        <v>190</v>
      </c>
      <c r="D14" s="146" t="s">
        <v>191</v>
      </c>
      <c r="E14" s="146" t="s">
        <v>192</v>
      </c>
      <c r="F14" s="146" t="s">
        <v>193</v>
      </c>
      <c r="G14" s="147" t="s">
        <v>194</v>
      </c>
      <c r="H14" s="146" t="s">
        <v>195</v>
      </c>
      <c r="I14" s="146" t="s">
        <v>196</v>
      </c>
      <c r="J14" s="146" t="s">
        <v>197</v>
      </c>
      <c r="K14" s="146" t="s">
        <v>197</v>
      </c>
      <c r="L14" s="146" t="s">
        <v>198</v>
      </c>
      <c r="M14" s="148" t="s">
        <v>199</v>
      </c>
      <c r="N14" s="149" t="s">
        <v>200</v>
      </c>
      <c r="O14" s="260"/>
      <c r="P14" s="260"/>
      <c r="Q14" s="261"/>
    </row>
    <row r="15" spans="1:17" x14ac:dyDescent="0.25">
      <c r="A15" s="176">
        <v>1</v>
      </c>
      <c r="B15" s="176"/>
      <c r="C15" s="176"/>
      <c r="D15" s="176">
        <v>1</v>
      </c>
      <c r="E15" s="176"/>
      <c r="F15" s="176">
        <v>4901</v>
      </c>
      <c r="G15" s="176">
        <v>3</v>
      </c>
      <c r="H15" s="176">
        <v>1</v>
      </c>
      <c r="I15" s="176">
        <v>2</v>
      </c>
      <c r="J15" s="176">
        <v>3</v>
      </c>
      <c r="K15" s="176">
        <v>4</v>
      </c>
      <c r="L15" s="176"/>
      <c r="M15" s="176">
        <v>1</v>
      </c>
      <c r="N15" s="176" t="s">
        <v>201</v>
      </c>
      <c r="O15" s="274" t="s">
        <v>220</v>
      </c>
      <c r="P15" s="262"/>
      <c r="Q15" s="150">
        <v>52500</v>
      </c>
    </row>
    <row r="16" spans="1:17" x14ac:dyDescent="0.25">
      <c r="A16" s="176">
        <v>1</v>
      </c>
      <c r="B16" s="176"/>
      <c r="C16" s="176"/>
      <c r="D16" s="176">
        <v>1</v>
      </c>
      <c r="E16" s="176"/>
      <c r="F16" s="176">
        <v>4901</v>
      </c>
      <c r="G16" s="176">
        <v>3</v>
      </c>
      <c r="H16" s="176">
        <v>1</v>
      </c>
      <c r="I16" s="152">
        <v>2</v>
      </c>
      <c r="J16" s="152">
        <v>9</v>
      </c>
      <c r="K16" s="152">
        <v>1</v>
      </c>
      <c r="L16" s="152"/>
      <c r="M16" s="176">
        <v>1</v>
      </c>
      <c r="N16" s="176" t="s">
        <v>201</v>
      </c>
      <c r="O16" s="275" t="s">
        <v>48</v>
      </c>
      <c r="P16" s="263"/>
      <c r="Q16" s="155">
        <v>96630</v>
      </c>
    </row>
    <row r="17" spans="1:17" x14ac:dyDescent="0.25">
      <c r="A17" s="151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3"/>
      <c r="N17" s="185"/>
      <c r="O17" s="256"/>
      <c r="P17" s="256"/>
      <c r="Q17" s="155"/>
    </row>
    <row r="18" spans="1:17" x14ac:dyDescent="0.25">
      <c r="A18" s="151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3"/>
      <c r="N18" s="185"/>
      <c r="O18" s="256"/>
      <c r="P18" s="256"/>
      <c r="Q18" s="155"/>
    </row>
    <row r="19" spans="1:17" x14ac:dyDescent="0.25">
      <c r="A19" s="151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3"/>
      <c r="N19" s="185"/>
      <c r="O19" s="256"/>
      <c r="P19" s="256"/>
      <c r="Q19" s="155"/>
    </row>
    <row r="20" spans="1:17" x14ac:dyDescent="0.25">
      <c r="A20" s="151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3"/>
      <c r="N20" s="185"/>
      <c r="O20" s="256"/>
      <c r="P20" s="256"/>
      <c r="Q20" s="155"/>
    </row>
    <row r="21" spans="1:17" x14ac:dyDescent="0.25">
      <c r="A21" s="151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3"/>
      <c r="N21" s="185"/>
      <c r="O21" s="256"/>
      <c r="P21" s="256"/>
      <c r="Q21" s="155"/>
    </row>
    <row r="22" spans="1:17" x14ac:dyDescent="0.25">
      <c r="A22" s="151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3"/>
      <c r="N22" s="185"/>
      <c r="O22" s="256"/>
      <c r="P22" s="256"/>
      <c r="Q22" s="155"/>
    </row>
    <row r="23" spans="1:17" x14ac:dyDescent="0.25">
      <c r="A23" s="151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3"/>
      <c r="N23" s="185"/>
      <c r="O23" s="256"/>
      <c r="P23" s="256"/>
      <c r="Q23" s="155"/>
    </row>
    <row r="24" spans="1:17" x14ac:dyDescent="0.25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85"/>
      <c r="O24" s="256"/>
      <c r="P24" s="256"/>
      <c r="Q24" s="155"/>
    </row>
    <row r="25" spans="1:17" x14ac:dyDescent="0.25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85"/>
      <c r="O25" s="256"/>
      <c r="P25" s="256"/>
      <c r="Q25" s="155"/>
    </row>
    <row r="26" spans="1:17" x14ac:dyDescent="0.25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85"/>
      <c r="O26" s="256"/>
      <c r="P26" s="256"/>
      <c r="Q26" s="155"/>
    </row>
    <row r="27" spans="1:17" x14ac:dyDescent="0.25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85"/>
      <c r="O27" s="256"/>
      <c r="P27" s="256"/>
      <c r="Q27" s="155"/>
    </row>
    <row r="28" spans="1:17" x14ac:dyDescent="0.25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85"/>
      <c r="O28" s="256"/>
      <c r="P28" s="256"/>
      <c r="Q28" s="155"/>
    </row>
    <row r="29" spans="1:17" x14ac:dyDescent="0.25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85"/>
      <c r="O29" s="256"/>
      <c r="P29" s="256"/>
      <c r="Q29" s="155"/>
    </row>
    <row r="30" spans="1:17" x14ac:dyDescent="0.25">
      <c r="A30" s="151"/>
      <c r="B30" s="152"/>
      <c r="C30" s="152"/>
      <c r="D30" s="152"/>
      <c r="E30" s="152"/>
      <c r="F30" s="185"/>
      <c r="G30" s="152"/>
      <c r="H30" s="152"/>
      <c r="I30" s="152"/>
      <c r="J30" s="152"/>
      <c r="K30" s="152"/>
      <c r="L30" s="152"/>
      <c r="M30" s="153"/>
      <c r="N30" s="185"/>
      <c r="O30" s="251"/>
      <c r="P30" s="251"/>
      <c r="Q30" s="155"/>
    </row>
    <row r="31" spans="1:17" x14ac:dyDescent="0.25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85"/>
      <c r="O31" s="251"/>
      <c r="P31" s="251"/>
      <c r="Q31" s="155"/>
    </row>
    <row r="32" spans="1:17" x14ac:dyDescent="0.25">
      <c r="A32" s="151"/>
      <c r="B32" s="152"/>
      <c r="C32" s="152"/>
      <c r="D32" s="152"/>
      <c r="E32" s="152"/>
      <c r="F32" s="185"/>
      <c r="G32" s="152"/>
      <c r="H32" s="152"/>
      <c r="I32" s="152"/>
      <c r="J32" s="152"/>
      <c r="K32" s="152"/>
      <c r="L32" s="152"/>
      <c r="M32" s="153"/>
      <c r="N32" s="185"/>
      <c r="O32" s="251"/>
      <c r="P32" s="251"/>
      <c r="Q32" s="155"/>
    </row>
    <row r="33" spans="1:17" x14ac:dyDescent="0.25">
      <c r="A33" s="151"/>
      <c r="B33" s="152"/>
      <c r="C33" s="152"/>
      <c r="D33" s="152"/>
      <c r="E33" s="152"/>
      <c r="F33" s="185"/>
      <c r="G33" s="152"/>
      <c r="H33" s="152"/>
      <c r="I33" s="152"/>
      <c r="J33" s="152"/>
      <c r="K33" s="152"/>
      <c r="L33" s="152"/>
      <c r="M33" s="153"/>
      <c r="N33" s="185"/>
      <c r="O33" s="251"/>
      <c r="P33" s="251"/>
      <c r="Q33" s="155"/>
    </row>
    <row r="34" spans="1:17" x14ac:dyDescent="0.25">
      <c r="A34" s="156"/>
      <c r="B34" s="157"/>
      <c r="C34" s="157"/>
      <c r="D34" s="157"/>
      <c r="E34" s="157"/>
      <c r="F34" s="158"/>
      <c r="G34" s="157"/>
      <c r="H34" s="157"/>
      <c r="I34" s="157"/>
      <c r="J34" s="157"/>
      <c r="K34" s="157"/>
      <c r="L34" s="157"/>
      <c r="M34" s="159"/>
      <c r="N34" s="160"/>
      <c r="O34" s="252"/>
      <c r="P34" s="252"/>
      <c r="Q34" s="155"/>
    </row>
    <row r="35" spans="1:17" ht="15.75" thickBot="1" x14ac:dyDescent="0.3">
      <c r="A35" s="161"/>
      <c r="B35" s="162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3"/>
      <c r="N35" s="162"/>
      <c r="O35" s="253"/>
      <c r="P35" s="253"/>
      <c r="Q35" s="164"/>
    </row>
    <row r="36" spans="1:17" ht="15.75" thickBot="1" x14ac:dyDescent="0.3">
      <c r="A36" s="254" t="s">
        <v>216</v>
      </c>
      <c r="B36" s="254"/>
      <c r="C36" s="254"/>
      <c r="D36" s="254"/>
      <c r="E36" s="254"/>
      <c r="F36" s="254"/>
      <c r="G36" s="254"/>
      <c r="H36" s="254"/>
      <c r="I36" s="254"/>
      <c r="J36" s="254"/>
      <c r="K36" s="254"/>
      <c r="L36" s="254"/>
      <c r="M36" s="254"/>
      <c r="N36" s="254"/>
      <c r="O36" s="254"/>
      <c r="P36" s="254"/>
      <c r="Q36" s="165">
        <f>SUM(Q15:Q35)</f>
        <v>149130</v>
      </c>
    </row>
    <row r="37" spans="1:17" ht="15.75" thickBot="1" x14ac:dyDescent="0.3">
      <c r="A37" s="255"/>
      <c r="B37" s="255"/>
      <c r="C37" s="255"/>
      <c r="D37" s="255"/>
      <c r="E37" s="255"/>
      <c r="F37" s="255"/>
      <c r="G37" s="255"/>
      <c r="H37" s="255"/>
      <c r="I37" s="255"/>
      <c r="J37" s="255"/>
      <c r="K37" s="255"/>
      <c r="L37" s="255"/>
      <c r="M37" s="255"/>
      <c r="N37" s="255"/>
      <c r="O37" s="255"/>
      <c r="P37" s="255"/>
      <c r="Q37" s="255"/>
    </row>
    <row r="38" spans="1:17" ht="15.75" thickBot="1" x14ac:dyDescent="0.3">
      <c r="A38" s="248" t="s">
        <v>202</v>
      </c>
      <c r="B38" s="248"/>
      <c r="C38" s="248"/>
      <c r="D38" s="248"/>
      <c r="E38" s="248"/>
      <c r="F38" s="248"/>
      <c r="G38" s="249"/>
      <c r="H38" s="249"/>
      <c r="I38" s="249"/>
      <c r="J38" s="249"/>
      <c r="K38" s="249"/>
      <c r="L38" s="249"/>
      <c r="M38" s="249"/>
      <c r="N38" s="249"/>
      <c r="O38" s="249"/>
      <c r="P38" s="249"/>
      <c r="Q38" s="249"/>
    </row>
    <row r="39" spans="1:17" ht="15.75" thickBot="1" x14ac:dyDescent="0.3">
      <c r="A39" s="250" t="s">
        <v>204</v>
      </c>
      <c r="B39" s="250"/>
      <c r="C39" s="250"/>
      <c r="D39" s="250"/>
      <c r="E39" s="250"/>
      <c r="F39" s="250"/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</row>
    <row r="40" spans="1:17" ht="15.75" thickBot="1" x14ac:dyDescent="0.3">
      <c r="A40" s="250"/>
      <c r="B40" s="250"/>
      <c r="C40" s="250"/>
      <c r="D40" s="250"/>
      <c r="E40" s="250"/>
      <c r="F40" s="250"/>
      <c r="G40" s="250"/>
      <c r="H40" s="250"/>
      <c r="I40" s="250"/>
      <c r="J40" s="250"/>
      <c r="K40" s="250"/>
      <c r="L40" s="250"/>
      <c r="M40" s="250"/>
      <c r="N40" s="250"/>
      <c r="O40" s="250"/>
      <c r="P40" s="250"/>
      <c r="Q40" s="250"/>
    </row>
    <row r="41" spans="1:17" x14ac:dyDescent="0.25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</row>
  </sheetData>
  <mergeCells count="44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39:Q40"/>
    <mergeCell ref="O34:P34"/>
    <mergeCell ref="O35:P35"/>
    <mergeCell ref="A36:P36"/>
    <mergeCell ref="A37:Q37"/>
    <mergeCell ref="A38:F38"/>
    <mergeCell ref="G38:Q38"/>
  </mergeCells>
  <pageMargins left="0.7" right="0.7" top="0.75" bottom="0.75" header="0.3" footer="0.3"/>
  <pageSetup paperSize="5" scale="67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19880-BDD7-4CAD-AA41-24A8A9F145F3}">
  <dimension ref="A1"/>
  <sheetViews>
    <sheetView workbookViewId="0">
      <selection activeCell="C51" sqref="C51"/>
    </sheetView>
  </sheetViews>
  <sheetFormatPr baseColWidth="10" defaultRowHeight="15" x14ac:dyDescent="0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3"/>
  <sheetViews>
    <sheetView zoomScale="110" zoomScaleNormal="110" workbookViewId="0">
      <selection activeCell="C51" sqref="C51"/>
    </sheetView>
  </sheetViews>
  <sheetFormatPr baseColWidth="10" defaultRowHeight="15" x14ac:dyDescent="0.25"/>
  <cols>
    <col min="2" max="2" width="23.5703125" customWidth="1"/>
    <col min="3" max="3" width="67" customWidth="1"/>
    <col min="6" max="6" width="21.85546875" customWidth="1"/>
    <col min="7" max="7" width="12.140625" bestFit="1" customWidth="1"/>
    <col min="10" max="10" width="12.140625" bestFit="1" customWidth="1"/>
  </cols>
  <sheetData>
    <row r="1" spans="1:10" ht="30.75" thickBot="1" x14ac:dyDescent="0.3">
      <c r="A1" s="246" t="s">
        <v>162</v>
      </c>
      <c r="B1" s="246"/>
      <c r="C1" s="246"/>
      <c r="D1" s="246"/>
      <c r="E1" s="246"/>
      <c r="F1" s="101" t="s">
        <v>163</v>
      </c>
      <c r="G1" s="102"/>
    </row>
    <row r="2" spans="1:10" ht="16.5" thickBot="1" x14ac:dyDescent="0.3">
      <c r="A2" s="103"/>
      <c r="B2" s="104"/>
      <c r="C2" s="105"/>
      <c r="D2" s="105"/>
      <c r="E2" s="105"/>
      <c r="F2" s="105"/>
      <c r="G2" s="106"/>
    </row>
    <row r="3" spans="1:10" ht="16.5" thickBot="1" x14ac:dyDescent="0.3">
      <c r="A3" s="247" t="s">
        <v>164</v>
      </c>
      <c r="B3" s="247"/>
      <c r="C3" s="107" t="str">
        <f>'[2]SAF 011'!C4</f>
        <v>040 - MINISTERIO DE SALUD</v>
      </c>
      <c r="D3" s="108"/>
      <c r="E3" s="108"/>
      <c r="F3" s="108"/>
      <c r="G3" s="109"/>
    </row>
    <row r="4" spans="1:10" ht="16.5" thickBot="1" x14ac:dyDescent="0.3">
      <c r="A4" s="245" t="s">
        <v>165</v>
      </c>
      <c r="B4" s="245"/>
      <c r="C4" s="107" t="str">
        <f>'[2]SAF 011'!C5</f>
        <v>011 - DIRECCION PROVINCIAL DE ADMINISTRACION - MINISTERIO DE SALUD</v>
      </c>
      <c r="D4" s="108"/>
      <c r="E4" s="108"/>
      <c r="F4" s="108"/>
      <c r="G4" s="109"/>
    </row>
    <row r="5" spans="1:10" ht="16.5" thickBot="1" x14ac:dyDescent="0.3">
      <c r="A5" s="245" t="s">
        <v>166</v>
      </c>
      <c r="B5" s="245"/>
      <c r="C5" s="107" t="s">
        <v>217</v>
      </c>
      <c r="D5" s="108"/>
      <c r="E5" s="108"/>
      <c r="F5" s="108"/>
      <c r="G5" s="109"/>
    </row>
    <row r="6" spans="1:10" ht="16.5" thickBot="1" x14ac:dyDescent="0.3">
      <c r="A6" s="247" t="s">
        <v>168</v>
      </c>
      <c r="B6" s="247"/>
      <c r="C6" s="107" t="s">
        <v>217</v>
      </c>
      <c r="D6" s="108"/>
      <c r="E6" s="108"/>
      <c r="F6" s="108"/>
      <c r="G6" s="109"/>
    </row>
    <row r="7" spans="1:10" ht="16.5" thickBot="1" x14ac:dyDescent="0.3">
      <c r="A7" s="245" t="s">
        <v>169</v>
      </c>
      <c r="B7" s="245"/>
      <c r="C7" s="107" t="s">
        <v>170</v>
      </c>
      <c r="D7" s="108"/>
      <c r="E7" s="108"/>
      <c r="F7" s="108"/>
      <c r="G7" s="109"/>
    </row>
    <row r="8" spans="1:10" ht="16.5" thickBot="1" x14ac:dyDescent="0.3">
      <c r="A8" s="243" t="s">
        <v>171</v>
      </c>
      <c r="B8" s="243"/>
      <c r="C8" s="110" t="s">
        <v>204</v>
      </c>
      <c r="D8" s="108"/>
      <c r="E8" s="108"/>
      <c r="F8" s="108"/>
      <c r="G8" s="109"/>
    </row>
    <row r="9" spans="1:10" ht="15.75" x14ac:dyDescent="0.25">
      <c r="A9" s="111"/>
      <c r="B9" s="112"/>
      <c r="C9" s="113"/>
      <c r="D9" s="113"/>
      <c r="E9" s="113"/>
      <c r="F9" s="113"/>
      <c r="G9" s="114"/>
    </row>
    <row r="10" spans="1:10" x14ac:dyDescent="0.25">
      <c r="A10" s="244" t="s">
        <v>172</v>
      </c>
      <c r="B10" s="242" t="s">
        <v>173</v>
      </c>
      <c r="C10" s="242" t="s">
        <v>207</v>
      </c>
      <c r="D10" s="242" t="s">
        <v>174</v>
      </c>
      <c r="E10" s="242" t="s">
        <v>175</v>
      </c>
      <c r="F10" s="242" t="s">
        <v>176</v>
      </c>
      <c r="G10" s="242" t="s">
        <v>177</v>
      </c>
    </row>
    <row r="11" spans="1:10" ht="33" customHeight="1" x14ac:dyDescent="0.25">
      <c r="A11" s="244"/>
      <c r="B11" s="242"/>
      <c r="C11" s="242"/>
      <c r="D11" s="242"/>
      <c r="E11" s="242"/>
      <c r="F11" s="242"/>
      <c r="G11" s="242"/>
      <c r="H11" s="210"/>
      <c r="I11" s="210"/>
      <c r="J11" s="210"/>
    </row>
    <row r="12" spans="1:10" ht="25.5" x14ac:dyDescent="0.25">
      <c r="A12" s="189">
        <v>1</v>
      </c>
      <c r="B12" s="46" t="s">
        <v>56</v>
      </c>
      <c r="C12" s="56" t="s">
        <v>57</v>
      </c>
      <c r="D12" s="182" t="s">
        <v>178</v>
      </c>
      <c r="E12" s="55" t="s">
        <v>55</v>
      </c>
      <c r="F12" s="66">
        <v>100</v>
      </c>
      <c r="G12" s="64">
        <v>30</v>
      </c>
      <c r="H12" s="211">
        <f>+G12*F12</f>
        <v>3000</v>
      </c>
      <c r="I12" s="210"/>
      <c r="J12" s="211">
        <f>+H12+H13+H14+H15+H16+H18+H20</f>
        <v>12350</v>
      </c>
    </row>
    <row r="13" spans="1:10" ht="25.5" x14ac:dyDescent="0.25">
      <c r="A13" s="189">
        <v>2</v>
      </c>
      <c r="B13" s="46" t="s">
        <v>60</v>
      </c>
      <c r="C13" s="56" t="s">
        <v>61</v>
      </c>
      <c r="D13" s="182" t="s">
        <v>178</v>
      </c>
      <c r="E13" s="55" t="s">
        <v>47</v>
      </c>
      <c r="F13" s="74">
        <v>290</v>
      </c>
      <c r="G13" s="64">
        <v>5</v>
      </c>
      <c r="H13" s="211">
        <f t="shared" ref="H13:H20" si="0">+G13*F13</f>
        <v>1450</v>
      </c>
      <c r="I13" s="210"/>
      <c r="J13" s="210"/>
    </row>
    <row r="14" spans="1:10" ht="38.25" x14ac:dyDescent="0.25">
      <c r="A14" s="189">
        <v>3</v>
      </c>
      <c r="B14" s="75" t="s">
        <v>64</v>
      </c>
      <c r="C14" s="76" t="s">
        <v>65</v>
      </c>
      <c r="D14" s="182" t="s">
        <v>178</v>
      </c>
      <c r="E14" s="63" t="s">
        <v>47</v>
      </c>
      <c r="F14" s="74">
        <v>120</v>
      </c>
      <c r="G14" s="64">
        <v>5</v>
      </c>
      <c r="H14" s="211">
        <f t="shared" si="0"/>
        <v>600</v>
      </c>
      <c r="I14" s="210"/>
      <c r="J14" s="212">
        <f>+H17+H19</f>
        <v>6500</v>
      </c>
    </row>
    <row r="15" spans="1:10" x14ac:dyDescent="0.25">
      <c r="A15" s="189">
        <v>4</v>
      </c>
      <c r="B15" s="26" t="s">
        <v>75</v>
      </c>
      <c r="C15" s="56" t="s">
        <v>76</v>
      </c>
      <c r="D15" s="182" t="s">
        <v>178</v>
      </c>
      <c r="E15" s="55" t="s">
        <v>47</v>
      </c>
      <c r="F15" s="66">
        <v>400</v>
      </c>
      <c r="G15" s="64">
        <v>2</v>
      </c>
      <c r="H15" s="211">
        <f t="shared" si="0"/>
        <v>800</v>
      </c>
      <c r="I15" s="210"/>
      <c r="J15" s="210"/>
    </row>
    <row r="16" spans="1:10" x14ac:dyDescent="0.25">
      <c r="A16" s="189">
        <v>5</v>
      </c>
      <c r="B16" s="46" t="s">
        <v>81</v>
      </c>
      <c r="C16" s="56" t="s">
        <v>82</v>
      </c>
      <c r="D16" s="182" t="s">
        <v>178</v>
      </c>
      <c r="E16" s="55" t="s">
        <v>47</v>
      </c>
      <c r="F16" s="66">
        <v>450</v>
      </c>
      <c r="G16" s="64">
        <v>3</v>
      </c>
      <c r="H16" s="211">
        <f t="shared" si="0"/>
        <v>1350</v>
      </c>
      <c r="I16" s="210"/>
      <c r="J16" s="210"/>
    </row>
    <row r="17" spans="1:10" s="32" customFormat="1" ht="38.25" x14ac:dyDescent="0.25">
      <c r="A17" s="189">
        <v>6</v>
      </c>
      <c r="B17" s="46" t="s">
        <v>86</v>
      </c>
      <c r="C17" s="56" t="s">
        <v>87</v>
      </c>
      <c r="D17" s="182" t="s">
        <v>178</v>
      </c>
      <c r="E17" s="55" t="s">
        <v>55</v>
      </c>
      <c r="F17" s="66">
        <v>350</v>
      </c>
      <c r="G17" s="64">
        <v>10</v>
      </c>
      <c r="H17" s="211">
        <f t="shared" si="0"/>
        <v>3500</v>
      </c>
      <c r="I17" s="210"/>
      <c r="J17" s="210"/>
    </row>
    <row r="18" spans="1:10" s="32" customFormat="1" ht="25.5" x14ac:dyDescent="0.25">
      <c r="A18" s="189">
        <v>7</v>
      </c>
      <c r="B18" s="46" t="s">
        <v>94</v>
      </c>
      <c r="C18" s="76" t="s">
        <v>95</v>
      </c>
      <c r="D18" s="182" t="s">
        <v>178</v>
      </c>
      <c r="E18" s="55" t="s">
        <v>47</v>
      </c>
      <c r="F18" s="66">
        <v>115</v>
      </c>
      <c r="G18" s="64">
        <v>10</v>
      </c>
      <c r="H18" s="211">
        <f t="shared" si="0"/>
        <v>1150</v>
      </c>
      <c r="I18" s="210"/>
      <c r="J18" s="210"/>
    </row>
    <row r="19" spans="1:10" ht="25.5" x14ac:dyDescent="0.25">
      <c r="A19" s="189">
        <v>8</v>
      </c>
      <c r="B19" s="83" t="s">
        <v>128</v>
      </c>
      <c r="C19" s="84" t="s">
        <v>130</v>
      </c>
      <c r="D19" s="182" t="s">
        <v>178</v>
      </c>
      <c r="E19" s="46" t="s">
        <v>104</v>
      </c>
      <c r="F19" s="85">
        <v>300</v>
      </c>
      <c r="G19" s="64">
        <v>10</v>
      </c>
      <c r="H19" s="211">
        <f t="shared" si="0"/>
        <v>3000</v>
      </c>
      <c r="I19" s="210"/>
      <c r="J19" s="210"/>
    </row>
    <row r="20" spans="1:10" ht="25.5" x14ac:dyDescent="0.25">
      <c r="A20" s="189">
        <v>9</v>
      </c>
      <c r="B20" s="83" t="s">
        <v>133</v>
      </c>
      <c r="C20" s="84" t="s">
        <v>134</v>
      </c>
      <c r="D20" s="182" t="s">
        <v>178</v>
      </c>
      <c r="E20" s="46" t="s">
        <v>47</v>
      </c>
      <c r="F20" s="85">
        <v>2000</v>
      </c>
      <c r="G20" s="64">
        <v>2</v>
      </c>
      <c r="H20" s="211">
        <f t="shared" si="0"/>
        <v>4000</v>
      </c>
      <c r="I20" s="210"/>
      <c r="J20" s="210"/>
    </row>
    <row r="21" spans="1:10" ht="18.75" x14ac:dyDescent="0.25">
      <c r="A21" s="240" t="s">
        <v>219</v>
      </c>
      <c r="B21" s="240"/>
      <c r="C21" s="240"/>
      <c r="D21" s="240"/>
      <c r="E21" s="240"/>
      <c r="F21" s="241">
        <v>18850</v>
      </c>
      <c r="G21" s="241"/>
      <c r="H21" s="210"/>
      <c r="I21" s="210"/>
      <c r="J21" s="210"/>
    </row>
    <row r="22" spans="1:10" x14ac:dyDescent="0.25">
      <c r="A22" s="32"/>
      <c r="B22" s="32"/>
      <c r="C22" s="32"/>
      <c r="D22" s="32"/>
      <c r="E22" s="32"/>
      <c r="F22" s="32"/>
      <c r="G22" s="32"/>
    </row>
    <row r="23" spans="1:10" x14ac:dyDescent="0.25">
      <c r="G23" s="120"/>
    </row>
  </sheetData>
  <mergeCells count="16">
    <mergeCell ref="A7:B7"/>
    <mergeCell ref="A1:E1"/>
    <mergeCell ref="A3:B3"/>
    <mergeCell ref="A4:B4"/>
    <mergeCell ref="A5:B5"/>
    <mergeCell ref="A6:B6"/>
    <mergeCell ref="F10:F11"/>
    <mergeCell ref="G10:G11"/>
    <mergeCell ref="A21:E21"/>
    <mergeCell ref="F21:G21"/>
    <mergeCell ref="A8:B8"/>
    <mergeCell ref="A10:A11"/>
    <mergeCell ref="B10:B11"/>
    <mergeCell ref="C10:C11"/>
    <mergeCell ref="D10:D11"/>
    <mergeCell ref="E10:E11"/>
  </mergeCells>
  <conditionalFormatting sqref="B17:B20 B12:B14">
    <cfRule type="duplicateValues" dxfId="15" priority="13"/>
  </conditionalFormatting>
  <conditionalFormatting sqref="B17:B20 B12:B15">
    <cfRule type="duplicateValues" dxfId="14" priority="14"/>
  </conditionalFormatting>
  <conditionalFormatting sqref="B12:B20">
    <cfRule type="duplicateValues" dxfId="13" priority="15"/>
  </conditionalFormatting>
  <conditionalFormatting sqref="B12:B20">
    <cfRule type="duplicateValues" dxfId="12" priority="16"/>
  </conditionalFormatting>
  <conditionalFormatting sqref="B15">
    <cfRule type="duplicateValues" dxfId="11" priority="12"/>
  </conditionalFormatting>
  <conditionalFormatting sqref="B16">
    <cfRule type="duplicateValues" dxfId="10" priority="10"/>
  </conditionalFormatting>
  <conditionalFormatting sqref="B16">
    <cfRule type="duplicateValues" dxfId="9" priority="11"/>
  </conditionalFormatting>
  <conditionalFormatting sqref="C12:C20">
    <cfRule type="duplicateValues" dxfId="8" priority="4"/>
  </conditionalFormatting>
  <conditionalFormatting sqref="C12:C20">
    <cfRule type="duplicateValues" dxfId="7" priority="5"/>
    <cfRule type="duplicateValues" dxfId="6" priority="6"/>
  </conditionalFormatting>
  <conditionalFormatting sqref="C17:C20 C12:C14">
    <cfRule type="duplicateValues" dxfId="5" priority="7"/>
  </conditionalFormatting>
  <conditionalFormatting sqref="C17:C20 C12:C15">
    <cfRule type="duplicateValues" dxfId="4" priority="8"/>
  </conditionalFormatting>
  <conditionalFormatting sqref="C12:C20">
    <cfRule type="duplicateValues" dxfId="3" priority="9"/>
  </conditionalFormatting>
  <conditionalFormatting sqref="C15">
    <cfRule type="duplicateValues" dxfId="2" priority="3"/>
  </conditionalFormatting>
  <conditionalFormatting sqref="C16">
    <cfRule type="duplicateValues" dxfId="1" priority="1"/>
  </conditionalFormatting>
  <conditionalFormatting sqref="C16">
    <cfRule type="duplicateValues" dxfId="0" priority="2"/>
  </conditionalFormatting>
  <pageMargins left="0.70866141732283472" right="0.70866141732283472" top="0.74803149606299213" bottom="0.74803149606299213" header="0.31496062992125984" footer="0.31496062992125984"/>
  <pageSetup paperSize="5" scale="90" orientation="landscape" r:id="rId1"/>
  <colBreaks count="1" manualBreakCount="1">
    <brk id="7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Q41"/>
  <sheetViews>
    <sheetView topLeftCell="A22" zoomScaleNormal="100" workbookViewId="0">
      <selection activeCell="C51" sqref="C51"/>
    </sheetView>
  </sheetViews>
  <sheetFormatPr baseColWidth="10" defaultRowHeight="15" x14ac:dyDescent="0.25"/>
  <cols>
    <col min="1" max="14" width="5.85546875" customWidth="1"/>
    <col min="16" max="16" width="22.140625" customWidth="1"/>
    <col min="17" max="17" width="18.7109375" customWidth="1"/>
  </cols>
  <sheetData>
    <row r="1" spans="1:17" ht="15.75" thickBot="1" x14ac:dyDescent="0.3">
      <c r="A1" s="267" t="s">
        <v>5</v>
      </c>
      <c r="B1" s="267"/>
      <c r="C1" s="267"/>
      <c r="D1" s="268">
        <v>2022</v>
      </c>
      <c r="E1" s="268"/>
      <c r="F1" s="133"/>
      <c r="G1" s="133"/>
      <c r="H1" s="134"/>
      <c r="I1" s="134"/>
      <c r="J1" s="134"/>
      <c r="K1" s="134"/>
      <c r="L1" s="134"/>
      <c r="M1" s="134"/>
      <c r="N1" s="134"/>
      <c r="O1" s="135"/>
      <c r="P1" s="269" t="s">
        <v>179</v>
      </c>
      <c r="Q1" s="269"/>
    </row>
    <row r="2" spans="1:17" ht="15.75" thickBot="1" x14ac:dyDescent="0.3">
      <c r="A2" s="136"/>
      <c r="B2" s="137"/>
      <c r="C2" s="137"/>
      <c r="D2" s="137"/>
      <c r="E2" s="137"/>
      <c r="F2" s="137"/>
      <c r="G2" s="138"/>
      <c r="H2" s="139"/>
      <c r="I2" s="139"/>
      <c r="J2" s="139"/>
      <c r="K2" s="139"/>
      <c r="L2" s="139"/>
      <c r="M2" s="139"/>
      <c r="N2" s="139"/>
      <c r="O2" s="137"/>
      <c r="P2" s="269"/>
      <c r="Q2" s="269"/>
    </row>
    <row r="3" spans="1:17" ht="15.75" thickBot="1" x14ac:dyDescent="0.3">
      <c r="A3" s="136"/>
      <c r="B3" s="137"/>
      <c r="C3" s="137"/>
      <c r="D3" s="137"/>
      <c r="E3" s="137"/>
      <c r="F3" s="137"/>
      <c r="G3" s="138"/>
      <c r="H3" s="137"/>
      <c r="I3" s="137"/>
      <c r="J3" s="137"/>
      <c r="K3" s="137"/>
      <c r="L3" s="137"/>
      <c r="M3" s="137"/>
      <c r="N3" s="137"/>
      <c r="O3" s="137"/>
      <c r="P3" s="137"/>
      <c r="Q3" s="140"/>
    </row>
    <row r="4" spans="1:17" ht="15.75" thickBot="1" x14ac:dyDescent="0.3">
      <c r="A4" s="270" t="s">
        <v>180</v>
      </c>
      <c r="B4" s="270"/>
      <c r="C4" s="270"/>
      <c r="D4" s="270"/>
      <c r="E4" s="270"/>
      <c r="F4" s="270"/>
      <c r="G4" s="271" t="str">
        <f>'[1]NP DPBS'!D3</f>
        <v>040 - MINISTERIO DE SALUD</v>
      </c>
      <c r="H4" s="271"/>
      <c r="I4" s="271"/>
      <c r="J4" s="271"/>
      <c r="K4" s="271"/>
      <c r="L4" s="271"/>
      <c r="M4" s="271"/>
      <c r="N4" s="271"/>
      <c r="O4" s="271"/>
      <c r="P4" s="271"/>
      <c r="Q4" s="271"/>
    </row>
    <row r="5" spans="1:17" ht="15.75" thickBot="1" x14ac:dyDescent="0.3">
      <c r="A5" s="272" t="s">
        <v>165</v>
      </c>
      <c r="B5" s="272"/>
      <c r="C5" s="272"/>
      <c r="D5" s="272"/>
      <c r="E5" s="272"/>
      <c r="F5" s="272"/>
      <c r="G5" s="271" t="str">
        <f>'[1]NP DPBS'!D4</f>
        <v>011 - DIRECCION PROVINCIAL DE ADMINISTRACION - MINISTERIO DE SALUD</v>
      </c>
      <c r="H5" s="271"/>
      <c r="I5" s="271"/>
      <c r="J5" s="271"/>
      <c r="K5" s="271"/>
      <c r="L5" s="271"/>
      <c r="M5" s="271"/>
      <c r="N5" s="271"/>
      <c r="O5" s="271"/>
      <c r="P5" s="271"/>
      <c r="Q5" s="271"/>
    </row>
    <row r="6" spans="1:17" ht="15.75" thickBot="1" x14ac:dyDescent="0.3">
      <c r="A6" s="272" t="s">
        <v>166</v>
      </c>
      <c r="B6" s="272"/>
      <c r="C6" s="272"/>
      <c r="D6" s="272"/>
      <c r="E6" s="272"/>
      <c r="F6" s="272"/>
      <c r="G6" s="271" t="s">
        <v>217</v>
      </c>
      <c r="H6" s="271"/>
      <c r="I6" s="271"/>
      <c r="J6" s="271"/>
      <c r="K6" s="271"/>
      <c r="L6" s="271"/>
      <c r="M6" s="271"/>
      <c r="N6" s="271"/>
      <c r="O6" s="271"/>
      <c r="P6" s="271"/>
      <c r="Q6" s="271"/>
    </row>
    <row r="7" spans="1:17" ht="15.75" thickBot="1" x14ac:dyDescent="0.3">
      <c r="A7" s="272" t="s">
        <v>168</v>
      </c>
      <c r="B7" s="272"/>
      <c r="C7" s="272"/>
      <c r="D7" s="272"/>
      <c r="E7" s="272"/>
      <c r="F7" s="272"/>
      <c r="G7" s="271" t="s">
        <v>217</v>
      </c>
      <c r="H7" s="271"/>
      <c r="I7" s="271"/>
      <c r="J7" s="271"/>
      <c r="K7" s="271"/>
      <c r="L7" s="271"/>
      <c r="M7" s="271"/>
      <c r="N7" s="271"/>
      <c r="O7" s="271"/>
      <c r="P7" s="271"/>
      <c r="Q7" s="271"/>
    </row>
    <row r="8" spans="1:17" ht="15.75" thickBot="1" x14ac:dyDescent="0.3">
      <c r="A8" s="273" t="s">
        <v>181</v>
      </c>
      <c r="B8" s="273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</row>
    <row r="9" spans="1:17" x14ac:dyDescent="0.25">
      <c r="A9" s="266" t="s">
        <v>182</v>
      </c>
      <c r="B9" s="266"/>
      <c r="C9" s="266"/>
      <c r="D9" s="266"/>
      <c r="E9" s="266"/>
      <c r="F9" s="266"/>
      <c r="G9" s="266"/>
      <c r="H9" s="266"/>
      <c r="I9" s="266"/>
      <c r="J9" s="266"/>
      <c r="K9" s="266"/>
      <c r="L9" s="266"/>
      <c r="M9" s="266"/>
      <c r="N9" s="266"/>
      <c r="O9" s="266"/>
      <c r="P9" s="266"/>
      <c r="Q9" s="266"/>
    </row>
    <row r="10" spans="1:17" x14ac:dyDescent="0.25">
      <c r="A10" s="257" t="s">
        <v>183</v>
      </c>
      <c r="B10" s="257"/>
      <c r="C10" s="257"/>
      <c r="D10" s="257"/>
      <c r="E10" s="257"/>
      <c r="F10" s="257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257"/>
    </row>
    <row r="11" spans="1:17" ht="15.75" thickBot="1" x14ac:dyDescent="0.3">
      <c r="A11" s="141"/>
      <c r="B11" s="142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4"/>
    </row>
    <row r="12" spans="1:17" ht="15.75" thickBot="1" x14ac:dyDescent="0.3">
      <c r="A12" s="258" t="s">
        <v>184</v>
      </c>
      <c r="B12" s="258"/>
      <c r="C12" s="258"/>
      <c r="D12" s="258"/>
      <c r="E12" s="258"/>
      <c r="F12" s="258"/>
      <c r="G12" s="258"/>
      <c r="H12" s="258"/>
      <c r="I12" s="258"/>
      <c r="J12" s="258"/>
      <c r="K12" s="258"/>
      <c r="L12" s="258"/>
      <c r="M12" s="258"/>
      <c r="N12" s="258"/>
      <c r="O12" s="258"/>
      <c r="P12" s="258"/>
      <c r="Q12" s="258"/>
    </row>
    <row r="13" spans="1:17" ht="15.75" thickBot="1" x14ac:dyDescent="0.3">
      <c r="A13" s="259" t="s">
        <v>185</v>
      </c>
      <c r="B13" s="259"/>
      <c r="C13" s="259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259"/>
      <c r="O13" s="260" t="s">
        <v>186</v>
      </c>
      <c r="P13" s="260"/>
      <c r="Q13" s="261" t="s">
        <v>187</v>
      </c>
    </row>
    <row r="14" spans="1:17" ht="15.75" thickBot="1" x14ac:dyDescent="0.3">
      <c r="A14" s="145" t="s">
        <v>188</v>
      </c>
      <c r="B14" s="146" t="s">
        <v>189</v>
      </c>
      <c r="C14" s="146" t="s">
        <v>190</v>
      </c>
      <c r="D14" s="146" t="s">
        <v>191</v>
      </c>
      <c r="E14" s="146" t="s">
        <v>192</v>
      </c>
      <c r="F14" s="146" t="s">
        <v>193</v>
      </c>
      <c r="G14" s="147" t="s">
        <v>194</v>
      </c>
      <c r="H14" s="146" t="s">
        <v>195</v>
      </c>
      <c r="I14" s="146" t="s">
        <v>196</v>
      </c>
      <c r="J14" s="146" t="s">
        <v>197</v>
      </c>
      <c r="K14" s="146" t="s">
        <v>197</v>
      </c>
      <c r="L14" s="146" t="s">
        <v>198</v>
      </c>
      <c r="M14" s="148" t="s">
        <v>199</v>
      </c>
      <c r="N14" s="149" t="s">
        <v>200</v>
      </c>
      <c r="O14" s="260"/>
      <c r="P14" s="260"/>
      <c r="Q14" s="261"/>
    </row>
    <row r="15" spans="1:17" x14ac:dyDescent="0.25">
      <c r="A15" s="176">
        <v>40</v>
      </c>
      <c r="B15" s="176"/>
      <c r="C15" s="176"/>
      <c r="D15" s="176">
        <v>1</v>
      </c>
      <c r="E15" s="176"/>
      <c r="F15" s="176">
        <v>4901</v>
      </c>
      <c r="G15" s="176">
        <v>3</v>
      </c>
      <c r="H15" s="176">
        <v>1</v>
      </c>
      <c r="I15" s="176">
        <v>2</v>
      </c>
      <c r="J15" s="176">
        <v>3</v>
      </c>
      <c r="K15" s="176">
        <v>4</v>
      </c>
      <c r="L15" s="176"/>
      <c r="M15" s="176">
        <v>1</v>
      </c>
      <c r="N15" s="176" t="s">
        <v>201</v>
      </c>
      <c r="O15" s="274" t="s">
        <v>220</v>
      </c>
      <c r="P15" s="262"/>
      <c r="Q15" s="150">
        <v>6500</v>
      </c>
    </row>
    <row r="16" spans="1:17" x14ac:dyDescent="0.25">
      <c r="A16" s="176">
        <v>40</v>
      </c>
      <c r="B16" s="176"/>
      <c r="C16" s="176"/>
      <c r="D16" s="176">
        <v>1</v>
      </c>
      <c r="E16" s="176"/>
      <c r="F16" s="176">
        <v>4901</v>
      </c>
      <c r="G16" s="176">
        <v>3</v>
      </c>
      <c r="H16" s="176">
        <v>1</v>
      </c>
      <c r="I16" s="152">
        <v>2</v>
      </c>
      <c r="J16" s="152">
        <v>9</v>
      </c>
      <c r="K16" s="152">
        <v>1</v>
      </c>
      <c r="L16" s="152"/>
      <c r="M16" s="176">
        <v>1</v>
      </c>
      <c r="N16" s="176" t="s">
        <v>201</v>
      </c>
      <c r="O16" s="275" t="s">
        <v>48</v>
      </c>
      <c r="P16" s="263"/>
      <c r="Q16" s="155">
        <v>12350</v>
      </c>
    </row>
    <row r="17" spans="1:17" x14ac:dyDescent="0.25">
      <c r="A17" s="151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3"/>
      <c r="N17" s="185"/>
      <c r="O17" s="256"/>
      <c r="P17" s="256"/>
      <c r="Q17" s="155"/>
    </row>
    <row r="18" spans="1:17" x14ac:dyDescent="0.25">
      <c r="A18" s="151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3"/>
      <c r="N18" s="185"/>
      <c r="O18" s="256"/>
      <c r="P18" s="256"/>
      <c r="Q18" s="155"/>
    </row>
    <row r="19" spans="1:17" x14ac:dyDescent="0.25">
      <c r="A19" s="151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3"/>
      <c r="N19" s="185"/>
      <c r="O19" s="256"/>
      <c r="P19" s="256"/>
      <c r="Q19" s="155"/>
    </row>
    <row r="20" spans="1:17" x14ac:dyDescent="0.25">
      <c r="A20" s="151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3"/>
      <c r="N20" s="185"/>
      <c r="O20" s="256"/>
      <c r="P20" s="256"/>
      <c r="Q20" s="155"/>
    </row>
    <row r="21" spans="1:17" x14ac:dyDescent="0.25">
      <c r="A21" s="151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3"/>
      <c r="N21" s="185"/>
      <c r="O21" s="256"/>
      <c r="P21" s="256"/>
      <c r="Q21" s="155"/>
    </row>
    <row r="22" spans="1:17" x14ac:dyDescent="0.25">
      <c r="A22" s="151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3"/>
      <c r="N22" s="185"/>
      <c r="O22" s="256"/>
      <c r="P22" s="256"/>
      <c r="Q22" s="155"/>
    </row>
    <row r="23" spans="1:17" x14ac:dyDescent="0.25">
      <c r="A23" s="151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3"/>
      <c r="N23" s="185"/>
      <c r="O23" s="256"/>
      <c r="P23" s="256"/>
      <c r="Q23" s="155"/>
    </row>
    <row r="24" spans="1:17" x14ac:dyDescent="0.25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85"/>
      <c r="O24" s="256"/>
      <c r="P24" s="256"/>
      <c r="Q24" s="155"/>
    </row>
    <row r="25" spans="1:17" x14ac:dyDescent="0.25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85"/>
      <c r="O25" s="256"/>
      <c r="P25" s="256"/>
      <c r="Q25" s="155"/>
    </row>
    <row r="26" spans="1:17" x14ac:dyDescent="0.25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85"/>
      <c r="O26" s="256"/>
      <c r="P26" s="256"/>
      <c r="Q26" s="155"/>
    </row>
    <row r="27" spans="1:17" x14ac:dyDescent="0.25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85"/>
      <c r="O27" s="256"/>
      <c r="P27" s="256"/>
      <c r="Q27" s="155"/>
    </row>
    <row r="28" spans="1:17" x14ac:dyDescent="0.25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85"/>
      <c r="O28" s="256"/>
      <c r="P28" s="256"/>
      <c r="Q28" s="155"/>
    </row>
    <row r="29" spans="1:17" x14ac:dyDescent="0.25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85"/>
      <c r="O29" s="256"/>
      <c r="P29" s="256"/>
      <c r="Q29" s="155"/>
    </row>
    <row r="30" spans="1:17" x14ac:dyDescent="0.25">
      <c r="A30" s="151"/>
      <c r="B30" s="152"/>
      <c r="C30" s="152"/>
      <c r="D30" s="152"/>
      <c r="E30" s="152"/>
      <c r="F30" s="185"/>
      <c r="G30" s="152"/>
      <c r="H30" s="152"/>
      <c r="I30" s="152"/>
      <c r="J30" s="152"/>
      <c r="K30" s="152"/>
      <c r="L30" s="152"/>
      <c r="M30" s="153"/>
      <c r="N30" s="185"/>
      <c r="O30" s="251"/>
      <c r="P30" s="251"/>
      <c r="Q30" s="155"/>
    </row>
    <row r="31" spans="1:17" x14ac:dyDescent="0.25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85"/>
      <c r="O31" s="251"/>
      <c r="P31" s="251"/>
      <c r="Q31" s="155"/>
    </row>
    <row r="32" spans="1:17" x14ac:dyDescent="0.25">
      <c r="A32" s="151"/>
      <c r="B32" s="152"/>
      <c r="C32" s="152"/>
      <c r="D32" s="152"/>
      <c r="E32" s="152"/>
      <c r="F32" s="185"/>
      <c r="G32" s="152"/>
      <c r="H32" s="152"/>
      <c r="I32" s="152"/>
      <c r="J32" s="152"/>
      <c r="K32" s="152"/>
      <c r="L32" s="152"/>
      <c r="M32" s="153"/>
      <c r="N32" s="185"/>
      <c r="O32" s="251"/>
      <c r="P32" s="251"/>
      <c r="Q32" s="155"/>
    </row>
    <row r="33" spans="1:17" x14ac:dyDescent="0.25">
      <c r="A33" s="151"/>
      <c r="B33" s="152"/>
      <c r="C33" s="152"/>
      <c r="D33" s="152"/>
      <c r="E33" s="152"/>
      <c r="F33" s="185"/>
      <c r="G33" s="152"/>
      <c r="H33" s="152"/>
      <c r="I33" s="152"/>
      <c r="J33" s="152"/>
      <c r="K33" s="152"/>
      <c r="L33" s="152"/>
      <c r="M33" s="153"/>
      <c r="N33" s="185"/>
      <c r="O33" s="251"/>
      <c r="P33" s="251"/>
      <c r="Q33" s="155"/>
    </row>
    <row r="34" spans="1:17" x14ac:dyDescent="0.25">
      <c r="A34" s="156"/>
      <c r="B34" s="157"/>
      <c r="C34" s="157"/>
      <c r="D34" s="157"/>
      <c r="E34" s="157"/>
      <c r="F34" s="158"/>
      <c r="G34" s="157"/>
      <c r="H34" s="157"/>
      <c r="I34" s="157"/>
      <c r="J34" s="157"/>
      <c r="K34" s="157"/>
      <c r="L34" s="157"/>
      <c r="M34" s="159"/>
      <c r="N34" s="160"/>
      <c r="O34" s="252"/>
      <c r="P34" s="252"/>
      <c r="Q34" s="155"/>
    </row>
    <row r="35" spans="1:17" ht="15.75" thickBot="1" x14ac:dyDescent="0.3">
      <c r="A35" s="161"/>
      <c r="B35" s="162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3"/>
      <c r="N35" s="162"/>
      <c r="O35" s="253"/>
      <c r="P35" s="253"/>
      <c r="Q35" s="164"/>
    </row>
    <row r="36" spans="1:17" ht="15.75" thickBot="1" x14ac:dyDescent="0.3">
      <c r="A36" s="254" t="s">
        <v>218</v>
      </c>
      <c r="B36" s="254"/>
      <c r="C36" s="254"/>
      <c r="D36" s="254"/>
      <c r="E36" s="254"/>
      <c r="F36" s="254"/>
      <c r="G36" s="254"/>
      <c r="H36" s="254"/>
      <c r="I36" s="254"/>
      <c r="J36" s="254"/>
      <c r="K36" s="254"/>
      <c r="L36" s="254"/>
      <c r="M36" s="254"/>
      <c r="N36" s="254"/>
      <c r="O36" s="254"/>
      <c r="P36" s="254"/>
      <c r="Q36" s="165">
        <f>SUM(Q15:Q35)</f>
        <v>18850</v>
      </c>
    </row>
    <row r="37" spans="1:17" ht="15.75" thickBot="1" x14ac:dyDescent="0.3">
      <c r="A37" s="255"/>
      <c r="B37" s="255"/>
      <c r="C37" s="255"/>
      <c r="D37" s="255"/>
      <c r="E37" s="255"/>
      <c r="F37" s="255"/>
      <c r="G37" s="255"/>
      <c r="H37" s="255"/>
      <c r="I37" s="255"/>
      <c r="J37" s="255"/>
      <c r="K37" s="255"/>
      <c r="L37" s="255"/>
      <c r="M37" s="255"/>
      <c r="N37" s="255"/>
      <c r="O37" s="255"/>
      <c r="P37" s="255"/>
      <c r="Q37" s="255"/>
    </row>
    <row r="38" spans="1:17" ht="15.75" thickBot="1" x14ac:dyDescent="0.3">
      <c r="A38" s="248" t="s">
        <v>202</v>
      </c>
      <c r="B38" s="248"/>
      <c r="C38" s="248"/>
      <c r="D38" s="248"/>
      <c r="E38" s="248"/>
      <c r="F38" s="248"/>
      <c r="G38" s="249"/>
      <c r="H38" s="249"/>
      <c r="I38" s="249"/>
      <c r="J38" s="249"/>
      <c r="K38" s="249"/>
      <c r="L38" s="249"/>
      <c r="M38" s="249"/>
      <c r="N38" s="249"/>
      <c r="O38" s="249"/>
      <c r="P38" s="249"/>
      <c r="Q38" s="249"/>
    </row>
    <row r="39" spans="1:17" ht="15.75" thickBot="1" x14ac:dyDescent="0.3">
      <c r="A39" s="250" t="s">
        <v>204</v>
      </c>
      <c r="B39" s="250"/>
      <c r="C39" s="250"/>
      <c r="D39" s="250"/>
      <c r="E39" s="250"/>
      <c r="F39" s="250"/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</row>
    <row r="40" spans="1:17" ht="15.75" thickBot="1" x14ac:dyDescent="0.3">
      <c r="A40" s="250"/>
      <c r="B40" s="250"/>
      <c r="C40" s="250"/>
      <c r="D40" s="250"/>
      <c r="E40" s="250"/>
      <c r="F40" s="250"/>
      <c r="G40" s="250"/>
      <c r="H40" s="250"/>
      <c r="I40" s="250"/>
      <c r="J40" s="250"/>
      <c r="K40" s="250"/>
      <c r="L40" s="250"/>
      <c r="M40" s="250"/>
      <c r="N40" s="250"/>
      <c r="O40" s="250"/>
      <c r="P40" s="250"/>
      <c r="Q40" s="250"/>
    </row>
    <row r="41" spans="1:17" x14ac:dyDescent="0.25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</row>
  </sheetData>
  <mergeCells count="44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39:Q40"/>
    <mergeCell ref="O34:P34"/>
    <mergeCell ref="O35:P35"/>
    <mergeCell ref="A36:P36"/>
    <mergeCell ref="A37:Q37"/>
    <mergeCell ref="A38:F38"/>
    <mergeCell ref="G38:Q38"/>
  </mergeCells>
  <pageMargins left="0.7" right="0.7" top="0.75" bottom="0.75" header="0.3" footer="0.3"/>
  <pageSetup paperSize="5" scale="6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17</vt:i4>
      </vt:variant>
    </vt:vector>
  </HeadingPairs>
  <TitlesOfParts>
    <vt:vector size="41" baseType="lpstr">
      <vt:lpstr>SAF 011</vt:lpstr>
      <vt:lpstr>NP BCO DESANGRE</vt:lpstr>
      <vt:lpstr>APG BCO SANGRE</vt:lpstr>
      <vt:lpstr>NP APS</vt:lpstr>
      <vt:lpstr>APG APS</vt:lpstr>
      <vt:lpstr>NP FARMACIA</vt:lpstr>
      <vt:lpstr>APG FARMACIA</vt:lpstr>
      <vt:lpstr>NP SAME</vt:lpstr>
      <vt:lpstr>APG SAME</vt:lpstr>
      <vt:lpstr>NP S.A.S.P.</vt:lpstr>
      <vt:lpstr>APG S.A.S.P.</vt:lpstr>
      <vt:lpstr>NPyE DPAIPD</vt:lpstr>
      <vt:lpstr>APG DPAIPD</vt:lpstr>
      <vt:lpstr>NP REGUL Y CONTROL</vt:lpstr>
      <vt:lpstr>APG REGUL Y CONTROL</vt:lpstr>
      <vt:lpstr>NPyE SPyGS</vt:lpstr>
      <vt:lpstr>APG SPyGS</vt:lpstr>
      <vt:lpstr>NP. EPIDEMIO.</vt:lpstr>
      <vt:lpstr>APG.   EPIDEMIO.</vt:lpstr>
      <vt:lpstr>NP. M.S.</vt:lpstr>
      <vt:lpstr>APG. M.S. </vt:lpstr>
      <vt:lpstr>Hoja1</vt:lpstr>
      <vt:lpstr>NP. SUMAR</vt:lpstr>
      <vt:lpstr>APG. SUMAR</vt:lpstr>
      <vt:lpstr>'APG APS'!Área_de_impresión</vt:lpstr>
      <vt:lpstr>'APG BCO SANGRE'!Área_de_impresión</vt:lpstr>
      <vt:lpstr>'APG FARMACIA'!Área_de_impresión</vt:lpstr>
      <vt:lpstr>'APG REGUL Y CONTROL'!Área_de_impresión</vt:lpstr>
      <vt:lpstr>'APG S.A.S.P.'!Área_de_impresión</vt:lpstr>
      <vt:lpstr>'APG SAME'!Área_de_impresión</vt:lpstr>
      <vt:lpstr>'APG.   EPIDEMIO.'!Área_de_impresión</vt:lpstr>
      <vt:lpstr>'APG. M.S. '!Área_de_impresión</vt:lpstr>
      <vt:lpstr>'APG. SUMAR'!Área_de_impresión</vt:lpstr>
      <vt:lpstr>'NP APS'!Área_de_impresión</vt:lpstr>
      <vt:lpstr>'NP FARMACIA'!Área_de_impresión</vt:lpstr>
      <vt:lpstr>'NP REGUL Y CONTROL'!Área_de_impresión</vt:lpstr>
      <vt:lpstr>'NP S.A.S.P.'!Área_de_impresión</vt:lpstr>
      <vt:lpstr>'NP SAME'!Área_de_impresión</vt:lpstr>
      <vt:lpstr>'NP. EPIDEMIO.'!Área_de_impresión</vt:lpstr>
      <vt:lpstr>'NP. M.S.'!Área_de_impresión</vt:lpstr>
      <vt:lpstr>'NP. SUMAR'!Área_de_impresión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MARIA MALDONADO</cp:lastModifiedBy>
  <cp:lastPrinted>2022-10-19T15:34:25Z</cp:lastPrinted>
  <dcterms:created xsi:type="dcterms:W3CDTF">2021-11-12T17:27:33Z</dcterms:created>
  <dcterms:modified xsi:type="dcterms:W3CDTF">2022-10-28T15:15:36Z</dcterms:modified>
</cp:coreProperties>
</file>