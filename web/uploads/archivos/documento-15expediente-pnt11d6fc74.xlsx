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DA#HSJB" sheetId="2" r:id="rId5"/>
    <sheet name="APG DA#HSJB" sheetId="3" r:id="rId6"/>
    <sheet name="Nota Pedido DA#HNEP" sheetId="4" r:id="rId7"/>
    <sheet name="APG DA#HNEP" sheetId="5" r:id="rId8"/>
    <sheet name="Nota Pedido DPA#MS" sheetId="6" r:id="rId9"/>
    <sheet name="APG DPA#MS" sheetId="7" r:id="rId10"/>
  </sheets>
  <definedNames>
    <definedName name="_xlnm.Print_Area" localSheetId="1">'Nota Pedido DA#HSJB'!$A$1:$G$61</definedName>
    <definedName name="_xlnm.Print_Area" localSheetId="2">'APG DA#HSJB'!$A$1:$Q$26</definedName>
    <definedName name="_xlnm.Print_Area" localSheetId="3">'Nota Pedido DA#HNEP'!$A$1:$G$67</definedName>
    <definedName name="_xlnm.Print_Area" localSheetId="4">'APG DA#HNEP'!$A$1:$Q$26</definedName>
    <definedName name="_xlnm.Print_Area" localSheetId="5">'Nota Pedido DPA#MS'!$A$1:$G$72</definedName>
    <definedName name="_xlnm.Print_Area" localSheetId="6">'APG DPA#MS'!$A$1:$Q$26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<sst xmlns="http://schemas.openxmlformats.org/spreadsheetml/2006/main" uniqueCount="340">
  <si>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</si>
  <si>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</si>
  <si>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</si>
  <si>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</si>
  <si>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</si>
  <si>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</si>
  <si>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</si>
  <si>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4°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</si>
  <si>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</si>
  <si>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</si>
  <si>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</si>
  <si>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</si>
  <si>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</si>
  <si>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</si>
  <si>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</si>
  <si>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</si>
  <si>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</si>
  <si>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</si>
  <si>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2.9.1-646.16</t>
  </si>
  <si>
    <t>ELEMENTOS DE LIMPIEZA</t>
  </si>
  <si>
    <t>2.5.8</t>
  </si>
  <si>
    <t>BOLSAS DE RESIDUOS; COLOR: OBSCURO, ESPESOR: 30 MN, DIMENSION: 45 X 60 CM, PRESENTACION: SIN VALOR</t>
  </si>
  <si>
    <t>UNIDAD</t>
  </si>
  <si>
    <t>2.9.1-646.26</t>
  </si>
  <si>
    <t>BOLSAS DE RESIDUOS; DIMENSION: 60 X 90 CM, ESPESOR: 30 MM, PRESENTACION: POR UNIDAD, COLOR: OSCURO</t>
  </si>
  <si>
    <t>2.9.1-646.18</t>
  </si>
  <si>
    <t>2.9.1</t>
  </si>
  <si>
    <t>BOLSAS DE RESIDUOS; COLOR: OBSCURO, ESPESOR: 40 MN, DIMENSION: 45 X 60 CM, PRESENTACION: SIN VALOR</t>
  </si>
  <si>
    <t>Unidad</t>
  </si>
  <si>
    <t xml:space="preserve"> NO DE ARRASTRE ( INDIVIDUAL) - </t>
  </si>
  <si>
    <t>2.9.1-646.19</t>
  </si>
  <si>
    <t>BOLSAS DE RESIDUOS; ESPESOR: 40 MN, COLOR: TRANSPARENTE, DIMENSION: 50 X 70 CM, PRESENTACION: SIN VALOR</t>
  </si>
  <si>
    <t xml:space="preserve">NO DE ARRASTRE ( INDIVIDUAL ) - </t>
  </si>
  <si>
    <t>2.9.1-646.58</t>
  </si>
  <si>
    <t>BOLSAS DE RESIDUOS; DIMENSION: 80 X 110 CM, PRESENTACION: POR UNIDAD, ESPESOR: 30 MN, COLOR: TRANSPARENTE</t>
  </si>
  <si>
    <t>2.9.1-1164.26</t>
  </si>
  <si>
    <t>ESPONJAS; USO: LIMPIEZA, ADITAMENTO: SIN VALOR, FORMA: RECTANGULAR, COLOR: AMARILLO, MATERIAL: FIBRA, LARGO X ANCHO X ESP: 9,7 X 5,7 X 3,5 CM</t>
  </si>
  <si>
    <t>2.9.1-6960.27</t>
  </si>
  <si>
    <t>ELEM. LIMPIEZA P/INDUMENTARIA; TIPO: JABON EN PAN, PRESENTACION: 200 GR</t>
  </si>
  <si>
    <t>2.9.1-1164.10</t>
  </si>
  <si>
    <t>ESPONJAS; MATERIAL: ESPONJA NATURAL, USO: P/COCINA, FORMA: RECTANGULAR, COLOR: AMARILLO, ADITAMENTO: SIN VALOR, LARGO X ANCHO X ESP: 9,7 X 5,7 CM</t>
  </si>
  <si>
    <t>2.9.1-1164.22</t>
  </si>
  <si>
    <t>ESPONJAS; MATERIAL: ACERO INOXIDABLE, USO: LIMPIEZA, ADITAMENTO: SIN, FORMA: MADEJA 15 GR, LARGO X ANCHO X ESP: SIN VALOR, COLOR: ACERO</t>
  </si>
  <si>
    <t>2.3.4-783.40</t>
  </si>
  <si>
    <t>2.3.4</t>
  </si>
  <si>
    <t>TOALLAS DE PAPEL; MATERIAL: PAPEL, GRAMAJE: SIN VALOR, DIMENSION: 22,8 (ANCHO) CM, COLOR: BLANCO, PRESENTACION: ROLLO</t>
  </si>
  <si>
    <t>ROLLO</t>
  </si>
  <si>
    <t>2.9.1-1083.8</t>
  </si>
  <si>
    <t>ESPONJA DE ACERO; PESO: 25 GR, MATERIAL: ACERO</t>
  </si>
  <si>
    <t>2.9.1-2030.1</t>
  </si>
  <si>
    <t>LANAS DE ACERO; PRESENTACION: PAQUETE, CONTENIDO: MADEJA</t>
  </si>
  <si>
    <t>PAQUETE</t>
  </si>
  <si>
    <t>PAQUETE X 6 UNIDADES.</t>
  </si>
  <si>
    <t>2.9.1-6951.28</t>
  </si>
  <si>
    <t>LIMPIADORES; TIPO: LAVANDINA, PRESENTACION: ENVASE X 1 L</t>
  </si>
  <si>
    <t>2.9.1-1083.10</t>
  </si>
  <si>
    <t>ESPONJA DE ACERO; PESO: 80 GR, MATERIAL: ACERO INOXIDABLE</t>
  </si>
  <si>
    <t>2.9.1-646.7</t>
  </si>
  <si>
    <t>BOLSAS DE RESIDUOS; PRESENTACION: BOLSA X 10, DIMENSION: 50 X 70 CM, ESPESOR: SIN VALOR, COLOR: SIN VALOR</t>
  </si>
  <si>
    <t>PACK</t>
  </si>
  <si>
    <t>2.9.1-646.6</t>
  </si>
  <si>
    <t>BOLSAS DE RESIDUOS; DIMENSION: 45 X 60 CM, PRESENTACION: BOLSA X 10, COLOR: SIN VALOR, ESPESOR: SIN VALOR</t>
  </si>
  <si>
    <t>COLOR ROJO CON IMPRESIÓN "RESIDUOS PATOGENOS", ESPESOR DE 70 MICRONES.</t>
  </si>
  <si>
    <t>2.9.1-1164.6</t>
  </si>
  <si>
    <t>ESPONJAS; USO: P/COCINA, ADITAMENTO: FIBRA POLIESTER SUAVE, FORMA: PRISMATICA, LARGO X ANCHO X ESP: 12 X 8 X 2 CM, COLOR: AMARILLO, MATERIAL: POLIURETANO POLIESTER</t>
  </si>
  <si>
    <t>2.9.1-713.18</t>
  </si>
  <si>
    <t>TRAPOS DE PISO; DIMENSION: 48 X 60 CM</t>
  </si>
  <si>
    <t>2.9.1-1654.13</t>
  </si>
  <si>
    <t>TRAPOS; TIPO: MICROFIBRA MULTIUSO, PRESENTACION: UNIDAD</t>
  </si>
  <si>
    <t>Litro</t>
  </si>
  <si>
    <t xml:space="preserve">55 GRAMOS DE CLORO POR LITRO - DEBIDAMENTE ETIQUETADO CADA BOTELLA . Estivado en cajas de 12 Unidades - </t>
  </si>
  <si>
    <t>2.9.1-713.12</t>
  </si>
  <si>
    <t>TRAPOS DE PISO; DIMENSION: 50 X 55 CM, COLOR: GRIS</t>
  </si>
  <si>
    <t>2.9.1-678.1</t>
  </si>
  <si>
    <t>TRAPOS REJILLA; DIMENSION: 38 X 42 CM, MATERIAL: PURO ALGODON, COLOR: BLANCO</t>
  </si>
  <si>
    <t>2.9.1-6951.203</t>
  </si>
  <si>
    <t>LIMPIADORES; TIPO: DESODORANTE LIQUIDO , PRESENTACION: ENVASE X 1 L</t>
  </si>
  <si>
    <t xml:space="preserve">AROMAS CHERRY, LAVANDA.Estivados en cajas de 12 Unidades aproximadamente. Producto de marcas registradas y etiquetadas de fabrica. - </t>
  </si>
  <si>
    <t>2.9.1-6961.6</t>
  </si>
  <si>
    <t>ELEM. P/LIMPIEZA SANITARIOS; TIPO: PASTILLA DESODORANTE, PRESENTACION: UNIDAD</t>
  </si>
  <si>
    <t xml:space="preserve">FRAGANCIA INDISTINTA. - </t>
  </si>
  <si>
    <t>2.9.1-714.5</t>
  </si>
  <si>
    <t>FRANELAS; DIMENSION: 40 X 50 CM</t>
  </si>
  <si>
    <t>2.9.1-6951.84</t>
  </si>
  <si>
    <t>LIMPIADORES; TIPO: MULTIUSO, PRESENTACION: ENVASE X 5 L</t>
  </si>
  <si>
    <t>BIDON</t>
  </si>
  <si>
    <t>2.9.1-678.7</t>
  </si>
  <si>
    <t>TRAPOS REJILLA; DIMENSION: 40 X 50 CM, COLOR: SIN VALOR, MATERIAL: ALGODON</t>
  </si>
  <si>
    <t>2.9.1-714.3</t>
  </si>
  <si>
    <t>FRANELAS; DIMENSION: 50 X 45 CM</t>
  </si>
  <si>
    <t>2.9.1-4784.9</t>
  </si>
  <si>
    <t>LIMPIADORES MULTIUSO; TIPO: CREMOSO, PRESENTACION: ENVASE X 750 GR</t>
  </si>
  <si>
    <t>2.9.1-683.6</t>
  </si>
  <si>
    <t>SECADORES DE GOMA; COLOR: NEGRO, LARGO: 50 CM</t>
  </si>
  <si>
    <t xml:space="preserve">REFORZADO - </t>
  </si>
  <si>
    <t>2.9.1-6951.41</t>
  </si>
  <si>
    <t>LIMPIADORES; TIPO: DESINFECTANTE P/PISO, PRESENTACION: ENVASE X 5 L</t>
  </si>
  <si>
    <t xml:space="preserve">*NO SE ACEPTARAN PRODUCTOS PARA DILUIR, SOLO SE TENDRAN EN CUENTA PRODUCTOS PREPARADOS LISTOS PARA SU USO EN SU CORRESPONDIENTE ENVASE.	 - *FRAGANCIA A LIMON		 - </t>
  </si>
  <si>
    <t>2.9.1-6952.3</t>
  </si>
  <si>
    <t>CEPILLOS; TIPO: DE MANO, MATERIAL: PVC</t>
  </si>
  <si>
    <t>2.9.1-6961.14</t>
  </si>
  <si>
    <t>ELEM. P/LIMPIEZA SANITARIOS; TIPO: ESCOBILLA P/INODORO , PRESENTACION: UNIDAD</t>
  </si>
  <si>
    <t xml:space="preserve">MATERIAL PLASTICO - </t>
  </si>
  <si>
    <t>2.9.1-714.1</t>
  </si>
  <si>
    <t>FRANELAS; DIMENSION: 40 X 60 CM</t>
  </si>
  <si>
    <t>2.5.4-505.92</t>
  </si>
  <si>
    <t>DESINFECTANTES; PRINCIPIO ACTIVO: 2-FENIFENOL+ETANOL, CONTROL: BACTERIAS, PRESENTACION: ENVASE X 360 CM3</t>
  </si>
  <si>
    <t xml:space="preserve">EN AEROSOL. - </t>
  </si>
  <si>
    <t>2.9.1-544.82</t>
  </si>
  <si>
    <t>DESODORANTES DE AMBIENTE; FORMATO: AEROSOL, FRAGANCIA: ORIGINAL, PRESENTACION: ENVASE X 360 CM3, LIBRE DE CFC: SI</t>
  </si>
  <si>
    <t>2.9.1-6951.1</t>
  </si>
  <si>
    <t>LIMPIADORES; TIPO: LIMPIAVIDRIOS, PRESENTACION: ATOMIZADOR X 500 CM3</t>
  </si>
  <si>
    <t>2.9.1-713.5</t>
  </si>
  <si>
    <t>TRAPOS DE PISO; COLOR: BLANCO, DIMENSION: 60 X 70 CM</t>
  </si>
  <si>
    <t xml:space="preserve"> TRAPO DE PISO 90 % ALGODÓN -COMUN COLOR  BLANCO- - </t>
  </si>
  <si>
    <t>2.9.1-6951.30</t>
  </si>
  <si>
    <t>LIMPIADORES; TIPO: LAVANDINA, PRESENTACION: ENVASE X 5 L</t>
  </si>
  <si>
    <t>2.3.4-938.59</t>
  </si>
  <si>
    <t>BAZAR Y MENAJE</t>
  </si>
  <si>
    <t>SERVILLETAS DE PAPEL; TIPO: ROLLO, MOTIVO: SIN, DIMENSION: 25 X 10 CM, PRESENTACION: ENVASE X 3 UN</t>
  </si>
  <si>
    <t>2.9.1-761.5</t>
  </si>
  <si>
    <t>GUANTES P/LIMPIEZA; TAMAÑO: GRANDE, MATERIAL: LATEX C/FELPA INTERIOR</t>
  </si>
  <si>
    <t>Par</t>
  </si>
  <si>
    <t xml:space="preserve">TAMAÑO GRADE ; Color Amarillo o Naranjado - </t>
  </si>
  <si>
    <t>2.9.1-761.8</t>
  </si>
  <si>
    <t>GUANTES P/LIMPIEZA; TAMAÑO: EXTRA GRANDE, MATERIAL: LATEX C/FELPA INTERIOR</t>
  </si>
  <si>
    <t xml:space="preserve">TAMAÑO EXTRA GRANDE; Color Amarillo o Naranjado - </t>
  </si>
  <si>
    <t>2.9.1-683.11</t>
  </si>
  <si>
    <t>SECADORES DE GOMA; LARGO: 28 CM, COLOR: NEGRO</t>
  </si>
  <si>
    <t>INCLUYE CABO (PLASTICO O MADERA)</t>
  </si>
  <si>
    <t>2.9.1-6951.174</t>
  </si>
  <si>
    <t>LIMPIADORES; TIPO: POLVO LIMPIADOR, PRESENTACION: ENVASE X 400 GR</t>
  </si>
  <si>
    <t>TARRO</t>
  </si>
  <si>
    <t>2.9.1-761.2</t>
  </si>
  <si>
    <t>GUANTES P/LIMPIEZA; MATERIAL: LATEX, TAMAÑO: MEDIANO</t>
  </si>
  <si>
    <t>PAR</t>
  </si>
  <si>
    <t>2.9.1-761.1</t>
  </si>
  <si>
    <t>GUANTES P/LIMPIEZA; TAMAÑO: GRANDE, MATERIAL: LATEX</t>
  </si>
  <si>
    <t>2.3.4-786.34</t>
  </si>
  <si>
    <t>PAPEL HIGIENICO; PRESENTACION: PAQUETE X 4 UN, TIPO: ROLLO PRECORTADO, HOJA: DOBLE, ANCHO: 10 CM, LARGO: 30 M, TIPO DE HOJA: DOBLE, MATERIAL HOJA: DOBLE</t>
  </si>
  <si>
    <t>2.5.4-506.36</t>
  </si>
  <si>
    <t>2.5.4</t>
  </si>
  <si>
    <t>INSECTICIDAS; CAPACIDAD: 440 CM3, ACCION: SIN VALOR, PRINCIPIO ACTIVO: SIN VALOR, PRESENTACION: AEROSOL X 440 CM3, CONTROL: MOSCAS Y MOSQUITOS, USO P/CONTROL: MOSCAS Y MOSQUITOS</t>
  </si>
  <si>
    <t>2.5.4-506.28</t>
  </si>
  <si>
    <t>INSECTICIDAS; PRESENTACION: AEROSOL X 440 CM3, CAPACIDAD: 440 CM3, USO P/CONTROL: CUCARACHA, ACCION: SIN VALOR, PRINCIPIO ACTIVO: SIN VALOR, CONTROL: CUCARACHA</t>
  </si>
  <si>
    <t>2.9.1-6952.54</t>
  </si>
  <si>
    <t>CEPILLOS; TIPO: ESCOBILLON, MATERIAL: PLASTICO</t>
  </si>
  <si>
    <t>2.9.1-6951.5</t>
  </si>
  <si>
    <t>LIMPIADORES; TIPO: DETERGENTE, PRESENTACION: ENVASE X 500 CM3</t>
  </si>
  <si>
    <t>2.9.1-683.18</t>
  </si>
  <si>
    <t>SECADORES DE GOMA; LARGO: 45 CM</t>
  </si>
  <si>
    <t>2.5.4-5668.6</t>
  </si>
  <si>
    <t>QUIMICOS</t>
  </si>
  <si>
    <t>REPELENTES; TIPO: INSECTOS, PRESENTACION: ENVASE X 165 CM3</t>
  </si>
  <si>
    <t>2.9.1-646.118</t>
  </si>
  <si>
    <t>BOLSAS DE RESIDUOS; DIMENSION: 45 X 60 CM, PRESENTACION: ENVASE X 50 UN, ESPESOR: 60 MN, MATERIAL: POLIETILENO</t>
  </si>
  <si>
    <t xml:space="preserve">COLOR AMARILLO,  DE BAJA DENSIDAD. - </t>
  </si>
  <si>
    <t>2.9.1-6951.27</t>
  </si>
  <si>
    <t>LIMPIADORES; TIPO: LAVANDINA, PRESENTACION: ENVASE X 2 L</t>
  </si>
  <si>
    <t>BOTELLA</t>
  </si>
  <si>
    <t xml:space="preserve">*NO SE ACEPTARAN PRODUCTOS PARA DILUIR, SOLO SE TENDRAN EN CUENTA PRODUCTOS PREPARADOS LISTOS PARA SU USO EN SU CORRESPONDIENTE ENVASE.		 - *LIQUIDA CONCENTRADA	 - </t>
  </si>
  <si>
    <t>2.9.1-6950.1</t>
  </si>
  <si>
    <t>LUSTRADORES; PRESENTACION: AEROSOL X 440 CM3, TIPO: LUSTRAMUEBLES</t>
  </si>
  <si>
    <t>2.9.1-1081.1</t>
  </si>
  <si>
    <t>VIRUTAS; PRESENTACION: ROLLITO, CONTENIDO: 10 UNIDADES, MATERIAL: ACERO</t>
  </si>
  <si>
    <t>2.5.1-9004.1235</t>
  </si>
  <si>
    <t>2.5.1</t>
  </si>
  <si>
    <t>SALES; COMPUESTO QUIMICO: HIPOCLORITO DE SODIO, ESTADO: SOLUCION, CALIDAD: COMERCIAL, CONCENTRACION/PUREZA: 100 GR/L, PRESENTACION: ENVASE X 5 L, GRADO HIDRATACION: SOLUCION</t>
  </si>
  <si>
    <t xml:space="preserve">EN ENVASE OSCURO . PRODUCTO DE MARCA REGISTRADAY ESTIBADO EN CAJAS - </t>
  </si>
  <si>
    <t>2.3.4-786.97</t>
  </si>
  <si>
    <t>PAPEL HIGIENICO; PRESENTACION: ENVASE X 4 UN, TIPO: ROLLO, ANCHO: 10 CM, LARGO: 80 M, TIPO DE HOJA: SIMPLE</t>
  </si>
  <si>
    <t>2.9.1-6956.73</t>
  </si>
  <si>
    <t>ARTICULOS DE TOCADOR; TIPO: JABON LIQUIDO, PRESENTACION: ENVASE X 5 L</t>
  </si>
  <si>
    <t>2.9.1-564.22</t>
  </si>
  <si>
    <t>BALDES DE PLASTICO; CAPACIDAD: 11 L</t>
  </si>
  <si>
    <t>2.9.1-646.56</t>
  </si>
  <si>
    <t>BOLSAS DE RESIDUOS; DIMENSION: 100 X 80 CM, PRESENTACION: BOLSA X 10 UN, ESPESOR: 80 MN, COLOR: NEGRO</t>
  </si>
  <si>
    <t>2.9.1-6956.27</t>
  </si>
  <si>
    <t>ARTICULOS DE TOCADOR; TIPO: JABON DE TOCADOR LIQUIDO, PRESENTACION: ENVASE X 5 L</t>
  </si>
  <si>
    <t xml:space="preserve">*NO SE ACEPTARAN PRODUCTOS PARA DILUIR, SOLO SE TENDRAN EN CUENTA PRODUCTOS PREPARADOS LISTOS PARA SU USO EN SU CORRESPONDIENTE ENVASE.	 - *FRAGANCIA INDISTINTA. - 	 - </t>
  </si>
  <si>
    <t>2.9.1-6951.60</t>
  </si>
  <si>
    <t>LIMPIADORES; TIPO: DESENGRASANTE, PRESENTACION: ENVASE X 5 L</t>
  </si>
  <si>
    <t>2.9.1-2437.2</t>
  </si>
  <si>
    <t>MANT. REPARACION Y LIMPIEZA</t>
  </si>
  <si>
    <t>PALAS DE RESIDUOS; MATERIAL: PLASTICO, MANGO: LARGO</t>
  </si>
  <si>
    <t>2.9.1-6952.64</t>
  </si>
  <si>
    <t>CEPILLOS; TIPO: CON MANGO, MATERIAL: CERDA</t>
  </si>
  <si>
    <t xml:space="preserve">DE PLASTICO, PARA LIMPIEZA DE MAMADERAS. - </t>
  </si>
  <si>
    <t>2.9.1-683.4</t>
  </si>
  <si>
    <t>SECADORES DE GOMA; LARGO: 80 CM, COLOR: ROJO</t>
  </si>
  <si>
    <t>2.9.1-1156.9</t>
  </si>
  <si>
    <t>PLUMEROS; PLUMA: NATURAL, CLASE: MEDIO, MATERIAL MANGO: MADERA, LARGO MANGO: 50 CM, Nº VUELTAS PENACHO: 3, TIPO: MEDIO</t>
  </si>
  <si>
    <t>2.9.1-6960.1</t>
  </si>
  <si>
    <t>ELEM. LIMPIEZA P/INDUMENTARIA; TIPO: SUAVIZANTE P/ROPA, PRESENTACION: ENVASE X 5 L</t>
  </si>
  <si>
    <t xml:space="preserve">NO SE ACEPTARAN PRODUCTOS PARA DILUIR, SOLO SE TENDRAN EN CUENTA PRODUCTOS PREPARADOS LISTOS PARA SU USO EN SU CORRESPONDIENTE ENVASE.			 - </t>
  </si>
  <si>
    <t>2.9.1-6952.61</t>
  </si>
  <si>
    <t>CEPILLOS; TIPO: ESCOBA REFORZADA, MATERIAL: PLASTICO</t>
  </si>
  <si>
    <t>2.9.1-6952.22</t>
  </si>
  <si>
    <t>CEPILLOS; TIPO: ESCOBA REFORZADA, MATERIAL: PAJA</t>
  </si>
  <si>
    <t>2.3.4-783.46</t>
  </si>
  <si>
    <t>TOALLAS DE PAPEL; MATERIAL: PAPEL TISSUE, GRAMAJE: 55/60 GR/M2, DIMENSION: 24 X 20,5 CM, COLOR: BLANCO, PRESENTACION: ENVASE X 2500 UN</t>
  </si>
  <si>
    <t>CAJA</t>
  </si>
  <si>
    <t>2.3.4-783.69</t>
  </si>
  <si>
    <t>TOALLAS DE PAPEL; MATERIAL: PAPEL ABSORVENTE, GRAMAJE: 45 GR/M2, DIMENSION: 45 X 30 CM, PRESENTACION: BOBINA X 550 M</t>
  </si>
  <si>
    <t>2.9.1-1156.8</t>
  </si>
  <si>
    <t>PLUMEROS; PLUMA: SINTETICA, CLASE: PARA TECHO, MATERIAL MANGO: METAL, LARGO MANGO: EXTENSIBLE, Nº VUELTAS PENACHO: 3, TIPO: PARA TECHO</t>
  </si>
  <si>
    <t>2.9.1-6951.214</t>
  </si>
  <si>
    <t>LIMPIADORES; TIPO: DETERGENTE NEUTRO, PRESENTACION: ENVASE X 5 L</t>
  </si>
  <si>
    <t xml:space="preserve">*NO SE ACEPTARAN PRODUCTOS PARA DILUIR, SOLO SE TENDRAN EN CUENTA PRODUCTOS PREPARADOS LISTOS PARA SU USO EN SU CORRESPONDIENTE ENVASE.		 - *CONCENTRADO	 - </t>
  </si>
  <si>
    <t>2.3.4-783.90</t>
  </si>
  <si>
    <t>TOALLAS DE PAPEL; MATERIAL: PAPEL ABSORBENTE, GRAMAJE: 35 GR, DIMENSION: 20 X 24 CM, PRESENTACION: ENVASE X 2500 HOJAS</t>
  </si>
  <si>
    <t>2.9.1-646.48</t>
  </si>
  <si>
    <t>BOLSAS DE RESIDUOS; DIMENSION: 60 X 90 CM, PRESENTACION: BOLSA X 50 UN, ESPESOR: 45 MN, COLOR: NEGRO</t>
  </si>
  <si>
    <t>Paquete</t>
  </si>
  <si>
    <t>2.9.1-6960.20</t>
  </si>
  <si>
    <t>ELEM. LIMPIEZA P/INDUMENTARIA; TIPO: JABON EN POLVO, PRESENTACION: ENVASE X 3 KG</t>
  </si>
  <si>
    <t xml:space="preserve">JABON BAJA ESPUMA SIN SUAVIZANTE - </t>
  </si>
  <si>
    <t xml:space="preserve">15 % DE MATERIA ACTIVA POR BIDON DE 5 LITROS . Marca registrada y etiquetada en fabrica  - </t>
  </si>
  <si>
    <t>2.9.1-2661.13</t>
  </si>
  <si>
    <t>TACHOS DE RESIDUOS; MATERIAL: PLASTICO, SECCION: CIRCULAR, DIMENSION: 46 X 67 CM, TAPA: CON</t>
  </si>
  <si>
    <t>2.3.4-783.84</t>
  </si>
  <si>
    <t>TOALLAS DE PAPEL; MATERIAL: FIBRA CELULOSICA, GRAMAJE: 20 GR/M2, DIMENSION: 25 CM, PRESENTACION: 2 X BOBINA X 400 M</t>
  </si>
  <si>
    <t>2.9.1-6952.77</t>
  </si>
  <si>
    <t>CEPILLOS; TIPO: ESCOBA BARREHOJAS, MATERIAL: PLASTICO</t>
  </si>
  <si>
    <t>2.9.1-646.104</t>
  </si>
  <si>
    <t>BOLSAS DE RESIDUOS; DIMENSION: 60 X 90 CM, PRESENTACION: ENVASE X 100 UN, ESPESOR: 50 MN</t>
  </si>
  <si>
    <t xml:space="preserve">BOLSA DE CONSORCIO CON FUELLE PARA RESIDUOS DE 90 X 60 CM. DE 50 MICRONES, COLOR VERDE DE BAJA DENSIDAD EN PAQUETES DE 100 UNIDADES. NO DE ARRASTRE.- - </t>
  </si>
  <si>
    <t>2.9.1-6951.110</t>
  </si>
  <si>
    <t>LIMPIADORES; TIPO: SECUESTRANTE DE POLVO, PRESENTACION: ENVASE X 5 L</t>
  </si>
  <si>
    <t>2.9.1-6952.75</t>
  </si>
  <si>
    <t>CEPILLOS; TIPO: ESCOBA BARREHOJAS, MATERIAL: CERDAS METALICAS</t>
  </si>
  <si>
    <t>2.9.1-646.125</t>
  </si>
  <si>
    <t>BOLSAS DE RESIDUOS; DIMENSION: 90 X 110 CM, PRESENTACION: ENVASE X 100 UN, ESPESOR: 45 MN, MATERIAL: PLASTICO</t>
  </si>
  <si>
    <t xml:space="preserve">COLOR NEGRA - </t>
  </si>
  <si>
    <t>2.9.1-8853.3</t>
  </si>
  <si>
    <t>MOPAS; LARGO MANGO: 1 M, MATERIAL: ALGODON</t>
  </si>
  <si>
    <t xml:space="preserve">MOPA PARA BARRIDO DE 1 Mt de largo - </t>
  </si>
  <si>
    <t>2.9.1-6960.56</t>
  </si>
  <si>
    <t>ELEM. LIMPIEZA P/INDUMENTARIA; TIPO: JABON EN POLVO BAJA ESPUMA, PRESENTACION: ENVASE X 25 KG</t>
  </si>
  <si>
    <t>BOLSA</t>
  </si>
  <si>
    <t>2.9.1-544.12</t>
  </si>
  <si>
    <t>DESODORANTES DE AMBIENTE; CONTENIDO: 440 CM3, FRAGANCIA: CAMPOS DE LAVANDA, FORMATO: AEROSOL, PRESENTACION: CAJA X 24, LIBRE DE CFC: SI</t>
  </si>
  <si>
    <t>Caja</t>
  </si>
  <si>
    <t>DIEZ MILLONES VEINTE MIL TRESCIENTOS CINCUENTA Y UNO CON 00/100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</si>
  <si>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</si>
  <si>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</si>
  <si>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</si>
  <si>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</si>
  <si>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</si>
  <si>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</si>
  <si>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</si>
  <si>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</si>
  <si>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</si>
  <si>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</si>
  <si>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</si>
  <si>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564 / 2022</t>
  </si>
  <si>
    <t xml:space="preserve">JURISDICCIÓN: </t>
  </si>
  <si>
    <t>SAF:</t>
  </si>
  <si>
    <t>UNIDAD EJECUTORA:</t>
  </si>
  <si>
    <t>SAF 23 - HOSPITAL INTERZONAL SAN JUAN BAUTISTA</t>
  </si>
  <si>
    <t xml:space="preserve">DEPENDENCIA SOLICITANTE: </t>
  </si>
  <si>
    <t>PERIODO UTILIZACIÓN:</t>
  </si>
  <si>
    <t>4° TRIMESTRE - 2022</t>
  </si>
  <si>
    <t>OBJETO:</t>
  </si>
  <si>
    <t>291 - ELEMENTOS DE LIMPIEZA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</si>
  <si>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</si>
  <si>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</si>
  <si>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</si>
  <si>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</si>
  <si>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</si>
  <si>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</si>
  <si>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</si>
  <si>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SÍ</t>
  </si>
  <si>
    <t>NO</t>
  </si>
  <si>
    <t xml:space="preserve">Costo total estimado: </t>
  </si>
  <si>
    <t>DOS MILLONES NOVECIENTOS TREINTA Y SIETE MIL NOVECIENTOS OCHENTA Y DOS CON 00/100 PESOS</t>
  </si>
  <si>
    <t>DETALLE TECNICO</t>
  </si>
  <si>
    <t>ITEM 1</t>
  </si>
  <si>
    <t>ITEM 2</t>
  </si>
  <si>
    <t>ITEM 3</t>
  </si>
  <si>
    <t>ITEM 7</t>
  </si>
  <si>
    <t>ITEM 8</t>
  </si>
  <si>
    <t>ITEM 9</t>
  </si>
  <si>
    <t>ITEM 11</t>
  </si>
  <si>
    <t>ITEM 17</t>
  </si>
  <si>
    <t>ITEM 20</t>
  </si>
  <si>
    <t>ITEM 22</t>
  </si>
  <si>
    <t>ITEM 23</t>
  </si>
  <si>
    <t>ITEM 24</t>
  </si>
  <si>
    <t>ITEM 25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</si>
  <si>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</si>
  <si>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</si>
  <si>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</si>
  <si>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</si>
  <si>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564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</si>
  <si>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</si>
  <si>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</si>
  <si>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</si>
  <si>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</si>
  <si>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</si>
  <si>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</si>
  <si>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</si>
  <si>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</si>
  <si>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</si>
  <si>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</si>
  <si>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</si>
  <si>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</si>
  <si>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</si>
  <si>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</si>
  <si>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</si>
  <si>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</si>
  <si>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</si>
  <si>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PRODUCTOS DE PAPEL Y CARTÓN</t>
  </si>
  <si>
    <t>COMPUESTOS QUÍMICOS</t>
  </si>
  <si>
    <t xml:space="preserve">TOTAL DE PESOS: </t>
  </si>
  <si>
    <t>JUSTIFICACIÓN:</t>
  </si>
  <si>
    <t>OBSERVACIONES:</t>
  </si>
  <si>
    <t>576 / 2022</t>
  </si>
  <si>
    <t>SAF 24 - HOSPITAL INTERZONAL DE NIÑOS EVA PERON</t>
  </si>
  <si>
    <t>Adq. elementos de limpieza</t>
  </si>
  <si>
    <t>SEIS MILLONES CUATROCIENTOS SESENTA Y SIETE MIL DOSCIENTOS CON 00/100 PESOS</t>
  </si>
  <si>
    <t>ITEM 5</t>
  </si>
  <si>
    <t>ITEM 10</t>
  </si>
  <si>
    <t>ITEM 14</t>
  </si>
  <si>
    <t>ITEM 15</t>
  </si>
  <si>
    <t>ITEM 18</t>
  </si>
  <si>
    <t>ITEM 21</t>
  </si>
  <si>
    <t>ITEM 26</t>
  </si>
  <si>
    <t xml:space="preserve"> Autorizo la realización de los  trámites correspondientes, a fin de proveer a  este Organismo los bienes y/o servicios que se detallan en Nota  de Pedido N° 576 / 2022,  afectando la erogación resultante a los créditos presupuestarios aprobados a favor de esta Unidad Ejecutora, conforme al siguiente detalle:</t>
  </si>
  <si>
    <t>PRODUCTOS DE MATERIAL PLÁSTICO</t>
  </si>
  <si>
    <t>581 / 2022</t>
  </si>
  <si>
    <t>SAF 11 - MINISTERIO DE SALUD</t>
  </si>
  <si>
    <t>SETECIENTOS CUARENTA Y UNO MIL CIENTO NOVENTA Y CUATRO CON 00/100 PESOS</t>
  </si>
  <si>
    <t>ITEM 19</t>
  </si>
  <si>
    <t>ITEM 36</t>
  </si>
  <si>
    <t>ITEM 40</t>
  </si>
  <si>
    <t>ITEM 41</t>
  </si>
  <si>
    <t>ITEM 42</t>
  </si>
  <si>
    <t xml:space="preserve"> Autorizo la realización de los  trámites correspondientes, a fin de proveer a  este Organismo los bienes y/o servicios que se detallan en Nota  de Pedido N° 581 / 2022,  afectando la erogación resultante a los créditos presupuestarios aprobados a favor de esta Unidad Ejecutora, conforme al siguiente detalle:</t>
  </si>
  <si>
    <t>INSECTICIDAS, FUMIGANTES Y OTROS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</si>
</sst>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7"/>
  <sheetViews>
    <sheetView tabSelected="1" workbookViewId="0" showGridLines="true" showRowColHeaders="1">
      <selection activeCell="I107" sqref="I107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40000</v>
      </c>
      <c r="H10" s="82">
        <v>7.0</v>
      </c>
      <c r="I10" s="82">
        <v>280000.0</v>
      </c>
      <c r="J10" s="80"/>
    </row>
    <row r="11" spans="1:10" customHeight="1" ht="20.25">
      <c r="A11" s="79">
        <v>2</v>
      </c>
      <c r="B11" s="80" t="s">
        <v>23</v>
      </c>
      <c r="C11" s="80" t="s">
        <v>19</v>
      </c>
      <c r="D11" s="79" t="s">
        <v>20</v>
      </c>
      <c r="E11" s="80" t="s">
        <v>24</v>
      </c>
      <c r="F11" s="81" t="s">
        <v>22</v>
      </c>
      <c r="G11" s="81">
        <v>40000</v>
      </c>
      <c r="H11" s="82">
        <v>13.0</v>
      </c>
      <c r="I11" s="82">
        <v>520000.0</v>
      </c>
      <c r="J11" s="80"/>
    </row>
    <row r="12" spans="1:10" customHeight="1" ht="20.25">
      <c r="A12" s="79">
        <v>3</v>
      </c>
      <c r="B12" s="80" t="s">
        <v>25</v>
      </c>
      <c r="C12" s="80" t="s">
        <v>19</v>
      </c>
      <c r="D12" s="79" t="s">
        <v>26</v>
      </c>
      <c r="E12" s="80" t="s">
        <v>27</v>
      </c>
      <c r="F12" s="81" t="s">
        <v>28</v>
      </c>
      <c r="G12" s="81">
        <v>18000</v>
      </c>
      <c r="H12" s="82">
        <v>15.0</v>
      </c>
      <c r="I12" s="82">
        <v>270000.0</v>
      </c>
      <c r="J12" s="80" t="s">
        <v>29</v>
      </c>
    </row>
    <row r="13" spans="1:10" customHeight="1" ht="20.25">
      <c r="A13" s="79">
        <v>4</v>
      </c>
      <c r="B13" s="80" t="s">
        <v>30</v>
      </c>
      <c r="C13" s="80" t="s">
        <v>19</v>
      </c>
      <c r="D13" s="79" t="s">
        <v>26</v>
      </c>
      <c r="E13" s="80" t="s">
        <v>31</v>
      </c>
      <c r="F13" s="81" t="s">
        <v>28</v>
      </c>
      <c r="G13" s="81">
        <v>4500</v>
      </c>
      <c r="H13" s="82">
        <v>21.0</v>
      </c>
      <c r="I13" s="82">
        <v>94500.0</v>
      </c>
      <c r="J13" s="80" t="s">
        <v>32</v>
      </c>
    </row>
    <row r="14" spans="1:10" customHeight="1" ht="20.25">
      <c r="A14" s="79">
        <v>5</v>
      </c>
      <c r="B14" s="80" t="s">
        <v>33</v>
      </c>
      <c r="C14" s="80" t="s">
        <v>19</v>
      </c>
      <c r="D14" s="79" t="s">
        <v>20</v>
      </c>
      <c r="E14" s="80" t="s">
        <v>34</v>
      </c>
      <c r="F14" s="81" t="s">
        <v>22</v>
      </c>
      <c r="G14" s="81">
        <v>5000</v>
      </c>
      <c r="H14" s="82">
        <v>60.0</v>
      </c>
      <c r="I14" s="82">
        <v>300000.0</v>
      </c>
      <c r="J14" s="80"/>
    </row>
    <row r="15" spans="1:10" customHeight="1" ht="20.25">
      <c r="A15" s="79">
        <v>6</v>
      </c>
      <c r="B15" s="80" t="s">
        <v>35</v>
      </c>
      <c r="C15" s="80" t="s">
        <v>19</v>
      </c>
      <c r="D15" s="79" t="s">
        <v>26</v>
      </c>
      <c r="E15" s="80" t="s">
        <v>36</v>
      </c>
      <c r="F15" s="81" t="s">
        <v>22</v>
      </c>
      <c r="G15" s="81">
        <v>200</v>
      </c>
      <c r="H15" s="82">
        <v>60.0</v>
      </c>
      <c r="I15" s="82">
        <v>12000.0</v>
      </c>
      <c r="J15" s="80"/>
    </row>
    <row r="16" spans="1:10" customHeight="1" ht="20.25">
      <c r="A16" s="79">
        <v>7</v>
      </c>
      <c r="B16" s="80" t="s">
        <v>37</v>
      </c>
      <c r="C16" s="80" t="s">
        <v>19</v>
      </c>
      <c r="D16" s="79" t="s">
        <v>26</v>
      </c>
      <c r="E16" s="80" t="s">
        <v>38</v>
      </c>
      <c r="F16" s="81" t="s">
        <v>22</v>
      </c>
      <c r="G16" s="81">
        <v>50</v>
      </c>
      <c r="H16" s="82">
        <v>70.0</v>
      </c>
      <c r="I16" s="82">
        <v>3500.0</v>
      </c>
      <c r="J16" s="80"/>
    </row>
    <row r="17" spans="1:10" customHeight="1" ht="20.25">
      <c r="A17" s="79">
        <v>8</v>
      </c>
      <c r="B17" s="80" t="s">
        <v>39</v>
      </c>
      <c r="C17" s="80" t="s">
        <v>19</v>
      </c>
      <c r="D17" s="79" t="s">
        <v>26</v>
      </c>
      <c r="E17" s="80" t="s">
        <v>40</v>
      </c>
      <c r="F17" s="81" t="s">
        <v>28</v>
      </c>
      <c r="G17" s="81">
        <v>200</v>
      </c>
      <c r="H17" s="82">
        <v>80.0</v>
      </c>
      <c r="I17" s="82">
        <v>16000.0</v>
      </c>
      <c r="J17" s="80"/>
    </row>
    <row r="18" spans="1:10" customHeight="1" ht="20.25">
      <c r="A18" s="79">
        <v>9</v>
      </c>
      <c r="B18" s="80" t="s">
        <v>41</v>
      </c>
      <c r="C18" s="80" t="s">
        <v>19</v>
      </c>
      <c r="D18" s="79" t="s">
        <v>26</v>
      </c>
      <c r="E18" s="80" t="s">
        <v>42</v>
      </c>
      <c r="F18" s="81" t="s">
        <v>22</v>
      </c>
      <c r="G18" s="81">
        <v>200</v>
      </c>
      <c r="H18" s="82">
        <v>80.0</v>
      </c>
      <c r="I18" s="82">
        <v>16000.0</v>
      </c>
      <c r="J18" s="80"/>
    </row>
    <row r="19" spans="1:10" customHeight="1" ht="20.25">
      <c r="A19" s="79">
        <v>10</v>
      </c>
      <c r="B19" s="80" t="s">
        <v>43</v>
      </c>
      <c r="C19" s="80" t="s">
        <v>19</v>
      </c>
      <c r="D19" s="79" t="s">
        <v>44</v>
      </c>
      <c r="E19" s="80" t="s">
        <v>45</v>
      </c>
      <c r="F19" s="81" t="s">
        <v>46</v>
      </c>
      <c r="G19" s="81">
        <v>500</v>
      </c>
      <c r="H19" s="82">
        <v>80.0</v>
      </c>
      <c r="I19" s="82">
        <v>40000.0</v>
      </c>
      <c r="J19" s="80"/>
    </row>
    <row r="20" spans="1:10" customHeight="1" ht="20.25">
      <c r="A20" s="79">
        <v>11</v>
      </c>
      <c r="B20" s="80" t="s">
        <v>47</v>
      </c>
      <c r="C20" s="80" t="s">
        <v>19</v>
      </c>
      <c r="D20" s="79" t="s">
        <v>26</v>
      </c>
      <c r="E20" s="80" t="s">
        <v>48</v>
      </c>
      <c r="F20" s="81" t="s">
        <v>22</v>
      </c>
      <c r="G20" s="81">
        <v>15</v>
      </c>
      <c r="H20" s="82">
        <v>80.0</v>
      </c>
      <c r="I20" s="82">
        <v>1200.0</v>
      </c>
      <c r="J20" s="80"/>
    </row>
    <row r="21" spans="1:10" customHeight="1" ht="20.25">
      <c r="A21" s="79">
        <v>12</v>
      </c>
      <c r="B21" s="80" t="s">
        <v>49</v>
      </c>
      <c r="C21" s="80" t="s">
        <v>19</v>
      </c>
      <c r="D21" s="79" t="s">
        <v>26</v>
      </c>
      <c r="E21" s="80" t="s">
        <v>50</v>
      </c>
      <c r="F21" s="81" t="s">
        <v>51</v>
      </c>
      <c r="G21" s="81">
        <v>150</v>
      </c>
      <c r="H21" s="82">
        <v>85.0</v>
      </c>
      <c r="I21" s="82">
        <v>12750.0</v>
      </c>
      <c r="J21" s="80" t="s">
        <v>52</v>
      </c>
    </row>
    <row r="22" spans="1:10" customHeight="1" ht="20.25">
      <c r="A22" s="79">
        <v>13</v>
      </c>
      <c r="B22" s="80" t="s">
        <v>53</v>
      </c>
      <c r="C22" s="80" t="s">
        <v>19</v>
      </c>
      <c r="D22" s="79" t="s">
        <v>26</v>
      </c>
      <c r="E22" s="80" t="s">
        <v>54</v>
      </c>
      <c r="F22" s="81" t="s">
        <v>22</v>
      </c>
      <c r="G22" s="81">
        <v>20</v>
      </c>
      <c r="H22" s="82">
        <v>90.0</v>
      </c>
      <c r="I22" s="82">
        <v>1800.0</v>
      </c>
      <c r="J22" s="80"/>
    </row>
    <row r="23" spans="1:10" customHeight="1" ht="20.25">
      <c r="A23" s="79">
        <v>14</v>
      </c>
      <c r="B23" s="80" t="s">
        <v>55</v>
      </c>
      <c r="C23" s="80" t="s">
        <v>19</v>
      </c>
      <c r="D23" s="79" t="s">
        <v>26</v>
      </c>
      <c r="E23" s="80" t="s">
        <v>56</v>
      </c>
      <c r="F23" s="81" t="s">
        <v>28</v>
      </c>
      <c r="G23" s="81">
        <v>150</v>
      </c>
      <c r="H23" s="82">
        <v>100.0</v>
      </c>
      <c r="I23" s="82">
        <v>15000.0</v>
      </c>
      <c r="J23" s="80"/>
    </row>
    <row r="24" spans="1:10" customHeight="1" ht="20.25">
      <c r="A24" s="79">
        <v>15</v>
      </c>
      <c r="B24" s="80" t="s">
        <v>57</v>
      </c>
      <c r="C24" s="80" t="s">
        <v>19</v>
      </c>
      <c r="D24" s="79" t="s">
        <v>26</v>
      </c>
      <c r="E24" s="80" t="s">
        <v>58</v>
      </c>
      <c r="F24" s="81" t="s">
        <v>59</v>
      </c>
      <c r="G24" s="81">
        <v>195</v>
      </c>
      <c r="H24" s="82">
        <v>100.0</v>
      </c>
      <c r="I24" s="82">
        <v>19500.0</v>
      </c>
      <c r="J24" s="80"/>
    </row>
    <row r="25" spans="1:10" customHeight="1" ht="20.25">
      <c r="A25" s="79">
        <v>16</v>
      </c>
      <c r="B25" s="80" t="s">
        <v>60</v>
      </c>
      <c r="C25" s="80" t="s">
        <v>19</v>
      </c>
      <c r="D25" s="79" t="s">
        <v>20</v>
      </c>
      <c r="E25" s="80" t="s">
        <v>61</v>
      </c>
      <c r="F25" s="81" t="s">
        <v>22</v>
      </c>
      <c r="G25" s="81">
        <v>6000</v>
      </c>
      <c r="H25" s="82">
        <v>105.0</v>
      </c>
      <c r="I25" s="82">
        <v>630000.0</v>
      </c>
      <c r="J25" s="80" t="s">
        <v>62</v>
      </c>
    </row>
    <row r="26" spans="1:10" customHeight="1" ht="20.25">
      <c r="A26" s="79">
        <v>17</v>
      </c>
      <c r="B26" s="80" t="s">
        <v>63</v>
      </c>
      <c r="C26" s="80" t="s">
        <v>19</v>
      </c>
      <c r="D26" s="79" t="s">
        <v>26</v>
      </c>
      <c r="E26" s="80" t="s">
        <v>64</v>
      </c>
      <c r="F26" s="81" t="s">
        <v>22</v>
      </c>
      <c r="G26" s="81">
        <v>30</v>
      </c>
      <c r="H26" s="82">
        <v>120.0</v>
      </c>
      <c r="I26" s="82">
        <v>3600.0</v>
      </c>
      <c r="J26" s="80"/>
    </row>
    <row r="27" spans="1:10" customHeight="1" ht="20.25">
      <c r="A27" s="79">
        <v>18</v>
      </c>
      <c r="B27" s="80" t="s">
        <v>65</v>
      </c>
      <c r="C27" s="80" t="s">
        <v>19</v>
      </c>
      <c r="D27" s="79" t="s">
        <v>26</v>
      </c>
      <c r="E27" s="80" t="s">
        <v>66</v>
      </c>
      <c r="F27" s="81" t="s">
        <v>22</v>
      </c>
      <c r="G27" s="81">
        <v>83</v>
      </c>
      <c r="H27" s="82">
        <v>120.0</v>
      </c>
      <c r="I27" s="82">
        <v>9960.0</v>
      </c>
      <c r="J27" s="80"/>
    </row>
    <row r="28" spans="1:10" customHeight="1" ht="20.25">
      <c r="A28" s="79">
        <v>19</v>
      </c>
      <c r="B28" s="80" t="s">
        <v>67</v>
      </c>
      <c r="C28" s="80" t="s">
        <v>19</v>
      </c>
      <c r="D28" s="79" t="s">
        <v>26</v>
      </c>
      <c r="E28" s="80" t="s">
        <v>68</v>
      </c>
      <c r="F28" s="81" t="s">
        <v>22</v>
      </c>
      <c r="G28" s="81">
        <v>35</v>
      </c>
      <c r="H28" s="82">
        <v>120.0</v>
      </c>
      <c r="I28" s="82">
        <v>4200.0</v>
      </c>
      <c r="J28" s="80"/>
    </row>
    <row r="29" spans="1:10" customHeight="1" ht="20.25">
      <c r="A29" s="79">
        <v>20</v>
      </c>
      <c r="B29" s="80" t="s">
        <v>53</v>
      </c>
      <c r="C29" s="80" t="s">
        <v>19</v>
      </c>
      <c r="D29" s="79" t="s">
        <v>26</v>
      </c>
      <c r="E29" s="80" t="s">
        <v>54</v>
      </c>
      <c r="F29" s="81" t="s">
        <v>69</v>
      </c>
      <c r="G29" s="81">
        <v>1500</v>
      </c>
      <c r="H29" s="82">
        <v>125.0</v>
      </c>
      <c r="I29" s="82">
        <v>187500.0</v>
      </c>
      <c r="J29" s="80" t="s">
        <v>70</v>
      </c>
    </row>
    <row r="30" spans="1:10" customHeight="1" ht="20.25">
      <c r="A30" s="79">
        <v>21</v>
      </c>
      <c r="B30" s="80" t="s">
        <v>71</v>
      </c>
      <c r="C30" s="80" t="s">
        <v>19</v>
      </c>
      <c r="D30" s="79" t="s">
        <v>26</v>
      </c>
      <c r="E30" s="80" t="s">
        <v>72</v>
      </c>
      <c r="F30" s="81" t="s">
        <v>22</v>
      </c>
      <c r="G30" s="81">
        <v>400</v>
      </c>
      <c r="H30" s="82">
        <v>135.0</v>
      </c>
      <c r="I30" s="82">
        <v>54000.0</v>
      </c>
      <c r="J30" s="80"/>
    </row>
    <row r="31" spans="1:10" customHeight="1" ht="20.25">
      <c r="A31" s="79">
        <v>22</v>
      </c>
      <c r="B31" s="80" t="s">
        <v>73</v>
      </c>
      <c r="C31" s="80" t="s">
        <v>19</v>
      </c>
      <c r="D31" s="79" t="s">
        <v>26</v>
      </c>
      <c r="E31" s="80" t="s">
        <v>74</v>
      </c>
      <c r="F31" s="81" t="s">
        <v>22</v>
      </c>
      <c r="G31" s="81">
        <v>484</v>
      </c>
      <c r="H31" s="82">
        <v>115.0</v>
      </c>
      <c r="I31" s="82">
        <v>55660.0</v>
      </c>
      <c r="J31" s="80"/>
    </row>
    <row r="32" spans="1:10" customHeight="1" ht="20.25">
      <c r="A32" s="79">
        <v>23</v>
      </c>
      <c r="B32" s="80" t="s">
        <v>75</v>
      </c>
      <c r="C32" s="80" t="s">
        <v>19</v>
      </c>
      <c r="D32" s="79" t="s">
        <v>26</v>
      </c>
      <c r="E32" s="80" t="s">
        <v>76</v>
      </c>
      <c r="F32" s="81" t="s">
        <v>69</v>
      </c>
      <c r="G32" s="81">
        <v>2500</v>
      </c>
      <c r="H32" s="82">
        <v>144.0</v>
      </c>
      <c r="I32" s="82">
        <v>360000.0</v>
      </c>
      <c r="J32" s="80" t="s">
        <v>77</v>
      </c>
    </row>
    <row r="33" spans="1:10" customHeight="1" ht="20.25">
      <c r="A33" s="79">
        <v>24</v>
      </c>
      <c r="B33" s="80" t="s">
        <v>78</v>
      </c>
      <c r="C33" s="80" t="s">
        <v>19</v>
      </c>
      <c r="D33" s="79" t="s">
        <v>26</v>
      </c>
      <c r="E33" s="80" t="s">
        <v>79</v>
      </c>
      <c r="F33" s="81" t="s">
        <v>22</v>
      </c>
      <c r="G33" s="81">
        <v>100</v>
      </c>
      <c r="H33" s="82">
        <v>145.0</v>
      </c>
      <c r="I33" s="82">
        <v>14500.0</v>
      </c>
      <c r="J33" s="80" t="s">
        <v>80</v>
      </c>
    </row>
    <row r="34" spans="1:10" customHeight="1" ht="20.25">
      <c r="A34" s="79">
        <v>25</v>
      </c>
      <c r="B34" s="80" t="s">
        <v>81</v>
      </c>
      <c r="C34" s="80" t="s">
        <v>19</v>
      </c>
      <c r="D34" s="79" t="s">
        <v>26</v>
      </c>
      <c r="E34" s="80" t="s">
        <v>82</v>
      </c>
      <c r="F34" s="81" t="s">
        <v>22</v>
      </c>
      <c r="G34" s="81">
        <v>200</v>
      </c>
      <c r="H34" s="82">
        <v>150.0</v>
      </c>
      <c r="I34" s="82">
        <v>30000.0</v>
      </c>
      <c r="J34" s="80"/>
    </row>
    <row r="35" spans="1:10" customHeight="1" ht="20.25">
      <c r="A35" s="79">
        <v>26</v>
      </c>
      <c r="B35" s="80" t="s">
        <v>83</v>
      </c>
      <c r="C35" s="80" t="s">
        <v>19</v>
      </c>
      <c r="D35" s="79" t="s">
        <v>26</v>
      </c>
      <c r="E35" s="80" t="s">
        <v>84</v>
      </c>
      <c r="F35" s="81" t="s">
        <v>85</v>
      </c>
      <c r="G35" s="81">
        <v>4</v>
      </c>
      <c r="H35" s="82">
        <v>150.0</v>
      </c>
      <c r="I35" s="82">
        <v>600.0</v>
      </c>
      <c r="J35" s="80"/>
    </row>
    <row r="36" spans="1:10" customHeight="1" ht="20.25">
      <c r="A36" s="79">
        <v>27</v>
      </c>
      <c r="B36" s="80" t="s">
        <v>86</v>
      </c>
      <c r="C36" s="80" t="s">
        <v>19</v>
      </c>
      <c r="D36" s="79" t="s">
        <v>26</v>
      </c>
      <c r="E36" s="80" t="s">
        <v>87</v>
      </c>
      <c r="F36" s="81" t="s">
        <v>28</v>
      </c>
      <c r="G36" s="81">
        <v>275</v>
      </c>
      <c r="H36" s="82">
        <v>180.0</v>
      </c>
      <c r="I36" s="82">
        <v>49500.0</v>
      </c>
      <c r="J36" s="80"/>
    </row>
    <row r="37" spans="1:10" customHeight="1" ht="20.25">
      <c r="A37" s="79">
        <v>28</v>
      </c>
      <c r="B37" s="80" t="s">
        <v>78</v>
      </c>
      <c r="C37" s="80" t="s">
        <v>19</v>
      </c>
      <c r="D37" s="79" t="s">
        <v>26</v>
      </c>
      <c r="E37" s="80" t="s">
        <v>79</v>
      </c>
      <c r="F37" s="81" t="s">
        <v>22</v>
      </c>
      <c r="G37" s="81">
        <v>20</v>
      </c>
      <c r="H37" s="82">
        <v>180.0</v>
      </c>
      <c r="I37" s="82">
        <v>3600.0</v>
      </c>
      <c r="J37" s="80"/>
    </row>
    <row r="38" spans="1:10" customHeight="1" ht="20.25">
      <c r="A38" s="79">
        <v>29</v>
      </c>
      <c r="B38" s="80" t="s">
        <v>88</v>
      </c>
      <c r="C38" s="80" t="s">
        <v>19</v>
      </c>
      <c r="D38" s="79" t="s">
        <v>26</v>
      </c>
      <c r="E38" s="80" t="s">
        <v>89</v>
      </c>
      <c r="F38" s="81" t="s">
        <v>28</v>
      </c>
      <c r="G38" s="81">
        <v>100</v>
      </c>
      <c r="H38" s="82">
        <v>183.6</v>
      </c>
      <c r="I38" s="82">
        <v>18360.0</v>
      </c>
      <c r="J38" s="80"/>
    </row>
    <row r="39" spans="1:10" customHeight="1" ht="20.25">
      <c r="A39" s="79">
        <v>30</v>
      </c>
      <c r="B39" s="80" t="s">
        <v>90</v>
      </c>
      <c r="C39" s="80" t="s">
        <v>19</v>
      </c>
      <c r="D39" s="79" t="s">
        <v>26</v>
      </c>
      <c r="E39" s="80" t="s">
        <v>91</v>
      </c>
      <c r="F39" s="81" t="s">
        <v>22</v>
      </c>
      <c r="G39" s="81">
        <v>65</v>
      </c>
      <c r="H39" s="82">
        <v>195.0</v>
      </c>
      <c r="I39" s="82">
        <v>12675.0</v>
      </c>
      <c r="J39" s="80"/>
    </row>
    <row r="40" spans="1:10" customHeight="1" ht="20.25">
      <c r="A40" s="79">
        <v>31</v>
      </c>
      <c r="B40" s="80" t="s">
        <v>92</v>
      </c>
      <c r="C40" s="80" t="s">
        <v>19</v>
      </c>
      <c r="D40" s="79" t="s">
        <v>26</v>
      </c>
      <c r="E40" s="80" t="s">
        <v>93</v>
      </c>
      <c r="F40" s="81" t="s">
        <v>22</v>
      </c>
      <c r="G40" s="81">
        <v>150</v>
      </c>
      <c r="H40" s="82">
        <v>220.0</v>
      </c>
      <c r="I40" s="82">
        <v>33000.0</v>
      </c>
      <c r="J40" s="80" t="s">
        <v>94</v>
      </c>
    </row>
    <row r="41" spans="1:10" customHeight="1" ht="20.25">
      <c r="A41" s="79">
        <v>32</v>
      </c>
      <c r="B41" s="80" t="s">
        <v>95</v>
      </c>
      <c r="C41" s="80" t="s">
        <v>19</v>
      </c>
      <c r="D41" s="79" t="s">
        <v>26</v>
      </c>
      <c r="E41" s="80" t="s">
        <v>96</v>
      </c>
      <c r="F41" s="81" t="s">
        <v>85</v>
      </c>
      <c r="G41" s="81">
        <v>600</v>
      </c>
      <c r="H41" s="82">
        <v>225.0</v>
      </c>
      <c r="I41" s="82">
        <v>135000.0</v>
      </c>
      <c r="J41" s="80" t="s">
        <v>97</v>
      </c>
    </row>
    <row r="42" spans="1:10" customHeight="1" ht="20.25">
      <c r="A42" s="79">
        <v>33</v>
      </c>
      <c r="B42" s="80" t="s">
        <v>98</v>
      </c>
      <c r="C42" s="80" t="s">
        <v>19</v>
      </c>
      <c r="D42" s="79" t="s">
        <v>26</v>
      </c>
      <c r="E42" s="80" t="s">
        <v>99</v>
      </c>
      <c r="F42" s="81" t="s">
        <v>22</v>
      </c>
      <c r="G42" s="81">
        <v>3</v>
      </c>
      <c r="H42" s="82">
        <v>240.0</v>
      </c>
      <c r="I42" s="82">
        <v>720.0</v>
      </c>
      <c r="J42" s="80"/>
    </row>
    <row r="43" spans="1:10" customHeight="1" ht="20.25">
      <c r="A43" s="79">
        <v>34</v>
      </c>
      <c r="B43" s="80" t="s">
        <v>100</v>
      </c>
      <c r="C43" s="80" t="s">
        <v>19</v>
      </c>
      <c r="D43" s="79" t="s">
        <v>26</v>
      </c>
      <c r="E43" s="80" t="s">
        <v>101</v>
      </c>
      <c r="F43" s="81" t="s">
        <v>22</v>
      </c>
      <c r="G43" s="81">
        <v>100</v>
      </c>
      <c r="H43" s="82">
        <v>250.0</v>
      </c>
      <c r="I43" s="82">
        <v>25000.0</v>
      </c>
      <c r="J43" s="80" t="s">
        <v>102</v>
      </c>
    </row>
    <row r="44" spans="1:10" customHeight="1" ht="20.25">
      <c r="A44" s="79">
        <v>35</v>
      </c>
      <c r="B44" s="80" t="s">
        <v>103</v>
      </c>
      <c r="C44" s="80" t="s">
        <v>19</v>
      </c>
      <c r="D44" s="79" t="s">
        <v>26</v>
      </c>
      <c r="E44" s="80" t="s">
        <v>104</v>
      </c>
      <c r="F44" s="81" t="s">
        <v>22</v>
      </c>
      <c r="G44" s="81">
        <v>20</v>
      </c>
      <c r="H44" s="82">
        <v>250.0</v>
      </c>
      <c r="I44" s="82">
        <v>5000.0</v>
      </c>
      <c r="J44" s="80"/>
    </row>
    <row r="45" spans="1:10" customHeight="1" ht="20.25">
      <c r="A45" s="79">
        <v>36</v>
      </c>
      <c r="B45" s="80" t="s">
        <v>105</v>
      </c>
      <c r="C45" s="80" t="s">
        <v>19</v>
      </c>
      <c r="D45" s="79" t="s">
        <v>26</v>
      </c>
      <c r="E45" s="80" t="s">
        <v>106</v>
      </c>
      <c r="F45" s="81" t="s">
        <v>22</v>
      </c>
      <c r="G45" s="81">
        <v>200</v>
      </c>
      <c r="H45" s="82">
        <v>280.0</v>
      </c>
      <c r="I45" s="82">
        <v>56000.0</v>
      </c>
      <c r="J45" s="80" t="s">
        <v>107</v>
      </c>
    </row>
    <row r="46" spans="1:10" customHeight="1" ht="20.25">
      <c r="A46" s="79">
        <v>37</v>
      </c>
      <c r="B46" s="80" t="s">
        <v>108</v>
      </c>
      <c r="C46" s="80" t="s">
        <v>19</v>
      </c>
      <c r="D46" s="79" t="s">
        <v>26</v>
      </c>
      <c r="E46" s="80" t="s">
        <v>109</v>
      </c>
      <c r="F46" s="81" t="s">
        <v>22</v>
      </c>
      <c r="G46" s="81">
        <v>75</v>
      </c>
      <c r="H46" s="82">
        <v>290.0</v>
      </c>
      <c r="I46" s="82">
        <v>21750.0</v>
      </c>
      <c r="J46" s="80"/>
    </row>
    <row r="47" spans="1:10" customHeight="1" ht="20.25">
      <c r="A47" s="79">
        <v>38</v>
      </c>
      <c r="B47" s="80" t="s">
        <v>110</v>
      </c>
      <c r="C47" s="80" t="s">
        <v>19</v>
      </c>
      <c r="D47" s="79" t="s">
        <v>26</v>
      </c>
      <c r="E47" s="80" t="s">
        <v>111</v>
      </c>
      <c r="F47" s="81" t="s">
        <v>22</v>
      </c>
      <c r="G47" s="81">
        <v>15</v>
      </c>
      <c r="H47" s="82">
        <v>290.0</v>
      </c>
      <c r="I47" s="82">
        <v>4350.0</v>
      </c>
      <c r="J47" s="80"/>
    </row>
    <row r="48" spans="1:10" customHeight="1" ht="20.25">
      <c r="A48" s="79">
        <v>39</v>
      </c>
      <c r="B48" s="80" t="s">
        <v>112</v>
      </c>
      <c r="C48" s="80" t="s">
        <v>19</v>
      </c>
      <c r="D48" s="79" t="s">
        <v>26</v>
      </c>
      <c r="E48" s="80" t="s">
        <v>113</v>
      </c>
      <c r="F48" s="81" t="s">
        <v>28</v>
      </c>
      <c r="G48" s="81">
        <v>300</v>
      </c>
      <c r="H48" s="82">
        <v>299.0</v>
      </c>
      <c r="I48" s="82">
        <v>89700.0</v>
      </c>
      <c r="J48" s="80" t="s">
        <v>114</v>
      </c>
    </row>
    <row r="49" spans="1:10" customHeight="1" ht="20.25">
      <c r="A49" s="79">
        <v>40</v>
      </c>
      <c r="B49" s="80" t="s">
        <v>115</v>
      </c>
      <c r="C49" s="80" t="s">
        <v>19</v>
      </c>
      <c r="D49" s="79" t="s">
        <v>26</v>
      </c>
      <c r="E49" s="80" t="s">
        <v>116</v>
      </c>
      <c r="F49" s="81" t="s">
        <v>85</v>
      </c>
      <c r="G49" s="81">
        <v>26</v>
      </c>
      <c r="H49" s="82">
        <v>300.0</v>
      </c>
      <c r="I49" s="82">
        <v>7800.0</v>
      </c>
      <c r="J49" s="80"/>
    </row>
    <row r="50" spans="1:10" customHeight="1" ht="20.25">
      <c r="A50" s="79">
        <v>41</v>
      </c>
      <c r="B50" s="80" t="s">
        <v>117</v>
      </c>
      <c r="C50" s="80" t="s">
        <v>118</v>
      </c>
      <c r="D50" s="79" t="s">
        <v>44</v>
      </c>
      <c r="E50" s="80" t="s">
        <v>119</v>
      </c>
      <c r="F50" s="81" t="s">
        <v>51</v>
      </c>
      <c r="G50" s="81">
        <v>65</v>
      </c>
      <c r="H50" s="82">
        <v>300.0</v>
      </c>
      <c r="I50" s="82">
        <v>19500.0</v>
      </c>
      <c r="J50" s="80"/>
    </row>
    <row r="51" spans="1:10" customHeight="1" ht="20.25">
      <c r="A51" s="79">
        <v>42</v>
      </c>
      <c r="B51" s="80" t="s">
        <v>120</v>
      </c>
      <c r="C51" s="80" t="s">
        <v>19</v>
      </c>
      <c r="D51" s="79" t="s">
        <v>26</v>
      </c>
      <c r="E51" s="80" t="s">
        <v>121</v>
      </c>
      <c r="F51" s="81" t="s">
        <v>122</v>
      </c>
      <c r="G51" s="81">
        <v>150</v>
      </c>
      <c r="H51" s="82">
        <v>309.0</v>
      </c>
      <c r="I51" s="82">
        <v>46350.0</v>
      </c>
      <c r="J51" s="80" t="s">
        <v>123</v>
      </c>
    </row>
    <row r="52" spans="1:10" customHeight="1" ht="20.25">
      <c r="A52" s="79">
        <v>43</v>
      </c>
      <c r="B52" s="80" t="s">
        <v>124</v>
      </c>
      <c r="C52" s="80" t="s">
        <v>19</v>
      </c>
      <c r="D52" s="79" t="s">
        <v>26</v>
      </c>
      <c r="E52" s="80" t="s">
        <v>125</v>
      </c>
      <c r="F52" s="81" t="s">
        <v>122</v>
      </c>
      <c r="G52" s="81">
        <v>100</v>
      </c>
      <c r="H52" s="82">
        <v>309.0</v>
      </c>
      <c r="I52" s="82">
        <v>30900.0</v>
      </c>
      <c r="J52" s="80" t="s">
        <v>126</v>
      </c>
    </row>
    <row r="53" spans="1:10" customHeight="1" ht="20.25">
      <c r="A53" s="79">
        <v>44</v>
      </c>
      <c r="B53" s="80" t="s">
        <v>127</v>
      </c>
      <c r="C53" s="80" t="s">
        <v>19</v>
      </c>
      <c r="D53" s="79" t="s">
        <v>26</v>
      </c>
      <c r="E53" s="80" t="s">
        <v>128</v>
      </c>
      <c r="F53" s="81" t="s">
        <v>22</v>
      </c>
      <c r="G53" s="81">
        <v>10</v>
      </c>
      <c r="H53" s="82">
        <v>330.0</v>
      </c>
      <c r="I53" s="82">
        <v>3300.0</v>
      </c>
      <c r="J53" s="80" t="s">
        <v>129</v>
      </c>
    </row>
    <row r="54" spans="1:10" customHeight="1" ht="20.25">
      <c r="A54" s="79">
        <v>45</v>
      </c>
      <c r="B54" s="80" t="s">
        <v>92</v>
      </c>
      <c r="C54" s="80" t="s">
        <v>19</v>
      </c>
      <c r="D54" s="79" t="s">
        <v>26</v>
      </c>
      <c r="E54" s="80" t="s">
        <v>93</v>
      </c>
      <c r="F54" s="81" t="s">
        <v>28</v>
      </c>
      <c r="G54" s="81">
        <v>150</v>
      </c>
      <c r="H54" s="82">
        <v>350.0</v>
      </c>
      <c r="I54" s="82">
        <v>52500.0</v>
      </c>
      <c r="J54" s="80"/>
    </row>
    <row r="55" spans="1:10" customHeight="1" ht="20.25">
      <c r="A55" s="79">
        <v>46</v>
      </c>
      <c r="B55" s="80" t="s">
        <v>130</v>
      </c>
      <c r="C55" s="80" t="s">
        <v>19</v>
      </c>
      <c r="D55" s="79" t="s">
        <v>26</v>
      </c>
      <c r="E55" s="80" t="s">
        <v>131</v>
      </c>
      <c r="F55" s="81" t="s">
        <v>132</v>
      </c>
      <c r="G55" s="81">
        <v>50</v>
      </c>
      <c r="H55" s="82">
        <v>350.0</v>
      </c>
      <c r="I55" s="82">
        <v>17500.0</v>
      </c>
      <c r="J55" s="80"/>
    </row>
    <row r="56" spans="1:10" customHeight="1" ht="20.25">
      <c r="A56" s="79">
        <v>47</v>
      </c>
      <c r="B56" s="80" t="s">
        <v>133</v>
      </c>
      <c r="C56" s="80" t="s">
        <v>19</v>
      </c>
      <c r="D56" s="79" t="s">
        <v>26</v>
      </c>
      <c r="E56" s="80" t="s">
        <v>134</v>
      </c>
      <c r="F56" s="81" t="s">
        <v>135</v>
      </c>
      <c r="G56" s="81">
        <v>35</v>
      </c>
      <c r="H56" s="82">
        <v>350.0</v>
      </c>
      <c r="I56" s="82">
        <v>12250.0</v>
      </c>
      <c r="J56" s="80"/>
    </row>
    <row r="57" spans="1:10" customHeight="1" ht="20.25">
      <c r="A57" s="79">
        <v>48</v>
      </c>
      <c r="B57" s="80" t="s">
        <v>136</v>
      </c>
      <c r="C57" s="80" t="s">
        <v>19</v>
      </c>
      <c r="D57" s="79" t="s">
        <v>26</v>
      </c>
      <c r="E57" s="80" t="s">
        <v>137</v>
      </c>
      <c r="F57" s="81" t="s">
        <v>135</v>
      </c>
      <c r="G57" s="81">
        <v>10</v>
      </c>
      <c r="H57" s="82">
        <v>350.0</v>
      </c>
      <c r="I57" s="82">
        <v>3500.0</v>
      </c>
      <c r="J57" s="80"/>
    </row>
    <row r="58" spans="1:10" customHeight="1" ht="20.25">
      <c r="A58" s="79">
        <v>49</v>
      </c>
      <c r="B58" s="80" t="s">
        <v>138</v>
      </c>
      <c r="C58" s="80" t="s">
        <v>19</v>
      </c>
      <c r="D58" s="79" t="s">
        <v>26</v>
      </c>
      <c r="E58" s="80" t="s">
        <v>139</v>
      </c>
      <c r="F58" s="81" t="s">
        <v>59</v>
      </c>
      <c r="G58" s="81">
        <v>345</v>
      </c>
      <c r="H58" s="82">
        <v>350.0</v>
      </c>
      <c r="I58" s="82">
        <v>120750.0</v>
      </c>
      <c r="J58" s="80"/>
    </row>
    <row r="59" spans="1:10" customHeight="1" ht="20.25">
      <c r="A59" s="79">
        <v>50</v>
      </c>
      <c r="B59" s="80" t="s">
        <v>140</v>
      </c>
      <c r="C59" s="80" t="s">
        <v>19</v>
      </c>
      <c r="D59" s="79" t="s">
        <v>141</v>
      </c>
      <c r="E59" s="80" t="s">
        <v>142</v>
      </c>
      <c r="F59" s="81" t="s">
        <v>22</v>
      </c>
      <c r="G59" s="81">
        <v>10</v>
      </c>
      <c r="H59" s="82">
        <v>360.0</v>
      </c>
      <c r="I59" s="82">
        <v>3600.0</v>
      </c>
      <c r="J59" s="80"/>
    </row>
    <row r="60" spans="1:10" customHeight="1" ht="20.25">
      <c r="A60" s="79">
        <v>51</v>
      </c>
      <c r="B60" s="80" t="s">
        <v>143</v>
      </c>
      <c r="C60" s="80" t="s">
        <v>19</v>
      </c>
      <c r="D60" s="79" t="s">
        <v>141</v>
      </c>
      <c r="E60" s="80" t="s">
        <v>144</v>
      </c>
      <c r="F60" s="81" t="s">
        <v>22</v>
      </c>
      <c r="G60" s="81">
        <v>10</v>
      </c>
      <c r="H60" s="82">
        <v>360.0</v>
      </c>
      <c r="I60" s="82">
        <v>3600.0</v>
      </c>
      <c r="J60" s="80"/>
    </row>
    <row r="61" spans="1:10" customHeight="1" ht="20.25">
      <c r="A61" s="79">
        <v>52</v>
      </c>
      <c r="B61" s="80" t="s">
        <v>145</v>
      </c>
      <c r="C61" s="80" t="s">
        <v>19</v>
      </c>
      <c r="D61" s="79" t="s">
        <v>26</v>
      </c>
      <c r="E61" s="80" t="s">
        <v>146</v>
      </c>
      <c r="F61" s="81" t="s">
        <v>22</v>
      </c>
      <c r="G61" s="81">
        <v>14</v>
      </c>
      <c r="H61" s="82">
        <v>386.0</v>
      </c>
      <c r="I61" s="82">
        <v>5404.0</v>
      </c>
      <c r="J61" s="80" t="s">
        <v>129</v>
      </c>
    </row>
    <row r="62" spans="1:10" customHeight="1" ht="20.25">
      <c r="A62" s="79">
        <v>53</v>
      </c>
      <c r="B62" s="80" t="s">
        <v>147</v>
      </c>
      <c r="C62" s="80" t="s">
        <v>19</v>
      </c>
      <c r="D62" s="79" t="s">
        <v>26</v>
      </c>
      <c r="E62" s="80" t="s">
        <v>148</v>
      </c>
      <c r="F62" s="81" t="s">
        <v>22</v>
      </c>
      <c r="G62" s="81">
        <v>27</v>
      </c>
      <c r="H62" s="82">
        <v>400.0</v>
      </c>
      <c r="I62" s="82">
        <v>10800.0</v>
      </c>
      <c r="J62" s="80"/>
    </row>
    <row r="63" spans="1:10" customHeight="1" ht="20.25">
      <c r="A63" s="79">
        <v>54</v>
      </c>
      <c r="B63" s="80" t="s">
        <v>149</v>
      </c>
      <c r="C63" s="80" t="s">
        <v>19</v>
      </c>
      <c r="D63" s="79" t="s">
        <v>26</v>
      </c>
      <c r="E63" s="80" t="s">
        <v>150</v>
      </c>
      <c r="F63" s="81" t="s">
        <v>22</v>
      </c>
      <c r="G63" s="81">
        <v>13</v>
      </c>
      <c r="H63" s="82">
        <v>400.0</v>
      </c>
      <c r="I63" s="82">
        <v>5200.0</v>
      </c>
      <c r="J63" s="80" t="s">
        <v>129</v>
      </c>
    </row>
    <row r="64" spans="1:10" customHeight="1" ht="20.25">
      <c r="A64" s="79">
        <v>55</v>
      </c>
      <c r="B64" s="80" t="s">
        <v>151</v>
      </c>
      <c r="C64" s="80" t="s">
        <v>152</v>
      </c>
      <c r="D64" s="79" t="s">
        <v>141</v>
      </c>
      <c r="E64" s="80" t="s">
        <v>153</v>
      </c>
      <c r="F64" s="81" t="s">
        <v>22</v>
      </c>
      <c r="G64" s="81">
        <v>10</v>
      </c>
      <c r="H64" s="82">
        <v>436.0</v>
      </c>
      <c r="I64" s="82">
        <v>4360.0</v>
      </c>
      <c r="J64" s="80"/>
    </row>
    <row r="65" spans="1:10" customHeight="1" ht="20.25">
      <c r="A65" s="79">
        <v>56</v>
      </c>
      <c r="B65" s="80" t="s">
        <v>154</v>
      </c>
      <c r="C65" s="80" t="s">
        <v>19</v>
      </c>
      <c r="D65" s="79" t="s">
        <v>20</v>
      </c>
      <c r="E65" s="80" t="s">
        <v>155</v>
      </c>
      <c r="F65" s="81" t="s">
        <v>51</v>
      </c>
      <c r="G65" s="81">
        <v>200</v>
      </c>
      <c r="H65" s="82">
        <v>450.0</v>
      </c>
      <c r="I65" s="82">
        <v>90000.0</v>
      </c>
      <c r="J65" s="80" t="s">
        <v>156</v>
      </c>
    </row>
    <row r="66" spans="1:10" customHeight="1" ht="20.25">
      <c r="A66" s="79">
        <v>57</v>
      </c>
      <c r="B66" s="80" t="s">
        <v>157</v>
      </c>
      <c r="C66" s="80" t="s">
        <v>19</v>
      </c>
      <c r="D66" s="79" t="s">
        <v>26</v>
      </c>
      <c r="E66" s="80" t="s">
        <v>158</v>
      </c>
      <c r="F66" s="81" t="s">
        <v>159</v>
      </c>
      <c r="G66" s="81">
        <v>750</v>
      </c>
      <c r="H66" s="82">
        <v>450.0</v>
      </c>
      <c r="I66" s="82">
        <v>337500.0</v>
      </c>
      <c r="J66" s="80" t="s">
        <v>160</v>
      </c>
    </row>
    <row r="67" spans="1:10" customHeight="1" ht="20.25">
      <c r="A67" s="79">
        <v>58</v>
      </c>
      <c r="B67" s="80" t="s">
        <v>161</v>
      </c>
      <c r="C67" s="80" t="s">
        <v>19</v>
      </c>
      <c r="D67" s="79" t="s">
        <v>26</v>
      </c>
      <c r="E67" s="80" t="s">
        <v>162</v>
      </c>
      <c r="F67" s="81" t="s">
        <v>22</v>
      </c>
      <c r="G67" s="81">
        <v>45</v>
      </c>
      <c r="H67" s="82">
        <v>450.0</v>
      </c>
      <c r="I67" s="82">
        <v>20250.0</v>
      </c>
      <c r="J67" s="80"/>
    </row>
    <row r="68" spans="1:10" customHeight="1" ht="20.25">
      <c r="A68" s="79">
        <v>59</v>
      </c>
      <c r="B68" s="80" t="s">
        <v>163</v>
      </c>
      <c r="C68" s="80" t="s">
        <v>19</v>
      </c>
      <c r="D68" s="79" t="s">
        <v>26</v>
      </c>
      <c r="E68" s="80" t="s">
        <v>164</v>
      </c>
      <c r="F68" s="81" t="s">
        <v>59</v>
      </c>
      <c r="G68" s="81">
        <v>5</v>
      </c>
      <c r="H68" s="82">
        <v>450.0</v>
      </c>
      <c r="I68" s="82">
        <v>2250.0</v>
      </c>
      <c r="J68" s="80"/>
    </row>
    <row r="69" spans="1:10" customHeight="1" ht="20.25">
      <c r="A69" s="79">
        <v>60</v>
      </c>
      <c r="B69" s="80" t="s">
        <v>165</v>
      </c>
      <c r="C69" s="80" t="s">
        <v>152</v>
      </c>
      <c r="D69" s="79" t="s">
        <v>166</v>
      </c>
      <c r="E69" s="80" t="s">
        <v>167</v>
      </c>
      <c r="F69" s="81" t="s">
        <v>69</v>
      </c>
      <c r="G69" s="81">
        <v>200</v>
      </c>
      <c r="H69" s="82">
        <v>510.0</v>
      </c>
      <c r="I69" s="82">
        <v>102000.0</v>
      </c>
      <c r="J69" s="80" t="s">
        <v>168</v>
      </c>
    </row>
    <row r="70" spans="1:10" customHeight="1" ht="20.25">
      <c r="A70" s="79">
        <v>61</v>
      </c>
      <c r="B70" s="80" t="s">
        <v>169</v>
      </c>
      <c r="C70" s="80" t="s">
        <v>19</v>
      </c>
      <c r="D70" s="79" t="s">
        <v>44</v>
      </c>
      <c r="E70" s="80" t="s">
        <v>170</v>
      </c>
      <c r="F70" s="81" t="s">
        <v>51</v>
      </c>
      <c r="G70" s="81">
        <v>375</v>
      </c>
      <c r="H70" s="82">
        <v>600.0</v>
      </c>
      <c r="I70" s="82">
        <v>225000.0</v>
      </c>
      <c r="J70" s="80"/>
    </row>
    <row r="71" spans="1:10" customHeight="1" ht="20.25">
      <c r="A71" s="79">
        <v>62</v>
      </c>
      <c r="B71" s="80" t="s">
        <v>171</v>
      </c>
      <c r="C71" s="80" t="s">
        <v>19</v>
      </c>
      <c r="D71" s="79" t="s">
        <v>26</v>
      </c>
      <c r="E71" s="80" t="s">
        <v>172</v>
      </c>
      <c r="F71" s="81" t="s">
        <v>69</v>
      </c>
      <c r="G71" s="81">
        <v>20</v>
      </c>
      <c r="H71" s="82">
        <v>648.0</v>
      </c>
      <c r="I71" s="82">
        <v>12960.0</v>
      </c>
      <c r="J71" s="80"/>
    </row>
    <row r="72" spans="1:10" customHeight="1" ht="20.25">
      <c r="A72" s="79">
        <v>63</v>
      </c>
      <c r="B72" s="80" t="s">
        <v>173</v>
      </c>
      <c r="C72" s="80" t="s">
        <v>19</v>
      </c>
      <c r="D72" s="79" t="s">
        <v>26</v>
      </c>
      <c r="E72" s="80" t="s">
        <v>174</v>
      </c>
      <c r="F72" s="81" t="s">
        <v>22</v>
      </c>
      <c r="G72" s="81">
        <v>17</v>
      </c>
      <c r="H72" s="82">
        <v>650.0</v>
      </c>
      <c r="I72" s="82">
        <v>11050.0</v>
      </c>
      <c r="J72" s="80"/>
    </row>
    <row r="73" spans="1:10" customHeight="1" ht="20.25">
      <c r="A73" s="79">
        <v>64</v>
      </c>
      <c r="B73" s="80" t="s">
        <v>175</v>
      </c>
      <c r="C73" s="80" t="s">
        <v>19</v>
      </c>
      <c r="D73" s="79" t="s">
        <v>26</v>
      </c>
      <c r="E73" s="80" t="s">
        <v>176</v>
      </c>
      <c r="F73" s="81" t="s">
        <v>59</v>
      </c>
      <c r="G73" s="81">
        <v>215</v>
      </c>
      <c r="H73" s="82">
        <v>650.0</v>
      </c>
      <c r="I73" s="82">
        <v>139750.0</v>
      </c>
      <c r="J73" s="80"/>
    </row>
    <row r="74" spans="1:10" customHeight="1" ht="20.25">
      <c r="A74" s="79">
        <v>65</v>
      </c>
      <c r="B74" s="80" t="s">
        <v>95</v>
      </c>
      <c r="C74" s="80" t="s">
        <v>19</v>
      </c>
      <c r="D74" s="79" t="s">
        <v>26</v>
      </c>
      <c r="E74" s="80" t="s">
        <v>96</v>
      </c>
      <c r="F74" s="81" t="s">
        <v>85</v>
      </c>
      <c r="G74" s="81">
        <v>222</v>
      </c>
      <c r="H74" s="82">
        <v>650.0</v>
      </c>
      <c r="I74" s="82">
        <v>144300.0</v>
      </c>
      <c r="J74" s="80"/>
    </row>
    <row r="75" spans="1:10" customHeight="1" ht="20.25">
      <c r="A75" s="79">
        <v>66</v>
      </c>
      <c r="B75" s="80" t="s">
        <v>177</v>
      </c>
      <c r="C75" s="80" t="s">
        <v>19</v>
      </c>
      <c r="D75" s="79" t="s">
        <v>26</v>
      </c>
      <c r="E75" s="80" t="s">
        <v>178</v>
      </c>
      <c r="F75" s="81" t="s">
        <v>85</v>
      </c>
      <c r="G75" s="81">
        <v>400</v>
      </c>
      <c r="H75" s="82">
        <v>675.0</v>
      </c>
      <c r="I75" s="82">
        <v>270000.0</v>
      </c>
      <c r="J75" s="80" t="s">
        <v>179</v>
      </c>
    </row>
    <row r="76" spans="1:10" customHeight="1" ht="20.25">
      <c r="A76" s="79">
        <v>67</v>
      </c>
      <c r="B76" s="80" t="s">
        <v>180</v>
      </c>
      <c r="C76" s="80" t="s">
        <v>19</v>
      </c>
      <c r="D76" s="79" t="s">
        <v>26</v>
      </c>
      <c r="E76" s="80" t="s">
        <v>181</v>
      </c>
      <c r="F76" s="81" t="s">
        <v>69</v>
      </c>
      <c r="G76" s="81">
        <v>11</v>
      </c>
      <c r="H76" s="82">
        <v>750.0</v>
      </c>
      <c r="I76" s="82">
        <v>8250.0</v>
      </c>
      <c r="J76" s="80"/>
    </row>
    <row r="77" spans="1:10" customHeight="1" ht="20.25">
      <c r="A77" s="79">
        <v>68</v>
      </c>
      <c r="B77" s="80" t="s">
        <v>182</v>
      </c>
      <c r="C77" s="80" t="s">
        <v>183</v>
      </c>
      <c r="D77" s="79" t="s">
        <v>26</v>
      </c>
      <c r="E77" s="80" t="s">
        <v>184</v>
      </c>
      <c r="F77" s="81" t="s">
        <v>22</v>
      </c>
      <c r="G77" s="81">
        <v>5</v>
      </c>
      <c r="H77" s="82">
        <v>750.0</v>
      </c>
      <c r="I77" s="82">
        <v>3750.0</v>
      </c>
      <c r="J77" s="80"/>
    </row>
    <row r="78" spans="1:10" customHeight="1" ht="20.25">
      <c r="A78" s="79">
        <v>69</v>
      </c>
      <c r="B78" s="80" t="s">
        <v>185</v>
      </c>
      <c r="C78" s="80" t="s">
        <v>19</v>
      </c>
      <c r="D78" s="79" t="s">
        <v>26</v>
      </c>
      <c r="E78" s="80" t="s">
        <v>186</v>
      </c>
      <c r="F78" s="81" t="s">
        <v>22</v>
      </c>
      <c r="G78" s="81">
        <v>75</v>
      </c>
      <c r="H78" s="82">
        <v>800.0</v>
      </c>
      <c r="I78" s="82">
        <v>60000.0</v>
      </c>
      <c r="J78" s="80" t="s">
        <v>187</v>
      </c>
    </row>
    <row r="79" spans="1:10" customHeight="1" ht="20.25">
      <c r="A79" s="79">
        <v>70</v>
      </c>
      <c r="B79" s="80" t="s">
        <v>188</v>
      </c>
      <c r="C79" s="80" t="s">
        <v>19</v>
      </c>
      <c r="D79" s="79" t="s">
        <v>26</v>
      </c>
      <c r="E79" s="80" t="s">
        <v>189</v>
      </c>
      <c r="F79" s="81" t="s">
        <v>22</v>
      </c>
      <c r="G79" s="81">
        <v>5</v>
      </c>
      <c r="H79" s="82">
        <v>800.0</v>
      </c>
      <c r="I79" s="82">
        <v>4000.0</v>
      </c>
      <c r="J79" s="80" t="s">
        <v>129</v>
      </c>
    </row>
    <row r="80" spans="1:10" customHeight="1" ht="20.25">
      <c r="A80" s="79">
        <v>71</v>
      </c>
      <c r="B80" s="80" t="s">
        <v>190</v>
      </c>
      <c r="C80" s="80" t="s">
        <v>19</v>
      </c>
      <c r="D80" s="79" t="s">
        <v>26</v>
      </c>
      <c r="E80" s="80" t="s">
        <v>191</v>
      </c>
      <c r="F80" s="81" t="s">
        <v>22</v>
      </c>
      <c r="G80" s="81">
        <v>12</v>
      </c>
      <c r="H80" s="82">
        <v>800.0</v>
      </c>
      <c r="I80" s="82">
        <v>9600.0</v>
      </c>
      <c r="J80" s="80"/>
    </row>
    <row r="81" spans="1:10" customHeight="1" ht="20.25">
      <c r="A81" s="79">
        <v>72</v>
      </c>
      <c r="B81" s="80" t="s">
        <v>188</v>
      </c>
      <c r="C81" s="80" t="s">
        <v>19</v>
      </c>
      <c r="D81" s="79" t="s">
        <v>26</v>
      </c>
      <c r="E81" s="80" t="s">
        <v>189</v>
      </c>
      <c r="F81" s="81" t="s">
        <v>28</v>
      </c>
      <c r="G81" s="81">
        <v>10</v>
      </c>
      <c r="H81" s="82">
        <v>850.0</v>
      </c>
      <c r="I81" s="82">
        <v>8500.0</v>
      </c>
      <c r="J81" s="80"/>
    </row>
    <row r="82" spans="1:10" customHeight="1" ht="20.25">
      <c r="A82" s="79">
        <v>73</v>
      </c>
      <c r="B82" s="80" t="s">
        <v>192</v>
      </c>
      <c r="C82" s="80" t="s">
        <v>19</v>
      </c>
      <c r="D82" s="79" t="s">
        <v>26</v>
      </c>
      <c r="E82" s="80" t="s">
        <v>193</v>
      </c>
      <c r="F82" s="81" t="s">
        <v>69</v>
      </c>
      <c r="G82" s="81">
        <v>20</v>
      </c>
      <c r="H82" s="82">
        <v>899.0</v>
      </c>
      <c r="I82" s="82">
        <v>17980.0</v>
      </c>
      <c r="J82" s="80"/>
    </row>
    <row r="83" spans="1:10" customHeight="1" ht="20.25">
      <c r="A83" s="79">
        <v>74</v>
      </c>
      <c r="B83" s="80" t="s">
        <v>180</v>
      </c>
      <c r="C83" s="80" t="s">
        <v>19</v>
      </c>
      <c r="D83" s="79" t="s">
        <v>26</v>
      </c>
      <c r="E83" s="80" t="s">
        <v>181</v>
      </c>
      <c r="F83" s="81" t="s">
        <v>85</v>
      </c>
      <c r="G83" s="81">
        <v>10</v>
      </c>
      <c r="H83" s="82">
        <v>975.0</v>
      </c>
      <c r="I83" s="82">
        <v>9750.0</v>
      </c>
      <c r="J83" s="80" t="s">
        <v>194</v>
      </c>
    </row>
    <row r="84" spans="1:10" customHeight="1" ht="20.25">
      <c r="A84" s="79">
        <v>75</v>
      </c>
      <c r="B84" s="80" t="s">
        <v>195</v>
      </c>
      <c r="C84" s="80" t="s">
        <v>19</v>
      </c>
      <c r="D84" s="79" t="s">
        <v>26</v>
      </c>
      <c r="E84" s="80" t="s">
        <v>196</v>
      </c>
      <c r="F84" s="81" t="s">
        <v>22</v>
      </c>
      <c r="G84" s="81">
        <v>5</v>
      </c>
      <c r="H84" s="82">
        <v>990.0</v>
      </c>
      <c r="I84" s="82">
        <v>4950.0</v>
      </c>
      <c r="J84" s="80" t="s">
        <v>129</v>
      </c>
    </row>
    <row r="85" spans="1:10" customHeight="1" ht="20.25">
      <c r="A85" s="79">
        <v>76</v>
      </c>
      <c r="B85" s="80" t="s">
        <v>197</v>
      </c>
      <c r="C85" s="80" t="s">
        <v>19</v>
      </c>
      <c r="D85" s="79" t="s">
        <v>26</v>
      </c>
      <c r="E85" s="80" t="s">
        <v>198</v>
      </c>
      <c r="F85" s="81" t="s">
        <v>22</v>
      </c>
      <c r="G85" s="81">
        <v>15</v>
      </c>
      <c r="H85" s="82">
        <v>1000.0</v>
      </c>
      <c r="I85" s="82">
        <v>15000.0</v>
      </c>
      <c r="J85" s="80"/>
    </row>
    <row r="86" spans="1:10" customHeight="1" ht="20.25">
      <c r="A86" s="79">
        <v>77</v>
      </c>
      <c r="B86" s="80" t="s">
        <v>177</v>
      </c>
      <c r="C86" s="80" t="s">
        <v>19</v>
      </c>
      <c r="D86" s="79" t="s">
        <v>26</v>
      </c>
      <c r="E86" s="80" t="s">
        <v>178</v>
      </c>
      <c r="F86" s="81" t="s">
        <v>85</v>
      </c>
      <c r="G86" s="81">
        <v>21</v>
      </c>
      <c r="H86" s="82">
        <v>1200.0</v>
      </c>
      <c r="I86" s="82">
        <v>25200.0</v>
      </c>
      <c r="J86" s="80"/>
    </row>
    <row r="87" spans="1:10" customHeight="1" ht="20.25">
      <c r="A87" s="79">
        <v>78</v>
      </c>
      <c r="B87" s="80" t="s">
        <v>199</v>
      </c>
      <c r="C87" s="80" t="s">
        <v>19</v>
      </c>
      <c r="D87" s="79" t="s">
        <v>44</v>
      </c>
      <c r="E87" s="80" t="s">
        <v>200</v>
      </c>
      <c r="F87" s="81" t="s">
        <v>201</v>
      </c>
      <c r="G87" s="81">
        <v>29</v>
      </c>
      <c r="H87" s="82">
        <v>1400.0</v>
      </c>
      <c r="I87" s="82">
        <v>40600.0</v>
      </c>
      <c r="J87" s="80"/>
    </row>
    <row r="88" spans="1:10" customHeight="1" ht="20.25">
      <c r="A88" s="79">
        <v>79</v>
      </c>
      <c r="B88" s="80" t="s">
        <v>202</v>
      </c>
      <c r="C88" s="80" t="s">
        <v>19</v>
      </c>
      <c r="D88" s="79" t="s">
        <v>44</v>
      </c>
      <c r="E88" s="80" t="s">
        <v>203</v>
      </c>
      <c r="F88" s="81" t="s">
        <v>22</v>
      </c>
      <c r="G88" s="81">
        <v>15</v>
      </c>
      <c r="H88" s="82">
        <v>1400.0</v>
      </c>
      <c r="I88" s="82">
        <v>21000.0</v>
      </c>
      <c r="J88" s="80"/>
    </row>
    <row r="89" spans="1:10" customHeight="1" ht="20.25">
      <c r="A89" s="79">
        <v>80</v>
      </c>
      <c r="B89" s="80" t="s">
        <v>204</v>
      </c>
      <c r="C89" s="80" t="s">
        <v>19</v>
      </c>
      <c r="D89" s="79" t="s">
        <v>26</v>
      </c>
      <c r="E89" s="80" t="s">
        <v>205</v>
      </c>
      <c r="F89" s="81" t="s">
        <v>28</v>
      </c>
      <c r="G89" s="81">
        <v>28</v>
      </c>
      <c r="H89" s="82">
        <v>780.0</v>
      </c>
      <c r="I89" s="82">
        <v>21840.0</v>
      </c>
      <c r="J89" s="80"/>
    </row>
    <row r="90" spans="1:10" customHeight="1" ht="20.25">
      <c r="A90" s="79">
        <v>81</v>
      </c>
      <c r="B90" s="80" t="s">
        <v>206</v>
      </c>
      <c r="C90" s="80" t="s">
        <v>19</v>
      </c>
      <c r="D90" s="79" t="s">
        <v>26</v>
      </c>
      <c r="E90" s="80" t="s">
        <v>207</v>
      </c>
      <c r="F90" s="81" t="s">
        <v>85</v>
      </c>
      <c r="G90" s="81">
        <v>400</v>
      </c>
      <c r="H90" s="82">
        <v>1600.0</v>
      </c>
      <c r="I90" s="82">
        <v>640000.0</v>
      </c>
      <c r="J90" s="80" t="s">
        <v>208</v>
      </c>
    </row>
    <row r="91" spans="1:10" customHeight="1" ht="20.25">
      <c r="A91" s="79">
        <v>82</v>
      </c>
      <c r="B91" s="80" t="s">
        <v>209</v>
      </c>
      <c r="C91" s="80" t="s">
        <v>19</v>
      </c>
      <c r="D91" s="79" t="s">
        <v>44</v>
      </c>
      <c r="E91" s="80" t="s">
        <v>210</v>
      </c>
      <c r="F91" s="81" t="s">
        <v>201</v>
      </c>
      <c r="G91" s="81">
        <v>500</v>
      </c>
      <c r="H91" s="82">
        <v>1650.0</v>
      </c>
      <c r="I91" s="82">
        <v>825000.0</v>
      </c>
      <c r="J91" s="80"/>
    </row>
    <row r="92" spans="1:10" customHeight="1" ht="20.25">
      <c r="A92" s="79">
        <v>83</v>
      </c>
      <c r="B92" s="80" t="s">
        <v>211</v>
      </c>
      <c r="C92" s="80" t="s">
        <v>19</v>
      </c>
      <c r="D92" s="79" t="s">
        <v>26</v>
      </c>
      <c r="E92" s="80" t="s">
        <v>212</v>
      </c>
      <c r="F92" s="81" t="s">
        <v>213</v>
      </c>
      <c r="G92" s="81">
        <v>240</v>
      </c>
      <c r="H92" s="82">
        <v>1700.0</v>
      </c>
      <c r="I92" s="82">
        <v>408000.0</v>
      </c>
      <c r="J92" s="80" t="s">
        <v>29</v>
      </c>
    </row>
    <row r="93" spans="1:10" customHeight="1" ht="20.25">
      <c r="A93" s="79">
        <v>84</v>
      </c>
      <c r="B93" s="80" t="s">
        <v>214</v>
      </c>
      <c r="C93" s="80" t="s">
        <v>19</v>
      </c>
      <c r="D93" s="79" t="s">
        <v>26</v>
      </c>
      <c r="E93" s="80" t="s">
        <v>215</v>
      </c>
      <c r="F93" s="81" t="s">
        <v>213</v>
      </c>
      <c r="G93" s="81">
        <v>150</v>
      </c>
      <c r="H93" s="82">
        <v>1750.0</v>
      </c>
      <c r="I93" s="82">
        <v>262500.0</v>
      </c>
      <c r="J93" s="80" t="s">
        <v>216</v>
      </c>
    </row>
    <row r="94" spans="1:10" customHeight="1" ht="20.25">
      <c r="A94" s="79">
        <v>85</v>
      </c>
      <c r="B94" s="80" t="s">
        <v>206</v>
      </c>
      <c r="C94" s="80" t="s">
        <v>19</v>
      </c>
      <c r="D94" s="79" t="s">
        <v>26</v>
      </c>
      <c r="E94" s="80" t="s">
        <v>207</v>
      </c>
      <c r="F94" s="81" t="s">
        <v>69</v>
      </c>
      <c r="G94" s="81">
        <v>40</v>
      </c>
      <c r="H94" s="82">
        <v>1895.0</v>
      </c>
      <c r="I94" s="82">
        <v>75800.0</v>
      </c>
      <c r="J94" s="80" t="s">
        <v>217</v>
      </c>
    </row>
    <row r="95" spans="1:10" customHeight="1" ht="20.25">
      <c r="A95" s="79">
        <v>86</v>
      </c>
      <c r="B95" s="80" t="s">
        <v>218</v>
      </c>
      <c r="C95" s="80" t="s">
        <v>19</v>
      </c>
      <c r="D95" s="79" t="s">
        <v>26</v>
      </c>
      <c r="E95" s="80" t="s">
        <v>219</v>
      </c>
      <c r="F95" s="81" t="s">
        <v>22</v>
      </c>
      <c r="G95" s="81">
        <v>2</v>
      </c>
      <c r="H95" s="82">
        <v>2000.0</v>
      </c>
      <c r="I95" s="82">
        <v>4000.0</v>
      </c>
      <c r="J95" s="80"/>
    </row>
    <row r="96" spans="1:10" customHeight="1" ht="20.25">
      <c r="A96" s="79">
        <v>87</v>
      </c>
      <c r="B96" s="80" t="s">
        <v>220</v>
      </c>
      <c r="C96" s="80" t="s">
        <v>19</v>
      </c>
      <c r="D96" s="79" t="s">
        <v>44</v>
      </c>
      <c r="E96" s="80" t="s">
        <v>221</v>
      </c>
      <c r="F96" s="81" t="s">
        <v>28</v>
      </c>
      <c r="G96" s="81">
        <v>680</v>
      </c>
      <c r="H96" s="82">
        <v>1950.0</v>
      </c>
      <c r="I96" s="82">
        <v>1326000.0</v>
      </c>
      <c r="J96" s="80"/>
    </row>
    <row r="97" spans="1:10" customHeight="1" ht="20.25">
      <c r="A97" s="79">
        <v>88</v>
      </c>
      <c r="B97" s="80" t="s">
        <v>222</v>
      </c>
      <c r="C97" s="80" t="s">
        <v>19</v>
      </c>
      <c r="D97" s="79" t="s">
        <v>26</v>
      </c>
      <c r="E97" s="80" t="s">
        <v>223</v>
      </c>
      <c r="F97" s="81" t="s">
        <v>22</v>
      </c>
      <c r="G97" s="81">
        <v>5</v>
      </c>
      <c r="H97" s="82">
        <v>2600.0</v>
      </c>
      <c r="I97" s="82">
        <v>13000.0</v>
      </c>
      <c r="J97" s="80" t="s">
        <v>129</v>
      </c>
    </row>
    <row r="98" spans="1:10" customHeight="1" ht="20.25">
      <c r="A98" s="79">
        <v>89</v>
      </c>
      <c r="B98" s="80" t="s">
        <v>224</v>
      </c>
      <c r="C98" s="80" t="s">
        <v>19</v>
      </c>
      <c r="D98" s="79" t="s">
        <v>26</v>
      </c>
      <c r="E98" s="80" t="s">
        <v>225</v>
      </c>
      <c r="F98" s="81" t="s">
        <v>213</v>
      </c>
      <c r="G98" s="81">
        <v>70</v>
      </c>
      <c r="H98" s="82">
        <v>2829.0</v>
      </c>
      <c r="I98" s="82">
        <v>198030.0</v>
      </c>
      <c r="J98" s="80" t="s">
        <v>226</v>
      </c>
    </row>
    <row r="99" spans="1:10" customHeight="1" ht="20.25">
      <c r="A99" s="79">
        <v>90</v>
      </c>
      <c r="B99" s="80" t="s">
        <v>227</v>
      </c>
      <c r="C99" s="80" t="s">
        <v>19</v>
      </c>
      <c r="D99" s="79" t="s">
        <v>26</v>
      </c>
      <c r="E99" s="80" t="s">
        <v>228</v>
      </c>
      <c r="F99" s="81" t="s">
        <v>69</v>
      </c>
      <c r="G99" s="81">
        <v>25</v>
      </c>
      <c r="H99" s="82">
        <v>3150.0</v>
      </c>
      <c r="I99" s="82">
        <v>78750.0</v>
      </c>
      <c r="J99" s="80"/>
    </row>
    <row r="100" spans="1:10" customHeight="1" ht="20.25">
      <c r="A100" s="79">
        <v>91</v>
      </c>
      <c r="B100" s="80" t="s">
        <v>229</v>
      </c>
      <c r="C100" s="80" t="s">
        <v>19</v>
      </c>
      <c r="D100" s="79" t="s">
        <v>26</v>
      </c>
      <c r="E100" s="80" t="s">
        <v>230</v>
      </c>
      <c r="F100" s="81" t="s">
        <v>22</v>
      </c>
      <c r="G100" s="81">
        <v>2</v>
      </c>
      <c r="H100" s="82">
        <v>3200.0</v>
      </c>
      <c r="I100" s="82">
        <v>6400.0</v>
      </c>
      <c r="J100" s="80" t="s">
        <v>129</v>
      </c>
    </row>
    <row r="101" spans="1:10" customHeight="1" ht="20.25">
      <c r="A101" s="79">
        <v>92</v>
      </c>
      <c r="B101" s="80" t="s">
        <v>231</v>
      </c>
      <c r="C101" s="80" t="s">
        <v>19</v>
      </c>
      <c r="D101" s="79" t="s">
        <v>20</v>
      </c>
      <c r="E101" s="80" t="s">
        <v>232</v>
      </c>
      <c r="F101" s="81" t="s">
        <v>51</v>
      </c>
      <c r="G101" s="81">
        <v>200</v>
      </c>
      <c r="H101" s="82">
        <v>3600.0</v>
      </c>
      <c r="I101" s="82">
        <v>720000.0</v>
      </c>
      <c r="J101" s="80" t="s">
        <v>233</v>
      </c>
    </row>
    <row r="102" spans="1:10" customHeight="1" ht="20.25">
      <c r="A102" s="79">
        <v>93</v>
      </c>
      <c r="B102" s="80" t="s">
        <v>234</v>
      </c>
      <c r="C102" s="80" t="s">
        <v>19</v>
      </c>
      <c r="D102" s="79" t="s">
        <v>26</v>
      </c>
      <c r="E102" s="80" t="s">
        <v>235</v>
      </c>
      <c r="F102" s="81" t="s">
        <v>28</v>
      </c>
      <c r="G102" s="81">
        <v>8</v>
      </c>
      <c r="H102" s="82">
        <v>3700.0</v>
      </c>
      <c r="I102" s="82">
        <v>29600.0</v>
      </c>
      <c r="J102" s="80" t="s">
        <v>236</v>
      </c>
    </row>
    <row r="103" spans="1:10" customHeight="1" ht="20.25">
      <c r="A103" s="79">
        <v>94</v>
      </c>
      <c r="B103" s="80" t="s">
        <v>237</v>
      </c>
      <c r="C103" s="80" t="s">
        <v>19</v>
      </c>
      <c r="D103" s="79" t="s">
        <v>26</v>
      </c>
      <c r="E103" s="80" t="s">
        <v>238</v>
      </c>
      <c r="F103" s="81" t="s">
        <v>239</v>
      </c>
      <c r="G103" s="81">
        <v>10</v>
      </c>
      <c r="H103" s="82">
        <v>5500.0</v>
      </c>
      <c r="I103" s="82">
        <v>55000.0</v>
      </c>
      <c r="J103" s="80"/>
    </row>
    <row r="104" spans="1:10" customHeight="1" ht="20.25">
      <c r="A104" s="79">
        <v>95</v>
      </c>
      <c r="B104" s="80" t="s">
        <v>240</v>
      </c>
      <c r="C104" s="80" t="s">
        <v>19</v>
      </c>
      <c r="D104" s="79" t="s">
        <v>26</v>
      </c>
      <c r="E104" s="80" t="s">
        <v>241</v>
      </c>
      <c r="F104" s="81" t="s">
        <v>242</v>
      </c>
      <c r="G104" s="81">
        <v>2</v>
      </c>
      <c r="H104" s="82">
        <v>9276.0</v>
      </c>
      <c r="I104" s="82">
        <v>18552.0</v>
      </c>
      <c r="J104" s="80"/>
    </row>
    <row r="105" spans="1:10" customHeight="1" ht="20.25">
      <c r="A105" s="79"/>
      <c r="B105" s="80"/>
      <c r="C105" s="80"/>
      <c r="D105" s="79"/>
      <c r="E105" s="80"/>
      <c r="F105" s="81"/>
      <c r="G105" s="81"/>
      <c r="H105" s="82"/>
      <c r="I105" s="82"/>
      <c r="J105" s="80"/>
    </row>
    <row r="106" spans="1:10" customHeight="1" ht="17.25" s="22" customFormat="1">
      <c r="A106" s="23"/>
      <c r="B106" s="27"/>
      <c r="C106" s="27"/>
      <c r="D106" s="23"/>
      <c r="E106" s="80"/>
      <c r="F106" s="23"/>
      <c r="G106" s="23"/>
      <c r="H106" s="24"/>
      <c r="I106" s="24"/>
      <c r="J106" s="80"/>
    </row>
    <row r="107" spans="1:10" customHeight="1" ht="13.5">
      <c r="C107" s="10" t="s">
        <v>243</v>
      </c>
      <c r="H107" s="25" t="s">
        <v>244</v>
      </c>
      <c r="I107" s="26">
        <f>SUM(I10:I106)</f>
        <v>10020351</v>
      </c>
      <c r="J107" s="10"/>
    </row>
    <row r="108" spans="1:10" customHeight="1" ht="15">
      <c r="B108" s="11"/>
      <c r="C108" s="12"/>
      <c r="D108" s="12"/>
      <c r="E108" s="13"/>
      <c r="F108" s="9"/>
    </row>
    <row r="109" spans="1:10" customHeight="1" ht="15">
      <c r="B109" s="87" t="s">
        <v>245</v>
      </c>
      <c r="C109" s="88"/>
      <c r="D109" s="88"/>
      <c r="E109" s="89"/>
    </row>
    <row r="110" spans="1:10" customHeight="1" ht="128.25">
      <c r="B110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110" s="94"/>
      <c r="D110" s="94"/>
      <c r="E110" s="95"/>
    </row>
    <row r="111" spans="1:10" customHeight="1" ht="16.5">
      <c r="B111" s="87" t="s">
        <v>247</v>
      </c>
      <c r="C111" s="88"/>
      <c r="D111" s="88"/>
      <c r="E111" s="89"/>
    </row>
    <row r="112" spans="1:10" customHeight="1" ht="15">
      <c r="B112" s="90" t="s">
        <v>248</v>
      </c>
      <c r="C112" s="91"/>
      <c r="D112" s="91"/>
      <c r="E112" s="92"/>
    </row>
    <row r="113" spans="1:10" customHeight="1" ht="15">
      <c r="B113" s="87" t="s">
        <v>249</v>
      </c>
      <c r="C113" s="88"/>
      <c r="D113" s="88"/>
      <c r="E113" s="89"/>
    </row>
    <row r="114" spans="1:10" customHeight="1" ht="15">
      <c r="B114" s="90" t="s">
        <v>250</v>
      </c>
      <c r="C114" s="91"/>
      <c r="D114" s="91"/>
      <c r="E114" s="92"/>
    </row>
    <row r="115" spans="1:10" customHeight="1" ht="15">
      <c r="B115" s="87" t="s">
        <v>251</v>
      </c>
      <c r="C115" s="88"/>
      <c r="D115" s="88"/>
      <c r="E115" s="89"/>
    </row>
    <row r="116" spans="1:10" customHeight="1" ht="31.5">
      <c r="B116" s="84" t="s">
        <v>252</v>
      </c>
      <c r="C116" s="85"/>
      <c r="D116" s="85"/>
      <c r="E116" s="86"/>
    </row>
    <row r="117" spans="1:10" customHeight="1" ht="12.75">
      <c r="C117" s="2"/>
      <c r="D117" s="2"/>
      <c r="E117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114:E114"/>
    <mergeCell ref="A4:B4"/>
    <mergeCell ref="A5:B5"/>
    <mergeCell ref="A6:B6"/>
    <mergeCell ref="A7:B7"/>
    <mergeCell ref="B116:E116"/>
    <mergeCell ref="B109:E109"/>
    <mergeCell ref="B111:E111"/>
    <mergeCell ref="B113:E113"/>
    <mergeCell ref="B115:E115"/>
    <mergeCell ref="B112:E112"/>
    <mergeCell ref="B110:E110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1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253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254</v>
      </c>
      <c r="G2" s="41" t="s">
        <v>255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256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257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258</v>
      </c>
      <c r="B6" s="128"/>
      <c r="C6" s="112" t="s">
        <v>259</v>
      </c>
      <c r="D6" s="113"/>
      <c r="E6" s="113"/>
      <c r="F6" s="113"/>
      <c r="G6" s="114"/>
    </row>
    <row r="7" spans="1:7" customHeight="1" ht="32.25">
      <c r="A7" s="127" t="s">
        <v>260</v>
      </c>
      <c r="B7" s="128"/>
      <c r="C7" s="112" t="s">
        <v>259</v>
      </c>
      <c r="D7" s="113"/>
      <c r="E7" s="113"/>
      <c r="F7" s="113"/>
      <c r="G7" s="114"/>
    </row>
    <row r="8" spans="1:7" customHeight="1" ht="16.5">
      <c r="A8" s="127" t="s">
        <v>261</v>
      </c>
      <c r="B8" s="128"/>
      <c r="C8" s="112" t="s">
        <v>262</v>
      </c>
      <c r="D8" s="113"/>
      <c r="E8" s="113"/>
      <c r="F8" s="113"/>
      <c r="G8" s="114"/>
    </row>
    <row r="9" spans="1:7" customHeight="1" ht="27.75">
      <c r="A9" s="117" t="s">
        <v>263</v>
      </c>
      <c r="B9" s="118"/>
      <c r="C9" s="124" t="s">
        <v>264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265</v>
      </c>
      <c r="B11" s="131" t="s">
        <v>266</v>
      </c>
      <c r="C11" s="119" t="s">
        <v>267</v>
      </c>
      <c r="D11" s="135" t="s">
        <v>268</v>
      </c>
      <c r="E11" s="135" t="s">
        <v>269</v>
      </c>
      <c r="F11" s="135" t="s">
        <v>270</v>
      </c>
      <c r="G11" s="135" t="s">
        <v>271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53</v>
      </c>
      <c r="C13" s="35" t="s">
        <v>54</v>
      </c>
      <c r="D13" s="31" t="s">
        <v>272</v>
      </c>
      <c r="E13" s="31" t="s">
        <v>69</v>
      </c>
      <c r="F13" s="32">
        <v>125.0</v>
      </c>
      <c r="G13" s="33">
        <v>1500</v>
      </c>
    </row>
    <row r="14" spans="1:7" customHeight="1" ht="15">
      <c r="A14" s="44">
        <v>2</v>
      </c>
      <c r="B14" s="34" t="s">
        <v>75</v>
      </c>
      <c r="C14" s="35" t="s">
        <v>76</v>
      </c>
      <c r="D14" s="31" t="s">
        <v>272</v>
      </c>
      <c r="E14" s="31" t="s">
        <v>69</v>
      </c>
      <c r="F14" s="32">
        <v>144.0</v>
      </c>
      <c r="G14" s="33">
        <v>2500</v>
      </c>
    </row>
    <row r="15" spans="1:7" customHeight="1" ht="15">
      <c r="A15" s="44">
        <v>3</v>
      </c>
      <c r="B15" s="34" t="s">
        <v>206</v>
      </c>
      <c r="C15" s="35" t="s">
        <v>207</v>
      </c>
      <c r="D15" s="31" t="s">
        <v>272</v>
      </c>
      <c r="E15" s="31" t="s">
        <v>69</v>
      </c>
      <c r="F15" s="32">
        <v>1895.0</v>
      </c>
      <c r="G15" s="33">
        <v>40</v>
      </c>
    </row>
    <row r="16" spans="1:7" customHeight="1" ht="15">
      <c r="A16" s="44">
        <v>4</v>
      </c>
      <c r="B16" s="34" t="s">
        <v>55</v>
      </c>
      <c r="C16" s="35" t="s">
        <v>56</v>
      </c>
      <c r="D16" s="31" t="s">
        <v>273</v>
      </c>
      <c r="E16" s="31" t="s">
        <v>28</v>
      </c>
      <c r="F16" s="32">
        <v>100.0</v>
      </c>
      <c r="G16" s="33">
        <v>150</v>
      </c>
    </row>
    <row r="17" spans="1:7" customHeight="1" ht="15">
      <c r="A17" s="44">
        <v>5</v>
      </c>
      <c r="B17" s="34" t="s">
        <v>39</v>
      </c>
      <c r="C17" s="35" t="s">
        <v>40</v>
      </c>
      <c r="D17" s="31" t="s">
        <v>273</v>
      </c>
      <c r="E17" s="31" t="s">
        <v>28</v>
      </c>
      <c r="F17" s="32">
        <v>80.0</v>
      </c>
      <c r="G17" s="33">
        <v>200</v>
      </c>
    </row>
    <row r="18" spans="1:7" customHeight="1" ht="15">
      <c r="A18" s="44">
        <v>6</v>
      </c>
      <c r="B18" s="34" t="s">
        <v>88</v>
      </c>
      <c r="C18" s="35" t="s">
        <v>89</v>
      </c>
      <c r="D18" s="31" t="s">
        <v>273</v>
      </c>
      <c r="E18" s="31" t="s">
        <v>28</v>
      </c>
      <c r="F18" s="32">
        <v>183.6</v>
      </c>
      <c r="G18" s="33">
        <v>100</v>
      </c>
    </row>
    <row r="19" spans="1:7" customHeight="1" ht="15">
      <c r="A19" s="44">
        <v>7</v>
      </c>
      <c r="B19" s="34" t="s">
        <v>120</v>
      </c>
      <c r="C19" s="35" t="s">
        <v>121</v>
      </c>
      <c r="D19" s="31" t="s">
        <v>272</v>
      </c>
      <c r="E19" s="31" t="s">
        <v>122</v>
      </c>
      <c r="F19" s="32">
        <v>309.0</v>
      </c>
      <c r="G19" s="33">
        <v>150</v>
      </c>
    </row>
    <row r="20" spans="1:7" customHeight="1" ht="15">
      <c r="A20" s="44">
        <v>8</v>
      </c>
      <c r="B20" s="34" t="s">
        <v>124</v>
      </c>
      <c r="C20" s="35" t="s">
        <v>125</v>
      </c>
      <c r="D20" s="31" t="s">
        <v>272</v>
      </c>
      <c r="E20" s="31" t="s">
        <v>122</v>
      </c>
      <c r="F20" s="32">
        <v>309.0</v>
      </c>
      <c r="G20" s="33">
        <v>100</v>
      </c>
    </row>
    <row r="21" spans="1:7" customHeight="1" ht="15">
      <c r="A21" s="44">
        <v>9</v>
      </c>
      <c r="B21" s="34" t="s">
        <v>165</v>
      </c>
      <c r="C21" s="35" t="s">
        <v>167</v>
      </c>
      <c r="D21" s="31" t="s">
        <v>272</v>
      </c>
      <c r="E21" s="31" t="s">
        <v>69</v>
      </c>
      <c r="F21" s="32">
        <v>510.0</v>
      </c>
      <c r="G21" s="33">
        <v>200</v>
      </c>
    </row>
    <row r="22" spans="1:7" customHeight="1" ht="15">
      <c r="A22" s="44">
        <v>10</v>
      </c>
      <c r="B22" s="34" t="s">
        <v>171</v>
      </c>
      <c r="C22" s="35" t="s">
        <v>172</v>
      </c>
      <c r="D22" s="31" t="s">
        <v>273</v>
      </c>
      <c r="E22" s="31" t="s">
        <v>69</v>
      </c>
      <c r="F22" s="32">
        <v>648.0</v>
      </c>
      <c r="G22" s="33">
        <v>20</v>
      </c>
    </row>
    <row r="23" spans="1:7" customHeight="1" ht="15">
      <c r="A23" s="44">
        <v>11</v>
      </c>
      <c r="B23" s="34" t="s">
        <v>214</v>
      </c>
      <c r="C23" s="35" t="s">
        <v>215</v>
      </c>
      <c r="D23" s="31" t="s">
        <v>272</v>
      </c>
      <c r="E23" s="31" t="s">
        <v>213</v>
      </c>
      <c r="F23" s="32">
        <v>1750.0</v>
      </c>
      <c r="G23" s="33">
        <v>150</v>
      </c>
    </row>
    <row r="24" spans="1:7" customHeight="1" ht="15">
      <c r="A24" s="44">
        <v>12</v>
      </c>
      <c r="B24" s="34" t="s">
        <v>227</v>
      </c>
      <c r="C24" s="35" t="s">
        <v>228</v>
      </c>
      <c r="D24" s="31" t="s">
        <v>273</v>
      </c>
      <c r="E24" s="31" t="s">
        <v>69</v>
      </c>
      <c r="F24" s="32">
        <v>3150.0</v>
      </c>
      <c r="G24" s="33">
        <v>25</v>
      </c>
    </row>
    <row r="25" spans="1:7" customHeight="1" ht="15">
      <c r="A25" s="44">
        <v>13</v>
      </c>
      <c r="B25" s="34" t="s">
        <v>240</v>
      </c>
      <c r="C25" s="35" t="s">
        <v>241</v>
      </c>
      <c r="D25" s="31" t="s">
        <v>273</v>
      </c>
      <c r="E25" s="31" t="s">
        <v>242</v>
      </c>
      <c r="F25" s="32">
        <v>9276.0</v>
      </c>
      <c r="G25" s="33">
        <v>2</v>
      </c>
    </row>
    <row r="26" spans="1:7" customHeight="1" ht="15">
      <c r="A26" s="44">
        <v>14</v>
      </c>
      <c r="B26" s="34" t="s">
        <v>92</v>
      </c>
      <c r="C26" s="35" t="s">
        <v>93</v>
      </c>
      <c r="D26" s="31" t="s">
        <v>273</v>
      </c>
      <c r="E26" s="31" t="s">
        <v>28</v>
      </c>
      <c r="F26" s="32">
        <v>350.0</v>
      </c>
      <c r="G26" s="33">
        <v>150</v>
      </c>
    </row>
    <row r="27" spans="1:7" customHeight="1" ht="15">
      <c r="A27" s="44">
        <v>15</v>
      </c>
      <c r="B27" s="34" t="s">
        <v>188</v>
      </c>
      <c r="C27" s="35" t="s">
        <v>189</v>
      </c>
      <c r="D27" s="31" t="s">
        <v>273</v>
      </c>
      <c r="E27" s="31" t="s">
        <v>28</v>
      </c>
      <c r="F27" s="32">
        <v>850.0</v>
      </c>
      <c r="G27" s="33">
        <v>10</v>
      </c>
    </row>
    <row r="28" spans="1:7" customHeight="1" ht="15">
      <c r="A28" s="44">
        <v>16</v>
      </c>
      <c r="B28" s="34" t="s">
        <v>204</v>
      </c>
      <c r="C28" s="35" t="s">
        <v>205</v>
      </c>
      <c r="D28" s="31" t="s">
        <v>273</v>
      </c>
      <c r="E28" s="31" t="s">
        <v>28</v>
      </c>
      <c r="F28" s="32">
        <v>1500.0</v>
      </c>
      <c r="G28" s="33">
        <v>25</v>
      </c>
    </row>
    <row r="29" spans="1:7" customHeight="1" ht="15">
      <c r="A29" s="44">
        <v>17</v>
      </c>
      <c r="B29" s="34" t="s">
        <v>234</v>
      </c>
      <c r="C29" s="35" t="s">
        <v>235</v>
      </c>
      <c r="D29" s="31" t="s">
        <v>272</v>
      </c>
      <c r="E29" s="31" t="s">
        <v>28</v>
      </c>
      <c r="F29" s="32">
        <v>3700.0</v>
      </c>
      <c r="G29" s="33">
        <v>8</v>
      </c>
    </row>
    <row r="30" spans="1:7" customHeight="1" ht="15">
      <c r="A30" s="44">
        <v>18</v>
      </c>
      <c r="B30" s="34" t="s">
        <v>192</v>
      </c>
      <c r="C30" s="35" t="s">
        <v>193</v>
      </c>
      <c r="D30" s="31" t="s">
        <v>273</v>
      </c>
      <c r="E30" s="31" t="s">
        <v>69</v>
      </c>
      <c r="F30" s="32">
        <v>899.0</v>
      </c>
      <c r="G30" s="33">
        <v>20</v>
      </c>
    </row>
    <row r="31" spans="1:7" customHeight="1" ht="15">
      <c r="A31" s="44">
        <v>19</v>
      </c>
      <c r="B31" s="34" t="s">
        <v>180</v>
      </c>
      <c r="C31" s="35" t="s">
        <v>181</v>
      </c>
      <c r="D31" s="31" t="s">
        <v>273</v>
      </c>
      <c r="E31" s="31" t="s">
        <v>69</v>
      </c>
      <c r="F31" s="32">
        <v>750.0</v>
      </c>
      <c r="G31" s="33">
        <v>10</v>
      </c>
    </row>
    <row r="32" spans="1:7" customHeight="1" ht="15">
      <c r="A32" s="44">
        <v>20</v>
      </c>
      <c r="B32" s="34" t="s">
        <v>112</v>
      </c>
      <c r="C32" s="35" t="s">
        <v>113</v>
      </c>
      <c r="D32" s="31" t="s">
        <v>272</v>
      </c>
      <c r="E32" s="31" t="s">
        <v>28</v>
      </c>
      <c r="F32" s="32">
        <v>299.0</v>
      </c>
      <c r="G32" s="33">
        <v>300</v>
      </c>
    </row>
    <row r="33" spans="1:7" customHeight="1" ht="15">
      <c r="A33" s="44">
        <v>21</v>
      </c>
      <c r="B33" s="34" t="s">
        <v>86</v>
      </c>
      <c r="C33" s="35" t="s">
        <v>87</v>
      </c>
      <c r="D33" s="31" t="s">
        <v>273</v>
      </c>
      <c r="E33" s="31" t="s">
        <v>28</v>
      </c>
      <c r="F33" s="32">
        <v>180.0</v>
      </c>
      <c r="G33" s="33">
        <v>275</v>
      </c>
    </row>
    <row r="34" spans="1:7" customHeight="1" ht="15">
      <c r="A34" s="44">
        <v>22</v>
      </c>
      <c r="B34" s="34" t="s">
        <v>25</v>
      </c>
      <c r="C34" s="35" t="s">
        <v>27</v>
      </c>
      <c r="D34" s="31" t="s">
        <v>272</v>
      </c>
      <c r="E34" s="31" t="s">
        <v>28</v>
      </c>
      <c r="F34" s="32">
        <v>15.0</v>
      </c>
      <c r="G34" s="33">
        <v>18000</v>
      </c>
    </row>
    <row r="35" spans="1:7" customHeight="1" ht="15">
      <c r="A35" s="44">
        <v>23</v>
      </c>
      <c r="B35" s="34" t="s">
        <v>211</v>
      </c>
      <c r="C35" s="35" t="s">
        <v>212</v>
      </c>
      <c r="D35" s="31" t="s">
        <v>272</v>
      </c>
      <c r="E35" s="31" t="s">
        <v>213</v>
      </c>
      <c r="F35" s="32">
        <v>1700.0</v>
      </c>
      <c r="G35" s="33">
        <v>240</v>
      </c>
    </row>
    <row r="36" spans="1:7" customHeight="1" ht="15">
      <c r="A36" s="44">
        <v>24</v>
      </c>
      <c r="B36" s="34" t="s">
        <v>30</v>
      </c>
      <c r="C36" s="35" t="s">
        <v>31</v>
      </c>
      <c r="D36" s="31" t="s">
        <v>272</v>
      </c>
      <c r="E36" s="31" t="s">
        <v>28</v>
      </c>
      <c r="F36" s="32">
        <v>21.0</v>
      </c>
      <c r="G36" s="33">
        <v>4500</v>
      </c>
    </row>
    <row r="37" spans="1:7" customHeight="1" ht="15">
      <c r="A37" s="44">
        <v>25</v>
      </c>
      <c r="B37" s="34" t="s">
        <v>224</v>
      </c>
      <c r="C37" s="35" t="s">
        <v>225</v>
      </c>
      <c r="D37" s="31" t="s">
        <v>272</v>
      </c>
      <c r="E37" s="31" t="s">
        <v>213</v>
      </c>
      <c r="F37" s="32">
        <v>2829.0</v>
      </c>
      <c r="G37" s="33">
        <v>70</v>
      </c>
    </row>
    <row r="38" spans="1:7" customHeight="1" ht="15">
      <c r="A38" s="44">
        <v>26</v>
      </c>
      <c r="B38" s="34" t="s">
        <v>220</v>
      </c>
      <c r="C38" s="35" t="s">
        <v>221</v>
      </c>
      <c r="D38" s="31" t="s">
        <v>273</v>
      </c>
      <c r="E38" s="31" t="s">
        <v>28</v>
      </c>
      <c r="F38" s="32">
        <v>2500.0</v>
      </c>
      <c r="G38" s="33">
        <v>180</v>
      </c>
    </row>
    <row r="39" spans="1:7" customHeight="1" ht="15">
      <c r="A39" s="44"/>
      <c r="B39" s="34"/>
      <c r="C39" s="35"/>
      <c r="D39" s="31"/>
      <c r="E39" s="31"/>
      <c r="F39" s="32"/>
      <c r="G39" s="33"/>
    </row>
    <row r="40" spans="1:7" customHeight="1" ht="15.75">
      <c r="A40" s="45"/>
      <c r="B40" s="36"/>
      <c r="C40" s="37"/>
      <c r="D40" s="28"/>
      <c r="E40" s="28"/>
      <c r="F40" s="29"/>
      <c r="G40" s="30"/>
    </row>
    <row r="41" spans="1:7" customHeight="1" ht="20.25">
      <c r="A41" s="122" t="s">
        <v>274</v>
      </c>
      <c r="B41" s="123"/>
      <c r="C41" s="133" t="s">
        <v>275</v>
      </c>
      <c r="D41" s="133"/>
      <c r="E41" s="134"/>
      <c r="F41" s="121">
        <f>SUMPRODUCT(F13:F40,G13:G40)</f>
        <v>2937982</v>
      </c>
      <c r="G41" s="121"/>
    </row>
    <row r="45" spans="1:7" customHeight="1" ht="13.5"/>
    <row r="46" spans="1:7" customHeight="1" ht="15.75">
      <c r="A46" s="46"/>
      <c r="B46" s="115" t="s">
        <v>276</v>
      </c>
      <c r="C46" s="115"/>
      <c r="D46" s="116"/>
    </row>
    <row r="47" spans="1:7" customHeight="1" ht="18.75">
      <c r="A47" s="47" t="s">
        <v>277</v>
      </c>
      <c r="B47" s="48" t="s">
        <v>70</v>
      </c>
      <c r="C47" s="49"/>
      <c r="D47" s="50"/>
    </row>
    <row r="48" spans="1:7" customHeight="1" ht="18.75">
      <c r="A48" s="47" t="s">
        <v>278</v>
      </c>
      <c r="B48" s="48" t="s">
        <v>77</v>
      </c>
      <c r="C48" s="49"/>
      <c r="D48" s="50"/>
    </row>
    <row r="49" spans="1:7" customHeight="1" ht="18.75">
      <c r="A49" s="47" t="s">
        <v>279</v>
      </c>
      <c r="B49" s="48" t="s">
        <v>217</v>
      </c>
      <c r="C49" s="49"/>
      <c r="D49" s="50"/>
    </row>
    <row r="50" spans="1:7" customHeight="1" ht="18.75">
      <c r="A50" s="47" t="s">
        <v>280</v>
      </c>
      <c r="B50" s="48" t="s">
        <v>123</v>
      </c>
      <c r="C50" s="49"/>
      <c r="D50" s="50"/>
    </row>
    <row r="51" spans="1:7" customHeight="1" ht="18.75">
      <c r="A51" s="47" t="s">
        <v>281</v>
      </c>
      <c r="B51" s="48" t="s">
        <v>126</v>
      </c>
      <c r="C51" s="49"/>
      <c r="D51" s="50"/>
    </row>
    <row r="52" spans="1:7" customHeight="1" ht="18.75">
      <c r="A52" s="47" t="s">
        <v>282</v>
      </c>
      <c r="B52" s="48" t="s">
        <v>168</v>
      </c>
      <c r="C52" s="49"/>
      <c r="D52" s="50"/>
    </row>
    <row r="53" spans="1:7" customHeight="1" ht="18.75">
      <c r="A53" s="47" t="s">
        <v>283</v>
      </c>
      <c r="B53" s="48" t="s">
        <v>216</v>
      </c>
      <c r="C53" s="49"/>
      <c r="D53" s="50"/>
    </row>
    <row r="54" spans="1:7" customHeight="1" ht="18.75">
      <c r="A54" s="47" t="s">
        <v>284</v>
      </c>
      <c r="B54" s="48" t="s">
        <v>236</v>
      </c>
      <c r="C54" s="49"/>
      <c r="D54" s="50"/>
    </row>
    <row r="55" spans="1:7" customHeight="1" ht="18.75">
      <c r="A55" s="47" t="s">
        <v>285</v>
      </c>
      <c r="B55" s="48" t="s">
        <v>114</v>
      </c>
      <c r="C55" s="49"/>
      <c r="D55" s="50"/>
    </row>
    <row r="56" spans="1:7" customHeight="1" ht="18.75">
      <c r="A56" s="47" t="s">
        <v>286</v>
      </c>
      <c r="B56" s="48" t="s">
        <v>29</v>
      </c>
      <c r="C56" s="49"/>
      <c r="D56" s="50"/>
    </row>
    <row r="57" spans="1:7" customHeight="1" ht="18.75">
      <c r="A57" s="47" t="s">
        <v>287</v>
      </c>
      <c r="B57" s="48" t="s">
        <v>29</v>
      </c>
      <c r="C57" s="49"/>
      <c r="D57" s="50"/>
    </row>
    <row r="58" spans="1:7" customHeight="1" ht="18.75">
      <c r="A58" s="47" t="s">
        <v>288</v>
      </c>
      <c r="B58" s="48" t="s">
        <v>32</v>
      </c>
      <c r="C58" s="49"/>
      <c r="D58" s="50"/>
    </row>
    <row r="59" spans="1:7" customHeight="1" ht="18.75">
      <c r="A59" s="47" t="s">
        <v>289</v>
      </c>
      <c r="B59" s="48" t="s">
        <v>226</v>
      </c>
      <c r="C59" s="49"/>
      <c r="D59" s="50"/>
    </row>
    <row r="60" spans="1:7" customHeight="1" ht="18.75">
      <c r="A60" s="47"/>
      <c r="B60" s="48"/>
      <c r="C60" s="49"/>
      <c r="D60" s="50"/>
    </row>
    <row r="61" spans="1:7" customHeight="1" ht="18.75">
      <c r="A61" s="51"/>
      <c r="B61" s="52"/>
      <c r="C61" s="53"/>
      <c r="D61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41:B41"/>
    <mergeCell ref="C9:G9"/>
    <mergeCell ref="A8:B8"/>
    <mergeCell ref="A11:A12"/>
    <mergeCell ref="B11:B12"/>
    <mergeCell ref="C41:E41"/>
    <mergeCell ref="F11:F12"/>
    <mergeCell ref="G11:G12"/>
    <mergeCell ref="E11:E12"/>
    <mergeCell ref="A1:G1"/>
    <mergeCell ref="C4:G4"/>
    <mergeCell ref="C5:G5"/>
    <mergeCell ref="C6:G6"/>
    <mergeCell ref="C7:G7"/>
    <mergeCell ref="B46:D46"/>
    <mergeCell ref="C8:G8"/>
    <mergeCell ref="A9:B9"/>
    <mergeCell ref="C11:C12"/>
    <mergeCell ref="F41:G41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290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291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257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258</v>
      </c>
      <c r="B6" s="165"/>
      <c r="C6" s="165"/>
      <c r="D6" s="165"/>
      <c r="E6" s="165"/>
      <c r="F6" s="166"/>
      <c r="G6" s="163" t="s">
        <v>259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260</v>
      </c>
      <c r="B7" s="165"/>
      <c r="C7" s="165"/>
      <c r="D7" s="165"/>
      <c r="E7" s="165"/>
      <c r="F7" s="166"/>
      <c r="G7" s="170" t="s">
        <v>259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292</v>
      </c>
      <c r="B8" s="139"/>
      <c r="C8" s="139" t="s">
        <v>262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293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294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295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296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297</v>
      </c>
      <c r="P13" s="149"/>
      <c r="Q13" s="152" t="s">
        <v>298</v>
      </c>
    </row>
    <row r="14" spans="1:17" customHeight="1" ht="15.75">
      <c r="A14" s="66" t="s">
        <v>299</v>
      </c>
      <c r="B14" s="66" t="s">
        <v>300</v>
      </c>
      <c r="C14" s="66" t="s">
        <v>301</v>
      </c>
      <c r="D14" s="66" t="s">
        <v>302</v>
      </c>
      <c r="E14" s="66" t="s">
        <v>303</v>
      </c>
      <c r="F14" s="66" t="s">
        <v>304</v>
      </c>
      <c r="G14" s="67" t="s">
        <v>305</v>
      </c>
      <c r="H14" s="66" t="s">
        <v>306</v>
      </c>
      <c r="I14" s="66" t="s">
        <v>307</v>
      </c>
      <c r="J14" s="66" t="s">
        <v>308</v>
      </c>
      <c r="K14" s="66" t="s">
        <v>308</v>
      </c>
      <c r="L14" s="66" t="s">
        <v>309</v>
      </c>
      <c r="M14" s="66" t="s">
        <v>310</v>
      </c>
      <c r="N14" s="66" t="s">
        <v>311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3</v>
      </c>
      <c r="K15" s="69">
        <v>4</v>
      </c>
      <c r="L15" s="69">
        <v>0</v>
      </c>
      <c r="M15" s="70">
        <v>1</v>
      </c>
      <c r="N15" s="83">
        <v>11</v>
      </c>
      <c r="O15" s="78" t="s">
        <v>312</v>
      </c>
      <c r="P15" s="77"/>
      <c r="Q15" s="71">
        <v>450000.0</v>
      </c>
    </row>
    <row r="16" spans="1:17" customHeight="1" ht="24.75">
      <c r="A16" s="68"/>
      <c r="B16" s="69">
        <v>0</v>
      </c>
      <c r="C16" s="69">
        <v>0</v>
      </c>
      <c r="D16" s="69"/>
      <c r="E16" s="69"/>
      <c r="F16" s="69">
        <v>4901</v>
      </c>
      <c r="G16" s="69"/>
      <c r="H16" s="69"/>
      <c r="I16" s="69">
        <v>2</v>
      </c>
      <c r="J16" s="69">
        <v>5</v>
      </c>
      <c r="K16" s="69">
        <v>1</v>
      </c>
      <c r="L16" s="69">
        <v>0</v>
      </c>
      <c r="M16" s="70">
        <v>1</v>
      </c>
      <c r="N16" s="83">
        <v>11</v>
      </c>
      <c r="O16" s="78" t="s">
        <v>313</v>
      </c>
      <c r="P16" s="77"/>
      <c r="Q16" s="71">
        <v>102000.0</v>
      </c>
    </row>
    <row r="17" spans="1:17" customHeight="1" ht="24.75">
      <c r="A17" s="68"/>
      <c r="B17" s="69">
        <v>0</v>
      </c>
      <c r="C17" s="69">
        <v>0</v>
      </c>
      <c r="D17" s="69"/>
      <c r="E17" s="69"/>
      <c r="F17" s="69">
        <v>4901</v>
      </c>
      <c r="G17" s="69"/>
      <c r="H17" s="69"/>
      <c r="I17" s="69">
        <v>2</v>
      </c>
      <c r="J17" s="69">
        <v>9</v>
      </c>
      <c r="K17" s="69">
        <v>1</v>
      </c>
      <c r="L17" s="69">
        <v>0</v>
      </c>
      <c r="M17" s="70">
        <v>1</v>
      </c>
      <c r="N17" s="83">
        <v>11</v>
      </c>
      <c r="O17" s="78" t="s">
        <v>19</v>
      </c>
      <c r="P17" s="77"/>
      <c r="Q17" s="71">
        <v>2385982.0</v>
      </c>
    </row>
    <row r="18" spans="1:17" customHeight="1" ht="24.7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70"/>
      <c r="N18" s="83"/>
      <c r="O18" s="78"/>
      <c r="P18" s="77"/>
      <c r="Q18" s="71"/>
    </row>
    <row r="19" spans="1:17" customHeight="1" ht="24.75" s="72" customFormat="1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  <c r="N19" s="83"/>
      <c r="O19" s="78"/>
      <c r="P19" s="77"/>
      <c r="Q19" s="71"/>
    </row>
    <row r="20" spans="1:17" customHeight="1" ht="33.75">
      <c r="A20" s="154" t="s">
        <v>314</v>
      </c>
      <c r="B20" s="155"/>
      <c r="C20" s="156" t="s">
        <v>275</v>
      </c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8"/>
      <c r="Q20" s="73">
        <f>SUM(Q15:Q19)</f>
        <v>2937982</v>
      </c>
    </row>
    <row r="21" spans="1:17" customHeight="1" ht="18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</row>
    <row r="22" spans="1:17" customHeight="1" ht="17.25">
      <c r="A22" s="140" t="s">
        <v>315</v>
      </c>
      <c r="B22" s="141"/>
      <c r="C22" s="141"/>
      <c r="D22" s="141"/>
      <c r="E22" s="141"/>
      <c r="F22" s="142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</row>
    <row r="23" spans="1:17" customHeight="1" ht="18">
      <c r="A23" s="173" t="s">
        <v>264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</row>
    <row r="24" spans="1:17" customHeight="1" ht="28.5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customHeight="1" ht="15.75">
      <c r="A25" s="140" t="s">
        <v>316</v>
      </c>
      <c r="B25" s="141"/>
      <c r="C25" s="141"/>
      <c r="D25" s="141"/>
      <c r="E25" s="141"/>
      <c r="F25" s="142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9"/>
    </row>
    <row r="26" spans="1:17" customHeight="1" ht="13.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5:F25"/>
    <mergeCell ref="G25:Q25"/>
    <mergeCell ref="A6:F6"/>
    <mergeCell ref="G6:Q6"/>
    <mergeCell ref="A7:F7"/>
    <mergeCell ref="G7:Q7"/>
    <mergeCell ref="A23:Q24"/>
    <mergeCell ref="A21:Q21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2:F22"/>
    <mergeCell ref="G22:Q22"/>
    <mergeCell ref="A9:N9"/>
    <mergeCell ref="A10:Q10"/>
    <mergeCell ref="O13:P14"/>
    <mergeCell ref="Q13:Q14"/>
    <mergeCell ref="A20:B20"/>
    <mergeCell ref="C20:P20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7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253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254</v>
      </c>
      <c r="G2" s="41" t="s">
        <v>317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256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257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258</v>
      </c>
      <c r="B6" s="128"/>
      <c r="C6" s="112" t="s">
        <v>318</v>
      </c>
      <c r="D6" s="113"/>
      <c r="E6" s="113"/>
      <c r="F6" s="113"/>
      <c r="G6" s="114"/>
    </row>
    <row r="7" spans="1:7" customHeight="1" ht="32.25">
      <c r="A7" s="127" t="s">
        <v>260</v>
      </c>
      <c r="B7" s="128"/>
      <c r="C7" s="112" t="s">
        <v>318</v>
      </c>
      <c r="D7" s="113"/>
      <c r="E7" s="113"/>
      <c r="F7" s="113"/>
      <c r="G7" s="114"/>
    </row>
    <row r="8" spans="1:7" customHeight="1" ht="16.5">
      <c r="A8" s="127" t="s">
        <v>261</v>
      </c>
      <c r="B8" s="128"/>
      <c r="C8" s="112" t="s">
        <v>262</v>
      </c>
      <c r="D8" s="113"/>
      <c r="E8" s="113"/>
      <c r="F8" s="113"/>
      <c r="G8" s="114"/>
    </row>
    <row r="9" spans="1:7" customHeight="1" ht="27.75">
      <c r="A9" s="117" t="s">
        <v>263</v>
      </c>
      <c r="B9" s="118"/>
      <c r="C9" s="124" t="s">
        <v>319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265</v>
      </c>
      <c r="B11" s="131" t="s">
        <v>266</v>
      </c>
      <c r="C11" s="119" t="s">
        <v>267</v>
      </c>
      <c r="D11" s="135" t="s">
        <v>268</v>
      </c>
      <c r="E11" s="135" t="s">
        <v>269</v>
      </c>
      <c r="F11" s="135" t="s">
        <v>270</v>
      </c>
      <c r="G11" s="135" t="s">
        <v>271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177</v>
      </c>
      <c r="C13" s="35" t="s">
        <v>178</v>
      </c>
      <c r="D13" s="31" t="s">
        <v>272</v>
      </c>
      <c r="E13" s="31" t="s">
        <v>85</v>
      </c>
      <c r="F13" s="32">
        <v>675.0</v>
      </c>
      <c r="G13" s="33">
        <v>400</v>
      </c>
    </row>
    <row r="14" spans="1:7" customHeight="1" ht="15">
      <c r="A14" s="44">
        <v>2</v>
      </c>
      <c r="B14" s="34" t="s">
        <v>81</v>
      </c>
      <c r="C14" s="35" t="s">
        <v>82</v>
      </c>
      <c r="D14" s="31" t="s">
        <v>273</v>
      </c>
      <c r="E14" s="31" t="s">
        <v>22</v>
      </c>
      <c r="F14" s="32">
        <v>150.0</v>
      </c>
      <c r="G14" s="33">
        <v>200</v>
      </c>
    </row>
    <row r="15" spans="1:7" customHeight="1" ht="15">
      <c r="A15" s="44">
        <v>3</v>
      </c>
      <c r="B15" s="34" t="s">
        <v>60</v>
      </c>
      <c r="C15" s="35" t="s">
        <v>61</v>
      </c>
      <c r="D15" s="31" t="s">
        <v>272</v>
      </c>
      <c r="E15" s="31" t="s">
        <v>22</v>
      </c>
      <c r="F15" s="32">
        <v>105.0</v>
      </c>
      <c r="G15" s="33">
        <v>6000</v>
      </c>
    </row>
    <row r="16" spans="1:7" customHeight="1" ht="15">
      <c r="A16" s="44">
        <v>4</v>
      </c>
      <c r="B16" s="34" t="s">
        <v>18</v>
      </c>
      <c r="C16" s="35" t="s">
        <v>21</v>
      </c>
      <c r="D16" s="31" t="s">
        <v>273</v>
      </c>
      <c r="E16" s="31" t="s">
        <v>22</v>
      </c>
      <c r="F16" s="32">
        <v>7.0</v>
      </c>
      <c r="G16" s="33">
        <v>40000</v>
      </c>
    </row>
    <row r="17" spans="1:7" customHeight="1" ht="15">
      <c r="A17" s="44">
        <v>5</v>
      </c>
      <c r="B17" s="34" t="s">
        <v>154</v>
      </c>
      <c r="C17" s="35" t="s">
        <v>155</v>
      </c>
      <c r="D17" s="31" t="s">
        <v>272</v>
      </c>
      <c r="E17" s="31" t="s">
        <v>51</v>
      </c>
      <c r="F17" s="32">
        <v>450.0</v>
      </c>
      <c r="G17" s="33">
        <v>200</v>
      </c>
    </row>
    <row r="18" spans="1:7" customHeight="1" ht="15">
      <c r="A18" s="44">
        <v>6</v>
      </c>
      <c r="B18" s="34" t="s">
        <v>23</v>
      </c>
      <c r="C18" s="35" t="s">
        <v>24</v>
      </c>
      <c r="D18" s="31" t="s">
        <v>273</v>
      </c>
      <c r="E18" s="31" t="s">
        <v>22</v>
      </c>
      <c r="F18" s="32">
        <v>13.0</v>
      </c>
      <c r="G18" s="33">
        <v>40000</v>
      </c>
    </row>
    <row r="19" spans="1:7" customHeight="1" ht="15">
      <c r="A19" s="44">
        <v>7</v>
      </c>
      <c r="B19" s="34" t="s">
        <v>33</v>
      </c>
      <c r="C19" s="35" t="s">
        <v>34</v>
      </c>
      <c r="D19" s="31" t="s">
        <v>273</v>
      </c>
      <c r="E19" s="31" t="s">
        <v>22</v>
      </c>
      <c r="F19" s="32">
        <v>60.0</v>
      </c>
      <c r="G19" s="33">
        <v>5000</v>
      </c>
    </row>
    <row r="20" spans="1:7" customHeight="1" ht="15">
      <c r="A20" s="44">
        <v>8</v>
      </c>
      <c r="B20" s="34" t="s">
        <v>231</v>
      </c>
      <c r="C20" s="35" t="s">
        <v>232</v>
      </c>
      <c r="D20" s="31" t="s">
        <v>272</v>
      </c>
      <c r="E20" s="31" t="s">
        <v>51</v>
      </c>
      <c r="F20" s="32">
        <v>3600.0</v>
      </c>
      <c r="G20" s="33">
        <v>200</v>
      </c>
    </row>
    <row r="21" spans="1:7" customHeight="1" ht="15">
      <c r="A21" s="44">
        <v>9</v>
      </c>
      <c r="B21" s="34" t="s">
        <v>197</v>
      </c>
      <c r="C21" s="35" t="s">
        <v>198</v>
      </c>
      <c r="D21" s="31" t="s">
        <v>273</v>
      </c>
      <c r="E21" s="31" t="s">
        <v>22</v>
      </c>
      <c r="F21" s="32">
        <v>1000.0</v>
      </c>
      <c r="G21" s="33">
        <v>15</v>
      </c>
    </row>
    <row r="22" spans="1:7" customHeight="1" ht="15">
      <c r="A22" s="44">
        <v>10</v>
      </c>
      <c r="B22" s="34" t="s">
        <v>185</v>
      </c>
      <c r="C22" s="35" t="s">
        <v>186</v>
      </c>
      <c r="D22" s="31" t="s">
        <v>272</v>
      </c>
      <c r="E22" s="31" t="s">
        <v>22</v>
      </c>
      <c r="F22" s="32">
        <v>800.0</v>
      </c>
      <c r="G22" s="33">
        <v>75</v>
      </c>
    </row>
    <row r="23" spans="1:7" customHeight="1" ht="15">
      <c r="A23" s="44">
        <v>11</v>
      </c>
      <c r="B23" s="34" t="s">
        <v>105</v>
      </c>
      <c r="C23" s="35" t="s">
        <v>106</v>
      </c>
      <c r="D23" s="31" t="s">
        <v>272</v>
      </c>
      <c r="E23" s="31" t="s">
        <v>22</v>
      </c>
      <c r="F23" s="32">
        <v>280.0</v>
      </c>
      <c r="G23" s="33">
        <v>200</v>
      </c>
    </row>
    <row r="24" spans="1:7" customHeight="1" ht="15">
      <c r="A24" s="44">
        <v>12</v>
      </c>
      <c r="B24" s="34" t="s">
        <v>37</v>
      </c>
      <c r="C24" s="35" t="s">
        <v>38</v>
      </c>
      <c r="D24" s="31" t="s">
        <v>273</v>
      </c>
      <c r="E24" s="31" t="s">
        <v>22</v>
      </c>
      <c r="F24" s="32">
        <v>70.0</v>
      </c>
      <c r="G24" s="33">
        <v>50</v>
      </c>
    </row>
    <row r="25" spans="1:7" customHeight="1" ht="15">
      <c r="A25" s="44">
        <v>13</v>
      </c>
      <c r="B25" s="34" t="s">
        <v>237</v>
      </c>
      <c r="C25" s="35" t="s">
        <v>238</v>
      </c>
      <c r="D25" s="31" t="s">
        <v>273</v>
      </c>
      <c r="E25" s="31" t="s">
        <v>239</v>
      </c>
      <c r="F25" s="32">
        <v>5500.0</v>
      </c>
      <c r="G25" s="33">
        <v>10</v>
      </c>
    </row>
    <row r="26" spans="1:7" customHeight="1" ht="15">
      <c r="A26" s="44">
        <v>14</v>
      </c>
      <c r="B26" s="34" t="s">
        <v>100</v>
      </c>
      <c r="C26" s="35" t="s">
        <v>101</v>
      </c>
      <c r="D26" s="31" t="s">
        <v>272</v>
      </c>
      <c r="E26" s="31" t="s">
        <v>22</v>
      </c>
      <c r="F26" s="32">
        <v>250.0</v>
      </c>
      <c r="G26" s="33">
        <v>100</v>
      </c>
    </row>
    <row r="27" spans="1:7" customHeight="1" ht="15">
      <c r="A27" s="44">
        <v>15</v>
      </c>
      <c r="B27" s="34" t="s">
        <v>78</v>
      </c>
      <c r="C27" s="35" t="s">
        <v>79</v>
      </c>
      <c r="D27" s="31" t="s">
        <v>272</v>
      </c>
      <c r="E27" s="31" t="s">
        <v>22</v>
      </c>
      <c r="F27" s="32">
        <v>145.0</v>
      </c>
      <c r="G27" s="33">
        <v>100</v>
      </c>
    </row>
    <row r="28" spans="1:7" customHeight="1" ht="15">
      <c r="A28" s="44">
        <v>16</v>
      </c>
      <c r="B28" s="34" t="s">
        <v>41</v>
      </c>
      <c r="C28" s="35" t="s">
        <v>42</v>
      </c>
      <c r="D28" s="31" t="s">
        <v>273</v>
      </c>
      <c r="E28" s="31" t="s">
        <v>22</v>
      </c>
      <c r="F28" s="32">
        <v>80.0</v>
      </c>
      <c r="G28" s="33">
        <v>200</v>
      </c>
    </row>
    <row r="29" spans="1:7" customHeight="1" ht="15">
      <c r="A29" s="44">
        <v>17</v>
      </c>
      <c r="B29" s="34" t="s">
        <v>35</v>
      </c>
      <c r="C29" s="35" t="s">
        <v>36</v>
      </c>
      <c r="D29" s="31" t="s">
        <v>273</v>
      </c>
      <c r="E29" s="31" t="s">
        <v>22</v>
      </c>
      <c r="F29" s="32">
        <v>60.0</v>
      </c>
      <c r="G29" s="33">
        <v>200</v>
      </c>
    </row>
    <row r="30" spans="1:7" customHeight="1" ht="15">
      <c r="A30" s="44">
        <v>18</v>
      </c>
      <c r="B30" s="34" t="s">
        <v>49</v>
      </c>
      <c r="C30" s="35" t="s">
        <v>50</v>
      </c>
      <c r="D30" s="31" t="s">
        <v>272</v>
      </c>
      <c r="E30" s="31" t="s">
        <v>51</v>
      </c>
      <c r="F30" s="32">
        <v>85.0</v>
      </c>
      <c r="G30" s="33">
        <v>150</v>
      </c>
    </row>
    <row r="31" spans="1:7" customHeight="1" ht="15">
      <c r="A31" s="44">
        <v>19</v>
      </c>
      <c r="B31" s="34" t="s">
        <v>90</v>
      </c>
      <c r="C31" s="35" t="s">
        <v>91</v>
      </c>
      <c r="D31" s="31" t="s">
        <v>273</v>
      </c>
      <c r="E31" s="31" t="s">
        <v>22</v>
      </c>
      <c r="F31" s="32">
        <v>195.0</v>
      </c>
      <c r="G31" s="33">
        <v>60</v>
      </c>
    </row>
    <row r="32" spans="1:7" customHeight="1" ht="15">
      <c r="A32" s="44">
        <v>20</v>
      </c>
      <c r="B32" s="34" t="s">
        <v>180</v>
      </c>
      <c r="C32" s="35" t="s">
        <v>181</v>
      </c>
      <c r="D32" s="31" t="s">
        <v>272</v>
      </c>
      <c r="E32" s="31" t="s">
        <v>85</v>
      </c>
      <c r="F32" s="32">
        <v>975.0</v>
      </c>
      <c r="G32" s="33">
        <v>10</v>
      </c>
    </row>
    <row r="33" spans="1:7" customHeight="1" ht="15">
      <c r="A33" s="44">
        <v>21</v>
      </c>
      <c r="B33" s="34" t="s">
        <v>95</v>
      </c>
      <c r="C33" s="35" t="s">
        <v>96</v>
      </c>
      <c r="D33" s="31" t="s">
        <v>272</v>
      </c>
      <c r="E33" s="31" t="s">
        <v>85</v>
      </c>
      <c r="F33" s="32">
        <v>225.0</v>
      </c>
      <c r="G33" s="33">
        <v>600</v>
      </c>
    </row>
    <row r="34" spans="1:7" customHeight="1" ht="15">
      <c r="A34" s="44">
        <v>22</v>
      </c>
      <c r="B34" s="34" t="s">
        <v>206</v>
      </c>
      <c r="C34" s="35" t="s">
        <v>207</v>
      </c>
      <c r="D34" s="31" t="s">
        <v>272</v>
      </c>
      <c r="E34" s="31" t="s">
        <v>85</v>
      </c>
      <c r="F34" s="32">
        <v>1600.0</v>
      </c>
      <c r="G34" s="33">
        <v>400</v>
      </c>
    </row>
    <row r="35" spans="1:7" customHeight="1" ht="15">
      <c r="A35" s="44">
        <v>23</v>
      </c>
      <c r="B35" s="34" t="s">
        <v>157</v>
      </c>
      <c r="C35" s="35" t="s">
        <v>158</v>
      </c>
      <c r="D35" s="31" t="s">
        <v>272</v>
      </c>
      <c r="E35" s="31" t="s">
        <v>159</v>
      </c>
      <c r="F35" s="32">
        <v>450.0</v>
      </c>
      <c r="G35" s="33">
        <v>750</v>
      </c>
    </row>
    <row r="36" spans="1:7" customHeight="1" ht="15">
      <c r="A36" s="44">
        <v>24</v>
      </c>
      <c r="B36" s="34" t="s">
        <v>130</v>
      </c>
      <c r="C36" s="35" t="s">
        <v>131</v>
      </c>
      <c r="D36" s="31" t="s">
        <v>273</v>
      </c>
      <c r="E36" s="31" t="s">
        <v>132</v>
      </c>
      <c r="F36" s="32">
        <v>350.0</v>
      </c>
      <c r="G36" s="33">
        <v>50</v>
      </c>
    </row>
    <row r="37" spans="1:7" customHeight="1" ht="15">
      <c r="A37" s="44">
        <v>25</v>
      </c>
      <c r="B37" s="34" t="s">
        <v>169</v>
      </c>
      <c r="C37" s="35" t="s">
        <v>170</v>
      </c>
      <c r="D37" s="31" t="s">
        <v>273</v>
      </c>
      <c r="E37" s="31" t="s">
        <v>51</v>
      </c>
      <c r="F37" s="32">
        <v>600.0</v>
      </c>
      <c r="G37" s="33">
        <v>375</v>
      </c>
    </row>
    <row r="38" spans="1:7" customHeight="1" ht="15">
      <c r="A38" s="44">
        <v>26</v>
      </c>
      <c r="B38" s="34" t="s">
        <v>92</v>
      </c>
      <c r="C38" s="35" t="s">
        <v>93</v>
      </c>
      <c r="D38" s="31" t="s">
        <v>272</v>
      </c>
      <c r="E38" s="31" t="s">
        <v>22</v>
      </c>
      <c r="F38" s="32">
        <v>220.0</v>
      </c>
      <c r="G38" s="33">
        <v>150</v>
      </c>
    </row>
    <row r="39" spans="1:7" customHeight="1" ht="15">
      <c r="A39" s="44">
        <v>27</v>
      </c>
      <c r="B39" s="34" t="s">
        <v>220</v>
      </c>
      <c r="C39" s="35" t="s">
        <v>221</v>
      </c>
      <c r="D39" s="31" t="s">
        <v>273</v>
      </c>
      <c r="E39" s="31" t="s">
        <v>46</v>
      </c>
      <c r="F39" s="32">
        <v>1950.0</v>
      </c>
      <c r="G39" s="33">
        <v>500</v>
      </c>
    </row>
    <row r="40" spans="1:7" customHeight="1" ht="15">
      <c r="A40" s="44">
        <v>28</v>
      </c>
      <c r="B40" s="34" t="s">
        <v>209</v>
      </c>
      <c r="C40" s="35" t="s">
        <v>210</v>
      </c>
      <c r="D40" s="31" t="s">
        <v>273</v>
      </c>
      <c r="E40" s="31" t="s">
        <v>201</v>
      </c>
      <c r="F40" s="32">
        <v>1650.0</v>
      </c>
      <c r="G40" s="33">
        <v>500</v>
      </c>
    </row>
    <row r="41" spans="1:7" customHeight="1" ht="15">
      <c r="A41" s="44">
        <v>29</v>
      </c>
      <c r="B41" s="34" t="s">
        <v>43</v>
      </c>
      <c r="C41" s="35" t="s">
        <v>45</v>
      </c>
      <c r="D41" s="31" t="s">
        <v>273</v>
      </c>
      <c r="E41" s="31" t="s">
        <v>46</v>
      </c>
      <c r="F41" s="32">
        <v>80.0</v>
      </c>
      <c r="G41" s="33">
        <v>500</v>
      </c>
    </row>
    <row r="42" spans="1:7" customHeight="1" ht="15">
      <c r="A42" s="44">
        <v>30</v>
      </c>
      <c r="B42" s="34" t="s">
        <v>71</v>
      </c>
      <c r="C42" s="35" t="s">
        <v>72</v>
      </c>
      <c r="D42" s="31" t="s">
        <v>273</v>
      </c>
      <c r="E42" s="31" t="s">
        <v>22</v>
      </c>
      <c r="F42" s="32">
        <v>135.0</v>
      </c>
      <c r="G42" s="33">
        <v>400</v>
      </c>
    </row>
    <row r="43" spans="1:7" customHeight="1" ht="15">
      <c r="A43" s="44">
        <v>31</v>
      </c>
      <c r="B43" s="34" t="s">
        <v>73</v>
      </c>
      <c r="C43" s="35" t="s">
        <v>74</v>
      </c>
      <c r="D43" s="31" t="s">
        <v>273</v>
      </c>
      <c r="E43" s="31" t="s">
        <v>22</v>
      </c>
      <c r="F43" s="32">
        <v>135.0</v>
      </c>
      <c r="G43" s="33">
        <v>400</v>
      </c>
    </row>
    <row r="44" spans="1:7" customHeight="1" ht="15">
      <c r="A44" s="44"/>
      <c r="B44" s="34"/>
      <c r="C44" s="35"/>
      <c r="D44" s="31"/>
      <c r="E44" s="31"/>
      <c r="F44" s="32"/>
      <c r="G44" s="33"/>
    </row>
    <row r="45" spans="1:7" customHeight="1" ht="15.75">
      <c r="A45" s="45"/>
      <c r="B45" s="36"/>
      <c r="C45" s="37"/>
      <c r="D45" s="28"/>
      <c r="E45" s="28"/>
      <c r="F45" s="29"/>
      <c r="G45" s="30"/>
    </row>
    <row r="46" spans="1:7" customHeight="1" ht="20.25">
      <c r="A46" s="122" t="s">
        <v>274</v>
      </c>
      <c r="B46" s="123"/>
      <c r="C46" s="133" t="s">
        <v>320</v>
      </c>
      <c r="D46" s="133"/>
      <c r="E46" s="134"/>
      <c r="F46" s="121">
        <f>SUMPRODUCT(F13:F45,G13:G45)</f>
        <v>6467200</v>
      </c>
      <c r="G46" s="121"/>
    </row>
    <row r="50" spans="1:7" customHeight="1" ht="13.5"/>
    <row r="51" spans="1:7" customHeight="1" ht="15.75">
      <c r="A51" s="46"/>
      <c r="B51" s="115" t="s">
        <v>276</v>
      </c>
      <c r="C51" s="115"/>
      <c r="D51" s="116"/>
    </row>
    <row r="52" spans="1:7" customHeight="1" ht="18.75">
      <c r="A52" s="47" t="s">
        <v>277</v>
      </c>
      <c r="B52" s="48" t="s">
        <v>179</v>
      </c>
      <c r="C52" s="49"/>
      <c r="D52" s="50"/>
    </row>
    <row r="53" spans="1:7" customHeight="1" ht="18.75">
      <c r="A53" s="47" t="s">
        <v>279</v>
      </c>
      <c r="B53" s="48" t="s">
        <v>62</v>
      </c>
      <c r="C53" s="49"/>
      <c r="D53" s="50"/>
    </row>
    <row r="54" spans="1:7" customHeight="1" ht="18.75">
      <c r="A54" s="47" t="s">
        <v>321</v>
      </c>
      <c r="B54" s="48" t="s">
        <v>156</v>
      </c>
      <c r="C54" s="49"/>
      <c r="D54" s="50"/>
    </row>
    <row r="55" spans="1:7" customHeight="1" ht="18.75">
      <c r="A55" s="47" t="s">
        <v>281</v>
      </c>
      <c r="B55" s="48" t="s">
        <v>233</v>
      </c>
      <c r="C55" s="49"/>
      <c r="D55" s="50"/>
    </row>
    <row r="56" spans="1:7" customHeight="1" ht="18.75">
      <c r="A56" s="47" t="s">
        <v>322</v>
      </c>
      <c r="B56" s="48" t="s">
        <v>187</v>
      </c>
      <c r="C56" s="49"/>
      <c r="D56" s="50"/>
    </row>
    <row r="57" spans="1:7" customHeight="1" ht="18.75">
      <c r="A57" s="47" t="s">
        <v>283</v>
      </c>
      <c r="B57" s="48" t="s">
        <v>107</v>
      </c>
      <c r="C57" s="49"/>
      <c r="D57" s="50"/>
    </row>
    <row r="58" spans="1:7" customHeight="1" ht="18.75">
      <c r="A58" s="47" t="s">
        <v>323</v>
      </c>
      <c r="B58" s="48" t="s">
        <v>102</v>
      </c>
      <c r="C58" s="49"/>
      <c r="D58" s="50"/>
    </row>
    <row r="59" spans="1:7" customHeight="1" ht="18.75">
      <c r="A59" s="47" t="s">
        <v>324</v>
      </c>
      <c r="B59" s="48" t="s">
        <v>80</v>
      </c>
      <c r="C59" s="49"/>
      <c r="D59" s="50"/>
    </row>
    <row r="60" spans="1:7" customHeight="1" ht="18.75">
      <c r="A60" s="47" t="s">
        <v>325</v>
      </c>
      <c r="B60" s="48" t="s">
        <v>52</v>
      </c>
      <c r="C60" s="49"/>
      <c r="D60" s="50"/>
    </row>
    <row r="61" spans="1:7" customHeight="1" ht="18.75">
      <c r="A61" s="47" t="s">
        <v>285</v>
      </c>
      <c r="B61" s="48" t="s">
        <v>194</v>
      </c>
      <c r="C61" s="49"/>
      <c r="D61" s="50"/>
    </row>
    <row r="62" spans="1:7" customHeight="1" ht="18.75">
      <c r="A62" s="47" t="s">
        <v>326</v>
      </c>
      <c r="B62" s="48" t="s">
        <v>97</v>
      </c>
      <c r="C62" s="49"/>
      <c r="D62" s="50"/>
    </row>
    <row r="63" spans="1:7" customHeight="1" ht="18.75">
      <c r="A63" s="47" t="s">
        <v>286</v>
      </c>
      <c r="B63" s="48" t="s">
        <v>208</v>
      </c>
      <c r="C63" s="49"/>
      <c r="D63" s="50"/>
    </row>
    <row r="64" spans="1:7" customHeight="1" ht="18.75">
      <c r="A64" s="47" t="s">
        <v>287</v>
      </c>
      <c r="B64" s="48" t="s">
        <v>160</v>
      </c>
      <c r="C64" s="49"/>
      <c r="D64" s="50"/>
    </row>
    <row r="65" spans="1:7" customHeight="1" ht="18.75">
      <c r="A65" s="47" t="s">
        <v>327</v>
      </c>
      <c r="B65" s="48" t="s">
        <v>94</v>
      </c>
      <c r="C65" s="49"/>
      <c r="D65" s="50"/>
    </row>
    <row r="66" spans="1:7" customHeight="1" ht="18.75">
      <c r="A66" s="47"/>
      <c r="B66" s="48"/>
      <c r="C66" s="49"/>
      <c r="D66" s="50"/>
    </row>
    <row r="67" spans="1:7" customHeight="1" ht="18.75">
      <c r="A67" s="51"/>
      <c r="B67" s="52"/>
      <c r="C67" s="53"/>
      <c r="D67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46:B46"/>
    <mergeCell ref="C9:G9"/>
    <mergeCell ref="A8:B8"/>
    <mergeCell ref="A11:A12"/>
    <mergeCell ref="B11:B12"/>
    <mergeCell ref="C46:E46"/>
    <mergeCell ref="F11:F12"/>
    <mergeCell ref="G11:G12"/>
    <mergeCell ref="E11:E12"/>
    <mergeCell ref="A1:G1"/>
    <mergeCell ref="C4:G4"/>
    <mergeCell ref="C5:G5"/>
    <mergeCell ref="C6:G6"/>
    <mergeCell ref="C7:G7"/>
    <mergeCell ref="B51:D51"/>
    <mergeCell ref="C8:G8"/>
    <mergeCell ref="A9:B9"/>
    <mergeCell ref="C11:C12"/>
    <mergeCell ref="F46:G46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290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291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257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258</v>
      </c>
      <c r="B6" s="165"/>
      <c r="C6" s="165"/>
      <c r="D6" s="165"/>
      <c r="E6" s="165"/>
      <c r="F6" s="166"/>
      <c r="G6" s="163" t="s">
        <v>318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260</v>
      </c>
      <c r="B7" s="165"/>
      <c r="C7" s="165"/>
      <c r="D7" s="165"/>
      <c r="E7" s="165"/>
      <c r="F7" s="166"/>
      <c r="G7" s="170" t="s">
        <v>318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292</v>
      </c>
      <c r="B8" s="139"/>
      <c r="C8" s="139" t="s">
        <v>262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293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328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295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296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297</v>
      </c>
      <c r="P13" s="149"/>
      <c r="Q13" s="152" t="s">
        <v>298</v>
      </c>
    </row>
    <row r="14" spans="1:17" customHeight="1" ht="15.75">
      <c r="A14" s="66" t="s">
        <v>299</v>
      </c>
      <c r="B14" s="66" t="s">
        <v>300</v>
      </c>
      <c r="C14" s="66" t="s">
        <v>301</v>
      </c>
      <c r="D14" s="66" t="s">
        <v>302</v>
      </c>
      <c r="E14" s="66" t="s">
        <v>303</v>
      </c>
      <c r="F14" s="66" t="s">
        <v>304</v>
      </c>
      <c r="G14" s="67" t="s">
        <v>305</v>
      </c>
      <c r="H14" s="66" t="s">
        <v>306</v>
      </c>
      <c r="I14" s="66" t="s">
        <v>307</v>
      </c>
      <c r="J14" s="66" t="s">
        <v>308</v>
      </c>
      <c r="K14" s="66" t="s">
        <v>308</v>
      </c>
      <c r="L14" s="66" t="s">
        <v>309</v>
      </c>
      <c r="M14" s="66" t="s">
        <v>310</v>
      </c>
      <c r="N14" s="66" t="s">
        <v>311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3</v>
      </c>
      <c r="K15" s="69">
        <v>4</v>
      </c>
      <c r="L15" s="69">
        <v>0</v>
      </c>
      <c r="M15" s="70">
        <v>1</v>
      </c>
      <c r="N15" s="83">
        <v>11</v>
      </c>
      <c r="O15" s="78" t="s">
        <v>312</v>
      </c>
      <c r="P15" s="77"/>
      <c r="Q15" s="71">
        <v>2065000.0</v>
      </c>
    </row>
    <row r="16" spans="1:17" customHeight="1" ht="24.75">
      <c r="A16" s="68"/>
      <c r="B16" s="69">
        <v>0</v>
      </c>
      <c r="C16" s="69">
        <v>0</v>
      </c>
      <c r="D16" s="69"/>
      <c r="E16" s="69"/>
      <c r="F16" s="69">
        <v>4901</v>
      </c>
      <c r="G16" s="69"/>
      <c r="H16" s="69"/>
      <c r="I16" s="69">
        <v>2</v>
      </c>
      <c r="J16" s="69">
        <v>5</v>
      </c>
      <c r="K16" s="69">
        <v>8</v>
      </c>
      <c r="L16" s="69">
        <v>0</v>
      </c>
      <c r="M16" s="70">
        <v>1</v>
      </c>
      <c r="N16" s="83">
        <v>11</v>
      </c>
      <c r="O16" s="78" t="s">
        <v>329</v>
      </c>
      <c r="P16" s="77"/>
      <c r="Q16" s="71">
        <v>2540000.0</v>
      </c>
    </row>
    <row r="17" spans="1:17" customHeight="1" ht="24.75">
      <c r="A17" s="68"/>
      <c r="B17" s="69">
        <v>0</v>
      </c>
      <c r="C17" s="69">
        <v>0</v>
      </c>
      <c r="D17" s="69"/>
      <c r="E17" s="69"/>
      <c r="F17" s="69">
        <v>4901</v>
      </c>
      <c r="G17" s="69"/>
      <c r="H17" s="69"/>
      <c r="I17" s="69">
        <v>2</v>
      </c>
      <c r="J17" s="69">
        <v>9</v>
      </c>
      <c r="K17" s="69">
        <v>1</v>
      </c>
      <c r="L17" s="69">
        <v>0</v>
      </c>
      <c r="M17" s="70">
        <v>1</v>
      </c>
      <c r="N17" s="83">
        <v>11</v>
      </c>
      <c r="O17" s="78" t="s">
        <v>19</v>
      </c>
      <c r="P17" s="77"/>
      <c r="Q17" s="71">
        <v>1862200.0</v>
      </c>
    </row>
    <row r="18" spans="1:17" customHeight="1" ht="24.7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70"/>
      <c r="N18" s="83"/>
      <c r="O18" s="78"/>
      <c r="P18" s="77"/>
      <c r="Q18" s="71"/>
    </row>
    <row r="19" spans="1:17" customHeight="1" ht="24.75" s="72" customFormat="1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  <c r="N19" s="83"/>
      <c r="O19" s="78"/>
      <c r="P19" s="77"/>
      <c r="Q19" s="71"/>
    </row>
    <row r="20" spans="1:17" customHeight="1" ht="33.75">
      <c r="A20" s="154" t="s">
        <v>314</v>
      </c>
      <c r="B20" s="155"/>
      <c r="C20" s="156" t="s">
        <v>320</v>
      </c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8"/>
      <c r="Q20" s="73">
        <f>SUM(Q15:Q19)</f>
        <v>6467200</v>
      </c>
    </row>
    <row r="21" spans="1:17" customHeight="1" ht="18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</row>
    <row r="22" spans="1:17" customHeight="1" ht="17.25">
      <c r="A22" s="140" t="s">
        <v>315</v>
      </c>
      <c r="B22" s="141"/>
      <c r="C22" s="141"/>
      <c r="D22" s="141"/>
      <c r="E22" s="141"/>
      <c r="F22" s="142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</row>
    <row r="23" spans="1:17" customHeight="1" ht="18">
      <c r="A23" s="173" t="s">
        <v>319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</row>
    <row r="24" spans="1:17" customHeight="1" ht="28.5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customHeight="1" ht="15.75">
      <c r="A25" s="140" t="s">
        <v>316</v>
      </c>
      <c r="B25" s="141"/>
      <c r="C25" s="141"/>
      <c r="D25" s="141"/>
      <c r="E25" s="141"/>
      <c r="F25" s="142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9"/>
    </row>
    <row r="26" spans="1:17" customHeight="1" ht="13.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5:F25"/>
    <mergeCell ref="G25:Q25"/>
    <mergeCell ref="A6:F6"/>
    <mergeCell ref="G6:Q6"/>
    <mergeCell ref="A7:F7"/>
    <mergeCell ref="G7:Q7"/>
    <mergeCell ref="A23:Q24"/>
    <mergeCell ref="A21:Q21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2:F22"/>
    <mergeCell ref="G22:Q22"/>
    <mergeCell ref="A9:N9"/>
    <mergeCell ref="A10:Q10"/>
    <mergeCell ref="O13:P14"/>
    <mergeCell ref="Q13:Q14"/>
    <mergeCell ref="A20:B20"/>
    <mergeCell ref="C20:P20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2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253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254</v>
      </c>
      <c r="G2" s="41" t="s">
        <v>330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256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257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258</v>
      </c>
      <c r="B6" s="128"/>
      <c r="C6" s="112" t="s">
        <v>331</v>
      </c>
      <c r="D6" s="113"/>
      <c r="E6" s="113"/>
      <c r="F6" s="113"/>
      <c r="G6" s="114"/>
    </row>
    <row r="7" spans="1:7" customHeight="1" ht="32.25">
      <c r="A7" s="127" t="s">
        <v>260</v>
      </c>
      <c r="B7" s="128"/>
      <c r="C7" s="112" t="s">
        <v>331</v>
      </c>
      <c r="D7" s="113"/>
      <c r="E7" s="113"/>
      <c r="F7" s="113"/>
      <c r="G7" s="114"/>
    </row>
    <row r="8" spans="1:7" customHeight="1" ht="16.5">
      <c r="A8" s="127" t="s">
        <v>261</v>
      </c>
      <c r="B8" s="128"/>
      <c r="C8" s="112" t="s">
        <v>262</v>
      </c>
      <c r="D8" s="113"/>
      <c r="E8" s="113"/>
      <c r="F8" s="113"/>
      <c r="G8" s="114"/>
    </row>
    <row r="9" spans="1:7" customHeight="1" ht="27.75">
      <c r="A9" s="117" t="s">
        <v>263</v>
      </c>
      <c r="B9" s="118"/>
      <c r="C9" s="124" t="s">
        <v>264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265</v>
      </c>
      <c r="B11" s="131" t="s">
        <v>266</v>
      </c>
      <c r="C11" s="119" t="s">
        <v>267</v>
      </c>
      <c r="D11" s="135" t="s">
        <v>268</v>
      </c>
      <c r="E11" s="135" t="s">
        <v>269</v>
      </c>
      <c r="F11" s="135" t="s">
        <v>270</v>
      </c>
      <c r="G11" s="135" t="s">
        <v>271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177</v>
      </c>
      <c r="C13" s="35" t="s">
        <v>178</v>
      </c>
      <c r="D13" s="31" t="s">
        <v>273</v>
      </c>
      <c r="E13" s="31" t="s">
        <v>85</v>
      </c>
      <c r="F13" s="32">
        <v>1200.0</v>
      </c>
      <c r="G13" s="33">
        <v>21</v>
      </c>
    </row>
    <row r="14" spans="1:7" customHeight="1" ht="15">
      <c r="A14" s="44">
        <v>2</v>
      </c>
      <c r="B14" s="34" t="s">
        <v>173</v>
      </c>
      <c r="C14" s="35" t="s">
        <v>174</v>
      </c>
      <c r="D14" s="31" t="s">
        <v>273</v>
      </c>
      <c r="E14" s="31" t="s">
        <v>22</v>
      </c>
      <c r="F14" s="32">
        <v>650.0</v>
      </c>
      <c r="G14" s="33">
        <v>17</v>
      </c>
    </row>
    <row r="15" spans="1:7" customHeight="1" ht="15">
      <c r="A15" s="44">
        <v>3</v>
      </c>
      <c r="B15" s="34" t="s">
        <v>175</v>
      </c>
      <c r="C15" s="35" t="s">
        <v>176</v>
      </c>
      <c r="D15" s="31" t="s">
        <v>273</v>
      </c>
      <c r="E15" s="31" t="s">
        <v>59</v>
      </c>
      <c r="F15" s="32">
        <v>650.0</v>
      </c>
      <c r="G15" s="33">
        <v>215</v>
      </c>
    </row>
    <row r="16" spans="1:7" customHeight="1" ht="15">
      <c r="A16" s="44">
        <v>4</v>
      </c>
      <c r="B16" s="34" t="s">
        <v>57</v>
      </c>
      <c r="C16" s="35" t="s">
        <v>58</v>
      </c>
      <c r="D16" s="31" t="s">
        <v>273</v>
      </c>
      <c r="E16" s="31" t="s">
        <v>59</v>
      </c>
      <c r="F16" s="32">
        <v>100.0</v>
      </c>
      <c r="G16" s="33">
        <v>195</v>
      </c>
    </row>
    <row r="17" spans="1:7" customHeight="1" ht="15">
      <c r="A17" s="44">
        <v>5</v>
      </c>
      <c r="B17" s="34" t="s">
        <v>145</v>
      </c>
      <c r="C17" s="35" t="s">
        <v>146</v>
      </c>
      <c r="D17" s="31" t="s">
        <v>272</v>
      </c>
      <c r="E17" s="31" t="s">
        <v>22</v>
      </c>
      <c r="F17" s="32">
        <v>386.0</v>
      </c>
      <c r="G17" s="33">
        <v>14</v>
      </c>
    </row>
    <row r="18" spans="1:7" customHeight="1" ht="15">
      <c r="A18" s="44">
        <v>6</v>
      </c>
      <c r="B18" s="34" t="s">
        <v>108</v>
      </c>
      <c r="C18" s="35" t="s">
        <v>109</v>
      </c>
      <c r="D18" s="31" t="s">
        <v>273</v>
      </c>
      <c r="E18" s="31" t="s">
        <v>22</v>
      </c>
      <c r="F18" s="32">
        <v>290.0</v>
      </c>
      <c r="G18" s="33">
        <v>75</v>
      </c>
    </row>
    <row r="19" spans="1:7" customHeight="1" ht="15">
      <c r="A19" s="44">
        <v>7</v>
      </c>
      <c r="B19" s="34" t="s">
        <v>47</v>
      </c>
      <c r="C19" s="35" t="s">
        <v>48</v>
      </c>
      <c r="D19" s="31" t="s">
        <v>273</v>
      </c>
      <c r="E19" s="31" t="s">
        <v>22</v>
      </c>
      <c r="F19" s="32">
        <v>80.0</v>
      </c>
      <c r="G19" s="33">
        <v>15</v>
      </c>
    </row>
    <row r="20" spans="1:7" customHeight="1" ht="15">
      <c r="A20" s="44">
        <v>8</v>
      </c>
      <c r="B20" s="34" t="s">
        <v>63</v>
      </c>
      <c r="C20" s="35" t="s">
        <v>64</v>
      </c>
      <c r="D20" s="31" t="s">
        <v>273</v>
      </c>
      <c r="E20" s="31" t="s">
        <v>22</v>
      </c>
      <c r="F20" s="32">
        <v>120.0</v>
      </c>
      <c r="G20" s="33">
        <v>30</v>
      </c>
    </row>
    <row r="21" spans="1:7" customHeight="1" ht="15">
      <c r="A21" s="44">
        <v>9</v>
      </c>
      <c r="B21" s="34" t="s">
        <v>103</v>
      </c>
      <c r="C21" s="35" t="s">
        <v>104</v>
      </c>
      <c r="D21" s="31" t="s">
        <v>273</v>
      </c>
      <c r="E21" s="31" t="s">
        <v>22</v>
      </c>
      <c r="F21" s="32">
        <v>250.0</v>
      </c>
      <c r="G21" s="33">
        <v>20</v>
      </c>
    </row>
    <row r="22" spans="1:7" customHeight="1" ht="15">
      <c r="A22" s="44">
        <v>10</v>
      </c>
      <c r="B22" s="34" t="s">
        <v>133</v>
      </c>
      <c r="C22" s="35" t="s">
        <v>134</v>
      </c>
      <c r="D22" s="31" t="s">
        <v>273</v>
      </c>
      <c r="E22" s="31" t="s">
        <v>135</v>
      </c>
      <c r="F22" s="32">
        <v>350.0</v>
      </c>
      <c r="G22" s="33">
        <v>35</v>
      </c>
    </row>
    <row r="23" spans="1:7" customHeight="1" ht="15">
      <c r="A23" s="44">
        <v>11</v>
      </c>
      <c r="B23" s="34" t="s">
        <v>136</v>
      </c>
      <c r="C23" s="35" t="s">
        <v>137</v>
      </c>
      <c r="D23" s="31" t="s">
        <v>273</v>
      </c>
      <c r="E23" s="31" t="s">
        <v>135</v>
      </c>
      <c r="F23" s="32">
        <v>350.0</v>
      </c>
      <c r="G23" s="33">
        <v>10</v>
      </c>
    </row>
    <row r="24" spans="1:7" customHeight="1" ht="15">
      <c r="A24" s="44">
        <v>12</v>
      </c>
      <c r="B24" s="34" t="s">
        <v>95</v>
      </c>
      <c r="C24" s="35" t="s">
        <v>96</v>
      </c>
      <c r="D24" s="31" t="s">
        <v>273</v>
      </c>
      <c r="E24" s="31" t="s">
        <v>85</v>
      </c>
      <c r="F24" s="32">
        <v>650.0</v>
      </c>
      <c r="G24" s="33">
        <v>222</v>
      </c>
    </row>
    <row r="25" spans="1:7" customHeight="1" ht="15">
      <c r="A25" s="44">
        <v>13</v>
      </c>
      <c r="B25" s="34" t="s">
        <v>147</v>
      </c>
      <c r="C25" s="35" t="s">
        <v>148</v>
      </c>
      <c r="D25" s="31" t="s">
        <v>273</v>
      </c>
      <c r="E25" s="31" t="s">
        <v>22</v>
      </c>
      <c r="F25" s="32">
        <v>400.0</v>
      </c>
      <c r="G25" s="33">
        <v>27</v>
      </c>
    </row>
    <row r="26" spans="1:7" customHeight="1" ht="15">
      <c r="A26" s="44">
        <v>14</v>
      </c>
      <c r="B26" s="34" t="s">
        <v>115</v>
      </c>
      <c r="C26" s="35" t="s">
        <v>116</v>
      </c>
      <c r="D26" s="31" t="s">
        <v>273</v>
      </c>
      <c r="E26" s="31" t="s">
        <v>85</v>
      </c>
      <c r="F26" s="32">
        <v>300.0</v>
      </c>
      <c r="G26" s="33">
        <v>26</v>
      </c>
    </row>
    <row r="27" spans="1:7" customHeight="1" ht="15">
      <c r="A27" s="44">
        <v>15</v>
      </c>
      <c r="B27" s="34" t="s">
        <v>110</v>
      </c>
      <c r="C27" s="35" t="s">
        <v>111</v>
      </c>
      <c r="D27" s="31" t="s">
        <v>273</v>
      </c>
      <c r="E27" s="31" t="s">
        <v>22</v>
      </c>
      <c r="F27" s="32">
        <v>290.0</v>
      </c>
      <c r="G27" s="33">
        <v>15</v>
      </c>
    </row>
    <row r="28" spans="1:7" customHeight="1" ht="15">
      <c r="A28" s="44">
        <v>16</v>
      </c>
      <c r="B28" s="34" t="s">
        <v>161</v>
      </c>
      <c r="C28" s="35" t="s">
        <v>162</v>
      </c>
      <c r="D28" s="31" t="s">
        <v>273</v>
      </c>
      <c r="E28" s="31" t="s">
        <v>22</v>
      </c>
      <c r="F28" s="32">
        <v>450.0</v>
      </c>
      <c r="G28" s="33">
        <v>45</v>
      </c>
    </row>
    <row r="29" spans="1:7" customHeight="1" ht="15">
      <c r="A29" s="44">
        <v>17</v>
      </c>
      <c r="B29" s="34" t="s">
        <v>182</v>
      </c>
      <c r="C29" s="35" t="s">
        <v>184</v>
      </c>
      <c r="D29" s="31" t="s">
        <v>273</v>
      </c>
      <c r="E29" s="31" t="s">
        <v>22</v>
      </c>
      <c r="F29" s="32">
        <v>750.0</v>
      </c>
      <c r="G29" s="33">
        <v>5</v>
      </c>
    </row>
    <row r="30" spans="1:7" customHeight="1" ht="15">
      <c r="A30" s="44">
        <v>18</v>
      </c>
      <c r="B30" s="34" t="s">
        <v>138</v>
      </c>
      <c r="C30" s="35" t="s">
        <v>139</v>
      </c>
      <c r="D30" s="31" t="s">
        <v>273</v>
      </c>
      <c r="E30" s="31" t="s">
        <v>59</v>
      </c>
      <c r="F30" s="32">
        <v>350.0</v>
      </c>
      <c r="G30" s="33">
        <v>345</v>
      </c>
    </row>
    <row r="31" spans="1:7" customHeight="1" ht="15">
      <c r="A31" s="44">
        <v>19</v>
      </c>
      <c r="B31" s="34" t="s">
        <v>149</v>
      </c>
      <c r="C31" s="35" t="s">
        <v>150</v>
      </c>
      <c r="D31" s="31" t="s">
        <v>272</v>
      </c>
      <c r="E31" s="31" t="s">
        <v>22</v>
      </c>
      <c r="F31" s="32">
        <v>400.0</v>
      </c>
      <c r="G31" s="33">
        <v>13</v>
      </c>
    </row>
    <row r="32" spans="1:7" customHeight="1" ht="15">
      <c r="A32" s="44">
        <v>20</v>
      </c>
      <c r="B32" s="34" t="s">
        <v>188</v>
      </c>
      <c r="C32" s="35" t="s">
        <v>189</v>
      </c>
      <c r="D32" s="31" t="s">
        <v>272</v>
      </c>
      <c r="E32" s="31" t="s">
        <v>22</v>
      </c>
      <c r="F32" s="32">
        <v>800.0</v>
      </c>
      <c r="G32" s="33">
        <v>5</v>
      </c>
    </row>
    <row r="33" spans="1:7" customHeight="1" ht="15">
      <c r="A33" s="44">
        <v>21</v>
      </c>
      <c r="B33" s="34" t="s">
        <v>65</v>
      </c>
      <c r="C33" s="35" t="s">
        <v>66</v>
      </c>
      <c r="D33" s="31" t="s">
        <v>273</v>
      </c>
      <c r="E33" s="31" t="s">
        <v>22</v>
      </c>
      <c r="F33" s="32">
        <v>120.0</v>
      </c>
      <c r="G33" s="33">
        <v>83</v>
      </c>
    </row>
    <row r="34" spans="1:7" customHeight="1" ht="15">
      <c r="A34" s="44">
        <v>22</v>
      </c>
      <c r="B34" s="34" t="s">
        <v>73</v>
      </c>
      <c r="C34" s="35" t="s">
        <v>74</v>
      </c>
      <c r="D34" s="31" t="s">
        <v>273</v>
      </c>
      <c r="E34" s="31" t="s">
        <v>22</v>
      </c>
      <c r="F34" s="32">
        <v>115.0</v>
      </c>
      <c r="G34" s="33">
        <v>84</v>
      </c>
    </row>
    <row r="35" spans="1:7" customHeight="1" ht="15">
      <c r="A35" s="44">
        <v>23</v>
      </c>
      <c r="B35" s="34" t="s">
        <v>67</v>
      </c>
      <c r="C35" s="35" t="s">
        <v>68</v>
      </c>
      <c r="D35" s="31" t="s">
        <v>273</v>
      </c>
      <c r="E35" s="31" t="s">
        <v>22</v>
      </c>
      <c r="F35" s="32">
        <v>120.0</v>
      </c>
      <c r="G35" s="33">
        <v>35</v>
      </c>
    </row>
    <row r="36" spans="1:7" customHeight="1" ht="15">
      <c r="A36" s="44">
        <v>24</v>
      </c>
      <c r="B36" s="34" t="s">
        <v>163</v>
      </c>
      <c r="C36" s="35" t="s">
        <v>164</v>
      </c>
      <c r="D36" s="31" t="s">
        <v>273</v>
      </c>
      <c r="E36" s="31" t="s">
        <v>59</v>
      </c>
      <c r="F36" s="32">
        <v>450.0</v>
      </c>
      <c r="G36" s="33">
        <v>5</v>
      </c>
    </row>
    <row r="37" spans="1:7" customHeight="1" ht="15">
      <c r="A37" s="44">
        <v>25</v>
      </c>
      <c r="B37" s="34" t="s">
        <v>199</v>
      </c>
      <c r="C37" s="35" t="s">
        <v>200</v>
      </c>
      <c r="D37" s="31" t="s">
        <v>273</v>
      </c>
      <c r="E37" s="31" t="s">
        <v>201</v>
      </c>
      <c r="F37" s="32">
        <v>1400.0</v>
      </c>
      <c r="G37" s="33">
        <v>29</v>
      </c>
    </row>
    <row r="38" spans="1:7" customHeight="1" ht="15">
      <c r="A38" s="44">
        <v>26</v>
      </c>
      <c r="B38" s="34" t="s">
        <v>202</v>
      </c>
      <c r="C38" s="35" t="s">
        <v>203</v>
      </c>
      <c r="D38" s="31" t="s">
        <v>273</v>
      </c>
      <c r="E38" s="31" t="s">
        <v>22</v>
      </c>
      <c r="F38" s="32">
        <v>1400.0</v>
      </c>
      <c r="G38" s="33">
        <v>15</v>
      </c>
    </row>
    <row r="39" spans="1:7" customHeight="1" ht="15">
      <c r="A39" s="44">
        <v>27</v>
      </c>
      <c r="B39" s="34" t="s">
        <v>190</v>
      </c>
      <c r="C39" s="35" t="s">
        <v>191</v>
      </c>
      <c r="D39" s="31" t="s">
        <v>273</v>
      </c>
      <c r="E39" s="31" t="s">
        <v>22</v>
      </c>
      <c r="F39" s="32">
        <v>800.0</v>
      </c>
      <c r="G39" s="33">
        <v>12</v>
      </c>
    </row>
    <row r="40" spans="1:7" customHeight="1" ht="15">
      <c r="A40" s="44">
        <v>28</v>
      </c>
      <c r="B40" s="34" t="s">
        <v>78</v>
      </c>
      <c r="C40" s="35" t="s">
        <v>79</v>
      </c>
      <c r="D40" s="31" t="s">
        <v>273</v>
      </c>
      <c r="E40" s="31" t="s">
        <v>22</v>
      </c>
      <c r="F40" s="32">
        <v>180.0</v>
      </c>
      <c r="G40" s="33">
        <v>20</v>
      </c>
    </row>
    <row r="41" spans="1:7" customHeight="1" ht="15">
      <c r="A41" s="44">
        <v>29</v>
      </c>
      <c r="B41" s="34" t="s">
        <v>204</v>
      </c>
      <c r="C41" s="35" t="s">
        <v>205</v>
      </c>
      <c r="D41" s="31" t="s">
        <v>273</v>
      </c>
      <c r="E41" s="31" t="s">
        <v>22</v>
      </c>
      <c r="F41" s="32">
        <v>780.0</v>
      </c>
      <c r="G41" s="33">
        <v>3</v>
      </c>
    </row>
    <row r="42" spans="1:7" customHeight="1" ht="15">
      <c r="A42" s="44">
        <v>30</v>
      </c>
      <c r="B42" s="34" t="s">
        <v>90</v>
      </c>
      <c r="C42" s="35" t="s">
        <v>91</v>
      </c>
      <c r="D42" s="31" t="s">
        <v>273</v>
      </c>
      <c r="E42" s="31" t="s">
        <v>22</v>
      </c>
      <c r="F42" s="32">
        <v>290.0</v>
      </c>
      <c r="G42" s="33">
        <v>5</v>
      </c>
    </row>
    <row r="43" spans="1:7" customHeight="1" ht="15">
      <c r="A43" s="44">
        <v>31</v>
      </c>
      <c r="B43" s="34" t="s">
        <v>180</v>
      </c>
      <c r="C43" s="35" t="s">
        <v>181</v>
      </c>
      <c r="D43" s="31" t="s">
        <v>273</v>
      </c>
      <c r="E43" s="31" t="s">
        <v>22</v>
      </c>
      <c r="F43" s="32">
        <v>1300.0</v>
      </c>
      <c r="G43" s="33">
        <v>1</v>
      </c>
    </row>
    <row r="44" spans="1:7" customHeight="1" ht="15">
      <c r="A44" s="44">
        <v>32</v>
      </c>
      <c r="B44" s="34" t="s">
        <v>117</v>
      </c>
      <c r="C44" s="35" t="s">
        <v>119</v>
      </c>
      <c r="D44" s="31" t="s">
        <v>273</v>
      </c>
      <c r="E44" s="31" t="s">
        <v>51</v>
      </c>
      <c r="F44" s="32">
        <v>300.0</v>
      </c>
      <c r="G44" s="33">
        <v>65</v>
      </c>
    </row>
    <row r="45" spans="1:7" customHeight="1" ht="15">
      <c r="A45" s="44">
        <v>33</v>
      </c>
      <c r="B45" s="34" t="s">
        <v>218</v>
      </c>
      <c r="C45" s="35" t="s">
        <v>219</v>
      </c>
      <c r="D45" s="31" t="s">
        <v>273</v>
      </c>
      <c r="E45" s="31" t="s">
        <v>22</v>
      </c>
      <c r="F45" s="32">
        <v>2000.0</v>
      </c>
      <c r="G45" s="33">
        <v>2</v>
      </c>
    </row>
    <row r="46" spans="1:7" customHeight="1" ht="15">
      <c r="A46" s="44">
        <v>34</v>
      </c>
      <c r="B46" s="34" t="s">
        <v>140</v>
      </c>
      <c r="C46" s="35" t="s">
        <v>142</v>
      </c>
      <c r="D46" s="31" t="s">
        <v>273</v>
      </c>
      <c r="E46" s="31" t="s">
        <v>22</v>
      </c>
      <c r="F46" s="32">
        <v>360.0</v>
      </c>
      <c r="G46" s="33">
        <v>10</v>
      </c>
    </row>
    <row r="47" spans="1:7" customHeight="1" ht="15">
      <c r="A47" s="44">
        <v>35</v>
      </c>
      <c r="B47" s="34" t="s">
        <v>143</v>
      </c>
      <c r="C47" s="35" t="s">
        <v>144</v>
      </c>
      <c r="D47" s="31" t="s">
        <v>273</v>
      </c>
      <c r="E47" s="31" t="s">
        <v>22</v>
      </c>
      <c r="F47" s="32">
        <v>360.0</v>
      </c>
      <c r="G47" s="33">
        <v>10</v>
      </c>
    </row>
    <row r="48" spans="1:7" customHeight="1" ht="15">
      <c r="A48" s="44">
        <v>36</v>
      </c>
      <c r="B48" s="34" t="s">
        <v>127</v>
      </c>
      <c r="C48" s="35" t="s">
        <v>128</v>
      </c>
      <c r="D48" s="31" t="s">
        <v>272</v>
      </c>
      <c r="E48" s="31" t="s">
        <v>22</v>
      </c>
      <c r="F48" s="32">
        <v>330.0</v>
      </c>
      <c r="G48" s="33">
        <v>10</v>
      </c>
    </row>
    <row r="49" spans="1:7" customHeight="1" ht="15">
      <c r="A49" s="44">
        <v>37</v>
      </c>
      <c r="B49" s="34" t="s">
        <v>98</v>
      </c>
      <c r="C49" s="35" t="s">
        <v>99</v>
      </c>
      <c r="D49" s="31" t="s">
        <v>273</v>
      </c>
      <c r="E49" s="31" t="s">
        <v>22</v>
      </c>
      <c r="F49" s="32">
        <v>240.0</v>
      </c>
      <c r="G49" s="33">
        <v>3</v>
      </c>
    </row>
    <row r="50" spans="1:7" customHeight="1" ht="15">
      <c r="A50" s="44">
        <v>38</v>
      </c>
      <c r="B50" s="34" t="s">
        <v>83</v>
      </c>
      <c r="C50" s="35" t="s">
        <v>84</v>
      </c>
      <c r="D50" s="31" t="s">
        <v>273</v>
      </c>
      <c r="E50" s="31" t="s">
        <v>85</v>
      </c>
      <c r="F50" s="32">
        <v>150.0</v>
      </c>
      <c r="G50" s="33">
        <v>4</v>
      </c>
    </row>
    <row r="51" spans="1:7" customHeight="1" ht="15">
      <c r="A51" s="44">
        <v>39</v>
      </c>
      <c r="B51" s="34" t="s">
        <v>53</v>
      </c>
      <c r="C51" s="35" t="s">
        <v>54</v>
      </c>
      <c r="D51" s="31" t="s">
        <v>273</v>
      </c>
      <c r="E51" s="31" t="s">
        <v>22</v>
      </c>
      <c r="F51" s="32">
        <v>90.0</v>
      </c>
      <c r="G51" s="33">
        <v>20</v>
      </c>
    </row>
    <row r="52" spans="1:7" customHeight="1" ht="15">
      <c r="A52" s="44">
        <v>40</v>
      </c>
      <c r="B52" s="34" t="s">
        <v>229</v>
      </c>
      <c r="C52" s="35" t="s">
        <v>230</v>
      </c>
      <c r="D52" s="31" t="s">
        <v>272</v>
      </c>
      <c r="E52" s="31" t="s">
        <v>22</v>
      </c>
      <c r="F52" s="32">
        <v>3200.0</v>
      </c>
      <c r="G52" s="33">
        <v>2</v>
      </c>
    </row>
    <row r="53" spans="1:7" customHeight="1" ht="15">
      <c r="A53" s="44">
        <v>41</v>
      </c>
      <c r="B53" s="34" t="s">
        <v>222</v>
      </c>
      <c r="C53" s="35" t="s">
        <v>223</v>
      </c>
      <c r="D53" s="31" t="s">
        <v>272</v>
      </c>
      <c r="E53" s="31" t="s">
        <v>22</v>
      </c>
      <c r="F53" s="32">
        <v>2600.0</v>
      </c>
      <c r="G53" s="33">
        <v>5</v>
      </c>
    </row>
    <row r="54" spans="1:7" customHeight="1" ht="15">
      <c r="A54" s="44">
        <v>42</v>
      </c>
      <c r="B54" s="34" t="s">
        <v>195</v>
      </c>
      <c r="C54" s="35" t="s">
        <v>196</v>
      </c>
      <c r="D54" s="31" t="s">
        <v>272</v>
      </c>
      <c r="E54" s="31" t="s">
        <v>22</v>
      </c>
      <c r="F54" s="32">
        <v>990.0</v>
      </c>
      <c r="G54" s="33">
        <v>5</v>
      </c>
    </row>
    <row r="55" spans="1:7" customHeight="1" ht="15">
      <c r="A55" s="44">
        <v>43</v>
      </c>
      <c r="B55" s="34" t="s">
        <v>151</v>
      </c>
      <c r="C55" s="35" t="s">
        <v>153</v>
      </c>
      <c r="D55" s="31" t="s">
        <v>273</v>
      </c>
      <c r="E55" s="31" t="s">
        <v>22</v>
      </c>
      <c r="F55" s="32">
        <v>436.0</v>
      </c>
      <c r="G55" s="33">
        <v>10</v>
      </c>
    </row>
    <row r="56" spans="1:7" customHeight="1" ht="15">
      <c r="A56" s="44"/>
      <c r="B56" s="34"/>
      <c r="C56" s="35"/>
      <c r="D56" s="31"/>
      <c r="E56" s="31"/>
      <c r="F56" s="32"/>
      <c r="G56" s="33"/>
    </row>
    <row r="57" spans="1:7" customHeight="1" ht="15.75">
      <c r="A57" s="45"/>
      <c r="B57" s="36"/>
      <c r="C57" s="37"/>
      <c r="D57" s="28"/>
      <c r="E57" s="28"/>
      <c r="F57" s="29"/>
      <c r="G57" s="30"/>
    </row>
    <row r="58" spans="1:7" customHeight="1" ht="20.25">
      <c r="A58" s="122" t="s">
        <v>274</v>
      </c>
      <c r="B58" s="123"/>
      <c r="C58" s="133" t="s">
        <v>332</v>
      </c>
      <c r="D58" s="133"/>
      <c r="E58" s="134"/>
      <c r="F58" s="121">
        <f>SUMPRODUCT(F13:F57,G13:G57)</f>
        <v>741194</v>
      </c>
      <c r="G58" s="121"/>
    </row>
    <row r="62" spans="1:7" customHeight="1" ht="13.5"/>
    <row r="63" spans="1:7" customHeight="1" ht="15.75">
      <c r="A63" s="46"/>
      <c r="B63" s="115" t="s">
        <v>276</v>
      </c>
      <c r="C63" s="115"/>
      <c r="D63" s="116"/>
    </row>
    <row r="64" spans="1:7" customHeight="1" ht="18.75">
      <c r="A64" s="47" t="s">
        <v>321</v>
      </c>
      <c r="B64" s="48" t="s">
        <v>129</v>
      </c>
      <c r="C64" s="49"/>
      <c r="D64" s="50"/>
    </row>
    <row r="65" spans="1:7" customHeight="1" ht="18.75">
      <c r="A65" s="47" t="s">
        <v>333</v>
      </c>
      <c r="B65" s="48" t="s">
        <v>129</v>
      </c>
      <c r="C65" s="49"/>
      <c r="D65" s="50"/>
    </row>
    <row r="66" spans="1:7" customHeight="1" ht="18.75">
      <c r="A66" s="47" t="s">
        <v>285</v>
      </c>
      <c r="B66" s="48" t="s">
        <v>129</v>
      </c>
      <c r="C66" s="49"/>
      <c r="D66" s="50"/>
    </row>
    <row r="67" spans="1:7" customHeight="1" ht="18.75">
      <c r="A67" s="47" t="s">
        <v>334</v>
      </c>
      <c r="B67" s="48" t="s">
        <v>129</v>
      </c>
      <c r="C67" s="49"/>
      <c r="D67" s="50"/>
    </row>
    <row r="68" spans="1:7" customHeight="1" ht="18.75">
      <c r="A68" s="47" t="s">
        <v>335</v>
      </c>
      <c r="B68" s="48" t="s">
        <v>129</v>
      </c>
      <c r="C68" s="49"/>
      <c r="D68" s="50"/>
    </row>
    <row r="69" spans="1:7" customHeight="1" ht="18.75">
      <c r="A69" s="47" t="s">
        <v>336</v>
      </c>
      <c r="B69" s="48" t="s">
        <v>129</v>
      </c>
      <c r="C69" s="49"/>
      <c r="D69" s="50"/>
    </row>
    <row r="70" spans="1:7" customHeight="1" ht="18.75">
      <c r="A70" s="47" t="s">
        <v>337</v>
      </c>
      <c r="B70" s="48" t="s">
        <v>129</v>
      </c>
      <c r="C70" s="49"/>
      <c r="D70" s="50"/>
    </row>
    <row r="71" spans="1:7" customHeight="1" ht="18.75">
      <c r="A71" s="47"/>
      <c r="B71" s="48"/>
      <c r="C71" s="49"/>
      <c r="D71" s="50"/>
    </row>
    <row r="72" spans="1:7" customHeight="1" ht="18.75">
      <c r="A72" s="51"/>
      <c r="B72" s="52"/>
      <c r="C72" s="53"/>
      <c r="D72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58:B58"/>
    <mergeCell ref="C9:G9"/>
    <mergeCell ref="A8:B8"/>
    <mergeCell ref="A11:A12"/>
    <mergeCell ref="B11:B12"/>
    <mergeCell ref="C58:E58"/>
    <mergeCell ref="F11:F12"/>
    <mergeCell ref="G11:G12"/>
    <mergeCell ref="E11:E12"/>
    <mergeCell ref="A1:G1"/>
    <mergeCell ref="C4:G4"/>
    <mergeCell ref="C5:G5"/>
    <mergeCell ref="C6:G6"/>
    <mergeCell ref="C7:G7"/>
    <mergeCell ref="B63:D63"/>
    <mergeCell ref="C8:G8"/>
    <mergeCell ref="A9:B9"/>
    <mergeCell ref="C11:C12"/>
    <mergeCell ref="F58:G58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290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291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257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258</v>
      </c>
      <c r="B6" s="165"/>
      <c r="C6" s="165"/>
      <c r="D6" s="165"/>
      <c r="E6" s="165"/>
      <c r="F6" s="166"/>
      <c r="G6" s="163" t="s">
        <v>331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260</v>
      </c>
      <c r="B7" s="165"/>
      <c r="C7" s="165"/>
      <c r="D7" s="165"/>
      <c r="E7" s="165"/>
      <c r="F7" s="166"/>
      <c r="G7" s="170" t="s">
        <v>331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292</v>
      </c>
      <c r="B8" s="139"/>
      <c r="C8" s="139" t="s">
        <v>262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293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338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295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296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297</v>
      </c>
      <c r="P13" s="149"/>
      <c r="Q13" s="152" t="s">
        <v>298</v>
      </c>
    </row>
    <row r="14" spans="1:17" customHeight="1" ht="15.75">
      <c r="A14" s="66" t="s">
        <v>299</v>
      </c>
      <c r="B14" s="66" t="s">
        <v>300</v>
      </c>
      <c r="C14" s="66" t="s">
        <v>301</v>
      </c>
      <c r="D14" s="66" t="s">
        <v>302</v>
      </c>
      <c r="E14" s="66" t="s">
        <v>303</v>
      </c>
      <c r="F14" s="66" t="s">
        <v>304</v>
      </c>
      <c r="G14" s="67" t="s">
        <v>305</v>
      </c>
      <c r="H14" s="66" t="s">
        <v>306</v>
      </c>
      <c r="I14" s="66" t="s">
        <v>307</v>
      </c>
      <c r="J14" s="66" t="s">
        <v>308</v>
      </c>
      <c r="K14" s="66" t="s">
        <v>308</v>
      </c>
      <c r="L14" s="66" t="s">
        <v>309</v>
      </c>
      <c r="M14" s="66" t="s">
        <v>310</v>
      </c>
      <c r="N14" s="66" t="s">
        <v>311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3</v>
      </c>
      <c r="K15" s="69">
        <v>4</v>
      </c>
      <c r="L15" s="69">
        <v>0</v>
      </c>
      <c r="M15" s="70">
        <v>1</v>
      </c>
      <c r="N15" s="83">
        <v>11</v>
      </c>
      <c r="O15" s="78" t="s">
        <v>312</v>
      </c>
      <c r="P15" s="77"/>
      <c r="Q15" s="71">
        <v>81100.0</v>
      </c>
    </row>
    <row r="16" spans="1:17" customHeight="1" ht="24.75">
      <c r="A16" s="68"/>
      <c r="B16" s="69">
        <v>0</v>
      </c>
      <c r="C16" s="69">
        <v>0</v>
      </c>
      <c r="D16" s="69"/>
      <c r="E16" s="69"/>
      <c r="F16" s="69">
        <v>4901</v>
      </c>
      <c r="G16" s="69"/>
      <c r="H16" s="69"/>
      <c r="I16" s="69">
        <v>2</v>
      </c>
      <c r="J16" s="69">
        <v>5</v>
      </c>
      <c r="K16" s="69">
        <v>4</v>
      </c>
      <c r="L16" s="69">
        <v>0</v>
      </c>
      <c r="M16" s="70">
        <v>1</v>
      </c>
      <c r="N16" s="83">
        <v>11</v>
      </c>
      <c r="O16" s="78" t="s">
        <v>339</v>
      </c>
      <c r="P16" s="77"/>
      <c r="Q16" s="71">
        <v>11560.0</v>
      </c>
    </row>
    <row r="17" spans="1:17" customHeight="1" ht="24.75">
      <c r="A17" s="68"/>
      <c r="B17" s="69">
        <v>0</v>
      </c>
      <c r="C17" s="69">
        <v>0</v>
      </c>
      <c r="D17" s="69"/>
      <c r="E17" s="69"/>
      <c r="F17" s="69">
        <v>4901</v>
      </c>
      <c r="G17" s="69"/>
      <c r="H17" s="69"/>
      <c r="I17" s="69">
        <v>2</v>
      </c>
      <c r="J17" s="69">
        <v>9</v>
      </c>
      <c r="K17" s="69">
        <v>1</v>
      </c>
      <c r="L17" s="69">
        <v>0</v>
      </c>
      <c r="M17" s="70">
        <v>1</v>
      </c>
      <c r="N17" s="83">
        <v>11</v>
      </c>
      <c r="O17" s="78" t="s">
        <v>19</v>
      </c>
      <c r="P17" s="77"/>
      <c r="Q17" s="71">
        <v>648534.0</v>
      </c>
    </row>
    <row r="18" spans="1:17" customHeight="1" ht="24.7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70"/>
      <c r="N18" s="83"/>
      <c r="O18" s="78"/>
      <c r="P18" s="77"/>
      <c r="Q18" s="71"/>
    </row>
    <row r="19" spans="1:17" customHeight="1" ht="24.75" s="72" customFormat="1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  <c r="N19" s="83"/>
      <c r="O19" s="78"/>
      <c r="P19" s="77"/>
      <c r="Q19" s="71"/>
    </row>
    <row r="20" spans="1:17" customHeight="1" ht="33.75">
      <c r="A20" s="154" t="s">
        <v>314</v>
      </c>
      <c r="B20" s="155"/>
      <c r="C20" s="156" t="s">
        <v>332</v>
      </c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8"/>
      <c r="Q20" s="73">
        <f>SUM(Q15:Q19)</f>
        <v>741194</v>
      </c>
    </row>
    <row r="21" spans="1:17" customHeight="1" ht="18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</row>
    <row r="22" spans="1:17" customHeight="1" ht="17.25">
      <c r="A22" s="140" t="s">
        <v>315</v>
      </c>
      <c r="B22" s="141"/>
      <c r="C22" s="141"/>
      <c r="D22" s="141"/>
      <c r="E22" s="141"/>
      <c r="F22" s="142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</row>
    <row r="23" spans="1:17" customHeight="1" ht="18">
      <c r="A23" s="173" t="s">
        <v>264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</row>
    <row r="24" spans="1:17" customHeight="1" ht="28.5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customHeight="1" ht="15.75">
      <c r="A25" s="140" t="s">
        <v>316</v>
      </c>
      <c r="B25" s="141"/>
      <c r="C25" s="141"/>
      <c r="D25" s="141"/>
      <c r="E25" s="141"/>
      <c r="F25" s="142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9"/>
    </row>
    <row r="26" spans="1:17" customHeight="1" ht="13.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5:F25"/>
    <mergeCell ref="G25:Q25"/>
    <mergeCell ref="A6:F6"/>
    <mergeCell ref="G6:Q6"/>
    <mergeCell ref="A7:F7"/>
    <mergeCell ref="G7:Q7"/>
    <mergeCell ref="A23:Q24"/>
    <mergeCell ref="A21:Q21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2:F22"/>
    <mergeCell ref="G22:Q22"/>
    <mergeCell ref="A9:N9"/>
    <mergeCell ref="A10:Q10"/>
    <mergeCell ref="O13:P14"/>
    <mergeCell ref="Q13:Q14"/>
    <mergeCell ref="A20:B20"/>
    <mergeCell ref="C20:P20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Necesidades Trimestrales</vt:lpstr>
      <vt:lpstr>Nota Pedido DA#HSJB</vt:lpstr>
      <vt:lpstr>APG DA#HSJB</vt:lpstr>
      <vt:lpstr>Nota Pedido DA#HNEP</vt:lpstr>
      <vt:lpstr>APG DA#HNEP</vt:lpstr>
      <vt:lpstr>Nota Pedido DPA#MS</vt:lpstr>
      <vt:lpstr>APG DPA#MS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