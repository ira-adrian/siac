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G:\Mi unidad\COMPARTIDA\DIRECCION DE PLANIFICACION\DOCUMENTACION\Nair\PEDIDOS 2022\3 TRIMESTRE 2022\DESARROLLO SOCIAL\bidones de agua\nuevo\final\"/>
    </mc:Choice>
  </mc:AlternateContent>
  <xr:revisionPtr revIDLastSave="0" documentId="8_{185EF1D0-0984-46F1-BC7A-6EBF11284881}"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1" r:id="rId1"/>
    <sheet name="ANEXO I" sheetId="4" r:id="rId2"/>
  </sheets>
  <calcPr calcId="181029"/>
</workbook>
</file>

<file path=xl/calcChain.xml><?xml version="1.0" encoding="utf-8"?>
<calcChain xmlns="http://schemas.openxmlformats.org/spreadsheetml/2006/main">
  <c r="D45" i="4" l="1"/>
  <c r="C45" i="4"/>
  <c r="E44" i="4"/>
  <c r="F44" i="4" s="1"/>
  <c r="E43" i="4"/>
  <c r="F43" i="4" s="1"/>
  <c r="E42" i="4"/>
  <c r="F42" i="4" s="1"/>
  <c r="E41" i="4"/>
  <c r="F41" i="4" s="1"/>
  <c r="E40" i="4"/>
  <c r="F40" i="4" s="1"/>
  <c r="E39" i="4"/>
  <c r="F39" i="4" s="1"/>
  <c r="E38" i="4"/>
  <c r="F38" i="4" s="1"/>
  <c r="E37" i="4"/>
  <c r="F37" i="4" s="1"/>
  <c r="E36" i="4"/>
  <c r="F36" i="4" s="1"/>
  <c r="E35" i="4"/>
  <c r="F35" i="4" s="1"/>
  <c r="E34" i="4"/>
  <c r="F34" i="4" s="1"/>
  <c r="E33" i="4"/>
  <c r="F33" i="4" s="1"/>
  <c r="E32" i="4"/>
  <c r="F32" i="4" s="1"/>
  <c r="E31" i="4"/>
  <c r="F31" i="4" s="1"/>
  <c r="E30" i="4"/>
  <c r="F30" i="4" s="1"/>
  <c r="E29" i="4"/>
  <c r="F29" i="4" s="1"/>
  <c r="E28" i="4"/>
  <c r="F28" i="4" s="1"/>
  <c r="E27" i="4"/>
  <c r="F27" i="4" s="1"/>
  <c r="E26" i="4"/>
  <c r="F26" i="4" s="1"/>
  <c r="E25" i="4"/>
  <c r="F25" i="4" s="1"/>
  <c r="E24" i="4"/>
  <c r="F24" i="4" s="1"/>
  <c r="E23" i="4"/>
  <c r="F23" i="4" s="1"/>
  <c r="E22" i="4"/>
  <c r="F22" i="4" s="1"/>
  <c r="E21" i="4"/>
  <c r="F21" i="4" s="1"/>
  <c r="E20" i="4"/>
  <c r="F20" i="4" s="1"/>
  <c r="E19" i="4"/>
  <c r="F19" i="4" s="1"/>
  <c r="E18" i="4"/>
  <c r="F18" i="4" s="1"/>
  <c r="E17" i="4"/>
  <c r="F17" i="4" s="1"/>
  <c r="E16" i="4"/>
  <c r="F16" i="4" s="1"/>
  <c r="E15" i="4"/>
  <c r="F15" i="4" s="1"/>
  <c r="E14" i="4"/>
  <c r="F14" i="4" s="1"/>
  <c r="E13" i="4"/>
  <c r="F13" i="4" s="1"/>
  <c r="E12" i="4"/>
  <c r="F12" i="4" s="1"/>
  <c r="E11" i="4"/>
  <c r="F11" i="4" s="1"/>
  <c r="E10" i="4"/>
  <c r="F10" i="4" s="1"/>
  <c r="E9" i="4"/>
  <c r="F9" i="4" s="1"/>
  <c r="E8" i="4"/>
  <c r="F8" i="4" s="1"/>
  <c r="E7" i="4"/>
  <c r="F7" i="4" s="1"/>
  <c r="E6" i="4"/>
  <c r="F6" i="4" s="1"/>
  <c r="E5" i="4"/>
  <c r="F5" i="4" s="1"/>
  <c r="F45" i="4" l="1"/>
  <c r="E45" i="4"/>
  <c r="I10" i="1" l="1"/>
</calcChain>
</file>

<file path=xl/sharedStrings.xml><?xml version="1.0" encoding="utf-8"?>
<sst xmlns="http://schemas.openxmlformats.org/spreadsheetml/2006/main" count="121" uniqueCount="97">
  <si>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</si>
  <si>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</si>
  <si>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</si>
  <si>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</si>
  <si>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</si>
  <si>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</si>
  <si>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</si>
  <si>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</si>
  <si>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</si>
  <si>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</si>
  <si>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</si>
  <si>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</si>
  <si>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</si>
  <si>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</si>
  <si>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</si>
  <si>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</si>
  <si>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</si>
  <si>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Mantenimiento</t>
  </si>
  <si>
    <t>Garantia</t>
  </si>
  <si>
    <t>25- Direccion Provincial de Gestion Administrativa y RRHH</t>
  </si>
  <si>
    <t>ALIMENTOS</t>
  </si>
  <si>
    <t>2.1.1</t>
  </si>
  <si>
    <t>UNIDADES</t>
  </si>
  <si>
    <t>Alta</t>
  </si>
  <si>
    <t>ANEXO I (LUGAR Y ENTREGA)</t>
  </si>
  <si>
    <t>DEPENDENCIA</t>
  </si>
  <si>
    <t>DOMICILIO</t>
  </si>
  <si>
    <t>ENTREGA SEMANAL</t>
  </si>
  <si>
    <t xml:space="preserve"> ENTREGA MENSUAL </t>
  </si>
  <si>
    <t>ENTREGA TRIMESTRAL</t>
  </si>
  <si>
    <t>OFICINA MINISTRO</t>
  </si>
  <si>
    <t>AV. REPUBLICA DE VENEZUELA – CAPE – PAB. 25</t>
  </si>
  <si>
    <t>SECRETARIA PRIVADA MINISTRO</t>
  </si>
  <si>
    <t>SECRETARIA DE GESTION ADMINISTRATIVA Y RR.HH.</t>
  </si>
  <si>
    <t>DIRECCION DE DESPACHO</t>
  </si>
  <si>
    <t>DIRECCION PROVINCIAL DE GESTION ADMINISTRATIVA Y RR.HH</t>
  </si>
  <si>
    <t xml:space="preserve">DIVISION CONTABLE </t>
  </si>
  <si>
    <t xml:space="preserve">DIRECCION CONTABLE </t>
  </si>
  <si>
    <t xml:space="preserve">DIVSION TESORERIA </t>
  </si>
  <si>
    <t>DIVISION LICITACIONES COMPRAS Y PATRIMONIO</t>
  </si>
  <si>
    <t xml:space="preserve">DIRECCION PROVINCIAL DE AUDITORIA INTERNA </t>
  </si>
  <si>
    <t>DIVISION PERSONAL</t>
  </si>
  <si>
    <t>ASESORIAL LEGAL</t>
  </si>
  <si>
    <t>MESA DE ENTRADA Y SALIDAS</t>
  </si>
  <si>
    <t xml:space="preserve">DIRECCION IGUALDAD DE OPORTUNIDADES </t>
  </si>
  <si>
    <t>DIRECCION FAMILIA</t>
  </si>
  <si>
    <t>DIRECCION PARQUE AUTOMOTOR</t>
  </si>
  <si>
    <t xml:space="preserve">DIRECCION PROVINCIAL DE ECONOMIA SOCIAL P/EL DESARROLLO LOCAL </t>
  </si>
  <si>
    <t>DIRECCION PROVINCIAL DE ABORDAJE TERRITORIAL</t>
  </si>
  <si>
    <t>SECRETARIA DE  DE INCLUSION Y DESARROLLO</t>
  </si>
  <si>
    <t xml:space="preserve">CENTRO INTEGRADOR COMUNITARIO NORTE </t>
  </si>
  <si>
    <t>B° 100 VV. NORTE CALLE FRANCIA ENTRE ESPAÑA Y AVDA. SAN JUAN BAUTISTA</t>
  </si>
  <si>
    <t>DIRECCION PROVINCIAL DE PROGRAMAS ALIMENTARIOS</t>
  </si>
  <si>
    <t>CONTROL DE CALIDAD Y STOCK</t>
  </si>
  <si>
    <t xml:space="preserve">AREA INDUSTRIAL EL PANTANILLO </t>
  </si>
  <si>
    <t xml:space="preserve">COCINA COMUNITARIA </t>
  </si>
  <si>
    <t xml:space="preserve">DIRECCION PCIAL DE ACCION SOCIAL DIRECTA </t>
  </si>
  <si>
    <t>AV. REPUBLICA DE VENEZUELA – CAPE – PAB. 24</t>
  </si>
  <si>
    <t>SECRETARIA DE FAMILIA - LINEA 102</t>
  </si>
  <si>
    <t xml:space="preserve">SECRETARIA DE FAMILIA </t>
  </si>
  <si>
    <t>DIRECCION PROVINCIAL PROMOCION Y PROTECCION INTEGRAL</t>
  </si>
  <si>
    <t>DIRECCION DIRECCION PROVINCIAL DE ADULTOS MAYORES</t>
  </si>
  <si>
    <t>PARADOR NOCTURNO</t>
  </si>
  <si>
    <t>SALTA NORTE N° 80</t>
  </si>
  <si>
    <t>DIRECCION DE RESIDENCIA DE ADULTOS MAYORES (HOGAR FRAY MAMERTO ESQUIU)</t>
  </si>
  <si>
    <t>AVENIDA BELGRANO N° 750</t>
  </si>
  <si>
    <t>DIRECCION PROVINCIAL DE PRIMERA INFANCIA</t>
  </si>
  <si>
    <t xml:space="preserve">CDI CASA CUNA </t>
  </si>
  <si>
    <t xml:space="preserve">CASEROS N° 1050 </t>
  </si>
  <si>
    <t>CDI NIÑARY</t>
  </si>
  <si>
    <t>CALLE LAS ORQUIDEAS ESQ. LAS ARAUCARIAS (Maipú Norte - B° 500  VV.)</t>
  </si>
  <si>
    <t xml:space="preserve">CDI 1000 VV </t>
  </si>
  <si>
    <t xml:space="preserve">AVENIDA MISIONES ESQUINA RIO EL TALA (Playón B° 1000 Vv) </t>
  </si>
  <si>
    <t>CDI CAF 2</t>
  </si>
  <si>
    <t>AVENIDA VIRGEN DEL VALLE NORTE Y CALLE LOS TILOS</t>
  </si>
  <si>
    <t xml:space="preserve">DIRECCION DE CONTENCION HUAINA HUASI </t>
  </si>
  <si>
    <t>PJE. PEDRAZA S/N° FRENTE MATERNIDAD</t>
  </si>
  <si>
    <t xml:space="preserve">DIRECCION DE CONTENCION SIPAS HUASI </t>
  </si>
  <si>
    <t>PASAJE LOS AGÜEROS  , VILLA PARQUE CHACABUCO</t>
  </si>
  <si>
    <t>DIRECCION DEL ÑIÑO EN CONFLITO CON LA LEY PENAL</t>
  </si>
  <si>
    <t>AVENIDA ALEM ESQUINA MOTA BOTELLO</t>
  </si>
  <si>
    <t>CENTRO JUVENIL SANTA ROSA</t>
  </si>
  <si>
    <t>MANUEL DE SALAZAR  S/N° PLAZA DE SANTA ROSA 1 CUADRA AL SUR -VALLE VIEJO</t>
  </si>
  <si>
    <t xml:space="preserve">EPC APOLO </t>
  </si>
  <si>
    <t>B° APOLO CALLE ARGERICH 1493 ESQ. NIEVA Y CASTILLA</t>
  </si>
  <si>
    <t>TOTALES</t>
  </si>
  <si>
    <t>PASAJE BUCETICH S/Nº</t>
  </si>
  <si>
    <t>CANTIDAD DISPENSER POR DEPENDENCIA</t>
  </si>
  <si>
    <t xml:space="preserve">45- Ministerio de Desarrollo Social </t>
  </si>
  <si>
    <t>Plazo de Mantinimiento 90 dias</t>
  </si>
  <si>
    <t>La entrega deberá ser libre de flete, acarreo y embalaje, y libre de cualquier riesgo de perdida o destruccion total o parcial por causas ajenas a la instalacion.</t>
  </si>
  <si>
    <t>Calidad Minima Esperada</t>
  </si>
  <si>
    <t>2.1.1-7915.14</t>
  </si>
  <si>
    <t>AGUA POTABLE; TIPO: POTABILIZADA SIN GASIFICAR; PRESENTACION: SEGÚN PLIEGO, MATERIAL ENVASE: SEGÚN PLIEGO, TIPO ENVASE: SEGÚN PLIEG</t>
  </si>
  <si>
    <t xml:space="preserve">SE REALIZARA LA ENTREGA DE 490 BIDONES DE 20 LTS. C/U POR SEMANA (DISTRIBUIDOS SEGUN ANEXO I), LO QUE HACE LA SUMA DE  1.960 BIDONES MENSUALES QUE REPRESENTA UN TOTAL DE 5.880 BIDONES TRIMESTRALES.                                                                                                                                                                                                                                             LOS MISMOS DEBERAN INCLUIR 70 DISPENSER, REPARTIDOS EN LAS DISTINTAS DEPENDENCIAS DEL MINISTERIO DE DESARROLLO SOCIAL, DEBERAN SER DE AGUA FRIA Y CALIENTE, INCLUYENDO EL MANTENIMIENTO DE LOS MISMOS, HASTA 15 DIAS POSTERIORES A LA ULTIMA ENTREGA DE BIDONES.                                                                                                                                                                                                                                                                                                                                 </t>
  </si>
  <si>
    <t>El item cotizado, Bidones de Agua Potable, capacidad de 20 lts. c/u, Retornable, deberán cumplir con las normas impuestas en el Código Alimentario Argentino, Ley N° 18.284, art. 983° (modificado por Resolucion 494/94).</t>
  </si>
  <si>
    <r>
      <rPr>
        <u/>
        <sz val="12"/>
        <rFont val="Times New Roman"/>
        <family val="1"/>
      </rPr>
      <t xml:space="preserve">Plazo de Entrega: </t>
    </r>
    <r>
      <rPr>
        <sz val="12"/>
        <rFont val="Times New Roman"/>
        <family val="1"/>
      </rPr>
      <t xml:space="preserve">     SEMANAL, siendo la 1era entrega dentro de los cinco (05) dias habiles de notificada la Orden de Compra -     PAGO MENSUAL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</si>
</sst>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quot; €&quot;_-;\-* #,##0.00&quot; €&quot;_-;_-* \-??&quot; €&quot;_-;_-@_-"/>
    <numFmt numFmtId="165" formatCode="[$$-2C0A]\ #,##0.00;[$$-2C0A]&quot; -&quot;#,##0.00"/>
    <numFmt numFmtId="166" formatCode="&quot;$&quot;\ #,##0.00"/>
  </numFmts>
  <fonts count="16"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2"/>
      <color rgb="FF000000"/>
      <name val="Times New Roman"/>
      <family val="1"/>
    </font>
    <font>
      <sz val="14"/>
      <name val="Arial"/>
      <family val="2"/>
    </font>
    <font>
      <b/>
      <sz val="14"/>
      <color theme="1"/>
      <name val="Times New Roman"/>
      <family val="1"/>
    </font>
    <font>
      <b/>
      <sz val="11"/>
      <color theme="1"/>
      <name val="Times New Roman"/>
      <family val="1"/>
    </font>
    <font>
      <b/>
      <sz val="12"/>
      <color theme="1"/>
      <name val="Times New Roman"/>
      <family val="1"/>
    </font>
    <font>
      <sz val="12"/>
      <color theme="1"/>
      <name val="Times New Roman"/>
      <family val="1"/>
    </font>
    <font>
      <sz val="12"/>
      <name val="Times New Roman"/>
      <family val="1"/>
    </font>
    <font>
      <sz val="12"/>
      <color rgb="FF000000"/>
      <name val="Times New Roman"/>
      <family val="1"/>
    </font>
    <font>
      <u/>
      <sz val="12"/>
      <name val="Times New Roman"/>
      <family val="1"/>
    </font>
    <font>
      <b/>
      <u/>
      <sz val="12"/>
      <name val="Times New Roman"/>
      <family val="1"/>
    </font>
  </fonts>
  <fills count="6">
    <fill>
      <patternFill patternType="none"/>
    </fill>
    <fill>
      <patternFill patternType="gray125"/>
    </fill>
    <fill>
      <patternFill patternType="solid">
        <fgColor rgb="FFFFFF99"/>
        <bgColor rgb="FFFFFFCC"/>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s>
  <borders count="18">
    <border>
      <left/>
      <right/>
      <top/>
      <bottom/>
      <diagonal/>
    </border>
    <border>
      <left/>
      <right/>
      <top/>
      <bottom style="thick">
        <color rgb="FF33CCCC"/>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ck">
        <color auto="1"/>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medium">
        <color auto="1"/>
      </left>
      <right style="medium">
        <color auto="1"/>
      </right>
      <top style="medium">
        <color auto="1"/>
      </top>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164" fontId="3" fillId="0" borderId="0" applyBorder="0" applyProtection="0"/>
    <xf numFmtId="0" fontId="1" fillId="0" borderId="1" applyProtection="0"/>
    <xf numFmtId="0" fontId="2" fillId="2" borderId="0" applyBorder="0" applyProtection="0"/>
  </cellStyleXfs>
  <cellXfs count="60">
    <xf numFmtId="0" fontId="0" fillId="0" borderId="0" xfId="0"/>
    <xf numFmtId="0" fontId="4" fillId="0" borderId="0" xfId="0" applyFont="1"/>
    <xf numFmtId="0" fontId="4" fillId="0" borderId="0" xfId="0" applyFont="1" applyFill="1"/>
    <xf numFmtId="0" fontId="6" fillId="0" borderId="0" xfId="0" applyFont="1" applyFill="1" applyAlignment="1">
      <alignment horizontal="left" wrapText="1" indent="1"/>
    </xf>
    <xf numFmtId="0" fontId="7" fillId="0" borderId="0" xfId="0" applyFont="1"/>
    <xf numFmtId="0" fontId="9" fillId="0" borderId="0" xfId="0" applyFont="1" applyAlignment="1">
      <alignment horizontal="center" wrapText="1"/>
    </xf>
    <xf numFmtId="0" fontId="10" fillId="3" borderId="2" xfId="0" applyFont="1" applyFill="1" applyBorder="1" applyAlignment="1">
      <alignment horizontal="center" vertical="center" wrapText="1"/>
    </xf>
    <xf numFmtId="0" fontId="11" fillId="0" borderId="2" xfId="0" applyFont="1" applyBorder="1" applyAlignment="1">
      <alignment vertical="center" wrapText="1"/>
    </xf>
    <xf numFmtId="166" fontId="11" fillId="4" borderId="2" xfId="0" applyNumberFormat="1" applyFont="1" applyFill="1" applyBorder="1" applyAlignment="1">
      <alignment vertical="center" wrapText="1"/>
    </xf>
    <xf numFmtId="0" fontId="11" fillId="4" borderId="2" xfId="0" applyFont="1" applyFill="1" applyBorder="1" applyAlignment="1">
      <alignment horizontal="center" vertical="center" wrapText="1"/>
    </xf>
    <xf numFmtId="3" fontId="11" fillId="4" borderId="2" xfId="0" applyNumberFormat="1" applyFont="1" applyFill="1" applyBorder="1" applyAlignment="1">
      <alignment horizontal="center" vertical="center" wrapText="1"/>
    </xf>
    <xf numFmtId="0" fontId="11" fillId="0" borderId="2" xfId="0" applyFont="1" applyBorder="1" applyAlignment="1">
      <alignment horizontal="center" vertical="center" wrapText="1"/>
    </xf>
    <xf numFmtId="0" fontId="12" fillId="0" borderId="2" xfId="0" applyFont="1" applyBorder="1" applyAlignment="1">
      <alignment vertical="center" wrapText="1"/>
    </xf>
    <xf numFmtId="0" fontId="8" fillId="5" borderId="2" xfId="0" applyFont="1" applyFill="1" applyBorder="1" applyAlignment="1">
      <alignment horizontal="center" vertical="center"/>
    </xf>
    <xf numFmtId="3" fontId="8" fillId="5" borderId="2" xfId="0" applyNumberFormat="1" applyFont="1" applyFill="1" applyBorder="1" applyAlignment="1">
      <alignment horizontal="center" vertical="center"/>
    </xf>
    <xf numFmtId="0" fontId="13" fillId="0" borderId="0" xfId="0" applyFont="1" applyFill="1" applyAlignment="1">
      <alignment horizontal="left" wrapText="1"/>
    </xf>
    <xf numFmtId="0" fontId="13" fillId="0" borderId="0" xfId="0" applyFont="1" applyFill="1" applyAlignment="1">
      <alignment horizontal="center" wrapText="1"/>
    </xf>
    <xf numFmtId="0" fontId="12" fillId="0" borderId="0" xfId="0" applyFont="1" applyFill="1"/>
    <xf numFmtId="0" fontId="12" fillId="0" borderId="0" xfId="0" applyFont="1"/>
    <xf numFmtId="0" fontId="6" fillId="0" borderId="0" xfId="0" applyFont="1" applyFill="1" applyAlignment="1">
      <alignment horizontal="left" wrapText="1"/>
    </xf>
    <xf numFmtId="0" fontId="6" fillId="0" borderId="3" xfId="0" applyFont="1" applyFill="1" applyBorder="1" applyAlignment="1">
      <alignment horizontal="center" vertical="center" wrapText="1"/>
    </xf>
    <xf numFmtId="0" fontId="6" fillId="0" borderId="16"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6" fillId="0" borderId="14" xfId="0" applyFont="1" applyFill="1" applyBorder="1" applyAlignment="1">
      <alignment horizontal="center" vertical="center" wrapText="1"/>
    </xf>
    <xf numFmtId="0" fontId="6" fillId="0" borderId="15" xfId="0" applyFont="1" applyFill="1" applyBorder="1" applyAlignment="1">
      <alignment horizontal="center" vertical="center" wrapText="1"/>
    </xf>
    <xf numFmtId="0" fontId="12" fillId="0" borderId="4" xfId="0" applyFont="1" applyFill="1" applyBorder="1"/>
    <xf numFmtId="0" fontId="12" fillId="0" borderId="5" xfId="0" applyFont="1" applyFill="1" applyBorder="1"/>
    <xf numFmtId="0" fontId="12" fillId="0" borderId="6" xfId="0" applyFont="1" applyFill="1" applyBorder="1"/>
    <xf numFmtId="0" fontId="12" fillId="0" borderId="0" xfId="0" applyFont="1" applyFill="1" applyBorder="1"/>
    <xf numFmtId="0" fontId="12" fillId="0" borderId="7" xfId="0" applyFont="1" applyFill="1" applyBorder="1"/>
    <xf numFmtId="0" fontId="14" fillId="0" borderId="6" xfId="0" applyFont="1" applyFill="1" applyBorder="1" applyAlignment="1">
      <alignment horizontal="left" indent="3"/>
    </xf>
    <xf numFmtId="0" fontId="11" fillId="0" borderId="0" xfId="0" applyFont="1" applyFill="1" applyAlignment="1">
      <alignment wrapText="1"/>
    </xf>
    <xf numFmtId="0" fontId="12" fillId="0" borderId="6" xfId="0" applyFont="1" applyFill="1" applyBorder="1" applyAlignment="1">
      <alignment horizontal="left" indent="3"/>
    </xf>
    <xf numFmtId="0" fontId="12" fillId="0" borderId="0" xfId="0" applyFont="1" applyFill="1" applyBorder="1" applyAlignment="1">
      <alignment horizontal="center" wrapText="1"/>
    </xf>
    <xf numFmtId="0" fontId="12" fillId="0" borderId="7" xfId="0" applyFont="1" applyFill="1" applyBorder="1" applyAlignment="1">
      <alignment horizontal="center" wrapText="1"/>
    </xf>
    <xf numFmtId="0" fontId="12" fillId="0" borderId="8" xfId="0" applyFont="1" applyFill="1" applyBorder="1" applyAlignment="1">
      <alignment horizontal="left" indent="3"/>
    </xf>
    <xf numFmtId="0" fontId="12" fillId="0" borderId="9" xfId="0" applyFont="1" applyFill="1" applyBorder="1"/>
    <xf numFmtId="0" fontId="12" fillId="0" borderId="10" xfId="0" applyFont="1" applyFill="1" applyBorder="1"/>
    <xf numFmtId="0" fontId="12" fillId="0" borderId="0" xfId="0" applyFont="1" applyFill="1" applyBorder="1" applyAlignment="1">
      <alignment horizontal="left" vertical="top" wrapText="1"/>
    </xf>
    <xf numFmtId="0" fontId="12" fillId="0" borderId="7" xfId="0" applyFont="1" applyFill="1" applyBorder="1" applyAlignment="1">
      <alignment horizontal="left" vertical="top" wrapText="1"/>
    </xf>
    <xf numFmtId="0" fontId="12" fillId="0" borderId="17" xfId="0" applyFont="1" applyFill="1" applyBorder="1" applyAlignment="1">
      <alignment horizontal="center" vertical="center"/>
    </xf>
    <xf numFmtId="0" fontId="12" fillId="0" borderId="17" xfId="0" applyFont="1" applyFill="1" applyBorder="1" applyAlignment="1">
      <alignment vertical="center"/>
    </xf>
    <xf numFmtId="0" fontId="12" fillId="0" borderId="17" xfId="0" applyFont="1" applyFill="1" applyBorder="1" applyAlignment="1">
      <alignment vertical="center" wrapText="1"/>
    </xf>
    <xf numFmtId="0" fontId="13" fillId="0" borderId="17" xfId="0" applyFont="1" applyFill="1" applyBorder="1" applyAlignment="1">
      <alignment horizontal="center" vertical="center" wrapText="1"/>
    </xf>
    <xf numFmtId="165" fontId="12" fillId="0" borderId="17" xfId="1" applyNumberFormat="1" applyFont="1" applyFill="1" applyBorder="1" applyAlignment="1" applyProtection="1">
      <alignment horizontal="right" vertical="center" wrapText="1"/>
    </xf>
    <xf numFmtId="0" fontId="15" fillId="0" borderId="3" xfId="0" applyFont="1" applyFill="1" applyBorder="1"/>
    <xf numFmtId="0" fontId="4" fillId="0" borderId="0" xfId="0" applyFont="1" applyAlignment="1">
      <alignment horizontal="center" vertical="center" wrapText="1"/>
    </xf>
    <xf numFmtId="0" fontId="12" fillId="0" borderId="7" xfId="0" applyFont="1" applyFill="1" applyBorder="1" applyAlignment="1">
      <alignment horizontal="center" wrapText="1"/>
    </xf>
    <xf numFmtId="0" fontId="12" fillId="0" borderId="7" xfId="0" applyFont="1" applyFill="1" applyBorder="1" applyAlignment="1">
      <alignment horizontal="center"/>
    </xf>
    <xf numFmtId="0" fontId="12" fillId="0" borderId="0" xfId="0" applyFont="1" applyFill="1" applyBorder="1" applyAlignment="1">
      <alignment horizontal="left" vertical="top" wrapText="1"/>
    </xf>
    <xf numFmtId="0" fontId="12" fillId="0" borderId="7" xfId="0" applyFont="1" applyFill="1" applyBorder="1" applyAlignment="1">
      <alignment horizontal="left" vertical="top" wrapText="1"/>
    </xf>
    <xf numFmtId="0" fontId="6" fillId="0" borderId="0" xfId="0" applyFont="1" applyFill="1" applyBorder="1" applyAlignment="1">
      <alignment horizontal="left" vertical="center" wrapText="1"/>
    </xf>
    <xf numFmtId="0" fontId="12" fillId="0" borderId="0" xfId="0" applyFont="1" applyFill="1" applyBorder="1" applyAlignment="1">
      <alignment horizontal="left"/>
    </xf>
    <xf numFmtId="0" fontId="12" fillId="0" borderId="7" xfId="0" applyFont="1" applyFill="1" applyBorder="1" applyAlignment="1">
      <alignment horizontal="left"/>
    </xf>
    <xf numFmtId="0" fontId="5" fillId="0" borderId="0" xfId="0" applyFont="1" applyFill="1" applyBorder="1" applyAlignment="1">
      <alignment horizontal="center"/>
    </xf>
    <xf numFmtId="0" fontId="6" fillId="0" borderId="0" xfId="0" applyFont="1" applyFill="1" applyBorder="1" applyAlignment="1">
      <alignment horizontal="left" wrapText="1" indent="1"/>
    </xf>
    <xf numFmtId="0" fontId="8" fillId="3" borderId="0" xfId="0" applyFont="1" applyFill="1" applyAlignment="1">
      <alignment horizontal="center" wrapText="1"/>
    </xf>
    <xf numFmtId="0" fontId="8" fillId="5" borderId="11" xfId="0" applyFont="1" applyFill="1" applyBorder="1" applyAlignment="1">
      <alignment horizontal="center"/>
    </xf>
    <xf numFmtId="0" fontId="8" fillId="5" borderId="12" xfId="0" applyFont="1" applyFill="1" applyBorder="1" applyAlignment="1">
      <alignment horizontal="center"/>
    </xf>
  </cellXfs>
  <cellStyles count="4">
    <cellStyle name="Encabezado 1" xfId="2" xr:uid="{00000000-0005-0000-0000-000000000000}"/>
    <cellStyle name="Moneda" xfId="1" builtinId="4"/>
    <cellStyle name="Neutral 1" xfId="3" xr:uid="{00000000-0005-0000-0000-000002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8"/>
  <sheetViews>
    <sheetView tabSelected="1" zoomScaleNormal="100" workbookViewId="0">
      <selection activeCell="C16" sqref="C16:E16"/>
    </sheetView>
  </sheetViews>
  <sheetFormatPr baseColWidth="10" defaultColWidth="11" defaultRowHeight="12.75" x14ac:dyDescent="0.2"/>
  <cols>
    <col min="1" max="1" width="4.5703125" style="1" customWidth="1"/>
    <col min="2" max="2" width="19.28515625" style="1" customWidth="1"/>
    <col min="3" max="3" width="28.28515625" style="1" customWidth="1"/>
    <col min="4" max="4" width="8.42578125" style="1" customWidth="1"/>
    <col min="5" max="5" width="142.140625" style="1" customWidth="1"/>
    <col min="6" max="6" width="12.140625" style="1" customWidth="1"/>
    <col min="7" max="7" width="14.28515625" style="1" customWidth="1"/>
    <col min="8" max="8" width="13.42578125" style="1" customWidth="1"/>
    <col min="9" max="9" width="15.7109375" style="1" bestFit="1" customWidth="1"/>
    <col min="10" max="16384" width="11" style="1"/>
  </cols>
  <sheetData>
    <row r="1" spans="1:16" x14ac:dyDescent="0.2">
      <c r="A1" s="2"/>
      <c r="B1" s="2"/>
      <c r="C1" s="2"/>
      <c r="D1" s="2"/>
      <c r="E1" s="2"/>
      <c r="F1" s="2"/>
      <c r="G1" s="2"/>
      <c r="H1" s="2"/>
      <c r="I1" s="2"/>
    </row>
    <row r="2" spans="1:16" ht="27" x14ac:dyDescent="0.35">
      <c r="A2" s="2"/>
      <c r="B2" s="55" t="s">
        <v>0</v>
      </c>
      <c r="C2" s="55"/>
      <c r="D2" s="55"/>
      <c r="E2" s="55"/>
      <c r="F2" s="55"/>
      <c r="G2" s="55"/>
      <c r="H2" s="55"/>
      <c r="I2" s="2"/>
    </row>
    <row r="3" spans="1:16" x14ac:dyDescent="0.2">
      <c r="A3" s="2"/>
      <c r="B3" s="2"/>
      <c r="C3" s="2"/>
      <c r="D3" s="2"/>
      <c r="E3" s="2"/>
      <c r="F3" s="2"/>
      <c r="G3" s="2"/>
      <c r="H3" s="2"/>
      <c r="I3" s="2"/>
    </row>
    <row r="4" spans="1:16" ht="18" customHeight="1" x14ac:dyDescent="0.25">
      <c r="A4" s="52" t="s">
        <v>1</v>
      </c>
      <c r="B4" s="52"/>
      <c r="C4" s="56" t="s">
        <v>88</v>
      </c>
      <c r="D4" s="56"/>
      <c r="E4" s="56"/>
      <c r="F4" s="15"/>
      <c r="G4" s="16"/>
      <c r="H4" s="15"/>
      <c r="I4" s="17"/>
      <c r="J4" s="18"/>
    </row>
    <row r="5" spans="1:16" ht="18" customHeight="1" x14ac:dyDescent="0.25">
      <c r="A5" s="52" t="s">
        <v>2</v>
      </c>
      <c r="B5" s="52"/>
      <c r="C5" s="56" t="s">
        <v>19</v>
      </c>
      <c r="D5" s="56"/>
      <c r="E5" s="56"/>
      <c r="F5" s="15"/>
      <c r="G5" s="16"/>
      <c r="H5" s="15"/>
      <c r="I5" s="17"/>
      <c r="J5" s="18"/>
    </row>
    <row r="6" spans="1:16" ht="16.5" customHeight="1" x14ac:dyDescent="0.25">
      <c r="A6" s="52" t="s">
        <v>3</v>
      </c>
      <c r="B6" s="52"/>
      <c r="C6" s="3">
        <v>2022</v>
      </c>
      <c r="D6" s="19"/>
      <c r="E6" s="19"/>
      <c r="F6" s="15"/>
      <c r="G6" s="16"/>
      <c r="H6" s="15"/>
      <c r="I6" s="17"/>
      <c r="J6" s="18"/>
    </row>
    <row r="7" spans="1:16" ht="16.5" customHeight="1" x14ac:dyDescent="0.25">
      <c r="A7" s="52" t="s">
        <v>4</v>
      </c>
      <c r="B7" s="52"/>
      <c r="C7" s="3">
        <v>3</v>
      </c>
      <c r="D7" s="19"/>
      <c r="E7" s="19"/>
      <c r="F7" s="15"/>
      <c r="G7" s="16"/>
      <c r="H7" s="15"/>
      <c r="I7" s="17"/>
      <c r="J7" s="18"/>
    </row>
    <row r="8" spans="1:16" ht="16.5" thickBot="1" x14ac:dyDescent="0.3">
      <c r="A8" s="17"/>
      <c r="B8" s="15"/>
      <c r="C8" s="16"/>
      <c r="D8" s="15"/>
      <c r="E8" s="15"/>
      <c r="F8" s="15"/>
      <c r="G8" s="16"/>
      <c r="H8" s="15"/>
      <c r="I8" s="17"/>
      <c r="J8" s="18"/>
    </row>
    <row r="9" spans="1:16" ht="48" thickBot="1" x14ac:dyDescent="0.3">
      <c r="A9" s="20" t="s">
        <v>5</v>
      </c>
      <c r="B9" s="21" t="s">
        <v>6</v>
      </c>
      <c r="C9" s="21" t="s">
        <v>7</v>
      </c>
      <c r="D9" s="22" t="s">
        <v>8</v>
      </c>
      <c r="E9" s="21" t="s">
        <v>9</v>
      </c>
      <c r="F9" s="23" t="s">
        <v>10</v>
      </c>
      <c r="G9" s="24" t="s">
        <v>11</v>
      </c>
      <c r="H9" s="24" t="s">
        <v>12</v>
      </c>
      <c r="I9" s="25" t="s">
        <v>13</v>
      </c>
      <c r="J9" s="18"/>
    </row>
    <row r="10" spans="1:16" ht="32.25" thickBot="1" x14ac:dyDescent="0.3">
      <c r="A10" s="41">
        <v>1</v>
      </c>
      <c r="B10" s="42" t="s">
        <v>92</v>
      </c>
      <c r="C10" s="42" t="s">
        <v>20</v>
      </c>
      <c r="D10" s="41" t="s">
        <v>21</v>
      </c>
      <c r="E10" s="43" t="s">
        <v>93</v>
      </c>
      <c r="F10" s="44" t="s">
        <v>22</v>
      </c>
      <c r="G10" s="44">
        <v>5880</v>
      </c>
      <c r="H10" s="45">
        <v>650</v>
      </c>
      <c r="I10" s="45">
        <f>+H10*G10</f>
        <v>3822000</v>
      </c>
      <c r="J10" s="18"/>
    </row>
    <row r="11" spans="1:16" ht="15.75" x14ac:dyDescent="0.25">
      <c r="A11" s="17"/>
      <c r="B11" s="17"/>
      <c r="C11" s="17"/>
      <c r="D11" s="17"/>
      <c r="E11" s="17"/>
      <c r="F11" s="17"/>
      <c r="G11" s="17"/>
      <c r="H11" s="17"/>
      <c r="I11" s="17"/>
      <c r="J11" s="18"/>
    </row>
    <row r="12" spans="1:16" ht="15.75" x14ac:dyDescent="0.25">
      <c r="A12" s="17"/>
      <c r="B12" s="17"/>
      <c r="C12" s="17"/>
      <c r="D12" s="17"/>
      <c r="E12" s="17"/>
      <c r="F12" s="17"/>
      <c r="G12" s="17"/>
      <c r="H12" s="17"/>
      <c r="I12" s="17"/>
      <c r="J12" s="18"/>
    </row>
    <row r="13" spans="1:16" ht="15.75" x14ac:dyDescent="0.25">
      <c r="A13" s="17"/>
      <c r="B13" s="46" t="s">
        <v>14</v>
      </c>
      <c r="C13" s="26"/>
      <c r="D13" s="26"/>
      <c r="E13" s="27"/>
      <c r="F13" s="17"/>
      <c r="G13" s="17"/>
      <c r="H13" s="17"/>
      <c r="I13" s="17"/>
      <c r="J13" s="18"/>
    </row>
    <row r="14" spans="1:16" ht="5.25" customHeight="1" x14ac:dyDescent="0.25">
      <c r="A14" s="17"/>
      <c r="B14" s="28"/>
      <c r="C14" s="29"/>
      <c r="D14" s="29"/>
      <c r="E14" s="30"/>
      <c r="F14" s="17"/>
      <c r="G14" s="17"/>
      <c r="H14" s="17"/>
      <c r="I14" s="17"/>
      <c r="J14" s="18"/>
    </row>
    <row r="15" spans="1:16" ht="15.75" x14ac:dyDescent="0.25">
      <c r="A15" s="17"/>
      <c r="B15" s="31" t="s">
        <v>15</v>
      </c>
      <c r="C15" s="29"/>
      <c r="D15" s="29"/>
      <c r="E15" s="30"/>
      <c r="F15" s="17"/>
      <c r="G15" s="17"/>
      <c r="H15" s="17"/>
      <c r="I15" s="17"/>
      <c r="J15" s="18"/>
    </row>
    <row r="16" spans="1:16" ht="39" customHeight="1" x14ac:dyDescent="0.25">
      <c r="A16" s="17"/>
      <c r="B16" s="31"/>
      <c r="C16" s="50" t="s">
        <v>95</v>
      </c>
      <c r="D16" s="50"/>
      <c r="E16" s="51"/>
      <c r="F16" s="17"/>
      <c r="G16" s="32"/>
      <c r="H16" s="32"/>
      <c r="I16" s="32"/>
      <c r="J16" s="18"/>
      <c r="K16" s="47"/>
      <c r="L16" s="47"/>
      <c r="M16" s="47"/>
      <c r="N16" s="47"/>
      <c r="O16" s="47"/>
      <c r="P16" s="47"/>
    </row>
    <row r="17" spans="1:10" ht="15.75" x14ac:dyDescent="0.25">
      <c r="A17" s="17"/>
      <c r="B17" s="31" t="s">
        <v>16</v>
      </c>
      <c r="C17" s="29"/>
      <c r="D17" s="29"/>
      <c r="E17" s="30"/>
      <c r="F17" s="17"/>
      <c r="G17" s="17"/>
      <c r="H17" s="17"/>
      <c r="I17" s="17"/>
      <c r="J17" s="18"/>
    </row>
    <row r="18" spans="1:10" ht="14.25" customHeight="1" x14ac:dyDescent="0.25">
      <c r="A18" s="17"/>
      <c r="B18" s="33"/>
      <c r="C18" s="53" t="s">
        <v>96</v>
      </c>
      <c r="D18" s="53"/>
      <c r="E18" s="54"/>
      <c r="F18" s="17"/>
      <c r="G18" s="17"/>
      <c r="H18" s="17"/>
      <c r="I18" s="17"/>
      <c r="J18" s="18"/>
    </row>
    <row r="19" spans="1:10" ht="66.75" customHeight="1" x14ac:dyDescent="0.25">
      <c r="A19" s="17"/>
      <c r="B19" s="33"/>
      <c r="C19" s="50" t="s">
        <v>94</v>
      </c>
      <c r="D19" s="50"/>
      <c r="E19" s="51"/>
      <c r="F19" s="17"/>
      <c r="G19" s="17"/>
      <c r="H19" s="17"/>
      <c r="I19" s="17"/>
      <c r="J19" s="18"/>
    </row>
    <row r="20" spans="1:10" ht="15.75" x14ac:dyDescent="0.25">
      <c r="A20" s="17"/>
      <c r="B20" s="33"/>
      <c r="C20" s="50" t="s">
        <v>90</v>
      </c>
      <c r="D20" s="50"/>
      <c r="E20" s="51"/>
      <c r="F20" s="17"/>
      <c r="G20" s="17"/>
      <c r="H20" s="17"/>
      <c r="I20" s="17"/>
      <c r="J20" s="18"/>
    </row>
    <row r="21" spans="1:10" ht="15.75" x14ac:dyDescent="0.25">
      <c r="A21" s="17"/>
      <c r="B21" s="33"/>
      <c r="C21" s="39"/>
      <c r="D21" s="39"/>
      <c r="E21" s="40"/>
      <c r="F21" s="17"/>
      <c r="G21" s="17"/>
      <c r="H21" s="17"/>
      <c r="I21" s="17"/>
      <c r="J21" s="18"/>
    </row>
    <row r="22" spans="1:10" ht="15.75" x14ac:dyDescent="0.25">
      <c r="A22" s="17"/>
      <c r="B22" s="31" t="s">
        <v>91</v>
      </c>
      <c r="C22" s="29"/>
      <c r="D22" s="29"/>
      <c r="E22" s="30"/>
      <c r="F22" s="17"/>
      <c r="G22" s="17"/>
      <c r="H22" s="17"/>
      <c r="I22" s="17"/>
      <c r="J22" s="18"/>
    </row>
    <row r="23" spans="1:10" ht="26.25" customHeight="1" x14ac:dyDescent="0.25">
      <c r="A23" s="17"/>
      <c r="B23" s="33"/>
      <c r="C23" s="48" t="s">
        <v>23</v>
      </c>
      <c r="D23" s="48"/>
      <c r="E23" s="48"/>
      <c r="F23" s="17"/>
      <c r="G23" s="17"/>
      <c r="H23" s="17"/>
      <c r="I23" s="17"/>
      <c r="J23" s="18"/>
    </row>
    <row r="24" spans="1:10" ht="15.75" x14ac:dyDescent="0.25">
      <c r="A24" s="17"/>
      <c r="B24" s="31" t="s">
        <v>17</v>
      </c>
      <c r="C24" s="34"/>
      <c r="D24" s="34"/>
      <c r="E24" s="35"/>
      <c r="F24" s="17"/>
      <c r="G24" s="17"/>
      <c r="H24" s="17"/>
      <c r="I24" s="17"/>
      <c r="J24" s="18"/>
    </row>
    <row r="25" spans="1:10" ht="26.25" customHeight="1" x14ac:dyDescent="0.25">
      <c r="A25" s="17"/>
      <c r="B25" s="33"/>
      <c r="C25" s="48" t="s">
        <v>89</v>
      </c>
      <c r="D25" s="48"/>
      <c r="E25" s="48"/>
      <c r="F25" s="17"/>
      <c r="G25" s="17"/>
      <c r="H25" s="17"/>
      <c r="I25" s="17"/>
      <c r="J25" s="18"/>
    </row>
    <row r="26" spans="1:10" ht="15.75" x14ac:dyDescent="0.25">
      <c r="A26" s="17"/>
      <c r="B26" s="31" t="s">
        <v>18</v>
      </c>
      <c r="C26" s="29"/>
      <c r="D26" s="29"/>
      <c r="E26" s="30"/>
      <c r="F26" s="17"/>
      <c r="G26" s="17"/>
      <c r="H26" s="17"/>
      <c r="I26" s="17"/>
      <c r="J26" s="18"/>
    </row>
    <row r="27" spans="1:10" ht="23.25" customHeight="1" x14ac:dyDescent="0.25">
      <c r="A27" s="17"/>
      <c r="B27" s="31"/>
      <c r="C27" s="49"/>
      <c r="D27" s="49"/>
      <c r="E27" s="49"/>
      <c r="F27" s="17"/>
      <c r="G27" s="17"/>
      <c r="H27" s="17"/>
      <c r="I27" s="17"/>
      <c r="J27" s="18"/>
    </row>
    <row r="28" spans="1:10" ht="15.75" x14ac:dyDescent="0.25">
      <c r="A28" s="17"/>
      <c r="B28" s="36"/>
      <c r="C28" s="37"/>
      <c r="D28" s="37"/>
      <c r="E28" s="38"/>
      <c r="F28" s="17"/>
      <c r="G28" s="17"/>
      <c r="H28" s="17"/>
      <c r="I28" s="17"/>
      <c r="J28" s="18"/>
    </row>
  </sheetData>
  <mergeCells count="15">
    <mergeCell ref="A6:B6"/>
    <mergeCell ref="A7:B7"/>
    <mergeCell ref="C16:E16"/>
    <mergeCell ref="C18:E18"/>
    <mergeCell ref="B2:H2"/>
    <mergeCell ref="A4:B4"/>
    <mergeCell ref="C4:E4"/>
    <mergeCell ref="A5:B5"/>
    <mergeCell ref="C5:E5"/>
    <mergeCell ref="K16:P16"/>
    <mergeCell ref="C23:E23"/>
    <mergeCell ref="C25:E25"/>
    <mergeCell ref="C27:E27"/>
    <mergeCell ref="C19:E19"/>
    <mergeCell ref="C20:E20"/>
  </mergeCells>
  <pageMargins left="0" right="0" top="0.74803149606299213" bottom="0" header="0.51181102362204722" footer="0.51181102362204722"/>
  <pageSetup paperSize="5" scale="85" firstPageNumber="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45"/>
  <sheetViews>
    <sheetView topLeftCell="A26" workbookViewId="0">
      <selection activeCell="J38" sqref="J38"/>
    </sheetView>
  </sheetViews>
  <sheetFormatPr baseColWidth="10" defaultRowHeight="12.75" x14ac:dyDescent="0.2"/>
  <cols>
    <col min="1" max="1" width="47.42578125" customWidth="1"/>
    <col min="2" max="2" width="56" customWidth="1"/>
    <col min="3" max="3" width="18" customWidth="1"/>
    <col min="4" max="4" width="12.7109375" customWidth="1"/>
    <col min="5" max="5" width="13.85546875" customWidth="1"/>
    <col min="6" max="6" width="16.7109375" customWidth="1"/>
  </cols>
  <sheetData>
    <row r="2" spans="1:6" ht="18.75" x14ac:dyDescent="0.3">
      <c r="A2" s="57" t="s">
        <v>24</v>
      </c>
      <c r="B2" s="57"/>
      <c r="C2" s="57"/>
      <c r="D2" s="57"/>
      <c r="E2" s="57"/>
      <c r="F2" s="57"/>
    </row>
    <row r="3" spans="1:6" ht="14.25" x14ac:dyDescent="0.2">
      <c r="A3" s="5"/>
      <c r="B3" s="5"/>
      <c r="C3" s="5"/>
      <c r="D3" s="1"/>
      <c r="E3" s="1"/>
      <c r="F3" s="1"/>
    </row>
    <row r="4" spans="1:6" ht="63" x14ac:dyDescent="0.2">
      <c r="A4" s="6" t="s">
        <v>25</v>
      </c>
      <c r="B4" s="6" t="s">
        <v>26</v>
      </c>
      <c r="C4" s="6" t="s">
        <v>87</v>
      </c>
      <c r="D4" s="6" t="s">
        <v>27</v>
      </c>
      <c r="E4" s="6" t="s">
        <v>28</v>
      </c>
      <c r="F4" s="6" t="s">
        <v>29</v>
      </c>
    </row>
    <row r="5" spans="1:6" ht="15.75" x14ac:dyDescent="0.2">
      <c r="A5" s="7" t="s">
        <v>30</v>
      </c>
      <c r="B5" s="8" t="s">
        <v>31</v>
      </c>
      <c r="C5" s="9">
        <v>1</v>
      </c>
      <c r="D5" s="10">
        <v>7</v>
      </c>
      <c r="E5" s="10">
        <f>+D5*4</f>
        <v>28</v>
      </c>
      <c r="F5" s="10">
        <f>+E5*3</f>
        <v>84</v>
      </c>
    </row>
    <row r="6" spans="1:6" ht="15.75" x14ac:dyDescent="0.2">
      <c r="A6" s="7" t="s">
        <v>32</v>
      </c>
      <c r="B6" s="8" t="s">
        <v>31</v>
      </c>
      <c r="C6" s="9">
        <v>1</v>
      </c>
      <c r="D6" s="10">
        <v>7</v>
      </c>
      <c r="E6" s="10">
        <f t="shared" ref="E6:E21" si="0">+D6*4</f>
        <v>28</v>
      </c>
      <c r="F6" s="10">
        <f t="shared" ref="F6:F44" si="1">+E6*3</f>
        <v>84</v>
      </c>
    </row>
    <row r="7" spans="1:6" ht="31.5" x14ac:dyDescent="0.2">
      <c r="A7" s="7" t="s">
        <v>33</v>
      </c>
      <c r="B7" s="8" t="s">
        <v>31</v>
      </c>
      <c r="C7" s="9">
        <v>1</v>
      </c>
      <c r="D7" s="10">
        <v>7</v>
      </c>
      <c r="E7" s="10">
        <f t="shared" si="0"/>
        <v>28</v>
      </c>
      <c r="F7" s="10">
        <f t="shared" si="1"/>
        <v>84</v>
      </c>
    </row>
    <row r="8" spans="1:6" ht="15.75" x14ac:dyDescent="0.2">
      <c r="A8" s="7" t="s">
        <v>34</v>
      </c>
      <c r="B8" s="8" t="s">
        <v>31</v>
      </c>
      <c r="C8" s="9">
        <v>1</v>
      </c>
      <c r="D8" s="10">
        <v>7</v>
      </c>
      <c r="E8" s="10">
        <f t="shared" si="0"/>
        <v>28</v>
      </c>
      <c r="F8" s="10">
        <f t="shared" si="1"/>
        <v>84</v>
      </c>
    </row>
    <row r="9" spans="1:6" ht="31.5" x14ac:dyDescent="0.2">
      <c r="A9" s="7" t="s">
        <v>35</v>
      </c>
      <c r="B9" s="8" t="s">
        <v>31</v>
      </c>
      <c r="C9" s="9">
        <v>1</v>
      </c>
      <c r="D9" s="10">
        <v>7</v>
      </c>
      <c r="E9" s="10">
        <f t="shared" si="0"/>
        <v>28</v>
      </c>
      <c r="F9" s="10">
        <f t="shared" si="1"/>
        <v>84</v>
      </c>
    </row>
    <row r="10" spans="1:6" ht="15.75" x14ac:dyDescent="0.2">
      <c r="A10" s="7" t="s">
        <v>36</v>
      </c>
      <c r="B10" s="8" t="s">
        <v>31</v>
      </c>
      <c r="C10" s="9">
        <v>1</v>
      </c>
      <c r="D10" s="10">
        <v>7</v>
      </c>
      <c r="E10" s="10">
        <f t="shared" si="0"/>
        <v>28</v>
      </c>
      <c r="F10" s="10">
        <f t="shared" si="1"/>
        <v>84</v>
      </c>
    </row>
    <row r="11" spans="1:6" ht="15.75" x14ac:dyDescent="0.2">
      <c r="A11" s="7" t="s">
        <v>37</v>
      </c>
      <c r="B11" s="8" t="s">
        <v>31</v>
      </c>
      <c r="C11" s="9">
        <v>1</v>
      </c>
      <c r="D11" s="10">
        <v>7</v>
      </c>
      <c r="E11" s="10">
        <f t="shared" si="0"/>
        <v>28</v>
      </c>
      <c r="F11" s="10">
        <f t="shared" si="1"/>
        <v>84</v>
      </c>
    </row>
    <row r="12" spans="1:6" ht="15.75" x14ac:dyDescent="0.2">
      <c r="A12" s="7" t="s">
        <v>38</v>
      </c>
      <c r="B12" s="8" t="s">
        <v>31</v>
      </c>
      <c r="C12" s="9">
        <v>3</v>
      </c>
      <c r="D12" s="10">
        <v>21</v>
      </c>
      <c r="E12" s="10">
        <f t="shared" si="0"/>
        <v>84</v>
      </c>
      <c r="F12" s="10">
        <f t="shared" si="1"/>
        <v>252</v>
      </c>
    </row>
    <row r="13" spans="1:6" ht="31.5" x14ac:dyDescent="0.2">
      <c r="A13" s="7" t="s">
        <v>39</v>
      </c>
      <c r="B13" s="8" t="s">
        <v>31</v>
      </c>
      <c r="C13" s="9">
        <v>2</v>
      </c>
      <c r="D13" s="10">
        <v>14</v>
      </c>
      <c r="E13" s="10">
        <f t="shared" si="0"/>
        <v>56</v>
      </c>
      <c r="F13" s="10">
        <f t="shared" si="1"/>
        <v>168</v>
      </c>
    </row>
    <row r="14" spans="1:6" ht="31.5" x14ac:dyDescent="0.2">
      <c r="A14" s="7" t="s">
        <v>40</v>
      </c>
      <c r="B14" s="8" t="s">
        <v>31</v>
      </c>
      <c r="C14" s="9">
        <v>1</v>
      </c>
      <c r="D14" s="10">
        <v>7</v>
      </c>
      <c r="E14" s="10">
        <f t="shared" si="0"/>
        <v>28</v>
      </c>
      <c r="F14" s="10">
        <f t="shared" si="1"/>
        <v>84</v>
      </c>
    </row>
    <row r="15" spans="1:6" ht="15.75" x14ac:dyDescent="0.2">
      <c r="A15" s="7" t="s">
        <v>41</v>
      </c>
      <c r="B15" s="8" t="s">
        <v>31</v>
      </c>
      <c r="C15" s="11">
        <v>1</v>
      </c>
      <c r="D15" s="10">
        <v>7</v>
      </c>
      <c r="E15" s="10">
        <f t="shared" si="0"/>
        <v>28</v>
      </c>
      <c r="F15" s="10">
        <f t="shared" si="1"/>
        <v>84</v>
      </c>
    </row>
    <row r="16" spans="1:6" ht="15.75" x14ac:dyDescent="0.2">
      <c r="A16" s="12" t="s">
        <v>42</v>
      </c>
      <c r="B16" s="8" t="s">
        <v>31</v>
      </c>
      <c r="C16" s="9">
        <v>3</v>
      </c>
      <c r="D16" s="10">
        <v>21</v>
      </c>
      <c r="E16" s="10">
        <f t="shared" si="0"/>
        <v>84</v>
      </c>
      <c r="F16" s="10">
        <f t="shared" si="1"/>
        <v>252</v>
      </c>
    </row>
    <row r="17" spans="1:6" ht="15.75" x14ac:dyDescent="0.2">
      <c r="A17" s="7" t="s">
        <v>43</v>
      </c>
      <c r="B17" s="8" t="s">
        <v>31</v>
      </c>
      <c r="C17" s="9">
        <v>1</v>
      </c>
      <c r="D17" s="10">
        <v>7</v>
      </c>
      <c r="E17" s="10">
        <f t="shared" si="0"/>
        <v>28</v>
      </c>
      <c r="F17" s="10">
        <f t="shared" si="1"/>
        <v>84</v>
      </c>
    </row>
    <row r="18" spans="1:6" ht="31.5" x14ac:dyDescent="0.2">
      <c r="A18" s="7" t="s">
        <v>44</v>
      </c>
      <c r="B18" s="8" t="s">
        <v>31</v>
      </c>
      <c r="C18" s="9">
        <v>3</v>
      </c>
      <c r="D18" s="10">
        <v>21</v>
      </c>
      <c r="E18" s="10">
        <f t="shared" si="0"/>
        <v>84</v>
      </c>
      <c r="F18" s="10">
        <f t="shared" si="1"/>
        <v>252</v>
      </c>
    </row>
    <row r="19" spans="1:6" ht="15.75" x14ac:dyDescent="0.2">
      <c r="A19" s="7" t="s">
        <v>45</v>
      </c>
      <c r="B19" s="8" t="s">
        <v>31</v>
      </c>
      <c r="C19" s="9">
        <v>2</v>
      </c>
      <c r="D19" s="10">
        <v>14</v>
      </c>
      <c r="E19" s="10">
        <f t="shared" si="0"/>
        <v>56</v>
      </c>
      <c r="F19" s="10">
        <f t="shared" si="1"/>
        <v>168</v>
      </c>
    </row>
    <row r="20" spans="1:6" ht="15.75" x14ac:dyDescent="0.2">
      <c r="A20" s="7" t="s">
        <v>46</v>
      </c>
      <c r="B20" s="8" t="s">
        <v>31</v>
      </c>
      <c r="C20" s="11">
        <v>1</v>
      </c>
      <c r="D20" s="10">
        <v>7</v>
      </c>
      <c r="E20" s="10">
        <f t="shared" si="0"/>
        <v>28</v>
      </c>
      <c r="F20" s="10">
        <f t="shared" si="1"/>
        <v>84</v>
      </c>
    </row>
    <row r="21" spans="1:6" ht="31.5" x14ac:dyDescent="0.2">
      <c r="A21" s="7" t="s">
        <v>47</v>
      </c>
      <c r="B21" s="8" t="s">
        <v>31</v>
      </c>
      <c r="C21" s="9">
        <v>1</v>
      </c>
      <c r="D21" s="10">
        <v>7</v>
      </c>
      <c r="E21" s="10">
        <f t="shared" si="0"/>
        <v>28</v>
      </c>
      <c r="F21" s="10">
        <f t="shared" si="1"/>
        <v>84</v>
      </c>
    </row>
    <row r="22" spans="1:6" ht="31.5" x14ac:dyDescent="0.2">
      <c r="A22" s="7" t="s">
        <v>48</v>
      </c>
      <c r="B22" s="8" t="s">
        <v>31</v>
      </c>
      <c r="C22" s="9">
        <v>1</v>
      </c>
      <c r="D22" s="10">
        <v>7</v>
      </c>
      <c r="E22" s="10">
        <f t="shared" ref="E22:E37" si="2">+D22*4</f>
        <v>28</v>
      </c>
      <c r="F22" s="10">
        <f t="shared" si="1"/>
        <v>84</v>
      </c>
    </row>
    <row r="23" spans="1:6" ht="31.5" x14ac:dyDescent="0.2">
      <c r="A23" s="7" t="s">
        <v>49</v>
      </c>
      <c r="B23" s="8" t="s">
        <v>31</v>
      </c>
      <c r="C23" s="9">
        <v>3</v>
      </c>
      <c r="D23" s="10">
        <v>21</v>
      </c>
      <c r="E23" s="10">
        <f t="shared" si="2"/>
        <v>84</v>
      </c>
      <c r="F23" s="10">
        <f t="shared" si="1"/>
        <v>252</v>
      </c>
    </row>
    <row r="24" spans="1:6" ht="31.5" x14ac:dyDescent="0.2">
      <c r="A24" s="7" t="s">
        <v>50</v>
      </c>
      <c r="B24" s="8" t="s">
        <v>51</v>
      </c>
      <c r="C24" s="9">
        <v>2</v>
      </c>
      <c r="D24" s="10">
        <v>14</v>
      </c>
      <c r="E24" s="10">
        <f t="shared" si="2"/>
        <v>56</v>
      </c>
      <c r="F24" s="10">
        <f t="shared" si="1"/>
        <v>168</v>
      </c>
    </row>
    <row r="25" spans="1:6" ht="31.5" x14ac:dyDescent="0.2">
      <c r="A25" s="7" t="s">
        <v>52</v>
      </c>
      <c r="B25" s="8" t="s">
        <v>31</v>
      </c>
      <c r="C25" s="9">
        <v>1</v>
      </c>
      <c r="D25" s="10">
        <v>7</v>
      </c>
      <c r="E25" s="10">
        <f t="shared" si="2"/>
        <v>28</v>
      </c>
      <c r="F25" s="10">
        <f t="shared" si="1"/>
        <v>84</v>
      </c>
    </row>
    <row r="26" spans="1:6" ht="15.75" x14ac:dyDescent="0.2">
      <c r="A26" s="7" t="s">
        <v>53</v>
      </c>
      <c r="B26" s="8" t="s">
        <v>54</v>
      </c>
      <c r="C26" s="9">
        <v>3</v>
      </c>
      <c r="D26" s="10">
        <v>21</v>
      </c>
      <c r="E26" s="10">
        <f t="shared" si="2"/>
        <v>84</v>
      </c>
      <c r="F26" s="10">
        <f t="shared" si="1"/>
        <v>252</v>
      </c>
    </row>
    <row r="27" spans="1:6" ht="15.75" x14ac:dyDescent="0.2">
      <c r="A27" s="7" t="s">
        <v>55</v>
      </c>
      <c r="B27" s="8" t="s">
        <v>31</v>
      </c>
      <c r="C27" s="11">
        <v>1</v>
      </c>
      <c r="D27" s="10">
        <v>7</v>
      </c>
      <c r="E27" s="10">
        <f t="shared" si="2"/>
        <v>28</v>
      </c>
      <c r="F27" s="10">
        <f t="shared" si="1"/>
        <v>84</v>
      </c>
    </row>
    <row r="28" spans="1:6" ht="31.5" x14ac:dyDescent="0.2">
      <c r="A28" s="7" t="s">
        <v>56</v>
      </c>
      <c r="B28" s="8" t="s">
        <v>57</v>
      </c>
      <c r="C28" s="9">
        <v>4</v>
      </c>
      <c r="D28" s="10">
        <v>28</v>
      </c>
      <c r="E28" s="10">
        <f t="shared" si="2"/>
        <v>112</v>
      </c>
      <c r="F28" s="10">
        <f t="shared" si="1"/>
        <v>336</v>
      </c>
    </row>
    <row r="29" spans="1:6" ht="15.75" x14ac:dyDescent="0.2">
      <c r="A29" s="7" t="s">
        <v>58</v>
      </c>
      <c r="B29" s="8" t="s">
        <v>57</v>
      </c>
      <c r="C29" s="11">
        <v>2</v>
      </c>
      <c r="D29" s="10">
        <v>14</v>
      </c>
      <c r="E29" s="10">
        <f t="shared" si="2"/>
        <v>56</v>
      </c>
      <c r="F29" s="10">
        <f t="shared" si="1"/>
        <v>168</v>
      </c>
    </row>
    <row r="30" spans="1:6" ht="15.75" x14ac:dyDescent="0.2">
      <c r="A30" s="12" t="s">
        <v>59</v>
      </c>
      <c r="B30" s="8" t="s">
        <v>57</v>
      </c>
      <c r="C30" s="9">
        <v>3</v>
      </c>
      <c r="D30" s="10">
        <v>21</v>
      </c>
      <c r="E30" s="10">
        <f t="shared" si="2"/>
        <v>84</v>
      </c>
      <c r="F30" s="10">
        <f t="shared" si="1"/>
        <v>252</v>
      </c>
    </row>
    <row r="31" spans="1:6" ht="31.5" x14ac:dyDescent="0.2">
      <c r="A31" s="12" t="s">
        <v>60</v>
      </c>
      <c r="B31" s="8" t="s">
        <v>57</v>
      </c>
      <c r="C31" s="9">
        <v>1</v>
      </c>
      <c r="D31" s="10">
        <v>7</v>
      </c>
      <c r="E31" s="10">
        <f t="shared" si="2"/>
        <v>28</v>
      </c>
      <c r="F31" s="10">
        <f t="shared" si="1"/>
        <v>84</v>
      </c>
    </row>
    <row r="32" spans="1:6" ht="31.5" x14ac:dyDescent="0.2">
      <c r="A32" s="12" t="s">
        <v>61</v>
      </c>
      <c r="B32" s="8" t="s">
        <v>86</v>
      </c>
      <c r="C32" s="9">
        <v>1</v>
      </c>
      <c r="D32" s="10">
        <v>7</v>
      </c>
      <c r="E32" s="10">
        <f t="shared" si="2"/>
        <v>28</v>
      </c>
      <c r="F32" s="10">
        <f t="shared" si="1"/>
        <v>84</v>
      </c>
    </row>
    <row r="33" spans="1:6" ht="15.75" x14ac:dyDescent="0.2">
      <c r="A33" s="7" t="s">
        <v>62</v>
      </c>
      <c r="B33" s="8" t="s">
        <v>63</v>
      </c>
      <c r="C33" s="9">
        <v>2</v>
      </c>
      <c r="D33" s="10">
        <v>14</v>
      </c>
      <c r="E33" s="10">
        <f t="shared" si="2"/>
        <v>56</v>
      </c>
      <c r="F33" s="10">
        <f t="shared" si="1"/>
        <v>168</v>
      </c>
    </row>
    <row r="34" spans="1:6" ht="47.25" x14ac:dyDescent="0.2">
      <c r="A34" s="7" t="s">
        <v>64</v>
      </c>
      <c r="B34" s="8" t="s">
        <v>65</v>
      </c>
      <c r="C34" s="9">
        <v>5</v>
      </c>
      <c r="D34" s="10">
        <v>35</v>
      </c>
      <c r="E34" s="10">
        <f t="shared" si="2"/>
        <v>140</v>
      </c>
      <c r="F34" s="10">
        <f t="shared" si="1"/>
        <v>420</v>
      </c>
    </row>
    <row r="35" spans="1:6" ht="31.5" x14ac:dyDescent="0.2">
      <c r="A35" s="7" t="s">
        <v>66</v>
      </c>
      <c r="B35" s="8" t="s">
        <v>57</v>
      </c>
      <c r="C35" s="9">
        <v>1</v>
      </c>
      <c r="D35" s="10">
        <v>7</v>
      </c>
      <c r="E35" s="10">
        <f t="shared" si="2"/>
        <v>28</v>
      </c>
      <c r="F35" s="10">
        <f t="shared" si="1"/>
        <v>84</v>
      </c>
    </row>
    <row r="36" spans="1:6" ht="15.75" x14ac:dyDescent="0.2">
      <c r="A36" s="7" t="s">
        <v>67</v>
      </c>
      <c r="B36" s="8" t="s">
        <v>68</v>
      </c>
      <c r="C36" s="9">
        <v>3</v>
      </c>
      <c r="D36" s="10">
        <v>21</v>
      </c>
      <c r="E36" s="10">
        <f t="shared" si="2"/>
        <v>84</v>
      </c>
      <c r="F36" s="10">
        <f t="shared" si="1"/>
        <v>252</v>
      </c>
    </row>
    <row r="37" spans="1:6" ht="31.5" x14ac:dyDescent="0.2">
      <c r="A37" s="7" t="s">
        <v>69</v>
      </c>
      <c r="B37" s="8" t="s">
        <v>70</v>
      </c>
      <c r="C37" s="9">
        <v>1</v>
      </c>
      <c r="D37" s="10">
        <v>7</v>
      </c>
      <c r="E37" s="10">
        <f t="shared" si="2"/>
        <v>28</v>
      </c>
      <c r="F37" s="10">
        <f t="shared" si="1"/>
        <v>84</v>
      </c>
    </row>
    <row r="38" spans="1:6" ht="31.5" x14ac:dyDescent="0.2">
      <c r="A38" s="7" t="s">
        <v>71</v>
      </c>
      <c r="B38" s="8" t="s">
        <v>72</v>
      </c>
      <c r="C38" s="9">
        <v>1</v>
      </c>
      <c r="D38" s="10">
        <v>7</v>
      </c>
      <c r="E38" s="10">
        <f t="shared" ref="E38:E44" si="3">+D38*4</f>
        <v>28</v>
      </c>
      <c r="F38" s="10">
        <f t="shared" si="1"/>
        <v>84</v>
      </c>
    </row>
    <row r="39" spans="1:6" ht="31.5" x14ac:dyDescent="0.2">
      <c r="A39" s="7" t="s">
        <v>73</v>
      </c>
      <c r="B39" s="8" t="s">
        <v>74</v>
      </c>
      <c r="C39" s="9">
        <v>1</v>
      </c>
      <c r="D39" s="10">
        <v>7</v>
      </c>
      <c r="E39" s="10">
        <f t="shared" si="3"/>
        <v>28</v>
      </c>
      <c r="F39" s="10">
        <f t="shared" si="1"/>
        <v>84</v>
      </c>
    </row>
    <row r="40" spans="1:6" ht="31.5" x14ac:dyDescent="0.2">
      <c r="A40" s="7" t="s">
        <v>75</v>
      </c>
      <c r="B40" s="8" t="s">
        <v>76</v>
      </c>
      <c r="C40" s="9">
        <v>2</v>
      </c>
      <c r="D40" s="10">
        <v>14</v>
      </c>
      <c r="E40" s="10">
        <f t="shared" si="3"/>
        <v>56</v>
      </c>
      <c r="F40" s="10">
        <f t="shared" si="1"/>
        <v>168</v>
      </c>
    </row>
    <row r="41" spans="1:6" ht="31.5" x14ac:dyDescent="0.2">
      <c r="A41" s="7" t="s">
        <v>77</v>
      </c>
      <c r="B41" s="8" t="s">
        <v>78</v>
      </c>
      <c r="C41" s="9">
        <v>2</v>
      </c>
      <c r="D41" s="10">
        <v>14</v>
      </c>
      <c r="E41" s="10">
        <f t="shared" si="3"/>
        <v>56</v>
      </c>
      <c r="F41" s="10">
        <f t="shared" si="1"/>
        <v>168</v>
      </c>
    </row>
    <row r="42" spans="1:6" ht="31.5" x14ac:dyDescent="0.2">
      <c r="A42" s="7" t="s">
        <v>79</v>
      </c>
      <c r="B42" s="8" t="s">
        <v>80</v>
      </c>
      <c r="C42" s="9">
        <v>2</v>
      </c>
      <c r="D42" s="10">
        <v>14</v>
      </c>
      <c r="E42" s="10">
        <f t="shared" si="3"/>
        <v>56</v>
      </c>
      <c r="F42" s="10">
        <f t="shared" si="1"/>
        <v>168</v>
      </c>
    </row>
    <row r="43" spans="1:6" ht="31.5" x14ac:dyDescent="0.2">
      <c r="A43" s="7" t="s">
        <v>81</v>
      </c>
      <c r="B43" s="8" t="s">
        <v>82</v>
      </c>
      <c r="C43" s="11">
        <v>2</v>
      </c>
      <c r="D43" s="10">
        <v>14</v>
      </c>
      <c r="E43" s="10">
        <f t="shared" si="3"/>
        <v>56</v>
      </c>
      <c r="F43" s="10">
        <f t="shared" si="1"/>
        <v>168</v>
      </c>
    </row>
    <row r="44" spans="1:6" ht="31.5" x14ac:dyDescent="0.2">
      <c r="A44" s="7" t="s">
        <v>83</v>
      </c>
      <c r="B44" s="8" t="s">
        <v>84</v>
      </c>
      <c r="C44" s="11">
        <v>1</v>
      </c>
      <c r="D44" s="10">
        <v>7</v>
      </c>
      <c r="E44" s="10">
        <f t="shared" si="3"/>
        <v>28</v>
      </c>
      <c r="F44" s="10">
        <f t="shared" si="1"/>
        <v>84</v>
      </c>
    </row>
    <row r="45" spans="1:6" s="4" customFormat="1" ht="18.75" x14ac:dyDescent="0.3">
      <c r="A45" s="58" t="s">
        <v>85</v>
      </c>
      <c r="B45" s="59"/>
      <c r="C45" s="13">
        <f>SUM(C5:C44)</f>
        <v>70</v>
      </c>
      <c r="D45" s="14">
        <f>SUM(D5:D44)</f>
        <v>490</v>
      </c>
      <c r="E45" s="14">
        <f>SUM(E5:E44)</f>
        <v>1960</v>
      </c>
      <c r="F45" s="14">
        <f>SUM(F5:F44)</f>
        <v>5880</v>
      </c>
    </row>
  </sheetData>
  <mergeCells count="2">
    <mergeCell ref="A2:F2"/>
    <mergeCell ref="A45:B45"/>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Necesidades Trimestrales</vt:lpstr>
      <vt:lpstr>ANEXO 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COMPRAS</cp:lastModifiedBy>
  <cp:revision>2</cp:revision>
  <cp:lastPrinted>2022-09-12T12:42:37Z</cp:lastPrinted>
  <dcterms:created xsi:type="dcterms:W3CDTF">2020-07-17T23:44:49Z</dcterms:created>
  <dcterms:modified xsi:type="dcterms:W3CDTF">2022-09-12T15:09:45Z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