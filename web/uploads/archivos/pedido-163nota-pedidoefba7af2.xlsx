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G:\Mi unidad\COMPARTIDA\DIRECCION DE PLANIFICACION\DOCUMENTACION\Johana\1 TRIMESTRE 2022\M EDUCACION\bidones de agua\"/>
    </mc:Choice>
  </mc:AlternateContent>
  <xr:revisionPtr revIDLastSave="0" documentId="13_ncr:1_{CA937996-7232-49E9-ABD1-F8DF648A143E}"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3" r:id="rId1"/>
    <sheet name="APG" sheetId="4" r:id="rId2"/>
    <sheet name="NP" sheetId="5" r:id="rId3"/>
  </sheets>
  <definedNames>
    <definedName name="_xlnm.Print_Area" localSheetId="0">'NECESIDADES TRIMESTRALES'!$A$1:$I$35</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D12" i="3" l="1"/>
  <c r="I12" i="3"/>
  <c r="J13" i="5" l="1"/>
  <c r="Q15" i="4" s="1"/>
  <c r="Q23" i="4" s="1"/>
</calcChain>
</file>

<file path=xl/sharedStrings.xml><?xml version="1.0" encoding="utf-8"?>
<sst xmlns="http://schemas.openxmlformats.org/spreadsheetml/2006/main" count="89" uniqueCount="78">
  <si>
    <t>EJERCICIO:</t>
  </si>
  <si>
    <t>UNIDAD</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</si>
  <si>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</si>
  <si>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</si>
  <si>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</si>
  <si>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</si>
  <si>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</si>
  <si>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</si>
  <si>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</si>
  <si>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</si>
  <si>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</si>
  <si>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</si>
  <si>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</si>
  <si>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</si>
  <si>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</si>
  <si>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</si>
  <si>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</si>
  <si>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</si>
  <si>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 xml:space="preserve">Especificidades Item N° 01 </t>
  </si>
  <si>
    <t>ALIMENTOS</t>
  </si>
  <si>
    <t>AUTORIZACION PARA GASTAR</t>
  </si>
  <si>
    <t>JURISDICCIÓN:</t>
  </si>
  <si>
    <t>50 - MINISTERIO DE EDUCACION</t>
  </si>
  <si>
    <t>SAF:</t>
  </si>
  <si>
    <t>26 - DIRECCION PROVINCIAL DE ADMINSTRACION</t>
  </si>
  <si>
    <t>UNIDAD EJECUTORA:</t>
  </si>
  <si>
    <t xml:space="preserve">DEPENDENCIA SOLICITANTE: </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</si>
  <si>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</si>
  <si>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</si>
  <si>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</si>
  <si>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</si>
  <si>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</si>
  <si>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</si>
  <si>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</si>
  <si>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</si>
  <si>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</si>
  <si>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</si>
  <si>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</si>
  <si>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</si>
  <si>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</si>
  <si>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</si>
  <si>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</si>
  <si>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</si>
  <si>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</si>
  <si>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</si>
  <si>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</si>
  <si>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</si>
  <si>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</si>
  <si>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ALIMENTOS PARA PERSONAS</t>
  </si>
  <si>
    <t>NOTA DE PEDIDO</t>
  </si>
  <si>
    <t>N°</t>
  </si>
  <si>
    <t xml:space="preserve">JURISDICCIÓN: </t>
  </si>
  <si>
    <t>26 - DIRECCION PROVINCIAL DE ADMINISTRACION</t>
  </si>
  <si>
    <t>PERIODO UTILIZACIÓN:</t>
  </si>
  <si>
    <t>OBJETO:</t>
  </si>
  <si>
    <t>Ítem</t>
  </si>
  <si>
    <t>Codigo Item</t>
  </si>
  <si>
    <t>DESCRIPCIÓN</t>
  </si>
  <si>
    <t>Adjunta Detalle Técnico</t>
  </si>
  <si>
    <t>Unidad Medida</t>
  </si>
  <si>
    <t>Precio Unitario Estimado</t>
  </si>
  <si>
    <t>Cantidad Solicitada</t>
  </si>
  <si>
    <t>3 MESES</t>
  </si>
  <si>
    <t>NO</t>
  </si>
  <si>
    <r>
      <rPr>
        <u/>
        <sz val="10"/>
        <rFont val="Times New Roman"/>
        <family val="1"/>
      </rPr>
      <t>Mantenimiento</t>
    </r>
    <r>
      <rPr>
        <sz val="10"/>
        <rFont val="Times New Roman"/>
        <family val="1"/>
      </rPr>
      <t>: 30 dias habiles</t>
    </r>
  </si>
  <si>
    <t>Costo total estimado: PESOS UN MILLON TRESCIENTOS CINCUENTA MIL CON 00/100</t>
  </si>
  <si>
    <t>TOTAL DE PESOS:  PESOS UN MILLON TRESCIENTOS CINCUENTA MIL CON 00/100</t>
  </si>
  <si>
    <t xml:space="preserve">SECRETARIA DE ADMINISTRACION </t>
  </si>
  <si>
    <t>SECRETARIA DE ADMINISTRACION</t>
  </si>
  <si>
    <t>022/2022</t>
  </si>
  <si>
    <r>
      <t xml:space="preserve">Autorizo la realización de los  trámites correspondientes, a fin de (proveer a  este Organismo los bienes, servicios o ejecución de obras públicas que se detallan en Nota  de Pedido N° </t>
    </r>
    <r>
      <rPr>
        <sz val="11"/>
        <color theme="1"/>
        <rFont val="Arial"/>
        <family val="2"/>
      </rPr>
      <t>022/22</t>
    </r>
    <r>
      <rPr>
        <sz val="11"/>
        <rFont val="Arial"/>
        <family val="2"/>
        <charset val="1"/>
      </rPr>
      <t>, afectando la erogación resultante a los créditos presupuestarios aprobados a favor de esta Unidad Ejecutora, conforme al siguiente detalle:</t>
    </r>
  </si>
  <si>
    <t>ADQUISICION DE BIDONES DE AGUA POTABLE PARA DEPENDENCIAS DEL MINISTERIO DE EDUCACION</t>
  </si>
  <si>
    <t>ADQUISICION DE BIDONES DE AGUA POTABLE</t>
  </si>
  <si>
    <t>2.1.1-478.47</t>
  </si>
  <si>
    <t>AGUA MINERAL; TIPO: SIN GASIFICAR, PRESENTACION: BIDON X 20 L, MATERIAL ENVASE: POLICARBONATO, TIPO ENVASE: RETORNABLE, ELEM. TRANSPORTE: SIN, MATERIAL ELEM.</t>
  </si>
  <si>
    <t>Bidones de Agua de mesa, capacidad :20 litros , retornables-La oferta debera incluir el uso treinta (30) dispenser sin cargo, Capacidad : 20 litros, sistema espendendedor agua fria y caliente, incluyendo el mantenimiento de los mismos durante el periodo de utilizacion. Periodo de utilizacion : 3 meses .Corriendo los gastos de flete, acarreos , carga y descarga y seguro por cuenta del adjudicatario. Que el item cotizado se encuentre contemplado dentro del Codigo Alimentario Argentino Ley 18,284, articulo 893 (modificada por Resolucion 494/94), para la fabricacion y envasado de agua de mesa</t>
  </si>
  <si>
    <t>El plazo de entrega  semanal segun necesidad de consumo, estimandose 250 unidades semanales.Total estimado mensual: 1000 bidones durante 3 meses.Periodo de utilizacion  Tres ( 3) meses con opcion a prorroga.A partir de la fecha de recepción de la respectiva Orden de Compra en el domicilio especial electrónico constituido, en virtud del método de contratación. La entrega de dichos bienes se realizará en la Secreatria de Administracion de ME , sito en Avenida Republica de Venezuela S/N° - CAPE- Pabellón N° 15 San Fernando del Valle de Catamarca.  Se presentará Remito que deberá cumplimentar lo dispuesto por la R.G. AFIP  1415/03, sin excepción.</t>
  </si>
  <si>
    <r>
      <t xml:space="preserve">             </t>
    </r>
    <r>
      <rPr>
        <u/>
        <sz val="10"/>
        <rFont val="Times New Roman"/>
        <family val="1"/>
      </rPr>
      <t>Forma de Pago</t>
    </r>
    <r>
      <rPr>
        <sz val="10"/>
        <rFont val="Times New Roman"/>
        <family val="1"/>
      </rPr>
      <t>: mensual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</si>
</sst>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00_ ;_ &quot;$&quot;\ * \-#,##0.00_ ;_ &quot;$&quot;\ * &quot;-&quot;??_ ;_ @_ "/>
    <numFmt numFmtId="165" formatCode="_-&quot;$&quot;* #,##0.00_-;\-&quot;$&quot;* #,##0.00_-;_-&quot;$&quot;* &quot;-&quot;??_-;_-@_-"/>
    <numFmt numFmtId="166" formatCode="[$$-2C0A]\ #,##0.00"/>
    <numFmt numFmtId="167" formatCode="[$$-2C0A]\ #,##0.00;[$$-2C0A]&quot; -&quot;#,##0.00"/>
    <numFmt numFmtId="168" formatCode="dd\-mm\-yy;@"/>
    <numFmt numFmtId="169" formatCode="_(\$* #,##0.00_);_(\$* \(#,##0.00\);_(\$* \-??_);_(@_)"/>
  </numFmts>
  <fonts count="36" x14ac:knownFonts="1">
    <font>
      <sz val="10"/>
      <name val="Arial"/>
      <charset val="1"/>
    </font>
    <font>
      <b/>
      <sz val="15"/>
      <color rgb="FF666699"/>
      <name val="Calibri"/>
      <family val="2"/>
      <charset val="1"/>
    </font>
    <font>
      <sz val="11"/>
      <color rgb="FF993300"/>
      <name val="Calibri"/>
      <family val="2"/>
      <charset val="1"/>
    </font>
    <font>
      <sz val="10"/>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color theme="1"/>
      <name val="Arial"/>
      <family val="2"/>
    </font>
    <font>
      <sz val="10"/>
      <color theme="1"/>
      <name val="Arial"/>
      <family val="2"/>
    </font>
    <font>
      <b/>
      <sz val="11"/>
      <color theme="1"/>
      <name val="Arial"/>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8"/>
      <name val="Times New Roman"/>
      <family val="1"/>
      <charset val="1"/>
    </font>
    <font>
      <b/>
      <sz val="14"/>
      <name val="Times New Roman"/>
      <family val="1"/>
      <charset val="1"/>
    </font>
    <font>
      <sz val="11"/>
      <color theme="1"/>
      <name val="Calibri"/>
    </font>
    <font>
      <sz val="9"/>
      <color rgb="FF000000"/>
      <name val="Times New Roman"/>
    </font>
    <font>
      <sz val="10"/>
      <color rgb="FF000000"/>
      <name val="Roboto"/>
    </font>
    <font>
      <sz val="10"/>
      <color theme="1"/>
      <name val="Times New Roman"/>
      <family val="1"/>
    </font>
    <font>
      <sz val="10"/>
      <name val="Arial"/>
    </font>
  </fonts>
  <fills count="7">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FFFFFF"/>
        <bgColor rgb="FFFFFFFF"/>
      </patternFill>
    </fill>
    <fill>
      <patternFill patternType="solid">
        <fgColor theme="0"/>
        <bgColor theme="0"/>
      </patternFill>
    </fill>
  </fills>
  <borders count="61">
    <border>
      <left/>
      <right/>
      <top/>
      <bottom/>
      <diagonal/>
    </border>
    <border>
      <left/>
      <right/>
      <top/>
      <bottom style="thick">
        <color rgb="FF33CCCC"/>
      </bottom>
      <diagonal/>
    </border>
    <border>
      <left style="medium">
        <color auto="1"/>
      </left>
      <right/>
      <top style="medium">
        <color auto="1"/>
      </top>
      <bottom/>
      <diagonal/>
    </border>
    <border>
      <left/>
      <right style="medium">
        <color auto="1"/>
      </right>
      <top/>
      <bottom/>
      <diagonal/>
    </border>
    <border>
      <left style="medium">
        <color auto="1"/>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auto="1"/>
      </bottom>
      <diagonal/>
    </border>
    <border>
      <left style="thin">
        <color rgb="FF3D3D3D"/>
      </left>
      <right style="thin">
        <color rgb="FF3D3D3D"/>
      </right>
      <top style="medium">
        <color rgb="FF3D3D3D"/>
      </top>
      <bottom style="thin">
        <color auto="1"/>
      </bottom>
      <diagonal/>
    </border>
    <border>
      <left style="thin">
        <color rgb="FF3D3D3D"/>
      </left>
      <right/>
      <top style="medium">
        <color rgb="FF3D3D3D"/>
      </top>
      <bottom style="thin">
        <color auto="1"/>
      </bottom>
      <diagonal/>
    </border>
    <border>
      <left/>
      <right/>
      <top style="medium">
        <color rgb="FF3D3D3D"/>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medium">
        <color auto="1"/>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right style="medium">
        <color auto="1"/>
      </right>
      <top style="medium">
        <color rgb="FF3D3D3D"/>
      </top>
      <bottom/>
      <diagonal/>
    </border>
    <border>
      <left style="medium">
        <color auto="1"/>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 fillId="0" borderId="1" applyProtection="0"/>
    <xf numFmtId="0" fontId="2" fillId="2" borderId="0" applyBorder="0" applyProtection="0"/>
    <xf numFmtId="165" fontId="4" fillId="0" borderId="0" applyFont="0" applyFill="0" applyBorder="0" applyAlignment="0" applyProtection="0"/>
    <xf numFmtId="169" fontId="16" fillId="0" borderId="0" applyBorder="0" applyProtection="0"/>
  </cellStyleXfs>
  <cellXfs count="151">
    <xf numFmtId="0" fontId="0" fillId="0" borderId="0" xfId="0"/>
    <xf numFmtId="0" fontId="5" fillId="0" borderId="0" xfId="0" applyFont="1"/>
    <xf numFmtId="0" fontId="9" fillId="0" borderId="0" xfId="0" applyFont="1" applyAlignment="1">
      <alignment horizontal="left" wrapText="1"/>
    </xf>
    <xf numFmtId="0" fontId="9" fillId="0" borderId="0" xfId="0" applyFont="1" applyAlignment="1">
      <alignment horizontal="center" wrapText="1"/>
    </xf>
    <xf numFmtId="0" fontId="8" fillId="3" borderId="0" xfId="0" applyFont="1" applyFill="1" applyAlignment="1">
      <alignment horizontal="left" wrapText="1" indent="1"/>
    </xf>
    <xf numFmtId="0" fontId="10" fillId="4" borderId="0" xfId="0" applyFont="1" applyFill="1" applyAlignment="1">
      <alignment horizontal="left" wrapText="1"/>
    </xf>
    <xf numFmtId="0" fontId="13" fillId="0" borderId="2" xfId="0" applyFont="1" applyBorder="1"/>
    <xf numFmtId="0" fontId="5" fillId="0" borderId="0" xfId="0" applyFont="1" applyBorder="1"/>
    <xf numFmtId="0" fontId="5" fillId="0" borderId="3" xfId="0" applyFont="1" applyBorder="1"/>
    <xf numFmtId="0" fontId="13" fillId="0" borderId="4" xfId="0" applyFont="1" applyBorder="1" applyAlignment="1">
      <alignment horizontal="left" indent="3"/>
    </xf>
    <xf numFmtId="0" fontId="5" fillId="0" borderId="4" xfId="0" applyFont="1" applyBorder="1" applyAlignment="1">
      <alignment horizontal="left" indent="3"/>
    </xf>
    <xf numFmtId="0" fontId="5" fillId="0" borderId="0" xfId="0" applyFont="1" applyBorder="1" applyAlignment="1">
      <alignment horizontal="center" wrapText="1"/>
    </xf>
    <xf numFmtId="0" fontId="5" fillId="0" borderId="3" xfId="0" applyFont="1" applyBorder="1" applyAlignment="1">
      <alignment horizontal="center" wrapText="1"/>
    </xf>
    <xf numFmtId="0" fontId="5" fillId="0" borderId="9" xfId="0" applyFont="1" applyBorder="1" applyAlignment="1">
      <alignment horizontal="left" indent="3"/>
    </xf>
    <xf numFmtId="0" fontId="5" fillId="0" borderId="10" xfId="0" applyFont="1" applyBorder="1"/>
    <xf numFmtId="0" fontId="5" fillId="0" borderId="11" xfId="0" applyFont="1" applyBorder="1"/>
    <xf numFmtId="0" fontId="11" fillId="0" borderId="0" xfId="0" applyFont="1" applyBorder="1" applyAlignment="1">
      <alignment horizontal="center" vertical="center"/>
    </xf>
    <xf numFmtId="0" fontId="12" fillId="0" borderId="0" xfId="0" applyFont="1" applyBorder="1" applyAlignment="1">
      <alignment horizontal="center" vertical="center" wrapText="1"/>
    </xf>
    <xf numFmtId="0" fontId="12" fillId="0" borderId="0" xfId="0" applyFont="1" applyBorder="1" applyAlignment="1">
      <alignment horizontal="left" vertical="center" wrapText="1"/>
    </xf>
    <xf numFmtId="0" fontId="12" fillId="3" borderId="0" xfId="0" applyFont="1" applyFill="1" applyBorder="1" applyAlignment="1">
      <alignment horizontal="center" vertical="center" wrapText="1"/>
    </xf>
    <xf numFmtId="0" fontId="9" fillId="0" borderId="0" xfId="0" applyFont="1" applyBorder="1" applyAlignment="1">
      <alignment horizontal="center" vertical="center" wrapText="1"/>
    </xf>
    <xf numFmtId="167" fontId="11" fillId="3" borderId="0" xfId="3" applyNumberFormat="1" applyFont="1" applyFill="1" applyBorder="1" applyAlignment="1" applyProtection="1">
      <alignment horizontal="right" vertical="center" wrapText="1"/>
    </xf>
    <xf numFmtId="166" fontId="9" fillId="0" borderId="0" xfId="0" applyNumberFormat="1" applyFont="1" applyBorder="1" applyAlignment="1">
      <alignment horizontal="right" wrapText="1"/>
    </xf>
    <xf numFmtId="0" fontId="13" fillId="0" borderId="4" xfId="0" applyFont="1" applyBorder="1"/>
    <xf numFmtId="0" fontId="12" fillId="0" borderId="7" xfId="0" applyFont="1" applyBorder="1" applyAlignment="1">
      <alignment horizontal="left" vertical="center" wrapText="1"/>
    </xf>
    <xf numFmtId="0" fontId="12" fillId="0" borderId="7" xfId="0" applyFont="1" applyBorder="1" applyAlignment="1">
      <alignment horizontal="center" vertical="center" wrapText="1"/>
    </xf>
    <xf numFmtId="0" fontId="12" fillId="0" borderId="8" xfId="0" applyFont="1" applyBorder="1" applyAlignment="1">
      <alignment horizontal="left" vertical="center" wrapText="1"/>
    </xf>
    <xf numFmtId="0" fontId="11" fillId="0" borderId="6" xfId="0" applyFont="1" applyBorder="1" applyAlignment="1">
      <alignment horizontal="center" vertical="center"/>
    </xf>
    <xf numFmtId="0" fontId="12" fillId="3" borderId="6" xfId="0" applyFont="1" applyFill="1" applyBorder="1" applyAlignment="1">
      <alignment horizontal="center" vertical="center" wrapText="1"/>
    </xf>
    <xf numFmtId="167" fontId="11" fillId="3" borderId="6" xfId="3" applyNumberFormat="1" applyFont="1" applyFill="1" applyBorder="1" applyAlignment="1" applyProtection="1">
      <alignment horizontal="right" vertical="center" wrapText="1"/>
    </xf>
    <xf numFmtId="0" fontId="10" fillId="0" borderId="6" xfId="0" applyFont="1" applyBorder="1" applyAlignment="1">
      <alignment horizontal="center" vertical="center" wrapText="1"/>
    </xf>
    <xf numFmtId="165" fontId="3" fillId="0" borderId="5" xfId="3" applyFont="1" applyBorder="1" applyAlignment="1">
      <alignment horizontal="center" vertical="center" wrapText="1"/>
    </xf>
    <xf numFmtId="3" fontId="14" fillId="0" borderId="7" xfId="0" applyNumberFormat="1" applyFont="1" applyBorder="1" applyAlignment="1"/>
    <xf numFmtId="168" fontId="0" fillId="0" borderId="7" xfId="0" applyNumberFormat="1" applyBorder="1" applyAlignment="1">
      <alignment horizontal="left"/>
    </xf>
    <xf numFmtId="0" fontId="0" fillId="0" borderId="7" xfId="0" applyBorder="1"/>
    <xf numFmtId="0" fontId="0" fillId="0" borderId="4" xfId="0" applyBorder="1"/>
    <xf numFmtId="0" fontId="0" fillId="0" borderId="0" xfId="0" applyBorder="1"/>
    <xf numFmtId="0" fontId="0" fillId="0" borderId="0" xfId="0" applyBorder="1" applyAlignment="1">
      <alignment horizontal="left"/>
    </xf>
    <xf numFmtId="168" fontId="0" fillId="0" borderId="0" xfId="0" applyNumberFormat="1" applyBorder="1" applyAlignment="1">
      <alignment horizontal="left"/>
    </xf>
    <xf numFmtId="0" fontId="0" fillId="0" borderId="3" xfId="0" applyBorder="1"/>
    <xf numFmtId="0" fontId="0" fillId="0" borderId="20" xfId="0" applyBorder="1"/>
    <xf numFmtId="0" fontId="0" fillId="0" borderId="21" xfId="0" applyBorder="1"/>
    <xf numFmtId="0" fontId="0" fillId="0" borderId="21" xfId="0" applyBorder="1" applyAlignment="1">
      <alignment horizontal="left"/>
    </xf>
    <xf numFmtId="0" fontId="0" fillId="0" borderId="22" xfId="0" applyBorder="1"/>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5" xfId="0" applyFont="1" applyBorder="1" applyAlignment="1">
      <alignment horizontal="left" vertical="center"/>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7" fontId="21" fillId="0" borderId="32" xfId="4" applyNumberFormat="1" applyFont="1" applyBorder="1" applyAlignment="1" applyProtection="1">
      <alignment horizontal="center" vertical="center"/>
    </xf>
    <xf numFmtId="0" fontId="0" fillId="0" borderId="33" xfId="0" applyFont="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167" fontId="0" fillId="0" borderId="36" xfId="4" applyNumberFormat="1" applyFont="1" applyBorder="1" applyAlignment="1" applyProtection="1">
      <alignment horizontal="center" vertical="center"/>
    </xf>
    <xf numFmtId="0" fontId="0" fillId="0" borderId="37"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0" fillId="0" borderId="37" xfId="0" applyBorder="1" applyAlignment="1">
      <alignment horizontal="center" vertical="center"/>
    </xf>
    <xf numFmtId="0" fontId="17" fillId="0" borderId="35" xfId="0" applyFont="1" applyBorder="1" applyAlignment="1">
      <alignment horizontal="center" vertical="center"/>
    </xf>
    <xf numFmtId="0" fontId="17" fillId="0" borderId="37" xfId="0" applyFon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7" fontId="0" fillId="0" borderId="41" xfId="4" applyNumberFormat="1" applyFont="1" applyBorder="1" applyAlignment="1" applyProtection="1">
      <alignment horizontal="center" vertical="center"/>
    </xf>
    <xf numFmtId="167" fontId="19" fillId="0" borderId="45" xfId="0" applyNumberFormat="1" applyFont="1" applyBorder="1" applyAlignment="1">
      <alignment horizontal="center" vertical="center"/>
    </xf>
    <xf numFmtId="0" fontId="16" fillId="0" borderId="0" xfId="0" applyFont="1"/>
    <xf numFmtId="164" fontId="0" fillId="0" borderId="0" xfId="0" applyNumberFormat="1"/>
    <xf numFmtId="0" fontId="0" fillId="0" borderId="0" xfId="0" applyAlignment="1">
      <alignment horizontal="left"/>
    </xf>
    <xf numFmtId="0" fontId="24" fillId="0" borderId="49" xfId="0" applyFont="1" applyBorder="1" applyAlignment="1">
      <alignment horizontal="right" vertical="center"/>
    </xf>
    <xf numFmtId="0" fontId="24" fillId="0" borderId="20" xfId="0" applyFont="1" applyBorder="1" applyAlignment="1">
      <alignment vertical="center"/>
    </xf>
    <xf numFmtId="0" fontId="24" fillId="0" borderId="21" xfId="0" applyFont="1" applyBorder="1" applyAlignment="1">
      <alignment vertical="center"/>
    </xf>
    <xf numFmtId="0" fontId="24" fillId="0" borderId="0" xfId="0" applyFont="1" applyBorder="1" applyAlignment="1">
      <alignment vertical="center"/>
    </xf>
    <xf numFmtId="0" fontId="24" fillId="0" borderId="3" xfId="0" applyFont="1" applyBorder="1" applyAlignment="1">
      <alignment vertical="center"/>
    </xf>
    <xf numFmtId="0" fontId="26" fillId="0" borderId="4" xfId="0" applyFont="1" applyBorder="1" applyAlignment="1">
      <alignment horizontal="left" vertical="center"/>
    </xf>
    <xf numFmtId="0" fontId="26" fillId="0" borderId="0" xfId="0" applyFont="1" applyBorder="1" applyAlignment="1">
      <alignment horizontal="left" vertical="center"/>
    </xf>
    <xf numFmtId="0" fontId="25" fillId="0" borderId="0" xfId="0" applyFont="1" applyBorder="1" applyAlignment="1">
      <alignment horizontal="left" vertical="center" wrapText="1" indent="1"/>
    </xf>
    <xf numFmtId="0" fontId="25" fillId="0" borderId="3" xfId="0" applyFont="1" applyBorder="1" applyAlignment="1">
      <alignment horizontal="left" vertical="center" wrapText="1" inden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165" fontId="3" fillId="0" borderId="6" xfId="3" applyFont="1" applyBorder="1" applyAlignment="1">
      <alignment horizontal="center" vertical="center" wrapText="1"/>
    </xf>
    <xf numFmtId="0" fontId="16" fillId="0" borderId="0" xfId="0" applyFont="1" applyBorder="1" applyAlignment="1">
      <alignment vertical="center"/>
    </xf>
    <xf numFmtId="164" fontId="16" fillId="0" borderId="0" xfId="0" applyNumberFormat="1" applyFont="1" applyBorder="1" applyAlignment="1">
      <alignment vertical="center"/>
    </xf>
    <xf numFmtId="0" fontId="28" fillId="0" borderId="6" xfId="0" applyFont="1" applyBorder="1" applyAlignment="1">
      <alignment horizontal="center" vertical="center"/>
    </xf>
    <xf numFmtId="3" fontId="3" fillId="0" borderId="6" xfId="0" applyNumberFormat="1" applyFont="1" applyBorder="1" applyAlignment="1">
      <alignment horizontal="center" vertical="center"/>
    </xf>
    <xf numFmtId="0" fontId="5" fillId="3" borderId="0" xfId="0" applyFont="1" applyFill="1" applyBorder="1" applyAlignment="1">
      <alignment wrapText="1"/>
    </xf>
    <xf numFmtId="0" fontId="5" fillId="3" borderId="3" xfId="0" applyFont="1" applyFill="1" applyBorder="1" applyAlignment="1">
      <alignment wrapText="1"/>
    </xf>
    <xf numFmtId="0" fontId="25" fillId="0" borderId="14" xfId="0" applyFont="1" applyFill="1" applyBorder="1" applyAlignment="1">
      <alignment horizontal="center" vertical="center"/>
    </xf>
    <xf numFmtId="0" fontId="31" fillId="0" borderId="59" xfId="0" applyFont="1" applyBorder="1" applyAlignment="1">
      <alignment horizontal="left" vertical="center"/>
    </xf>
    <xf numFmtId="0" fontId="32" fillId="0" borderId="60" xfId="0" applyFont="1" applyBorder="1" applyAlignment="1">
      <alignment horizontal="left" vertical="center" wrapText="1"/>
    </xf>
    <xf numFmtId="0" fontId="32" fillId="0" borderId="60" xfId="0" applyFont="1" applyBorder="1" applyAlignment="1">
      <alignment horizontal="center" vertical="center" wrapText="1"/>
    </xf>
    <xf numFmtId="0" fontId="33" fillId="5" borderId="59" xfId="0" applyFont="1" applyFill="1" applyBorder="1" applyAlignment="1">
      <alignment horizontal="center" wrapText="1"/>
    </xf>
    <xf numFmtId="0" fontId="3" fillId="0" borderId="15" xfId="0" applyFont="1" applyBorder="1" applyAlignment="1">
      <alignment horizontal="left" vertical="center" wrapText="1"/>
    </xf>
    <xf numFmtId="0" fontId="17" fillId="0" borderId="16" xfId="0" applyFont="1" applyBorder="1" applyAlignment="1">
      <alignment horizontal="left" indent="1"/>
    </xf>
    <xf numFmtId="0" fontId="0" fillId="0" borderId="12" xfId="0" applyFont="1" applyBorder="1" applyAlignment="1">
      <alignment horizontal="center"/>
    </xf>
    <xf numFmtId="3" fontId="14" fillId="0" borderId="13" xfId="0" applyNumberFormat="1" applyFont="1" applyBorder="1" applyAlignment="1">
      <alignment horizontal="center"/>
    </xf>
    <xf numFmtId="0" fontId="15" fillId="0" borderId="14" xfId="0" applyFont="1" applyBorder="1" applyAlignment="1">
      <alignment horizontal="center" vertical="center" wrapText="1"/>
    </xf>
    <xf numFmtId="0" fontId="16" fillId="0" borderId="15" xfId="0" applyFont="1" applyBorder="1"/>
    <xf numFmtId="0" fontId="4" fillId="0" borderId="30" xfId="0" applyFont="1" applyBorder="1" applyAlignment="1">
      <alignment horizontal="center" vertical="center" wrapText="1"/>
    </xf>
    <xf numFmtId="0" fontId="0" fillId="0" borderId="31" xfId="0" applyFont="1" applyBorder="1" applyAlignment="1">
      <alignment horizontal="center" vertical="center" wrapText="1"/>
    </xf>
    <xf numFmtId="0" fontId="18" fillId="0" borderId="17" xfId="0" applyFont="1" applyBorder="1" applyAlignment="1">
      <alignment horizontal="left"/>
    </xf>
    <xf numFmtId="0" fontId="17" fillId="0" borderId="18" xfId="0" applyFont="1" applyBorder="1" applyAlignment="1">
      <alignment horizontal="left"/>
    </xf>
    <xf numFmtId="0" fontId="17" fillId="0" borderId="19" xfId="0" applyNumberFormat="1" applyFont="1" applyBorder="1" applyAlignment="1">
      <alignment horizontal="justify" vertical="center" wrapText="1"/>
    </xf>
    <xf numFmtId="0" fontId="19" fillId="0" borderId="18" xfId="0" applyFont="1" applyBorder="1" applyAlignment="1">
      <alignment horizontal="center" vertical="center"/>
    </xf>
    <xf numFmtId="0" fontId="19" fillId="0" borderId="15" xfId="0" applyFont="1" applyBorder="1" applyAlignment="1">
      <alignment horizontal="center" vertical="center"/>
    </xf>
    <xf numFmtId="0" fontId="19" fillId="0" borderId="23" xfId="0" applyFont="1" applyBorder="1" applyAlignment="1">
      <alignment horizontal="center" vertical="center" wrapText="1"/>
    </xf>
    <xf numFmtId="0" fontId="0" fillId="0" borderId="37" xfId="0" applyFont="1" applyBorder="1" applyAlignment="1">
      <alignment horizontal="left" vertical="center"/>
    </xf>
    <xf numFmtId="0" fontId="0" fillId="0" borderId="34" xfId="0" applyFont="1" applyBorder="1" applyAlignment="1">
      <alignment horizontal="center" vertical="center"/>
    </xf>
    <xf numFmtId="0" fontId="0" fillId="0" borderId="37" xfId="0" applyFont="1" applyBorder="1" applyAlignment="1">
      <alignment horizontal="center" vertical="center"/>
    </xf>
    <xf numFmtId="0" fontId="4" fillId="0" borderId="0" xfId="0" applyFont="1" applyAlignment="1">
      <alignment horizontal="left" wrapText="1"/>
    </xf>
    <xf numFmtId="0" fontId="0" fillId="0" borderId="0" xfId="0" applyAlignment="1">
      <alignment horizontal="left" wrapText="1"/>
    </xf>
    <xf numFmtId="0" fontId="17" fillId="0" borderId="48" xfId="0" applyFont="1" applyBorder="1" applyAlignment="1">
      <alignment horizontal="left" vertical="center" wrapText="1" indent="1"/>
    </xf>
    <xf numFmtId="0" fontId="0" fillId="0" borderId="37" xfId="0" applyBorder="1" applyAlignment="1">
      <alignment horizontal="left" vertical="center"/>
    </xf>
    <xf numFmtId="0" fontId="0" fillId="0" borderId="39" xfId="0" applyBorder="1" applyAlignment="1">
      <alignment horizontal="left" vertical="center"/>
    </xf>
    <xf numFmtId="0" fontId="22" fillId="0" borderId="42" xfId="0" applyFont="1" applyFill="1" applyBorder="1" applyAlignment="1">
      <alignment horizontal="left" vertical="center" wrapText="1"/>
    </xf>
    <xf numFmtId="0" fontId="22" fillId="0" borderId="43" xfId="0" applyFont="1" applyFill="1" applyBorder="1" applyAlignment="1">
      <alignment horizontal="left" vertical="center" wrapText="1"/>
    </xf>
    <xf numFmtId="0" fontId="22" fillId="0" borderId="44" xfId="0" applyFont="1" applyFill="1" applyBorder="1" applyAlignment="1">
      <alignment horizontal="left" vertical="center" wrapText="1"/>
    </xf>
    <xf numFmtId="0" fontId="0" fillId="0" borderId="18" xfId="0" applyBorder="1"/>
    <xf numFmtId="0" fontId="14" fillId="0" borderId="46" xfId="0" applyFont="1" applyBorder="1" applyAlignment="1">
      <alignment vertical="center" wrapText="1"/>
    </xf>
    <xf numFmtId="0" fontId="17" fillId="0" borderId="47" xfId="0" applyFont="1" applyBorder="1" applyAlignment="1">
      <alignment vertical="center" wrapText="1"/>
    </xf>
    <xf numFmtId="0" fontId="26" fillId="0" borderId="50" xfId="0" applyFont="1" applyBorder="1" applyAlignment="1">
      <alignment horizontal="left" vertical="center" wrapText="1"/>
    </xf>
    <xf numFmtId="0" fontId="25" fillId="0" borderId="46" xfId="0" applyFont="1" applyBorder="1" applyAlignment="1">
      <alignment horizontal="left" vertical="center" wrapText="1" indent="1"/>
    </xf>
    <xf numFmtId="0" fontId="23" fillId="0" borderId="2" xfId="0" applyFont="1" applyBorder="1" applyAlignment="1">
      <alignment horizontal="center" vertical="center"/>
    </xf>
    <xf numFmtId="0" fontId="26" fillId="0" borderId="42" xfId="0" applyFont="1" applyBorder="1" applyAlignment="1">
      <alignment horizontal="left" vertical="center" wrapText="1"/>
    </xf>
    <xf numFmtId="0" fontId="26" fillId="0" borderId="51" xfId="0" applyFont="1" applyBorder="1" applyAlignment="1">
      <alignment horizontal="left" vertical="center"/>
    </xf>
    <xf numFmtId="0" fontId="27" fillId="0" borderId="52" xfId="0" applyFont="1" applyBorder="1" applyAlignment="1">
      <alignment horizontal="left" vertical="center" wrapText="1" indent="1"/>
    </xf>
    <xf numFmtId="0" fontId="30" fillId="0" borderId="48" xfId="0" applyFont="1" applyBorder="1" applyAlignment="1">
      <alignment horizontal="left" vertical="center" wrapText="1" indent="1"/>
    </xf>
    <xf numFmtId="166" fontId="26" fillId="0" borderId="48" xfId="0" applyNumberFormat="1" applyFont="1" applyBorder="1" applyAlignment="1">
      <alignment horizontal="center" vertical="center"/>
    </xf>
    <xf numFmtId="0" fontId="27" fillId="0" borderId="55" xfId="0" applyFont="1" applyBorder="1" applyAlignment="1">
      <alignment horizontal="center" vertical="center" wrapText="1"/>
    </xf>
    <xf numFmtId="0" fontId="29" fillId="0" borderId="56" xfId="0" applyFont="1" applyBorder="1" applyAlignment="1">
      <alignment horizontal="left" vertical="center" wrapText="1"/>
    </xf>
    <xf numFmtId="0" fontId="29" fillId="0" borderId="57" xfId="0" applyFont="1" applyBorder="1" applyAlignment="1">
      <alignment horizontal="left" vertical="center" wrapText="1"/>
    </xf>
    <xf numFmtId="0" fontId="29" fillId="0" borderId="58" xfId="0" applyFont="1" applyBorder="1" applyAlignment="1">
      <alignment horizontal="left" vertical="center" wrapText="1"/>
    </xf>
    <xf numFmtId="0" fontId="27" fillId="0" borderId="53" xfId="0" applyFont="1" applyBorder="1" applyAlignment="1">
      <alignment horizontal="center" vertical="center"/>
    </xf>
    <xf numFmtId="0" fontId="27" fillId="0" borderId="54" xfId="0" applyFont="1" applyBorder="1" applyAlignment="1">
      <alignment horizontal="center" vertical="center" wrapText="1"/>
    </xf>
    <xf numFmtId="0" fontId="5" fillId="3" borderId="0" xfId="0" applyFont="1" applyFill="1" applyBorder="1" applyAlignment="1">
      <alignment horizontal="left" wrapText="1"/>
    </xf>
    <xf numFmtId="0" fontId="5" fillId="3" borderId="0" xfId="0" applyFont="1" applyFill="1" applyBorder="1" applyAlignment="1">
      <alignment horizontal="left"/>
    </xf>
    <xf numFmtId="0" fontId="5" fillId="3" borderId="3" xfId="0" applyFont="1" applyFill="1" applyBorder="1" applyAlignment="1">
      <alignment horizontal="left"/>
    </xf>
    <xf numFmtId="0" fontId="6" fillId="0" borderId="0" xfId="0" applyFont="1" applyBorder="1" applyAlignment="1">
      <alignment horizontal="center"/>
    </xf>
    <xf numFmtId="0" fontId="7" fillId="0" borderId="0" xfId="0" applyFont="1" applyBorder="1" applyAlignment="1">
      <alignment horizontal="left" vertical="center" wrapText="1"/>
    </xf>
    <xf numFmtId="0" fontId="8" fillId="3" borderId="0" xfId="0" applyFont="1" applyFill="1" applyBorder="1" applyAlignment="1">
      <alignment horizontal="left" wrapText="1" indent="1"/>
    </xf>
    <xf numFmtId="0" fontId="5" fillId="3" borderId="3" xfId="0" applyFont="1" applyFill="1" applyBorder="1" applyAlignment="1">
      <alignment horizontal="left" wrapText="1"/>
    </xf>
    <xf numFmtId="0" fontId="34" fillId="6" borderId="0" xfId="0" applyFont="1" applyFill="1" applyBorder="1" applyAlignment="1">
      <alignment horizontal="left" wrapText="1"/>
    </xf>
    <xf numFmtId="0" fontId="35" fillId="0" borderId="0" xfId="0" applyFont="1" applyBorder="1"/>
    <xf numFmtId="0" fontId="35" fillId="0" borderId="3" xfId="0" applyFont="1" applyBorder="1"/>
    <xf numFmtId="0" fontId="12" fillId="0" borderId="0" xfId="0" applyFont="1" applyBorder="1" applyAlignment="1">
      <alignment horizontal="left" vertical="center" wrapText="1"/>
    </xf>
    <xf numFmtId="0" fontId="12" fillId="0" borderId="3" xfId="0" applyFont="1" applyBorder="1" applyAlignment="1">
      <alignment horizontal="left" vertical="center" wrapText="1"/>
    </xf>
    <xf numFmtId="0" fontId="5" fillId="0" borderId="4" xfId="0" applyFont="1" applyBorder="1" applyAlignment="1">
      <alignment horizontal="left" wrapText="1"/>
    </xf>
    <xf numFmtId="0" fontId="5" fillId="0" borderId="0" xfId="0" applyFont="1" applyBorder="1" applyAlignment="1">
      <alignment horizontal="left" wrapText="1"/>
    </xf>
    <xf numFmtId="0" fontId="5" fillId="0" borderId="3" xfId="0" applyFont="1" applyBorder="1" applyAlignment="1">
      <alignment horizontal="left" wrapText="1"/>
    </xf>
  </cellXfs>
  <cellStyles count="5">
    <cellStyle name="Encabezado 1" xfId="1" xr:uid="{00000000-0005-0000-0000-000000000000}"/>
    <cellStyle name="Moneda" xfId="3" builtinId="4"/>
    <cellStyle name="Moneda_AUTORIZACION Y NOTA DE PEDIDO" xfId="4" xr:uid="{00000000-0005-0000-0000-000002000000}"/>
    <cellStyle name="Neutral 1" xfId="2"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10" name="CustomShape 1" hidden="1">
          <a:extLst>
            <a:ext uri="{FF2B5EF4-FFF2-40B4-BE49-F238E27FC236}">
              <a16:creationId xmlns:a16="http://schemas.microsoft.com/office/drawing/2014/main" id="{00000000-0008-0000-00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1" name="CustomShape 1" hidden="1">
          <a:extLst>
            <a:ext uri="{FF2B5EF4-FFF2-40B4-BE49-F238E27FC236}">
              <a16:creationId xmlns:a16="http://schemas.microsoft.com/office/drawing/2014/main" id="{00000000-0008-0000-00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2" name="CustomShape 1" hidden="1">
          <a:extLst>
            <a:ext uri="{FF2B5EF4-FFF2-40B4-BE49-F238E27FC236}">
              <a16:creationId xmlns:a16="http://schemas.microsoft.com/office/drawing/2014/main" id="{00000000-0008-0000-00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3" name="CustomShape 1" hidden="1">
          <a:extLst>
            <a:ext uri="{FF2B5EF4-FFF2-40B4-BE49-F238E27FC236}">
              <a16:creationId xmlns:a16="http://schemas.microsoft.com/office/drawing/2014/main" id="{00000000-0008-0000-00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34"/>
  <sheetViews>
    <sheetView tabSelected="1" topLeftCell="A4" workbookViewId="0">
      <selection activeCell="K28" sqref="K27:K28"/>
    </sheetView>
  </sheetViews>
  <sheetFormatPr baseColWidth="10" defaultColWidth="11" defaultRowHeight="12.75" x14ac:dyDescent="0.2"/>
  <cols>
    <col min="1" max="1" width="4.5703125" style="1" customWidth="1"/>
    <col min="2" max="2" width="13.5703125" style="1" customWidth="1"/>
    <col min="3" max="3" width="23" style="1" customWidth="1"/>
    <col min="4" max="4" width="7.28515625" style="1" customWidth="1"/>
    <col min="5" max="5" width="64.7109375" style="1" customWidth="1"/>
    <col min="6" max="6" width="10.28515625" style="1" customWidth="1"/>
    <col min="7" max="7" width="8" style="1" customWidth="1"/>
    <col min="8" max="8" width="13" style="1" customWidth="1"/>
    <col min="9" max="9" width="12.42578125" style="1" customWidth="1"/>
    <col min="10" max="16384" width="11" style="1"/>
  </cols>
  <sheetData>
    <row r="2" spans="1:9" ht="27" x14ac:dyDescent="0.35">
      <c r="B2" s="139" t="s">
        <v>2</v>
      </c>
      <c r="C2" s="139"/>
      <c r="D2" s="139"/>
      <c r="E2" s="139"/>
      <c r="F2" s="139"/>
      <c r="G2" s="139"/>
      <c r="H2" s="139"/>
    </row>
    <row r="3" spans="1:9" hidden="1" x14ac:dyDescent="0.2"/>
    <row r="4" spans="1:9" ht="27.75" customHeight="1" x14ac:dyDescent="0.25">
      <c r="A4" s="140" t="s">
        <v>3</v>
      </c>
      <c r="B4" s="140"/>
      <c r="C4" s="141" t="s">
        <v>4</v>
      </c>
      <c r="D4" s="141"/>
      <c r="E4" s="141"/>
      <c r="F4" s="2"/>
      <c r="G4" s="3"/>
      <c r="H4" s="2"/>
    </row>
    <row r="5" spans="1:9" ht="18" customHeight="1" x14ac:dyDescent="0.25">
      <c r="A5" s="140" t="s">
        <v>5</v>
      </c>
      <c r="B5" s="140"/>
      <c r="C5" s="141" t="s">
        <v>6</v>
      </c>
      <c r="D5" s="141"/>
      <c r="E5" s="141"/>
      <c r="F5" s="2"/>
      <c r="G5" s="3"/>
      <c r="H5" s="2"/>
    </row>
    <row r="6" spans="1:9" ht="16.5" customHeight="1" x14ac:dyDescent="0.25">
      <c r="A6" s="140" t="s">
        <v>0</v>
      </c>
      <c r="B6" s="140"/>
      <c r="C6" s="4">
        <v>2022</v>
      </c>
      <c r="D6" s="5"/>
      <c r="E6" s="5"/>
      <c r="F6" s="2"/>
      <c r="G6" s="3"/>
      <c r="H6" s="2"/>
    </row>
    <row r="7" spans="1:9" ht="13.5" customHeight="1" x14ac:dyDescent="0.25">
      <c r="A7" s="140" t="s">
        <v>7</v>
      </c>
      <c r="B7" s="140"/>
      <c r="C7" s="4">
        <v>2</v>
      </c>
      <c r="D7" s="5"/>
      <c r="E7" s="5"/>
      <c r="F7" s="2"/>
      <c r="G7" s="3"/>
      <c r="H7" s="2"/>
    </row>
    <row r="8" spans="1:9" hidden="1" x14ac:dyDescent="0.2">
      <c r="B8" s="2"/>
      <c r="C8" s="3"/>
      <c r="D8" s="2"/>
      <c r="E8" s="2"/>
      <c r="F8" s="2"/>
      <c r="G8" s="3"/>
      <c r="H8" s="2"/>
    </row>
    <row r="9" spans="1:9" x14ac:dyDescent="0.2">
      <c r="B9" s="2"/>
      <c r="C9" s="3"/>
      <c r="D9" s="2"/>
      <c r="E9" s="2"/>
      <c r="F9" s="2"/>
      <c r="G9" s="3"/>
      <c r="H9" s="2"/>
    </row>
    <row r="10" spans="1:9" x14ac:dyDescent="0.2">
      <c r="B10" s="2"/>
      <c r="C10" s="3"/>
      <c r="D10" s="2"/>
      <c r="E10" s="2"/>
      <c r="F10" s="2"/>
      <c r="G10" s="3"/>
      <c r="H10" s="2"/>
    </row>
    <row r="11" spans="1:9" ht="39" thickBot="1" x14ac:dyDescent="0.25">
      <c r="A11" s="30" t="s">
        <v>8</v>
      </c>
      <c r="B11" s="30" t="s">
        <v>9</v>
      </c>
      <c r="C11" s="30" t="s">
        <v>10</v>
      </c>
      <c r="D11" s="30" t="s">
        <v>11</v>
      </c>
      <c r="E11" s="30" t="s">
        <v>12</v>
      </c>
      <c r="F11" s="30" t="s">
        <v>13</v>
      </c>
      <c r="G11" s="30" t="s">
        <v>14</v>
      </c>
      <c r="H11" s="30" t="s">
        <v>15</v>
      </c>
      <c r="I11" s="30" t="s">
        <v>16</v>
      </c>
    </row>
    <row r="12" spans="1:9" ht="47.25" customHeight="1" x14ac:dyDescent="0.2">
      <c r="A12" s="27">
        <v>1</v>
      </c>
      <c r="B12" s="90" t="s">
        <v>73</v>
      </c>
      <c r="C12" s="91" t="s">
        <v>19</v>
      </c>
      <c r="D12" s="92" t="str">
        <f>LEFT(B12,5)</f>
        <v>2.1.1</v>
      </c>
      <c r="E12" s="93" t="s">
        <v>74</v>
      </c>
      <c r="F12" s="28" t="s">
        <v>1</v>
      </c>
      <c r="G12" s="28">
        <v>3000</v>
      </c>
      <c r="H12" s="31">
        <v>450</v>
      </c>
      <c r="I12" s="29">
        <f>H12*G12</f>
        <v>1350000</v>
      </c>
    </row>
    <row r="13" spans="1:9" x14ac:dyDescent="0.2">
      <c r="A13" s="16"/>
      <c r="B13" s="17"/>
      <c r="C13" s="18"/>
      <c r="D13" s="17"/>
      <c r="E13" s="18"/>
      <c r="F13" s="19"/>
      <c r="G13" s="20"/>
      <c r="H13" s="21"/>
      <c r="I13" s="22"/>
    </row>
    <row r="14" spans="1:9" x14ac:dyDescent="0.2">
      <c r="A14" s="16"/>
      <c r="B14" s="17"/>
      <c r="C14" s="18"/>
      <c r="D14" s="17"/>
      <c r="E14" s="18"/>
      <c r="F14" s="19"/>
      <c r="G14" s="20"/>
      <c r="H14" s="21"/>
      <c r="I14" s="22"/>
    </row>
    <row r="15" spans="1:9" x14ac:dyDescent="0.2">
      <c r="A15" s="16"/>
      <c r="B15" s="17"/>
      <c r="C15" s="18"/>
      <c r="D15" s="17"/>
      <c r="E15" s="18"/>
      <c r="F15" s="19"/>
      <c r="G15" s="20"/>
      <c r="H15" s="21"/>
      <c r="I15" s="22"/>
    </row>
    <row r="16" spans="1:9" x14ac:dyDescent="0.2">
      <c r="A16" s="16"/>
      <c r="B16" s="17"/>
      <c r="C16" s="18"/>
      <c r="D16" s="17"/>
      <c r="E16" s="18"/>
      <c r="F16" s="19"/>
      <c r="G16" s="20"/>
      <c r="H16" s="21"/>
      <c r="I16" s="22"/>
    </row>
    <row r="17" spans="1:9" x14ac:dyDescent="0.2">
      <c r="A17" s="16"/>
      <c r="B17" s="17"/>
      <c r="C17" s="18"/>
      <c r="D17" s="17"/>
      <c r="E17" s="18"/>
      <c r="F17" s="19"/>
      <c r="G17" s="20"/>
      <c r="H17" s="21"/>
      <c r="I17" s="22"/>
    </row>
    <row r="18" spans="1:9" x14ac:dyDescent="0.2">
      <c r="A18" s="16"/>
      <c r="B18" s="17"/>
      <c r="C18" s="18"/>
      <c r="D18" s="17"/>
      <c r="E18" s="18"/>
      <c r="F18" s="19"/>
      <c r="G18" s="20"/>
      <c r="H18" s="21"/>
      <c r="I18" s="22"/>
    </row>
    <row r="19" spans="1:9" ht="13.5" thickBot="1" x14ac:dyDescent="0.25">
      <c r="A19" s="16"/>
      <c r="B19" s="17"/>
      <c r="C19" s="18"/>
      <c r="D19" s="17"/>
      <c r="E19" s="18"/>
      <c r="F19" s="19"/>
      <c r="G19" s="20"/>
      <c r="H19" s="21"/>
      <c r="I19" s="22"/>
    </row>
    <row r="20" spans="1:9" x14ac:dyDescent="0.2">
      <c r="A20" s="16"/>
      <c r="B20" s="6" t="s">
        <v>18</v>
      </c>
      <c r="C20" s="24"/>
      <c r="D20" s="25"/>
      <c r="E20" s="26"/>
      <c r="F20" s="19"/>
      <c r="G20" s="20"/>
      <c r="H20" s="21"/>
      <c r="I20" s="22"/>
    </row>
    <row r="21" spans="1:9" x14ac:dyDescent="0.2">
      <c r="A21" s="16"/>
      <c r="B21" s="23"/>
      <c r="C21" s="146" t="s">
        <v>75</v>
      </c>
      <c r="D21" s="146"/>
      <c r="E21" s="147"/>
      <c r="F21" s="19"/>
      <c r="G21" s="20"/>
      <c r="H21" s="21"/>
      <c r="I21" s="22"/>
    </row>
    <row r="22" spans="1:9" ht="55.5" customHeight="1" x14ac:dyDescent="0.2">
      <c r="A22" s="16"/>
      <c r="B22" s="9"/>
      <c r="C22" s="146"/>
      <c r="D22" s="146"/>
      <c r="E22" s="147"/>
      <c r="F22" s="19"/>
      <c r="G22" s="20"/>
      <c r="H22" s="21"/>
      <c r="I22" s="22"/>
    </row>
    <row r="23" spans="1:9" ht="0.75" customHeight="1" x14ac:dyDescent="0.2">
      <c r="B23" s="9"/>
      <c r="C23" s="136"/>
      <c r="D23" s="136"/>
      <c r="E23" s="142"/>
    </row>
    <row r="24" spans="1:9" x14ac:dyDescent="0.2">
      <c r="B24" s="9" t="s">
        <v>17</v>
      </c>
      <c r="C24" s="7"/>
      <c r="D24" s="7"/>
      <c r="E24" s="8"/>
    </row>
    <row r="25" spans="1:9" x14ac:dyDescent="0.2">
      <c r="B25" s="10"/>
      <c r="C25" s="143" t="s">
        <v>76</v>
      </c>
      <c r="D25" s="144"/>
      <c r="E25" s="145"/>
    </row>
    <row r="26" spans="1:9" ht="81" customHeight="1" x14ac:dyDescent="0.2">
      <c r="B26" s="10"/>
      <c r="C26" s="144"/>
      <c r="D26" s="144"/>
      <c r="E26" s="145"/>
    </row>
    <row r="27" spans="1:9" ht="19.5" customHeight="1" x14ac:dyDescent="0.2">
      <c r="B27" s="148" t="s">
        <v>77</v>
      </c>
      <c r="C27" s="149"/>
      <c r="D27" s="149"/>
      <c r="E27" s="150"/>
    </row>
    <row r="28" spans="1:9" x14ac:dyDescent="0.2">
      <c r="B28" s="9"/>
      <c r="C28" s="7"/>
      <c r="D28" s="7"/>
      <c r="E28" s="8"/>
    </row>
    <row r="29" spans="1:9" x14ac:dyDescent="0.2">
      <c r="B29" s="10" t="s">
        <v>64</v>
      </c>
      <c r="C29" s="87"/>
      <c r="D29" s="87"/>
      <c r="E29" s="88"/>
    </row>
    <row r="30" spans="1:9" x14ac:dyDescent="0.2">
      <c r="B30" s="9"/>
      <c r="C30" s="11"/>
      <c r="D30" s="11"/>
      <c r="E30" s="12"/>
    </row>
    <row r="31" spans="1:9" x14ac:dyDescent="0.2">
      <c r="B31" s="10"/>
      <c r="C31" s="136"/>
      <c r="D31" s="136"/>
      <c r="E31" s="142"/>
    </row>
    <row r="32" spans="1:9" x14ac:dyDescent="0.2">
      <c r="B32" s="9"/>
      <c r="C32" s="7"/>
      <c r="D32" s="7"/>
      <c r="E32" s="8"/>
    </row>
    <row r="33" spans="2:5" x14ac:dyDescent="0.2">
      <c r="B33" s="9"/>
      <c r="C33" s="136"/>
      <c r="D33" s="137"/>
      <c r="E33" s="138"/>
    </row>
    <row r="34" spans="2:5" ht="13.5" thickBot="1" x14ac:dyDescent="0.25">
      <c r="B34" s="13"/>
      <c r="C34" s="14"/>
      <c r="D34" s="14"/>
      <c r="E34" s="15"/>
    </row>
  </sheetData>
  <mergeCells count="13">
    <mergeCell ref="C33:E33"/>
    <mergeCell ref="B2:H2"/>
    <mergeCell ref="A4:B4"/>
    <mergeCell ref="C4:E4"/>
    <mergeCell ref="A5:B5"/>
    <mergeCell ref="C5:E5"/>
    <mergeCell ref="A6:B6"/>
    <mergeCell ref="A7:B7"/>
    <mergeCell ref="C23:E23"/>
    <mergeCell ref="C25:E26"/>
    <mergeCell ref="C31:E31"/>
    <mergeCell ref="C21:E22"/>
    <mergeCell ref="B27:E27"/>
  </mergeCells>
  <pageMargins left="0.70866141732283472" right="0.70866141732283472" top="0.74803149606299213" bottom="0.74803149606299213" header="0.31496062992125984" footer="0.31496062992125984"/>
  <pageSetup paperSize="9" scale="7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opLeftCell="A10" workbookViewId="0">
      <selection activeCell="H15" sqref="H15"/>
    </sheetView>
  </sheetViews>
  <sheetFormatPr baseColWidth="10" defaultColWidth="11" defaultRowHeight="12.75" x14ac:dyDescent="0.2"/>
  <cols>
    <col min="1" max="5" width="3.85546875" customWidth="1"/>
    <col min="6" max="6" width="5.28515625" customWidth="1"/>
    <col min="7" max="7" width="4.140625" style="70" customWidth="1"/>
    <col min="8" max="8" width="4.140625" customWidth="1"/>
    <col min="9" max="11" width="3.85546875" customWidth="1"/>
    <col min="12" max="14" width="4.140625" customWidth="1"/>
    <col min="15" max="16" width="9.5703125" customWidth="1"/>
    <col min="17" max="17" width="15.7109375" customWidth="1"/>
    <col min="18" max="18" width="13.28515625" bestFit="1" customWidth="1"/>
    <col min="19" max="19" width="15.42578125" bestFit="1" customWidth="1"/>
  </cols>
  <sheetData>
    <row r="1" spans="1:19" ht="15.75" customHeight="1" thickBot="1" x14ac:dyDescent="0.3">
      <c r="A1" s="96" t="s">
        <v>0</v>
      </c>
      <c r="B1" s="96"/>
      <c r="C1" s="96"/>
      <c r="D1" s="97">
        <v>2022</v>
      </c>
      <c r="E1" s="97"/>
      <c r="F1" s="32"/>
      <c r="G1" s="32"/>
      <c r="H1" s="33"/>
      <c r="I1" s="33"/>
      <c r="J1" s="33"/>
      <c r="K1" s="33"/>
      <c r="L1" s="33"/>
      <c r="M1" s="33"/>
      <c r="N1" s="33"/>
      <c r="O1" s="34"/>
      <c r="P1" s="98" t="s">
        <v>20</v>
      </c>
      <c r="Q1" s="98"/>
    </row>
    <row r="2" spans="1:19" ht="15.75" customHeight="1" thickBot="1" x14ac:dyDescent="0.25">
      <c r="A2" s="35"/>
      <c r="B2" s="36"/>
      <c r="C2" s="36"/>
      <c r="D2" s="36"/>
      <c r="E2" s="36"/>
      <c r="F2" s="36"/>
      <c r="G2" s="37"/>
      <c r="H2" s="38"/>
      <c r="I2" s="38"/>
      <c r="J2" s="38"/>
      <c r="K2" s="38"/>
      <c r="L2" s="38"/>
      <c r="M2" s="38"/>
      <c r="N2" s="38"/>
      <c r="O2" s="36"/>
      <c r="P2" s="98"/>
      <c r="Q2" s="98"/>
    </row>
    <row r="3" spans="1:19" ht="13.5" thickBot="1" x14ac:dyDescent="0.25">
      <c r="A3" s="35"/>
      <c r="B3" s="36"/>
      <c r="C3" s="36"/>
      <c r="D3" s="36"/>
      <c r="E3" s="36"/>
      <c r="F3" s="36"/>
      <c r="G3" s="37"/>
      <c r="H3" s="36"/>
      <c r="I3" s="36"/>
      <c r="J3" s="36"/>
      <c r="K3" s="36"/>
      <c r="L3" s="36"/>
      <c r="M3" s="36"/>
      <c r="N3" s="36"/>
      <c r="O3" s="36"/>
      <c r="P3" s="36"/>
      <c r="Q3" s="39"/>
    </row>
    <row r="4" spans="1:19" s="68" customFormat="1" ht="18" customHeight="1" thickBot="1" x14ac:dyDescent="0.25">
      <c r="A4" s="99" t="s">
        <v>21</v>
      </c>
      <c r="B4" s="99"/>
      <c r="C4" s="99"/>
      <c r="D4" s="99"/>
      <c r="E4" s="99"/>
      <c r="F4" s="99"/>
      <c r="G4" s="95" t="s">
        <v>22</v>
      </c>
      <c r="H4" s="95"/>
      <c r="I4" s="95"/>
      <c r="J4" s="95"/>
      <c r="K4" s="95"/>
      <c r="L4" s="95"/>
      <c r="M4" s="95"/>
      <c r="N4" s="95"/>
      <c r="O4" s="95"/>
      <c r="P4" s="95"/>
      <c r="Q4" s="95"/>
    </row>
    <row r="5" spans="1:19" s="68" customFormat="1" ht="18" customHeight="1" thickBot="1" x14ac:dyDescent="0.25">
      <c r="A5" s="94" t="s">
        <v>23</v>
      </c>
      <c r="B5" s="94"/>
      <c r="C5" s="94"/>
      <c r="D5" s="94"/>
      <c r="E5" s="94"/>
      <c r="F5" s="94"/>
      <c r="G5" s="95" t="s">
        <v>24</v>
      </c>
      <c r="H5" s="95"/>
      <c r="I5" s="95"/>
      <c r="J5" s="95"/>
      <c r="K5" s="95"/>
      <c r="L5" s="95"/>
      <c r="M5" s="95"/>
      <c r="N5" s="95"/>
      <c r="O5" s="95"/>
      <c r="P5" s="95"/>
      <c r="Q5" s="95"/>
    </row>
    <row r="6" spans="1:19" s="68" customFormat="1" ht="18" customHeight="1" thickBot="1" x14ac:dyDescent="0.25">
      <c r="A6" s="94" t="s">
        <v>25</v>
      </c>
      <c r="B6" s="94"/>
      <c r="C6" s="94"/>
      <c r="D6" s="94"/>
      <c r="E6" s="94"/>
      <c r="F6" s="94"/>
      <c r="G6" s="95" t="s">
        <v>67</v>
      </c>
      <c r="H6" s="95"/>
      <c r="I6" s="95"/>
      <c r="J6" s="95"/>
      <c r="K6" s="95"/>
      <c r="L6" s="95"/>
      <c r="M6" s="95"/>
      <c r="N6" s="95"/>
      <c r="O6" s="95"/>
      <c r="P6" s="95"/>
      <c r="Q6" s="95"/>
    </row>
    <row r="7" spans="1:19" s="68" customFormat="1" ht="23.25" customHeight="1" thickBot="1" x14ac:dyDescent="0.25">
      <c r="A7" s="94" t="s">
        <v>26</v>
      </c>
      <c r="B7" s="94"/>
      <c r="C7" s="94"/>
      <c r="D7" s="94"/>
      <c r="E7" s="94"/>
      <c r="F7" s="94"/>
      <c r="G7" s="95" t="s">
        <v>67</v>
      </c>
      <c r="H7" s="95"/>
      <c r="I7" s="95"/>
      <c r="J7" s="95"/>
      <c r="K7" s="95"/>
      <c r="L7" s="95"/>
      <c r="M7" s="95"/>
      <c r="N7" s="95"/>
      <c r="O7" s="95"/>
      <c r="P7" s="95"/>
      <c r="Q7" s="95"/>
    </row>
    <row r="8" spans="1:19" ht="18" customHeight="1" thickBot="1" x14ac:dyDescent="0.25">
      <c r="A8" s="102" t="s">
        <v>27</v>
      </c>
      <c r="B8" s="102"/>
      <c r="C8" s="102"/>
      <c r="D8" s="102"/>
      <c r="E8" s="102"/>
      <c r="F8" s="102"/>
      <c r="G8" s="102"/>
      <c r="H8" s="102"/>
      <c r="I8" s="102"/>
      <c r="J8" s="102"/>
      <c r="K8" s="102"/>
      <c r="L8" s="102"/>
      <c r="M8" s="102"/>
      <c r="N8" s="102"/>
      <c r="O8" s="102"/>
      <c r="P8" s="102"/>
      <c r="Q8" s="102"/>
    </row>
    <row r="9" spans="1:19" ht="18" customHeight="1" x14ac:dyDescent="0.2">
      <c r="A9" s="103" t="s">
        <v>28</v>
      </c>
      <c r="B9" s="103"/>
      <c r="C9" s="103"/>
      <c r="D9" s="103"/>
      <c r="E9" s="103"/>
      <c r="F9" s="103"/>
      <c r="G9" s="103"/>
      <c r="H9" s="103"/>
      <c r="I9" s="103"/>
      <c r="J9" s="103"/>
      <c r="K9" s="103"/>
      <c r="L9" s="103"/>
      <c r="M9" s="103"/>
      <c r="N9" s="103"/>
      <c r="O9" s="103"/>
      <c r="P9" s="103"/>
      <c r="Q9" s="103"/>
    </row>
    <row r="10" spans="1:19" ht="66" customHeight="1" x14ac:dyDescent="0.2">
      <c r="A10" s="104" t="s">
        <v>70</v>
      </c>
      <c r="B10" s="104"/>
      <c r="C10" s="104"/>
      <c r="D10" s="104"/>
      <c r="E10" s="104"/>
      <c r="F10" s="104"/>
      <c r="G10" s="104"/>
      <c r="H10" s="104"/>
      <c r="I10" s="104"/>
      <c r="J10" s="104"/>
      <c r="K10" s="104"/>
      <c r="L10" s="104"/>
      <c r="M10" s="104"/>
      <c r="N10" s="104"/>
      <c r="O10" s="104"/>
      <c r="P10" s="104"/>
      <c r="Q10" s="104"/>
    </row>
    <row r="11" spans="1:19" ht="9" customHeight="1" thickBot="1" x14ac:dyDescent="0.25">
      <c r="A11" s="40"/>
      <c r="B11" s="41"/>
      <c r="C11" s="41"/>
      <c r="D11" s="41"/>
      <c r="E11" s="41"/>
      <c r="F11" s="41"/>
      <c r="G11" s="42"/>
      <c r="H11" s="41"/>
      <c r="I11" s="41"/>
      <c r="J11" s="41"/>
      <c r="K11" s="41"/>
      <c r="L11" s="41"/>
      <c r="M11" s="41"/>
      <c r="N11" s="41"/>
      <c r="O11" s="41"/>
      <c r="P11" s="41"/>
      <c r="Q11" s="43"/>
    </row>
    <row r="12" spans="1:19" ht="27.75" customHeight="1" thickBot="1" x14ac:dyDescent="0.25">
      <c r="A12" s="105" t="s">
        <v>29</v>
      </c>
      <c r="B12" s="105"/>
      <c r="C12" s="105"/>
      <c r="D12" s="105"/>
      <c r="E12" s="105"/>
      <c r="F12" s="105"/>
      <c r="G12" s="105"/>
      <c r="H12" s="105"/>
      <c r="I12" s="105"/>
      <c r="J12" s="105"/>
      <c r="K12" s="105"/>
      <c r="L12" s="105"/>
      <c r="M12" s="105"/>
      <c r="N12" s="105"/>
      <c r="O12" s="105"/>
      <c r="P12" s="105"/>
      <c r="Q12" s="105"/>
    </row>
    <row r="13" spans="1:19" ht="27.75" customHeight="1" thickBot="1" x14ac:dyDescent="0.25">
      <c r="A13" s="106" t="s">
        <v>30</v>
      </c>
      <c r="B13" s="106"/>
      <c r="C13" s="106"/>
      <c r="D13" s="106"/>
      <c r="E13" s="106"/>
      <c r="F13" s="106"/>
      <c r="G13" s="106"/>
      <c r="H13" s="106"/>
      <c r="I13" s="106"/>
      <c r="J13" s="106"/>
      <c r="K13" s="106"/>
      <c r="L13" s="106"/>
      <c r="M13" s="106"/>
      <c r="N13" s="106"/>
      <c r="O13" s="107" t="s">
        <v>31</v>
      </c>
      <c r="P13" s="107"/>
      <c r="Q13" s="107" t="s">
        <v>32</v>
      </c>
    </row>
    <row r="14" spans="1:19" ht="27.75" customHeight="1" thickBot="1" x14ac:dyDescent="0.25">
      <c r="A14" s="44" t="s">
        <v>33</v>
      </c>
      <c r="B14" s="45" t="s">
        <v>34</v>
      </c>
      <c r="C14" s="45" t="s">
        <v>35</v>
      </c>
      <c r="D14" s="45" t="s">
        <v>36</v>
      </c>
      <c r="E14" s="45" t="s">
        <v>37</v>
      </c>
      <c r="F14" s="45" t="s">
        <v>38</v>
      </c>
      <c r="G14" s="46" t="s">
        <v>39</v>
      </c>
      <c r="H14" s="45" t="s">
        <v>40</v>
      </c>
      <c r="I14" s="45" t="s">
        <v>41</v>
      </c>
      <c r="J14" s="45" t="s">
        <v>42</v>
      </c>
      <c r="K14" s="45" t="s">
        <v>42</v>
      </c>
      <c r="L14" s="45" t="s">
        <v>43</v>
      </c>
      <c r="M14" s="47" t="s">
        <v>44</v>
      </c>
      <c r="N14" s="48" t="s">
        <v>45</v>
      </c>
      <c r="O14" s="107"/>
      <c r="P14" s="107"/>
      <c r="Q14" s="107"/>
    </row>
    <row r="15" spans="1:19" ht="27.75" customHeight="1" x14ac:dyDescent="0.2">
      <c r="A15" s="49">
        <v>34</v>
      </c>
      <c r="B15" s="50">
        <v>0</v>
      </c>
      <c r="C15" s="50">
        <v>0</v>
      </c>
      <c r="D15" s="50">
        <v>1</v>
      </c>
      <c r="E15" s="50">
        <v>0</v>
      </c>
      <c r="F15" s="50">
        <v>4901</v>
      </c>
      <c r="G15" s="50">
        <v>3</v>
      </c>
      <c r="H15" s="50">
        <v>4</v>
      </c>
      <c r="I15" s="50">
        <v>2</v>
      </c>
      <c r="J15" s="50">
        <v>1</v>
      </c>
      <c r="K15" s="50">
        <v>1</v>
      </c>
      <c r="L15" s="50">
        <v>0</v>
      </c>
      <c r="M15" s="51">
        <v>1</v>
      </c>
      <c r="N15" s="50" t="s">
        <v>46</v>
      </c>
      <c r="O15" s="100" t="s">
        <v>48</v>
      </c>
      <c r="P15" s="101"/>
      <c r="Q15" s="52">
        <f>NP!J13</f>
        <v>1350000</v>
      </c>
      <c r="S15" s="69"/>
    </row>
    <row r="16" spans="1:19" ht="17.25" customHeight="1" x14ac:dyDescent="0.2">
      <c r="A16" s="53"/>
      <c r="B16" s="54"/>
      <c r="C16" s="54"/>
      <c r="D16" s="54"/>
      <c r="E16" s="54"/>
      <c r="F16" s="54"/>
      <c r="G16" s="54"/>
      <c r="H16" s="54"/>
      <c r="I16" s="54"/>
      <c r="J16" s="54"/>
      <c r="K16" s="54"/>
      <c r="L16" s="54"/>
      <c r="M16" s="55"/>
      <c r="N16" s="54"/>
      <c r="O16" s="109"/>
      <c r="P16" s="109"/>
      <c r="Q16" s="56"/>
    </row>
    <row r="17" spans="1:18" ht="17.25" customHeight="1" x14ac:dyDescent="0.2">
      <c r="A17" s="53"/>
      <c r="B17" s="54"/>
      <c r="C17" s="54"/>
      <c r="D17" s="54"/>
      <c r="E17" s="54"/>
      <c r="F17" s="54"/>
      <c r="G17" s="54"/>
      <c r="H17" s="54"/>
      <c r="I17" s="54"/>
      <c r="J17" s="54"/>
      <c r="K17" s="54"/>
      <c r="L17" s="54"/>
      <c r="M17" s="55"/>
      <c r="N17" s="57"/>
      <c r="O17" s="110"/>
      <c r="P17" s="110"/>
      <c r="Q17" s="56"/>
    </row>
    <row r="18" spans="1:18" ht="17.25" customHeight="1" x14ac:dyDescent="0.2">
      <c r="A18" s="53"/>
      <c r="B18" s="54"/>
      <c r="C18" s="54"/>
      <c r="D18" s="54"/>
      <c r="E18" s="54"/>
      <c r="F18" s="54"/>
      <c r="G18" s="54"/>
      <c r="H18" s="54"/>
      <c r="I18" s="54"/>
      <c r="J18" s="54"/>
      <c r="K18" s="54"/>
      <c r="L18" s="54"/>
      <c r="M18" s="55"/>
      <c r="N18" s="57"/>
      <c r="O18" s="110"/>
      <c r="P18" s="110"/>
      <c r="Q18" s="56"/>
    </row>
    <row r="19" spans="1:18" ht="17.25" customHeight="1" x14ac:dyDescent="0.2">
      <c r="A19" s="53"/>
      <c r="B19" s="54"/>
      <c r="C19" s="54"/>
      <c r="D19" s="54"/>
      <c r="E19" s="54"/>
      <c r="F19" s="57"/>
      <c r="G19" s="54"/>
      <c r="H19" s="54"/>
      <c r="I19" s="54"/>
      <c r="J19" s="54"/>
      <c r="K19" s="54"/>
      <c r="L19" s="54"/>
      <c r="M19" s="55"/>
      <c r="N19" s="57"/>
      <c r="O19" s="108"/>
      <c r="P19" s="108"/>
      <c r="Q19" s="56"/>
    </row>
    <row r="20" spans="1:18" ht="17.25" customHeight="1" x14ac:dyDescent="0.2">
      <c r="A20" s="53"/>
      <c r="B20" s="54"/>
      <c r="C20" s="54"/>
      <c r="D20" s="54"/>
      <c r="E20" s="54"/>
      <c r="F20" s="57"/>
      <c r="G20" s="54"/>
      <c r="H20" s="54"/>
      <c r="I20" s="54"/>
      <c r="J20" s="54"/>
      <c r="K20" s="54"/>
      <c r="L20" s="54"/>
      <c r="M20" s="55"/>
      <c r="N20" s="57"/>
      <c r="O20" s="108"/>
      <c r="P20" s="108"/>
      <c r="Q20" s="56"/>
    </row>
    <row r="21" spans="1:18" ht="17.25" customHeight="1" x14ac:dyDescent="0.2">
      <c r="A21" s="58"/>
      <c r="B21" s="59"/>
      <c r="C21" s="59"/>
      <c r="D21" s="59"/>
      <c r="E21" s="59"/>
      <c r="F21" s="60"/>
      <c r="G21" s="59"/>
      <c r="H21" s="59"/>
      <c r="I21" s="59"/>
      <c r="J21" s="59"/>
      <c r="K21" s="59"/>
      <c r="L21" s="59"/>
      <c r="M21" s="61"/>
      <c r="N21" s="62"/>
      <c r="O21" s="114"/>
      <c r="P21" s="114"/>
      <c r="Q21" s="56"/>
      <c r="R21" s="36"/>
    </row>
    <row r="22" spans="1:18" ht="17.25" customHeight="1" thickBot="1" x14ac:dyDescent="0.25">
      <c r="A22" s="63"/>
      <c r="B22" s="64"/>
      <c r="C22" s="64"/>
      <c r="D22" s="64"/>
      <c r="E22" s="64"/>
      <c r="F22" s="64"/>
      <c r="G22" s="64"/>
      <c r="H22" s="64"/>
      <c r="I22" s="64"/>
      <c r="J22" s="64"/>
      <c r="K22" s="64"/>
      <c r="L22" s="64"/>
      <c r="M22" s="65"/>
      <c r="N22" s="64"/>
      <c r="O22" s="115"/>
      <c r="P22" s="115"/>
      <c r="Q22" s="66"/>
    </row>
    <row r="23" spans="1:18" ht="35.25" customHeight="1" thickBot="1" x14ac:dyDescent="0.25">
      <c r="A23" s="116" t="s">
        <v>66</v>
      </c>
      <c r="B23" s="117"/>
      <c r="C23" s="117"/>
      <c r="D23" s="117"/>
      <c r="E23" s="117"/>
      <c r="F23" s="117"/>
      <c r="G23" s="117"/>
      <c r="H23" s="117"/>
      <c r="I23" s="117"/>
      <c r="J23" s="117"/>
      <c r="K23" s="117"/>
      <c r="L23" s="117"/>
      <c r="M23" s="117"/>
      <c r="N23" s="117"/>
      <c r="O23" s="117"/>
      <c r="P23" s="118"/>
      <c r="Q23" s="67">
        <f>SUM(Q15:Q22)</f>
        <v>1350000</v>
      </c>
    </row>
    <row r="24" spans="1:18" ht="18" customHeight="1" thickBot="1" x14ac:dyDescent="0.25">
      <c r="A24" s="119"/>
      <c r="B24" s="119"/>
      <c r="C24" s="119"/>
      <c r="D24" s="119"/>
      <c r="E24" s="119"/>
      <c r="F24" s="119"/>
      <c r="G24" s="119"/>
      <c r="H24" s="119"/>
      <c r="I24" s="119"/>
      <c r="J24" s="119"/>
      <c r="K24" s="119"/>
      <c r="L24" s="119"/>
      <c r="M24" s="119"/>
      <c r="N24" s="119"/>
      <c r="O24" s="119"/>
      <c r="P24" s="119"/>
      <c r="Q24" s="119"/>
    </row>
    <row r="25" spans="1:18" ht="17.25" customHeight="1" thickBot="1" x14ac:dyDescent="0.25">
      <c r="A25" s="120" t="s">
        <v>47</v>
      </c>
      <c r="B25" s="120"/>
      <c r="C25" s="120"/>
      <c r="D25" s="120"/>
      <c r="E25" s="120"/>
      <c r="F25" s="120"/>
      <c r="G25" s="121"/>
      <c r="H25" s="121"/>
      <c r="I25" s="121"/>
      <c r="J25" s="121"/>
      <c r="K25" s="121"/>
      <c r="L25" s="121"/>
      <c r="M25" s="121"/>
      <c r="N25" s="121"/>
      <c r="O25" s="121"/>
      <c r="P25" s="121"/>
      <c r="Q25" s="121"/>
    </row>
    <row r="26" spans="1:18" ht="18" customHeight="1" thickBot="1" x14ac:dyDescent="0.25">
      <c r="A26" s="113" t="s">
        <v>71</v>
      </c>
      <c r="B26" s="113"/>
      <c r="C26" s="113"/>
      <c r="D26" s="113"/>
      <c r="E26" s="113"/>
      <c r="F26" s="113"/>
      <c r="G26" s="113"/>
      <c r="H26" s="113"/>
      <c r="I26" s="113"/>
      <c r="J26" s="113"/>
      <c r="K26" s="113"/>
      <c r="L26" s="113"/>
      <c r="M26" s="113"/>
      <c r="N26" s="113"/>
      <c r="O26" s="113"/>
      <c r="P26" s="113"/>
      <c r="Q26" s="113"/>
    </row>
    <row r="27" spans="1:18" ht="55.5" customHeight="1" thickBot="1" x14ac:dyDescent="0.25">
      <c r="A27" s="113"/>
      <c r="B27" s="113"/>
      <c r="C27" s="113"/>
      <c r="D27" s="113"/>
      <c r="E27" s="113"/>
      <c r="F27" s="113"/>
      <c r="G27" s="113"/>
      <c r="H27" s="113"/>
      <c r="I27" s="113"/>
      <c r="J27" s="113"/>
      <c r="K27" s="113"/>
      <c r="L27" s="113"/>
      <c r="M27" s="113"/>
      <c r="N27" s="113"/>
      <c r="O27" s="113"/>
      <c r="P27" s="113"/>
      <c r="Q27" s="113"/>
    </row>
    <row r="29" spans="1:18" ht="42" customHeight="1" x14ac:dyDescent="0.2">
      <c r="A29" s="111"/>
      <c r="B29" s="112"/>
      <c r="C29" s="112"/>
      <c r="D29" s="112"/>
      <c r="E29" s="112"/>
      <c r="F29" s="112"/>
      <c r="G29" s="112"/>
      <c r="H29" s="112"/>
      <c r="I29" s="112"/>
      <c r="J29" s="112"/>
      <c r="K29" s="112"/>
      <c r="L29" s="112"/>
      <c r="M29" s="112"/>
      <c r="N29" s="112"/>
      <c r="O29" s="112"/>
      <c r="P29" s="112"/>
      <c r="Q29" s="112"/>
    </row>
    <row r="30" spans="1:18" x14ac:dyDescent="0.2">
      <c r="A30" s="112"/>
      <c r="B30" s="112"/>
      <c r="C30" s="112"/>
      <c r="D30" s="112"/>
      <c r="E30" s="112"/>
      <c r="F30" s="112"/>
      <c r="G30" s="112"/>
      <c r="H30" s="112"/>
      <c r="I30" s="112"/>
      <c r="J30" s="112"/>
      <c r="K30" s="112"/>
      <c r="L30" s="112"/>
      <c r="M30" s="112"/>
      <c r="N30" s="112"/>
      <c r="O30" s="112"/>
      <c r="P30" s="112"/>
      <c r="Q30" s="112"/>
    </row>
  </sheetData>
  <mergeCells count="32">
    <mergeCell ref="A29:Q30"/>
    <mergeCell ref="A26:Q27"/>
    <mergeCell ref="O21:P21"/>
    <mergeCell ref="O22:P22"/>
    <mergeCell ref="A23:P23"/>
    <mergeCell ref="A24:Q24"/>
    <mergeCell ref="A25:F25"/>
    <mergeCell ref="G25:Q25"/>
    <mergeCell ref="O19:P19"/>
    <mergeCell ref="O20:P20"/>
    <mergeCell ref="O16:P16"/>
    <mergeCell ref="O17:P17"/>
    <mergeCell ref="O18:P18"/>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topLeftCell="A7" workbookViewId="0">
      <selection activeCell="G16" sqref="G16"/>
    </sheetView>
  </sheetViews>
  <sheetFormatPr baseColWidth="10" defaultColWidth="9.140625" defaultRowHeight="12.75" x14ac:dyDescent="0.2"/>
  <cols>
    <col min="1" max="1" width="5.5703125" style="83" customWidth="1"/>
    <col min="2" max="2" width="15.140625" style="83" customWidth="1"/>
    <col min="3" max="3" width="14.140625" style="83" customWidth="1"/>
    <col min="4" max="4" width="26" style="83" customWidth="1"/>
    <col min="5" max="5" width="8" style="83" customWidth="1"/>
    <col min="6" max="6" width="7.85546875" style="83" customWidth="1"/>
    <col min="7" max="7" width="32.28515625" style="83" customWidth="1"/>
    <col min="8" max="8" width="9.28515625" style="83" customWidth="1"/>
    <col min="9" max="9" width="15.5703125" style="83" customWidth="1"/>
    <col min="10" max="10" width="14.7109375" style="83" customWidth="1"/>
    <col min="11" max="11" width="15.5703125" style="83" customWidth="1"/>
    <col min="12" max="14" width="5.85546875" style="83" customWidth="1"/>
    <col min="15" max="15" width="12.5703125" style="83" customWidth="1"/>
    <col min="16" max="1024" width="9.140625" style="83"/>
  </cols>
  <sheetData>
    <row r="1" spans="1:1024" ht="30.75" thickBot="1" x14ac:dyDescent="0.25">
      <c r="A1" s="124" t="s">
        <v>49</v>
      </c>
      <c r="B1" s="124"/>
      <c r="C1" s="124"/>
      <c r="D1" s="124"/>
      <c r="E1" s="124"/>
      <c r="F1" s="124"/>
      <c r="G1" s="124"/>
      <c r="H1" s="124"/>
      <c r="I1" s="124"/>
      <c r="J1" s="71" t="s">
        <v>50</v>
      </c>
      <c r="K1" s="89" t="s">
        <v>69</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16.5" thickBot="1" x14ac:dyDescent="0.25">
      <c r="A2" s="72"/>
      <c r="B2" s="73"/>
      <c r="C2" s="73"/>
      <c r="D2" s="74"/>
      <c r="E2" s="74"/>
      <c r="F2" s="74"/>
      <c r="G2" s="74"/>
      <c r="H2" s="74"/>
      <c r="I2" s="74"/>
      <c r="J2" s="74"/>
      <c r="K2" s="75"/>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16.5" thickBot="1" x14ac:dyDescent="0.25">
      <c r="A3" s="125" t="s">
        <v>51</v>
      </c>
      <c r="B3" s="125"/>
      <c r="C3" s="125"/>
      <c r="D3" s="123" t="s">
        <v>22</v>
      </c>
      <c r="E3" s="123"/>
      <c r="F3" s="123"/>
      <c r="G3" s="123"/>
      <c r="H3" s="123"/>
      <c r="I3" s="123"/>
      <c r="J3" s="123"/>
      <c r="K3" s="12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16.5" thickBot="1" x14ac:dyDescent="0.25">
      <c r="A4" s="122" t="s">
        <v>23</v>
      </c>
      <c r="B4" s="122"/>
      <c r="C4" s="122"/>
      <c r="D4" s="123" t="s">
        <v>52</v>
      </c>
      <c r="E4" s="123"/>
      <c r="F4" s="123"/>
      <c r="G4" s="123"/>
      <c r="H4" s="123"/>
      <c r="I4" s="123"/>
      <c r="J4" s="123"/>
      <c r="K4" s="123"/>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6.5" thickBot="1" x14ac:dyDescent="0.25">
      <c r="A5" s="122" t="s">
        <v>25</v>
      </c>
      <c r="B5" s="122"/>
      <c r="C5" s="122"/>
      <c r="D5" s="123" t="s">
        <v>68</v>
      </c>
      <c r="E5" s="123"/>
      <c r="F5" s="123"/>
      <c r="G5" s="123"/>
      <c r="H5" s="123"/>
      <c r="I5" s="123"/>
      <c r="J5" s="123"/>
      <c r="K5" s="123"/>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6.5" customHeight="1" thickBot="1" x14ac:dyDescent="0.25">
      <c r="A6" s="125" t="s">
        <v>26</v>
      </c>
      <c r="B6" s="125"/>
      <c r="C6" s="125"/>
      <c r="D6" s="123" t="s">
        <v>68</v>
      </c>
      <c r="E6" s="123"/>
      <c r="F6" s="123"/>
      <c r="G6" s="123"/>
      <c r="H6" s="123"/>
      <c r="I6" s="123"/>
      <c r="J6" s="123"/>
      <c r="K6" s="123"/>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16.5" thickBot="1" x14ac:dyDescent="0.25">
      <c r="A7" s="122" t="s">
        <v>53</v>
      </c>
      <c r="B7" s="122"/>
      <c r="C7" s="122"/>
      <c r="D7" s="123" t="s">
        <v>62</v>
      </c>
      <c r="E7" s="123"/>
      <c r="F7" s="123"/>
      <c r="G7" s="123"/>
      <c r="H7" s="123"/>
      <c r="I7" s="123"/>
      <c r="J7" s="123"/>
      <c r="K7" s="123"/>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24" customHeight="1" thickBot="1" x14ac:dyDescent="0.25">
      <c r="A8" s="126" t="s">
        <v>54</v>
      </c>
      <c r="B8" s="126"/>
      <c r="C8" s="126"/>
      <c r="D8" s="127" t="s">
        <v>72</v>
      </c>
      <c r="E8" s="127"/>
      <c r="F8" s="127"/>
      <c r="G8" s="127"/>
      <c r="H8" s="127"/>
      <c r="I8" s="127"/>
      <c r="J8" s="127"/>
      <c r="K8" s="127"/>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16.5" thickBot="1" x14ac:dyDescent="0.25">
      <c r="A9" s="76"/>
      <c r="B9" s="77"/>
      <c r="C9" s="77"/>
      <c r="D9" s="78"/>
      <c r="E9" s="78"/>
      <c r="F9" s="78"/>
      <c r="G9" s="78"/>
      <c r="H9" s="78"/>
      <c r="I9" s="78"/>
      <c r="J9" s="78"/>
      <c r="K9" s="7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13.5" thickBot="1" x14ac:dyDescent="0.25">
      <c r="A10" s="134" t="s">
        <v>55</v>
      </c>
      <c r="B10" s="135" t="s">
        <v>56</v>
      </c>
      <c r="C10" s="135" t="s">
        <v>57</v>
      </c>
      <c r="D10" s="135"/>
      <c r="E10" s="135"/>
      <c r="F10" s="135"/>
      <c r="G10" s="135"/>
      <c r="H10" s="135" t="s">
        <v>58</v>
      </c>
      <c r="I10" s="135" t="s">
        <v>59</v>
      </c>
      <c r="J10" s="135" t="s">
        <v>60</v>
      </c>
      <c r="K10" s="130" t="s">
        <v>61</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x14ac:dyDescent="0.2">
      <c r="A11" s="134"/>
      <c r="B11" s="135"/>
      <c r="C11" s="135"/>
      <c r="D11" s="135"/>
      <c r="E11" s="135"/>
      <c r="F11" s="135"/>
      <c r="G11" s="135"/>
      <c r="H11" s="135"/>
      <c r="I11" s="135"/>
      <c r="J11" s="135"/>
      <c r="K11" s="130"/>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37.5" customHeight="1" x14ac:dyDescent="0.2">
      <c r="A12" s="85">
        <v>1</v>
      </c>
      <c r="B12" s="90" t="s">
        <v>73</v>
      </c>
      <c r="C12" s="131" t="s">
        <v>74</v>
      </c>
      <c r="D12" s="132"/>
      <c r="E12" s="132"/>
      <c r="F12" s="132"/>
      <c r="G12" s="133"/>
      <c r="H12" s="80" t="s">
        <v>63</v>
      </c>
      <c r="I12" s="81" t="s">
        <v>1</v>
      </c>
      <c r="J12" s="82">
        <v>450</v>
      </c>
      <c r="K12" s="86">
        <v>3000</v>
      </c>
      <c r="L12" s="69"/>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19.5" thickBot="1" x14ac:dyDescent="0.25">
      <c r="A13" s="128" t="s">
        <v>65</v>
      </c>
      <c r="B13" s="128"/>
      <c r="C13" s="128"/>
      <c r="D13" s="128"/>
      <c r="E13" s="128"/>
      <c r="F13" s="128"/>
      <c r="G13" s="128"/>
      <c r="H13" s="128"/>
      <c r="I13" s="128"/>
      <c r="J13" s="129">
        <f>J12*K12</f>
        <v>1350000</v>
      </c>
      <c r="K13" s="129"/>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x14ac:dyDescent="0.2">
      <c r="J14" s="8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sheetData>
  <mergeCells count="23">
    <mergeCell ref="A13:I13"/>
    <mergeCell ref="J13:K13"/>
    <mergeCell ref="K10:K11"/>
    <mergeCell ref="C12:G12"/>
    <mergeCell ref="A10:A11"/>
    <mergeCell ref="B10:B11"/>
    <mergeCell ref="C10:G11"/>
    <mergeCell ref="H10:H11"/>
    <mergeCell ref="I10:I11"/>
    <mergeCell ref="J10:J11"/>
    <mergeCell ref="A6:C6"/>
    <mergeCell ref="D6:K6"/>
    <mergeCell ref="A7:C7"/>
    <mergeCell ref="D7:K7"/>
    <mergeCell ref="A8:C8"/>
    <mergeCell ref="D8:K8"/>
    <mergeCell ref="A5:C5"/>
    <mergeCell ref="D5:K5"/>
    <mergeCell ref="A1:I1"/>
    <mergeCell ref="A3:C3"/>
    <mergeCell ref="D3:K3"/>
    <mergeCell ref="A4:C4"/>
    <mergeCell ref="D4:K4"/>
  </mergeCells>
  <pageMargins left="0.70866141732283472" right="0.70866141732283472" top="0.74803149606299213" bottom="0.74803149606299213" header="0.31496062992125984" footer="0.31496062992125984"/>
  <pageSetup paperSize="9" scale="80"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APG</vt:lpstr>
      <vt:lpstr>NP</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COMPRAS</cp:lastModifiedBy>
  <cp:revision>3</cp:revision>
  <cp:lastPrinted>2022-03-10T13:30:45Z</cp:lastPrinted>
  <dcterms:created xsi:type="dcterms:W3CDTF">2020-07-17T23:44:49Z</dcterms:created>
  <dcterms:modified xsi:type="dcterms:W3CDTF">2022-03-28T14:04:56Z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