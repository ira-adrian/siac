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ANEXO I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<sst xmlns="http://schemas.openxmlformats.org/spreadsheetml/2006/main" count="89" uniqueCount="65">
  <si>
    <t xml:space="preserve">Pedido de Necesidades Trimestrales</t>
  </si>
  <si>
    <t xml:space="preserve">JURISDICCION:</t>
  </si>
  <si>
    <t xml:space="preserve">90 - MINISTERIO DE SEGURIDAD</t>
  </si>
  <si>
    <t xml:space="preserve">SAF N°: </t>
  </si>
  <si>
    <t xml:space="preserve">08 - DIRECCION GENERAL SERVICIO PENITENCIARIO PROVINCIAL</t>
  </si>
  <si>
    <t xml:space="preserve">EJERCICIO:</t>
  </si>
  <si>
    <t xml:space="preserve">TRIMESTRE:</t>
  </si>
  <si>
    <t xml:space="preserve">ID</t>
  </si>
  <si>
    <t xml:space="preserve">CODIGO ITEM</t>
  </si>
  <si>
    <t xml:space="preserve">RUBRO DE COMPRA</t>
  </si>
  <si>
    <t xml:space="preserve">I.P.P. </t>
  </si>
  <si>
    <t xml:space="preserve">DESCRIPCION</t>
  </si>
  <si>
    <t xml:space="preserve">UNIDAD DE MEDIDA</t>
  </si>
  <si>
    <t xml:space="preserve">CANTIDAD</t>
  </si>
  <si>
    <t xml:space="preserve">PRECIO UNITARIO ESTIMADO</t>
  </si>
  <si>
    <t xml:space="preserve">IMPORTE TOTAL ESTIMADO </t>
  </si>
  <si>
    <t xml:space="preserve">2.2.2-6738.157</t>
  </si>
  <si>
    <t xml:space="preserve">INDUMENT TEXTIL Y CONFECCIONES</t>
  </si>
  <si>
    <t xml:space="preserve">2.2.2</t>
  </si>
  <si>
    <t xml:space="preserve">PANTALONES; TIPO: P/FUERZA DE SEGURIDAD, TELA: ANTIDESGARRO, SEXO: UNISEX</t>
  </si>
  <si>
    <t xml:space="preserve">UNIDAD</t>
  </si>
  <si>
    <t xml:space="preserve">2.2.2-6731.151</t>
  </si>
  <si>
    <t xml:space="preserve">CAMISAS; TIPO: P/FUERZA DE SEGURIDAD, TELA: ALGODON/POLIESTER, MANGA: LARGA, COSTURA: OVERLOCK, BOLSILLO: 2</t>
  </si>
  <si>
    <t xml:space="preserve">2.2.2-2859.23</t>
  </si>
  <si>
    <t xml:space="preserve">REMERAS; MATERIAL PIQUE - MANGA CORTA</t>
  </si>
  <si>
    <t xml:space="preserve">2.2.2-6728.85</t>
  </si>
  <si>
    <t xml:space="preserve">CALZADO DE SEGURIDAD; TIPO: BORCEGUI TACTICO, SUELA: ANTIDESLIZANTE, PUNTERA: CON, MATERIAL: CUERO FLOR</t>
  </si>
  <si>
    <t xml:space="preserve">Especificidades Items:</t>
  </si>
  <si>
    <t xml:space="preserve">Descripción técnica:</t>
  </si>
  <si>
    <r>
      <rPr>
        <b val="true"/>
        <u val="single"/>
        <sz val="10"/>
        <rFont val="Times New Roman"/>
        <family val="1"/>
        <charset val="1"/>
      </rPr>
      <t xml:space="preserve">Item N° 1</t>
    </r>
    <r>
      <rPr>
        <sz val="10"/>
        <rFont val="Times New Roman"/>
        <family val="1"/>
        <charset val="1"/>
      </rPr>
      <t xml:space="preserve"> - Pantalones: 410 pantalones color Gris Topo y 50 Pantalones color Negro. CARACTERISTICAS: Tipo bombacha de combate, con refuerzos, corte unisex según tabla de talles de ANEXO I.
</t>
    </r>
    <r>
      <rPr>
        <b val="true"/>
        <u val="single"/>
        <sz val="10"/>
        <rFont val="Times New Roman"/>
        <family val="1"/>
        <charset val="1"/>
      </rPr>
      <t xml:space="preserve">Item N° 2</t>
    </r>
    <r>
      <rPr>
        <sz val="10"/>
        <rFont val="Times New Roman"/>
        <family val="1"/>
        <charset val="1"/>
      </rPr>
      <t xml:space="preserve"> - Camisas: 410 camisas color celeste y 50 camisas color negro. Composicion: 70 % Algodón, 30 % Poliester según tabla de talles de ANEXO I.
</t>
    </r>
    <r>
      <rPr>
        <b val="true"/>
        <u val="single"/>
        <sz val="10"/>
        <color rgb="FFFF0000"/>
        <rFont val="Times New Roman"/>
        <family val="1"/>
        <charset val="1"/>
      </rPr>
      <t xml:space="preserve">I</t>
    </r>
    <r>
      <rPr>
        <b val="true"/>
        <u val="single"/>
        <sz val="10"/>
        <rFont val="Times New Roman"/>
        <family val="1"/>
        <charset val="1"/>
      </rPr>
      <t xml:space="preserve">tem N° 3</t>
    </r>
    <r>
      <rPr>
        <sz val="10"/>
        <rFont val="Times New Roman"/>
        <family val="1"/>
        <charset val="1"/>
      </rPr>
      <t xml:space="preserve"> - Remeras: CON CIERRE COLOR NEGRO, SEXO UNISEX según tabla de talles de ANEXO I.
</t>
    </r>
    <r>
      <rPr>
        <b val="true"/>
        <u val="single"/>
        <sz val="10"/>
        <rFont val="Times New Roman"/>
        <family val="1"/>
        <charset val="1"/>
      </rPr>
      <t xml:space="preserve">Item N° 4</t>
    </r>
    <r>
      <rPr>
        <sz val="10"/>
        <rFont val="Times New Roman"/>
        <family val="1"/>
        <charset val="1"/>
      </rPr>
      <t xml:space="preserve"> - Borcegui: según tabla de talles de ANEXO I.</t>
    </r>
  </si>
  <si>
    <t xml:space="preserve">Plazos y lugares de entrega</t>
  </si>
  <si>
    <r>
      <rPr>
        <b val="true"/>
        <u val="single"/>
        <sz val="10"/>
        <rFont val="Times New Roman"/>
        <family val="1"/>
        <charset val="1"/>
      </rPr>
      <t xml:space="preserve">Plazo de Entrega:</t>
    </r>
    <r>
      <rPr>
        <sz val="10"/>
        <rFont val="Times New Roman"/>
        <family val="1"/>
        <charset val="1"/>
      </rPr>
      <t xml:space="preserve"> 10 dias habiles de recibida la Orden de Compras
</t>
    </r>
    <r>
      <rPr>
        <b val="true"/>
        <u val="single"/>
        <sz val="10"/>
        <rFont val="Times New Roman"/>
        <family val="1"/>
        <charset val="1"/>
      </rPr>
      <t xml:space="preserve">Lugar de Entrega:</t>
    </r>
    <r>
      <rPr>
        <sz val="10"/>
        <rFont val="Times New Roman"/>
        <family val="1"/>
        <charset val="1"/>
      </rPr>
      <t xml:space="preserve"> RN 38, km 558, Colonia del Valle, Capayan, Catamarca-Servicio Penitenciario.</t>
    </r>
  </si>
  <si>
    <t xml:space="preserve">Forma de Pago:</t>
  </si>
  <si>
    <t xml:space="preserve">Pago único, dentro de los 30 días desde la Recepción definitiva de los bienes.</t>
  </si>
  <si>
    <t xml:space="preserve">Calidad Minima esperada</t>
  </si>
  <si>
    <t xml:space="preserve">Primera Calidad-Productos Nuevos</t>
  </si>
  <si>
    <t xml:space="preserve">Mantenimiento de Oferta:</t>
  </si>
  <si>
    <t xml:space="preserve">30 Días.</t>
  </si>
  <si>
    <t xml:space="preserve">Garantia</t>
  </si>
  <si>
    <t xml:space="preserve">ANEXO I: TALLES UNIFORME SERVICIO PENITENCIARIO PROVINCIAL </t>
  </si>
  <si>
    <r>
      <rPr>
        <b val="true"/>
        <u val="single"/>
        <sz val="11"/>
        <color rgb="FF000000"/>
        <rFont val="Calibri"/>
        <family val="2"/>
        <charset val="1"/>
      </rPr>
      <t xml:space="preserve">ITEM N°1:</t>
    </r>
    <r>
      <rPr>
        <sz val="11"/>
        <color rgb="FF000000"/>
        <rFont val="Calibri"/>
        <family val="2"/>
        <charset val="1"/>
      </rPr>
      <t xml:space="preserve"> PANTALONES; TIPO: P/FUERZA DE SEGURIDAD, TELA: ANTIDESGARRO, SEXO: UNISEX</t>
    </r>
  </si>
  <si>
    <t xml:space="preserve">PANTALONES COLOR GRIS TOPO</t>
  </si>
  <si>
    <t xml:space="preserve">PANTALONES COLOR NEGRO</t>
  </si>
  <si>
    <t xml:space="preserve">TALLE</t>
  </si>
  <si>
    <t xml:space="preserve">TOTAL 2</t>
  </si>
  <si>
    <t xml:space="preserve">TOTAL 3</t>
  </si>
  <si>
    <t xml:space="preserve">TOTAL 1</t>
  </si>
  <si>
    <r>
      <rPr>
        <b val="true"/>
        <u val="single"/>
        <sz val="11"/>
        <color rgb="FF000000"/>
        <rFont val="Calibri"/>
        <family val="2"/>
        <charset val="1"/>
      </rPr>
      <t xml:space="preserve">ITEM N°2:</t>
    </r>
    <r>
      <rPr>
        <sz val="11"/>
        <color rgb="FF000000"/>
        <rFont val="Calibri"/>
        <family val="2"/>
        <charset val="1"/>
      </rPr>
      <t xml:space="preserve"> CAMISAS; TIPO: P/FUERZA DE SEGURIDAD, TELA: ALGODON/POLIESTER, MANGA: LARGA, COSTURA: OVERLOCK, BOLSILLO: 2</t>
    </r>
  </si>
  <si>
    <t xml:space="preserve">CAMISAS COLOR CELESTE</t>
  </si>
  <si>
    <t xml:space="preserve">CAMISAS COLOR NEGRO</t>
  </si>
  <si>
    <r>
      <rPr>
        <b val="true"/>
        <u val="single"/>
        <sz val="11"/>
        <color rgb="FF000000"/>
        <rFont val="Calibri"/>
        <family val="2"/>
        <charset val="1"/>
      </rPr>
      <t xml:space="preserve">ITEM N°3:</t>
    </r>
    <r>
      <rPr>
        <sz val="11"/>
        <color rgb="FF000000"/>
        <rFont val="Calibri"/>
        <family val="2"/>
        <charset val="1"/>
      </rPr>
      <t xml:space="preserve"> REMERAS; MATERIAL PIQUE - MANGA CORTA.</t>
    </r>
  </si>
  <si>
    <t xml:space="preserve">REMERAS COLOR NEGRO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</si>
  <si>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</si>
  <si>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</si>
  <si>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</si>
  <si>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</si>
  <si>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</si>
  <si>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</si>
  <si>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XXXL</t>
  </si>
  <si>
    <t xml:space="preserve">XXXXL</t>
  </si>
  <si>
    <t xml:space="preserve">XXXXXL</t>
  </si>
  <si>
    <t xml:space="preserve">TOTAL</t>
  </si>
  <si>
    <r>
      <rPr>
        <b val="true"/>
        <u val="single"/>
        <sz val="11"/>
        <color rgb="FF000000"/>
        <rFont val="Calibri"/>
        <family val="2"/>
        <charset val="1"/>
      </rPr>
      <t xml:space="preserve">ITEM N°4:</t>
    </r>
    <r>
      <rPr>
        <sz val="11"/>
        <color rgb="FF000000"/>
        <rFont val="Calibri"/>
        <family val="2"/>
        <charset val="1"/>
      </rPr>
      <t xml:space="preserve"> CALZADO DE SEGURIDAD; TIPO: BORCEGUI TACTICO, SUELA: ANTIDESLIZANTE, PUNTERA: CON, MATERIAL: CUERO FLOR</t>
    </r>
  </si>
  <si>
    <t xml:space="preserve">BORCEGUIES</t>
  </si>
  <si>
    <t xml:space="preserve">NUMERO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</si>
</sst>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$ &quot;* #,##0.00_-;&quot;-$ &quot;* #,##0.00_-;_-&quot;$ &quot;* \-??_-;_-@_-"/>
    <numFmt numFmtId="166" formatCode="_-[$$-2C0A]\ * #,##0.00_-;\-[$$-2C0A]\ * #,##0.00_-;_-[$$-2C0A]\ * \-??_-;_-@_-"/>
    <numFmt numFmtId="167" formatCode="General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22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4"/>
      <name val="Times New Roman"/>
      <family val="1"/>
      <charset val="1"/>
    </font>
    <font>
      <b val="true"/>
      <u val="single"/>
      <sz val="11"/>
      <name val="Times New Roman"/>
      <family val="1"/>
      <charset val="1"/>
    </font>
    <font>
      <b val="true"/>
      <u val="single"/>
      <sz val="10"/>
      <name val="Times New Roman"/>
      <family val="1"/>
      <charset val="1"/>
    </font>
    <font>
      <b val="true"/>
      <u val="single"/>
      <sz val="10"/>
      <color rgb="FFFF0000"/>
      <name val="Times New Roman"/>
      <family val="1"/>
      <charset val="1"/>
    </font>
    <font>
      <u val="single"/>
      <sz val="11"/>
      <name val="Times New Roman"/>
      <family val="1"/>
      <charset val="1"/>
    </font>
    <font>
      <b val="true"/>
      <u val="single"/>
      <sz val="14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color rgb="FFFFE699"/>
      <name val="Calibri"/>
      <family val="2"/>
      <charset val="1"/>
    </font>
    <font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  <fill>
      <patternFill patternType="solid">
        <fgColor rgb="FFAFABAB"/>
        <bgColor rgb="FF969696"/>
      </patternFill>
    </fill>
    <fill>
      <patternFill patternType="solid">
        <fgColor rgb="FF3B383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F99CC"/>
      </patternFill>
    </fill>
    <fill>
      <patternFill patternType="solid">
        <fgColor rgb="FFFFC000"/>
        <bgColor rgb="FFFF99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ck"/>
      <top style="medium"/>
      <bottom style="medium"/>
      <diagonal/>
    </border>
    <border diagonalUp="false" diagonalDown="false">
      <left style="thick"/>
      <right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0" xfId="1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1" fillId="0" borderId="5" xfId="1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2" xfId="1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1" fillId="0" borderId="11" xfId="1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6" xfId="1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1" fillId="0" borderId="15" xfId="1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5" borderId="2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6" borderId="2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6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I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RowHeight="13" zeroHeight="false" outlineLevelRow="0" outlineLevelCol="0"/>
  <cols>
    <col collapsed="false" customWidth="true" hidden="false" outlineLevel="0" max="1" min="1" style="1" width="4.82"/>
    <col collapsed="false" customWidth="true" hidden="false" outlineLevel="0" max="2" min="2" style="1" width="12.83"/>
    <col collapsed="false" customWidth="true" hidden="false" outlineLevel="0" max="3" min="3" style="1" width="18.82"/>
    <col collapsed="false" customWidth="true" hidden="false" outlineLevel="0" max="4" min="4" style="1" width="6.45"/>
    <col collapsed="false" customWidth="true" hidden="false" outlineLevel="0" max="5" min="5" style="1" width="80.27"/>
    <col collapsed="false" customWidth="true" hidden="false" outlineLevel="0" max="6" min="6" style="1" width="10.99"/>
    <col collapsed="false" customWidth="true" hidden="false" outlineLevel="0" max="7" min="7" style="1" width="12.71"/>
    <col collapsed="false" customWidth="true" hidden="false" outlineLevel="0" max="8" min="8" style="1" width="13.82"/>
    <col collapsed="false" customWidth="true" hidden="false" outlineLevel="0" max="9" min="9" style="1" width="18.54"/>
    <col collapsed="false" customWidth="true" hidden="false" outlineLevel="0" max="256" min="10" style="1" width="10.99"/>
    <col collapsed="false" customWidth="true" hidden="false" outlineLevel="0" max="257" min="257" style="1" width="4.82"/>
    <col collapsed="false" customWidth="true" hidden="false" outlineLevel="0" max="258" min="258" style="1" width="12.83"/>
    <col collapsed="false" customWidth="true" hidden="false" outlineLevel="0" max="259" min="259" style="1" width="33.18"/>
    <col collapsed="false" customWidth="true" hidden="false" outlineLevel="0" max="260" min="260" style="1" width="9.73"/>
    <col collapsed="false" customWidth="true" hidden="false" outlineLevel="0" max="261" min="261" style="1" width="80.27"/>
    <col collapsed="false" customWidth="true" hidden="false" outlineLevel="0" max="262" min="262" style="1" width="10.99"/>
    <col collapsed="false" customWidth="true" hidden="false" outlineLevel="0" max="263" min="263" style="1" width="12.71"/>
    <col collapsed="false" customWidth="true" hidden="false" outlineLevel="0" max="264" min="264" style="1" width="13.82"/>
    <col collapsed="false" customWidth="true" hidden="false" outlineLevel="0" max="265" min="265" style="1" width="18.54"/>
    <col collapsed="false" customWidth="true" hidden="false" outlineLevel="0" max="512" min="266" style="1" width="10.99"/>
    <col collapsed="false" customWidth="true" hidden="false" outlineLevel="0" max="513" min="513" style="1" width="4.82"/>
    <col collapsed="false" customWidth="true" hidden="false" outlineLevel="0" max="514" min="514" style="1" width="12.83"/>
    <col collapsed="false" customWidth="true" hidden="false" outlineLevel="0" max="515" min="515" style="1" width="33.18"/>
    <col collapsed="false" customWidth="true" hidden="false" outlineLevel="0" max="516" min="516" style="1" width="9.73"/>
    <col collapsed="false" customWidth="true" hidden="false" outlineLevel="0" max="517" min="517" style="1" width="80.27"/>
    <col collapsed="false" customWidth="true" hidden="false" outlineLevel="0" max="518" min="518" style="1" width="10.99"/>
    <col collapsed="false" customWidth="true" hidden="false" outlineLevel="0" max="519" min="519" style="1" width="12.71"/>
    <col collapsed="false" customWidth="true" hidden="false" outlineLevel="0" max="520" min="520" style="1" width="13.82"/>
    <col collapsed="false" customWidth="true" hidden="false" outlineLevel="0" max="521" min="521" style="1" width="18.54"/>
    <col collapsed="false" customWidth="true" hidden="false" outlineLevel="0" max="768" min="522" style="1" width="10.99"/>
    <col collapsed="false" customWidth="true" hidden="false" outlineLevel="0" max="769" min="769" style="1" width="4.82"/>
    <col collapsed="false" customWidth="true" hidden="false" outlineLevel="0" max="770" min="770" style="1" width="12.83"/>
    <col collapsed="false" customWidth="true" hidden="false" outlineLevel="0" max="771" min="771" style="1" width="33.18"/>
    <col collapsed="false" customWidth="true" hidden="false" outlineLevel="0" max="772" min="772" style="1" width="9.73"/>
    <col collapsed="false" customWidth="true" hidden="false" outlineLevel="0" max="773" min="773" style="1" width="80.27"/>
    <col collapsed="false" customWidth="true" hidden="false" outlineLevel="0" max="774" min="774" style="1" width="10.99"/>
    <col collapsed="false" customWidth="true" hidden="false" outlineLevel="0" max="775" min="775" style="1" width="12.71"/>
    <col collapsed="false" customWidth="true" hidden="false" outlineLevel="0" max="776" min="776" style="1" width="13.82"/>
    <col collapsed="false" customWidth="true" hidden="false" outlineLevel="0" max="777" min="777" style="1" width="18.54"/>
    <col collapsed="false" customWidth="true" hidden="false" outlineLevel="0" max="1025" min="778" style="1" width="10.99"/>
  </cols>
  <sheetData>
    <row r="2" customFormat="false" ht="27.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1</v>
      </c>
      <c r="B4" s="3"/>
      <c r="C4" s="4" t="s">
        <v>2</v>
      </c>
      <c r="D4" s="4"/>
      <c r="E4" s="4"/>
      <c r="F4" s="5"/>
      <c r="G4" s="6"/>
      <c r="H4" s="5"/>
    </row>
    <row r="5" customFormat="false" ht="18" hidden="false" customHeight="true" outlineLevel="0" collapsed="false">
      <c r="A5" s="3" t="s">
        <v>3</v>
      </c>
      <c r="B5" s="3"/>
      <c r="C5" s="4" t="s">
        <v>4</v>
      </c>
      <c r="D5" s="4"/>
      <c r="E5" s="4"/>
      <c r="F5" s="5"/>
      <c r="G5" s="6"/>
      <c r="H5" s="5"/>
    </row>
    <row r="6" customFormat="false" ht="16.5" hidden="false" customHeight="true" outlineLevel="0" collapsed="false">
      <c r="A6" s="3" t="s">
        <v>5</v>
      </c>
      <c r="B6" s="3"/>
      <c r="C6" s="7" t="n">
        <v>2022</v>
      </c>
      <c r="D6" s="8"/>
      <c r="E6" s="8"/>
      <c r="F6" s="5"/>
      <c r="G6" s="6"/>
      <c r="H6" s="5"/>
    </row>
    <row r="7" customFormat="false" ht="16.5" hidden="false" customHeight="true" outlineLevel="0" collapsed="false">
      <c r="A7" s="3" t="s">
        <v>6</v>
      </c>
      <c r="B7" s="3"/>
      <c r="C7" s="7" t="n">
        <v>1</v>
      </c>
      <c r="D7" s="8"/>
      <c r="E7" s="8"/>
      <c r="F7" s="5"/>
      <c r="G7" s="6"/>
      <c r="H7" s="5"/>
    </row>
    <row r="8" customFormat="false" ht="13.5" hidden="false" customHeight="false" outlineLevel="0" collapsed="false">
      <c r="B8" s="5"/>
      <c r="C8" s="6"/>
      <c r="D8" s="5"/>
      <c r="E8" s="5"/>
      <c r="F8" s="5"/>
      <c r="G8" s="6"/>
      <c r="H8" s="5"/>
    </row>
    <row r="9" customFormat="false" ht="44" hidden="false" customHeight="false" outlineLevel="0" collapsed="false">
      <c r="A9" s="9" t="s">
        <v>7</v>
      </c>
      <c r="B9" s="10" t="s">
        <v>8</v>
      </c>
      <c r="C9" s="9" t="s">
        <v>9</v>
      </c>
      <c r="D9" s="10" t="s">
        <v>10</v>
      </c>
      <c r="E9" s="9" t="s">
        <v>11</v>
      </c>
      <c r="F9" s="9" t="s">
        <v>12</v>
      </c>
      <c r="G9" s="11" t="s">
        <v>13</v>
      </c>
      <c r="H9" s="12" t="s">
        <v>14</v>
      </c>
      <c r="I9" s="9" t="s">
        <v>15</v>
      </c>
    </row>
    <row r="10" customFormat="false" ht="29" hidden="false" customHeight="false" outlineLevel="0" collapsed="false">
      <c r="A10" s="13" t="n">
        <v>1</v>
      </c>
      <c r="B10" s="14" t="s">
        <v>16</v>
      </c>
      <c r="C10" s="15" t="s">
        <v>17</v>
      </c>
      <c r="D10" s="14" t="s">
        <v>18</v>
      </c>
      <c r="E10" s="16" t="s">
        <v>19</v>
      </c>
      <c r="F10" s="17" t="s">
        <v>20</v>
      </c>
      <c r="G10" s="18" t="n">
        <v>460</v>
      </c>
      <c r="H10" s="19" t="n">
        <v>4500</v>
      </c>
      <c r="I10" s="20" t="n">
        <f aca="false">+G10*H10</f>
        <v>2070000</v>
      </c>
    </row>
    <row r="11" customFormat="false" ht="29" hidden="false" customHeight="false" outlineLevel="0" collapsed="false">
      <c r="A11" s="21" t="n">
        <v>2</v>
      </c>
      <c r="B11" s="22" t="s">
        <v>21</v>
      </c>
      <c r="C11" s="23" t="s">
        <v>17</v>
      </c>
      <c r="D11" s="22" t="s">
        <v>18</v>
      </c>
      <c r="E11" s="24" t="s">
        <v>22</v>
      </c>
      <c r="F11" s="25" t="s">
        <v>20</v>
      </c>
      <c r="G11" s="26" t="n">
        <v>460</v>
      </c>
      <c r="H11" s="27" t="n">
        <v>3200</v>
      </c>
      <c r="I11" s="28" t="n">
        <f aca="false">+G11*H11</f>
        <v>1472000</v>
      </c>
    </row>
    <row r="12" customFormat="false" ht="26" hidden="false" customHeight="false" outlineLevel="0" collapsed="false">
      <c r="A12" s="29" t="n">
        <v>3</v>
      </c>
      <c r="B12" s="30" t="s">
        <v>23</v>
      </c>
      <c r="C12" s="31" t="s">
        <v>17</v>
      </c>
      <c r="D12" s="30" t="s">
        <v>18</v>
      </c>
      <c r="E12" s="32" t="s">
        <v>24</v>
      </c>
      <c r="F12" s="33" t="s">
        <v>20</v>
      </c>
      <c r="G12" s="34" t="n">
        <v>460</v>
      </c>
      <c r="H12" s="35" t="n">
        <v>3700</v>
      </c>
      <c r="I12" s="36" t="n">
        <f aca="false">+G12*H12</f>
        <v>1702000</v>
      </c>
    </row>
    <row r="13" customFormat="false" ht="29.5" hidden="false" customHeight="false" outlineLevel="0" collapsed="false">
      <c r="A13" s="37" t="n">
        <v>4</v>
      </c>
      <c r="B13" s="38" t="s">
        <v>25</v>
      </c>
      <c r="C13" s="39" t="s">
        <v>17</v>
      </c>
      <c r="D13" s="22" t="s">
        <v>18</v>
      </c>
      <c r="E13" s="40" t="s">
        <v>26</v>
      </c>
      <c r="F13" s="41" t="s">
        <v>20</v>
      </c>
      <c r="G13" s="26" t="n">
        <v>460</v>
      </c>
      <c r="H13" s="27" t="n">
        <v>8900</v>
      </c>
      <c r="I13" s="28" t="n">
        <f aca="false">+G13*H13</f>
        <v>4094000</v>
      </c>
    </row>
    <row r="14" customFormat="false" ht="15" hidden="false" customHeight="false" outlineLevel="0" collapsed="false">
      <c r="A14" s="42" t="s">
        <v>17</v>
      </c>
      <c r="B14" s="42"/>
      <c r="C14" s="42"/>
      <c r="D14" s="42"/>
      <c r="E14" s="42"/>
      <c r="F14" s="42"/>
      <c r="G14" s="42"/>
      <c r="H14" s="42"/>
      <c r="I14" s="43" t="n">
        <f aca="false">SUM(I10:I13)</f>
        <v>9338000</v>
      </c>
    </row>
    <row r="15" customFormat="false" ht="13.5" hidden="false" customHeight="false" outlineLevel="0" collapsed="false"/>
    <row r="16" customFormat="false" ht="15" hidden="false" customHeight="true" outlineLevel="0" collapsed="false">
      <c r="B16" s="44" t="s">
        <v>27</v>
      </c>
      <c r="C16" s="44"/>
      <c r="D16" s="44"/>
      <c r="E16" s="44"/>
    </row>
    <row r="17" customFormat="false" ht="15.5" hidden="false" customHeight="true" outlineLevel="0" collapsed="false">
      <c r="B17" s="44"/>
      <c r="C17" s="44"/>
      <c r="D17" s="44"/>
      <c r="E17" s="44"/>
    </row>
    <row r="18" customFormat="false" ht="13" hidden="false" customHeight="true" outlineLevel="0" collapsed="false">
      <c r="B18" s="45" t="s">
        <v>28</v>
      </c>
      <c r="C18" s="45"/>
      <c r="D18" s="46" t="s">
        <v>29</v>
      </c>
      <c r="E18" s="46"/>
    </row>
    <row r="19" customFormat="false" ht="19" hidden="false" customHeight="true" outlineLevel="0" collapsed="false">
      <c r="B19" s="47"/>
      <c r="C19" s="48"/>
      <c r="D19" s="46"/>
      <c r="E19" s="46"/>
    </row>
    <row r="20" customFormat="false" ht="19" hidden="false" customHeight="true" outlineLevel="0" collapsed="false">
      <c r="B20" s="49"/>
      <c r="C20" s="50"/>
      <c r="D20" s="46"/>
      <c r="E20" s="46"/>
    </row>
    <row r="21" customFormat="false" ht="19" hidden="false" customHeight="true" outlineLevel="0" collapsed="false">
      <c r="B21" s="49"/>
      <c r="C21" s="50"/>
      <c r="D21" s="46"/>
      <c r="E21" s="46"/>
    </row>
    <row r="22" customFormat="false" ht="19" hidden="false" customHeight="true" outlineLevel="0" collapsed="false">
      <c r="B22" s="49"/>
      <c r="C22" s="50"/>
      <c r="D22" s="46"/>
      <c r="E22" s="46"/>
    </row>
    <row r="23" customFormat="false" ht="18" hidden="false" customHeight="true" outlineLevel="0" collapsed="false">
      <c r="B23" s="45" t="s">
        <v>30</v>
      </c>
      <c r="C23" s="45"/>
      <c r="D23" s="46" t="s">
        <v>31</v>
      </c>
      <c r="E23" s="46"/>
    </row>
    <row r="24" customFormat="false" ht="21.5" hidden="false" customHeight="true" outlineLevel="0" collapsed="false">
      <c r="B24" s="45"/>
      <c r="C24" s="45"/>
      <c r="D24" s="46"/>
      <c r="E24" s="46"/>
    </row>
    <row r="25" customFormat="false" ht="13" hidden="false" customHeight="false" outlineLevel="0" collapsed="false">
      <c r="B25" s="45"/>
      <c r="C25" s="45"/>
      <c r="D25" s="46"/>
      <c r="E25" s="46"/>
    </row>
    <row r="26" customFormat="false" ht="14" hidden="false" customHeight="false" outlineLevel="0" collapsed="false">
      <c r="B26" s="45" t="s">
        <v>32</v>
      </c>
      <c r="C26" s="45"/>
      <c r="D26" s="51" t="s">
        <v>33</v>
      </c>
      <c r="E26" s="51"/>
    </row>
    <row r="27" customFormat="false" ht="26.25" hidden="false" customHeight="true" outlineLevel="0" collapsed="false">
      <c r="B27" s="45" t="s">
        <v>34</v>
      </c>
      <c r="C27" s="45"/>
      <c r="D27" s="51" t="s">
        <v>35</v>
      </c>
      <c r="E27" s="51"/>
    </row>
    <row r="28" customFormat="false" ht="33.75" hidden="false" customHeight="true" outlineLevel="0" collapsed="false">
      <c r="B28" s="45" t="s">
        <v>36</v>
      </c>
      <c r="C28" s="45"/>
      <c r="D28" s="52" t="s">
        <v>37</v>
      </c>
      <c r="E28" s="52"/>
    </row>
    <row r="29" customFormat="false" ht="26.25" hidden="false" customHeight="true" outlineLevel="0" collapsed="false">
      <c r="B29" s="53" t="s">
        <v>38</v>
      </c>
      <c r="C29" s="53"/>
      <c r="D29" s="54"/>
      <c r="E29" s="54"/>
    </row>
  </sheetData>
  <mergeCells count="21">
    <mergeCell ref="B2:H2"/>
    <mergeCell ref="A4:B4"/>
    <mergeCell ref="C4:E4"/>
    <mergeCell ref="A5:B5"/>
    <mergeCell ref="C5:E5"/>
    <mergeCell ref="A6:B6"/>
    <mergeCell ref="A7:B7"/>
    <mergeCell ref="A14:H14"/>
    <mergeCell ref="B16:E17"/>
    <mergeCell ref="B18:C18"/>
    <mergeCell ref="D18:E22"/>
    <mergeCell ref="B23:C25"/>
    <mergeCell ref="D23:E25"/>
    <mergeCell ref="B26:C26"/>
    <mergeCell ref="D26:E26"/>
    <mergeCell ref="B27:C27"/>
    <mergeCell ref="D27:E27"/>
    <mergeCell ref="B28:C28"/>
    <mergeCell ref="D28:E28"/>
    <mergeCell ref="B29:C29"/>
    <mergeCell ref="D29:E2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45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RowHeight="13.8" zeroHeight="false" outlineLevelRow="0" outlineLevelCol="0"/>
  <cols>
    <col collapsed="false" customWidth="true" hidden="false" outlineLevel="0" max="1025" min="1" style="0" width="10.66"/>
  </cols>
  <sheetData>
    <row r="1" customFormat="false" ht="18.5" hidden="false" customHeight="false" outlineLevel="0" collapsed="false">
      <c r="A1" s="55" t="s">
        <v>39</v>
      </c>
    </row>
    <row r="2" customFormat="false" ht="14.5" hidden="false" customHeight="false" outlineLevel="0" collapsed="false"/>
    <row r="3" customFormat="false" ht="14.5" hidden="false" customHeight="false" outlineLevel="0" collapsed="false">
      <c r="A3" s="56" t="s">
        <v>40</v>
      </c>
    </row>
    <row r="4" customFormat="false" ht="15" hidden="false" customHeight="false" outlineLevel="0" collapsed="false"/>
    <row r="5" customFormat="false" ht="30" hidden="false" customHeight="true" outlineLevel="0" collapsed="false">
      <c r="A5" s="57" t="s">
        <v>41</v>
      </c>
      <c r="B5" s="57"/>
      <c r="D5" s="58" t="s">
        <v>42</v>
      </c>
      <c r="E5" s="58"/>
    </row>
    <row r="6" customFormat="false" ht="15" hidden="false" customHeight="false" outlineLevel="0" collapsed="false">
      <c r="A6" s="59" t="s">
        <v>43</v>
      </c>
      <c r="B6" s="60" t="s">
        <v>13</v>
      </c>
      <c r="D6" s="61" t="s">
        <v>43</v>
      </c>
      <c r="E6" s="62" t="s">
        <v>13</v>
      </c>
    </row>
    <row r="7" customFormat="false" ht="15" hidden="false" customHeight="false" outlineLevel="0" collapsed="false">
      <c r="A7" s="63" t="n">
        <v>36</v>
      </c>
      <c r="B7" s="64" t="n">
        <v>1</v>
      </c>
      <c r="D7" s="65" t="n">
        <v>42</v>
      </c>
      <c r="E7" s="66" t="n">
        <v>6</v>
      </c>
    </row>
    <row r="8" customFormat="false" ht="15" hidden="false" customHeight="false" outlineLevel="0" collapsed="false">
      <c r="A8" s="63" t="n">
        <v>38</v>
      </c>
      <c r="B8" s="64" t="n">
        <v>9</v>
      </c>
      <c r="D8" s="65" t="n">
        <v>44</v>
      </c>
      <c r="E8" s="66" t="n">
        <v>2</v>
      </c>
    </row>
    <row r="9" customFormat="false" ht="15" hidden="false" customHeight="false" outlineLevel="0" collapsed="false">
      <c r="A9" s="63" t="n">
        <v>40</v>
      </c>
      <c r="B9" s="64" t="n">
        <v>20</v>
      </c>
      <c r="D9" s="65" t="n">
        <v>46</v>
      </c>
      <c r="E9" s="66" t="n">
        <v>10</v>
      </c>
    </row>
    <row r="10" customFormat="false" ht="15" hidden="false" customHeight="false" outlineLevel="0" collapsed="false">
      <c r="A10" s="63" t="n">
        <v>42</v>
      </c>
      <c r="B10" s="64" t="n">
        <v>47</v>
      </c>
      <c r="D10" s="65" t="n">
        <v>48</v>
      </c>
      <c r="E10" s="66" t="n">
        <v>17</v>
      </c>
    </row>
    <row r="11" customFormat="false" ht="15" hidden="false" customHeight="false" outlineLevel="0" collapsed="false">
      <c r="A11" s="63" t="n">
        <v>44</v>
      </c>
      <c r="B11" s="64" t="n">
        <v>61</v>
      </c>
      <c r="D11" s="65" t="n">
        <v>50</v>
      </c>
      <c r="E11" s="66" t="n">
        <v>5</v>
      </c>
    </row>
    <row r="12" customFormat="false" ht="15" hidden="false" customHeight="false" outlineLevel="0" collapsed="false">
      <c r="A12" s="63" t="n">
        <v>46</v>
      </c>
      <c r="B12" s="64" t="n">
        <v>69</v>
      </c>
      <c r="D12" s="65" t="n">
        <v>52</v>
      </c>
      <c r="E12" s="66" t="n">
        <v>3</v>
      </c>
    </row>
    <row r="13" customFormat="false" ht="15" hidden="false" customHeight="false" outlineLevel="0" collapsed="false">
      <c r="A13" s="63" t="n">
        <v>48</v>
      </c>
      <c r="B13" s="64" t="n">
        <v>86</v>
      </c>
      <c r="D13" s="65" t="n">
        <v>54</v>
      </c>
      <c r="E13" s="66" t="n">
        <v>5</v>
      </c>
    </row>
    <row r="14" customFormat="false" ht="15" hidden="false" customHeight="false" outlineLevel="0" collapsed="false">
      <c r="A14" s="63" t="n">
        <v>50</v>
      </c>
      <c r="B14" s="64" t="n">
        <v>47</v>
      </c>
      <c r="D14" s="65" t="n">
        <v>56</v>
      </c>
      <c r="E14" s="66" t="n">
        <v>1</v>
      </c>
    </row>
    <row r="15" customFormat="false" ht="15" hidden="false" customHeight="false" outlineLevel="0" collapsed="false">
      <c r="A15" s="63" t="n">
        <v>52</v>
      </c>
      <c r="B15" s="64" t="n">
        <v>33</v>
      </c>
      <c r="D15" s="65" t="n">
        <v>64</v>
      </c>
      <c r="E15" s="66" t="n">
        <v>1</v>
      </c>
    </row>
    <row r="16" customFormat="false" ht="15" hidden="false" customHeight="false" outlineLevel="0" collapsed="false">
      <c r="A16" s="63" t="n">
        <v>54</v>
      </c>
      <c r="B16" s="64" t="n">
        <v>20</v>
      </c>
      <c r="D16" s="65"/>
      <c r="E16" s="66"/>
    </row>
    <row r="17" customFormat="false" ht="15" hidden="false" customHeight="false" outlineLevel="0" collapsed="false">
      <c r="A17" s="63" t="n">
        <v>56</v>
      </c>
      <c r="B17" s="64" t="n">
        <v>11</v>
      </c>
      <c r="D17" s="67" t="s">
        <v>44</v>
      </c>
      <c r="E17" s="68" t="n">
        <f aca="false">SUM(E7:E16)</f>
        <v>50</v>
      </c>
    </row>
    <row r="18" customFormat="false" ht="15" hidden="false" customHeight="false" outlineLevel="0" collapsed="false">
      <c r="A18" s="63" t="n">
        <v>58</v>
      </c>
      <c r="B18" s="64" t="n">
        <v>2</v>
      </c>
    </row>
    <row r="19" customFormat="false" ht="15" hidden="false" customHeight="false" outlineLevel="0" collapsed="false">
      <c r="A19" s="63" t="n">
        <v>60</v>
      </c>
      <c r="B19" s="64" t="n">
        <v>3</v>
      </c>
    </row>
    <row r="20" customFormat="false" ht="15" hidden="false" customHeight="false" outlineLevel="0" collapsed="false">
      <c r="A20" s="63" t="n">
        <v>64</v>
      </c>
      <c r="B20" s="64" t="n">
        <v>1</v>
      </c>
      <c r="D20" s="69" t="s">
        <v>45</v>
      </c>
      <c r="E20" s="70" t="n">
        <f aca="false">B21+E17</f>
        <v>460</v>
      </c>
    </row>
    <row r="21" customFormat="false" ht="15" hidden="false" customHeight="false" outlineLevel="0" collapsed="false">
      <c r="A21" s="71" t="s">
        <v>46</v>
      </c>
      <c r="B21" s="72" t="n">
        <f aca="false">SUM(B7:B20)</f>
        <v>410</v>
      </c>
    </row>
    <row r="22" customFormat="false" ht="14.5" hidden="false" customHeight="false" outlineLevel="0" collapsed="false"/>
    <row r="23" customFormat="false" ht="14.5" hidden="false" customHeight="false" outlineLevel="0" collapsed="false"/>
    <row r="24" customFormat="false" ht="14.5" hidden="false" customHeight="false" outlineLevel="0" collapsed="false">
      <c r="A24" s="56" t="s">
        <v>47</v>
      </c>
    </row>
    <row r="25" customFormat="false" ht="15" hidden="false" customHeight="false" outlineLevel="0" collapsed="false"/>
    <row r="26" customFormat="false" ht="29" hidden="false" customHeight="true" outlineLevel="0" collapsed="false">
      <c r="A26" s="57" t="s">
        <v>48</v>
      </c>
      <c r="B26" s="57"/>
      <c r="D26" s="58" t="s">
        <v>49</v>
      </c>
      <c r="E26" s="58"/>
    </row>
    <row r="27" customFormat="false" ht="15" hidden="false" customHeight="false" outlineLevel="0" collapsed="false">
      <c r="A27" s="73" t="s">
        <v>43</v>
      </c>
      <c r="B27" s="73" t="s">
        <v>13</v>
      </c>
      <c r="D27" s="61" t="s">
        <v>43</v>
      </c>
      <c r="E27" s="62" t="s">
        <v>13</v>
      </c>
    </row>
    <row r="28" customFormat="false" ht="15" hidden="false" customHeight="false" outlineLevel="0" collapsed="false">
      <c r="A28" s="64" t="n">
        <v>34</v>
      </c>
      <c r="B28" s="64" t="n">
        <v>1</v>
      </c>
      <c r="D28" s="65" t="n">
        <v>38</v>
      </c>
      <c r="E28" s="66" t="n">
        <v>4</v>
      </c>
    </row>
    <row r="29" customFormat="false" ht="15" hidden="false" customHeight="false" outlineLevel="0" collapsed="false">
      <c r="A29" s="64" t="n">
        <v>36</v>
      </c>
      <c r="B29" s="64" t="n">
        <v>18</v>
      </c>
      <c r="D29" s="65" t="n">
        <v>40</v>
      </c>
      <c r="E29" s="66" t="n">
        <v>4</v>
      </c>
    </row>
    <row r="30" customFormat="false" ht="13.8" hidden="false" customHeight="false" outlineLevel="0" collapsed="false">
      <c r="A30" s="64" t="n">
        <v>38</v>
      </c>
      <c r="B30" s="64" t="n">
        <v>32</v>
      </c>
      <c r="D30" s="65" t="n">
        <v>42</v>
      </c>
      <c r="E30" s="66" t="n">
        <v>4</v>
      </c>
    </row>
    <row r="31" customFormat="false" ht="13.8" hidden="false" customHeight="false" outlineLevel="0" collapsed="false">
      <c r="A31" s="64" t="n">
        <v>40</v>
      </c>
      <c r="B31" s="64" t="n">
        <v>61</v>
      </c>
      <c r="D31" s="65" t="n">
        <v>44</v>
      </c>
      <c r="E31" s="66" t="n">
        <v>16</v>
      </c>
    </row>
    <row r="32" customFormat="false" ht="13.8" hidden="false" customHeight="false" outlineLevel="0" collapsed="false">
      <c r="A32" s="64" t="n">
        <v>42</v>
      </c>
      <c r="B32" s="64" t="n">
        <v>66</v>
      </c>
      <c r="D32" s="65" t="n">
        <v>46</v>
      </c>
      <c r="E32" s="66" t="n">
        <v>10</v>
      </c>
    </row>
    <row r="33" customFormat="false" ht="13.8" hidden="false" customHeight="false" outlineLevel="0" collapsed="false">
      <c r="A33" s="64" t="n">
        <v>44</v>
      </c>
      <c r="B33" s="64" t="n">
        <v>64</v>
      </c>
      <c r="D33" s="65" t="n">
        <v>48</v>
      </c>
      <c r="E33" s="66" t="n">
        <v>6</v>
      </c>
    </row>
    <row r="34" customFormat="false" ht="15" hidden="false" customHeight="false" outlineLevel="0" collapsed="false">
      <c r="A34" s="64" t="n">
        <v>46</v>
      </c>
      <c r="B34" s="64" t="n">
        <v>75</v>
      </c>
      <c r="D34" s="65" t="n">
        <v>50</v>
      </c>
      <c r="E34" s="66" t="n">
        <v>3</v>
      </c>
    </row>
    <row r="35" customFormat="false" ht="15" hidden="false" customHeight="false" outlineLevel="0" collapsed="false">
      <c r="A35" s="64" t="n">
        <v>48</v>
      </c>
      <c r="B35" s="64" t="n">
        <v>43</v>
      </c>
      <c r="D35" s="65" t="n">
        <v>52</v>
      </c>
      <c r="E35" s="66" t="n">
        <v>2</v>
      </c>
    </row>
    <row r="36" customFormat="false" ht="15" hidden="false" customHeight="false" outlineLevel="0" collapsed="false">
      <c r="A36" s="64" t="n">
        <v>50</v>
      </c>
      <c r="B36" s="64" t="n">
        <v>22</v>
      </c>
      <c r="D36" s="65" t="n">
        <v>60</v>
      </c>
      <c r="E36" s="66" t="n">
        <v>1</v>
      </c>
    </row>
    <row r="37" customFormat="false" ht="15" hidden="false" customHeight="false" outlineLevel="0" collapsed="false">
      <c r="A37" s="64" t="n">
        <v>52</v>
      </c>
      <c r="B37" s="64" t="n">
        <v>13</v>
      </c>
      <c r="D37" s="65"/>
      <c r="E37" s="66"/>
    </row>
    <row r="38" customFormat="false" ht="13.8" hidden="false" customHeight="false" outlineLevel="0" collapsed="false">
      <c r="A38" s="64" t="n">
        <v>54</v>
      </c>
      <c r="B38" s="64" t="n">
        <v>10</v>
      </c>
      <c r="D38" s="67" t="s">
        <v>44</v>
      </c>
      <c r="E38" s="68" t="n">
        <f aca="false">SUM(E28:E37)</f>
        <v>50</v>
      </c>
      <c r="F38" s="74"/>
    </row>
    <row r="39" customFormat="false" ht="15" hidden="false" customHeight="false" outlineLevel="0" collapsed="false">
      <c r="A39" s="64" t="n">
        <v>56</v>
      </c>
      <c r="B39" s="64" t="n">
        <v>2</v>
      </c>
    </row>
    <row r="40" customFormat="false" ht="15" hidden="false" customHeight="false" outlineLevel="0" collapsed="false">
      <c r="A40" s="64" t="n">
        <v>60</v>
      </c>
      <c r="B40" s="64" t="n">
        <v>2</v>
      </c>
    </row>
    <row r="41" customFormat="false" ht="15" hidden="false" customHeight="false" outlineLevel="0" collapsed="false">
      <c r="A41" s="64" t="n">
        <v>64</v>
      </c>
      <c r="B41" s="64" t="n">
        <v>1</v>
      </c>
      <c r="D41" s="69" t="s">
        <v>45</v>
      </c>
      <c r="E41" s="70" t="n">
        <f aca="false">B42+E38</f>
        <v>460</v>
      </c>
    </row>
    <row r="42" customFormat="false" ht="15" hidden="false" customHeight="false" outlineLevel="0" collapsed="false">
      <c r="A42" s="75" t="s">
        <v>46</v>
      </c>
      <c r="B42" s="76" t="n">
        <f aca="false">SUM(B28:B41)</f>
        <v>410</v>
      </c>
    </row>
    <row r="43" customFormat="false" ht="14.5" hidden="false" customHeight="false" outlineLevel="0" collapsed="false"/>
    <row r="44" customFormat="false" ht="14.5" hidden="false" customHeight="false" outlineLevel="0" collapsed="false">
      <c r="A44" s="56" t="s">
        <v>50</v>
      </c>
    </row>
    <row r="46" customFormat="false" ht="23.85" hidden="false" customHeight="true" outlineLevel="0" collapsed="false">
      <c r="A46" s="58" t="s">
        <v>51</v>
      </c>
      <c r="B46" s="58"/>
    </row>
    <row r="47" customFormat="false" ht="13.8" hidden="false" customHeight="false" outlineLevel="0" collapsed="false">
      <c r="A47" s="77" t="s">
        <v>43</v>
      </c>
      <c r="B47" s="73" t="s">
        <v>13</v>
      </c>
    </row>
    <row r="48" customFormat="false" ht="13.8" hidden="false" customHeight="false" outlineLevel="0" collapsed="false">
      <c r="A48" s="78" t="s">
        <v>52</v>
      </c>
      <c r="B48" s="79" t="n">
        <v>15</v>
      </c>
    </row>
    <row r="49" customFormat="false" ht="13.8" hidden="false" customHeight="false" outlineLevel="0" collapsed="false">
      <c r="A49" s="80" t="s">
        <v>53</v>
      </c>
      <c r="B49" s="79" t="n">
        <v>35</v>
      </c>
    </row>
    <row r="50" customFormat="false" ht="13.8" hidden="false" customHeight="false" outlineLevel="0" collapsed="false">
      <c r="A50" s="80" t="s">
        <v>54</v>
      </c>
      <c r="B50" s="79" t="n">
        <v>93</v>
      </c>
    </row>
    <row r="51" customFormat="false" ht="13.8" hidden="false" customHeight="false" outlineLevel="0" collapsed="false">
      <c r="A51" s="80" t="s">
        <v>55</v>
      </c>
      <c r="B51" s="79" t="n">
        <v>94</v>
      </c>
    </row>
    <row r="52" customFormat="false" ht="13.8" hidden="false" customHeight="false" outlineLevel="0" collapsed="false">
      <c r="A52" s="80" t="s">
        <v>56</v>
      </c>
      <c r="B52" s="79" t="n">
        <v>125</v>
      </c>
    </row>
    <row r="53" customFormat="false" ht="13.8" hidden="false" customHeight="false" outlineLevel="0" collapsed="false">
      <c r="A53" s="81" t="s">
        <v>57</v>
      </c>
      <c r="B53" s="79" t="n">
        <v>72</v>
      </c>
    </row>
    <row r="54" customFormat="false" ht="13.8" hidden="false" customHeight="false" outlineLevel="0" collapsed="false">
      <c r="A54" s="81" t="s">
        <v>58</v>
      </c>
      <c r="B54" s="79" t="n">
        <v>20</v>
      </c>
    </row>
    <row r="55" customFormat="false" ht="13.8" hidden="false" customHeight="false" outlineLevel="0" collapsed="false">
      <c r="A55" s="80" t="s">
        <v>59</v>
      </c>
      <c r="B55" s="79" t="n">
        <v>4</v>
      </c>
    </row>
    <row r="56" customFormat="false" ht="13.8" hidden="false" customHeight="false" outlineLevel="0" collapsed="false">
      <c r="A56" s="81" t="s">
        <v>60</v>
      </c>
      <c r="B56" s="79" t="n">
        <v>2</v>
      </c>
    </row>
    <row r="57" customFormat="false" ht="13.8" hidden="false" customHeight="false" outlineLevel="0" collapsed="false">
      <c r="A57" s="75" t="s">
        <v>61</v>
      </c>
      <c r="B57" s="76" t="n">
        <f aca="false">SUM(B48:B56)</f>
        <v>460</v>
      </c>
    </row>
    <row r="60" customFormat="false" ht="13.8" hidden="false" customHeight="false" outlineLevel="0" collapsed="false">
      <c r="A60" s="56" t="s">
        <v>62</v>
      </c>
    </row>
    <row r="62" customFormat="false" ht="13.8" hidden="false" customHeight="true" outlineLevel="0" collapsed="false">
      <c r="A62" s="82" t="s">
        <v>63</v>
      </c>
      <c r="B62" s="82"/>
    </row>
    <row r="63" customFormat="false" ht="13.8" hidden="false" customHeight="false" outlineLevel="0" collapsed="false">
      <c r="A63" s="77" t="s">
        <v>64</v>
      </c>
      <c r="B63" s="73" t="s">
        <v>13</v>
      </c>
    </row>
    <row r="64" customFormat="false" ht="13.8" hidden="false" customHeight="false" outlineLevel="0" collapsed="false">
      <c r="A64" s="83" t="n">
        <v>35</v>
      </c>
      <c r="B64" s="84" t="n">
        <v>1</v>
      </c>
    </row>
    <row r="65" customFormat="false" ht="13.8" hidden="false" customHeight="false" outlineLevel="0" collapsed="false">
      <c r="A65" s="83" t="n">
        <v>36</v>
      </c>
      <c r="B65" s="84" t="n">
        <v>3</v>
      </c>
    </row>
    <row r="66" customFormat="false" ht="13.8" hidden="false" customHeight="false" outlineLevel="0" collapsed="false">
      <c r="A66" s="83" t="n">
        <v>37</v>
      </c>
      <c r="B66" s="84" t="n">
        <v>19</v>
      </c>
    </row>
    <row r="67" customFormat="false" ht="13.8" hidden="false" customHeight="false" outlineLevel="0" collapsed="false">
      <c r="A67" s="83" t="n">
        <v>38</v>
      </c>
      <c r="B67" s="84" t="n">
        <v>37</v>
      </c>
    </row>
    <row r="68" customFormat="false" ht="13.8" hidden="false" customHeight="false" outlineLevel="0" collapsed="false">
      <c r="A68" s="83" t="n">
        <v>39</v>
      </c>
      <c r="B68" s="84" t="n">
        <v>25</v>
      </c>
    </row>
    <row r="69" customFormat="false" ht="13.8" hidden="false" customHeight="false" outlineLevel="0" collapsed="false">
      <c r="A69" s="83" t="n">
        <v>40</v>
      </c>
      <c r="B69" s="84" t="n">
        <v>46</v>
      </c>
    </row>
    <row r="70" customFormat="false" ht="13.8" hidden="false" customHeight="false" outlineLevel="0" collapsed="false">
      <c r="A70" s="83" t="n">
        <v>41</v>
      </c>
      <c r="B70" s="84" t="n">
        <v>109</v>
      </c>
    </row>
    <row r="71" customFormat="false" ht="13.8" hidden="false" customHeight="false" outlineLevel="0" collapsed="false">
      <c r="A71" s="83" t="n">
        <v>42</v>
      </c>
      <c r="B71" s="84" t="n">
        <v>122</v>
      </c>
    </row>
    <row r="72" customFormat="false" ht="13.8" hidden="false" customHeight="false" outlineLevel="0" collapsed="false">
      <c r="A72" s="83" t="n">
        <v>43</v>
      </c>
      <c r="B72" s="84" t="n">
        <v>49</v>
      </c>
    </row>
    <row r="73" customFormat="false" ht="13.8" hidden="false" customHeight="false" outlineLevel="0" collapsed="false">
      <c r="A73" s="83" t="n">
        <v>44</v>
      </c>
      <c r="B73" s="84" t="n">
        <v>25</v>
      </c>
    </row>
    <row r="74" customFormat="false" ht="13.8" hidden="false" customHeight="false" outlineLevel="0" collapsed="false">
      <c r="A74" s="83" t="n">
        <v>45</v>
      </c>
      <c r="B74" s="84" t="n">
        <v>20</v>
      </c>
    </row>
    <row r="75" customFormat="false" ht="13.8" hidden="false" customHeight="false" outlineLevel="0" collapsed="false">
      <c r="A75" s="83" t="n">
        <v>46</v>
      </c>
      <c r="B75" s="84" t="n">
        <v>3</v>
      </c>
    </row>
    <row r="76" customFormat="false" ht="13.8" hidden="false" customHeight="false" outlineLevel="0" collapsed="false">
      <c r="A76" s="83" t="n">
        <v>54</v>
      </c>
      <c r="B76" s="84" t="n">
        <v>1</v>
      </c>
    </row>
    <row r="77" customFormat="false" ht="13.8" hidden="false" customHeight="false" outlineLevel="0" collapsed="false">
      <c r="A77" s="83"/>
      <c r="B77" s="84"/>
    </row>
    <row r="78" customFormat="false" ht="13.8" hidden="false" customHeight="false" outlineLevel="0" collapsed="false">
      <c r="A78" s="71" t="s">
        <v>61</v>
      </c>
      <c r="B78" s="72" t="n">
        <f aca="false">SUM(B64:B77)</f>
        <v>460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5:B5"/>
    <mergeCell ref="D5:E5"/>
    <mergeCell ref="A26:B26"/>
    <mergeCell ref="D26:E26"/>
    <mergeCell ref="A46:B46"/>
    <mergeCell ref="A62:B6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Ultra_Office/6.2.3.2$Windows_x86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2021-12-02T13:01:27Z</dcterms:created>
  <dc:creator>soy_gisuarez@hotmail.com</dc:creator>
  <dc:description/>
  <dc:language>es-AR</dc:language>
  <cp:lastModifiedBy/>
  <dcterms:modified xsi:type="dcterms:W3CDTF">2022-01-20T16:36:32Z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