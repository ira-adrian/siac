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ED092530-A936-4473-9947-149C4E4ED4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011'!$A$9:$I$9</definedName>
  </definedNames>
  <calcPr calcId="181029"/>
</workbook>
</file>

<file path=xl/calcChain.xml><?xml version="1.0" encoding="utf-8"?>
<calcChain xmlns="http://schemas.openxmlformats.org/spreadsheetml/2006/main">
  <c r="K19" i="2" l="1"/>
  <c r="K2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12" i="2"/>
  <c r="A41" i="3" l="1"/>
  <c r="G6" i="3"/>
  <c r="G7" i="3"/>
  <c r="J13" i="2"/>
  <c r="J14" i="2"/>
  <c r="J15" i="2"/>
  <c r="J16" i="2"/>
  <c r="J17" i="2"/>
  <c r="J18" i="2"/>
  <c r="J19" i="2"/>
  <c r="M19" i="2" s="1"/>
  <c r="J20" i="2"/>
  <c r="J21" i="2"/>
  <c r="J22" i="2"/>
  <c r="M22" i="2" s="1"/>
  <c r="J23" i="2"/>
  <c r="J24" i="2"/>
  <c r="J25" i="2"/>
  <c r="J26" i="2"/>
  <c r="J27" i="2"/>
  <c r="J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12" i="2"/>
  <c r="D4" i="2"/>
  <c r="G5" i="3" s="1"/>
  <c r="D3" i="2"/>
  <c r="G4" i="3" s="1"/>
  <c r="K17" i="2" l="1"/>
  <c r="M17" i="2" s="1"/>
  <c r="K21" i="2"/>
  <c r="M21" i="2" s="1"/>
  <c r="K12" i="2"/>
  <c r="M12" i="2" s="1"/>
  <c r="K16" i="2"/>
  <c r="M16" i="2" s="1"/>
  <c r="K20" i="2"/>
  <c r="M20" i="2" s="1"/>
  <c r="K23" i="2"/>
  <c r="M23" i="2" s="1"/>
  <c r="K24" i="2"/>
  <c r="M24" i="2" s="1"/>
  <c r="K15" i="2"/>
  <c r="M15" i="2" s="1"/>
  <c r="K27" i="2"/>
  <c r="M27" i="2" s="1"/>
  <c r="K14" i="2"/>
  <c r="M14" i="2" s="1"/>
  <c r="K18" i="2"/>
  <c r="M18" i="2" s="1"/>
  <c r="K26" i="2"/>
  <c r="M26" i="2" s="1"/>
  <c r="K13" i="2"/>
  <c r="M13" i="2" s="1"/>
  <c r="K25" i="2"/>
  <c r="M25" i="2" s="1"/>
  <c r="M29" i="2" l="1"/>
  <c r="J29" i="2" s="1"/>
  <c r="Q15" i="3"/>
  <c r="Q38" i="3" s="1"/>
</calcChain>
</file>

<file path=xl/sharedStrings.xml><?xml version="1.0" encoding="utf-8"?>
<sst xmlns="http://schemas.openxmlformats.org/spreadsheetml/2006/main" count="159" uniqueCount="97">
  <si>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</si>
  <si>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</si>
  <si>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</si>
  <si>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</si>
  <si>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</si>
  <si>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</si>
  <si>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</si>
  <si>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</si>
  <si>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</si>
  <si>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</si>
  <si>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</si>
  <si>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</si>
  <si>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</si>
  <si>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</si>
  <si>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</si>
  <si>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 xml:space="preserve">IMPORTE TOTAL ESTIMADO </t>
  </si>
  <si>
    <t>PRODUCTOS  MEDICOS/FARMACEUTICOS/LAB.</t>
  </si>
  <si>
    <t>2.5.2</t>
  </si>
  <si>
    <t xml:space="preserve">Acetato de goserelin  depot </t>
  </si>
  <si>
    <t xml:space="preserve">Azacitidina 100 mg </t>
  </si>
  <si>
    <t>Frasco- ampolla</t>
  </si>
  <si>
    <t>Bevacizumab 100 mg</t>
  </si>
  <si>
    <t>Frasco -ampolla</t>
  </si>
  <si>
    <t>Bevacizumab 400 mg</t>
  </si>
  <si>
    <t>Fulvestrant 250 mg x 2 ampollas</t>
  </si>
  <si>
    <t>nilotinib 150 x 120 comp</t>
  </si>
  <si>
    <t>nilotinib 200 x 120 comp</t>
  </si>
  <si>
    <t xml:space="preserve">Pembrolizumab 100 mg </t>
  </si>
  <si>
    <t xml:space="preserve">pertuzumab 420 mg </t>
  </si>
  <si>
    <t>Trastuzumab 440MG.</t>
  </si>
  <si>
    <t>TOTAL RUBRO MEDICAMENTOS ONCOLOGICOS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</si>
  <si>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</si>
  <si>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</si>
  <si>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</si>
  <si>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</si>
  <si>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</si>
  <si>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</si>
  <si>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</si>
  <si>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</si>
  <si>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</si>
  <si>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</si>
  <si>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</si>
  <si>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</si>
  <si>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</si>
  <si>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</si>
  <si>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</si>
  <si>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</si>
  <si>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</si>
  <si>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</si>
  <si>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</si>
  <si>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</si>
  <si>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</si>
  <si>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</si>
  <si>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</si>
  <si>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</si>
  <si>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</si>
  <si>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</si>
  <si>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</si>
  <si>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</si>
  <si>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</si>
  <si>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</si>
  <si>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</si>
  <si>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</si>
  <si>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</si>
  <si>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</si>
  <si>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</si>
  <si>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</si>
  <si>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</si>
  <si>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</si>
  <si>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</si>
  <si>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</si>
  <si>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</si>
  <si>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Calidad Minima esperada</t>
  </si>
  <si>
    <t>Mantenimiento</t>
  </si>
  <si>
    <t>cuarenta y cinco (45) días</t>
  </si>
  <si>
    <t xml:space="preserve"> 01/2022</t>
  </si>
  <si>
    <t>DIRECCION PROVINCIAL DE CANCER</t>
  </si>
  <si>
    <t>1° TRIMESTRE 2022</t>
  </si>
  <si>
    <t>ADQUISICION DEL RUBRO MEDICAMENTOS ONCOLOGICOS</t>
  </si>
  <si>
    <t>Autorizo la realización de los  trámites correspondientes, a fin de proveer a  este Organismo los bienes que se detallan en Nota  de Pedido N° 01/2022 afectando la erogación resultante a los créditos presupuestarios aprobados a favor de esta Unidad Ejecutora, conforme al siguiente detalle:</t>
  </si>
  <si>
    <t>1.1</t>
  </si>
  <si>
    <t>PRODUCTOS FARMACEUTICOS Y MEDICINALES</t>
  </si>
  <si>
    <t>DIR. PROV. DE CANCER - CHACABUCO N° 169 - en el horario de 8:00hs a 12:00hs de lunes a viernes</t>
  </si>
  <si>
    <t>veinte (20) dias habiles</t>
  </si>
  <si>
    <t>CAJA</t>
  </si>
  <si>
    <t>Jeringa Prellenada</t>
  </si>
  <si>
    <t>Vial Inyectable</t>
  </si>
  <si>
    <t>imatinib 100 mg x 180 comp</t>
  </si>
  <si>
    <t>imatinib 400 mg x 30 comp</t>
  </si>
  <si>
    <t>pazopanib 200 mg x 30 comp</t>
  </si>
  <si>
    <t>Regorafenib 40 mg  tab.3 x 28 comp (84 comp)</t>
  </si>
  <si>
    <t>sunitinib 25 mg x 28 caps</t>
  </si>
  <si>
    <t>Lenalidomida 25 mg  x 21 caps</t>
  </si>
  <si>
    <t>NO</t>
  </si>
  <si>
    <t>Costo total estimado: QUINCE MILLONES CIENTO DIECINUEVE MIL CIENTO OCHENTA Y DOS CON 60/100.-</t>
  </si>
  <si>
    <t>TOTAL DE PESOS: QUINCE MILLONES CIENTO DIECINUEVE MIL CIENTO OCHENTA Y DOS CON 60/100.-</t>
  </si>
  <si>
    <t>PRECIO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</si>
</sst>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7" fillId="0" borderId="0"/>
    <xf numFmtId="164" fontId="7" fillId="0" borderId="0" applyBorder="0" applyAlignment="0" applyProtection="0"/>
    <xf numFmtId="0" fontId="1" fillId="0" borderId="0"/>
    <xf numFmtId="0" fontId="7" fillId="0" borderId="0"/>
    <xf numFmtId="0" fontId="7" fillId="0" borderId="0"/>
    <xf numFmtId="169" fontId="19" fillId="0" borderId="0" applyBorder="0" applyProtection="0"/>
    <xf numFmtId="0" fontId="23" fillId="0" borderId="58" applyProtection="0"/>
    <xf numFmtId="0" fontId="23" fillId="0" borderId="58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7" fillId="0" borderId="0" applyBorder="0" applyAlignment="0" applyProtection="0"/>
    <xf numFmtId="171" fontId="7" fillId="0" borderId="0" applyBorder="0" applyProtection="0"/>
    <xf numFmtId="171" fontId="7" fillId="0" borderId="0" applyBorder="0" applyProtection="0"/>
    <xf numFmtId="171" fontId="7" fillId="0" borderId="0" applyBorder="0" applyProtection="0"/>
    <xf numFmtId="0" fontId="24" fillId="2" borderId="0" applyBorder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6">
    <xf numFmtId="0" fontId="0" fillId="0" borderId="0" xfId="0"/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2" fillId="0" borderId="2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11" fillId="0" borderId="14" xfId="0" applyFont="1" applyBorder="1" applyAlignment="1">
      <alignment horizontal="left" vertical="center" wrapText="1" indent="1"/>
    </xf>
    <xf numFmtId="0" fontId="14" fillId="0" borderId="24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horizontal="center" vertical="center" wrapText="1"/>
    </xf>
    <xf numFmtId="3" fontId="15" fillId="0" borderId="25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3" fontId="17" fillId="0" borderId="30" xfId="0" applyNumberFormat="1" applyFont="1" applyBorder="1" applyAlignment="1"/>
    <xf numFmtId="168" fontId="0" fillId="0" borderId="30" xfId="0" applyNumberFormat="1" applyBorder="1" applyAlignment="1">
      <alignment horizontal="left"/>
    </xf>
    <xf numFmtId="0" fontId="0" fillId="0" borderId="30" xfId="0" applyBorder="1"/>
    <xf numFmtId="0" fontId="0" fillId="0" borderId="20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36" xfId="0" applyBorder="1"/>
    <xf numFmtId="0" fontId="22" fillId="0" borderId="3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40" xfId="0" applyFont="1" applyBorder="1" applyAlignment="1">
      <alignment horizontal="left" vertical="center"/>
    </xf>
    <xf numFmtId="0" fontId="22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170" fontId="0" fillId="0" borderId="51" xfId="7" applyNumberFormat="1" applyFont="1" applyBorder="1" applyAlignment="1" applyProtection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70" fontId="0" fillId="0" borderId="55" xfId="7" applyNumberFormat="1" applyFont="1" applyBorder="1" applyAlignment="1" applyProtection="1">
      <alignment horizontal="center" vertical="center"/>
    </xf>
    <xf numFmtId="170" fontId="22" fillId="0" borderId="57" xfId="0" applyNumberFormat="1" applyFont="1" applyBorder="1" applyAlignment="1">
      <alignment horizontal="center" vertical="center"/>
    </xf>
    <xf numFmtId="0" fontId="25" fillId="0" borderId="9" xfId="5" applyFont="1" applyFill="1" applyBorder="1" applyAlignment="1">
      <alignment horizontal="center" vertical="center" wrapText="1"/>
    </xf>
    <xf numFmtId="0" fontId="25" fillId="0" borderId="20" xfId="5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horizontal="left" vertical="center" wrapText="1"/>
    </xf>
    <xf numFmtId="0" fontId="25" fillId="0" borderId="20" xfId="5" applyFont="1" applyFill="1" applyBorder="1" applyAlignment="1">
      <alignment horizontal="center" wrapText="1"/>
    </xf>
    <xf numFmtId="0" fontId="25" fillId="0" borderId="20" xfId="5" applyFont="1" applyBorder="1" applyAlignment="1">
      <alignment horizontal="center" wrapText="1"/>
    </xf>
    <xf numFmtId="0" fontId="25" fillId="0" borderId="59" xfId="5" applyFont="1" applyBorder="1" applyAlignment="1">
      <alignment horizontal="center" wrapText="1"/>
    </xf>
    <xf numFmtId="0" fontId="0" fillId="0" borderId="14" xfId="0" applyBorder="1" applyAlignment="1">
      <alignment horizontal="left" vertical="center" wrapText="1"/>
    </xf>
    <xf numFmtId="0" fontId="2" fillId="0" borderId="0" xfId="5" applyFont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66" fontId="11" fillId="0" borderId="0" xfId="0" applyNumberFormat="1" applyFont="1" applyBorder="1" applyAlignment="1">
      <alignment horizontal="left" vertical="center" wrapText="1" indent="1"/>
    </xf>
    <xf numFmtId="166" fontId="15" fillId="0" borderId="8" xfId="0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26" fillId="0" borderId="0" xfId="0" applyNumberFormat="1" applyFont="1"/>
    <xf numFmtId="0" fontId="6" fillId="0" borderId="1" xfId="0" applyFont="1" applyFill="1" applyBorder="1" applyAlignment="1">
      <alignment horizontal="left" vertical="center" wrapText="1"/>
    </xf>
    <xf numFmtId="3" fontId="6" fillId="0" borderId="3" xfId="2" applyNumberFormat="1" applyFont="1" applyFill="1" applyBorder="1" applyAlignment="1">
      <alignment horizontal="center" vertical="center" wrapText="1"/>
    </xf>
    <xf numFmtId="3" fontId="6" fillId="0" borderId="1" xfId="2" applyNumberFormat="1" applyFont="1" applyFill="1" applyBorder="1" applyAlignment="1">
      <alignment horizontal="center" vertical="center" wrapText="1"/>
    </xf>
    <xf numFmtId="3" fontId="6" fillId="0" borderId="4" xfId="2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3" fontId="2" fillId="0" borderId="0" xfId="0" applyNumberFormat="1" applyFont="1" applyFill="1" applyAlignment="1">
      <alignment horizontal="center" vertical="center"/>
    </xf>
    <xf numFmtId="166" fontId="2" fillId="0" borderId="0" xfId="0" applyNumberFormat="1" applyFont="1" applyFill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0" fontId="0" fillId="0" borderId="0" xfId="0" applyFill="1"/>
    <xf numFmtId="0" fontId="5" fillId="0" borderId="0" xfId="0" applyFont="1" applyFill="1" applyAlignment="1">
      <alignment horizontal="center" vertical="center" wrapText="1"/>
    </xf>
    <xf numFmtId="3" fontId="5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0" fontId="2" fillId="0" borderId="0" xfId="5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66" fontId="6" fillId="0" borderId="3" xfId="0" applyNumberFormat="1" applyFont="1" applyFill="1" applyBorder="1" applyAlignment="1">
      <alignment horizontal="center" vertical="center"/>
    </xf>
    <xf numFmtId="166" fontId="6" fillId="0" borderId="3" xfId="2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/>
    <xf numFmtId="166" fontId="6" fillId="0" borderId="1" xfId="0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/>
    </xf>
    <xf numFmtId="166" fontId="6" fillId="0" borderId="2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left" vertical="center" wrapText="1"/>
    </xf>
    <xf numFmtId="166" fontId="8" fillId="0" borderId="6" xfId="0" applyNumberFormat="1" applyFont="1" applyFill="1" applyBorder="1" applyAlignment="1">
      <alignment horizontal="center" vertical="center"/>
    </xf>
    <xf numFmtId="3" fontId="6" fillId="0" borderId="6" xfId="2" applyNumberFormat="1" applyFont="1" applyFill="1" applyBorder="1" applyAlignment="1">
      <alignment horizontal="center" vertical="center" wrapText="1"/>
    </xf>
    <xf numFmtId="166" fontId="8" fillId="0" borderId="7" xfId="2" applyNumberFormat="1" applyFont="1" applyFill="1" applyBorder="1" applyAlignment="1">
      <alignment horizontal="center" vertical="center" wrapText="1"/>
    </xf>
    <xf numFmtId="0" fontId="8" fillId="0" borderId="0" xfId="0" applyFont="1" applyFill="1"/>
    <xf numFmtId="166" fontId="10" fillId="0" borderId="10" xfId="0" applyNumberFormat="1" applyFont="1" applyFill="1" applyBorder="1" applyAlignment="1">
      <alignment horizontal="right" vertical="center"/>
    </xf>
    <xf numFmtId="0" fontId="11" fillId="0" borderId="11" xfId="0" applyFont="1" applyFill="1" applyBorder="1" applyAlignment="1">
      <alignment horizontal="center" vertical="center"/>
    </xf>
    <xf numFmtId="166" fontId="26" fillId="0" borderId="0" xfId="0" applyNumberFormat="1" applyFont="1" applyFill="1"/>
    <xf numFmtId="0" fontId="10" fillId="0" borderId="12" xfId="0" applyFont="1" applyFill="1" applyBorder="1" applyAlignment="1">
      <alignment vertical="center"/>
    </xf>
    <xf numFmtId="0" fontId="10" fillId="0" borderId="13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66" fontId="10" fillId="0" borderId="0" xfId="0" applyNumberFormat="1" applyFont="1" applyFill="1" applyBorder="1" applyAlignment="1">
      <alignment vertical="center"/>
    </xf>
    <xf numFmtId="0" fontId="10" fillId="0" borderId="14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5" fillId="0" borderId="64" xfId="0" applyNumberFormat="1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166" fontId="15" fillId="0" borderId="4" xfId="0" applyNumberFormat="1" applyFont="1" applyBorder="1" applyAlignment="1">
      <alignment horizontal="center" vertical="center" wrapText="1"/>
    </xf>
    <xf numFmtId="3" fontId="15" fillId="0" borderId="66" xfId="0" applyNumberFormat="1" applyFont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0" fillId="0" borderId="45" xfId="0" applyFont="1" applyFill="1" applyBorder="1" applyAlignment="1">
      <alignment horizontal="center" vertical="center"/>
    </xf>
    <xf numFmtId="170" fontId="0" fillId="0" borderId="46" xfId="7" applyNumberFormat="1" applyFont="1" applyFill="1" applyBorder="1" applyAlignment="1" applyProtection="1">
      <alignment horizontal="center" vertical="center"/>
    </xf>
    <xf numFmtId="0" fontId="2" fillId="0" borderId="0" xfId="5" applyFont="1" applyFill="1" applyBorder="1" applyAlignment="1">
      <alignment horizontal="left" vertical="center" wrapText="1"/>
    </xf>
    <xf numFmtId="0" fontId="2" fillId="0" borderId="14" xfId="5" applyFont="1" applyFill="1" applyBorder="1" applyAlignment="1">
      <alignment horizontal="left" vertical="center" wrapText="1"/>
    </xf>
    <xf numFmtId="0" fontId="2" fillId="0" borderId="60" xfId="5" applyFont="1" applyBorder="1" applyAlignment="1">
      <alignment horizontal="left" vertical="center" wrapText="1"/>
    </xf>
    <xf numFmtId="0" fontId="2" fillId="0" borderId="61" xfId="5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30" xfId="5" applyFont="1" applyFill="1" applyBorder="1" applyAlignment="1">
      <alignment horizontal="left" vertical="center" wrapText="1"/>
    </xf>
    <xf numFmtId="0" fontId="2" fillId="0" borderId="62" xfId="5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11" fillId="0" borderId="16" xfId="0" applyFont="1" applyFill="1" applyBorder="1" applyAlignment="1">
      <alignment horizontal="left" vertical="center" wrapText="1" indent="1"/>
    </xf>
    <xf numFmtId="0" fontId="9" fillId="0" borderId="9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left" vertical="center"/>
    </xf>
    <xf numFmtId="0" fontId="11" fillId="0" borderId="19" xfId="0" applyFont="1" applyFill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63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166" fontId="13" fillId="0" borderId="22" xfId="0" applyNumberFormat="1" applyFont="1" applyBorder="1" applyAlignment="1">
      <alignment horizontal="center" vertical="center" wrapText="1"/>
    </xf>
    <xf numFmtId="166" fontId="13" fillId="0" borderId="63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left" vertical="center" wrapText="1" indent="1"/>
    </xf>
    <xf numFmtId="167" fontId="12" fillId="0" borderId="16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left"/>
    </xf>
    <xf numFmtId="0" fontId="0" fillId="0" borderId="28" xfId="0" applyFont="1" applyBorder="1" applyAlignment="1">
      <alignment horizontal="center"/>
    </xf>
    <xf numFmtId="3" fontId="17" fillId="0" borderId="29" xfId="0" applyNumberFormat="1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0" fontId="19" fillId="0" borderId="31" xfId="0" applyFont="1" applyFill="1" applyBorder="1"/>
    <xf numFmtId="0" fontId="20" fillId="0" borderId="32" xfId="0" applyFont="1" applyFill="1" applyBorder="1" applyAlignment="1">
      <alignment horizontal="left" indent="1"/>
    </xf>
    <xf numFmtId="0" fontId="15" fillId="0" borderId="31" xfId="0" applyFont="1" applyFill="1" applyBorder="1" applyAlignment="1">
      <alignment horizontal="left" vertical="center" wrapText="1"/>
    </xf>
    <xf numFmtId="0" fontId="21" fillId="0" borderId="33" xfId="0" applyFont="1" applyBorder="1" applyAlignment="1">
      <alignment horizontal="left"/>
    </xf>
    <xf numFmtId="0" fontId="0" fillId="0" borderId="50" xfId="0" applyFont="1" applyBorder="1" applyAlignment="1">
      <alignment horizontal="center" vertical="center"/>
    </xf>
    <xf numFmtId="0" fontId="20" fillId="0" borderId="35" xfId="0" applyNumberFormat="1" applyFont="1" applyFill="1" applyBorder="1" applyAlignment="1">
      <alignment horizontal="justify" vertical="center" wrapText="1"/>
    </xf>
    <xf numFmtId="0" fontId="22" fillId="0" borderId="3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/>
    </xf>
    <xf numFmtId="0" fontId="0" fillId="0" borderId="44" xfId="0" applyFont="1" applyFill="1" applyBorder="1" applyAlignment="1">
      <alignment horizontal="left" vertical="center" wrapText="1"/>
    </xf>
    <xf numFmtId="0" fontId="0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center"/>
    </xf>
    <xf numFmtId="0" fontId="17" fillId="0" borderId="16" xfId="0" applyFont="1" applyBorder="1" applyAlignment="1">
      <alignment vertical="center" wrapText="1"/>
    </xf>
    <xf numFmtId="0" fontId="20" fillId="0" borderId="38" xfId="0" applyFont="1" applyBorder="1" applyAlignment="1">
      <alignment vertical="center" wrapText="1"/>
    </xf>
    <xf numFmtId="0" fontId="20" fillId="0" borderId="27" xfId="0" applyFont="1" applyFill="1" applyBorder="1" applyAlignment="1">
      <alignment horizontal="left" vertical="center" wrapText="1" indent="1"/>
    </xf>
    <xf numFmtId="0" fontId="0" fillId="0" borderId="5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17" fillId="0" borderId="56" xfId="0" applyFont="1" applyBorder="1" applyAlignment="1">
      <alignment horizontal="left" vertical="center" wrapText="1"/>
    </xf>
    <xf numFmtId="0" fontId="0" fillId="0" borderId="34" xfId="0" applyBorder="1"/>
    <xf numFmtId="0" fontId="27" fillId="0" borderId="0" xfId="0" applyFont="1" applyFill="1" applyBorder="1" applyAlignment="1">
      <alignment vertical="center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D1" zoomScale="130" zoomScaleNormal="130" workbookViewId="0">
      <selection activeCell="H1" sqref="G1:H1048576"/>
    </sheetView>
  </sheetViews>
  <sheetFormatPr baseColWidth="10" defaultRowHeight="15" x14ac:dyDescent="0.25"/>
  <cols>
    <col min="1" max="1" width="5.42578125" style="13" bestFit="1" customWidth="1"/>
    <col min="2" max="2" width="13" style="13" bestFit="1" customWidth="1"/>
    <col min="3" max="3" width="39.7109375" style="13" customWidth="1"/>
    <col min="4" max="4" width="8.7109375" style="13" customWidth="1"/>
    <col min="5" max="5" width="56.7109375" style="14" customWidth="1"/>
    <col min="6" max="6" width="21.85546875" style="13" bestFit="1" customWidth="1"/>
    <col min="7" max="7" width="10.42578125" style="15" bestFit="1" customWidth="1"/>
    <col min="8" max="8" width="12.42578125" style="16" bestFit="1" customWidth="1"/>
    <col min="9" max="9" width="16.28515625" style="16" bestFit="1" customWidth="1"/>
  </cols>
  <sheetData>
    <row r="1" spans="1:9" s="90" customFormat="1" x14ac:dyDescent="0.25">
      <c r="A1" s="83">
        <v>2022</v>
      </c>
      <c r="B1" s="84"/>
      <c r="C1" s="85"/>
      <c r="D1" s="85"/>
      <c r="E1" s="86"/>
      <c r="F1" s="85"/>
      <c r="G1" s="87"/>
      <c r="H1" s="89"/>
      <c r="I1" s="88"/>
    </row>
    <row r="2" spans="1:9" s="90" customFormat="1" ht="18.75" x14ac:dyDescent="0.25">
      <c r="A2" s="85"/>
      <c r="B2" s="185" t="s">
        <v>0</v>
      </c>
      <c r="C2" s="185"/>
      <c r="D2" s="185"/>
      <c r="E2" s="185"/>
      <c r="F2" s="185"/>
      <c r="G2" s="185"/>
      <c r="H2" s="185"/>
      <c r="I2" s="88"/>
    </row>
    <row r="3" spans="1:9" s="90" customFormat="1" x14ac:dyDescent="0.25">
      <c r="A3" s="85"/>
      <c r="B3" s="84"/>
      <c r="C3" s="85"/>
      <c r="D3" s="85"/>
      <c r="E3" s="86"/>
      <c r="F3" s="85"/>
      <c r="G3" s="87"/>
      <c r="H3" s="89"/>
      <c r="I3" s="88"/>
    </row>
    <row r="4" spans="1:9" s="90" customFormat="1" x14ac:dyDescent="0.25">
      <c r="A4" s="139" t="s">
        <v>1</v>
      </c>
      <c r="B4" s="139"/>
      <c r="C4" s="67" t="s">
        <v>2</v>
      </c>
      <c r="D4" s="67"/>
      <c r="E4" s="67"/>
      <c r="F4" s="91"/>
      <c r="G4" s="92"/>
      <c r="H4" s="89"/>
      <c r="I4" s="88"/>
    </row>
    <row r="5" spans="1:9" s="90" customFormat="1" ht="15" customHeight="1" x14ac:dyDescent="0.25">
      <c r="A5" s="139" t="s">
        <v>3</v>
      </c>
      <c r="B5" s="139"/>
      <c r="C5" s="67" t="s">
        <v>4</v>
      </c>
      <c r="D5" s="67"/>
      <c r="E5" s="67"/>
      <c r="F5" s="91"/>
      <c r="G5" s="92"/>
      <c r="H5" s="89"/>
      <c r="I5" s="88"/>
    </row>
    <row r="6" spans="1:9" s="90" customFormat="1" x14ac:dyDescent="0.25">
      <c r="A6" s="139" t="s">
        <v>5</v>
      </c>
      <c r="B6" s="139"/>
      <c r="C6" s="68">
        <v>2022</v>
      </c>
      <c r="D6" s="69"/>
      <c r="E6" s="68"/>
      <c r="F6" s="91"/>
      <c r="G6" s="92"/>
      <c r="H6" s="89"/>
      <c r="I6" s="88"/>
    </row>
    <row r="7" spans="1:9" s="90" customFormat="1" x14ac:dyDescent="0.25">
      <c r="A7" s="139" t="s">
        <v>6</v>
      </c>
      <c r="B7" s="139"/>
      <c r="C7" s="68" t="s">
        <v>7</v>
      </c>
      <c r="D7" s="69"/>
      <c r="E7" s="68"/>
      <c r="F7" s="91"/>
      <c r="G7" s="92"/>
      <c r="H7" s="89"/>
      <c r="I7" s="88"/>
    </row>
    <row r="8" spans="1:9" x14ac:dyDescent="0.25">
      <c r="A8" s="1"/>
      <c r="B8" s="4"/>
      <c r="C8" s="4"/>
      <c r="D8" s="4"/>
      <c r="E8" s="6"/>
      <c r="F8" s="4"/>
      <c r="G8" s="5"/>
      <c r="H8" s="3"/>
      <c r="I8" s="2"/>
    </row>
    <row r="9" spans="1:9" ht="25.5" x14ac:dyDescent="0.25">
      <c r="A9" s="7" t="s">
        <v>8</v>
      </c>
      <c r="B9" s="7" t="s">
        <v>9</v>
      </c>
      <c r="C9" s="8" t="s">
        <v>10</v>
      </c>
      <c r="D9" s="7" t="s">
        <v>11</v>
      </c>
      <c r="E9" s="9" t="s">
        <v>12</v>
      </c>
      <c r="F9" s="8" t="s">
        <v>13</v>
      </c>
      <c r="G9" s="10" t="s">
        <v>14</v>
      </c>
      <c r="H9" s="12" t="s">
        <v>96</v>
      </c>
      <c r="I9" s="11" t="s">
        <v>15</v>
      </c>
    </row>
    <row r="10" spans="1:9" s="102" customFormat="1" ht="12.75" x14ac:dyDescent="0.2">
      <c r="A10" s="97">
        <v>1</v>
      </c>
      <c r="B10" s="97"/>
      <c r="C10" s="97" t="s">
        <v>16</v>
      </c>
      <c r="D10" s="97" t="s">
        <v>17</v>
      </c>
      <c r="E10" s="79" t="s">
        <v>18</v>
      </c>
      <c r="F10" s="98" t="s">
        <v>85</v>
      </c>
      <c r="G10" s="76">
        <v>10</v>
      </c>
      <c r="H10" s="99">
        <v>33315</v>
      </c>
      <c r="I10" s="100">
        <v>333150</v>
      </c>
    </row>
    <row r="11" spans="1:9" s="102" customFormat="1" ht="12.75" x14ac:dyDescent="0.2">
      <c r="A11" s="97">
        <v>2</v>
      </c>
      <c r="B11" s="101"/>
      <c r="C11" s="101" t="s">
        <v>16</v>
      </c>
      <c r="D11" s="101" t="s">
        <v>17</v>
      </c>
      <c r="E11" s="75" t="s">
        <v>19</v>
      </c>
      <c r="F11" s="101" t="s">
        <v>20</v>
      </c>
      <c r="G11" s="77">
        <v>14</v>
      </c>
      <c r="H11" s="103">
        <v>4340</v>
      </c>
      <c r="I11" s="100">
        <v>60760</v>
      </c>
    </row>
    <row r="12" spans="1:9" s="102" customFormat="1" ht="12.75" x14ac:dyDescent="0.2">
      <c r="A12" s="97">
        <v>3</v>
      </c>
      <c r="B12" s="101"/>
      <c r="C12" s="101" t="s">
        <v>16</v>
      </c>
      <c r="D12" s="101" t="s">
        <v>17</v>
      </c>
      <c r="E12" s="75" t="s">
        <v>21</v>
      </c>
      <c r="F12" s="101" t="s">
        <v>22</v>
      </c>
      <c r="G12" s="77">
        <v>8</v>
      </c>
      <c r="H12" s="103">
        <v>51010</v>
      </c>
      <c r="I12" s="100">
        <v>408080</v>
      </c>
    </row>
    <row r="13" spans="1:9" s="102" customFormat="1" ht="12.75" x14ac:dyDescent="0.2">
      <c r="A13" s="97">
        <v>4</v>
      </c>
      <c r="B13" s="101"/>
      <c r="C13" s="101" t="s">
        <v>16</v>
      </c>
      <c r="D13" s="101" t="s">
        <v>17</v>
      </c>
      <c r="E13" s="75" t="s">
        <v>23</v>
      </c>
      <c r="F13" s="101" t="s">
        <v>22</v>
      </c>
      <c r="G13" s="77">
        <v>8</v>
      </c>
      <c r="H13" s="103">
        <v>185810</v>
      </c>
      <c r="I13" s="100">
        <v>1486480</v>
      </c>
    </row>
    <row r="14" spans="1:9" s="102" customFormat="1" ht="12.75" x14ac:dyDescent="0.2">
      <c r="A14" s="97">
        <v>5</v>
      </c>
      <c r="B14" s="101"/>
      <c r="C14" s="101" t="s">
        <v>16</v>
      </c>
      <c r="D14" s="101" t="s">
        <v>17</v>
      </c>
      <c r="E14" s="75" t="s">
        <v>24</v>
      </c>
      <c r="F14" s="101" t="s">
        <v>22</v>
      </c>
      <c r="G14" s="77">
        <v>3</v>
      </c>
      <c r="H14" s="103">
        <v>13515</v>
      </c>
      <c r="I14" s="100">
        <v>40545</v>
      </c>
    </row>
    <row r="15" spans="1:9" s="102" customFormat="1" ht="12.75" x14ac:dyDescent="0.2">
      <c r="A15" s="97">
        <v>6</v>
      </c>
      <c r="B15" s="101"/>
      <c r="C15" s="101" t="s">
        <v>16</v>
      </c>
      <c r="D15" s="101" t="s">
        <v>17</v>
      </c>
      <c r="E15" s="75" t="s">
        <v>87</v>
      </c>
      <c r="F15" s="101" t="s">
        <v>84</v>
      </c>
      <c r="G15" s="77">
        <v>5</v>
      </c>
      <c r="H15" s="103">
        <v>3700</v>
      </c>
      <c r="I15" s="100">
        <v>18500</v>
      </c>
    </row>
    <row r="16" spans="1:9" s="102" customFormat="1" ht="12.75" x14ac:dyDescent="0.2">
      <c r="A16" s="97">
        <v>7</v>
      </c>
      <c r="B16" s="101"/>
      <c r="C16" s="101" t="s">
        <v>16</v>
      </c>
      <c r="D16" s="101" t="s">
        <v>17</v>
      </c>
      <c r="E16" s="75" t="s">
        <v>88</v>
      </c>
      <c r="F16" s="101" t="s">
        <v>84</v>
      </c>
      <c r="G16" s="77">
        <v>5</v>
      </c>
      <c r="H16" s="103">
        <v>3840</v>
      </c>
      <c r="I16" s="100">
        <v>19200</v>
      </c>
    </row>
    <row r="17" spans="1:9" s="102" customFormat="1" ht="12.75" x14ac:dyDescent="0.2">
      <c r="A17" s="97">
        <v>8</v>
      </c>
      <c r="B17" s="101"/>
      <c r="C17" s="101" t="s">
        <v>16</v>
      </c>
      <c r="D17" s="101" t="s">
        <v>17</v>
      </c>
      <c r="E17" s="75" t="s">
        <v>92</v>
      </c>
      <c r="F17" s="101" t="s">
        <v>84</v>
      </c>
      <c r="G17" s="77">
        <v>3</v>
      </c>
      <c r="H17" s="103">
        <v>200080</v>
      </c>
      <c r="I17" s="100">
        <v>600240</v>
      </c>
    </row>
    <row r="18" spans="1:9" s="102" customFormat="1" ht="12.75" x14ac:dyDescent="0.2">
      <c r="A18" s="97">
        <v>9</v>
      </c>
      <c r="B18" s="101"/>
      <c r="C18" s="101" t="s">
        <v>16</v>
      </c>
      <c r="D18" s="101" t="s">
        <v>17</v>
      </c>
      <c r="E18" s="75" t="s">
        <v>25</v>
      </c>
      <c r="F18" s="101" t="s">
        <v>84</v>
      </c>
      <c r="G18" s="77">
        <v>5</v>
      </c>
      <c r="H18" s="103">
        <v>337960</v>
      </c>
      <c r="I18" s="100">
        <v>1689800</v>
      </c>
    </row>
    <row r="19" spans="1:9" s="102" customFormat="1" ht="12.75" x14ac:dyDescent="0.2">
      <c r="A19" s="97">
        <v>10</v>
      </c>
      <c r="B19" s="101"/>
      <c r="C19" s="101" t="s">
        <v>16</v>
      </c>
      <c r="D19" s="101" t="s">
        <v>17</v>
      </c>
      <c r="E19" s="75" t="s">
        <v>26</v>
      </c>
      <c r="F19" s="101" t="s">
        <v>84</v>
      </c>
      <c r="G19" s="77">
        <v>5</v>
      </c>
      <c r="H19" s="103">
        <v>492340</v>
      </c>
      <c r="I19" s="100">
        <v>2461700</v>
      </c>
    </row>
    <row r="20" spans="1:9" s="102" customFormat="1" ht="12.75" x14ac:dyDescent="0.2">
      <c r="A20" s="97">
        <v>11</v>
      </c>
      <c r="B20" s="101"/>
      <c r="C20" s="101" t="s">
        <v>16</v>
      </c>
      <c r="D20" s="101" t="s">
        <v>17</v>
      </c>
      <c r="E20" s="75" t="s">
        <v>89</v>
      </c>
      <c r="F20" s="101" t="s">
        <v>84</v>
      </c>
      <c r="G20" s="77">
        <v>5</v>
      </c>
      <c r="H20" s="103">
        <v>12350</v>
      </c>
      <c r="I20" s="100">
        <v>61750</v>
      </c>
    </row>
    <row r="21" spans="1:9" s="102" customFormat="1" ht="12.75" x14ac:dyDescent="0.2">
      <c r="A21" s="97">
        <v>12</v>
      </c>
      <c r="B21" s="101"/>
      <c r="C21" s="101" t="s">
        <v>16</v>
      </c>
      <c r="D21" s="101" t="s">
        <v>17</v>
      </c>
      <c r="E21" s="75" t="s">
        <v>27</v>
      </c>
      <c r="F21" s="101" t="s">
        <v>86</v>
      </c>
      <c r="G21" s="77">
        <v>10</v>
      </c>
      <c r="H21" s="104">
        <v>355263.16</v>
      </c>
      <c r="I21" s="100">
        <v>3552631.5999999996</v>
      </c>
    </row>
    <row r="22" spans="1:9" s="102" customFormat="1" ht="12.75" x14ac:dyDescent="0.2">
      <c r="A22" s="97">
        <v>13</v>
      </c>
      <c r="B22" s="81"/>
      <c r="C22" s="101" t="s">
        <v>16</v>
      </c>
      <c r="D22" s="81" t="s">
        <v>17</v>
      </c>
      <c r="E22" s="75" t="s">
        <v>28</v>
      </c>
      <c r="F22" s="101" t="s">
        <v>86</v>
      </c>
      <c r="G22" s="77">
        <v>5</v>
      </c>
      <c r="H22" s="103">
        <v>431480</v>
      </c>
      <c r="I22" s="100">
        <v>2157400</v>
      </c>
    </row>
    <row r="23" spans="1:9" s="102" customFormat="1" ht="15" customHeight="1" x14ac:dyDescent="0.2">
      <c r="A23" s="97">
        <v>14</v>
      </c>
      <c r="B23" s="101"/>
      <c r="C23" s="101" t="s">
        <v>16</v>
      </c>
      <c r="D23" s="101" t="s">
        <v>17</v>
      </c>
      <c r="E23" s="75" t="s">
        <v>90</v>
      </c>
      <c r="F23" s="101" t="s">
        <v>84</v>
      </c>
      <c r="G23" s="77">
        <v>2</v>
      </c>
      <c r="H23" s="103">
        <v>250000</v>
      </c>
      <c r="I23" s="100">
        <v>500000</v>
      </c>
    </row>
    <row r="24" spans="1:9" s="102" customFormat="1" ht="12.75" x14ac:dyDescent="0.2">
      <c r="A24" s="97">
        <v>15</v>
      </c>
      <c r="B24" s="101"/>
      <c r="C24" s="101" t="s">
        <v>16</v>
      </c>
      <c r="D24" s="101" t="s">
        <v>17</v>
      </c>
      <c r="E24" s="75" t="s">
        <v>91</v>
      </c>
      <c r="F24" s="101" t="s">
        <v>84</v>
      </c>
      <c r="G24" s="77">
        <v>2</v>
      </c>
      <c r="H24" s="103">
        <v>457848</v>
      </c>
      <c r="I24" s="100">
        <v>915696</v>
      </c>
    </row>
    <row r="25" spans="1:9" s="102" customFormat="1" ht="13.5" thickBot="1" x14ac:dyDescent="0.25">
      <c r="A25" s="97">
        <v>16</v>
      </c>
      <c r="B25" s="105"/>
      <c r="C25" s="105" t="s">
        <v>16</v>
      </c>
      <c r="D25" s="105" t="s">
        <v>17</v>
      </c>
      <c r="E25" s="80" t="s">
        <v>29</v>
      </c>
      <c r="F25" s="105" t="s">
        <v>22</v>
      </c>
      <c r="G25" s="78">
        <v>5</v>
      </c>
      <c r="H25" s="106">
        <v>162650</v>
      </c>
      <c r="I25" s="100">
        <v>813250</v>
      </c>
    </row>
    <row r="26" spans="1:9" s="113" customFormat="1" ht="24.75" customHeight="1" thickBot="1" x14ac:dyDescent="0.25">
      <c r="A26" s="107"/>
      <c r="B26" s="108"/>
      <c r="C26" s="108"/>
      <c r="D26" s="108"/>
      <c r="E26" s="109" t="s">
        <v>30</v>
      </c>
      <c r="F26" s="108"/>
      <c r="G26" s="111"/>
      <c r="H26" s="110"/>
      <c r="I26" s="112">
        <v>15119182.6</v>
      </c>
    </row>
    <row r="27" spans="1:9" ht="15.75" thickBot="1" x14ac:dyDescent="0.3"/>
    <row r="28" spans="1:9" s="90" customFormat="1" ht="152.25" customHeight="1" x14ac:dyDescent="0.25">
      <c r="A28" s="93"/>
      <c r="B28" s="93"/>
      <c r="C28" s="59" t="s">
        <v>68</v>
      </c>
      <c r="D28" s="140" t="s">
        <v>69</v>
      </c>
      <c r="E28" s="141"/>
      <c r="F28" s="96"/>
      <c r="G28" s="94"/>
      <c r="H28" s="95"/>
      <c r="I28" s="95"/>
    </row>
    <row r="29" spans="1:9" ht="38.25" customHeight="1" x14ac:dyDescent="0.25">
      <c r="C29" s="60"/>
      <c r="D29" s="61"/>
      <c r="E29" s="65"/>
    </row>
    <row r="30" spans="1:9" s="90" customFormat="1" ht="15" customHeight="1" x14ac:dyDescent="0.25">
      <c r="A30" s="93"/>
      <c r="B30" s="93"/>
      <c r="C30" s="62" t="s">
        <v>70</v>
      </c>
      <c r="D30" s="135" t="s">
        <v>83</v>
      </c>
      <c r="E30" s="136"/>
      <c r="F30" s="93"/>
      <c r="G30" s="94"/>
      <c r="H30" s="95"/>
      <c r="I30" s="95"/>
    </row>
    <row r="31" spans="1:9" x14ac:dyDescent="0.25">
      <c r="C31" s="62"/>
      <c r="D31" s="61"/>
      <c r="E31" s="65"/>
    </row>
    <row r="32" spans="1:9" s="90" customFormat="1" ht="27" customHeight="1" x14ac:dyDescent="0.25">
      <c r="A32" s="93"/>
      <c r="B32" s="93"/>
      <c r="C32" s="62" t="s">
        <v>71</v>
      </c>
      <c r="D32" s="135" t="s">
        <v>82</v>
      </c>
      <c r="E32" s="136"/>
      <c r="F32" s="93"/>
      <c r="G32" s="94"/>
      <c r="H32" s="95"/>
      <c r="I32" s="95"/>
    </row>
    <row r="33" spans="3:5" x14ac:dyDescent="0.25">
      <c r="C33" s="62"/>
      <c r="D33" s="61"/>
      <c r="E33" s="65"/>
    </row>
    <row r="34" spans="3:5" x14ac:dyDescent="0.25">
      <c r="C34" s="63" t="s">
        <v>72</v>
      </c>
      <c r="D34" s="66"/>
      <c r="E34" s="65"/>
    </row>
    <row r="35" spans="3:5" x14ac:dyDescent="0.25">
      <c r="C35" s="63"/>
      <c r="D35" s="66"/>
      <c r="E35" s="65"/>
    </row>
    <row r="36" spans="3:5" ht="15.75" customHeight="1" thickBot="1" x14ac:dyDescent="0.3">
      <c r="C36" s="64" t="s">
        <v>73</v>
      </c>
      <c r="D36" s="137" t="s">
        <v>74</v>
      </c>
      <c r="E36" s="138"/>
    </row>
  </sheetData>
  <mergeCells count="8">
    <mergeCell ref="D32:E32"/>
    <mergeCell ref="D36:E36"/>
    <mergeCell ref="A7:B7"/>
    <mergeCell ref="A6:B6"/>
    <mergeCell ref="A4:B4"/>
    <mergeCell ref="A5:B5"/>
    <mergeCell ref="D30:E30"/>
    <mergeCell ref="D28:E28"/>
  </mergeCells>
  <conditionalFormatting sqref="B22">
    <cfRule type="duplicateValues" dxfId="13" priority="15"/>
  </conditionalFormatting>
  <conditionalFormatting sqref="E22">
    <cfRule type="duplicateValues" dxfId="12" priority="16"/>
  </conditionalFormatting>
  <conditionalFormatting sqref="E22">
    <cfRule type="duplicateValues" dxfId="11" priority="17"/>
    <cfRule type="duplicateValues" dxfId="10" priority="18"/>
  </conditionalFormatting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30:C36">
    <cfRule type="duplicateValues" dxfId="3" priority="1"/>
  </conditionalFormatting>
  <conditionalFormatting sqref="C30:C36">
    <cfRule type="duplicateValues" dxfId="2" priority="2"/>
  </conditionalFormatting>
  <conditionalFormatting sqref="C30:C36">
    <cfRule type="duplicateValues" dxfId="1" priority="3"/>
  </conditionalFormatting>
  <conditionalFormatting sqref="C30:C36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zoomScale="90" zoomScaleNormal="90" workbookViewId="0">
      <selection activeCell="B37" sqref="B37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73" customWidth="1"/>
    <col min="11" max="11" width="15.5703125" customWidth="1"/>
    <col min="13" max="13" width="15.5703125" style="74" bestFit="1" customWidth="1"/>
  </cols>
  <sheetData>
    <row r="1" spans="1:13" s="90" customFormat="1" ht="30.75" thickBot="1" x14ac:dyDescent="0.3">
      <c r="A1" s="144" t="s">
        <v>31</v>
      </c>
      <c r="B1" s="144"/>
      <c r="C1" s="144"/>
      <c r="D1" s="144"/>
      <c r="E1" s="144"/>
      <c r="F1" s="144"/>
      <c r="G1" s="144"/>
      <c r="H1" s="144"/>
      <c r="I1" s="144"/>
      <c r="J1" s="114" t="s">
        <v>32</v>
      </c>
      <c r="K1" s="115" t="s">
        <v>75</v>
      </c>
      <c r="M1" s="116"/>
    </row>
    <row r="2" spans="1:13" s="90" customFormat="1" ht="16.5" thickBot="1" x14ac:dyDescent="0.3">
      <c r="A2" s="117"/>
      <c r="B2" s="118"/>
      <c r="C2" s="118"/>
      <c r="D2" s="119"/>
      <c r="E2" s="119"/>
      <c r="F2" s="119"/>
      <c r="G2" s="119"/>
      <c r="H2" s="119"/>
      <c r="I2" s="119"/>
      <c r="J2" s="120"/>
      <c r="K2" s="121"/>
      <c r="M2" s="116"/>
    </row>
    <row r="3" spans="1:13" s="90" customFormat="1" ht="16.5" thickBot="1" x14ac:dyDescent="0.3">
      <c r="A3" s="145" t="s">
        <v>33</v>
      </c>
      <c r="B3" s="145"/>
      <c r="C3" s="145"/>
      <c r="D3" s="143" t="str">
        <f>'SAF 011'!C4</f>
        <v>040 - MINISTERIO DE SALUD</v>
      </c>
      <c r="E3" s="143"/>
      <c r="F3" s="143"/>
      <c r="G3" s="143"/>
      <c r="H3" s="143"/>
      <c r="I3" s="143"/>
      <c r="J3" s="143"/>
      <c r="K3" s="143"/>
      <c r="M3" s="116"/>
    </row>
    <row r="4" spans="1:13" s="90" customFormat="1" ht="16.5" thickBot="1" x14ac:dyDescent="0.3">
      <c r="A4" s="142" t="s">
        <v>34</v>
      </c>
      <c r="B4" s="142"/>
      <c r="C4" s="142"/>
      <c r="D4" s="143" t="str">
        <f>'SAF 011'!C5</f>
        <v>011 - DIRECCION PROVINCIAL DE ADMINISTRACION - MINISTERIO DE SALUD</v>
      </c>
      <c r="E4" s="143"/>
      <c r="F4" s="143"/>
      <c r="G4" s="143"/>
      <c r="H4" s="143"/>
      <c r="I4" s="143"/>
      <c r="J4" s="143"/>
      <c r="K4" s="143"/>
      <c r="M4" s="116"/>
    </row>
    <row r="5" spans="1:13" s="90" customFormat="1" ht="16.5" thickBot="1" x14ac:dyDescent="0.3">
      <c r="A5" s="142" t="s">
        <v>35</v>
      </c>
      <c r="B5" s="142"/>
      <c r="C5" s="142"/>
      <c r="D5" s="143" t="s">
        <v>76</v>
      </c>
      <c r="E5" s="143"/>
      <c r="F5" s="143"/>
      <c r="G5" s="143"/>
      <c r="H5" s="143"/>
      <c r="I5" s="143"/>
      <c r="J5" s="143"/>
      <c r="K5" s="143"/>
      <c r="M5" s="116"/>
    </row>
    <row r="6" spans="1:13" s="90" customFormat="1" ht="16.5" thickBot="1" x14ac:dyDescent="0.3">
      <c r="A6" s="145" t="s">
        <v>36</v>
      </c>
      <c r="B6" s="145"/>
      <c r="C6" s="145"/>
      <c r="D6" s="143" t="s">
        <v>76</v>
      </c>
      <c r="E6" s="143"/>
      <c r="F6" s="143"/>
      <c r="G6" s="143"/>
      <c r="H6" s="143"/>
      <c r="I6" s="143"/>
      <c r="J6" s="143"/>
      <c r="K6" s="143"/>
      <c r="M6" s="116"/>
    </row>
    <row r="7" spans="1:13" s="90" customFormat="1" ht="16.5" thickBot="1" x14ac:dyDescent="0.3">
      <c r="A7" s="142" t="s">
        <v>37</v>
      </c>
      <c r="B7" s="142"/>
      <c r="C7" s="142"/>
      <c r="D7" s="143" t="s">
        <v>77</v>
      </c>
      <c r="E7" s="143"/>
      <c r="F7" s="143"/>
      <c r="G7" s="143"/>
      <c r="H7" s="143"/>
      <c r="I7" s="143"/>
      <c r="J7" s="143"/>
      <c r="K7" s="143"/>
      <c r="M7" s="116"/>
    </row>
    <row r="8" spans="1:13" s="90" customFormat="1" ht="16.5" thickBot="1" x14ac:dyDescent="0.3">
      <c r="A8" s="146" t="s">
        <v>38</v>
      </c>
      <c r="B8" s="146"/>
      <c r="C8" s="146"/>
      <c r="D8" s="147" t="s">
        <v>78</v>
      </c>
      <c r="E8" s="147"/>
      <c r="F8" s="147"/>
      <c r="G8" s="147"/>
      <c r="H8" s="147"/>
      <c r="I8" s="147"/>
      <c r="J8" s="147"/>
      <c r="K8" s="147"/>
      <c r="M8" s="116"/>
    </row>
    <row r="9" spans="1:13" ht="16.5" thickBot="1" x14ac:dyDescent="0.3">
      <c r="A9" s="17"/>
      <c r="B9" s="18"/>
      <c r="C9" s="18"/>
      <c r="D9" s="19"/>
      <c r="E9" s="19"/>
      <c r="F9" s="19"/>
      <c r="G9" s="19"/>
      <c r="H9" s="19"/>
      <c r="I9" s="19"/>
      <c r="J9" s="70"/>
      <c r="K9" s="20"/>
    </row>
    <row r="10" spans="1:13" ht="15.75" thickBot="1" x14ac:dyDescent="0.3">
      <c r="A10" s="149" t="s">
        <v>39</v>
      </c>
      <c r="B10" s="151" t="s">
        <v>40</v>
      </c>
      <c r="C10" s="151" t="s">
        <v>41</v>
      </c>
      <c r="D10" s="151"/>
      <c r="E10" s="151"/>
      <c r="F10" s="151"/>
      <c r="G10" s="151"/>
      <c r="H10" s="151" t="s">
        <v>42</v>
      </c>
      <c r="I10" s="151" t="s">
        <v>43</v>
      </c>
      <c r="J10" s="156" t="s">
        <v>44</v>
      </c>
      <c r="K10" s="153" t="s">
        <v>45</v>
      </c>
    </row>
    <row r="11" spans="1:13" ht="36" customHeight="1" thickBot="1" x14ac:dyDescent="0.3">
      <c r="A11" s="150"/>
      <c r="B11" s="152"/>
      <c r="C11" s="152"/>
      <c r="D11" s="152"/>
      <c r="E11" s="152"/>
      <c r="F11" s="152"/>
      <c r="G11" s="152"/>
      <c r="H11" s="152"/>
      <c r="I11" s="152"/>
      <c r="J11" s="157"/>
      <c r="K11" s="154"/>
    </row>
    <row r="12" spans="1:13" ht="15.75" x14ac:dyDescent="0.25">
      <c r="A12" s="21">
        <v>1</v>
      </c>
      <c r="B12" s="22"/>
      <c r="C12" s="155" t="str">
        <f>'SAF 011'!E10</f>
        <v xml:space="preserve">Acetato de goserelin  depot </v>
      </c>
      <c r="D12" s="155"/>
      <c r="E12" s="155"/>
      <c r="F12" s="155"/>
      <c r="G12" s="155"/>
      <c r="H12" s="82" t="s">
        <v>93</v>
      </c>
      <c r="I12" s="23" t="str">
        <f>+'SAF 011'!F10</f>
        <v>Jeringa Prellenada</v>
      </c>
      <c r="J12" s="71">
        <f>'SAF 011'!H10</f>
        <v>33315</v>
      </c>
      <c r="K12" s="24">
        <f>+'SAF 011'!G10</f>
        <v>10</v>
      </c>
      <c r="M12" s="74">
        <f>+J12*K12</f>
        <v>333150</v>
      </c>
    </row>
    <row r="13" spans="1:13" ht="16.5" customHeight="1" x14ac:dyDescent="0.25">
      <c r="A13" s="25">
        <v>2</v>
      </c>
      <c r="B13" s="26"/>
      <c r="C13" s="148" t="str">
        <f>'SAF 011'!E11</f>
        <v xml:space="preserve">Azacitidina 100 mg </v>
      </c>
      <c r="D13" s="148"/>
      <c r="E13" s="148"/>
      <c r="F13" s="148"/>
      <c r="G13" s="148"/>
      <c r="H13" s="122" t="s">
        <v>93</v>
      </c>
      <c r="I13" s="123" t="str">
        <f>+'SAF 011'!F11</f>
        <v>Frasco- ampolla</v>
      </c>
      <c r="J13" s="72">
        <f>'SAF 011'!H11</f>
        <v>4340</v>
      </c>
      <c r="K13" s="124">
        <f>+'SAF 011'!G11</f>
        <v>14</v>
      </c>
      <c r="M13" s="74">
        <f t="shared" ref="M13:M27" si="0">+J13*K13</f>
        <v>60760</v>
      </c>
    </row>
    <row r="14" spans="1:13" ht="16.5" customHeight="1" x14ac:dyDescent="0.25">
      <c r="A14" s="25">
        <v>3</v>
      </c>
      <c r="B14" s="26"/>
      <c r="C14" s="148" t="str">
        <f>'SAF 011'!E12</f>
        <v>Bevacizumab 100 mg</v>
      </c>
      <c r="D14" s="148"/>
      <c r="E14" s="148"/>
      <c r="F14" s="148"/>
      <c r="G14" s="148"/>
      <c r="H14" s="122" t="s">
        <v>93</v>
      </c>
      <c r="I14" s="123" t="str">
        <f>+'SAF 011'!F12</f>
        <v>Frasco -ampolla</v>
      </c>
      <c r="J14" s="72">
        <f>'SAF 011'!H12</f>
        <v>51010</v>
      </c>
      <c r="K14" s="124">
        <f>+'SAF 011'!G12</f>
        <v>8</v>
      </c>
      <c r="M14" s="74">
        <f t="shared" si="0"/>
        <v>408080</v>
      </c>
    </row>
    <row r="15" spans="1:13" ht="16.5" customHeight="1" x14ac:dyDescent="0.25">
      <c r="A15" s="25">
        <v>4</v>
      </c>
      <c r="B15" s="26"/>
      <c r="C15" s="148" t="str">
        <f>'SAF 011'!E13</f>
        <v>Bevacizumab 400 mg</v>
      </c>
      <c r="D15" s="148"/>
      <c r="E15" s="148"/>
      <c r="F15" s="148"/>
      <c r="G15" s="148"/>
      <c r="H15" s="122" t="s">
        <v>93</v>
      </c>
      <c r="I15" s="123" t="str">
        <f>+'SAF 011'!F13</f>
        <v>Frasco -ampolla</v>
      </c>
      <c r="J15" s="72">
        <f>'SAF 011'!H13</f>
        <v>185810</v>
      </c>
      <c r="K15" s="124">
        <f>+'SAF 011'!G13</f>
        <v>8</v>
      </c>
      <c r="M15" s="74">
        <f t="shared" si="0"/>
        <v>1486480</v>
      </c>
    </row>
    <row r="16" spans="1:13" ht="16.5" customHeight="1" x14ac:dyDescent="0.25">
      <c r="A16" s="25">
        <v>5</v>
      </c>
      <c r="B16" s="26"/>
      <c r="C16" s="148" t="str">
        <f>'SAF 011'!E14</f>
        <v>Fulvestrant 250 mg x 2 ampollas</v>
      </c>
      <c r="D16" s="148"/>
      <c r="E16" s="148"/>
      <c r="F16" s="148"/>
      <c r="G16" s="148"/>
      <c r="H16" s="122" t="s">
        <v>93</v>
      </c>
      <c r="I16" s="123" t="str">
        <f>+'SAF 011'!F14</f>
        <v>Frasco -ampolla</v>
      </c>
      <c r="J16" s="72">
        <f>'SAF 011'!H14</f>
        <v>13515</v>
      </c>
      <c r="K16" s="124">
        <f>+'SAF 011'!G14</f>
        <v>3</v>
      </c>
      <c r="M16" s="74">
        <f t="shared" si="0"/>
        <v>40545</v>
      </c>
    </row>
    <row r="17" spans="1:13" ht="16.5" customHeight="1" x14ac:dyDescent="0.25">
      <c r="A17" s="25">
        <v>6</v>
      </c>
      <c r="B17" s="26"/>
      <c r="C17" s="148" t="str">
        <f>'SAF 011'!E15</f>
        <v>imatinib 100 mg x 180 comp</v>
      </c>
      <c r="D17" s="148"/>
      <c r="E17" s="148"/>
      <c r="F17" s="148"/>
      <c r="G17" s="148"/>
      <c r="H17" s="122" t="s">
        <v>93</v>
      </c>
      <c r="I17" s="123" t="str">
        <f>+'SAF 011'!F15</f>
        <v>CAJA</v>
      </c>
      <c r="J17" s="72">
        <f>'SAF 011'!H15</f>
        <v>3700</v>
      </c>
      <c r="K17" s="124">
        <f>+'SAF 011'!G15</f>
        <v>5</v>
      </c>
      <c r="M17" s="74">
        <f t="shared" si="0"/>
        <v>18500</v>
      </c>
    </row>
    <row r="18" spans="1:13" ht="16.5" customHeight="1" x14ac:dyDescent="0.25">
      <c r="A18" s="25">
        <v>7</v>
      </c>
      <c r="B18" s="26"/>
      <c r="C18" s="148" t="str">
        <f>'SAF 011'!E16</f>
        <v>imatinib 400 mg x 30 comp</v>
      </c>
      <c r="D18" s="148"/>
      <c r="E18" s="148"/>
      <c r="F18" s="148"/>
      <c r="G18" s="148"/>
      <c r="H18" s="122" t="s">
        <v>93</v>
      </c>
      <c r="I18" s="123" t="str">
        <f>+'SAF 011'!F16</f>
        <v>CAJA</v>
      </c>
      <c r="J18" s="72">
        <f>'SAF 011'!H16</f>
        <v>3840</v>
      </c>
      <c r="K18" s="124">
        <f>+'SAF 011'!G16</f>
        <v>5</v>
      </c>
      <c r="M18" s="74">
        <f t="shared" si="0"/>
        <v>19200</v>
      </c>
    </row>
    <row r="19" spans="1:13" ht="16.5" customHeight="1" x14ac:dyDescent="0.25">
      <c r="A19" s="25">
        <v>8</v>
      </c>
      <c r="B19" s="26"/>
      <c r="C19" s="148" t="str">
        <f>'SAF 011'!E17</f>
        <v>Lenalidomida 25 mg  x 21 caps</v>
      </c>
      <c r="D19" s="148"/>
      <c r="E19" s="148"/>
      <c r="F19" s="148"/>
      <c r="G19" s="148"/>
      <c r="H19" s="122" t="s">
        <v>93</v>
      </c>
      <c r="I19" s="123" t="str">
        <f>+'SAF 011'!F17</f>
        <v>CAJA</v>
      </c>
      <c r="J19" s="72">
        <f>'SAF 011'!H17</f>
        <v>200080</v>
      </c>
      <c r="K19" s="124">
        <f>+'SAF 011'!G17</f>
        <v>3</v>
      </c>
      <c r="M19" s="74">
        <f t="shared" si="0"/>
        <v>600240</v>
      </c>
    </row>
    <row r="20" spans="1:13" ht="16.5" customHeight="1" x14ac:dyDescent="0.25">
      <c r="A20" s="25">
        <v>9</v>
      </c>
      <c r="B20" s="26"/>
      <c r="C20" s="148" t="str">
        <f>'SAF 011'!E18</f>
        <v>nilotinib 150 x 120 comp</v>
      </c>
      <c r="D20" s="148"/>
      <c r="E20" s="148"/>
      <c r="F20" s="148"/>
      <c r="G20" s="148"/>
      <c r="H20" s="122" t="s">
        <v>93</v>
      </c>
      <c r="I20" s="123" t="str">
        <f>+'SAF 011'!F18</f>
        <v>CAJA</v>
      </c>
      <c r="J20" s="72">
        <f>'SAF 011'!H18</f>
        <v>337960</v>
      </c>
      <c r="K20" s="124">
        <f>+'SAF 011'!G18</f>
        <v>5</v>
      </c>
      <c r="M20" s="74">
        <f t="shared" si="0"/>
        <v>1689800</v>
      </c>
    </row>
    <row r="21" spans="1:13" ht="16.5" customHeight="1" x14ac:dyDescent="0.25">
      <c r="A21" s="25">
        <v>10</v>
      </c>
      <c r="B21" s="26"/>
      <c r="C21" s="148" t="str">
        <f>'SAF 011'!E19</f>
        <v>nilotinib 200 x 120 comp</v>
      </c>
      <c r="D21" s="148"/>
      <c r="E21" s="148"/>
      <c r="F21" s="148"/>
      <c r="G21" s="148"/>
      <c r="H21" s="122" t="s">
        <v>93</v>
      </c>
      <c r="I21" s="123" t="str">
        <f>+'SAF 011'!F19</f>
        <v>CAJA</v>
      </c>
      <c r="J21" s="72">
        <f>'SAF 011'!H19</f>
        <v>492340</v>
      </c>
      <c r="K21" s="124">
        <f>+'SAF 011'!G19</f>
        <v>5</v>
      </c>
      <c r="M21" s="74">
        <f t="shared" si="0"/>
        <v>2461700</v>
      </c>
    </row>
    <row r="22" spans="1:13" ht="16.5" customHeight="1" x14ac:dyDescent="0.25">
      <c r="A22" s="25">
        <v>11</v>
      </c>
      <c r="B22" s="26"/>
      <c r="C22" s="148" t="str">
        <f>'SAF 011'!E20</f>
        <v>pazopanib 200 mg x 30 comp</v>
      </c>
      <c r="D22" s="148"/>
      <c r="E22" s="148"/>
      <c r="F22" s="148"/>
      <c r="G22" s="148"/>
      <c r="H22" s="122" t="s">
        <v>93</v>
      </c>
      <c r="I22" s="123" t="str">
        <f>+'SAF 011'!F20</f>
        <v>CAJA</v>
      </c>
      <c r="J22" s="72">
        <f>'SAF 011'!H20</f>
        <v>12350</v>
      </c>
      <c r="K22" s="124">
        <f>+'SAF 011'!G20</f>
        <v>5</v>
      </c>
      <c r="M22" s="74">
        <f t="shared" si="0"/>
        <v>61750</v>
      </c>
    </row>
    <row r="23" spans="1:13" ht="16.5" customHeight="1" x14ac:dyDescent="0.25">
      <c r="A23" s="25">
        <v>12</v>
      </c>
      <c r="B23" s="26"/>
      <c r="C23" s="148" t="str">
        <f>'SAF 011'!E21</f>
        <v xml:space="preserve">Pembrolizumab 100 mg </v>
      </c>
      <c r="D23" s="148"/>
      <c r="E23" s="148"/>
      <c r="F23" s="148"/>
      <c r="G23" s="148"/>
      <c r="H23" s="122" t="s">
        <v>93</v>
      </c>
      <c r="I23" s="123" t="str">
        <f>+'SAF 011'!F21</f>
        <v>Vial Inyectable</v>
      </c>
      <c r="J23" s="72">
        <f>'SAF 011'!H21</f>
        <v>355263.16</v>
      </c>
      <c r="K23" s="124">
        <f>+'SAF 011'!G21</f>
        <v>10</v>
      </c>
      <c r="M23" s="74">
        <f t="shared" si="0"/>
        <v>3552631.5999999996</v>
      </c>
    </row>
    <row r="24" spans="1:13" ht="16.5" customHeight="1" x14ac:dyDescent="0.25">
      <c r="A24" s="25">
        <v>13</v>
      </c>
      <c r="B24" s="26"/>
      <c r="C24" s="148" t="str">
        <f>'SAF 011'!E22</f>
        <v xml:space="preserve">pertuzumab 420 mg </v>
      </c>
      <c r="D24" s="148"/>
      <c r="E24" s="148"/>
      <c r="F24" s="148"/>
      <c r="G24" s="148"/>
      <c r="H24" s="122" t="s">
        <v>93</v>
      </c>
      <c r="I24" s="123" t="str">
        <f>+'SAF 011'!F22</f>
        <v>Vial Inyectable</v>
      </c>
      <c r="J24" s="72">
        <f>'SAF 011'!H22</f>
        <v>431480</v>
      </c>
      <c r="K24" s="124">
        <f>+'SAF 011'!G22</f>
        <v>5</v>
      </c>
      <c r="M24" s="74">
        <f t="shared" si="0"/>
        <v>2157400</v>
      </c>
    </row>
    <row r="25" spans="1:13" ht="16.5" customHeight="1" x14ac:dyDescent="0.25">
      <c r="A25" s="25">
        <v>14</v>
      </c>
      <c r="B25" s="26"/>
      <c r="C25" s="148" t="str">
        <f>'SAF 011'!E23</f>
        <v>Regorafenib 40 mg  tab.3 x 28 comp (84 comp)</v>
      </c>
      <c r="D25" s="148"/>
      <c r="E25" s="148"/>
      <c r="F25" s="148"/>
      <c r="G25" s="148"/>
      <c r="H25" s="122" t="s">
        <v>93</v>
      </c>
      <c r="I25" s="123" t="str">
        <f>+'SAF 011'!F23</f>
        <v>CAJA</v>
      </c>
      <c r="J25" s="72">
        <f>'SAF 011'!H23</f>
        <v>250000</v>
      </c>
      <c r="K25" s="124">
        <f>+'SAF 011'!G23</f>
        <v>2</v>
      </c>
      <c r="M25" s="74">
        <f t="shared" si="0"/>
        <v>500000</v>
      </c>
    </row>
    <row r="26" spans="1:13" ht="16.5" customHeight="1" x14ac:dyDescent="0.25">
      <c r="A26" s="25">
        <v>15</v>
      </c>
      <c r="B26" s="26"/>
      <c r="C26" s="148" t="str">
        <f>'SAF 011'!E24</f>
        <v>sunitinib 25 mg x 28 caps</v>
      </c>
      <c r="D26" s="148"/>
      <c r="E26" s="148"/>
      <c r="F26" s="148"/>
      <c r="G26" s="148"/>
      <c r="H26" s="122" t="s">
        <v>93</v>
      </c>
      <c r="I26" s="123" t="str">
        <f>+'SAF 011'!F24</f>
        <v>CAJA</v>
      </c>
      <c r="J26" s="72">
        <f>'SAF 011'!H24</f>
        <v>457848</v>
      </c>
      <c r="K26" s="124">
        <f>+'SAF 011'!G24</f>
        <v>2</v>
      </c>
      <c r="M26" s="74">
        <f t="shared" si="0"/>
        <v>915696</v>
      </c>
    </row>
    <row r="27" spans="1:13" ht="15.75" customHeight="1" x14ac:dyDescent="0.25">
      <c r="A27" s="25">
        <v>16</v>
      </c>
      <c r="B27" s="26"/>
      <c r="C27" s="148" t="str">
        <f>'SAF 011'!E25</f>
        <v>Trastuzumab 440MG.</v>
      </c>
      <c r="D27" s="148"/>
      <c r="E27" s="148"/>
      <c r="F27" s="148"/>
      <c r="G27" s="148"/>
      <c r="H27" s="122" t="s">
        <v>93</v>
      </c>
      <c r="I27" s="123" t="str">
        <f>+'SAF 011'!F25</f>
        <v>Frasco -ampolla</v>
      </c>
      <c r="J27" s="72">
        <f>'SAF 011'!H25</f>
        <v>162650</v>
      </c>
      <c r="K27" s="124">
        <f>+'SAF 011'!G25</f>
        <v>5</v>
      </c>
      <c r="M27" s="74">
        <f t="shared" si="0"/>
        <v>813250</v>
      </c>
    </row>
    <row r="28" spans="1:13" ht="16.5" thickBot="1" x14ac:dyDescent="0.3">
      <c r="A28" s="125"/>
      <c r="B28" s="126"/>
      <c r="C28" s="160"/>
      <c r="D28" s="160"/>
      <c r="E28" s="160"/>
      <c r="F28" s="160"/>
      <c r="G28" s="160"/>
      <c r="H28" s="127"/>
      <c r="I28" s="128"/>
      <c r="J28" s="129"/>
      <c r="K28" s="130"/>
    </row>
    <row r="29" spans="1:13" ht="36" customHeight="1" thickBot="1" x14ac:dyDescent="0.3">
      <c r="A29" s="158" t="s">
        <v>94</v>
      </c>
      <c r="B29" s="158"/>
      <c r="C29" s="158"/>
      <c r="D29" s="158"/>
      <c r="E29" s="158"/>
      <c r="F29" s="158"/>
      <c r="G29" s="158"/>
      <c r="H29" s="158"/>
      <c r="I29" s="158"/>
      <c r="J29" s="159">
        <f>+M29</f>
        <v>15119182.6</v>
      </c>
      <c r="K29" s="159"/>
      <c r="M29" s="74">
        <f>SUM(M12:M28)</f>
        <v>15119182.6</v>
      </c>
    </row>
  </sheetData>
  <mergeCells count="39">
    <mergeCell ref="C22:G22"/>
    <mergeCell ref="C17:G17"/>
    <mergeCell ref="C18:G18"/>
    <mergeCell ref="C19:G19"/>
    <mergeCell ref="C20:G20"/>
    <mergeCell ref="C21:G21"/>
    <mergeCell ref="A29:I29"/>
    <mergeCell ref="J29:K29"/>
    <mergeCell ref="C23:G23"/>
    <mergeCell ref="C24:G24"/>
    <mergeCell ref="C25:G25"/>
    <mergeCell ref="C26:G26"/>
    <mergeCell ref="C27:G27"/>
    <mergeCell ref="C28:G28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0" workbookViewId="0">
      <selection activeCell="S9" sqref="S9"/>
    </sheetView>
  </sheetViews>
  <sheetFormatPr baseColWidth="10" defaultRowHeight="15" x14ac:dyDescent="0.25"/>
  <cols>
    <col min="1" max="5" width="4.42578125" customWidth="1"/>
    <col min="6" max="6" width="7.71093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62" t="s">
        <v>5</v>
      </c>
      <c r="B1" s="162"/>
      <c r="C1" s="162"/>
      <c r="D1" s="163">
        <v>2022</v>
      </c>
      <c r="E1" s="163"/>
      <c r="F1" s="27"/>
      <c r="G1" s="27"/>
      <c r="H1" s="28"/>
      <c r="I1" s="28"/>
      <c r="J1" s="28"/>
      <c r="K1" s="28"/>
      <c r="L1" s="28"/>
      <c r="M1" s="28"/>
      <c r="N1" s="28"/>
      <c r="O1" s="29"/>
      <c r="P1" s="164" t="s">
        <v>46</v>
      </c>
      <c r="Q1" s="164"/>
    </row>
    <row r="2" spans="1:17" ht="15.75" thickBot="1" x14ac:dyDescent="0.3">
      <c r="A2" s="30"/>
      <c r="B2" s="31"/>
      <c r="C2" s="31"/>
      <c r="D2" s="31"/>
      <c r="E2" s="31"/>
      <c r="F2" s="31"/>
      <c r="G2" s="32"/>
      <c r="H2" s="33"/>
      <c r="I2" s="33"/>
      <c r="J2" s="33"/>
      <c r="K2" s="33"/>
      <c r="L2" s="33"/>
      <c r="M2" s="33"/>
      <c r="N2" s="33"/>
      <c r="O2" s="31"/>
      <c r="P2" s="164"/>
      <c r="Q2" s="164"/>
    </row>
    <row r="3" spans="1:17" ht="15.75" thickBot="1" x14ac:dyDescent="0.3">
      <c r="A3" s="30"/>
      <c r="B3" s="31"/>
      <c r="C3" s="31"/>
      <c r="D3" s="31"/>
      <c r="E3" s="31"/>
      <c r="F3" s="31"/>
      <c r="G3" s="32"/>
      <c r="H3" s="31"/>
      <c r="I3" s="31"/>
      <c r="J3" s="31"/>
      <c r="K3" s="31"/>
      <c r="L3" s="31"/>
      <c r="M3" s="31"/>
      <c r="N3" s="31"/>
      <c r="O3" s="31"/>
      <c r="P3" s="31"/>
      <c r="Q3" s="34"/>
    </row>
    <row r="4" spans="1:17" s="90" customFormat="1" ht="15.75" thickBot="1" x14ac:dyDescent="0.3">
      <c r="A4" s="165" t="s">
        <v>47</v>
      </c>
      <c r="B4" s="165"/>
      <c r="C4" s="165"/>
      <c r="D4" s="165"/>
      <c r="E4" s="165"/>
      <c r="F4" s="165"/>
      <c r="G4" s="166" t="str">
        <f>NP!D3</f>
        <v>040 - MINISTERIO DE SALUD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1:17" s="90" customFormat="1" ht="15.75" thickBot="1" x14ac:dyDescent="0.3">
      <c r="A5" s="167" t="s">
        <v>34</v>
      </c>
      <c r="B5" s="167"/>
      <c r="C5" s="167"/>
      <c r="D5" s="167"/>
      <c r="E5" s="167"/>
      <c r="F5" s="167"/>
      <c r="G5" s="166" t="str">
        <f>NP!D4</f>
        <v>011 - DIRECCION PROVINCIAL DE ADMINISTRACION - MINISTERIO DE SALUD</v>
      </c>
      <c r="H5" s="166"/>
      <c r="I5" s="166"/>
      <c r="J5" s="166"/>
      <c r="K5" s="166"/>
      <c r="L5" s="166"/>
      <c r="M5" s="166"/>
      <c r="N5" s="166"/>
      <c r="O5" s="166"/>
      <c r="P5" s="166"/>
      <c r="Q5" s="166"/>
    </row>
    <row r="6" spans="1:17" s="90" customFormat="1" ht="15.75" thickBot="1" x14ac:dyDescent="0.3">
      <c r="A6" s="167" t="s">
        <v>35</v>
      </c>
      <c r="B6" s="167"/>
      <c r="C6" s="167"/>
      <c r="D6" s="167"/>
      <c r="E6" s="167"/>
      <c r="F6" s="167"/>
      <c r="G6" s="166" t="str">
        <f>NP!D5</f>
        <v>DIRECCION PROVINCIAL DE CANCER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</row>
    <row r="7" spans="1:17" s="90" customFormat="1" ht="15.75" thickBot="1" x14ac:dyDescent="0.3">
      <c r="A7" s="167" t="s">
        <v>36</v>
      </c>
      <c r="B7" s="167"/>
      <c r="C7" s="167"/>
      <c r="D7" s="167"/>
      <c r="E7" s="167"/>
      <c r="F7" s="167"/>
      <c r="G7" s="166" t="str">
        <f>NP!D6</f>
        <v>DIRECCION PROVINCIAL DE CANCER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</row>
    <row r="8" spans="1:17" ht="15.75" thickBot="1" x14ac:dyDescent="0.3">
      <c r="A8" s="168" t="s">
        <v>48</v>
      </c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</row>
    <row r="9" spans="1:17" ht="20.25" customHeight="1" x14ac:dyDescent="0.25">
      <c r="A9" s="161" t="s">
        <v>49</v>
      </c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</row>
    <row r="10" spans="1:17" s="90" customFormat="1" ht="69" customHeight="1" x14ac:dyDescent="0.25">
      <c r="A10" s="170" t="s">
        <v>79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</row>
    <row r="11" spans="1:17" ht="15.75" thickBot="1" x14ac:dyDescent="0.3">
      <c r="A11" s="35"/>
      <c r="B11" s="36"/>
      <c r="C11" s="36"/>
      <c r="D11" s="36"/>
      <c r="E11" s="36"/>
      <c r="F11" s="36"/>
      <c r="G11" s="37"/>
      <c r="H11" s="36"/>
      <c r="I11" s="36"/>
      <c r="J11" s="36"/>
      <c r="K11" s="36"/>
      <c r="L11" s="36"/>
      <c r="M11" s="36"/>
      <c r="N11" s="36"/>
      <c r="O11" s="36"/>
      <c r="P11" s="36"/>
      <c r="Q11" s="38"/>
    </row>
    <row r="12" spans="1:17" ht="15.75" thickBot="1" x14ac:dyDescent="0.3">
      <c r="A12" s="171" t="s">
        <v>50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</row>
    <row r="13" spans="1:17" ht="15.75" thickBot="1" x14ac:dyDescent="0.3">
      <c r="A13" s="172" t="s">
        <v>51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3" t="s">
        <v>52</v>
      </c>
      <c r="P13" s="173"/>
      <c r="Q13" s="174" t="s">
        <v>53</v>
      </c>
    </row>
    <row r="14" spans="1:17" ht="15.75" thickBot="1" x14ac:dyDescent="0.3">
      <c r="A14" s="39" t="s">
        <v>54</v>
      </c>
      <c r="B14" s="40" t="s">
        <v>55</v>
      </c>
      <c r="C14" s="40" t="s">
        <v>56</v>
      </c>
      <c r="D14" s="40" t="s">
        <v>57</v>
      </c>
      <c r="E14" s="40" t="s">
        <v>58</v>
      </c>
      <c r="F14" s="40" t="s">
        <v>59</v>
      </c>
      <c r="G14" s="41" t="s">
        <v>60</v>
      </c>
      <c r="H14" s="40" t="s">
        <v>61</v>
      </c>
      <c r="I14" s="40" t="s">
        <v>62</v>
      </c>
      <c r="J14" s="40" t="s">
        <v>63</v>
      </c>
      <c r="K14" s="40" t="s">
        <v>63</v>
      </c>
      <c r="L14" s="40" t="s">
        <v>64</v>
      </c>
      <c r="M14" s="42" t="s">
        <v>65</v>
      </c>
      <c r="N14" s="43" t="s">
        <v>66</v>
      </c>
      <c r="O14" s="173"/>
      <c r="P14" s="173"/>
      <c r="Q14" s="174"/>
    </row>
    <row r="15" spans="1:17" s="90" customFormat="1" ht="35.25" customHeight="1" x14ac:dyDescent="0.25">
      <c r="A15" s="131">
        <v>44</v>
      </c>
      <c r="B15" s="132"/>
      <c r="C15" s="132"/>
      <c r="D15" s="132">
        <v>1</v>
      </c>
      <c r="E15" s="132"/>
      <c r="F15" s="132">
        <v>4901</v>
      </c>
      <c r="G15" s="132">
        <v>3</v>
      </c>
      <c r="H15" s="132">
        <v>1</v>
      </c>
      <c r="I15" s="132">
        <v>2</v>
      </c>
      <c r="J15" s="132">
        <v>5</v>
      </c>
      <c r="K15" s="132">
        <v>2</v>
      </c>
      <c r="L15" s="132"/>
      <c r="M15" s="133">
        <v>1</v>
      </c>
      <c r="N15" s="132" t="s">
        <v>80</v>
      </c>
      <c r="O15" s="175" t="s">
        <v>81</v>
      </c>
      <c r="P15" s="175"/>
      <c r="Q15" s="134">
        <f>NP!M29</f>
        <v>15119182.6</v>
      </c>
    </row>
    <row r="16" spans="1:17" x14ac:dyDescent="0.25">
      <c r="A16" s="44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6"/>
      <c r="N16" s="47"/>
      <c r="O16" s="176"/>
      <c r="P16" s="176"/>
      <c r="Q16" s="48"/>
    </row>
    <row r="17" spans="1:17" x14ac:dyDescent="0.25">
      <c r="A17" s="44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6"/>
      <c r="N17" s="47"/>
      <c r="O17" s="177"/>
      <c r="P17" s="177"/>
      <c r="Q17" s="48"/>
    </row>
    <row r="18" spans="1:17" x14ac:dyDescent="0.2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6"/>
      <c r="N18" s="47"/>
      <c r="O18" s="169"/>
      <c r="P18" s="169"/>
      <c r="Q18" s="48"/>
    </row>
    <row r="19" spans="1:17" x14ac:dyDescent="0.25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6"/>
      <c r="N19" s="47"/>
      <c r="O19" s="169"/>
      <c r="P19" s="169"/>
      <c r="Q19" s="48"/>
    </row>
    <row r="20" spans="1:17" x14ac:dyDescent="0.25">
      <c r="A20" s="44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6"/>
      <c r="N20" s="47"/>
      <c r="O20" s="169"/>
      <c r="P20" s="169"/>
      <c r="Q20" s="48"/>
    </row>
    <row r="21" spans="1:17" x14ac:dyDescent="0.25">
      <c r="A21" s="44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6"/>
      <c r="N21" s="47"/>
      <c r="O21" s="169"/>
      <c r="P21" s="169"/>
      <c r="Q21" s="48"/>
    </row>
    <row r="22" spans="1:17" x14ac:dyDescent="0.25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6"/>
      <c r="N22" s="47"/>
      <c r="O22" s="169"/>
      <c r="P22" s="169"/>
      <c r="Q22" s="48"/>
    </row>
    <row r="23" spans="1:17" x14ac:dyDescent="0.25">
      <c r="A23" s="44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  <c r="N23" s="47"/>
      <c r="O23" s="169"/>
      <c r="P23" s="169"/>
      <c r="Q23" s="48"/>
    </row>
    <row r="24" spans="1:17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6"/>
      <c r="N24" s="47"/>
      <c r="O24" s="169"/>
      <c r="P24" s="169"/>
      <c r="Q24" s="48"/>
    </row>
    <row r="25" spans="1:17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6"/>
      <c r="N25" s="47"/>
      <c r="O25" s="169"/>
      <c r="P25" s="169"/>
      <c r="Q25" s="48"/>
    </row>
    <row r="26" spans="1:17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6"/>
      <c r="N26" s="47"/>
      <c r="O26" s="169"/>
      <c r="P26" s="169"/>
      <c r="Q26" s="48"/>
    </row>
    <row r="27" spans="1:17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6"/>
      <c r="N27" s="47"/>
      <c r="O27" s="169"/>
      <c r="P27" s="169"/>
      <c r="Q27" s="48"/>
    </row>
    <row r="28" spans="1:17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6"/>
      <c r="N28" s="47"/>
      <c r="O28" s="169"/>
      <c r="P28" s="169"/>
      <c r="Q28" s="48"/>
    </row>
    <row r="29" spans="1:17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6"/>
      <c r="N29" s="47"/>
      <c r="O29" s="169"/>
      <c r="P29" s="169"/>
      <c r="Q29" s="48"/>
    </row>
    <row r="30" spans="1:17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6"/>
      <c r="N30" s="47"/>
      <c r="O30" s="169"/>
      <c r="P30" s="169"/>
      <c r="Q30" s="48"/>
    </row>
    <row r="31" spans="1:17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6"/>
      <c r="N31" s="47"/>
      <c r="O31" s="169"/>
      <c r="P31" s="169"/>
      <c r="Q31" s="48"/>
    </row>
    <row r="32" spans="1:17" x14ac:dyDescent="0.25">
      <c r="A32" s="44"/>
      <c r="B32" s="45"/>
      <c r="C32" s="45"/>
      <c r="D32" s="45"/>
      <c r="E32" s="45"/>
      <c r="F32" s="47"/>
      <c r="G32" s="45"/>
      <c r="H32" s="45"/>
      <c r="I32" s="45"/>
      <c r="J32" s="45"/>
      <c r="K32" s="45"/>
      <c r="L32" s="45"/>
      <c r="M32" s="46"/>
      <c r="N32" s="47"/>
      <c r="O32" s="176"/>
      <c r="P32" s="176"/>
      <c r="Q32" s="48"/>
    </row>
    <row r="33" spans="1:17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  <c r="N33" s="47"/>
      <c r="O33" s="176"/>
      <c r="P33" s="176"/>
      <c r="Q33" s="48"/>
    </row>
    <row r="34" spans="1:17" x14ac:dyDescent="0.25">
      <c r="A34" s="44"/>
      <c r="B34" s="45"/>
      <c r="C34" s="45"/>
      <c r="D34" s="45"/>
      <c r="E34" s="45"/>
      <c r="F34" s="47"/>
      <c r="G34" s="45"/>
      <c r="H34" s="45"/>
      <c r="I34" s="45"/>
      <c r="J34" s="45"/>
      <c r="K34" s="45"/>
      <c r="L34" s="45"/>
      <c r="M34" s="46"/>
      <c r="N34" s="47"/>
      <c r="O34" s="176"/>
      <c r="P34" s="176"/>
      <c r="Q34" s="48"/>
    </row>
    <row r="35" spans="1:17" x14ac:dyDescent="0.25">
      <c r="A35" s="44"/>
      <c r="B35" s="45"/>
      <c r="C35" s="45"/>
      <c r="D35" s="45"/>
      <c r="E35" s="45"/>
      <c r="F35" s="47"/>
      <c r="G35" s="45"/>
      <c r="H35" s="45"/>
      <c r="I35" s="45"/>
      <c r="J35" s="45"/>
      <c r="K35" s="45"/>
      <c r="L35" s="45"/>
      <c r="M35" s="46"/>
      <c r="N35" s="47"/>
      <c r="O35" s="176"/>
      <c r="P35" s="176"/>
      <c r="Q35" s="48"/>
    </row>
    <row r="36" spans="1:17" x14ac:dyDescent="0.25">
      <c r="A36" s="49"/>
      <c r="B36" s="50"/>
      <c r="C36" s="50"/>
      <c r="D36" s="50"/>
      <c r="E36" s="50"/>
      <c r="F36" s="51"/>
      <c r="G36" s="50"/>
      <c r="H36" s="50"/>
      <c r="I36" s="50"/>
      <c r="J36" s="50"/>
      <c r="K36" s="50"/>
      <c r="L36" s="50"/>
      <c r="M36" s="52"/>
      <c r="N36" s="53"/>
      <c r="O36" s="181"/>
      <c r="P36" s="181"/>
      <c r="Q36" s="48"/>
    </row>
    <row r="37" spans="1:17" ht="15.75" thickBot="1" x14ac:dyDescent="0.3">
      <c r="A37" s="54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6"/>
      <c r="N37" s="55"/>
      <c r="O37" s="182"/>
      <c r="P37" s="182"/>
      <c r="Q37" s="57"/>
    </row>
    <row r="38" spans="1:17" ht="33" customHeight="1" thickBot="1" x14ac:dyDescent="0.3">
      <c r="A38" s="183" t="s">
        <v>95</v>
      </c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58">
        <f>SUM(Q15:Q37)</f>
        <v>15119182.6</v>
      </c>
    </row>
    <row r="39" spans="1:17" ht="15.75" thickBot="1" x14ac:dyDescent="0.3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</row>
    <row r="40" spans="1:17" ht="15.75" thickBot="1" x14ac:dyDescent="0.3">
      <c r="A40" s="178" t="s">
        <v>67</v>
      </c>
      <c r="B40" s="178"/>
      <c r="C40" s="178"/>
      <c r="D40" s="178"/>
      <c r="E40" s="178"/>
      <c r="F40" s="178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</row>
    <row r="41" spans="1:17" s="90" customFormat="1" ht="15.75" thickBot="1" x14ac:dyDescent="0.3">
      <c r="A41" s="180" t="str">
        <f>NP!D8</f>
        <v>ADQUISICION DEL RUBRO MEDICAMENTOS ONCOLOGICOS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</row>
    <row r="42" spans="1:17" s="90" customFormat="1" ht="15.75" thickBot="1" x14ac:dyDescent="0.3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ADRIAN</cp:lastModifiedBy>
  <dcterms:created xsi:type="dcterms:W3CDTF">2021-12-21T17:55:07Z</dcterms:created>
  <dcterms:modified xsi:type="dcterms:W3CDTF">2022-01-24T14:20:04Z</dcterms:modified>
</cp:coreProperties>
</file>