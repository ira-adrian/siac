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JOHANA AYBAR\Downloads\"/>
    </mc:Choice>
  </mc:AlternateContent>
  <xr:revisionPtr revIDLastSave="0" documentId="8_{2A5F2661-47D7-476D-AF5F-7D43A13DC874}" xr6:coauthVersionLast="47" xr6:coauthVersionMax="47" xr10:uidLastSave="{00000000-0000-0000-0000-000000000000}"/>
  <bookViews>
    <workbookView xWindow="-120" yWindow="-120" windowWidth="29040" windowHeight="15840" xr2:uid="{00000000-000D-0000-FFFF-FFFF00000000}"/>
  </bookViews>
  <sheets>
    <sheet name="Necesidades Trimestrales" sheetId="3" r:id="rId1"/>
    <sheet name=" NotaPedido" sheetId="1" r:id="rId2"/>
    <sheet name="Autor Gastar" sheetId="2" r:id="rId3"/>
  </sheets>
  <definedNames>
    <definedName name="_xlnm._FilterDatabase" localSheetId="0" hidden="1">'Necesidades Trimestrales'!$E$2:$E$60</definedName>
    <definedName name="_xlnm.Print_Area" localSheetId="1">' NotaPedido'!$A$1:$K$19</definedName>
    <definedName name="_xlnm.Print_Area" localSheetId="2">'Autor Gastar'!$A$1:$Q$42</definedName>
  </definedNames>
  <calcPr calcId="181029"/>
</workbook>
</file>

<file path=xl/calcChain.xml><?xml version="1.0" encoding="utf-8"?>
<calcChain xmlns="http://schemas.openxmlformats.org/spreadsheetml/2006/main">
  <c r="B12" i="1" l="1"/>
  <c r="C12" i="1" l="1"/>
  <c r="I10" i="3"/>
  <c r="I11" i="3" s="1"/>
  <c r="I12" i="3" s="1"/>
  <c r="G4" i="2" l="1"/>
  <c r="J19" i="1" l="1"/>
  <c r="Q15" i="2" s="1"/>
  <c r="Q38" i="2" s="1"/>
</calcChain>
</file>

<file path=xl/sharedStrings.xml><?xml version="1.0" encoding="utf-8"?>
<sst xmlns="http://schemas.openxmlformats.org/spreadsheetml/2006/main" count="96" uniqueCount="88">
  <si>
    <t>NOTA DE PEDIDO</t>
  </si>
  <si>
    <t>N°</t>
  </si>
  <si>
    <t xml:space="preserve">JURISDICCIÓN: </t>
  </si>
  <si>
    <t>40 - MINISTERIO DE SALUD</t>
  </si>
  <si>
    <t>SAF:</t>
  </si>
  <si>
    <t>11 - DIRECCION PROVINCIAL DE ADMINISTRACION - MINISTERIO DE SALUD</t>
  </si>
  <si>
    <t>UNIDAD EJECUTORA:</t>
  </si>
  <si>
    <t xml:space="preserve">DEPENDENCIA SOLICITANTE: </t>
  </si>
  <si>
    <t>SECRETARIA DE ASISTENCIA EN SALUD PUBLICA</t>
  </si>
  <si>
    <t>PERIODO UTILIZACIÓN:</t>
  </si>
  <si>
    <t>OBJETO:</t>
  </si>
  <si>
    <t>Ítem</t>
  </si>
  <si>
    <t>Codigo Item</t>
  </si>
  <si>
    <t>DESCRIPCIÓN</t>
  </si>
  <si>
    <t>Adjunta Detalle Técnico</t>
  </si>
  <si>
    <t>Unidad Medida</t>
  </si>
  <si>
    <t>Precio Unitario Estimado</t>
  </si>
  <si>
    <t>Cantidad Solicitada</t>
  </si>
  <si>
    <t>SI</t>
  </si>
  <si>
    <t xml:space="preserve">UNIDAD  </t>
  </si>
  <si>
    <t>EJERCICIO:</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</si>
  <si>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</si>
  <si>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</si>
  <si>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</si>
  <si>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</si>
  <si>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</si>
  <si>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</si>
  <si>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</si>
  <si>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</si>
  <si>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</si>
  <si>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</si>
  <si>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</si>
  <si>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</si>
  <si>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</si>
  <si>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</si>
  <si>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</si>
  <si>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</si>
  <si>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</si>
  <si>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</si>
  <si>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</si>
  <si>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</si>
  <si>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</si>
  <si>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</si>
  <si>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</si>
  <si>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Pedido de Necesidades Trimestrales</t>
  </si>
  <si>
    <t>JURISDICCION:</t>
  </si>
  <si>
    <t xml:space="preserve">SAF N°: </t>
  </si>
  <si>
    <t>011 - Direccion Provincial de Administración - Ministerio de Salud</t>
  </si>
  <si>
    <t>TRIMESTRE:</t>
  </si>
  <si>
    <t>1er Trimestre</t>
  </si>
  <si>
    <t>ID</t>
  </si>
  <si>
    <t>CODIGO ITEM</t>
  </si>
  <si>
    <t>RUBRO DE COMPRA</t>
  </si>
  <si>
    <t xml:space="preserve">I.P.P. </t>
  </si>
  <si>
    <t>DESCRIPCION</t>
  </si>
  <si>
    <t>UNIDAD DE MEDIDA</t>
  </si>
  <si>
    <t>CANTIDAD</t>
  </si>
  <si>
    <t>PRECIO UNITARIO ESTIMADO</t>
  </si>
  <si>
    <t xml:space="preserve">IMPORTE TOTAL ESTIMADO </t>
  </si>
  <si>
    <t>TOTAL DEL RUBRO</t>
  </si>
  <si>
    <t>TOTAL</t>
  </si>
  <si>
    <t>Especificidades Item N° 1:</t>
  </si>
  <si>
    <t>Descripción técnica</t>
  </si>
  <si>
    <t>Plazos y lugares de entrega</t>
  </si>
  <si>
    <t>Calidad Minima esperada</t>
  </si>
  <si>
    <t>Mantenimiento</t>
  </si>
  <si>
    <t>Garantia</t>
  </si>
  <si>
    <t>VER ANEXO I</t>
  </si>
  <si>
    <t>UNIDADES</t>
  </si>
  <si>
    <t>Equipo sanitario y de laboratorio</t>
  </si>
  <si>
    <t>PROD. MEDICO/FARMACEUTICOS/LAB</t>
  </si>
  <si>
    <t>45 días habiles, renovables por igual periodo automáticamente</t>
  </si>
  <si>
    <t>10 AÑOS</t>
  </si>
  <si>
    <r>
      <rPr>
        <b/>
        <sz val="12"/>
        <rFont val="Times New Roman"/>
        <family val="1"/>
      </rPr>
      <t>Mantenimiento de oferta:</t>
    </r>
    <r>
      <rPr>
        <sz val="12"/>
        <rFont val="Times New Roman"/>
        <family val="1"/>
        <charset val="1"/>
      </rPr>
      <t xml:space="preserve"> Cuarenta y cinco (45) días habiles con prorroga automática por unica vez, salvo comunicación en disconformidad del proveedor con una antelación mínima de 5 días previo al vencimiento del plazo.</t>
    </r>
  </si>
  <si>
    <t>TOMOGRAFOS; TIPO: MULTICORTE, POTENCIA RAYOS: 72 KW, TIEMPO RECONSTRUC.: 0,0625 Seg, RANGO DE ENERGIA: 0 - 72 KW, TIPO CAMARA: HELICOIDAL</t>
  </si>
  <si>
    <t>4.3.3-219.14</t>
  </si>
  <si>
    <r>
      <rPr>
        <b/>
        <sz val="12"/>
        <rFont val="Times New Roman"/>
        <family val="1"/>
      </rPr>
      <t>Lugar de entrega:</t>
    </r>
    <r>
      <rPr>
        <sz val="12"/>
        <rFont val="Times New Roman"/>
        <family val="1"/>
      </rPr>
      <t xml:space="preserve"> Hospital Monovalente Carlos Malbran </t>
    </r>
  </si>
  <si>
    <t>Autorizo la realización de los  trámites correspondientes, a fin de proveer a  este Organismo los bienes que se detallan en Nota  de Pedido DPA N° 08/21 afectando la erogación resultante a los créditos presupuestarios aprobados a favor de esta Unidad Ejecutora, conforme al siguiente detalle:</t>
  </si>
  <si>
    <t>Costo total estimado: DIECINUEVE MILLONES QUINIENTOS TREINTA Y SEIS MIL CUATROCIENTOS CON 00/100</t>
  </si>
  <si>
    <t>743 - SECRETARIA DE ASISTENCIA EN SALUD PUBLICA</t>
  </si>
  <si>
    <t>HOSPITAL MONOVALENTE CARLOS MALBRAN</t>
  </si>
  <si>
    <t>ADQUISICION DE TOMOGRAFO</t>
  </si>
  <si>
    <t xml:space="preserve"> 08/2021</t>
  </si>
  <si>
    <t>TOTAL DE PESOS: DIECINUEVE MILLONES QUINIENTOS TREINTA Y SEIS MIL CUATROCIENTOS CON 00/100</t>
  </si>
  <si>
    <t>Adquisición de Tomógrafo con el objeto de fortalecer el Sistema Público de Salud por la emergencia por la que está atravesando la provincia, en el marco de la pandemia por el CoVid-19</t>
  </si>
  <si>
    <t>Quince (15) días hábiles - HOSPITAL MONOVALENTE CARLOS MALBRAN</t>
  </si>
  <si>
    <r>
      <rPr>
        <b/>
        <sz val="12"/>
        <rFont val="Times New Roman"/>
        <family val="1"/>
      </rPr>
      <t>Plazo de entrega:</t>
    </r>
    <r>
      <rPr>
        <sz val="12"/>
        <rFont val="Times New Roman"/>
        <family val="1"/>
        <charset val="1"/>
      </rPr>
      <t xml:space="preserve"> Quince (15) Días Hábiles</t>
    </r>
  </si>
  <si>
    <r>
      <rPr>
        <b/>
        <sz val="12"/>
        <rFont val="Times New Roman"/>
        <family val="1"/>
      </rPr>
      <t>Garantia:</t>
    </r>
    <r>
      <rPr>
        <sz val="12"/>
        <rFont val="Times New Roman"/>
        <family val="1"/>
        <charset val="1"/>
      </rPr>
      <t xml:space="preserve"> doce (12) meses como minimo.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</si>
</sst>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43" formatCode="_-* #,##0.00_-;\-* #,##0.00_-;_-* &quot;-&quot;??_-;_-@_-"/>
    <numFmt numFmtId="164" formatCode="[$$-2C0A]\ #,##0.00"/>
    <numFmt numFmtId="165" formatCode="_-* #,##0.00&quot; €&quot;_-;\-* #,##0.00&quot; €&quot;_-;_-* \-??&quot; €&quot;_-;_-@_-"/>
    <numFmt numFmtId="166" formatCode="dd\-mm\-yy;@"/>
    <numFmt numFmtId="167" formatCode="_(\$* #,##0.00_);_(\$* \(#,##0.00\);_(\$* \-??_);_(@_)"/>
    <numFmt numFmtId="168" formatCode="[$$-2C0A]\ #,##0.00;[$$-2C0A]&quot; -&quot;#,##0.00"/>
    <numFmt numFmtId="169" formatCode="_-[$$-2C0A]\ * #,##0.00_-;\-[$$-2C0A]\ * #,##0.00_-;_-[$$-2C0A]\ * &quot;-&quot;??_-;_-@_-"/>
  </numFmts>
  <fonts count="40" x14ac:knownFonts="1">
    <font>
      <sz val="10"/>
      <name val="Arial"/>
      <charset val="1"/>
    </font>
    <font>
      <sz val="11"/>
      <color theme="1"/>
      <name val="Calibri"/>
      <family val="2"/>
      <scheme val="minor"/>
    </font>
    <font>
      <sz val="11"/>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sz val="10"/>
      <name val="Arial"/>
    </font>
    <font>
      <sz val="12"/>
      <name val="Times New Roman"/>
      <family val="1"/>
    </font>
    <font>
      <b/>
      <sz val="12"/>
      <name val="Times New Roman"/>
      <family val="1"/>
    </font>
    <font>
      <b/>
      <sz val="14"/>
      <name val="Times New Roman"/>
      <family val="1"/>
      <charset val="1"/>
    </font>
    <font>
      <b/>
      <sz val="15"/>
      <color rgb="FF666699"/>
      <name val="Calibri"/>
      <family val="2"/>
      <charset val="1"/>
    </font>
    <font>
      <sz val="10"/>
      <name val="Arial"/>
      <family val="2"/>
    </font>
    <font>
      <sz val="11"/>
      <color rgb="FF993300"/>
      <name val="Calibri"/>
      <family val="2"/>
      <charset val="1"/>
    </font>
    <font>
      <sz val="10"/>
      <name val="Arial"/>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sz val="9"/>
      <color rgb="FF000000"/>
      <name val="Times New Roman"/>
      <family val="1"/>
    </font>
    <font>
      <b/>
      <sz val="12"/>
      <color rgb="FF000000"/>
      <name val="Arial"/>
      <family val="2"/>
    </font>
    <font>
      <b/>
      <sz val="12"/>
      <name val="Arial"/>
      <family val="2"/>
    </font>
    <font>
      <sz val="11"/>
      <name val="Arial"/>
      <family val="2"/>
    </font>
    <font>
      <sz val="11"/>
      <color rgb="FF333333"/>
      <name val="Arial"/>
      <family val="2"/>
    </font>
    <font>
      <b/>
      <sz val="12"/>
      <color rgb="FF000000"/>
      <name val="Cambria"/>
      <family val="1"/>
      <scheme val="major"/>
    </font>
    <font>
      <b/>
      <sz val="14"/>
      <name val="Arial"/>
      <family val="2"/>
    </font>
    <font>
      <b/>
      <sz val="14"/>
      <name val="Cambria"/>
      <family val="1"/>
      <scheme val="major"/>
    </font>
    <font>
      <sz val="9"/>
      <name val="Times New Roman"/>
      <family val="1"/>
    </font>
    <font>
      <u/>
      <sz val="9"/>
      <name val="Times New Roman"/>
      <family val="1"/>
    </font>
  </fonts>
  <fills count="4">
    <fill>
      <patternFill patternType="none"/>
    </fill>
    <fill>
      <patternFill patternType="gray125"/>
    </fill>
    <fill>
      <patternFill patternType="solid">
        <fgColor rgb="FFFFFF99"/>
        <bgColor rgb="FFFFFFCC"/>
      </patternFill>
    </fill>
    <fill>
      <patternFill patternType="solid">
        <fgColor theme="0"/>
        <bgColor indexed="64"/>
      </patternFill>
    </fill>
  </fills>
  <borders count="73">
    <border>
      <left/>
      <right/>
      <top/>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right style="thick">
        <color auto="1"/>
      </right>
      <top/>
      <bottom style="thick">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5">
    <xf numFmtId="0" fontId="0" fillId="0" borderId="0"/>
    <xf numFmtId="44" fontId="11" fillId="0" borderId="0" applyBorder="0" applyAlignment="0" applyProtection="0"/>
    <xf numFmtId="0" fontId="15" fillId="0" borderId="30" applyProtection="0"/>
    <xf numFmtId="43" fontId="2" fillId="0" borderId="0" applyFont="0" applyFill="0" applyBorder="0" applyAlignment="0" applyProtection="0"/>
    <xf numFmtId="165" fontId="16" fillId="0" borderId="0" applyBorder="0" applyProtection="0"/>
    <xf numFmtId="0" fontId="17" fillId="2" borderId="0" applyBorder="0" applyProtection="0"/>
    <xf numFmtId="0" fontId="2" fillId="0" borderId="0"/>
    <xf numFmtId="0" fontId="16" fillId="0" borderId="0"/>
    <xf numFmtId="0" fontId="16" fillId="0" borderId="0"/>
    <xf numFmtId="0" fontId="16" fillId="0" borderId="0"/>
    <xf numFmtId="0" fontId="16" fillId="0" borderId="0"/>
    <xf numFmtId="0" fontId="2" fillId="0" borderId="0"/>
    <xf numFmtId="167" fontId="6" fillId="0" borderId="0" applyBorder="0" applyProtection="0"/>
    <xf numFmtId="0" fontId="1" fillId="0" borderId="0"/>
    <xf numFmtId="44" fontId="18" fillId="0" borderId="0" applyFont="0" applyFill="0" applyBorder="0" applyAlignment="0" applyProtection="0"/>
  </cellStyleXfs>
  <cellXfs count="192">
    <xf numFmtId="0" fontId="0" fillId="0" borderId="0" xfId="0"/>
    <xf numFmtId="0" fontId="4" fillId="0" borderId="2" xfId="0" applyFont="1" applyBorder="1" applyAlignment="1">
      <alignment horizontal="right" vertical="center"/>
    </xf>
    <xf numFmtId="0" fontId="6" fillId="0" borderId="0"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Border="1" applyAlignment="1">
      <alignment vertical="center"/>
    </xf>
    <xf numFmtId="0" fontId="4" fillId="0" borderId="6" xfId="0" applyFont="1" applyBorder="1" applyAlignment="1">
      <alignment vertical="center"/>
    </xf>
    <xf numFmtId="0" fontId="7" fillId="0" borderId="12" xfId="0" applyFont="1" applyBorder="1" applyAlignment="1">
      <alignment horizontal="left" vertical="center"/>
    </xf>
    <xf numFmtId="0" fontId="7" fillId="0" borderId="0" xfId="0" applyFont="1" applyBorder="1" applyAlignment="1">
      <alignment horizontal="left" vertical="center"/>
    </xf>
    <xf numFmtId="0" fontId="5" fillId="0" borderId="0" xfId="0" applyFont="1" applyBorder="1" applyAlignment="1">
      <alignment horizontal="left" vertical="center" wrapText="1" indent="1"/>
    </xf>
    <xf numFmtId="0" fontId="5" fillId="0" borderId="6" xfId="0" applyFont="1" applyBorder="1" applyAlignment="1">
      <alignment horizontal="left" vertical="center" wrapText="1" indent="1"/>
    </xf>
    <xf numFmtId="0" fontId="9" fillId="0" borderId="16" xfId="0" applyFont="1" applyBorder="1" applyAlignment="1">
      <alignment horizontal="center" vertical="center"/>
    </xf>
    <xf numFmtId="0" fontId="9" fillId="0" borderId="21" xfId="0" applyFont="1" applyBorder="1" applyAlignment="1">
      <alignment horizontal="center" vertical="center"/>
    </xf>
    <xf numFmtId="0" fontId="9" fillId="0" borderId="22" xfId="0" applyFont="1" applyBorder="1" applyAlignment="1">
      <alignment horizontal="left" vertical="center"/>
    </xf>
    <xf numFmtId="0" fontId="10" fillId="0" borderId="22" xfId="0" applyFont="1" applyBorder="1" applyAlignment="1">
      <alignment horizontal="center" vertical="center"/>
    </xf>
    <xf numFmtId="0" fontId="10" fillId="0" borderId="22" xfId="0" applyFont="1" applyBorder="1" applyAlignment="1">
      <alignment horizontal="center" vertical="center" wrapText="1"/>
    </xf>
    <xf numFmtId="44" fontId="11" fillId="0" borderId="22" xfId="1" applyBorder="1" applyAlignment="1">
      <alignment horizontal="center" vertical="center" wrapText="1"/>
    </xf>
    <xf numFmtId="3" fontId="10" fillId="0" borderId="23" xfId="0" applyNumberFormat="1"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left" vertical="center"/>
    </xf>
    <xf numFmtId="0" fontId="10" fillId="0" borderId="24" xfId="0" applyFont="1" applyBorder="1" applyAlignment="1">
      <alignment horizontal="center" vertical="center"/>
    </xf>
    <xf numFmtId="0" fontId="10" fillId="0" borderId="24" xfId="0" applyFont="1" applyBorder="1" applyAlignment="1">
      <alignment horizontal="center" vertical="center" wrapText="1"/>
    </xf>
    <xf numFmtId="3" fontId="10" fillId="0" borderId="26" xfId="0" applyNumberFormat="1"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left" vertical="center"/>
    </xf>
    <xf numFmtId="0" fontId="10" fillId="0" borderId="28" xfId="0" applyFont="1" applyBorder="1" applyAlignment="1">
      <alignment horizontal="center" vertical="center"/>
    </xf>
    <xf numFmtId="0" fontId="10" fillId="0" borderId="28" xfId="0" applyFont="1" applyBorder="1" applyAlignment="1">
      <alignment horizontal="center" vertical="center" wrapText="1"/>
    </xf>
    <xf numFmtId="3" fontId="10" fillId="0" borderId="29" xfId="0" applyNumberFormat="1" applyFont="1" applyBorder="1" applyAlignment="1">
      <alignment horizontal="center" vertical="center"/>
    </xf>
    <xf numFmtId="17" fontId="5" fillId="0" borderId="3" xfId="0" applyNumberFormat="1" applyFont="1" applyBorder="1" applyAlignment="1">
      <alignment horizontal="center" vertical="center"/>
    </xf>
    <xf numFmtId="3" fontId="19" fillId="0" borderId="33" xfId="0" applyNumberFormat="1" applyFont="1" applyBorder="1" applyAlignment="1"/>
    <xf numFmtId="166" fontId="0" fillId="0" borderId="33" xfId="0" applyNumberFormat="1" applyBorder="1" applyAlignment="1">
      <alignment horizontal="left"/>
    </xf>
    <xf numFmtId="0" fontId="0" fillId="0" borderId="33" xfId="0" applyBorder="1"/>
    <xf numFmtId="0" fontId="0" fillId="0" borderId="12" xfId="0" applyBorder="1"/>
    <xf numFmtId="0" fontId="0" fillId="0" borderId="0" xfId="0" applyBorder="1"/>
    <xf numFmtId="0" fontId="0" fillId="0" borderId="0" xfId="0" applyBorder="1" applyAlignment="1">
      <alignment horizontal="left"/>
    </xf>
    <xf numFmtId="166" fontId="0" fillId="0" borderId="0" xfId="0" applyNumberFormat="1" applyBorder="1" applyAlignment="1">
      <alignment horizontal="left"/>
    </xf>
    <xf numFmtId="0" fontId="0" fillId="0" borderId="6" xfId="0" applyBorder="1"/>
    <xf numFmtId="0" fontId="6" fillId="0" borderId="0" xfId="0" applyFont="1"/>
    <xf numFmtId="0" fontId="0" fillId="0" borderId="4" xfId="0" applyBorder="1"/>
    <xf numFmtId="0" fontId="0" fillId="0" borderId="5" xfId="0" applyBorder="1"/>
    <xf numFmtId="0" fontId="0" fillId="0" borderId="5" xfId="0" applyBorder="1" applyAlignment="1">
      <alignment horizontal="left"/>
    </xf>
    <xf numFmtId="0" fontId="0" fillId="0" borderId="39" xfId="0" applyBorder="1"/>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23" fillId="0" borderId="43" xfId="0" applyFont="1" applyBorder="1" applyAlignment="1">
      <alignment horizontal="left" vertical="center"/>
    </xf>
    <xf numFmtId="0" fontId="23" fillId="0" borderId="44" xfId="0" applyFont="1" applyBorder="1" applyAlignment="1">
      <alignment horizontal="center" vertical="center"/>
    </xf>
    <xf numFmtId="0" fontId="23" fillId="0" borderId="45" xfId="0" applyFont="1" applyBorder="1" applyAlignment="1">
      <alignment horizontal="center" vertical="center"/>
    </xf>
    <xf numFmtId="0" fontId="0" fillId="0" borderId="46" xfId="0" applyFont="1" applyBorder="1" applyAlignment="1">
      <alignment horizontal="center" vertical="center"/>
    </xf>
    <xf numFmtId="0" fontId="0" fillId="0" borderId="47" xfId="0" applyFont="1" applyBorder="1" applyAlignment="1">
      <alignment horizontal="center" vertical="center"/>
    </xf>
    <xf numFmtId="0" fontId="0" fillId="0" borderId="48"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0" fontId="0" fillId="0" borderId="52" xfId="0" applyFont="1" applyBorder="1" applyAlignment="1">
      <alignment horizontal="center" vertical="center"/>
    </xf>
    <xf numFmtId="0" fontId="0" fillId="0" borderId="53" xfId="0" applyFont="1" applyBorder="1" applyAlignment="1">
      <alignment horizontal="center" vertical="center"/>
    </xf>
    <xf numFmtId="168" fontId="0" fillId="0" borderId="54" xfId="12" applyNumberFormat="1" applyFont="1" applyBorder="1" applyAlignment="1" applyProtection="1">
      <alignment horizontal="center" vertical="center"/>
    </xf>
    <xf numFmtId="0" fontId="21" fillId="0" borderId="50" xfId="0" applyFont="1" applyBorder="1" applyAlignment="1">
      <alignment horizontal="center" vertical="center"/>
    </xf>
    <xf numFmtId="0" fontId="21" fillId="0" borderId="51" xfId="0" applyFont="1" applyBorder="1" applyAlignment="1">
      <alignment horizontal="center" vertical="center"/>
    </xf>
    <xf numFmtId="0" fontId="0" fillId="0" borderId="53" xfId="0" applyBorder="1" applyAlignment="1">
      <alignment horizontal="center" vertical="center"/>
    </xf>
    <xf numFmtId="0" fontId="21" fillId="0" borderId="52" xfId="0" applyFont="1" applyBorder="1" applyAlignment="1">
      <alignment horizontal="center" vertical="center"/>
    </xf>
    <xf numFmtId="0" fontId="21" fillId="0" borderId="53" xfId="0" applyFont="1" applyBorder="1" applyAlignment="1">
      <alignment horizontal="center"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168" fontId="0" fillId="0" borderId="58" xfId="12" applyNumberFormat="1" applyFont="1" applyBorder="1" applyAlignment="1" applyProtection="1">
      <alignment horizontal="center" vertical="center"/>
    </xf>
    <xf numFmtId="168" fontId="23" fillId="0" borderId="60" xfId="0" applyNumberFormat="1" applyFont="1" applyBorder="1" applyAlignment="1">
      <alignment horizontal="center" vertical="center"/>
    </xf>
    <xf numFmtId="0" fontId="0" fillId="0" borderId="0" xfId="0" applyAlignment="1">
      <alignment horizontal="left"/>
    </xf>
    <xf numFmtId="0" fontId="24" fillId="0" borderId="0" xfId="0" applyFont="1" applyAlignment="1">
      <alignment horizontal="center"/>
    </xf>
    <xf numFmtId="169" fontId="24" fillId="0" borderId="0" xfId="0" applyNumberFormat="1" applyFont="1" applyAlignment="1">
      <alignment horizontal="right" vertical="center"/>
    </xf>
    <xf numFmtId="0" fontId="24" fillId="0" borderId="0" xfId="0" applyFont="1"/>
    <xf numFmtId="0" fontId="28" fillId="0" borderId="0" xfId="0" applyFont="1" applyAlignment="1">
      <alignment horizontal="center" wrapText="1"/>
    </xf>
    <xf numFmtId="0" fontId="28" fillId="0" borderId="0" xfId="0" applyFont="1" applyAlignment="1">
      <alignment horizontal="center" vertical="center" wrapText="1"/>
    </xf>
    <xf numFmtId="169" fontId="16" fillId="0" borderId="0" xfId="4" applyNumberFormat="1" applyAlignment="1">
      <alignment horizontal="right" vertical="center"/>
    </xf>
    <xf numFmtId="0" fontId="27" fillId="0" borderId="0" xfId="0" applyFont="1" applyFill="1" applyAlignment="1">
      <alignment horizontal="left" vertical="center" wrapText="1"/>
    </xf>
    <xf numFmtId="0" fontId="29" fillId="0" borderId="0" xfId="0" applyFont="1" applyFill="1" applyAlignment="1">
      <alignment horizontal="center" wrapText="1"/>
    </xf>
    <xf numFmtId="0" fontId="29" fillId="0" borderId="0" xfId="0" applyFont="1" applyFill="1" applyAlignment="1">
      <alignment horizontal="left" vertical="center" wrapText="1"/>
    </xf>
    <xf numFmtId="0" fontId="30" fillId="0" borderId="0" xfId="0" applyFont="1" applyAlignment="1">
      <alignment horizontal="center" vertical="center" wrapText="1"/>
    </xf>
    <xf numFmtId="0" fontId="28" fillId="0" borderId="0" xfId="0" applyFont="1" applyAlignment="1">
      <alignment horizontal="left" vertical="center" wrapText="1"/>
    </xf>
    <xf numFmtId="0" fontId="31" fillId="0" borderId="62" xfId="0" applyFont="1" applyBorder="1" applyAlignment="1">
      <alignment horizontal="center" vertical="center"/>
    </xf>
    <xf numFmtId="0" fontId="31" fillId="0" borderId="63" xfId="0" applyFont="1" applyBorder="1" applyAlignment="1">
      <alignment horizontal="center" vertical="center"/>
    </xf>
    <xf numFmtId="0" fontId="31" fillId="0" borderId="64" xfId="0" applyFont="1" applyBorder="1" applyAlignment="1">
      <alignment horizontal="center" vertical="center"/>
    </xf>
    <xf numFmtId="0" fontId="31" fillId="0" borderId="65" xfId="0" applyFont="1" applyBorder="1" applyAlignment="1">
      <alignment horizontal="center" vertical="center"/>
    </xf>
    <xf numFmtId="0" fontId="31" fillId="0" borderId="63" xfId="0" applyFont="1" applyBorder="1" applyAlignment="1">
      <alignment horizontal="center" vertical="center" wrapText="1"/>
    </xf>
    <xf numFmtId="169" fontId="32" fillId="0" borderId="66" xfId="4" applyNumberFormat="1" applyFont="1" applyBorder="1" applyAlignment="1">
      <alignment horizontal="center" vertical="center" wrapText="1"/>
    </xf>
    <xf numFmtId="169" fontId="31" fillId="0" borderId="8" xfId="0" applyNumberFormat="1" applyFont="1" applyBorder="1" applyAlignment="1">
      <alignment horizontal="center" vertical="center" wrapText="1"/>
    </xf>
    <xf numFmtId="0" fontId="33" fillId="0" borderId="62" xfId="0" applyFont="1" applyFill="1" applyBorder="1" applyAlignment="1">
      <alignment horizontal="center" vertical="center" wrapText="1"/>
    </xf>
    <xf numFmtId="0" fontId="34" fillId="0" borderId="63" xfId="0" applyFont="1" applyFill="1" applyBorder="1" applyAlignment="1">
      <alignment horizontal="center" vertical="center" wrapText="1"/>
    </xf>
    <xf numFmtId="0" fontId="33" fillId="0" borderId="64" xfId="7" applyFont="1" applyFill="1" applyBorder="1" applyAlignment="1">
      <alignment horizontal="center" vertical="center" wrapText="1"/>
    </xf>
    <xf numFmtId="0" fontId="33" fillId="0" borderId="63" xfId="7" applyFont="1" applyFill="1" applyBorder="1" applyAlignment="1">
      <alignment horizontal="center" vertical="center" wrapText="1"/>
    </xf>
    <xf numFmtId="3" fontId="10" fillId="0" borderId="63" xfId="13" applyNumberFormat="1" applyFont="1" applyBorder="1" applyAlignment="1">
      <alignment horizontal="center" vertical="center"/>
    </xf>
    <xf numFmtId="44" fontId="10" fillId="0" borderId="66" xfId="14" applyFont="1" applyBorder="1" applyAlignment="1">
      <alignment horizontal="center" vertical="center" wrapText="1"/>
    </xf>
    <xf numFmtId="169" fontId="33" fillId="0" borderId="8" xfId="4" applyNumberFormat="1" applyFont="1" applyFill="1" applyBorder="1" applyAlignment="1">
      <alignment horizontal="center" vertical="center" wrapText="1"/>
    </xf>
    <xf numFmtId="169" fontId="35" fillId="0" borderId="8" xfId="0" applyNumberFormat="1" applyFont="1" applyBorder="1" applyAlignment="1">
      <alignment horizontal="center" vertical="center" wrapText="1"/>
    </xf>
    <xf numFmtId="169" fontId="37" fillId="0" borderId="68" xfId="0" applyNumberFormat="1" applyFont="1" applyBorder="1" applyAlignment="1">
      <alignment horizontal="center" vertical="center"/>
    </xf>
    <xf numFmtId="0" fontId="38" fillId="0" borderId="0" xfId="0" applyFont="1" applyAlignment="1">
      <alignment horizontal="center" vertical="center" wrapText="1"/>
    </xf>
    <xf numFmtId="0" fontId="24" fillId="0" borderId="0" xfId="0" applyFont="1" applyAlignment="1">
      <alignment horizontal="left" vertical="center"/>
    </xf>
    <xf numFmtId="0" fontId="24" fillId="0" borderId="0" xfId="0" applyFont="1" applyAlignment="1">
      <alignment horizontal="center" vertical="center"/>
    </xf>
    <xf numFmtId="0" fontId="39" fillId="0" borderId="1" xfId="0" applyFont="1" applyBorder="1" applyAlignment="1">
      <alignment horizontal="center" vertical="center" wrapText="1"/>
    </xf>
    <xf numFmtId="0" fontId="24" fillId="0" borderId="33" xfId="0" applyFont="1" applyBorder="1" applyAlignment="1">
      <alignment horizontal="left" vertical="center"/>
    </xf>
    <xf numFmtId="0" fontId="24" fillId="0" borderId="33" xfId="0" applyFont="1" applyBorder="1" applyAlignment="1">
      <alignment horizontal="center"/>
    </xf>
    <xf numFmtId="0" fontId="24" fillId="0" borderId="69" xfId="0" applyFont="1" applyBorder="1" applyAlignment="1">
      <alignment horizontal="left" vertical="center"/>
    </xf>
    <xf numFmtId="0" fontId="38" fillId="0" borderId="12" xfId="0" applyFont="1" applyBorder="1" applyAlignment="1">
      <alignment horizontal="center" vertical="center" wrapText="1"/>
    </xf>
    <xf numFmtId="0" fontId="24" fillId="0" borderId="0" xfId="0" applyFont="1" applyBorder="1" applyAlignment="1">
      <alignment horizontal="left" vertical="center"/>
    </xf>
    <xf numFmtId="0" fontId="24" fillId="0" borderId="0" xfId="0" applyFont="1" applyBorder="1" applyAlignment="1">
      <alignment horizontal="center"/>
    </xf>
    <xf numFmtId="0" fontId="24" fillId="0" borderId="6" xfId="0" applyFont="1" applyBorder="1" applyAlignment="1">
      <alignment horizontal="left" vertical="center"/>
    </xf>
    <xf numFmtId="0" fontId="39" fillId="0" borderId="12" xfId="0" applyFont="1" applyBorder="1" applyAlignment="1">
      <alignment horizontal="center" vertical="center" wrapText="1"/>
    </xf>
    <xf numFmtId="3" fontId="10" fillId="0" borderId="0" xfId="7" applyNumberFormat="1" applyFont="1" applyBorder="1" applyAlignment="1">
      <alignment horizontal="center" vertical="center"/>
    </xf>
    <xf numFmtId="165" fontId="10" fillId="0" borderId="0" xfId="4" applyFont="1" applyBorder="1" applyAlignment="1">
      <alignment horizontal="center" vertical="center" wrapText="1"/>
    </xf>
    <xf numFmtId="165" fontId="16" fillId="0" borderId="0" xfId="4" applyFont="1" applyBorder="1" applyAlignment="1">
      <alignment horizontal="center" vertical="center"/>
    </xf>
    <xf numFmtId="0" fontId="24" fillId="0" borderId="0" xfId="0" applyFont="1" applyFill="1" applyAlignment="1">
      <alignment wrapText="1"/>
    </xf>
    <xf numFmtId="0" fontId="38" fillId="0" borderId="70" xfId="0" applyFont="1" applyBorder="1" applyAlignment="1">
      <alignment horizontal="center" vertical="center" wrapText="1"/>
    </xf>
    <xf numFmtId="0" fontId="34" fillId="0" borderId="65" xfId="0" applyFont="1" applyFill="1" applyBorder="1" applyAlignment="1">
      <alignment horizontal="left" vertical="top" wrapText="1"/>
    </xf>
    <xf numFmtId="0" fontId="10" fillId="0" borderId="62" xfId="0" applyFont="1" applyBorder="1" applyAlignment="1">
      <alignment horizontal="center" vertical="center"/>
    </xf>
    <xf numFmtId="0" fontId="10" fillId="0" borderId="63" xfId="0" applyFont="1" applyBorder="1" applyAlignment="1">
      <alignment horizontal="center" vertical="center" wrapText="1"/>
    </xf>
    <xf numFmtId="44" fontId="11" fillId="0" borderId="63" xfId="1" applyBorder="1" applyAlignment="1">
      <alignment horizontal="center" vertical="center" wrapText="1"/>
    </xf>
    <xf numFmtId="3" fontId="10" fillId="0" borderId="64" xfId="0" applyNumberFormat="1" applyFont="1" applyBorder="1" applyAlignment="1">
      <alignment horizontal="center" vertical="center"/>
    </xf>
    <xf numFmtId="0" fontId="9" fillId="0" borderId="17" xfId="0" applyFont="1" applyBorder="1" applyAlignment="1">
      <alignment horizontal="center" vertical="center"/>
    </xf>
    <xf numFmtId="168" fontId="16" fillId="0" borderId="49" xfId="12" applyNumberFormat="1" applyFont="1" applyBorder="1" applyAlignment="1" applyProtection="1">
      <alignment horizontal="center" vertical="center"/>
    </xf>
    <xf numFmtId="0" fontId="33" fillId="3" borderId="63" xfId="7" applyFont="1" applyFill="1" applyBorder="1" applyAlignment="1">
      <alignment horizontal="center" vertical="center" wrapText="1"/>
    </xf>
    <xf numFmtId="0" fontId="24" fillId="0" borderId="71" xfId="0" applyFont="1" applyFill="1" applyBorder="1" applyAlignment="1">
      <alignment horizontal="center"/>
    </xf>
    <xf numFmtId="0" fontId="24" fillId="0" borderId="72" xfId="0" applyFont="1" applyFill="1" applyBorder="1" applyAlignment="1">
      <alignment horizontal="center"/>
    </xf>
    <xf numFmtId="0" fontId="24" fillId="0" borderId="0" xfId="0" applyFont="1" applyFill="1" applyBorder="1" applyAlignment="1">
      <alignment horizontal="center"/>
    </xf>
    <xf numFmtId="0" fontId="24" fillId="0" borderId="6" xfId="0" applyFont="1" applyFill="1" applyBorder="1" applyAlignment="1">
      <alignment horizontal="center"/>
    </xf>
    <xf numFmtId="0" fontId="24" fillId="0" borderId="6" xfId="0" applyFont="1" applyFill="1" applyBorder="1" applyAlignment="1">
      <alignment horizontal="center" wrapText="1"/>
    </xf>
    <xf numFmtId="0" fontId="24" fillId="0" borderId="0" xfId="0" applyFont="1" applyFill="1" applyBorder="1" applyAlignment="1">
      <alignment horizontal="left" vertical="center" wrapText="1"/>
    </xf>
    <xf numFmtId="0" fontId="24" fillId="0" borderId="6" xfId="0" applyFont="1" applyFill="1" applyBorder="1" applyAlignment="1">
      <alignment horizontal="left" vertical="center" wrapText="1"/>
    </xf>
    <xf numFmtId="0" fontId="24" fillId="0" borderId="0" xfId="0" applyFont="1" applyAlignment="1">
      <alignment horizontal="center"/>
    </xf>
    <xf numFmtId="0" fontId="24" fillId="0" borderId="6" xfId="0" applyFont="1" applyBorder="1" applyAlignment="1">
      <alignment horizontal="center"/>
    </xf>
    <xf numFmtId="0" fontId="26" fillId="0" borderId="0" xfId="0" applyFont="1" applyBorder="1" applyAlignment="1">
      <alignment horizontal="left" vertical="center" wrapText="1"/>
    </xf>
    <xf numFmtId="0" fontId="29" fillId="0" borderId="31" xfId="0" applyFont="1" applyBorder="1" applyAlignment="1">
      <alignment horizontal="center" vertical="center" wrapText="1"/>
    </xf>
    <xf numFmtId="0" fontId="29" fillId="0" borderId="67" xfId="0" applyFont="1" applyBorder="1" applyAlignment="1">
      <alignment horizontal="center" vertical="center" wrapText="1"/>
    </xf>
    <xf numFmtId="0" fontId="29" fillId="0" borderId="32" xfId="0" applyFont="1" applyBorder="1" applyAlignment="1">
      <alignment horizontal="center" vertical="center" wrapText="1"/>
    </xf>
    <xf numFmtId="0" fontId="31" fillId="0" borderId="65" xfId="0" applyFont="1" applyBorder="1" applyAlignment="1">
      <alignment horizontal="center" vertical="center" wrapText="1"/>
    </xf>
    <xf numFmtId="0" fontId="31" fillId="0" borderId="63" xfId="0" applyFont="1" applyBorder="1" applyAlignment="1">
      <alignment horizontal="center" vertical="center" wrapText="1"/>
    </xf>
    <xf numFmtId="0" fontId="31" fillId="0" borderId="66" xfId="0" applyFont="1" applyBorder="1" applyAlignment="1">
      <alignment horizontal="center" vertical="center" wrapText="1"/>
    </xf>
    <xf numFmtId="0" fontId="36" fillId="0" borderId="31" xfId="0" applyFont="1" applyBorder="1" applyAlignment="1">
      <alignment horizontal="center" vertical="center"/>
    </xf>
    <xf numFmtId="0" fontId="36" fillId="0" borderId="67" xfId="0" applyFont="1" applyBorder="1" applyAlignment="1">
      <alignment horizontal="center" vertical="center"/>
    </xf>
    <xf numFmtId="0" fontId="36" fillId="0" borderId="32" xfId="0" applyFont="1" applyBorder="1" applyAlignment="1">
      <alignment horizontal="center" vertical="center"/>
    </xf>
    <xf numFmtId="0" fontId="24" fillId="0" borderId="0" xfId="0" applyFont="1" applyBorder="1" applyAlignment="1">
      <alignment horizontal="center"/>
    </xf>
    <xf numFmtId="0" fontId="24" fillId="3" borderId="0" xfId="0" applyFont="1" applyFill="1" applyBorder="1" applyAlignment="1">
      <alignment horizontal="left" vertical="top" wrapText="1"/>
    </xf>
    <xf numFmtId="0" fontId="24" fillId="3" borderId="6" xfId="0" applyFont="1" applyFill="1" applyBorder="1" applyAlignment="1">
      <alignment horizontal="left" vertical="top" wrapText="1"/>
    </xf>
    <xf numFmtId="0" fontId="24" fillId="0" borderId="0" xfId="0" applyFont="1" applyBorder="1" applyAlignment="1">
      <alignment vertical="center"/>
    </xf>
    <xf numFmtId="0" fontId="24" fillId="0" borderId="6" xfId="0" applyFont="1" applyBorder="1" applyAlignment="1">
      <alignment vertical="center"/>
    </xf>
    <xf numFmtId="0" fontId="24" fillId="0" borderId="0" xfId="0" applyFont="1" applyFill="1" applyBorder="1" applyAlignment="1">
      <alignment horizontal="left" vertical="center"/>
    </xf>
    <xf numFmtId="0" fontId="24" fillId="0" borderId="6" xfId="0" applyFont="1" applyFill="1" applyBorder="1" applyAlignment="1">
      <alignment horizontal="left" vertical="center"/>
    </xf>
    <xf numFmtId="0" fontId="27" fillId="0" borderId="0" xfId="0" applyFont="1" applyFill="1" applyBorder="1" applyAlignment="1">
      <alignment horizontal="left" wrapText="1" indent="1"/>
    </xf>
    <xf numFmtId="0" fontId="27" fillId="0" borderId="0" xfId="0" applyFont="1" applyFill="1" applyBorder="1" applyAlignment="1">
      <alignment horizontal="center" wrapText="1"/>
    </xf>
    <xf numFmtId="0" fontId="25" fillId="0" borderId="0" xfId="0" applyFont="1" applyBorder="1" applyAlignment="1">
      <alignment horizontal="center" vertical="center"/>
    </xf>
    <xf numFmtId="0" fontId="25" fillId="0" borderId="0" xfId="0" applyFont="1" applyBorder="1" applyAlignment="1">
      <alignment horizontal="right" vertical="center"/>
    </xf>
    <xf numFmtId="0" fontId="7" fillId="0" borderId="9" xfId="0" applyFont="1" applyBorder="1" applyAlignment="1">
      <alignment horizontal="left" vertical="center" wrapText="1"/>
    </xf>
    <xf numFmtId="0" fontId="5" fillId="0" borderId="8" xfId="0" applyFont="1" applyBorder="1" applyAlignment="1">
      <alignment horizontal="left" vertical="center" wrapText="1" indent="1"/>
    </xf>
    <xf numFmtId="0" fontId="3" fillId="0" borderId="1" xfId="0" applyFont="1" applyBorder="1" applyAlignment="1">
      <alignment horizontal="center" vertical="center"/>
    </xf>
    <xf numFmtId="0" fontId="7" fillId="0" borderId="7" xfId="0" applyFont="1" applyBorder="1" applyAlignment="1">
      <alignment horizontal="left" vertical="center" wrapText="1"/>
    </xf>
    <xf numFmtId="0" fontId="7" fillId="0" borderId="10" xfId="0" applyFont="1" applyBorder="1" applyAlignment="1">
      <alignment horizontal="left" vertical="center"/>
    </xf>
    <xf numFmtId="0" fontId="5" fillId="0" borderId="11" xfId="0" applyFont="1" applyBorder="1" applyAlignment="1">
      <alignment horizontal="left" vertical="center" wrapText="1" indent="1"/>
    </xf>
    <xf numFmtId="0" fontId="12" fillId="0" borderId="24" xfId="0" applyFont="1" applyBorder="1" applyAlignment="1">
      <alignment horizontal="left" vertical="top" wrapText="1"/>
    </xf>
    <xf numFmtId="0" fontId="7" fillId="0" borderId="24" xfId="0" applyFont="1" applyBorder="1" applyAlignment="1">
      <alignment horizontal="left" vertical="top" wrapText="1"/>
    </xf>
    <xf numFmtId="0" fontId="12" fillId="0" borderId="28" xfId="0" applyFont="1" applyBorder="1" applyAlignment="1">
      <alignment horizontal="left" vertical="top" wrapText="1"/>
    </xf>
    <xf numFmtId="0" fontId="7" fillId="0" borderId="28" xfId="0" applyFont="1" applyBorder="1" applyAlignment="1">
      <alignment horizontal="left" vertical="top" wrapText="1"/>
    </xf>
    <xf numFmtId="0" fontId="14" fillId="0" borderId="8" xfId="0" applyFont="1" applyBorder="1" applyAlignment="1">
      <alignment horizontal="left" vertical="center" wrapText="1" indent="1"/>
    </xf>
    <xf numFmtId="164" fontId="7" fillId="0" borderId="8" xfId="0" applyNumberFormat="1" applyFont="1" applyBorder="1" applyAlignment="1">
      <alignment horizontal="center" vertical="center"/>
    </xf>
    <xf numFmtId="0" fontId="8" fillId="0" borderId="15" xfId="0" applyFont="1" applyBorder="1" applyAlignment="1">
      <alignment horizontal="center" vertical="center"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4" xfId="0" applyFont="1" applyBorder="1" applyAlignment="1">
      <alignment horizontal="center" vertical="center" wrapText="1"/>
    </xf>
    <xf numFmtId="0" fontId="8" fillId="0" borderId="13" xfId="0" applyFont="1" applyBorder="1" applyAlignment="1">
      <alignment horizontal="center" vertical="center"/>
    </xf>
    <xf numFmtId="0" fontId="8" fillId="0" borderId="14" xfId="0" applyFont="1" applyBorder="1" applyAlignment="1">
      <alignment horizontal="center" vertical="center" wrapText="1"/>
    </xf>
    <xf numFmtId="0" fontId="19" fillId="0" borderId="8" xfId="0" applyFont="1" applyBorder="1" applyAlignment="1">
      <alignment vertical="center" wrapText="1"/>
    </xf>
    <xf numFmtId="0" fontId="21" fillId="0" borderId="8" xfId="0" applyFont="1" applyBorder="1" applyAlignment="1">
      <alignment vertical="center" wrapText="1"/>
    </xf>
    <xf numFmtId="0" fontId="21" fillId="0" borderId="32" xfId="0" applyFont="1" applyBorder="1" applyAlignment="1">
      <alignment vertical="center" wrapText="1"/>
    </xf>
    <xf numFmtId="0" fontId="21" fillId="0" borderId="61" xfId="0" applyFont="1" applyBorder="1" applyAlignment="1">
      <alignment horizontal="left" vertical="center" wrapText="1" indent="1"/>
    </xf>
    <xf numFmtId="0" fontId="0" fillId="0" borderId="53" xfId="0" applyFont="1" applyBorder="1" applyAlignment="1">
      <alignment horizontal="left" vertical="center"/>
    </xf>
    <xf numFmtId="0" fontId="0" fillId="0" borderId="53" xfId="0" applyBorder="1" applyAlignment="1">
      <alignment horizontal="left" vertical="center"/>
    </xf>
    <xf numFmtId="0" fontId="0" fillId="0" borderId="56" xfId="0" applyBorder="1" applyAlignment="1">
      <alignment horizontal="left" vertical="center"/>
    </xf>
    <xf numFmtId="0" fontId="19" fillId="0" borderId="59" xfId="0" applyFont="1" applyBorder="1" applyAlignment="1">
      <alignment horizontal="left" vertical="center" wrapText="1"/>
    </xf>
    <xf numFmtId="0" fontId="0" fillId="0" borderId="37" xfId="0" applyBorder="1"/>
    <xf numFmtId="0" fontId="0" fillId="0" borderId="53" xfId="0" applyFont="1" applyBorder="1" applyAlignment="1">
      <alignment horizontal="center" vertical="center"/>
    </xf>
    <xf numFmtId="0" fontId="21" fillId="0" borderId="38" xfId="0" applyNumberFormat="1" applyFont="1" applyBorder="1" applyAlignment="1">
      <alignment horizontal="justify" vertical="center" wrapText="1"/>
    </xf>
    <xf numFmtId="0" fontId="23" fillId="0" borderId="37" xfId="0" applyFont="1" applyBorder="1" applyAlignment="1">
      <alignment horizontal="center" vertical="center"/>
    </xf>
    <xf numFmtId="0" fontId="23" fillId="0" borderId="34" xfId="0" applyFont="1" applyBorder="1" applyAlignment="1">
      <alignment horizontal="center" vertical="center"/>
    </xf>
    <xf numFmtId="0" fontId="23" fillId="0" borderId="40" xfId="0" applyFont="1" applyBorder="1" applyAlignment="1">
      <alignment horizontal="center" vertical="center" wrapText="1"/>
    </xf>
    <xf numFmtId="0" fontId="23" fillId="0" borderId="41" xfId="0" applyFont="1" applyBorder="1" applyAlignment="1">
      <alignment horizontal="center" vertical="center"/>
    </xf>
    <xf numFmtId="0" fontId="0" fillId="0" borderId="47" xfId="0" applyFont="1" applyBorder="1" applyAlignment="1">
      <alignment horizontal="left" vertical="center" wrapText="1"/>
    </xf>
    <xf numFmtId="0" fontId="0" fillId="0" borderId="53" xfId="0" applyBorder="1" applyAlignment="1">
      <alignment horizontal="center"/>
    </xf>
    <xf numFmtId="0" fontId="21" fillId="0" borderId="37" xfId="0" applyFont="1" applyBorder="1" applyAlignment="1">
      <alignment horizontal="left"/>
    </xf>
    <xf numFmtId="0" fontId="0" fillId="0" borderId="31" xfId="0" applyFont="1" applyBorder="1" applyAlignment="1">
      <alignment horizontal="center"/>
    </xf>
    <xf numFmtId="3" fontId="19" fillId="0" borderId="32" xfId="0" applyNumberFormat="1" applyFont="1" applyBorder="1" applyAlignment="1">
      <alignment horizontal="center"/>
    </xf>
    <xf numFmtId="0" fontId="20" fillId="0" borderId="3" xfId="0" applyFont="1" applyBorder="1" applyAlignment="1">
      <alignment horizontal="center" vertical="center" wrapText="1"/>
    </xf>
    <xf numFmtId="0" fontId="6" fillId="0" borderId="34" xfId="0" applyFont="1" applyBorder="1"/>
    <xf numFmtId="0" fontId="21" fillId="0" borderId="35" xfId="0" applyFont="1" applyBorder="1" applyAlignment="1">
      <alignment horizontal="left" indent="1"/>
    </xf>
    <xf numFmtId="0" fontId="10" fillId="0" borderId="34" xfId="0" applyFont="1" applyBorder="1" applyAlignment="1">
      <alignment horizontal="left" vertical="center" wrapText="1"/>
    </xf>
    <xf numFmtId="0" fontId="22" fillId="0" borderId="36" xfId="0" applyFont="1" applyBorder="1" applyAlignment="1">
      <alignment horizontal="left"/>
    </xf>
  </cellXfs>
  <cellStyles count="15">
    <cellStyle name="Encabezado 1" xfId="2" xr:uid="{00000000-0005-0000-0000-000000000000}"/>
    <cellStyle name="Millares 2" xfId="3" xr:uid="{00000000-0005-0000-0000-000001000000}"/>
    <cellStyle name="Moneda" xfId="1" builtinId="4"/>
    <cellStyle name="Moneda 2" xfId="4" xr:uid="{00000000-0005-0000-0000-000003000000}"/>
    <cellStyle name="Moneda 3" xfId="14" xr:uid="{00000000-0005-0000-0000-000004000000}"/>
    <cellStyle name="Moneda_AUTORIZACION Y NOTA DE PEDIDO" xfId="12" xr:uid="{00000000-0005-0000-0000-000005000000}"/>
    <cellStyle name="Neutral 1" xfId="5" xr:uid="{00000000-0005-0000-0000-000006000000}"/>
    <cellStyle name="Normal" xfId="0" builtinId="0"/>
    <cellStyle name="Normal 2" xfId="6" xr:uid="{00000000-0005-0000-0000-000008000000}"/>
    <cellStyle name="Normal 2 2" xfId="7" xr:uid="{00000000-0005-0000-0000-000009000000}"/>
    <cellStyle name="Normal 3" xfId="8" xr:uid="{00000000-0005-0000-0000-00000A000000}"/>
    <cellStyle name="Normal 3 2" xfId="9" xr:uid="{00000000-0005-0000-0000-00000B000000}"/>
    <cellStyle name="Normal 4" xfId="10" xr:uid="{00000000-0005-0000-0000-00000C000000}"/>
    <cellStyle name="Normal 5" xfId="11" xr:uid="{00000000-0005-0000-0000-00000D000000}"/>
    <cellStyle name="Normal 5 2" xfId="13"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200-000002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200-000003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200-000004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200-000005000000}"/>
            </a:ext>
          </a:extLst>
        </xdr:cNvPr>
        <xdr:cNvSpPr/>
      </xdr:nvSpPr>
      <xdr:spPr>
        <a:xfrm>
          <a:off x="69626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0"/>
  <sheetViews>
    <sheetView tabSelected="1" zoomScale="90" zoomScaleNormal="90" workbookViewId="0">
      <selection activeCell="C16" sqref="C16:E16"/>
    </sheetView>
  </sheetViews>
  <sheetFormatPr baseColWidth="10" defaultColWidth="11" defaultRowHeight="12.75" x14ac:dyDescent="0.2"/>
  <cols>
    <col min="1" max="1" width="8.42578125" style="66" customWidth="1"/>
    <col min="2" max="2" width="17.5703125" style="93" customWidth="1"/>
    <col min="3" max="3" width="38" style="94" customWidth="1"/>
    <col min="4" max="4" width="8.42578125" style="66" customWidth="1"/>
    <col min="5" max="5" width="75.140625" style="94" customWidth="1"/>
    <col min="6" max="6" width="11" style="66"/>
    <col min="7" max="7" width="13.42578125" style="95" customWidth="1"/>
    <col min="8" max="8" width="16.42578125" style="71" customWidth="1"/>
    <col min="9" max="9" width="23.5703125" style="67" customWidth="1"/>
    <col min="10" max="10" width="22.5703125" style="68" customWidth="1"/>
    <col min="11" max="11" width="14.7109375" style="68" customWidth="1"/>
    <col min="12" max="12" width="13.7109375" style="68" customWidth="1"/>
    <col min="13" max="16384" width="11" style="68"/>
  </cols>
  <sheetData>
    <row r="2" spans="1:9" ht="27" x14ac:dyDescent="0.2">
      <c r="B2" s="146" t="s">
        <v>44</v>
      </c>
      <c r="C2" s="146"/>
      <c r="D2" s="146"/>
      <c r="E2" s="146"/>
      <c r="F2" s="146"/>
      <c r="G2" s="146"/>
      <c r="H2" s="147"/>
    </row>
    <row r="3" spans="1:9" ht="18" customHeight="1" x14ac:dyDescent="0.25">
      <c r="A3" s="127"/>
      <c r="B3" s="127"/>
      <c r="C3" s="144"/>
      <c r="D3" s="145"/>
      <c r="E3" s="144"/>
      <c r="F3" s="69"/>
      <c r="G3" s="70"/>
    </row>
    <row r="4" spans="1:9" ht="18" customHeight="1" x14ac:dyDescent="0.25">
      <c r="A4" s="127" t="s">
        <v>45</v>
      </c>
      <c r="B4" s="127"/>
      <c r="C4" s="144" t="s">
        <v>3</v>
      </c>
      <c r="D4" s="145"/>
      <c r="E4" s="144"/>
      <c r="F4" s="69"/>
      <c r="G4" s="70"/>
    </row>
    <row r="5" spans="1:9" ht="18" customHeight="1" x14ac:dyDescent="0.25">
      <c r="A5" s="127" t="s">
        <v>46</v>
      </c>
      <c r="B5" s="127"/>
      <c r="C5" s="144" t="s">
        <v>47</v>
      </c>
      <c r="D5" s="145"/>
      <c r="E5" s="144"/>
      <c r="F5" s="69"/>
      <c r="G5" s="70"/>
    </row>
    <row r="6" spans="1:9" ht="16.5" customHeight="1" x14ac:dyDescent="0.2">
      <c r="A6" s="127" t="s">
        <v>20</v>
      </c>
      <c r="B6" s="127"/>
      <c r="C6" s="72">
        <v>2021</v>
      </c>
      <c r="D6" s="73"/>
      <c r="E6" s="74"/>
      <c r="F6" s="69"/>
      <c r="G6" s="70"/>
    </row>
    <row r="7" spans="1:9" ht="15.75" x14ac:dyDescent="0.2">
      <c r="A7" s="127" t="s">
        <v>48</v>
      </c>
      <c r="B7" s="127"/>
      <c r="C7" s="72" t="s">
        <v>49</v>
      </c>
      <c r="D7" s="73"/>
      <c r="E7" s="74"/>
      <c r="F7" s="69"/>
      <c r="G7" s="70"/>
    </row>
    <row r="8" spans="1:9" ht="13.5" thickBot="1" x14ac:dyDescent="0.25">
      <c r="B8" s="75"/>
      <c r="C8" s="76"/>
      <c r="D8" s="69"/>
      <c r="E8" s="76"/>
      <c r="F8" s="69"/>
      <c r="G8" s="70"/>
    </row>
    <row r="9" spans="1:9" ht="57" customHeight="1" thickBot="1" x14ac:dyDescent="0.25">
      <c r="A9" s="77" t="s">
        <v>50</v>
      </c>
      <c r="B9" s="78" t="s">
        <v>51</v>
      </c>
      <c r="C9" s="78" t="s">
        <v>52</v>
      </c>
      <c r="D9" s="79" t="s">
        <v>53</v>
      </c>
      <c r="E9" s="80" t="s">
        <v>54</v>
      </c>
      <c r="F9" s="81" t="s">
        <v>55</v>
      </c>
      <c r="G9" s="78" t="s">
        <v>56</v>
      </c>
      <c r="H9" s="82" t="s">
        <v>57</v>
      </c>
      <c r="I9" s="83" t="s">
        <v>58</v>
      </c>
    </row>
    <row r="10" spans="1:9" ht="43.5" thickBot="1" x14ac:dyDescent="0.25">
      <c r="A10" s="84">
        <v>1</v>
      </c>
      <c r="B10" s="85" t="s">
        <v>75</v>
      </c>
      <c r="C10" s="117" t="s">
        <v>70</v>
      </c>
      <c r="D10" s="86">
        <v>433</v>
      </c>
      <c r="E10" s="110" t="s">
        <v>74</v>
      </c>
      <c r="F10" s="87" t="s">
        <v>68</v>
      </c>
      <c r="G10" s="88">
        <v>1</v>
      </c>
      <c r="H10" s="89">
        <v>19536400</v>
      </c>
      <c r="I10" s="90">
        <f>G10*H10</f>
        <v>19536400</v>
      </c>
    </row>
    <row r="11" spans="1:9" ht="43.5" customHeight="1" thickBot="1" x14ac:dyDescent="0.25">
      <c r="A11" s="128"/>
      <c r="B11" s="129"/>
      <c r="C11" s="129"/>
      <c r="D11" s="130"/>
      <c r="E11" s="131" t="s">
        <v>59</v>
      </c>
      <c r="F11" s="132"/>
      <c r="G11" s="132"/>
      <c r="H11" s="133"/>
      <c r="I11" s="91">
        <f>SUM(I10:I10)</f>
        <v>19536400</v>
      </c>
    </row>
    <row r="12" spans="1:9" ht="31.5" customHeight="1" thickBot="1" x14ac:dyDescent="0.25">
      <c r="A12" s="134" t="s">
        <v>60</v>
      </c>
      <c r="B12" s="135"/>
      <c r="C12" s="135"/>
      <c r="D12" s="135"/>
      <c r="E12" s="135"/>
      <c r="F12" s="135"/>
      <c r="G12" s="135"/>
      <c r="H12" s="136"/>
      <c r="I12" s="92">
        <f>+I11</f>
        <v>19536400</v>
      </c>
    </row>
    <row r="13" spans="1:9" ht="27" customHeight="1" thickBot="1" x14ac:dyDescent="0.25"/>
    <row r="14" spans="1:9" ht="24" x14ac:dyDescent="0.2">
      <c r="B14" s="96" t="s">
        <v>61</v>
      </c>
      <c r="C14" s="97" t="s">
        <v>67</v>
      </c>
      <c r="D14" s="98"/>
      <c r="E14" s="99"/>
    </row>
    <row r="15" spans="1:9" ht="24.75" customHeight="1" x14ac:dyDescent="0.2">
      <c r="B15" s="100"/>
      <c r="C15" s="101"/>
      <c r="D15" s="102"/>
      <c r="E15" s="103"/>
    </row>
    <row r="16" spans="1:9" ht="24.75" customHeight="1" x14ac:dyDescent="0.2">
      <c r="B16" s="104" t="s">
        <v>62</v>
      </c>
      <c r="C16" s="137"/>
      <c r="D16" s="137"/>
      <c r="E16" s="126"/>
    </row>
    <row r="17" spans="1:12" ht="24.75" customHeight="1" x14ac:dyDescent="0.2">
      <c r="B17" s="104"/>
      <c r="C17" s="122"/>
      <c r="D17" s="122"/>
      <c r="E17" s="122"/>
    </row>
    <row r="18" spans="1:12" ht="24.75" customHeight="1" x14ac:dyDescent="0.2">
      <c r="B18" s="104" t="s">
        <v>63</v>
      </c>
      <c r="C18" s="138" t="s">
        <v>85</v>
      </c>
      <c r="D18" s="138"/>
      <c r="E18" s="139"/>
    </row>
    <row r="19" spans="1:12" ht="24.75" customHeight="1" x14ac:dyDescent="0.2">
      <c r="B19" s="104"/>
      <c r="C19" s="140"/>
      <c r="D19" s="140"/>
      <c r="E19" s="141"/>
    </row>
    <row r="20" spans="1:12" ht="24.75" customHeight="1" x14ac:dyDescent="0.2">
      <c r="B20" s="104"/>
      <c r="C20" s="140"/>
      <c r="D20" s="140"/>
      <c r="E20" s="141"/>
    </row>
    <row r="21" spans="1:12" s="108" customFormat="1" ht="24.75" customHeight="1" x14ac:dyDescent="0.2">
      <c r="A21" s="66"/>
      <c r="B21" s="100"/>
      <c r="C21" s="142"/>
      <c r="D21" s="142"/>
      <c r="E21" s="143"/>
      <c r="F21" s="66"/>
      <c r="G21" s="95"/>
      <c r="H21" s="71"/>
      <c r="I21" s="67"/>
      <c r="J21" s="105"/>
      <c r="K21" s="106"/>
      <c r="L21" s="107"/>
    </row>
    <row r="22" spans="1:12" ht="24.75" customHeight="1" x14ac:dyDescent="0.2">
      <c r="B22" s="100"/>
      <c r="C22" s="121"/>
      <c r="D22" s="121"/>
      <c r="E22" s="121"/>
      <c r="J22" s="105"/>
      <c r="K22" s="106"/>
      <c r="L22" s="107"/>
    </row>
    <row r="23" spans="1:12" ht="24.75" customHeight="1" x14ac:dyDescent="0.2">
      <c r="B23" s="104" t="s">
        <v>64</v>
      </c>
      <c r="C23" s="120"/>
      <c r="D23" s="120"/>
      <c r="E23" s="121"/>
      <c r="J23" s="105"/>
      <c r="K23" s="106"/>
      <c r="L23" s="107"/>
    </row>
    <row r="24" spans="1:12" ht="24.75" customHeight="1" x14ac:dyDescent="0.2">
      <c r="B24" s="100"/>
      <c r="C24" s="122"/>
      <c r="D24" s="122"/>
      <c r="E24" s="122"/>
      <c r="J24" s="105"/>
      <c r="K24" s="106"/>
      <c r="L24" s="107"/>
    </row>
    <row r="25" spans="1:12" ht="24.75" customHeight="1" x14ac:dyDescent="0.2">
      <c r="B25" s="104" t="s">
        <v>65</v>
      </c>
      <c r="C25" s="123" t="s">
        <v>71</v>
      </c>
      <c r="D25" s="123"/>
      <c r="E25" s="124"/>
      <c r="J25" s="105"/>
      <c r="K25" s="106"/>
      <c r="L25" s="107"/>
    </row>
    <row r="26" spans="1:12" ht="24.75" customHeight="1" x14ac:dyDescent="0.2">
      <c r="B26" s="100"/>
      <c r="C26" s="122"/>
      <c r="D26" s="122"/>
      <c r="E26" s="122"/>
    </row>
    <row r="27" spans="1:12" ht="24.75" customHeight="1" x14ac:dyDescent="0.2">
      <c r="B27" s="104" t="s">
        <v>66</v>
      </c>
      <c r="C27" s="125"/>
      <c r="D27" s="125"/>
      <c r="E27" s="126"/>
    </row>
    <row r="28" spans="1:12" ht="24.75" customHeight="1" x14ac:dyDescent="0.2">
      <c r="B28" s="104"/>
      <c r="C28" s="121"/>
      <c r="D28" s="121"/>
      <c r="E28" s="121"/>
    </row>
    <row r="29" spans="1:12" ht="24.75" customHeight="1" thickBot="1" x14ac:dyDescent="0.25">
      <c r="B29" s="109"/>
      <c r="C29" s="118"/>
      <c r="D29" s="118"/>
      <c r="E29" s="119"/>
    </row>
    <row r="30" spans="1:12" x14ac:dyDescent="0.2">
      <c r="J30" s="105"/>
      <c r="K30" s="106"/>
      <c r="L30" s="107"/>
    </row>
  </sheetData>
  <mergeCells count="26">
    <mergeCell ref="A5:B5"/>
    <mergeCell ref="C5:E5"/>
    <mergeCell ref="B2:H2"/>
    <mergeCell ref="A3:B3"/>
    <mergeCell ref="C3:E3"/>
    <mergeCell ref="A4:B4"/>
    <mergeCell ref="C4:E4"/>
    <mergeCell ref="C22:E22"/>
    <mergeCell ref="A6:B6"/>
    <mergeCell ref="A7:B7"/>
    <mergeCell ref="A11:D11"/>
    <mergeCell ref="E11:H11"/>
    <mergeCell ref="A12:H12"/>
    <mergeCell ref="C16:E16"/>
    <mergeCell ref="C17:E17"/>
    <mergeCell ref="C18:E18"/>
    <mergeCell ref="C19:E19"/>
    <mergeCell ref="C20:E20"/>
    <mergeCell ref="C21:E21"/>
    <mergeCell ref="C29:E29"/>
    <mergeCell ref="C23:E23"/>
    <mergeCell ref="C24:E24"/>
    <mergeCell ref="C25:E25"/>
    <mergeCell ref="C26:E26"/>
    <mergeCell ref="C27:E27"/>
    <mergeCell ref="C28:E28"/>
  </mergeCells>
  <pageMargins left="0.70866141732283472" right="0.70866141732283472" top="0.74803149606299213" bottom="0.74803149606299213" header="0.51181102362204722" footer="0.51181102362204722"/>
  <pageSetup paperSize="9" scale="80"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3"/>
  <sheetViews>
    <sheetView topLeftCell="B1" zoomScale="110" zoomScaleNormal="110" workbookViewId="0">
      <selection activeCell="C17" sqref="C17:G17"/>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8.5703125" style="2" customWidth="1"/>
    <col min="8" max="8" width="9.28515625" style="2" customWidth="1"/>
    <col min="9" max="9" width="15.5703125" style="2" customWidth="1"/>
    <col min="10" max="10" width="24.7109375" style="2" bestFit="1" customWidth="1"/>
    <col min="11" max="11" width="15.5703125" style="2" customWidth="1"/>
    <col min="12" max="14" width="5.85546875" style="2" customWidth="1"/>
    <col min="15" max="15" width="12.5703125" style="2" customWidth="1"/>
    <col min="16" max="1024" width="9.140625" style="2"/>
  </cols>
  <sheetData>
    <row r="1" spans="1:11" ht="27" customHeight="1" thickBot="1" x14ac:dyDescent="0.25">
      <c r="A1" s="150" t="s">
        <v>0</v>
      </c>
      <c r="B1" s="150"/>
      <c r="C1" s="150"/>
      <c r="D1" s="150"/>
      <c r="E1" s="150"/>
      <c r="F1" s="150"/>
      <c r="G1" s="150"/>
      <c r="H1" s="150"/>
      <c r="I1" s="150"/>
      <c r="J1" s="1" t="s">
        <v>1</v>
      </c>
      <c r="K1" s="28" t="s">
        <v>82</v>
      </c>
    </row>
    <row r="2" spans="1:11" ht="18.75" customHeight="1" thickBot="1" x14ac:dyDescent="0.25">
      <c r="A2" s="3"/>
      <c r="B2" s="4"/>
      <c r="C2" s="4"/>
      <c r="D2" s="5"/>
      <c r="E2" s="5"/>
      <c r="F2" s="5"/>
      <c r="G2" s="5"/>
      <c r="H2" s="5"/>
      <c r="I2" s="5"/>
      <c r="J2" s="5"/>
      <c r="K2" s="6"/>
    </row>
    <row r="3" spans="1:11" ht="18.75" customHeight="1" thickBot="1" x14ac:dyDescent="0.25">
      <c r="A3" s="151" t="s">
        <v>2</v>
      </c>
      <c r="B3" s="151"/>
      <c r="C3" s="151"/>
      <c r="D3" s="149" t="s">
        <v>3</v>
      </c>
      <c r="E3" s="149"/>
      <c r="F3" s="149"/>
      <c r="G3" s="149"/>
      <c r="H3" s="149"/>
      <c r="I3" s="149"/>
      <c r="J3" s="149"/>
      <c r="K3" s="149"/>
    </row>
    <row r="4" spans="1:11" ht="18.75" customHeight="1" thickBot="1" x14ac:dyDescent="0.25">
      <c r="A4" s="148" t="s">
        <v>4</v>
      </c>
      <c r="B4" s="148"/>
      <c r="C4" s="148"/>
      <c r="D4" s="149" t="s">
        <v>5</v>
      </c>
      <c r="E4" s="149"/>
      <c r="F4" s="149"/>
      <c r="G4" s="149"/>
      <c r="H4" s="149"/>
      <c r="I4" s="149"/>
      <c r="J4" s="149"/>
      <c r="K4" s="149"/>
    </row>
    <row r="5" spans="1:11" ht="18.75" customHeight="1" thickBot="1" x14ac:dyDescent="0.25">
      <c r="A5" s="148" t="s">
        <v>6</v>
      </c>
      <c r="B5" s="148"/>
      <c r="C5" s="148"/>
      <c r="D5" s="149" t="s">
        <v>79</v>
      </c>
      <c r="E5" s="149"/>
      <c r="F5" s="149"/>
      <c r="G5" s="149"/>
      <c r="H5" s="149"/>
      <c r="I5" s="149"/>
      <c r="J5" s="149"/>
      <c r="K5" s="149"/>
    </row>
    <row r="6" spans="1:11" ht="16.5" customHeight="1" thickBot="1" x14ac:dyDescent="0.25">
      <c r="A6" s="151" t="s">
        <v>7</v>
      </c>
      <c r="B6" s="151"/>
      <c r="C6" s="151"/>
      <c r="D6" s="149" t="s">
        <v>80</v>
      </c>
      <c r="E6" s="149"/>
      <c r="F6" s="149"/>
      <c r="G6" s="149"/>
      <c r="H6" s="149"/>
      <c r="I6" s="149"/>
      <c r="J6" s="149"/>
      <c r="K6" s="149"/>
    </row>
    <row r="7" spans="1:11" ht="16.5" customHeight="1" thickBot="1" x14ac:dyDescent="0.25">
      <c r="A7" s="148" t="s">
        <v>9</v>
      </c>
      <c r="B7" s="148"/>
      <c r="C7" s="148"/>
      <c r="D7" s="149" t="s">
        <v>72</v>
      </c>
      <c r="E7" s="149"/>
      <c r="F7" s="149"/>
      <c r="G7" s="149"/>
      <c r="H7" s="149"/>
      <c r="I7" s="149"/>
      <c r="J7" s="149"/>
      <c r="K7" s="149"/>
    </row>
    <row r="8" spans="1:11" ht="16.5" customHeight="1" thickBot="1" x14ac:dyDescent="0.25">
      <c r="A8" s="152" t="s">
        <v>10</v>
      </c>
      <c r="B8" s="152"/>
      <c r="C8" s="152"/>
      <c r="D8" s="153" t="s">
        <v>81</v>
      </c>
      <c r="E8" s="153"/>
      <c r="F8" s="153"/>
      <c r="G8" s="153"/>
      <c r="H8" s="153"/>
      <c r="I8" s="153"/>
      <c r="J8" s="153"/>
      <c r="K8" s="153"/>
    </row>
    <row r="9" spans="1:11" ht="16.5" thickBot="1" x14ac:dyDescent="0.25">
      <c r="A9" s="7"/>
      <c r="B9" s="8"/>
      <c r="C9" s="8"/>
      <c r="D9" s="9"/>
      <c r="E9" s="9"/>
      <c r="F9" s="9"/>
      <c r="G9" s="9"/>
      <c r="H9" s="9"/>
      <c r="I9" s="9"/>
      <c r="J9" s="9"/>
      <c r="K9" s="10"/>
    </row>
    <row r="10" spans="1:11" ht="18.75" customHeight="1" thickBot="1" x14ac:dyDescent="0.25">
      <c r="A10" s="165" t="s">
        <v>11</v>
      </c>
      <c r="B10" s="166" t="s">
        <v>12</v>
      </c>
      <c r="C10" s="166" t="s">
        <v>13</v>
      </c>
      <c r="D10" s="166"/>
      <c r="E10" s="166"/>
      <c r="F10" s="166"/>
      <c r="G10" s="166"/>
      <c r="H10" s="166" t="s">
        <v>14</v>
      </c>
      <c r="I10" s="166" t="s">
        <v>15</v>
      </c>
      <c r="J10" s="166" t="s">
        <v>16</v>
      </c>
      <c r="K10" s="160" t="s">
        <v>17</v>
      </c>
    </row>
    <row r="11" spans="1:11" ht="24" customHeight="1" thickBot="1" x14ac:dyDescent="0.25">
      <c r="A11" s="165"/>
      <c r="B11" s="166"/>
      <c r="C11" s="166"/>
      <c r="D11" s="166"/>
      <c r="E11" s="166"/>
      <c r="F11" s="166"/>
      <c r="G11" s="166"/>
      <c r="H11" s="166"/>
      <c r="I11" s="166"/>
      <c r="J11" s="166"/>
      <c r="K11" s="160"/>
    </row>
    <row r="12" spans="1:11" ht="64.5" customHeight="1" thickBot="1" x14ac:dyDescent="0.25">
      <c r="A12" s="11">
        <v>1</v>
      </c>
      <c r="B12" s="115" t="str">
        <f>+'Necesidades Trimestrales'!B10</f>
        <v>4.3.3-219.14</v>
      </c>
      <c r="C12" s="161" t="str">
        <f>+'Necesidades Trimestrales'!E10</f>
        <v>TOMOGRAFOS; TIPO: MULTICORTE, POTENCIA RAYOS: 72 KW, TIEMPO RECONSTRUC.: 0,0625 Seg, RANGO DE ENERGIA: 0 - 72 KW, TIPO CAMARA: HELICOIDAL</v>
      </c>
      <c r="D12" s="162"/>
      <c r="E12" s="162"/>
      <c r="F12" s="162"/>
      <c r="G12" s="162"/>
      <c r="H12" s="111" t="s">
        <v>18</v>
      </c>
      <c r="I12" s="112" t="s">
        <v>19</v>
      </c>
      <c r="J12" s="113">
        <v>19536400</v>
      </c>
      <c r="K12" s="114">
        <v>1</v>
      </c>
    </row>
    <row r="13" spans="1:11" ht="15.75" x14ac:dyDescent="0.2">
      <c r="A13" s="12"/>
      <c r="B13" s="13"/>
      <c r="C13" s="161"/>
      <c r="D13" s="162"/>
      <c r="E13" s="162"/>
      <c r="F13" s="162"/>
      <c r="G13" s="163"/>
      <c r="H13" s="14"/>
      <c r="I13" s="15"/>
      <c r="J13" s="16"/>
      <c r="K13" s="17"/>
    </row>
    <row r="14" spans="1:11" ht="15.75" x14ac:dyDescent="0.2">
      <c r="A14" s="12"/>
      <c r="B14" s="13"/>
      <c r="C14" s="164"/>
      <c r="D14" s="164"/>
      <c r="E14" s="164"/>
      <c r="F14" s="164"/>
      <c r="G14" s="164"/>
      <c r="H14" s="14"/>
      <c r="I14" s="15"/>
      <c r="J14" s="16"/>
      <c r="K14" s="17"/>
    </row>
    <row r="15" spans="1:11" ht="24" customHeight="1" x14ac:dyDescent="0.2">
      <c r="A15" s="18"/>
      <c r="B15" s="19"/>
      <c r="C15" s="154" t="s">
        <v>87</v>
      </c>
      <c r="D15" s="155"/>
      <c r="E15" s="155"/>
      <c r="F15" s="155"/>
      <c r="G15" s="155"/>
      <c r="H15" s="20"/>
      <c r="I15" s="21"/>
      <c r="J15" s="21"/>
      <c r="K15" s="22"/>
    </row>
    <row r="16" spans="1:11" ht="15.75" x14ac:dyDescent="0.2">
      <c r="A16" s="18"/>
      <c r="B16" s="19"/>
      <c r="C16" s="154" t="s">
        <v>86</v>
      </c>
      <c r="D16" s="155"/>
      <c r="E16" s="155"/>
      <c r="F16" s="155"/>
      <c r="G16" s="155"/>
      <c r="H16" s="20"/>
      <c r="I16" s="21"/>
      <c r="J16" s="21"/>
      <c r="K16" s="22"/>
    </row>
    <row r="17" spans="1:11" ht="51.75" customHeight="1" x14ac:dyDescent="0.2">
      <c r="A17" s="18"/>
      <c r="B17" s="19"/>
      <c r="C17" s="154" t="s">
        <v>73</v>
      </c>
      <c r="D17" s="155"/>
      <c r="E17" s="155"/>
      <c r="F17" s="155"/>
      <c r="G17" s="155"/>
      <c r="H17" s="20"/>
      <c r="I17" s="21"/>
      <c r="J17" s="21"/>
      <c r="K17" s="22"/>
    </row>
    <row r="18" spans="1:11" ht="16.5" thickBot="1" x14ac:dyDescent="0.25">
      <c r="A18" s="23"/>
      <c r="B18" s="24"/>
      <c r="C18" s="156" t="s">
        <v>76</v>
      </c>
      <c r="D18" s="157"/>
      <c r="E18" s="157"/>
      <c r="F18" s="157"/>
      <c r="G18" s="157"/>
      <c r="H18" s="25"/>
      <c r="I18" s="26"/>
      <c r="J18" s="26"/>
      <c r="K18" s="27"/>
    </row>
    <row r="19" spans="1:11" ht="36.75" customHeight="1" thickBot="1" x14ac:dyDescent="0.25">
      <c r="A19" s="158" t="s">
        <v>78</v>
      </c>
      <c r="B19" s="158"/>
      <c r="C19" s="158"/>
      <c r="D19" s="158"/>
      <c r="E19" s="158"/>
      <c r="F19" s="158"/>
      <c r="G19" s="158"/>
      <c r="H19" s="158"/>
      <c r="I19" s="158"/>
      <c r="J19" s="159">
        <f>+J12*K12</f>
        <v>19536400</v>
      </c>
      <c r="K19" s="159"/>
    </row>
    <row r="23" spans="1:11" x14ac:dyDescent="0.2">
      <c r="B23"/>
      <c r="C23"/>
      <c r="D23"/>
      <c r="E23"/>
    </row>
  </sheetData>
  <mergeCells count="29">
    <mergeCell ref="C17:G17"/>
    <mergeCell ref="C18:G18"/>
    <mergeCell ref="A19:I19"/>
    <mergeCell ref="J19:K19"/>
    <mergeCell ref="K10:K11"/>
    <mergeCell ref="C12:G12"/>
    <mergeCell ref="C13:G13"/>
    <mergeCell ref="C14:G14"/>
    <mergeCell ref="C15:G15"/>
    <mergeCell ref="C16:G16"/>
    <mergeCell ref="A10:A11"/>
    <mergeCell ref="B10:B11"/>
    <mergeCell ref="C10:G11"/>
    <mergeCell ref="H10:H11"/>
    <mergeCell ref="I10:I11"/>
    <mergeCell ref="J10:J11"/>
    <mergeCell ref="A6:C6"/>
    <mergeCell ref="D6:K6"/>
    <mergeCell ref="A7:C7"/>
    <mergeCell ref="D7:K7"/>
    <mergeCell ref="A8:C8"/>
    <mergeCell ref="D8:K8"/>
    <mergeCell ref="A5:C5"/>
    <mergeCell ref="D5:K5"/>
    <mergeCell ref="A1:I1"/>
    <mergeCell ref="A3:C3"/>
    <mergeCell ref="D3:K3"/>
    <mergeCell ref="A4:C4"/>
    <mergeCell ref="D4:K4"/>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2"/>
  <sheetViews>
    <sheetView topLeftCell="A28" zoomScale="110" zoomScaleNormal="110" workbookViewId="0">
      <selection activeCell="A10" sqref="A10:Q10"/>
    </sheetView>
  </sheetViews>
  <sheetFormatPr baseColWidth="10" defaultColWidth="11" defaultRowHeight="12.75" x14ac:dyDescent="0.2"/>
  <cols>
    <col min="1" max="5" width="4.42578125" customWidth="1"/>
    <col min="6" max="6" width="5.140625" customWidth="1"/>
    <col min="7" max="7" width="4.42578125" style="65" customWidth="1"/>
    <col min="8" max="11" width="4.42578125" customWidth="1"/>
    <col min="12" max="12" width="5.42578125" customWidth="1"/>
    <col min="13" max="14" width="4.42578125" customWidth="1"/>
    <col min="15" max="16" width="14.85546875" customWidth="1"/>
    <col min="17" max="17" width="15.5703125" customWidth="1"/>
  </cols>
  <sheetData>
    <row r="1" spans="1:17" ht="15.75" customHeight="1" thickBot="1" x14ac:dyDescent="0.3">
      <c r="A1" s="185" t="s">
        <v>20</v>
      </c>
      <c r="B1" s="185"/>
      <c r="C1" s="185"/>
      <c r="D1" s="186">
        <v>2021</v>
      </c>
      <c r="E1" s="186"/>
      <c r="F1" s="29"/>
      <c r="G1" s="29"/>
      <c r="H1" s="30"/>
      <c r="I1" s="30"/>
      <c r="J1" s="30"/>
      <c r="K1" s="30"/>
      <c r="L1" s="30"/>
      <c r="M1" s="30"/>
      <c r="N1" s="30"/>
      <c r="O1" s="31"/>
      <c r="P1" s="187" t="s">
        <v>21</v>
      </c>
      <c r="Q1" s="187"/>
    </row>
    <row r="2" spans="1:17" ht="15.75" customHeight="1" thickBot="1" x14ac:dyDescent="0.25">
      <c r="A2" s="32"/>
      <c r="B2" s="33"/>
      <c r="C2" s="33"/>
      <c r="D2" s="33"/>
      <c r="E2" s="33"/>
      <c r="F2" s="33"/>
      <c r="G2" s="34"/>
      <c r="H2" s="35"/>
      <c r="I2" s="35"/>
      <c r="J2" s="35"/>
      <c r="K2" s="35"/>
      <c r="L2" s="35"/>
      <c r="M2" s="35"/>
      <c r="N2" s="35"/>
      <c r="O2" s="33"/>
      <c r="P2" s="187"/>
      <c r="Q2" s="187"/>
    </row>
    <row r="3" spans="1:17" ht="13.5" thickBot="1" x14ac:dyDescent="0.25">
      <c r="A3" s="32"/>
      <c r="B3" s="33"/>
      <c r="C3" s="33"/>
      <c r="D3" s="33"/>
      <c r="E3" s="33"/>
      <c r="F3" s="33"/>
      <c r="G3" s="34"/>
      <c r="H3" s="33"/>
      <c r="I3" s="33"/>
      <c r="J3" s="33"/>
      <c r="K3" s="33"/>
      <c r="L3" s="33"/>
      <c r="M3" s="33"/>
      <c r="N3" s="33"/>
      <c r="O3" s="33"/>
      <c r="P3" s="33"/>
      <c r="Q3" s="36"/>
    </row>
    <row r="4" spans="1:17" s="37" customFormat="1" ht="18" customHeight="1" thickBot="1" x14ac:dyDescent="0.25">
      <c r="A4" s="188" t="s">
        <v>22</v>
      </c>
      <c r="B4" s="188"/>
      <c r="C4" s="188"/>
      <c r="D4" s="188"/>
      <c r="E4" s="188"/>
      <c r="F4" s="188"/>
      <c r="G4" s="189" t="str">
        <f>{"40 - MINISTERIO DE SALUD",0,0,0,0,0,0,0}</f>
        <v>40 - MINISTERIO DE SALUD</v>
      </c>
      <c r="H4" s="189"/>
      <c r="I4" s="189"/>
      <c r="J4" s="189"/>
      <c r="K4" s="189"/>
      <c r="L4" s="189"/>
      <c r="M4" s="189"/>
      <c r="N4" s="189"/>
      <c r="O4" s="189"/>
      <c r="P4" s="189"/>
      <c r="Q4" s="189"/>
    </row>
    <row r="5" spans="1:17" s="37" customFormat="1" ht="18" customHeight="1" thickBot="1" x14ac:dyDescent="0.25">
      <c r="A5" s="190" t="s">
        <v>4</v>
      </c>
      <c r="B5" s="190"/>
      <c r="C5" s="190"/>
      <c r="D5" s="190"/>
      <c r="E5" s="190"/>
      <c r="F5" s="190"/>
      <c r="G5" s="189" t="s">
        <v>5</v>
      </c>
      <c r="H5" s="189"/>
      <c r="I5" s="189"/>
      <c r="J5" s="189"/>
      <c r="K5" s="189"/>
      <c r="L5" s="189"/>
      <c r="M5" s="189"/>
      <c r="N5" s="189"/>
      <c r="O5" s="189"/>
      <c r="P5" s="189"/>
      <c r="Q5" s="189"/>
    </row>
    <row r="6" spans="1:17" s="37" customFormat="1" ht="18" customHeight="1" thickBot="1" x14ac:dyDescent="0.25">
      <c r="A6" s="190" t="s">
        <v>6</v>
      </c>
      <c r="B6" s="190"/>
      <c r="C6" s="190"/>
      <c r="D6" s="190"/>
      <c r="E6" s="190"/>
      <c r="F6" s="190"/>
      <c r="G6" s="189" t="s">
        <v>79</v>
      </c>
      <c r="H6" s="189"/>
      <c r="I6" s="189"/>
      <c r="J6" s="189"/>
      <c r="K6" s="189"/>
      <c r="L6" s="189"/>
      <c r="M6" s="189"/>
      <c r="N6" s="189"/>
      <c r="O6" s="189"/>
      <c r="P6" s="189"/>
      <c r="Q6" s="189"/>
    </row>
    <row r="7" spans="1:17" s="37" customFormat="1" ht="18" customHeight="1" thickBot="1" x14ac:dyDescent="0.25">
      <c r="A7" s="190" t="s">
        <v>7</v>
      </c>
      <c r="B7" s="190"/>
      <c r="C7" s="190"/>
      <c r="D7" s="190"/>
      <c r="E7" s="190"/>
      <c r="F7" s="190"/>
      <c r="G7" s="189" t="s">
        <v>8</v>
      </c>
      <c r="H7" s="189"/>
      <c r="I7" s="189"/>
      <c r="J7" s="189"/>
      <c r="K7" s="189"/>
      <c r="L7" s="189"/>
      <c r="M7" s="189"/>
      <c r="N7" s="189"/>
      <c r="O7" s="189"/>
      <c r="P7" s="189"/>
      <c r="Q7" s="189"/>
    </row>
    <row r="8" spans="1:17" ht="18" customHeight="1" thickBot="1" x14ac:dyDescent="0.25">
      <c r="A8" s="191" t="s">
        <v>23</v>
      </c>
      <c r="B8" s="191"/>
      <c r="C8" s="191"/>
      <c r="D8" s="191"/>
      <c r="E8" s="191"/>
      <c r="F8" s="191"/>
      <c r="G8" s="191"/>
      <c r="H8" s="191"/>
      <c r="I8" s="191"/>
      <c r="J8" s="191"/>
      <c r="K8" s="191"/>
      <c r="L8" s="191"/>
      <c r="M8" s="191"/>
      <c r="N8" s="191"/>
      <c r="O8" s="191"/>
      <c r="P8" s="191"/>
      <c r="Q8" s="191"/>
    </row>
    <row r="9" spans="1:17" ht="18" customHeight="1" x14ac:dyDescent="0.2">
      <c r="A9" s="184" t="s">
        <v>24</v>
      </c>
      <c r="B9" s="184"/>
      <c r="C9" s="184"/>
      <c r="D9" s="184"/>
      <c r="E9" s="184"/>
      <c r="F9" s="184"/>
      <c r="G9" s="184"/>
      <c r="H9" s="184"/>
      <c r="I9" s="184"/>
      <c r="J9" s="184"/>
      <c r="K9" s="184"/>
      <c r="L9" s="184"/>
      <c r="M9" s="184"/>
      <c r="N9" s="184"/>
      <c r="O9" s="184"/>
      <c r="P9" s="184"/>
      <c r="Q9" s="184"/>
    </row>
    <row r="10" spans="1:17" ht="57" customHeight="1" x14ac:dyDescent="0.2">
      <c r="A10" s="177" t="s">
        <v>77</v>
      </c>
      <c r="B10" s="177"/>
      <c r="C10" s="177"/>
      <c r="D10" s="177"/>
      <c r="E10" s="177"/>
      <c r="F10" s="177"/>
      <c r="G10" s="177"/>
      <c r="H10" s="177"/>
      <c r="I10" s="177"/>
      <c r="J10" s="177"/>
      <c r="K10" s="177"/>
      <c r="L10" s="177"/>
      <c r="M10" s="177"/>
      <c r="N10" s="177"/>
      <c r="O10" s="177"/>
      <c r="P10" s="177"/>
      <c r="Q10" s="177"/>
    </row>
    <row r="11" spans="1:17" ht="13.5" thickBot="1" x14ac:dyDescent="0.25">
      <c r="A11" s="38"/>
      <c r="B11" s="39"/>
      <c r="C11" s="39"/>
      <c r="D11" s="39"/>
      <c r="E11" s="39"/>
      <c r="F11" s="39"/>
      <c r="G11" s="40"/>
      <c r="H11" s="39"/>
      <c r="I11" s="39"/>
      <c r="J11" s="39"/>
      <c r="K11" s="39"/>
      <c r="L11" s="39"/>
      <c r="M11" s="39"/>
      <c r="N11" s="39"/>
      <c r="O11" s="39"/>
      <c r="P11" s="39"/>
      <c r="Q11" s="41"/>
    </row>
    <row r="12" spans="1:17" ht="15.75" customHeight="1" thickBot="1" x14ac:dyDescent="0.25">
      <c r="A12" s="178" t="s">
        <v>25</v>
      </c>
      <c r="B12" s="178"/>
      <c r="C12" s="178"/>
      <c r="D12" s="178"/>
      <c r="E12" s="178"/>
      <c r="F12" s="178"/>
      <c r="G12" s="178"/>
      <c r="H12" s="178"/>
      <c r="I12" s="178"/>
      <c r="J12" s="178"/>
      <c r="K12" s="178"/>
      <c r="L12" s="178"/>
      <c r="M12" s="178"/>
      <c r="N12" s="178"/>
      <c r="O12" s="178"/>
      <c r="P12" s="178"/>
      <c r="Q12" s="178"/>
    </row>
    <row r="13" spans="1:17" ht="15.75" customHeight="1" thickBot="1" x14ac:dyDescent="0.25">
      <c r="A13" s="179" t="s">
        <v>26</v>
      </c>
      <c r="B13" s="179"/>
      <c r="C13" s="179"/>
      <c r="D13" s="179"/>
      <c r="E13" s="179"/>
      <c r="F13" s="179"/>
      <c r="G13" s="179"/>
      <c r="H13" s="179"/>
      <c r="I13" s="179"/>
      <c r="J13" s="179"/>
      <c r="K13" s="179"/>
      <c r="L13" s="179"/>
      <c r="M13" s="179"/>
      <c r="N13" s="179"/>
      <c r="O13" s="180" t="s">
        <v>27</v>
      </c>
      <c r="P13" s="180"/>
      <c r="Q13" s="181" t="s">
        <v>28</v>
      </c>
    </row>
    <row r="14" spans="1:17" ht="15.75" customHeight="1" thickBot="1" x14ac:dyDescent="0.25">
      <c r="A14" s="42" t="s">
        <v>29</v>
      </c>
      <c r="B14" s="43" t="s">
        <v>30</v>
      </c>
      <c r="C14" s="43" t="s">
        <v>31</v>
      </c>
      <c r="D14" s="43" t="s">
        <v>32</v>
      </c>
      <c r="E14" s="43" t="s">
        <v>33</v>
      </c>
      <c r="F14" s="43" t="s">
        <v>34</v>
      </c>
      <c r="G14" s="44" t="s">
        <v>35</v>
      </c>
      <c r="H14" s="43" t="s">
        <v>36</v>
      </c>
      <c r="I14" s="43" t="s">
        <v>37</v>
      </c>
      <c r="J14" s="43" t="s">
        <v>38</v>
      </c>
      <c r="K14" s="43" t="s">
        <v>38</v>
      </c>
      <c r="L14" s="43" t="s">
        <v>39</v>
      </c>
      <c r="M14" s="45" t="s">
        <v>40</v>
      </c>
      <c r="N14" s="46" t="s">
        <v>41</v>
      </c>
      <c r="O14" s="180"/>
      <c r="P14" s="180"/>
      <c r="Q14" s="181"/>
    </row>
    <row r="15" spans="1:17" ht="24" customHeight="1" x14ac:dyDescent="0.2">
      <c r="A15" s="47">
        <v>3</v>
      </c>
      <c r="B15" s="48"/>
      <c r="C15" s="48"/>
      <c r="D15" s="48">
        <v>1</v>
      </c>
      <c r="E15" s="48"/>
      <c r="F15" s="48">
        <v>4901</v>
      </c>
      <c r="G15" s="48">
        <v>1</v>
      </c>
      <c r="H15" s="48">
        <v>3</v>
      </c>
      <c r="I15" s="48">
        <v>4</v>
      </c>
      <c r="J15" s="48">
        <v>3</v>
      </c>
      <c r="K15" s="48">
        <v>3</v>
      </c>
      <c r="L15" s="48"/>
      <c r="M15" s="49">
        <v>1</v>
      </c>
      <c r="N15" s="48" t="s">
        <v>42</v>
      </c>
      <c r="O15" s="182" t="s">
        <v>69</v>
      </c>
      <c r="P15" s="182"/>
      <c r="Q15" s="116">
        <f>+' NotaPedido'!J19</f>
        <v>19536400</v>
      </c>
    </row>
    <row r="16" spans="1:17" ht="17.25" customHeight="1" x14ac:dyDescent="0.2">
      <c r="A16" s="50"/>
      <c r="B16" s="51"/>
      <c r="C16" s="51"/>
      <c r="D16" s="51"/>
      <c r="E16" s="51"/>
      <c r="F16" s="51"/>
      <c r="G16" s="51"/>
      <c r="H16" s="51"/>
      <c r="I16" s="51"/>
      <c r="J16" s="51"/>
      <c r="K16" s="51"/>
      <c r="L16" s="51"/>
      <c r="M16" s="52"/>
      <c r="N16" s="53"/>
      <c r="O16" s="171"/>
      <c r="P16" s="171"/>
      <c r="Q16" s="54"/>
    </row>
    <row r="17" spans="1:17" ht="17.25" customHeight="1" x14ac:dyDescent="0.2">
      <c r="A17" s="50"/>
      <c r="B17" s="51"/>
      <c r="C17" s="51"/>
      <c r="D17" s="51"/>
      <c r="E17" s="51"/>
      <c r="F17" s="51"/>
      <c r="G17" s="51"/>
      <c r="H17" s="51"/>
      <c r="I17" s="51"/>
      <c r="J17" s="51"/>
      <c r="K17" s="51"/>
      <c r="L17" s="51"/>
      <c r="M17" s="52"/>
      <c r="N17" s="53"/>
      <c r="O17" s="183"/>
      <c r="P17" s="183"/>
      <c r="Q17" s="54"/>
    </row>
    <row r="18" spans="1:17" ht="17.25" customHeight="1" x14ac:dyDescent="0.2">
      <c r="A18" s="50"/>
      <c r="B18" s="51"/>
      <c r="C18" s="51"/>
      <c r="D18" s="51"/>
      <c r="E18" s="51"/>
      <c r="F18" s="51"/>
      <c r="G18" s="51"/>
      <c r="H18" s="51"/>
      <c r="I18" s="51"/>
      <c r="J18" s="51"/>
      <c r="K18" s="51"/>
      <c r="L18" s="51"/>
      <c r="M18" s="52"/>
      <c r="N18" s="53"/>
      <c r="O18" s="176"/>
      <c r="P18" s="176"/>
      <c r="Q18" s="54"/>
    </row>
    <row r="19" spans="1:17" ht="17.25" customHeight="1" x14ac:dyDescent="0.2">
      <c r="A19" s="50"/>
      <c r="B19" s="51"/>
      <c r="C19" s="51"/>
      <c r="D19" s="51"/>
      <c r="E19" s="51"/>
      <c r="F19" s="51"/>
      <c r="G19" s="51"/>
      <c r="H19" s="51"/>
      <c r="I19" s="51"/>
      <c r="J19" s="51"/>
      <c r="K19" s="51"/>
      <c r="L19" s="51"/>
      <c r="M19" s="52"/>
      <c r="N19" s="53"/>
      <c r="O19" s="176"/>
      <c r="P19" s="176"/>
      <c r="Q19" s="54"/>
    </row>
    <row r="20" spans="1:17" ht="17.25" customHeight="1" x14ac:dyDescent="0.2">
      <c r="A20" s="50"/>
      <c r="B20" s="51"/>
      <c r="C20" s="51"/>
      <c r="D20" s="51"/>
      <c r="E20" s="51"/>
      <c r="F20" s="51"/>
      <c r="G20" s="51"/>
      <c r="H20" s="51"/>
      <c r="I20" s="51"/>
      <c r="J20" s="51"/>
      <c r="K20" s="51"/>
      <c r="L20" s="51"/>
      <c r="M20" s="52"/>
      <c r="N20" s="53"/>
      <c r="O20" s="176"/>
      <c r="P20" s="176"/>
      <c r="Q20" s="54"/>
    </row>
    <row r="21" spans="1:17" ht="17.25" customHeight="1" x14ac:dyDescent="0.2">
      <c r="A21" s="50"/>
      <c r="B21" s="51"/>
      <c r="C21" s="51"/>
      <c r="D21" s="51"/>
      <c r="E21" s="51"/>
      <c r="F21" s="51"/>
      <c r="G21" s="51"/>
      <c r="H21" s="51"/>
      <c r="I21" s="51"/>
      <c r="J21" s="51"/>
      <c r="K21" s="51"/>
      <c r="L21" s="51"/>
      <c r="M21" s="52"/>
      <c r="N21" s="53"/>
      <c r="O21" s="176"/>
      <c r="P21" s="176"/>
      <c r="Q21" s="54"/>
    </row>
    <row r="22" spans="1:17" ht="17.25" customHeight="1" x14ac:dyDescent="0.2">
      <c r="A22" s="50"/>
      <c r="B22" s="51"/>
      <c r="C22" s="51"/>
      <c r="D22" s="51"/>
      <c r="E22" s="51"/>
      <c r="F22" s="51"/>
      <c r="G22" s="51"/>
      <c r="H22" s="51"/>
      <c r="I22" s="51"/>
      <c r="J22" s="51"/>
      <c r="K22" s="51"/>
      <c r="L22" s="51"/>
      <c r="M22" s="52"/>
      <c r="N22" s="53"/>
      <c r="O22" s="176"/>
      <c r="P22" s="176"/>
      <c r="Q22" s="54"/>
    </row>
    <row r="23" spans="1:17" ht="17.25" customHeight="1" x14ac:dyDescent="0.2">
      <c r="A23" s="50"/>
      <c r="B23" s="51"/>
      <c r="C23" s="51"/>
      <c r="D23" s="51"/>
      <c r="E23" s="51"/>
      <c r="F23" s="51"/>
      <c r="G23" s="51"/>
      <c r="H23" s="51"/>
      <c r="I23" s="51"/>
      <c r="J23" s="51"/>
      <c r="K23" s="51"/>
      <c r="L23" s="51"/>
      <c r="M23" s="52"/>
      <c r="N23" s="53"/>
      <c r="O23" s="176"/>
      <c r="P23" s="176"/>
      <c r="Q23" s="54"/>
    </row>
    <row r="24" spans="1:17" ht="17.25" customHeight="1" x14ac:dyDescent="0.2">
      <c r="A24" s="50"/>
      <c r="B24" s="51"/>
      <c r="C24" s="51"/>
      <c r="D24" s="51"/>
      <c r="E24" s="51"/>
      <c r="F24" s="51"/>
      <c r="G24" s="51"/>
      <c r="H24" s="51"/>
      <c r="I24" s="51"/>
      <c r="J24" s="51"/>
      <c r="K24" s="51"/>
      <c r="L24" s="51"/>
      <c r="M24" s="52"/>
      <c r="N24" s="53"/>
      <c r="O24" s="176"/>
      <c r="P24" s="176"/>
      <c r="Q24" s="54"/>
    </row>
    <row r="25" spans="1:17" ht="17.25" customHeight="1" x14ac:dyDescent="0.2">
      <c r="A25" s="50"/>
      <c r="B25" s="51"/>
      <c r="C25" s="51"/>
      <c r="D25" s="51"/>
      <c r="E25" s="51"/>
      <c r="F25" s="51"/>
      <c r="G25" s="51"/>
      <c r="H25" s="51"/>
      <c r="I25" s="51"/>
      <c r="J25" s="51"/>
      <c r="K25" s="51"/>
      <c r="L25" s="51"/>
      <c r="M25" s="52"/>
      <c r="N25" s="53"/>
      <c r="O25" s="176"/>
      <c r="P25" s="176"/>
      <c r="Q25" s="54"/>
    </row>
    <row r="26" spans="1:17" ht="17.25" customHeight="1" x14ac:dyDescent="0.2">
      <c r="A26" s="50"/>
      <c r="B26" s="51"/>
      <c r="C26" s="51"/>
      <c r="D26" s="51"/>
      <c r="E26" s="51"/>
      <c r="F26" s="51"/>
      <c r="G26" s="51"/>
      <c r="H26" s="51"/>
      <c r="I26" s="51"/>
      <c r="J26" s="51"/>
      <c r="K26" s="51"/>
      <c r="L26" s="51"/>
      <c r="M26" s="52"/>
      <c r="N26" s="53"/>
      <c r="O26" s="176"/>
      <c r="P26" s="176"/>
      <c r="Q26" s="54"/>
    </row>
    <row r="27" spans="1:17" ht="17.25" customHeight="1" x14ac:dyDescent="0.2">
      <c r="A27" s="50"/>
      <c r="B27" s="51"/>
      <c r="C27" s="51"/>
      <c r="D27" s="51"/>
      <c r="E27" s="51"/>
      <c r="F27" s="51"/>
      <c r="G27" s="51"/>
      <c r="H27" s="51"/>
      <c r="I27" s="51"/>
      <c r="J27" s="51"/>
      <c r="K27" s="51"/>
      <c r="L27" s="51"/>
      <c r="M27" s="52"/>
      <c r="N27" s="53"/>
      <c r="O27" s="176"/>
      <c r="P27" s="176"/>
      <c r="Q27" s="54"/>
    </row>
    <row r="28" spans="1:17" ht="17.25" customHeight="1" x14ac:dyDescent="0.2">
      <c r="A28" s="50"/>
      <c r="B28" s="51"/>
      <c r="C28" s="51"/>
      <c r="D28" s="51"/>
      <c r="E28" s="51"/>
      <c r="F28" s="51"/>
      <c r="G28" s="51"/>
      <c r="H28" s="51"/>
      <c r="I28" s="51"/>
      <c r="J28" s="51"/>
      <c r="K28" s="51"/>
      <c r="L28" s="51"/>
      <c r="M28" s="52"/>
      <c r="N28" s="53"/>
      <c r="O28" s="176"/>
      <c r="P28" s="176"/>
      <c r="Q28" s="54"/>
    </row>
    <row r="29" spans="1:17" ht="17.25" customHeight="1" x14ac:dyDescent="0.2">
      <c r="A29" s="50"/>
      <c r="B29" s="51"/>
      <c r="C29" s="51"/>
      <c r="D29" s="51"/>
      <c r="E29" s="51"/>
      <c r="F29" s="51"/>
      <c r="G29" s="51"/>
      <c r="H29" s="51"/>
      <c r="I29" s="51"/>
      <c r="J29" s="51"/>
      <c r="K29" s="51"/>
      <c r="L29" s="51"/>
      <c r="M29" s="52"/>
      <c r="N29" s="53"/>
      <c r="O29" s="176"/>
      <c r="P29" s="176"/>
      <c r="Q29" s="54"/>
    </row>
    <row r="30" spans="1:17" ht="17.25" customHeight="1" x14ac:dyDescent="0.2">
      <c r="A30" s="50"/>
      <c r="B30" s="51"/>
      <c r="C30" s="51"/>
      <c r="D30" s="51"/>
      <c r="E30" s="51"/>
      <c r="F30" s="51"/>
      <c r="G30" s="51"/>
      <c r="H30" s="51"/>
      <c r="I30" s="51"/>
      <c r="J30" s="51"/>
      <c r="K30" s="51"/>
      <c r="L30" s="51"/>
      <c r="M30" s="52"/>
      <c r="N30" s="53"/>
      <c r="O30" s="176"/>
      <c r="P30" s="176"/>
      <c r="Q30" s="54"/>
    </row>
    <row r="31" spans="1:17" ht="17.25" customHeight="1" x14ac:dyDescent="0.2">
      <c r="A31" s="50"/>
      <c r="B31" s="51"/>
      <c r="C31" s="51"/>
      <c r="D31" s="51"/>
      <c r="E31" s="51"/>
      <c r="F31" s="51"/>
      <c r="G31" s="51"/>
      <c r="H31" s="51"/>
      <c r="I31" s="51"/>
      <c r="J31" s="51"/>
      <c r="K31" s="51"/>
      <c r="L31" s="51"/>
      <c r="M31" s="52"/>
      <c r="N31" s="53"/>
      <c r="O31" s="176"/>
      <c r="P31" s="176"/>
      <c r="Q31" s="54"/>
    </row>
    <row r="32" spans="1:17" ht="17.25" customHeight="1" x14ac:dyDescent="0.2">
      <c r="A32" s="50"/>
      <c r="B32" s="51"/>
      <c r="C32" s="51"/>
      <c r="D32" s="51"/>
      <c r="E32" s="51"/>
      <c r="F32" s="53"/>
      <c r="G32" s="51"/>
      <c r="H32" s="51"/>
      <c r="I32" s="51"/>
      <c r="J32" s="51"/>
      <c r="K32" s="51"/>
      <c r="L32" s="51"/>
      <c r="M32" s="52"/>
      <c r="N32" s="53"/>
      <c r="O32" s="171"/>
      <c r="P32" s="171"/>
      <c r="Q32" s="54"/>
    </row>
    <row r="33" spans="1:18" ht="17.25" customHeight="1" x14ac:dyDescent="0.2">
      <c r="A33" s="50"/>
      <c r="B33" s="51"/>
      <c r="C33" s="51"/>
      <c r="D33" s="51"/>
      <c r="E33" s="51"/>
      <c r="F33" s="51"/>
      <c r="G33" s="51"/>
      <c r="H33" s="51"/>
      <c r="I33" s="51"/>
      <c r="J33" s="51"/>
      <c r="K33" s="51"/>
      <c r="L33" s="51"/>
      <c r="M33" s="52"/>
      <c r="N33" s="53"/>
      <c r="O33" s="171"/>
      <c r="P33" s="171"/>
      <c r="Q33" s="54"/>
    </row>
    <row r="34" spans="1:18" ht="17.25" customHeight="1" x14ac:dyDescent="0.2">
      <c r="A34" s="50"/>
      <c r="B34" s="51"/>
      <c r="C34" s="51"/>
      <c r="D34" s="51"/>
      <c r="E34" s="51"/>
      <c r="F34" s="53"/>
      <c r="G34" s="51"/>
      <c r="H34" s="51"/>
      <c r="I34" s="51"/>
      <c r="J34" s="51"/>
      <c r="K34" s="51"/>
      <c r="L34" s="51"/>
      <c r="M34" s="52"/>
      <c r="N34" s="53"/>
      <c r="O34" s="171"/>
      <c r="P34" s="171"/>
      <c r="Q34" s="54"/>
    </row>
    <row r="35" spans="1:18" ht="17.25" customHeight="1" x14ac:dyDescent="0.2">
      <c r="A35" s="50"/>
      <c r="B35" s="51"/>
      <c r="C35" s="51"/>
      <c r="D35" s="51"/>
      <c r="E35" s="51"/>
      <c r="F35" s="53"/>
      <c r="G35" s="51"/>
      <c r="H35" s="51"/>
      <c r="I35" s="51"/>
      <c r="J35" s="51"/>
      <c r="K35" s="51"/>
      <c r="L35" s="51"/>
      <c r="M35" s="52"/>
      <c r="N35" s="53"/>
      <c r="O35" s="171"/>
      <c r="P35" s="171"/>
      <c r="Q35" s="54"/>
    </row>
    <row r="36" spans="1:18" ht="17.25" customHeight="1" x14ac:dyDescent="0.2">
      <c r="A36" s="55"/>
      <c r="B36" s="56"/>
      <c r="C36" s="56"/>
      <c r="D36" s="56"/>
      <c r="E36" s="56"/>
      <c r="F36" s="57"/>
      <c r="G36" s="56"/>
      <c r="H36" s="56"/>
      <c r="I36" s="56"/>
      <c r="J36" s="56"/>
      <c r="K36" s="56"/>
      <c r="L36" s="56"/>
      <c r="M36" s="58"/>
      <c r="N36" s="59"/>
      <c r="O36" s="172"/>
      <c r="P36" s="172"/>
      <c r="Q36" s="54"/>
      <c r="R36" s="33"/>
    </row>
    <row r="37" spans="1:18" ht="17.25" customHeight="1" thickBot="1" x14ac:dyDescent="0.25">
      <c r="A37" s="60"/>
      <c r="B37" s="61"/>
      <c r="C37" s="61"/>
      <c r="D37" s="61"/>
      <c r="E37" s="61"/>
      <c r="F37" s="61"/>
      <c r="G37" s="61"/>
      <c r="H37" s="61"/>
      <c r="I37" s="61"/>
      <c r="J37" s="61"/>
      <c r="K37" s="61"/>
      <c r="L37" s="61"/>
      <c r="M37" s="62"/>
      <c r="N37" s="61"/>
      <c r="O37" s="173"/>
      <c r="P37" s="173"/>
      <c r="Q37" s="63"/>
    </row>
    <row r="38" spans="1:18" ht="27.75" customHeight="1" thickBot="1" x14ac:dyDescent="0.25">
      <c r="A38" s="174" t="s">
        <v>83</v>
      </c>
      <c r="B38" s="174"/>
      <c r="C38" s="174"/>
      <c r="D38" s="174"/>
      <c r="E38" s="174"/>
      <c r="F38" s="174"/>
      <c r="G38" s="174"/>
      <c r="H38" s="174"/>
      <c r="I38" s="174"/>
      <c r="J38" s="174"/>
      <c r="K38" s="174"/>
      <c r="L38" s="174"/>
      <c r="M38" s="174"/>
      <c r="N38" s="174"/>
      <c r="O38" s="174"/>
      <c r="P38" s="174"/>
      <c r="Q38" s="64">
        <f>SUM(Q15:Q37)</f>
        <v>19536400</v>
      </c>
    </row>
    <row r="39" spans="1:18" ht="18" customHeight="1" thickBot="1" x14ac:dyDescent="0.25">
      <c r="A39" s="175"/>
      <c r="B39" s="175"/>
      <c r="C39" s="175"/>
      <c r="D39" s="175"/>
      <c r="E39" s="175"/>
      <c r="F39" s="175"/>
      <c r="G39" s="175"/>
      <c r="H39" s="175"/>
      <c r="I39" s="175"/>
      <c r="J39" s="175"/>
      <c r="K39" s="175"/>
      <c r="L39" s="175"/>
      <c r="M39" s="175"/>
      <c r="N39" s="175"/>
      <c r="O39" s="175"/>
      <c r="P39" s="175"/>
      <c r="Q39" s="175"/>
    </row>
    <row r="40" spans="1:18" ht="17.25" customHeight="1" thickBot="1" x14ac:dyDescent="0.25">
      <c r="A40" s="167" t="s">
        <v>43</v>
      </c>
      <c r="B40" s="167"/>
      <c r="C40" s="167"/>
      <c r="D40" s="167"/>
      <c r="E40" s="167"/>
      <c r="F40" s="167"/>
      <c r="G40" s="168"/>
      <c r="H40" s="169"/>
      <c r="I40" s="169"/>
      <c r="J40" s="169"/>
      <c r="K40" s="169"/>
      <c r="L40" s="169"/>
      <c r="M40" s="169"/>
      <c r="N40" s="169"/>
      <c r="O40" s="169"/>
      <c r="P40" s="169"/>
      <c r="Q40" s="169"/>
    </row>
    <row r="41" spans="1:18" ht="18" customHeight="1" thickBot="1" x14ac:dyDescent="0.25">
      <c r="A41" s="170" t="s">
        <v>84</v>
      </c>
      <c r="B41" s="170"/>
      <c r="C41" s="170"/>
      <c r="D41" s="170"/>
      <c r="E41" s="170"/>
      <c r="F41" s="170"/>
      <c r="G41" s="170"/>
      <c r="H41" s="170"/>
      <c r="I41" s="170"/>
      <c r="J41" s="170"/>
      <c r="K41" s="170"/>
      <c r="L41" s="170"/>
      <c r="M41" s="170"/>
      <c r="N41" s="170"/>
      <c r="O41" s="170"/>
      <c r="P41" s="170"/>
      <c r="Q41" s="170"/>
    </row>
    <row r="42" spans="1:18" ht="63.75" customHeight="1" thickBot="1" x14ac:dyDescent="0.25">
      <c r="A42" s="170"/>
      <c r="B42" s="170"/>
      <c r="C42" s="170"/>
      <c r="D42" s="170"/>
      <c r="E42" s="170"/>
      <c r="F42" s="170"/>
      <c r="G42" s="170"/>
      <c r="H42" s="170"/>
      <c r="I42" s="170"/>
      <c r="J42" s="170"/>
      <c r="K42" s="170"/>
      <c r="L42" s="170"/>
      <c r="M42" s="170"/>
      <c r="N42" s="170"/>
      <c r="O42" s="170"/>
      <c r="P42" s="170"/>
      <c r="Q42" s="170"/>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rintOptions horizontalCentered="1"/>
  <pageMargins left="0.25" right="0.25" top="0.75" bottom="0.7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Company>Lobillo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Lobillo</dc:creator>
  <cp:lastModifiedBy>JOHANA AYBAR</cp:lastModifiedBy>
  <cp:lastPrinted>2021-03-10T09:33:43Z</cp:lastPrinted>
  <dcterms:created xsi:type="dcterms:W3CDTF">2020-12-14T23:33:02Z</dcterms:created>
  <dcterms:modified xsi:type="dcterms:W3CDTF">2021-08-13T14:53:57Z</dcterms:modified>
</cp:coreProperties>
</file>