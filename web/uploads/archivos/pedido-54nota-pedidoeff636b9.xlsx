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01872ACC-B95D-4627-A66A-F451D51FCD1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</sheets>
  <definedNames>
    <definedName name="_xlnm.Print_Area" localSheetId="0">'Necesidades Trimestrales'!$A$1:$J$39</definedName>
  </definedNames>
  <calcPr calcId="191029"/>
</workbook>
</file>

<file path=xl/calcChain.xml><?xml version="1.0" encoding="utf-8"?>
<calcChain xmlns="http://schemas.openxmlformats.org/spreadsheetml/2006/main">
  <c r="D16" i="1" l="1"/>
  <c r="D17" i="1"/>
  <c r="I11" i="1"/>
  <c r="I12" i="1"/>
  <c r="I13" i="1"/>
  <c r="I14" i="1"/>
  <c r="I15" i="1"/>
  <c r="I16" i="1"/>
  <c r="I17" i="1"/>
  <c r="I18" i="1"/>
  <c r="I19" i="1"/>
  <c r="I20" i="1"/>
  <c r="I21" i="1"/>
  <c r="I10" i="1"/>
  <c r="D15" i="1" l="1"/>
  <c r="D13" i="1" l="1"/>
  <c r="D12" i="1" l="1"/>
  <c r="D11" i="1" l="1"/>
</calcChain>
</file>

<file path=xl/sharedStrings.xml><?xml version="1.0" encoding="utf-8"?>
<sst xmlns="http://schemas.openxmlformats.org/spreadsheetml/2006/main" count="203" uniqueCount="66">
  <si>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</si>
  <si>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</si>
  <si>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</si>
  <si>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</si>
  <si>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</si>
  <si>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</si>
  <si>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</si>
  <si>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</si>
  <si>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</si>
  <si>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</si>
  <si>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</si>
  <si>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</si>
  <si>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</si>
  <si>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</si>
  <si>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</si>
  <si>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</si>
  <si>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Plazos y lugares de entrega</t>
  </si>
  <si>
    <t>Calidad Minima esperada</t>
  </si>
  <si>
    <t>Mantenimiento</t>
  </si>
  <si>
    <t>Garantia</t>
  </si>
  <si>
    <t>ALIMENTOS</t>
  </si>
  <si>
    <t>25- Direccion Provincial de Gestion Administracion y RRHH</t>
  </si>
  <si>
    <t>S/E</t>
  </si>
  <si>
    <t>MEDIA</t>
  </si>
  <si>
    <t>45- Ministerio de Desarrollo Social y Deporte.-</t>
  </si>
  <si>
    <t>2.1.1</t>
  </si>
  <si>
    <t>2.1.1-439.67</t>
  </si>
  <si>
    <t>ACEITES COMESTIBLES; TIPO: GIRASOL, PRESENTACION: ENVASE X 900 CM3, MATERIAL ENVASE: PLASTICO 1 (PET), ELEM. TRANSPORTE: SIN, MATERIAL ELEM. TRANSPORTE : SIN, LIBRE DE GLUTEN: NO</t>
  </si>
  <si>
    <t>LECHE; ESTADO: POLVO, TIPO: ENTERA, PROCESO: PASTEURIZADA, AGREGADO: VITAMINAS A Y D, PRESENTACION: ENVASE X 800 GR, MATERIAL ENVASE: CARTON, ELEM. TRANSPORTE: SIN, MATERIAL ELEM. TRANSPORTE: SIN, CERTIFICADO FORESTAL (GFS): SIN, LIBRE DE GLUTEN: SI</t>
  </si>
  <si>
    <t>2.1.1-705.93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</si>
  <si>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</si>
  <si>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2.1.1-435.60</t>
  </si>
  <si>
    <t>AZUCARES; TIPO: "A" COMUN, ESTADO: MOLIDA, PESO: 1 Kg, MATERIAL ENVASE: PLASTICO, CERTIFICADO FORESTAL (GFS): SIN, ELEM. TRANSPORTE: SIN, MATERIAL ELEM. TRANSPORTE: SIN</t>
  </si>
  <si>
    <t>2.1.1-481.38</t>
  </si>
  <si>
    <t>DEPOSITO MINISTERIO DE DESARROLLO SOCIAL Y DEPORTE AREA EL PANTANILLO SAN FERNANDO DEL VALLE DE CATAMARCA</t>
  </si>
  <si>
    <t>60DIAS</t>
  </si>
  <si>
    <t>2.1.1-2868.54</t>
  </si>
  <si>
    <t>FIDEOS SECOS; VARIEDAD: SOPERO, RELLENO: SIN, PRESENTACION: ENVASE X 500 GR, MATERIAL ENVASE: PLASTICO 1 (PET), ELEM. TRANSPORTE: SIN, MATERIAL ELEM. TRANSPORTE: SIN, CERTIFICADO FORESTAL (GFS): SIN, LIBRE DE GLUTEN: NO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</si>
  <si>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</si>
  <si>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</si>
  <si>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2.1.1-2868.71</t>
  </si>
  <si>
    <t>FIDEOS SECOS; VARIEDAD: GUISERO, RELLENO: SIN, PRESENTACION: ENVASE X 500 GR, MATERIAL ENVASE: PLASTICO 1 (PET), ELEM. TRANSPORTE: SIN, MATERIAL ELEM. TRANSPORTE: SIN, CERTIFICADO FORESTAL (GFS): SIN, LIBRE DE GLUTEN: NO</t>
  </si>
  <si>
    <t>2.1.1-454.25</t>
  </si>
  <si>
    <t>YERBAS; PALO: CON, PESO: 1 Kg, MATERIAL ENVASE : PAPEL, CERTIFICADO FORESTAL (GFS): CON, ELEM. TRANSPORTE: SIN, MATERIAL ELEM. TRANSPORTE: SIN, LIBRE DE GLUTEN: SI</t>
  </si>
  <si>
    <t>2.1.1-6546.260</t>
  </si>
  <si>
    <t>VERDURAS Y HORTALIZAS; VARIEDAD: TOMATE, ESTADO: PURE, PRESENTACION: TETRABRIK, PESO: 520 GR</t>
  </si>
  <si>
    <t>2.1.1-6547.80</t>
  </si>
  <si>
    <t>LEGUMBRES; VARIEDAD: LENTEJA, ESTADO: SECO, PRESENTACION: SIN VALOR, PESO: ENVASE X 400 GR</t>
  </si>
  <si>
    <t>2.1.1-708.23</t>
  </si>
  <si>
    <t>CONSERVAS PESCADO Y FRUTOS MAR; ESTADO: AL NATURAL, PESO: 380 GR, ENVASE: LATA, TIPO: CABALLA, ESPECIE: CABALLA</t>
  </si>
  <si>
    <t>2.1.1-482.70</t>
  </si>
  <si>
    <t>HARINAS; TIPO: 000, PRESENTACION: ENVASE X 1 Kg, MATERIAL ENVASE: PAPEL, CERTICADO FORESTAL (GFS): SI, ELEM. TRANSPORTE: SIN, MATERIAL ELEM. TRANSPORTE: SIN, LIBRE DE GLUTEN: NO</t>
  </si>
  <si>
    <t>PRIMERA ENTREGA : 50.000 UNIDADES DENTRO DE LOS 5 (CINCO) DIAS DE LA RECEPCION DE LA ORDEN DE COMPRA; SEGUNDA ENTREGA: 50.000 UNIDADES A LOS 30 (TREINTA) DIAS DE LA RECEPCION DE LA ORDEN DE COMPRA.-</t>
  </si>
  <si>
    <t>Especificidades Item N° 1:</t>
  </si>
  <si>
    <t>Especificidades Item N° 2:</t>
  </si>
  <si>
    <t>Especificidades Item N° 3:</t>
  </si>
  <si>
    <t>Especificidades Item N° 4:</t>
  </si>
  <si>
    <t>Especificidades Item N° 5:</t>
  </si>
  <si>
    <t>Especificidades Item N° 6:</t>
  </si>
  <si>
    <t>Especificidades Item N° 7:</t>
  </si>
  <si>
    <t>Especificidades Item N° 8:</t>
  </si>
  <si>
    <t>Especificidades Item N° 9:</t>
  </si>
  <si>
    <t>Especificidades Item N° 10:</t>
  </si>
  <si>
    <t>Especificidades Item N° 11:</t>
  </si>
  <si>
    <t>Especificidades Item N° 12:</t>
  </si>
  <si>
    <t>ARROZ GRANO LARGO FINO BLANCO SIN CASCARA 00000 X 1 KG SIN T.A.A.C  EN ENVASE PLASTICO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</si>
</sst>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</numFmts>
  <fonts count="15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3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</borders>
  <cellStyleXfs count="4">
    <xf numFmtId="0" fontId="0" fillId="0" borderId="0"/>
    <xf numFmtId="165" fontId="4" fillId="0" borderId="0" applyBorder="0" applyProtection="0"/>
    <xf numFmtId="0" fontId="1" fillId="0" borderId="1" applyProtection="0"/>
    <xf numFmtId="0" fontId="3" fillId="2" borderId="0" applyBorder="0" applyProtection="0"/>
  </cellStyleXfs>
  <cellXfs count="75">
    <xf numFmtId="0" fontId="0" fillId="0" borderId="0" xfId="0"/>
    <xf numFmtId="0" fontId="5" fillId="0" borderId="0" xfId="0" applyFont="1"/>
    <xf numFmtId="0" fontId="0" fillId="0" borderId="19" xfId="0" applyFill="1" applyBorder="1"/>
    <xf numFmtId="0" fontId="14" fillId="0" borderId="0" xfId="0" applyFont="1" applyFill="1"/>
    <xf numFmtId="0" fontId="14" fillId="0" borderId="19" xfId="0" applyFont="1" applyFill="1" applyBorder="1"/>
    <xf numFmtId="166" fontId="5" fillId="0" borderId="0" xfId="0" applyNumberFormat="1" applyFont="1"/>
    <xf numFmtId="0" fontId="5" fillId="0" borderId="0" xfId="0" applyFont="1" applyFill="1"/>
    <xf numFmtId="0" fontId="8" fillId="0" borderId="0" xfId="0" applyFont="1" applyFill="1" applyAlignment="1">
      <alignment horizontal="left" wrapText="1"/>
    </xf>
    <xf numFmtId="0" fontId="8" fillId="0" borderId="0" xfId="0" applyFont="1" applyFill="1" applyAlignment="1">
      <alignment horizontal="center" wrapText="1"/>
    </xf>
    <xf numFmtId="0" fontId="13" fillId="0" borderId="0" xfId="0" applyFont="1" applyFill="1" applyAlignment="1">
      <alignment horizontal="left" wrapText="1" indent="1"/>
    </xf>
    <xf numFmtId="0" fontId="9" fillId="0" borderId="0" xfId="0" applyFont="1" applyFill="1" applyAlignment="1">
      <alignment horizontal="left" wrapText="1"/>
    </xf>
    <xf numFmtId="0" fontId="9" fillId="0" borderId="16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 wrapText="1"/>
    </xf>
    <xf numFmtId="0" fontId="11" fillId="0" borderId="26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166" fontId="10" fillId="0" borderId="33" xfId="1" applyNumberFormat="1" applyFont="1" applyFill="1" applyBorder="1" applyAlignment="1" applyProtection="1">
      <alignment horizontal="right" vertical="center" wrapText="1"/>
    </xf>
    <xf numFmtId="0" fontId="10" fillId="0" borderId="3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30" xfId="0" applyFill="1" applyBorder="1"/>
    <xf numFmtId="0" fontId="8" fillId="0" borderId="31" xfId="0" applyFont="1" applyFill="1" applyBorder="1" applyAlignment="1">
      <alignment horizontal="center" vertical="center" wrapText="1"/>
    </xf>
    <xf numFmtId="0" fontId="0" fillId="0" borderId="18" xfId="0" applyFill="1" applyBorder="1"/>
    <xf numFmtId="0" fontId="11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wrapText="1"/>
    </xf>
    <xf numFmtId="166" fontId="10" fillId="0" borderId="20" xfId="1" applyNumberFormat="1" applyFont="1" applyFill="1" applyBorder="1" applyAlignment="1" applyProtection="1">
      <alignment horizontal="right" vertical="center" wrapText="1"/>
    </xf>
    <xf numFmtId="0" fontId="0" fillId="0" borderId="4" xfId="0" applyFill="1" applyBorder="1"/>
    <xf numFmtId="0" fontId="8" fillId="0" borderId="4" xfId="0" applyFont="1" applyFill="1" applyBorder="1" applyAlignment="1">
      <alignment horizontal="center" vertical="center" wrapText="1"/>
    </xf>
    <xf numFmtId="0" fontId="0" fillId="0" borderId="21" xfId="0" applyFill="1" applyBorder="1"/>
    <xf numFmtId="0" fontId="0" fillId="0" borderId="0" xfId="0" applyFill="1"/>
    <xf numFmtId="0" fontId="14" fillId="0" borderId="20" xfId="0" applyFont="1" applyFill="1" applyBorder="1"/>
    <xf numFmtId="0" fontId="14" fillId="0" borderId="4" xfId="0" applyFont="1" applyFill="1" applyBorder="1"/>
    <xf numFmtId="0" fontId="11" fillId="0" borderId="18" xfId="0" applyFont="1" applyFill="1" applyBorder="1" applyAlignment="1">
      <alignment horizontal="center" vertical="center" wrapText="1"/>
    </xf>
    <xf numFmtId="0" fontId="14" fillId="0" borderId="28" xfId="0" applyFont="1" applyFill="1" applyBorder="1"/>
    <xf numFmtId="0" fontId="14" fillId="0" borderId="18" xfId="0" applyFont="1" applyFill="1" applyBorder="1"/>
    <xf numFmtId="0" fontId="8" fillId="0" borderId="29" xfId="0" applyFont="1" applyFill="1" applyBorder="1" applyAlignment="1">
      <alignment horizontal="center" vertical="center" wrapText="1"/>
    </xf>
    <xf numFmtId="0" fontId="0" fillId="0" borderId="6" xfId="0" applyFill="1" applyBorder="1"/>
    <xf numFmtId="0" fontId="0" fillId="0" borderId="22" xfId="0" applyFill="1" applyBorder="1"/>
    <xf numFmtId="0" fontId="8" fillId="0" borderId="22" xfId="0" applyFont="1" applyFill="1" applyBorder="1" applyAlignment="1">
      <alignment horizontal="center" vertical="center" wrapText="1"/>
    </xf>
    <xf numFmtId="0" fontId="11" fillId="0" borderId="22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wrapText="1"/>
    </xf>
    <xf numFmtId="166" fontId="10" fillId="0" borderId="32" xfId="1" applyNumberFormat="1" applyFont="1" applyFill="1" applyBorder="1" applyAlignment="1" applyProtection="1">
      <alignment horizontal="right" vertical="center" wrapText="1"/>
    </xf>
    <xf numFmtId="0" fontId="10" fillId="0" borderId="5" xfId="0" applyFont="1" applyFill="1" applyBorder="1" applyAlignment="1">
      <alignment horizontal="center" vertical="center"/>
    </xf>
    <xf numFmtId="166" fontId="5" fillId="0" borderId="0" xfId="0" applyNumberFormat="1" applyFont="1" applyFill="1"/>
    <xf numFmtId="0" fontId="12" fillId="0" borderId="7" xfId="0" applyFont="1" applyFill="1" applyBorder="1"/>
    <xf numFmtId="0" fontId="5" fillId="0" borderId="8" xfId="0" applyFont="1" applyFill="1" applyBorder="1"/>
    <xf numFmtId="0" fontId="5" fillId="0" borderId="9" xfId="0" applyFont="1" applyFill="1" applyBorder="1"/>
    <xf numFmtId="0" fontId="5" fillId="0" borderId="10" xfId="0" applyFont="1" applyFill="1" applyBorder="1"/>
    <xf numFmtId="0" fontId="5" fillId="0" borderId="0" xfId="0" applyFont="1" applyFill="1" applyBorder="1"/>
    <xf numFmtId="0" fontId="5" fillId="0" borderId="11" xfId="0" applyFont="1" applyFill="1" applyBorder="1"/>
    <xf numFmtId="0" fontId="12" fillId="0" borderId="10" xfId="0" applyFont="1" applyFill="1" applyBorder="1" applyAlignment="1">
      <alignment horizontal="left" indent="3"/>
    </xf>
    <xf numFmtId="0" fontId="5" fillId="0" borderId="10" xfId="0" applyFont="1" applyFill="1" applyBorder="1" applyAlignment="1">
      <alignment horizontal="left" indent="3"/>
    </xf>
    <xf numFmtId="0" fontId="5" fillId="0" borderId="0" xfId="0" applyFont="1" applyFill="1" applyBorder="1" applyAlignment="1">
      <alignment horizontal="center" wrapText="1"/>
    </xf>
    <xf numFmtId="0" fontId="5" fillId="0" borderId="11" xfId="0" applyFont="1" applyFill="1" applyBorder="1" applyAlignment="1">
      <alignment horizontal="center" wrapText="1"/>
    </xf>
    <xf numFmtId="0" fontId="5" fillId="0" borderId="12" xfId="0" applyFont="1" applyFill="1" applyBorder="1" applyAlignment="1">
      <alignment horizontal="left" indent="3"/>
    </xf>
    <xf numFmtId="0" fontId="5" fillId="0" borderId="13" xfId="0" applyFont="1" applyFill="1" applyBorder="1"/>
    <xf numFmtId="0" fontId="5" fillId="0" borderId="14" xfId="0" applyFont="1" applyFill="1" applyBorder="1"/>
    <xf numFmtId="0" fontId="9" fillId="0" borderId="25" xfId="0" applyFont="1" applyFill="1" applyBorder="1" applyAlignment="1">
      <alignment horizontal="center" vertical="center" wrapText="1"/>
    </xf>
    <xf numFmtId="166" fontId="10" fillId="0" borderId="4" xfId="1" applyNumberFormat="1" applyFont="1" applyFill="1" applyBorder="1" applyAlignment="1" applyProtection="1">
      <alignment horizontal="right" vertical="center" wrapText="1"/>
    </xf>
    <xf numFmtId="166" fontId="10" fillId="0" borderId="18" xfId="1" applyNumberFormat="1" applyFont="1" applyFill="1" applyBorder="1" applyAlignment="1" applyProtection="1">
      <alignment horizontal="right" vertical="center" wrapText="1"/>
    </xf>
    <xf numFmtId="166" fontId="10" fillId="0" borderId="15" xfId="1" applyNumberFormat="1" applyFont="1" applyFill="1" applyBorder="1" applyAlignment="1" applyProtection="1">
      <alignment horizontal="right" vertical="center" wrapText="1"/>
    </xf>
    <xf numFmtId="0" fontId="5" fillId="0" borderId="11" xfId="0" applyFont="1" applyFill="1" applyBorder="1" applyAlignment="1">
      <alignment horizontal="center" wrapText="1"/>
    </xf>
    <xf numFmtId="0" fontId="5" fillId="0" borderId="11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0" fontId="5" fillId="0" borderId="11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left" wrapText="1" indent="1"/>
    </xf>
  </cellXfs>
  <cellStyles count="4">
    <cellStyle name="Encabezado 1" xfId="2" xr:uid="{00000000-0005-0000-0000-000000000000}"/>
    <cellStyle name="Moneda" xfId="1" builtinId="4"/>
    <cellStyle name="Neutral 1" xfId="3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3"/>
  <sheetViews>
    <sheetView tabSelected="1" zoomScaleNormal="100" workbookViewId="0">
      <selection activeCell="J27" sqref="J27"/>
    </sheetView>
  </sheetViews>
  <sheetFormatPr baseColWidth="10" defaultColWidth="11" defaultRowHeight="12.75" x14ac:dyDescent="0.2"/>
  <cols>
    <col min="1" max="1" width="4.5703125" style="1" customWidth="1"/>
    <col min="2" max="2" width="21.7109375" style="1" customWidth="1"/>
    <col min="3" max="3" width="32.42578125" style="1" customWidth="1"/>
    <col min="4" max="4" width="8.42578125" style="1" customWidth="1"/>
    <col min="5" max="5" width="160.28515625" style="1" customWidth="1"/>
    <col min="6" max="6" width="10.5703125" style="1" bestFit="1" customWidth="1"/>
    <col min="7" max="8" width="10.42578125" style="1" bestFit="1" customWidth="1"/>
    <col min="9" max="9" width="15.7109375" style="1" bestFit="1" customWidth="1"/>
    <col min="10" max="16384" width="11" style="1"/>
  </cols>
  <sheetData>
    <row r="1" spans="1:9" x14ac:dyDescent="0.2">
      <c r="A1" s="6"/>
      <c r="B1" s="6"/>
      <c r="C1" s="6"/>
      <c r="D1" s="6"/>
      <c r="E1" s="6"/>
      <c r="F1" s="6"/>
      <c r="G1" s="6"/>
      <c r="H1" s="6"/>
    </row>
    <row r="2" spans="1:9" ht="27" x14ac:dyDescent="0.35">
      <c r="A2" s="6"/>
      <c r="B2" s="73" t="s">
        <v>0</v>
      </c>
      <c r="C2" s="73"/>
      <c r="D2" s="73"/>
      <c r="E2" s="73"/>
      <c r="F2" s="73"/>
      <c r="G2" s="73"/>
      <c r="H2" s="73"/>
    </row>
    <row r="3" spans="1:9" x14ac:dyDescent="0.2">
      <c r="A3" s="6"/>
      <c r="B3" s="6"/>
      <c r="C3" s="6"/>
      <c r="D3" s="6"/>
      <c r="E3" s="6"/>
      <c r="F3" s="6"/>
      <c r="G3" s="6"/>
      <c r="H3" s="6"/>
    </row>
    <row r="4" spans="1:9" ht="18" customHeight="1" x14ac:dyDescent="0.25">
      <c r="A4" s="72" t="s">
        <v>1</v>
      </c>
      <c r="B4" s="72"/>
      <c r="C4" s="74" t="s">
        <v>24</v>
      </c>
      <c r="D4" s="74"/>
      <c r="E4" s="74"/>
      <c r="F4" s="7"/>
      <c r="G4" s="8"/>
      <c r="H4" s="7"/>
    </row>
    <row r="5" spans="1:9" ht="18" customHeight="1" x14ac:dyDescent="0.25">
      <c r="A5" s="72" t="s">
        <v>2</v>
      </c>
      <c r="B5" s="72"/>
      <c r="C5" s="74" t="s">
        <v>21</v>
      </c>
      <c r="D5" s="74"/>
      <c r="E5" s="74"/>
      <c r="F5" s="7"/>
      <c r="G5" s="8"/>
      <c r="H5" s="7"/>
    </row>
    <row r="6" spans="1:9" ht="16.5" customHeight="1" x14ac:dyDescent="0.25">
      <c r="A6" s="72" t="s">
        <v>3</v>
      </c>
      <c r="B6" s="72"/>
      <c r="C6" s="9">
        <v>2021</v>
      </c>
      <c r="D6" s="10"/>
      <c r="E6" s="10"/>
      <c r="F6" s="7"/>
      <c r="G6" s="8"/>
      <c r="H6" s="7"/>
    </row>
    <row r="7" spans="1:9" ht="16.5" customHeight="1" x14ac:dyDescent="0.25">
      <c r="A7" s="72" t="s">
        <v>4</v>
      </c>
      <c r="B7" s="72"/>
      <c r="C7" s="9">
        <v>3</v>
      </c>
      <c r="D7" s="10"/>
      <c r="E7" s="10"/>
      <c r="F7" s="7"/>
      <c r="G7" s="8"/>
      <c r="H7" s="7"/>
    </row>
    <row r="8" spans="1:9" ht="13.5" thickBot="1" x14ac:dyDescent="0.25">
      <c r="A8" s="6"/>
      <c r="B8" s="7"/>
      <c r="C8" s="8"/>
      <c r="D8" s="7"/>
      <c r="E8" s="7"/>
      <c r="F8" s="7"/>
      <c r="G8" s="8"/>
      <c r="H8" s="7"/>
    </row>
    <row r="9" spans="1:9" ht="39" thickBot="1" x14ac:dyDescent="0.25">
      <c r="A9" s="11" t="s">
        <v>5</v>
      </c>
      <c r="B9" s="12" t="s">
        <v>6</v>
      </c>
      <c r="C9" s="12" t="s">
        <v>7</v>
      </c>
      <c r="D9" s="13" t="s">
        <v>8</v>
      </c>
      <c r="E9" s="12" t="s">
        <v>9</v>
      </c>
      <c r="F9" s="14" t="s">
        <v>10</v>
      </c>
      <c r="G9" s="15" t="s">
        <v>11</v>
      </c>
      <c r="H9" s="15" t="s">
        <v>12</v>
      </c>
      <c r="I9" s="60" t="s">
        <v>13</v>
      </c>
    </row>
    <row r="10" spans="1:9" x14ac:dyDescent="0.2">
      <c r="A10" s="16">
        <v>1</v>
      </c>
      <c r="B10" s="4" t="s">
        <v>29</v>
      </c>
      <c r="C10" s="2" t="s">
        <v>20</v>
      </c>
      <c r="D10" s="17" t="s">
        <v>25</v>
      </c>
      <c r="E10" s="3" t="s">
        <v>28</v>
      </c>
      <c r="F10" s="18" t="s">
        <v>14</v>
      </c>
      <c r="G10" s="19">
        <v>100000</v>
      </c>
      <c r="H10" s="20">
        <v>490</v>
      </c>
      <c r="I10" s="61">
        <f>+G10*H10</f>
        <v>49000000</v>
      </c>
    </row>
    <row r="11" spans="1:9" x14ac:dyDescent="0.2">
      <c r="A11" s="21">
        <v>2</v>
      </c>
      <c r="B11" s="22" t="s">
        <v>26</v>
      </c>
      <c r="C11" s="23" t="s">
        <v>20</v>
      </c>
      <c r="D11" s="24" t="str">
        <f t="shared" ref="D11:D17" si="0">LEFT(B11,5)</f>
        <v>2.1.1</v>
      </c>
      <c r="E11" s="25" t="s">
        <v>27</v>
      </c>
      <c r="F11" s="26" t="s">
        <v>14</v>
      </c>
      <c r="G11" s="27">
        <v>100000</v>
      </c>
      <c r="H11" s="28">
        <v>180</v>
      </c>
      <c r="I11" s="61">
        <f t="shared" ref="I11:I21" si="1">+G11*H11</f>
        <v>18000000</v>
      </c>
    </row>
    <row r="12" spans="1:9" x14ac:dyDescent="0.2">
      <c r="A12" s="21">
        <v>3</v>
      </c>
      <c r="B12" s="29" t="s">
        <v>42</v>
      </c>
      <c r="C12" s="29" t="s">
        <v>20</v>
      </c>
      <c r="D12" s="30" t="str">
        <f t="shared" si="0"/>
        <v>2.1.1</v>
      </c>
      <c r="E12" s="29" t="s">
        <v>43</v>
      </c>
      <c r="F12" s="26" t="s">
        <v>14</v>
      </c>
      <c r="G12" s="27">
        <v>100000</v>
      </c>
      <c r="H12" s="28">
        <v>299</v>
      </c>
      <c r="I12" s="61">
        <f t="shared" si="1"/>
        <v>29900000</v>
      </c>
    </row>
    <row r="13" spans="1:9" x14ac:dyDescent="0.2">
      <c r="A13" s="21">
        <v>4</v>
      </c>
      <c r="B13" s="29" t="s">
        <v>48</v>
      </c>
      <c r="C13" s="31" t="s">
        <v>20</v>
      </c>
      <c r="D13" s="24" t="str">
        <f t="shared" si="0"/>
        <v>2.1.1</v>
      </c>
      <c r="E13" s="32" t="s">
        <v>49</v>
      </c>
      <c r="F13" s="26" t="s">
        <v>14</v>
      </c>
      <c r="G13" s="27">
        <v>100000</v>
      </c>
      <c r="H13" s="28">
        <v>175</v>
      </c>
      <c r="I13" s="61">
        <f t="shared" si="1"/>
        <v>17500000</v>
      </c>
    </row>
    <row r="14" spans="1:9" x14ac:dyDescent="0.2">
      <c r="A14" s="16">
        <v>5</v>
      </c>
      <c r="B14" s="33" t="s">
        <v>31</v>
      </c>
      <c r="C14" s="29" t="s">
        <v>20</v>
      </c>
      <c r="D14" s="17" t="s">
        <v>25</v>
      </c>
      <c r="E14" s="34" t="s">
        <v>30</v>
      </c>
      <c r="F14" s="26" t="s">
        <v>14</v>
      </c>
      <c r="G14" s="27">
        <v>100000</v>
      </c>
      <c r="H14" s="28">
        <v>93</v>
      </c>
      <c r="I14" s="61">
        <f t="shared" si="1"/>
        <v>9300000</v>
      </c>
    </row>
    <row r="15" spans="1:9" x14ac:dyDescent="0.2">
      <c r="A15" s="21">
        <v>6</v>
      </c>
      <c r="B15" s="29" t="s">
        <v>50</v>
      </c>
      <c r="C15" s="29" t="s">
        <v>20</v>
      </c>
      <c r="D15" s="30" t="str">
        <f t="shared" si="0"/>
        <v>2.1.1</v>
      </c>
      <c r="E15" s="32" t="s">
        <v>51</v>
      </c>
      <c r="F15" s="35" t="s">
        <v>14</v>
      </c>
      <c r="G15" s="27">
        <v>100000</v>
      </c>
      <c r="H15" s="28">
        <v>60</v>
      </c>
      <c r="I15" s="61">
        <f t="shared" si="1"/>
        <v>6000000</v>
      </c>
    </row>
    <row r="16" spans="1:9" x14ac:dyDescent="0.2">
      <c r="A16" s="21">
        <v>7</v>
      </c>
      <c r="B16" s="29" t="s">
        <v>44</v>
      </c>
      <c r="C16" s="29" t="s">
        <v>20</v>
      </c>
      <c r="D16" s="30" t="str">
        <f t="shared" si="0"/>
        <v>2.1.1</v>
      </c>
      <c r="E16" s="29" t="s">
        <v>45</v>
      </c>
      <c r="F16" s="35" t="s">
        <v>14</v>
      </c>
      <c r="G16" s="27">
        <v>100000</v>
      </c>
      <c r="H16" s="28">
        <v>51</v>
      </c>
      <c r="I16" s="61">
        <f t="shared" si="1"/>
        <v>5100000</v>
      </c>
    </row>
    <row r="17" spans="1:10" x14ac:dyDescent="0.2">
      <c r="A17" s="21">
        <v>8</v>
      </c>
      <c r="B17" s="36" t="s">
        <v>33</v>
      </c>
      <c r="C17" s="25" t="s">
        <v>20</v>
      </c>
      <c r="D17" s="30" t="str">
        <f t="shared" si="0"/>
        <v>2.1.1</v>
      </c>
      <c r="E17" s="37" t="s">
        <v>32</v>
      </c>
      <c r="F17" s="35" t="s">
        <v>14</v>
      </c>
      <c r="G17" s="27">
        <v>100000</v>
      </c>
      <c r="H17" s="28">
        <v>62</v>
      </c>
      <c r="I17" s="61">
        <f t="shared" si="1"/>
        <v>6200000</v>
      </c>
    </row>
    <row r="18" spans="1:10" x14ac:dyDescent="0.2">
      <c r="A18" s="16">
        <v>9</v>
      </c>
      <c r="B18" s="29" t="s">
        <v>36</v>
      </c>
      <c r="C18" s="29" t="s">
        <v>20</v>
      </c>
      <c r="D18" s="38" t="s">
        <v>25</v>
      </c>
      <c r="E18" s="29" t="s">
        <v>37</v>
      </c>
      <c r="F18" s="35" t="s">
        <v>14</v>
      </c>
      <c r="G18" s="27">
        <v>100000</v>
      </c>
      <c r="H18" s="28">
        <v>39</v>
      </c>
      <c r="I18" s="61">
        <f t="shared" si="1"/>
        <v>3900000</v>
      </c>
    </row>
    <row r="19" spans="1:10" x14ac:dyDescent="0.2">
      <c r="A19" s="21">
        <v>10</v>
      </c>
      <c r="B19" s="29" t="s">
        <v>38</v>
      </c>
      <c r="C19" s="29" t="s">
        <v>20</v>
      </c>
      <c r="D19" s="38" t="s">
        <v>25</v>
      </c>
      <c r="E19" s="29" t="s">
        <v>39</v>
      </c>
      <c r="F19" s="35" t="s">
        <v>14</v>
      </c>
      <c r="G19" s="27">
        <v>100000</v>
      </c>
      <c r="H19" s="28">
        <v>39</v>
      </c>
      <c r="I19" s="61">
        <f t="shared" si="1"/>
        <v>3900000</v>
      </c>
    </row>
    <row r="20" spans="1:10" x14ac:dyDescent="0.2">
      <c r="A20" s="21">
        <v>11</v>
      </c>
      <c r="B20" s="25" t="s">
        <v>40</v>
      </c>
      <c r="C20" s="25" t="s">
        <v>20</v>
      </c>
      <c r="D20" s="38" t="s">
        <v>25</v>
      </c>
      <c r="E20" s="25" t="s">
        <v>41</v>
      </c>
      <c r="F20" s="35" t="s">
        <v>14</v>
      </c>
      <c r="G20" s="27">
        <v>100000</v>
      </c>
      <c r="H20" s="28">
        <v>39</v>
      </c>
      <c r="I20" s="61">
        <f t="shared" si="1"/>
        <v>3900000</v>
      </c>
    </row>
    <row r="21" spans="1:10" ht="13.5" thickBot="1" x14ac:dyDescent="0.25">
      <c r="A21" s="21">
        <v>12</v>
      </c>
      <c r="B21" s="39" t="s">
        <v>46</v>
      </c>
      <c r="C21" s="40" t="s">
        <v>20</v>
      </c>
      <c r="D21" s="41" t="s">
        <v>25</v>
      </c>
      <c r="E21" s="40" t="s">
        <v>47</v>
      </c>
      <c r="F21" s="42" t="s">
        <v>14</v>
      </c>
      <c r="G21" s="43">
        <v>100000</v>
      </c>
      <c r="H21" s="44">
        <v>98</v>
      </c>
      <c r="I21" s="62">
        <f t="shared" si="1"/>
        <v>9800000</v>
      </c>
    </row>
    <row r="22" spans="1:10" ht="13.5" thickBot="1" x14ac:dyDescent="0.25">
      <c r="A22" s="45"/>
      <c r="B22" s="39"/>
      <c r="C22" s="40"/>
      <c r="D22" s="41"/>
      <c r="E22" s="40"/>
      <c r="F22" s="42"/>
      <c r="G22" s="43"/>
      <c r="H22" s="44"/>
      <c r="I22" s="63"/>
    </row>
    <row r="23" spans="1:10" x14ac:dyDescent="0.2">
      <c r="A23" s="6"/>
      <c r="B23" s="6"/>
      <c r="C23" s="6"/>
      <c r="D23" s="6"/>
      <c r="E23" s="6"/>
      <c r="F23" s="6"/>
      <c r="G23" s="6"/>
      <c r="H23" s="6"/>
      <c r="I23" s="5"/>
      <c r="J23" s="5"/>
    </row>
    <row r="24" spans="1:10" x14ac:dyDescent="0.2">
      <c r="A24" s="6"/>
      <c r="B24" s="6"/>
      <c r="C24" s="6"/>
      <c r="D24" s="6"/>
      <c r="E24" s="6"/>
      <c r="F24" s="6"/>
      <c r="G24" s="6"/>
      <c r="H24" s="46"/>
      <c r="J24" s="5"/>
    </row>
    <row r="25" spans="1:10" x14ac:dyDescent="0.2">
      <c r="A25" s="6"/>
      <c r="B25" s="47" t="s">
        <v>53</v>
      </c>
      <c r="C25" s="48"/>
      <c r="D25" s="48"/>
      <c r="E25" s="49"/>
      <c r="F25" s="6"/>
      <c r="G25" s="6"/>
      <c r="H25" s="6"/>
    </row>
    <row r="26" spans="1:10" ht="5.25" customHeight="1" x14ac:dyDescent="0.2">
      <c r="A26" s="6"/>
      <c r="B26" s="50"/>
      <c r="C26" s="51"/>
      <c r="D26" s="51"/>
      <c r="E26" s="52"/>
      <c r="F26" s="6"/>
      <c r="G26" s="6"/>
      <c r="H26" s="6"/>
    </row>
    <row r="27" spans="1:10" x14ac:dyDescent="0.2">
      <c r="A27" s="6"/>
      <c r="B27" s="53" t="s">
        <v>15</v>
      </c>
      <c r="C27" s="51"/>
      <c r="D27" s="51"/>
      <c r="E27" s="52"/>
      <c r="F27" s="6"/>
      <c r="G27" s="6"/>
      <c r="H27" s="6"/>
    </row>
    <row r="28" spans="1:10" ht="41.25" customHeight="1" x14ac:dyDescent="0.2">
      <c r="A28" s="6"/>
      <c r="B28" s="53"/>
      <c r="C28" s="69"/>
      <c r="D28" s="69"/>
      <c r="E28" s="69"/>
      <c r="F28" s="6"/>
      <c r="G28" s="6"/>
      <c r="H28" s="6"/>
    </row>
    <row r="29" spans="1:10" x14ac:dyDescent="0.2">
      <c r="A29" s="6"/>
      <c r="B29" s="53" t="s">
        <v>16</v>
      </c>
      <c r="C29" s="51"/>
      <c r="D29" s="51"/>
      <c r="E29" s="52"/>
      <c r="F29" s="6"/>
      <c r="G29" s="6"/>
      <c r="H29" s="6"/>
    </row>
    <row r="30" spans="1:10" ht="31.5" customHeight="1" x14ac:dyDescent="0.2">
      <c r="A30" s="6"/>
      <c r="B30" s="54"/>
      <c r="C30" s="70" t="s">
        <v>52</v>
      </c>
      <c r="D30" s="70"/>
      <c r="E30" s="71"/>
      <c r="F30" s="6"/>
      <c r="G30" s="6"/>
      <c r="H30" s="6"/>
    </row>
    <row r="31" spans="1:10" x14ac:dyDescent="0.2">
      <c r="A31" s="6"/>
      <c r="B31" s="54"/>
      <c r="C31" s="65" t="s">
        <v>34</v>
      </c>
      <c r="D31" s="65"/>
      <c r="E31" s="65"/>
      <c r="F31" s="6"/>
      <c r="G31" s="6"/>
      <c r="H31" s="6"/>
    </row>
    <row r="32" spans="1:10" x14ac:dyDescent="0.2">
      <c r="A32" s="6"/>
      <c r="B32" s="53" t="s">
        <v>17</v>
      </c>
      <c r="C32" s="51"/>
      <c r="D32" s="51"/>
      <c r="E32" s="52"/>
      <c r="F32" s="6"/>
      <c r="G32" s="6"/>
      <c r="H32" s="6"/>
    </row>
    <row r="33" spans="1:8" ht="26.25" customHeight="1" x14ac:dyDescent="0.2">
      <c r="A33" s="6"/>
      <c r="B33" s="54"/>
      <c r="C33" s="69" t="s">
        <v>23</v>
      </c>
      <c r="D33" s="69"/>
      <c r="E33" s="69"/>
      <c r="F33" s="6"/>
      <c r="G33" s="6"/>
      <c r="H33" s="6"/>
    </row>
    <row r="34" spans="1:8" x14ac:dyDescent="0.2">
      <c r="A34" s="6"/>
      <c r="B34" s="53" t="s">
        <v>18</v>
      </c>
      <c r="C34" s="55"/>
      <c r="D34" s="55"/>
      <c r="E34" s="56"/>
      <c r="F34" s="6"/>
      <c r="G34" s="6"/>
      <c r="H34" s="6"/>
    </row>
    <row r="35" spans="1:8" ht="26.25" customHeight="1" x14ac:dyDescent="0.2">
      <c r="A35" s="6"/>
      <c r="B35" s="54"/>
      <c r="C35" s="69" t="s">
        <v>35</v>
      </c>
      <c r="D35" s="69"/>
      <c r="E35" s="69"/>
      <c r="F35" s="6"/>
      <c r="G35" s="6"/>
      <c r="H35" s="6"/>
    </row>
    <row r="36" spans="1:8" x14ac:dyDescent="0.2">
      <c r="A36" s="6"/>
      <c r="B36" s="53" t="s">
        <v>19</v>
      </c>
      <c r="C36" s="51"/>
      <c r="D36" s="51"/>
      <c r="E36" s="52"/>
      <c r="F36" s="6"/>
      <c r="G36" s="6"/>
      <c r="H36" s="6"/>
    </row>
    <row r="37" spans="1:8" ht="23.25" customHeight="1" x14ac:dyDescent="0.2">
      <c r="A37" s="6"/>
      <c r="B37" s="53"/>
      <c r="C37" s="65" t="s">
        <v>22</v>
      </c>
      <c r="D37" s="65"/>
      <c r="E37" s="65"/>
      <c r="F37" s="6"/>
      <c r="G37" s="6"/>
      <c r="H37" s="6"/>
    </row>
    <row r="38" spans="1:8" x14ac:dyDescent="0.2">
      <c r="A38" s="6"/>
      <c r="B38" s="57"/>
      <c r="C38" s="58"/>
      <c r="D38" s="58"/>
      <c r="E38" s="59"/>
      <c r="F38" s="6"/>
      <c r="G38" s="6"/>
      <c r="H38" s="6"/>
    </row>
    <row r="39" spans="1:8" ht="13.5" thickBot="1" x14ac:dyDescent="0.25">
      <c r="A39" s="6"/>
      <c r="B39" s="6"/>
      <c r="C39" s="6"/>
      <c r="D39" s="6"/>
      <c r="E39" s="6"/>
      <c r="F39" s="6"/>
      <c r="G39" s="6"/>
      <c r="H39" s="6"/>
    </row>
    <row r="40" spans="1:8" x14ac:dyDescent="0.2">
      <c r="B40" s="47" t="s">
        <v>54</v>
      </c>
      <c r="C40" s="48"/>
      <c r="D40" s="48"/>
      <c r="E40" s="49"/>
    </row>
    <row r="41" spans="1:8" x14ac:dyDescent="0.2">
      <c r="B41" s="50"/>
      <c r="C41" s="51"/>
      <c r="D41" s="51"/>
      <c r="E41" s="52"/>
    </row>
    <row r="42" spans="1:8" x14ac:dyDescent="0.2">
      <c r="B42" s="53" t="s">
        <v>15</v>
      </c>
      <c r="C42" s="51"/>
      <c r="D42" s="51"/>
      <c r="E42" s="52"/>
    </row>
    <row r="43" spans="1:8" x14ac:dyDescent="0.2">
      <c r="B43" s="53"/>
      <c r="C43" s="69"/>
      <c r="D43" s="69"/>
      <c r="E43" s="69"/>
    </row>
    <row r="44" spans="1:8" x14ac:dyDescent="0.2">
      <c r="B44" s="53" t="s">
        <v>16</v>
      </c>
      <c r="C44" s="51"/>
      <c r="D44" s="51"/>
      <c r="E44" s="52"/>
    </row>
    <row r="45" spans="1:8" x14ac:dyDescent="0.2">
      <c r="B45" s="54"/>
      <c r="C45" s="70" t="s">
        <v>52</v>
      </c>
      <c r="D45" s="70"/>
      <c r="E45" s="71"/>
    </row>
    <row r="46" spans="1:8" x14ac:dyDescent="0.2">
      <c r="B46" s="54"/>
      <c r="C46" s="65" t="s">
        <v>34</v>
      </c>
      <c r="D46" s="65"/>
      <c r="E46" s="65"/>
    </row>
    <row r="47" spans="1:8" x14ac:dyDescent="0.2">
      <c r="B47" s="53" t="s">
        <v>17</v>
      </c>
      <c r="C47" s="51"/>
      <c r="D47" s="51"/>
      <c r="E47" s="52"/>
    </row>
    <row r="48" spans="1:8" x14ac:dyDescent="0.2">
      <c r="B48" s="54"/>
      <c r="C48" s="69" t="s">
        <v>23</v>
      </c>
      <c r="D48" s="69"/>
      <c r="E48" s="69"/>
    </row>
    <row r="49" spans="2:5" x14ac:dyDescent="0.2">
      <c r="B49" s="53" t="s">
        <v>18</v>
      </c>
      <c r="C49" s="55"/>
      <c r="D49" s="55"/>
      <c r="E49" s="64"/>
    </row>
    <row r="50" spans="2:5" x14ac:dyDescent="0.2">
      <c r="B50" s="54"/>
      <c r="C50" s="69" t="s">
        <v>35</v>
      </c>
      <c r="D50" s="69"/>
      <c r="E50" s="69"/>
    </row>
    <row r="51" spans="2:5" x14ac:dyDescent="0.2">
      <c r="B51" s="53" t="s">
        <v>19</v>
      </c>
      <c r="C51" s="51"/>
      <c r="D51" s="51"/>
      <c r="E51" s="52"/>
    </row>
    <row r="52" spans="2:5" x14ac:dyDescent="0.2">
      <c r="B52" s="53"/>
      <c r="C52" s="65" t="s">
        <v>22</v>
      </c>
      <c r="D52" s="65"/>
      <c r="E52" s="65"/>
    </row>
    <row r="53" spans="2:5" ht="13.5" thickBot="1" x14ac:dyDescent="0.25">
      <c r="B53" s="57"/>
      <c r="C53" s="58"/>
      <c r="D53" s="58"/>
      <c r="E53" s="59"/>
    </row>
    <row r="54" spans="2:5" ht="13.5" thickBot="1" x14ac:dyDescent="0.25"/>
    <row r="55" spans="2:5" x14ac:dyDescent="0.2">
      <c r="B55" s="47" t="s">
        <v>55</v>
      </c>
      <c r="C55" s="48"/>
      <c r="D55" s="48"/>
      <c r="E55" s="49"/>
    </row>
    <row r="56" spans="2:5" x14ac:dyDescent="0.2">
      <c r="B56" s="50"/>
      <c r="C56" s="51"/>
      <c r="D56" s="51"/>
      <c r="E56" s="52"/>
    </row>
    <row r="57" spans="2:5" x14ac:dyDescent="0.2">
      <c r="B57" s="53" t="s">
        <v>15</v>
      </c>
      <c r="C57" s="51"/>
      <c r="D57" s="51"/>
      <c r="E57" s="52"/>
    </row>
    <row r="58" spans="2:5" x14ac:dyDescent="0.2">
      <c r="B58" s="53"/>
      <c r="C58" s="69"/>
      <c r="D58" s="69"/>
      <c r="E58" s="69"/>
    </row>
    <row r="59" spans="2:5" x14ac:dyDescent="0.2">
      <c r="B59" s="53" t="s">
        <v>16</v>
      </c>
      <c r="C59" s="51"/>
      <c r="D59" s="51"/>
      <c r="E59" s="52"/>
    </row>
    <row r="60" spans="2:5" x14ac:dyDescent="0.2">
      <c r="B60" s="54"/>
      <c r="C60" s="70" t="s">
        <v>52</v>
      </c>
      <c r="D60" s="70"/>
      <c r="E60" s="71"/>
    </row>
    <row r="61" spans="2:5" x14ac:dyDescent="0.2">
      <c r="B61" s="54"/>
      <c r="C61" s="65" t="s">
        <v>34</v>
      </c>
      <c r="D61" s="65"/>
      <c r="E61" s="65"/>
    </row>
    <row r="62" spans="2:5" x14ac:dyDescent="0.2">
      <c r="B62" s="53" t="s">
        <v>17</v>
      </c>
      <c r="C62" s="51"/>
      <c r="D62" s="51"/>
      <c r="E62" s="52"/>
    </row>
    <row r="63" spans="2:5" x14ac:dyDescent="0.2">
      <c r="B63" s="54"/>
      <c r="C63" s="69" t="s">
        <v>23</v>
      </c>
      <c r="D63" s="69"/>
      <c r="E63" s="69"/>
    </row>
    <row r="64" spans="2:5" x14ac:dyDescent="0.2">
      <c r="B64" s="53" t="s">
        <v>18</v>
      </c>
      <c r="C64" s="55"/>
      <c r="D64" s="55"/>
      <c r="E64" s="64"/>
    </row>
    <row r="65" spans="2:5" x14ac:dyDescent="0.2">
      <c r="B65" s="54"/>
      <c r="C65" s="69" t="s">
        <v>35</v>
      </c>
      <c r="D65" s="69"/>
      <c r="E65" s="69"/>
    </row>
    <row r="66" spans="2:5" x14ac:dyDescent="0.2">
      <c r="B66" s="53" t="s">
        <v>19</v>
      </c>
      <c r="C66" s="51"/>
      <c r="D66" s="51"/>
      <c r="E66" s="52"/>
    </row>
    <row r="67" spans="2:5" x14ac:dyDescent="0.2">
      <c r="B67" s="53"/>
      <c r="C67" s="65" t="s">
        <v>22</v>
      </c>
      <c r="D67" s="65"/>
      <c r="E67" s="65"/>
    </row>
    <row r="68" spans="2:5" ht="13.5" thickBot="1" x14ac:dyDescent="0.25">
      <c r="B68" s="57"/>
      <c r="C68" s="58"/>
      <c r="D68" s="58"/>
      <c r="E68" s="59"/>
    </row>
    <row r="69" spans="2:5" ht="13.5" thickBot="1" x14ac:dyDescent="0.25"/>
    <row r="70" spans="2:5" x14ac:dyDescent="0.2">
      <c r="B70" s="47" t="s">
        <v>56</v>
      </c>
      <c r="C70" s="48"/>
      <c r="D70" s="48"/>
      <c r="E70" s="49"/>
    </row>
    <row r="71" spans="2:5" x14ac:dyDescent="0.2">
      <c r="B71" s="50"/>
      <c r="C71" s="51"/>
      <c r="D71" s="51"/>
      <c r="E71" s="52"/>
    </row>
    <row r="72" spans="2:5" x14ac:dyDescent="0.2">
      <c r="B72" s="53" t="s">
        <v>15</v>
      </c>
      <c r="C72" s="51"/>
      <c r="D72" s="51"/>
      <c r="E72" s="52"/>
    </row>
    <row r="73" spans="2:5" x14ac:dyDescent="0.2">
      <c r="B73" s="53"/>
      <c r="C73" s="69"/>
      <c r="D73" s="69"/>
      <c r="E73" s="69"/>
    </row>
    <row r="74" spans="2:5" x14ac:dyDescent="0.2">
      <c r="B74" s="53" t="s">
        <v>16</v>
      </c>
      <c r="C74" s="51"/>
      <c r="D74" s="51"/>
      <c r="E74" s="52"/>
    </row>
    <row r="75" spans="2:5" x14ac:dyDescent="0.2">
      <c r="B75" s="54"/>
      <c r="C75" s="70" t="s">
        <v>52</v>
      </c>
      <c r="D75" s="70"/>
      <c r="E75" s="71"/>
    </row>
    <row r="76" spans="2:5" x14ac:dyDescent="0.2">
      <c r="B76" s="54"/>
      <c r="C76" s="65" t="s">
        <v>34</v>
      </c>
      <c r="D76" s="65"/>
      <c r="E76" s="65"/>
    </row>
    <row r="77" spans="2:5" x14ac:dyDescent="0.2">
      <c r="B77" s="53" t="s">
        <v>17</v>
      </c>
      <c r="C77" s="51"/>
      <c r="D77" s="51"/>
      <c r="E77" s="52"/>
    </row>
    <row r="78" spans="2:5" x14ac:dyDescent="0.2">
      <c r="B78" s="54"/>
      <c r="C78" s="69" t="s">
        <v>23</v>
      </c>
      <c r="D78" s="69"/>
      <c r="E78" s="69"/>
    </row>
    <row r="79" spans="2:5" x14ac:dyDescent="0.2">
      <c r="B79" s="53" t="s">
        <v>18</v>
      </c>
      <c r="C79" s="55"/>
      <c r="D79" s="55"/>
      <c r="E79" s="64"/>
    </row>
    <row r="80" spans="2:5" x14ac:dyDescent="0.2">
      <c r="B80" s="54"/>
      <c r="C80" s="69" t="s">
        <v>35</v>
      </c>
      <c r="D80" s="69"/>
      <c r="E80" s="69"/>
    </row>
    <row r="81" spans="2:5" x14ac:dyDescent="0.2">
      <c r="B81" s="53" t="s">
        <v>19</v>
      </c>
      <c r="C81" s="51"/>
      <c r="D81" s="51"/>
      <c r="E81" s="52"/>
    </row>
    <row r="82" spans="2:5" x14ac:dyDescent="0.2">
      <c r="B82" s="53"/>
      <c r="C82" s="65" t="s">
        <v>22</v>
      </c>
      <c r="D82" s="65"/>
      <c r="E82" s="65"/>
    </row>
    <row r="83" spans="2:5" ht="13.5" thickBot="1" x14ac:dyDescent="0.25">
      <c r="B83" s="57"/>
      <c r="C83" s="58"/>
      <c r="D83" s="58"/>
      <c r="E83" s="59"/>
    </row>
    <row r="84" spans="2:5" ht="13.5" thickBot="1" x14ac:dyDescent="0.25"/>
    <row r="85" spans="2:5" x14ac:dyDescent="0.2">
      <c r="B85" s="47" t="s">
        <v>57</v>
      </c>
      <c r="C85" s="48"/>
      <c r="D85" s="48"/>
      <c r="E85" s="49"/>
    </row>
    <row r="86" spans="2:5" x14ac:dyDescent="0.2">
      <c r="B86" s="50"/>
      <c r="C86" s="51"/>
      <c r="D86" s="51"/>
      <c r="E86" s="52"/>
    </row>
    <row r="87" spans="2:5" x14ac:dyDescent="0.2">
      <c r="B87" s="53" t="s">
        <v>15</v>
      </c>
      <c r="C87" s="66" t="s">
        <v>65</v>
      </c>
      <c r="D87" s="67"/>
      <c r="E87" s="68"/>
    </row>
    <row r="88" spans="2:5" x14ac:dyDescent="0.2">
      <c r="B88" s="53"/>
      <c r="C88" s="69"/>
      <c r="D88" s="69"/>
      <c r="E88" s="69"/>
    </row>
    <row r="89" spans="2:5" x14ac:dyDescent="0.2">
      <c r="B89" s="53" t="s">
        <v>16</v>
      </c>
      <c r="C89" s="51"/>
      <c r="D89" s="51"/>
      <c r="E89" s="52"/>
    </row>
    <row r="90" spans="2:5" x14ac:dyDescent="0.2">
      <c r="B90" s="54"/>
      <c r="C90" s="70" t="s">
        <v>52</v>
      </c>
      <c r="D90" s="70"/>
      <c r="E90" s="71"/>
    </row>
    <row r="91" spans="2:5" x14ac:dyDescent="0.2">
      <c r="B91" s="54"/>
      <c r="C91" s="65" t="s">
        <v>34</v>
      </c>
      <c r="D91" s="65"/>
      <c r="E91" s="65"/>
    </row>
    <row r="92" spans="2:5" x14ac:dyDescent="0.2">
      <c r="B92" s="53" t="s">
        <v>17</v>
      </c>
      <c r="C92" s="51"/>
      <c r="D92" s="51"/>
      <c r="E92" s="52"/>
    </row>
    <row r="93" spans="2:5" x14ac:dyDescent="0.2">
      <c r="B93" s="54"/>
      <c r="C93" s="69" t="s">
        <v>23</v>
      </c>
      <c r="D93" s="69"/>
      <c r="E93" s="69"/>
    </row>
    <row r="94" spans="2:5" x14ac:dyDescent="0.2">
      <c r="B94" s="53" t="s">
        <v>18</v>
      </c>
      <c r="C94" s="55"/>
      <c r="D94" s="55"/>
      <c r="E94" s="64"/>
    </row>
    <row r="95" spans="2:5" x14ac:dyDescent="0.2">
      <c r="B95" s="54"/>
      <c r="C95" s="69" t="s">
        <v>35</v>
      </c>
      <c r="D95" s="69"/>
      <c r="E95" s="69"/>
    </row>
    <row r="96" spans="2:5" x14ac:dyDescent="0.2">
      <c r="B96" s="53" t="s">
        <v>19</v>
      </c>
      <c r="C96" s="51"/>
      <c r="D96" s="51"/>
      <c r="E96" s="52"/>
    </row>
    <row r="97" spans="2:5" x14ac:dyDescent="0.2">
      <c r="B97" s="53"/>
      <c r="C97" s="65" t="s">
        <v>22</v>
      </c>
      <c r="D97" s="65"/>
      <c r="E97" s="65"/>
    </row>
    <row r="98" spans="2:5" ht="13.5" thickBot="1" x14ac:dyDescent="0.25">
      <c r="B98" s="57"/>
      <c r="C98" s="58"/>
      <c r="D98" s="58"/>
      <c r="E98" s="59"/>
    </row>
    <row r="99" spans="2:5" ht="13.5" thickBot="1" x14ac:dyDescent="0.25"/>
    <row r="100" spans="2:5" x14ac:dyDescent="0.2">
      <c r="B100" s="47" t="s">
        <v>58</v>
      </c>
      <c r="C100" s="48"/>
      <c r="D100" s="48"/>
      <c r="E100" s="49"/>
    </row>
    <row r="101" spans="2:5" x14ac:dyDescent="0.2">
      <c r="B101" s="50"/>
      <c r="C101" s="51"/>
      <c r="D101" s="51"/>
      <c r="E101" s="52"/>
    </row>
    <row r="102" spans="2:5" x14ac:dyDescent="0.2">
      <c r="B102" s="53" t="s">
        <v>15</v>
      </c>
      <c r="C102" s="51"/>
      <c r="D102" s="51"/>
      <c r="E102" s="52"/>
    </row>
    <row r="103" spans="2:5" x14ac:dyDescent="0.2">
      <c r="B103" s="53"/>
      <c r="C103" s="69"/>
      <c r="D103" s="69"/>
      <c r="E103" s="69"/>
    </row>
    <row r="104" spans="2:5" x14ac:dyDescent="0.2">
      <c r="B104" s="53" t="s">
        <v>16</v>
      </c>
      <c r="C104" s="51"/>
      <c r="D104" s="51"/>
      <c r="E104" s="52"/>
    </row>
    <row r="105" spans="2:5" x14ac:dyDescent="0.2">
      <c r="B105" s="54"/>
      <c r="C105" s="70" t="s">
        <v>52</v>
      </c>
      <c r="D105" s="70"/>
      <c r="E105" s="71"/>
    </row>
    <row r="106" spans="2:5" x14ac:dyDescent="0.2">
      <c r="B106" s="54"/>
      <c r="C106" s="65" t="s">
        <v>34</v>
      </c>
      <c r="D106" s="65"/>
      <c r="E106" s="65"/>
    </row>
    <row r="107" spans="2:5" x14ac:dyDescent="0.2">
      <c r="B107" s="53" t="s">
        <v>17</v>
      </c>
      <c r="C107" s="51"/>
      <c r="D107" s="51"/>
      <c r="E107" s="52"/>
    </row>
    <row r="108" spans="2:5" x14ac:dyDescent="0.2">
      <c r="B108" s="54"/>
      <c r="C108" s="69" t="s">
        <v>23</v>
      </c>
      <c r="D108" s="69"/>
      <c r="E108" s="69"/>
    </row>
    <row r="109" spans="2:5" x14ac:dyDescent="0.2">
      <c r="B109" s="53" t="s">
        <v>18</v>
      </c>
      <c r="C109" s="55"/>
      <c r="D109" s="55"/>
      <c r="E109" s="64"/>
    </row>
    <row r="110" spans="2:5" x14ac:dyDescent="0.2">
      <c r="B110" s="54"/>
      <c r="C110" s="69" t="s">
        <v>35</v>
      </c>
      <c r="D110" s="69"/>
      <c r="E110" s="69"/>
    </row>
    <row r="111" spans="2:5" x14ac:dyDescent="0.2">
      <c r="B111" s="53" t="s">
        <v>19</v>
      </c>
      <c r="C111" s="51"/>
      <c r="D111" s="51"/>
      <c r="E111" s="52"/>
    </row>
    <row r="112" spans="2:5" x14ac:dyDescent="0.2">
      <c r="B112" s="53"/>
      <c r="C112" s="65" t="s">
        <v>22</v>
      </c>
      <c r="D112" s="65"/>
      <c r="E112" s="65"/>
    </row>
    <row r="113" spans="2:5" ht="13.5" thickBot="1" x14ac:dyDescent="0.25">
      <c r="B113" s="57"/>
      <c r="C113" s="58"/>
      <c r="D113" s="58"/>
      <c r="E113" s="59"/>
    </row>
    <row r="114" spans="2:5" ht="13.5" thickBot="1" x14ac:dyDescent="0.25"/>
    <row r="115" spans="2:5" x14ac:dyDescent="0.2">
      <c r="B115" s="47" t="s">
        <v>59</v>
      </c>
      <c r="C115" s="48"/>
      <c r="D115" s="48"/>
      <c r="E115" s="49"/>
    </row>
    <row r="116" spans="2:5" x14ac:dyDescent="0.2">
      <c r="B116" s="50"/>
      <c r="C116" s="51"/>
      <c r="D116" s="51"/>
      <c r="E116" s="52"/>
    </row>
    <row r="117" spans="2:5" x14ac:dyDescent="0.2">
      <c r="B117" s="53" t="s">
        <v>15</v>
      </c>
      <c r="C117" s="51"/>
      <c r="D117" s="51"/>
      <c r="E117" s="52"/>
    </row>
    <row r="118" spans="2:5" x14ac:dyDescent="0.2">
      <c r="B118" s="53"/>
      <c r="C118" s="69"/>
      <c r="D118" s="69"/>
      <c r="E118" s="69"/>
    </row>
    <row r="119" spans="2:5" x14ac:dyDescent="0.2">
      <c r="B119" s="53" t="s">
        <v>16</v>
      </c>
      <c r="C119" s="51"/>
      <c r="D119" s="51"/>
      <c r="E119" s="52"/>
    </row>
    <row r="120" spans="2:5" x14ac:dyDescent="0.2">
      <c r="B120" s="54"/>
      <c r="C120" s="70" t="s">
        <v>52</v>
      </c>
      <c r="D120" s="70"/>
      <c r="E120" s="71"/>
    </row>
    <row r="121" spans="2:5" x14ac:dyDescent="0.2">
      <c r="B121" s="54"/>
      <c r="C121" s="65" t="s">
        <v>34</v>
      </c>
      <c r="D121" s="65"/>
      <c r="E121" s="65"/>
    </row>
    <row r="122" spans="2:5" x14ac:dyDescent="0.2">
      <c r="B122" s="53" t="s">
        <v>17</v>
      </c>
      <c r="C122" s="51"/>
      <c r="D122" s="51"/>
      <c r="E122" s="52"/>
    </row>
    <row r="123" spans="2:5" x14ac:dyDescent="0.2">
      <c r="B123" s="54"/>
      <c r="C123" s="69" t="s">
        <v>23</v>
      </c>
      <c r="D123" s="69"/>
      <c r="E123" s="69"/>
    </row>
    <row r="124" spans="2:5" x14ac:dyDescent="0.2">
      <c r="B124" s="53" t="s">
        <v>18</v>
      </c>
      <c r="C124" s="55"/>
      <c r="D124" s="55"/>
      <c r="E124" s="64"/>
    </row>
    <row r="125" spans="2:5" x14ac:dyDescent="0.2">
      <c r="B125" s="54"/>
      <c r="C125" s="69" t="s">
        <v>35</v>
      </c>
      <c r="D125" s="69"/>
      <c r="E125" s="69"/>
    </row>
    <row r="126" spans="2:5" x14ac:dyDescent="0.2">
      <c r="B126" s="53" t="s">
        <v>19</v>
      </c>
      <c r="C126" s="51"/>
      <c r="D126" s="51"/>
      <c r="E126" s="52"/>
    </row>
    <row r="127" spans="2:5" x14ac:dyDescent="0.2">
      <c r="B127" s="53"/>
      <c r="C127" s="65" t="s">
        <v>22</v>
      </c>
      <c r="D127" s="65"/>
      <c r="E127" s="65"/>
    </row>
    <row r="128" spans="2:5" ht="13.5" thickBot="1" x14ac:dyDescent="0.25">
      <c r="B128" s="57"/>
      <c r="C128" s="58"/>
      <c r="D128" s="58"/>
      <c r="E128" s="59"/>
    </row>
    <row r="129" spans="2:5" ht="13.5" thickBot="1" x14ac:dyDescent="0.25"/>
    <row r="130" spans="2:5" x14ac:dyDescent="0.2">
      <c r="B130" s="47" t="s">
        <v>60</v>
      </c>
      <c r="C130" s="48"/>
      <c r="D130" s="48"/>
      <c r="E130" s="49"/>
    </row>
    <row r="131" spans="2:5" x14ac:dyDescent="0.2">
      <c r="B131" s="50"/>
      <c r="C131" s="51"/>
      <c r="D131" s="51"/>
      <c r="E131" s="52"/>
    </row>
    <row r="132" spans="2:5" x14ac:dyDescent="0.2">
      <c r="B132" s="53" t="s">
        <v>15</v>
      </c>
      <c r="C132" s="51"/>
      <c r="D132" s="51"/>
      <c r="E132" s="52"/>
    </row>
    <row r="133" spans="2:5" x14ac:dyDescent="0.2">
      <c r="B133" s="53"/>
      <c r="C133" s="69"/>
      <c r="D133" s="69"/>
      <c r="E133" s="69"/>
    </row>
    <row r="134" spans="2:5" x14ac:dyDescent="0.2">
      <c r="B134" s="53" t="s">
        <v>16</v>
      </c>
      <c r="C134" s="51"/>
      <c r="D134" s="51"/>
      <c r="E134" s="52"/>
    </row>
    <row r="135" spans="2:5" x14ac:dyDescent="0.2">
      <c r="B135" s="54"/>
      <c r="C135" s="70" t="s">
        <v>52</v>
      </c>
      <c r="D135" s="70"/>
      <c r="E135" s="71"/>
    </row>
    <row r="136" spans="2:5" x14ac:dyDescent="0.2">
      <c r="B136" s="54"/>
      <c r="C136" s="65" t="s">
        <v>34</v>
      </c>
      <c r="D136" s="65"/>
      <c r="E136" s="65"/>
    </row>
    <row r="137" spans="2:5" x14ac:dyDescent="0.2">
      <c r="B137" s="53" t="s">
        <v>17</v>
      </c>
      <c r="C137" s="51"/>
      <c r="D137" s="51"/>
      <c r="E137" s="52"/>
    </row>
    <row r="138" spans="2:5" x14ac:dyDescent="0.2">
      <c r="B138" s="54"/>
      <c r="C138" s="69" t="s">
        <v>23</v>
      </c>
      <c r="D138" s="69"/>
      <c r="E138" s="69"/>
    </row>
    <row r="139" spans="2:5" x14ac:dyDescent="0.2">
      <c r="B139" s="53" t="s">
        <v>18</v>
      </c>
      <c r="C139" s="55"/>
      <c r="D139" s="55"/>
      <c r="E139" s="64"/>
    </row>
    <row r="140" spans="2:5" x14ac:dyDescent="0.2">
      <c r="B140" s="54"/>
      <c r="C140" s="69" t="s">
        <v>35</v>
      </c>
      <c r="D140" s="69"/>
      <c r="E140" s="69"/>
    </row>
    <row r="141" spans="2:5" x14ac:dyDescent="0.2">
      <c r="B141" s="53" t="s">
        <v>19</v>
      </c>
      <c r="C141" s="51"/>
      <c r="D141" s="51"/>
      <c r="E141" s="52"/>
    </row>
    <row r="142" spans="2:5" x14ac:dyDescent="0.2">
      <c r="B142" s="53"/>
      <c r="C142" s="65" t="s">
        <v>22</v>
      </c>
      <c r="D142" s="65"/>
      <c r="E142" s="65"/>
    </row>
    <row r="143" spans="2:5" ht="13.5" thickBot="1" x14ac:dyDescent="0.25">
      <c r="B143" s="57"/>
      <c r="C143" s="58"/>
      <c r="D143" s="58"/>
      <c r="E143" s="59"/>
    </row>
    <row r="144" spans="2:5" ht="13.5" thickBot="1" x14ac:dyDescent="0.25"/>
    <row r="145" spans="2:5" x14ac:dyDescent="0.2">
      <c r="B145" s="47" t="s">
        <v>61</v>
      </c>
      <c r="C145" s="48"/>
      <c r="D145" s="48"/>
      <c r="E145" s="49"/>
    </row>
    <row r="146" spans="2:5" x14ac:dyDescent="0.2">
      <c r="B146" s="50"/>
      <c r="C146" s="51"/>
      <c r="D146" s="51"/>
      <c r="E146" s="52"/>
    </row>
    <row r="147" spans="2:5" x14ac:dyDescent="0.2">
      <c r="B147" s="53" t="s">
        <v>15</v>
      </c>
      <c r="C147" s="51"/>
      <c r="D147" s="51"/>
      <c r="E147" s="52"/>
    </row>
    <row r="148" spans="2:5" x14ac:dyDescent="0.2">
      <c r="B148" s="53"/>
      <c r="C148" s="69"/>
      <c r="D148" s="69"/>
      <c r="E148" s="69"/>
    </row>
    <row r="149" spans="2:5" x14ac:dyDescent="0.2">
      <c r="B149" s="53" t="s">
        <v>16</v>
      </c>
      <c r="C149" s="51"/>
      <c r="D149" s="51"/>
      <c r="E149" s="52"/>
    </row>
    <row r="150" spans="2:5" x14ac:dyDescent="0.2">
      <c r="B150" s="54"/>
      <c r="C150" s="70" t="s">
        <v>52</v>
      </c>
      <c r="D150" s="70"/>
      <c r="E150" s="71"/>
    </row>
    <row r="151" spans="2:5" x14ac:dyDescent="0.2">
      <c r="B151" s="54"/>
      <c r="C151" s="65" t="s">
        <v>34</v>
      </c>
      <c r="D151" s="65"/>
      <c r="E151" s="65"/>
    </row>
    <row r="152" spans="2:5" x14ac:dyDescent="0.2">
      <c r="B152" s="53" t="s">
        <v>17</v>
      </c>
      <c r="C152" s="51"/>
      <c r="D152" s="51"/>
      <c r="E152" s="52"/>
    </row>
    <row r="153" spans="2:5" x14ac:dyDescent="0.2">
      <c r="B153" s="54"/>
      <c r="C153" s="69" t="s">
        <v>23</v>
      </c>
      <c r="D153" s="69"/>
      <c r="E153" s="69"/>
    </row>
    <row r="154" spans="2:5" x14ac:dyDescent="0.2">
      <c r="B154" s="53" t="s">
        <v>18</v>
      </c>
      <c r="C154" s="55"/>
      <c r="D154" s="55"/>
      <c r="E154" s="64"/>
    </row>
    <row r="155" spans="2:5" x14ac:dyDescent="0.2">
      <c r="B155" s="54"/>
      <c r="C155" s="69" t="s">
        <v>35</v>
      </c>
      <c r="D155" s="69"/>
      <c r="E155" s="69"/>
    </row>
    <row r="156" spans="2:5" x14ac:dyDescent="0.2">
      <c r="B156" s="53" t="s">
        <v>19</v>
      </c>
      <c r="C156" s="51"/>
      <c r="D156" s="51"/>
      <c r="E156" s="52"/>
    </row>
    <row r="157" spans="2:5" x14ac:dyDescent="0.2">
      <c r="B157" s="53"/>
      <c r="C157" s="65" t="s">
        <v>22</v>
      </c>
      <c r="D157" s="65"/>
      <c r="E157" s="65"/>
    </row>
    <row r="158" spans="2:5" ht="13.5" thickBot="1" x14ac:dyDescent="0.25">
      <c r="B158" s="57"/>
      <c r="C158" s="58"/>
      <c r="D158" s="58"/>
      <c r="E158" s="59"/>
    </row>
    <row r="159" spans="2:5" ht="13.5" thickBot="1" x14ac:dyDescent="0.25"/>
    <row r="160" spans="2:5" x14ac:dyDescent="0.2">
      <c r="B160" s="47" t="s">
        <v>62</v>
      </c>
      <c r="C160" s="48"/>
      <c r="D160" s="48"/>
      <c r="E160" s="49"/>
    </row>
    <row r="161" spans="2:5" x14ac:dyDescent="0.2">
      <c r="B161" s="50"/>
      <c r="C161" s="51"/>
      <c r="D161" s="51"/>
      <c r="E161" s="52"/>
    </row>
    <row r="162" spans="2:5" x14ac:dyDescent="0.2">
      <c r="B162" s="53" t="s">
        <v>15</v>
      </c>
      <c r="C162" s="51"/>
      <c r="D162" s="51"/>
      <c r="E162" s="52"/>
    </row>
    <row r="163" spans="2:5" x14ac:dyDescent="0.2">
      <c r="B163" s="53"/>
      <c r="C163" s="69"/>
      <c r="D163" s="69"/>
      <c r="E163" s="69"/>
    </row>
    <row r="164" spans="2:5" x14ac:dyDescent="0.2">
      <c r="B164" s="53" t="s">
        <v>16</v>
      </c>
      <c r="C164" s="51"/>
      <c r="D164" s="51"/>
      <c r="E164" s="52"/>
    </row>
    <row r="165" spans="2:5" x14ac:dyDescent="0.2">
      <c r="B165" s="54"/>
      <c r="C165" s="70" t="s">
        <v>52</v>
      </c>
      <c r="D165" s="70"/>
      <c r="E165" s="71"/>
    </row>
    <row r="166" spans="2:5" x14ac:dyDescent="0.2">
      <c r="B166" s="54"/>
      <c r="C166" s="65" t="s">
        <v>34</v>
      </c>
      <c r="D166" s="65"/>
      <c r="E166" s="65"/>
    </row>
    <row r="167" spans="2:5" x14ac:dyDescent="0.2">
      <c r="B167" s="53" t="s">
        <v>17</v>
      </c>
      <c r="C167" s="51"/>
      <c r="D167" s="51"/>
      <c r="E167" s="52"/>
    </row>
    <row r="168" spans="2:5" x14ac:dyDescent="0.2">
      <c r="B168" s="54"/>
      <c r="C168" s="69" t="s">
        <v>23</v>
      </c>
      <c r="D168" s="69"/>
      <c r="E168" s="69"/>
    </row>
    <row r="169" spans="2:5" x14ac:dyDescent="0.2">
      <c r="B169" s="53" t="s">
        <v>18</v>
      </c>
      <c r="C169" s="55"/>
      <c r="D169" s="55"/>
      <c r="E169" s="64"/>
    </row>
    <row r="170" spans="2:5" x14ac:dyDescent="0.2">
      <c r="B170" s="54"/>
      <c r="C170" s="69" t="s">
        <v>35</v>
      </c>
      <c r="D170" s="69"/>
      <c r="E170" s="69"/>
    </row>
    <row r="171" spans="2:5" x14ac:dyDescent="0.2">
      <c r="B171" s="53" t="s">
        <v>19</v>
      </c>
      <c r="C171" s="51"/>
      <c r="D171" s="51"/>
      <c r="E171" s="52"/>
    </row>
    <row r="172" spans="2:5" x14ac:dyDescent="0.2">
      <c r="B172" s="53"/>
      <c r="C172" s="65" t="s">
        <v>22</v>
      </c>
      <c r="D172" s="65"/>
      <c r="E172" s="65"/>
    </row>
    <row r="173" spans="2:5" ht="13.5" thickBot="1" x14ac:dyDescent="0.25">
      <c r="B173" s="57"/>
      <c r="C173" s="58"/>
      <c r="D173" s="58"/>
      <c r="E173" s="59"/>
    </row>
    <row r="174" spans="2:5" ht="13.5" thickBot="1" x14ac:dyDescent="0.25"/>
    <row r="175" spans="2:5" x14ac:dyDescent="0.2">
      <c r="B175" s="47" t="s">
        <v>63</v>
      </c>
      <c r="C175" s="48"/>
      <c r="D175" s="48"/>
      <c r="E175" s="49"/>
    </row>
    <row r="176" spans="2:5" x14ac:dyDescent="0.2">
      <c r="B176" s="50"/>
      <c r="C176" s="51"/>
      <c r="D176" s="51"/>
      <c r="E176" s="52"/>
    </row>
    <row r="177" spans="2:5" x14ac:dyDescent="0.2">
      <c r="B177" s="53" t="s">
        <v>15</v>
      </c>
      <c r="C177" s="51"/>
      <c r="D177" s="51"/>
      <c r="E177" s="52"/>
    </row>
    <row r="178" spans="2:5" x14ac:dyDescent="0.2">
      <c r="B178" s="53"/>
      <c r="C178" s="69"/>
      <c r="D178" s="69"/>
      <c r="E178" s="69"/>
    </row>
    <row r="179" spans="2:5" x14ac:dyDescent="0.2">
      <c r="B179" s="53" t="s">
        <v>16</v>
      </c>
      <c r="C179" s="51"/>
      <c r="D179" s="51"/>
      <c r="E179" s="52"/>
    </row>
    <row r="180" spans="2:5" x14ac:dyDescent="0.2">
      <c r="B180" s="54"/>
      <c r="C180" s="70" t="s">
        <v>52</v>
      </c>
      <c r="D180" s="70"/>
      <c r="E180" s="71"/>
    </row>
    <row r="181" spans="2:5" x14ac:dyDescent="0.2">
      <c r="B181" s="54"/>
      <c r="C181" s="65" t="s">
        <v>34</v>
      </c>
      <c r="D181" s="65"/>
      <c r="E181" s="65"/>
    </row>
    <row r="182" spans="2:5" x14ac:dyDescent="0.2">
      <c r="B182" s="53" t="s">
        <v>17</v>
      </c>
      <c r="C182" s="51"/>
      <c r="D182" s="51"/>
      <c r="E182" s="52"/>
    </row>
    <row r="183" spans="2:5" x14ac:dyDescent="0.2">
      <c r="B183" s="54"/>
      <c r="C183" s="69" t="s">
        <v>23</v>
      </c>
      <c r="D183" s="69"/>
      <c r="E183" s="69"/>
    </row>
    <row r="184" spans="2:5" x14ac:dyDescent="0.2">
      <c r="B184" s="53" t="s">
        <v>18</v>
      </c>
      <c r="C184" s="55"/>
      <c r="D184" s="55"/>
      <c r="E184" s="64"/>
    </row>
    <row r="185" spans="2:5" x14ac:dyDescent="0.2">
      <c r="B185" s="54"/>
      <c r="C185" s="69" t="s">
        <v>35</v>
      </c>
      <c r="D185" s="69"/>
      <c r="E185" s="69"/>
    </row>
    <row r="186" spans="2:5" x14ac:dyDescent="0.2">
      <c r="B186" s="53" t="s">
        <v>19</v>
      </c>
      <c r="C186" s="51"/>
      <c r="D186" s="51"/>
      <c r="E186" s="52"/>
    </row>
    <row r="187" spans="2:5" x14ac:dyDescent="0.2">
      <c r="B187" s="53"/>
      <c r="C187" s="65" t="s">
        <v>22</v>
      </c>
      <c r="D187" s="65"/>
      <c r="E187" s="65"/>
    </row>
    <row r="188" spans="2:5" ht="13.5" thickBot="1" x14ac:dyDescent="0.25">
      <c r="B188" s="57"/>
      <c r="C188" s="58"/>
      <c r="D188" s="58"/>
      <c r="E188" s="59"/>
    </row>
    <row r="189" spans="2:5" ht="13.5" thickBot="1" x14ac:dyDescent="0.25"/>
    <row r="190" spans="2:5" x14ac:dyDescent="0.2">
      <c r="B190" s="47" t="s">
        <v>64</v>
      </c>
      <c r="C190" s="48"/>
      <c r="D190" s="48"/>
      <c r="E190" s="49"/>
    </row>
    <row r="191" spans="2:5" x14ac:dyDescent="0.2">
      <c r="B191" s="50"/>
      <c r="C191" s="51"/>
      <c r="D191" s="51"/>
      <c r="E191" s="52"/>
    </row>
    <row r="192" spans="2:5" x14ac:dyDescent="0.2">
      <c r="B192" s="53" t="s">
        <v>15</v>
      </c>
      <c r="C192" s="51"/>
      <c r="D192" s="51"/>
      <c r="E192" s="52"/>
    </row>
    <row r="193" spans="2:5" x14ac:dyDescent="0.2">
      <c r="B193" s="53"/>
      <c r="C193" s="69"/>
      <c r="D193" s="69"/>
      <c r="E193" s="69"/>
    </row>
    <row r="194" spans="2:5" x14ac:dyDescent="0.2">
      <c r="B194" s="53" t="s">
        <v>16</v>
      </c>
      <c r="C194" s="51"/>
      <c r="D194" s="51"/>
      <c r="E194" s="52"/>
    </row>
    <row r="195" spans="2:5" x14ac:dyDescent="0.2">
      <c r="B195" s="54"/>
      <c r="C195" s="70" t="s">
        <v>52</v>
      </c>
      <c r="D195" s="70"/>
      <c r="E195" s="71"/>
    </row>
    <row r="196" spans="2:5" x14ac:dyDescent="0.2">
      <c r="B196" s="54"/>
      <c r="C196" s="65" t="s">
        <v>34</v>
      </c>
      <c r="D196" s="65"/>
      <c r="E196" s="65"/>
    </row>
    <row r="197" spans="2:5" x14ac:dyDescent="0.2">
      <c r="B197" s="53" t="s">
        <v>17</v>
      </c>
      <c r="C197" s="51"/>
      <c r="D197" s="51"/>
      <c r="E197" s="52"/>
    </row>
    <row r="198" spans="2:5" x14ac:dyDescent="0.2">
      <c r="B198" s="54"/>
      <c r="C198" s="69" t="s">
        <v>23</v>
      </c>
      <c r="D198" s="69"/>
      <c r="E198" s="69"/>
    </row>
    <row r="199" spans="2:5" x14ac:dyDescent="0.2">
      <c r="B199" s="53" t="s">
        <v>18</v>
      </c>
      <c r="C199" s="55"/>
      <c r="D199" s="55"/>
      <c r="E199" s="64"/>
    </row>
    <row r="200" spans="2:5" x14ac:dyDescent="0.2">
      <c r="B200" s="54"/>
      <c r="C200" s="69" t="s">
        <v>35</v>
      </c>
      <c r="D200" s="69"/>
      <c r="E200" s="69"/>
    </row>
    <row r="201" spans="2:5" x14ac:dyDescent="0.2">
      <c r="B201" s="53" t="s">
        <v>19</v>
      </c>
      <c r="C201" s="51"/>
      <c r="D201" s="51"/>
      <c r="E201" s="52"/>
    </row>
    <row r="202" spans="2:5" x14ac:dyDescent="0.2">
      <c r="B202" s="53"/>
      <c r="C202" s="65" t="s">
        <v>22</v>
      </c>
      <c r="D202" s="65"/>
      <c r="E202" s="65"/>
    </row>
    <row r="203" spans="2:5" ht="13.5" thickBot="1" x14ac:dyDescent="0.25">
      <c r="B203" s="57"/>
      <c r="C203" s="58"/>
      <c r="D203" s="58"/>
      <c r="E203" s="59"/>
    </row>
  </sheetData>
  <mergeCells count="80">
    <mergeCell ref="B2:H2"/>
    <mergeCell ref="A4:B4"/>
    <mergeCell ref="C4:E4"/>
    <mergeCell ref="A5:B5"/>
    <mergeCell ref="C5:E5"/>
    <mergeCell ref="C33:E33"/>
    <mergeCell ref="C35:E35"/>
    <mergeCell ref="C37:E37"/>
    <mergeCell ref="A6:B6"/>
    <mergeCell ref="A7:B7"/>
    <mergeCell ref="C28:E28"/>
    <mergeCell ref="C31:E31"/>
    <mergeCell ref="C30:E30"/>
    <mergeCell ref="C43:E43"/>
    <mergeCell ref="C45:E45"/>
    <mergeCell ref="C46:E46"/>
    <mergeCell ref="C48:E48"/>
    <mergeCell ref="C50:E50"/>
    <mergeCell ref="C52:E52"/>
    <mergeCell ref="C58:E58"/>
    <mergeCell ref="C60:E60"/>
    <mergeCell ref="C61:E61"/>
    <mergeCell ref="C63:E63"/>
    <mergeCell ref="C65:E65"/>
    <mergeCell ref="C67:E67"/>
    <mergeCell ref="C73:E73"/>
    <mergeCell ref="C75:E75"/>
    <mergeCell ref="C76:E76"/>
    <mergeCell ref="C78:E78"/>
    <mergeCell ref="C80:E80"/>
    <mergeCell ref="C82:E82"/>
    <mergeCell ref="C88:E88"/>
    <mergeCell ref="C90:E90"/>
    <mergeCell ref="C91:E91"/>
    <mergeCell ref="C93:E93"/>
    <mergeCell ref="C95:E95"/>
    <mergeCell ref="C97:E97"/>
    <mergeCell ref="C103:E103"/>
    <mergeCell ref="C105:E105"/>
    <mergeCell ref="C106:E106"/>
    <mergeCell ref="C108:E108"/>
    <mergeCell ref="C110:E110"/>
    <mergeCell ref="C112:E112"/>
    <mergeCell ref="C118:E118"/>
    <mergeCell ref="C120:E120"/>
    <mergeCell ref="C121:E121"/>
    <mergeCell ref="C123:E123"/>
    <mergeCell ref="C125:E125"/>
    <mergeCell ref="C127:E127"/>
    <mergeCell ref="C133:E133"/>
    <mergeCell ref="C135:E135"/>
    <mergeCell ref="C136:E136"/>
    <mergeCell ref="C138:E138"/>
    <mergeCell ref="C140:E140"/>
    <mergeCell ref="C142:E142"/>
    <mergeCell ref="C148:E148"/>
    <mergeCell ref="C150:E150"/>
    <mergeCell ref="C151:E151"/>
    <mergeCell ref="C178:E178"/>
    <mergeCell ref="C153:E153"/>
    <mergeCell ref="C155:E155"/>
    <mergeCell ref="C157:E157"/>
    <mergeCell ref="C163:E163"/>
    <mergeCell ref="C165:E165"/>
    <mergeCell ref="C202:E202"/>
    <mergeCell ref="C87:E87"/>
    <mergeCell ref="C193:E193"/>
    <mergeCell ref="C195:E195"/>
    <mergeCell ref="C196:E196"/>
    <mergeCell ref="C198:E198"/>
    <mergeCell ref="C200:E200"/>
    <mergeCell ref="C180:E180"/>
    <mergeCell ref="C181:E181"/>
    <mergeCell ref="C183:E183"/>
    <mergeCell ref="C185:E185"/>
    <mergeCell ref="C187:E187"/>
    <mergeCell ref="C166:E166"/>
    <mergeCell ref="C168:E168"/>
    <mergeCell ref="C170:E170"/>
    <mergeCell ref="C172:E172"/>
  </mergeCells>
  <pageMargins left="0" right="0" top="0.74803149606299213" bottom="0" header="0.51181102362204722" footer="0.51181102362204722"/>
  <pageSetup paperSize="5" scale="60" firstPageNumber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Necesidades Trimestrales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ELIAS QUINTAR</cp:lastModifiedBy>
  <cp:revision>2</cp:revision>
  <cp:lastPrinted>2021-04-21T15:28:55Z</cp:lastPrinted>
  <dcterms:created xsi:type="dcterms:W3CDTF">2020-07-17T23:44:49Z</dcterms:created>
  <dcterms:modified xsi:type="dcterms:W3CDTF">2021-08-10T13:26:48Z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