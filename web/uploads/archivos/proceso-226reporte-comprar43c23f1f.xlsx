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64090B40-5A16-4F74-9999-32A974C26F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14" i="2" l="1"/>
  <c r="M14" i="2"/>
</calcChain>
</file>

<file path=xl/sharedStrings.xml><?xml version="1.0" encoding="utf-8"?>
<sst xmlns="http://schemas.openxmlformats.org/spreadsheetml/2006/main" count="55" uniqueCount="41">
  <si>
    <t>Número expediente:</t>
  </si>
  <si>
    <t>EX-2022-01900865-   -CAT-SCA#MEC</t>
  </si>
  <si>
    <t>Número proceso de compra:</t>
  </si>
  <si>
    <t>100-0181-CDI22</t>
  </si>
  <si>
    <t>Nombre descriptivo proceso de compra:</t>
  </si>
  <si>
    <t>Adquisición de Equipos Informáticos para distintos Organismos del Ministerio de Economía</t>
  </si>
  <si>
    <t>Unidad Operativa de Compras:</t>
  </si>
  <si>
    <t>Secretaria de Compras y Abastecimiento</t>
  </si>
  <si>
    <t>Fecha de Apertura:</t>
  </si>
  <si>
    <t>14/10/2022</t>
  </si>
  <si>
    <t>Renglón</t>
  </si>
  <si>
    <t>ENRIQUE EDUARDO DIAZ</t>
  </si>
  <si>
    <t>MARTIN ABEL LAGORIA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</si>
  <si>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</si>
  <si>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</si>
  <si>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</si>
  <si>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</si>
  <si>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</si>
  <si>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</si>
  <si>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</si>
  <si>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</si>
  <si>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</si>
  <si>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</si>
  <si>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4.3.6-6169.72 </t>
  </si>
  <si>
    <t xml:space="preserve">MONITORES; TIPO: TFT/LCD/LED MEDIANO, CODIGO ETAP: MN-006, VERSION ETAP: INVIERNO 
2010 (V16.1) </t>
  </si>
  <si>
    <t xml:space="preserve">UNIDAD </t>
  </si>
  <si>
    <t xml:space="preserve">LG 22MP410-B - Monitor LG Full HD (Panel VA: 1920 
x 1080, AMD FreeSync™, 16:9, 250cd/m², 3000:1, NTSC 72%, 5ms 
(GtG)); Dynamic Action Sync, Black Stabilizer, Crosshair. Diseño prácticamente sin 
bordes y ajustable en inclinación. </t>
  </si>
  <si>
    <t xml:space="preserve">2 </t>
  </si>
  <si>
    <t xml:space="preserve">4.3.6-6160.221 </t>
  </si>
  <si>
    <t xml:space="preserve">COMPUTADORAS; TIPO: DE ESCRITORIO, CODIGO ETAP: PC-002-00, VERSION ETAP: 23.0 
</t>
  </si>
  <si>
    <t xml:space="preserve">Intel Proces. Intel CometLake Core I7 10700 s1200 (8722) MSI 
Mother MSI H510M-A PRO s1200 DDR4 (11va Gen) (2905) Corsair 
Memoria DDR4 Corsair 16Gb 2400 MHz Value (4242) Kingston Disco 
SSD KINGSTON A400 240 GB SATA Interno 7 mm (1219) 
Kelyx Kit Kelyx Modelo LC728-12 Fuente 500W Tec/Mouse </t>
  </si>
  <si>
    <t xml:space="preserve">"PC EXO READY D4-S7785L 10maGen - Intel® Core™ i7-10700 SIN 
SISTEMA OPERATIVO 16 GB DDR4 | 2666 Mhz SSD 256GB 
Chipset Intel® H510 Intel® UHD Graphics 2 x USB 3.0 
(Frontales) 2 x USB 3.2 y 4 x USB 2.0 
(Traseros) Rj45 RED Glan 10/100/1000 | 1x HDMI | 1x 
VGA | 1x Display Port  Audio (salida y entrada 
de línea/entrada de micrófono) GABINETE EXO WN-60 con fuente de 
650W - Teclado Español Multimedia extendido + Mouse optico + 
Parlantes "  </t>
  </si>
  <si>
    <t xml:space="preserve">3 </t>
  </si>
  <si>
    <t xml:space="preserve">Descripción ? Kit Kelyx Modelo LC727-14 Fuente 500W T/M/P/C. Reader 
? Mother MSI H510M-A PRO s1200 DDR4 (11va Gen) (2905) 
? Proces. Intel CometLake Core I5 10400 s1200 (7138) ? 
Memoria DDR4 Markvision 8Gb 2400 MHz 1.20V BULK (6327) ? 
Disco SSD Markvision 240GB Sata Interno BULK </t>
  </si>
  <si>
    <t xml:space="preserve"> PC EXO READY D4-S5485L. 10MaGen - Intel® Core™ i5-10400 
de 4,30 GHz - 6 nucleos / 12 subprocesos / 
12 MB Intel® Smart Cache Sin Sistema Operativo 8 GB 
DDR4 | 2666 Mhz SSD 256GB Chipset Intel® H510 / 
RED GLan / HDMI / VGA / 2 x USB 
3.2 + 4 x USB 2.0 Gráficos UHD Intel® 630 
- Memoria máxima de video de gráficos de 64GB - 
Compatibilidad con 4K GABINETE EXO WN-60 con fuente de 650W 
- Teclado Español Multimedia extendido + Mouse optico + Parlantes 
"  </t>
  </si>
  <si>
    <t xml:space="preserve">4 </t>
  </si>
  <si>
    <t xml:space="preserve">4.3.6-6160.234 </t>
  </si>
  <si>
    <t xml:space="preserve">COMPUTADORAS; TIPO: PORTATIL, CODIGO ETAP: PC PORTATIL, VERSION ETAP: 25.0 
</t>
  </si>
  <si>
    <t xml:space="preserve">Notebook Dell Inspiron 3511 15,6 Core I5 1135g7 8gb 256gb 
Ssd </t>
  </si>
  <si>
    <t xml:space="preserve"> Notebook EXO Smart XQ5C-10 11va Gen - Intel® Core™ 
i5-1135G7 Windows 11 8 GB DDR4 SSD 256 GB M.2 
2280 / CReader Teclado númerico / RJ-45 / WIFI ac 
+ BT / HDMI / USB Intel® Iris® X / 
WCam HD LED IPS 15,6” | Resolución FULL HD de 
1920x1080 16:9 1850 gramos / Kensington Lock / Batería de 
alta duración "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</si>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</sst>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82.42578125" customWidth="1"/>
    <col min="5" max="5" width="81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1" customWidth="1"/>
    <col min="11" max="11" width="14.28515625" customWidth="1"/>
    <col min="12" max="12" width="17.28515625" customWidth="1"/>
    <col min="13" max="13" width="16.5703125" customWidth="1"/>
    <col min="14" max="14" width="60.425781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75" x14ac:dyDescent="0.25">
      <c r="A10" t="s">
        <v>22</v>
      </c>
      <c r="B10" t="s">
        <v>22</v>
      </c>
      <c r="C10" t="s">
        <v>23</v>
      </c>
      <c r="D10" s="4" t="s">
        <v>24</v>
      </c>
      <c r="E10">
        <v>22</v>
      </c>
      <c r="F10" t="s">
        <v>25</v>
      </c>
      <c r="G10" s="3">
        <v>57800</v>
      </c>
      <c r="H10" s="3">
        <v>22</v>
      </c>
      <c r="I10" s="5">
        <v>1271600</v>
      </c>
      <c r="J10" s="4" t="s">
        <v>26</v>
      </c>
      <c r="K10" s="3"/>
      <c r="L10" s="3"/>
      <c r="M10" s="5"/>
    </row>
    <row r="11" spans="1:14" ht="150" x14ac:dyDescent="0.25">
      <c r="A11" t="s">
        <v>27</v>
      </c>
      <c r="B11" t="s">
        <v>22</v>
      </c>
      <c r="C11" t="s">
        <v>28</v>
      </c>
      <c r="D11" s="4" t="s">
        <v>29</v>
      </c>
      <c r="E11">
        <v>2</v>
      </c>
      <c r="F11" t="s">
        <v>25</v>
      </c>
      <c r="G11" s="3">
        <v>189000</v>
      </c>
      <c r="H11" s="3">
        <v>2</v>
      </c>
      <c r="I11" s="5">
        <v>378000</v>
      </c>
      <c r="J11" s="4" t="s">
        <v>30</v>
      </c>
      <c r="K11" s="3">
        <v>215000</v>
      </c>
      <c r="L11" s="3">
        <v>2</v>
      </c>
      <c r="M11" s="5">
        <v>430000</v>
      </c>
      <c r="N11" s="4" t="s">
        <v>31</v>
      </c>
    </row>
    <row r="12" spans="1:14" ht="165" x14ac:dyDescent="0.25">
      <c r="A12" t="s">
        <v>32</v>
      </c>
      <c r="B12" t="s">
        <v>22</v>
      </c>
      <c r="C12" t="s">
        <v>28</v>
      </c>
      <c r="D12" s="4" t="s">
        <v>29</v>
      </c>
      <c r="E12">
        <v>20</v>
      </c>
      <c r="F12" t="s">
        <v>25</v>
      </c>
      <c r="G12" s="3">
        <v>119000</v>
      </c>
      <c r="H12" s="3">
        <v>20</v>
      </c>
      <c r="I12" s="5">
        <v>2380000</v>
      </c>
      <c r="J12" s="4" t="s">
        <v>33</v>
      </c>
      <c r="K12" s="3">
        <v>147900</v>
      </c>
      <c r="L12" s="3">
        <v>20</v>
      </c>
      <c r="M12" s="5">
        <v>2958000</v>
      </c>
      <c r="N12" s="4" t="s">
        <v>34</v>
      </c>
    </row>
    <row r="13" spans="1:14" ht="105" x14ac:dyDescent="0.25">
      <c r="A13" t="s">
        <v>35</v>
      </c>
      <c r="B13" t="s">
        <v>22</v>
      </c>
      <c r="C13" t="s">
        <v>36</v>
      </c>
      <c r="D13" s="4" t="s">
        <v>37</v>
      </c>
      <c r="E13">
        <v>3</v>
      </c>
      <c r="F13" t="s">
        <v>25</v>
      </c>
      <c r="G13" s="3">
        <v>240000</v>
      </c>
      <c r="H13" s="3">
        <v>3</v>
      </c>
      <c r="I13" s="5">
        <v>720000</v>
      </c>
      <c r="J13" s="4" t="s">
        <v>38</v>
      </c>
      <c r="K13" s="3">
        <v>179990</v>
      </c>
      <c r="L13" s="3">
        <v>3</v>
      </c>
      <c r="M13" s="5">
        <v>539970</v>
      </c>
      <c r="N13" s="4" t="s">
        <v>39</v>
      </c>
    </row>
    <row r="14" spans="1:14" x14ac:dyDescent="0.25">
      <c r="C14" t="s">
        <v>40</v>
      </c>
      <c r="D14" s="4"/>
      <c r="G14" s="3"/>
      <c r="H14" s="3"/>
      <c r="I14" s="5">
        <f>SUBTOTAL(109,Table2[Total por renglón])</f>
        <v>4749600</v>
      </c>
      <c r="J14" s="4"/>
      <c r="K14" s="3"/>
      <c r="L14" s="3"/>
      <c r="M14" s="5">
        <f>SUBTOTAL(109,Table3[Total por renglón])</f>
        <v>3927970</v>
      </c>
      <c r="N14" s="4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2022-10-14T13:07:16Z</dcterms:created>
  <dcterms:modified xsi:type="dcterms:W3CDTF">2022-10-14T13:07:26Z</dcterms:modified>
</cp:coreProperties>
</file>