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-105" yWindow="-105" windowWidth="20640" windowHeight="11760" tabRatio="488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Trimestrales'!$A$9:$I$10</definedName>
    <definedName name="_xlnm.Print_Area" localSheetId="1">' NotaPedido'!$A$1:$K$14</definedName>
    <definedName name="_xlnm.Print_Area" localSheetId="2">'Autor Gastar'!$A$1:$Q$25</definedName>
    <definedName name="_xlnm.Print_Area" localSheetId="0">'Necesidades Trimestrales'!$E$9:$E$10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3" i="2"/>
  <c r="J13"/>
  <c r="I13"/>
  <c r="C13"/>
  <c r="B13"/>
  <c r="I11" i="1"/>
  <c r="I10" l="1"/>
  <c r="A10" i="3" l="1"/>
  <c r="G6" l="1"/>
  <c r="G7"/>
  <c r="D7" i="2"/>
  <c r="D3"/>
  <c r="G4" i="3" s="1"/>
  <c r="D4" i="2"/>
  <c r="G5" i="3" s="1"/>
  <c r="D1" l="1"/>
  <c r="K12" i="2"/>
  <c r="J12"/>
  <c r="J14" s="1"/>
  <c r="I12"/>
  <c r="C12"/>
  <c r="B12"/>
  <c r="Q21" i="3" l="1"/>
</calcChain>
</file>

<file path=xl/sharedStrings.xml><?xml version="1.0" encoding="utf-8"?>
<sst xmlns="http://schemas.openxmlformats.org/spreadsheetml/2006/main" count="81" uniqueCount="72">
  <si>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</si>
  <si>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</si>
  <si>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</si>
  <si>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</si>
  <si>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</si>
  <si>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</si>
  <si>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</si>
  <si>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</si>
  <si>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</si>
  <si>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</si>
  <si>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</si>
  <si>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</si>
  <si>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</si>
  <si>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</si>
  <si>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</si>
  <si>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</si>
  <si>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</si>
  <si>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</si>
  <si>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</si>
  <si>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</si>
  <si>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</si>
  <si>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</si>
  <si>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</si>
  <si>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</si>
  <si>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</si>
  <si>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</si>
  <si>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</si>
  <si>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</si>
  <si>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</si>
  <si>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</si>
  <si>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</si>
  <si>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</si>
  <si>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</si>
  <si>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</si>
  <si>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</si>
  <si>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</si>
  <si>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</si>
  <si>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</si>
  <si>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</si>
  <si>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</si>
  <si>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</si>
  <si>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</si>
  <si>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</si>
  <si>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</si>
  <si>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</si>
  <si>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</si>
  <si>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</si>
  <si>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</si>
  <si>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</si>
  <si>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</si>
  <si>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</si>
  <si>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</si>
  <si>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024 - Hospital Interzonal de Niños</t>
  </si>
  <si>
    <t>040 - Ministerio de Salud</t>
  </si>
  <si>
    <t>NO</t>
  </si>
  <si>
    <t>PROD. MEDICO/FARMACEUTICOS/LAB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</si>
  <si>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</si>
  <si>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</si>
  <si>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t>Mantenimiento</t>
  </si>
  <si>
    <t xml:space="preserve">45 dias habiles </t>
  </si>
  <si>
    <t>Especificidades Item N° 1:</t>
  </si>
  <si>
    <t>AMOXICILINA + CLAVULANICO 400/150 SUSPENSIÓN</t>
  </si>
  <si>
    <t>FENOBARBITAL 100 MG. AMPOLLAS</t>
  </si>
  <si>
    <t>UNIDAD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</si>
  <si>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</si>
  <si>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Servicio de Farmacia</t>
  </si>
  <si>
    <t xml:space="preserve">Adquisición de Medicamentos </t>
  </si>
  <si>
    <t>Productos Farmaceuticos y Medicinales</t>
  </si>
  <si>
    <t>TOTAL DE PESOS: SEISCIENTOS TREINTA Y OCHO MIL CIEN CON 00/100.</t>
  </si>
  <si>
    <t>Para la adquisición de Medicamentos destinados al servico de Farmacia del Hospital Interzonal de Niños Eva Peron, para el normal funcionamiento del organismo.</t>
  </si>
  <si>
    <t>540/2020</t>
  </si>
  <si>
    <t>1.1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</si>
</sst>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3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7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166" fontId="13" fillId="0" borderId="42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0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6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66" fontId="4" fillId="3" borderId="3" xfId="1" applyNumberFormat="1" applyFont="1" applyFill="1" applyBorder="1" applyAlignment="1" applyProtection="1">
      <alignment horizontal="right" vertical="center" wrapText="1"/>
    </xf>
    <xf numFmtId="3" fontId="4" fillId="3" borderId="4" xfId="0" applyNumberFormat="1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167" fontId="15" fillId="0" borderId="0" xfId="0" applyNumberFormat="1" applyFont="1"/>
    <xf numFmtId="0" fontId="20" fillId="0" borderId="5" xfId="0" applyFont="1" applyBorder="1" applyAlignment="1">
      <alignment horizontal="left" indent="3"/>
    </xf>
    <xf numFmtId="0" fontId="20" fillId="0" borderId="8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left" indent="3"/>
    </xf>
    <xf numFmtId="0" fontId="15" fillId="0" borderId="49" xfId="0" applyFont="1" applyBorder="1" applyAlignment="1">
      <alignment horizontal="center" vertical="center"/>
    </xf>
    <xf numFmtId="0" fontId="14" fillId="0" borderId="3" xfId="0" applyFont="1" applyBorder="1"/>
    <xf numFmtId="0" fontId="18" fillId="0" borderId="3" xfId="0" applyFont="1" applyBorder="1" applyAlignment="1">
      <alignment horizontal="center" vertical="center" wrapText="1"/>
    </xf>
    <xf numFmtId="0" fontId="22" fillId="0" borderId="52" xfId="0" applyFont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166" fontId="15" fillId="4" borderId="3" xfId="1" applyNumberFormat="1" applyFont="1" applyFill="1" applyBorder="1" applyAlignment="1" applyProtection="1">
      <alignment horizontal="right" vertical="center" wrapText="1"/>
    </xf>
    <xf numFmtId="166" fontId="15" fillId="4" borderId="4" xfId="1" applyNumberFormat="1" applyFont="1" applyFill="1" applyBorder="1" applyAlignment="1" applyProtection="1">
      <alignment horizontal="right" vertical="center" wrapText="1"/>
    </xf>
    <xf numFmtId="0" fontId="14" fillId="0" borderId="52" xfId="0" applyFont="1" applyBorder="1" applyAlignment="1">
      <alignment vertical="center" wrapText="1"/>
    </xf>
    <xf numFmtId="0" fontId="6" fillId="0" borderId="14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9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7" fillId="3" borderId="18" xfId="0" applyFont="1" applyFill="1" applyBorder="1" applyAlignment="1">
      <alignment horizontal="left" vertical="center" wrapText="1"/>
    </xf>
    <xf numFmtId="167" fontId="7" fillId="3" borderId="17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 wrapText="1"/>
    </xf>
    <xf numFmtId="0" fontId="7" fillId="3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 wrapText="1" indent="1"/>
    </xf>
    <xf numFmtId="0" fontId="8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9" fillId="0" borderId="22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2" xfId="0" applyFont="1" applyFill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" fillId="0" borderId="42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26"/>
  <sheetViews>
    <sheetView zoomScale="93" zoomScaleNormal="93" workbookViewId="0">
      <selection activeCell="H16" sqref="H16"/>
    </sheetView>
  </sheetViews>
  <sheetFormatPr baseColWidth="10" defaultColWidth="11" defaultRowHeight="12.75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96.28515625" style="31" customWidth="1"/>
    <col min="6" max="6" width="11" style="31"/>
    <col min="7" max="7" width="12.140625" style="31" customWidth="1"/>
    <col min="8" max="8" width="13.85546875" style="31" customWidth="1"/>
    <col min="9" max="9" width="18.5703125" style="31" customWidth="1"/>
    <col min="10" max="11" width="11" style="31"/>
    <col min="12" max="12" width="13.140625" style="31" customWidth="1"/>
    <col min="13" max="16384" width="11" style="31"/>
  </cols>
  <sheetData>
    <row r="2" spans="1:10" ht="27">
      <c r="B2" s="88" t="s">
        <v>0</v>
      </c>
      <c r="C2" s="88"/>
      <c r="D2" s="88"/>
      <c r="E2" s="88"/>
      <c r="F2" s="88"/>
      <c r="G2" s="88"/>
      <c r="H2" s="88"/>
    </row>
    <row r="3" spans="1:10" ht="12" customHeight="1"/>
    <row r="4" spans="1:10" ht="18" customHeight="1">
      <c r="A4" s="85" t="s">
        <v>1</v>
      </c>
      <c r="B4" s="85"/>
      <c r="C4" s="89" t="s">
        <v>53</v>
      </c>
      <c r="D4" s="89"/>
      <c r="E4" s="89"/>
      <c r="F4" s="32"/>
      <c r="G4" s="33"/>
      <c r="H4" s="32"/>
    </row>
    <row r="5" spans="1:10" ht="18" customHeight="1">
      <c r="A5" s="85" t="s">
        <v>2</v>
      </c>
      <c r="B5" s="85"/>
      <c r="C5" s="89" t="s">
        <v>52</v>
      </c>
      <c r="D5" s="89"/>
      <c r="E5" s="89"/>
      <c r="F5" s="32"/>
      <c r="G5" s="33"/>
      <c r="H5" s="32"/>
    </row>
    <row r="6" spans="1:10" ht="16.5" customHeight="1">
      <c r="A6" s="85" t="s">
        <v>3</v>
      </c>
      <c r="B6" s="85"/>
      <c r="C6" s="54">
        <v>2020</v>
      </c>
      <c r="D6" s="55"/>
      <c r="E6" s="55"/>
      <c r="F6" s="32"/>
      <c r="G6" s="33"/>
      <c r="H6" s="32"/>
    </row>
    <row r="7" spans="1:10" ht="16.5" customHeight="1">
      <c r="A7" s="85" t="s">
        <v>4</v>
      </c>
      <c r="B7" s="85"/>
      <c r="C7" s="54">
        <v>4</v>
      </c>
      <c r="D7" s="55"/>
      <c r="E7" s="55"/>
      <c r="F7" s="32"/>
      <c r="G7" s="33"/>
      <c r="H7" s="32"/>
    </row>
    <row r="8" spans="1:10" ht="13.5" thickBot="1">
      <c r="B8" s="32"/>
      <c r="C8" s="33"/>
      <c r="D8" s="32"/>
      <c r="E8" s="32"/>
      <c r="F8" s="32"/>
      <c r="G8" s="33"/>
      <c r="H8" s="32"/>
      <c r="J8" s="69"/>
    </row>
    <row r="9" spans="1:10" ht="39.75" thickTop="1" thickBot="1">
      <c r="A9" s="34" t="s">
        <v>5</v>
      </c>
      <c r="B9" s="34" t="s">
        <v>6</v>
      </c>
      <c r="C9" s="34" t="s">
        <v>7</v>
      </c>
      <c r="D9" s="56" t="s">
        <v>8</v>
      </c>
      <c r="E9" s="57" t="s">
        <v>9</v>
      </c>
      <c r="F9" s="46" t="s">
        <v>10</v>
      </c>
      <c r="G9" s="34" t="s">
        <v>11</v>
      </c>
      <c r="H9" s="34" t="s">
        <v>12</v>
      </c>
      <c r="I9" s="34" t="s">
        <v>13</v>
      </c>
    </row>
    <row r="10" spans="1:10" ht="13.5" thickBot="1">
      <c r="A10" s="76">
        <v>1</v>
      </c>
      <c r="B10" s="77"/>
      <c r="C10" s="77" t="s">
        <v>55</v>
      </c>
      <c r="D10" s="78">
        <v>252</v>
      </c>
      <c r="E10" s="79" t="s">
        <v>61</v>
      </c>
      <c r="F10" s="80" t="s">
        <v>63</v>
      </c>
      <c r="G10" s="80">
        <v>800</v>
      </c>
      <c r="H10" s="81">
        <v>410</v>
      </c>
      <c r="I10" s="82">
        <f>+G10*H10</f>
        <v>328000</v>
      </c>
    </row>
    <row r="11" spans="1:10">
      <c r="A11" s="76">
        <v>2</v>
      </c>
      <c r="B11" s="77"/>
      <c r="C11" s="77" t="s">
        <v>55</v>
      </c>
      <c r="D11" s="78">
        <v>252</v>
      </c>
      <c r="E11" s="83" t="s">
        <v>62</v>
      </c>
      <c r="F11" s="80" t="s">
        <v>63</v>
      </c>
      <c r="G11" s="80">
        <v>500</v>
      </c>
      <c r="H11" s="81">
        <v>620.20000000000005</v>
      </c>
      <c r="I11" s="82">
        <f>+G11*H11</f>
        <v>310100</v>
      </c>
    </row>
    <row r="12" spans="1:10">
      <c r="I12" s="45"/>
    </row>
    <row r="13" spans="1:10" ht="13.5" thickBot="1"/>
    <row r="14" spans="1:10">
      <c r="B14" s="70" t="s">
        <v>56</v>
      </c>
      <c r="C14" s="36"/>
      <c r="D14" s="36"/>
      <c r="E14" s="37"/>
    </row>
    <row r="15" spans="1:10" ht="12.75" customHeight="1">
      <c r="B15" s="90" t="s">
        <v>64</v>
      </c>
      <c r="C15" s="91"/>
      <c r="D15" s="91"/>
      <c r="E15" s="92"/>
    </row>
    <row r="16" spans="1:10" ht="26.25" customHeight="1">
      <c r="B16" s="90"/>
      <c r="C16" s="91"/>
      <c r="D16" s="91"/>
      <c r="E16" s="92"/>
    </row>
    <row r="17" spans="2:5" ht="26.25" customHeight="1">
      <c r="B17" s="90" t="s">
        <v>57</v>
      </c>
      <c r="C17" s="91"/>
      <c r="D17" s="91"/>
      <c r="E17" s="92"/>
    </row>
    <row r="18" spans="2:5">
      <c r="B18" s="71" t="s">
        <v>58</v>
      </c>
      <c r="C18" s="72"/>
      <c r="D18" s="73"/>
      <c r="E18" s="74"/>
    </row>
    <row r="19" spans="2:5" ht="26.25" customHeight="1">
      <c r="B19" s="75"/>
      <c r="C19" s="93" t="s">
        <v>59</v>
      </c>
      <c r="D19" s="93"/>
      <c r="E19" s="93"/>
    </row>
    <row r="20" spans="2:5" ht="13.5" thickBot="1">
      <c r="B20" s="42"/>
      <c r="C20" s="43"/>
      <c r="D20" s="43"/>
      <c r="E20" s="44"/>
    </row>
    <row r="21" spans="2:5" ht="13.5" thickBot="1"/>
    <row r="22" spans="2:5">
      <c r="B22" s="35" t="s">
        <v>60</v>
      </c>
      <c r="C22" s="36"/>
      <c r="D22" s="36"/>
      <c r="E22" s="37"/>
    </row>
    <row r="23" spans="2:5" ht="5.25" customHeight="1">
      <c r="B23" s="38"/>
      <c r="C23" s="39"/>
      <c r="D23" s="39"/>
      <c r="E23" s="40"/>
    </row>
    <row r="24" spans="2:5">
      <c r="B24" s="41"/>
      <c r="C24" s="39"/>
      <c r="D24" s="39"/>
      <c r="E24" s="40"/>
    </row>
    <row r="25" spans="2:5">
      <c r="B25" s="41"/>
      <c r="C25" s="86"/>
      <c r="D25" s="86"/>
      <c r="E25" s="87"/>
    </row>
    <row r="26" spans="2:5" ht="13.5" thickBot="1">
      <c r="B26" s="42"/>
      <c r="C26" s="43"/>
      <c r="D26" s="43"/>
      <c r="E26" s="44"/>
    </row>
  </sheetData>
  <autoFilter ref="A9:I10"/>
  <mergeCells count="11">
    <mergeCell ref="A6:B6"/>
    <mergeCell ref="A7:B7"/>
    <mergeCell ref="C25:E25"/>
    <mergeCell ref="B2:H2"/>
    <mergeCell ref="A4:B4"/>
    <mergeCell ref="C4:E4"/>
    <mergeCell ref="A5:B5"/>
    <mergeCell ref="C5:E5"/>
    <mergeCell ref="B15:E16"/>
    <mergeCell ref="B17:E17"/>
    <mergeCell ref="C19:E1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4"/>
  <sheetViews>
    <sheetView zoomScale="80" zoomScaleNormal="80" workbookViewId="0">
      <selection activeCell="G20" sqref="G20"/>
    </sheetView>
  </sheetViews>
  <sheetFormatPr baseColWidth="10" defaultColWidth="9.140625" defaultRowHeight="12.75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4" width="5.85546875" style="48" customWidth="1"/>
    <col min="15" max="15" width="12.5703125" style="48" customWidth="1"/>
    <col min="16" max="1024" width="9.140625" style="48"/>
    <col min="1025" max="16384" width="9.140625" style="49"/>
  </cols>
  <sheetData>
    <row r="1" spans="1:11" ht="18" customHeight="1">
      <c r="A1" s="94" t="s">
        <v>14</v>
      </c>
      <c r="B1" s="94"/>
      <c r="C1" s="94"/>
      <c r="D1" s="94"/>
      <c r="E1" s="94"/>
      <c r="F1" s="94"/>
      <c r="G1" s="94"/>
      <c r="H1" s="94"/>
      <c r="I1" s="94"/>
      <c r="J1" s="47" t="s">
        <v>15</v>
      </c>
      <c r="K1" s="84" t="s">
        <v>70</v>
      </c>
    </row>
    <row r="2" spans="1:11" ht="18.75" customHeight="1" thickBot="1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1" ht="18.75" customHeight="1" thickBot="1">
      <c r="A3" s="95" t="s">
        <v>48</v>
      </c>
      <c r="B3" s="95"/>
      <c r="C3" s="95"/>
      <c r="D3" s="96" t="str">
        <f>'Necesidades Trimestrales'!C4</f>
        <v>040 - Ministerio de Salud</v>
      </c>
      <c r="E3" s="96"/>
      <c r="F3" s="96"/>
      <c r="G3" s="96"/>
      <c r="H3" s="96"/>
      <c r="I3" s="96"/>
      <c r="J3" s="96"/>
      <c r="K3" s="96"/>
    </row>
    <row r="4" spans="1:11" ht="18.75" customHeight="1" thickBot="1">
      <c r="A4" s="97" t="s">
        <v>49</v>
      </c>
      <c r="B4" s="97"/>
      <c r="C4" s="97"/>
      <c r="D4" s="96" t="str">
        <f>'Necesidades Trimestrales'!C5</f>
        <v>024 - Hospital Interzonal de Niños</v>
      </c>
      <c r="E4" s="96"/>
      <c r="F4" s="96"/>
      <c r="G4" s="96"/>
      <c r="H4" s="96"/>
      <c r="I4" s="96"/>
      <c r="J4" s="96"/>
      <c r="K4" s="96"/>
    </row>
    <row r="5" spans="1:11" ht="18.75" customHeight="1" thickBot="1">
      <c r="A5" s="97" t="s">
        <v>27</v>
      </c>
      <c r="B5" s="97"/>
      <c r="C5" s="97"/>
      <c r="D5" s="96" t="s">
        <v>52</v>
      </c>
      <c r="E5" s="96"/>
      <c r="F5" s="96"/>
      <c r="G5" s="96"/>
      <c r="H5" s="96"/>
      <c r="I5" s="96"/>
      <c r="J5" s="96"/>
      <c r="K5" s="96"/>
    </row>
    <row r="6" spans="1:11" ht="16.5" customHeight="1" thickBot="1">
      <c r="A6" s="95" t="s">
        <v>50</v>
      </c>
      <c r="B6" s="95"/>
      <c r="C6" s="95"/>
      <c r="D6" s="96" t="s">
        <v>65</v>
      </c>
      <c r="E6" s="96"/>
      <c r="F6" s="96"/>
      <c r="G6" s="96"/>
      <c r="H6" s="96"/>
      <c r="I6" s="96"/>
      <c r="J6" s="96"/>
      <c r="K6" s="96"/>
    </row>
    <row r="7" spans="1:11" ht="16.5" customHeight="1">
      <c r="A7" s="97" t="s">
        <v>16</v>
      </c>
      <c r="B7" s="97"/>
      <c r="C7" s="97"/>
      <c r="D7" s="96" t="str">
        <f>'Necesidades Trimestrales'!C7 &amp; "° Trimestre - Año " &amp; 'Necesidades Trimestrales'!C6</f>
        <v>4° Trimestre - Año 2020</v>
      </c>
      <c r="E7" s="96"/>
      <c r="F7" s="96"/>
      <c r="G7" s="96"/>
      <c r="H7" s="96"/>
      <c r="I7" s="96"/>
      <c r="J7" s="96"/>
      <c r="K7" s="96"/>
    </row>
    <row r="8" spans="1:11" ht="16.5" customHeight="1">
      <c r="A8" s="100" t="s">
        <v>17</v>
      </c>
      <c r="B8" s="100"/>
      <c r="C8" s="100"/>
      <c r="D8" s="101" t="s">
        <v>66</v>
      </c>
      <c r="E8" s="101"/>
      <c r="F8" s="101"/>
      <c r="G8" s="101"/>
      <c r="H8" s="101"/>
      <c r="I8" s="101"/>
      <c r="J8" s="101"/>
      <c r="K8" s="101"/>
    </row>
    <row r="9" spans="1:11" ht="15.75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1" ht="18.75" customHeight="1">
      <c r="A10" s="102" t="s">
        <v>18</v>
      </c>
      <c r="B10" s="103" t="s">
        <v>19</v>
      </c>
      <c r="C10" s="103" t="s">
        <v>20</v>
      </c>
      <c r="D10" s="103"/>
      <c r="E10" s="103"/>
      <c r="F10" s="103"/>
      <c r="G10" s="103"/>
      <c r="H10" s="103" t="s">
        <v>21</v>
      </c>
      <c r="I10" s="103" t="s">
        <v>22</v>
      </c>
      <c r="J10" s="103" t="s">
        <v>23</v>
      </c>
      <c r="K10" s="104" t="s">
        <v>24</v>
      </c>
    </row>
    <row r="11" spans="1:11" ht="24" customHeight="1" thickBot="1">
      <c r="A11" s="102"/>
      <c r="B11" s="103"/>
      <c r="C11" s="103"/>
      <c r="D11" s="103"/>
      <c r="E11" s="103"/>
      <c r="F11" s="103"/>
      <c r="G11" s="103"/>
      <c r="H11" s="103"/>
      <c r="I11" s="103"/>
      <c r="J11" s="103"/>
      <c r="K11" s="104"/>
    </row>
    <row r="12" spans="1:11" ht="27.75" customHeight="1" thickBot="1">
      <c r="A12" s="58">
        <v>1</v>
      </c>
      <c r="B12" s="59">
        <f>'Necesidades Trimestrales'!B10</f>
        <v>0</v>
      </c>
      <c r="C12" s="99" t="str">
        <f>'Necesidades Trimestrales'!E10</f>
        <v>AMOXICILINA + CLAVULANICO 400/150 SUSPENSIÓN</v>
      </c>
      <c r="D12" s="99"/>
      <c r="E12" s="99"/>
      <c r="F12" s="99"/>
      <c r="G12" s="99"/>
      <c r="H12" s="60" t="s">
        <v>54</v>
      </c>
      <c r="I12" s="61" t="str">
        <f>'Necesidades Trimestrales'!F10</f>
        <v>UNIDAD</v>
      </c>
      <c r="J12" s="62">
        <f>'Necesidades Trimestrales'!H10</f>
        <v>410</v>
      </c>
      <c r="K12" s="63">
        <f>'Necesidades Trimestrales'!G10</f>
        <v>800</v>
      </c>
    </row>
    <row r="13" spans="1:11" ht="27.75" customHeight="1" thickBot="1">
      <c r="A13" s="58">
        <v>1</v>
      </c>
      <c r="B13" s="59">
        <f>'Necesidades Trimestrales'!B11</f>
        <v>0</v>
      </c>
      <c r="C13" s="99" t="str">
        <f>'Necesidades Trimestrales'!E11</f>
        <v>FENOBARBITAL 100 MG. AMPOLLAS</v>
      </c>
      <c r="D13" s="99"/>
      <c r="E13" s="99"/>
      <c r="F13" s="99"/>
      <c r="G13" s="99"/>
      <c r="H13" s="60" t="s">
        <v>54</v>
      </c>
      <c r="I13" s="61" t="str">
        <f>'Necesidades Trimestrales'!F11</f>
        <v>UNIDAD</v>
      </c>
      <c r="J13" s="62">
        <f>'Necesidades Trimestrales'!H11</f>
        <v>620.20000000000005</v>
      </c>
      <c r="K13" s="63">
        <f>'Necesidades Trimestrales'!G11</f>
        <v>500</v>
      </c>
    </row>
    <row r="14" spans="1:11" ht="20.25" customHeight="1" thickBot="1">
      <c r="A14" s="96" t="s">
        <v>51</v>
      </c>
      <c r="B14" s="96"/>
      <c r="C14" s="96"/>
      <c r="D14" s="96"/>
      <c r="E14" s="96"/>
      <c r="F14" s="96"/>
      <c r="G14" s="96"/>
      <c r="H14" s="96"/>
      <c r="I14" s="96"/>
      <c r="J14" s="98">
        <f>SUMPRODUCT(J12:J13,K12:K13)</f>
        <v>638100</v>
      </c>
      <c r="K14" s="98"/>
    </row>
  </sheetData>
  <mergeCells count="24"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tabSelected="1" zoomScale="130" zoomScaleNormal="130" workbookViewId="0">
      <selection activeCell="S13" sqref="S13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05" t="s">
        <v>3</v>
      </c>
      <c r="B1" s="105"/>
      <c r="C1" s="105"/>
      <c r="D1" s="106">
        <f>'Necesidades Trimestrales'!C6</f>
        <v>2020</v>
      </c>
      <c r="E1" s="106"/>
      <c r="F1" s="3"/>
      <c r="G1" s="3"/>
      <c r="H1" s="4"/>
      <c r="I1" s="4"/>
      <c r="J1" s="4"/>
      <c r="K1" s="4"/>
      <c r="L1" s="4"/>
      <c r="M1" s="4"/>
      <c r="N1" s="4"/>
      <c r="P1" s="107" t="s">
        <v>25</v>
      </c>
      <c r="Q1" s="107"/>
    </row>
    <row r="2" spans="1:17" ht="15.75" customHeight="1">
      <c r="H2" s="4"/>
      <c r="I2" s="4"/>
      <c r="J2" s="4"/>
      <c r="K2" s="4"/>
      <c r="L2" s="4"/>
      <c r="M2" s="4"/>
      <c r="N2" s="4"/>
      <c r="P2" s="107"/>
      <c r="Q2" s="107"/>
    </row>
    <row r="4" spans="1:17" s="5" customFormat="1" ht="18" customHeight="1" thickBot="1">
      <c r="A4" s="108" t="s">
        <v>26</v>
      </c>
      <c r="B4" s="108"/>
      <c r="C4" s="108"/>
      <c r="D4" s="108"/>
      <c r="E4" s="108"/>
      <c r="F4" s="108"/>
      <c r="G4" s="109" t="str">
        <f>' NotaPedido'!D3</f>
        <v>040 - Ministerio de Salud</v>
      </c>
      <c r="H4" s="109"/>
      <c r="I4" s="109"/>
      <c r="J4" s="109"/>
      <c r="K4" s="109"/>
      <c r="L4" s="109"/>
      <c r="M4" s="109"/>
      <c r="N4" s="109"/>
      <c r="O4" s="109"/>
      <c r="P4" s="109"/>
      <c r="Q4" s="109"/>
    </row>
    <row r="5" spans="1:17" s="5" customFormat="1" ht="18" customHeight="1" thickBot="1">
      <c r="A5" s="110" t="s">
        <v>49</v>
      </c>
      <c r="B5" s="111"/>
      <c r="C5" s="111"/>
      <c r="D5" s="111"/>
      <c r="E5" s="111"/>
      <c r="F5" s="112"/>
      <c r="G5" s="109" t="str">
        <f>' NotaPedido'!D4</f>
        <v>024 - Hospital Interzonal de Niños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</row>
    <row r="6" spans="1:17" s="5" customFormat="1" ht="18" customHeight="1" thickBot="1">
      <c r="A6" s="110" t="s">
        <v>27</v>
      </c>
      <c r="B6" s="111"/>
      <c r="C6" s="111"/>
      <c r="D6" s="111"/>
      <c r="E6" s="111"/>
      <c r="F6" s="112"/>
      <c r="G6" s="109" t="str">
        <f>' NotaPedido'!D5</f>
        <v>024 - Hospital Interzonal de Niños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</row>
    <row r="7" spans="1:17" s="5" customFormat="1" ht="18" customHeight="1" thickBot="1">
      <c r="A7" s="110" t="s">
        <v>50</v>
      </c>
      <c r="B7" s="111"/>
      <c r="C7" s="111"/>
      <c r="D7" s="111"/>
      <c r="E7" s="111"/>
      <c r="F7" s="112"/>
      <c r="G7" s="109" t="str">
        <f>' NotaPedido'!D6</f>
        <v>Servicio de Farmacia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</row>
    <row r="8" spans="1:17" ht="18" customHeight="1" thickBot="1">
      <c r="A8" s="113" t="s">
        <v>28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ht="18" customHeight="1">
      <c r="A9" s="114" t="s">
        <v>29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"/>
      <c r="P9" s="1"/>
      <c r="Q9" s="6"/>
    </row>
    <row r="10" spans="1:17" ht="54.75" customHeight="1">
      <c r="A10" s="11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540/2020,  afectando la erogación resultante a los créditos presupuestarios aprobados a favor de esta Unidad Ejecutora, conforme al siguiente detalle: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>
      <c r="A12" s="116" t="s">
        <v>30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>
      <c r="A13" s="117" t="s">
        <v>31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32</v>
      </c>
      <c r="P13" s="118"/>
      <c r="Q13" s="119" t="s">
        <v>33</v>
      </c>
    </row>
    <row r="14" spans="1:17" ht="15.75" customHeight="1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18"/>
      <c r="P14" s="118"/>
      <c r="Q14" s="119"/>
    </row>
    <row r="15" spans="1:17" ht="26.25" customHeight="1">
      <c r="A15" s="64">
        <v>36</v>
      </c>
      <c r="B15" s="65"/>
      <c r="C15" s="65"/>
      <c r="D15" s="65">
        <v>1</v>
      </c>
      <c r="E15" s="65"/>
      <c r="F15" s="65">
        <v>4901</v>
      </c>
      <c r="G15" s="65">
        <v>3</v>
      </c>
      <c r="H15" s="65">
        <v>310</v>
      </c>
      <c r="I15" s="66">
        <v>2</v>
      </c>
      <c r="J15" s="66">
        <v>5</v>
      </c>
      <c r="K15" s="66">
        <v>2</v>
      </c>
      <c r="L15" s="65"/>
      <c r="M15" s="67">
        <v>1</v>
      </c>
      <c r="N15" s="68" t="s">
        <v>71</v>
      </c>
      <c r="O15" s="120" t="s">
        <v>67</v>
      </c>
      <c r="P15" s="121"/>
      <c r="Q15" s="20">
        <v>638100</v>
      </c>
    </row>
    <row r="16" spans="1:17" ht="17.25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22"/>
      <c r="P16" s="122"/>
      <c r="Q16" s="20"/>
    </row>
    <row r="17" spans="1:18" ht="17.25" customHeight="1">
      <c r="A17" s="16"/>
      <c r="B17" s="17"/>
      <c r="C17" s="17"/>
      <c r="D17" s="17"/>
      <c r="E17" s="17"/>
      <c r="F17" s="19"/>
      <c r="G17" s="17"/>
      <c r="H17" s="17"/>
      <c r="I17" s="17"/>
      <c r="J17" s="17"/>
      <c r="K17" s="17"/>
      <c r="L17" s="17"/>
      <c r="M17" s="18"/>
      <c r="N17" s="19"/>
      <c r="O17" s="122"/>
      <c r="P17" s="122"/>
      <c r="Q17" s="20"/>
    </row>
    <row r="18" spans="1:18" ht="17.25" customHeight="1">
      <c r="A18" s="16"/>
      <c r="B18" s="17"/>
      <c r="C18" s="17"/>
      <c r="D18" s="17"/>
      <c r="E18" s="17"/>
      <c r="F18" s="19"/>
      <c r="G18" s="17"/>
      <c r="H18" s="17"/>
      <c r="I18" s="17"/>
      <c r="J18" s="17"/>
      <c r="K18" s="17"/>
      <c r="L18" s="17"/>
      <c r="M18" s="18"/>
      <c r="N18" s="19"/>
      <c r="O18" s="122"/>
      <c r="P18" s="122"/>
      <c r="Q18" s="20"/>
    </row>
    <row r="19" spans="1:18" ht="17.25" customHeight="1">
      <c r="A19" s="21"/>
      <c r="B19" s="22"/>
      <c r="C19" s="22"/>
      <c r="D19" s="22"/>
      <c r="E19" s="22"/>
      <c r="F19" s="23"/>
      <c r="G19" s="22"/>
      <c r="H19" s="22"/>
      <c r="I19" s="22"/>
      <c r="J19" s="22"/>
      <c r="K19" s="22"/>
      <c r="L19" s="22"/>
      <c r="M19" s="24"/>
      <c r="N19" s="25"/>
      <c r="O19" s="128"/>
      <c r="P19" s="128"/>
      <c r="Q19" s="20"/>
      <c r="R19" s="1"/>
    </row>
    <row r="20" spans="1:18" ht="17.2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7"/>
      <c r="O20" s="129"/>
      <c r="P20" s="129"/>
      <c r="Q20" s="29"/>
    </row>
    <row r="21" spans="1:18" ht="29.25" customHeight="1">
      <c r="A21" s="130" t="s">
        <v>68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30">
        <f>SUM(Q15:Q20)</f>
        <v>638100</v>
      </c>
    </row>
    <row r="22" spans="1:18" ht="18" customHeight="1" thickBot="1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</row>
    <row r="23" spans="1:18" ht="17.25" customHeight="1" thickBot="1">
      <c r="A23" s="123" t="s">
        <v>47</v>
      </c>
      <c r="B23" s="124"/>
      <c r="C23" s="124"/>
      <c r="D23" s="124"/>
      <c r="E23" s="124"/>
      <c r="F23" s="125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1:18" ht="18" customHeight="1" thickBot="1">
      <c r="A24" s="127" t="s">
        <v>69</v>
      </c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</row>
    <row r="25" spans="1:18" ht="15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 Ponce</cp:lastModifiedBy>
  <cp:revision>2</cp:revision>
  <cp:lastPrinted>2020-07-23T13:47:13Z</cp:lastPrinted>
  <dcterms:created xsi:type="dcterms:W3CDTF">2020-07-17T23:44:49Z</dcterms:created>
  <dcterms:modified xsi:type="dcterms:W3CDTF">2020-11-11T01:33:04Z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