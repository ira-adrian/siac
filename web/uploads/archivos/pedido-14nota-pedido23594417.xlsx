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96323-CAT-DPPR#MHP\"/>
    </mc:Choice>
  </mc:AlternateContent>
  <xr:revisionPtr revIDLastSave="0" documentId="8_{F7A4BADA-E4ED-453C-BB3C-1FCA4E3C9D65}" xr6:coauthVersionLast="46" xr6:coauthVersionMax="46" xr10:uidLastSave="{00000000-0000-0000-0000-000000000000}"/>
  <bookViews>
    <workbookView xWindow="-120" yWindow="-120" windowWidth="29040" windowHeight="15840" xr2:uid="{6C9473EC-9493-464C-B393-D0D2C4DD047F}"/>
  </bookViews>
  <sheets>
    <sheet name="CONSOLIDADO HP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2" l="1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</calcChain>
</file>

<file path=xl/sharedStrings.xml><?xml version="1.0" encoding="utf-8"?>
<sst xmlns="http://schemas.openxmlformats.org/spreadsheetml/2006/main" count="133" uniqueCount="77">
  <si>
    <t>2.9.6-401.1563</t>
  </si>
  <si>
    <t>REPUESTOS</t>
  </si>
  <si>
    <t>CARTUCHOS DE TONER; CODIGO: HP 85A, USO: HP</t>
  </si>
  <si>
    <t>2.9.6-401.2138</t>
  </si>
  <si>
    <t>CARTUCHOS DE TONER; CODIGO: CF280X, USO: HEWLETT PACKARD</t>
  </si>
  <si>
    <t>2.9.6-401.2228</t>
  </si>
  <si>
    <t>CARTUCHOS DE TONER; CODIGO: CF217A, USO: HP LASERJET MFP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</si>
  <si>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</si>
  <si>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</si>
  <si>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</si>
  <si>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</si>
  <si>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</si>
  <si>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</si>
  <si>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</si>
  <si>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</si>
  <si>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2.9.6-401.2378</t>
  </si>
  <si>
    <t>CARTUCHOS DE TONER; CODIGO: W1105A, USO: HEWLETT PACKARD</t>
  </si>
  <si>
    <t>2.9.6-401.2128</t>
  </si>
  <si>
    <t>CARTUCHOS DE TONER; CODIGO: CF226A, USO: HEWLETT PACKARD</t>
  </si>
  <si>
    <t>2.9.6-401.1779</t>
  </si>
  <si>
    <t>CARTUCHOS DE TONER; CODIGO: MLT-D101, USO: SAMSUNG</t>
  </si>
  <si>
    <t>2.9.6-401.1786</t>
  </si>
  <si>
    <t>CARTUCHOS DE TONER; CODIGO: CE410A, USO: HEWLETT PACKARD</t>
  </si>
  <si>
    <t>2.9.6-401.1724</t>
  </si>
  <si>
    <t>CARTUCHOS DE TONER; CODIGO: CE411A, USO: HP</t>
  </si>
  <si>
    <t>2.9.6-401.1725</t>
  </si>
  <si>
    <t>CARTUCHOS DE TONER; CODIGO: CE412A, USO: HP</t>
  </si>
  <si>
    <t>2.9.6-401.1726</t>
  </si>
  <si>
    <t>CARTUCHOS DE TONER; CODIGO: CE413A, USO: HP</t>
  </si>
  <si>
    <t>2.9.6-401.1282</t>
  </si>
  <si>
    <t>CARTUCHOS DE TONER; CODIGO: CE505A, USO: HEWLETT PACKARD</t>
  </si>
  <si>
    <t>2.9.6-1355.1221</t>
  </si>
  <si>
    <t>CARTUCHOS DE TINTA; CODIGO: HP74XL, USO: HEWLETT PACKARD</t>
  </si>
  <si>
    <t>2.9.6-1355.1222</t>
  </si>
  <si>
    <t>CARTUCHOS DE TINTA; CODIGO: HP75XL, USO: HEWLETT PACKARD</t>
  </si>
  <si>
    <t>2.9.6-401.1238</t>
  </si>
  <si>
    <t>CARTUCHOS DE TONER; CODIGO: Q7553X, USO: HP LASER JET 2014</t>
  </si>
  <si>
    <t>2.9.6-401.2258</t>
  </si>
  <si>
    <t>CARTUCHOS DE TONER; CODIGO: TN-3499, USO: BROTHER</t>
  </si>
  <si>
    <t>Pedido de Necesidades Trimestrales</t>
  </si>
  <si>
    <t>JURISDICCION:</t>
  </si>
  <si>
    <t>30 - MINISTERIO DE HACIENDA PUBLICA</t>
  </si>
  <si>
    <t xml:space="preserve">SAF N°: </t>
  </si>
  <si>
    <t>SAF 9 - DIRECCION PROVINCIAL DE ADMINISTRACION DE LA SECRETARIA DE FINANZAS PUBLICAS</t>
  </si>
  <si>
    <t>EJERCICIO:</t>
  </si>
  <si>
    <t>TRIMESTRE:</t>
  </si>
  <si>
    <t>CANTIDAD</t>
  </si>
  <si>
    <t>UNIDAD</t>
  </si>
  <si>
    <r>
      <rPr>
        <b/>
        <u/>
        <sz val="12"/>
        <rFont val="Times New Roman"/>
        <family val="1"/>
      </rPr>
      <t>PARA TODOS LOS ITEMS</t>
    </r>
    <r>
      <rPr>
        <sz val="12"/>
        <rFont val="Times New Roman"/>
        <family val="1"/>
      </rPr>
      <t xml:space="preserve">: El plazo de entrega  no podrá ser superior a los diez (10) días hábiles a partir de la fecha de recepción de la respectiva Orden de Compra en el domicilio especial electrónico constituido, en virtud del método de contratación. 
</t>
    </r>
  </si>
  <si>
    <r>
      <rPr>
        <u/>
        <sz val="12"/>
        <rFont val="Times New Roman"/>
        <family val="1"/>
      </rPr>
      <t>Manteniniento de Oferta</t>
    </r>
    <r>
      <rPr>
        <sz val="12"/>
        <rFont val="Times New Roman"/>
        <family val="1"/>
      </rPr>
      <t>: 45 días</t>
    </r>
  </si>
  <si>
    <t>Lugares de Entrega:</t>
  </si>
  <si>
    <t>Ministerio de Hacienda Pública - Sarmiento 589, 8vo Piso</t>
  </si>
  <si>
    <t>Secretaría de Finanzas Públicas - Sarmiento 589, 8vo Piso</t>
  </si>
  <si>
    <t>Subsecretaría de Presupuesto - Sarmiento 589, 7mo piso</t>
  </si>
  <si>
    <t>Dir. Prov. De Adm. De Finanzas - Sarmiento 589, 5to piso</t>
  </si>
  <si>
    <t>Dir. Prov. De Credito Público - Sarmiento 589, 5to piso</t>
  </si>
  <si>
    <t>Centro de Ayuda a Usuarios - Sarmiento 589, 5to piso</t>
  </si>
  <si>
    <t>Contaduria Gral. de la Prov. - Av Venezuela S/N - CAPE Pabellón 21</t>
  </si>
  <si>
    <t>Sec. De Compras y Abastecimiento - Av Venezuela S/N - CAPE Pabellón 21</t>
  </si>
  <si>
    <t>Tesorería Gral de la Prov.  - Av Venezuela S/N - CAPE Pabellón 21</t>
  </si>
  <si>
    <t>Especificidades Item N°:</t>
  </si>
  <si>
    <t>Descripción técnica</t>
  </si>
  <si>
    <t>Toner - alternativo - 85A - para impresora HP 1102W</t>
  </si>
  <si>
    <t>Toner - alternativo - 105A - para impresora HP 107W</t>
  </si>
  <si>
    <t>Toner - alternativo - TN3499 - para impresora BROTHER MFC L6900W</t>
  </si>
  <si>
    <t xml:space="preserve">Toner - alternativo - 53A o 53X - para impresora HP  Laser Jet P 2014 - </t>
  </si>
  <si>
    <t>Toner - alternativo - 17A  - para impresora HP M102W</t>
  </si>
  <si>
    <t>Toner - alternativo - 26A -  para impresora HP M402dn</t>
  </si>
  <si>
    <t>Toner - alternativo - 80x u 80A - para impresora HP Laser Jet Pro 400 M401dne</t>
  </si>
  <si>
    <t>Toner - alternativo - D101 - para impresora SAMSUNG ML2165W</t>
  </si>
  <si>
    <t xml:space="preserve"> Toner - alternativo - CE410A, para impresora HP LASERJET PRO M475DN, (tipo HP, Global, G&amp;G, Asta) o alternativos compatibles</t>
  </si>
  <si>
    <t xml:space="preserve"> Toner - alternativo - CE411A, para impresora HP LASERJET PRO M475DN, (tipo HP, Global, G&amp;G, Asta) o alternativos compatibles</t>
  </si>
  <si>
    <t xml:space="preserve"> Toner - alternativo - CE412A, para impresora HP LASERJET PRO M475DN, (tipo HP, Global, G&amp;G, Asta) o alternativos compatibles</t>
  </si>
  <si>
    <t xml:space="preserve"> Toner - alternativo - CE413A, para impresora HP LASERJET PRO M475DN, (tipo HP, Global, G&amp;G, Asta) o alternativos compatibles</t>
  </si>
  <si>
    <t>Toner - alternativo -  CE505A, para impresora HP LASERJET PRO 400-M401DN, (tipo HP, Global, G&amp;G, Asta) o alternativos compatibles</t>
  </si>
  <si>
    <t>Cartucho de tinta HP 74 xl - Alta capacidad de 18 ml - Negro - Original para impresora HP deskjet serie 5700</t>
  </si>
  <si>
    <t>Cartucho de tinta HP 75 xl - Alta capacidad de 12 ml - Tricolor - Original  para impresora HP deskjet serie 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</si>
</sst>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6" formatCode="_-[$$-2C0A]\ * #,##0.00_-;\-[$$-2C0A]\ * #,##0.00_-;_-[$$-2C0A]\ * &quot;-&quot;??_-;_-@"/>
  </numFmts>
  <fonts count="1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color rgb="FF000000"/>
      <name val="Arial"/>
      <family val="2"/>
    </font>
    <font>
      <sz val="10"/>
      <name val="Times New Roman"/>
      <family val="1"/>
    </font>
    <font>
      <b/>
      <u/>
      <sz val="22"/>
      <name val="Times New Roman"/>
      <family val="1"/>
    </font>
    <font>
      <b/>
      <sz val="11"/>
      <color rgb="FF333333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8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1"/>
      <name val="Arial"/>
      <family val="2"/>
    </font>
    <font>
      <b/>
      <sz val="11"/>
      <color theme="8" tint="0.59999389629810485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CC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6">
    <xf numFmtId="0" fontId="0" fillId="0" borderId="0" xfId="0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7" fillId="3" borderId="9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4" fontId="8" fillId="3" borderId="10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3" fontId="9" fillId="0" borderId="13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vertical="center"/>
    </xf>
    <xf numFmtId="166" fontId="11" fillId="7" borderId="13" xfId="0" applyNumberFormat="1" applyFont="1" applyFill="1" applyBorder="1" applyAlignment="1">
      <alignment vertical="center"/>
    </xf>
    <xf numFmtId="0" fontId="9" fillId="6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3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vertical="center"/>
    </xf>
    <xf numFmtId="166" fontId="11" fillId="7" borderId="15" xfId="0" applyNumberFormat="1" applyFont="1" applyFill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4" fillId="8" borderId="2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vertical="center" wrapText="1"/>
    </xf>
    <xf numFmtId="166" fontId="13" fillId="8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6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19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15" fillId="0" borderId="18" xfId="0" applyFont="1" applyBorder="1"/>
    <xf numFmtId="0" fontId="16" fillId="0" borderId="4" xfId="0" applyFont="1" applyBorder="1"/>
    <xf numFmtId="0" fontId="17" fillId="0" borderId="19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5" fillId="0" borderId="0" xfId="0" applyFont="1"/>
    <xf numFmtId="0" fontId="16" fillId="0" borderId="20" xfId="0" applyFont="1" applyBorder="1"/>
    <xf numFmtId="0" fontId="18" fillId="0" borderId="19" xfId="0" applyFont="1" applyBorder="1"/>
    <xf numFmtId="0" fontId="16" fillId="2" borderId="21" xfId="0" applyFont="1" applyFill="1" applyBorder="1" applyAlignment="1">
      <alignment horizontal="left" vertical="center" wrapText="1"/>
    </xf>
    <xf numFmtId="0" fontId="16" fillId="2" borderId="22" xfId="0" applyFont="1" applyFill="1" applyBorder="1" applyAlignment="1">
      <alignment horizontal="left" vertical="center" wrapText="1"/>
    </xf>
    <xf numFmtId="0" fontId="16" fillId="0" borderId="23" xfId="0" applyFont="1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16" fillId="2" borderId="0" xfId="0" applyFont="1" applyFill="1" applyAlignment="1">
      <alignment horizontal="left" vertical="center" wrapText="1"/>
    </xf>
    <xf numFmtId="0" fontId="16" fillId="0" borderId="19" xfId="0" applyFont="1" applyBorder="1"/>
    <xf numFmtId="0" fontId="16" fillId="0" borderId="19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2" borderId="21" xfId="0" applyFont="1" applyFill="1" applyBorder="1" applyAlignment="1">
      <alignment horizontal="left" vertical="center" wrapText="1"/>
    </xf>
    <xf numFmtId="0" fontId="16" fillId="2" borderId="22" xfId="0" applyFont="1" applyFill="1" applyBorder="1" applyAlignment="1">
      <alignment horizontal="left" vertical="center" wrapText="1"/>
    </xf>
    <xf numFmtId="0" fontId="17" fillId="0" borderId="17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6" fillId="0" borderId="19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2" borderId="19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20" xfId="0" applyFont="1" applyFill="1" applyBorder="1" applyAlignment="1">
      <alignment horizontal="left" vertical="center" wrapText="1"/>
    </xf>
    <xf numFmtId="0" fontId="16" fillId="2" borderId="23" xfId="0" applyFont="1" applyFill="1" applyBorder="1" applyAlignment="1">
      <alignment horizontal="left" vertical="center" wrapText="1"/>
    </xf>
    <xf numFmtId="0" fontId="16" fillId="0" borderId="0" xfId="0" applyFont="1"/>
    <xf numFmtId="0" fontId="5" fillId="3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0" fontId="13" fillId="8" borderId="9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8" fillId="2" borderId="19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5" fillId="4" borderId="8" xfId="0" applyFont="1" applyFill="1" applyBorder="1" applyAlignment="1">
      <alignment horizontal="left" vertical="center" wrapText="1"/>
    </xf>
  </cellXfs>
  <cellStyles count="3">
    <cellStyle name="Normal" xfId="0" builtinId="0"/>
    <cellStyle name="Normal 15" xfId="1" xr:uid="{868C71A3-5B7B-44E3-8732-738117E7CB26}"/>
    <cellStyle name="Normal 7" xfId="2" xr:uid="{824B6B59-0BB6-476E-9EA9-80E8CDCE0829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ias\AppData\Local\Temp\$frd_\F9R6BD2.tmp\MHP%20-%20UNIFICADO%20-%20TON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P - MHP"/>
      <sheetName val="APG - MHP"/>
      <sheetName val="NP - SAF"/>
      <sheetName val="APG - SAF"/>
      <sheetName val="NP - SCyA"/>
      <sheetName val="APG - SCyA"/>
      <sheetName val="NP - FINANZAS"/>
      <sheetName val="APG - FINANZAS"/>
      <sheetName val="NP - TGP"/>
      <sheetName val="APG - TGP"/>
      <sheetName val="NP - SSP"/>
      <sheetName val="APG - SSP"/>
      <sheetName val="NP - CGP"/>
      <sheetName val="APG - CGP"/>
      <sheetName val="NP - CAU"/>
      <sheetName val="APG - CAU"/>
      <sheetName val="NP - CP"/>
      <sheetName val="APG - CP"/>
    </sheetNames>
    <sheetDataSet>
      <sheetData sheetId="0" refreshError="1"/>
      <sheetData sheetId="1">
        <row r="11">
          <cell r="G11">
            <v>4</v>
          </cell>
        </row>
        <row r="12">
          <cell r="G12">
            <v>6</v>
          </cell>
        </row>
        <row r="13">
          <cell r="G13">
            <v>2</v>
          </cell>
        </row>
        <row r="14">
          <cell r="G14">
            <v>4</v>
          </cell>
        </row>
      </sheetData>
      <sheetData sheetId="2"/>
      <sheetData sheetId="3">
        <row r="11">
          <cell r="G11">
            <v>18</v>
          </cell>
        </row>
        <row r="12">
          <cell r="G12">
            <v>12</v>
          </cell>
        </row>
        <row r="13">
          <cell r="G13">
            <v>6</v>
          </cell>
        </row>
        <row r="14">
          <cell r="G14">
            <v>6</v>
          </cell>
        </row>
      </sheetData>
      <sheetData sheetId="4"/>
      <sheetData sheetId="5">
        <row r="11">
          <cell r="G11">
            <v>4</v>
          </cell>
        </row>
        <row r="12">
          <cell r="G12">
            <v>6</v>
          </cell>
        </row>
      </sheetData>
      <sheetData sheetId="6"/>
      <sheetData sheetId="7">
        <row r="11">
          <cell r="G11">
            <v>2</v>
          </cell>
        </row>
        <row r="12">
          <cell r="G12">
            <v>2</v>
          </cell>
        </row>
        <row r="13">
          <cell r="G13">
            <v>2</v>
          </cell>
        </row>
      </sheetData>
      <sheetData sheetId="8"/>
      <sheetData sheetId="9">
        <row r="11">
          <cell r="G11">
            <v>20</v>
          </cell>
        </row>
        <row r="12">
          <cell r="G12">
            <v>8</v>
          </cell>
        </row>
        <row r="13">
          <cell r="G13">
            <v>12</v>
          </cell>
        </row>
      </sheetData>
      <sheetData sheetId="10"/>
      <sheetData sheetId="11">
        <row r="11">
          <cell r="G11">
            <v>6</v>
          </cell>
        </row>
        <row r="12">
          <cell r="G12">
            <v>1</v>
          </cell>
        </row>
        <row r="13">
          <cell r="G13">
            <v>2</v>
          </cell>
        </row>
        <row r="14">
          <cell r="G14">
            <v>2</v>
          </cell>
        </row>
        <row r="15">
          <cell r="G15">
            <v>1</v>
          </cell>
        </row>
      </sheetData>
      <sheetData sheetId="12"/>
      <sheetData sheetId="13">
        <row r="11">
          <cell r="G11">
            <v>10</v>
          </cell>
        </row>
        <row r="12">
          <cell r="G12">
            <v>2</v>
          </cell>
        </row>
      </sheetData>
      <sheetData sheetId="14"/>
      <sheetData sheetId="15">
        <row r="11">
          <cell r="G11">
            <v>3</v>
          </cell>
        </row>
      </sheetData>
      <sheetData sheetId="16"/>
      <sheetData sheetId="17">
        <row r="11">
          <cell r="G11">
            <v>8</v>
          </cell>
        </row>
        <row r="12">
          <cell r="G12">
            <v>4</v>
          </cell>
        </row>
        <row r="13">
          <cell r="G13">
            <v>2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D336-376A-46CB-BBDD-762EEAEADB9E}">
  <dimension ref="A1:I140"/>
  <sheetViews>
    <sheetView tabSelected="1" topLeftCell="A106" workbookViewId="0">
      <selection activeCell="B135" sqref="B135:E135"/>
    </sheetView>
  </sheetViews>
  <sheetFormatPr baseColWidth="10" defaultRowHeight="15" x14ac:dyDescent="0.25"/>
  <cols>
    <col min="1" max="1" width="4.140625" customWidth="1"/>
    <col min="2" max="2" width="12.7109375" customWidth="1"/>
    <col min="3" max="3" width="24" customWidth="1"/>
    <col min="4" max="4" width="6.140625" customWidth="1"/>
    <col min="5" max="5" width="55.140625" customWidth="1"/>
    <col min="6" max="6" width="11.28515625" customWidth="1"/>
    <col min="7" max="7" width="12.140625" customWidth="1"/>
    <col min="8" max="8" width="13.28515625" customWidth="1"/>
    <col min="9" max="9" width="15.5703125" customWidth="1"/>
  </cols>
  <sheetData>
    <row r="1" spans="1:9" x14ac:dyDescent="0.25">
      <c r="A1" s="1"/>
      <c r="B1" s="2"/>
      <c r="C1" s="2"/>
      <c r="D1" s="2"/>
      <c r="E1" s="3"/>
      <c r="F1" s="4"/>
      <c r="G1" s="4"/>
      <c r="H1" s="5"/>
      <c r="I1" s="6"/>
    </row>
    <row r="2" spans="1:9" ht="27" x14ac:dyDescent="0.25">
      <c r="A2" s="7"/>
      <c r="B2" s="101" t="s">
        <v>39</v>
      </c>
      <c r="C2" s="101"/>
      <c r="D2" s="101"/>
      <c r="E2" s="101"/>
      <c r="F2" s="101"/>
      <c r="G2" s="101"/>
      <c r="H2" s="101"/>
      <c r="I2" s="102"/>
    </row>
    <row r="3" spans="1:9" x14ac:dyDescent="0.25">
      <c r="A3" s="8"/>
      <c r="B3" s="9"/>
      <c r="C3" s="9"/>
      <c r="D3" s="9"/>
      <c r="E3" s="10"/>
      <c r="F3" s="11"/>
      <c r="G3" s="11"/>
      <c r="H3" s="12"/>
      <c r="I3" s="13"/>
    </row>
    <row r="4" spans="1:9" x14ac:dyDescent="0.25">
      <c r="A4" s="90" t="s">
        <v>40</v>
      </c>
      <c r="B4" s="91"/>
      <c r="C4" s="103" t="s">
        <v>41</v>
      </c>
      <c r="D4" s="104"/>
      <c r="E4" s="104"/>
      <c r="F4" s="14"/>
      <c r="G4" s="15"/>
      <c r="H4" s="16"/>
      <c r="I4" s="17"/>
    </row>
    <row r="5" spans="1:9" x14ac:dyDescent="0.25">
      <c r="A5" s="90" t="s">
        <v>42</v>
      </c>
      <c r="B5" s="91"/>
      <c r="C5" s="103" t="s">
        <v>43</v>
      </c>
      <c r="D5" s="103"/>
      <c r="E5" s="103"/>
      <c r="F5" s="103"/>
      <c r="G5" s="103"/>
      <c r="H5" s="103"/>
      <c r="I5" s="105"/>
    </row>
    <row r="6" spans="1:9" x14ac:dyDescent="0.25">
      <c r="A6" s="90" t="s">
        <v>44</v>
      </c>
      <c r="B6" s="91"/>
      <c r="C6" s="18">
        <v>2021</v>
      </c>
      <c r="D6" s="19"/>
      <c r="E6" s="18"/>
      <c r="F6" s="14"/>
      <c r="G6" s="15"/>
      <c r="H6" s="16"/>
      <c r="I6" s="17"/>
    </row>
    <row r="7" spans="1:9" x14ac:dyDescent="0.25">
      <c r="A7" s="90" t="s">
        <v>45</v>
      </c>
      <c r="B7" s="91"/>
      <c r="C7" s="18">
        <v>3</v>
      </c>
      <c r="D7" s="19"/>
      <c r="E7" s="18"/>
      <c r="F7" s="14"/>
      <c r="G7" s="15"/>
      <c r="H7" s="16"/>
      <c r="I7" s="17"/>
    </row>
    <row r="8" spans="1:9" x14ac:dyDescent="0.25">
      <c r="A8" s="20"/>
      <c r="B8" s="21"/>
      <c r="C8" s="21"/>
      <c r="D8" s="21"/>
      <c r="E8" s="22"/>
      <c r="F8" s="22"/>
      <c r="G8" s="21"/>
      <c r="H8" s="23"/>
      <c r="I8" s="24"/>
    </row>
    <row r="9" spans="1:9" ht="45.75" thickBot="1" x14ac:dyDescent="0.3">
      <c r="A9" s="25" t="s">
        <v>7</v>
      </c>
      <c r="B9" s="25" t="s">
        <v>8</v>
      </c>
      <c r="C9" s="25" t="s">
        <v>9</v>
      </c>
      <c r="D9" s="25" t="s">
        <v>10</v>
      </c>
      <c r="E9" s="25" t="s">
        <v>11</v>
      </c>
      <c r="F9" s="25" t="s">
        <v>12</v>
      </c>
      <c r="G9" s="25" t="s">
        <v>46</v>
      </c>
      <c r="H9" s="26" t="s">
        <v>13</v>
      </c>
      <c r="I9" s="25" t="s">
        <v>14</v>
      </c>
    </row>
    <row r="10" spans="1:9" x14ac:dyDescent="0.25">
      <c r="A10" s="27">
        <v>1</v>
      </c>
      <c r="B10" s="28" t="s">
        <v>0</v>
      </c>
      <c r="C10" s="28" t="s">
        <v>1</v>
      </c>
      <c r="D10" s="29">
        <v>292</v>
      </c>
      <c r="E10" s="30" t="s">
        <v>2</v>
      </c>
      <c r="F10" s="28" t="s">
        <v>47</v>
      </c>
      <c r="G10" s="31">
        <f>+'[1]NP - MHP'!G12+'[1]NP - SAF'!G11+'[1]NP - FINANZAS'!G12+'[1]NP - TGP'!G11+'[1]NP - CGP'!G11+'[1]NP - SCyA'!G11</f>
        <v>60</v>
      </c>
      <c r="H10" s="32">
        <v>950</v>
      </c>
      <c r="I10" s="33">
        <f t="shared" ref="I10:I24" si="0">H10*G10</f>
        <v>57000</v>
      </c>
    </row>
    <row r="11" spans="1:9" x14ac:dyDescent="0.25">
      <c r="A11" s="34">
        <v>2</v>
      </c>
      <c r="B11" s="35" t="s">
        <v>15</v>
      </c>
      <c r="C11" s="36" t="s">
        <v>1</v>
      </c>
      <c r="D11" s="37">
        <v>292</v>
      </c>
      <c r="E11" s="38" t="s">
        <v>16</v>
      </c>
      <c r="F11" s="36" t="s">
        <v>47</v>
      </c>
      <c r="G11" s="39">
        <f>+'[1]NP - MHP'!G11+'[1]NP - SAF'!G12+'[1]NP - FINANZAS'!G11+'[1]NP - SCyA'!G12+'[1]NP - CAU'!G11</f>
        <v>27</v>
      </c>
      <c r="H11" s="40">
        <v>1750</v>
      </c>
      <c r="I11" s="41">
        <f t="shared" si="0"/>
        <v>47250</v>
      </c>
    </row>
    <row r="12" spans="1:9" x14ac:dyDescent="0.25">
      <c r="A12" s="34">
        <v>3</v>
      </c>
      <c r="B12" s="35" t="s">
        <v>37</v>
      </c>
      <c r="C12" s="36" t="s">
        <v>1</v>
      </c>
      <c r="D12" s="37">
        <v>292</v>
      </c>
      <c r="E12" s="38" t="s">
        <v>38</v>
      </c>
      <c r="F12" s="36" t="s">
        <v>47</v>
      </c>
      <c r="G12" s="39">
        <f>+'[1]NP - MHP'!G13</f>
        <v>2</v>
      </c>
      <c r="H12" s="40">
        <v>3600</v>
      </c>
      <c r="I12" s="41">
        <f t="shared" si="0"/>
        <v>7200</v>
      </c>
    </row>
    <row r="13" spans="1:9" x14ac:dyDescent="0.25">
      <c r="A13" s="34">
        <v>4</v>
      </c>
      <c r="B13" s="35" t="s">
        <v>35</v>
      </c>
      <c r="C13" s="36" t="s">
        <v>1</v>
      </c>
      <c r="D13" s="37">
        <v>292</v>
      </c>
      <c r="E13" s="38" t="s">
        <v>36</v>
      </c>
      <c r="F13" s="36" t="s">
        <v>47</v>
      </c>
      <c r="G13" s="39">
        <f>+'[1]NP - MHP'!G14+'[1]NP - CP'!G13</f>
        <v>6</v>
      </c>
      <c r="H13" s="40">
        <v>2500</v>
      </c>
      <c r="I13" s="41">
        <f t="shared" si="0"/>
        <v>15000</v>
      </c>
    </row>
    <row r="14" spans="1:9" x14ac:dyDescent="0.25">
      <c r="A14" s="34">
        <v>5</v>
      </c>
      <c r="B14" s="35" t="s">
        <v>5</v>
      </c>
      <c r="C14" s="36" t="s">
        <v>1</v>
      </c>
      <c r="D14" s="37">
        <v>292</v>
      </c>
      <c r="E14" s="38" t="s">
        <v>6</v>
      </c>
      <c r="F14" s="36" t="s">
        <v>47</v>
      </c>
      <c r="G14" s="39">
        <f>+'[1]NP - SAF'!G13+'[1]NP - TGP'!G13</f>
        <v>18</v>
      </c>
      <c r="H14" s="40">
        <v>1500</v>
      </c>
      <c r="I14" s="41">
        <f t="shared" si="0"/>
        <v>27000</v>
      </c>
    </row>
    <row r="15" spans="1:9" x14ac:dyDescent="0.25">
      <c r="A15" s="34">
        <v>6</v>
      </c>
      <c r="B15" s="35" t="s">
        <v>17</v>
      </c>
      <c r="C15" s="36" t="s">
        <v>1</v>
      </c>
      <c r="D15" s="37">
        <v>292</v>
      </c>
      <c r="E15" s="38" t="s">
        <v>18</v>
      </c>
      <c r="F15" s="36" t="s">
        <v>47</v>
      </c>
      <c r="G15" s="39">
        <f>+'[1]NP - SAF'!G14</f>
        <v>6</v>
      </c>
      <c r="H15" s="40">
        <v>1900</v>
      </c>
      <c r="I15" s="41">
        <f t="shared" si="0"/>
        <v>11400</v>
      </c>
    </row>
    <row r="16" spans="1:9" x14ac:dyDescent="0.25">
      <c r="A16" s="34">
        <v>7</v>
      </c>
      <c r="B16" s="35" t="s">
        <v>3</v>
      </c>
      <c r="C16" s="36" t="s">
        <v>1</v>
      </c>
      <c r="D16" s="37">
        <v>292</v>
      </c>
      <c r="E16" s="38" t="s">
        <v>4</v>
      </c>
      <c r="F16" s="36" t="s">
        <v>47</v>
      </c>
      <c r="G16" s="39">
        <f>+'[1]NP - TGP'!G12+'[1]NP - CGP'!G12</f>
        <v>10</v>
      </c>
      <c r="H16" s="40">
        <v>1400</v>
      </c>
      <c r="I16" s="41">
        <f t="shared" si="0"/>
        <v>14000</v>
      </c>
    </row>
    <row r="17" spans="1:9" x14ac:dyDescent="0.25">
      <c r="A17" s="34">
        <v>8</v>
      </c>
      <c r="B17" s="35" t="s">
        <v>19</v>
      </c>
      <c r="C17" s="36" t="s">
        <v>1</v>
      </c>
      <c r="D17" s="37">
        <v>292</v>
      </c>
      <c r="E17" s="38" t="s">
        <v>20</v>
      </c>
      <c r="F17" s="36" t="s">
        <v>47</v>
      </c>
      <c r="G17" s="39">
        <f>+'[1]NP - FINANZAS'!G13</f>
        <v>2</v>
      </c>
      <c r="H17" s="40">
        <v>1000</v>
      </c>
      <c r="I17" s="41">
        <f t="shared" si="0"/>
        <v>2000</v>
      </c>
    </row>
    <row r="18" spans="1:9" x14ac:dyDescent="0.25">
      <c r="A18" s="34">
        <v>9</v>
      </c>
      <c r="B18" s="35" t="s">
        <v>21</v>
      </c>
      <c r="C18" s="36" t="s">
        <v>1</v>
      </c>
      <c r="D18" s="37">
        <v>292</v>
      </c>
      <c r="E18" s="38" t="s">
        <v>22</v>
      </c>
      <c r="F18" s="36" t="s">
        <v>47</v>
      </c>
      <c r="G18" s="39">
        <f>+'[1]NP - SSP'!G11</f>
        <v>6</v>
      </c>
      <c r="H18" s="40">
        <v>15000</v>
      </c>
      <c r="I18" s="41">
        <f t="shared" si="0"/>
        <v>90000</v>
      </c>
    </row>
    <row r="19" spans="1:9" x14ac:dyDescent="0.25">
      <c r="A19" s="34">
        <v>10</v>
      </c>
      <c r="B19" s="42" t="s">
        <v>23</v>
      </c>
      <c r="C19" s="36" t="s">
        <v>1</v>
      </c>
      <c r="D19" s="37">
        <v>292</v>
      </c>
      <c r="E19" s="38" t="s">
        <v>24</v>
      </c>
      <c r="F19" s="36" t="s">
        <v>47</v>
      </c>
      <c r="G19" s="39">
        <f>+'[1]NP - SSP'!G12</f>
        <v>1</v>
      </c>
      <c r="H19" s="40">
        <v>15000</v>
      </c>
      <c r="I19" s="41">
        <f t="shared" si="0"/>
        <v>15000</v>
      </c>
    </row>
    <row r="20" spans="1:9" x14ac:dyDescent="0.25">
      <c r="A20" s="34">
        <v>11</v>
      </c>
      <c r="B20" s="42" t="s">
        <v>25</v>
      </c>
      <c r="C20" s="36" t="s">
        <v>1</v>
      </c>
      <c r="D20" s="37">
        <v>292</v>
      </c>
      <c r="E20" s="38" t="s">
        <v>26</v>
      </c>
      <c r="F20" s="36" t="s">
        <v>47</v>
      </c>
      <c r="G20" s="39">
        <f>+'[1]NP - SSP'!G13</f>
        <v>2</v>
      </c>
      <c r="H20" s="40">
        <v>15000</v>
      </c>
      <c r="I20" s="41">
        <f t="shared" si="0"/>
        <v>30000</v>
      </c>
    </row>
    <row r="21" spans="1:9" x14ac:dyDescent="0.25">
      <c r="A21" s="34">
        <v>12</v>
      </c>
      <c r="B21" s="42" t="s">
        <v>27</v>
      </c>
      <c r="C21" s="36" t="s">
        <v>1</v>
      </c>
      <c r="D21" s="37">
        <v>292</v>
      </c>
      <c r="E21" s="38" t="s">
        <v>28</v>
      </c>
      <c r="F21" s="36" t="s">
        <v>47</v>
      </c>
      <c r="G21" s="39">
        <f>+'[1]NP - SSP'!G14</f>
        <v>2</v>
      </c>
      <c r="H21" s="40">
        <v>15000</v>
      </c>
      <c r="I21" s="41">
        <f t="shared" si="0"/>
        <v>30000</v>
      </c>
    </row>
    <row r="22" spans="1:9" x14ac:dyDescent="0.25">
      <c r="A22" s="34">
        <v>13</v>
      </c>
      <c r="B22" s="35" t="s">
        <v>29</v>
      </c>
      <c r="C22" s="36" t="s">
        <v>1</v>
      </c>
      <c r="D22" s="37">
        <v>292</v>
      </c>
      <c r="E22" s="38" t="s">
        <v>30</v>
      </c>
      <c r="F22" s="36" t="s">
        <v>47</v>
      </c>
      <c r="G22" s="39">
        <f>+'[1]NP - SSP'!G15</f>
        <v>1</v>
      </c>
      <c r="H22" s="40">
        <v>8000</v>
      </c>
      <c r="I22" s="41">
        <f t="shared" si="0"/>
        <v>8000</v>
      </c>
    </row>
    <row r="23" spans="1:9" x14ac:dyDescent="0.25">
      <c r="A23" s="34">
        <v>14</v>
      </c>
      <c r="B23" s="35" t="s">
        <v>31</v>
      </c>
      <c r="C23" s="36" t="s">
        <v>1</v>
      </c>
      <c r="D23" s="37">
        <v>292</v>
      </c>
      <c r="E23" s="38" t="s">
        <v>32</v>
      </c>
      <c r="F23" s="36" t="s">
        <v>47</v>
      </c>
      <c r="G23" s="39">
        <f>+'[1]NP - CP'!G11</f>
        <v>8</v>
      </c>
      <c r="H23" s="40">
        <v>5000</v>
      </c>
      <c r="I23" s="41">
        <f t="shared" si="0"/>
        <v>40000</v>
      </c>
    </row>
    <row r="24" spans="1:9" x14ac:dyDescent="0.25">
      <c r="A24" s="34">
        <v>15</v>
      </c>
      <c r="B24" s="35" t="s">
        <v>33</v>
      </c>
      <c r="C24" s="36" t="s">
        <v>1</v>
      </c>
      <c r="D24" s="37">
        <v>292</v>
      </c>
      <c r="E24" s="38" t="s">
        <v>34</v>
      </c>
      <c r="F24" s="36" t="s">
        <v>47</v>
      </c>
      <c r="G24" s="35">
        <f>+'[1]NP - CP'!G12</f>
        <v>4</v>
      </c>
      <c r="H24" s="40">
        <v>4500</v>
      </c>
      <c r="I24" s="41">
        <f t="shared" si="0"/>
        <v>18000</v>
      </c>
    </row>
    <row r="25" spans="1:9" x14ac:dyDescent="0.25">
      <c r="A25" s="92"/>
      <c r="B25" s="93"/>
      <c r="C25" s="93"/>
      <c r="D25" s="93"/>
      <c r="E25" s="93"/>
      <c r="F25" s="94"/>
      <c r="G25" s="43"/>
      <c r="H25" s="44"/>
      <c r="I25" s="45"/>
    </row>
    <row r="26" spans="1:9" ht="16.5" thickBot="1" x14ac:dyDescent="0.3">
      <c r="A26" s="46"/>
      <c r="B26" s="47"/>
      <c r="C26" s="47"/>
      <c r="D26" s="47"/>
      <c r="E26" s="48"/>
      <c r="F26" s="46"/>
      <c r="G26" s="46"/>
      <c r="H26" s="49"/>
      <c r="I26" s="50"/>
    </row>
    <row r="27" spans="1:9" ht="15.75" x14ac:dyDescent="0.25">
      <c r="A27" s="51"/>
      <c r="B27" s="95" t="s">
        <v>48</v>
      </c>
      <c r="C27" s="96"/>
      <c r="D27" s="96"/>
      <c r="E27" s="97"/>
      <c r="F27" s="51"/>
      <c r="G27" s="51"/>
      <c r="H27" s="52"/>
      <c r="I27" s="53"/>
    </row>
    <row r="28" spans="1:9" ht="15.75" x14ac:dyDescent="0.25">
      <c r="A28" s="51"/>
      <c r="B28" s="75"/>
      <c r="C28" s="76"/>
      <c r="D28" s="76"/>
      <c r="E28" s="77"/>
      <c r="F28" s="51"/>
      <c r="G28" s="51"/>
      <c r="H28" s="52"/>
      <c r="I28" s="53"/>
    </row>
    <row r="29" spans="1:9" ht="15.75" x14ac:dyDescent="0.25">
      <c r="A29" s="51"/>
      <c r="B29" s="75"/>
      <c r="C29" s="76"/>
      <c r="D29" s="76"/>
      <c r="E29" s="77"/>
      <c r="F29" s="51"/>
      <c r="G29" s="51"/>
      <c r="H29" s="52"/>
      <c r="I29" s="53"/>
    </row>
    <row r="30" spans="1:9" ht="15.75" x14ac:dyDescent="0.25">
      <c r="A30" s="51"/>
      <c r="B30" s="75"/>
      <c r="C30" s="76"/>
      <c r="D30" s="76"/>
      <c r="E30" s="77"/>
      <c r="F30" s="51"/>
      <c r="G30" s="51"/>
      <c r="H30" s="52"/>
      <c r="I30" s="53"/>
    </row>
    <row r="31" spans="1:9" ht="15.75" x14ac:dyDescent="0.25">
      <c r="A31" s="54"/>
      <c r="B31" s="75"/>
      <c r="C31" s="76"/>
      <c r="D31" s="76"/>
      <c r="E31" s="77"/>
      <c r="F31" s="54"/>
      <c r="G31" s="54"/>
      <c r="H31" s="54"/>
      <c r="I31" s="54"/>
    </row>
    <row r="32" spans="1:9" ht="15.75" x14ac:dyDescent="0.25">
      <c r="A32" s="54"/>
      <c r="B32" s="82" t="s">
        <v>49</v>
      </c>
      <c r="C32" s="83"/>
      <c r="D32" s="55"/>
      <c r="E32" s="56"/>
      <c r="F32" s="54"/>
      <c r="G32" s="54"/>
      <c r="H32" s="54"/>
      <c r="I32" s="54"/>
    </row>
    <row r="33" spans="1:9" ht="15.75" x14ac:dyDescent="0.25">
      <c r="A33" s="54"/>
      <c r="B33" s="57"/>
      <c r="C33" s="58"/>
      <c r="D33" s="55"/>
      <c r="E33" s="56"/>
      <c r="F33" s="54"/>
      <c r="G33" s="54"/>
      <c r="H33" s="54"/>
      <c r="I33" s="54"/>
    </row>
    <row r="34" spans="1:9" ht="15.75" x14ac:dyDescent="0.25">
      <c r="A34" s="59"/>
      <c r="B34" s="98" t="s">
        <v>50</v>
      </c>
      <c r="C34" s="99"/>
      <c r="D34" s="99"/>
      <c r="E34" s="100"/>
      <c r="F34" s="59"/>
      <c r="G34" s="59"/>
      <c r="H34" s="59"/>
      <c r="I34" s="59"/>
    </row>
    <row r="35" spans="1:9" ht="15.75" x14ac:dyDescent="0.25">
      <c r="A35" s="59"/>
      <c r="B35" s="85" t="s">
        <v>51</v>
      </c>
      <c r="C35" s="86"/>
      <c r="D35" s="86"/>
      <c r="E35" s="87"/>
      <c r="F35" s="59"/>
      <c r="G35" s="59"/>
      <c r="H35" s="59"/>
      <c r="I35" s="59"/>
    </row>
    <row r="36" spans="1:9" ht="15.75" x14ac:dyDescent="0.25">
      <c r="A36" s="59"/>
      <c r="B36" s="85" t="s">
        <v>52</v>
      </c>
      <c r="C36" s="86"/>
      <c r="D36" s="86"/>
      <c r="E36" s="87"/>
      <c r="F36" s="59"/>
      <c r="G36" s="59"/>
      <c r="H36" s="59"/>
      <c r="I36" s="59"/>
    </row>
    <row r="37" spans="1:9" ht="15.75" x14ac:dyDescent="0.25">
      <c r="A37" s="59"/>
      <c r="B37" s="85" t="s">
        <v>53</v>
      </c>
      <c r="C37" s="86"/>
      <c r="D37" s="86"/>
      <c r="E37" s="87"/>
      <c r="F37" s="59"/>
      <c r="G37" s="59"/>
      <c r="H37" s="59"/>
      <c r="I37" s="59"/>
    </row>
    <row r="38" spans="1:9" ht="15.75" x14ac:dyDescent="0.25">
      <c r="A38" s="59"/>
      <c r="B38" s="85" t="s">
        <v>54</v>
      </c>
      <c r="C38" s="86"/>
      <c r="D38" s="86"/>
      <c r="E38" s="87"/>
      <c r="F38" s="59"/>
      <c r="G38" s="59"/>
      <c r="H38" s="59"/>
      <c r="I38" s="59"/>
    </row>
    <row r="39" spans="1:9" ht="15.75" x14ac:dyDescent="0.25">
      <c r="A39" s="59"/>
      <c r="B39" s="85" t="s">
        <v>55</v>
      </c>
      <c r="C39" s="86"/>
      <c r="D39" s="86"/>
      <c r="E39" s="87"/>
      <c r="F39" s="59"/>
      <c r="G39" s="59"/>
      <c r="H39" s="59"/>
      <c r="I39" s="59"/>
    </row>
    <row r="40" spans="1:9" ht="15.75" x14ac:dyDescent="0.25">
      <c r="A40" s="59"/>
      <c r="B40" s="85" t="s">
        <v>56</v>
      </c>
      <c r="C40" s="86"/>
      <c r="D40" s="86"/>
      <c r="E40" s="87"/>
      <c r="F40" s="59"/>
      <c r="G40" s="59"/>
      <c r="H40" s="59"/>
      <c r="I40" s="59"/>
    </row>
    <row r="41" spans="1:9" ht="15.75" x14ac:dyDescent="0.25">
      <c r="A41" s="59"/>
      <c r="B41" s="85" t="s">
        <v>57</v>
      </c>
      <c r="C41" s="86"/>
      <c r="D41" s="86"/>
      <c r="E41" s="87"/>
      <c r="F41" s="59"/>
      <c r="G41" s="59"/>
      <c r="H41" s="59"/>
      <c r="I41" s="59"/>
    </row>
    <row r="42" spans="1:9" ht="15.75" x14ac:dyDescent="0.25">
      <c r="A42" s="59"/>
      <c r="B42" s="85" t="s">
        <v>58</v>
      </c>
      <c r="C42" s="86"/>
      <c r="D42" s="86"/>
      <c r="E42" s="87"/>
      <c r="F42" s="59"/>
      <c r="G42" s="59"/>
      <c r="H42" s="59"/>
      <c r="I42" s="59"/>
    </row>
    <row r="43" spans="1:9" ht="16.5" thickBot="1" x14ac:dyDescent="0.3">
      <c r="A43" s="59"/>
      <c r="B43" s="78" t="s">
        <v>59</v>
      </c>
      <c r="C43" s="79"/>
      <c r="D43" s="79"/>
      <c r="E43" s="88"/>
      <c r="F43" s="59"/>
      <c r="G43" s="59"/>
      <c r="H43" s="59"/>
      <c r="I43" s="59"/>
    </row>
    <row r="44" spans="1:9" ht="16.5" thickBot="1" x14ac:dyDescent="0.3">
      <c r="A44" s="59"/>
      <c r="B44" s="89"/>
      <c r="C44" s="89"/>
      <c r="D44" s="89"/>
      <c r="E44" s="89"/>
      <c r="F44" s="59"/>
      <c r="G44" s="59"/>
      <c r="H44" s="59"/>
      <c r="I44" s="59"/>
    </row>
    <row r="45" spans="1:9" ht="15.75" x14ac:dyDescent="0.25">
      <c r="A45" s="59"/>
      <c r="B45" s="80" t="s">
        <v>60</v>
      </c>
      <c r="C45" s="81"/>
      <c r="D45" s="60">
        <v>1</v>
      </c>
      <c r="E45" s="61"/>
      <c r="F45" s="59"/>
      <c r="G45" s="59"/>
      <c r="H45" s="59"/>
      <c r="I45" s="59"/>
    </row>
    <row r="46" spans="1:9" ht="15.75" x14ac:dyDescent="0.25">
      <c r="A46" s="59"/>
      <c r="B46" s="62"/>
      <c r="C46" s="63"/>
      <c r="D46" s="64"/>
      <c r="E46" s="65"/>
      <c r="F46" s="59"/>
      <c r="G46" s="59"/>
      <c r="H46" s="59"/>
      <c r="I46" s="59"/>
    </row>
    <row r="47" spans="1:9" ht="15.75" x14ac:dyDescent="0.25">
      <c r="A47" s="59"/>
      <c r="B47" s="66" t="s">
        <v>61</v>
      </c>
      <c r="C47" s="54"/>
      <c r="D47" s="54"/>
      <c r="E47" s="65"/>
      <c r="F47" s="59"/>
      <c r="G47" s="59"/>
      <c r="H47" s="59"/>
      <c r="I47" s="59"/>
    </row>
    <row r="48" spans="1:9" ht="15.75" x14ac:dyDescent="0.25">
      <c r="A48" s="59"/>
      <c r="B48" s="85" t="s">
        <v>62</v>
      </c>
      <c r="C48" s="86"/>
      <c r="D48" s="86"/>
      <c r="E48" s="87"/>
      <c r="F48" s="59"/>
      <c r="G48" s="59"/>
      <c r="H48" s="59"/>
      <c r="I48" s="59"/>
    </row>
    <row r="49" spans="1:9" ht="16.5" thickBot="1" x14ac:dyDescent="0.3">
      <c r="A49" s="59"/>
      <c r="B49" s="67"/>
      <c r="C49" s="68"/>
      <c r="D49" s="68"/>
      <c r="E49" s="69"/>
      <c r="F49" s="59"/>
      <c r="G49" s="59"/>
      <c r="H49" s="59"/>
      <c r="I49" s="59"/>
    </row>
    <row r="50" spans="1:9" ht="15.75" x14ac:dyDescent="0.25">
      <c r="A50" s="59"/>
      <c r="B50" s="54"/>
      <c r="C50" s="54"/>
      <c r="D50" s="54"/>
      <c r="E50" s="54"/>
      <c r="F50" s="59"/>
      <c r="G50" s="59"/>
      <c r="H50" s="59"/>
      <c r="I50" s="59"/>
    </row>
    <row r="51" spans="1:9" ht="15.75" thickBot="1" x14ac:dyDescent="0.3">
      <c r="A51" s="59"/>
      <c r="B51" s="70"/>
      <c r="C51" s="59"/>
      <c r="D51" s="70"/>
      <c r="E51" s="59"/>
      <c r="F51" s="59"/>
      <c r="G51" s="59"/>
      <c r="H51" s="59"/>
      <c r="I51" s="59"/>
    </row>
    <row r="52" spans="1:9" ht="15.75" x14ac:dyDescent="0.25">
      <c r="A52" s="59"/>
      <c r="B52" s="80" t="s">
        <v>60</v>
      </c>
      <c r="C52" s="81"/>
      <c r="D52" s="60">
        <v>2</v>
      </c>
      <c r="E52" s="61"/>
      <c r="F52" s="59"/>
      <c r="G52" s="59"/>
      <c r="H52" s="59"/>
      <c r="I52" s="59"/>
    </row>
    <row r="53" spans="1:9" ht="15.75" x14ac:dyDescent="0.25">
      <c r="A53" s="59"/>
      <c r="B53" s="62"/>
      <c r="C53" s="63"/>
      <c r="D53" s="64"/>
      <c r="E53" s="65"/>
      <c r="F53" s="59"/>
      <c r="G53" s="59"/>
      <c r="H53" s="59"/>
      <c r="I53" s="59"/>
    </row>
    <row r="54" spans="1:9" ht="15.75" x14ac:dyDescent="0.25">
      <c r="A54" s="59"/>
      <c r="B54" s="66" t="s">
        <v>61</v>
      </c>
      <c r="C54" s="54"/>
      <c r="D54" s="54"/>
      <c r="E54" s="65"/>
      <c r="F54" s="59"/>
      <c r="G54" s="59"/>
      <c r="H54" s="59"/>
      <c r="I54" s="59"/>
    </row>
    <row r="55" spans="1:9" ht="15.75" x14ac:dyDescent="0.25">
      <c r="A55" s="59"/>
      <c r="B55" s="85" t="s">
        <v>63</v>
      </c>
      <c r="C55" s="86"/>
      <c r="D55" s="86"/>
      <c r="E55" s="87"/>
      <c r="F55" s="59"/>
      <c r="G55" s="59"/>
      <c r="H55" s="59"/>
      <c r="I55" s="59"/>
    </row>
    <row r="56" spans="1:9" ht="16.5" thickBot="1" x14ac:dyDescent="0.3">
      <c r="A56" s="59"/>
      <c r="B56" s="67"/>
      <c r="C56" s="68"/>
      <c r="D56" s="68"/>
      <c r="E56" s="69"/>
      <c r="F56" s="59"/>
      <c r="G56" s="59"/>
      <c r="H56" s="59"/>
      <c r="I56" s="59"/>
    </row>
    <row r="57" spans="1:9" x14ac:dyDescent="0.25">
      <c r="A57" s="59"/>
      <c r="B57" s="70"/>
      <c r="C57" s="59"/>
      <c r="D57" s="70"/>
      <c r="E57" s="59"/>
      <c r="F57" s="59"/>
      <c r="G57" s="59"/>
      <c r="H57" s="59"/>
      <c r="I57" s="59"/>
    </row>
    <row r="58" spans="1:9" ht="15.75" thickBot="1" x14ac:dyDescent="0.3">
      <c r="A58" s="59"/>
      <c r="B58" s="71"/>
      <c r="C58" s="72"/>
      <c r="D58" s="71"/>
      <c r="E58" s="72"/>
      <c r="F58" s="59"/>
      <c r="G58" s="59"/>
      <c r="H58" s="59"/>
      <c r="I58" s="59"/>
    </row>
    <row r="59" spans="1:9" ht="15.75" x14ac:dyDescent="0.25">
      <c r="A59" s="59"/>
      <c r="B59" s="80" t="s">
        <v>60</v>
      </c>
      <c r="C59" s="81"/>
      <c r="D59" s="60">
        <v>3</v>
      </c>
      <c r="E59" s="61"/>
      <c r="F59" s="59"/>
      <c r="G59" s="59"/>
      <c r="H59" s="59"/>
      <c r="I59" s="59"/>
    </row>
    <row r="60" spans="1:9" ht="15.75" x14ac:dyDescent="0.25">
      <c r="A60" s="59"/>
      <c r="B60" s="62"/>
      <c r="C60" s="63"/>
      <c r="D60" s="64"/>
      <c r="E60" s="65"/>
      <c r="F60" s="59"/>
      <c r="G60" s="59"/>
      <c r="H60" s="59"/>
      <c r="I60" s="59"/>
    </row>
    <row r="61" spans="1:9" ht="15.75" x14ac:dyDescent="0.25">
      <c r="A61" s="59"/>
      <c r="B61" s="66" t="s">
        <v>61</v>
      </c>
      <c r="C61" s="54"/>
      <c r="D61" s="54"/>
      <c r="E61" s="65"/>
      <c r="F61" s="59"/>
      <c r="G61" s="59"/>
      <c r="H61" s="59"/>
      <c r="I61" s="59"/>
    </row>
    <row r="62" spans="1:9" ht="15.75" x14ac:dyDescent="0.25">
      <c r="A62" s="59"/>
      <c r="B62" s="85" t="s">
        <v>64</v>
      </c>
      <c r="C62" s="86"/>
      <c r="D62" s="86"/>
      <c r="E62" s="87"/>
      <c r="F62" s="59"/>
      <c r="G62" s="59"/>
      <c r="H62" s="59"/>
      <c r="I62" s="59"/>
    </row>
    <row r="63" spans="1:9" ht="16.5" thickBot="1" x14ac:dyDescent="0.3">
      <c r="A63" s="59"/>
      <c r="B63" s="67"/>
      <c r="C63" s="68"/>
      <c r="D63" s="68"/>
      <c r="E63" s="69"/>
      <c r="F63" s="59"/>
      <c r="G63" s="59"/>
      <c r="H63" s="59"/>
      <c r="I63" s="59"/>
    </row>
    <row r="64" spans="1:9" ht="16.5" thickBot="1" x14ac:dyDescent="0.3">
      <c r="A64" s="59"/>
      <c r="B64" s="73"/>
      <c r="C64" s="73"/>
      <c r="D64" s="73"/>
      <c r="E64" s="54"/>
      <c r="F64" s="59"/>
      <c r="G64" s="59"/>
      <c r="H64" s="59"/>
      <c r="I64" s="59"/>
    </row>
    <row r="65" spans="1:9" ht="15.75" x14ac:dyDescent="0.25">
      <c r="A65" s="59"/>
      <c r="B65" s="80" t="s">
        <v>60</v>
      </c>
      <c r="C65" s="81"/>
      <c r="D65" s="60">
        <v>4</v>
      </c>
      <c r="E65" s="61"/>
      <c r="F65" s="59"/>
      <c r="G65" s="59"/>
      <c r="H65" s="59"/>
      <c r="I65" s="59"/>
    </row>
    <row r="66" spans="1:9" ht="15.75" x14ac:dyDescent="0.25">
      <c r="A66" s="59"/>
      <c r="B66" s="62"/>
      <c r="C66" s="63"/>
      <c r="D66" s="64"/>
      <c r="E66" s="65"/>
      <c r="F66" s="59"/>
      <c r="G66" s="59"/>
      <c r="H66" s="59"/>
      <c r="I66" s="59"/>
    </row>
    <row r="67" spans="1:9" ht="15.75" x14ac:dyDescent="0.25">
      <c r="A67" s="59"/>
      <c r="B67" s="66" t="s">
        <v>61</v>
      </c>
      <c r="C67" s="54"/>
      <c r="D67" s="54"/>
      <c r="E67" s="65"/>
      <c r="F67" s="59"/>
      <c r="G67" s="59"/>
      <c r="H67" s="59"/>
      <c r="I67" s="59"/>
    </row>
    <row r="68" spans="1:9" ht="15.75" x14ac:dyDescent="0.25">
      <c r="A68" s="59"/>
      <c r="B68" s="85" t="s">
        <v>65</v>
      </c>
      <c r="C68" s="86"/>
      <c r="D68" s="86"/>
      <c r="E68" s="87"/>
      <c r="F68" s="59"/>
      <c r="G68" s="59"/>
      <c r="H68" s="59"/>
      <c r="I68" s="59"/>
    </row>
    <row r="69" spans="1:9" ht="16.5" thickBot="1" x14ac:dyDescent="0.3">
      <c r="A69" s="59"/>
      <c r="B69" s="67"/>
      <c r="C69" s="68"/>
      <c r="D69" s="68"/>
      <c r="E69" s="69"/>
      <c r="F69" s="59"/>
      <c r="G69" s="59"/>
      <c r="H69" s="59"/>
      <c r="I69" s="59"/>
    </row>
    <row r="70" spans="1:9" ht="15.75" thickBot="1" x14ac:dyDescent="0.3">
      <c r="A70" s="59"/>
      <c r="B70" s="70"/>
      <c r="C70" s="59"/>
      <c r="D70" s="70"/>
      <c r="E70" s="59"/>
      <c r="F70" s="59"/>
      <c r="G70" s="59"/>
      <c r="H70" s="59"/>
      <c r="I70" s="59"/>
    </row>
    <row r="71" spans="1:9" ht="15.75" x14ac:dyDescent="0.25">
      <c r="A71" s="59"/>
      <c r="B71" s="80" t="s">
        <v>60</v>
      </c>
      <c r="C71" s="81"/>
      <c r="D71" s="60">
        <v>5</v>
      </c>
      <c r="E71" s="61"/>
      <c r="F71" s="59"/>
      <c r="G71" s="59"/>
      <c r="H71" s="59"/>
      <c r="I71" s="59"/>
    </row>
    <row r="72" spans="1:9" ht="15.75" x14ac:dyDescent="0.25">
      <c r="A72" s="59"/>
      <c r="B72" s="62"/>
      <c r="C72" s="63"/>
      <c r="D72" s="64"/>
      <c r="E72" s="65"/>
      <c r="F72" s="59"/>
      <c r="G72" s="59"/>
      <c r="H72" s="59"/>
      <c r="I72" s="59"/>
    </row>
    <row r="73" spans="1:9" ht="15.75" x14ac:dyDescent="0.25">
      <c r="A73" s="59"/>
      <c r="B73" s="66" t="s">
        <v>61</v>
      </c>
      <c r="C73" s="54"/>
      <c r="D73" s="54"/>
      <c r="E73" s="65"/>
      <c r="F73" s="59"/>
      <c r="G73" s="59"/>
      <c r="H73" s="59"/>
      <c r="I73" s="59"/>
    </row>
    <row r="74" spans="1:9" ht="15.75" x14ac:dyDescent="0.25">
      <c r="A74" s="59"/>
      <c r="B74" s="74" t="s">
        <v>66</v>
      </c>
      <c r="C74" s="54"/>
      <c r="D74" s="54"/>
      <c r="E74" s="65"/>
      <c r="F74" s="59"/>
      <c r="G74" s="59"/>
      <c r="H74" s="59"/>
      <c r="I74" s="59"/>
    </row>
    <row r="75" spans="1:9" ht="16.5" thickBot="1" x14ac:dyDescent="0.3">
      <c r="A75" s="59"/>
      <c r="B75" s="78"/>
      <c r="C75" s="79"/>
      <c r="D75" s="79"/>
      <c r="E75" s="69"/>
      <c r="F75" s="59"/>
      <c r="G75" s="59"/>
      <c r="H75" s="59"/>
      <c r="I75" s="59"/>
    </row>
    <row r="76" spans="1:9" ht="15.75" thickBot="1" x14ac:dyDescent="0.3">
      <c r="A76" s="59"/>
      <c r="B76" s="70"/>
      <c r="C76" s="59"/>
      <c r="D76" s="70"/>
      <c r="E76" s="59"/>
      <c r="F76" s="59"/>
      <c r="G76" s="59"/>
      <c r="H76" s="59"/>
      <c r="I76" s="59"/>
    </row>
    <row r="77" spans="1:9" ht="15.75" x14ac:dyDescent="0.25">
      <c r="A77" s="59"/>
      <c r="B77" s="80" t="s">
        <v>60</v>
      </c>
      <c r="C77" s="81"/>
      <c r="D77" s="60">
        <v>6</v>
      </c>
      <c r="E77" s="61"/>
      <c r="F77" s="59"/>
      <c r="G77" s="59"/>
      <c r="H77" s="59"/>
      <c r="I77" s="59"/>
    </row>
    <row r="78" spans="1:9" ht="15.75" x14ac:dyDescent="0.25">
      <c r="A78" s="59"/>
      <c r="B78" s="62"/>
      <c r="C78" s="63"/>
      <c r="D78" s="64"/>
      <c r="E78" s="65"/>
      <c r="F78" s="59"/>
      <c r="G78" s="59"/>
      <c r="H78" s="59"/>
      <c r="I78" s="59"/>
    </row>
    <row r="79" spans="1:9" ht="15.75" x14ac:dyDescent="0.25">
      <c r="A79" s="59"/>
      <c r="B79" s="66" t="s">
        <v>61</v>
      </c>
      <c r="C79" s="54"/>
      <c r="D79" s="54"/>
      <c r="E79" s="65"/>
      <c r="F79" s="59"/>
      <c r="G79" s="59"/>
      <c r="H79" s="59"/>
      <c r="I79" s="59"/>
    </row>
    <row r="80" spans="1:9" ht="15.75" x14ac:dyDescent="0.25">
      <c r="A80" s="59"/>
      <c r="B80" s="74" t="s">
        <v>67</v>
      </c>
      <c r="C80" s="54"/>
      <c r="D80" s="54"/>
      <c r="E80" s="65"/>
      <c r="F80" s="59"/>
      <c r="G80" s="59"/>
      <c r="H80" s="59"/>
      <c r="I80" s="59"/>
    </row>
    <row r="81" spans="1:9" ht="16.5" thickBot="1" x14ac:dyDescent="0.3">
      <c r="A81" s="59"/>
      <c r="B81" s="78"/>
      <c r="C81" s="79"/>
      <c r="D81" s="79"/>
      <c r="E81" s="69"/>
      <c r="F81" s="59"/>
      <c r="G81" s="59"/>
      <c r="H81" s="59"/>
      <c r="I81" s="59"/>
    </row>
    <row r="82" spans="1:9" ht="15.75" thickBot="1" x14ac:dyDescent="0.3">
      <c r="A82" s="59"/>
      <c r="B82" s="70"/>
      <c r="C82" s="59"/>
      <c r="D82" s="70"/>
      <c r="E82" s="59"/>
      <c r="F82" s="59"/>
      <c r="G82" s="59"/>
      <c r="H82" s="59"/>
      <c r="I82" s="59"/>
    </row>
    <row r="83" spans="1:9" ht="15.75" x14ac:dyDescent="0.25">
      <c r="A83" s="59"/>
      <c r="B83" s="80" t="s">
        <v>60</v>
      </c>
      <c r="C83" s="81"/>
      <c r="D83" s="60">
        <v>7</v>
      </c>
      <c r="E83" s="61"/>
      <c r="F83" s="59"/>
      <c r="G83" s="59"/>
      <c r="H83" s="59"/>
      <c r="I83" s="59"/>
    </row>
    <row r="84" spans="1:9" ht="15.75" x14ac:dyDescent="0.25">
      <c r="A84" s="59"/>
      <c r="B84" s="62"/>
      <c r="C84" s="63"/>
      <c r="D84" s="64"/>
      <c r="E84" s="65"/>
      <c r="F84" s="59"/>
      <c r="G84" s="59"/>
      <c r="H84" s="59"/>
      <c r="I84" s="59"/>
    </row>
    <row r="85" spans="1:9" ht="15.75" x14ac:dyDescent="0.25">
      <c r="A85" s="59"/>
      <c r="B85" s="66" t="s">
        <v>61</v>
      </c>
      <c r="C85" s="54"/>
      <c r="D85" s="54"/>
      <c r="E85" s="65"/>
      <c r="F85" s="59"/>
      <c r="G85" s="59"/>
      <c r="H85" s="59"/>
      <c r="I85" s="59"/>
    </row>
    <row r="86" spans="1:9" ht="15.75" x14ac:dyDescent="0.25">
      <c r="A86" s="59"/>
      <c r="B86" s="74" t="s">
        <v>68</v>
      </c>
      <c r="C86" s="54"/>
      <c r="D86" s="54"/>
      <c r="E86" s="65"/>
      <c r="F86" s="59"/>
      <c r="G86" s="59"/>
      <c r="H86" s="59"/>
      <c r="I86" s="59"/>
    </row>
    <row r="87" spans="1:9" ht="16.5" thickBot="1" x14ac:dyDescent="0.3">
      <c r="A87" s="59"/>
      <c r="B87" s="78"/>
      <c r="C87" s="79"/>
      <c r="D87" s="79"/>
      <c r="E87" s="69"/>
      <c r="F87" s="59"/>
      <c r="G87" s="59"/>
      <c r="H87" s="59"/>
      <c r="I87" s="59"/>
    </row>
    <row r="88" spans="1:9" ht="15.75" thickBot="1" x14ac:dyDescent="0.3">
      <c r="A88" s="59"/>
      <c r="B88" s="70"/>
      <c r="C88" s="59"/>
      <c r="D88" s="70"/>
      <c r="E88" s="59"/>
      <c r="F88" s="59"/>
      <c r="G88" s="59"/>
      <c r="H88" s="59"/>
      <c r="I88" s="59"/>
    </row>
    <row r="89" spans="1:9" ht="15.75" x14ac:dyDescent="0.25">
      <c r="A89" s="59"/>
      <c r="B89" s="80" t="s">
        <v>60</v>
      </c>
      <c r="C89" s="81"/>
      <c r="D89" s="60">
        <v>8</v>
      </c>
      <c r="E89" s="61"/>
      <c r="F89" s="59"/>
      <c r="G89" s="59"/>
      <c r="H89" s="59"/>
      <c r="I89" s="59"/>
    </row>
    <row r="90" spans="1:9" ht="15.75" x14ac:dyDescent="0.25">
      <c r="A90" s="59"/>
      <c r="B90" s="62"/>
      <c r="C90" s="63"/>
      <c r="D90" s="64"/>
      <c r="E90" s="65"/>
      <c r="F90" s="59"/>
      <c r="G90" s="59"/>
      <c r="H90" s="59"/>
      <c r="I90" s="59"/>
    </row>
    <row r="91" spans="1:9" ht="15.75" x14ac:dyDescent="0.25">
      <c r="A91" s="59"/>
      <c r="B91" s="66" t="s">
        <v>61</v>
      </c>
      <c r="C91" s="54"/>
      <c r="D91" s="54"/>
      <c r="E91" s="65"/>
      <c r="F91" s="59"/>
      <c r="G91" s="59"/>
      <c r="H91" s="59"/>
      <c r="I91" s="59"/>
    </row>
    <row r="92" spans="1:9" ht="15.75" x14ac:dyDescent="0.25">
      <c r="A92" s="59"/>
      <c r="B92" s="74" t="s">
        <v>69</v>
      </c>
      <c r="C92" s="54"/>
      <c r="D92" s="54"/>
      <c r="E92" s="65"/>
      <c r="F92" s="59"/>
      <c r="G92" s="59"/>
      <c r="H92" s="59"/>
      <c r="I92" s="59"/>
    </row>
    <row r="93" spans="1:9" ht="16.5" thickBot="1" x14ac:dyDescent="0.3">
      <c r="A93" s="59"/>
      <c r="B93" s="78"/>
      <c r="C93" s="79"/>
      <c r="D93" s="79"/>
      <c r="E93" s="69"/>
      <c r="F93" s="59"/>
      <c r="G93" s="59"/>
      <c r="H93" s="59"/>
      <c r="I93" s="59"/>
    </row>
    <row r="94" spans="1:9" ht="15.75" thickBot="1" x14ac:dyDescent="0.3">
      <c r="A94" s="59"/>
      <c r="B94" s="70"/>
      <c r="C94" s="59"/>
      <c r="D94" s="70"/>
      <c r="E94" s="59"/>
      <c r="F94" s="59"/>
      <c r="G94" s="59"/>
      <c r="H94" s="59"/>
      <c r="I94" s="59"/>
    </row>
    <row r="95" spans="1:9" ht="15.75" x14ac:dyDescent="0.25">
      <c r="A95" s="59"/>
      <c r="B95" s="80" t="s">
        <v>60</v>
      </c>
      <c r="C95" s="81"/>
      <c r="D95" s="60">
        <v>9</v>
      </c>
      <c r="E95" s="61"/>
      <c r="F95" s="59"/>
      <c r="G95" s="59"/>
      <c r="H95" s="59"/>
      <c r="I95" s="59"/>
    </row>
    <row r="96" spans="1:9" ht="15.75" x14ac:dyDescent="0.25">
      <c r="A96" s="59"/>
      <c r="B96" s="62"/>
      <c r="C96" s="63"/>
      <c r="D96" s="64"/>
      <c r="E96" s="65"/>
      <c r="F96" s="59"/>
      <c r="G96" s="59"/>
      <c r="H96" s="59"/>
      <c r="I96" s="59"/>
    </row>
    <row r="97" spans="1:9" ht="15.75" x14ac:dyDescent="0.25">
      <c r="A97" s="59"/>
      <c r="B97" s="66" t="s">
        <v>61</v>
      </c>
      <c r="C97" s="54"/>
      <c r="D97" s="54"/>
      <c r="E97" s="65"/>
      <c r="F97" s="59"/>
      <c r="G97" s="59"/>
      <c r="H97" s="59"/>
      <c r="I97" s="59"/>
    </row>
    <row r="98" spans="1:9" ht="15.75" x14ac:dyDescent="0.25">
      <c r="A98" s="59"/>
      <c r="B98" s="75" t="s">
        <v>70</v>
      </c>
      <c r="C98" s="76"/>
      <c r="D98" s="76"/>
      <c r="E98" s="77"/>
      <c r="F98" s="59"/>
      <c r="G98" s="59"/>
      <c r="H98" s="59"/>
      <c r="I98" s="59"/>
    </row>
    <row r="99" spans="1:9" ht="16.5" thickBot="1" x14ac:dyDescent="0.3">
      <c r="A99" s="59"/>
      <c r="B99" s="78"/>
      <c r="C99" s="79"/>
      <c r="D99" s="79"/>
      <c r="E99" s="69"/>
      <c r="F99" s="59"/>
      <c r="G99" s="59"/>
      <c r="H99" s="59"/>
      <c r="I99" s="59"/>
    </row>
    <row r="100" spans="1:9" ht="15.75" thickBot="1" x14ac:dyDescent="0.3">
      <c r="A100" s="59"/>
      <c r="B100" s="70"/>
      <c r="C100" s="59"/>
      <c r="D100" s="70"/>
      <c r="E100" s="59"/>
      <c r="F100" s="59"/>
      <c r="G100" s="59"/>
      <c r="H100" s="59"/>
      <c r="I100" s="59"/>
    </row>
    <row r="101" spans="1:9" ht="15.75" x14ac:dyDescent="0.25">
      <c r="A101" s="59"/>
      <c r="B101" s="80" t="s">
        <v>60</v>
      </c>
      <c r="C101" s="81"/>
      <c r="D101" s="60">
        <v>10</v>
      </c>
      <c r="E101" s="61"/>
      <c r="F101" s="59"/>
      <c r="G101" s="59"/>
      <c r="H101" s="59"/>
      <c r="I101" s="59"/>
    </row>
    <row r="102" spans="1:9" ht="15.75" x14ac:dyDescent="0.25">
      <c r="A102" s="59"/>
      <c r="B102" s="62"/>
      <c r="C102" s="63"/>
      <c r="D102" s="64"/>
      <c r="E102" s="65"/>
      <c r="F102" s="59"/>
      <c r="G102" s="59"/>
      <c r="H102" s="59"/>
      <c r="I102" s="59"/>
    </row>
    <row r="103" spans="1:9" ht="15.75" x14ac:dyDescent="0.25">
      <c r="A103" s="59"/>
      <c r="B103" s="66" t="s">
        <v>61</v>
      </c>
      <c r="C103" s="54"/>
      <c r="D103" s="54"/>
      <c r="E103" s="65"/>
      <c r="F103" s="59"/>
      <c r="G103" s="59"/>
      <c r="H103" s="59"/>
      <c r="I103" s="59"/>
    </row>
    <row r="104" spans="1:9" ht="15.75" x14ac:dyDescent="0.25">
      <c r="A104" s="59"/>
      <c r="B104" s="75" t="s">
        <v>71</v>
      </c>
      <c r="C104" s="76"/>
      <c r="D104" s="76"/>
      <c r="E104" s="77"/>
      <c r="F104" s="59"/>
      <c r="G104" s="59"/>
      <c r="H104" s="59"/>
      <c r="I104" s="59"/>
    </row>
    <row r="105" spans="1:9" ht="16.5" thickBot="1" x14ac:dyDescent="0.3">
      <c r="A105" s="59"/>
      <c r="B105" s="78"/>
      <c r="C105" s="79"/>
      <c r="D105" s="79"/>
      <c r="E105" s="69"/>
      <c r="F105" s="59"/>
      <c r="G105" s="59"/>
      <c r="H105" s="59"/>
      <c r="I105" s="59"/>
    </row>
    <row r="106" spans="1:9" ht="15.75" thickBot="1" x14ac:dyDescent="0.3">
      <c r="A106" s="59"/>
      <c r="B106" s="70"/>
      <c r="C106" s="59"/>
      <c r="D106" s="70"/>
      <c r="E106" s="59"/>
      <c r="F106" s="59"/>
      <c r="G106" s="59"/>
      <c r="H106" s="59"/>
      <c r="I106" s="59"/>
    </row>
    <row r="107" spans="1:9" ht="15.75" x14ac:dyDescent="0.25">
      <c r="A107" s="59"/>
      <c r="B107" s="80" t="s">
        <v>60</v>
      </c>
      <c r="C107" s="81"/>
      <c r="D107" s="60">
        <v>11</v>
      </c>
      <c r="E107" s="61"/>
      <c r="F107" s="59"/>
      <c r="G107" s="59"/>
      <c r="H107" s="59"/>
      <c r="I107" s="59"/>
    </row>
    <row r="108" spans="1:9" ht="15.75" x14ac:dyDescent="0.25">
      <c r="A108" s="59"/>
      <c r="B108" s="62"/>
      <c r="C108" s="63"/>
      <c r="D108" s="64"/>
      <c r="E108" s="65"/>
      <c r="F108" s="59"/>
      <c r="G108" s="59"/>
      <c r="H108" s="59"/>
      <c r="I108" s="59"/>
    </row>
    <row r="109" spans="1:9" ht="15.75" x14ac:dyDescent="0.25">
      <c r="A109" s="59"/>
      <c r="B109" s="66" t="s">
        <v>61</v>
      </c>
      <c r="C109" s="54"/>
      <c r="D109" s="54"/>
      <c r="E109" s="65"/>
      <c r="F109" s="59"/>
      <c r="G109" s="59"/>
      <c r="H109" s="59"/>
      <c r="I109" s="59"/>
    </row>
    <row r="110" spans="1:9" ht="15.75" x14ac:dyDescent="0.25">
      <c r="A110" s="59"/>
      <c r="B110" s="75" t="s">
        <v>72</v>
      </c>
      <c r="C110" s="76"/>
      <c r="D110" s="76"/>
      <c r="E110" s="77"/>
      <c r="F110" s="59"/>
      <c r="G110" s="59"/>
      <c r="H110" s="59"/>
      <c r="I110" s="59"/>
    </row>
    <row r="111" spans="1:9" ht="16.5" thickBot="1" x14ac:dyDescent="0.3">
      <c r="A111" s="59"/>
      <c r="B111" s="78"/>
      <c r="C111" s="79"/>
      <c r="D111" s="79"/>
      <c r="E111" s="69"/>
      <c r="F111" s="59"/>
      <c r="G111" s="59"/>
      <c r="H111" s="59"/>
      <c r="I111" s="59"/>
    </row>
    <row r="112" spans="1:9" ht="15.75" thickBot="1" x14ac:dyDescent="0.3">
      <c r="A112" s="59"/>
      <c r="B112" s="70"/>
      <c r="C112" s="59"/>
      <c r="D112" s="70"/>
      <c r="E112" s="59"/>
      <c r="F112" s="59"/>
      <c r="G112" s="59"/>
      <c r="H112" s="59"/>
      <c r="I112" s="59"/>
    </row>
    <row r="113" spans="1:9" ht="15.75" x14ac:dyDescent="0.25">
      <c r="A113" s="59"/>
      <c r="B113" s="80" t="s">
        <v>60</v>
      </c>
      <c r="C113" s="81"/>
      <c r="D113" s="60">
        <v>12</v>
      </c>
      <c r="E113" s="61"/>
      <c r="F113" s="59"/>
      <c r="G113" s="59"/>
      <c r="H113" s="59"/>
      <c r="I113" s="59"/>
    </row>
    <row r="114" spans="1:9" ht="15.75" x14ac:dyDescent="0.25">
      <c r="A114" s="59"/>
      <c r="B114" s="62"/>
      <c r="C114" s="63"/>
      <c r="D114" s="64"/>
      <c r="E114" s="65"/>
      <c r="F114" s="59"/>
      <c r="G114" s="59"/>
      <c r="H114" s="59"/>
      <c r="I114" s="59"/>
    </row>
    <row r="115" spans="1:9" ht="15.75" x14ac:dyDescent="0.25">
      <c r="A115" s="59"/>
      <c r="B115" s="66" t="s">
        <v>61</v>
      </c>
      <c r="C115" s="54"/>
      <c r="D115" s="54"/>
      <c r="E115" s="65"/>
      <c r="F115" s="59"/>
      <c r="G115" s="59"/>
      <c r="H115" s="59"/>
      <c r="I115" s="59"/>
    </row>
    <row r="116" spans="1:9" ht="15.75" x14ac:dyDescent="0.25">
      <c r="A116" s="59"/>
      <c r="B116" s="75" t="s">
        <v>73</v>
      </c>
      <c r="C116" s="76"/>
      <c r="D116" s="76"/>
      <c r="E116" s="77"/>
      <c r="F116" s="59"/>
      <c r="G116" s="59"/>
      <c r="H116" s="59"/>
      <c r="I116" s="59"/>
    </row>
    <row r="117" spans="1:9" ht="16.5" thickBot="1" x14ac:dyDescent="0.3">
      <c r="A117" s="59"/>
      <c r="B117" s="78"/>
      <c r="C117" s="79"/>
      <c r="D117" s="79"/>
      <c r="E117" s="69"/>
      <c r="F117" s="59"/>
      <c r="G117" s="59"/>
      <c r="H117" s="59"/>
      <c r="I117" s="59"/>
    </row>
    <row r="118" spans="1:9" ht="15.75" thickBot="1" x14ac:dyDescent="0.3">
      <c r="A118" s="59"/>
      <c r="B118" s="70"/>
      <c r="C118" s="59"/>
      <c r="D118" s="70"/>
      <c r="E118" s="59"/>
      <c r="F118" s="59"/>
      <c r="G118" s="59"/>
      <c r="H118" s="59"/>
      <c r="I118" s="59"/>
    </row>
    <row r="119" spans="1:9" ht="15.75" x14ac:dyDescent="0.25">
      <c r="A119" s="59"/>
      <c r="B119" s="80" t="s">
        <v>60</v>
      </c>
      <c r="C119" s="81"/>
      <c r="D119" s="60">
        <v>13</v>
      </c>
      <c r="E119" s="61"/>
      <c r="F119" s="59"/>
      <c r="G119" s="59"/>
      <c r="H119" s="59"/>
      <c r="I119" s="59"/>
    </row>
    <row r="120" spans="1:9" ht="15.75" x14ac:dyDescent="0.25">
      <c r="A120" s="59"/>
      <c r="B120" s="62"/>
      <c r="C120" s="63"/>
      <c r="D120" s="64"/>
      <c r="E120" s="65"/>
      <c r="F120" s="59"/>
      <c r="G120" s="59"/>
      <c r="H120" s="59"/>
      <c r="I120" s="59"/>
    </row>
    <row r="121" spans="1:9" ht="15.75" x14ac:dyDescent="0.25">
      <c r="A121" s="59"/>
      <c r="B121" s="66" t="s">
        <v>61</v>
      </c>
      <c r="C121" s="54"/>
      <c r="D121" s="54"/>
      <c r="E121" s="65"/>
      <c r="F121" s="59"/>
      <c r="G121" s="59"/>
      <c r="H121" s="59"/>
      <c r="I121" s="59"/>
    </row>
    <row r="122" spans="1:9" ht="15.75" x14ac:dyDescent="0.25">
      <c r="A122" s="59"/>
      <c r="B122" s="75" t="s">
        <v>74</v>
      </c>
      <c r="C122" s="76"/>
      <c r="D122" s="76"/>
      <c r="E122" s="77"/>
      <c r="F122" s="59"/>
      <c r="G122" s="59"/>
      <c r="H122" s="59"/>
      <c r="I122" s="59"/>
    </row>
    <row r="123" spans="1:9" ht="16.5" thickBot="1" x14ac:dyDescent="0.3">
      <c r="A123" s="59"/>
      <c r="B123" s="78"/>
      <c r="C123" s="79"/>
      <c r="D123" s="79"/>
      <c r="E123" s="69"/>
      <c r="F123" s="59"/>
      <c r="G123" s="59"/>
      <c r="H123" s="59"/>
      <c r="I123" s="59"/>
    </row>
    <row r="124" spans="1:9" x14ac:dyDescent="0.25">
      <c r="A124" s="59"/>
      <c r="B124" s="70"/>
      <c r="C124" s="59"/>
      <c r="D124" s="70"/>
      <c r="E124" s="59"/>
      <c r="F124" s="59"/>
      <c r="G124" s="59"/>
      <c r="H124" s="59"/>
      <c r="I124" s="59"/>
    </row>
    <row r="125" spans="1:9" ht="15.75" thickBot="1" x14ac:dyDescent="0.3">
      <c r="A125" s="59"/>
      <c r="B125" s="70"/>
      <c r="C125" s="59"/>
      <c r="D125" s="70"/>
      <c r="E125" s="59"/>
      <c r="F125" s="59"/>
      <c r="G125" s="59"/>
      <c r="H125" s="59"/>
      <c r="I125" s="59"/>
    </row>
    <row r="126" spans="1:9" ht="15.75" x14ac:dyDescent="0.25">
      <c r="A126" s="59"/>
      <c r="B126" s="80" t="s">
        <v>60</v>
      </c>
      <c r="C126" s="81"/>
      <c r="D126" s="60">
        <v>14</v>
      </c>
      <c r="E126" s="61"/>
      <c r="F126" s="59"/>
      <c r="G126" s="59"/>
      <c r="H126" s="59"/>
      <c r="I126" s="59"/>
    </row>
    <row r="127" spans="1:9" ht="15.75" x14ac:dyDescent="0.25">
      <c r="A127" s="59"/>
      <c r="B127" s="62"/>
      <c r="C127" s="63"/>
      <c r="D127" s="64"/>
      <c r="E127" s="65"/>
      <c r="F127" s="59"/>
      <c r="G127" s="59"/>
      <c r="H127" s="59"/>
      <c r="I127" s="59"/>
    </row>
    <row r="128" spans="1:9" ht="15.75" x14ac:dyDescent="0.25">
      <c r="A128" s="59"/>
      <c r="B128" s="66" t="s">
        <v>61</v>
      </c>
      <c r="C128" s="54"/>
      <c r="D128" s="54"/>
      <c r="E128" s="65"/>
      <c r="F128" s="59"/>
      <c r="G128" s="59"/>
      <c r="H128" s="59"/>
      <c r="I128" s="59"/>
    </row>
    <row r="129" spans="1:9" ht="15.75" x14ac:dyDescent="0.25">
      <c r="A129" s="59"/>
      <c r="B129" s="75" t="s">
        <v>75</v>
      </c>
      <c r="C129" s="76"/>
      <c r="D129" s="76"/>
      <c r="E129" s="77"/>
      <c r="F129" s="59"/>
      <c r="G129" s="59"/>
      <c r="H129" s="59"/>
      <c r="I129" s="59"/>
    </row>
    <row r="130" spans="1:9" ht="16.5" thickBot="1" x14ac:dyDescent="0.3">
      <c r="A130" s="59"/>
      <c r="B130" s="78"/>
      <c r="C130" s="79"/>
      <c r="D130" s="79"/>
      <c r="E130" s="69"/>
      <c r="F130" s="59"/>
      <c r="G130" s="59"/>
      <c r="H130" s="59"/>
      <c r="I130" s="59"/>
    </row>
    <row r="131" spans="1:9" ht="16.5" thickBot="1" x14ac:dyDescent="0.3">
      <c r="A131" s="59"/>
      <c r="B131" s="73"/>
      <c r="C131" s="73"/>
      <c r="D131" s="73"/>
      <c r="E131" s="54"/>
      <c r="F131" s="59"/>
      <c r="G131" s="59"/>
      <c r="H131" s="59"/>
      <c r="I131" s="59"/>
    </row>
    <row r="132" spans="1:9" ht="15.75" x14ac:dyDescent="0.25">
      <c r="A132" s="59"/>
      <c r="B132" s="80" t="s">
        <v>60</v>
      </c>
      <c r="C132" s="81"/>
      <c r="D132" s="60">
        <v>15</v>
      </c>
      <c r="E132" s="61"/>
      <c r="F132" s="59"/>
      <c r="G132" s="59"/>
      <c r="H132" s="59"/>
      <c r="I132" s="59"/>
    </row>
    <row r="133" spans="1:9" ht="15.75" x14ac:dyDescent="0.25">
      <c r="A133" s="59"/>
      <c r="B133" s="62"/>
      <c r="C133" s="63"/>
      <c r="D133" s="64"/>
      <c r="E133" s="65"/>
      <c r="F133" s="59"/>
      <c r="G133" s="59"/>
      <c r="H133" s="59"/>
      <c r="I133" s="59"/>
    </row>
    <row r="134" spans="1:9" ht="15.75" x14ac:dyDescent="0.25">
      <c r="A134" s="59"/>
      <c r="B134" s="66" t="s">
        <v>61</v>
      </c>
      <c r="C134" s="54"/>
      <c r="D134" s="54"/>
      <c r="E134" s="65"/>
      <c r="F134" s="59"/>
      <c r="G134" s="59"/>
      <c r="H134" s="59"/>
      <c r="I134" s="59"/>
    </row>
    <row r="135" spans="1:9" ht="15.75" x14ac:dyDescent="0.25">
      <c r="A135" s="59"/>
      <c r="B135" s="82" t="s">
        <v>76</v>
      </c>
      <c r="C135" s="83"/>
      <c r="D135" s="83"/>
      <c r="E135" s="84"/>
      <c r="F135" s="59"/>
      <c r="G135" s="59"/>
      <c r="H135" s="59"/>
      <c r="I135" s="59"/>
    </row>
    <row r="136" spans="1:9" ht="16.5" thickBot="1" x14ac:dyDescent="0.3">
      <c r="A136" s="59"/>
      <c r="B136" s="78"/>
      <c r="C136" s="79"/>
      <c r="D136" s="79"/>
      <c r="E136" s="69"/>
      <c r="F136" s="59"/>
      <c r="G136" s="59"/>
      <c r="H136" s="59"/>
      <c r="I136" s="59"/>
    </row>
    <row r="137" spans="1:9" ht="15.75" x14ac:dyDescent="0.25">
      <c r="A137" s="59"/>
      <c r="B137" s="73"/>
      <c r="C137" s="73"/>
      <c r="D137" s="73"/>
      <c r="E137" s="54"/>
      <c r="F137" s="59"/>
      <c r="G137" s="59"/>
      <c r="H137" s="59"/>
      <c r="I137" s="59"/>
    </row>
    <row r="138" spans="1:9" x14ac:dyDescent="0.25">
      <c r="A138" s="59"/>
      <c r="B138" s="70"/>
      <c r="C138" s="59"/>
      <c r="D138" s="70"/>
      <c r="E138" s="59"/>
      <c r="F138" s="59"/>
      <c r="G138" s="59"/>
      <c r="H138" s="59"/>
      <c r="I138" s="59"/>
    </row>
    <row r="139" spans="1:9" x14ac:dyDescent="0.25">
      <c r="A139" s="59"/>
      <c r="B139" s="70"/>
      <c r="C139" s="59"/>
      <c r="D139" s="70"/>
      <c r="E139" s="59"/>
      <c r="F139" s="59"/>
      <c r="G139" s="59"/>
      <c r="H139" s="59"/>
      <c r="I139" s="59"/>
    </row>
    <row r="140" spans="1:9" x14ac:dyDescent="0.25">
      <c r="A140" s="59"/>
      <c r="B140" s="70"/>
      <c r="C140" s="59"/>
      <c r="D140" s="70"/>
      <c r="E140" s="59"/>
      <c r="F140" s="59"/>
      <c r="G140" s="59"/>
      <c r="H140" s="59"/>
      <c r="I140" s="59"/>
    </row>
  </sheetData>
  <mergeCells count="58">
    <mergeCell ref="B35:E35"/>
    <mergeCell ref="B2:I2"/>
    <mergeCell ref="A4:B4"/>
    <mergeCell ref="C4:E4"/>
    <mergeCell ref="A5:B5"/>
    <mergeCell ref="C5:I5"/>
    <mergeCell ref="A6:B6"/>
    <mergeCell ref="A7:B7"/>
    <mergeCell ref="A25:F25"/>
    <mergeCell ref="B27:E31"/>
    <mergeCell ref="B32:C32"/>
    <mergeCell ref="B34:E34"/>
    <mergeCell ref="B52:C52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C45"/>
    <mergeCell ref="B48:E48"/>
    <mergeCell ref="B89:C89"/>
    <mergeCell ref="B55:E55"/>
    <mergeCell ref="B59:C59"/>
    <mergeCell ref="B62:E62"/>
    <mergeCell ref="B65:C65"/>
    <mergeCell ref="B68:E68"/>
    <mergeCell ref="B71:C71"/>
    <mergeCell ref="B75:D75"/>
    <mergeCell ref="B77:C77"/>
    <mergeCell ref="B81:D81"/>
    <mergeCell ref="B83:C83"/>
    <mergeCell ref="B87:D87"/>
    <mergeCell ref="B116:E116"/>
    <mergeCell ref="B93:D93"/>
    <mergeCell ref="B95:C95"/>
    <mergeCell ref="B98:E98"/>
    <mergeCell ref="B99:D99"/>
    <mergeCell ref="B101:C101"/>
    <mergeCell ref="B104:E104"/>
    <mergeCell ref="B105:D105"/>
    <mergeCell ref="B107:C107"/>
    <mergeCell ref="B110:E110"/>
    <mergeCell ref="B111:D111"/>
    <mergeCell ref="B113:C113"/>
    <mergeCell ref="B130:D130"/>
    <mergeCell ref="B132:C132"/>
    <mergeCell ref="B135:E135"/>
    <mergeCell ref="B136:D136"/>
    <mergeCell ref="B117:D117"/>
    <mergeCell ref="B119:C119"/>
    <mergeCell ref="B122:E122"/>
    <mergeCell ref="B123:D123"/>
    <mergeCell ref="B126:C126"/>
    <mergeCell ref="B129:E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COMPRAS</cp:lastModifiedBy>
  <dcterms:created xsi:type="dcterms:W3CDTF">2021-07-30T11:28:59Z</dcterms:created>
  <dcterms:modified xsi:type="dcterms:W3CDTF">2021-08-04T12:05:18Z</dcterms:modified>
</cp:coreProperties>
</file>