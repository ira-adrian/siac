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TERAPIA ANTINFECCIOSA\"/>
    </mc:Choice>
  </mc:AlternateContent>
  <xr:revisionPtr revIDLastSave="0" documentId="13_ncr:1_{1E6B7F57-C834-4F31-91A0-3E4D16A613B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NotaPedido'!$A$11:$K$68</definedName>
    <definedName name="_xlnm._FilterDatabase" localSheetId="0" hidden="1">'Necesidades Trimestrales'!$A$9:$K$65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6" i="3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12" i="2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J68" i="2" l="1"/>
  <c r="Q23" i="3" l="1"/>
  <c r="A10" i="3"/>
  <c r="G7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<sst xmlns="http://schemas.openxmlformats.org/spreadsheetml/2006/main" count="358" uniqueCount="191">
  <si>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</si>
  <si>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</si>
  <si>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</si>
  <si>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</si>
  <si>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</si>
  <si>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</si>
  <si>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</si>
  <si>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</si>
  <si>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</si>
  <si>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</si>
  <si>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</si>
  <si>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</si>
  <si>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</si>
  <si>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</si>
  <si>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</si>
  <si>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</si>
  <si>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</si>
  <si>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FRASCO</t>
  </si>
  <si>
    <t>UNIDAD</t>
  </si>
  <si>
    <t>GOTERO</t>
  </si>
  <si>
    <t>CAJA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</si>
  <si>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</si>
  <si>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</si>
  <si>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</si>
  <si>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</si>
  <si>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</si>
  <si>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</si>
  <si>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</si>
  <si>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</si>
  <si>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</si>
  <si>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</si>
  <si>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</si>
  <si>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</si>
  <si>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</si>
  <si>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</si>
  <si>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</si>
  <si>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</si>
  <si>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</si>
  <si>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</si>
  <si>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</si>
  <si>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</si>
  <si>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</si>
  <si>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</si>
  <si>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</si>
  <si>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</si>
  <si>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</si>
  <si>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</si>
  <si>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</si>
  <si>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</si>
  <si>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</si>
  <si>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</si>
  <si>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</si>
  <si>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</si>
  <si>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</si>
  <si>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</si>
  <si>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</si>
  <si>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</si>
  <si>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</si>
  <si>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</si>
  <si>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</si>
  <si>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</si>
  <si>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</si>
  <si>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</si>
  <si>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</si>
  <si>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</si>
  <si>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2.5.2-1821.1</t>
  </si>
  <si>
    <t>2.5.2-1821.440</t>
  </si>
  <si>
    <t>2.5.2-1821.9</t>
  </si>
  <si>
    <t>2.5.2-1821.8</t>
  </si>
  <si>
    <t>2.5.2-1821.5</t>
  </si>
  <si>
    <t>2.5.2-1821.94</t>
  </si>
  <si>
    <t>2.5.2-1821.502</t>
  </si>
  <si>
    <t>2.5.2-1883.24</t>
  </si>
  <si>
    <t>2.5.2-1821.321</t>
  </si>
  <si>
    <t>2.5.2-1821.337</t>
  </si>
  <si>
    <t>2.5.2-1821.405</t>
  </si>
  <si>
    <t>2.5.2-1821.62</t>
  </si>
  <si>
    <t>2.5.2-1821.384</t>
  </si>
  <si>
    <t>2.5.2-1821.214</t>
  </si>
  <si>
    <t>2.5.2-1821.222</t>
  </si>
  <si>
    <t>2.5.2-1821.387</t>
  </si>
  <si>
    <t>2.5.2-1821.46</t>
  </si>
  <si>
    <t>2.5.2-1821.37</t>
  </si>
  <si>
    <t>2.5.2-1821.338</t>
  </si>
  <si>
    <t>2.5.2-1821.36</t>
  </si>
  <si>
    <t>2.5.2-1821.43</t>
  </si>
  <si>
    <t>2.5.2-1724.140</t>
  </si>
  <si>
    <t>2.5.2-1724.117</t>
  </si>
  <si>
    <t>2.5.2-1724.208</t>
  </si>
  <si>
    <t>2.5.2-1821.458</t>
  </si>
  <si>
    <t>2.5.2-1821.4</t>
  </si>
  <si>
    <t>2.5.2-1725.68</t>
  </si>
  <si>
    <t>2.5.2-1859.29</t>
  </si>
  <si>
    <t>2.5.2-1859.30</t>
  </si>
  <si>
    <t>2.5.2-1859.28</t>
  </si>
  <si>
    <t>2.5.2-2455.20</t>
  </si>
  <si>
    <t>2.5.2-1724.23</t>
  </si>
  <si>
    <t>2.5.2-1821.71</t>
  </si>
  <si>
    <t>2.5.2-1883.136</t>
  </si>
  <si>
    <t>2.5.2-1883.186</t>
  </si>
  <si>
    <t>2.5.2-1883.149</t>
  </si>
  <si>
    <t>2.5.2-1821.421</t>
  </si>
  <si>
    <t>2.5.2-1821.400</t>
  </si>
  <si>
    <t>2.5.2-1821.76</t>
  </si>
  <si>
    <t>2.5.2-1724.98</t>
  </si>
  <si>
    <t>2.5.2-1724.206</t>
  </si>
  <si>
    <t>2.5.2-1724.230</t>
  </si>
  <si>
    <t>2.5.2-1724.29</t>
  </si>
  <si>
    <t>2.5.2-1821.220</t>
  </si>
  <si>
    <t>2.5.2-1821.13</t>
  </si>
  <si>
    <t>2.5.2-1883.173</t>
  </si>
  <si>
    <t>2.5.2-2455.31</t>
  </si>
  <si>
    <t>2.5.2-2199.2</t>
  </si>
  <si>
    <t>2.5.2-1724.154</t>
  </si>
  <si>
    <t>2.5.2-2199.13</t>
  </si>
  <si>
    <t>ANTIBIOTICOS P/PERSONAS; TIPO: MONODROGA, DROGA GENERICA: AMIKACINA, PRESENTACION: 500 mGr, FORMA FARMACEUTICA: AMPOLLA</t>
  </si>
  <si>
    <t>ANTIBIOTICOS P/PERSONAS; TIPO: ASOCIACION, DROGA GENERICA: AMOXICIL. 875 MG+CLAVUL.125 MG mGr, FORMA FARMACEUTICA: COMPRIMIDO, PRESENTACION: UNIDAD</t>
  </si>
  <si>
    <t>ANTIBIOTICOS P/PERSONAS; TIPO: MONODROGA, DROGA GENERICA: AMOXICILINA, PRESENTACION: 500 mGr, FORMA FARMACEUTICA: COMPRIMIDOS</t>
  </si>
  <si>
    <t>ANTIBIOTICOS P/PERSONAS; TIPO: MONODROGA, DROGA GENERICA: AMPICILINA, FORMA FARMACEUTICA: AMPOLLA, PRESENTACION: 1 GR</t>
  </si>
  <si>
    <t>ANTIBIOTICOS P/PERSONAS; TIPO: MONODROGA, DROGA GENERICA: AMPICILINA, FORMA FARMACEUTICA: COMPRIMIDOS, PRESENTACION: 500 mGr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</si>
  <si>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</si>
  <si>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</si>
  <si>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ANESTESICOS LOCALES; TIPO: MONODROGA, DROGA GENERICA: BUPIVACAINA 0,5 %, FORMA FARMACEUTICA: FRASCO, PRESENTACION: 20 mL</t>
  </si>
  <si>
    <t>ANTIBIOTICOS P/PERSONAS; TIPO: MONODROGA, DROGA GENERICA: CEFALEXINA 500 mGr, FORMA FARMACEUTICA: COMPRIMIDO, PRESENTACION: 1 UN</t>
  </si>
  <si>
    <t>ANTIBIOTICOS P/PERSONAS; TIPO: MONODROGA, DROGA GENERICA: CEFALEXINA 500MG, FORMA FARMACEUTICA: SUSPENSION, PRESENTACION: ENVASE X 90 mL</t>
  </si>
  <si>
    <t>ANTIBIOTICOS P/PERSONAS; TIPO: MONODROGA, DROGA GENERICA: CEFALOTINA SODICA, FORMA FARMACEUTICA: FRASCO AMPOLLA, PRESENTACION: 1 GR</t>
  </si>
  <si>
    <t>ANTIBIOTICOS P/PERSONAS; TIPO: MONODROGA, DROGA GENERICA: CEFAZOLINA, FORMA FARMACEUTICA: AMPOLLA, PRESENTACION: 1 GR</t>
  </si>
  <si>
    <t>ANTIBIOTICOS P/PERSONAS; TIPO: MONODROGA, DROGA GENERICA: CEFTAZIDIMA, FORMA FARMACEUTICA: FRASCO AMPOLLA, PRESENTACION: ENVASE X 1 GR</t>
  </si>
  <si>
    <t>ANTIBIOTICOS P/PERSONAS; TIPO: MONODROGA, DROGA GENERICA: CEFTRIAXONA, FORMA FARMACEUTICA: FRASCO AMPOLLA, PRESENTACION: 1 GR</t>
  </si>
  <si>
    <t>ANTIBIOTICOS P/PERSONAS; TIPO: MONODROGA, DROGA GENERICA: CEFUROXIMA, FORMA FARMACEUTICA: FRASCO AMPOLLA, PRESENTACION: 750 mGr</t>
  </si>
  <si>
    <t>ANTIBIOTICOS P/PERSONAS; TIPO: MONODROGA, FORMA FARMACEUTICA: COMPRIMIDO, PRESENTACION: 500 mGr, DROGA GENERICA: CIPROFLOXACINA</t>
  </si>
  <si>
    <t>ANTIBIOTICOS P/PERSONAS; TIPO: MONODROGA, DROGA GENERICA: CLARITROMICINA 250MG, FORMA FARMACEUTICA: SUSPENSION, PRESENTACION: ENVASE X 90 mL</t>
  </si>
  <si>
    <t>ANTIBIOTICOS P/PERSONAS; TIPO: MONODROGA, DROGA GENERICA: CLARITROMICINA, FORMA FARMACEUTICA: COMPRIMIDO, PRESENTACION: 500 mGr</t>
  </si>
  <si>
    <t>ANTIBIOTICOS P/PERSONAS; TIPO: MONODROGA, DROGA GENERICA: CLINDAMICINA, FORMA FARMACEUTICA: AMPOLLA, PRESENTACION: 600 mGr</t>
  </si>
  <si>
    <t>ANTIBIOTICOS P/PERSONAS; DROGA GENERICA: CLARITROMICINA, FORMA FARMACEUTICA: AMPOLLA, PRESENTACION: 500 mGr, TIPO: MONODROGA</t>
  </si>
  <si>
    <t>BLOQUEANTES NEUROMUSCULARES; DROGA GENERICA: SUCCINILCOLINA, FORMA FARMACEUTICA: AMPOLLA, PRESENTACION: 500 mGr, TIPO: MONODROGA</t>
  </si>
  <si>
    <t>ANESTESICOS LOCALES; TIPO: MONODROGA, DROGA GENERICA: REMIFENTANILO 5 mGr, FORMA FARMACEUTICA: AMPOLLA, PRESENTACION: UNIDAD</t>
  </si>
  <si>
    <t>ANTIBIOTICOS P/PERSONAS; TIPO: MONODROGA, DROGA GENERICA: DOXICICLINA 100 mGr, FORMA FARMACEUTICA: COMPRIMIDO, PRESENTACION: UNIDAD</t>
  </si>
  <si>
    <t>ANTIBIOTICOS P/PERSONAS; DROGA GENERICA: GENTAMICINA, FORMA FARMACEUTICA: AMPOLLA, PRESENTACION: 80 mGr, TIPO: MONODROGA</t>
  </si>
  <si>
    <t>ANTIINFLAMATORIOS NO ESTEROIDE; TIPO: MONODROGA, DROGA GENERICA: IBUPROFENO, FORMA FARMACEUTICA: COMPRIMIDO, PRESENTACION: 400 mGr</t>
  </si>
  <si>
    <t>INMUNOMODULADORES; TIPO: MONODROGA, DROGA GENERICA: INMUNOGLOBULINA G HUMANA, FORMA FARMACEUTICA: VIAL, PRESENTACION: 10 GR</t>
  </si>
  <si>
    <t>INMUNOMODULADORES; TIPO: MONODROGA, DROGA GENERICA: INMUNOGLOBULINA G HUMANA, FORMA FARMACEUTICA: VIAL, PRESENTACION: 2,5 GR</t>
  </si>
  <si>
    <t>INMUNOMODULADORES; TIPO: MONODROGA, DROGA GENERICA: INMUNOGLOBULINA G HUMANA, FORMA FARMACEUTICA: VIAL, PRESENTACION: 5 GR</t>
  </si>
  <si>
    <t>ANESTESICOS GENERALES; DROGA GENERICA: KETAMINA 50 MG/ML, FORMA FARMACEUTICA: FRASCO AMPOLLA, PRESENTACION: 10 mL, TIPO: MONODROGA</t>
  </si>
  <si>
    <t>ANTIBIOTICOS P/PERSONAS; TIPO: MONODROGA, DROGA GENERICA: LEVOFLOXACINA, PRESENTACION: 500 mGr, FORMA FARMACEUTICA: COMPRIMIDO</t>
  </si>
  <si>
    <t>ANESTESICOS LOCALES; TIPO: MONODROGA, DROGA GENERICA: LIDOCAINA 2%S/EPINEFRINA, FORMA FARMACEUTICA: AMPOLLA, PRESENTACION: 5 mL</t>
  </si>
  <si>
    <t>ANESTESICOS LOCALES; TIPO: MONODROGA, DROGA GENERICA: LIDOCAINA 2% S/EPINEFRINA, FORMA FARMACEUTICA: FRASCO AMPOLLA, PRESENTACION: ENVASE X 20 mL</t>
  </si>
  <si>
    <t>ANESTESICOS LOCALES; TIPO: MONODROGA, DROGA GENERICA: LIDOCAINA, FORMA FARMACEUTICA: JALEA, PRESENTACION: ENVASE X 25 GR</t>
  </si>
  <si>
    <t>ANTIBIOTICOS P/PERSONAS; TIPO: MONODROGA, DROGA GENERICA: MEROPENEM 500 mGr, FORMA FARMACEUTICA: FRASCO AMPOLLA, PRESENTACION: UNIDAD</t>
  </si>
  <si>
    <t>ANTIBIOTICOS P/PERSONAS; TIPO: MONODROGA, FORMA FARMACEUTICA: COMPRIMIDO, PRESENTACION: 500 mGr, DROGA GENERICA: METRONIDAZOL</t>
  </si>
  <si>
    <t>ANTIBIOTICOS P/PERSONAS; TIPO: MONODROGA, DROGA GENERICA: METRONIDAZOL 500 mGr, FORMA FARMACEUTICA: SACHET X 100 mL, PRESENTACION: UNIDAD</t>
  </si>
  <si>
    <t>ANALGESICOS ; PRESENTACION: 100 mL, FORMA FARMACEUTICA: AMPOLLA, DROGA GENERICA: PARACETAMOL 1000 mGr, TIPO: MONODROGA mGr</t>
  </si>
  <si>
    <t>ANTIBIOTICOS P/PERSONAS; TIPO: MONODROGA, DROGA GENERICA: PENICILINA G. BENZATINICA, FORMA FARMACEUTICA: FRASCO AMPOLLA, PRESENTACION: 2.400.000 UI</t>
  </si>
  <si>
    <t>ANTIBIOTICOS P/PERSONAS; TIPO: MONODROGA, DROGA GENERICA: PENICILINA G. SODICA, FORMA FARMACEUTICA: AMPOLLA, PRESENTACION: 3.000.000 UI</t>
  </si>
  <si>
    <t>BLOQUEANTES NEUROMUSCULARES; DROGA GENERICA: BROMURO DE VECURONIO, FORMA FARMACEUTICA: AMPOLLA X 10 mGr, PRESENTACION: UNIDAD, TIPO: MONODROGA</t>
  </si>
  <si>
    <t>ANESTESICOS GENERALES; DROGA GENERICA: SEVOFLUORANO, FORMA FARMACEUTICA: SOLUCION, PRESENTACION: ENVASE X 250 mL, TIPO: MONODROGA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</si>
  <si>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</si>
  <si>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t>ANESTESICOS LOCALES; TIPO: MONODROGA, DROGA GENERICA: BUPIVACAINA 0,5% HIPERBARICA, FORMA FARMACEUTICA: AMPOLLA, PRESENTACION: 4 ML CON AGUJA 27 G X 3 1/2 CON INTRODUCTOR</t>
  </si>
  <si>
    <t>2.5.2-1883.188</t>
  </si>
  <si>
    <t>ANTIINFLAMATORIOS NO ESTEROIDE; TIPO: MONODROGA, DROGA GENERICA: INDOMETACINA 100 MG, FORMA FARMACEUTICA: SUPOSITORIO, PRESENTACION: CAJA X 10 UNIDADES</t>
  </si>
  <si>
    <t>ANTI GAMMA TOTAL; TIPO: INMUNOGLOBULINA HUMAN ANTI-RH, PRESENTACION: JERINGA PRELLENA 250-330MCG/ML</t>
  </si>
  <si>
    <t>2.5.2-5275.16</t>
  </si>
  <si>
    <t>2.5.2-1724.243</t>
  </si>
  <si>
    <t>ANALGÉSICOS ; TIPO: MONODROGA, DROGA GENÉRICA: PARACETAMOL 500 MGR, FORMA FARMACEÚTICA: COMPRIMIDO, PRESENTACIÓN: X UNIDAD</t>
  </si>
  <si>
    <t>2.5.2-1724.245</t>
  </si>
  <si>
    <t>VACUNAS; TIPO: G.GLOBULINA+TOXOIDE ANTITETÁNICO, PRESENTACIÓN: ENVASE X 500 UI</t>
  </si>
  <si>
    <t>2.5.2-1905.67</t>
  </si>
  <si>
    <t>2.5.2-1725.154</t>
  </si>
  <si>
    <t>SACHET</t>
  </si>
  <si>
    <t>SI</t>
  </si>
  <si>
    <t>Productos Farmacéuticos y Medicinales</t>
  </si>
  <si>
    <t>ANALGESICOS; TIPO: MONODROGA, DROGA GENERICA: PARACETAMOL 1 GR, FORMA FARMACEUTICA: COMPRIMIDO, PRESENTACION: UNIDAD</t>
  </si>
  <si>
    <t>ANALGESICOS; TIPO: MONODROGA, DROGA GENERICA: DICLOFENAC X 75 MG, FORMA FARMACEUTICA: COMPRIMIDO, PRESENTACION: UNIDAD</t>
  </si>
  <si>
    <r>
      <t xml:space="preserve">ANALGESICOS;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</si>
  <si>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ANALGESICOS; TIPO: MONODROGA, DROGA GENERICA: DIPIRONA SODICA 1 GR, FORMA FARMACEUTICA: AMPOLLA, PRESENTACION: 2 mL</t>
  </si>
  <si>
    <t>ANALGESICOS; TIPO: MONODROGA, DROGA GENERICA: MORFINA CLORIDRATO 1%, FORMA FARMACEUTICA: AMPOLLA, PRESENTACION: 1 mL</t>
  </si>
  <si>
    <t>ANALGESICOS; TIPO: MONODROGA, DROGA GENERICA: NALBUFINA 10 mGr, FORMA FARMACEUTICA: AMPOLLA, PRESENTACION: ENVASE X 1 mL</t>
  </si>
  <si>
    <t>ANALGESICOS; TIPO: MONODROGA, DROGA GENERICA: PARACETAMOL, FORMA FARMACEUTICA: GOTAS, PRESENTACION: 20 mL</t>
  </si>
  <si>
    <t>ANALGESICOS; TIPO: MONODROGA, DROGA GENERICA: TRAMADOL 50 mGr, FORMA FARMACEUTICA: AMPOLLA, PRESENTACION: UNIDAD</t>
  </si>
  <si>
    <t>ANALGESICOS; TIPO: MONODROGA, DROGA GENERICA: KETOROLAC, FORMA FARMACEUTICA: AMPOLLA, PRESENTACION: 30 mGr</t>
  </si>
  <si>
    <t xml:space="preserve">Mantenimiento: 45 dias habiles </t>
  </si>
  <si>
    <t xml:space="preserve">  028-Maternidad provincial 25 de Mayo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</si>
  <si>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10 DIAS HABILES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</si>
  <si>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8: BUPIVACAINA 0,5 % S/EPINEFRINA</t>
    </r>
  </si>
  <si>
    <r>
      <rPr>
        <u/>
        <sz val="10"/>
        <rFont val="Times New Roman"/>
        <family val="1"/>
      </rPr>
      <t>Lugar de Entrega: SERVICIO DE FARMACIA</t>
    </r>
    <r>
      <rPr>
        <sz val="10"/>
        <rFont val="Times New Roman"/>
        <family val="1"/>
      </rPr>
      <t xml:space="preserve"> DE 08:00 A 12:00HS. HERNAN DE PEDRAZA 1650- DEBIENDO CORRER LOS GASTOS DE FLETES, ACARREO, CARGA, DESCARGA Y SEGURO A CARGO DEL ADJUDICATARIO.</t>
    </r>
  </si>
  <si>
    <t>Lugar de Entrega: SERVICIO DE FARMACIA DE 08:00 A 12:00HS. HERNAN DE PEDRAZA 1650- DEBIENDO CORRER LOS GASTOS DE FLETES, ACARREO, CARGA, DESCARGA Y SEGURO A CARGO DEL ADJUDICATARIO.</t>
  </si>
  <si>
    <t>Servicio de Farmacia</t>
  </si>
  <si>
    <t>Costo total estimado: CINCO MILLONES QUINIENTOS NOVENTA Y SEIS MIL SEISCIENTOS OCHENTA CON 45/100.</t>
  </si>
  <si>
    <t>169-Direccion Asistencial</t>
  </si>
  <si>
    <t>TOTAL DE PESOS: CINCO MILLONES QUINIENTOS NOVENTA YSEIS MIL SEISCIENTOS OCHENTA CON 45 /100.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</si>
  <si>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ITEMS 1 al 56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</si>
</sst>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</numFmts>
  <fonts count="3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5"/>
  </cellStyleXfs>
  <cellXfs count="21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22" xfId="0" applyFont="1" applyBorder="1"/>
    <xf numFmtId="0" fontId="10" fillId="0" borderId="29" xfId="0" applyFont="1" applyBorder="1"/>
    <xf numFmtId="0" fontId="10" fillId="0" borderId="29" xfId="0" applyFont="1" applyBorder="1" applyAlignment="1">
      <alignment horizontal="left"/>
    </xf>
    <xf numFmtId="0" fontId="10" fillId="0" borderId="23" xfId="0" applyFont="1" applyBorder="1"/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" fillId="0" borderId="5" xfId="0" applyFont="1" applyBorder="1"/>
    <xf numFmtId="0" fontId="7" fillId="0" borderId="5" xfId="0" applyFont="1" applyBorder="1" applyAlignment="1">
      <alignment horizontal="left" wrapText="1"/>
    </xf>
    <xf numFmtId="0" fontId="9" fillId="0" borderId="59" xfId="0" applyFont="1" applyBorder="1" applyAlignment="1">
      <alignment horizontal="center" vertical="center" wrapText="1"/>
    </xf>
    <xf numFmtId="164" fontId="9" fillId="0" borderId="59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0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3" fontId="10" fillId="0" borderId="59" xfId="0" applyNumberFormat="1" applyFont="1" applyBorder="1" applyAlignment="1">
      <alignment horizontal="center" vertical="center"/>
    </xf>
    <xf numFmtId="164" fontId="10" fillId="0" borderId="59" xfId="0" applyNumberFormat="1" applyFont="1" applyBorder="1" applyAlignment="1">
      <alignment horizontal="right" vertical="center" wrapText="1"/>
    </xf>
    <xf numFmtId="0" fontId="26" fillId="0" borderId="59" xfId="0" applyFont="1" applyBorder="1" applyAlignment="1">
      <alignment vertical="center" wrapText="1"/>
    </xf>
    <xf numFmtId="0" fontId="26" fillId="0" borderId="59" xfId="0" applyFont="1" applyBorder="1" applyAlignment="1">
      <alignment wrapText="1"/>
    </xf>
    <xf numFmtId="0" fontId="26" fillId="0" borderId="59" xfId="0" applyFont="1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59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59" xfId="0" applyBorder="1" applyAlignment="1">
      <alignment horizontal="center" vertical="center"/>
    </xf>
    <xf numFmtId="0" fontId="29" fillId="0" borderId="59" xfId="0" applyFont="1" applyBorder="1" applyAlignment="1">
      <alignment vertical="center"/>
    </xf>
    <xf numFmtId="0" fontId="10" fillId="2" borderId="59" xfId="0" applyFont="1" applyFill="1" applyBorder="1" applyAlignment="1">
      <alignment horizontal="center" vertical="center"/>
    </xf>
    <xf numFmtId="0" fontId="29" fillId="2" borderId="59" xfId="0" applyFont="1" applyFill="1" applyBorder="1" applyAlignment="1">
      <alignment vertical="center"/>
    </xf>
    <xf numFmtId="0" fontId="0" fillId="2" borderId="59" xfId="0" applyFill="1" applyBorder="1" applyAlignment="1">
      <alignment horizontal="center" vertical="center" wrapText="1"/>
    </xf>
    <xf numFmtId="165" fontId="10" fillId="2" borderId="59" xfId="0" applyNumberFormat="1" applyFont="1" applyFill="1" applyBorder="1" applyAlignment="1">
      <alignment horizontal="right" vertical="center"/>
    </xf>
    <xf numFmtId="0" fontId="0" fillId="2" borderId="0" xfId="0" applyFill="1"/>
    <xf numFmtId="165" fontId="10" fillId="2" borderId="59" xfId="0" applyNumberFormat="1" applyFont="1" applyFill="1" applyBorder="1" applyAlignment="1">
      <alignment horizontal="center" vertical="center"/>
    </xf>
    <xf numFmtId="0" fontId="26" fillId="2" borderId="59" xfId="0" applyFont="1" applyFill="1" applyBorder="1" applyAlignment="1">
      <alignment horizontal="left" vertical="center" wrapText="1"/>
    </xf>
    <xf numFmtId="0" fontId="0" fillId="2" borderId="59" xfId="0" applyFill="1" applyBorder="1" applyAlignment="1">
      <alignment horizontal="left" vertical="center" wrapText="1"/>
    </xf>
    <xf numFmtId="0" fontId="4" fillId="2" borderId="59" xfId="0" applyFont="1" applyFill="1" applyBorder="1" applyAlignment="1">
      <alignment horizontal="center" vertical="center"/>
    </xf>
    <xf numFmtId="0" fontId="0" fillId="0" borderId="5" xfId="0" applyBorder="1"/>
    <xf numFmtId="0" fontId="10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26" fillId="0" borderId="5" xfId="0" applyFont="1" applyBorder="1" applyAlignment="1">
      <alignment horizontal="left" vertical="center" wrapText="1"/>
    </xf>
    <xf numFmtId="3" fontId="10" fillId="0" borderId="5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9" xfId="0" applyBorder="1" applyAlignment="1">
      <alignment horizontal="left" vertical="center"/>
    </xf>
    <xf numFmtId="0" fontId="26" fillId="0" borderId="59" xfId="0" applyFont="1" applyBorder="1" applyAlignment="1">
      <alignment horizontal="left" vertical="center"/>
    </xf>
    <xf numFmtId="0" fontId="10" fillId="0" borderId="59" xfId="0" applyFont="1" applyBorder="1" applyAlignment="1">
      <alignment horizontal="left" vertical="center"/>
    </xf>
    <xf numFmtId="0" fontId="10" fillId="2" borderId="59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6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wrapText="1"/>
    </xf>
    <xf numFmtId="0" fontId="2" fillId="0" borderId="64" xfId="0" applyFont="1" applyBorder="1" applyAlignment="1">
      <alignment horizontal="left" wrapText="1"/>
    </xf>
    <xf numFmtId="0" fontId="11" fillId="0" borderId="6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4" xfId="0" applyFont="1" applyBorder="1" applyAlignment="1">
      <alignment horizontal="center" wrapText="1"/>
    </xf>
    <xf numFmtId="0" fontId="1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2" fillId="0" borderId="66" xfId="0" applyFont="1" applyBorder="1"/>
    <xf numFmtId="0" fontId="2" fillId="0" borderId="67" xfId="0" applyFont="1" applyBorder="1"/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vertical="center" wrapText="1"/>
    </xf>
    <xf numFmtId="0" fontId="30" fillId="0" borderId="60" xfId="0" applyFont="1" applyBorder="1" applyAlignment="1">
      <alignment vertical="center"/>
    </xf>
    <xf numFmtId="0" fontId="30" fillId="0" borderId="61" xfId="0" applyFont="1" applyBorder="1" applyAlignment="1">
      <alignment vertical="center"/>
    </xf>
    <xf numFmtId="0" fontId="30" fillId="0" borderId="61" xfId="0" applyFont="1" applyBorder="1"/>
    <xf numFmtId="0" fontId="30" fillId="0" borderId="62" xfId="0" applyFont="1" applyBorder="1"/>
    <xf numFmtId="0" fontId="14" fillId="2" borderId="6" xfId="0" applyFont="1" applyFill="1" applyBorder="1" applyAlignment="1">
      <alignment horizontal="right" vertical="center"/>
    </xf>
    <xf numFmtId="0" fontId="15" fillId="3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3" fontId="20" fillId="2" borderId="0" xfId="0" applyNumberFormat="1" applyFont="1" applyFill="1"/>
    <xf numFmtId="168" fontId="10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0" xfId="0" applyFont="1" applyFill="1"/>
    <xf numFmtId="0" fontId="10" fillId="2" borderId="26" xfId="0" applyFont="1" applyFill="1" applyBorder="1"/>
    <xf numFmtId="0" fontId="10" fillId="3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166" fontId="10" fillId="2" borderId="40" xfId="0" applyNumberFormat="1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166" fontId="10" fillId="2" borderId="47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2" fillId="2" borderId="42" xfId="0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166" fontId="10" fillId="2" borderId="52" xfId="0" applyNumberFormat="1" applyFont="1" applyFill="1" applyBorder="1" applyAlignment="1">
      <alignment horizontal="center" vertical="center"/>
    </xf>
    <xf numFmtId="166" fontId="24" fillId="3" borderId="56" xfId="0" applyNumberFormat="1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63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4" xfId="0" applyFont="1" applyBorder="1"/>
    <xf numFmtId="0" fontId="5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6" fillId="2" borderId="2" xfId="0" applyFont="1" applyFill="1" applyBorder="1" applyAlignment="1">
      <alignment horizontal="left" wrapText="1"/>
    </xf>
    <xf numFmtId="0" fontId="4" fillId="2" borderId="3" xfId="0" applyFont="1" applyFill="1" applyBorder="1"/>
    <xf numFmtId="0" fontId="4" fillId="2" borderId="5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2" fillId="0" borderId="63" xfId="0" applyFont="1" applyBorder="1" applyAlignment="1">
      <alignment horizontal="left" wrapText="1"/>
    </xf>
    <xf numFmtId="0" fontId="4" fillId="0" borderId="64" xfId="0" applyFont="1" applyBorder="1"/>
    <xf numFmtId="0" fontId="4" fillId="0" borderId="63" xfId="0" applyFont="1" applyBorder="1"/>
    <xf numFmtId="0" fontId="12" fillId="0" borderId="63" xfId="0" applyFont="1" applyBorder="1" applyAlignment="1">
      <alignment horizontal="left" wrapText="1"/>
    </xf>
    <xf numFmtId="0" fontId="13" fillId="2" borderId="2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left" vertical="center" wrapText="1"/>
    </xf>
    <xf numFmtId="0" fontId="4" fillId="2" borderId="13" xfId="0" applyFont="1" applyFill="1" applyBorder="1"/>
    <xf numFmtId="0" fontId="4" fillId="2" borderId="14" xfId="0" applyFont="1" applyFill="1" applyBorder="1"/>
    <xf numFmtId="0" fontId="15" fillId="3" borderId="19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19" fillId="0" borderId="68" xfId="0" applyFont="1" applyBorder="1" applyAlignment="1">
      <alignment horizontal="center" vertical="center" wrapText="1"/>
    </xf>
    <xf numFmtId="0" fontId="4" fillId="0" borderId="68" xfId="0" applyFont="1" applyBorder="1"/>
    <xf numFmtId="167" fontId="18" fillId="0" borderId="68" xfId="0" applyNumberFormat="1" applyFont="1" applyBorder="1" applyAlignment="1">
      <alignment horizontal="center" vertical="center"/>
    </xf>
    <xf numFmtId="0" fontId="15" fillId="0" borderId="68" xfId="0" applyFont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/>
    <xf numFmtId="0" fontId="4" fillId="2" borderId="11" xfId="0" applyFont="1" applyFill="1" applyBorder="1"/>
    <xf numFmtId="0" fontId="15" fillId="2" borderId="12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0" fontId="4" fillId="2" borderId="16" xfId="0" applyFont="1" applyFill="1" applyBorder="1"/>
    <xf numFmtId="0" fontId="4" fillId="2" borderId="17" xfId="0" applyFont="1" applyFill="1" applyBorder="1"/>
    <xf numFmtId="0" fontId="18" fillId="3" borderId="12" xfId="0" applyFont="1" applyFill="1" applyBorder="1" applyAlignment="1">
      <alignment horizontal="left" vertical="center"/>
    </xf>
    <xf numFmtId="0" fontId="4" fillId="2" borderId="18" xfId="0" applyFont="1" applyFill="1" applyBorder="1"/>
    <xf numFmtId="0" fontId="18" fillId="3" borderId="9" xfId="0" applyFont="1" applyFill="1" applyBorder="1" applyAlignment="1">
      <alignment horizontal="left" vertical="center" wrapText="1"/>
    </xf>
    <xf numFmtId="0" fontId="19" fillId="0" borderId="68" xfId="0" applyFont="1" applyBorder="1" applyAlignment="1">
      <alignment horizontal="center" vertical="center"/>
    </xf>
    <xf numFmtId="0" fontId="22" fillId="3" borderId="57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2" fillId="3" borderId="58" xfId="0" applyFont="1" applyFill="1" applyBorder="1" applyAlignment="1">
      <alignment horizontal="left" vertical="center" wrapText="1"/>
    </xf>
    <xf numFmtId="0" fontId="22" fillId="3" borderId="53" xfId="0" applyFont="1" applyFill="1" applyBorder="1" applyAlignment="1">
      <alignment horizontal="left" vertical="center" wrapText="1"/>
    </xf>
    <xf numFmtId="0" fontId="22" fillId="3" borderId="54" xfId="0" applyFont="1" applyFill="1" applyBorder="1" applyAlignment="1">
      <alignment horizontal="left" vertical="center" wrapText="1"/>
    </xf>
    <xf numFmtId="0" fontId="22" fillId="3" borderId="55" xfId="0" applyFont="1" applyFill="1" applyBorder="1" applyAlignment="1">
      <alignment horizontal="left" vertical="center" wrapText="1"/>
    </xf>
    <xf numFmtId="0" fontId="20" fillId="3" borderId="53" xfId="0" applyFont="1" applyFill="1" applyBorder="1" applyAlignment="1">
      <alignment horizontal="left" vertical="center" wrapText="1"/>
    </xf>
    <xf numFmtId="0" fontId="4" fillId="2" borderId="54" xfId="0" applyFont="1" applyFill="1" applyBorder="1"/>
    <xf numFmtId="0" fontId="4" fillId="2" borderId="55" xfId="0" applyFont="1" applyFill="1" applyBorder="1"/>
    <xf numFmtId="0" fontId="10" fillId="2" borderId="20" xfId="0" applyFont="1" applyFill="1" applyBorder="1"/>
    <xf numFmtId="0" fontId="4" fillId="2" borderId="30" xfId="0" applyFont="1" applyFill="1" applyBorder="1"/>
    <xf numFmtId="0" fontId="4" fillId="2" borderId="21" xfId="0" applyFont="1" applyFill="1" applyBorder="1"/>
    <xf numFmtId="0" fontId="10" fillId="2" borderId="45" xfId="0" applyFont="1" applyFill="1" applyBorder="1" applyAlignment="1">
      <alignment horizontal="left" vertical="center"/>
    </xf>
    <xf numFmtId="0" fontId="4" fillId="2" borderId="46" xfId="0" applyFont="1" applyFill="1" applyBorder="1"/>
    <xf numFmtId="0" fontId="10" fillId="2" borderId="50" xfId="0" applyFont="1" applyFill="1" applyBorder="1" applyAlignment="1">
      <alignment horizontal="left" vertical="center"/>
    </xf>
    <xf numFmtId="0" fontId="4" fillId="2" borderId="51" xfId="0" applyFont="1" applyFill="1" applyBorder="1"/>
    <xf numFmtId="0" fontId="20" fillId="2" borderId="12" xfId="0" applyFont="1" applyFill="1" applyBorder="1" applyAlignment="1">
      <alignment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4" fillId="2" borderId="22" xfId="0" applyFont="1" applyFill="1" applyBorder="1"/>
    <xf numFmtId="0" fontId="4" fillId="2" borderId="23" xfId="0" applyFont="1" applyFill="1" applyBorder="1"/>
    <xf numFmtId="0" fontId="10" fillId="2" borderId="9" xfId="0" applyFont="1" applyFill="1" applyBorder="1"/>
    <xf numFmtId="0" fontId="4" fillId="2" borderId="24" xfId="0" applyFont="1" applyFill="1" applyBorder="1"/>
    <xf numFmtId="0" fontId="22" fillId="2" borderId="9" xfId="0" applyFont="1" applyFill="1" applyBorder="1" applyAlignment="1">
      <alignment horizontal="left"/>
    </xf>
    <xf numFmtId="0" fontId="22" fillId="3" borderId="9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/>
    </xf>
    <xf numFmtId="3" fontId="20" fillId="2" borderId="13" xfId="0" applyNumberFormat="1" applyFont="1" applyFill="1" applyBorder="1" applyAlignment="1">
      <alignment horizontal="center"/>
    </xf>
    <xf numFmtId="0" fontId="23" fillId="2" borderId="9" xfId="0" applyFont="1" applyFill="1" applyBorder="1" applyAlignment="1">
      <alignment horizontal="left"/>
    </xf>
    <xf numFmtId="0" fontId="22" fillId="2" borderId="25" xfId="0" applyFont="1" applyFill="1" applyBorder="1"/>
    <xf numFmtId="0" fontId="0" fillId="2" borderId="0" xfId="0" applyFill="1"/>
    <xf numFmtId="0" fontId="22" fillId="3" borderId="27" xfId="0" applyFont="1" applyFill="1" applyBorder="1" applyAlignment="1">
      <alignment horizontal="left" vertical="center" wrapText="1"/>
    </xf>
    <xf numFmtId="0" fontId="4" fillId="2" borderId="28" xfId="0" applyFont="1" applyFill="1" applyBorder="1"/>
    <xf numFmtId="0" fontId="24" fillId="0" borderId="20" xfId="0" applyFont="1" applyBorder="1" applyAlignment="1">
      <alignment horizontal="center" vertical="center"/>
    </xf>
    <xf numFmtId="0" fontId="4" fillId="0" borderId="30" xfId="0" applyFont="1" applyBorder="1"/>
    <xf numFmtId="0" fontId="4" fillId="0" borderId="21" xfId="0" applyFont="1" applyBorder="1"/>
    <xf numFmtId="0" fontId="2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24" xfId="0" applyFont="1" applyBorder="1"/>
    <xf numFmtId="0" fontId="22" fillId="2" borderId="30" xfId="0" applyFont="1" applyFill="1" applyBorder="1" applyAlignment="1">
      <alignment vertical="center" wrapText="1"/>
    </xf>
    <xf numFmtId="0" fontId="24" fillId="0" borderId="20" xfId="0" applyFont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24" fillId="0" borderId="21" xfId="0" applyFont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 wrapText="1"/>
    </xf>
    <xf numFmtId="0" fontId="4" fillId="2" borderId="68" xfId="0" applyFont="1" applyFill="1" applyBorder="1"/>
    <xf numFmtId="0" fontId="2" fillId="2" borderId="68" xfId="0" applyFont="1" applyFill="1" applyBorder="1" applyAlignment="1">
      <alignment horizontal="center" vertical="center" wrapText="1"/>
    </xf>
    <xf numFmtId="166" fontId="2" fillId="2" borderId="68" xfId="0" applyNumberFormat="1" applyFont="1" applyFill="1" applyBorder="1" applyAlignment="1">
      <alignment horizontal="right" vertical="center" wrapText="1"/>
    </xf>
    <xf numFmtId="3" fontId="2" fillId="2" borderId="6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opLeftCell="A40" zoomScale="87" zoomScaleNormal="87" workbookViewId="0">
      <selection activeCell="C91" sqref="C91"/>
    </sheetView>
  </sheetViews>
  <sheetFormatPr baseColWidth="10" defaultColWidth="12.5703125" defaultRowHeight="15" customHeight="1" x14ac:dyDescent="0.2"/>
  <cols>
    <col min="1" max="1" width="4.5703125" customWidth="1"/>
    <col min="2" max="2" width="14" style="23" customWidth="1"/>
    <col min="3" max="3" width="29.42578125" style="23" customWidth="1"/>
    <col min="4" max="4" width="6.7109375" customWidth="1"/>
    <col min="5" max="5" width="90.7109375" customWidth="1"/>
    <col min="6" max="6" width="13" customWidth="1"/>
    <col min="7" max="7" width="10.85546875" customWidth="1"/>
    <col min="8" max="8" width="14.42578125" style="23" customWidth="1"/>
    <col min="9" max="9" width="15.5703125" customWidth="1"/>
    <col min="10" max="10" width="11.28515625" customWidth="1"/>
    <col min="11" max="11" width="12.42578125" style="25" bestFit="1" customWidth="1"/>
    <col min="12" max="12" width="31" bestFit="1" customWidth="1"/>
    <col min="13" max="13" width="52.140625" bestFit="1" customWidth="1"/>
    <col min="14" max="14" width="38.28515625" bestFit="1" customWidth="1"/>
  </cols>
  <sheetData>
    <row r="1" spans="1:11" ht="12.75" customHeight="1" x14ac:dyDescent="0.2">
      <c r="A1" s="1"/>
      <c r="B1" s="24"/>
      <c r="C1" s="24"/>
      <c r="D1" s="1"/>
      <c r="E1" s="19"/>
      <c r="F1" s="1"/>
      <c r="G1" s="1"/>
      <c r="H1" s="24"/>
      <c r="I1" s="2"/>
      <c r="J1" s="1"/>
      <c r="K1" s="5"/>
    </row>
    <row r="2" spans="1:11" ht="26.25" customHeight="1" x14ac:dyDescent="0.35">
      <c r="A2" s="1"/>
      <c r="B2" s="127" t="s">
        <v>0</v>
      </c>
      <c r="C2" s="128"/>
      <c r="D2" s="128"/>
      <c r="E2" s="129"/>
      <c r="F2" s="128"/>
      <c r="G2" s="128"/>
      <c r="H2" s="130"/>
      <c r="I2" s="2"/>
      <c r="J2" s="1"/>
      <c r="K2" s="5"/>
    </row>
    <row r="3" spans="1:11" ht="12.75" customHeight="1" x14ac:dyDescent="0.2">
      <c r="A3" s="1"/>
      <c r="B3" s="24"/>
      <c r="C3" s="24"/>
      <c r="D3" s="1"/>
      <c r="E3" s="19"/>
      <c r="F3" s="1"/>
      <c r="G3" s="1"/>
      <c r="H3" s="24"/>
      <c r="I3" s="2"/>
      <c r="J3" s="1"/>
      <c r="K3" s="5"/>
    </row>
    <row r="4" spans="1:11" ht="12.75" customHeight="1" x14ac:dyDescent="0.25">
      <c r="A4" s="131" t="s">
        <v>1</v>
      </c>
      <c r="B4" s="132"/>
      <c r="C4" s="133" t="s">
        <v>2</v>
      </c>
      <c r="D4" s="134"/>
      <c r="E4" s="135"/>
      <c r="F4" s="87"/>
      <c r="G4" s="88"/>
      <c r="H4" s="29"/>
      <c r="I4" s="2"/>
      <c r="J4" s="1"/>
      <c r="K4" s="5"/>
    </row>
    <row r="5" spans="1:11" ht="12.75" customHeight="1" x14ac:dyDescent="0.2">
      <c r="A5" s="136" t="s">
        <v>3</v>
      </c>
      <c r="B5" s="132"/>
      <c r="C5" s="137" t="s">
        <v>181</v>
      </c>
      <c r="D5" s="138"/>
      <c r="E5" s="139"/>
      <c r="F5" s="87"/>
      <c r="G5" s="88"/>
      <c r="H5" s="29"/>
      <c r="I5" s="2"/>
      <c r="J5" s="1"/>
      <c r="K5" s="5"/>
    </row>
    <row r="6" spans="1:11" ht="12.75" customHeight="1" x14ac:dyDescent="0.2">
      <c r="A6" s="131" t="s">
        <v>4</v>
      </c>
      <c r="B6" s="132"/>
      <c r="C6" s="89">
        <v>2022</v>
      </c>
      <c r="D6" s="90"/>
      <c r="E6" s="91"/>
      <c r="F6" s="87"/>
      <c r="G6" s="88"/>
      <c r="H6" s="29"/>
      <c r="I6" s="2"/>
      <c r="J6" s="1"/>
      <c r="K6" s="5"/>
    </row>
    <row r="7" spans="1:11" ht="12.75" customHeight="1" x14ac:dyDescent="0.2">
      <c r="A7" s="136" t="s">
        <v>5</v>
      </c>
      <c r="B7" s="132"/>
      <c r="C7" s="92">
        <v>4</v>
      </c>
      <c r="D7" s="90"/>
      <c r="E7" s="91"/>
      <c r="F7" s="87"/>
      <c r="G7" s="88"/>
      <c r="H7" s="29"/>
      <c r="I7" s="2"/>
      <c r="J7" s="1"/>
      <c r="K7" s="5"/>
    </row>
    <row r="8" spans="1:11" ht="12.75" customHeight="1" x14ac:dyDescent="0.2">
      <c r="A8" s="1"/>
      <c r="B8" s="29"/>
      <c r="C8" s="27"/>
      <c r="D8" s="3"/>
      <c r="E8" s="20"/>
      <c r="F8" s="3"/>
      <c r="G8" s="4"/>
      <c r="H8" s="29"/>
      <c r="I8" s="2"/>
      <c r="J8" s="1"/>
      <c r="K8" s="5"/>
    </row>
    <row r="9" spans="1:11" s="30" customFormat="1" ht="38.25" x14ac:dyDescent="0.2">
      <c r="A9" s="21" t="s">
        <v>6</v>
      </c>
      <c r="B9" s="21" t="s">
        <v>7</v>
      </c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1" t="s">
        <v>13</v>
      </c>
      <c r="I9" s="22" t="s">
        <v>14</v>
      </c>
      <c r="J9" s="45"/>
      <c r="K9" s="28"/>
    </row>
    <row r="10" spans="1:11" ht="25.5" x14ac:dyDescent="0.2">
      <c r="A10" s="34">
        <v>1</v>
      </c>
      <c r="B10" s="68" t="s">
        <v>65</v>
      </c>
      <c r="C10" s="47" t="s">
        <v>64</v>
      </c>
      <c r="D10" s="35">
        <v>252</v>
      </c>
      <c r="E10" s="40" t="s">
        <v>115</v>
      </c>
      <c r="F10" s="34" t="s">
        <v>16</v>
      </c>
      <c r="G10" s="36">
        <v>200</v>
      </c>
      <c r="H10" s="53">
        <v>87.95</v>
      </c>
      <c r="I10" s="37">
        <f t="shared" ref="I10:I35" si="0">+G10*H10</f>
        <v>17590</v>
      </c>
      <c r="J10" s="23"/>
      <c r="K10" s="24"/>
    </row>
    <row r="11" spans="1:11" ht="27.75" customHeight="1" x14ac:dyDescent="0.2">
      <c r="A11" s="34">
        <v>2</v>
      </c>
      <c r="B11" s="68" t="s">
        <v>66</v>
      </c>
      <c r="C11" s="47" t="s">
        <v>64</v>
      </c>
      <c r="D11" s="35">
        <v>252</v>
      </c>
      <c r="E11" s="40" t="s">
        <v>116</v>
      </c>
      <c r="F11" s="34" t="s">
        <v>15</v>
      </c>
      <c r="G11" s="36">
        <v>700</v>
      </c>
      <c r="H11" s="53">
        <v>38</v>
      </c>
      <c r="I11" s="37">
        <f t="shared" si="0"/>
        <v>26600</v>
      </c>
      <c r="J11" s="23"/>
      <c r="K11" s="24"/>
    </row>
    <row r="12" spans="1:11" ht="25.5" x14ac:dyDescent="0.2">
      <c r="A12" s="34">
        <v>3</v>
      </c>
      <c r="B12" s="68" t="s">
        <v>67</v>
      </c>
      <c r="C12" s="47" t="s">
        <v>64</v>
      </c>
      <c r="D12" s="35">
        <v>252</v>
      </c>
      <c r="E12" s="40" t="s">
        <v>117</v>
      </c>
      <c r="F12" s="34" t="s">
        <v>15</v>
      </c>
      <c r="G12" s="36">
        <v>160</v>
      </c>
      <c r="H12" s="53">
        <v>15</v>
      </c>
      <c r="I12" s="37">
        <f t="shared" si="0"/>
        <v>2400</v>
      </c>
      <c r="J12" s="23"/>
      <c r="K12" s="24"/>
    </row>
    <row r="13" spans="1:11" ht="25.5" x14ac:dyDescent="0.2">
      <c r="A13" s="34">
        <v>4</v>
      </c>
      <c r="B13" s="68" t="s">
        <v>68</v>
      </c>
      <c r="C13" s="47" t="s">
        <v>64</v>
      </c>
      <c r="D13" s="35">
        <v>252</v>
      </c>
      <c r="E13" s="40" t="s">
        <v>118</v>
      </c>
      <c r="F13" s="34" t="s">
        <v>16</v>
      </c>
      <c r="G13" s="36">
        <v>1800</v>
      </c>
      <c r="H13" s="53">
        <v>99</v>
      </c>
      <c r="I13" s="37">
        <f t="shared" si="0"/>
        <v>178200</v>
      </c>
      <c r="J13" s="23"/>
      <c r="K13" s="24"/>
    </row>
    <row r="14" spans="1:11" ht="25.5" x14ac:dyDescent="0.2">
      <c r="A14" s="34">
        <v>5</v>
      </c>
      <c r="B14" s="68" t="s">
        <v>69</v>
      </c>
      <c r="C14" s="47" t="s">
        <v>64</v>
      </c>
      <c r="D14" s="35">
        <v>252</v>
      </c>
      <c r="E14" s="40" t="s">
        <v>119</v>
      </c>
      <c r="F14" s="34" t="s">
        <v>15</v>
      </c>
      <c r="G14" s="36">
        <v>80</v>
      </c>
      <c r="H14" s="53">
        <v>22</v>
      </c>
      <c r="I14" s="37">
        <f t="shared" si="0"/>
        <v>1760</v>
      </c>
      <c r="J14" s="23"/>
      <c r="K14" s="24"/>
    </row>
    <row r="15" spans="1:11" ht="25.5" x14ac:dyDescent="0.2">
      <c r="A15" s="34">
        <v>6</v>
      </c>
      <c r="B15" s="68" t="s">
        <v>71</v>
      </c>
      <c r="C15" s="47" t="s">
        <v>64</v>
      </c>
      <c r="D15" s="35">
        <v>252</v>
      </c>
      <c r="E15" s="40" t="s">
        <v>121</v>
      </c>
      <c r="F15" s="34" t="s">
        <v>17</v>
      </c>
      <c r="G15" s="36">
        <v>30</v>
      </c>
      <c r="H15" s="53">
        <v>562.5</v>
      </c>
      <c r="I15" s="37">
        <f t="shared" si="0"/>
        <v>16875</v>
      </c>
      <c r="J15" s="23"/>
      <c r="K15" s="24"/>
    </row>
    <row r="16" spans="1:11" ht="25.5" x14ac:dyDescent="0.2">
      <c r="A16" s="34">
        <v>7</v>
      </c>
      <c r="B16" s="68" t="s">
        <v>70</v>
      </c>
      <c r="C16" s="47" t="s">
        <v>64</v>
      </c>
      <c r="D16" s="35">
        <v>252</v>
      </c>
      <c r="E16" s="38" t="s">
        <v>120</v>
      </c>
      <c r="F16" s="34" t="s">
        <v>15</v>
      </c>
      <c r="G16" s="36">
        <v>400</v>
      </c>
      <c r="H16" s="53">
        <v>37.450000000000003</v>
      </c>
      <c r="I16" s="37">
        <f t="shared" si="0"/>
        <v>14980.000000000002</v>
      </c>
      <c r="J16" s="23"/>
      <c r="K16" s="24"/>
    </row>
    <row r="17" spans="1:13" ht="25.5" x14ac:dyDescent="0.2">
      <c r="A17" s="34">
        <v>8</v>
      </c>
      <c r="B17" s="68" t="s">
        <v>72</v>
      </c>
      <c r="C17" s="47" t="s">
        <v>64</v>
      </c>
      <c r="D17" s="35">
        <v>252</v>
      </c>
      <c r="E17" s="40" t="s">
        <v>122</v>
      </c>
      <c r="F17" s="34" t="s">
        <v>17</v>
      </c>
      <c r="G17" s="36">
        <v>10</v>
      </c>
      <c r="H17" s="53">
        <v>350</v>
      </c>
      <c r="I17" s="37">
        <f t="shared" si="0"/>
        <v>3500</v>
      </c>
      <c r="J17" s="23"/>
      <c r="K17" s="24"/>
      <c r="L17" s="42"/>
      <c r="M17" s="43"/>
    </row>
    <row r="18" spans="1:13" ht="38.25" x14ac:dyDescent="0.2">
      <c r="A18" s="34">
        <v>9</v>
      </c>
      <c r="B18" s="69" t="s">
        <v>158</v>
      </c>
      <c r="C18" s="47" t="s">
        <v>64</v>
      </c>
      <c r="D18" s="46">
        <v>252</v>
      </c>
      <c r="E18" s="41" t="s">
        <v>157</v>
      </c>
      <c r="F18" s="34" t="s">
        <v>16</v>
      </c>
      <c r="G18" s="36">
        <v>1200</v>
      </c>
      <c r="H18" s="53">
        <v>1420</v>
      </c>
      <c r="I18" s="37">
        <f t="shared" si="0"/>
        <v>1704000</v>
      </c>
      <c r="J18" s="23"/>
      <c r="K18" s="24"/>
    </row>
    <row r="19" spans="1:13" ht="25.5" x14ac:dyDescent="0.2">
      <c r="A19" s="34">
        <v>10</v>
      </c>
      <c r="B19" s="68" t="s">
        <v>73</v>
      </c>
      <c r="C19" s="47" t="s">
        <v>64</v>
      </c>
      <c r="D19" s="35">
        <v>252</v>
      </c>
      <c r="E19" s="40" t="s">
        <v>123</v>
      </c>
      <c r="F19" s="34" t="s">
        <v>15</v>
      </c>
      <c r="G19" s="36">
        <v>4200</v>
      </c>
      <c r="H19" s="53">
        <v>15.3</v>
      </c>
      <c r="I19" s="37">
        <f t="shared" si="0"/>
        <v>64260</v>
      </c>
      <c r="J19" s="23"/>
      <c r="K19" s="24"/>
    </row>
    <row r="20" spans="1:13" ht="25.5" x14ac:dyDescent="0.2">
      <c r="A20" s="34">
        <v>11</v>
      </c>
      <c r="B20" s="68" t="s">
        <v>74</v>
      </c>
      <c r="C20" s="47" t="s">
        <v>64</v>
      </c>
      <c r="D20" s="35">
        <v>252</v>
      </c>
      <c r="E20" s="40" t="s">
        <v>124</v>
      </c>
      <c r="F20" s="34" t="s">
        <v>17</v>
      </c>
      <c r="G20" s="36">
        <v>20</v>
      </c>
      <c r="H20" s="53">
        <v>298</v>
      </c>
      <c r="I20" s="37">
        <f t="shared" si="0"/>
        <v>5960</v>
      </c>
      <c r="J20" s="23"/>
      <c r="K20" s="24"/>
    </row>
    <row r="21" spans="1:13" ht="25.5" x14ac:dyDescent="0.2">
      <c r="A21" s="34">
        <v>12</v>
      </c>
      <c r="B21" s="68" t="s">
        <v>75</v>
      </c>
      <c r="C21" s="47" t="s">
        <v>64</v>
      </c>
      <c r="D21" s="35">
        <v>252</v>
      </c>
      <c r="E21" s="40" t="s">
        <v>125</v>
      </c>
      <c r="F21" s="34" t="s">
        <v>16</v>
      </c>
      <c r="G21" s="36">
        <v>3000</v>
      </c>
      <c r="H21" s="53">
        <v>145</v>
      </c>
      <c r="I21" s="37">
        <f t="shared" si="0"/>
        <v>435000</v>
      </c>
      <c r="J21" s="23"/>
      <c r="K21" s="24"/>
    </row>
    <row r="22" spans="1:13" ht="25.5" x14ac:dyDescent="0.2">
      <c r="A22" s="34">
        <v>13</v>
      </c>
      <c r="B22" s="68" t="s">
        <v>76</v>
      </c>
      <c r="C22" s="47" t="s">
        <v>64</v>
      </c>
      <c r="D22" s="35">
        <v>252</v>
      </c>
      <c r="E22" s="40" t="s">
        <v>126</v>
      </c>
      <c r="F22" s="34" t="s">
        <v>16</v>
      </c>
      <c r="G22" s="36">
        <v>200</v>
      </c>
      <c r="H22" s="53">
        <v>148</v>
      </c>
      <c r="I22" s="37">
        <f t="shared" si="0"/>
        <v>29600</v>
      </c>
      <c r="J22" s="23"/>
      <c r="K22" s="24"/>
    </row>
    <row r="23" spans="1:13" ht="25.5" x14ac:dyDescent="0.2">
      <c r="A23" s="34">
        <v>14</v>
      </c>
      <c r="B23" s="68" t="s">
        <v>77</v>
      </c>
      <c r="C23" s="47" t="s">
        <v>64</v>
      </c>
      <c r="D23" s="35">
        <v>252</v>
      </c>
      <c r="E23" s="40" t="s">
        <v>127</v>
      </c>
      <c r="F23" s="34" t="s">
        <v>16</v>
      </c>
      <c r="G23" s="36">
        <v>200</v>
      </c>
      <c r="H23" s="53">
        <v>144</v>
      </c>
      <c r="I23" s="37">
        <f t="shared" si="0"/>
        <v>28800</v>
      </c>
      <c r="J23" s="23"/>
      <c r="K23" s="24"/>
    </row>
    <row r="24" spans="1:13" ht="25.5" x14ac:dyDescent="0.2">
      <c r="A24" s="34">
        <v>15</v>
      </c>
      <c r="B24" s="68" t="s">
        <v>78</v>
      </c>
      <c r="C24" s="47" t="s">
        <v>64</v>
      </c>
      <c r="D24" s="35">
        <v>252</v>
      </c>
      <c r="E24" s="40" t="s">
        <v>128</v>
      </c>
      <c r="F24" s="34" t="s">
        <v>16</v>
      </c>
      <c r="G24" s="36">
        <v>200</v>
      </c>
      <c r="H24" s="53">
        <v>105</v>
      </c>
      <c r="I24" s="37">
        <f t="shared" si="0"/>
        <v>21000</v>
      </c>
      <c r="J24" s="23"/>
      <c r="K24" s="24"/>
    </row>
    <row r="25" spans="1:13" ht="25.5" x14ac:dyDescent="0.2">
      <c r="A25" s="34">
        <v>16</v>
      </c>
      <c r="B25" s="68" t="s">
        <v>79</v>
      </c>
      <c r="C25" s="47" t="s">
        <v>64</v>
      </c>
      <c r="D25" s="35">
        <v>252</v>
      </c>
      <c r="E25" s="39" t="s">
        <v>129</v>
      </c>
      <c r="F25" s="34" t="s">
        <v>16</v>
      </c>
      <c r="G25" s="36">
        <v>200</v>
      </c>
      <c r="H25" s="53">
        <v>351</v>
      </c>
      <c r="I25" s="37">
        <f t="shared" si="0"/>
        <v>70200</v>
      </c>
      <c r="J25" s="23"/>
      <c r="K25" s="24"/>
    </row>
    <row r="26" spans="1:13" ht="25.5" x14ac:dyDescent="0.2">
      <c r="A26" s="34">
        <v>17</v>
      </c>
      <c r="B26" s="68" t="s">
        <v>80</v>
      </c>
      <c r="C26" s="47" t="s">
        <v>64</v>
      </c>
      <c r="D26" s="35">
        <v>252</v>
      </c>
      <c r="E26" s="40" t="s">
        <v>156</v>
      </c>
      <c r="F26" s="44" t="s">
        <v>168</v>
      </c>
      <c r="G26" s="36">
        <v>20</v>
      </c>
      <c r="H26" s="53">
        <v>135</v>
      </c>
      <c r="I26" s="37">
        <f t="shared" si="0"/>
        <v>2700</v>
      </c>
      <c r="J26" s="23"/>
      <c r="K26" s="24"/>
      <c r="M26" s="30"/>
    </row>
    <row r="27" spans="1:13" ht="25.5" x14ac:dyDescent="0.2">
      <c r="A27" s="34">
        <v>18</v>
      </c>
      <c r="B27" s="68" t="s">
        <v>81</v>
      </c>
      <c r="C27" s="47" t="s">
        <v>64</v>
      </c>
      <c r="D27" s="35">
        <v>252</v>
      </c>
      <c r="E27" s="39" t="s">
        <v>130</v>
      </c>
      <c r="F27" s="34" t="s">
        <v>15</v>
      </c>
      <c r="G27" s="36">
        <v>50</v>
      </c>
      <c r="H27" s="53">
        <v>11.5</v>
      </c>
      <c r="I27" s="37">
        <f t="shared" si="0"/>
        <v>575</v>
      </c>
      <c r="J27" s="23"/>
      <c r="K27" s="24"/>
    </row>
    <row r="28" spans="1:13" ht="25.5" x14ac:dyDescent="0.2">
      <c r="A28" s="34">
        <v>19</v>
      </c>
      <c r="B28" s="68" t="s">
        <v>83</v>
      </c>
      <c r="C28" s="47" t="s">
        <v>64</v>
      </c>
      <c r="D28" s="35">
        <v>252</v>
      </c>
      <c r="E28" s="39" t="s">
        <v>131</v>
      </c>
      <c r="F28" s="34" t="s">
        <v>17</v>
      </c>
      <c r="G28" s="36">
        <v>20</v>
      </c>
      <c r="H28" s="51">
        <v>1500</v>
      </c>
      <c r="I28" s="37">
        <f t="shared" si="0"/>
        <v>30000</v>
      </c>
      <c r="J28" s="23"/>
      <c r="K28" s="24"/>
    </row>
    <row r="29" spans="1:13" ht="25.5" x14ac:dyDescent="0.2">
      <c r="A29" s="34">
        <v>20</v>
      </c>
      <c r="B29" s="68" t="s">
        <v>82</v>
      </c>
      <c r="C29" s="47" t="s">
        <v>64</v>
      </c>
      <c r="D29" s="35">
        <v>252</v>
      </c>
      <c r="E29" s="40" t="s">
        <v>132</v>
      </c>
      <c r="F29" s="34" t="s">
        <v>15</v>
      </c>
      <c r="G29" s="36">
        <v>80</v>
      </c>
      <c r="H29" s="51">
        <v>35</v>
      </c>
      <c r="I29" s="37">
        <f t="shared" si="0"/>
        <v>2800</v>
      </c>
      <c r="J29" s="23"/>
      <c r="K29" s="24"/>
    </row>
    <row r="30" spans="1:13" ht="25.5" x14ac:dyDescent="0.2">
      <c r="A30" s="34">
        <v>21</v>
      </c>
      <c r="B30" s="68" t="s">
        <v>84</v>
      </c>
      <c r="C30" s="47" t="s">
        <v>64</v>
      </c>
      <c r="D30" s="35">
        <v>252</v>
      </c>
      <c r="E30" s="40" t="s">
        <v>134</v>
      </c>
      <c r="F30" s="34" t="s">
        <v>16</v>
      </c>
      <c r="G30" s="36">
        <v>30</v>
      </c>
      <c r="H30" s="51">
        <v>690</v>
      </c>
      <c r="I30" s="37">
        <f t="shared" si="0"/>
        <v>20700</v>
      </c>
      <c r="J30" s="23"/>
      <c r="K30" s="24"/>
    </row>
    <row r="31" spans="1:13" ht="25.5" x14ac:dyDescent="0.2">
      <c r="A31" s="34">
        <v>22</v>
      </c>
      <c r="B31" s="68" t="s">
        <v>85</v>
      </c>
      <c r="C31" s="47" t="s">
        <v>64</v>
      </c>
      <c r="D31" s="35">
        <v>252</v>
      </c>
      <c r="E31" s="40" t="s">
        <v>133</v>
      </c>
      <c r="F31" s="34" t="s">
        <v>16</v>
      </c>
      <c r="G31" s="36">
        <v>300</v>
      </c>
      <c r="H31" s="51">
        <v>85</v>
      </c>
      <c r="I31" s="37">
        <f t="shared" si="0"/>
        <v>25500</v>
      </c>
      <c r="J31" s="23"/>
      <c r="K31" s="24"/>
    </row>
    <row r="32" spans="1:13" ht="25.5" x14ac:dyDescent="0.2">
      <c r="A32" s="34">
        <v>23</v>
      </c>
      <c r="B32" s="68" t="s">
        <v>86</v>
      </c>
      <c r="C32" s="47" t="s">
        <v>64</v>
      </c>
      <c r="D32" s="35">
        <v>252</v>
      </c>
      <c r="E32" s="38" t="s">
        <v>172</v>
      </c>
      <c r="F32" s="34" t="s">
        <v>15</v>
      </c>
      <c r="G32" s="36">
        <v>1200</v>
      </c>
      <c r="H32" s="51">
        <v>3.05</v>
      </c>
      <c r="I32" s="37">
        <f t="shared" si="0"/>
        <v>3660</v>
      </c>
      <c r="J32" s="23"/>
      <c r="K32" s="24"/>
    </row>
    <row r="33" spans="1:13" ht="25.5" x14ac:dyDescent="0.2">
      <c r="A33" s="34">
        <v>24</v>
      </c>
      <c r="B33" s="68" t="s">
        <v>87</v>
      </c>
      <c r="C33" s="47" t="s">
        <v>64</v>
      </c>
      <c r="D33" s="35">
        <v>252</v>
      </c>
      <c r="E33" s="38" t="s">
        <v>173</v>
      </c>
      <c r="F33" s="34" t="s">
        <v>16</v>
      </c>
      <c r="G33" s="36">
        <v>2400</v>
      </c>
      <c r="H33" s="51">
        <v>35.9</v>
      </c>
      <c r="I33" s="37">
        <f t="shared" si="0"/>
        <v>86160</v>
      </c>
      <c r="J33" s="23"/>
      <c r="K33" s="24"/>
      <c r="M33" s="32"/>
    </row>
    <row r="34" spans="1:13" ht="25.5" x14ac:dyDescent="0.2">
      <c r="A34" s="34">
        <v>25</v>
      </c>
      <c r="B34" s="68" t="s">
        <v>88</v>
      </c>
      <c r="C34" s="47" t="s">
        <v>64</v>
      </c>
      <c r="D34" s="35">
        <v>252</v>
      </c>
      <c r="E34" s="40" t="s">
        <v>174</v>
      </c>
      <c r="F34" s="34" t="s">
        <v>16</v>
      </c>
      <c r="G34" s="36">
        <v>1100</v>
      </c>
      <c r="H34" s="51">
        <v>38.5</v>
      </c>
      <c r="I34" s="37">
        <f t="shared" si="0"/>
        <v>42350</v>
      </c>
      <c r="J34" s="23"/>
      <c r="K34" s="24"/>
    </row>
    <row r="35" spans="1:13" ht="25.5" x14ac:dyDescent="0.2">
      <c r="A35" s="34">
        <v>26</v>
      </c>
      <c r="B35" s="68" t="s">
        <v>89</v>
      </c>
      <c r="C35" s="47" t="s">
        <v>64</v>
      </c>
      <c r="D35" s="35">
        <v>252</v>
      </c>
      <c r="E35" s="40" t="s">
        <v>137</v>
      </c>
      <c r="F35" s="34" t="s">
        <v>15</v>
      </c>
      <c r="G35" s="36">
        <v>450</v>
      </c>
      <c r="H35" s="53">
        <v>62.17</v>
      </c>
      <c r="I35" s="37">
        <f t="shared" si="0"/>
        <v>27976.5</v>
      </c>
      <c r="J35" s="23"/>
      <c r="K35" s="24"/>
    </row>
    <row r="36" spans="1:13" ht="24" customHeight="1" x14ac:dyDescent="0.2">
      <c r="A36" s="34">
        <v>27</v>
      </c>
      <c r="B36" s="70" t="s">
        <v>166</v>
      </c>
      <c r="C36" s="49" t="s">
        <v>64</v>
      </c>
      <c r="D36" s="50">
        <v>252</v>
      </c>
      <c r="E36" s="55" t="s">
        <v>165</v>
      </c>
      <c r="F36" s="48" t="s">
        <v>16</v>
      </c>
      <c r="G36" s="36">
        <v>5</v>
      </c>
      <c r="H36" s="53">
        <v>8899.39</v>
      </c>
      <c r="I36" s="37">
        <f t="shared" ref="I36:I63" si="1">+G36*H36</f>
        <v>44496.95</v>
      </c>
      <c r="J36" s="23"/>
      <c r="K36" s="24"/>
    </row>
    <row r="37" spans="1:13" ht="25.5" x14ac:dyDescent="0.2">
      <c r="A37" s="34">
        <v>28</v>
      </c>
      <c r="B37" s="68" t="s">
        <v>90</v>
      </c>
      <c r="C37" s="47" t="s">
        <v>64</v>
      </c>
      <c r="D37" s="35">
        <v>252</v>
      </c>
      <c r="E37" s="39" t="s">
        <v>138</v>
      </c>
      <c r="F37" s="34" t="s">
        <v>16</v>
      </c>
      <c r="G37" s="36">
        <v>400</v>
      </c>
      <c r="H37" s="53">
        <v>42</v>
      </c>
      <c r="I37" s="37">
        <f t="shared" si="1"/>
        <v>16800</v>
      </c>
      <c r="J37" s="23"/>
      <c r="K37" s="24"/>
    </row>
    <row r="38" spans="1:13" ht="25.5" x14ac:dyDescent="0.2">
      <c r="A38" s="34">
        <v>29</v>
      </c>
      <c r="B38" s="68" t="s">
        <v>91</v>
      </c>
      <c r="C38" s="47" t="s">
        <v>64</v>
      </c>
      <c r="D38" s="35">
        <v>252</v>
      </c>
      <c r="E38" s="39" t="s">
        <v>139</v>
      </c>
      <c r="F38" s="34" t="s">
        <v>15</v>
      </c>
      <c r="G38" s="36">
        <v>600</v>
      </c>
      <c r="H38" s="53">
        <v>4.8</v>
      </c>
      <c r="I38" s="37">
        <f t="shared" si="1"/>
        <v>2880</v>
      </c>
      <c r="J38" s="23"/>
      <c r="K38" s="24"/>
    </row>
    <row r="39" spans="1:13" ht="25.5" x14ac:dyDescent="0.2">
      <c r="A39" s="34">
        <v>30</v>
      </c>
      <c r="B39" s="54" t="s">
        <v>167</v>
      </c>
      <c r="C39" s="49" t="s">
        <v>64</v>
      </c>
      <c r="D39" s="50">
        <v>252</v>
      </c>
      <c r="E39" s="54" t="s">
        <v>159</v>
      </c>
      <c r="F39" s="56" t="s">
        <v>20</v>
      </c>
      <c r="G39" s="36">
        <v>50</v>
      </c>
      <c r="H39" s="53">
        <v>3058.9</v>
      </c>
      <c r="I39" s="37">
        <f t="shared" si="1"/>
        <v>152945</v>
      </c>
      <c r="J39" s="23"/>
      <c r="K39" s="24"/>
    </row>
    <row r="40" spans="1:13" ht="25.5" x14ac:dyDescent="0.2">
      <c r="A40" s="34">
        <v>31</v>
      </c>
      <c r="B40" s="69" t="s">
        <v>161</v>
      </c>
      <c r="C40" s="47" t="s">
        <v>64</v>
      </c>
      <c r="D40" s="35">
        <v>252</v>
      </c>
      <c r="E40" s="41" t="s">
        <v>160</v>
      </c>
      <c r="F40" s="34" t="s">
        <v>18</v>
      </c>
      <c r="G40" s="36">
        <v>50</v>
      </c>
      <c r="H40" s="53">
        <v>8375</v>
      </c>
      <c r="I40" s="37">
        <f t="shared" si="1"/>
        <v>418750</v>
      </c>
      <c r="J40" s="23"/>
      <c r="K40" s="24"/>
    </row>
    <row r="41" spans="1:13" ht="25.5" x14ac:dyDescent="0.2">
      <c r="A41" s="34">
        <v>32</v>
      </c>
      <c r="B41" s="68" t="s">
        <v>92</v>
      </c>
      <c r="C41" s="47" t="s">
        <v>64</v>
      </c>
      <c r="D41" s="35">
        <v>252</v>
      </c>
      <c r="E41" s="39" t="s">
        <v>140</v>
      </c>
      <c r="F41" s="44" t="s">
        <v>18</v>
      </c>
      <c r="G41" s="36">
        <v>5</v>
      </c>
      <c r="H41" s="53">
        <v>125640</v>
      </c>
      <c r="I41" s="37">
        <f t="shared" si="1"/>
        <v>628200</v>
      </c>
      <c r="J41" s="23"/>
      <c r="K41" s="24"/>
    </row>
    <row r="42" spans="1:13" ht="25.5" x14ac:dyDescent="0.2">
      <c r="A42" s="34">
        <v>33</v>
      </c>
      <c r="B42" s="68" t="s">
        <v>93</v>
      </c>
      <c r="C42" s="47" t="s">
        <v>64</v>
      </c>
      <c r="D42" s="35">
        <v>252</v>
      </c>
      <c r="E42" s="40" t="s">
        <v>141</v>
      </c>
      <c r="F42" s="44" t="s">
        <v>18</v>
      </c>
      <c r="G42" s="36">
        <v>5</v>
      </c>
      <c r="H42" s="53">
        <v>31000</v>
      </c>
      <c r="I42" s="37">
        <f t="shared" si="1"/>
        <v>155000</v>
      </c>
      <c r="J42" s="23"/>
      <c r="K42" s="24"/>
    </row>
    <row r="43" spans="1:13" ht="25.5" x14ac:dyDescent="0.2">
      <c r="A43" s="34">
        <v>34</v>
      </c>
      <c r="B43" s="68" t="s">
        <v>94</v>
      </c>
      <c r="C43" s="47" t="s">
        <v>64</v>
      </c>
      <c r="D43" s="35">
        <v>252</v>
      </c>
      <c r="E43" s="40" t="s">
        <v>142</v>
      </c>
      <c r="F43" s="44" t="s">
        <v>18</v>
      </c>
      <c r="G43" s="36">
        <v>5</v>
      </c>
      <c r="H43" s="53">
        <v>59000</v>
      </c>
      <c r="I43" s="37">
        <f t="shared" si="1"/>
        <v>295000</v>
      </c>
      <c r="J43" s="23"/>
      <c r="K43" s="24"/>
    </row>
    <row r="44" spans="1:13" ht="25.5" x14ac:dyDescent="0.2">
      <c r="A44" s="34">
        <v>35</v>
      </c>
      <c r="B44" s="67" t="s">
        <v>95</v>
      </c>
      <c r="C44" s="47" t="s">
        <v>64</v>
      </c>
      <c r="D44" s="35">
        <v>252</v>
      </c>
      <c r="E44" s="41" t="s">
        <v>143</v>
      </c>
      <c r="F44" s="34" t="s">
        <v>16</v>
      </c>
      <c r="G44" s="36">
        <v>50</v>
      </c>
      <c r="H44" s="53">
        <v>2300</v>
      </c>
      <c r="I44" s="37">
        <f t="shared" si="1"/>
        <v>115000</v>
      </c>
      <c r="J44" s="23"/>
      <c r="K44" s="24"/>
    </row>
    <row r="45" spans="1:13" ht="25.5" x14ac:dyDescent="0.2">
      <c r="A45" s="34">
        <v>36</v>
      </c>
      <c r="B45" s="67" t="s">
        <v>96</v>
      </c>
      <c r="C45" s="47" t="s">
        <v>64</v>
      </c>
      <c r="D45" s="35">
        <v>252</v>
      </c>
      <c r="E45" s="40" t="s">
        <v>179</v>
      </c>
      <c r="F45" s="34" t="s">
        <v>16</v>
      </c>
      <c r="G45" s="36">
        <v>3600</v>
      </c>
      <c r="H45" s="53">
        <v>59</v>
      </c>
      <c r="I45" s="37">
        <f t="shared" si="1"/>
        <v>212400</v>
      </c>
      <c r="J45" s="23"/>
      <c r="K45" s="24"/>
    </row>
    <row r="46" spans="1:13" ht="25.5" x14ac:dyDescent="0.2">
      <c r="A46" s="34">
        <v>37</v>
      </c>
      <c r="B46" s="67" t="s">
        <v>97</v>
      </c>
      <c r="C46" s="47" t="s">
        <v>64</v>
      </c>
      <c r="D46" s="35">
        <v>252</v>
      </c>
      <c r="E46" s="41" t="s">
        <v>144</v>
      </c>
      <c r="F46" s="34" t="s">
        <v>15</v>
      </c>
      <c r="G46" s="36">
        <v>28</v>
      </c>
      <c r="H46" s="53">
        <v>18</v>
      </c>
      <c r="I46" s="37">
        <f t="shared" si="1"/>
        <v>504</v>
      </c>
      <c r="J46" s="23"/>
      <c r="K46" s="24"/>
    </row>
    <row r="47" spans="1:13" ht="25.5" x14ac:dyDescent="0.2">
      <c r="A47" s="34">
        <v>38</v>
      </c>
      <c r="B47" s="67" t="s">
        <v>99</v>
      </c>
      <c r="C47" s="47" t="s">
        <v>64</v>
      </c>
      <c r="D47" s="35">
        <v>252</v>
      </c>
      <c r="E47" s="41" t="s">
        <v>145</v>
      </c>
      <c r="F47" s="34" t="s">
        <v>16</v>
      </c>
      <c r="G47" s="36">
        <v>1200</v>
      </c>
      <c r="H47" s="53">
        <v>33</v>
      </c>
      <c r="I47" s="37">
        <f t="shared" si="1"/>
        <v>39600</v>
      </c>
      <c r="J47" s="23"/>
      <c r="K47" s="24"/>
    </row>
    <row r="48" spans="1:13" ht="25.5" x14ac:dyDescent="0.2">
      <c r="A48" s="34">
        <v>39</v>
      </c>
      <c r="B48" s="67" t="s">
        <v>98</v>
      </c>
      <c r="C48" s="47" t="s">
        <v>64</v>
      </c>
      <c r="D48" s="35">
        <v>252</v>
      </c>
      <c r="E48" s="41" t="s">
        <v>146</v>
      </c>
      <c r="F48" s="34" t="s">
        <v>16</v>
      </c>
      <c r="G48" s="36">
        <v>10</v>
      </c>
      <c r="H48" s="53">
        <v>325</v>
      </c>
      <c r="I48" s="37">
        <f t="shared" si="1"/>
        <v>3250</v>
      </c>
      <c r="J48" s="23"/>
      <c r="K48" s="24"/>
    </row>
    <row r="49" spans="1:13" ht="25.5" x14ac:dyDescent="0.2">
      <c r="A49" s="34">
        <v>40</v>
      </c>
      <c r="B49" s="67" t="s">
        <v>100</v>
      </c>
      <c r="C49" s="47" t="s">
        <v>64</v>
      </c>
      <c r="D49" s="35">
        <v>252</v>
      </c>
      <c r="E49" s="41" t="s">
        <v>147</v>
      </c>
      <c r="F49" s="44" t="s">
        <v>18</v>
      </c>
      <c r="G49" s="36">
        <v>30</v>
      </c>
      <c r="H49" s="53">
        <v>112</v>
      </c>
      <c r="I49" s="37">
        <f t="shared" si="1"/>
        <v>3360</v>
      </c>
      <c r="J49" s="23"/>
      <c r="K49" s="24"/>
    </row>
    <row r="50" spans="1:13" ht="25.5" x14ac:dyDescent="0.2">
      <c r="A50" s="34">
        <v>41</v>
      </c>
      <c r="B50" s="67" t="s">
        <v>101</v>
      </c>
      <c r="C50" s="47" t="s">
        <v>64</v>
      </c>
      <c r="D50" s="35">
        <v>252</v>
      </c>
      <c r="E50" s="41" t="s">
        <v>148</v>
      </c>
      <c r="F50" s="34" t="s">
        <v>16</v>
      </c>
      <c r="G50" s="36">
        <v>50</v>
      </c>
      <c r="H50" s="53">
        <v>380</v>
      </c>
      <c r="I50" s="37">
        <f t="shared" si="1"/>
        <v>19000</v>
      </c>
      <c r="J50" s="23"/>
      <c r="K50" s="24"/>
    </row>
    <row r="51" spans="1:13" ht="25.5" x14ac:dyDescent="0.2">
      <c r="A51" s="34">
        <v>42</v>
      </c>
      <c r="B51" s="67" t="s">
        <v>103</v>
      </c>
      <c r="C51" s="47" t="s">
        <v>64</v>
      </c>
      <c r="D51" s="35">
        <v>252</v>
      </c>
      <c r="E51" s="41" t="s">
        <v>149</v>
      </c>
      <c r="F51" s="34" t="s">
        <v>15</v>
      </c>
      <c r="G51" s="36">
        <v>200</v>
      </c>
      <c r="H51" s="53">
        <v>7.69</v>
      </c>
      <c r="I51" s="37">
        <f t="shared" si="1"/>
        <v>1538</v>
      </c>
      <c r="J51" s="23"/>
      <c r="K51" s="24"/>
      <c r="M51" s="33"/>
    </row>
    <row r="52" spans="1:13" ht="25.5" x14ac:dyDescent="0.2">
      <c r="A52" s="34">
        <v>43</v>
      </c>
      <c r="B52" s="68" t="s">
        <v>102</v>
      </c>
      <c r="C52" s="47" t="s">
        <v>64</v>
      </c>
      <c r="D52" s="35">
        <v>252</v>
      </c>
      <c r="E52" s="40" t="s">
        <v>150</v>
      </c>
      <c r="F52" s="44" t="s">
        <v>18</v>
      </c>
      <c r="G52" s="36">
        <v>100</v>
      </c>
      <c r="H52" s="53">
        <v>138</v>
      </c>
      <c r="I52" s="37">
        <f t="shared" si="1"/>
        <v>13800</v>
      </c>
      <c r="J52" s="23"/>
      <c r="K52" s="24"/>
    </row>
    <row r="53" spans="1:13" ht="25.5" x14ac:dyDescent="0.2">
      <c r="A53" s="34">
        <v>44</v>
      </c>
      <c r="B53" s="68" t="s">
        <v>104</v>
      </c>
      <c r="C53" s="47" t="s">
        <v>64</v>
      </c>
      <c r="D53" s="35">
        <v>252</v>
      </c>
      <c r="E53" s="40" t="s">
        <v>175</v>
      </c>
      <c r="F53" s="34" t="s">
        <v>16</v>
      </c>
      <c r="G53" s="36">
        <v>200</v>
      </c>
      <c r="H53" s="53">
        <v>66</v>
      </c>
      <c r="I53" s="37">
        <f t="shared" si="1"/>
        <v>13200</v>
      </c>
      <c r="J53" s="23"/>
      <c r="K53" s="24"/>
      <c r="M53" s="31"/>
    </row>
    <row r="54" spans="1:13" ht="25.5" x14ac:dyDescent="0.2">
      <c r="A54" s="34">
        <v>45</v>
      </c>
      <c r="B54" s="68" t="s">
        <v>105</v>
      </c>
      <c r="C54" s="47" t="s">
        <v>64</v>
      </c>
      <c r="D54" s="35">
        <v>252</v>
      </c>
      <c r="E54" s="40" t="s">
        <v>176</v>
      </c>
      <c r="F54" s="34" t="s">
        <v>16</v>
      </c>
      <c r="G54" s="36">
        <v>400</v>
      </c>
      <c r="H54" s="53">
        <v>72</v>
      </c>
      <c r="I54" s="37">
        <f t="shared" si="1"/>
        <v>28800</v>
      </c>
      <c r="J54" s="23"/>
      <c r="K54" s="24"/>
    </row>
    <row r="55" spans="1:13" ht="25.5" x14ac:dyDescent="0.2">
      <c r="A55" s="34">
        <v>46</v>
      </c>
      <c r="B55" s="69" t="s">
        <v>162</v>
      </c>
      <c r="C55" s="47" t="s">
        <v>64</v>
      </c>
      <c r="D55" s="35">
        <v>252</v>
      </c>
      <c r="E55" s="40" t="s">
        <v>171</v>
      </c>
      <c r="F55" s="34" t="s">
        <v>15</v>
      </c>
      <c r="G55" s="36">
        <v>350</v>
      </c>
      <c r="H55" s="53">
        <v>9.8000000000000007</v>
      </c>
      <c r="I55" s="37">
        <f t="shared" si="1"/>
        <v>3430.0000000000005</v>
      </c>
      <c r="J55" s="23"/>
      <c r="K55" s="24"/>
    </row>
    <row r="56" spans="1:13" ht="25.5" x14ac:dyDescent="0.2">
      <c r="A56" s="34">
        <v>47</v>
      </c>
      <c r="B56" s="68" t="s">
        <v>106</v>
      </c>
      <c r="C56" s="47" t="s">
        <v>64</v>
      </c>
      <c r="D56" s="35">
        <v>252</v>
      </c>
      <c r="E56" s="40" t="s">
        <v>151</v>
      </c>
      <c r="F56" s="34" t="s">
        <v>16</v>
      </c>
      <c r="G56" s="36">
        <v>120</v>
      </c>
      <c r="H56" s="53">
        <v>980</v>
      </c>
      <c r="I56" s="37">
        <f t="shared" si="1"/>
        <v>117600</v>
      </c>
      <c r="J56" s="23"/>
      <c r="K56" s="24"/>
    </row>
    <row r="57" spans="1:13" ht="25.5" x14ac:dyDescent="0.2">
      <c r="A57" s="34">
        <v>48</v>
      </c>
      <c r="B57" s="69" t="s">
        <v>164</v>
      </c>
      <c r="C57" s="47" t="s">
        <v>64</v>
      </c>
      <c r="D57" s="35">
        <v>252</v>
      </c>
      <c r="E57" s="41" t="s">
        <v>163</v>
      </c>
      <c r="F57" s="34" t="s">
        <v>15</v>
      </c>
      <c r="G57" s="36">
        <v>1300</v>
      </c>
      <c r="H57" s="53">
        <v>5.3</v>
      </c>
      <c r="I57" s="37">
        <f t="shared" si="1"/>
        <v>6890</v>
      </c>
      <c r="J57" s="23"/>
      <c r="K57" s="24"/>
    </row>
    <row r="58" spans="1:13" ht="25.5" x14ac:dyDescent="0.2">
      <c r="A58" s="34">
        <v>49</v>
      </c>
      <c r="B58" s="68" t="s">
        <v>107</v>
      </c>
      <c r="C58" s="47" t="s">
        <v>64</v>
      </c>
      <c r="D58" s="35">
        <v>252</v>
      </c>
      <c r="E58" s="40" t="s">
        <v>177</v>
      </c>
      <c r="F58" s="34" t="s">
        <v>19</v>
      </c>
      <c r="G58" s="36">
        <v>60</v>
      </c>
      <c r="H58" s="53">
        <v>85</v>
      </c>
      <c r="I58" s="37">
        <f t="shared" si="1"/>
        <v>5100</v>
      </c>
      <c r="J58" s="23"/>
      <c r="K58" s="24"/>
    </row>
    <row r="59" spans="1:13" ht="25.5" x14ac:dyDescent="0.2">
      <c r="A59" s="34">
        <v>50</v>
      </c>
      <c r="B59" s="68" t="s">
        <v>108</v>
      </c>
      <c r="C59" s="47" t="s">
        <v>64</v>
      </c>
      <c r="D59" s="35">
        <v>252</v>
      </c>
      <c r="E59" s="40" t="s">
        <v>152</v>
      </c>
      <c r="F59" s="34" t="s">
        <v>16</v>
      </c>
      <c r="G59" s="36">
        <v>360</v>
      </c>
      <c r="H59" s="51">
        <v>178</v>
      </c>
      <c r="I59" s="37">
        <f t="shared" si="1"/>
        <v>64080</v>
      </c>
      <c r="J59" s="23"/>
      <c r="K59" s="24"/>
    </row>
    <row r="60" spans="1:13" ht="25.5" x14ac:dyDescent="0.2">
      <c r="A60" s="34">
        <v>51</v>
      </c>
      <c r="B60" s="68" t="s">
        <v>109</v>
      </c>
      <c r="C60" s="47" t="s">
        <v>64</v>
      </c>
      <c r="D60" s="35">
        <v>252</v>
      </c>
      <c r="E60" s="40" t="s">
        <v>153</v>
      </c>
      <c r="F60" s="34" t="s">
        <v>16</v>
      </c>
      <c r="G60" s="36">
        <v>600</v>
      </c>
      <c r="H60" s="51">
        <v>145</v>
      </c>
      <c r="I60" s="37">
        <f t="shared" si="1"/>
        <v>87000</v>
      </c>
      <c r="J60" s="23"/>
      <c r="K60" s="24"/>
    </row>
    <row r="61" spans="1:13" ht="25.5" x14ac:dyDescent="0.2">
      <c r="A61" s="34">
        <v>52</v>
      </c>
      <c r="B61" s="68" t="s">
        <v>110</v>
      </c>
      <c r="C61" s="47" t="s">
        <v>64</v>
      </c>
      <c r="D61" s="35">
        <v>252</v>
      </c>
      <c r="E61" s="38" t="s">
        <v>136</v>
      </c>
      <c r="F61" s="34" t="s">
        <v>16</v>
      </c>
      <c r="G61" s="36">
        <v>100</v>
      </c>
      <c r="H61" s="51">
        <v>345</v>
      </c>
      <c r="I61" s="37">
        <f t="shared" si="1"/>
        <v>34500</v>
      </c>
      <c r="J61" s="23"/>
      <c r="K61" s="24"/>
    </row>
    <row r="62" spans="1:13" ht="25.5" x14ac:dyDescent="0.2">
      <c r="A62" s="34">
        <v>53</v>
      </c>
      <c r="B62" s="68" t="s">
        <v>111</v>
      </c>
      <c r="C62" s="47" t="s">
        <v>64</v>
      </c>
      <c r="D62" s="35">
        <v>252</v>
      </c>
      <c r="E62" s="40" t="s">
        <v>155</v>
      </c>
      <c r="F62" s="34" t="s">
        <v>17</v>
      </c>
      <c r="G62" s="36">
        <v>12</v>
      </c>
      <c r="H62" s="51">
        <v>15580</v>
      </c>
      <c r="I62" s="37">
        <f t="shared" si="1"/>
        <v>186960</v>
      </c>
      <c r="J62" s="26"/>
      <c r="K62" s="5"/>
    </row>
    <row r="63" spans="1:13" ht="25.5" x14ac:dyDescent="0.2">
      <c r="A63" s="34">
        <v>54</v>
      </c>
      <c r="B63" s="68" t="s">
        <v>112</v>
      </c>
      <c r="C63" s="47" t="s">
        <v>64</v>
      </c>
      <c r="D63" s="35">
        <v>252</v>
      </c>
      <c r="E63" s="40" t="s">
        <v>135</v>
      </c>
      <c r="F63" s="34" t="s">
        <v>16</v>
      </c>
      <c r="G63" s="36">
        <v>50</v>
      </c>
      <c r="H63" s="51">
        <v>340</v>
      </c>
      <c r="I63" s="37">
        <f t="shared" si="1"/>
        <v>17000</v>
      </c>
      <c r="J63" s="23"/>
      <c r="K63" s="24"/>
    </row>
    <row r="64" spans="1:13" ht="25.5" x14ac:dyDescent="0.2">
      <c r="A64" s="34">
        <v>55</v>
      </c>
      <c r="B64" s="68" t="s">
        <v>113</v>
      </c>
      <c r="C64" s="47" t="s">
        <v>64</v>
      </c>
      <c r="D64" s="35">
        <v>252</v>
      </c>
      <c r="E64" s="38" t="s">
        <v>178</v>
      </c>
      <c r="F64" s="34" t="s">
        <v>16</v>
      </c>
      <c r="G64" s="36">
        <v>50</v>
      </c>
      <c r="H64" s="51">
        <v>65</v>
      </c>
      <c r="I64" s="37">
        <f t="shared" ref="I64:I65" si="2">+G64*H64</f>
        <v>3250</v>
      </c>
      <c r="J64" s="23"/>
      <c r="K64" s="24"/>
    </row>
    <row r="65" spans="1:11" ht="25.5" x14ac:dyDescent="0.2">
      <c r="A65" s="34">
        <v>56</v>
      </c>
      <c r="B65" s="68" t="s">
        <v>114</v>
      </c>
      <c r="C65" s="47" t="s">
        <v>64</v>
      </c>
      <c r="D65" s="35">
        <v>252</v>
      </c>
      <c r="E65" s="40" t="s">
        <v>154</v>
      </c>
      <c r="F65" s="34" t="s">
        <v>16</v>
      </c>
      <c r="G65" s="36">
        <v>50</v>
      </c>
      <c r="H65" s="51">
        <v>864</v>
      </c>
      <c r="I65" s="37">
        <f t="shared" si="2"/>
        <v>43200</v>
      </c>
      <c r="J65" s="23"/>
      <c r="K65" s="5"/>
    </row>
    <row r="66" spans="1:11" ht="12.75" x14ac:dyDescent="0.2">
      <c r="A66" s="58"/>
      <c r="B66" s="59"/>
      <c r="C66" s="60"/>
      <c r="D66" s="61"/>
      <c r="E66" s="62"/>
      <c r="F66" s="58"/>
      <c r="G66" s="63"/>
      <c r="H66" s="64"/>
      <c r="I66" s="65"/>
      <c r="J66" s="23"/>
      <c r="K66" s="66"/>
    </row>
    <row r="67" spans="1:11" ht="12.75" x14ac:dyDescent="0.2">
      <c r="A67" s="58"/>
      <c r="B67" s="59"/>
      <c r="C67" s="60"/>
      <c r="D67" s="61"/>
      <c r="E67" s="62"/>
      <c r="F67" s="58"/>
      <c r="G67" s="63"/>
      <c r="H67" s="64"/>
      <c r="I67" s="65"/>
      <c r="J67" s="23"/>
      <c r="K67" s="66"/>
    </row>
    <row r="68" spans="1:11" ht="13.5" thickBot="1" x14ac:dyDescent="0.25">
      <c r="A68" s="58"/>
      <c r="B68" s="59"/>
      <c r="C68" s="60"/>
      <c r="D68" s="61"/>
      <c r="E68" s="62"/>
      <c r="F68" s="58"/>
      <c r="G68" s="63"/>
      <c r="H68" s="64"/>
      <c r="I68" s="65"/>
      <c r="J68" s="23"/>
      <c r="K68" s="66"/>
    </row>
    <row r="69" spans="1:11" ht="15" customHeight="1" x14ac:dyDescent="0.2">
      <c r="B69" s="93" t="s">
        <v>190</v>
      </c>
      <c r="C69" s="94"/>
      <c r="D69" s="95"/>
      <c r="E69" s="96"/>
    </row>
    <row r="70" spans="1:11" ht="15" customHeight="1" x14ac:dyDescent="0.2">
      <c r="B70" s="143" t="s">
        <v>185</v>
      </c>
      <c r="C70" s="129"/>
      <c r="D70" s="129"/>
      <c r="E70" s="141"/>
    </row>
    <row r="71" spans="1:11" ht="15" customHeight="1" x14ac:dyDescent="0.2">
      <c r="B71" s="142"/>
      <c r="C71" s="129"/>
      <c r="D71" s="129"/>
      <c r="E71" s="141"/>
    </row>
    <row r="72" spans="1:11" ht="15" customHeight="1" x14ac:dyDescent="0.2">
      <c r="B72" s="140" t="s">
        <v>182</v>
      </c>
      <c r="C72" s="129"/>
      <c r="D72" s="129"/>
      <c r="E72" s="141"/>
    </row>
    <row r="73" spans="1:11" ht="15" customHeight="1" x14ac:dyDescent="0.2">
      <c r="B73" s="73"/>
      <c r="C73" s="74"/>
      <c r="D73" s="75"/>
      <c r="E73" s="76"/>
    </row>
    <row r="74" spans="1:11" ht="15" customHeight="1" x14ac:dyDescent="0.2">
      <c r="B74" s="77" t="s">
        <v>21</v>
      </c>
      <c r="C74" s="78"/>
      <c r="D74" s="79"/>
      <c r="E74" s="80"/>
    </row>
    <row r="75" spans="1:11" ht="15" customHeight="1" thickBot="1" x14ac:dyDescent="0.25">
      <c r="B75" s="81" t="s">
        <v>180</v>
      </c>
      <c r="C75" s="82"/>
      <c r="D75" s="83"/>
      <c r="E75" s="84"/>
    </row>
    <row r="76" spans="1:11" ht="15" customHeight="1" x14ac:dyDescent="0.2">
      <c r="B76" s="71"/>
      <c r="C76" s="71"/>
      <c r="D76" s="72"/>
      <c r="E76" s="72"/>
    </row>
    <row r="77" spans="1:11" ht="15" customHeight="1" x14ac:dyDescent="0.2">
      <c r="B77" s="71"/>
      <c r="C77" s="71"/>
      <c r="D77" s="72"/>
      <c r="E77" s="72"/>
    </row>
    <row r="78" spans="1:11" ht="13.5" customHeight="1" x14ac:dyDescent="0.2">
      <c r="B78" s="71"/>
      <c r="C78" s="71"/>
      <c r="D78" s="72"/>
      <c r="E78" s="72"/>
    </row>
    <row r="79" spans="1:11" ht="15" customHeight="1" thickBot="1" x14ac:dyDescent="0.25">
      <c r="B79" s="71"/>
      <c r="C79" s="71"/>
      <c r="D79" s="72"/>
      <c r="E79" s="72"/>
    </row>
    <row r="80" spans="1:11" ht="15" customHeight="1" x14ac:dyDescent="0.2">
      <c r="B80" s="93" t="s">
        <v>183</v>
      </c>
      <c r="C80" s="94"/>
      <c r="D80" s="95"/>
      <c r="E80" s="96"/>
    </row>
    <row r="81" spans="1:6" ht="15" customHeight="1" x14ac:dyDescent="0.2">
      <c r="B81" s="140" t="s">
        <v>184</v>
      </c>
      <c r="C81" s="129"/>
      <c r="D81" s="129"/>
      <c r="E81" s="141"/>
    </row>
    <row r="82" spans="1:6" ht="15" customHeight="1" x14ac:dyDescent="0.2">
      <c r="B82" s="142"/>
      <c r="C82" s="129"/>
      <c r="D82" s="129"/>
      <c r="E82" s="141"/>
    </row>
    <row r="83" spans="1:6" ht="15" customHeight="1" x14ac:dyDescent="0.2">
      <c r="B83" s="126"/>
      <c r="C83" s="86"/>
      <c r="D83" s="86"/>
      <c r="E83" s="125"/>
    </row>
    <row r="84" spans="1:6" ht="15" customHeight="1" x14ac:dyDescent="0.2">
      <c r="B84" s="140" t="s">
        <v>182</v>
      </c>
      <c r="C84" s="129"/>
      <c r="D84" s="129"/>
      <c r="E84" s="141"/>
    </row>
    <row r="85" spans="1:6" ht="15" customHeight="1" x14ac:dyDescent="0.2">
      <c r="B85" s="73"/>
      <c r="C85" s="74"/>
      <c r="D85" s="75"/>
      <c r="E85" s="76"/>
    </row>
    <row r="86" spans="1:6" ht="15" customHeight="1" x14ac:dyDescent="0.2">
      <c r="B86" s="77" t="s">
        <v>21</v>
      </c>
      <c r="C86" s="78"/>
      <c r="D86" s="79"/>
      <c r="E86" s="80"/>
    </row>
    <row r="87" spans="1:6" ht="15" customHeight="1" thickBot="1" x14ac:dyDescent="0.25">
      <c r="B87" s="81" t="s">
        <v>180</v>
      </c>
      <c r="C87" s="82"/>
      <c r="D87" s="83"/>
      <c r="E87" s="84"/>
    </row>
    <row r="88" spans="1:6" ht="15" customHeight="1" x14ac:dyDescent="0.2">
      <c r="B88" s="71"/>
      <c r="C88" s="71"/>
      <c r="D88" s="72"/>
      <c r="E88" s="72"/>
    </row>
    <row r="89" spans="1:6" ht="15" customHeight="1" x14ac:dyDescent="0.2">
      <c r="B89" s="71"/>
      <c r="C89" s="71"/>
      <c r="D89" s="72"/>
      <c r="E89" s="72"/>
    </row>
    <row r="90" spans="1:6" ht="15" customHeight="1" x14ac:dyDescent="0.2">
      <c r="B90" s="71"/>
      <c r="C90" s="71"/>
      <c r="D90" s="72"/>
      <c r="E90" s="72"/>
    </row>
    <row r="91" spans="1:6" ht="15" customHeight="1" x14ac:dyDescent="0.2">
      <c r="B91" s="71"/>
      <c r="C91" s="71"/>
      <c r="D91" s="72"/>
      <c r="E91" s="72"/>
    </row>
    <row r="92" spans="1:6" ht="15" customHeight="1" x14ac:dyDescent="0.2">
      <c r="B92" s="71"/>
      <c r="C92" s="71"/>
      <c r="D92" s="72"/>
      <c r="E92" s="72"/>
    </row>
    <row r="93" spans="1:6" ht="15" customHeight="1" x14ac:dyDescent="0.2">
      <c r="B93" s="71"/>
      <c r="C93" s="71"/>
      <c r="D93" s="72"/>
      <c r="E93" s="72"/>
    </row>
    <row r="94" spans="1:6" ht="15" customHeight="1" x14ac:dyDescent="0.2">
      <c r="A94" s="57"/>
      <c r="B94" s="85"/>
      <c r="C94" s="85"/>
      <c r="D94" s="86"/>
      <c r="E94" s="86"/>
      <c r="F94" s="57"/>
    </row>
  </sheetData>
  <mergeCells count="11">
    <mergeCell ref="B81:E82"/>
    <mergeCell ref="B84:E84"/>
    <mergeCell ref="A6:B6"/>
    <mergeCell ref="A7:B7"/>
    <mergeCell ref="B70:E71"/>
    <mergeCell ref="B72:E7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"/>
  <sheetViews>
    <sheetView tabSelected="1" topLeftCell="A3" zoomScale="82" zoomScaleNormal="82" workbookViewId="0">
      <selection activeCell="N9" sqref="N9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144" t="s">
        <v>22</v>
      </c>
      <c r="B1" s="134"/>
      <c r="C1" s="134"/>
      <c r="D1" s="134"/>
      <c r="E1" s="134"/>
      <c r="F1" s="134"/>
      <c r="G1" s="134"/>
      <c r="H1" s="134"/>
      <c r="I1" s="132"/>
      <c r="J1" s="97" t="s">
        <v>23</v>
      </c>
      <c r="K1" s="98" t="s">
        <v>24</v>
      </c>
    </row>
    <row r="2" spans="1:11" ht="12.75" customHeight="1" x14ac:dyDescent="0.2">
      <c r="A2" s="99"/>
      <c r="B2" s="99"/>
      <c r="C2" s="99"/>
      <c r="D2" s="100"/>
      <c r="E2" s="100"/>
      <c r="F2" s="100"/>
      <c r="G2" s="100"/>
      <c r="H2" s="100"/>
      <c r="I2" s="100"/>
      <c r="J2" s="100"/>
      <c r="K2" s="100"/>
    </row>
    <row r="3" spans="1:11" ht="12.75" customHeight="1" x14ac:dyDescent="0.2">
      <c r="A3" s="155" t="s">
        <v>25</v>
      </c>
      <c r="B3" s="156"/>
      <c r="C3" s="157"/>
      <c r="D3" s="158" t="str">
        <f>'Necesidades Trimestrales'!C4</f>
        <v>040 - Ministerio de Salud</v>
      </c>
      <c r="E3" s="146"/>
      <c r="F3" s="146"/>
      <c r="G3" s="146"/>
      <c r="H3" s="146"/>
      <c r="I3" s="146"/>
      <c r="J3" s="146"/>
      <c r="K3" s="147"/>
    </row>
    <row r="4" spans="1:11" ht="12.75" customHeight="1" x14ac:dyDescent="0.2">
      <c r="A4" s="159" t="s">
        <v>26</v>
      </c>
      <c r="B4" s="160"/>
      <c r="C4" s="161"/>
      <c r="D4" s="145" t="str">
        <f>'Necesidades Trimestrales'!C5</f>
        <v xml:space="preserve">  028-Maternidad provincial 25 de Mayo</v>
      </c>
      <c r="E4" s="146"/>
      <c r="F4" s="146"/>
      <c r="G4" s="146"/>
      <c r="H4" s="146"/>
      <c r="I4" s="146"/>
      <c r="J4" s="146"/>
      <c r="K4" s="147"/>
    </row>
    <row r="5" spans="1:11" ht="12.75" customHeight="1" x14ac:dyDescent="0.2">
      <c r="A5" s="159" t="s">
        <v>27</v>
      </c>
      <c r="B5" s="160"/>
      <c r="C5" s="161"/>
      <c r="D5" s="145" t="s">
        <v>188</v>
      </c>
      <c r="E5" s="146"/>
      <c r="F5" s="146"/>
      <c r="G5" s="146"/>
      <c r="H5" s="146"/>
      <c r="I5" s="146"/>
      <c r="J5" s="146"/>
      <c r="K5" s="147"/>
    </row>
    <row r="6" spans="1:11" ht="12.75" customHeight="1" x14ac:dyDescent="0.2">
      <c r="A6" s="164" t="s">
        <v>28</v>
      </c>
      <c r="B6" s="156"/>
      <c r="C6" s="157"/>
      <c r="D6" s="145" t="s">
        <v>186</v>
      </c>
      <c r="E6" s="146"/>
      <c r="F6" s="146"/>
      <c r="G6" s="146"/>
      <c r="H6" s="146"/>
      <c r="I6" s="146"/>
      <c r="J6" s="146"/>
      <c r="K6" s="147"/>
    </row>
    <row r="7" spans="1:11" ht="12.75" customHeight="1" x14ac:dyDescent="0.2">
      <c r="A7" s="159" t="s">
        <v>29</v>
      </c>
      <c r="B7" s="160"/>
      <c r="C7" s="161"/>
      <c r="D7" s="145" t="s">
        <v>30</v>
      </c>
      <c r="E7" s="146"/>
      <c r="F7" s="146"/>
      <c r="G7" s="146"/>
      <c r="H7" s="146"/>
      <c r="I7" s="146"/>
      <c r="J7" s="146"/>
      <c r="K7" s="147"/>
    </row>
    <row r="8" spans="1:11" ht="36" customHeight="1" x14ac:dyDescent="0.2">
      <c r="A8" s="162" t="s">
        <v>31</v>
      </c>
      <c r="B8" s="146"/>
      <c r="C8" s="163"/>
      <c r="D8" s="148" t="s">
        <v>32</v>
      </c>
      <c r="E8" s="149"/>
      <c r="F8" s="149"/>
      <c r="G8" s="149"/>
      <c r="H8" s="149"/>
      <c r="I8" s="149"/>
      <c r="J8" s="149"/>
      <c r="K8" s="150"/>
    </row>
    <row r="9" spans="1:11" ht="12.75" customHeight="1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2.75" customHeight="1" thickBot="1" x14ac:dyDescent="0.25">
      <c r="A10" s="165" t="s">
        <v>33</v>
      </c>
      <c r="B10" s="151" t="s">
        <v>34</v>
      </c>
      <c r="C10" s="151" t="s">
        <v>35</v>
      </c>
      <c r="D10" s="152"/>
      <c r="E10" s="152"/>
      <c r="F10" s="152"/>
      <c r="G10" s="152"/>
      <c r="H10" s="151" t="s">
        <v>36</v>
      </c>
      <c r="I10" s="151" t="s">
        <v>37</v>
      </c>
      <c r="J10" s="151" t="s">
        <v>38</v>
      </c>
      <c r="K10" s="151" t="s">
        <v>39</v>
      </c>
    </row>
    <row r="11" spans="1:11" ht="32.25" customHeight="1" thickBot="1" x14ac:dyDescent="0.25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2.25" customHeight="1" thickBot="1" x14ac:dyDescent="0.25">
      <c r="A12" s="211">
        <v>1</v>
      </c>
      <c r="B12" s="212" t="str">
        <f>+'Necesidades Trimestrales'!B10</f>
        <v>2.5.2-1821.1</v>
      </c>
      <c r="C12" s="213" t="str">
        <f>+'Necesidades Trimestrales'!E10</f>
        <v>ANTIBIOTICOS P/PERSONAS; TIPO: MONODROGA, DROGA GENERICA: AMIKACINA, PRESENTACION: 500 mGr, FORMA FARMACEUTICA: AMPOLLA</v>
      </c>
      <c r="D12" s="214"/>
      <c r="E12" s="214"/>
      <c r="F12" s="214"/>
      <c r="G12" s="214"/>
      <c r="H12" s="211" t="s">
        <v>40</v>
      </c>
      <c r="I12" s="215" t="str">
        <f>+'Necesidades Trimestrales'!F10</f>
        <v>AMPOLLA</v>
      </c>
      <c r="J12" s="216">
        <f>+'Necesidades Trimestrales'!H10</f>
        <v>87.95</v>
      </c>
      <c r="K12" s="217">
        <f>+'Necesidades Trimestrales'!G10</f>
        <v>200</v>
      </c>
    </row>
    <row r="13" spans="1:11" ht="32.25" customHeight="1" thickBot="1" x14ac:dyDescent="0.25">
      <c r="A13" s="211">
        <v>2</v>
      </c>
      <c r="B13" s="212" t="str">
        <f>+'Necesidades Trimestrales'!B11</f>
        <v>2.5.2-1821.440</v>
      </c>
      <c r="C13" s="213" t="str">
        <f>+'Necesidades Trimestrales'!E11</f>
        <v>ANTIBIOTICOS P/PERSONAS; TIPO: ASOCIACION, DROGA GENERICA: AMOXICIL. 875 MG+CLAVUL.125 MG mGr, FORMA FARMACEUTICA: COMPRIMIDO, PRESENTACION: UNIDAD</v>
      </c>
      <c r="D13" s="214"/>
      <c r="E13" s="214"/>
      <c r="F13" s="214"/>
      <c r="G13" s="214"/>
      <c r="H13" s="211" t="s">
        <v>40</v>
      </c>
      <c r="I13" s="215" t="str">
        <f>+'Necesidades Trimestrales'!F11</f>
        <v>COMPRIMIDO</v>
      </c>
      <c r="J13" s="216">
        <f>+'Necesidades Trimestrales'!H11</f>
        <v>38</v>
      </c>
      <c r="K13" s="217">
        <f>+'Necesidades Trimestrales'!G11</f>
        <v>700</v>
      </c>
    </row>
    <row r="14" spans="1:11" ht="32.25" customHeight="1" thickBot="1" x14ac:dyDescent="0.25">
      <c r="A14" s="211">
        <v>3</v>
      </c>
      <c r="B14" s="212" t="str">
        <f>+'Necesidades Trimestrales'!B12</f>
        <v>2.5.2-1821.9</v>
      </c>
      <c r="C14" s="213" t="str">
        <f>+'Necesidades Trimestrales'!E12</f>
        <v>ANTIBIOTICOS P/PERSONAS; TIPO: MONODROGA, DROGA GENERICA: AMOXICILINA, PRESENTACION: 500 mGr, FORMA FARMACEUTICA: COMPRIMIDOS</v>
      </c>
      <c r="D14" s="214"/>
      <c r="E14" s="214"/>
      <c r="F14" s="214"/>
      <c r="G14" s="214"/>
      <c r="H14" s="211" t="s">
        <v>40</v>
      </c>
      <c r="I14" s="215" t="str">
        <f>+'Necesidades Trimestrales'!F12</f>
        <v>COMPRIMIDO</v>
      </c>
      <c r="J14" s="216">
        <f>+'Necesidades Trimestrales'!H12</f>
        <v>15</v>
      </c>
      <c r="K14" s="217">
        <f>+'Necesidades Trimestrales'!G12</f>
        <v>160</v>
      </c>
    </row>
    <row r="15" spans="1:11" ht="32.25" customHeight="1" thickBot="1" x14ac:dyDescent="0.25">
      <c r="A15" s="211">
        <v>4</v>
      </c>
      <c r="B15" s="212" t="str">
        <f>+'Necesidades Trimestrales'!B13</f>
        <v>2.5.2-1821.8</v>
      </c>
      <c r="C15" s="213" t="str">
        <f>+'Necesidades Trimestrales'!E13</f>
        <v>ANTIBIOTICOS P/PERSONAS; TIPO: MONODROGA, DROGA GENERICA: AMPICILINA, FORMA FARMACEUTICA: AMPOLLA, PRESENTACION: 1 GR</v>
      </c>
      <c r="D15" s="214"/>
      <c r="E15" s="214"/>
      <c r="F15" s="214"/>
      <c r="G15" s="214"/>
      <c r="H15" s="211" t="s">
        <v>40</v>
      </c>
      <c r="I15" s="215" t="str">
        <f>+'Necesidades Trimestrales'!F13</f>
        <v>AMPOLLA</v>
      </c>
      <c r="J15" s="216">
        <f>+'Necesidades Trimestrales'!H13</f>
        <v>99</v>
      </c>
      <c r="K15" s="217">
        <f>+'Necesidades Trimestrales'!G13</f>
        <v>1800</v>
      </c>
    </row>
    <row r="16" spans="1:11" ht="32.25" customHeight="1" thickBot="1" x14ac:dyDescent="0.25">
      <c r="A16" s="211">
        <v>5</v>
      </c>
      <c r="B16" s="212" t="str">
        <f>+'Necesidades Trimestrales'!B14</f>
        <v>2.5.2-1821.5</v>
      </c>
      <c r="C16" s="213" t="str">
        <f>+'Necesidades Trimestrales'!E14</f>
        <v>ANTIBIOTICOS P/PERSONAS; TIPO: MONODROGA, DROGA GENERICA: AMPICILINA, FORMA FARMACEUTICA: COMPRIMIDOS, PRESENTACION: 500 mGr</v>
      </c>
      <c r="D16" s="214"/>
      <c r="E16" s="214"/>
      <c r="F16" s="214"/>
      <c r="G16" s="214"/>
      <c r="H16" s="211" t="s">
        <v>40</v>
      </c>
      <c r="I16" s="215" t="str">
        <f>+'Necesidades Trimestrales'!F14</f>
        <v>COMPRIMIDO</v>
      </c>
      <c r="J16" s="216">
        <f>+'Necesidades Trimestrales'!H14</f>
        <v>22</v>
      </c>
      <c r="K16" s="217">
        <f>+'Necesidades Trimestrales'!G14</f>
        <v>80</v>
      </c>
    </row>
    <row r="17" spans="1:11" ht="32.25" customHeight="1" thickBot="1" x14ac:dyDescent="0.25">
      <c r="A17" s="211">
        <v>6</v>
      </c>
      <c r="B17" s="212" t="str">
        <f>+'Necesidades Trimestrales'!B15</f>
        <v>2.5.2-1821.502</v>
      </c>
      <c r="C17" s="213" t="str">
        <f>+'Necesidades Trimestrales'!E15</f>
        <v>ANTIBIOTICOS P/PERSONAS; TIPO: MONODROGA, DROGA GENERICA: AZITROMICINA 200 mGr, FORMA FARMACEUTICA: SUSPENSION, PRESENTACION: ENVASE X 15 Ml</v>
      </c>
      <c r="D17" s="214"/>
      <c r="E17" s="214"/>
      <c r="F17" s="214"/>
      <c r="G17" s="214"/>
      <c r="H17" s="211" t="s">
        <v>40</v>
      </c>
      <c r="I17" s="215" t="str">
        <f>+'Necesidades Trimestrales'!F15</f>
        <v>FRASCO</v>
      </c>
      <c r="J17" s="216">
        <f>+'Necesidades Trimestrales'!H15</f>
        <v>562.5</v>
      </c>
      <c r="K17" s="217">
        <f>+'Necesidades Trimestrales'!G15</f>
        <v>30</v>
      </c>
    </row>
    <row r="18" spans="1:11" ht="32.25" customHeight="1" thickBot="1" x14ac:dyDescent="0.25">
      <c r="A18" s="211">
        <v>7</v>
      </c>
      <c r="B18" s="212" t="str">
        <f>+'Necesidades Trimestrales'!B16</f>
        <v>2.5.2-1821.94</v>
      </c>
      <c r="C18" s="213" t="str">
        <f>+'Necesidades Trimestrales'!E16</f>
        <v>ANTIBIOTICOS P/PERSONAS; TIPO: MONODROGA, DROGA GENERICA: AZITROMICINA, FORMA FARMACEUTICA: COMPRIMIDO, PRESENTACION: 500 mGr</v>
      </c>
      <c r="D18" s="214"/>
      <c r="E18" s="214"/>
      <c r="F18" s="214"/>
      <c r="G18" s="214"/>
      <c r="H18" s="211" t="s">
        <v>40</v>
      </c>
      <c r="I18" s="215" t="str">
        <f>+'Necesidades Trimestrales'!F16</f>
        <v>COMPRIMIDO</v>
      </c>
      <c r="J18" s="216">
        <f>+'Necesidades Trimestrales'!H16</f>
        <v>37.450000000000003</v>
      </c>
      <c r="K18" s="217">
        <f>+'Necesidades Trimestrales'!G16</f>
        <v>400</v>
      </c>
    </row>
    <row r="19" spans="1:11" ht="32.25" customHeight="1" thickBot="1" x14ac:dyDescent="0.25">
      <c r="A19" s="211">
        <v>8</v>
      </c>
      <c r="B19" s="212" t="str">
        <f>+'Necesidades Trimestrales'!B17</f>
        <v>2.5.2-1883.24</v>
      </c>
      <c r="C19" s="213" t="str">
        <f>+'Necesidades Trimestrales'!E17</f>
        <v>ANESTESICOS LOCALES; TIPO: MONODROGA, DROGA GENERICA: BUPIVACAINA 0,5 %, FORMA FARMACEUTICA: FRASCO, PRESENTACION: 20 mL</v>
      </c>
      <c r="D19" s="214"/>
      <c r="E19" s="214"/>
      <c r="F19" s="214"/>
      <c r="G19" s="214"/>
      <c r="H19" s="211" t="s">
        <v>169</v>
      </c>
      <c r="I19" s="215" t="str">
        <f>+'Necesidades Trimestrales'!F17</f>
        <v>FRASCO</v>
      </c>
      <c r="J19" s="216">
        <f>+'Necesidades Trimestrales'!H17</f>
        <v>350</v>
      </c>
      <c r="K19" s="217">
        <f>+'Necesidades Trimestrales'!G17</f>
        <v>10</v>
      </c>
    </row>
    <row r="20" spans="1:11" ht="32.25" customHeight="1" thickBot="1" x14ac:dyDescent="0.25">
      <c r="A20" s="211">
        <v>9</v>
      </c>
      <c r="B20" s="212" t="str">
        <f>+'Necesidades Trimestrales'!B18</f>
        <v>2.5.2-1883.188</v>
      </c>
      <c r="C20" s="213" t="str">
        <f>+'Necesidades Trimestrales'!E18</f>
        <v>ANESTESICOS LOCALES; TIPO: MONODROGA, DROGA GENERICA: BUPIVACAINA 0,5% HIPERBARICA, FORMA FARMACEUTICA: AMPOLLA, PRESENTACION: 4 ML CON AGUJA 27 G X 3 1/2 CON INTRODUCTOR</v>
      </c>
      <c r="D20" s="214"/>
      <c r="E20" s="214"/>
      <c r="F20" s="214"/>
      <c r="G20" s="214"/>
      <c r="H20" s="211" t="s">
        <v>40</v>
      </c>
      <c r="I20" s="215" t="str">
        <f>+'Necesidades Trimestrales'!F18</f>
        <v>AMPOLLA</v>
      </c>
      <c r="J20" s="216">
        <f>+'Necesidades Trimestrales'!H18</f>
        <v>1420</v>
      </c>
      <c r="K20" s="217">
        <f>+'Necesidades Trimestrales'!G18</f>
        <v>1200</v>
      </c>
    </row>
    <row r="21" spans="1:11" ht="32.25" customHeight="1" thickBot="1" x14ac:dyDescent="0.25">
      <c r="A21" s="211">
        <v>10</v>
      </c>
      <c r="B21" s="212" t="str">
        <f>+'Necesidades Trimestrales'!B19</f>
        <v>2.5.2-1821.321</v>
      </c>
      <c r="C21" s="213" t="str">
        <f>+'Necesidades Trimestrales'!E19</f>
        <v>ANTIBIOTICOS P/PERSONAS; TIPO: MONODROGA, DROGA GENERICA: CEFALEXINA 500 mGr, FORMA FARMACEUTICA: COMPRIMIDO, PRESENTACION: 1 UN</v>
      </c>
      <c r="D21" s="214"/>
      <c r="E21" s="214"/>
      <c r="F21" s="214"/>
      <c r="G21" s="214"/>
      <c r="H21" s="211" t="s">
        <v>40</v>
      </c>
      <c r="I21" s="215" t="str">
        <f>+'Necesidades Trimestrales'!F19</f>
        <v>COMPRIMIDO</v>
      </c>
      <c r="J21" s="216">
        <f>+'Necesidades Trimestrales'!H19</f>
        <v>15.3</v>
      </c>
      <c r="K21" s="217">
        <f>+'Necesidades Trimestrales'!G19</f>
        <v>4200</v>
      </c>
    </row>
    <row r="22" spans="1:11" ht="32.25" customHeight="1" thickBot="1" x14ac:dyDescent="0.25">
      <c r="A22" s="211">
        <v>11</v>
      </c>
      <c r="B22" s="212" t="str">
        <f>+'Necesidades Trimestrales'!B20</f>
        <v>2.5.2-1821.337</v>
      </c>
      <c r="C22" s="213" t="str">
        <f>+'Necesidades Trimestrales'!E20</f>
        <v>ANTIBIOTICOS P/PERSONAS; TIPO: MONODROGA, DROGA GENERICA: CEFALEXINA 500MG, FORMA FARMACEUTICA: SUSPENSION, PRESENTACION: ENVASE X 90 mL</v>
      </c>
      <c r="D22" s="214"/>
      <c r="E22" s="214"/>
      <c r="F22" s="214"/>
      <c r="G22" s="214"/>
      <c r="H22" s="211" t="s">
        <v>40</v>
      </c>
      <c r="I22" s="215" t="str">
        <f>+'Necesidades Trimestrales'!F20</f>
        <v>FRASCO</v>
      </c>
      <c r="J22" s="216">
        <f>+'Necesidades Trimestrales'!H20</f>
        <v>298</v>
      </c>
      <c r="K22" s="217">
        <f>+'Necesidades Trimestrales'!G20</f>
        <v>20</v>
      </c>
    </row>
    <row r="23" spans="1:11" ht="32.25" customHeight="1" thickBot="1" x14ac:dyDescent="0.25">
      <c r="A23" s="211">
        <v>12</v>
      </c>
      <c r="B23" s="212" t="str">
        <f>+'Necesidades Trimestrales'!B21</f>
        <v>2.5.2-1821.405</v>
      </c>
      <c r="C23" s="213" t="str">
        <f>+'Necesidades Trimestrales'!E21</f>
        <v>ANTIBIOTICOS P/PERSONAS; TIPO: MONODROGA, DROGA GENERICA: CEFALOTINA SODICA, FORMA FARMACEUTICA: FRASCO AMPOLLA, PRESENTACION: 1 GR</v>
      </c>
      <c r="D23" s="214"/>
      <c r="E23" s="214"/>
      <c r="F23" s="214"/>
      <c r="G23" s="214"/>
      <c r="H23" s="211" t="s">
        <v>40</v>
      </c>
      <c r="I23" s="215" t="str">
        <f>+'Necesidades Trimestrales'!F21</f>
        <v>AMPOLLA</v>
      </c>
      <c r="J23" s="216">
        <f>+'Necesidades Trimestrales'!H21</f>
        <v>145</v>
      </c>
      <c r="K23" s="217">
        <f>+'Necesidades Trimestrales'!G21</f>
        <v>3000</v>
      </c>
    </row>
    <row r="24" spans="1:11" ht="32.25" customHeight="1" thickBot="1" x14ac:dyDescent="0.25">
      <c r="A24" s="211">
        <v>13</v>
      </c>
      <c r="B24" s="212" t="str">
        <f>+'Necesidades Trimestrales'!B22</f>
        <v>2.5.2-1821.62</v>
      </c>
      <c r="C24" s="213" t="str">
        <f>+'Necesidades Trimestrales'!E22</f>
        <v>ANTIBIOTICOS P/PERSONAS; TIPO: MONODROGA, DROGA GENERICA: CEFAZOLINA, FORMA FARMACEUTICA: AMPOLLA, PRESENTACION: 1 GR</v>
      </c>
      <c r="D24" s="214"/>
      <c r="E24" s="214"/>
      <c r="F24" s="214"/>
      <c r="G24" s="214"/>
      <c r="H24" s="211" t="s">
        <v>40</v>
      </c>
      <c r="I24" s="215" t="str">
        <f>+'Necesidades Trimestrales'!F22</f>
        <v>AMPOLLA</v>
      </c>
      <c r="J24" s="216">
        <f>+'Necesidades Trimestrales'!H22</f>
        <v>148</v>
      </c>
      <c r="K24" s="217">
        <f>+'Necesidades Trimestrales'!G22</f>
        <v>200</v>
      </c>
    </row>
    <row r="25" spans="1:11" ht="32.25" customHeight="1" thickBot="1" x14ac:dyDescent="0.25">
      <c r="A25" s="211">
        <v>14</v>
      </c>
      <c r="B25" s="212" t="str">
        <f>+'Necesidades Trimestrales'!B23</f>
        <v>2.5.2-1821.384</v>
      </c>
      <c r="C25" s="213" t="str">
        <f>+'Necesidades Trimestrales'!E23</f>
        <v>ANTIBIOTICOS P/PERSONAS; TIPO: MONODROGA, DROGA GENERICA: CEFTAZIDIMA, FORMA FARMACEUTICA: FRASCO AMPOLLA, PRESENTACION: ENVASE X 1 GR</v>
      </c>
      <c r="D25" s="214"/>
      <c r="E25" s="214"/>
      <c r="F25" s="214"/>
      <c r="G25" s="214"/>
      <c r="H25" s="211" t="s">
        <v>40</v>
      </c>
      <c r="I25" s="215" t="str">
        <f>+'Necesidades Trimestrales'!F23</f>
        <v>AMPOLLA</v>
      </c>
      <c r="J25" s="216">
        <f>+'Necesidades Trimestrales'!H23</f>
        <v>144</v>
      </c>
      <c r="K25" s="217">
        <f>+'Necesidades Trimestrales'!G23</f>
        <v>200</v>
      </c>
    </row>
    <row r="26" spans="1:11" ht="32.25" customHeight="1" thickBot="1" x14ac:dyDescent="0.25">
      <c r="A26" s="211">
        <v>15</v>
      </c>
      <c r="B26" s="212" t="str">
        <f>+'Necesidades Trimestrales'!B24</f>
        <v>2.5.2-1821.214</v>
      </c>
      <c r="C26" s="213" t="str">
        <f>+'Necesidades Trimestrales'!E24</f>
        <v>ANTIBIOTICOS P/PERSONAS; TIPO: MONODROGA, DROGA GENERICA: CEFTRIAXONA, FORMA FARMACEUTICA: FRASCO AMPOLLA, PRESENTACION: 1 GR</v>
      </c>
      <c r="D26" s="214"/>
      <c r="E26" s="214"/>
      <c r="F26" s="214"/>
      <c r="G26" s="214"/>
      <c r="H26" s="211" t="s">
        <v>40</v>
      </c>
      <c r="I26" s="215" t="str">
        <f>+'Necesidades Trimestrales'!F24</f>
        <v>AMPOLLA</v>
      </c>
      <c r="J26" s="216">
        <f>+'Necesidades Trimestrales'!H24</f>
        <v>105</v>
      </c>
      <c r="K26" s="217">
        <f>+'Necesidades Trimestrales'!G24</f>
        <v>200</v>
      </c>
    </row>
    <row r="27" spans="1:11" ht="32.25" customHeight="1" thickBot="1" x14ac:dyDescent="0.25">
      <c r="A27" s="211">
        <v>16</v>
      </c>
      <c r="B27" s="212" t="str">
        <f>+'Necesidades Trimestrales'!B25</f>
        <v>2.5.2-1821.222</v>
      </c>
      <c r="C27" s="213" t="str">
        <f>+'Necesidades Trimestrales'!E25</f>
        <v>ANTIBIOTICOS P/PERSONAS; TIPO: MONODROGA, DROGA GENERICA: CEFUROXIMA, FORMA FARMACEUTICA: FRASCO AMPOLLA, PRESENTACION: 750 mGr</v>
      </c>
      <c r="D27" s="214"/>
      <c r="E27" s="214"/>
      <c r="F27" s="214"/>
      <c r="G27" s="214"/>
      <c r="H27" s="211" t="s">
        <v>40</v>
      </c>
      <c r="I27" s="215" t="str">
        <f>+'Necesidades Trimestrales'!F25</f>
        <v>AMPOLLA</v>
      </c>
      <c r="J27" s="216">
        <f>+'Necesidades Trimestrales'!H25</f>
        <v>351</v>
      </c>
      <c r="K27" s="217">
        <f>+'Necesidades Trimestrales'!G25</f>
        <v>200</v>
      </c>
    </row>
    <row r="28" spans="1:11" ht="32.25" customHeight="1" thickBot="1" x14ac:dyDescent="0.25">
      <c r="A28" s="211">
        <v>17</v>
      </c>
      <c r="B28" s="212" t="str">
        <f>+'Necesidades Trimestrales'!B26</f>
        <v>2.5.2-1821.387</v>
      </c>
      <c r="C28" s="213" t="str">
        <f>+'Necesidades Trimestrales'!E26</f>
        <v>ANTIBIOTICOS P/PERSONAS; TIPO: MONODROGA, DROGA GENERICA: CIPROFLOXACINA, FORMA FARMACEUTICA: SACHET, PRESENTACION: ENVASE X 200 mGr</v>
      </c>
      <c r="D28" s="214"/>
      <c r="E28" s="214"/>
      <c r="F28" s="214"/>
      <c r="G28" s="214"/>
      <c r="H28" s="211" t="s">
        <v>40</v>
      </c>
      <c r="I28" s="215" t="str">
        <f>+'Necesidades Trimestrales'!F26</f>
        <v>SACHET</v>
      </c>
      <c r="J28" s="216">
        <f>+'Necesidades Trimestrales'!H26</f>
        <v>135</v>
      </c>
      <c r="K28" s="217">
        <f>+'Necesidades Trimestrales'!G26</f>
        <v>20</v>
      </c>
    </row>
    <row r="29" spans="1:11" ht="32.25" customHeight="1" thickBot="1" x14ac:dyDescent="0.25">
      <c r="A29" s="211">
        <v>18</v>
      </c>
      <c r="B29" s="212" t="str">
        <f>+'Necesidades Trimestrales'!B27</f>
        <v>2.5.2-1821.46</v>
      </c>
      <c r="C29" s="213" t="str">
        <f>+'Necesidades Trimestrales'!E27</f>
        <v>ANTIBIOTICOS P/PERSONAS; TIPO: MONODROGA, FORMA FARMACEUTICA: COMPRIMIDO, PRESENTACION: 500 mGr, DROGA GENERICA: CIPROFLOXACINA</v>
      </c>
      <c r="D29" s="214"/>
      <c r="E29" s="214"/>
      <c r="F29" s="214"/>
      <c r="G29" s="214"/>
      <c r="H29" s="211" t="s">
        <v>40</v>
      </c>
      <c r="I29" s="215" t="str">
        <f>+'Necesidades Trimestrales'!F27</f>
        <v>COMPRIMIDO</v>
      </c>
      <c r="J29" s="216">
        <f>+'Necesidades Trimestrales'!H27</f>
        <v>11.5</v>
      </c>
      <c r="K29" s="217">
        <f>+'Necesidades Trimestrales'!G27</f>
        <v>50</v>
      </c>
    </row>
    <row r="30" spans="1:11" ht="32.25" customHeight="1" thickBot="1" x14ac:dyDescent="0.25">
      <c r="A30" s="211">
        <v>19</v>
      </c>
      <c r="B30" s="212" t="str">
        <f>+'Necesidades Trimestrales'!B28</f>
        <v>2.5.2-1821.338</v>
      </c>
      <c r="C30" s="213" t="str">
        <f>+'Necesidades Trimestrales'!E28</f>
        <v>ANTIBIOTICOS P/PERSONAS; TIPO: MONODROGA, DROGA GENERICA: CLARITROMICINA 250MG, FORMA FARMACEUTICA: SUSPENSION, PRESENTACION: ENVASE X 90 mL</v>
      </c>
      <c r="D30" s="214"/>
      <c r="E30" s="214"/>
      <c r="F30" s="214"/>
      <c r="G30" s="214"/>
      <c r="H30" s="211" t="s">
        <v>40</v>
      </c>
      <c r="I30" s="215" t="str">
        <f>+'Necesidades Trimestrales'!F28</f>
        <v>FRASCO</v>
      </c>
      <c r="J30" s="216">
        <f>+'Necesidades Trimestrales'!H28</f>
        <v>1500</v>
      </c>
      <c r="K30" s="217">
        <f>+'Necesidades Trimestrales'!G28</f>
        <v>20</v>
      </c>
    </row>
    <row r="31" spans="1:11" ht="32.25" customHeight="1" thickBot="1" x14ac:dyDescent="0.25">
      <c r="A31" s="211">
        <v>20</v>
      </c>
      <c r="B31" s="212" t="str">
        <f>+'Necesidades Trimestrales'!B29</f>
        <v>2.5.2-1821.37</v>
      </c>
      <c r="C31" s="213" t="str">
        <f>+'Necesidades Trimestrales'!E29</f>
        <v>ANTIBIOTICOS P/PERSONAS; TIPO: MONODROGA, DROGA GENERICA: CLARITROMICINA, FORMA FARMACEUTICA: COMPRIMIDO, PRESENTACION: 500 mGr</v>
      </c>
      <c r="D31" s="214"/>
      <c r="E31" s="214"/>
      <c r="F31" s="214"/>
      <c r="G31" s="214"/>
      <c r="H31" s="211" t="s">
        <v>40</v>
      </c>
      <c r="I31" s="215" t="str">
        <f>+'Necesidades Trimestrales'!F29</f>
        <v>COMPRIMIDO</v>
      </c>
      <c r="J31" s="216">
        <f>+'Necesidades Trimestrales'!H29</f>
        <v>35</v>
      </c>
      <c r="K31" s="217">
        <f>+'Necesidades Trimestrales'!G29</f>
        <v>80</v>
      </c>
    </row>
    <row r="32" spans="1:11" ht="32.25" customHeight="1" thickBot="1" x14ac:dyDescent="0.25">
      <c r="A32" s="211">
        <v>21</v>
      </c>
      <c r="B32" s="212" t="str">
        <f>+'Necesidades Trimestrales'!B30</f>
        <v>2.5.2-1821.36</v>
      </c>
      <c r="C32" s="213" t="str">
        <f>+'Necesidades Trimestrales'!E30</f>
        <v>ANTIBIOTICOS P/PERSONAS; DROGA GENERICA: CLARITROMICINA, FORMA FARMACEUTICA: AMPOLLA, PRESENTACION: 500 mGr, TIPO: MONODROGA</v>
      </c>
      <c r="D32" s="214"/>
      <c r="E32" s="214"/>
      <c r="F32" s="214"/>
      <c r="G32" s="214"/>
      <c r="H32" s="211" t="s">
        <v>40</v>
      </c>
      <c r="I32" s="215" t="str">
        <f>+'Necesidades Trimestrales'!F30</f>
        <v>AMPOLLA</v>
      </c>
      <c r="J32" s="216">
        <f>+'Necesidades Trimestrales'!H30</f>
        <v>690</v>
      </c>
      <c r="K32" s="217">
        <f>+'Necesidades Trimestrales'!G30</f>
        <v>30</v>
      </c>
    </row>
    <row r="33" spans="1:11" ht="32.25" customHeight="1" thickBot="1" x14ac:dyDescent="0.25">
      <c r="A33" s="211">
        <v>22</v>
      </c>
      <c r="B33" s="212" t="str">
        <f>+'Necesidades Trimestrales'!B31</f>
        <v>2.5.2-1821.43</v>
      </c>
      <c r="C33" s="213" t="str">
        <f>+'Necesidades Trimestrales'!E31</f>
        <v>ANTIBIOTICOS P/PERSONAS; TIPO: MONODROGA, DROGA GENERICA: CLINDAMICINA, FORMA FARMACEUTICA: AMPOLLA, PRESENTACION: 600 mGr</v>
      </c>
      <c r="D33" s="214"/>
      <c r="E33" s="214"/>
      <c r="F33" s="214"/>
      <c r="G33" s="214"/>
      <c r="H33" s="211" t="s">
        <v>40</v>
      </c>
      <c r="I33" s="215" t="str">
        <f>+'Necesidades Trimestrales'!F31</f>
        <v>AMPOLLA</v>
      </c>
      <c r="J33" s="216">
        <f>+'Necesidades Trimestrales'!H31</f>
        <v>85</v>
      </c>
      <c r="K33" s="217">
        <f>+'Necesidades Trimestrales'!G31</f>
        <v>300</v>
      </c>
    </row>
    <row r="34" spans="1:11" ht="32.25" customHeight="1" thickBot="1" x14ac:dyDescent="0.25">
      <c r="A34" s="211">
        <v>23</v>
      </c>
      <c r="B34" s="212" t="str">
        <f>+'Necesidades Trimestrales'!B32</f>
        <v>2.5.2-1724.140</v>
      </c>
      <c r="C34" s="213" t="str">
        <f>+'Necesidades Trimestrales'!E32</f>
        <v>ANALGESICOS; TIPO: MONODROGA, DROGA GENERICA: DICLOFENAC X 75 MG, FORMA FARMACEUTICA: COMPRIMIDO, PRESENTACION: UNIDAD</v>
      </c>
      <c r="D34" s="214"/>
      <c r="E34" s="214"/>
      <c r="F34" s="214"/>
      <c r="G34" s="214"/>
      <c r="H34" s="211" t="s">
        <v>40</v>
      </c>
      <c r="I34" s="215" t="str">
        <f>+'Necesidades Trimestrales'!F32</f>
        <v>COMPRIMIDO</v>
      </c>
      <c r="J34" s="216">
        <f>+'Necesidades Trimestrales'!H32</f>
        <v>3.05</v>
      </c>
      <c r="K34" s="217">
        <f>+'Necesidades Trimestrales'!G32</f>
        <v>1200</v>
      </c>
    </row>
    <row r="35" spans="1:11" ht="32.25" customHeight="1" thickBot="1" x14ac:dyDescent="0.25">
      <c r="A35" s="211">
        <v>24</v>
      </c>
      <c r="B35" s="212" t="str">
        <f>+'Necesidades Trimestrales'!B33</f>
        <v>2.5.2-1724.117</v>
      </c>
      <c r="C35" s="213" t="str">
        <f>+'Necesidades Trimestrales'!E33</f>
        <v>ANALGESICOS; TIPO: ASOCIACION, DROGA GENERICA: DICLOFENAC SODICO, FORMA FARMACEUTICA: AMPOLLA, PRESENTACION: 3 Ml</v>
      </c>
      <c r="D35" s="214"/>
      <c r="E35" s="214"/>
      <c r="F35" s="214"/>
      <c r="G35" s="214"/>
      <c r="H35" s="211" t="s">
        <v>40</v>
      </c>
      <c r="I35" s="215" t="str">
        <f>+'Necesidades Trimestrales'!F33</f>
        <v>AMPOLLA</v>
      </c>
      <c r="J35" s="216">
        <f>+'Necesidades Trimestrales'!H33</f>
        <v>35.9</v>
      </c>
      <c r="K35" s="217">
        <f>+'Necesidades Trimestrales'!G33</f>
        <v>2400</v>
      </c>
    </row>
    <row r="36" spans="1:11" ht="32.25" customHeight="1" thickBot="1" x14ac:dyDescent="0.25">
      <c r="A36" s="211">
        <v>25</v>
      </c>
      <c r="B36" s="212" t="str">
        <f>+'Necesidades Trimestrales'!B34</f>
        <v>2.5.2-1724.208</v>
      </c>
      <c r="C36" s="213" t="str">
        <f>+'Necesidades Trimestrales'!E34</f>
        <v>ANALGESICOS; TIPO: MONODROGA, DROGA GENERICA: DIPIRONA SODICA 1 GR, FORMA FARMACEUTICA: AMPOLLA, PRESENTACION: 2 mL</v>
      </c>
      <c r="D36" s="214"/>
      <c r="E36" s="214"/>
      <c r="F36" s="214"/>
      <c r="G36" s="214"/>
      <c r="H36" s="211" t="s">
        <v>40</v>
      </c>
      <c r="I36" s="215" t="str">
        <f>+'Necesidades Trimestrales'!F34</f>
        <v>AMPOLLA</v>
      </c>
      <c r="J36" s="216">
        <f>+'Necesidades Trimestrales'!H34</f>
        <v>38.5</v>
      </c>
      <c r="K36" s="217">
        <f>+'Necesidades Trimestrales'!G34</f>
        <v>1100</v>
      </c>
    </row>
    <row r="37" spans="1:11" ht="32.25" customHeight="1" thickBot="1" x14ac:dyDescent="0.25">
      <c r="A37" s="211">
        <v>26</v>
      </c>
      <c r="B37" s="212" t="str">
        <f>+'Necesidades Trimestrales'!B35</f>
        <v>2.5.2-1821.458</v>
      </c>
      <c r="C37" s="213" t="str">
        <f>+'Necesidades Trimestrales'!E35</f>
        <v>ANTIBIOTICOS P/PERSONAS; TIPO: MONODROGA, DROGA GENERICA: DOXICICLINA 100 mGr, FORMA FARMACEUTICA: COMPRIMIDO, PRESENTACION: UNIDAD</v>
      </c>
      <c r="D37" s="214"/>
      <c r="E37" s="214"/>
      <c r="F37" s="214"/>
      <c r="G37" s="214"/>
      <c r="H37" s="211" t="s">
        <v>40</v>
      </c>
      <c r="I37" s="215" t="str">
        <f>+'Necesidades Trimestrales'!F35</f>
        <v>COMPRIMIDO</v>
      </c>
      <c r="J37" s="216">
        <f>+'Necesidades Trimestrales'!H35</f>
        <v>62.17</v>
      </c>
      <c r="K37" s="217">
        <f>+'Necesidades Trimestrales'!G35</f>
        <v>450</v>
      </c>
    </row>
    <row r="38" spans="1:11" ht="32.25" customHeight="1" thickBot="1" x14ac:dyDescent="0.25">
      <c r="A38" s="211">
        <v>27</v>
      </c>
      <c r="B38" s="212" t="str">
        <f>+'Necesidades Trimestrales'!B36</f>
        <v>2.5.2-1905.67</v>
      </c>
      <c r="C38" s="213" t="str">
        <f>+'Necesidades Trimestrales'!E36</f>
        <v>VACUNAS; TIPO: G.GLOBULINA+TOXOIDE ANTITETÁNICO, PRESENTACIÓN: ENVASE X 500 UI</v>
      </c>
      <c r="D38" s="214"/>
      <c r="E38" s="214"/>
      <c r="F38" s="214"/>
      <c r="G38" s="214"/>
      <c r="H38" s="211" t="s">
        <v>40</v>
      </c>
      <c r="I38" s="215" t="str">
        <f>+'Necesidades Trimestrales'!F36</f>
        <v>AMPOLLA</v>
      </c>
      <c r="J38" s="216">
        <f>+'Necesidades Trimestrales'!H36</f>
        <v>8899.39</v>
      </c>
      <c r="K38" s="217">
        <f>+'Necesidades Trimestrales'!G36</f>
        <v>5</v>
      </c>
    </row>
    <row r="39" spans="1:11" ht="32.25" customHeight="1" thickBot="1" x14ac:dyDescent="0.25">
      <c r="A39" s="211">
        <v>28</v>
      </c>
      <c r="B39" s="212" t="str">
        <f>+'Necesidades Trimestrales'!B37</f>
        <v>2.5.2-1821.4</v>
      </c>
      <c r="C39" s="213" t="str">
        <f>+'Necesidades Trimestrales'!E37</f>
        <v>ANTIBIOTICOS P/PERSONAS; DROGA GENERICA: GENTAMICINA, FORMA FARMACEUTICA: AMPOLLA, PRESENTACION: 80 mGr, TIPO: MONODROGA</v>
      </c>
      <c r="D39" s="214"/>
      <c r="E39" s="214"/>
      <c r="F39" s="214"/>
      <c r="G39" s="214"/>
      <c r="H39" s="211" t="s">
        <v>40</v>
      </c>
      <c r="I39" s="215" t="str">
        <f>+'Necesidades Trimestrales'!F37</f>
        <v>AMPOLLA</v>
      </c>
      <c r="J39" s="216">
        <f>+'Necesidades Trimestrales'!H37</f>
        <v>42</v>
      </c>
      <c r="K39" s="217">
        <f>+'Necesidades Trimestrales'!G37</f>
        <v>400</v>
      </c>
    </row>
    <row r="40" spans="1:11" ht="32.25" customHeight="1" thickBot="1" x14ac:dyDescent="0.25">
      <c r="A40" s="211">
        <v>29</v>
      </c>
      <c r="B40" s="212" t="str">
        <f>+'Necesidades Trimestrales'!B38</f>
        <v>2.5.2-1725.68</v>
      </c>
      <c r="C40" s="213" t="str">
        <f>+'Necesidades Trimestrales'!E38</f>
        <v>ANTIINFLAMATORIOS NO ESTEROIDE; TIPO: MONODROGA, DROGA GENERICA: IBUPROFENO, FORMA FARMACEUTICA: COMPRIMIDO, PRESENTACION: 400 mGr</v>
      </c>
      <c r="D40" s="214"/>
      <c r="E40" s="214"/>
      <c r="F40" s="214"/>
      <c r="G40" s="214"/>
      <c r="H40" s="211" t="s">
        <v>40</v>
      </c>
      <c r="I40" s="215" t="str">
        <f>+'Necesidades Trimestrales'!F38</f>
        <v>COMPRIMIDO</v>
      </c>
      <c r="J40" s="216">
        <f>+'Necesidades Trimestrales'!H38</f>
        <v>4.8</v>
      </c>
      <c r="K40" s="217">
        <f>+'Necesidades Trimestrales'!G38</f>
        <v>600</v>
      </c>
    </row>
    <row r="41" spans="1:11" ht="32.25" customHeight="1" thickBot="1" x14ac:dyDescent="0.25">
      <c r="A41" s="211">
        <v>30</v>
      </c>
      <c r="B41" s="212" t="str">
        <f>+'Necesidades Trimestrales'!B39</f>
        <v>2.5.2-1725.154</v>
      </c>
      <c r="C41" s="213" t="str">
        <f>+'Necesidades Trimestrales'!E39</f>
        <v>ANTIINFLAMATORIOS NO ESTEROIDE; TIPO: MONODROGA, DROGA GENERICA: INDOMETACINA 100 MG, FORMA FARMACEUTICA: SUPOSITORIO, PRESENTACION: CAJA X 10 UNIDADES</v>
      </c>
      <c r="D41" s="214"/>
      <c r="E41" s="214"/>
      <c r="F41" s="214"/>
      <c r="G41" s="214"/>
      <c r="H41" s="211" t="s">
        <v>40</v>
      </c>
      <c r="I41" s="215" t="str">
        <f>+'Necesidades Trimestrales'!F39</f>
        <v>CAJA</v>
      </c>
      <c r="J41" s="216">
        <f>+'Necesidades Trimestrales'!H39</f>
        <v>3058.9</v>
      </c>
      <c r="K41" s="217">
        <f>+'Necesidades Trimestrales'!G39</f>
        <v>50</v>
      </c>
    </row>
    <row r="42" spans="1:11" ht="32.25" customHeight="1" thickBot="1" x14ac:dyDescent="0.25">
      <c r="A42" s="211">
        <v>31</v>
      </c>
      <c r="B42" s="212" t="str">
        <f>+'Necesidades Trimestrales'!B40</f>
        <v>2.5.2-5275.16</v>
      </c>
      <c r="C42" s="213" t="str">
        <f>+'Necesidades Trimestrales'!E40</f>
        <v>ANTI GAMMA TOTAL; TIPO: INMUNOGLOBULINA HUMAN ANTI-RH, PRESENTACION: JERINGA PRELLENA 250-330MCG/ML</v>
      </c>
      <c r="D42" s="214"/>
      <c r="E42" s="214"/>
      <c r="F42" s="214"/>
      <c r="G42" s="214"/>
      <c r="H42" s="211" t="s">
        <v>40</v>
      </c>
      <c r="I42" s="215" t="str">
        <f>+'Necesidades Trimestrales'!F40</f>
        <v>UNIDAD</v>
      </c>
      <c r="J42" s="216">
        <f>+'Necesidades Trimestrales'!H40</f>
        <v>8375</v>
      </c>
      <c r="K42" s="217">
        <f>+'Necesidades Trimestrales'!G40</f>
        <v>50</v>
      </c>
    </row>
    <row r="43" spans="1:11" ht="32.25" customHeight="1" thickBot="1" x14ac:dyDescent="0.25">
      <c r="A43" s="211">
        <v>32</v>
      </c>
      <c r="B43" s="212" t="str">
        <f>+'Necesidades Trimestrales'!B41</f>
        <v>2.5.2-1859.29</v>
      </c>
      <c r="C43" s="213" t="str">
        <f>+'Necesidades Trimestrales'!E41</f>
        <v>INMUNOMODULADORES; TIPO: MONODROGA, DROGA GENERICA: INMUNOGLOBULINA G HUMANA, FORMA FARMACEUTICA: VIAL, PRESENTACION: 10 GR</v>
      </c>
      <c r="D43" s="214"/>
      <c r="E43" s="214"/>
      <c r="F43" s="214"/>
      <c r="G43" s="214"/>
      <c r="H43" s="211" t="s">
        <v>40</v>
      </c>
      <c r="I43" s="215" t="str">
        <f>+'Necesidades Trimestrales'!F41</f>
        <v>UNIDAD</v>
      </c>
      <c r="J43" s="216">
        <f>+'Necesidades Trimestrales'!H41</f>
        <v>125640</v>
      </c>
      <c r="K43" s="217">
        <f>+'Necesidades Trimestrales'!G41</f>
        <v>5</v>
      </c>
    </row>
    <row r="44" spans="1:11" ht="32.25" customHeight="1" thickBot="1" x14ac:dyDescent="0.25">
      <c r="A44" s="211">
        <v>33</v>
      </c>
      <c r="B44" s="212" t="str">
        <f>+'Necesidades Trimestrales'!B42</f>
        <v>2.5.2-1859.30</v>
      </c>
      <c r="C44" s="213" t="str">
        <f>+'Necesidades Trimestrales'!E42</f>
        <v>INMUNOMODULADORES; TIPO: MONODROGA, DROGA GENERICA: INMUNOGLOBULINA G HUMANA, FORMA FARMACEUTICA: VIAL, PRESENTACION: 2,5 GR</v>
      </c>
      <c r="D44" s="214"/>
      <c r="E44" s="214"/>
      <c r="F44" s="214"/>
      <c r="G44" s="214"/>
      <c r="H44" s="211" t="s">
        <v>40</v>
      </c>
      <c r="I44" s="215" t="str">
        <f>+'Necesidades Trimestrales'!F42</f>
        <v>UNIDAD</v>
      </c>
      <c r="J44" s="216">
        <f>+'Necesidades Trimestrales'!H42</f>
        <v>31000</v>
      </c>
      <c r="K44" s="217">
        <f>+'Necesidades Trimestrales'!G42</f>
        <v>5</v>
      </c>
    </row>
    <row r="45" spans="1:11" ht="32.25" customHeight="1" thickBot="1" x14ac:dyDescent="0.25">
      <c r="A45" s="211">
        <v>34</v>
      </c>
      <c r="B45" s="212" t="str">
        <f>+'Necesidades Trimestrales'!B43</f>
        <v>2.5.2-1859.28</v>
      </c>
      <c r="C45" s="213" t="str">
        <f>+'Necesidades Trimestrales'!E43</f>
        <v>INMUNOMODULADORES; TIPO: MONODROGA, DROGA GENERICA: INMUNOGLOBULINA G HUMANA, FORMA FARMACEUTICA: VIAL, PRESENTACION: 5 GR</v>
      </c>
      <c r="D45" s="214"/>
      <c r="E45" s="214"/>
      <c r="F45" s="214"/>
      <c r="G45" s="214"/>
      <c r="H45" s="211" t="s">
        <v>40</v>
      </c>
      <c r="I45" s="215" t="str">
        <f>+'Necesidades Trimestrales'!F43</f>
        <v>UNIDAD</v>
      </c>
      <c r="J45" s="216">
        <f>+'Necesidades Trimestrales'!H43</f>
        <v>59000</v>
      </c>
      <c r="K45" s="217">
        <f>+'Necesidades Trimestrales'!G43</f>
        <v>5</v>
      </c>
    </row>
    <row r="46" spans="1:11" ht="32.25" customHeight="1" thickBot="1" x14ac:dyDescent="0.25">
      <c r="A46" s="211">
        <v>35</v>
      </c>
      <c r="B46" s="212" t="str">
        <f>+'Necesidades Trimestrales'!B44</f>
        <v>2.5.2-2455.20</v>
      </c>
      <c r="C46" s="213" t="str">
        <f>+'Necesidades Trimestrales'!E44</f>
        <v>ANESTESICOS GENERALES; DROGA GENERICA: KETAMINA 50 MG/ML, FORMA FARMACEUTICA: FRASCO AMPOLLA, PRESENTACION: 10 mL, TIPO: MONODROGA</v>
      </c>
      <c r="D46" s="214"/>
      <c r="E46" s="214"/>
      <c r="F46" s="214"/>
      <c r="G46" s="214"/>
      <c r="H46" s="211" t="s">
        <v>40</v>
      </c>
      <c r="I46" s="215" t="str">
        <f>+'Necesidades Trimestrales'!F44</f>
        <v>AMPOLLA</v>
      </c>
      <c r="J46" s="216">
        <f>+'Necesidades Trimestrales'!H44</f>
        <v>2300</v>
      </c>
      <c r="K46" s="217">
        <f>+'Necesidades Trimestrales'!G44</f>
        <v>50</v>
      </c>
    </row>
    <row r="47" spans="1:11" ht="32.25" customHeight="1" thickBot="1" x14ac:dyDescent="0.25">
      <c r="A47" s="211">
        <v>36</v>
      </c>
      <c r="B47" s="212" t="str">
        <f>+'Necesidades Trimestrales'!B45</f>
        <v>2.5.2-1724.23</v>
      </c>
      <c r="C47" s="213" t="str">
        <f>+'Necesidades Trimestrales'!E45</f>
        <v>ANALGESICOS; TIPO: MONODROGA, DROGA GENERICA: KETOROLAC, FORMA FARMACEUTICA: AMPOLLA, PRESENTACION: 30 mGr</v>
      </c>
      <c r="D47" s="214"/>
      <c r="E47" s="214"/>
      <c r="F47" s="214"/>
      <c r="G47" s="214"/>
      <c r="H47" s="211" t="s">
        <v>40</v>
      </c>
      <c r="I47" s="215" t="str">
        <f>+'Necesidades Trimestrales'!F45</f>
        <v>AMPOLLA</v>
      </c>
      <c r="J47" s="216">
        <f>+'Necesidades Trimestrales'!H45</f>
        <v>59</v>
      </c>
      <c r="K47" s="217">
        <f>+'Necesidades Trimestrales'!G45</f>
        <v>3600</v>
      </c>
    </row>
    <row r="48" spans="1:11" ht="32.25" customHeight="1" thickBot="1" x14ac:dyDescent="0.25">
      <c r="A48" s="211">
        <v>37</v>
      </c>
      <c r="B48" s="212" t="str">
        <f>+'Necesidades Trimestrales'!B46</f>
        <v>2.5.2-1821.71</v>
      </c>
      <c r="C48" s="213" t="str">
        <f>+'Necesidades Trimestrales'!E46</f>
        <v>ANTIBIOTICOS P/PERSONAS; TIPO: MONODROGA, DROGA GENERICA: LEVOFLOXACINA, PRESENTACION: 500 mGr, FORMA FARMACEUTICA: COMPRIMIDO</v>
      </c>
      <c r="D48" s="214"/>
      <c r="E48" s="214"/>
      <c r="F48" s="214"/>
      <c r="G48" s="214"/>
      <c r="H48" s="211" t="s">
        <v>40</v>
      </c>
      <c r="I48" s="215" t="str">
        <f>+'Necesidades Trimestrales'!F46</f>
        <v>COMPRIMIDO</v>
      </c>
      <c r="J48" s="216">
        <f>+'Necesidades Trimestrales'!H46</f>
        <v>18</v>
      </c>
      <c r="K48" s="217">
        <f>+'Necesidades Trimestrales'!G46</f>
        <v>28</v>
      </c>
    </row>
    <row r="49" spans="1:11" ht="32.25" customHeight="1" thickBot="1" x14ac:dyDescent="0.25">
      <c r="A49" s="211">
        <v>38</v>
      </c>
      <c r="B49" s="212" t="str">
        <f>+'Necesidades Trimestrales'!B47</f>
        <v>2.5.2-1883.186</v>
      </c>
      <c r="C49" s="213" t="str">
        <f>+'Necesidades Trimestrales'!E47</f>
        <v>ANESTESICOS LOCALES; TIPO: MONODROGA, DROGA GENERICA: LIDOCAINA 2%S/EPINEFRINA, FORMA FARMACEUTICA: AMPOLLA, PRESENTACION: 5 mL</v>
      </c>
      <c r="D49" s="214"/>
      <c r="E49" s="214"/>
      <c r="F49" s="214"/>
      <c r="G49" s="214"/>
      <c r="H49" s="211" t="s">
        <v>40</v>
      </c>
      <c r="I49" s="215" t="str">
        <f>+'Necesidades Trimestrales'!F47</f>
        <v>AMPOLLA</v>
      </c>
      <c r="J49" s="216">
        <f>+'Necesidades Trimestrales'!H47</f>
        <v>33</v>
      </c>
      <c r="K49" s="217">
        <f>+'Necesidades Trimestrales'!G47</f>
        <v>1200</v>
      </c>
    </row>
    <row r="50" spans="1:11" ht="32.25" customHeight="1" thickBot="1" x14ac:dyDescent="0.25">
      <c r="A50" s="211">
        <v>39</v>
      </c>
      <c r="B50" s="212" t="str">
        <f>+'Necesidades Trimestrales'!B48</f>
        <v>2.5.2-1883.136</v>
      </c>
      <c r="C50" s="213" t="str">
        <f>+'Necesidades Trimestrales'!E48</f>
        <v>ANESTESICOS LOCALES; TIPO: MONODROGA, DROGA GENERICA: LIDOCAINA 2% S/EPINEFRINA, FORMA FARMACEUTICA: FRASCO AMPOLLA, PRESENTACION: ENVASE X 20 mL</v>
      </c>
      <c r="D50" s="214"/>
      <c r="E50" s="214"/>
      <c r="F50" s="214"/>
      <c r="G50" s="214"/>
      <c r="H50" s="211" t="s">
        <v>40</v>
      </c>
      <c r="I50" s="215" t="str">
        <f>+'Necesidades Trimestrales'!F48</f>
        <v>AMPOLLA</v>
      </c>
      <c r="J50" s="216">
        <f>+'Necesidades Trimestrales'!H48</f>
        <v>325</v>
      </c>
      <c r="K50" s="217">
        <f>+'Necesidades Trimestrales'!G48</f>
        <v>10</v>
      </c>
    </row>
    <row r="51" spans="1:11" ht="32.25" customHeight="1" thickBot="1" x14ac:dyDescent="0.25">
      <c r="A51" s="211">
        <v>40</v>
      </c>
      <c r="B51" s="212" t="str">
        <f>+'Necesidades Trimestrales'!B49</f>
        <v>2.5.2-1883.149</v>
      </c>
      <c r="C51" s="213" t="str">
        <f>+'Necesidades Trimestrales'!E49</f>
        <v>ANESTESICOS LOCALES; TIPO: MONODROGA, DROGA GENERICA: LIDOCAINA, FORMA FARMACEUTICA: JALEA, PRESENTACION: ENVASE X 25 GR</v>
      </c>
      <c r="D51" s="214"/>
      <c r="E51" s="214"/>
      <c r="F51" s="214"/>
      <c r="G51" s="214"/>
      <c r="H51" s="211" t="s">
        <v>40</v>
      </c>
      <c r="I51" s="215" t="str">
        <f>+'Necesidades Trimestrales'!F49</f>
        <v>UNIDAD</v>
      </c>
      <c r="J51" s="216">
        <f>+'Necesidades Trimestrales'!H49</f>
        <v>112</v>
      </c>
      <c r="K51" s="217">
        <f>+'Necesidades Trimestrales'!G49</f>
        <v>30</v>
      </c>
    </row>
    <row r="52" spans="1:11" ht="32.25" customHeight="1" thickBot="1" x14ac:dyDescent="0.25">
      <c r="A52" s="211">
        <v>41</v>
      </c>
      <c r="B52" s="212" t="str">
        <f>+'Necesidades Trimestrales'!B50</f>
        <v>2.5.2-1821.421</v>
      </c>
      <c r="C52" s="213" t="str">
        <f>+'Necesidades Trimestrales'!E50</f>
        <v>ANTIBIOTICOS P/PERSONAS; TIPO: MONODROGA, DROGA GENERICA: MEROPENEM 500 mGr, FORMA FARMACEUTICA: FRASCO AMPOLLA, PRESENTACION: UNIDAD</v>
      </c>
      <c r="D52" s="214"/>
      <c r="E52" s="214"/>
      <c r="F52" s="214"/>
      <c r="G52" s="214"/>
      <c r="H52" s="211" t="s">
        <v>40</v>
      </c>
      <c r="I52" s="215" t="str">
        <f>+'Necesidades Trimestrales'!F50</f>
        <v>AMPOLLA</v>
      </c>
      <c r="J52" s="216">
        <f>+'Necesidades Trimestrales'!H50</f>
        <v>380</v>
      </c>
      <c r="K52" s="217">
        <f>+'Necesidades Trimestrales'!G50</f>
        <v>50</v>
      </c>
    </row>
    <row r="53" spans="1:11" ht="32.25" customHeight="1" thickBot="1" x14ac:dyDescent="0.25">
      <c r="A53" s="211">
        <v>42</v>
      </c>
      <c r="B53" s="212" t="str">
        <f>+'Necesidades Trimestrales'!B51</f>
        <v>2.5.2-1821.76</v>
      </c>
      <c r="C53" s="213" t="str">
        <f>+'Necesidades Trimestrales'!E51</f>
        <v>ANTIBIOTICOS P/PERSONAS; TIPO: MONODROGA, FORMA FARMACEUTICA: COMPRIMIDO, PRESENTACION: 500 mGr, DROGA GENERICA: METRONIDAZOL</v>
      </c>
      <c r="D53" s="214"/>
      <c r="E53" s="214"/>
      <c r="F53" s="214"/>
      <c r="G53" s="214"/>
      <c r="H53" s="211" t="s">
        <v>40</v>
      </c>
      <c r="I53" s="215" t="str">
        <f>+'Necesidades Trimestrales'!F51</f>
        <v>COMPRIMIDO</v>
      </c>
      <c r="J53" s="216">
        <f>+'Necesidades Trimestrales'!H51</f>
        <v>7.69</v>
      </c>
      <c r="K53" s="217">
        <f>+'Necesidades Trimestrales'!G51</f>
        <v>200</v>
      </c>
    </row>
    <row r="54" spans="1:11" ht="32.25" customHeight="1" thickBot="1" x14ac:dyDescent="0.25">
      <c r="A54" s="211">
        <v>43</v>
      </c>
      <c r="B54" s="212" t="str">
        <f>+'Necesidades Trimestrales'!B52</f>
        <v>2.5.2-1821.400</v>
      </c>
      <c r="C54" s="213" t="str">
        <f>+'Necesidades Trimestrales'!E52</f>
        <v>ANTIBIOTICOS P/PERSONAS; TIPO: MONODROGA, DROGA GENERICA: METRONIDAZOL 500 mGr, FORMA FARMACEUTICA: SACHET X 100 mL, PRESENTACION: UNIDAD</v>
      </c>
      <c r="D54" s="214"/>
      <c r="E54" s="214"/>
      <c r="F54" s="214"/>
      <c r="G54" s="214"/>
      <c r="H54" s="211" t="s">
        <v>40</v>
      </c>
      <c r="I54" s="215" t="str">
        <f>+'Necesidades Trimestrales'!F52</f>
        <v>UNIDAD</v>
      </c>
      <c r="J54" s="216">
        <f>+'Necesidades Trimestrales'!H52</f>
        <v>138</v>
      </c>
      <c r="K54" s="217">
        <f>+'Necesidades Trimestrales'!G52</f>
        <v>100</v>
      </c>
    </row>
    <row r="55" spans="1:11" ht="32.25" customHeight="1" thickBot="1" x14ac:dyDescent="0.25">
      <c r="A55" s="211">
        <v>44</v>
      </c>
      <c r="B55" s="212" t="str">
        <f>+'Necesidades Trimestrales'!B53</f>
        <v>2.5.2-1724.98</v>
      </c>
      <c r="C55" s="213" t="str">
        <f>+'Necesidades Trimestrales'!E53</f>
        <v>ANALGESICOS; TIPO: MONODROGA, DROGA GENERICA: MORFINA CLORIDRATO 1%, FORMA FARMACEUTICA: AMPOLLA, PRESENTACION: 1 mL</v>
      </c>
      <c r="D55" s="214"/>
      <c r="E55" s="214"/>
      <c r="F55" s="214"/>
      <c r="G55" s="214"/>
      <c r="H55" s="211" t="s">
        <v>40</v>
      </c>
      <c r="I55" s="215" t="str">
        <f>+'Necesidades Trimestrales'!F53</f>
        <v>AMPOLLA</v>
      </c>
      <c r="J55" s="216">
        <f>+'Necesidades Trimestrales'!H53</f>
        <v>66</v>
      </c>
      <c r="K55" s="217">
        <f>+'Necesidades Trimestrales'!G53</f>
        <v>200</v>
      </c>
    </row>
    <row r="56" spans="1:11" ht="32.25" customHeight="1" thickBot="1" x14ac:dyDescent="0.25">
      <c r="A56" s="211">
        <v>45</v>
      </c>
      <c r="B56" s="212" t="str">
        <f>+'Necesidades Trimestrales'!B54</f>
        <v>2.5.2-1724.206</v>
      </c>
      <c r="C56" s="213" t="str">
        <f>+'Necesidades Trimestrales'!E54</f>
        <v>ANALGESICOS; TIPO: MONODROGA, DROGA GENERICA: NALBUFINA 10 mGr, FORMA FARMACEUTICA: AMPOLLA, PRESENTACION: ENVASE X 1 mL</v>
      </c>
      <c r="D56" s="214"/>
      <c r="E56" s="214"/>
      <c r="F56" s="214"/>
      <c r="G56" s="214"/>
      <c r="H56" s="211" t="s">
        <v>40</v>
      </c>
      <c r="I56" s="215" t="str">
        <f>+'Necesidades Trimestrales'!F54</f>
        <v>AMPOLLA</v>
      </c>
      <c r="J56" s="216">
        <f>+'Necesidades Trimestrales'!H54</f>
        <v>72</v>
      </c>
      <c r="K56" s="217">
        <f>+'Necesidades Trimestrales'!G54</f>
        <v>400</v>
      </c>
    </row>
    <row r="57" spans="1:11" ht="32.25" customHeight="1" thickBot="1" x14ac:dyDescent="0.25">
      <c r="A57" s="211">
        <v>46</v>
      </c>
      <c r="B57" s="212" t="str">
        <f>+'Necesidades Trimestrales'!B55</f>
        <v>2.5.2-1724.243</v>
      </c>
      <c r="C57" s="213" t="str">
        <f>+'Necesidades Trimestrales'!E55</f>
        <v>ANALGESICOS; TIPO: MONODROGA, DROGA GENERICA: PARACETAMOL 1 GR, FORMA FARMACEUTICA: COMPRIMIDO, PRESENTACION: UNIDAD</v>
      </c>
      <c r="D57" s="214"/>
      <c r="E57" s="214"/>
      <c r="F57" s="214"/>
      <c r="G57" s="214"/>
      <c r="H57" s="211" t="s">
        <v>40</v>
      </c>
      <c r="I57" s="215" t="str">
        <f>+'Necesidades Trimestrales'!F55</f>
        <v>COMPRIMIDO</v>
      </c>
      <c r="J57" s="216">
        <f>+'Necesidades Trimestrales'!H55</f>
        <v>9.8000000000000007</v>
      </c>
      <c r="K57" s="217">
        <f>+'Necesidades Trimestrales'!G55</f>
        <v>350</v>
      </c>
    </row>
    <row r="58" spans="1:11" ht="32.25" customHeight="1" thickBot="1" x14ac:dyDescent="0.25">
      <c r="A58" s="211">
        <v>47</v>
      </c>
      <c r="B58" s="212" t="str">
        <f>+'Necesidades Trimestrales'!B56</f>
        <v>2.5.2-1724.230</v>
      </c>
      <c r="C58" s="213" t="str">
        <f>+'Necesidades Trimestrales'!E56</f>
        <v>ANALGESICOS ; PRESENTACION: 100 mL, FORMA FARMACEUTICA: AMPOLLA, DROGA GENERICA: PARACETAMOL 1000 mGr, TIPO: MONODROGA mGr</v>
      </c>
      <c r="D58" s="214"/>
      <c r="E58" s="214"/>
      <c r="F58" s="214"/>
      <c r="G58" s="214"/>
      <c r="H58" s="211" t="s">
        <v>40</v>
      </c>
      <c r="I58" s="215" t="str">
        <f>+'Necesidades Trimestrales'!F56</f>
        <v>AMPOLLA</v>
      </c>
      <c r="J58" s="216">
        <f>+'Necesidades Trimestrales'!H56</f>
        <v>980</v>
      </c>
      <c r="K58" s="217">
        <f>+'Necesidades Trimestrales'!G56</f>
        <v>120</v>
      </c>
    </row>
    <row r="59" spans="1:11" ht="32.25" customHeight="1" thickBot="1" x14ac:dyDescent="0.25">
      <c r="A59" s="211">
        <v>48</v>
      </c>
      <c r="B59" s="212" t="str">
        <f>+'Necesidades Trimestrales'!B57</f>
        <v>2.5.2-1724.245</v>
      </c>
      <c r="C59" s="213" t="str">
        <f>+'Necesidades Trimestrales'!E57</f>
        <v>ANALGÉSICOS ; TIPO: MONODROGA, DROGA GENÉRICA: PARACETAMOL 500 MGR, FORMA FARMACEÚTICA: COMPRIMIDO, PRESENTACIÓN: X UNIDAD</v>
      </c>
      <c r="D59" s="214"/>
      <c r="E59" s="214"/>
      <c r="F59" s="214"/>
      <c r="G59" s="214"/>
      <c r="H59" s="211" t="s">
        <v>40</v>
      </c>
      <c r="I59" s="215" t="str">
        <f>+'Necesidades Trimestrales'!F57</f>
        <v>COMPRIMIDO</v>
      </c>
      <c r="J59" s="216">
        <f>+'Necesidades Trimestrales'!H57</f>
        <v>5.3</v>
      </c>
      <c r="K59" s="217">
        <f>+'Necesidades Trimestrales'!G57</f>
        <v>1300</v>
      </c>
    </row>
    <row r="60" spans="1:11" ht="32.25" customHeight="1" thickBot="1" x14ac:dyDescent="0.25">
      <c r="A60" s="211">
        <v>49</v>
      </c>
      <c r="B60" s="212" t="str">
        <f>+'Necesidades Trimestrales'!B58</f>
        <v>2.5.2-1724.29</v>
      </c>
      <c r="C60" s="213" t="str">
        <f>+'Necesidades Trimestrales'!E58</f>
        <v>ANALGESICOS; TIPO: MONODROGA, DROGA GENERICA: PARACETAMOL, FORMA FARMACEUTICA: GOTAS, PRESENTACION: 20 mL</v>
      </c>
      <c r="D60" s="214"/>
      <c r="E60" s="214"/>
      <c r="F60" s="214"/>
      <c r="G60" s="214"/>
      <c r="H60" s="211" t="s">
        <v>40</v>
      </c>
      <c r="I60" s="215" t="str">
        <f>+'Necesidades Trimestrales'!F58</f>
        <v>GOTERO</v>
      </c>
      <c r="J60" s="216">
        <f>+'Necesidades Trimestrales'!H58</f>
        <v>85</v>
      </c>
      <c r="K60" s="217">
        <f>+'Necesidades Trimestrales'!G58</f>
        <v>60</v>
      </c>
    </row>
    <row r="61" spans="1:11" ht="32.25" customHeight="1" thickBot="1" x14ac:dyDescent="0.25">
      <c r="A61" s="211">
        <v>50</v>
      </c>
      <c r="B61" s="212" t="str">
        <f>+'Necesidades Trimestrales'!B59</f>
        <v>2.5.2-1821.220</v>
      </c>
      <c r="C61" s="213" t="str">
        <f>+'Necesidades Trimestrales'!E59</f>
        <v>ANTIBIOTICOS P/PERSONAS; TIPO: MONODROGA, DROGA GENERICA: PENICILINA G. BENZATINICA, FORMA FARMACEUTICA: FRASCO AMPOLLA, PRESENTACION: 2.400.000 UI</v>
      </c>
      <c r="D61" s="214"/>
      <c r="E61" s="214"/>
      <c r="F61" s="214"/>
      <c r="G61" s="214"/>
      <c r="H61" s="211" t="s">
        <v>40</v>
      </c>
      <c r="I61" s="215" t="str">
        <f>+'Necesidades Trimestrales'!F59</f>
        <v>AMPOLLA</v>
      </c>
      <c r="J61" s="216">
        <f>+'Necesidades Trimestrales'!H59</f>
        <v>178</v>
      </c>
      <c r="K61" s="217">
        <f>+'Necesidades Trimestrales'!G59</f>
        <v>360</v>
      </c>
    </row>
    <row r="62" spans="1:11" ht="32.25" customHeight="1" thickBot="1" x14ac:dyDescent="0.25">
      <c r="A62" s="211">
        <v>51</v>
      </c>
      <c r="B62" s="212" t="str">
        <f>+'Necesidades Trimestrales'!B60</f>
        <v>2.5.2-1821.13</v>
      </c>
      <c r="C62" s="213" t="str">
        <f>+'Necesidades Trimestrales'!E60</f>
        <v>ANTIBIOTICOS P/PERSONAS; TIPO: MONODROGA, DROGA GENERICA: PENICILINA G. SODICA, FORMA FARMACEUTICA: AMPOLLA, PRESENTACION: 3.000.000 UI</v>
      </c>
      <c r="D62" s="214"/>
      <c r="E62" s="214"/>
      <c r="F62" s="214"/>
      <c r="G62" s="214"/>
      <c r="H62" s="211" t="s">
        <v>40</v>
      </c>
      <c r="I62" s="215" t="str">
        <f>+'Necesidades Trimestrales'!F60</f>
        <v>AMPOLLA</v>
      </c>
      <c r="J62" s="216">
        <f>+'Necesidades Trimestrales'!H60</f>
        <v>145</v>
      </c>
      <c r="K62" s="217">
        <f>+'Necesidades Trimestrales'!G60</f>
        <v>600</v>
      </c>
    </row>
    <row r="63" spans="1:11" ht="32.25" customHeight="1" thickBot="1" x14ac:dyDescent="0.25">
      <c r="A63" s="211">
        <v>52</v>
      </c>
      <c r="B63" s="212" t="str">
        <f>+'Necesidades Trimestrales'!B61</f>
        <v>2.5.2-1883.173</v>
      </c>
      <c r="C63" s="213" t="str">
        <f>+'Necesidades Trimestrales'!E61</f>
        <v>ANESTESICOS LOCALES; TIPO: MONODROGA, DROGA GENERICA: REMIFENTANILO 5 mGr, FORMA FARMACEUTICA: AMPOLLA, PRESENTACION: UNIDAD</v>
      </c>
      <c r="D63" s="214"/>
      <c r="E63" s="214"/>
      <c r="F63" s="214"/>
      <c r="G63" s="214"/>
      <c r="H63" s="211" t="s">
        <v>40</v>
      </c>
      <c r="I63" s="215" t="str">
        <f>+'Necesidades Trimestrales'!F61</f>
        <v>AMPOLLA</v>
      </c>
      <c r="J63" s="216">
        <f>+'Necesidades Trimestrales'!H61</f>
        <v>345</v>
      </c>
      <c r="K63" s="217">
        <f>+'Necesidades Trimestrales'!G61</f>
        <v>100</v>
      </c>
    </row>
    <row r="64" spans="1:11" ht="32.25" customHeight="1" thickBot="1" x14ac:dyDescent="0.25">
      <c r="A64" s="211">
        <v>53</v>
      </c>
      <c r="B64" s="212" t="str">
        <f>+'Necesidades Trimestrales'!B62</f>
        <v>2.5.2-2455.31</v>
      </c>
      <c r="C64" s="213" t="str">
        <f>+'Necesidades Trimestrales'!E62</f>
        <v>ANESTESICOS GENERALES; DROGA GENERICA: SEVOFLUORANO, FORMA FARMACEUTICA: SOLUCION, PRESENTACION: ENVASE X 250 mL, TIPO: MONODROGA</v>
      </c>
      <c r="D64" s="214"/>
      <c r="E64" s="214"/>
      <c r="F64" s="214"/>
      <c r="G64" s="214"/>
      <c r="H64" s="211" t="s">
        <v>40</v>
      </c>
      <c r="I64" s="215" t="str">
        <f>+'Necesidades Trimestrales'!F62</f>
        <v>FRASCO</v>
      </c>
      <c r="J64" s="216">
        <f>+'Necesidades Trimestrales'!H62</f>
        <v>15580</v>
      </c>
      <c r="K64" s="217">
        <f>+'Necesidades Trimestrales'!G62</f>
        <v>12</v>
      </c>
    </row>
    <row r="65" spans="1:11" ht="32.25" customHeight="1" thickBot="1" x14ac:dyDescent="0.25">
      <c r="A65" s="211">
        <v>54</v>
      </c>
      <c r="B65" s="212" t="str">
        <f>+'Necesidades Trimestrales'!B63</f>
        <v>2.5.2-2199.2</v>
      </c>
      <c r="C65" s="213" t="str">
        <f>+'Necesidades Trimestrales'!E63</f>
        <v>BLOQUEANTES NEUROMUSCULARES; DROGA GENERICA: SUCCINILCOLINA, FORMA FARMACEUTICA: AMPOLLA, PRESENTACION: 500 mGr, TIPO: MONODROGA</v>
      </c>
      <c r="D65" s="214"/>
      <c r="E65" s="214"/>
      <c r="F65" s="214"/>
      <c r="G65" s="214"/>
      <c r="H65" s="211" t="s">
        <v>40</v>
      </c>
      <c r="I65" s="215" t="str">
        <f>+'Necesidades Trimestrales'!F63</f>
        <v>AMPOLLA</v>
      </c>
      <c r="J65" s="216">
        <f>+'Necesidades Trimestrales'!H63</f>
        <v>340</v>
      </c>
      <c r="K65" s="217">
        <f>+'Necesidades Trimestrales'!G63</f>
        <v>50</v>
      </c>
    </row>
    <row r="66" spans="1:11" ht="32.25" customHeight="1" thickBot="1" x14ac:dyDescent="0.25">
      <c r="A66" s="211">
        <v>55</v>
      </c>
      <c r="B66" s="212" t="str">
        <f>+'Necesidades Trimestrales'!B64</f>
        <v>2.5.2-1724.154</v>
      </c>
      <c r="C66" s="213" t="str">
        <f>+'Necesidades Trimestrales'!E64</f>
        <v>ANALGESICOS; TIPO: MONODROGA, DROGA GENERICA: TRAMADOL 50 mGr, FORMA FARMACEUTICA: AMPOLLA, PRESENTACION: UNIDAD</v>
      </c>
      <c r="D66" s="214"/>
      <c r="E66" s="214"/>
      <c r="F66" s="214"/>
      <c r="G66" s="214"/>
      <c r="H66" s="211" t="s">
        <v>40</v>
      </c>
      <c r="I66" s="215" t="str">
        <f>+'Necesidades Trimestrales'!F64</f>
        <v>AMPOLLA</v>
      </c>
      <c r="J66" s="216">
        <f>+'Necesidades Trimestrales'!H64</f>
        <v>65</v>
      </c>
      <c r="K66" s="217">
        <f>+'Necesidades Trimestrales'!G64</f>
        <v>50</v>
      </c>
    </row>
    <row r="67" spans="1:11" ht="32.25" customHeight="1" thickBot="1" x14ac:dyDescent="0.25">
      <c r="A67" s="211">
        <v>56</v>
      </c>
      <c r="B67" s="212" t="str">
        <f>+'Necesidades Trimestrales'!B65</f>
        <v>2.5.2-2199.13</v>
      </c>
      <c r="C67" s="213" t="str">
        <f>+'Necesidades Trimestrales'!E65</f>
        <v>BLOQUEANTES NEUROMUSCULARES; DROGA GENERICA: BROMURO DE VECURONIO, FORMA FARMACEUTICA: AMPOLLA X 10 mGr, PRESENTACION: UNIDAD, TIPO: MONODROGA</v>
      </c>
      <c r="D67" s="214"/>
      <c r="E67" s="214"/>
      <c r="F67" s="214"/>
      <c r="G67" s="214"/>
      <c r="H67" s="211" t="s">
        <v>40</v>
      </c>
      <c r="I67" s="215" t="str">
        <f>+'Necesidades Trimestrales'!F65</f>
        <v>AMPOLLA</v>
      </c>
      <c r="J67" s="216">
        <f>+'Necesidades Trimestrales'!H65</f>
        <v>864</v>
      </c>
      <c r="K67" s="217">
        <f>+'Necesidades Trimestrales'!G65</f>
        <v>50</v>
      </c>
    </row>
    <row r="68" spans="1:11" ht="12.75" customHeight="1" thickBot="1" x14ac:dyDescent="0.25">
      <c r="A68" s="154" t="s">
        <v>187</v>
      </c>
      <c r="B68" s="152"/>
      <c r="C68" s="152"/>
      <c r="D68" s="152"/>
      <c r="E68" s="152"/>
      <c r="F68" s="152"/>
      <c r="G68" s="152"/>
      <c r="H68" s="152"/>
      <c r="I68" s="152"/>
      <c r="J68" s="153">
        <f>SUMPRODUCT(J12:J67,K12:K67)</f>
        <v>5596680.4500000002</v>
      </c>
      <c r="K68" s="152"/>
    </row>
  </sheetData>
  <mergeCells count="78">
    <mergeCell ref="J68:K68"/>
    <mergeCell ref="A68:I68"/>
    <mergeCell ref="C44:G44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C21:G21"/>
    <mergeCell ref="C22:G22"/>
    <mergeCell ref="C13:G13"/>
    <mergeCell ref="C14:G14"/>
    <mergeCell ref="C15:G15"/>
    <mergeCell ref="C16:G16"/>
    <mergeCell ref="C17:G17"/>
    <mergeCell ref="C66:G66"/>
    <mergeCell ref="C67:G67"/>
    <mergeCell ref="A1:I1"/>
    <mergeCell ref="D6:K6"/>
    <mergeCell ref="D7:K7"/>
    <mergeCell ref="D8:K8"/>
    <mergeCell ref="K10:K11"/>
    <mergeCell ref="C59:G59"/>
    <mergeCell ref="C58:G58"/>
    <mergeCell ref="C12:G12"/>
    <mergeCell ref="C23:G23"/>
    <mergeCell ref="C18:G18"/>
    <mergeCell ref="C19:G19"/>
    <mergeCell ref="C20:G20"/>
    <mergeCell ref="I10:I11"/>
    <mergeCell ref="J10:J11"/>
    <mergeCell ref="C65:G65"/>
    <mergeCell ref="C53:G53"/>
    <mergeCell ref="C34:G34"/>
    <mergeCell ref="C35:G35"/>
    <mergeCell ref="C51:G51"/>
    <mergeCell ref="C52:G52"/>
    <mergeCell ref="C42:G42"/>
    <mergeCell ref="C43:G43"/>
    <mergeCell ref="C37:G37"/>
    <mergeCell ref="C38:G38"/>
    <mergeCell ref="C39:G39"/>
    <mergeCell ref="C40:G40"/>
    <mergeCell ref="C41:G41"/>
    <mergeCell ref="C60:G60"/>
    <mergeCell ref="C45:G45"/>
    <mergeCell ref="C36:G36"/>
    <mergeCell ref="C55:G55"/>
    <mergeCell ref="C61:G61"/>
    <mergeCell ref="C62:G62"/>
    <mergeCell ref="C63:G63"/>
    <mergeCell ref="C64:G64"/>
    <mergeCell ref="C56:G56"/>
    <mergeCell ref="C57:G57"/>
    <mergeCell ref="C54:G54"/>
    <mergeCell ref="C24:G24"/>
    <mergeCell ref="C25:G25"/>
    <mergeCell ref="C46:G46"/>
    <mergeCell ref="C47:G47"/>
    <mergeCell ref="C48:G48"/>
    <mergeCell ref="C49:G49"/>
    <mergeCell ref="C50:G50"/>
    <mergeCell ref="C26:G26"/>
    <mergeCell ref="C27:G27"/>
    <mergeCell ref="C28:G28"/>
    <mergeCell ref="C32:G32"/>
    <mergeCell ref="C33:G33"/>
    <mergeCell ref="C29:G29"/>
    <mergeCell ref="C30:G30"/>
    <mergeCell ref="C31:G31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topLeftCell="A9" workbookViewId="0">
      <selection activeCell="S33" sqref="S33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191" t="s">
        <v>4</v>
      </c>
      <c r="B1" s="146"/>
      <c r="C1" s="146"/>
      <c r="D1" s="192">
        <f>'Necesidades Trimestrales'!C6</f>
        <v>2022</v>
      </c>
      <c r="E1" s="147"/>
      <c r="F1" s="101"/>
      <c r="G1" s="101"/>
      <c r="H1" s="102"/>
      <c r="I1" s="102"/>
      <c r="J1" s="102"/>
      <c r="K1" s="102"/>
      <c r="L1" s="102"/>
      <c r="M1" s="102"/>
      <c r="N1" s="102"/>
      <c r="O1" s="52"/>
      <c r="P1" s="183" t="s">
        <v>41</v>
      </c>
      <c r="Q1" s="177"/>
    </row>
    <row r="2" spans="1:18" ht="15.75" customHeight="1" x14ac:dyDescent="0.2">
      <c r="A2" s="52"/>
      <c r="B2" s="52"/>
      <c r="C2" s="52"/>
      <c r="D2" s="52"/>
      <c r="E2" s="52"/>
      <c r="F2" s="52"/>
      <c r="G2" s="103"/>
      <c r="H2" s="102"/>
      <c r="I2" s="102"/>
      <c r="J2" s="102"/>
      <c r="K2" s="102"/>
      <c r="L2" s="102"/>
      <c r="M2" s="102"/>
      <c r="N2" s="102"/>
      <c r="O2" s="52"/>
      <c r="P2" s="184"/>
      <c r="Q2" s="185"/>
    </row>
    <row r="3" spans="1:18" ht="12.75" customHeight="1" x14ac:dyDescent="0.2">
      <c r="A3" s="52"/>
      <c r="B3" s="52"/>
      <c r="C3" s="52"/>
      <c r="D3" s="52"/>
      <c r="E3" s="52"/>
      <c r="F3" s="52"/>
      <c r="G3" s="103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8" ht="18" customHeight="1" x14ac:dyDescent="0.2">
      <c r="A4" s="186" t="s">
        <v>42</v>
      </c>
      <c r="B4" s="156"/>
      <c r="C4" s="156"/>
      <c r="D4" s="156"/>
      <c r="E4" s="156"/>
      <c r="F4" s="187"/>
      <c r="G4" s="188" t="str">
        <f>' NotaPedido'!D3</f>
        <v>040 - Ministerio de Salud</v>
      </c>
      <c r="H4" s="156"/>
      <c r="I4" s="156"/>
      <c r="J4" s="156"/>
      <c r="K4" s="156"/>
      <c r="L4" s="156"/>
      <c r="M4" s="156"/>
      <c r="N4" s="156"/>
      <c r="O4" s="156"/>
      <c r="P4" s="156"/>
      <c r="Q4" s="187"/>
      <c r="R4" s="9"/>
    </row>
    <row r="5" spans="1:18" ht="18" customHeight="1" x14ac:dyDescent="0.2">
      <c r="A5" s="190" t="s">
        <v>26</v>
      </c>
      <c r="B5" s="156"/>
      <c r="C5" s="156"/>
      <c r="D5" s="156"/>
      <c r="E5" s="156"/>
      <c r="F5" s="187"/>
      <c r="G5" s="189" t="str">
        <f>' NotaPedido'!D4</f>
        <v xml:space="preserve">  028-Maternidad provincial 25 de Mayo</v>
      </c>
      <c r="H5" s="156"/>
      <c r="I5" s="156"/>
      <c r="J5" s="156"/>
      <c r="K5" s="156"/>
      <c r="L5" s="156"/>
      <c r="M5" s="156"/>
      <c r="N5" s="156"/>
      <c r="O5" s="156"/>
      <c r="P5" s="156"/>
      <c r="Q5" s="187"/>
      <c r="R5" s="9"/>
    </row>
    <row r="6" spans="1:18" ht="18" customHeight="1" x14ac:dyDescent="0.2">
      <c r="A6" s="190" t="s">
        <v>27</v>
      </c>
      <c r="B6" s="156"/>
      <c r="C6" s="156"/>
      <c r="D6" s="156"/>
      <c r="E6" s="156"/>
      <c r="F6" s="187"/>
      <c r="G6" s="189" t="s">
        <v>188</v>
      </c>
      <c r="H6" s="156"/>
      <c r="I6" s="156"/>
      <c r="J6" s="156"/>
      <c r="K6" s="156"/>
      <c r="L6" s="156"/>
      <c r="M6" s="156"/>
      <c r="N6" s="156"/>
      <c r="O6" s="156"/>
      <c r="P6" s="156"/>
      <c r="Q6" s="187"/>
      <c r="R6" s="9"/>
    </row>
    <row r="7" spans="1:18" ht="18" customHeight="1" x14ac:dyDescent="0.2">
      <c r="A7" s="190" t="s">
        <v>28</v>
      </c>
      <c r="B7" s="156"/>
      <c r="C7" s="156"/>
      <c r="D7" s="156"/>
      <c r="E7" s="156"/>
      <c r="F7" s="187"/>
      <c r="G7" s="189" t="str">
        <f>' NotaPedido'!D6</f>
        <v>Servicio de Farmacia</v>
      </c>
      <c r="H7" s="156"/>
      <c r="I7" s="156"/>
      <c r="J7" s="156"/>
      <c r="K7" s="156"/>
      <c r="L7" s="156"/>
      <c r="M7" s="156"/>
      <c r="N7" s="156"/>
      <c r="O7" s="156"/>
      <c r="P7" s="156"/>
      <c r="Q7" s="187"/>
      <c r="R7" s="9"/>
    </row>
    <row r="8" spans="1:18" ht="18" customHeight="1" x14ac:dyDescent="0.2">
      <c r="A8" s="193" t="s">
        <v>43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87"/>
    </row>
    <row r="9" spans="1:18" ht="18" customHeight="1" x14ac:dyDescent="0.2">
      <c r="A9" s="194" t="s">
        <v>44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04"/>
      <c r="P9" s="104"/>
      <c r="Q9" s="105"/>
    </row>
    <row r="10" spans="1:18" ht="54.75" customHeight="1" x14ac:dyDescent="0.2">
      <c r="A10" s="196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97"/>
    </row>
    <row r="11" spans="1:18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8" ht="15.75" customHeight="1" x14ac:dyDescent="0.2">
      <c r="A12" s="198" t="s">
        <v>45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200"/>
    </row>
    <row r="13" spans="1:18" ht="15.75" customHeight="1" x14ac:dyDescent="0.2">
      <c r="A13" s="201" t="s">
        <v>46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3"/>
      <c r="O13" s="205" t="s">
        <v>47</v>
      </c>
      <c r="P13" s="200"/>
      <c r="Q13" s="208" t="s">
        <v>48</v>
      </c>
    </row>
    <row r="14" spans="1:18" ht="15.75" customHeight="1" thickBot="1" x14ac:dyDescent="0.25">
      <c r="A14" s="14" t="s">
        <v>49</v>
      </c>
      <c r="B14" s="15" t="s">
        <v>50</v>
      </c>
      <c r="C14" s="15" t="s">
        <v>51</v>
      </c>
      <c r="D14" s="15" t="s">
        <v>52</v>
      </c>
      <c r="E14" s="15" t="s">
        <v>53</v>
      </c>
      <c r="F14" s="15" t="s">
        <v>54</v>
      </c>
      <c r="G14" s="16" t="s">
        <v>55</v>
      </c>
      <c r="H14" s="15" t="s">
        <v>56</v>
      </c>
      <c r="I14" s="15" t="s">
        <v>57</v>
      </c>
      <c r="J14" s="15" t="s">
        <v>58</v>
      </c>
      <c r="K14" s="15" t="s">
        <v>58</v>
      </c>
      <c r="L14" s="15" t="s">
        <v>59</v>
      </c>
      <c r="M14" s="17" t="s">
        <v>60</v>
      </c>
      <c r="N14" s="18" t="s">
        <v>61</v>
      </c>
      <c r="O14" s="206"/>
      <c r="P14" s="207"/>
      <c r="Q14" s="207"/>
    </row>
    <row r="15" spans="1:18" ht="26.25" customHeight="1" x14ac:dyDescent="0.2">
      <c r="A15" s="106">
        <v>42</v>
      </c>
      <c r="B15" s="107"/>
      <c r="C15" s="107"/>
      <c r="D15" s="108">
        <v>2</v>
      </c>
      <c r="E15" s="107"/>
      <c r="F15" s="107">
        <v>4901</v>
      </c>
      <c r="G15" s="107">
        <v>3</v>
      </c>
      <c r="H15" s="107">
        <v>1</v>
      </c>
      <c r="I15" s="108">
        <v>2</v>
      </c>
      <c r="J15" s="108">
        <v>5</v>
      </c>
      <c r="K15" s="108">
        <v>2</v>
      </c>
      <c r="L15" s="107"/>
      <c r="M15" s="109">
        <v>1</v>
      </c>
      <c r="N15" s="107" t="s">
        <v>62</v>
      </c>
      <c r="O15" s="209" t="s">
        <v>170</v>
      </c>
      <c r="P15" s="210"/>
      <c r="Q15" s="110">
        <v>5596680.4500000002</v>
      </c>
    </row>
    <row r="16" spans="1:18" ht="17.25" customHeight="1" x14ac:dyDescent="0.2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3"/>
      <c r="N16" s="114"/>
      <c r="O16" s="178"/>
      <c r="P16" s="179"/>
      <c r="Q16" s="115"/>
    </row>
    <row r="17" spans="1:18" ht="17.25" customHeight="1" x14ac:dyDescent="0.2">
      <c r="A17" s="111"/>
      <c r="B17" s="112"/>
      <c r="C17" s="112"/>
      <c r="D17" s="112"/>
      <c r="E17" s="112"/>
      <c r="F17" s="114"/>
      <c r="G17" s="112"/>
      <c r="H17" s="112"/>
      <c r="I17" s="112"/>
      <c r="J17" s="112"/>
      <c r="K17" s="112"/>
      <c r="L17" s="112"/>
      <c r="M17" s="113"/>
      <c r="N17" s="114"/>
      <c r="O17" s="178"/>
      <c r="P17" s="179"/>
      <c r="Q17" s="115"/>
    </row>
    <row r="18" spans="1:18" ht="17.25" customHeight="1" x14ac:dyDescent="0.2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3"/>
      <c r="N18" s="114"/>
      <c r="O18" s="178"/>
      <c r="P18" s="179"/>
      <c r="Q18" s="115"/>
    </row>
    <row r="19" spans="1:18" ht="17.25" customHeight="1" x14ac:dyDescent="0.2">
      <c r="A19" s="111"/>
      <c r="B19" s="112"/>
      <c r="C19" s="112"/>
      <c r="D19" s="112"/>
      <c r="E19" s="112"/>
      <c r="F19" s="114"/>
      <c r="G19" s="112"/>
      <c r="H19" s="112"/>
      <c r="I19" s="112"/>
      <c r="J19" s="112"/>
      <c r="K19" s="112"/>
      <c r="L19" s="112"/>
      <c r="M19" s="113"/>
      <c r="N19" s="114"/>
      <c r="O19" s="178"/>
      <c r="P19" s="179"/>
      <c r="Q19" s="115"/>
    </row>
    <row r="20" spans="1:18" ht="17.25" customHeight="1" x14ac:dyDescent="0.2">
      <c r="A20" s="111"/>
      <c r="B20" s="112"/>
      <c r="C20" s="112"/>
      <c r="D20" s="112"/>
      <c r="E20" s="112"/>
      <c r="F20" s="114"/>
      <c r="G20" s="112"/>
      <c r="H20" s="112"/>
      <c r="I20" s="112"/>
      <c r="J20" s="112"/>
      <c r="K20" s="112"/>
      <c r="L20" s="112"/>
      <c r="M20" s="113"/>
      <c r="N20" s="114"/>
      <c r="O20" s="178"/>
      <c r="P20" s="179"/>
      <c r="Q20" s="115"/>
    </row>
    <row r="21" spans="1:18" ht="17.25" customHeight="1" x14ac:dyDescent="0.2">
      <c r="A21" s="116"/>
      <c r="B21" s="117"/>
      <c r="C21" s="117"/>
      <c r="D21" s="117"/>
      <c r="E21" s="117"/>
      <c r="F21" s="114"/>
      <c r="G21" s="117"/>
      <c r="H21" s="117"/>
      <c r="I21" s="117"/>
      <c r="J21" s="117"/>
      <c r="K21" s="117"/>
      <c r="L21" s="117"/>
      <c r="M21" s="118"/>
      <c r="N21" s="119"/>
      <c r="O21" s="178"/>
      <c r="P21" s="179"/>
      <c r="Q21" s="115"/>
      <c r="R21" s="9"/>
    </row>
    <row r="22" spans="1:18" ht="17.25" customHeight="1" x14ac:dyDescent="0.2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  <c r="N22" s="121"/>
      <c r="O22" s="180"/>
      <c r="P22" s="181"/>
      <c r="Q22" s="123"/>
    </row>
    <row r="23" spans="1:18" ht="29.25" customHeight="1" x14ac:dyDescent="0.2">
      <c r="A23" s="172" t="s">
        <v>189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4"/>
      <c r="Q23" s="124">
        <f>SUM(Q15:Q22)</f>
        <v>5596680.4500000002</v>
      </c>
    </row>
    <row r="24" spans="1:18" ht="18" customHeight="1" x14ac:dyDescent="0.2">
      <c r="A24" s="175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7"/>
    </row>
    <row r="25" spans="1:18" ht="17.25" customHeight="1" thickBot="1" x14ac:dyDescent="0.25">
      <c r="A25" s="182" t="s">
        <v>63</v>
      </c>
      <c r="B25" s="146"/>
      <c r="C25" s="146"/>
      <c r="D25" s="146"/>
      <c r="E25" s="146"/>
      <c r="F25" s="147"/>
      <c r="G25" s="204"/>
      <c r="H25" s="176"/>
      <c r="I25" s="176"/>
      <c r="J25" s="176"/>
      <c r="K25" s="176"/>
      <c r="L25" s="176"/>
      <c r="M25" s="176"/>
      <c r="N25" s="176"/>
      <c r="O25" s="176"/>
      <c r="P25" s="176"/>
      <c r="Q25" s="177"/>
    </row>
    <row r="26" spans="1:18" ht="18" customHeight="1" x14ac:dyDescent="0.2">
      <c r="A26" s="166" t="str">
        <f>' NotaPedido'!$D$8</f>
        <v>Adquisición de TERAPIA ANTIINFECCIOSA SISTEMICA/SUEROS INMUNES E INMUNOGLOBULINAS  Y MEDIOS DE CONTRASTES /ANALGESICOS ANTINFLAMATORIOS /MIORRELAJANTES/ANESTESICOS/ANALGESICOS OPIACIOS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</row>
    <row r="27" spans="1:18" ht="15" customHeight="1" thickBot="1" x14ac:dyDescent="0.25">
      <c r="A27" s="169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1"/>
    </row>
    <row r="28" spans="1:18" ht="12.75" customHeight="1" x14ac:dyDescent="0.2">
      <c r="A28" s="52"/>
      <c r="B28" s="52"/>
      <c r="C28" s="52"/>
      <c r="D28" s="52"/>
      <c r="E28" s="52"/>
      <c r="F28" s="52"/>
      <c r="G28" s="103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8" ht="12.75" customHeight="1" x14ac:dyDescent="0.2">
      <c r="A29" s="52"/>
      <c r="B29" s="52"/>
      <c r="C29" s="52"/>
      <c r="D29" s="52"/>
      <c r="E29" s="52"/>
      <c r="F29" s="52"/>
      <c r="G29" s="103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8" ht="12.75" customHeight="1" x14ac:dyDescent="0.2">
      <c r="A30" s="52"/>
      <c r="B30" s="52"/>
      <c r="C30" s="52"/>
      <c r="D30" s="52"/>
      <c r="E30" s="52"/>
      <c r="F30" s="52"/>
      <c r="G30" s="103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8" ht="12.75" customHeight="1" x14ac:dyDescent="0.2">
      <c r="A31" s="52"/>
      <c r="B31" s="52"/>
      <c r="C31" s="52"/>
      <c r="D31" s="52"/>
      <c r="E31" s="52"/>
      <c r="F31" s="52"/>
      <c r="G31" s="103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8" ht="12.75" customHeight="1" x14ac:dyDescent="0.2">
      <c r="A32" s="52"/>
      <c r="B32" s="52"/>
      <c r="C32" s="52"/>
      <c r="D32" s="52"/>
      <c r="E32" s="52"/>
      <c r="F32" s="52"/>
      <c r="G32" s="103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7" ht="12.75" customHeight="1" x14ac:dyDescent="0.2">
      <c r="A33" s="52"/>
      <c r="B33" s="52"/>
      <c r="C33" s="52"/>
      <c r="D33" s="52"/>
      <c r="E33" s="52"/>
      <c r="F33" s="52"/>
      <c r="G33" s="103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spans="1:17" ht="12.75" customHeight="1" x14ac:dyDescent="0.2">
      <c r="A34" s="52"/>
      <c r="B34" s="52"/>
      <c r="C34" s="52"/>
      <c r="D34" s="52"/>
      <c r="E34" s="52"/>
      <c r="F34" s="52"/>
      <c r="G34" s="103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spans="1:17" ht="12.75" customHeight="1" x14ac:dyDescent="0.2">
      <c r="A35" s="52"/>
      <c r="B35" s="52"/>
      <c r="C35" s="52"/>
      <c r="D35" s="52"/>
      <c r="E35" s="52"/>
      <c r="F35" s="52"/>
      <c r="G35" s="103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spans="1:17" ht="12.75" customHeight="1" x14ac:dyDescent="0.2">
      <c r="A36" s="52"/>
      <c r="B36" s="52"/>
      <c r="C36" s="52"/>
      <c r="D36" s="52"/>
      <c r="E36" s="52"/>
      <c r="F36" s="52"/>
      <c r="G36" s="103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spans="1:17" ht="12.75" customHeight="1" x14ac:dyDescent="0.2">
      <c r="A37" s="52"/>
      <c r="B37" s="52"/>
      <c r="C37" s="52"/>
      <c r="D37" s="52"/>
      <c r="E37" s="52"/>
      <c r="F37" s="52"/>
      <c r="G37" s="103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spans="1:17" ht="12.75" customHeight="1" x14ac:dyDescent="0.2">
      <c r="G38" s="8"/>
    </row>
    <row r="39" spans="1:17" ht="12.75" customHeight="1" x14ac:dyDescent="0.2">
      <c r="G39" s="8"/>
    </row>
    <row r="40" spans="1:17" ht="12.75" customHeight="1" x14ac:dyDescent="0.2">
      <c r="G40" s="8"/>
    </row>
    <row r="41" spans="1:17" ht="12.75" customHeight="1" x14ac:dyDescent="0.2">
      <c r="G41" s="8"/>
    </row>
    <row r="42" spans="1:17" ht="12.75" customHeight="1" x14ac:dyDescent="0.2">
      <c r="G42" s="8"/>
    </row>
    <row r="43" spans="1:17" ht="12.75" customHeight="1" x14ac:dyDescent="0.2">
      <c r="G43" s="8"/>
    </row>
    <row r="44" spans="1:17" ht="12.75" customHeight="1" x14ac:dyDescent="0.2">
      <c r="G44" s="8"/>
    </row>
    <row r="45" spans="1:17" ht="12.75" customHeight="1" x14ac:dyDescent="0.2">
      <c r="G45" s="8"/>
    </row>
    <row r="46" spans="1:17" ht="12.75" customHeight="1" x14ac:dyDescent="0.2">
      <c r="G46" s="8"/>
    </row>
    <row r="47" spans="1:17" ht="12.75" customHeight="1" x14ac:dyDescent="0.2">
      <c r="G47" s="8"/>
    </row>
    <row r="48" spans="1:17" ht="12.75" customHeight="1" x14ac:dyDescent="0.2">
      <c r="G48" s="8"/>
    </row>
    <row r="49" spans="7:7" ht="12.75" customHeight="1" x14ac:dyDescent="0.2">
      <c r="G49" s="8"/>
    </row>
    <row r="50" spans="7:7" ht="12.75" customHeight="1" x14ac:dyDescent="0.2">
      <c r="G50" s="8"/>
    </row>
    <row r="51" spans="7:7" ht="12.75" customHeight="1" x14ac:dyDescent="0.2">
      <c r="G51" s="8"/>
    </row>
    <row r="52" spans="7:7" ht="12.75" customHeight="1" x14ac:dyDescent="0.2">
      <c r="G52" s="8"/>
    </row>
    <row r="53" spans="7:7" ht="12.75" customHeight="1" x14ac:dyDescent="0.2">
      <c r="G53" s="8"/>
    </row>
    <row r="54" spans="7:7" ht="12.75" customHeight="1" x14ac:dyDescent="0.2">
      <c r="G54" s="8"/>
    </row>
    <row r="55" spans="7:7" ht="12.75" customHeight="1" x14ac:dyDescent="0.2">
      <c r="G55" s="8"/>
    </row>
    <row r="56" spans="7:7" ht="12.75" customHeight="1" x14ac:dyDescent="0.2">
      <c r="G56" s="8"/>
    </row>
    <row r="57" spans="7:7" ht="12.75" customHeight="1" x14ac:dyDescent="0.2">
      <c r="G57" s="8"/>
    </row>
    <row r="58" spans="7:7" ht="12.75" customHeight="1" x14ac:dyDescent="0.2">
      <c r="G58" s="8"/>
    </row>
    <row r="59" spans="7:7" ht="12.75" customHeight="1" x14ac:dyDescent="0.2">
      <c r="G59" s="8"/>
    </row>
    <row r="60" spans="7:7" ht="12.75" customHeight="1" x14ac:dyDescent="0.2">
      <c r="G60" s="8"/>
    </row>
    <row r="61" spans="7:7" ht="12.75" customHeight="1" x14ac:dyDescent="0.2">
      <c r="G61" s="8"/>
    </row>
    <row r="62" spans="7:7" ht="12.75" customHeight="1" x14ac:dyDescent="0.2">
      <c r="G62" s="8"/>
    </row>
    <row r="63" spans="7:7" ht="12.75" customHeight="1" x14ac:dyDescent="0.2">
      <c r="G63" s="8"/>
    </row>
    <row r="64" spans="7:7" ht="12.75" customHeight="1" x14ac:dyDescent="0.2">
      <c r="G64" s="8"/>
    </row>
    <row r="65" spans="7:7" ht="12.75" customHeight="1" x14ac:dyDescent="0.2">
      <c r="G65" s="8"/>
    </row>
    <row r="66" spans="7:7" ht="12.75" customHeight="1" x14ac:dyDescent="0.2">
      <c r="G66" s="8"/>
    </row>
    <row r="67" spans="7:7" ht="12.75" customHeight="1" x14ac:dyDescent="0.2">
      <c r="G67" s="8"/>
    </row>
    <row r="68" spans="7:7" ht="12.75" customHeight="1" x14ac:dyDescent="0.2">
      <c r="G68" s="8"/>
    </row>
    <row r="69" spans="7:7" ht="12.75" customHeight="1" x14ac:dyDescent="0.2">
      <c r="G69" s="8"/>
    </row>
    <row r="70" spans="7:7" ht="12.75" customHeight="1" x14ac:dyDescent="0.2">
      <c r="G70" s="8"/>
    </row>
    <row r="71" spans="7:7" ht="12.75" customHeight="1" x14ac:dyDescent="0.2">
      <c r="G71" s="8"/>
    </row>
    <row r="72" spans="7:7" ht="12.75" customHeight="1" x14ac:dyDescent="0.2">
      <c r="G72" s="8"/>
    </row>
    <row r="73" spans="7:7" ht="12.75" customHeight="1" x14ac:dyDescent="0.2">
      <c r="G73" s="8"/>
    </row>
    <row r="74" spans="7:7" ht="12.75" customHeight="1" x14ac:dyDescent="0.2">
      <c r="G74" s="8"/>
    </row>
    <row r="75" spans="7:7" ht="12.75" customHeight="1" x14ac:dyDescent="0.2">
      <c r="G75" s="8"/>
    </row>
    <row r="76" spans="7:7" ht="12.75" customHeight="1" x14ac:dyDescent="0.2">
      <c r="G76" s="8"/>
    </row>
    <row r="77" spans="7:7" ht="12.75" customHeight="1" x14ac:dyDescent="0.2">
      <c r="G77" s="8"/>
    </row>
    <row r="78" spans="7:7" ht="12.75" customHeight="1" x14ac:dyDescent="0.2">
      <c r="G78" s="8"/>
    </row>
    <row r="79" spans="7:7" ht="12.75" customHeight="1" x14ac:dyDescent="0.2">
      <c r="G79" s="8"/>
    </row>
    <row r="80" spans="7:7" ht="12.75" customHeight="1" x14ac:dyDescent="0.2">
      <c r="G80" s="8"/>
    </row>
    <row r="81" spans="7:7" ht="12.75" customHeight="1" x14ac:dyDescent="0.2">
      <c r="G81" s="8"/>
    </row>
    <row r="82" spans="7:7" ht="12.75" customHeight="1" x14ac:dyDescent="0.2">
      <c r="G82" s="8"/>
    </row>
    <row r="83" spans="7:7" ht="12.75" customHeight="1" x14ac:dyDescent="0.2">
      <c r="G83" s="8"/>
    </row>
    <row r="84" spans="7:7" ht="12.75" customHeight="1" x14ac:dyDescent="0.2">
      <c r="G84" s="8"/>
    </row>
    <row r="85" spans="7:7" ht="12.75" customHeight="1" x14ac:dyDescent="0.2">
      <c r="G85" s="8"/>
    </row>
    <row r="86" spans="7:7" ht="12.75" customHeight="1" x14ac:dyDescent="0.2">
      <c r="G86" s="8"/>
    </row>
    <row r="87" spans="7:7" ht="12.75" customHeight="1" x14ac:dyDescent="0.2">
      <c r="G87" s="8"/>
    </row>
    <row r="88" spans="7:7" ht="12.75" customHeight="1" x14ac:dyDescent="0.2">
      <c r="G88" s="8"/>
    </row>
    <row r="89" spans="7:7" ht="12.75" customHeight="1" x14ac:dyDescent="0.2">
      <c r="G89" s="8"/>
    </row>
    <row r="90" spans="7:7" ht="12.75" customHeight="1" x14ac:dyDescent="0.2">
      <c r="G90" s="8"/>
    </row>
    <row r="91" spans="7:7" ht="12.75" customHeight="1" x14ac:dyDescent="0.2">
      <c r="G91" s="8"/>
    </row>
    <row r="92" spans="7:7" ht="12.75" customHeight="1" x14ac:dyDescent="0.2">
      <c r="G92" s="8"/>
    </row>
    <row r="93" spans="7:7" ht="12.75" customHeight="1" x14ac:dyDescent="0.2">
      <c r="G93" s="8"/>
    </row>
    <row r="94" spans="7:7" ht="12.75" customHeight="1" x14ac:dyDescent="0.2">
      <c r="G94" s="8"/>
    </row>
    <row r="95" spans="7:7" ht="12.75" customHeight="1" x14ac:dyDescent="0.2">
      <c r="G95" s="8"/>
    </row>
    <row r="96" spans="7:7" ht="12.75" customHeight="1" x14ac:dyDescent="0.2">
      <c r="G96" s="8"/>
    </row>
    <row r="97" spans="7:7" ht="12.75" customHeight="1" x14ac:dyDescent="0.2">
      <c r="G97" s="8"/>
    </row>
    <row r="98" spans="7:7" ht="12.75" customHeight="1" x14ac:dyDescent="0.2">
      <c r="G98" s="8"/>
    </row>
    <row r="99" spans="7:7" ht="12.75" customHeight="1" x14ac:dyDescent="0.2">
      <c r="G99" s="8"/>
    </row>
    <row r="100" spans="7:7" ht="12.75" customHeight="1" x14ac:dyDescent="0.2">
      <c r="G100" s="8"/>
    </row>
  </sheetData>
  <mergeCells count="31"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6:Q27"/>
    <mergeCell ref="A23:P23"/>
    <mergeCell ref="A24:Q24"/>
    <mergeCell ref="O20:P20"/>
    <mergeCell ref="O21:P21"/>
    <mergeCell ref="O22:P22"/>
    <mergeCell ref="A25:F25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2022-10-12T15:38:05Z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